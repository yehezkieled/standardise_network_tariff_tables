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workbookProtection workbookPassword="DF8D" lockStructure="1"/>
  <bookViews>
    <workbookView xWindow="-15" yWindow="105" windowWidth="19440" windowHeight="7395" tabRatio="885" activeTab="2"/>
  </bookViews>
  <sheets>
    <sheet name="SAC Small Tariff Rates" sheetId="17" r:id="rId1"/>
    <sheet name="SAC Large Tariff Rates" sheetId="18" r:id="rId2"/>
    <sheet name="CAC Tariff Rates" sheetId="19" r:id="rId3"/>
    <sheet name="SAC Unmetered Rates" sheetId="21" r:id="rId4"/>
    <sheet name="Additional MEG NTCs" sheetId="22" r:id="rId5"/>
    <sheet name="List of Network Tariff Codes" sheetId="20" r:id="rId6"/>
  </sheets>
  <externalReferences>
    <externalReference r:id="rId7"/>
  </externalReferences>
  <definedNames>
    <definedName name="_xlnm._FilterDatabase" localSheetId="2" hidden="1">'CAC Tariff Rates'!#REF!</definedName>
    <definedName name="_Hlk318882101" localSheetId="5">'List of Network Tariff Codes'!$C$47</definedName>
    <definedName name="_Order1" hidden="1">0</definedName>
    <definedName name="anscount" hidden="1">1</definedName>
    <definedName name="current_pricing_year">'[1]Model builder'!$E$23</definedName>
    <definedName name="JS_final_round">[1]JS!$C$25:$L$34</definedName>
    <definedName name="JS_final_round_C">[1]JS!$C$24:$L$24</definedName>
    <definedName name="limcount" hidden="1">1</definedName>
    <definedName name="_xlnm.Print_Area" localSheetId="4">'Additional MEG NTCs'!$B$1:$L$20</definedName>
    <definedName name="_xlnm.Print_Area" localSheetId="2">'CAC Tariff Rates'!$B$2:$R$98</definedName>
    <definedName name="_xlnm.Print_Area" localSheetId="1">'SAC Large Tariff Rates'!$B$2:$S$91</definedName>
    <definedName name="_xlnm.Print_Area" localSheetId="0">'SAC Small Tariff Rates'!$B$2:$Q$164</definedName>
    <definedName name="_xlnm.Print_Area" localSheetId="3">'SAC Unmetered Rates'!$C$1:$K$38</definedName>
    <definedName name="sencount" hidden="1">1</definedName>
    <definedName name="Z_07999215_E707_4069_97E5_2B85A5FC3024_.wvu.PrintArea" localSheetId="4" hidden="1">'Additional MEG NTCs'!$C$6:$L$10</definedName>
    <definedName name="Z_07999215_E707_4069_97E5_2B85A5FC3024_.wvu.PrintArea" localSheetId="1" hidden="1">'SAC Large Tariff Rates'!$C$9:$S$92</definedName>
    <definedName name="Z_07999215_E707_4069_97E5_2B85A5FC3024_.wvu.PrintArea" localSheetId="0" hidden="1">'SAC Small Tariff Rates'!$C$8:$M$48</definedName>
    <definedName name="Z_07999215_E707_4069_97E5_2B85A5FC3024_.wvu.PrintArea" localSheetId="3" hidden="1">'SAC Unmetered Rates'!$C$7:$L$43</definedName>
    <definedName name="Z_D030C3FE_CD3A_49B5_AF62_7457EF741067_.wvu.PrintArea" localSheetId="4" hidden="1">'Additional MEG NTCs'!$C$6:$L$10</definedName>
    <definedName name="Z_D030C3FE_CD3A_49B5_AF62_7457EF741067_.wvu.PrintArea" localSheetId="1" hidden="1">'SAC Large Tariff Rates'!$C$9:$S$92</definedName>
    <definedName name="Z_D030C3FE_CD3A_49B5_AF62_7457EF741067_.wvu.PrintArea" localSheetId="0" hidden="1">'SAC Small Tariff Rates'!$C$8:$M$48</definedName>
    <definedName name="Z_D030C3FE_CD3A_49B5_AF62_7457EF741067_.wvu.PrintArea" localSheetId="3" hidden="1">'SAC Unmetered Rates'!$C$7:$L$43</definedName>
  </definedNames>
  <calcPr calcId="145621"/>
  <customWorkbookViews>
    <customWorkbookView name="KLIX Beth (ERGON) - Personal View" guid="{07999215-E707-4069-97E5-2B85A5FC3024}" mergeInterval="0" personalView="1" maximized="1" windowWidth="1366" windowHeight="483" tabRatio="853" activeSheetId="20"/>
    <customWorkbookView name="alynch - Personal View" guid="{D030C3FE-CD3A-49B5-AF62-7457EF741067}" mergeInterval="0" personalView="1" maximized="1" windowWidth="1676" windowHeight="794" tabRatio="853" activeSheetId="20"/>
  </customWorkbookViews>
</workbook>
</file>

<file path=xl/calcChain.xml><?xml version="1.0" encoding="utf-8"?>
<calcChain xmlns="http://schemas.openxmlformats.org/spreadsheetml/2006/main">
  <c r="C55" i="19" l="1"/>
  <c r="C11" i="19"/>
  <c r="C10" i="18"/>
</calcChain>
</file>

<file path=xl/sharedStrings.xml><?xml version="1.0" encoding="utf-8"?>
<sst xmlns="http://schemas.openxmlformats.org/spreadsheetml/2006/main" count="1375" uniqueCount="691">
  <si>
    <t>Default Distribution Loss Factor</t>
  </si>
  <si>
    <t>Volume Controlled</t>
  </si>
  <si>
    <t>Demand Large</t>
  </si>
  <si>
    <t>Demand Medium</t>
  </si>
  <si>
    <t>Demand Small</t>
  </si>
  <si>
    <t>Distribution Use Of System (DUOS)</t>
  </si>
  <si>
    <t>Transmission Use Of System (TUOS)</t>
  </si>
  <si>
    <t>Network Tariff Code</t>
  </si>
  <si>
    <t>Value</t>
  </si>
  <si>
    <t>Code</t>
  </si>
  <si>
    <t>$/kWh</t>
  </si>
  <si>
    <t>GEHL</t>
  </si>
  <si>
    <t>GMLL</t>
  </si>
  <si>
    <t>GELL</t>
  </si>
  <si>
    <t>GWLL</t>
  </si>
  <si>
    <t>Demand High Voltage</t>
  </si>
  <si>
    <t>Threshold Above Which Demand Charge Applies</t>
  </si>
  <si>
    <t>Minimum Chargeable Demand</t>
  </si>
  <si>
    <t>IBT Residential</t>
  </si>
  <si>
    <t>ERIBT1</t>
  </si>
  <si>
    <t>ERIBT2</t>
  </si>
  <si>
    <t>ERIBT3</t>
  </si>
  <si>
    <t>WRIBT1</t>
  </si>
  <si>
    <t>WRIBT2</t>
  </si>
  <si>
    <t>WRIBT3</t>
  </si>
  <si>
    <t>IBT
Business</t>
  </si>
  <si>
    <t>EBIBT1</t>
  </si>
  <si>
    <t>EBIBT2</t>
  </si>
  <si>
    <t>EBIBT3</t>
  </si>
  <si>
    <t>WBIBT1</t>
  </si>
  <si>
    <t>WBIBT2</t>
  </si>
  <si>
    <t>WBIBT3</t>
  </si>
  <si>
    <t>Volume 
Night Controlled</t>
  </si>
  <si>
    <t>EVNT1</t>
  </si>
  <si>
    <t>EVNT2</t>
  </si>
  <si>
    <t>EVNT3</t>
  </si>
  <si>
    <t>WVNT1</t>
  </si>
  <si>
    <t>WVNT2</t>
  </si>
  <si>
    <t>WVNT3</t>
  </si>
  <si>
    <t>EVCT1</t>
  </si>
  <si>
    <t>EVCT2</t>
  </si>
  <si>
    <t>EVCT3</t>
  </si>
  <si>
    <t>WVCT1</t>
  </si>
  <si>
    <t>WVCT2</t>
  </si>
  <si>
    <t>WVCT3</t>
  </si>
  <si>
    <t>ERTOUT1</t>
  </si>
  <si>
    <t>EBTOUT1</t>
  </si>
  <si>
    <t>ERTOUT2</t>
  </si>
  <si>
    <t>EBTOUT2</t>
  </si>
  <si>
    <t>ERTOUT3</t>
  </si>
  <si>
    <t>EBTOUT3</t>
  </si>
  <si>
    <t>WRTOUT1</t>
  </si>
  <si>
    <t>WBTOUT1</t>
  </si>
  <si>
    <t>WRTOUT2</t>
  </si>
  <si>
    <t>WBTOUT2</t>
  </si>
  <si>
    <t>WRTOUT3</t>
  </si>
  <si>
    <t>WBTOUT3</t>
  </si>
  <si>
    <t>TARIFFS APPLYING TO STANDARD ASSET CUSTOMERS – UNMETERED
GST Exclusive</t>
  </si>
  <si>
    <t>EVUT1</t>
  </si>
  <si>
    <t>EVUT2</t>
  </si>
  <si>
    <t>EVUT3</t>
  </si>
  <si>
    <t>WVUT1</t>
  </si>
  <si>
    <t>WVUT2</t>
  </si>
  <si>
    <t>WVUT3</t>
  </si>
  <si>
    <t>EDHTT1</t>
  </si>
  <si>
    <t>EDHTT2</t>
  </si>
  <si>
    <t>EDHTT3</t>
  </si>
  <si>
    <t>WDHTT1</t>
  </si>
  <si>
    <t>WDHTT2</t>
  </si>
  <si>
    <t>WDHTT3</t>
  </si>
  <si>
    <t>EDLTT1</t>
  </si>
  <si>
    <t>EDLTT2</t>
  </si>
  <si>
    <t>EDLTT3</t>
  </si>
  <si>
    <t>WDLTT1</t>
  </si>
  <si>
    <t>WDLTT2</t>
  </si>
  <si>
    <t>WDLTT3</t>
  </si>
  <si>
    <t>EDMTT1</t>
  </si>
  <si>
    <t>EDMTT2</t>
  </si>
  <si>
    <t>EDMTT3</t>
  </si>
  <si>
    <t>WDMTT1</t>
  </si>
  <si>
    <t>WDMTT2</t>
  </si>
  <si>
    <t>WDMTT3</t>
  </si>
  <si>
    <t>EDSTT1</t>
  </si>
  <si>
    <t>EDSTT2</t>
  </si>
  <si>
    <t>EDSTT3</t>
  </si>
  <si>
    <t>WDSTT1</t>
  </si>
  <si>
    <t>WDSTT2</t>
  </si>
  <si>
    <t>WDSTT3</t>
  </si>
  <si>
    <t>Volume Charge</t>
  </si>
  <si>
    <t>$/day</t>
  </si>
  <si>
    <t>kW</t>
  </si>
  <si>
    <t>Actual Demand Charge</t>
  </si>
  <si>
    <t>Fixed Charge
(NDFC)</t>
  </si>
  <si>
    <t>Capacity Charge
(NDKVACC)</t>
  </si>
  <si>
    <t>Actual Demand Charge
(NDKVAADC)</t>
  </si>
  <si>
    <t>Volume Charge
(NDVC)</t>
  </si>
  <si>
    <t>Fixed Charge
(NTFC)</t>
  </si>
  <si>
    <t>Capacity Charge (NTKVACC)</t>
  </si>
  <si>
    <t>Volume Charge
(NTVC)</t>
  </si>
  <si>
    <t>$/kVA of AD/month</t>
  </si>
  <si>
    <t>$/kVA of AD/ month</t>
  </si>
  <si>
    <t>EC66TOUT1</t>
  </si>
  <si>
    <t>Nil</t>
  </si>
  <si>
    <t>EC66TOUT2</t>
  </si>
  <si>
    <t>EC66TOUT3</t>
  </si>
  <si>
    <t>WC66TOUT1</t>
  </si>
  <si>
    <t>WC66TOUT2</t>
  </si>
  <si>
    <t>WC66TOUT3</t>
  </si>
  <si>
    <t>MC66TOUT4</t>
  </si>
  <si>
    <t>EC22BTOUT1</t>
  </si>
  <si>
    <t>EC22BTOUT2</t>
  </si>
  <si>
    <t>EC22BTOUT3</t>
  </si>
  <si>
    <t>WC22BTOUT1</t>
  </si>
  <si>
    <t>WC22BTOUT2</t>
  </si>
  <si>
    <t>WC22BTOUT3</t>
  </si>
  <si>
    <t>MC22BTOUT4</t>
  </si>
  <si>
    <t>EC22LTOUT1</t>
  </si>
  <si>
    <t>EC22LTOUT2</t>
  </si>
  <si>
    <t>EC22LTOUT3</t>
  </si>
  <si>
    <t>WC22LTOUT1</t>
  </si>
  <si>
    <t>WC22LTOUT2</t>
  </si>
  <si>
    <t>WC22LTOUT3</t>
  </si>
  <si>
    <t>MC22LTOUT4</t>
  </si>
  <si>
    <t>Peak
(NDDCP)</t>
  </si>
  <si>
    <t>Peak
(NTDCP)</t>
  </si>
  <si>
    <t>TARIFFS APPLYING TO STANDARD ASSET CUSTOMERS – SMALL (&lt;100 MWh per annum)
CONTROLLED LOAD
GST Exclusive</t>
  </si>
  <si>
    <t>TARIFFS APPLYING TO STANDARD ASSET CUSTOMERS – SMALL (&lt;100 MWh per annum)
INCLINING BLOCK TARIFF (IBT)
GST Exclusive</t>
  </si>
  <si>
    <t>Seasonal TOU Demand - Residential</t>
  </si>
  <si>
    <t>ERTOUDCT1</t>
  </si>
  <si>
    <t>ERTOUDCT2</t>
  </si>
  <si>
    <t>ERTOUDCT3</t>
  </si>
  <si>
    <t>WRTOUDCT1</t>
  </si>
  <si>
    <t>WRTOUDCT2</t>
  </si>
  <si>
    <t>WRTOUDCT3</t>
  </si>
  <si>
    <t>Seasonal TOU Demand - Business</t>
  </si>
  <si>
    <t>EBTOUDCT1</t>
  </si>
  <si>
    <t>EBTOUDCT2</t>
  </si>
  <si>
    <t>EBTOUDCT3</t>
  </si>
  <si>
    <t>WBTOUDCT1</t>
  </si>
  <si>
    <t>WBTOUDCT2</t>
  </si>
  <si>
    <t>WBTOUDCT3</t>
  </si>
  <si>
    <t>TARIFFS APPLYING TO STANDARD ASSET CUSTOMERS – SMALL (&lt;100 MWh per annum)
SEASONAL TIME-OF-USE DEMAND (STOUD)
GST Exclusive</t>
  </si>
  <si>
    <t>EC66T1</t>
  </si>
  <si>
    <t>EC66T2</t>
  </si>
  <si>
    <t>EC66T3</t>
  </si>
  <si>
    <t>EC33T1</t>
  </si>
  <si>
    <t>EC33T2</t>
  </si>
  <si>
    <t>EC33T3</t>
  </si>
  <si>
    <t>EC22BT1</t>
  </si>
  <si>
    <t>EC22BT2</t>
  </si>
  <si>
    <t>EC22BT3</t>
  </si>
  <si>
    <t>EC22LT1</t>
  </si>
  <si>
    <t>EC22LT2</t>
  </si>
  <si>
    <t>EC22LT3</t>
  </si>
  <si>
    <t>WC66T1</t>
  </si>
  <si>
    <t>WC66T2</t>
  </si>
  <si>
    <t>WC66T3</t>
  </si>
  <si>
    <t>WC33T1</t>
  </si>
  <si>
    <t>WC33T2</t>
  </si>
  <si>
    <t>WC33T3</t>
  </si>
  <si>
    <t>WC22BT1</t>
  </si>
  <si>
    <t>WC22BT2</t>
  </si>
  <si>
    <t>WC22BT3</t>
  </si>
  <si>
    <t>WC22LT1</t>
  </si>
  <si>
    <t>WC22LT2</t>
  </si>
  <si>
    <t>WC22LT3</t>
  </si>
  <si>
    <t>site specific</t>
  </si>
  <si>
    <t>Tariff</t>
  </si>
  <si>
    <t>Capacity Charge
(NTKVACC)</t>
  </si>
  <si>
    <t>Application of charges</t>
  </si>
  <si>
    <t>Actual Demand Charge
 (NDTD)</t>
  </si>
  <si>
    <t>Block 1 (NDVCIBT)</t>
  </si>
  <si>
    <t>Block 3 (NDVCIBT)</t>
  </si>
  <si>
    <t>Block 2  (NDVCIBT)</t>
  </si>
  <si>
    <t>Peak (NDVCP)</t>
  </si>
  <si>
    <t>Fixed Charge (NTFC)</t>
  </si>
  <si>
    <t>Volume Charge (NTVC)</t>
  </si>
  <si>
    <t xml:space="preserve">Volume Charge
(NDVC) </t>
  </si>
  <si>
    <t>Jurisdictional Scheme Charge</t>
  </si>
  <si>
    <t>Fixed Charge (JSCF)</t>
  </si>
  <si>
    <t>Volume Charge (JSCV)</t>
  </si>
  <si>
    <t>MRTOUDCT4</t>
  </si>
  <si>
    <t>MBTOUDCT4</t>
  </si>
  <si>
    <t>MC66T4</t>
  </si>
  <si>
    <t>POA</t>
  </si>
  <si>
    <t>MC33T4</t>
  </si>
  <si>
    <t>MC22LT4</t>
  </si>
  <si>
    <t>MRIBT4</t>
  </si>
  <si>
    <t>EVUMIT1</t>
  </si>
  <si>
    <t>EVUMAT1</t>
  </si>
  <si>
    <t>EVUMIT2</t>
  </si>
  <si>
    <t>EVUMAT2</t>
  </si>
  <si>
    <t>EVUMIT3</t>
  </si>
  <si>
    <t>EVUMAT3</t>
  </si>
  <si>
    <t>WVUMIT1</t>
  </si>
  <si>
    <t>WVUMAT1</t>
  </si>
  <si>
    <t>WVUMIT2</t>
  </si>
  <si>
    <t>WVUMAT2</t>
  </si>
  <si>
    <t>WVUMIT3</t>
  </si>
  <si>
    <t>WVUMAT3</t>
  </si>
  <si>
    <t>MVUT4</t>
  </si>
  <si>
    <t>MVUMIT4</t>
  </si>
  <si>
    <t>MBIBT4</t>
  </si>
  <si>
    <t>Actual Demand Charge
(NTTD)</t>
  </si>
  <si>
    <t>MRTOUT4</t>
  </si>
  <si>
    <t>MBTOUT4</t>
  </si>
  <si>
    <t>MVNT4</t>
  </si>
  <si>
    <t>MVCT4</t>
  </si>
  <si>
    <t>Connection Unit Charge (NDCUC)</t>
  </si>
  <si>
    <t>TARIFFS APPLYING TO STANDARD ASSET CUSTOMERS – SMALL (&lt;100 MWh per annum)
SEASONAL TIME-OF-USE  ENERGY (STOUE) 
GST Exclusive</t>
  </si>
  <si>
    <t>Seasonal TOU Energy - Residential</t>
  </si>
  <si>
    <t>Seasonal TOU Energy - 
Business</t>
  </si>
  <si>
    <t>ESTOUDCT1</t>
  </si>
  <si>
    <t>ESTOUDCT2</t>
  </si>
  <si>
    <t>ESTOUDCT3</t>
  </si>
  <si>
    <t>WSTOUDCT1</t>
  </si>
  <si>
    <t>WSTOUDCT2</t>
  </si>
  <si>
    <t>WSTOUDCT3</t>
  </si>
  <si>
    <t>MSTOUDCT4</t>
  </si>
  <si>
    <t>MDLTT4</t>
  </si>
  <si>
    <t>MDHTT4</t>
  </si>
  <si>
    <t>MDMTT4</t>
  </si>
  <si>
    <t>MDSTT4</t>
  </si>
  <si>
    <t>MC22BT4</t>
  </si>
  <si>
    <t>Notes:</t>
  </si>
  <si>
    <t>Time periods</t>
  </si>
  <si>
    <t>Excess Reactive Power Charge (NDERPC)</t>
  </si>
  <si>
    <t>$/kVA /month</t>
  </si>
  <si>
    <t>2016-17 Rates</t>
  </si>
  <si>
    <t>Note: Summer is defined as the months of December, January and February</t>
  </si>
  <si>
    <t>Energy</t>
  </si>
  <si>
    <t>An any time energy (volume) charge applies to all metered consumption</t>
  </si>
  <si>
    <t>All times during non-summer months</t>
  </si>
  <si>
    <t>10:00am to 8:00pm on summer weekdays</t>
  </si>
  <si>
    <t>Note: Summer is defined as the months of December, January and February.</t>
  </si>
  <si>
    <t>The peak demand calculation uses the maximum kVA demand in any single half hour at any time during the peak demand period in each summer month.</t>
  </si>
  <si>
    <t>The connection unit calculation applies the connection unit charge (per day) multiplied by the customer's number of connection units as advised individually to each customer.</t>
  </si>
  <si>
    <t>Residential - Consumption blocks</t>
  </si>
  <si>
    <t>Block</t>
  </si>
  <si>
    <t>Daily kWh</t>
  </si>
  <si>
    <t>Annual equivalent kWh</t>
  </si>
  <si>
    <t xml:space="preserve">Block 1 </t>
  </si>
  <si>
    <t>&lt;2.74 kWh</t>
  </si>
  <si>
    <t>&lt;1,000 kWh per annum</t>
  </si>
  <si>
    <t xml:space="preserve">Block 2 </t>
  </si>
  <si>
    <t>2.74 kWh - 16.43 kWh</t>
  </si>
  <si>
    <t>1,000 kWh per annum - 6,000 kWh per annum</t>
  </si>
  <si>
    <t xml:space="preserve">Block 3 </t>
  </si>
  <si>
    <t>&gt;16.43 kWh</t>
  </si>
  <si>
    <t>&gt;6,000 kWh per annum</t>
  </si>
  <si>
    <t>Business - Consumption blocks</t>
  </si>
  <si>
    <t>&gt;54.76 kWh</t>
  </si>
  <si>
    <t>&gt;20,000 kWh per annum</t>
  </si>
  <si>
    <t>Demand calculation</t>
  </si>
  <si>
    <t xml:space="preserve">Volume calculation 
</t>
  </si>
  <si>
    <t>Peak demand</t>
  </si>
  <si>
    <t>Off-peak demand</t>
  </si>
  <si>
    <t xml:space="preserve">In the non-summer months a minimum chargeable demand of 3 kW also applies – meaning the customer pays for 3 kW of demand or the average of their top four average demand days in the month, whichever is the greater. </t>
  </si>
  <si>
    <t>Determination of the chargeable demand quantity is the same for both the peak and off-peak demand charges (Note: A minimum chargeable demand of 3 kW applies in non-summer months).</t>
  </si>
  <si>
    <t>Determination of the chargeable demand quantity is the same for both the peak and off-peak demand charges (Note: A minimum chargeable demand of 3 kW applies in non-summer months)</t>
  </si>
  <si>
    <t>The monthly demand charges, for both summer and non-summer, are based on the average demand the customer places on the network in the daily demand window (the 6.5 hour peak period between 3:00pm and 9:30pm). The highest four demand days in the month are determined by comparison of the average demand recorded in these daily demand windows. The monthly demand rate is applied to the average of these top four demand days.</t>
  </si>
  <si>
    <t>The monthly demand charges, for both summer and non-summer, are based on the average demand the customer places on the network in the daily demand window (the 10 hour peak period on weekdays between 10:00am and 8:00pm).  The highest four demand days in the month are determined by comparison of the average demand recorded in these daily demand windows. The monthly demand rate is applied to the average of these top four demand days.</t>
  </si>
  <si>
    <t>In the non-summer months a minimum chargeable demand of 3 kW also applies – meaning the customer pays for 3 kW of demand or the average of their top four average demand days in the month, whichever is the greater.</t>
  </si>
  <si>
    <t>The actual demand charge will be applied to the kW amount by which a customer’s actual monthly maximum demand is greater than the demand threshold applicable to the customer’s network tariff.  Where the monthly metered maximum demand is less than the demand threshold, the chargeable demand for that month is set to zero and no demand charge is payable for that month.  The same demand threshold calculation mechanism applied for TUOS charges.</t>
  </si>
  <si>
    <t>Seasonal TOU Demand</t>
  </si>
  <si>
    <t>Off-peak demand calculation</t>
  </si>
  <si>
    <t>Peak demand calculation</t>
  </si>
  <si>
    <t>3:00pm to 9:30pm all summer days</t>
  </si>
  <si>
    <t xml:space="preserve">3:00pm to 9:30pm all non-summer days </t>
  </si>
  <si>
    <t>10:00am to 8:00pm on non-summer weekdays</t>
  </si>
  <si>
    <t>Volume calculation 
(off-peak)</t>
  </si>
  <si>
    <t>For the TUOS volume charge, the metered consumption is multiplied by the DLF and then applied to the TUOS volume rate.</t>
  </si>
  <si>
    <t>Capacity charge (off-peak)</t>
  </si>
  <si>
    <t>Volume charge (off-peak)</t>
  </si>
  <si>
    <t>Applies to all metered consumption during non-summer months.</t>
  </si>
  <si>
    <t xml:space="preserve">The off-peak volume calculation uses total metered kWh consumption at all times during non-summer months.  </t>
  </si>
  <si>
    <t>Off-peak
(NDDCOP)</t>
  </si>
  <si>
    <t>Off-peak (NDVCOP)</t>
  </si>
  <si>
    <t>Off-peak
(NDVCOP)</t>
  </si>
  <si>
    <t>Off-peak
(NTDCOP)</t>
  </si>
  <si>
    <t>MVUMAT4</t>
  </si>
  <si>
    <t>Default tariffs</t>
  </si>
  <si>
    <t>Optional tariffs</t>
  </si>
  <si>
    <t>All times during non-summer months and all times during summer months excluding demands occurring during the peak window of 10.00am to 8.00pm on summer weekdays</t>
  </si>
  <si>
    <t>Tariff class</t>
  </si>
  <si>
    <t>Network Tariff Codes</t>
  </si>
  <si>
    <t>Individually Calculated Customer – East</t>
  </si>
  <si>
    <t>ICC</t>
  </si>
  <si>
    <t>EICCKA1 onwards</t>
  </si>
  <si>
    <t>EICCKB1 onwards</t>
  </si>
  <si>
    <t>Individually Calculated Customer – West</t>
  </si>
  <si>
    <t>WICCKA1 onwards</t>
  </si>
  <si>
    <t>WICCKB1 onwards</t>
  </si>
  <si>
    <t>Individually Calculated Customer – Mount Isa</t>
  </si>
  <si>
    <t>MICCKA1 onwards</t>
  </si>
  <si>
    <t>MICCKB1 onwards</t>
  </si>
  <si>
    <t>Connection Asset Customer – East</t>
  </si>
  <si>
    <t>CAC 66 kV</t>
  </si>
  <si>
    <t>CAC 33 kV</t>
  </si>
  <si>
    <t>CAC 22/11 kV Bus</t>
  </si>
  <si>
    <t>CAC 22/11 kV Line</t>
  </si>
  <si>
    <t>EC66TOUT1, EC66TOUT2, EC66TOUT3</t>
  </si>
  <si>
    <t>Seasonal TOU Demand CAC 22/11 kV Bus</t>
  </si>
  <si>
    <t>EC22BTOUT1, EC22BTOUT2, EC22BTOUT3</t>
  </si>
  <si>
    <t>Seasonal TOU Demand CAC 22/11 kV Line</t>
  </si>
  <si>
    <t>EC22LTOUT1, EC22LTOUT2, EC22LTOUT3</t>
  </si>
  <si>
    <t>Connection Asset Customer – West</t>
  </si>
  <si>
    <t>WC66T1, WC66T2, WC66T3</t>
  </si>
  <si>
    <t>WC33T1, WC33T2, WC33T3</t>
  </si>
  <si>
    <t>WC22BT1, WC22BT2, WC22BT3</t>
  </si>
  <si>
    <t>WC22LT1, WC22LT2, WC22LT3</t>
  </si>
  <si>
    <t>WC66TOUT1, WC66TOUT2, WC66TOUT3</t>
  </si>
  <si>
    <t>WC22BTOUT1, WC22BTOUT2, WC22BTOUT3</t>
  </si>
  <si>
    <t>WC22LTOUT1, WC22LTOUT2, WC22LTOUT3</t>
  </si>
  <si>
    <t>Connection Asset Customer – Mount Isa</t>
  </si>
  <si>
    <t xml:space="preserve">Embedded Generation – East </t>
  </si>
  <si>
    <t>EG</t>
  </si>
  <si>
    <t>EEGA1 onwards</t>
  </si>
  <si>
    <t>EEGB1 onwards</t>
  </si>
  <si>
    <t>Embedded Generation – West</t>
  </si>
  <si>
    <t>WEGA1 onwards</t>
  </si>
  <si>
    <t>WEGB1 onwards</t>
  </si>
  <si>
    <t>Embedded Generation – Mount Isa</t>
  </si>
  <si>
    <t>MEGA1 onwards</t>
  </si>
  <si>
    <t>MEGB1 onwards</t>
  </si>
  <si>
    <t>Standard Asset Customer – Large (&gt;100 MWh p.a.) – East</t>
  </si>
  <si>
    <t>Standard Asset Customer – Large (&gt;100 MWh p.a.) – West</t>
  </si>
  <si>
    <t>Standard Asset Customer – Large (&gt;100 MWh p.a.) – Mount Isa</t>
  </si>
  <si>
    <t>Standard Asset Customer – Small (&lt;100 MWh p.a.) – East</t>
  </si>
  <si>
    <t>IBT Business</t>
  </si>
  <si>
    <t>Seasonal TOU Energy Business</t>
  </si>
  <si>
    <t>Seasonal TOU Demand Business</t>
  </si>
  <si>
    <t>Seasonal TOU Energy Residential</t>
  </si>
  <si>
    <t>Seasonal TOU Demand Residential</t>
  </si>
  <si>
    <t xml:space="preserve">Volume Controlled </t>
  </si>
  <si>
    <t xml:space="preserve">Volume Night Controlled </t>
  </si>
  <si>
    <t>(&lt;100 MWh p.a.) – Mount Isa</t>
  </si>
  <si>
    <t>Standard Asset Customer – Unmetered – East</t>
  </si>
  <si>
    <t xml:space="preserve">Volume Unmetered </t>
  </si>
  <si>
    <t>EVUT1, EVUT2, EVUT3</t>
  </si>
  <si>
    <t>EVUMIT1, EVUMIT2, EVUMIT3</t>
  </si>
  <si>
    <t>EVUMAT1, EVUMAT2, EVUMAT3</t>
  </si>
  <si>
    <t>Standard Asset Customer – Unmetered – West</t>
  </si>
  <si>
    <t>WVUT1, WVUT2, WVUT3</t>
  </si>
  <si>
    <t>WVUMIT1, WVUMIT2, WVUMIT3</t>
  </si>
  <si>
    <t>WVUMAT1, WVUMAT2, WVUMAT3</t>
  </si>
  <si>
    <t>Standard Asset Customer – Unmetered – Mount Isa</t>
  </si>
  <si>
    <t>Major customers</t>
  </si>
  <si>
    <t>Standard Asset Customers</t>
  </si>
  <si>
    <t>Individually Calculated Customers, Connection Asset Customers and Embedded Generators</t>
  </si>
  <si>
    <t>EDHTT1, EDHTT2, EDHTT3</t>
  </si>
  <si>
    <t>EDHTCT1, EDHTCT2, EDHTCT3</t>
  </si>
  <si>
    <t>EDHTXT1, EDHTXT2, EDHTXT3</t>
  </si>
  <si>
    <t>EDLTT1, EDLTT2, EDLTT3</t>
  </si>
  <si>
    <t>EDLTCT1, EDLTCT2, EDLTCT3</t>
  </si>
  <si>
    <t>EDLTXT1, EDLTXT2, EDLTXT3</t>
  </si>
  <si>
    <t>EDMTT1, EDMTT2, EDMTT3</t>
  </si>
  <si>
    <t>EDMTCT1, EDMTCT2, EDMTCT3</t>
  </si>
  <si>
    <t>EDMTXT1, EDMTXT2, EDMTXT3</t>
  </si>
  <si>
    <t>EDSTT1, EDSTT2, EDSTT3</t>
  </si>
  <si>
    <t>EDSTCT1, EDSTCT2, EDSTCT3</t>
  </si>
  <si>
    <t>EDSTXT1, EDSTXT2, EDSTXT3</t>
  </si>
  <si>
    <t>ESTOUDCT1, ESTOUDCT2, ESTOUDCT3</t>
  </si>
  <si>
    <t>ESTOUDXT1, ESTOUDXT2, ESTOUDXT3</t>
  </si>
  <si>
    <t>WDLTT1, WDLTT2, WDLTT3</t>
  </si>
  <si>
    <t>WDLTCT1, WDLTCT2, WDLTCT3</t>
  </si>
  <si>
    <t>WDLTXT1, WDLTXT2, WDLTXT3</t>
  </si>
  <si>
    <t>WDMTT1, WDMTT2, WDMTT3</t>
  </si>
  <si>
    <t>WDMTCT1, WDMTCT2, WDMTCT3</t>
  </si>
  <si>
    <t>WDMTXT1, WDMTXT2, WDMTXT3</t>
  </si>
  <si>
    <t>WDSTT1, WDSTT2, WDSTT3</t>
  </si>
  <si>
    <t>WDSTCT1, WDSTCT2, WDSTCT3</t>
  </si>
  <si>
    <t>WDSTXT1, WDSTXT2, WDSTXT3</t>
  </si>
  <si>
    <t>WSTOUDCT1, WSTOUDCT2, WSTOUDCT3</t>
  </si>
  <si>
    <t>WSTOUDXT1, WSTOUDXT2, WSTOUDXT3</t>
  </si>
  <si>
    <t>MDLTCT4</t>
  </si>
  <si>
    <t>MDLTXT4</t>
  </si>
  <si>
    <t>MDMTCT4</t>
  </si>
  <si>
    <t>MDMTXT4</t>
  </si>
  <si>
    <t>MDSTCT4</t>
  </si>
  <si>
    <t>MDSTXT4</t>
  </si>
  <si>
    <t>MSTOUDXT4</t>
  </si>
  <si>
    <t>EBIBT1, EBIBT2, EBIBT3</t>
  </si>
  <si>
    <t>EBIBCT1, EBIBCT2, EBIBCT3</t>
  </si>
  <si>
    <t>EBIBXT1, EBIBXT2, EBIBXT3</t>
  </si>
  <si>
    <t>EBTOUT1, EBTOUT2, EBTOUT3</t>
  </si>
  <si>
    <t>EBTOUCT1, EBTOUCT2, EBTOUCT3</t>
  </si>
  <si>
    <t>EBTOUXT1, EBTOUXT2, EBTOUXT3</t>
  </si>
  <si>
    <t>EBTOUDCT1, EBTOUDCT2, EBTOUDCT3</t>
  </si>
  <si>
    <t>EBTOUDXT1, EBTOUDXT2, EBTOUDXT3</t>
  </si>
  <si>
    <t>ERIBT1, ERIBT2, ERIBT3</t>
  </si>
  <si>
    <t>ERIBCT1, ERIBCT2, ERIBCT3</t>
  </si>
  <si>
    <t>ERIBXT1, ERIBXT2, ERIBXT3</t>
  </si>
  <si>
    <t>ERTOUT1, ERTOUT2, ERTOUT3</t>
  </si>
  <si>
    <t>ERTOUCT1, ERTOUCT2, ERTOUCT3</t>
  </si>
  <si>
    <t>ERTOUXT1, ERTOUXT2, ERTOUXT3</t>
  </si>
  <si>
    <t>ERTOUDCT1, ERTOUDCT2, ERTOUDCT3</t>
  </si>
  <si>
    <t>ERTOUDXT1, ERTOUDXT2, ERTOUDXT3</t>
  </si>
  <si>
    <t>EVCT1, EVCT2, EVCT3</t>
  </si>
  <si>
    <t>EVCCT1, EVCCT2, EVCCT3</t>
  </si>
  <si>
    <t>EVCXT1, EVCXT2, EVCXT3</t>
  </si>
  <si>
    <t>EVNT1, EVNT2, EVNT3</t>
  </si>
  <si>
    <t>EVNCT1, EVNCT2, EVNCT3</t>
  </si>
  <si>
    <t>EVNXT1, EVNXT2, EVNXT3</t>
  </si>
  <si>
    <t>WBIBT1, WBIBT2, WBIBT3</t>
  </si>
  <si>
    <t>WBIBCT1, WBIBCT2, WBIBCT3</t>
  </si>
  <si>
    <t>WBIBXT1, WBIBXT2, WBIBXT3</t>
  </si>
  <si>
    <t>WBTOUT1, WBTOUT2, WBTOUT3</t>
  </si>
  <si>
    <t>WBTOUCT1, WBTOUCT2, WBTOUCT3</t>
  </si>
  <si>
    <t>WBTOUXT1, WBTOUXT2, WBTOUXT3</t>
  </si>
  <si>
    <t>WBTOUDCT1, WBTOUDCT2, WBTOUDCT3</t>
  </si>
  <si>
    <t>WBTOUDXT1, WBTOUDXT2, WBTOUDXT3</t>
  </si>
  <si>
    <t>WRIBT1, WRIBT2, WRIBT3</t>
  </si>
  <si>
    <t>WRIBCT1, WRIBCT2, WRIBCT3</t>
  </si>
  <si>
    <t>WRIBXT1, WRIBXT2, WRIBXT3</t>
  </si>
  <si>
    <t>WRTOUT1, WRTOUT2, WRTOUT3</t>
  </si>
  <si>
    <t>WRTOUCT1, WRTOUCT2, WRTOUCT3</t>
  </si>
  <si>
    <t>WRTOUXT1, WRTOUXT2, WRTOUXT3</t>
  </si>
  <si>
    <t>WRTOUDCT1, WRTOUDCT2, WRTOUDCT3</t>
  </si>
  <si>
    <t>WRTOUDXT1, WRTOUDXT2, WRTOUDXT3</t>
  </si>
  <si>
    <t>WVCT1, WVCT2, WVCT3</t>
  </si>
  <si>
    <t>WVCCT1, WVCCT2, WVCCT3</t>
  </si>
  <si>
    <t>WVCXT1, WVCXT2, WVCXT3</t>
  </si>
  <si>
    <t>WVNT1, WVNT2, WVNT3</t>
  </si>
  <si>
    <t>WVNCT1, WVNCT2, WVNCT3</t>
  </si>
  <si>
    <t>WVNXT1, WVNXT2, WVNXT3</t>
  </si>
  <si>
    <t>MBIBCT4</t>
  </si>
  <si>
    <t>MBIBXT4</t>
  </si>
  <si>
    <t>MBTOUCT4</t>
  </si>
  <si>
    <t>MBTOUXT4</t>
  </si>
  <si>
    <t>MBTOUDXT4</t>
  </si>
  <si>
    <t>MRIBCT4</t>
  </si>
  <si>
    <t>MRIBXT4</t>
  </si>
  <si>
    <t>MRTOUCT4</t>
  </si>
  <si>
    <t>MRTOUXT4</t>
  </si>
  <si>
    <t>MRTOUDXT4</t>
  </si>
  <si>
    <t>MVCCT4</t>
  </si>
  <si>
    <t>MVCXT4</t>
  </si>
  <si>
    <t>MVNCT4</t>
  </si>
  <si>
    <t>MVNXT4</t>
  </si>
  <si>
    <r>
      <t xml:space="preserve">Standard Network Tariff Codes
</t>
    </r>
    <r>
      <rPr>
        <sz val="9"/>
        <color rgb="FFFFFFFF"/>
        <rFont val="Arial"/>
        <family val="2"/>
      </rPr>
      <t xml:space="preserve">Standard network tariff rates </t>
    </r>
    <r>
      <rPr>
        <u/>
        <sz val="9"/>
        <color rgb="FFFFFFFF"/>
        <rFont val="Arial"/>
        <family val="2"/>
      </rPr>
      <t>plus</t>
    </r>
    <r>
      <rPr>
        <sz val="9"/>
        <color rgb="FFFFFFFF"/>
        <rFont val="Arial"/>
        <family val="2"/>
      </rPr>
      <t xml:space="preserve"> ACS capital and non-capital metering charges apply.
</t>
    </r>
  </si>
  <si>
    <r>
      <t xml:space="preserve">'C' series Network Tariff Codes
</t>
    </r>
    <r>
      <rPr>
        <sz val="9"/>
        <color rgb="FFFFFFFF"/>
        <rFont val="Arial"/>
        <family val="2"/>
      </rPr>
      <t xml:space="preserve">Standard network tariff rates apply, as per equivalent standard Network Tariff Code. </t>
    </r>
    <r>
      <rPr>
        <b/>
        <sz val="9"/>
        <color rgb="FFFFFFFF"/>
        <rFont val="Arial"/>
        <family val="2"/>
      </rPr>
      <t xml:space="preserve">
</t>
    </r>
    <r>
      <rPr>
        <sz val="9"/>
        <color rgb="FFFFFFFF"/>
        <rFont val="Arial"/>
        <family val="2"/>
      </rPr>
      <t>No ACS capital and non-capital metering charges apply.</t>
    </r>
  </si>
  <si>
    <r>
      <t xml:space="preserve">'X' series Network Tariff Codes
</t>
    </r>
    <r>
      <rPr>
        <sz val="9"/>
        <color rgb="FFFFFFFF"/>
        <rFont val="Arial"/>
        <family val="2"/>
      </rPr>
      <t xml:space="preserve">Standard network tariff rates (as per equivalent standard Network Tariff Code) </t>
    </r>
    <r>
      <rPr>
        <u/>
        <sz val="9"/>
        <color rgb="FFFFFFFF"/>
        <rFont val="Arial"/>
        <family val="2"/>
      </rPr>
      <t>plus</t>
    </r>
    <r>
      <rPr>
        <sz val="9"/>
        <color rgb="FFFFFFFF"/>
        <rFont val="Arial"/>
        <family val="2"/>
      </rPr>
      <t xml:space="preserve"> ACS capital metering charges apply.
</t>
    </r>
  </si>
  <si>
    <t>n/a</t>
  </si>
  <si>
    <t>Refer to 'C' series</t>
  </si>
  <si>
    <t>A customer (or their retailer) must request a tariff change to opt in to these tariffs.  This is subject to metering considerations.</t>
  </si>
  <si>
    <t xml:space="preserve">All times during non-summer months
</t>
  </si>
  <si>
    <t>To enable the billing of the Alternative Control Service regulated metering charges, Ergon Energy has developed an additional set of Network Tariff Codes for each code listed in the above table. 
For customers who switch to a Type 1 to 4 meter on or after 1 November 2015, the listed Network Tariff Code contains an additional ‘X’.  This means the regulated capital metering charge will apply.
The same network tariff rates listed above apply to this additional set of Network Tariff Codes.
A complete listing of Network Tariff Codes is provided on the 'List of Network Tariff Codes' tab.</t>
  </si>
  <si>
    <t>To enable the billing of the Alternative Control Service regulated metering charges, Ergon Energy has developed two additional sets of Network Tariff Codes for each code listed in the above table. 
For customers who had a Type 1 to 4 meter installed before 1 July 2015, the listed Network Tariff Code contains an additional ‘C’.  This means that no regulated metering charges will apply.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</si>
  <si>
    <t>Block 2</t>
  </si>
  <si>
    <t>2.74 kWh - 54.76 kWh</t>
  </si>
  <si>
    <t>1,000 kWh per annum - 20,000 kWh per annum</t>
  </si>
  <si>
    <t>Block 1</t>
  </si>
  <si>
    <t>Residential - Time periods</t>
  </si>
  <si>
    <t>Business - Time periods</t>
  </si>
  <si>
    <t>Peak</t>
  </si>
  <si>
    <t>3:00pm to 9:30pm on all summer days</t>
  </si>
  <si>
    <t>Off-peak</t>
  </si>
  <si>
    <t>All other times</t>
  </si>
  <si>
    <t>Residential</t>
  </si>
  <si>
    <t>Business</t>
  </si>
  <si>
    <t>The volume charge is charged according to three blocks.  The inclining blocks are triggered once a customer exceeds each nominated consumption threshold.  For network billing and operational purposes, the IBT is denominated and applied on a daily basis.  The annual equivalent is provided for presentation purposes only.</t>
  </si>
  <si>
    <t xml:space="preserve">A customer (or their retailer) must request a tariff change to opt in to these tariffs.  This is subject to metering considerations.  </t>
  </si>
  <si>
    <t>Tariff group</t>
  </si>
  <si>
    <t>Tariff Group</t>
  </si>
  <si>
    <t>IBT Residential East TUOS Region 1</t>
  </si>
  <si>
    <t>IBT Residential East TUOS Region 2</t>
  </si>
  <si>
    <t>IBT Residential East TUOS Region 3</t>
  </si>
  <si>
    <t>IBT Residential West TUOS Region 1</t>
  </si>
  <si>
    <t>IBT Residential West TUOS Region 2</t>
  </si>
  <si>
    <t>IBT Residential West TUOS Region 3</t>
  </si>
  <si>
    <t>IBT Residential Mount Isa TUOS Region 4</t>
  </si>
  <si>
    <t>IBT Business East TUOS Region 1</t>
  </si>
  <si>
    <t>IBT Business East TUOS Region 2</t>
  </si>
  <si>
    <t>IBT Business East TUOS Region 3</t>
  </si>
  <si>
    <t>IBT Business West TUOS Region 2</t>
  </si>
  <si>
    <t>IBT Business West TUOS Region 3</t>
  </si>
  <si>
    <t>IBT Business Mount Isa TUOS Region 4</t>
  </si>
  <si>
    <t>IBT Business West TUOS Region 1</t>
  </si>
  <si>
    <t>East Volume Unmetered TUOS Region 1</t>
  </si>
  <si>
    <t>Mount Isa Volume Unmetered TUOS Region 4</t>
  </si>
  <si>
    <t>Mount Isa Volume Unmetered Minor Public Light TUOS Region 4</t>
  </si>
  <si>
    <t>Mount Isa Volume Unmetered Major Public Light TUOS Region 4</t>
  </si>
  <si>
    <t>East Volume Unmetered Minor Public Light TUOS Region 1</t>
  </si>
  <si>
    <t>East Volume Unmetered Major Public Light TUOS Region 1</t>
  </si>
  <si>
    <t>East Volume Unmetered TUOS Region 2</t>
  </si>
  <si>
    <t>East Volume Unmetered Minor Public Light TUOS Region 2</t>
  </si>
  <si>
    <t>East Volume Unmetered Major Public Light TUOS Region 2</t>
  </si>
  <si>
    <t>East Volume Unmetered TUOS Region 3</t>
  </si>
  <si>
    <t>East Volume Unmetered Minor Public Light TUOS Region 3</t>
  </si>
  <si>
    <t>East Volume Unmetered Major Public Light TUOS Region 3</t>
  </si>
  <si>
    <t>West Volume Unmetered TUOS Region 1</t>
  </si>
  <si>
    <t>West Volume Unmetered Minor Public Light TUOS Region 1</t>
  </si>
  <si>
    <t>West Volume Unmetered Major Public Light TUOS Region 1</t>
  </si>
  <si>
    <t>West Volume Unmetered TUOS Region 2</t>
  </si>
  <si>
    <t>West Volume Unmetered Minor Public Light TUOS Region 2</t>
  </si>
  <si>
    <t>West Volume Unmetered Major Public Light TUOS Region 2</t>
  </si>
  <si>
    <t>West Volume Unmetered TUOS Region 3</t>
  </si>
  <si>
    <t>West Volume Unmetered Minor Public Light TUOS Region 3</t>
  </si>
  <si>
    <t>West Volume Unmetered Major Public Light TUOS Region 3</t>
  </si>
  <si>
    <t>East Residential STOUD TUOS Region 1</t>
  </si>
  <si>
    <t>East Residential STOUD TUOS Region 2</t>
  </si>
  <si>
    <t>East Residential STOUD TUOS Region 3</t>
  </si>
  <si>
    <t>West Residential STOUD TUOS Region 1</t>
  </si>
  <si>
    <t>West Residential STOUD TUOS Region 2</t>
  </si>
  <si>
    <t>West Residential STOUD TUOS Region 3</t>
  </si>
  <si>
    <t>Mount Isa Residential STOUD TUOS Region 4</t>
  </si>
  <si>
    <t>East Volume Night Controlled TUOS Region 1</t>
  </si>
  <si>
    <t>East Volume Night Controlled TUOS Region 2</t>
  </si>
  <si>
    <t>East Volume Night Controlled TUOS Region 3</t>
  </si>
  <si>
    <t>West Volume Night Controlled TUOS Region 1</t>
  </si>
  <si>
    <t>West Volume Night Controlled TUOS Region 2</t>
  </si>
  <si>
    <t>West Volume Night Controlled TUOS Region 3</t>
  </si>
  <si>
    <t>Mount Isa Volume Night Controlled TUOS Region 4</t>
  </si>
  <si>
    <t>Mount Isa Volume Controlled TUOS Region 4</t>
  </si>
  <si>
    <t>East Volume Controlled TUOS Region 1</t>
  </si>
  <si>
    <t>East Volume Controlled TUOS Region 2</t>
  </si>
  <si>
    <t>East Volume Controlled TUOS Region 3</t>
  </si>
  <si>
    <t>West Volume Controlled TUOS Region 1</t>
  </si>
  <si>
    <t>West Volume Controlled TUOS Region 2</t>
  </si>
  <si>
    <t>West Volume Controlled TUOS Region 3</t>
  </si>
  <si>
    <t>East Residential STOUE TUOS Region 1</t>
  </si>
  <si>
    <t>East Residential STOUE TUOS Region 2</t>
  </si>
  <si>
    <t>East Residential STOUE TUOS Region 3</t>
  </si>
  <si>
    <t>West Residential STOUE TUOS Region 1</t>
  </si>
  <si>
    <t>West Residential STOUE TUOS Region 2</t>
  </si>
  <si>
    <t>West Residential STOUE TUOS Region 3</t>
  </si>
  <si>
    <t>Mount Isa Residential STOUE TUOS Region 4</t>
  </si>
  <si>
    <t>Mount Isa Business STOUE TUOS Region 4</t>
  </si>
  <si>
    <t>East Business STOUE TUOS Region 1</t>
  </si>
  <si>
    <t>East Business STOUE TUOS Region 2</t>
  </si>
  <si>
    <t>East Business STOUE TUOS Region 3</t>
  </si>
  <si>
    <t>West Business STOUE TUOS Region 1</t>
  </si>
  <si>
    <t>West Business STOUE TUOS Region 2</t>
  </si>
  <si>
    <t>West Business STOUE TUOS Region 3</t>
  </si>
  <si>
    <t>East Business STOUD TUOS Region 1</t>
  </si>
  <si>
    <t>East Business STOUD TUOS Region 2</t>
  </si>
  <si>
    <t>East Business STOUD TUOS Region 3</t>
  </si>
  <si>
    <t>West Business STOUD TUOS Region 1</t>
  </si>
  <si>
    <t>West Business STOUD TUOS Region 2</t>
  </si>
  <si>
    <t>West Business STOUD TUOS Region 3</t>
  </si>
  <si>
    <t>Mount Isa Business STOUD TUOS Region 4</t>
  </si>
  <si>
    <t>To enable the billing of the Alternative Control Service regulated metering charges, Ergon Energy has developed an additional set of Network Tariff Codes for each code listed in the above table.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</si>
  <si>
    <t>East CAC Higher Voltage STOUD TUOS Region 1</t>
  </si>
  <si>
    <t>East CAC Higher Voltage STOUD TUOS Region 2</t>
  </si>
  <si>
    <t>East CAC Higher Voltage STOUD TUOS Region 3</t>
  </si>
  <si>
    <t>West CAC Higher Voltage STOUD TUOS Region 2</t>
  </si>
  <si>
    <t>West CAC Higher Voltage STOUD TUOS Region 3</t>
  </si>
  <si>
    <t>Mount Isa CAC Higher Voltage STOUD TUOS Region 4</t>
  </si>
  <si>
    <t xml:space="preserve">East Demand High Voltage TUOS Region 1 </t>
  </si>
  <si>
    <t>East Demand High Voltage TUOS Region 2</t>
  </si>
  <si>
    <t>East Demand High Voltage TUOS Region 3</t>
  </si>
  <si>
    <t xml:space="preserve">West Demand High Voltage TUOS Region 1 </t>
  </si>
  <si>
    <t>West Demand High Voltage TUOS Region 2</t>
  </si>
  <si>
    <t>West Demand High Voltage TUOS Region 3</t>
  </si>
  <si>
    <t xml:space="preserve">Mount Isa Demand High Voltage TUOS Region 4 </t>
  </si>
  <si>
    <t xml:space="preserve">Mount Isa Demand Large TUOS Region 4 </t>
  </si>
  <si>
    <t xml:space="preserve">East Demand Large TUOS Region 1 </t>
  </si>
  <si>
    <t>East Demand Large TUOS Region 2</t>
  </si>
  <si>
    <t>East Demand Large TUOS Region 3</t>
  </si>
  <si>
    <t xml:space="preserve">West Demand Large TUOS Region 1 </t>
  </si>
  <si>
    <t>West Demand Large TUOS Region 2</t>
  </si>
  <si>
    <t>West Demand Large TUOS Region 3</t>
  </si>
  <si>
    <t xml:space="preserve">West Demand Medium TUOS Region 1 </t>
  </si>
  <si>
    <t>West Demand Medium TUOS Region 2</t>
  </si>
  <si>
    <t>West Demand Medium TUOS Region 3</t>
  </si>
  <si>
    <t xml:space="preserve">East Demand Medium TUOS Region 1 </t>
  </si>
  <si>
    <t>East Demand Medium TUOS Region 2</t>
  </si>
  <si>
    <t>East Demand Medium TUOS Region 3</t>
  </si>
  <si>
    <t xml:space="preserve">Mount Isa Demand Medium TUOS Region 4 </t>
  </si>
  <si>
    <t xml:space="preserve">Mount Isa Demand Small TUOS Region 4 </t>
  </si>
  <si>
    <t xml:space="preserve">East Demand Small TUOS Region 1 </t>
  </si>
  <si>
    <t>East Demand Small TUOS Region 2</t>
  </si>
  <si>
    <t>East Demand Small TUOS Region 3</t>
  </si>
  <si>
    <t xml:space="preserve">West Demand Small TUOS Region 1 </t>
  </si>
  <si>
    <t>West Demand Small TUOS Region 2</t>
  </si>
  <si>
    <t>West Demand Small TUOS Region 3</t>
  </si>
  <si>
    <t xml:space="preserve">East STOUD TUOS Region 1 </t>
  </si>
  <si>
    <t>East STOUD TUOS Region 2</t>
  </si>
  <si>
    <t>East STOUD TUOS Region 3</t>
  </si>
  <si>
    <t xml:space="preserve">West STOUD TUOS Region 1 </t>
  </si>
  <si>
    <t>West STOUD TUOS Region 2</t>
  </si>
  <si>
    <t>West STOUD TUOS Region 3</t>
  </si>
  <si>
    <t xml:space="preserve">Mount Isa STOUD TUOS Region 4 </t>
  </si>
  <si>
    <t>NVG0</t>
  </si>
  <si>
    <t>NVG1</t>
  </si>
  <si>
    <t>NVG2</t>
  </si>
  <si>
    <t>GVG0</t>
  </si>
  <si>
    <r>
      <rPr>
        <u/>
        <sz val="9"/>
        <rFont val="Arial"/>
        <family val="2"/>
      </rPr>
      <t>GST</t>
    </r>
    <r>
      <rPr>
        <sz val="9"/>
        <rFont val="Arial"/>
        <family val="2"/>
      </rPr>
      <t xml:space="preserve">
The 44 c/kWh feed-in tariff rate includes GST (if any). As such, no amount will be added to the credit in respect of any GST payable.</t>
    </r>
  </si>
  <si>
    <t xml:space="preserve">                      Ergon Energy Corporation Limited</t>
  </si>
  <si>
    <t xml:space="preserve">                      2016-17 network tariffs for Standard Asset Customers &gt;100 MWh per annum</t>
  </si>
  <si>
    <t xml:space="preserve">                      2016-17 network tariffs for Standard Asset Customers &lt;100 MWh per annum</t>
  </si>
  <si>
    <t xml:space="preserve">                       Ergon Energy Corporation Limited</t>
  </si>
  <si>
    <t xml:space="preserve">                       2016-17 network tariffs for Connection Asset Customers</t>
  </si>
  <si>
    <t xml:space="preserve">                      2016-17 network tariffs for Standard Asset Customers - Unmetered</t>
  </si>
  <si>
    <t xml:space="preserve">                      2016-17 Network Tariff Codes</t>
  </si>
  <si>
    <t>NVM0</t>
  </si>
  <si>
    <t>ADDITIONAL NETWORK TARIFF CODES FOR MICRO-EMBEDDED GENERATING UNITS
(INCLUDES THE QUEENSLAND GOVERNMENT'S SOLAR BONUS SCHEME)
GST Inclusive</t>
  </si>
  <si>
    <t>Additional Network Tariff Codes applying to micro-embedded generating units</t>
  </si>
  <si>
    <t>NVGC0</t>
  </si>
  <si>
    <t>NVGC1</t>
  </si>
  <si>
    <t>NVGC2</t>
  </si>
  <si>
    <t>NVGX0</t>
  </si>
  <si>
    <t>NVGX1</t>
  </si>
  <si>
    <t>NVGX2</t>
  </si>
  <si>
    <t>NVMC0</t>
  </si>
  <si>
    <t>NVMX0</t>
  </si>
  <si>
    <t>GVGC0</t>
  </si>
  <si>
    <t>GVGX0</t>
  </si>
  <si>
    <t>GELB</t>
  </si>
  <si>
    <t>GWLB</t>
  </si>
  <si>
    <t>GMLB</t>
  </si>
  <si>
    <t>EC66T1, EC66T2, EC66T3
ECACA15*</t>
  </si>
  <si>
    <t>* As at 29 April 2016.  Special arrangements apply to Connection Asset Customers on these Network Tariff Codes.  Please contact Ergon Energy.</t>
  </si>
  <si>
    <t>EC22BT1, EC22BT2, EC22BT3
ECACA46,* ECACA213,* ECACB3*</t>
  </si>
  <si>
    <t xml:space="preserve">EC22LT1, EC22LT2, EC22LT3
ECACA86,* ECACA145,* ECACA199,* ECACA221* </t>
  </si>
  <si>
    <t>EC33T1, EC33T2, EC33T3
ECACB14*</t>
  </si>
  <si>
    <r>
      <rPr>
        <u/>
        <sz val="9"/>
        <rFont val="Arial"/>
        <family val="2"/>
      </rPr>
      <t>Network Tariff Codes</t>
    </r>
    <r>
      <rPr>
        <sz val="9"/>
        <rFont val="Arial"/>
        <family val="2"/>
      </rPr>
      <t xml:space="preserve">
To enable the billing of the Alternative Control Service regulated metering charges, Ergon Energy has developed two additional sets of Network Tariff Codes for each code listed in the above table. 
For customers who had a Type 1 to 4 meter installed before 1 July 2015, the listed Network Tariff Code contains an additional ‘C’.  This means that no regulated metering charges will apply.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r>
  </si>
  <si>
    <t xml:space="preserve">                       2016-17 additional network tariffs for micro-embedded generating units</t>
  </si>
  <si>
    <t xml:space="preserve">                       (includes the Queensland Government's Solar Bonus Scheme)</t>
  </si>
  <si>
    <t>For the TUOS volume charge, the metered consumption for all blocks is multiplied by the DLF and then applied to the TUOS volume rate.</t>
  </si>
  <si>
    <t>For the TUOS volume charge, the metered consumption for all periods is multiplied by the DLF and then applied to the TUOS volume rate.</t>
  </si>
  <si>
    <t>The peak demand calculation uses the highest kW maximum demand in any single half hour at any time during the peak demand period in each summer month (any single half hour between 10:00am and 8:00pm on a summer weekday).  The demand charge will be applied to the kW amount by which a customer's actual monthly maximum demand is greater than the demand threshold applicable to the peak period.  Where the monthly metered maximum demand is less than the demand threshold, the chargeable demand for that month is set to zero.</t>
  </si>
  <si>
    <t>East CAC 66 kV TUOS Region 1</t>
  </si>
  <si>
    <t>East CAC 66 kV TUOS Region 2</t>
  </si>
  <si>
    <t>East CAC 66 kV TUOS Region 3</t>
  </si>
  <si>
    <t>West CAC 66 kV TUOS Region 1</t>
  </si>
  <si>
    <t>West CAC 66 kV TUOS Region 2</t>
  </si>
  <si>
    <t>West CAC 66 kV TUOS Region 3</t>
  </si>
  <si>
    <t>Mount Isa CAC 66 kV TUOS Region 4</t>
  </si>
  <si>
    <t>East CAC 33 kV TUOS Region 1</t>
  </si>
  <si>
    <t>East CAC 33 kV TUOS Region 2</t>
  </si>
  <si>
    <t>East CAC 33 kV TUOS Region 3</t>
  </si>
  <si>
    <t>West CAC 33 kV TUOS Region 1</t>
  </si>
  <si>
    <t>West CAC 33 kV TUOS Region 2</t>
  </si>
  <si>
    <t>West CAC 33 kV TUOS Region 3</t>
  </si>
  <si>
    <t>Mount Isa CAC 33 kV TUOS Region 4</t>
  </si>
  <si>
    <t>East CAC 22/11 kV Bus TUOS Region 1</t>
  </si>
  <si>
    <t>East CAC 22/11 kV Bus TUOS Region 2</t>
  </si>
  <si>
    <t>East CAC 22/11 kV Bus TUOS Region 3</t>
  </si>
  <si>
    <t>West CAC 22/11 kV Bus TUOS Region 1</t>
  </si>
  <si>
    <t>West CAC 22/11 kV Bus TUOS Region 2</t>
  </si>
  <si>
    <t>West CAC 22/11 kV Bus TUOS Region 3</t>
  </si>
  <si>
    <t>Mount Isa CAC 22/11 kV Bus TUOS Region 4</t>
  </si>
  <si>
    <t>East CAC 22/11 kV Line TUOS Region 1</t>
  </si>
  <si>
    <t>East CAC 22/11 kV Line TUOS Region 2</t>
  </si>
  <si>
    <t>East CAC 22/11 kV Line TUOS Region 3</t>
  </si>
  <si>
    <t>West CAC 22/11 kV Line TUOS Region 1</t>
  </si>
  <si>
    <t>West CAC 22/11 kV Line TUOS Region 2</t>
  </si>
  <si>
    <t>West CAC 22/11 kV Line TUOS Region 3</t>
  </si>
  <si>
    <t>Mount Isa CAC 22/11 kV Line TUOS Region 4</t>
  </si>
  <si>
    <t>Seasonal TOU Demand CAC Higher Voltage (66/33 kV)</t>
  </si>
  <si>
    <t>West CAC Higher Voltage STOUD TUOS Region 1</t>
  </si>
  <si>
    <t>East CAC 22/11 kV Bus STOUD TUOS Region 1</t>
  </si>
  <si>
    <t>East CAC 22/11 kV Bus STOUD TUOS Region 2</t>
  </si>
  <si>
    <t>East CAC 22/11 kV Bus STOUD TUOS Region 3</t>
  </si>
  <si>
    <t>West CAC 22/11 kV Bus STOUD TUOS Region 1</t>
  </si>
  <si>
    <t>West CAC 22/11 kV Bus STOUD TUOS Region 2</t>
  </si>
  <si>
    <t>West CAC 22/11 kV Bus STOUD TUOS Region 3</t>
  </si>
  <si>
    <t>Mount Isa CAC 22/11 kV Bus STOUD TUOS Region 4</t>
  </si>
  <si>
    <t>East CAC 22/11 kV Line STOUD TUOS Region 1</t>
  </si>
  <si>
    <t>East CAC 22/11 kV Line STOUD TUOS Region 2</t>
  </si>
  <si>
    <t>East CAC 22/11 kV Line STOUD TUOS Region 3</t>
  </si>
  <si>
    <t>West CAC 22/11 kV Line STOUD TUOS Region 1</t>
  </si>
  <si>
    <t>West CAC 22/11 kV Line STOUD TUOS Region 2</t>
  </si>
  <si>
    <t>West CAC 22/11 kV Line STOUD TUOS Region 3</t>
  </si>
  <si>
    <t>Mount Isa CAC 22/11 kV Line STOUD TUOS Region 4</t>
  </si>
  <si>
    <t>Volume Charge
Off-peak
(NDVCOP)</t>
  </si>
  <si>
    <t>$/day/device</t>
  </si>
  <si>
    <t>Standard Asset Customer – Small (&lt;100 MWh p.a.) – Mount Isa</t>
  </si>
  <si>
    <t>Standard Asset Customer – Small (&lt;100 MWh p.a.) – West</t>
  </si>
  <si>
    <t>OPTIONAL TARIFFS APPLYING TO STANDARD ASSET CUSTOMERS – LARGE (&gt;100 MWh per annum)
SEASONAL TIME-OF-USE DEMAND (STOUD)
GST Exclusive</t>
  </si>
  <si>
    <t>$/kW/month</t>
  </si>
  <si>
    <t xml:space="preserve">$/kW/month
</t>
  </si>
  <si>
    <t>$/excess kVAr/month</t>
  </si>
  <si>
    <t>$/day/
connection unit</t>
  </si>
  <si>
    <t>Capacity Charge
Off-peak
(NDKVACCOP)</t>
  </si>
  <si>
    <t>Actual Demand Charge Peak
(NDKVADCP)</t>
  </si>
  <si>
    <t>For the TUOS volume charge, the metered consumption for all periods is multiplied by the DLF and then applied to the TUOS volume rate.
For network billing and metering purposes, the peak period will continue to reference the peak and shoulder registers associated with the 2015-16 STOUE tariff structures.
Consumption against both these registers will be charged at the peak rate.  Refer to Chapter 6 of our Pricing Proposal for further information.</t>
  </si>
  <si>
    <t>The volume calculation is based on a $/kWh rate applied to all metered kWh consumption for the billing period (both summer and non-summer).
For the TUOS volume charge, the metered consumptionfor all periods is multiplied by the DLF and then applied to the TUOS volume rate.</t>
  </si>
  <si>
    <t>The volume calculation is based on a $/kWh rate applied to all metered kWh consumption for the billing period (both summer and non-summer).
For the TUOS volume charge, the metered consumption for all periods is multiplied by the DLF and then applied to the TUOS volume rate.</t>
  </si>
  <si>
    <t>Volume charge (peak)</t>
  </si>
  <si>
    <t>All times during summer months.  In 2016-17, the DUOS peak energy rate is set to $0/kWh.</t>
  </si>
  <si>
    <t>Volume calculation (peak)</t>
  </si>
  <si>
    <t>The peak volume calculation is based on a $/kWh rate applied to metered kWh consumption at all times during summer months.  In 2016-17, the DUOS peak energy rate is set to $0/kWh.</t>
  </si>
  <si>
    <t>The off-peak demand calculation uses the highest kW maximum demand in any single half hour at any time in each non-summer month.  The demand charge will be applied to the kW amount by which a customer's actual monthly maximum demand is greater than the demand threshold applicable to the off-peak period.  Where the monthly metered maximum demand is less than the demand threshold, the chargeable demand for that month is set to zero.</t>
  </si>
  <si>
    <t>The off-peak volume calculation is based on a $/kWh rate applied to metered kWh consumption at all times during non-summer months.</t>
  </si>
  <si>
    <t>The capacity charge calculation uses the maximum of authorised kVA demand or the monthly actual kVA maximum demand during the off-peak window which is all times during non-summer months and all times during summer months excluding demands occurring during the peak window of 10:00am to 8:00pm on summer weekdays.</t>
  </si>
  <si>
    <t xml:space="preserve">The TUOS capacity charge is the  greater of the authorised kVA demand or any time maximum kVA demand at any time in any month of the year.
For the TUOS volume charge, the metered any time consumption is multiplied by the DLF and then applied to the TUOS volume rate.
</t>
  </si>
  <si>
    <t>The excess reactive (kVAr) power charge is calculated monthly based on the kVAr level at the time of each customer’s individual monthly kVA peak.  To the extent the actual kVAr exceeds the customer’s permissible kVAr quantity (determined by the customer’s authorised demand and the customer's compliant power factor), excess kVAr charges are applied. Excess kVAr charges do not apply to CAC customers in 2016-17.
The TUOS capacity charge is the  greater of the authorised kVA demand or any time maximum kVA demand at any time in any month of the year.</t>
  </si>
  <si>
    <t>The excess reactive (kVAr) power charge is calculated monthly based on the kVAr level at the time of each customer’s individual monthly kVA peak.  To the extent the actual kVAr exceeds the customer’s permissible kVAr quantity (determined by the customer’s authorised demand and the customer's compliant power factor), excess kVAr charges are applied. Excess kVAr charges do not apply to CAC customers in 2016-17.</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</si>
</sst>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4" formatCode="_-&quot;$&quot;* #,##0.00_-;\-&quot;$&quot;* #,##0.00_-;_-&quot;$&quot;* &quot;-&quot;??_-;_-@_-"/>
    <numFmt numFmtId="43" formatCode="_-* #,##0.00_-;\-* #,##0.00_-;_-* &quot;-&quot;??_-;_-@_-"/>
    <numFmt numFmtId="164" formatCode="&quot;$&quot;#,##0_);[Red]\(&quot;$&quot;#,##0\)"/>
    <numFmt numFmtId="165" formatCode="_(* #,##0.00_);_(* \(#,##0.00\);_(* &quot;-&quot;??_);_(@_)"/>
    <numFmt numFmtId="166" formatCode="0.000"/>
    <numFmt numFmtId="167" formatCode="_(* #,##0.000_);_(* \(#,##0.000\);_(* &quot;-&quot;??_);_(@_)"/>
    <numFmt numFmtId="168" formatCode="#,##0.0000"/>
    <numFmt numFmtId="169" formatCode="&quot;$&quot;#,##0.0000"/>
    <numFmt numFmtId="170" formatCode="&quot;$&quot;#,##0.000"/>
    <numFmt numFmtId="171" formatCode="_-&quot;$&quot;* #,##0.000_-;\-&quot;$&quot;* #,##0.000_-;_-&quot;$&quot;* &quot;-&quot;??_-;_-@_-"/>
    <numFmt numFmtId="172" formatCode="_-&quot;$&quot;* #,##0.00000_-;\-&quot;$&quot;* #,##0.00000_-;_-&quot;$&quot;* &quot;-&quot;??_-;_-@_-"/>
    <numFmt numFmtId="173" formatCode="&quot;$&quot;#,##0.00000"/>
    <numFmt numFmtId="174" formatCode="_(&quot;$&quot;* #,##0.00_);_(&quot;$&quot;* \(#,##0.00\);_(&quot;$&quot;* &quot;-&quot;??_);_(@_)"/>
    <numFmt numFmtId="175" formatCode="_(* #,##0_);_(* \(#,##0\);_(* &quot;-&quot;_);_(@_)"/>
    <numFmt numFmtId="176" formatCode="_(* #,##0_);_(* \(#,##0\);_(* &quot;-&quot;?_);_(@_)"/>
    <numFmt numFmtId="177" formatCode="&quot;$&quot;#,##0.00"/>
  </numFmts>
  <fonts count="58" x14ac:knownFonts="1">
    <font>
      <sz val="10"/>
      <name val="Arial"/>
    </font>
    <font>
      <sz val="11"/>
      <color theme="1"/>
      <name val="Candara"/>
      <family val="2"/>
      <scheme val="minor"/>
    </font>
    <font>
      <sz val="11"/>
      <color theme="1"/>
      <name val="Candara"/>
      <family val="2"/>
      <scheme val="minor"/>
    </font>
    <font>
      <sz val="11"/>
      <color theme="1"/>
      <name val="Candara"/>
      <family val="2"/>
      <scheme val="minor"/>
    </font>
    <font>
      <sz val="11"/>
      <color theme="1"/>
      <name val="Candara"/>
      <family val="2"/>
      <scheme val="minor"/>
    </font>
    <font>
      <sz val="11"/>
      <color theme="1"/>
      <name val="Candara"/>
      <family val="2"/>
      <scheme val="minor"/>
    </font>
    <font>
      <b/>
      <sz val="10"/>
      <name val="Arial"/>
      <family val="2"/>
    </font>
    <font>
      <sz val="10"/>
      <name val="Arial"/>
      <family val="2"/>
    </font>
    <font>
      <sz val="9"/>
      <name val="Arial"/>
      <family val="2"/>
    </font>
    <font>
      <b/>
      <sz val="12"/>
      <name val="Arial"/>
      <family val="2"/>
    </font>
    <font>
      <b/>
      <sz val="9"/>
      <name val="Arial"/>
      <family val="2"/>
    </font>
    <font>
      <b/>
      <sz val="14"/>
      <name val="Arial"/>
      <family val="2"/>
    </font>
    <font>
      <sz val="8"/>
      <name val="Arial"/>
      <family val="2"/>
    </font>
    <font>
      <sz val="10"/>
      <color rgb="FFFF0000"/>
      <name val="Arial"/>
      <family val="2"/>
    </font>
    <font>
      <b/>
      <sz val="10"/>
      <color rgb="FFFF0000"/>
      <name val="Arial"/>
      <family val="2"/>
    </font>
    <font>
      <b/>
      <sz val="9"/>
      <color theme="0"/>
      <name val="Arial"/>
      <family val="2"/>
    </font>
    <font>
      <b/>
      <sz val="9"/>
      <color rgb="FFFF0000"/>
      <name val="Arial"/>
      <family val="2"/>
    </font>
    <font>
      <sz val="11"/>
      <color theme="1"/>
      <name val="Candara"/>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9"/>
      <color rgb="FFFF0000"/>
      <name val="Arial"/>
      <family val="2"/>
    </font>
    <font>
      <sz val="11"/>
      <color rgb="FFFF0000"/>
      <name val="Arial"/>
      <family val="2"/>
    </font>
    <font>
      <sz val="9"/>
      <color theme="0" tint="-0.34998626667073579"/>
      <name val="Arial"/>
      <family val="2"/>
    </font>
    <font>
      <sz val="8"/>
      <color theme="0" tint="-0.34998626667073579"/>
      <name val="Arial"/>
      <family val="2"/>
    </font>
    <font>
      <sz val="10"/>
      <color theme="0" tint="-0.14999847407452621"/>
      <name val="Arial"/>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u/>
      <sz val="12"/>
      <color rgb="FFFF0000"/>
      <name val="Arial"/>
      <family val="2"/>
    </font>
    <font>
      <i/>
      <sz val="9"/>
      <name val="Arial"/>
      <family val="2"/>
    </font>
    <font>
      <b/>
      <sz val="13"/>
      <name val="Arial"/>
      <family val="2"/>
    </font>
    <font>
      <b/>
      <sz val="9"/>
      <color rgb="FFFFFFFF"/>
      <name val="Arial"/>
      <family val="2"/>
    </font>
    <font>
      <sz val="9"/>
      <color rgb="FF000000"/>
      <name val="Arial"/>
      <family val="2"/>
    </font>
    <font>
      <sz val="9"/>
      <color rgb="FFFFFFFF"/>
      <name val="Arial"/>
      <family val="2"/>
    </font>
    <font>
      <sz val="11"/>
      <color theme="0"/>
      <name val="Candara"/>
      <family val="2"/>
      <scheme val="minor"/>
    </font>
    <font>
      <u/>
      <sz val="9"/>
      <color rgb="FFFFFFFF"/>
      <name val="Arial"/>
      <family val="2"/>
    </font>
    <font>
      <i/>
      <sz val="11"/>
      <name val="Arial"/>
      <family val="2"/>
    </font>
    <font>
      <u/>
      <sz val="9"/>
      <name val="Arial"/>
      <family val="2"/>
    </font>
    <font>
      <u/>
      <sz val="9"/>
      <color theme="1"/>
      <name val="Arial"/>
      <family val="2"/>
    </font>
    <font>
      <sz val="9"/>
      <color theme="1"/>
      <name val="Arial"/>
      <family val="2"/>
    </font>
    <font>
      <b/>
      <sz val="9"/>
      <name val="Candara"/>
      <family val="2"/>
      <scheme val="minor"/>
    </font>
    <font>
      <b/>
      <u/>
      <sz val="9"/>
      <name val="Arial"/>
      <family val="2"/>
    </font>
  </fonts>
  <fills count="40">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rgb="FFC2DEEA"/>
        <bgColor indexed="64"/>
      </patternFill>
    </fill>
    <fill>
      <patternFill patternType="solid">
        <fgColor rgb="FFA3DBE8"/>
        <bgColor indexed="64"/>
      </patternFill>
    </fill>
    <fill>
      <patternFill patternType="solid">
        <fgColor rgb="FF2C5697"/>
        <bgColor indexed="64"/>
      </patternFill>
    </fill>
    <fill>
      <patternFill patternType="solid">
        <fgColor indexed="38"/>
      </patternFill>
    </fill>
    <fill>
      <patternFill patternType="solid">
        <fgColor indexed="47"/>
      </patternFill>
    </fill>
    <fill>
      <patternFill patternType="solid">
        <fgColor indexed="26"/>
      </patternFill>
    </fill>
    <fill>
      <patternFill patternType="solid">
        <fgColor indexed="9"/>
      </patternFill>
    </fill>
    <fill>
      <patternFill patternType="solid">
        <fgColor indexed="43"/>
      </patternFill>
    </fill>
    <fill>
      <patternFill patternType="solid">
        <fgColor indexed="22"/>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22"/>
        <bgColor indexed="64"/>
      </patternFill>
    </fill>
    <fill>
      <patternFill patternType="solid">
        <fgColor indexed="55"/>
      </patternFill>
    </fill>
    <fill>
      <patternFill patternType="solid">
        <fgColor indexed="42"/>
      </patternFill>
    </fill>
    <fill>
      <patternFill patternType="solid">
        <fgColor indexed="27"/>
        <bgColor indexed="64"/>
      </patternFill>
    </fill>
    <fill>
      <patternFill patternType="solid">
        <fgColor indexed="42"/>
        <bgColor indexed="64"/>
      </patternFill>
    </fill>
    <fill>
      <patternFill patternType="solid">
        <fgColor indexed="26"/>
        <bgColor indexed="64"/>
      </patternFill>
    </fill>
    <fill>
      <patternFill patternType="solid">
        <fgColor theme="4" tint="0.59999389629810485"/>
        <bgColor indexed="65"/>
      </patternFill>
    </fill>
    <fill>
      <patternFill patternType="solid">
        <fgColor theme="0" tint="-0.34998626667073579"/>
        <bgColor indexed="64"/>
      </patternFill>
    </fill>
    <fill>
      <patternFill patternType="solid">
        <fgColor indexed="31"/>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theme="0" tint="-0.149967955565050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38"/>
      </bottom>
      <diagonal/>
    </border>
    <border>
      <left/>
      <right/>
      <top/>
      <bottom style="medium">
        <color indexed="3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top style="thin">
        <color indexed="64"/>
      </top>
      <bottom style="thin">
        <color theme="0" tint="-0.14996795556505021"/>
      </bottom>
      <diagonal/>
    </border>
    <border>
      <left style="thin">
        <color indexed="64"/>
      </left>
      <right/>
      <top style="thin">
        <color theme="0" tint="-0.14996795556505021"/>
      </top>
      <bottom style="thin">
        <color theme="0" tint="-0.14996795556505021"/>
      </bottom>
      <diagonal/>
    </border>
    <border>
      <left style="thin">
        <color indexed="64"/>
      </left>
      <right/>
      <top style="thin">
        <color theme="0" tint="-0.14996795556505021"/>
      </top>
      <bottom style="thin">
        <color indexed="64"/>
      </bottom>
      <diagonal/>
    </border>
    <border>
      <left/>
      <right style="thin">
        <color indexed="64"/>
      </right>
      <top style="thin">
        <color theme="0" tint="-0.14996795556505021"/>
      </top>
      <bottom style="thin">
        <color theme="0" tint="-0.14996795556505021"/>
      </bottom>
      <diagonal/>
    </border>
    <border>
      <left/>
      <right style="thin">
        <color indexed="64"/>
      </right>
      <top style="thin">
        <color theme="0" tint="-0.14996795556505021"/>
      </top>
      <bottom style="thin">
        <color indexed="64"/>
      </bottom>
      <diagonal/>
    </border>
    <border>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diagonal/>
    </border>
    <border>
      <left/>
      <right style="thin">
        <color indexed="64"/>
      </right>
      <top style="thin">
        <color theme="0" tint="-0.14996795556505021"/>
      </top>
      <bottom/>
      <diagonal/>
    </border>
    <border>
      <left style="thin">
        <color indexed="64"/>
      </left>
      <right/>
      <top/>
      <bottom style="thin">
        <color theme="0" tint="-0.14996795556505021"/>
      </bottom>
      <diagonal/>
    </border>
    <border>
      <left/>
      <right style="thin">
        <color indexed="64"/>
      </right>
      <top/>
      <bottom style="thin">
        <color theme="0" tint="-0.14996795556505021"/>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top style="thin">
        <color theme="0" tint="-0.14996795556505021"/>
      </top>
      <bottom/>
      <diagonal/>
    </border>
    <border>
      <left/>
      <right/>
      <top style="thin">
        <color indexed="64"/>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indexed="64"/>
      </bottom>
      <diagonal/>
    </border>
    <border>
      <left/>
      <right/>
      <top style="thin">
        <color theme="0" tint="-0.14996795556505021"/>
      </top>
      <bottom/>
      <diagonal/>
    </border>
    <border>
      <left/>
      <right/>
      <top style="medium">
        <color rgb="FF2C5697"/>
      </top>
      <bottom/>
      <diagonal/>
    </border>
    <border>
      <left/>
      <right/>
      <top style="thin">
        <color rgb="FF2C5697"/>
      </top>
      <bottom/>
      <diagonal/>
    </border>
    <border>
      <left/>
      <right/>
      <top/>
      <bottom style="thin">
        <color rgb="FF2C5697"/>
      </bottom>
      <diagonal/>
    </border>
    <border>
      <left/>
      <right/>
      <top style="thin">
        <color rgb="FF2C5697"/>
      </top>
      <bottom style="thin">
        <color theme="0" tint="-0.14996795556505021"/>
      </bottom>
      <diagonal/>
    </border>
    <border>
      <left/>
      <right/>
      <top style="thin">
        <color theme="0" tint="-0.14996795556505021"/>
      </top>
      <bottom style="thin">
        <color rgb="FF2C5697"/>
      </bottom>
      <diagonal/>
    </border>
    <border>
      <left/>
      <right/>
      <top style="thin">
        <color theme="0" tint="-0.14996795556505021"/>
      </top>
      <bottom style="thin">
        <color theme="0" tint="-0.14993743705557422"/>
      </bottom>
      <diagonal/>
    </border>
    <border>
      <left/>
      <right/>
      <top/>
      <bottom style="thin">
        <color theme="0" tint="-0.14996795556505021"/>
      </bottom>
      <diagonal/>
    </border>
  </borders>
  <cellStyleXfs count="199">
    <xf numFmtId="0" fontId="0" fillId="0" borderId="0"/>
    <xf numFmtId="165"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3" fontId="7" fillId="2" borderId="0" applyNumberFormat="0" applyFont="0" applyBorder="0" applyAlignment="0">
      <alignment horizontal="right"/>
      <protection locked="0"/>
    </xf>
    <xf numFmtId="0" fontId="7" fillId="0" borderId="0" applyBorder="0"/>
    <xf numFmtId="0" fontId="7" fillId="0" borderId="0"/>
    <xf numFmtId="0" fontId="17" fillId="0" borderId="0"/>
    <xf numFmtId="0" fontId="7" fillId="0" borderId="0"/>
    <xf numFmtId="9" fontId="17" fillId="0" borderId="0" applyFont="0" applyFill="0" applyBorder="0" applyAlignment="0" applyProtection="0"/>
    <xf numFmtId="174" fontId="7" fillId="0" borderId="0" applyFont="0" applyFill="0" applyBorder="0" applyAlignment="0" applyProtection="0"/>
    <xf numFmtId="165" fontId="17" fillId="0" borderId="0" applyFont="0" applyFill="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175" fontId="7" fillId="21" borderId="0" applyNumberFormat="0" applyFont="0" applyBorder="0" applyAlignment="0">
      <alignment horizontal="right"/>
    </xf>
    <xf numFmtId="175" fontId="7" fillId="21" borderId="0" applyNumberFormat="0" applyFont="0" applyBorder="0" applyAlignment="0">
      <alignment horizontal="right"/>
    </xf>
    <xf numFmtId="0" fontId="21" fillId="12" borderId="20" applyNumberFormat="0" applyAlignment="0" applyProtection="0"/>
    <xf numFmtId="0" fontId="21" fillId="12" borderId="20" applyNumberFormat="0" applyAlignment="0" applyProtection="0"/>
    <xf numFmtId="0" fontId="22" fillId="22" borderId="21" applyNumberFormat="0" applyAlignment="0" applyProtection="0"/>
    <xf numFmtId="0" fontId="22" fillId="22" borderId="21" applyNumberFormat="0" applyAlignment="0" applyProtection="0"/>
    <xf numFmtId="165" fontId="7" fillId="0" borderId="0" applyFont="0" applyFill="0" applyBorder="0" applyAlignment="0" applyProtection="0"/>
    <xf numFmtId="165" fontId="18"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74" fontId="7" fillId="0" borderId="0" applyFont="0" applyFill="0" applyBorder="0" applyAlignment="0" applyProtection="0"/>
    <xf numFmtId="174" fontId="18" fillId="0" borderId="0" applyFont="0" applyFill="0" applyBorder="0" applyAlignment="0" applyProtection="0"/>
    <xf numFmtId="174" fontId="7"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5" fillId="0" borderId="22" applyNumberFormat="0" applyFill="0" applyAlignment="0" applyProtection="0"/>
    <xf numFmtId="0" fontId="25" fillId="0" borderId="22" applyNumberFormat="0" applyFill="0" applyAlignment="0" applyProtection="0"/>
    <xf numFmtId="0" fontId="26" fillId="0" borderId="23" applyNumberFormat="0" applyFill="0" applyAlignment="0" applyProtection="0"/>
    <xf numFmtId="0" fontId="26" fillId="0" borderId="23" applyNumberFormat="0" applyFill="0" applyAlignment="0" applyProtection="0"/>
    <xf numFmtId="0" fontId="27" fillId="0" borderId="24" applyNumberFormat="0" applyFill="0" applyAlignment="0" applyProtection="0"/>
    <xf numFmtId="0" fontId="27" fillId="0" borderId="24" applyNumberFormat="0" applyFill="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10" borderId="20" applyNumberFormat="0" applyAlignment="0" applyProtection="0"/>
    <xf numFmtId="0" fontId="28" fillId="10" borderId="20" applyNumberFormat="0" applyAlignment="0" applyProtection="0"/>
    <xf numFmtId="175" fontId="7" fillId="24" borderId="0" applyFont="0" applyBorder="0" applyAlignment="0">
      <alignment horizontal="right"/>
      <protection locked="0"/>
    </xf>
    <xf numFmtId="175" fontId="7" fillId="24" borderId="0" applyFont="0" applyBorder="0" applyAlignment="0">
      <alignment horizontal="right"/>
      <protection locked="0"/>
    </xf>
    <xf numFmtId="175" fontId="7" fillId="24" borderId="0" applyFont="0" applyBorder="0" applyAlignment="0">
      <alignment horizontal="right"/>
      <protection locked="0"/>
    </xf>
    <xf numFmtId="176" fontId="7" fillId="25" borderId="0" applyFont="0" applyBorder="0">
      <alignment horizontal="right"/>
      <protection locked="0"/>
    </xf>
    <xf numFmtId="175" fontId="7" fillId="26" borderId="0" applyFont="0" applyBorder="0">
      <alignment horizontal="right"/>
      <protection locked="0"/>
    </xf>
    <xf numFmtId="0" fontId="29" fillId="0" borderId="25" applyNumberFormat="0" applyFill="0" applyAlignment="0" applyProtection="0"/>
    <xf numFmtId="0" fontId="29" fillId="0" borderId="25" applyNumberFormat="0" applyFill="0" applyAlignment="0" applyProtection="0"/>
    <xf numFmtId="0" fontId="30" fillId="13" borderId="0" applyNumberFormat="0" applyBorder="0" applyAlignment="0" applyProtection="0"/>
    <xf numFmtId="0" fontId="30" fillId="13"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11" borderId="26" applyNumberFormat="0" applyFont="0" applyAlignment="0" applyProtection="0"/>
    <xf numFmtId="0" fontId="7" fillId="11" borderId="26" applyNumberFormat="0" applyFont="0" applyAlignment="0" applyProtection="0"/>
    <xf numFmtId="0" fontId="31" fillId="12" borderId="27" applyNumberFormat="0" applyAlignment="0" applyProtection="0"/>
    <xf numFmtId="0" fontId="31" fillId="12" borderId="27" applyNumberFormat="0" applyAlignment="0" applyProtection="0"/>
    <xf numFmtId="9" fontId="7" fillId="0" borderId="0" applyFont="0" applyFill="0" applyBorder="0" applyAlignment="0" applyProtection="0"/>
    <xf numFmtId="9" fontId="18"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32" fillId="0" borderId="0" applyNumberFormat="0" applyFill="0" applyBorder="0" applyAlignment="0" applyProtection="0"/>
    <xf numFmtId="0" fontId="32" fillId="0" borderId="0" applyNumberFormat="0" applyFill="0" applyBorder="0" applyAlignment="0" applyProtection="0"/>
    <xf numFmtId="0" fontId="33" fillId="0" borderId="28" applyNumberFormat="0" applyFill="0" applyAlignment="0" applyProtection="0"/>
    <xf numFmtId="0" fontId="33" fillId="0" borderId="28"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9" fontId="7" fillId="0" borderId="0" applyFont="0" applyFill="0" applyBorder="0" applyAlignment="0" applyProtection="0"/>
    <xf numFmtId="174" fontId="17" fillId="0" borderId="0" applyFont="0" applyFill="0" applyBorder="0" applyAlignment="0" applyProtection="0"/>
    <xf numFmtId="43" fontId="17" fillId="0" borderId="0" applyFont="0" applyFill="0" applyBorder="0" applyAlignment="0" applyProtection="0"/>
    <xf numFmtId="44" fontId="17" fillId="0" borderId="0" applyFont="0" applyFill="0" applyBorder="0" applyAlignment="0" applyProtection="0"/>
    <xf numFmtId="44" fontId="7" fillId="0" borderId="0" applyFont="0" applyFill="0" applyBorder="0" applyAlignment="0" applyProtection="0"/>
    <xf numFmtId="0" fontId="17" fillId="27" borderId="0" applyNumberFormat="0" applyBorder="0" applyAlignment="0" applyProtection="0"/>
    <xf numFmtId="0" fontId="5" fillId="0" borderId="0"/>
    <xf numFmtId="9" fontId="5" fillId="0" borderId="0" applyFont="0" applyFill="0" applyBorder="0" applyAlignment="0" applyProtection="0"/>
    <xf numFmtId="165" fontId="5" fillId="0" borderId="0" applyFont="0" applyFill="0" applyBorder="0" applyAlignment="0" applyProtection="0"/>
    <xf numFmtId="174"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5" fillId="27" borderId="0" applyNumberFormat="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xf numFmtId="17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27" borderId="0" applyNumberFormat="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xf numFmtId="17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27" borderId="0" applyNumberFormat="0" applyBorder="0" applyAlignment="0" applyProtection="0"/>
    <xf numFmtId="0" fontId="18" fillId="29" borderId="0" applyNumberFormat="0" applyBorder="0" applyAlignment="0" applyProtection="0"/>
    <xf numFmtId="0" fontId="18" fillId="20" borderId="0" applyNumberFormat="0" applyBorder="0" applyAlignment="0" applyProtection="0"/>
    <xf numFmtId="0" fontId="18" fillId="23"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8" fillId="30" borderId="0" applyNumberFormat="0" applyBorder="0" applyAlignment="0" applyProtection="0"/>
    <xf numFmtId="0" fontId="18" fillId="32" borderId="0" applyNumberFormat="0" applyBorder="0" applyAlignment="0" applyProtection="0"/>
    <xf numFmtId="0" fontId="18" fillId="35" borderId="0" applyNumberFormat="0" applyBorder="0" applyAlignment="0" applyProtection="0"/>
    <xf numFmtId="0" fontId="19" fillId="36" borderId="0" applyNumberFormat="0" applyBorder="0" applyAlignment="0" applyProtection="0"/>
    <xf numFmtId="0" fontId="19" fillId="33" borderId="0" applyNumberFormat="0" applyBorder="0" applyAlignment="0" applyProtection="0"/>
    <xf numFmtId="0" fontId="19" fillId="34" borderId="0" applyNumberFormat="0" applyBorder="0" applyAlignment="0" applyProtection="0"/>
    <xf numFmtId="0" fontId="19" fillId="37" borderId="0" applyNumberFormat="0" applyBorder="0" applyAlignment="0" applyProtection="0"/>
    <xf numFmtId="0" fontId="19" fillId="15"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37" borderId="0" applyNumberFormat="0" applyBorder="0" applyAlignment="0" applyProtection="0"/>
    <xf numFmtId="0" fontId="21" fillId="14" borderId="20" applyNumberFormat="0" applyAlignment="0" applyProtection="0"/>
    <xf numFmtId="0" fontId="40" fillId="0" borderId="39" applyNumberFormat="0" applyFill="0" applyAlignment="0" applyProtection="0"/>
    <xf numFmtId="0" fontId="41" fillId="0" borderId="40" applyNumberFormat="0" applyFill="0" applyAlignment="0" applyProtection="0"/>
    <xf numFmtId="0" fontId="42" fillId="0" borderId="41" applyNumberFormat="0" applyFill="0" applyAlignment="0" applyProtection="0"/>
    <xf numFmtId="0" fontId="42" fillId="0" borderId="0" applyNumberFormat="0" applyFill="0" applyBorder="0" applyAlignment="0" applyProtection="0"/>
    <xf numFmtId="0" fontId="31" fillId="14" borderId="27" applyNumberFormat="0" applyAlignment="0" applyProtection="0"/>
    <xf numFmtId="0" fontId="43" fillId="0" borderId="0" applyNumberFormat="0" applyFill="0" applyBorder="0" applyAlignment="0" applyProtection="0"/>
    <xf numFmtId="0" fontId="33" fillId="0" borderId="42" applyNumberFormat="0" applyFill="0" applyAlignment="0" applyProtection="0"/>
    <xf numFmtId="43" fontId="7" fillId="0" borderId="0" applyFont="0" applyFill="0" applyBorder="0" applyAlignment="0" applyProtection="0"/>
    <xf numFmtId="0" fontId="3" fillId="0" borderId="0"/>
    <xf numFmtId="43" fontId="7" fillId="0" borderId="0" applyFont="0" applyFill="0" applyBorder="0" applyAlignment="0" applyProtection="0"/>
    <xf numFmtId="43" fontId="18"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44" fontId="18" fillId="0" borderId="0" applyFont="0" applyFill="0" applyBorder="0" applyAlignment="0" applyProtection="0"/>
    <xf numFmtId="44" fontId="7"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2" fillId="2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1" fillId="0" borderId="0"/>
  </cellStyleXfs>
  <cellXfs count="550">
    <xf numFmtId="0" fontId="0" fillId="0" borderId="0" xfId="0"/>
    <xf numFmtId="0" fontId="7" fillId="3" borderId="0" xfId="0" applyFont="1" applyFill="1"/>
    <xf numFmtId="0" fontId="7" fillId="0" borderId="0" xfId="0" applyFont="1"/>
    <xf numFmtId="0" fontId="7" fillId="5" borderId="0" xfId="0" applyFont="1" applyFill="1" applyBorder="1" applyAlignment="1">
      <alignment wrapText="1"/>
    </xf>
    <xf numFmtId="0" fontId="10" fillId="7" borderId="1" xfId="0" applyNumberFormat="1" applyFont="1" applyFill="1" applyBorder="1" applyAlignment="1">
      <alignment horizontal="center" vertical="center" wrapText="1"/>
    </xf>
    <xf numFmtId="172" fontId="10" fillId="6" borderId="1" xfId="4" applyNumberFormat="1" applyFont="1" applyFill="1" applyBorder="1" applyAlignment="1">
      <alignment horizontal="center" vertical="center" wrapText="1"/>
    </xf>
    <xf numFmtId="0" fontId="10" fillId="6" borderId="1" xfId="0" applyNumberFormat="1" applyFont="1" applyFill="1" applyBorder="1" applyAlignment="1">
      <alignment horizontal="center" vertical="center" wrapText="1"/>
    </xf>
    <xf numFmtId="0" fontId="8" fillId="3" borderId="13" xfId="0" applyFont="1" applyFill="1" applyBorder="1"/>
    <xf numFmtId="0" fontId="8" fillId="3" borderId="13" xfId="0" applyFont="1" applyFill="1" applyBorder="1" applyAlignment="1">
      <alignment horizontal="center"/>
    </xf>
    <xf numFmtId="170" fontId="8" fillId="3" borderId="13" xfId="4" applyNumberFormat="1" applyFont="1" applyFill="1" applyBorder="1" applyAlignment="1">
      <alignment horizontal="center" vertical="center" wrapText="1"/>
    </xf>
    <xf numFmtId="0" fontId="8" fillId="3" borderId="14" xfId="0" applyFont="1" applyFill="1" applyBorder="1"/>
    <xf numFmtId="0" fontId="8" fillId="3" borderId="14" xfId="0" applyFont="1" applyFill="1" applyBorder="1" applyAlignment="1">
      <alignment horizontal="center"/>
    </xf>
    <xf numFmtId="170" fontId="8" fillId="3" borderId="14" xfId="4" applyNumberFormat="1" applyFont="1" applyFill="1" applyBorder="1" applyAlignment="1">
      <alignment horizontal="center" vertical="center" wrapText="1"/>
    </xf>
    <xf numFmtId="0" fontId="8" fillId="3" borderId="15" xfId="0" applyFont="1" applyFill="1" applyBorder="1"/>
    <xf numFmtId="0" fontId="8" fillId="3" borderId="15" xfId="0" applyFont="1" applyFill="1" applyBorder="1" applyAlignment="1">
      <alignment horizontal="center"/>
    </xf>
    <xf numFmtId="0" fontId="8" fillId="3" borderId="0" xfId="0" applyFont="1" applyFill="1"/>
    <xf numFmtId="0" fontId="8" fillId="5" borderId="0" xfId="0" applyFont="1" applyFill="1"/>
    <xf numFmtId="0" fontId="7" fillId="3" borderId="0" xfId="7" applyFont="1" applyFill="1"/>
    <xf numFmtId="0" fontId="8" fillId="3" borderId="0" xfId="7" applyFont="1" applyFill="1"/>
    <xf numFmtId="0" fontId="8" fillId="5" borderId="0" xfId="7" applyFont="1" applyFill="1"/>
    <xf numFmtId="0" fontId="7" fillId="0" borderId="0" xfId="7" applyFont="1"/>
    <xf numFmtId="166" fontId="8" fillId="0" borderId="13" xfId="2" applyNumberFormat="1" applyFont="1" applyBorder="1" applyAlignment="1">
      <alignment horizontal="center"/>
    </xf>
    <xf numFmtId="173" fontId="8" fillId="0" borderId="13" xfId="4" applyNumberFormat="1" applyFont="1" applyBorder="1" applyAlignment="1">
      <alignment horizontal="center" vertical="center" wrapText="1"/>
    </xf>
    <xf numFmtId="173" fontId="8" fillId="0" borderId="14" xfId="4" applyNumberFormat="1" applyFont="1" applyBorder="1" applyAlignment="1">
      <alignment horizontal="center" vertical="center" wrapText="1"/>
    </xf>
    <xf numFmtId="173" fontId="8" fillId="0" borderId="15" xfId="4" applyNumberFormat="1" applyFont="1" applyBorder="1" applyAlignment="1">
      <alignment horizontal="center" vertical="center" wrapText="1"/>
    </xf>
    <xf numFmtId="173" fontId="8" fillId="0" borderId="19" xfId="4" applyNumberFormat="1" applyFont="1" applyBorder="1" applyAlignment="1">
      <alignment horizontal="center" vertical="center" wrapText="1"/>
    </xf>
    <xf numFmtId="173" fontId="8" fillId="0" borderId="14" xfId="3" applyNumberFormat="1" applyFont="1" applyBorder="1" applyAlignment="1">
      <alignment horizontal="center" vertical="center" wrapText="1"/>
    </xf>
    <xf numFmtId="166" fontId="8" fillId="0" borderId="14" xfId="1" applyNumberFormat="1" applyFont="1" applyBorder="1" applyAlignment="1">
      <alignment horizontal="center"/>
    </xf>
    <xf numFmtId="0" fontId="7" fillId="5" borderId="0" xfId="7" applyFont="1" applyFill="1"/>
    <xf numFmtId="0" fontId="10" fillId="7" borderId="1" xfId="0" applyFont="1" applyFill="1" applyBorder="1" applyAlignment="1" applyProtection="1">
      <alignment horizontal="center" vertical="center" wrapText="1"/>
      <protection locked="0"/>
    </xf>
    <xf numFmtId="0" fontId="8" fillId="0" borderId="6" xfId="0" applyFont="1" applyBorder="1"/>
    <xf numFmtId="0" fontId="8" fillId="0" borderId="4" xfId="0" applyFont="1" applyBorder="1"/>
    <xf numFmtId="0" fontId="8" fillId="0" borderId="19" xfId="0" applyFont="1" applyBorder="1"/>
    <xf numFmtId="0" fontId="8" fillId="0" borderId="15" xfId="0" applyFont="1" applyFill="1" applyBorder="1"/>
    <xf numFmtId="0" fontId="8" fillId="0" borderId="13" xfId="0" applyFont="1" applyBorder="1"/>
    <xf numFmtId="0" fontId="8" fillId="0" borderId="14" xfId="0" applyFont="1" applyBorder="1"/>
    <xf numFmtId="0" fontId="8" fillId="5" borderId="0" xfId="0" applyFont="1" applyFill="1" applyBorder="1" applyAlignment="1">
      <alignment wrapText="1"/>
    </xf>
    <xf numFmtId="0" fontId="10" fillId="5" borderId="0" xfId="7" applyFont="1" applyFill="1" applyBorder="1" applyAlignment="1">
      <alignment horizontal="center" wrapText="1"/>
    </xf>
    <xf numFmtId="171" fontId="10" fillId="5" borderId="0" xfId="4" applyNumberFormat="1" applyFont="1" applyFill="1" applyBorder="1" applyAlignment="1">
      <alignment horizontal="center" vertical="center" wrapText="1"/>
    </xf>
    <xf numFmtId="173" fontId="8" fillId="5" borderId="0" xfId="4" applyNumberFormat="1" applyFont="1" applyFill="1" applyBorder="1" applyAlignment="1">
      <alignment horizontal="center" vertical="center" wrapText="1"/>
    </xf>
    <xf numFmtId="0" fontId="10" fillId="5" borderId="0" xfId="7" applyNumberFormat="1" applyFont="1" applyFill="1" applyBorder="1" applyAlignment="1">
      <alignment horizontal="center" vertical="center" wrapText="1"/>
    </xf>
    <xf numFmtId="0" fontId="7" fillId="5" borderId="0" xfId="0" applyFont="1" applyFill="1"/>
    <xf numFmtId="170" fontId="7" fillId="5" borderId="0" xfId="0" applyNumberFormat="1" applyFont="1" applyFill="1"/>
    <xf numFmtId="0" fontId="13" fillId="5" borderId="0" xfId="0" applyFont="1" applyFill="1"/>
    <xf numFmtId="167" fontId="8" fillId="0" borderId="29" xfId="2" applyNumberFormat="1" applyFont="1" applyBorder="1" applyAlignment="1">
      <alignment horizontal="center"/>
    </xf>
    <xf numFmtId="170" fontId="8" fillId="4" borderId="34" xfId="4" applyNumberFormat="1" applyFont="1" applyFill="1" applyBorder="1" applyAlignment="1">
      <alignment horizontal="center" vertical="center" wrapText="1"/>
    </xf>
    <xf numFmtId="170" fontId="8" fillId="4" borderId="32" xfId="4" applyNumberFormat="1" applyFont="1" applyFill="1" applyBorder="1" applyAlignment="1">
      <alignment horizontal="center" vertical="center" wrapText="1"/>
    </xf>
    <xf numFmtId="170" fontId="8" fillId="4" borderId="33" xfId="4" applyNumberFormat="1" applyFont="1" applyFill="1" applyBorder="1" applyAlignment="1">
      <alignment horizontal="center" vertical="center" wrapText="1"/>
    </xf>
    <xf numFmtId="170" fontId="8" fillId="0" borderId="19" xfId="4" applyNumberFormat="1" applyFont="1" applyBorder="1" applyAlignment="1">
      <alignment horizontal="center" vertical="center" wrapText="1"/>
    </xf>
    <xf numFmtId="170" fontId="8" fillId="4" borderId="34" xfId="3" applyNumberFormat="1" applyFont="1" applyFill="1" applyBorder="1" applyAlignment="1">
      <alignment horizontal="center" vertical="center" wrapText="1"/>
    </xf>
    <xf numFmtId="170" fontId="8" fillId="4" borderId="32" xfId="3" applyNumberFormat="1" applyFont="1" applyFill="1" applyBorder="1" applyAlignment="1">
      <alignment horizontal="center" vertical="center" wrapText="1"/>
    </xf>
    <xf numFmtId="170" fontId="8" fillId="0" borderId="14" xfId="3" applyNumberFormat="1" applyFont="1" applyBorder="1" applyAlignment="1">
      <alignment horizontal="center" vertical="center" wrapText="1"/>
    </xf>
    <xf numFmtId="0" fontId="7" fillId="5" borderId="0" xfId="7" applyFont="1" applyFill="1" applyBorder="1"/>
    <xf numFmtId="170" fontId="7" fillId="5" borderId="0" xfId="0" applyNumberFormat="1" applyFont="1" applyFill="1" applyBorder="1"/>
    <xf numFmtId="170" fontId="8" fillId="0" borderId="33" xfId="4" applyNumberFormat="1" applyFont="1" applyFill="1" applyBorder="1" applyAlignment="1">
      <alignment horizontal="center" vertical="center" wrapText="1"/>
    </xf>
    <xf numFmtId="170" fontId="8" fillId="0" borderId="15" xfId="4" applyNumberFormat="1" applyFont="1" applyFill="1" applyBorder="1" applyAlignment="1">
      <alignment horizontal="center" vertical="center" wrapText="1"/>
    </xf>
    <xf numFmtId="173" fontId="8" fillId="0" borderId="15" xfId="4" applyNumberFormat="1" applyFont="1" applyFill="1" applyBorder="1" applyAlignment="1">
      <alignment horizontal="center" vertical="center" wrapText="1"/>
    </xf>
    <xf numFmtId="0" fontId="11" fillId="5" borderId="0" xfId="0" applyFont="1" applyFill="1"/>
    <xf numFmtId="170" fontId="8" fillId="5" borderId="0" xfId="4" applyNumberFormat="1" applyFont="1" applyFill="1" applyBorder="1" applyAlignment="1">
      <alignment horizontal="center" vertical="center" wrapText="1"/>
    </xf>
    <xf numFmtId="0" fontId="10" fillId="5" borderId="0" xfId="0" applyFont="1" applyFill="1" applyBorder="1" applyAlignment="1">
      <alignment horizontal="center" vertical="center" wrapText="1"/>
    </xf>
    <xf numFmtId="0" fontId="8" fillId="3" borderId="19" xfId="0" applyFont="1" applyFill="1" applyBorder="1"/>
    <xf numFmtId="0" fontId="8" fillId="3" borderId="19" xfId="0" applyFont="1" applyFill="1" applyBorder="1" applyAlignment="1">
      <alignment horizontal="center"/>
    </xf>
    <xf numFmtId="0" fontId="37" fillId="3" borderId="0" xfId="0" applyFont="1" applyFill="1" applyBorder="1"/>
    <xf numFmtId="0" fontId="16" fillId="5" borderId="0" xfId="0" applyFont="1" applyFill="1" applyBorder="1" applyAlignment="1">
      <alignment vertical="center" wrapText="1"/>
    </xf>
    <xf numFmtId="170" fontId="35" fillId="5" borderId="0" xfId="4" applyNumberFormat="1" applyFont="1" applyFill="1" applyBorder="1" applyAlignment="1">
      <alignment horizontal="center" vertical="center" wrapText="1"/>
    </xf>
    <xf numFmtId="0" fontId="37" fillId="5" borderId="0" xfId="0" applyFont="1" applyFill="1" applyBorder="1"/>
    <xf numFmtId="0" fontId="7" fillId="0" borderId="0" xfId="7" applyFont="1" applyFill="1"/>
    <xf numFmtId="0" fontId="9" fillId="5" borderId="0" xfId="0" applyFont="1" applyFill="1"/>
    <xf numFmtId="0" fontId="15" fillId="5" borderId="0" xfId="0" applyFont="1" applyFill="1" applyBorder="1" applyAlignment="1">
      <alignment horizontal="center" vertical="center" wrapText="1"/>
    </xf>
    <xf numFmtId="0" fontId="6" fillId="5" borderId="0" xfId="0" applyFont="1" applyFill="1" applyBorder="1" applyAlignment="1">
      <alignment horizontal="left" vertical="center" wrapText="1"/>
    </xf>
    <xf numFmtId="172" fontId="10" fillId="5" borderId="0" xfId="4" applyNumberFormat="1" applyFont="1" applyFill="1" applyBorder="1" applyAlignment="1">
      <alignment horizontal="center" vertical="center" wrapText="1"/>
    </xf>
    <xf numFmtId="0" fontId="11" fillId="5" borderId="0" xfId="7" applyFont="1" applyFill="1"/>
    <xf numFmtId="0" fontId="13" fillId="5" borderId="0" xfId="7" applyFont="1" applyFill="1"/>
    <xf numFmtId="0" fontId="38" fillId="5" borderId="0" xfId="0" applyFont="1" applyFill="1"/>
    <xf numFmtId="0" fontId="7" fillId="5" borderId="0" xfId="0" applyFont="1" applyFill="1" applyBorder="1"/>
    <xf numFmtId="170" fontId="8" fillId="5" borderId="14" xfId="4" applyNumberFormat="1" applyFont="1" applyFill="1" applyBorder="1" applyAlignment="1">
      <alignment horizontal="center" vertical="center" wrapText="1"/>
    </xf>
    <xf numFmtId="173" fontId="8" fillId="5" borderId="14" xfId="4" applyNumberFormat="1" applyFont="1" applyFill="1" applyBorder="1" applyAlignment="1">
      <alignment horizontal="center" vertical="center" wrapText="1"/>
    </xf>
    <xf numFmtId="170" fontId="8" fillId="5" borderId="15" xfId="4" applyNumberFormat="1" applyFont="1" applyFill="1" applyBorder="1" applyAlignment="1">
      <alignment horizontal="center" vertical="center" wrapText="1"/>
    </xf>
    <xf numFmtId="173" fontId="8" fillId="5" borderId="15" xfId="4" applyNumberFormat="1" applyFont="1" applyFill="1" applyBorder="1" applyAlignment="1">
      <alignment horizontal="center" vertical="center" wrapText="1"/>
    </xf>
    <xf numFmtId="0" fontId="8" fillId="5" borderId="13" xfId="0" applyFont="1" applyFill="1" applyBorder="1" applyAlignment="1">
      <alignment horizontal="center"/>
    </xf>
    <xf numFmtId="0" fontId="8" fillId="5" borderId="13" xfId="0" applyFont="1" applyFill="1" applyBorder="1"/>
    <xf numFmtId="0" fontId="8" fillId="5" borderId="14" xfId="0" applyFont="1" applyFill="1" applyBorder="1"/>
    <xf numFmtId="0" fontId="8" fillId="5" borderId="15" xfId="0" applyFont="1" applyFill="1" applyBorder="1"/>
    <xf numFmtId="0" fontId="8" fillId="5" borderId="6" xfId="0" applyFont="1" applyFill="1" applyBorder="1"/>
    <xf numFmtId="0" fontId="8" fillId="5" borderId="4" xfId="0" applyFont="1" applyFill="1" applyBorder="1"/>
    <xf numFmtId="166" fontId="8" fillId="5" borderId="13" xfId="2" applyNumberFormat="1" applyFont="1" applyFill="1" applyBorder="1" applyAlignment="1">
      <alignment horizontal="center"/>
    </xf>
    <xf numFmtId="167" fontId="8" fillId="5" borderId="29" xfId="2" applyNumberFormat="1" applyFont="1" applyFill="1" applyBorder="1" applyAlignment="1">
      <alignment horizontal="center"/>
    </xf>
    <xf numFmtId="166" fontId="8" fillId="5" borderId="14" xfId="2" applyNumberFormat="1" applyFont="1" applyFill="1" applyBorder="1" applyAlignment="1">
      <alignment horizontal="center"/>
    </xf>
    <xf numFmtId="167" fontId="8" fillId="5" borderId="30" xfId="2" applyNumberFormat="1" applyFont="1" applyFill="1" applyBorder="1" applyAlignment="1">
      <alignment horizontal="center"/>
    </xf>
    <xf numFmtId="166" fontId="8" fillId="5" borderId="15" xfId="2" applyNumberFormat="1" applyFont="1" applyFill="1" applyBorder="1" applyAlignment="1">
      <alignment horizontal="center"/>
    </xf>
    <xf numFmtId="171" fontId="10" fillId="7" borderId="1" xfId="4" applyNumberFormat="1" applyFont="1" applyFill="1" applyBorder="1" applyAlignment="1">
      <alignment horizontal="center" vertical="center" wrapText="1"/>
    </xf>
    <xf numFmtId="171" fontId="10" fillId="6" borderId="1" xfId="4" applyNumberFormat="1" applyFont="1" applyFill="1" applyBorder="1" applyAlignment="1">
      <alignment horizontal="center" vertical="center" wrapText="1"/>
    </xf>
    <xf numFmtId="0" fontId="8" fillId="3" borderId="14" xfId="7" applyFont="1" applyFill="1" applyBorder="1"/>
    <xf numFmtId="173" fontId="8" fillId="3" borderId="14" xfId="4" applyNumberFormat="1" applyFont="1" applyFill="1" applyBorder="1" applyAlignment="1">
      <alignment horizontal="center" vertical="center" wrapText="1"/>
    </xf>
    <xf numFmtId="170" fontId="8" fillId="3" borderId="15" xfId="4" applyNumberFormat="1" applyFont="1" applyFill="1" applyBorder="1" applyAlignment="1">
      <alignment horizontal="center" vertical="center" wrapText="1"/>
    </xf>
    <xf numFmtId="170" fontId="8" fillId="0" borderId="14" xfId="4" applyNumberFormat="1" applyFont="1" applyBorder="1" applyAlignment="1">
      <alignment horizontal="center" vertical="center" wrapText="1"/>
    </xf>
    <xf numFmtId="170" fontId="8" fillId="4" borderId="14" xfId="4" applyNumberFormat="1" applyFont="1" applyFill="1" applyBorder="1" applyAlignment="1">
      <alignment horizontal="center" vertical="center" wrapText="1"/>
    </xf>
    <xf numFmtId="170" fontId="8" fillId="4" borderId="15" xfId="4" applyNumberFormat="1" applyFont="1" applyFill="1" applyBorder="1" applyAlignment="1">
      <alignment horizontal="center" vertical="center" wrapText="1"/>
    </xf>
    <xf numFmtId="173" fontId="8" fillId="3" borderId="15" xfId="4" applyNumberFormat="1" applyFont="1" applyFill="1" applyBorder="1" applyAlignment="1">
      <alignment horizontal="center" vertical="center" wrapText="1"/>
    </xf>
    <xf numFmtId="167" fontId="8" fillId="0" borderId="30" xfId="2" applyNumberFormat="1" applyFont="1" applyBorder="1" applyAlignment="1">
      <alignment horizontal="center"/>
    </xf>
    <xf numFmtId="167" fontId="8" fillId="0" borderId="31" xfId="2" applyNumberFormat="1" applyFont="1" applyBorder="1" applyAlignment="1">
      <alignment horizontal="center"/>
    </xf>
    <xf numFmtId="170" fontId="8" fillId="3" borderId="32" xfId="4" applyNumberFormat="1" applyFont="1" applyFill="1" applyBorder="1" applyAlignment="1">
      <alignment horizontal="center" vertical="center" wrapText="1"/>
    </xf>
    <xf numFmtId="170" fontId="8" fillId="3" borderId="33" xfId="4" applyNumberFormat="1" applyFont="1" applyFill="1" applyBorder="1" applyAlignment="1">
      <alignment horizontal="center" vertical="center" wrapText="1"/>
    </xf>
    <xf numFmtId="173" fontId="8" fillId="3" borderId="13" xfId="4" applyNumberFormat="1" applyFont="1" applyFill="1" applyBorder="1" applyAlignment="1">
      <alignment horizontal="center" vertical="center" wrapText="1"/>
    </xf>
    <xf numFmtId="170" fontId="8" fillId="0" borderId="15" xfId="4" applyNumberFormat="1" applyFont="1" applyBorder="1" applyAlignment="1">
      <alignment horizontal="center" vertical="center" wrapText="1"/>
    </xf>
    <xf numFmtId="170" fontId="8" fillId="0" borderId="35" xfId="4" applyNumberFormat="1" applyFont="1" applyBorder="1" applyAlignment="1">
      <alignment horizontal="center" vertical="center" wrapText="1"/>
    </xf>
    <xf numFmtId="170" fontId="8" fillId="3" borderId="36" xfId="4" applyNumberFormat="1" applyFont="1" applyFill="1" applyBorder="1" applyAlignment="1">
      <alignment horizontal="center" vertical="center" wrapText="1"/>
    </xf>
    <xf numFmtId="173" fontId="8" fillId="3" borderId="35" xfId="4" applyNumberFormat="1" applyFont="1" applyFill="1" applyBorder="1" applyAlignment="1">
      <alignment horizontal="center" vertical="center" wrapText="1"/>
    </xf>
    <xf numFmtId="0" fontId="8" fillId="3" borderId="19" xfId="7" applyFont="1" applyFill="1" applyBorder="1"/>
    <xf numFmtId="167" fontId="8" fillId="0" borderId="37" xfId="2" applyNumberFormat="1" applyFont="1" applyBorder="1" applyAlignment="1">
      <alignment horizontal="center"/>
    </xf>
    <xf numFmtId="170" fontId="8" fillId="3" borderId="19" xfId="4" applyNumberFormat="1" applyFont="1" applyFill="1" applyBorder="1" applyAlignment="1">
      <alignment horizontal="center" vertical="center" wrapText="1"/>
    </xf>
    <xf numFmtId="173" fontId="8" fillId="3" borderId="19" xfId="4" applyNumberFormat="1" applyFont="1" applyFill="1" applyBorder="1" applyAlignment="1">
      <alignment horizontal="center" vertical="center" wrapText="1"/>
    </xf>
    <xf numFmtId="170" fontId="8" fillId="3" borderId="38" xfId="4" applyNumberFormat="1" applyFont="1" applyFill="1" applyBorder="1" applyAlignment="1">
      <alignment horizontal="center" vertical="center" wrapText="1"/>
    </xf>
    <xf numFmtId="170" fontId="8" fillId="3" borderId="34" xfId="4" applyNumberFormat="1" applyFont="1" applyFill="1" applyBorder="1" applyAlignment="1">
      <alignment horizontal="center" vertical="center" wrapText="1"/>
    </xf>
    <xf numFmtId="171" fontId="10" fillId="6" borderId="6" xfId="4" applyNumberFormat="1" applyFont="1" applyFill="1" applyBorder="1" applyAlignment="1">
      <alignment horizontal="center" vertical="center" wrapText="1"/>
    </xf>
    <xf numFmtId="0" fontId="10" fillId="6" borderId="6" xfId="0" applyNumberFormat="1" applyFont="1" applyFill="1" applyBorder="1" applyAlignment="1">
      <alignment horizontal="center" vertical="center" wrapText="1"/>
    </xf>
    <xf numFmtId="172" fontId="10" fillId="6" borderId="6" xfId="4" applyNumberFormat="1" applyFont="1" applyFill="1" applyBorder="1" applyAlignment="1">
      <alignment horizontal="center" vertical="center" wrapText="1"/>
    </xf>
    <xf numFmtId="171" fontId="10" fillId="28" borderId="5" xfId="4" applyNumberFormat="1" applyFont="1" applyFill="1" applyBorder="1" applyAlignment="1">
      <alignment horizontal="center" vertical="center" wrapText="1"/>
    </xf>
    <xf numFmtId="172" fontId="10" fillId="28" borderId="1" xfId="4" applyNumberFormat="1" applyFont="1" applyFill="1" applyBorder="1" applyAlignment="1">
      <alignment horizontal="center" vertical="center" wrapText="1"/>
    </xf>
    <xf numFmtId="171" fontId="10" fillId="28" borderId="1" xfId="4" applyNumberFormat="1" applyFont="1" applyFill="1" applyBorder="1" applyAlignment="1">
      <alignment horizontal="center" vertical="center" wrapText="1"/>
    </xf>
    <xf numFmtId="173" fontId="8" fillId="3" borderId="38" xfId="4" applyNumberFormat="1" applyFont="1" applyFill="1" applyBorder="1" applyAlignment="1">
      <alignment horizontal="center" vertical="center" wrapText="1"/>
    </xf>
    <xf numFmtId="170" fontId="8" fillId="4" borderId="14" xfId="4" applyNumberFormat="1" applyFont="1" applyFill="1" applyBorder="1" applyAlignment="1">
      <alignment horizontal="left" vertical="center" wrapText="1"/>
    </xf>
    <xf numFmtId="170" fontId="8" fillId="4" borderId="15" xfId="4" applyNumberFormat="1" applyFont="1" applyFill="1" applyBorder="1" applyAlignment="1">
      <alignment horizontal="left" vertical="center" wrapText="1"/>
    </xf>
    <xf numFmtId="0" fontId="8" fillId="3" borderId="13" xfId="7" applyFont="1" applyFill="1" applyBorder="1"/>
    <xf numFmtId="0" fontId="7" fillId="5" borderId="0" xfId="7" applyFont="1" applyFill="1" applyAlignment="1">
      <alignment vertical="top" wrapText="1"/>
    </xf>
    <xf numFmtId="0" fontId="8" fillId="5" borderId="0" xfId="0" applyFont="1" applyFill="1" applyBorder="1" applyAlignment="1">
      <alignment vertical="top" wrapText="1"/>
    </xf>
    <xf numFmtId="170" fontId="8" fillId="5" borderId="0" xfId="4" applyNumberFormat="1" applyFont="1" applyFill="1" applyBorder="1" applyAlignment="1">
      <alignment vertical="top" wrapText="1"/>
    </xf>
    <xf numFmtId="0" fontId="7" fillId="0" borderId="0" xfId="7" applyFont="1" applyAlignment="1">
      <alignment vertical="top" wrapText="1"/>
    </xf>
    <xf numFmtId="0" fontId="14" fillId="5" borderId="0" xfId="7" applyFont="1" applyFill="1"/>
    <xf numFmtId="173" fontId="8" fillId="0" borderId="35" xfId="4" applyNumberFormat="1" applyFont="1" applyBorder="1" applyAlignment="1">
      <alignment horizontal="center" vertical="center" wrapText="1"/>
    </xf>
    <xf numFmtId="170" fontId="8" fillId="5" borderId="34" xfId="4" applyNumberFormat="1" applyFont="1" applyFill="1" applyBorder="1" applyAlignment="1">
      <alignment horizontal="center" vertical="center" wrapText="1"/>
    </xf>
    <xf numFmtId="170" fontId="8" fillId="5" borderId="32" xfId="4" applyNumberFormat="1" applyFont="1" applyFill="1" applyBorder="1" applyAlignment="1">
      <alignment horizontal="center" vertical="center" wrapText="1"/>
    </xf>
    <xf numFmtId="170" fontId="8" fillId="5" borderId="13" xfId="4" applyNumberFormat="1" applyFont="1" applyFill="1" applyBorder="1" applyAlignment="1">
      <alignment horizontal="center" vertical="center" wrapText="1"/>
    </xf>
    <xf numFmtId="167" fontId="8" fillId="0" borderId="29" xfId="2" applyNumberFormat="1" applyFont="1" applyFill="1" applyBorder="1" applyAlignment="1">
      <alignment horizontal="center"/>
    </xf>
    <xf numFmtId="167" fontId="8" fillId="0" borderId="30" xfId="2" applyNumberFormat="1" applyFont="1" applyFill="1" applyBorder="1" applyAlignment="1">
      <alignment horizontal="center"/>
    </xf>
    <xf numFmtId="167" fontId="8" fillId="0" borderId="31" xfId="2" applyNumberFormat="1" applyFont="1" applyFill="1" applyBorder="1" applyAlignment="1">
      <alignment horizontal="center"/>
    </xf>
    <xf numFmtId="0" fontId="39" fillId="5" borderId="0" xfId="7" applyFont="1" applyFill="1"/>
    <xf numFmtId="173" fontId="8" fillId="3" borderId="34" xfId="4" applyNumberFormat="1" applyFont="1" applyFill="1" applyBorder="1" applyAlignment="1">
      <alignment horizontal="center" vertical="center" wrapText="1"/>
    </xf>
    <xf numFmtId="0" fontId="7" fillId="5" borderId="0" xfId="7" applyFont="1" applyFill="1" applyBorder="1" applyAlignment="1">
      <alignment vertical="top" wrapText="1"/>
    </xf>
    <xf numFmtId="0" fontId="10"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10" fillId="7" borderId="1"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7" borderId="5" xfId="0" applyFont="1" applyFill="1" applyBorder="1" applyAlignment="1">
      <alignment horizontal="center" vertical="center" wrapText="1"/>
    </xf>
    <xf numFmtId="171" fontId="10" fillId="6" borderId="5" xfId="4" applyNumberFormat="1" applyFont="1" applyFill="1" applyBorder="1" applyAlignment="1">
      <alignment horizontal="center" vertical="center" wrapText="1"/>
    </xf>
    <xf numFmtId="0" fontId="10" fillId="5" borderId="0" xfId="7" applyFont="1" applyFill="1" applyBorder="1" applyAlignment="1">
      <alignment horizontal="center" vertical="center" wrapText="1"/>
    </xf>
    <xf numFmtId="0" fontId="39" fillId="3" borderId="0" xfId="7" applyFont="1" applyFill="1"/>
    <xf numFmtId="0" fontId="8" fillId="0" borderId="0" xfId="0" applyFont="1" applyFill="1"/>
    <xf numFmtId="0" fontId="7" fillId="0" borderId="0" xfId="0" applyFont="1" applyFill="1"/>
    <xf numFmtId="0" fontId="7" fillId="0" borderId="0" xfId="0" applyFont="1" applyFill="1" applyAlignment="1">
      <alignment horizontal="center"/>
    </xf>
    <xf numFmtId="0" fontId="39" fillId="5" borderId="0" xfId="0" applyFont="1" applyFill="1" applyAlignment="1">
      <alignment horizontal="center"/>
    </xf>
    <xf numFmtId="0" fontId="39" fillId="5" borderId="0" xfId="7" applyFont="1" applyFill="1" applyAlignment="1">
      <alignment horizontal="center"/>
    </xf>
    <xf numFmtId="0" fontId="7" fillId="5" borderId="0" xfId="0" applyFont="1" applyFill="1" applyAlignment="1">
      <alignment horizontal="center"/>
    </xf>
    <xf numFmtId="169" fontId="7" fillId="5" borderId="0" xfId="0" applyNumberFormat="1" applyFont="1" applyFill="1"/>
    <xf numFmtId="168" fontId="7" fillId="5" borderId="0" xfId="0" applyNumberFormat="1" applyFont="1" applyFill="1"/>
    <xf numFmtId="169" fontId="7" fillId="0" borderId="0" xfId="0" applyNumberFormat="1" applyFont="1" applyFill="1"/>
    <xf numFmtId="168" fontId="7" fillId="0" borderId="0" xfId="0" applyNumberFormat="1" applyFont="1" applyFill="1"/>
    <xf numFmtId="0" fontId="44" fillId="5" borderId="0" xfId="7" applyFont="1" applyFill="1" applyBorder="1" applyAlignment="1"/>
    <xf numFmtId="170" fontId="8" fillId="5" borderId="19" xfId="4" applyNumberFormat="1" applyFont="1" applyFill="1" applyBorder="1" applyAlignment="1">
      <alignment horizontal="center" vertical="center" wrapText="1"/>
    </xf>
    <xf numFmtId="173" fontId="8" fillId="5" borderId="19" xfId="4" applyNumberFormat="1" applyFont="1" applyFill="1" applyBorder="1" applyAlignment="1">
      <alignment horizontal="center" vertical="center" wrapText="1"/>
    </xf>
    <xf numFmtId="0" fontId="36" fillId="5" borderId="0" xfId="7" applyFont="1" applyFill="1"/>
    <xf numFmtId="170" fontId="35" fillId="4" borderId="14" xfId="4" applyNumberFormat="1" applyFont="1" applyFill="1" applyBorder="1" applyAlignment="1">
      <alignment horizontal="center" vertical="center" wrapText="1"/>
    </xf>
    <xf numFmtId="170" fontId="35" fillId="4" borderId="15" xfId="4" applyNumberFormat="1" applyFont="1" applyFill="1" applyBorder="1" applyAlignment="1">
      <alignment horizontal="center" vertical="center" wrapText="1"/>
    </xf>
    <xf numFmtId="170" fontId="8" fillId="0" borderId="34" xfId="4" applyNumberFormat="1" applyFont="1" applyBorder="1" applyAlignment="1">
      <alignment horizontal="center" vertical="center" wrapText="1"/>
    </xf>
    <xf numFmtId="170" fontId="8" fillId="0" borderId="32" xfId="4" applyNumberFormat="1" applyFont="1" applyBorder="1" applyAlignment="1">
      <alignment horizontal="center" vertical="center" wrapText="1"/>
    </xf>
    <xf numFmtId="170" fontId="8" fillId="0" borderId="33" xfId="4" applyNumberFormat="1" applyFont="1" applyBorder="1" applyAlignment="1">
      <alignment horizontal="center" vertical="center" wrapText="1"/>
    </xf>
    <xf numFmtId="173" fontId="8" fillId="0" borderId="13" xfId="3" applyNumberFormat="1" applyFont="1" applyBorder="1" applyAlignment="1">
      <alignment horizontal="center" vertical="center" wrapText="1"/>
    </xf>
    <xf numFmtId="173" fontId="8" fillId="3" borderId="33" xfId="4" applyNumberFormat="1" applyFont="1" applyFill="1" applyBorder="1" applyAlignment="1">
      <alignment horizontal="center" vertical="center" wrapText="1"/>
    </xf>
    <xf numFmtId="0" fontId="7" fillId="5" borderId="9" xfId="0" applyFont="1" applyFill="1" applyBorder="1" applyAlignment="1">
      <alignment wrapText="1"/>
    </xf>
    <xf numFmtId="0" fontId="10" fillId="7" borderId="1" xfId="101" applyNumberFormat="1" applyFont="1" applyFill="1" applyBorder="1" applyAlignment="1" applyProtection="1">
      <alignment horizontal="center" vertical="center" wrapText="1"/>
    </xf>
    <xf numFmtId="0" fontId="10" fillId="4" borderId="5" xfId="0" applyFont="1" applyFill="1" applyBorder="1" applyAlignment="1">
      <alignment horizontal="center" vertical="center" wrapText="1"/>
    </xf>
    <xf numFmtId="171" fontId="10" fillId="7" borderId="1" xfId="4" applyNumberFormat="1" applyFont="1" applyFill="1" applyBorder="1" applyAlignment="1" applyProtection="1">
      <alignment horizontal="center" vertical="center" wrapText="1"/>
    </xf>
    <xf numFmtId="0" fontId="8" fillId="0" borderId="6" xfId="0" applyFont="1" applyFill="1" applyBorder="1" applyAlignment="1">
      <alignment vertical="center" wrapText="1"/>
    </xf>
    <xf numFmtId="0" fontId="8" fillId="0" borderId="4" xfId="0" applyFont="1" applyFill="1" applyBorder="1" applyAlignment="1">
      <alignment vertical="center" wrapText="1"/>
    </xf>
    <xf numFmtId="0" fontId="8" fillId="0" borderId="3" xfId="0" applyFont="1" applyFill="1" applyBorder="1" applyAlignment="1">
      <alignment vertical="center" wrapText="1"/>
    </xf>
    <xf numFmtId="0" fontId="10" fillId="4" borderId="6"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7" fillId="5" borderId="0" xfId="7" applyFont="1" applyFill="1" applyBorder="1" applyAlignment="1">
      <alignment vertical="top" wrapText="1"/>
    </xf>
    <xf numFmtId="166" fontId="8" fillId="0" borderId="15" xfId="1" applyNumberFormat="1" applyFont="1" applyBorder="1" applyAlignment="1">
      <alignment horizontal="center"/>
    </xf>
    <xf numFmtId="170" fontId="8" fillId="0" borderId="15" xfId="3" applyNumberFormat="1" applyFont="1" applyBorder="1" applyAlignment="1">
      <alignment horizontal="center" vertical="center" wrapText="1"/>
    </xf>
    <xf numFmtId="173" fontId="8" fillId="0" borderId="15" xfId="3" applyNumberFormat="1" applyFont="1" applyBorder="1" applyAlignment="1">
      <alignment horizontal="center" vertical="center" wrapText="1"/>
    </xf>
    <xf numFmtId="170" fontId="8" fillId="4" borderId="33" xfId="3" applyNumberFormat="1" applyFont="1" applyFill="1" applyBorder="1" applyAlignment="1">
      <alignment horizontal="center" vertical="center" wrapText="1"/>
    </xf>
    <xf numFmtId="0" fontId="16" fillId="5" borderId="0" xfId="0" applyFont="1" applyFill="1" applyBorder="1" applyAlignment="1">
      <alignment horizontal="center" vertical="center" wrapText="1"/>
    </xf>
    <xf numFmtId="0" fontId="8" fillId="5" borderId="9" xfId="101" applyFont="1" applyFill="1" applyBorder="1" applyProtection="1"/>
    <xf numFmtId="170" fontId="8" fillId="5" borderId="9" xfId="101" applyNumberFormat="1" applyFont="1" applyFill="1" applyBorder="1" applyProtection="1"/>
    <xf numFmtId="170" fontId="8" fillId="5" borderId="17" xfId="101" applyNumberFormat="1" applyFont="1" applyFill="1" applyBorder="1" applyProtection="1"/>
    <xf numFmtId="0" fontId="8" fillId="5" borderId="0" xfId="101" applyFont="1" applyFill="1" applyBorder="1" applyProtection="1"/>
    <xf numFmtId="170" fontId="8" fillId="5" borderId="0" xfId="101" applyNumberFormat="1" applyFont="1" applyFill="1" applyBorder="1" applyProtection="1"/>
    <xf numFmtId="170" fontId="8" fillId="5" borderId="12" xfId="101" applyNumberFormat="1" applyFont="1" applyFill="1" applyBorder="1" applyProtection="1"/>
    <xf numFmtId="0" fontId="45" fillId="5" borderId="18" xfId="101" applyFont="1" applyFill="1" applyBorder="1" applyProtection="1"/>
    <xf numFmtId="0" fontId="45" fillId="5" borderId="0" xfId="101" applyFont="1" applyFill="1" applyBorder="1" applyProtection="1"/>
    <xf numFmtId="0" fontId="8" fillId="5" borderId="18" xfId="101" applyFont="1" applyFill="1" applyBorder="1" applyProtection="1"/>
    <xf numFmtId="0" fontId="8" fillId="5" borderId="0" xfId="101" applyFont="1" applyFill="1" applyBorder="1" applyAlignment="1" applyProtection="1"/>
    <xf numFmtId="0" fontId="0" fillId="5" borderId="0" xfId="0" applyFill="1"/>
    <xf numFmtId="0" fontId="8" fillId="5" borderId="0" xfId="7" applyFont="1" applyFill="1" applyAlignment="1">
      <alignment vertical="center"/>
    </xf>
    <xf numFmtId="170" fontId="8" fillId="5" borderId="0" xfId="0" applyNumberFormat="1" applyFont="1" applyFill="1" applyBorder="1"/>
    <xf numFmtId="170" fontId="8" fillId="5" borderId="12" xfId="0" applyNumberFormat="1" applyFont="1" applyFill="1" applyBorder="1"/>
    <xf numFmtId="0" fontId="35" fillId="5" borderId="0" xfId="7" applyFont="1" applyFill="1" applyBorder="1"/>
    <xf numFmtId="0" fontId="16" fillId="5" borderId="0" xfId="0" applyFont="1" applyFill="1" applyBorder="1" applyAlignment="1" applyProtection="1">
      <alignment horizontal="center" vertical="center" wrapText="1"/>
      <protection locked="0"/>
    </xf>
    <xf numFmtId="0" fontId="7" fillId="5" borderId="9" xfId="0" applyFont="1" applyFill="1" applyBorder="1"/>
    <xf numFmtId="0" fontId="7" fillId="5" borderId="17" xfId="0" applyFont="1" applyFill="1" applyBorder="1" applyAlignment="1">
      <alignment wrapText="1"/>
    </xf>
    <xf numFmtId="0" fontId="8" fillId="5" borderId="35" xfId="0" applyFont="1" applyFill="1" applyBorder="1"/>
    <xf numFmtId="0" fontId="8" fillId="3" borderId="35" xfId="0" applyFont="1" applyFill="1" applyBorder="1" applyAlignment="1">
      <alignment horizontal="center"/>
    </xf>
    <xf numFmtId="167" fontId="8" fillId="0" borderId="43" xfId="2" applyNumberFormat="1" applyFont="1" applyBorder="1" applyAlignment="1">
      <alignment horizontal="center"/>
    </xf>
    <xf numFmtId="170" fontId="8" fillId="3" borderId="35" xfId="4" applyNumberFormat="1" applyFont="1" applyFill="1" applyBorder="1" applyAlignment="1">
      <alignment horizontal="center" vertical="center" wrapText="1"/>
    </xf>
    <xf numFmtId="170" fontId="8" fillId="0" borderId="4" xfId="4" applyNumberFormat="1" applyFont="1" applyBorder="1" applyAlignment="1">
      <alignment horizontal="center" vertical="center" wrapText="1"/>
    </xf>
    <xf numFmtId="173" fontId="8" fillId="0" borderId="4" xfId="4" applyNumberFormat="1" applyFont="1" applyBorder="1" applyAlignment="1">
      <alignment horizontal="center" vertical="center" wrapText="1"/>
    </xf>
    <xf numFmtId="0" fontId="8" fillId="3" borderId="7" xfId="0" applyFont="1" applyFill="1" applyBorder="1" applyAlignment="1">
      <alignment horizontal="center" vertical="center" wrapText="1"/>
    </xf>
    <xf numFmtId="0" fontId="8" fillId="5" borderId="7" xfId="0" applyFont="1" applyFill="1" applyBorder="1"/>
    <xf numFmtId="0" fontId="8" fillId="3" borderId="7" xfId="0" applyFont="1" applyFill="1" applyBorder="1" applyAlignment="1">
      <alignment horizontal="center"/>
    </xf>
    <xf numFmtId="173" fontId="8" fillId="0" borderId="7" xfId="4" applyNumberFormat="1" applyFont="1" applyBorder="1" applyAlignment="1">
      <alignment horizontal="center" vertical="center" wrapText="1"/>
    </xf>
    <xf numFmtId="0" fontId="8" fillId="5" borderId="7" xfId="0" applyFont="1" applyFill="1" applyBorder="1" applyAlignment="1">
      <alignment horizontal="center"/>
    </xf>
    <xf numFmtId="166" fontId="8" fillId="5" borderId="7" xfId="2" applyNumberFormat="1" applyFont="1" applyFill="1" applyBorder="1" applyAlignment="1">
      <alignment horizontal="center"/>
    </xf>
    <xf numFmtId="167" fontId="8" fillId="5" borderId="7" xfId="2" applyNumberFormat="1" applyFont="1" applyFill="1" applyBorder="1" applyAlignment="1">
      <alignment horizontal="center"/>
    </xf>
    <xf numFmtId="170" fontId="8" fillId="5" borderId="7" xfId="4" applyNumberFormat="1" applyFont="1" applyFill="1" applyBorder="1" applyAlignment="1">
      <alignment horizontal="center" vertical="center" wrapText="1"/>
    </xf>
    <xf numFmtId="173" fontId="8" fillId="5" borderId="7" xfId="4" applyNumberFormat="1" applyFont="1" applyFill="1" applyBorder="1" applyAlignment="1">
      <alignment horizontal="center" vertical="center" wrapText="1"/>
    </xf>
    <xf numFmtId="0" fontId="8" fillId="5" borderId="7" xfId="0" applyFont="1" applyFill="1" applyBorder="1" applyAlignment="1">
      <alignment horizontal="center" vertical="center" wrapText="1"/>
    </xf>
    <xf numFmtId="0" fontId="8" fillId="5" borderId="7" xfId="0" applyFont="1" applyFill="1" applyBorder="1" applyAlignment="1">
      <alignment vertical="center" wrapText="1"/>
    </xf>
    <xf numFmtId="0" fontId="8" fillId="0" borderId="35" xfId="0" applyFont="1" applyFill="1" applyBorder="1"/>
    <xf numFmtId="0" fontId="8" fillId="0" borderId="6" xfId="0" applyFont="1" applyFill="1" applyBorder="1"/>
    <xf numFmtId="0" fontId="8" fillId="0" borderId="4" xfId="0" applyFont="1" applyFill="1" applyBorder="1"/>
    <xf numFmtId="0" fontId="7" fillId="5" borderId="0" xfId="7" applyFont="1" applyFill="1" applyBorder="1" applyAlignment="1">
      <alignment vertical="top" wrapText="1"/>
    </xf>
    <xf numFmtId="170" fontId="8" fillId="0" borderId="13" xfId="3" applyNumberFormat="1" applyFont="1" applyBorder="1" applyAlignment="1">
      <alignment horizontal="center" vertical="center" wrapText="1"/>
    </xf>
    <xf numFmtId="0" fontId="7" fillId="5" borderId="9" xfId="7" applyFont="1" applyFill="1" applyBorder="1"/>
    <xf numFmtId="0" fontId="7" fillId="5" borderId="17" xfId="7" applyFont="1" applyFill="1" applyBorder="1"/>
    <xf numFmtId="0" fontId="10" fillId="7" borderId="5"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7" fillId="5" borderId="7" xfId="7" applyFont="1" applyFill="1" applyBorder="1"/>
    <xf numFmtId="0" fontId="7" fillId="5" borderId="0" xfId="7" applyFont="1" applyFill="1" applyBorder="1" applyAlignment="1">
      <alignment vertical="top" wrapText="1"/>
    </xf>
    <xf numFmtId="0" fontId="10" fillId="4" borderId="6" xfId="0" applyFont="1" applyFill="1" applyBorder="1" applyAlignment="1">
      <alignment horizontal="center" vertical="center" wrapText="1"/>
    </xf>
    <xf numFmtId="0" fontId="7" fillId="5" borderId="0" xfId="0" applyFont="1" applyFill="1" applyBorder="1" applyAlignment="1">
      <alignment horizontal="left" vertical="center" wrapText="1"/>
    </xf>
    <xf numFmtId="0" fontId="0" fillId="5" borderId="0" xfId="0" applyFill="1" applyProtection="1">
      <protection locked="0"/>
    </xf>
    <xf numFmtId="0" fontId="0" fillId="5" borderId="0" xfId="0" applyFill="1" applyProtection="1"/>
    <xf numFmtId="0" fontId="11" fillId="5" borderId="0" xfId="105" applyFont="1" applyFill="1" applyBorder="1" applyAlignment="1" applyProtection="1">
      <alignment vertical="top"/>
    </xf>
    <xf numFmtId="0" fontId="11" fillId="5" borderId="0" xfId="105" applyFont="1" applyFill="1" applyBorder="1" applyAlignment="1" applyProtection="1">
      <alignment vertical="center"/>
    </xf>
    <xf numFmtId="0" fontId="6" fillId="5" borderId="0" xfId="0" applyNumberFormat="1" applyFont="1" applyFill="1" applyAlignment="1">
      <alignment horizontal="center"/>
    </xf>
    <xf numFmtId="0" fontId="6" fillId="5" borderId="0" xfId="0" applyNumberFormat="1" applyFont="1" applyFill="1" applyAlignment="1" applyProtection="1">
      <alignment horizontal="center"/>
    </xf>
    <xf numFmtId="0" fontId="6" fillId="5" borderId="0" xfId="0" applyFont="1" applyFill="1"/>
    <xf numFmtId="0" fontId="46" fillId="5" borderId="0" xfId="7" applyFont="1" applyFill="1" applyProtection="1"/>
    <xf numFmtId="0" fontId="7" fillId="5" borderId="0" xfId="0" applyFont="1" applyFill="1" applyBorder="1" applyAlignment="1">
      <alignment horizontal="left" vertical="center" wrapText="1"/>
    </xf>
    <xf numFmtId="0" fontId="8" fillId="5" borderId="0" xfId="0" applyFont="1" applyFill="1" applyBorder="1" applyAlignment="1">
      <alignment horizontal="left" vertical="top" wrapText="1"/>
    </xf>
    <xf numFmtId="0" fontId="8" fillId="5" borderId="12" xfId="0" applyFont="1" applyFill="1" applyBorder="1" applyAlignment="1">
      <alignment horizontal="left" vertical="top" wrapText="1"/>
    </xf>
    <xf numFmtId="0" fontId="16" fillId="5" borderId="0" xfId="0" applyFont="1" applyFill="1" applyBorder="1" applyAlignment="1">
      <alignment horizontal="center" vertical="center" wrapText="1"/>
    </xf>
    <xf numFmtId="0" fontId="7" fillId="5" borderId="0" xfId="7" applyFont="1" applyFill="1" applyBorder="1" applyAlignment="1">
      <alignment vertical="top" wrapText="1"/>
    </xf>
    <xf numFmtId="0" fontId="45" fillId="5" borderId="0" xfId="101" applyFont="1" applyFill="1" applyBorder="1" applyAlignment="1" applyProtection="1">
      <alignment horizontal="left"/>
    </xf>
    <xf numFmtId="0" fontId="8" fillId="5" borderId="0" xfId="101" applyFont="1" applyFill="1" applyBorder="1" applyAlignment="1" applyProtection="1">
      <alignment horizontal="left"/>
    </xf>
    <xf numFmtId="0" fontId="47" fillId="8" borderId="48" xfId="0" applyFont="1" applyFill="1" applyBorder="1" applyAlignment="1">
      <alignment vertical="center" wrapText="1"/>
    </xf>
    <xf numFmtId="0" fontId="48" fillId="5" borderId="51" xfId="0" applyFont="1" applyFill="1" applyBorder="1" applyAlignment="1">
      <alignment vertical="center" wrapText="1"/>
    </xf>
    <xf numFmtId="0" fontId="48" fillId="5" borderId="52" xfId="0" applyFont="1" applyFill="1" applyBorder="1" applyAlignment="1">
      <alignment vertical="center" wrapText="1"/>
    </xf>
    <xf numFmtId="0" fontId="8" fillId="5" borderId="0" xfId="0" applyFont="1" applyFill="1" applyBorder="1" applyAlignment="1">
      <alignment vertical="center" wrapText="1"/>
    </xf>
    <xf numFmtId="0" fontId="48" fillId="5" borderId="45" xfId="0" applyFont="1" applyFill="1" applyBorder="1" applyAlignment="1">
      <alignment vertical="center" wrapText="1"/>
    </xf>
    <xf numFmtId="0" fontId="47" fillId="8" borderId="48" xfId="0" quotePrefix="1" applyFont="1" applyFill="1" applyBorder="1" applyAlignment="1">
      <alignment vertical="center" wrapText="1"/>
    </xf>
    <xf numFmtId="0" fontId="48" fillId="5" borderId="54" xfId="0" applyFont="1" applyFill="1" applyBorder="1" applyAlignment="1">
      <alignment vertical="center" wrapText="1"/>
    </xf>
    <xf numFmtId="0" fontId="48" fillId="5" borderId="53" xfId="0" applyFont="1" applyFill="1" applyBorder="1" applyAlignment="1">
      <alignment vertical="center" wrapText="1"/>
    </xf>
    <xf numFmtId="0" fontId="12" fillId="5" borderId="0" xfId="7" applyFont="1" applyFill="1" applyProtection="1"/>
    <xf numFmtId="0" fontId="8" fillId="5" borderId="52" xfId="0" applyFont="1" applyFill="1" applyBorder="1" applyAlignment="1">
      <alignment vertical="center"/>
    </xf>
    <xf numFmtId="0" fontId="52" fillId="5" borderId="0" xfId="7" applyFont="1" applyFill="1" applyProtection="1"/>
    <xf numFmtId="0" fontId="8" fillId="5" borderId="0" xfId="0" applyFont="1" applyFill="1" applyBorder="1" applyAlignment="1">
      <alignment vertical="center"/>
    </xf>
    <xf numFmtId="0" fontId="8" fillId="3" borderId="13" xfId="0" applyFont="1" applyFill="1" applyBorder="1" applyAlignment="1">
      <alignment vertical="center" wrapText="1"/>
    </xf>
    <xf numFmtId="0" fontId="8" fillId="3" borderId="14" xfId="0" applyFont="1" applyFill="1" applyBorder="1" applyAlignment="1">
      <alignment vertical="center" wrapText="1"/>
    </xf>
    <xf numFmtId="0" fontId="8" fillId="3" borderId="15" xfId="0" applyFont="1" applyFill="1" applyBorder="1" applyAlignment="1">
      <alignment vertical="center" wrapText="1"/>
    </xf>
    <xf numFmtId="0" fontId="7" fillId="5" borderId="12" xfId="0" applyFont="1" applyFill="1" applyBorder="1" applyAlignment="1">
      <alignment wrapText="1"/>
    </xf>
    <xf numFmtId="0" fontId="8" fillId="5" borderId="18" xfId="0" applyFont="1" applyFill="1" applyBorder="1"/>
    <xf numFmtId="0" fontId="53" fillId="5" borderId="18" xfId="0" applyFont="1" applyFill="1" applyBorder="1" applyAlignment="1">
      <alignment vertical="center"/>
    </xf>
    <xf numFmtId="0" fontId="53" fillId="5" borderId="18" xfId="0" applyFont="1" applyFill="1" applyBorder="1" applyAlignment="1">
      <alignment horizontal="left" vertical="center" wrapText="1"/>
    </xf>
    <xf numFmtId="0" fontId="8" fillId="5" borderId="9" xfId="0" applyFont="1" applyFill="1" applyBorder="1"/>
    <xf numFmtId="0" fontId="8" fillId="5" borderId="9" xfId="0" applyFont="1" applyFill="1" applyBorder="1" applyAlignment="1">
      <alignment horizontal="center"/>
    </xf>
    <xf numFmtId="0" fontId="55" fillId="5" borderId="18" xfId="0" applyFont="1" applyFill="1" applyBorder="1" applyAlignment="1">
      <alignment vertical="top" wrapText="1"/>
    </xf>
    <xf numFmtId="0" fontId="55" fillId="5" borderId="0" xfId="0" applyFont="1" applyFill="1" applyBorder="1" applyAlignment="1">
      <alignment horizontal="left" vertical="top" wrapText="1"/>
    </xf>
    <xf numFmtId="0" fontId="55" fillId="5" borderId="12" xfId="0" applyFont="1" applyFill="1" applyBorder="1" applyAlignment="1">
      <alignment horizontal="left" vertical="top" wrapText="1"/>
    </xf>
    <xf numFmtId="0" fontId="8" fillId="0" borderId="18" xfId="0" applyFont="1" applyBorder="1"/>
    <xf numFmtId="0" fontId="10" fillId="5" borderId="9" xfId="0" applyFont="1" applyFill="1" applyBorder="1"/>
    <xf numFmtId="169" fontId="8" fillId="5" borderId="9" xfId="0" applyNumberFormat="1" applyFont="1" applyFill="1" applyBorder="1"/>
    <xf numFmtId="168" fontId="8" fillId="5" borderId="9" xfId="0" applyNumberFormat="1" applyFont="1" applyFill="1" applyBorder="1"/>
    <xf numFmtId="0" fontId="8" fillId="5" borderId="17" xfId="0" applyFont="1" applyFill="1" applyBorder="1"/>
    <xf numFmtId="0" fontId="10" fillId="5" borderId="0" xfId="0" applyFont="1" applyFill="1" applyBorder="1"/>
    <xf numFmtId="0" fontId="8" fillId="5" borderId="0" xfId="0" applyFont="1" applyFill="1" applyBorder="1" applyAlignment="1">
      <alignment horizontal="center"/>
    </xf>
    <xf numFmtId="0" fontId="8" fillId="5" borderId="0" xfId="0" applyFont="1" applyFill="1" applyBorder="1"/>
    <xf numFmtId="169" fontId="8" fillId="5" borderId="0" xfId="0" applyNumberFormat="1" applyFont="1" applyFill="1" applyBorder="1"/>
    <xf numFmtId="168" fontId="8" fillId="5" borderId="0" xfId="0" applyNumberFormat="1" applyFont="1" applyFill="1" applyBorder="1"/>
    <xf numFmtId="0" fontId="8" fillId="5" borderId="12" xfId="0" applyFont="1" applyFill="1" applyBorder="1"/>
    <xf numFmtId="0" fontId="8" fillId="5" borderId="18" xfId="0" applyFont="1" applyFill="1" applyBorder="1" applyAlignment="1">
      <alignment vertical="center"/>
    </xf>
    <xf numFmtId="0" fontId="56" fillId="5" borderId="0" xfId="0" applyFont="1" applyFill="1" applyBorder="1" applyAlignment="1">
      <alignment horizontal="center" vertical="center" wrapText="1"/>
    </xf>
    <xf numFmtId="0" fontId="8" fillId="0" borderId="16" xfId="0" applyFont="1" applyFill="1" applyBorder="1" applyAlignment="1">
      <alignment vertical="top"/>
    </xf>
    <xf numFmtId="0" fontId="10" fillId="5" borderId="8" xfId="0" applyFont="1" applyFill="1" applyBorder="1"/>
    <xf numFmtId="0" fontId="8" fillId="5" borderId="8" xfId="0" applyFont="1" applyFill="1" applyBorder="1" applyAlignment="1">
      <alignment horizontal="center"/>
    </xf>
    <xf numFmtId="0" fontId="8" fillId="5" borderId="8" xfId="0" applyFont="1" applyFill="1" applyBorder="1"/>
    <xf numFmtId="169" fontId="8" fillId="5" borderId="8" xfId="0" applyNumberFormat="1" applyFont="1" applyFill="1" applyBorder="1"/>
    <xf numFmtId="168" fontId="8" fillId="5" borderId="8" xfId="0" applyNumberFormat="1" applyFont="1" applyFill="1" applyBorder="1"/>
    <xf numFmtId="0" fontId="8" fillId="5" borderId="11" xfId="0" applyFont="1" applyFill="1" applyBorder="1"/>
    <xf numFmtId="0" fontId="8" fillId="5" borderId="9" xfId="0" applyFont="1" applyFill="1" applyBorder="1" applyAlignment="1">
      <alignment wrapText="1"/>
    </xf>
    <xf numFmtId="0" fontId="53" fillId="5" borderId="18" xfId="101" applyFont="1" applyFill="1" applyBorder="1" applyAlignment="1" applyProtection="1">
      <alignment vertical="center"/>
    </xf>
    <xf numFmtId="0" fontId="10" fillId="5" borderId="12" xfId="0" applyFont="1" applyFill="1" applyBorder="1" applyAlignment="1">
      <alignment horizontal="center" vertical="center" wrapText="1"/>
    </xf>
    <xf numFmtId="0" fontId="8" fillId="5" borderId="18" xfId="101" applyFont="1" applyFill="1" applyBorder="1" applyAlignment="1" applyProtection="1">
      <alignment vertical="center"/>
    </xf>
    <xf numFmtId="0" fontId="10" fillId="3" borderId="18" xfId="0" applyFont="1" applyFill="1" applyBorder="1" applyAlignment="1">
      <alignment horizontal="left" vertical="center" wrapText="1"/>
    </xf>
    <xf numFmtId="0" fontId="10" fillId="3" borderId="0" xfId="0" applyFont="1" applyFill="1" applyBorder="1" applyAlignment="1">
      <alignment horizontal="left" vertical="center" wrapText="1"/>
    </xf>
    <xf numFmtId="0" fontId="10" fillId="3" borderId="12" xfId="0" applyFont="1" applyFill="1" applyBorder="1" applyAlignment="1">
      <alignment horizontal="left" vertical="center" wrapText="1"/>
    </xf>
    <xf numFmtId="0" fontId="54" fillId="5" borderId="18" xfId="0" applyFont="1" applyFill="1" applyBorder="1" applyAlignment="1">
      <alignmen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170" fontId="57" fillId="5" borderId="10" xfId="0" applyNumberFormat="1" applyFont="1" applyFill="1" applyBorder="1"/>
    <xf numFmtId="170" fontId="8" fillId="5" borderId="18" xfId="0" applyNumberFormat="1" applyFont="1" applyFill="1" applyBorder="1" applyAlignment="1">
      <alignment vertical="top" wrapText="1"/>
    </xf>
    <xf numFmtId="0" fontId="8" fillId="3" borderId="18" xfId="0" applyFont="1" applyFill="1" applyBorder="1" applyAlignment="1">
      <alignment vertical="top" wrapText="1"/>
    </xf>
    <xf numFmtId="0" fontId="8" fillId="3" borderId="0" xfId="0" applyFont="1" applyFill="1" applyBorder="1" applyAlignment="1">
      <alignment vertical="top" wrapText="1"/>
    </xf>
    <xf numFmtId="0" fontId="8" fillId="3" borderId="12" xfId="0" applyFont="1" applyFill="1" applyBorder="1" applyAlignment="1">
      <alignment vertical="top" wrapText="1"/>
    </xf>
    <xf numFmtId="0" fontId="8" fillId="5" borderId="18" xfId="0" applyFont="1" applyFill="1" applyBorder="1" applyAlignment="1">
      <alignment vertical="top" wrapText="1"/>
    </xf>
    <xf numFmtId="0" fontId="8" fillId="5" borderId="12" xfId="0" applyFont="1" applyFill="1" applyBorder="1" applyAlignment="1">
      <alignment vertical="top" wrapText="1"/>
    </xf>
    <xf numFmtId="0" fontId="8" fillId="5" borderId="18" xfId="7" applyFont="1" applyFill="1" applyBorder="1" applyAlignment="1">
      <alignment vertical="top" wrapText="1"/>
    </xf>
    <xf numFmtId="0" fontId="8" fillId="5" borderId="0" xfId="7" applyFont="1" applyFill="1" applyBorder="1" applyAlignment="1">
      <alignment vertical="top" wrapText="1"/>
    </xf>
    <xf numFmtId="0" fontId="8" fillId="5" borderId="12" xfId="7" applyFont="1" applyFill="1" applyBorder="1" applyAlignment="1">
      <alignment vertical="top" wrapText="1"/>
    </xf>
    <xf numFmtId="0" fontId="8" fillId="5" borderId="18" xfId="7" applyFont="1" applyFill="1" applyBorder="1" applyAlignment="1">
      <alignment wrapText="1"/>
    </xf>
    <xf numFmtId="170" fontId="57" fillId="5" borderId="9" xfId="0" applyNumberFormat="1" applyFont="1" applyFill="1" applyBorder="1"/>
    <xf numFmtId="170" fontId="57" fillId="5" borderId="17" xfId="0" applyNumberFormat="1" applyFont="1" applyFill="1" applyBorder="1"/>
    <xf numFmtId="0" fontId="53" fillId="5" borderId="18" xfId="7" applyFont="1" applyFill="1" applyBorder="1" applyAlignment="1">
      <alignment vertical="top" wrapText="1"/>
    </xf>
    <xf numFmtId="0" fontId="53" fillId="5" borderId="18" xfId="7" applyFont="1" applyFill="1" applyBorder="1" applyAlignment="1">
      <alignment vertical="top"/>
    </xf>
    <xf numFmtId="0" fontId="10" fillId="3" borderId="9" xfId="0" applyFont="1" applyFill="1" applyBorder="1" applyAlignment="1">
      <alignment horizontal="left" vertical="center" wrapText="1"/>
    </xf>
    <xf numFmtId="0" fontId="10" fillId="3" borderId="17"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12" xfId="0" applyFont="1" applyFill="1" applyBorder="1" applyAlignment="1">
      <alignment horizontal="left" vertical="center" wrapText="1"/>
    </xf>
    <xf numFmtId="0" fontId="8" fillId="3" borderId="18" xfId="0" applyFont="1" applyFill="1" applyBorder="1" applyAlignment="1">
      <alignment horizontal="left" vertical="center" wrapText="1"/>
    </xf>
    <xf numFmtId="0" fontId="8" fillId="5" borderId="18" xfId="101" applyFont="1" applyFill="1" applyBorder="1" applyAlignment="1" applyProtection="1">
      <alignment vertical="center" wrapText="1"/>
    </xf>
    <xf numFmtId="0" fontId="8" fillId="5" borderId="0" xfId="101" applyFont="1" applyFill="1" applyBorder="1" applyAlignment="1" applyProtection="1">
      <alignment vertical="center"/>
    </xf>
    <xf numFmtId="170" fontId="53" fillId="5" borderId="18" xfId="0" applyNumberFormat="1" applyFont="1" applyFill="1" applyBorder="1" applyAlignment="1">
      <alignment vertical="center"/>
    </xf>
    <xf numFmtId="0" fontId="8" fillId="3" borderId="18" xfId="0" applyFont="1" applyFill="1" applyBorder="1" applyAlignment="1">
      <alignment vertical="center" wrapText="1"/>
    </xf>
    <xf numFmtId="0" fontId="8" fillId="3" borderId="0" xfId="0" applyFont="1" applyFill="1" applyBorder="1" applyAlignment="1">
      <alignment vertical="center" wrapText="1"/>
    </xf>
    <xf numFmtId="0" fontId="8" fillId="3" borderId="12" xfId="0" applyFont="1" applyFill="1" applyBorder="1" applyAlignment="1">
      <alignment vertical="center" wrapText="1"/>
    </xf>
    <xf numFmtId="0" fontId="8" fillId="3" borderId="0" xfId="0" applyFont="1" applyFill="1" applyBorder="1" applyAlignment="1">
      <alignment vertical="center"/>
    </xf>
    <xf numFmtId="170" fontId="10" fillId="5" borderId="18" xfId="0" applyNumberFormat="1" applyFont="1" applyFill="1" applyBorder="1"/>
    <xf numFmtId="170" fontId="10" fillId="5" borderId="18" xfId="0" applyNumberFormat="1" applyFont="1" applyFill="1" applyBorder="1" applyAlignment="1">
      <alignment vertical="center"/>
    </xf>
    <xf numFmtId="0" fontId="8" fillId="5" borderId="18" xfId="7" applyFont="1" applyFill="1" applyBorder="1" applyAlignment="1">
      <alignment horizontal="left" vertical="top" wrapText="1"/>
    </xf>
    <xf numFmtId="0" fontId="53" fillId="5" borderId="18" xfId="7" applyFont="1" applyFill="1" applyBorder="1" applyAlignment="1">
      <alignment vertical="center"/>
    </xf>
    <xf numFmtId="0" fontId="57" fillId="5" borderId="10" xfId="7" applyFont="1" applyFill="1" applyBorder="1"/>
    <xf numFmtId="0" fontId="57" fillId="5" borderId="10" xfId="0" applyFont="1" applyFill="1" applyBorder="1"/>
    <xf numFmtId="0" fontId="57" fillId="5" borderId="10" xfId="101" applyFont="1" applyFill="1" applyBorder="1" applyAlignment="1" applyProtection="1">
      <alignment horizontal="left" vertical="center" wrapText="1"/>
    </xf>
    <xf numFmtId="0" fontId="8" fillId="5" borderId="0" xfId="7" applyFont="1" applyFill="1" applyBorder="1"/>
    <xf numFmtId="0" fontId="8" fillId="5" borderId="12" xfId="7" applyFont="1" applyFill="1" applyBorder="1"/>
    <xf numFmtId="0" fontId="8" fillId="5" borderId="9" xfId="7" applyFont="1" applyFill="1" applyBorder="1"/>
    <xf numFmtId="0" fontId="8" fillId="5" borderId="17" xfId="7" applyFont="1" applyFill="1" applyBorder="1"/>
    <xf numFmtId="0" fontId="8" fillId="5" borderId="0" xfId="7" applyFont="1" applyFill="1" applyBorder="1" applyAlignment="1">
      <alignment horizontal="left" vertical="top" wrapText="1"/>
    </xf>
    <xf numFmtId="0" fontId="8" fillId="5" borderId="12" xfId="7" applyFont="1" applyFill="1" applyBorder="1" applyAlignment="1">
      <alignment horizontal="left" vertical="top" wrapText="1"/>
    </xf>
    <xf numFmtId="0" fontId="8" fillId="5" borderId="18" xfId="7" applyFont="1" applyFill="1" applyBorder="1"/>
    <xf numFmtId="0" fontId="53" fillId="5" borderId="18" xfId="7" applyFont="1" applyFill="1" applyBorder="1" applyAlignment="1">
      <alignment horizontal="left" vertical="center" wrapText="1"/>
    </xf>
    <xf numFmtId="0" fontId="7" fillId="5" borderId="12" xfId="7" applyFont="1" applyFill="1" applyBorder="1"/>
    <xf numFmtId="0" fontId="57" fillId="5" borderId="9" xfId="0" applyFont="1" applyFill="1" applyBorder="1"/>
    <xf numFmtId="0" fontId="53" fillId="5" borderId="0" xfId="0" applyFont="1" applyFill="1" applyBorder="1" applyAlignment="1">
      <alignment vertical="center"/>
    </xf>
    <xf numFmtId="0" fontId="53" fillId="5" borderId="0" xfId="0" applyFont="1" applyFill="1" applyBorder="1" applyAlignment="1">
      <alignment horizontal="left" vertical="center" wrapText="1"/>
    </xf>
    <xf numFmtId="0" fontId="54" fillId="5" borderId="0" xfId="0" applyFont="1" applyFill="1" applyBorder="1" applyAlignment="1">
      <alignment vertical="top" wrapText="1"/>
    </xf>
    <xf numFmtId="0" fontId="8" fillId="3" borderId="13" xfId="0" applyFont="1" applyFill="1" applyBorder="1" applyAlignment="1">
      <alignment horizontal="left" vertical="center" wrapText="1"/>
    </xf>
    <xf numFmtId="0" fontId="8" fillId="3" borderId="14" xfId="0" applyFont="1" applyFill="1" applyBorder="1" applyAlignment="1">
      <alignment horizontal="left" vertical="center" wrapText="1"/>
    </xf>
    <xf numFmtId="0" fontId="8" fillId="3" borderId="15" xfId="0" applyFont="1" applyFill="1" applyBorder="1" applyAlignment="1">
      <alignment horizontal="left" vertical="center" wrapText="1"/>
    </xf>
    <xf numFmtId="0" fontId="8" fillId="4" borderId="14" xfId="0" applyFont="1" applyFill="1" applyBorder="1" applyAlignment="1">
      <alignment horizontal="left" vertical="center" wrapText="1"/>
    </xf>
    <xf numFmtId="0" fontId="8" fillId="4" borderId="15" xfId="0" applyFont="1" applyFill="1" applyBorder="1" applyAlignment="1">
      <alignment horizontal="left" vertical="center" wrapText="1"/>
    </xf>
    <xf numFmtId="0" fontId="57" fillId="5" borderId="9" xfId="7" applyFont="1" applyFill="1" applyBorder="1"/>
    <xf numFmtId="170" fontId="53" fillId="5" borderId="0" xfId="0" applyNumberFormat="1" applyFont="1" applyFill="1" applyBorder="1" applyAlignment="1">
      <alignment vertical="center"/>
    </xf>
    <xf numFmtId="0" fontId="53" fillId="5" borderId="0" xfId="101" applyFont="1" applyFill="1" applyBorder="1" applyAlignment="1" applyProtection="1">
      <alignment vertical="center"/>
    </xf>
    <xf numFmtId="0" fontId="53" fillId="5" borderId="0" xfId="7" applyFont="1" applyFill="1" applyBorder="1" applyAlignment="1">
      <alignment horizontal="left" vertical="center" wrapText="1"/>
    </xf>
    <xf numFmtId="170" fontId="10" fillId="5" borderId="0" xfId="0" applyNumberFormat="1" applyFont="1" applyFill="1" applyBorder="1" applyAlignment="1">
      <alignment vertical="center"/>
    </xf>
    <xf numFmtId="170" fontId="10" fillId="5" borderId="0" xfId="0" applyNumberFormat="1" applyFont="1" applyFill="1" applyBorder="1"/>
    <xf numFmtId="0" fontId="53" fillId="5" borderId="0" xfId="7" applyFont="1" applyFill="1" applyBorder="1" applyAlignment="1">
      <alignment vertical="center"/>
    </xf>
    <xf numFmtId="0" fontId="8" fillId="5" borderId="0" xfId="101" applyFont="1" applyFill="1" applyBorder="1" applyAlignment="1" applyProtection="1">
      <alignment horizontal="left" vertical="center" wrapText="1"/>
    </xf>
    <xf numFmtId="0" fontId="8" fillId="5" borderId="0" xfId="101" applyFont="1" applyFill="1" applyBorder="1" applyAlignment="1" applyProtection="1">
      <alignment horizontal="left" vertical="center"/>
    </xf>
    <xf numFmtId="0" fontId="8" fillId="5" borderId="0" xfId="7" applyFont="1" applyFill="1" applyBorder="1" applyAlignment="1">
      <alignment horizontal="left" vertical="center" wrapText="1"/>
    </xf>
    <xf numFmtId="0" fontId="8" fillId="5" borderId="0" xfId="7" applyFont="1" applyFill="1" applyBorder="1" applyAlignment="1">
      <alignment horizontal="left" vertical="center"/>
    </xf>
    <xf numFmtId="0" fontId="8" fillId="5" borderId="0" xfId="7" applyFont="1" applyFill="1" applyBorder="1" applyAlignment="1">
      <alignment vertical="center"/>
    </xf>
    <xf numFmtId="0" fontId="8" fillId="5" borderId="12" xfId="7" applyFont="1" applyFill="1" applyBorder="1" applyAlignment="1">
      <alignment horizontal="left" vertical="center" wrapText="1"/>
    </xf>
    <xf numFmtId="0" fontId="7" fillId="3" borderId="0" xfId="7" applyFont="1" applyFill="1" applyAlignment="1">
      <alignment vertical="top"/>
    </xf>
    <xf numFmtId="0" fontId="39" fillId="5" borderId="0" xfId="0" applyFont="1" applyFill="1" applyAlignment="1">
      <alignment horizontal="center" vertical="top"/>
    </xf>
    <xf numFmtId="0" fontId="7" fillId="5" borderId="0" xfId="0" applyFont="1" applyFill="1" applyAlignment="1">
      <alignment horizontal="center" vertical="top"/>
    </xf>
    <xf numFmtId="0" fontId="7" fillId="5" borderId="0" xfId="7" applyFont="1" applyFill="1" applyAlignment="1">
      <alignment vertical="top"/>
    </xf>
    <xf numFmtId="0" fontId="7" fillId="0" borderId="0" xfId="7" applyFont="1" applyAlignment="1">
      <alignment vertical="top"/>
    </xf>
    <xf numFmtId="0" fontId="10" fillId="7" borderId="1" xfId="101" applyFont="1" applyFill="1" applyBorder="1" applyAlignment="1" applyProtection="1">
      <alignment horizontal="center" vertical="center" wrapText="1"/>
    </xf>
    <xf numFmtId="0" fontId="10" fillId="6" borderId="1" xfId="101" applyFont="1" applyFill="1" applyBorder="1" applyAlignment="1" applyProtection="1">
      <alignment horizontal="center" vertical="center" wrapText="1"/>
    </xf>
    <xf numFmtId="171" fontId="10" fillId="6" borderId="1" xfId="4" applyNumberFormat="1" applyFont="1" applyFill="1" applyBorder="1" applyAlignment="1" applyProtection="1">
      <alignment horizontal="center" vertical="center" wrapText="1"/>
    </xf>
    <xf numFmtId="172" fontId="10" fillId="6" borderId="1" xfId="4" applyNumberFormat="1" applyFont="1" applyFill="1" applyBorder="1" applyAlignment="1" applyProtection="1">
      <alignment horizontal="center" vertical="center" wrapText="1"/>
    </xf>
    <xf numFmtId="0" fontId="8" fillId="5" borderId="13" xfId="105" applyFont="1" applyFill="1" applyBorder="1" applyAlignment="1" applyProtection="1">
      <alignment vertical="center"/>
    </xf>
    <xf numFmtId="0" fontId="8" fillId="4" borderId="13" xfId="101" applyFont="1" applyFill="1" applyBorder="1" applyProtection="1"/>
    <xf numFmtId="177" fontId="8" fillId="5" borderId="6" xfId="4" applyNumberFormat="1" applyFont="1" applyFill="1" applyBorder="1" applyAlignment="1" applyProtection="1">
      <alignment horizontal="center" vertical="center" wrapText="1"/>
    </xf>
    <xf numFmtId="0" fontId="8" fillId="5" borderId="14" xfId="105" applyFont="1" applyFill="1" applyBorder="1" applyAlignment="1" applyProtection="1">
      <alignment vertical="center"/>
    </xf>
    <xf numFmtId="0" fontId="8" fillId="4" borderId="14" xfId="101" applyFont="1" applyFill="1" applyBorder="1" applyProtection="1"/>
    <xf numFmtId="177" fontId="8" fillId="5" borderId="14" xfId="4" applyNumberFormat="1" applyFont="1" applyFill="1" applyBorder="1" applyAlignment="1" applyProtection="1">
      <alignment horizontal="center" vertical="center" wrapText="1"/>
    </xf>
    <xf numFmtId="0" fontId="8" fillId="5" borderId="15" xfId="105" applyFont="1" applyFill="1" applyBorder="1" applyAlignment="1" applyProtection="1">
      <alignment vertical="center"/>
    </xf>
    <xf numFmtId="0" fontId="8" fillId="4" borderId="15" xfId="101" applyFont="1" applyFill="1" applyBorder="1" applyProtection="1"/>
    <xf numFmtId="177" fontId="8" fillId="5" borderId="15" xfId="4" applyNumberFormat="1" applyFont="1" applyFill="1" applyBorder="1" applyAlignment="1" applyProtection="1">
      <alignment horizontal="center" vertical="center" wrapText="1"/>
    </xf>
    <xf numFmtId="0" fontId="8" fillId="5" borderId="0" xfId="105" applyFont="1" applyFill="1" applyBorder="1" applyAlignment="1" applyProtection="1">
      <alignment vertical="center"/>
    </xf>
    <xf numFmtId="177" fontId="8" fillId="5" borderId="0" xfId="4" applyNumberFormat="1" applyFont="1" applyFill="1" applyBorder="1" applyAlignment="1" applyProtection="1">
      <alignment horizontal="center" vertical="center" wrapText="1"/>
    </xf>
    <xf numFmtId="177" fontId="8" fillId="5" borderId="9" xfId="4" applyNumberFormat="1" applyFont="1" applyFill="1" applyBorder="1" applyAlignment="1" applyProtection="1">
      <alignment horizontal="center" vertical="center" wrapText="1"/>
    </xf>
    <xf numFmtId="0" fontId="8" fillId="5" borderId="17" xfId="101" applyFont="1" applyFill="1" applyBorder="1" applyProtection="1"/>
    <xf numFmtId="0" fontId="8" fillId="5" borderId="35" xfId="105" applyFont="1" applyFill="1" applyBorder="1" applyAlignment="1" applyProtection="1">
      <alignment vertical="center"/>
    </xf>
    <xf numFmtId="0" fontId="8" fillId="4" borderId="35" xfId="101" applyFont="1" applyFill="1" applyBorder="1" applyProtection="1"/>
    <xf numFmtId="177" fontId="8" fillId="5" borderId="35" xfId="4" applyNumberFormat="1" applyFont="1" applyFill="1" applyBorder="1" applyAlignment="1" applyProtection="1">
      <alignment horizontal="center" vertical="center" wrapText="1"/>
    </xf>
    <xf numFmtId="0" fontId="8" fillId="5" borderId="0" xfId="0" applyFont="1" applyFill="1" applyBorder="1" applyAlignment="1">
      <alignment vertical="center" wrapText="1"/>
    </xf>
    <xf numFmtId="0" fontId="48" fillId="5" borderId="0" xfId="0" applyFont="1" applyFill="1" applyBorder="1" applyAlignment="1">
      <alignment vertical="center" wrapText="1"/>
    </xf>
    <xf numFmtId="0" fontId="47" fillId="8" borderId="48" xfId="0" quotePrefix="1" applyFont="1" applyFill="1" applyBorder="1" applyAlignment="1">
      <alignment vertical="top" wrapText="1"/>
    </xf>
    <xf numFmtId="0" fontId="47" fillId="8" borderId="48" xfId="0" applyFont="1" applyFill="1" applyBorder="1" applyAlignment="1">
      <alignment vertical="top" wrapText="1"/>
    </xf>
    <xf numFmtId="0" fontId="10" fillId="4" borderId="1" xfId="0" applyFont="1" applyFill="1" applyBorder="1" applyAlignment="1">
      <alignment horizontal="center" vertical="center" wrapText="1"/>
    </xf>
    <xf numFmtId="0" fontId="55" fillId="5" borderId="18" xfId="0" applyFont="1" applyFill="1" applyBorder="1" applyAlignment="1">
      <alignmen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0" fontId="55" fillId="5" borderId="0" xfId="0" applyFont="1" applyFill="1" applyBorder="1" applyAlignment="1">
      <alignment vertical="top"/>
    </xf>
    <xf numFmtId="171" fontId="10" fillId="7" borderId="1" xfId="4" applyNumberFormat="1" applyFont="1" applyFill="1" applyBorder="1" applyAlignment="1">
      <alignment horizontal="center" vertical="top" wrapText="1"/>
    </xf>
    <xf numFmtId="171" fontId="10" fillId="6" borderId="6" xfId="4" applyNumberFormat="1" applyFont="1" applyFill="1" applyBorder="1" applyAlignment="1">
      <alignment horizontal="center" vertical="top" wrapText="1"/>
    </xf>
    <xf numFmtId="0" fontId="55" fillId="5" borderId="18" xfId="0" applyFont="1" applyFill="1" applyBorder="1" applyAlignment="1">
      <alignment vertical="top" wrapText="1"/>
    </xf>
    <xf numFmtId="0" fontId="16" fillId="5" borderId="0"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8" fillId="5" borderId="18" xfId="7" applyFont="1" applyFill="1" applyBorder="1" applyAlignment="1">
      <alignment horizontal="left" vertical="top" wrapText="1"/>
    </xf>
    <xf numFmtId="0" fontId="8" fillId="5" borderId="0" xfId="7" applyFont="1" applyFill="1" applyBorder="1" applyAlignment="1">
      <alignment horizontal="left" vertical="top" wrapText="1"/>
    </xf>
    <xf numFmtId="0" fontId="8" fillId="5" borderId="12" xfId="7" applyFont="1" applyFill="1" applyBorder="1" applyAlignment="1">
      <alignment horizontal="left" vertical="top" wrapText="1"/>
    </xf>
    <xf numFmtId="0" fontId="8" fillId="5" borderId="16" xfId="7" applyFont="1" applyFill="1" applyBorder="1" applyAlignment="1">
      <alignment horizontal="left" vertical="top" wrapText="1"/>
    </xf>
    <xf numFmtId="0" fontId="8" fillId="5" borderId="8" xfId="7" applyFont="1" applyFill="1" applyBorder="1" applyAlignment="1">
      <alignment horizontal="left" vertical="top" wrapText="1"/>
    </xf>
    <xf numFmtId="0" fontId="8" fillId="5" borderId="11" xfId="7" applyFont="1" applyFill="1" applyBorder="1" applyAlignment="1">
      <alignment horizontal="left" vertical="top" wrapText="1"/>
    </xf>
    <xf numFmtId="0" fontId="10" fillId="7" borderId="6" xfId="0" applyFont="1" applyFill="1" applyBorder="1" applyAlignment="1">
      <alignment horizontal="center" vertical="center" wrapText="1"/>
    </xf>
    <xf numFmtId="0" fontId="10" fillId="7" borderId="3" xfId="0" applyFont="1" applyFill="1" applyBorder="1" applyAlignment="1">
      <alignment horizontal="center" vertical="center" wrapText="1"/>
    </xf>
    <xf numFmtId="0" fontId="10" fillId="28" borderId="6" xfId="0" applyFont="1" applyFill="1" applyBorder="1" applyAlignment="1" applyProtection="1">
      <alignment horizontal="center" vertical="center" wrapText="1"/>
      <protection locked="0"/>
    </xf>
    <xf numFmtId="0" fontId="10" fillId="28" borderId="3" xfId="0" applyFont="1" applyFill="1" applyBorder="1" applyAlignment="1" applyProtection="1">
      <alignment horizontal="center" vertical="center" wrapText="1"/>
      <protection locked="0"/>
    </xf>
    <xf numFmtId="0" fontId="10" fillId="4" borderId="1"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3" xfId="0" applyFont="1" applyFill="1" applyBorder="1" applyAlignment="1">
      <alignment horizontal="center" vertical="center" wrapText="1"/>
    </xf>
    <xf numFmtId="170" fontId="8" fillId="5" borderId="0" xfId="0" applyNumberFormat="1" applyFont="1" applyFill="1" applyBorder="1" applyAlignment="1">
      <alignment horizontal="left" vertical="top" wrapText="1"/>
    </xf>
    <xf numFmtId="170" fontId="8" fillId="5" borderId="12" xfId="0" applyNumberFormat="1" applyFont="1" applyFill="1" applyBorder="1" applyAlignment="1">
      <alignment horizontal="left" vertical="top" wrapText="1"/>
    </xf>
    <xf numFmtId="0" fontId="8" fillId="3" borderId="0" xfId="0" applyFont="1" applyFill="1" applyBorder="1" applyAlignment="1">
      <alignment horizontal="left" vertical="top" wrapText="1"/>
    </xf>
    <xf numFmtId="0" fontId="8" fillId="3" borderId="12" xfId="0" applyFont="1" applyFill="1" applyBorder="1" applyAlignment="1">
      <alignment horizontal="left" vertical="top" wrapText="1"/>
    </xf>
    <xf numFmtId="0" fontId="8" fillId="5" borderId="0" xfId="0" applyFont="1" applyFill="1" applyBorder="1" applyAlignment="1">
      <alignment horizontal="left" vertical="center" wrapText="1"/>
    </xf>
    <xf numFmtId="0" fontId="8" fillId="5" borderId="12" xfId="0" applyFont="1" applyFill="1" applyBorder="1" applyAlignment="1">
      <alignment horizontal="left" vertical="center" wrapText="1"/>
    </xf>
    <xf numFmtId="0" fontId="10" fillId="28" borderId="2" xfId="0" applyFont="1" applyFill="1" applyBorder="1" applyAlignment="1">
      <alignment horizontal="center" vertical="center" wrapText="1"/>
    </xf>
    <xf numFmtId="0" fontId="10" fillId="28" borderId="5"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7" borderId="7" xfId="0" applyFont="1" applyFill="1" applyBorder="1" applyAlignment="1">
      <alignment horizontal="center" vertical="center" wrapText="1"/>
    </xf>
    <xf numFmtId="0" fontId="10" fillId="7" borderId="5" xfId="0" applyFont="1" applyFill="1" applyBorder="1" applyAlignment="1">
      <alignment horizontal="center" vertical="center" wrapText="1"/>
    </xf>
    <xf numFmtId="0" fontId="10" fillId="6" borderId="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8"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5" fillId="8" borderId="9"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8" fillId="5" borderId="18" xfId="7" applyFont="1" applyFill="1" applyBorder="1" applyAlignment="1">
      <alignment horizontal="left" vertical="center" wrapText="1"/>
    </xf>
    <xf numFmtId="0" fontId="8" fillId="5" borderId="0" xfId="7" applyFont="1" applyFill="1" applyBorder="1" applyAlignment="1">
      <alignment horizontal="left" vertical="center" wrapText="1"/>
    </xf>
    <xf numFmtId="0" fontId="8" fillId="5" borderId="12" xfId="7" applyFont="1" applyFill="1" applyBorder="1" applyAlignment="1">
      <alignment horizontal="left" vertical="center" wrapText="1"/>
    </xf>
    <xf numFmtId="0" fontId="10" fillId="6" borderId="6"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6" xfId="0" applyFont="1" applyFill="1" applyBorder="1" applyAlignment="1">
      <alignment horizontal="center" vertical="center" wrapText="1"/>
    </xf>
    <xf numFmtId="0" fontId="10" fillId="4" borderId="1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6" borderId="7"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10" fillId="7" borderId="7" xfId="0" applyFont="1" applyFill="1" applyBorder="1" applyAlignment="1" applyProtection="1">
      <alignment horizontal="center" vertical="center" wrapText="1"/>
      <protection locked="0"/>
    </xf>
    <xf numFmtId="0" fontId="10" fillId="7" borderId="5" xfId="0" applyFont="1" applyFill="1" applyBorder="1" applyAlignment="1" applyProtection="1">
      <alignment horizontal="center" vertical="center" wrapText="1"/>
      <protection locked="0"/>
    </xf>
    <xf numFmtId="0" fontId="10" fillId="4" borderId="9"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7" borderId="2" xfId="0" applyFont="1" applyFill="1" applyBorder="1" applyAlignment="1">
      <alignment horizontal="center" vertical="center" wrapText="1"/>
    </xf>
    <xf numFmtId="0" fontId="10" fillId="7" borderId="1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55" fillId="5" borderId="18" xfId="0" applyFont="1" applyFill="1" applyBorder="1" applyAlignment="1">
      <alignment horizontal="left" vertical="top" wrapText="1"/>
    </xf>
    <xf numFmtId="0" fontId="55" fillId="5" borderId="0" xfId="0" applyFont="1" applyFill="1" applyBorder="1" applyAlignment="1">
      <alignment horizontal="left" vertical="top" wrapText="1"/>
    </xf>
    <xf numFmtId="0" fontId="55" fillId="5" borderId="12" xfId="0" applyFont="1" applyFill="1" applyBorder="1" applyAlignment="1">
      <alignment horizontal="left" vertical="top" wrapText="1"/>
    </xf>
    <xf numFmtId="0" fontId="55" fillId="5" borderId="16" xfId="0" applyFont="1" applyFill="1" applyBorder="1" applyAlignment="1">
      <alignment horizontal="left" vertical="top" wrapText="1"/>
    </xf>
    <xf numFmtId="0" fontId="55" fillId="5" borderId="8" xfId="0" applyFont="1" applyFill="1" applyBorder="1" applyAlignment="1">
      <alignment horizontal="left" vertical="top" wrapText="1"/>
    </xf>
    <xf numFmtId="0" fontId="55" fillId="5" borderId="11" xfId="0" applyFont="1" applyFill="1" applyBorder="1" applyAlignment="1">
      <alignment horizontal="left" vertical="top" wrapText="1"/>
    </xf>
    <xf numFmtId="0" fontId="8" fillId="5" borderId="0" xfId="0" applyFont="1" applyFill="1" applyBorder="1" applyAlignment="1">
      <alignment horizontal="left" vertical="top" wrapText="1"/>
    </xf>
    <xf numFmtId="0" fontId="8" fillId="5" borderId="12" xfId="0" applyFont="1" applyFill="1" applyBorder="1" applyAlignment="1">
      <alignment horizontal="lef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0" fontId="8" fillId="5" borderId="18" xfId="0" applyFont="1" applyFill="1" applyBorder="1" applyAlignment="1">
      <alignment horizontal="left" vertical="top" wrapText="1"/>
    </xf>
    <xf numFmtId="0" fontId="55" fillId="5" borderId="18" xfId="0" applyFont="1" applyFill="1" applyBorder="1" applyAlignment="1">
      <alignment vertical="top" wrapText="1"/>
    </xf>
    <xf numFmtId="0" fontId="54" fillId="5" borderId="18" xfId="0" applyFont="1" applyFill="1" applyBorder="1" applyAlignment="1">
      <alignment horizontal="left" vertical="center"/>
    </xf>
    <xf numFmtId="0" fontId="54" fillId="5" borderId="0" xfId="0" applyFont="1" applyFill="1" applyBorder="1" applyAlignment="1">
      <alignment horizontal="left" vertical="center"/>
    </xf>
    <xf numFmtId="0" fontId="54" fillId="5" borderId="12" xfId="0" applyFont="1" applyFill="1" applyBorder="1" applyAlignment="1">
      <alignment horizontal="left" vertical="center"/>
    </xf>
    <xf numFmtId="0" fontId="8" fillId="5" borderId="18" xfId="0" applyFont="1" applyFill="1" applyBorder="1" applyAlignment="1">
      <alignment horizontal="left" vertical="center" wrapText="1"/>
    </xf>
    <xf numFmtId="0" fontId="8" fillId="5" borderId="16" xfId="0" applyFont="1" applyFill="1" applyBorder="1" applyAlignment="1">
      <alignment horizontal="left" vertical="top" wrapText="1"/>
    </xf>
    <xf numFmtId="0" fontId="8" fillId="5" borderId="8" xfId="0" applyFont="1" applyFill="1" applyBorder="1" applyAlignment="1">
      <alignment horizontal="left" vertical="top" wrapText="1"/>
    </xf>
    <xf numFmtId="0" fontId="8" fillId="5" borderId="11" xfId="0" applyFont="1" applyFill="1" applyBorder="1" applyAlignment="1">
      <alignment horizontal="left" vertical="top" wrapText="1"/>
    </xf>
    <xf numFmtId="0" fontId="57" fillId="3" borderId="10" xfId="0" applyFont="1" applyFill="1" applyBorder="1" applyAlignment="1">
      <alignment horizontal="left" vertical="center" wrapText="1"/>
    </xf>
    <xf numFmtId="0" fontId="57" fillId="3" borderId="9" xfId="0" applyFont="1" applyFill="1" applyBorder="1" applyAlignment="1">
      <alignment horizontal="left" vertical="center" wrapText="1"/>
    </xf>
    <xf numFmtId="0" fontId="57" fillId="3" borderId="17" xfId="0" applyFont="1" applyFill="1" applyBorder="1" applyAlignment="1">
      <alignment horizontal="left" vertical="center" wrapText="1"/>
    </xf>
    <xf numFmtId="0" fontId="8" fillId="3" borderId="18"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12" xfId="0" applyFont="1" applyFill="1" applyBorder="1" applyAlignment="1">
      <alignment horizontal="left" vertical="center" wrapText="1"/>
    </xf>
    <xf numFmtId="0" fontId="16" fillId="5" borderId="0" xfId="0" applyFont="1" applyFill="1" applyBorder="1" applyAlignment="1">
      <alignment horizontal="center" vertical="center" wrapText="1"/>
    </xf>
    <xf numFmtId="0" fontId="35" fillId="5" borderId="0" xfId="0" applyFont="1" applyFill="1" applyBorder="1" applyAlignment="1">
      <alignment horizontal="center" vertical="center" wrapText="1"/>
    </xf>
    <xf numFmtId="0" fontId="10" fillId="28" borderId="16" xfId="0" applyFont="1" applyFill="1" applyBorder="1" applyAlignment="1">
      <alignment horizontal="center" vertical="center" wrapText="1"/>
    </xf>
    <xf numFmtId="0" fontId="10" fillId="28" borderId="11" xfId="0" applyFont="1" applyFill="1" applyBorder="1" applyAlignment="1">
      <alignment horizontal="center" vertical="center" wrapText="1"/>
    </xf>
    <xf numFmtId="171" fontId="10" fillId="6" borderId="2" xfId="4" applyNumberFormat="1" applyFont="1" applyFill="1" applyBorder="1" applyAlignment="1">
      <alignment horizontal="center" vertical="center" wrapText="1"/>
    </xf>
    <xf numFmtId="171" fontId="10" fillId="6" borderId="5" xfId="4" applyNumberFormat="1" applyFont="1" applyFill="1" applyBorder="1" applyAlignment="1">
      <alignment horizontal="center" vertical="center" wrapText="1"/>
    </xf>
    <xf numFmtId="0" fontId="10" fillId="7" borderId="16" xfId="0" applyFont="1" applyFill="1" applyBorder="1" applyAlignment="1">
      <alignment horizontal="center" vertical="center" wrapText="1"/>
    </xf>
    <xf numFmtId="0" fontId="10" fillId="7" borderId="8" xfId="0" applyFont="1" applyFill="1" applyBorder="1" applyAlignment="1">
      <alignment horizontal="center" vertical="center" wrapText="1"/>
    </xf>
    <xf numFmtId="0" fontId="10" fillId="7" borderId="11" xfId="0" applyFont="1" applyFill="1" applyBorder="1" applyAlignment="1">
      <alignment horizontal="center" vertical="center" wrapText="1"/>
    </xf>
    <xf numFmtId="0" fontId="10" fillId="6" borderId="16" xfId="0" applyFont="1" applyFill="1" applyBorder="1" applyAlignment="1">
      <alignment horizontal="center" vertical="center" wrapText="1"/>
    </xf>
    <xf numFmtId="0" fontId="10" fillId="6" borderId="8"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8" fillId="0" borderId="16" xfId="0" applyFont="1" applyBorder="1" applyAlignment="1">
      <alignment horizontal="left" vertical="top" wrapText="1"/>
    </xf>
    <xf numFmtId="0" fontId="8" fillId="0" borderId="8" xfId="0" applyFont="1" applyBorder="1" applyAlignment="1">
      <alignment horizontal="left" vertical="top" wrapText="1"/>
    </xf>
    <xf numFmtId="0" fontId="8" fillId="0" borderId="11" xfId="0" applyFont="1" applyBorder="1" applyAlignment="1">
      <alignment horizontal="left" vertical="top" wrapText="1"/>
    </xf>
    <xf numFmtId="166" fontId="8" fillId="0" borderId="44" xfId="2" applyNumberFormat="1" applyFont="1" applyBorder="1" applyAlignment="1">
      <alignment horizontal="center"/>
    </xf>
    <xf numFmtId="166" fontId="8" fillId="0" borderId="34" xfId="2" applyNumberFormat="1" applyFont="1" applyBorder="1" applyAlignment="1">
      <alignment horizontal="center"/>
    </xf>
    <xf numFmtId="166" fontId="8" fillId="0" borderId="45" xfId="2" applyNumberFormat="1" applyFont="1" applyBorder="1" applyAlignment="1">
      <alignment horizontal="center"/>
    </xf>
    <xf numFmtId="166" fontId="8" fillId="0" borderId="32" xfId="2" applyNumberFormat="1" applyFont="1" applyBorder="1" applyAlignment="1">
      <alignment horizontal="center"/>
    </xf>
    <xf numFmtId="166" fontId="8" fillId="0" borderId="47" xfId="2" applyNumberFormat="1" applyFont="1" applyBorder="1" applyAlignment="1">
      <alignment horizontal="center"/>
    </xf>
    <xf numFmtId="166" fontId="8" fillId="0" borderId="36" xfId="2" applyNumberFormat="1" applyFont="1" applyBorder="1" applyAlignment="1">
      <alignment horizontal="center"/>
    </xf>
    <xf numFmtId="0" fontId="8" fillId="5" borderId="18" xfId="101" applyFont="1" applyFill="1" applyBorder="1" applyAlignment="1" applyProtection="1">
      <alignment horizontal="left" vertical="center" wrapText="1"/>
    </xf>
    <xf numFmtId="0" fontId="8" fillId="5" borderId="0" xfId="101" applyFont="1" applyFill="1" applyBorder="1" applyAlignment="1" applyProtection="1">
      <alignment horizontal="left" vertical="center" wrapText="1"/>
    </xf>
    <xf numFmtId="0" fontId="8" fillId="5" borderId="12" xfId="101" applyFont="1" applyFill="1" applyBorder="1" applyAlignment="1" applyProtection="1">
      <alignment horizontal="left" vertical="center" wrapText="1"/>
    </xf>
    <xf numFmtId="166" fontId="8" fillId="0" borderId="44" xfId="2" applyNumberFormat="1" applyFont="1" applyFill="1" applyBorder="1" applyAlignment="1">
      <alignment horizontal="center"/>
    </xf>
    <xf numFmtId="166" fontId="8" fillId="0" borderId="34" xfId="2" applyNumberFormat="1" applyFont="1" applyFill="1" applyBorder="1" applyAlignment="1">
      <alignment horizontal="center"/>
    </xf>
    <xf numFmtId="166" fontId="8" fillId="0" borderId="46" xfId="2" applyNumberFormat="1" applyFont="1" applyBorder="1" applyAlignment="1">
      <alignment horizontal="center"/>
    </xf>
    <xf numFmtId="166" fontId="8" fillId="0" borderId="33" xfId="2" applyNumberFormat="1" applyFont="1" applyBorder="1" applyAlignment="1">
      <alignment horizontal="center"/>
    </xf>
    <xf numFmtId="0" fontId="10" fillId="7" borderId="6" xfId="101" applyFont="1" applyFill="1" applyBorder="1" applyAlignment="1" applyProtection="1">
      <alignment horizontal="center" vertical="center" wrapText="1"/>
    </xf>
    <xf numFmtId="0" fontId="10" fillId="7" borderId="3" xfId="101" applyFont="1" applyFill="1" applyBorder="1" applyAlignment="1" applyProtection="1">
      <alignment horizontal="center" vertical="center" wrapText="1"/>
    </xf>
    <xf numFmtId="0" fontId="8" fillId="3" borderId="31" xfId="0" applyFont="1" applyFill="1" applyBorder="1" applyAlignment="1">
      <alignment horizontal="center"/>
    </xf>
    <xf numFmtId="0" fontId="8" fillId="3" borderId="33" xfId="0" applyFont="1" applyFill="1" applyBorder="1" applyAlignment="1">
      <alignment horizontal="center"/>
    </xf>
    <xf numFmtId="0" fontId="8" fillId="3" borderId="30" xfId="0" applyFont="1" applyFill="1" applyBorder="1" applyAlignment="1">
      <alignment horizontal="center"/>
    </xf>
    <xf numFmtId="0" fontId="8" fillId="3" borderId="32" xfId="0" applyFont="1" applyFill="1" applyBorder="1" applyAlignment="1">
      <alignment horizontal="center"/>
    </xf>
    <xf numFmtId="0" fontId="8" fillId="3" borderId="29" xfId="0" applyFont="1" applyFill="1" applyBorder="1" applyAlignment="1">
      <alignment horizontal="center"/>
    </xf>
    <xf numFmtId="0" fontId="8" fillId="3" borderId="34" xfId="0" applyFont="1" applyFill="1" applyBorder="1" applyAlignment="1">
      <alignment horizontal="center"/>
    </xf>
    <xf numFmtId="0" fontId="10" fillId="7" borderId="6" xfId="0" applyFont="1" applyFill="1" applyBorder="1" applyAlignment="1" applyProtection="1">
      <alignment horizontal="center" vertical="center" wrapText="1"/>
      <protection locked="0"/>
    </xf>
    <xf numFmtId="0" fontId="10" fillId="7" borderId="3" xfId="0" applyFont="1" applyFill="1" applyBorder="1" applyAlignment="1" applyProtection="1">
      <alignment horizontal="center" vertical="center" wrapText="1"/>
      <protection locked="0"/>
    </xf>
    <xf numFmtId="0" fontId="8" fillId="3" borderId="16" xfId="0" applyFont="1" applyFill="1" applyBorder="1" applyAlignment="1">
      <alignment horizontal="left" vertical="top" wrapText="1"/>
    </xf>
    <xf numFmtId="0" fontId="8" fillId="3" borderId="8" xfId="0" applyFont="1" applyFill="1" applyBorder="1" applyAlignment="1">
      <alignment horizontal="left" vertical="top" wrapText="1"/>
    </xf>
    <xf numFmtId="0" fontId="8" fillId="3" borderId="11" xfId="0" applyFont="1" applyFill="1" applyBorder="1" applyAlignment="1">
      <alignment horizontal="left" vertical="top" wrapText="1"/>
    </xf>
    <xf numFmtId="0" fontId="15" fillId="8" borderId="6" xfId="101" applyFont="1" applyFill="1" applyBorder="1" applyAlignment="1" applyProtection="1">
      <alignment horizontal="center" vertical="center" wrapText="1"/>
    </xf>
    <xf numFmtId="0" fontId="50" fillId="8" borderId="1" xfId="105" applyFont="1" applyFill="1" applyBorder="1" applyAlignment="1" applyProtection="1">
      <alignment horizontal="center" vertical="center" wrapText="1"/>
    </xf>
    <xf numFmtId="0" fontId="10" fillId="7" borderId="1" xfId="101" applyFont="1" applyFill="1" applyBorder="1" applyAlignment="1" applyProtection="1">
      <alignment horizontal="center" vertical="center" wrapText="1"/>
    </xf>
    <xf numFmtId="0" fontId="7" fillId="7" borderId="1" xfId="105" applyFill="1" applyBorder="1" applyAlignment="1" applyProtection="1">
      <alignment horizontal="center" vertical="center" wrapText="1"/>
    </xf>
    <xf numFmtId="0" fontId="10" fillId="6" borderId="1" xfId="101" applyFont="1" applyFill="1" applyBorder="1" applyAlignment="1" applyProtection="1">
      <alignment horizontal="center" vertical="center" wrapText="1"/>
    </xf>
    <xf numFmtId="0" fontId="7" fillId="6" borderId="1" xfId="105" applyFill="1" applyBorder="1" applyAlignment="1" applyProtection="1">
      <alignment horizontal="center" vertical="center" wrapText="1"/>
    </xf>
    <xf numFmtId="0" fontId="8" fillId="5" borderId="49" xfId="0" applyFont="1" applyFill="1" applyBorder="1" applyAlignment="1">
      <alignment vertical="center" wrapText="1"/>
    </xf>
    <xf numFmtId="0" fontId="8" fillId="5" borderId="50" xfId="0" applyFont="1" applyFill="1" applyBorder="1" applyAlignment="1">
      <alignment vertical="center" wrapText="1"/>
    </xf>
    <xf numFmtId="0" fontId="8" fillId="5" borderId="0" xfId="0" applyFont="1" applyFill="1" applyBorder="1" applyAlignment="1">
      <alignment vertical="center" wrapText="1"/>
    </xf>
    <xf numFmtId="0" fontId="48" fillId="5" borderId="49" xfId="0" applyFont="1" applyFill="1" applyBorder="1" applyAlignment="1">
      <alignment horizontal="left" vertical="center" wrapText="1"/>
    </xf>
    <xf numFmtId="0" fontId="48" fillId="5" borderId="0" xfId="0" applyFont="1" applyFill="1" applyBorder="1" applyAlignment="1">
      <alignment horizontal="left" vertical="center" wrapText="1"/>
    </xf>
    <xf numFmtId="0" fontId="48" fillId="5" borderId="50" xfId="0" applyFont="1" applyFill="1" applyBorder="1" applyAlignment="1">
      <alignment horizontal="left" vertical="center" wrapText="1"/>
    </xf>
    <xf numFmtId="0" fontId="8" fillId="5" borderId="0" xfId="0" applyFont="1" applyFill="1" applyAlignment="1">
      <alignment vertical="center" wrapText="1"/>
    </xf>
    <xf numFmtId="0" fontId="8" fillId="5" borderId="49" xfId="0" applyFont="1" applyFill="1" applyBorder="1" applyAlignment="1">
      <alignment horizontal="left" vertical="center" wrapText="1"/>
    </xf>
    <xf numFmtId="0" fontId="8" fillId="5" borderId="50" xfId="0" applyFont="1" applyFill="1" applyBorder="1" applyAlignment="1">
      <alignment horizontal="left" vertical="center" wrapText="1"/>
    </xf>
  </cellXfs>
  <cellStyles count="199">
    <cellStyle name="20% - Accent1 2" xfId="13"/>
    <cellStyle name="20% - Accent1 3" xfId="14"/>
    <cellStyle name="20% - Accent1 4" xfId="152"/>
    <cellStyle name="20% - Accent2 2" xfId="15"/>
    <cellStyle name="20% - Accent2 3" xfId="16"/>
    <cellStyle name="20% - Accent2 4" xfId="153"/>
    <cellStyle name="20% - Accent3 2" xfId="17"/>
    <cellStyle name="20% - Accent3 3" xfId="18"/>
    <cellStyle name="20% - Accent3 4" xfId="154"/>
    <cellStyle name="20% - Accent4 2" xfId="19"/>
    <cellStyle name="20% - Accent4 3" xfId="20"/>
    <cellStyle name="20% - Accent4 4" xfId="155"/>
    <cellStyle name="20% - Accent5 2" xfId="21"/>
    <cellStyle name="20% - Accent5 3" xfId="22"/>
    <cellStyle name="20% - Accent5 4" xfId="156"/>
    <cellStyle name="20% - Accent6 2" xfId="23"/>
    <cellStyle name="20% - Accent6 3" xfId="24"/>
    <cellStyle name="40% - Accent1 2" xfId="25"/>
    <cellStyle name="40% - Accent1 3" xfId="26"/>
    <cellStyle name="40% - Accent1 4" xfId="130"/>
    <cellStyle name="40% - Accent1 4 2" xfId="137"/>
    <cellStyle name="40% - Accent1 4 2 2" xfId="151"/>
    <cellStyle name="40% - Accent1 4 3" xfId="144"/>
    <cellStyle name="40% - Accent1 4 4" xfId="194"/>
    <cellStyle name="40% - Accent1 5" xfId="157"/>
    <cellStyle name="40% - Accent2 2" xfId="27"/>
    <cellStyle name="40% - Accent2 3" xfId="28"/>
    <cellStyle name="40% - Accent2 4" xfId="158"/>
    <cellStyle name="40% - Accent3 2" xfId="29"/>
    <cellStyle name="40% - Accent3 3" xfId="30"/>
    <cellStyle name="40% - Accent3 4" xfId="159"/>
    <cellStyle name="40% - Accent4 2" xfId="31"/>
    <cellStyle name="40% - Accent4 3" xfId="32"/>
    <cellStyle name="40% - Accent4 4" xfId="160"/>
    <cellStyle name="40% - Accent5 2" xfId="33"/>
    <cellStyle name="40% - Accent5 3" xfId="34"/>
    <cellStyle name="40% - Accent5 4" xfId="161"/>
    <cellStyle name="40% - Accent6 2" xfId="35"/>
    <cellStyle name="40% - Accent6 3" xfId="36"/>
    <cellStyle name="40% - Accent6 4" xfId="162"/>
    <cellStyle name="60% - Accent1 2" xfId="37"/>
    <cellStyle name="60% - Accent1 3" xfId="38"/>
    <cellStyle name="60% - Accent1 4" xfId="163"/>
    <cellStyle name="60% - Accent2 2" xfId="39"/>
    <cellStyle name="60% - Accent2 3" xfId="40"/>
    <cellStyle name="60% - Accent2 4" xfId="164"/>
    <cellStyle name="60% - Accent3 2" xfId="41"/>
    <cellStyle name="60% - Accent3 3" xfId="42"/>
    <cellStyle name="60% - Accent3 4" xfId="165"/>
    <cellStyle name="60% - Accent4 2" xfId="43"/>
    <cellStyle name="60% - Accent4 3" xfId="44"/>
    <cellStyle name="60% - Accent4 4" xfId="166"/>
    <cellStyle name="60% - Accent5 2" xfId="45"/>
    <cellStyle name="60% - Accent5 3" xfId="46"/>
    <cellStyle name="60% - Accent5 4" xfId="167"/>
    <cellStyle name="60% - Accent6 2" xfId="47"/>
    <cellStyle name="60% - Accent6 3" xfId="48"/>
    <cellStyle name="60% - Accent6 4" xfId="168"/>
    <cellStyle name="Accent1 2" xfId="49"/>
    <cellStyle name="Accent1 3" xfId="50"/>
    <cellStyle name="Accent1 4" xfId="169"/>
    <cellStyle name="Accent2 2" xfId="51"/>
    <cellStyle name="Accent2 3" xfId="52"/>
    <cellStyle name="Accent3 2" xfId="53"/>
    <cellStyle name="Accent3 3" xfId="54"/>
    <cellStyle name="Accent4 2" xfId="55"/>
    <cellStyle name="Accent4 3" xfId="56"/>
    <cellStyle name="Accent4 4" xfId="170"/>
    <cellStyle name="Accent5 2" xfId="57"/>
    <cellStyle name="Accent5 3" xfId="58"/>
    <cellStyle name="Accent6 2" xfId="59"/>
    <cellStyle name="Accent6 3" xfId="60"/>
    <cellStyle name="Bad 2" xfId="61"/>
    <cellStyle name="Bad 3" xfId="62"/>
    <cellStyle name="Blockout" xfId="63"/>
    <cellStyle name="Blockout 2" xfId="64"/>
    <cellStyle name="Calculation 2" xfId="65"/>
    <cellStyle name="Calculation 3" xfId="66"/>
    <cellStyle name="Calculation 4" xfId="171"/>
    <cellStyle name="Check Cell 2" xfId="67"/>
    <cellStyle name="Check Cell 3" xfId="68"/>
    <cellStyle name="Comma" xfId="1" builtinId="3"/>
    <cellStyle name="Comma 2" xfId="12"/>
    <cellStyle name="Comma 2 2" xfId="69"/>
    <cellStyle name="Comma 2 2 2" xfId="191"/>
    <cellStyle name="Comma 2 3" xfId="133"/>
    <cellStyle name="Comma 2 3 2" xfId="147"/>
    <cellStyle name="Comma 2 4" xfId="140"/>
    <cellStyle name="Comma 2 5" xfId="181"/>
    <cellStyle name="Comma 3" xfId="70"/>
    <cellStyle name="Comma 3 2" xfId="71"/>
    <cellStyle name="Comma 3 2 2" xfId="193"/>
    <cellStyle name="Comma 3 3" xfId="72"/>
    <cellStyle name="Comma 3 3 2" xfId="192"/>
    <cellStyle name="Comma 3 4" xfId="182"/>
    <cellStyle name="Comma 4" xfId="73"/>
    <cellStyle name="Comma 4 2" xfId="183"/>
    <cellStyle name="Comma 5" xfId="74"/>
    <cellStyle name="Comma 5 2" xfId="190"/>
    <cellStyle name="Comma 6" xfId="127"/>
    <cellStyle name="Comma 6 2" xfId="135"/>
    <cellStyle name="Comma 6 2 2" xfId="149"/>
    <cellStyle name="Comma 6 3" xfId="142"/>
    <cellStyle name="Comma 7" xfId="179"/>
    <cellStyle name="Comma 8" xfId="189"/>
    <cellStyle name="Comma 9" xfId="197"/>
    <cellStyle name="Comma_2010-11 Network Tariffs" xfId="2"/>
    <cellStyle name="Currency" xfId="3" builtinId="4"/>
    <cellStyle name="Currency 2" xfId="11"/>
    <cellStyle name="Currency 2 2" xfId="129"/>
    <cellStyle name="Currency 3" xfId="75"/>
    <cellStyle name="Currency 3 2" xfId="184"/>
    <cellStyle name="Currency 4" xfId="76"/>
    <cellStyle name="Currency 4 2" xfId="185"/>
    <cellStyle name="Currency 5" xfId="77"/>
    <cellStyle name="Currency 5 2" xfId="186"/>
    <cellStyle name="Currency 6" xfId="126"/>
    <cellStyle name="Currency 6 2" xfId="134"/>
    <cellStyle name="Currency 6 2 2" xfId="148"/>
    <cellStyle name="Currency 6 3" xfId="141"/>
    <cellStyle name="Currency 7" xfId="128"/>
    <cellStyle name="Currency 7 2" xfId="136"/>
    <cellStyle name="Currency 7 2 2" xfId="150"/>
    <cellStyle name="Currency 7 3" xfId="143"/>
    <cellStyle name="Currency 8" xfId="188"/>
    <cellStyle name="Currency_2010-11 Network Tariffs" xfId="4"/>
    <cellStyle name="Explanatory Text 2" xfId="78"/>
    <cellStyle name="Explanatory Text 3" xfId="79"/>
    <cellStyle name="Good 2" xfId="80"/>
    <cellStyle name="Good 3" xfId="81"/>
    <cellStyle name="Heading 1 2" xfId="82"/>
    <cellStyle name="Heading 1 3" xfId="83"/>
    <cellStyle name="Heading 1 4" xfId="172"/>
    <cellStyle name="Heading 2 2" xfId="84"/>
    <cellStyle name="Heading 2 3" xfId="85"/>
    <cellStyle name="Heading 2 4" xfId="173"/>
    <cellStyle name="Heading 3 2" xfId="86"/>
    <cellStyle name="Heading 3 3" xfId="87"/>
    <cellStyle name="Heading 3 4" xfId="174"/>
    <cellStyle name="Heading 4 2" xfId="88"/>
    <cellStyle name="Heading 4 3" xfId="89"/>
    <cellStyle name="Heading 4 4" xfId="175"/>
    <cellStyle name="Input 2" xfId="90"/>
    <cellStyle name="Input 3" xfId="91"/>
    <cellStyle name="Input1" xfId="5"/>
    <cellStyle name="Input1 2" xfId="92"/>
    <cellStyle name="Input1 3" xfId="93"/>
    <cellStyle name="Input1 4" xfId="94"/>
    <cellStyle name="Input2" xfId="95"/>
    <cellStyle name="Input3" xfId="96"/>
    <cellStyle name="Linked Cell 2" xfId="97"/>
    <cellStyle name="Linked Cell 3" xfId="98"/>
    <cellStyle name="Neutral 2" xfId="99"/>
    <cellStyle name="Neutral 3" xfId="100"/>
    <cellStyle name="Normal" xfId="0" builtinId="0"/>
    <cellStyle name="Normal 2" xfId="7"/>
    <cellStyle name="Normal 2 2" xfId="101"/>
    <cellStyle name="Normal 2 3" xfId="180"/>
    <cellStyle name="Normal 3" xfId="8"/>
    <cellStyle name="Normal 3 2" xfId="102"/>
    <cellStyle name="Normal 3 3" xfId="131"/>
    <cellStyle name="Normal 3 3 2" xfId="145"/>
    <cellStyle name="Normal 3 4" xfId="138"/>
    <cellStyle name="Normal 4" xfId="103"/>
    <cellStyle name="Normal 4 2" xfId="104"/>
    <cellStyle name="Normal 5" xfId="105"/>
    <cellStyle name="Normal 6" xfId="106"/>
    <cellStyle name="Normal 7" xfId="9"/>
    <cellStyle name="Normal 8" xfId="107"/>
    <cellStyle name="Normal 9" xfId="195"/>
    <cellStyle name="Normal 9 2" xfId="198"/>
    <cellStyle name="Note 2" xfId="108"/>
    <cellStyle name="Note 3" xfId="109"/>
    <cellStyle name="Output 2" xfId="110"/>
    <cellStyle name="Output 3" xfId="111"/>
    <cellStyle name="Output 4" xfId="176"/>
    <cellStyle name="Pattern_SUMMARY (2)" xfId="6"/>
    <cellStyle name="Percent 2" xfId="10"/>
    <cellStyle name="Percent 2 2" xfId="125"/>
    <cellStyle name="Percent 2 3" xfId="132"/>
    <cellStyle name="Percent 2 3 2" xfId="146"/>
    <cellStyle name="Percent 2 4" xfId="139"/>
    <cellStyle name="Percent 3" xfId="112"/>
    <cellStyle name="Percent 4" xfId="113"/>
    <cellStyle name="Percent 5" xfId="114"/>
    <cellStyle name="Percent 6" xfId="187"/>
    <cellStyle name="Percent 7" xfId="196"/>
    <cellStyle name="Style 1" xfId="115"/>
    <cellStyle name="Style 1 2" xfId="116"/>
    <cellStyle name="Style 1 3" xfId="117"/>
    <cellStyle name="Style 1 4" xfId="118"/>
    <cellStyle name="Title 2" xfId="119"/>
    <cellStyle name="Title 3" xfId="120"/>
    <cellStyle name="Title 4" xfId="177"/>
    <cellStyle name="Total 2" xfId="121"/>
    <cellStyle name="Total 3" xfId="122"/>
    <cellStyle name="Total 4" xfId="178"/>
    <cellStyle name="Warning Text 2" xfId="123"/>
    <cellStyle name="Warning Text 3" xfId="124"/>
  </cellStyles>
  <dxfs count="12">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mruColors>
      <color rgb="FF2C5697"/>
      <color rgb="FFF2F2F2"/>
      <color rgb="FF006710"/>
      <color rgb="FFC8E59A"/>
      <color rgb="FFA5D867"/>
      <color rgb="FF00A1DE"/>
      <color rgb="FFBFBFBF"/>
      <color rgb="FFC2DEEA"/>
      <color rgb="FFA3DBE8"/>
      <color rgb="FFA3D86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2</xdr:col>
      <xdr:colOff>23814</xdr:colOff>
      <xdr:row>0</xdr:row>
      <xdr:rowOff>130969</xdr:rowOff>
    </xdr:from>
    <xdr:to>
      <xdr:col>2</xdr:col>
      <xdr:colOff>1004889</xdr:colOff>
      <xdr:row>5</xdr:row>
      <xdr:rowOff>202089</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23877" y="130969"/>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23812</xdr:colOff>
      <xdr:row>0</xdr:row>
      <xdr:rowOff>142873</xdr:rowOff>
    </xdr:from>
    <xdr:to>
      <xdr:col>2</xdr:col>
      <xdr:colOff>1004887</xdr:colOff>
      <xdr:row>6</xdr:row>
      <xdr:rowOff>23493</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23875" y="142873"/>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47626</xdr:colOff>
      <xdr:row>1</xdr:row>
      <xdr:rowOff>11903</xdr:rowOff>
    </xdr:from>
    <xdr:to>
      <xdr:col>2</xdr:col>
      <xdr:colOff>1028701</xdr:colOff>
      <xdr:row>7</xdr:row>
      <xdr:rowOff>59211</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47689" y="178591"/>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11907</xdr:colOff>
      <xdr:row>0</xdr:row>
      <xdr:rowOff>107156</xdr:rowOff>
    </xdr:from>
    <xdr:to>
      <xdr:col>2</xdr:col>
      <xdr:colOff>992982</xdr:colOff>
      <xdr:row>5</xdr:row>
      <xdr:rowOff>118745</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11970" y="107156"/>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11910</xdr:colOff>
      <xdr:row>0</xdr:row>
      <xdr:rowOff>178593</xdr:rowOff>
    </xdr:from>
    <xdr:to>
      <xdr:col>2</xdr:col>
      <xdr:colOff>992985</xdr:colOff>
      <xdr:row>5</xdr:row>
      <xdr:rowOff>166369</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11973" y="178593"/>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47626</xdr:colOff>
      <xdr:row>0</xdr:row>
      <xdr:rowOff>0</xdr:rowOff>
    </xdr:from>
    <xdr:to>
      <xdr:col>2</xdr:col>
      <xdr:colOff>1028701</xdr:colOff>
      <xdr:row>5</xdr:row>
      <xdr:rowOff>178276</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1059657" y="0"/>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oup%20-%20Corporate%20Governance/Network%20Pricing/2016-17/Pricing/2.%20AER/16-04-05-FL%20DCOS%20New%20ARR%20allocation%20model%20v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Disclaimer"/>
      <sheetName val="Colour legend &amp; notes"/>
      <sheetName val="&lt;-- Front matter"/>
      <sheetName val="TUOS SAC Large"/>
      <sheetName val="TUOS SAC Small"/>
      <sheetName val="TUOS CAC"/>
      <sheetName val="TUOS ICC"/>
      <sheetName val="Jurisdictional Charges"/>
      <sheetName val="DUOS SAC Small"/>
      <sheetName val="DUOS SAC Large"/>
      <sheetName val="DUOS CAC"/>
      <sheetName val="DUOS ICC"/>
      <sheetName val="A&amp;S all years"/>
      <sheetName val="&lt;&lt;-- Final results - Proj."/>
      <sheetName val="ICC Tariffs"/>
      <sheetName val="CAC Tariffs"/>
      <sheetName val="EG Tariffs"/>
      <sheetName val="CAC Tariff Rates"/>
      <sheetName val="SAC Large Tariff Rates"/>
      <sheetName val="SAC Small Tariff Rates"/>
      <sheetName val="SAC Unmetered Rates"/>
      <sheetName val="DLFs"/>
      <sheetName val="&lt;&lt;-- Final results - current yr"/>
      <sheetName val="Model builder"/>
      <sheetName val="Index lists"/>
      <sheetName val="Model log"/>
      <sheetName val="Input log"/>
      <sheetName val="DUOS inputs"/>
      <sheetName val="TUOS inputs"/>
      <sheetName val="&lt;-- Model builder"/>
      <sheetName val="Control panel"/>
      <sheetName val="Control - Pricing projection"/>
      <sheetName val="Control - TUOS, JS, and A&amp;S"/>
      <sheetName val="&lt;-- Controls"/>
      <sheetName val="Recon. rounded rates DUOS"/>
      <sheetName val="Allocation and recovery"/>
      <sheetName val="Inputs summary"/>
      <sheetName val="&lt;-- Summary"/>
      <sheetName val="Pr.Proj - TUOS - SACS Mt Isa"/>
      <sheetName val="Pr.Proj - TUOS - SACS"/>
      <sheetName val="Pr.Proj - TUOS - SACL"/>
      <sheetName val="Pr.Proj - TUOS - CAC"/>
      <sheetName val="Pr.Proj - TUOS - ICC"/>
      <sheetName val="&lt;-- Pr.Proj - TUOS"/>
      <sheetName val="TUOS status"/>
      <sheetName val="TUOS for CAW"/>
      <sheetName val="SAC TUOS Mt Isa"/>
      <sheetName val="SAC TUOS"/>
      <sheetName val="CAC TUOS"/>
      <sheetName val="ICC TUOS"/>
      <sheetName val="TUOS by TNI"/>
      <sheetName val="&lt;-- TUOS"/>
      <sheetName val="JS"/>
      <sheetName val="A&amp;S"/>
      <sheetName val="&lt;-- JS and A&amp;S costs"/>
      <sheetName val="Pr.Proj - Projected DUOS"/>
      <sheetName val="Pr.Proj - Summary"/>
      <sheetName val="Pr. Proj - Rate projection"/>
      <sheetName val="Pr. Proj - Extrapolation"/>
      <sheetName val="Pr. Proj. - CY values"/>
      <sheetName val="&lt;-- Pr.Proj - DUOS"/>
      <sheetName val="SAC Large rates and volumes"/>
      <sheetName val="SAC Small rates and volumes"/>
      <sheetName val="CAC rates and volumes"/>
      <sheetName val="EG rates and volumes"/>
      <sheetName val="ICC rates and volumes"/>
      <sheetName val="SAC allocations"/>
      <sheetName val="CAC allocations"/>
      <sheetName val="&lt;-- Rates and allocations"/>
      <sheetName val="Mixture model status"/>
      <sheetName val="Mixture model adjustment"/>
      <sheetName val="SAC prev year allocation"/>
      <sheetName val="CAC prev year allocation"/>
      <sheetName val="EG prev year allocation"/>
      <sheetName val="ICC prev year allocation"/>
      <sheetName val="Tariff volumes"/>
      <sheetName val="&lt;-- Mixture model"/>
      <sheetName val="Comm serv to ICC CAC SAC"/>
      <sheetName val="Admin other to CAC SAC"/>
      <sheetName val="Admin other to EG cust "/>
      <sheetName val="Admin other to ICC and EG Group"/>
      <sheetName val="Cust Stat Summary"/>
      <sheetName val="&lt;-- Admin, other, comm serv"/>
      <sheetName val="Table definitions"/>
      <sheetName val="Variable definitions"/>
      <sheetName val="&lt;-- Ancill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23">
          <cell r="E23" t="str">
            <v>2016-17</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ow r="24">
          <cell r="C24" t="str">
            <v>ID</v>
          </cell>
          <cell r="D24" t="str">
            <v>Tariff class</v>
          </cell>
          <cell r="E24" t="str">
            <v xml:space="preserve"> Tariff</v>
          </cell>
          <cell r="F24" t="str">
            <v>Charge</v>
          </cell>
          <cell r="G24" t="str">
            <v>Units</v>
          </cell>
          <cell r="H24" t="str">
            <v>2016-17</v>
          </cell>
          <cell r="I24" t="str">
            <v>2017-18</v>
          </cell>
          <cell r="J24" t="str">
            <v>2018-19</v>
          </cell>
          <cell r="K24" t="str">
            <v>2019-20</v>
          </cell>
          <cell r="L24" t="str">
            <v>2020-21</v>
          </cell>
        </row>
        <row r="25">
          <cell r="C25" t="str">
            <v>SAC small</v>
          </cell>
          <cell r="D25" t="str">
            <v>SAC Small Primary Tariffs</v>
          </cell>
          <cell r="E25" t="str">
            <v xml:space="preserve"> </v>
          </cell>
          <cell r="F25" t="str">
            <v>Fixed charge</v>
          </cell>
          <cell r="G25" t="str">
            <v>$/day</v>
          </cell>
          <cell r="H25">
            <v>0.16600000000000001</v>
          </cell>
          <cell r="I25">
            <v>0.17799999999999999</v>
          </cell>
          <cell r="J25">
            <v>0.153</v>
          </cell>
          <cell r="K25">
            <v>0.14599999999999999</v>
          </cell>
          <cell r="L25" t="e">
            <v>#VALUE!</v>
          </cell>
        </row>
        <row r="26">
          <cell r="C26" t="str">
            <v>SAC small</v>
          </cell>
          <cell r="D26" t="str">
            <v>SAC Small Primary Tariffs</v>
          </cell>
          <cell r="F26" t="str">
            <v>Volume charge</v>
          </cell>
          <cell r="G26" t="str">
            <v>$/kWh</v>
          </cell>
          <cell r="H26">
            <v>1.0120000000000001E-2</v>
          </cell>
          <cell r="I26">
            <v>1.108E-2</v>
          </cell>
          <cell r="J26">
            <v>9.75E-3</v>
          </cell>
          <cell r="K26">
            <v>9.4999999999999998E-3</v>
          </cell>
          <cell r="L26" t="e">
            <v>#VALUE!</v>
          </cell>
        </row>
        <row r="27">
          <cell r="C27" t="str">
            <v>SAC small controlled</v>
          </cell>
          <cell r="D27" t="str">
            <v>SAC Small Controlled Load Tariffs</v>
          </cell>
          <cell r="E27" t="str">
            <v xml:space="preserve"> </v>
          </cell>
          <cell r="F27" t="str">
            <v>Volume charge</v>
          </cell>
          <cell r="G27" t="str">
            <v>$/kWh</v>
          </cell>
          <cell r="H27">
            <v>1.0120000000000001E-2</v>
          </cell>
          <cell r="I27">
            <v>1.108E-2</v>
          </cell>
          <cell r="J27">
            <v>9.75E-3</v>
          </cell>
          <cell r="K27">
            <v>9.4999999999999998E-3</v>
          </cell>
          <cell r="L27" t="e">
            <v>#VALUE!</v>
          </cell>
        </row>
        <row r="28">
          <cell r="C28" t="str">
            <v>SAC small controlled</v>
          </cell>
          <cell r="D28" t="str">
            <v>SAC Small Controlled Load Tariffs</v>
          </cell>
        </row>
        <row r="29">
          <cell r="C29" t="str">
            <v>SAC large</v>
          </cell>
          <cell r="D29" t="str">
            <v>SAC Large</v>
          </cell>
          <cell r="E29" t="str">
            <v xml:space="preserve"> </v>
          </cell>
          <cell r="F29" t="str">
            <v>Fixed charge</v>
          </cell>
          <cell r="G29" t="str">
            <v>$/day</v>
          </cell>
          <cell r="H29">
            <v>0.89300000000000002</v>
          </cell>
          <cell r="I29">
            <v>0.97</v>
          </cell>
          <cell r="J29">
            <v>0.85</v>
          </cell>
          <cell r="K29">
            <v>0.82499999999999996</v>
          </cell>
          <cell r="L29" t="e">
            <v>#VALUE!</v>
          </cell>
        </row>
        <row r="30">
          <cell r="C30" t="str">
            <v>SAC large</v>
          </cell>
          <cell r="D30" t="str">
            <v>SAC Large</v>
          </cell>
          <cell r="F30" t="str">
            <v>Volume charge</v>
          </cell>
          <cell r="G30" t="str">
            <v>$/kWh</v>
          </cell>
          <cell r="H30">
            <v>1.31E-3</v>
          </cell>
          <cell r="I30">
            <v>1.4400000000000001E-3</v>
          </cell>
          <cell r="J30">
            <v>1.2600000000000001E-3</v>
          </cell>
          <cell r="K30">
            <v>1.2199999999999999E-3</v>
          </cell>
          <cell r="L30" t="e">
            <v>#VALUE!</v>
          </cell>
        </row>
        <row r="31">
          <cell r="C31" t="str">
            <v>CAC</v>
          </cell>
          <cell r="D31" t="str">
            <v>CAC</v>
          </cell>
          <cell r="E31" t="str">
            <v xml:space="preserve"> </v>
          </cell>
          <cell r="F31" t="str">
            <v>Fixed charge</v>
          </cell>
          <cell r="G31" t="str">
            <v>$/day</v>
          </cell>
          <cell r="H31">
            <v>16.751999999999999</v>
          </cell>
          <cell r="I31">
            <v>18.495000000000001</v>
          </cell>
          <cell r="J31">
            <v>16.236000000000001</v>
          </cell>
          <cell r="K31">
            <v>15.773</v>
          </cell>
          <cell r="L31" t="e">
            <v>#VALUE!</v>
          </cell>
        </row>
        <row r="32">
          <cell r="C32" t="str">
            <v>CAC</v>
          </cell>
          <cell r="D32" t="str">
            <v>CAC</v>
          </cell>
          <cell r="F32" t="str">
            <v>Volume charge</v>
          </cell>
          <cell r="G32" t="str">
            <v>$/kWh</v>
          </cell>
          <cell r="H32">
            <v>8.3000000000000001E-4</v>
          </cell>
          <cell r="I32">
            <v>8.9999999999999998E-4</v>
          </cell>
          <cell r="J32">
            <v>7.9000000000000001E-4</v>
          </cell>
          <cell r="K32">
            <v>7.6999999999999996E-4</v>
          </cell>
          <cell r="L32" t="e">
            <v>#VALUE!</v>
          </cell>
        </row>
        <row r="33">
          <cell r="C33" t="str">
            <v>ICC</v>
          </cell>
          <cell r="D33" t="str">
            <v>ICC</v>
          </cell>
          <cell r="E33" t="str">
            <v xml:space="preserve"> </v>
          </cell>
          <cell r="F33" t="str">
            <v>Fixed charge</v>
          </cell>
          <cell r="G33" t="str">
            <v>$/day</v>
          </cell>
          <cell r="H33">
            <v>134.11799999999999</v>
          </cell>
          <cell r="I33">
            <v>146.56800000000001</v>
          </cell>
          <cell r="J33">
            <v>128.53800000000001</v>
          </cell>
          <cell r="K33">
            <v>124.752</v>
          </cell>
          <cell r="L33" t="e">
            <v>#VALUE!</v>
          </cell>
        </row>
        <row r="34">
          <cell r="D34" t="str">
            <v>ICC</v>
          </cell>
        </row>
      </sheetData>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Waveform">
  <a:themeElements>
    <a:clrScheme name="Waveform">
      <a:dk1>
        <a:sysClr val="windowText" lastClr="000000"/>
      </a:dk1>
      <a:lt1>
        <a:sysClr val="window" lastClr="FFFFFF"/>
      </a:lt1>
      <a:dk2>
        <a:srgbClr val="073E87"/>
      </a:dk2>
      <a:lt2>
        <a:srgbClr val="C6E7FC"/>
      </a:lt2>
      <a:accent1>
        <a:srgbClr val="31B6FD"/>
      </a:accent1>
      <a:accent2>
        <a:srgbClr val="4584D3"/>
      </a:accent2>
      <a:accent3>
        <a:srgbClr val="5BD078"/>
      </a:accent3>
      <a:accent4>
        <a:srgbClr val="A5D028"/>
      </a:accent4>
      <a:accent5>
        <a:srgbClr val="F5C040"/>
      </a:accent5>
      <a:accent6>
        <a:srgbClr val="05E0DB"/>
      </a:accent6>
      <a:hlink>
        <a:srgbClr val="0080FF"/>
      </a:hlink>
      <a:folHlink>
        <a:srgbClr val="5EAEFF"/>
      </a:folHlink>
    </a:clrScheme>
    <a:fontScheme name="Waveform">
      <a:majorFont>
        <a:latin typeface="Candara"/>
        <a:ea typeface=""/>
        <a:cs typeface=""/>
        <a:font script="Jpan" typeface="HGP明朝E"/>
        <a:font script="Hang" typeface="HY그래픽M"/>
        <a:font script="Hans" typeface="华文新魏"/>
        <a:font script="Hant" typeface="標楷體"/>
        <a:font script="Arab" typeface="Arial"/>
        <a:font script="Hebr" typeface="Arial"/>
        <a:font script="Thai" typeface="Kodchiang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ndara"/>
        <a:ea typeface=""/>
        <a:cs typeface=""/>
        <a:font script="Jpan" typeface="HGP明朝E"/>
        <a:font script="Hang" typeface="HY그래픽M"/>
        <a:font script="Hans" typeface="华文楷体"/>
        <a:font script="Hant" typeface="標楷體"/>
        <a:font script="Arab" typeface="Arial"/>
        <a:font script="Hebr" typeface="Arial"/>
        <a:font script="Thai" typeface="Kodchiang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Waveform">
      <a:fillStyleLst>
        <a:solidFill>
          <a:schemeClr val="phClr"/>
        </a:solidFill>
        <a:gradFill rotWithShape="1">
          <a:gsLst>
            <a:gs pos="0">
              <a:schemeClr val="phClr">
                <a:tint val="0"/>
              </a:schemeClr>
            </a:gs>
            <a:gs pos="44000">
              <a:schemeClr val="phClr">
                <a:tint val="60000"/>
                <a:satMod val="120000"/>
              </a:schemeClr>
            </a:gs>
            <a:gs pos="100000">
              <a:schemeClr val="phClr">
                <a:tint val="90000"/>
                <a:alpha val="100000"/>
                <a:lumMod val="90000"/>
              </a:schemeClr>
            </a:gs>
          </a:gsLst>
          <a:lin ang="5400000" scaled="0"/>
        </a:gradFill>
        <a:gradFill rotWithShape="1">
          <a:gsLst>
            <a:gs pos="0">
              <a:schemeClr val="phClr">
                <a:tint val="96000"/>
                <a:satMod val="120000"/>
                <a:lumMod val="120000"/>
              </a:schemeClr>
            </a:gs>
            <a:gs pos="100000">
              <a:schemeClr val="phClr">
                <a:shade val="89000"/>
                <a:lumMod val="90000"/>
              </a:schemeClr>
            </a:gs>
          </a:gsLst>
          <a:lin ang="5400000" scaled="0"/>
        </a:gradFill>
      </a:fillStyleLst>
      <a:lnStyleLst>
        <a:ln w="9525" cap="flat" cmpd="sng" algn="ctr">
          <a:solidFill>
            <a:schemeClr val="phClr"/>
          </a:solidFill>
          <a:prstDash val="solid"/>
        </a:ln>
        <a:ln w="15875" cap="flat" cmpd="sng" algn="ctr">
          <a:solidFill>
            <a:schemeClr val="phClr">
              <a:shade val="75000"/>
              <a:lumMod val="80000"/>
            </a:schemeClr>
          </a:solidFill>
          <a:prstDash val="solid"/>
        </a:ln>
        <a:ln w="25400" cap="flat" cmpd="sng" algn="ctr">
          <a:solidFill>
            <a:schemeClr val="phClr"/>
          </a:solidFill>
          <a:prstDash val="solid"/>
        </a:ln>
      </a:lnStyleLst>
      <a:effectStyleLst>
        <a:effectStyle>
          <a:effectLst/>
        </a:effectStyle>
        <a:effectStyle>
          <a:effectLst>
            <a:outerShdw blurRad="50800" dist="25400" dir="5400000" rotWithShape="0">
              <a:srgbClr val="000000">
                <a:alpha val="38000"/>
              </a:srgbClr>
            </a:outerShdw>
          </a:effectLst>
          <a:scene3d>
            <a:camera prst="orthographicFront">
              <a:rot lat="0" lon="0" rev="0"/>
            </a:camera>
            <a:lightRig rig="flat" dir="tl">
              <a:rot lat="0" lon="0" rev="6360000"/>
            </a:lightRig>
          </a:scene3d>
          <a:sp3d prstMaterial="flat">
            <a:bevelT w="12700" h="12700"/>
          </a:sp3d>
        </a:effectStyle>
        <a:effectStyle>
          <a:effectLst>
            <a:outerShdw blurRad="50800" dist="25400" dir="5400000" rotWithShape="0">
              <a:srgbClr val="000000">
                <a:alpha val="38000"/>
              </a:srgbClr>
            </a:outerShdw>
          </a:effectLst>
          <a:scene3d>
            <a:camera prst="orthographicFront">
              <a:rot lat="0" lon="0" rev="0"/>
            </a:camera>
            <a:lightRig rig="flat" dir="tl">
              <a:rot lat="0" lon="0" rev="6360000"/>
            </a:lightRig>
          </a:scene3d>
          <a:sp3d contourW="19050" prstMaterial="flat">
            <a:bevelT w="63500" h="63500"/>
            <a:contourClr>
              <a:schemeClr val="phClr">
                <a:shade val="25000"/>
                <a:satMod val="180000"/>
              </a:schemeClr>
            </a:contourClr>
          </a:sp3d>
        </a:effectStyle>
      </a:effectStyleLst>
      <a:bgFillStyleLst>
        <a:solidFill>
          <a:schemeClr val="phClr"/>
        </a:solidFill>
        <a:gradFill rotWithShape="1">
          <a:gsLst>
            <a:gs pos="40000">
              <a:schemeClr val="phClr">
                <a:tint val="94000"/>
                <a:shade val="94000"/>
                <a:alpha val="100000"/>
                <a:satMod val="114000"/>
                <a:lumMod val="114000"/>
              </a:schemeClr>
            </a:gs>
            <a:gs pos="74000">
              <a:schemeClr val="phClr">
                <a:tint val="94000"/>
                <a:shade val="94000"/>
                <a:satMod val="128000"/>
                <a:lumMod val="100000"/>
              </a:schemeClr>
            </a:gs>
            <a:gs pos="100000">
              <a:schemeClr val="phClr">
                <a:tint val="98000"/>
                <a:shade val="100000"/>
                <a:hueMod val="98000"/>
                <a:satMod val="100000"/>
                <a:lumMod val="74000"/>
              </a:schemeClr>
            </a:gs>
          </a:gsLst>
          <a:path path="circle">
            <a:fillToRect l="20000" t="-40000" r="20000" b="140000"/>
          </a:path>
        </a:gradFill>
        <a:blipFill rotWithShape="1">
          <a:blip xmlns:r="http://schemas.openxmlformats.org/officeDocument/2006/relationships" r:embed="rId1">
            <a:duotone>
              <a:schemeClr val="phClr">
                <a:tint val="96000"/>
                <a:satMod val="130000"/>
                <a:lumMod val="50000"/>
              </a:schemeClr>
              <a:schemeClr val="phClr">
                <a:tint val="96000"/>
                <a:satMod val="114000"/>
                <a:lumMod val="114000"/>
              </a:schemeClr>
            </a:duotone>
          </a:blip>
          <a:stretch/>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BR301"/>
  <sheetViews>
    <sheetView zoomScale="80" zoomScaleNormal="80" workbookViewId="0"/>
  </sheetViews>
  <sheetFormatPr defaultColWidth="0" defaultRowHeight="12.75" x14ac:dyDescent="0.2"/>
  <cols>
    <col min="1" max="2" width="3.7109375" style="66" customWidth="1"/>
    <col min="3" max="3" width="20.28515625" style="66" customWidth="1"/>
    <col min="4" max="4" width="42.85546875" style="66" customWidth="1"/>
    <col min="5" max="5" width="12.7109375" style="66" customWidth="1"/>
    <col min="6" max="7" width="7.42578125" style="66" customWidth="1"/>
    <col min="8" max="9" width="11.7109375" style="66" customWidth="1"/>
    <col min="10" max="17" width="13.85546875" style="66" customWidth="1"/>
    <col min="18" max="18" width="12.7109375" style="66" customWidth="1"/>
    <col min="19" max="20" width="6.7109375" style="66" customWidth="1"/>
    <col min="21" max="27" width="11.7109375" style="66" customWidth="1"/>
    <col min="28" max="28" width="9.85546875" style="66" customWidth="1"/>
    <col min="29" max="29" width="22.7109375" style="66" customWidth="1"/>
    <col min="30" max="30" width="12.7109375" style="66" customWidth="1"/>
    <col min="31" max="34" width="6.7109375" style="66" customWidth="1"/>
    <col min="35" max="42" width="11.7109375" style="66" customWidth="1"/>
    <col min="43" max="44" width="9.140625" style="66" customWidth="1"/>
    <col min="45" max="46" width="12.7109375" style="66" customWidth="1"/>
    <col min="47" max="48" width="6.7109375" style="66" customWidth="1"/>
    <col min="49" max="52" width="10.7109375" style="66" customWidth="1"/>
    <col min="53" max="55" width="9.140625" style="66" customWidth="1"/>
    <col min="56" max="70" width="0" style="66" hidden="1" customWidth="1"/>
    <col min="71" max="16384" width="9.140625" style="66" hidden="1"/>
  </cols>
  <sheetData>
    <row r="1" spans="1:55" s="20" customFormat="1" x14ac:dyDescent="0.2">
      <c r="A1" s="17"/>
      <c r="B1" s="17"/>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3"/>
      <c r="AH1" s="151"/>
      <c r="AI1" s="151"/>
      <c r="AJ1" s="151"/>
      <c r="AK1" s="151"/>
      <c r="AL1" s="151"/>
      <c r="AM1" s="151"/>
      <c r="AN1" s="151"/>
      <c r="AO1" s="151"/>
      <c r="AP1" s="151"/>
      <c r="AQ1" s="151"/>
      <c r="AR1" s="151"/>
      <c r="AS1" s="151"/>
      <c r="AT1" s="151"/>
      <c r="AU1" s="153"/>
      <c r="AV1" s="151"/>
      <c r="AW1" s="151"/>
      <c r="AX1" s="151"/>
      <c r="AY1" s="151"/>
      <c r="AZ1" s="151"/>
      <c r="BA1" s="28"/>
      <c r="BB1" s="28"/>
      <c r="BC1" s="28"/>
    </row>
    <row r="2" spans="1:55" s="194" customFormat="1" ht="18.75" customHeight="1" x14ac:dyDescent="0.2">
      <c r="A2" s="16"/>
      <c r="C2" s="236"/>
      <c r="F2" s="237"/>
      <c r="G2" s="236"/>
      <c r="H2" s="236"/>
      <c r="I2" s="236"/>
      <c r="J2" s="236"/>
      <c r="K2" s="236"/>
      <c r="L2" s="236"/>
      <c r="M2" s="236"/>
      <c r="N2" s="236"/>
      <c r="O2" s="236"/>
      <c r="P2" s="236"/>
      <c r="Q2" s="236"/>
      <c r="R2" s="236"/>
    </row>
    <row r="3" spans="1:55" s="194" customFormat="1" ht="18.75" customHeight="1" x14ac:dyDescent="0.2">
      <c r="A3" s="16"/>
      <c r="C3" s="237" t="s">
        <v>589</v>
      </c>
      <c r="D3" s="237"/>
      <c r="F3" s="238"/>
      <c r="G3" s="236"/>
      <c r="H3" s="236"/>
      <c r="I3" s="236"/>
      <c r="J3" s="236"/>
      <c r="K3" s="236"/>
      <c r="L3" s="236"/>
      <c r="M3" s="236"/>
      <c r="N3" s="236"/>
      <c r="O3" s="236"/>
      <c r="P3" s="236"/>
      <c r="Q3" s="236"/>
      <c r="R3" s="236"/>
    </row>
    <row r="4" spans="1:55" s="20" customFormat="1" ht="18" x14ac:dyDescent="0.25">
      <c r="A4" s="28"/>
      <c r="B4" s="71"/>
      <c r="C4" s="238" t="s">
        <v>591</v>
      </c>
      <c r="D4" s="238"/>
      <c r="E4" s="28"/>
      <c r="F4" s="28"/>
      <c r="G4" s="28"/>
      <c r="H4" s="28"/>
      <c r="I4" s="28"/>
      <c r="J4" s="28"/>
      <c r="K4" s="128"/>
      <c r="L4" s="28"/>
      <c r="M4" s="28"/>
      <c r="N4" s="28"/>
      <c r="O4" s="28"/>
      <c r="P4" s="28"/>
      <c r="Q4" s="72"/>
      <c r="R4" s="28"/>
      <c r="S4" s="28"/>
      <c r="T4" s="28"/>
      <c r="U4" s="28"/>
      <c r="V4" s="28"/>
      <c r="W4" s="28"/>
      <c r="X4" s="28"/>
      <c r="Y4" s="28"/>
      <c r="Z4" s="28"/>
      <c r="AA4" s="28"/>
      <c r="AB4" s="28"/>
      <c r="AC4" s="72"/>
      <c r="AD4" s="28"/>
      <c r="AE4" s="28"/>
      <c r="AF4" s="28"/>
      <c r="AG4" s="28"/>
      <c r="AH4" s="28"/>
      <c r="AI4" s="28"/>
      <c r="AJ4" s="28"/>
      <c r="AK4" s="28"/>
      <c r="AL4" s="28"/>
      <c r="AM4" s="28"/>
      <c r="AN4" s="28"/>
      <c r="AO4" s="28"/>
      <c r="AP4" s="28"/>
      <c r="AQ4" s="28"/>
      <c r="AR4" s="28"/>
      <c r="AS4" s="28"/>
      <c r="AT4" s="28"/>
      <c r="AU4" s="28"/>
      <c r="AV4" s="28"/>
      <c r="AW4" s="28"/>
      <c r="AX4" s="28"/>
      <c r="AY4" s="28"/>
      <c r="AZ4" s="52"/>
      <c r="BA4" s="28"/>
      <c r="BB4" s="28"/>
      <c r="BC4" s="28"/>
    </row>
    <row r="5" spans="1:55" s="20" customFormat="1" ht="18" x14ac:dyDescent="0.25">
      <c r="A5" s="28"/>
      <c r="B5" s="71"/>
      <c r="C5" s="28"/>
      <c r="D5" s="238"/>
      <c r="E5" s="28"/>
      <c r="F5" s="28"/>
      <c r="G5" s="28"/>
      <c r="H5" s="28"/>
      <c r="I5" s="28"/>
      <c r="J5" s="28"/>
      <c r="K5" s="128"/>
      <c r="L5" s="28"/>
      <c r="M5" s="28"/>
      <c r="N5" s="28"/>
      <c r="O5" s="28"/>
      <c r="P5" s="28"/>
      <c r="Q5" s="72"/>
      <c r="R5" s="28"/>
      <c r="S5" s="28"/>
      <c r="T5" s="28"/>
      <c r="U5" s="28"/>
      <c r="V5" s="28"/>
      <c r="W5" s="28"/>
      <c r="X5" s="28"/>
      <c r="Y5" s="28"/>
      <c r="Z5" s="28"/>
      <c r="AA5" s="28"/>
      <c r="AB5" s="28"/>
      <c r="AC5" s="72"/>
      <c r="AD5" s="28"/>
      <c r="AE5" s="28"/>
      <c r="AF5" s="28"/>
      <c r="AG5" s="28"/>
      <c r="AH5" s="28"/>
      <c r="AI5" s="28"/>
      <c r="AJ5" s="28"/>
      <c r="AK5" s="28"/>
      <c r="AL5" s="28"/>
      <c r="AM5" s="28"/>
      <c r="AN5" s="28"/>
      <c r="AO5" s="28"/>
      <c r="AP5" s="28"/>
      <c r="AQ5" s="28"/>
      <c r="AR5" s="28"/>
      <c r="AS5" s="28"/>
      <c r="AT5" s="28"/>
      <c r="AU5" s="28"/>
      <c r="AV5" s="28"/>
      <c r="AW5" s="28"/>
      <c r="AX5" s="28"/>
      <c r="AY5" s="28"/>
      <c r="AZ5" s="52"/>
      <c r="BA5" s="28"/>
      <c r="BB5" s="28"/>
      <c r="BC5" s="28"/>
    </row>
    <row r="6" spans="1:55" s="20" customFormat="1" ht="15.75" x14ac:dyDescent="0.25">
      <c r="A6" s="28"/>
      <c r="B6" s="28"/>
      <c r="C6" s="67"/>
      <c r="D6" s="67"/>
      <c r="E6" s="28"/>
      <c r="F6" s="28"/>
      <c r="G6" s="28"/>
      <c r="H6" s="28"/>
      <c r="I6" s="28"/>
      <c r="J6" s="161"/>
      <c r="K6" s="28"/>
      <c r="L6" s="28"/>
      <c r="M6" s="28"/>
      <c r="N6" s="28"/>
      <c r="O6" s="28"/>
      <c r="P6" s="28"/>
      <c r="Q6" s="67"/>
      <c r="R6" s="16"/>
      <c r="S6" s="16"/>
      <c r="T6" s="16"/>
      <c r="U6" s="16"/>
      <c r="V6" s="16"/>
      <c r="W6" s="161"/>
      <c r="X6" s="16"/>
      <c r="Y6" s="39"/>
      <c r="Z6" s="39"/>
      <c r="AA6" s="39"/>
      <c r="AB6" s="39"/>
      <c r="AC6" s="36"/>
      <c r="AD6" s="36"/>
      <c r="AE6" s="36"/>
      <c r="AF6" s="36"/>
      <c r="AG6" s="36"/>
      <c r="AH6" s="36"/>
      <c r="AI6" s="36"/>
      <c r="AJ6" s="36"/>
      <c r="AK6" s="36"/>
      <c r="AL6" s="36"/>
      <c r="AM6" s="36"/>
      <c r="AN6" s="36"/>
      <c r="AO6" s="36"/>
      <c r="AP6" s="36"/>
      <c r="AQ6" s="28"/>
      <c r="AR6" s="19"/>
      <c r="AS6" s="67"/>
      <c r="AT6" s="161"/>
      <c r="AU6" s="28"/>
      <c r="AV6" s="28"/>
      <c r="AW6" s="28"/>
      <c r="AX6" s="28"/>
      <c r="AY6" s="28"/>
      <c r="AZ6" s="28"/>
      <c r="BA6" s="28"/>
      <c r="BB6" s="28"/>
      <c r="BC6" s="28"/>
    </row>
    <row r="7" spans="1:55" s="20" customFormat="1" ht="16.5" x14ac:dyDescent="0.25">
      <c r="A7" s="28"/>
      <c r="B7" s="28"/>
      <c r="C7" s="242" t="s">
        <v>281</v>
      </c>
      <c r="D7" s="242"/>
      <c r="E7" s="28"/>
      <c r="F7" s="28"/>
      <c r="G7" s="28"/>
      <c r="H7" s="28"/>
      <c r="I7" s="28"/>
      <c r="J7" s="161"/>
      <c r="K7" s="28"/>
      <c r="L7" s="28"/>
      <c r="M7" s="28"/>
      <c r="N7" s="28"/>
      <c r="O7" s="28"/>
      <c r="P7" s="28"/>
      <c r="Q7" s="67"/>
      <c r="R7" s="16"/>
      <c r="S7" s="16"/>
      <c r="T7" s="16"/>
      <c r="U7" s="16"/>
      <c r="V7" s="16"/>
      <c r="W7" s="161"/>
      <c r="X7" s="16"/>
      <c r="Y7" s="39"/>
      <c r="Z7" s="39"/>
      <c r="AA7" s="39"/>
      <c r="AB7" s="39"/>
      <c r="AC7" s="36"/>
      <c r="AD7" s="36"/>
      <c r="AE7" s="36"/>
      <c r="AF7" s="36"/>
      <c r="AG7" s="36"/>
      <c r="AH7" s="36"/>
      <c r="AI7" s="36"/>
      <c r="AJ7" s="36"/>
      <c r="AK7" s="36"/>
      <c r="AL7" s="36"/>
      <c r="AM7" s="36"/>
      <c r="AN7" s="36"/>
      <c r="AO7" s="36"/>
      <c r="AP7" s="36"/>
      <c r="AQ7" s="28"/>
      <c r="AR7" s="19"/>
      <c r="AS7" s="67"/>
      <c r="AT7" s="161"/>
      <c r="AU7" s="28"/>
      <c r="AV7" s="28"/>
      <c r="AW7" s="28"/>
      <c r="AX7" s="28"/>
      <c r="AY7" s="28"/>
      <c r="AZ7" s="28"/>
      <c r="BA7" s="28"/>
      <c r="BB7" s="28"/>
      <c r="BC7" s="28"/>
    </row>
    <row r="8" spans="1:55" s="28" customFormat="1" x14ac:dyDescent="0.2">
      <c r="C8" s="16"/>
      <c r="D8" s="16"/>
      <c r="E8" s="16"/>
      <c r="F8" s="16"/>
      <c r="G8" s="16"/>
      <c r="H8" s="16"/>
      <c r="I8" s="16"/>
      <c r="J8" s="16"/>
      <c r="K8" s="16"/>
      <c r="L8" s="16"/>
      <c r="M8" s="16"/>
      <c r="N8" s="16"/>
      <c r="O8" s="16"/>
      <c r="P8" s="16"/>
      <c r="Q8" s="16"/>
      <c r="R8" s="16"/>
      <c r="S8" s="16"/>
      <c r="T8" s="16"/>
      <c r="U8" s="16"/>
      <c r="V8" s="16"/>
      <c r="W8" s="16"/>
      <c r="X8" s="16"/>
      <c r="Y8" s="39"/>
      <c r="Z8" s="39"/>
      <c r="AA8" s="39"/>
      <c r="AB8" s="39"/>
      <c r="AC8" s="36"/>
      <c r="AD8" s="36"/>
      <c r="AE8" s="36"/>
      <c r="AF8" s="36"/>
      <c r="AG8" s="36"/>
      <c r="AH8" s="36"/>
      <c r="AI8" s="36"/>
      <c r="AJ8" s="36"/>
      <c r="AK8" s="36"/>
      <c r="AL8" s="36"/>
      <c r="AM8" s="36"/>
      <c r="AN8" s="36"/>
      <c r="AO8" s="36"/>
      <c r="AP8" s="36"/>
      <c r="AR8" s="19"/>
    </row>
    <row r="9" spans="1:55" s="20" customFormat="1" ht="15" customHeight="1" x14ac:dyDescent="0.2">
      <c r="A9" s="147"/>
      <c r="B9" s="147"/>
      <c r="C9" s="443" t="s">
        <v>228</v>
      </c>
      <c r="D9" s="444"/>
      <c r="E9" s="444"/>
      <c r="F9" s="444"/>
      <c r="G9" s="444"/>
      <c r="H9" s="444"/>
      <c r="I9" s="444"/>
      <c r="J9" s="444"/>
      <c r="K9" s="444"/>
      <c r="L9" s="444"/>
      <c r="M9" s="444"/>
      <c r="N9" s="444"/>
      <c r="O9" s="445"/>
      <c r="P9" s="19"/>
      <c r="Q9" s="28"/>
      <c r="R9" s="28"/>
      <c r="S9" s="28"/>
      <c r="T9" s="28"/>
      <c r="U9" s="28"/>
      <c r="V9" s="28"/>
      <c r="W9" s="28"/>
      <c r="X9" s="28"/>
      <c r="Y9" s="28"/>
      <c r="Z9" s="28"/>
      <c r="AA9" s="28"/>
      <c r="AB9" s="68"/>
      <c r="AC9" s="28"/>
      <c r="AD9" s="28"/>
      <c r="AE9" s="28"/>
      <c r="AF9" s="28"/>
      <c r="AG9" s="28"/>
      <c r="AH9" s="28"/>
      <c r="AI9" s="28"/>
      <c r="AJ9" s="28"/>
      <c r="AK9" s="28"/>
      <c r="AL9" s="28"/>
      <c r="AM9" s="28"/>
      <c r="AN9" s="28"/>
      <c r="AO9" s="28"/>
      <c r="AP9" s="28"/>
      <c r="AQ9" s="28"/>
      <c r="AR9" s="19"/>
      <c r="AS9" s="28"/>
      <c r="AT9" s="28"/>
      <c r="AU9" s="28"/>
      <c r="AV9" s="28"/>
      <c r="AW9" s="28"/>
      <c r="AX9" s="28"/>
      <c r="AY9" s="28"/>
      <c r="AZ9" s="28"/>
      <c r="BA9" s="28"/>
      <c r="BB9" s="28"/>
      <c r="BC9" s="28"/>
    </row>
    <row r="10" spans="1:55" s="20" customFormat="1" ht="41.25" customHeight="1" x14ac:dyDescent="0.2">
      <c r="A10" s="147"/>
      <c r="B10" s="147"/>
      <c r="C10" s="440" t="s">
        <v>126</v>
      </c>
      <c r="D10" s="441"/>
      <c r="E10" s="441"/>
      <c r="F10" s="441"/>
      <c r="G10" s="441"/>
      <c r="H10" s="441"/>
      <c r="I10" s="441"/>
      <c r="J10" s="441"/>
      <c r="K10" s="441"/>
      <c r="L10" s="441"/>
      <c r="M10" s="441"/>
      <c r="N10" s="441"/>
      <c r="O10" s="442"/>
      <c r="P10" s="37"/>
      <c r="Q10" s="28"/>
      <c r="R10" s="28"/>
      <c r="S10" s="28"/>
      <c r="T10" s="28"/>
      <c r="U10" s="28"/>
      <c r="V10" s="28"/>
      <c r="W10" s="28"/>
      <c r="X10" s="28"/>
      <c r="Y10" s="28"/>
      <c r="Z10" s="28"/>
      <c r="AA10" s="28"/>
      <c r="AB10" s="68"/>
      <c r="AC10" s="28"/>
      <c r="AD10" s="28"/>
      <c r="AE10" s="28"/>
      <c r="AF10" s="28"/>
      <c r="AG10" s="28"/>
      <c r="AH10" s="28"/>
      <c r="AI10" s="28"/>
      <c r="AJ10" s="28"/>
      <c r="AK10" s="28"/>
      <c r="AL10" s="28"/>
      <c r="AM10" s="28"/>
      <c r="AN10" s="28"/>
      <c r="AO10" s="28"/>
      <c r="AP10" s="28"/>
      <c r="AQ10" s="28"/>
      <c r="AR10" s="19"/>
      <c r="AS10" s="28"/>
      <c r="AT10" s="28"/>
      <c r="AU10" s="28"/>
      <c r="AV10" s="28"/>
      <c r="AW10" s="28"/>
      <c r="AX10" s="28"/>
      <c r="AY10" s="28"/>
      <c r="AZ10" s="28"/>
      <c r="BA10" s="28"/>
      <c r="BB10" s="28"/>
      <c r="BC10" s="28"/>
    </row>
    <row r="11" spans="1:55" s="20" customFormat="1" ht="30" customHeight="1" x14ac:dyDescent="0.2">
      <c r="A11" s="147"/>
      <c r="B11" s="147"/>
      <c r="C11" s="422" t="s">
        <v>464</v>
      </c>
      <c r="D11" s="423" t="s">
        <v>167</v>
      </c>
      <c r="E11" s="422" t="s">
        <v>7</v>
      </c>
      <c r="F11" s="422" t="s">
        <v>0</v>
      </c>
      <c r="G11" s="458"/>
      <c r="H11" s="460" t="s">
        <v>5</v>
      </c>
      <c r="I11" s="461"/>
      <c r="J11" s="461"/>
      <c r="K11" s="462"/>
      <c r="L11" s="459" t="s">
        <v>6</v>
      </c>
      <c r="M11" s="435"/>
      <c r="N11" s="432" t="s">
        <v>178</v>
      </c>
      <c r="O11" s="433"/>
      <c r="P11" s="146"/>
      <c r="Q11" s="28"/>
      <c r="R11" s="28"/>
      <c r="S11" s="28"/>
      <c r="T11" s="28"/>
      <c r="U11" s="28"/>
      <c r="V11" s="28"/>
      <c r="W11" s="28"/>
      <c r="X11" s="28"/>
      <c r="Y11" s="28"/>
      <c r="Z11" s="28"/>
      <c r="AA11" s="28"/>
      <c r="AB11" s="59"/>
      <c r="AC11" s="28"/>
      <c r="AD11" s="28"/>
      <c r="AE11" s="28"/>
      <c r="AF11" s="28"/>
      <c r="AG11" s="28"/>
      <c r="AH11" s="28"/>
      <c r="AI11" s="28"/>
      <c r="AJ11" s="28"/>
      <c r="AK11" s="28"/>
      <c r="AL11" s="28"/>
      <c r="AM11" s="28"/>
      <c r="AN11" s="28"/>
      <c r="AO11" s="28"/>
      <c r="AP11" s="28"/>
      <c r="AQ11" s="28"/>
      <c r="AR11" s="19"/>
      <c r="AS11" s="28"/>
      <c r="AT11" s="28"/>
      <c r="AU11" s="28"/>
      <c r="AV11" s="28"/>
      <c r="AW11" s="28"/>
      <c r="AX11" s="28"/>
      <c r="AY11" s="28"/>
      <c r="AZ11" s="28"/>
      <c r="BA11" s="28"/>
      <c r="BB11" s="28"/>
      <c r="BC11" s="28"/>
    </row>
    <row r="12" spans="1:55" s="20" customFormat="1" ht="30" customHeight="1" x14ac:dyDescent="0.2">
      <c r="A12" s="147"/>
      <c r="B12" s="147"/>
      <c r="C12" s="422"/>
      <c r="D12" s="424"/>
      <c r="E12" s="422"/>
      <c r="F12" s="422"/>
      <c r="G12" s="458"/>
      <c r="H12" s="434" t="s">
        <v>92</v>
      </c>
      <c r="I12" s="437" t="s">
        <v>88</v>
      </c>
      <c r="J12" s="437"/>
      <c r="K12" s="438"/>
      <c r="L12" s="435" t="s">
        <v>96</v>
      </c>
      <c r="M12" s="436" t="s">
        <v>98</v>
      </c>
      <c r="N12" s="420" t="s">
        <v>179</v>
      </c>
      <c r="O12" s="420" t="s">
        <v>180</v>
      </c>
      <c r="P12" s="146"/>
      <c r="Q12" s="28"/>
      <c r="R12" s="28"/>
      <c r="S12" s="28"/>
      <c r="T12" s="28"/>
      <c r="U12" s="28"/>
      <c r="V12" s="28"/>
      <c r="W12" s="28"/>
      <c r="X12" s="28"/>
      <c r="Y12" s="28"/>
      <c r="Z12" s="28"/>
      <c r="AA12" s="28"/>
      <c r="AB12" s="59"/>
      <c r="AC12" s="28"/>
      <c r="AD12" s="28"/>
      <c r="AE12" s="28"/>
      <c r="AF12" s="28"/>
      <c r="AG12" s="28"/>
      <c r="AH12" s="28"/>
      <c r="AI12" s="28"/>
      <c r="AJ12" s="28"/>
      <c r="AK12" s="28"/>
      <c r="AL12" s="28"/>
      <c r="AM12" s="28"/>
      <c r="AN12" s="28"/>
      <c r="AO12" s="28"/>
      <c r="AP12" s="28"/>
      <c r="AQ12" s="28"/>
      <c r="AR12" s="19"/>
      <c r="AS12" s="28"/>
      <c r="AT12" s="28"/>
      <c r="AU12" s="28"/>
      <c r="AV12" s="28"/>
      <c r="AW12" s="28"/>
      <c r="AX12" s="28"/>
      <c r="AY12" s="28"/>
      <c r="AZ12" s="28"/>
      <c r="BA12" s="28"/>
      <c r="BB12" s="28"/>
      <c r="BC12" s="28"/>
    </row>
    <row r="13" spans="1:55" s="20" customFormat="1" ht="30" customHeight="1" x14ac:dyDescent="0.2">
      <c r="A13" s="147"/>
      <c r="B13" s="147"/>
      <c r="C13" s="422"/>
      <c r="D13" s="424"/>
      <c r="E13" s="422"/>
      <c r="F13" s="422"/>
      <c r="G13" s="458"/>
      <c r="H13" s="434"/>
      <c r="I13" s="144" t="s">
        <v>171</v>
      </c>
      <c r="J13" s="142" t="s">
        <v>173</v>
      </c>
      <c r="K13" s="29" t="s">
        <v>172</v>
      </c>
      <c r="L13" s="435"/>
      <c r="M13" s="436"/>
      <c r="N13" s="421"/>
      <c r="O13" s="421"/>
      <c r="P13" s="146"/>
      <c r="Q13" s="28"/>
      <c r="R13" s="28"/>
      <c r="S13" s="28"/>
      <c r="T13" s="28"/>
      <c r="U13" s="28"/>
      <c r="V13" s="28"/>
      <c r="W13" s="28"/>
      <c r="X13" s="28"/>
      <c r="Y13" s="28"/>
      <c r="Z13" s="28"/>
      <c r="AA13" s="28"/>
      <c r="AB13" s="59"/>
      <c r="AC13" s="28"/>
      <c r="AD13" s="28"/>
      <c r="AE13" s="28"/>
      <c r="AF13" s="28"/>
      <c r="AG13" s="28"/>
      <c r="AH13" s="28"/>
      <c r="AI13" s="28"/>
      <c r="AJ13" s="28"/>
      <c r="AK13" s="28"/>
      <c r="AL13" s="28"/>
      <c r="AM13" s="28"/>
      <c r="AN13" s="28"/>
      <c r="AO13" s="28"/>
      <c r="AP13" s="28"/>
      <c r="AQ13" s="28"/>
      <c r="AR13" s="19"/>
      <c r="AS13" s="28"/>
      <c r="AT13" s="28"/>
      <c r="AU13" s="28"/>
      <c r="AV13" s="28"/>
      <c r="AW13" s="28"/>
      <c r="AX13" s="28"/>
      <c r="AY13" s="28"/>
      <c r="AZ13" s="28"/>
      <c r="BA13" s="28"/>
      <c r="BB13" s="28"/>
      <c r="BC13" s="28"/>
    </row>
    <row r="14" spans="1:55" s="20" customFormat="1" ht="33" customHeight="1" x14ac:dyDescent="0.2">
      <c r="A14" s="147"/>
      <c r="B14" s="147"/>
      <c r="C14" s="422"/>
      <c r="D14" s="425"/>
      <c r="E14" s="422"/>
      <c r="F14" s="177" t="s">
        <v>8</v>
      </c>
      <c r="G14" s="140" t="s">
        <v>9</v>
      </c>
      <c r="H14" s="90" t="s">
        <v>89</v>
      </c>
      <c r="I14" s="4" t="s">
        <v>10</v>
      </c>
      <c r="J14" s="4" t="s">
        <v>10</v>
      </c>
      <c r="K14" s="4" t="s">
        <v>10</v>
      </c>
      <c r="L14" s="145" t="s">
        <v>89</v>
      </c>
      <c r="M14" s="5" t="s">
        <v>10</v>
      </c>
      <c r="N14" s="117" t="s">
        <v>89</v>
      </c>
      <c r="O14" s="118" t="s">
        <v>10</v>
      </c>
      <c r="P14" s="38"/>
      <c r="Q14" s="28"/>
      <c r="R14" s="28"/>
      <c r="S14" s="28"/>
      <c r="T14" s="28"/>
      <c r="U14" s="28"/>
      <c r="V14" s="28"/>
      <c r="W14" s="28"/>
      <c r="X14" s="28"/>
      <c r="Y14" s="28"/>
      <c r="Z14" s="28"/>
      <c r="AA14" s="28"/>
      <c r="AB14" s="70"/>
      <c r="AC14" s="28"/>
      <c r="AD14" s="28"/>
      <c r="AE14" s="28"/>
      <c r="AF14" s="28"/>
      <c r="AG14" s="28"/>
      <c r="AH14" s="28"/>
      <c r="AI14" s="28"/>
      <c r="AJ14" s="28"/>
      <c r="AK14" s="28"/>
      <c r="AL14" s="28"/>
      <c r="AM14" s="28"/>
      <c r="AN14" s="28"/>
      <c r="AO14" s="28"/>
      <c r="AP14" s="28"/>
      <c r="AQ14" s="28"/>
      <c r="AR14" s="19"/>
      <c r="AS14" s="28"/>
      <c r="AT14" s="28"/>
      <c r="AU14" s="28"/>
      <c r="AV14" s="28"/>
      <c r="AW14" s="28"/>
      <c r="AX14" s="28"/>
      <c r="AY14" s="28"/>
      <c r="AZ14" s="28"/>
      <c r="BA14" s="28"/>
      <c r="BB14" s="28"/>
      <c r="BC14" s="28"/>
    </row>
    <row r="15" spans="1:55" s="20" customFormat="1" ht="14.25" customHeight="1" x14ac:dyDescent="0.2">
      <c r="A15" s="17"/>
      <c r="B15" s="17"/>
      <c r="C15" s="457" t="s">
        <v>18</v>
      </c>
      <c r="D15" s="351" t="s">
        <v>465</v>
      </c>
      <c r="E15" s="30" t="s">
        <v>19</v>
      </c>
      <c r="F15" s="85">
        <v>1.095</v>
      </c>
      <c r="G15" s="133" t="s">
        <v>13</v>
      </c>
      <c r="H15" s="75">
        <v>1.25</v>
      </c>
      <c r="I15" s="23">
        <v>2.1080000000000002E-2</v>
      </c>
      <c r="J15" s="23">
        <v>8.4860000000000005E-2</v>
      </c>
      <c r="K15" s="23">
        <v>0.12243999999999999</v>
      </c>
      <c r="L15" s="164">
        <v>0.14399999999999999</v>
      </c>
      <c r="M15" s="22">
        <v>1.5049999999999999E-2</v>
      </c>
      <c r="N15" s="48">
        <v>0.16600000000000001</v>
      </c>
      <c r="O15" s="25">
        <v>1.0120000000000001E-2</v>
      </c>
      <c r="P15" s="18"/>
      <c r="Q15" s="28"/>
      <c r="R15" s="28"/>
      <c r="S15" s="28"/>
      <c r="T15" s="28"/>
      <c r="U15" s="28"/>
      <c r="V15" s="28"/>
      <c r="W15" s="28"/>
      <c r="X15" s="28"/>
      <c r="Y15" s="28"/>
      <c r="Z15" s="28"/>
      <c r="AA15" s="28"/>
      <c r="AB15" s="39"/>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row>
    <row r="16" spans="1:55" s="20" customFormat="1" ht="14.25" customHeight="1" x14ac:dyDescent="0.2">
      <c r="A16" s="17"/>
      <c r="B16" s="17"/>
      <c r="C16" s="457"/>
      <c r="D16" s="352" t="s">
        <v>466</v>
      </c>
      <c r="E16" s="31" t="s">
        <v>20</v>
      </c>
      <c r="F16" s="87">
        <v>1.095</v>
      </c>
      <c r="G16" s="134" t="s">
        <v>13</v>
      </c>
      <c r="H16" s="75">
        <v>1.25</v>
      </c>
      <c r="I16" s="23">
        <v>2.1080000000000002E-2</v>
      </c>
      <c r="J16" s="23">
        <v>8.4860000000000005E-2</v>
      </c>
      <c r="K16" s="23">
        <v>0.12243999999999999</v>
      </c>
      <c r="L16" s="165">
        <v>0.29399999999999998</v>
      </c>
      <c r="M16" s="23">
        <v>1.804E-2</v>
      </c>
      <c r="N16" s="48">
        <v>0.16600000000000001</v>
      </c>
      <c r="O16" s="25">
        <v>1.0120000000000001E-2</v>
      </c>
      <c r="P16" s="18"/>
      <c r="Q16" s="28"/>
      <c r="R16" s="28"/>
      <c r="S16" s="28"/>
      <c r="T16" s="28"/>
      <c r="U16" s="28"/>
      <c r="V16" s="28"/>
      <c r="W16" s="28"/>
      <c r="X16" s="28"/>
      <c r="Y16" s="28"/>
      <c r="Z16" s="28"/>
      <c r="AA16" s="28"/>
      <c r="AB16" s="39"/>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row>
    <row r="17" spans="1:55" s="20" customFormat="1" ht="14.25" customHeight="1" x14ac:dyDescent="0.2">
      <c r="A17" s="17"/>
      <c r="B17" s="17"/>
      <c r="C17" s="457"/>
      <c r="D17" s="352" t="s">
        <v>467</v>
      </c>
      <c r="E17" s="31" t="s">
        <v>21</v>
      </c>
      <c r="F17" s="87">
        <v>1.095</v>
      </c>
      <c r="G17" s="134" t="s">
        <v>13</v>
      </c>
      <c r="H17" s="75">
        <v>1.25</v>
      </c>
      <c r="I17" s="23">
        <v>2.1080000000000002E-2</v>
      </c>
      <c r="J17" s="23">
        <v>8.4860000000000005E-2</v>
      </c>
      <c r="K17" s="23">
        <v>0.12243999999999999</v>
      </c>
      <c r="L17" s="165">
        <v>0.41</v>
      </c>
      <c r="M17" s="23">
        <v>2.2589999999999999E-2</v>
      </c>
      <c r="N17" s="48">
        <v>0.16600000000000001</v>
      </c>
      <c r="O17" s="25">
        <v>1.0120000000000001E-2</v>
      </c>
      <c r="P17" s="18"/>
      <c r="Q17" s="28"/>
      <c r="R17" s="28"/>
      <c r="S17" s="28"/>
      <c r="T17" s="28"/>
      <c r="U17" s="28"/>
      <c r="V17" s="28"/>
      <c r="W17" s="28"/>
      <c r="X17" s="28"/>
      <c r="Y17" s="28"/>
      <c r="Z17" s="28"/>
      <c r="AA17" s="28"/>
      <c r="AB17" s="39"/>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row>
    <row r="18" spans="1:55" s="20" customFormat="1" ht="14.25" customHeight="1" x14ac:dyDescent="0.2">
      <c r="A18" s="17"/>
      <c r="B18" s="17"/>
      <c r="C18" s="457"/>
      <c r="D18" s="352" t="s">
        <v>468</v>
      </c>
      <c r="E18" s="31" t="s">
        <v>22</v>
      </c>
      <c r="F18" s="87">
        <v>1.1850000000000001</v>
      </c>
      <c r="G18" s="134" t="s">
        <v>14</v>
      </c>
      <c r="H18" s="75">
        <v>2</v>
      </c>
      <c r="I18" s="23">
        <v>7.0000000000000007E-2</v>
      </c>
      <c r="J18" s="23">
        <v>0.34526000000000001</v>
      </c>
      <c r="K18" s="23">
        <v>0.39652999999999999</v>
      </c>
      <c r="L18" s="165">
        <v>0.14399999999999999</v>
      </c>
      <c r="M18" s="23">
        <v>1.5049999999999999E-2</v>
      </c>
      <c r="N18" s="48">
        <v>0.16600000000000001</v>
      </c>
      <c r="O18" s="25">
        <v>1.0120000000000001E-2</v>
      </c>
      <c r="P18" s="18"/>
      <c r="Q18" s="28"/>
      <c r="R18" s="28"/>
      <c r="S18" s="28"/>
      <c r="T18" s="28"/>
      <c r="U18" s="28"/>
      <c r="V18" s="28"/>
      <c r="W18" s="28"/>
      <c r="X18" s="28"/>
      <c r="Y18" s="28"/>
      <c r="Z18" s="28"/>
      <c r="AA18" s="28"/>
      <c r="AB18" s="39"/>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row>
    <row r="19" spans="1:55" s="20" customFormat="1" ht="14.25" customHeight="1" x14ac:dyDescent="0.2">
      <c r="A19" s="17"/>
      <c r="B19" s="17"/>
      <c r="C19" s="457"/>
      <c r="D19" s="352" t="s">
        <v>469</v>
      </c>
      <c r="E19" s="31" t="s">
        <v>23</v>
      </c>
      <c r="F19" s="87">
        <v>1.1850000000000001</v>
      </c>
      <c r="G19" s="134" t="s">
        <v>14</v>
      </c>
      <c r="H19" s="75">
        <v>2</v>
      </c>
      <c r="I19" s="23">
        <v>7.0000000000000007E-2</v>
      </c>
      <c r="J19" s="23">
        <v>0.34526000000000001</v>
      </c>
      <c r="K19" s="23">
        <v>0.39652999999999999</v>
      </c>
      <c r="L19" s="165">
        <v>0.29399999999999998</v>
      </c>
      <c r="M19" s="23">
        <v>1.804E-2</v>
      </c>
      <c r="N19" s="48">
        <v>0.16600000000000001</v>
      </c>
      <c r="O19" s="25">
        <v>1.0120000000000001E-2</v>
      </c>
      <c r="P19" s="18"/>
      <c r="Q19" s="28"/>
      <c r="R19" s="28"/>
      <c r="S19" s="28"/>
      <c r="T19" s="28"/>
      <c r="U19" s="28"/>
      <c r="V19" s="28"/>
      <c r="W19" s="28"/>
      <c r="X19" s="28"/>
      <c r="Y19" s="28"/>
      <c r="Z19" s="28"/>
      <c r="AA19" s="28"/>
      <c r="AB19" s="39"/>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row>
    <row r="20" spans="1:55" s="20" customFormat="1" ht="14.25" customHeight="1" x14ac:dyDescent="0.2">
      <c r="A20" s="17"/>
      <c r="B20" s="17"/>
      <c r="C20" s="457"/>
      <c r="D20" s="352" t="s">
        <v>470</v>
      </c>
      <c r="E20" s="32" t="s">
        <v>24</v>
      </c>
      <c r="F20" s="87">
        <v>1.1850000000000001</v>
      </c>
      <c r="G20" s="134" t="s">
        <v>14</v>
      </c>
      <c r="H20" s="75">
        <v>2</v>
      </c>
      <c r="I20" s="23">
        <v>7.0000000000000007E-2</v>
      </c>
      <c r="J20" s="23">
        <v>0.34526000000000001</v>
      </c>
      <c r="K20" s="23">
        <v>0.39652999999999999</v>
      </c>
      <c r="L20" s="165">
        <v>0.41</v>
      </c>
      <c r="M20" s="23">
        <v>2.2589999999999999E-2</v>
      </c>
      <c r="N20" s="48">
        <v>0.16600000000000001</v>
      </c>
      <c r="O20" s="25">
        <v>1.0120000000000001E-2</v>
      </c>
      <c r="P20" s="18"/>
      <c r="Q20" s="28"/>
      <c r="R20" s="28"/>
      <c r="S20" s="28"/>
      <c r="T20" s="28"/>
      <c r="U20" s="28"/>
      <c r="V20" s="28"/>
      <c r="W20" s="28"/>
      <c r="X20" s="28"/>
      <c r="Y20" s="28"/>
      <c r="Z20" s="28"/>
      <c r="AA20" s="28"/>
      <c r="AB20" s="39"/>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row>
    <row r="21" spans="1:55" s="20" customFormat="1" ht="14.25" customHeight="1" x14ac:dyDescent="0.2">
      <c r="A21" s="17"/>
      <c r="B21" s="17"/>
      <c r="C21" s="457"/>
      <c r="D21" s="352" t="s">
        <v>471</v>
      </c>
      <c r="E21" s="82" t="s">
        <v>187</v>
      </c>
      <c r="F21" s="89">
        <v>1.069</v>
      </c>
      <c r="G21" s="135" t="s">
        <v>12</v>
      </c>
      <c r="H21" s="77">
        <v>1.25</v>
      </c>
      <c r="I21" s="24">
        <v>2.1139999999999999E-2</v>
      </c>
      <c r="J21" s="24">
        <v>5.1040000000000002E-2</v>
      </c>
      <c r="K21" s="24">
        <v>6.1879999999999998E-2</v>
      </c>
      <c r="L21" s="165">
        <v>0.13500000000000001</v>
      </c>
      <c r="M21" s="23">
        <v>7.2999999999999996E-4</v>
      </c>
      <c r="N21" s="104">
        <v>0.16600000000000001</v>
      </c>
      <c r="O21" s="24">
        <v>1.0120000000000001E-2</v>
      </c>
      <c r="P21" s="18"/>
      <c r="Q21" s="28"/>
      <c r="R21" s="28"/>
      <c r="S21" s="28"/>
      <c r="T21" s="28"/>
      <c r="U21" s="28"/>
      <c r="V21" s="28"/>
      <c r="W21" s="28"/>
      <c r="X21" s="28"/>
      <c r="Y21" s="28"/>
      <c r="Z21" s="28"/>
      <c r="AA21" s="28"/>
      <c r="AB21" s="39"/>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row>
    <row r="22" spans="1:55" s="20" customFormat="1" ht="14.25" customHeight="1" x14ac:dyDescent="0.2">
      <c r="A22" s="17"/>
      <c r="B22" s="17"/>
      <c r="C22" s="457" t="s">
        <v>25</v>
      </c>
      <c r="D22" s="351" t="s">
        <v>472</v>
      </c>
      <c r="E22" s="34" t="s">
        <v>26</v>
      </c>
      <c r="F22" s="85">
        <v>1.095</v>
      </c>
      <c r="G22" s="133" t="s">
        <v>13</v>
      </c>
      <c r="H22" s="159">
        <v>1.25</v>
      </c>
      <c r="I22" s="25">
        <v>2.52E-2</v>
      </c>
      <c r="J22" s="25">
        <v>0.10793999999999999</v>
      </c>
      <c r="K22" s="25">
        <v>0.14418</v>
      </c>
      <c r="L22" s="164">
        <v>0.14399999999999999</v>
      </c>
      <c r="M22" s="22">
        <v>1.5049999999999999E-2</v>
      </c>
      <c r="N22" s="48">
        <v>0.16600000000000001</v>
      </c>
      <c r="O22" s="25">
        <v>1.0120000000000001E-2</v>
      </c>
      <c r="P22" s="18"/>
      <c r="Q22" s="28"/>
      <c r="R22" s="28"/>
      <c r="S22" s="28"/>
      <c r="T22" s="28"/>
      <c r="U22" s="28"/>
      <c r="V22" s="28"/>
      <c r="W22" s="28"/>
      <c r="X22" s="28"/>
      <c r="Y22" s="28"/>
      <c r="Z22" s="28"/>
      <c r="AA22" s="28"/>
      <c r="AB22" s="39"/>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row>
    <row r="23" spans="1:55" s="20" customFormat="1" ht="14.25" customHeight="1" x14ac:dyDescent="0.2">
      <c r="A23" s="17"/>
      <c r="B23" s="17"/>
      <c r="C23" s="457"/>
      <c r="D23" s="352" t="s">
        <v>473</v>
      </c>
      <c r="E23" s="35" t="s">
        <v>27</v>
      </c>
      <c r="F23" s="87">
        <v>1.095</v>
      </c>
      <c r="G23" s="134" t="s">
        <v>13</v>
      </c>
      <c r="H23" s="75">
        <v>1.25</v>
      </c>
      <c r="I23" s="23">
        <v>2.52E-2</v>
      </c>
      <c r="J23" s="23">
        <v>0.10793999999999999</v>
      </c>
      <c r="K23" s="23">
        <v>0.14418</v>
      </c>
      <c r="L23" s="165">
        <v>0.29399999999999998</v>
      </c>
      <c r="M23" s="23">
        <v>1.804E-2</v>
      </c>
      <c r="N23" s="48">
        <v>0.16600000000000001</v>
      </c>
      <c r="O23" s="25">
        <v>1.0120000000000001E-2</v>
      </c>
      <c r="P23" s="18"/>
      <c r="Q23" s="28"/>
      <c r="R23" s="28"/>
      <c r="S23" s="28"/>
      <c r="T23" s="28"/>
      <c r="U23" s="28"/>
      <c r="V23" s="28"/>
      <c r="W23" s="28"/>
      <c r="X23" s="28"/>
      <c r="Y23" s="28"/>
      <c r="Z23" s="28"/>
      <c r="AA23" s="28"/>
      <c r="AB23" s="39"/>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row>
    <row r="24" spans="1:55" s="20" customFormat="1" ht="14.25" customHeight="1" x14ac:dyDescent="0.2">
      <c r="A24" s="17"/>
      <c r="B24" s="17"/>
      <c r="C24" s="457"/>
      <c r="D24" s="352" t="s">
        <v>474</v>
      </c>
      <c r="E24" s="35" t="s">
        <v>28</v>
      </c>
      <c r="F24" s="87">
        <v>1.095</v>
      </c>
      <c r="G24" s="134" t="s">
        <v>13</v>
      </c>
      <c r="H24" s="75">
        <v>1.25</v>
      </c>
      <c r="I24" s="23">
        <v>2.52E-2</v>
      </c>
      <c r="J24" s="23">
        <v>0.10793999999999999</v>
      </c>
      <c r="K24" s="23">
        <v>0.14418</v>
      </c>
      <c r="L24" s="165">
        <v>0.41</v>
      </c>
      <c r="M24" s="23">
        <v>2.2589999999999999E-2</v>
      </c>
      <c r="N24" s="48">
        <v>0.16600000000000001</v>
      </c>
      <c r="O24" s="25">
        <v>1.0120000000000001E-2</v>
      </c>
      <c r="P24" s="18"/>
      <c r="Q24" s="28"/>
      <c r="R24" s="28"/>
      <c r="S24" s="28"/>
      <c r="T24" s="28"/>
      <c r="U24" s="28"/>
      <c r="V24" s="28"/>
      <c r="W24" s="28"/>
      <c r="X24" s="28"/>
      <c r="Y24" s="28"/>
      <c r="Z24" s="28"/>
      <c r="AA24" s="28"/>
      <c r="AB24" s="39"/>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row>
    <row r="25" spans="1:55" s="20" customFormat="1" ht="14.25" customHeight="1" x14ac:dyDescent="0.2">
      <c r="A25" s="17"/>
      <c r="B25" s="17"/>
      <c r="C25" s="457"/>
      <c r="D25" s="352" t="s">
        <v>478</v>
      </c>
      <c r="E25" s="35" t="s">
        <v>29</v>
      </c>
      <c r="F25" s="87">
        <v>1.1850000000000001</v>
      </c>
      <c r="G25" s="134" t="s">
        <v>14</v>
      </c>
      <c r="H25" s="75">
        <v>2</v>
      </c>
      <c r="I25" s="23">
        <v>7.0000000000000007E-2</v>
      </c>
      <c r="J25" s="23">
        <v>0.35743999999999998</v>
      </c>
      <c r="K25" s="23">
        <v>0.40887000000000001</v>
      </c>
      <c r="L25" s="165">
        <v>0.14399999999999999</v>
      </c>
      <c r="M25" s="23">
        <v>1.5049999999999999E-2</v>
      </c>
      <c r="N25" s="48">
        <v>0.16600000000000001</v>
      </c>
      <c r="O25" s="25">
        <v>1.0120000000000001E-2</v>
      </c>
      <c r="P25" s="18"/>
      <c r="Q25" s="28"/>
      <c r="R25" s="28"/>
      <c r="S25" s="28"/>
      <c r="T25" s="28"/>
      <c r="U25" s="28"/>
      <c r="V25" s="28"/>
      <c r="W25" s="28"/>
      <c r="X25" s="28"/>
      <c r="Y25" s="28"/>
      <c r="Z25" s="28"/>
      <c r="AA25" s="28"/>
      <c r="AB25" s="39"/>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row>
    <row r="26" spans="1:55" s="20" customFormat="1" ht="14.25" customHeight="1" x14ac:dyDescent="0.2">
      <c r="A26" s="17"/>
      <c r="B26" s="17"/>
      <c r="C26" s="457"/>
      <c r="D26" s="352" t="s">
        <v>475</v>
      </c>
      <c r="E26" s="35" t="s">
        <v>30</v>
      </c>
      <c r="F26" s="87">
        <v>1.1850000000000001</v>
      </c>
      <c r="G26" s="134" t="s">
        <v>14</v>
      </c>
      <c r="H26" s="75">
        <v>2</v>
      </c>
      <c r="I26" s="23">
        <v>7.0000000000000007E-2</v>
      </c>
      <c r="J26" s="23">
        <v>0.35743999999999998</v>
      </c>
      <c r="K26" s="23">
        <v>0.40887000000000001</v>
      </c>
      <c r="L26" s="165">
        <v>0.29399999999999998</v>
      </c>
      <c r="M26" s="23">
        <v>1.804E-2</v>
      </c>
      <c r="N26" s="48">
        <v>0.16600000000000001</v>
      </c>
      <c r="O26" s="25">
        <v>1.0120000000000001E-2</v>
      </c>
      <c r="P26" s="18"/>
      <c r="Q26" s="28"/>
      <c r="R26" s="28"/>
      <c r="S26" s="28"/>
      <c r="T26" s="28"/>
      <c r="U26" s="28"/>
      <c r="V26" s="28"/>
      <c r="W26" s="28"/>
      <c r="X26" s="28"/>
      <c r="Y26" s="28"/>
      <c r="Z26" s="28"/>
      <c r="AA26" s="28"/>
      <c r="AB26" s="39"/>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row>
    <row r="27" spans="1:55" s="20" customFormat="1" ht="14.25" customHeight="1" x14ac:dyDescent="0.2">
      <c r="A27" s="17"/>
      <c r="B27" s="17"/>
      <c r="C27" s="457"/>
      <c r="D27" s="352" t="s">
        <v>476</v>
      </c>
      <c r="E27" s="35" t="s">
        <v>31</v>
      </c>
      <c r="F27" s="87">
        <v>1.1850000000000001</v>
      </c>
      <c r="G27" s="134" t="s">
        <v>14</v>
      </c>
      <c r="H27" s="75">
        <v>2</v>
      </c>
      <c r="I27" s="23">
        <v>7.0000000000000007E-2</v>
      </c>
      <c r="J27" s="23">
        <v>0.35743999999999998</v>
      </c>
      <c r="K27" s="23">
        <v>0.40887000000000001</v>
      </c>
      <c r="L27" s="165">
        <v>0.41</v>
      </c>
      <c r="M27" s="23">
        <v>2.2589999999999999E-2</v>
      </c>
      <c r="N27" s="48">
        <v>0.16600000000000001</v>
      </c>
      <c r="O27" s="25">
        <v>1.0120000000000001E-2</v>
      </c>
      <c r="P27" s="18"/>
      <c r="Q27" s="28"/>
      <c r="R27" s="28"/>
      <c r="S27" s="28"/>
      <c r="T27" s="28"/>
      <c r="U27" s="28"/>
      <c r="V27" s="28"/>
      <c r="W27" s="28"/>
      <c r="X27" s="28"/>
      <c r="Y27" s="28"/>
      <c r="Z27" s="28"/>
      <c r="AA27" s="28"/>
      <c r="AB27" s="39"/>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row>
    <row r="28" spans="1:55" s="20" customFormat="1" ht="14.25" customHeight="1" x14ac:dyDescent="0.2">
      <c r="A28" s="17"/>
      <c r="B28" s="17"/>
      <c r="C28" s="457"/>
      <c r="D28" s="353" t="s">
        <v>477</v>
      </c>
      <c r="E28" s="82" t="s">
        <v>202</v>
      </c>
      <c r="F28" s="89">
        <v>1.069</v>
      </c>
      <c r="G28" s="135" t="s">
        <v>12</v>
      </c>
      <c r="H28" s="77">
        <v>1.25</v>
      </c>
      <c r="I28" s="24">
        <v>2.5139999999999999E-2</v>
      </c>
      <c r="J28" s="24">
        <v>6.8500000000000005E-2</v>
      </c>
      <c r="K28" s="24">
        <v>8.9620000000000005E-2</v>
      </c>
      <c r="L28" s="166">
        <v>0.13500000000000001</v>
      </c>
      <c r="M28" s="24">
        <v>7.2999999999999996E-4</v>
      </c>
      <c r="N28" s="104">
        <v>0.16600000000000001</v>
      </c>
      <c r="O28" s="24">
        <v>1.0120000000000001E-2</v>
      </c>
      <c r="P28" s="39"/>
      <c r="Q28" s="28"/>
      <c r="R28" s="28"/>
      <c r="S28" s="28"/>
      <c r="T28" s="28"/>
      <c r="U28" s="28"/>
      <c r="V28" s="28"/>
      <c r="W28" s="28"/>
      <c r="X28" s="28"/>
      <c r="Y28" s="28"/>
      <c r="Z28" s="28"/>
      <c r="AA28" s="28"/>
      <c r="AB28" s="39"/>
      <c r="AC28" s="28"/>
      <c r="AD28" s="28"/>
      <c r="AE28" s="28"/>
      <c r="AF28" s="28"/>
      <c r="AG28" s="28"/>
      <c r="AH28" s="28"/>
      <c r="AI28" s="28"/>
      <c r="AJ28" s="28"/>
      <c r="AK28" s="28"/>
      <c r="AL28" s="28"/>
      <c r="AM28" s="28"/>
      <c r="AN28" s="28"/>
      <c r="AO28" s="28"/>
      <c r="AP28" s="28"/>
      <c r="AQ28" s="28"/>
      <c r="AR28" s="19"/>
      <c r="AS28" s="28"/>
      <c r="AT28" s="28"/>
      <c r="AU28" s="28"/>
      <c r="AV28" s="28"/>
      <c r="AW28" s="28"/>
      <c r="AX28" s="28"/>
      <c r="AY28" s="28"/>
      <c r="AZ28" s="28"/>
      <c r="BA28" s="28"/>
      <c r="BB28" s="28"/>
      <c r="BC28" s="28"/>
    </row>
    <row r="29" spans="1:55" s="20" customFormat="1" ht="12.75" customHeight="1" x14ac:dyDescent="0.2">
      <c r="A29" s="17"/>
      <c r="B29" s="17"/>
      <c r="C29" s="52"/>
      <c r="D29" s="52"/>
      <c r="E29" s="52"/>
      <c r="F29" s="52"/>
      <c r="G29" s="52"/>
      <c r="H29" s="52"/>
      <c r="I29" s="52"/>
      <c r="J29" s="58"/>
      <c r="K29" s="58"/>
      <c r="L29" s="58"/>
      <c r="M29" s="52"/>
      <c r="N29" s="52"/>
      <c r="O29" s="52"/>
      <c r="P29" s="39"/>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row>
    <row r="30" spans="1:55" s="20" customFormat="1" ht="13.5" customHeight="1" x14ac:dyDescent="0.2">
      <c r="A30" s="17"/>
      <c r="B30" s="17"/>
      <c r="C30" s="335" t="s">
        <v>224</v>
      </c>
      <c r="D30" s="356"/>
      <c r="E30" s="184"/>
      <c r="F30" s="184"/>
      <c r="G30" s="184"/>
      <c r="H30" s="184"/>
      <c r="I30" s="184"/>
      <c r="J30" s="184"/>
      <c r="K30" s="185"/>
      <c r="L30" s="185"/>
      <c r="M30" s="185"/>
      <c r="N30" s="185"/>
      <c r="O30" s="186"/>
      <c r="P30" s="39"/>
      <c r="Q30" s="28"/>
      <c r="R30" s="28"/>
      <c r="S30" s="28"/>
      <c r="T30" s="28"/>
      <c r="U30" s="28"/>
      <c r="V30" s="28"/>
      <c r="W30" s="28"/>
      <c r="X30" s="28"/>
      <c r="Y30" s="28"/>
      <c r="Z30" s="28"/>
      <c r="AA30" s="28"/>
      <c r="AB30" s="39"/>
      <c r="AC30" s="28"/>
      <c r="AD30" s="28"/>
      <c r="AE30" s="28"/>
      <c r="AF30" s="28"/>
      <c r="AG30" s="28"/>
      <c r="AH30" s="28"/>
      <c r="AI30" s="28"/>
      <c r="AJ30" s="28"/>
      <c r="AK30" s="28"/>
      <c r="AL30" s="28"/>
      <c r="AM30" s="28"/>
      <c r="AN30" s="28"/>
      <c r="AO30" s="28"/>
      <c r="AP30" s="28"/>
      <c r="AQ30" s="28"/>
      <c r="AR30" s="19"/>
      <c r="AS30" s="28"/>
      <c r="AT30" s="28"/>
      <c r="AU30" s="28"/>
      <c r="AV30" s="28"/>
      <c r="AW30" s="28"/>
      <c r="AX30" s="28"/>
      <c r="AY30" s="28"/>
      <c r="AZ30" s="28"/>
      <c r="BA30" s="28"/>
      <c r="BB30" s="28"/>
      <c r="BC30" s="28"/>
    </row>
    <row r="31" spans="1:55" s="20" customFormat="1" ht="33.75" customHeight="1" x14ac:dyDescent="0.2">
      <c r="A31" s="17"/>
      <c r="B31" s="17"/>
      <c r="C31" s="446" t="s">
        <v>461</v>
      </c>
      <c r="D31" s="447"/>
      <c r="E31" s="447"/>
      <c r="F31" s="447"/>
      <c r="G31" s="447"/>
      <c r="H31" s="447"/>
      <c r="I31" s="447"/>
      <c r="J31" s="447"/>
      <c r="K31" s="447"/>
      <c r="L31" s="447"/>
      <c r="M31" s="447"/>
      <c r="N31" s="447"/>
      <c r="O31" s="448"/>
      <c r="P31" s="39"/>
      <c r="Q31" s="28"/>
      <c r="R31" s="28"/>
      <c r="S31" s="28"/>
      <c r="T31" s="28"/>
      <c r="U31" s="28"/>
      <c r="V31" s="28"/>
      <c r="W31" s="28"/>
      <c r="X31" s="28"/>
      <c r="Y31" s="28"/>
      <c r="Z31" s="28"/>
      <c r="AA31" s="28"/>
      <c r="AB31" s="39"/>
      <c r="AC31" s="28"/>
      <c r="AD31" s="28"/>
      <c r="AE31" s="28"/>
      <c r="AF31" s="28"/>
      <c r="AG31" s="28"/>
      <c r="AH31" s="28"/>
      <c r="AI31" s="28"/>
      <c r="AJ31" s="28"/>
      <c r="AK31" s="28"/>
      <c r="AL31" s="28"/>
      <c r="AM31" s="28"/>
      <c r="AN31" s="28"/>
      <c r="AO31" s="28"/>
      <c r="AP31" s="28"/>
      <c r="AQ31" s="28"/>
      <c r="AR31" s="19"/>
      <c r="AS31" s="28"/>
      <c r="AT31" s="28"/>
      <c r="AU31" s="28"/>
      <c r="AV31" s="28"/>
      <c r="AW31" s="28"/>
      <c r="AX31" s="28"/>
      <c r="AY31" s="28"/>
      <c r="AZ31" s="28"/>
      <c r="BA31" s="28"/>
      <c r="BB31" s="28"/>
      <c r="BC31" s="28"/>
    </row>
    <row r="32" spans="1:55" s="20" customFormat="1" ht="23.25" customHeight="1" x14ac:dyDescent="0.2">
      <c r="A32" s="17"/>
      <c r="B32" s="17"/>
      <c r="C32" s="326" t="s">
        <v>237</v>
      </c>
      <c r="D32" s="357"/>
      <c r="E32" s="187"/>
      <c r="F32" s="187"/>
      <c r="G32" s="187"/>
      <c r="H32" s="187"/>
      <c r="I32" s="187"/>
      <c r="J32" s="187"/>
      <c r="K32" s="188"/>
      <c r="L32" s="188"/>
      <c r="M32" s="188"/>
      <c r="N32" s="188"/>
      <c r="O32" s="189"/>
      <c r="P32" s="39"/>
      <c r="Q32" s="28"/>
      <c r="R32" s="28"/>
      <c r="S32" s="28"/>
      <c r="T32" s="28"/>
      <c r="U32" s="28"/>
      <c r="V32" s="28"/>
      <c r="W32" s="28"/>
      <c r="X32" s="28"/>
      <c r="Y32" s="28"/>
      <c r="Z32" s="28"/>
      <c r="AA32" s="28"/>
      <c r="AB32" s="39"/>
      <c r="AC32" s="28"/>
      <c r="AD32" s="28"/>
      <c r="AE32" s="28"/>
      <c r="AF32" s="28"/>
      <c r="AG32" s="28"/>
      <c r="AH32" s="28"/>
      <c r="AI32" s="28"/>
      <c r="AJ32" s="28"/>
      <c r="AK32" s="28"/>
      <c r="AL32" s="28"/>
      <c r="AM32" s="28"/>
      <c r="AN32" s="28"/>
      <c r="AO32" s="28"/>
      <c r="AP32" s="28"/>
      <c r="AQ32" s="28"/>
      <c r="AR32" s="19"/>
      <c r="AS32" s="28"/>
      <c r="AT32" s="28"/>
      <c r="AU32" s="28"/>
      <c r="AV32" s="28"/>
      <c r="AW32" s="28"/>
      <c r="AX32" s="28"/>
      <c r="AY32" s="28"/>
      <c r="AZ32" s="28"/>
      <c r="BA32" s="28"/>
      <c r="BB32" s="28"/>
      <c r="BC32" s="28"/>
    </row>
    <row r="33" spans="1:55" s="20" customFormat="1" x14ac:dyDescent="0.2">
      <c r="A33" s="17"/>
      <c r="B33" s="17"/>
      <c r="C33" s="190" t="s">
        <v>238</v>
      </c>
      <c r="D33" s="248" t="s">
        <v>239</v>
      </c>
      <c r="E33" s="191" t="s">
        <v>240</v>
      </c>
      <c r="F33" s="28"/>
      <c r="G33" s="187"/>
      <c r="H33" s="28"/>
      <c r="I33" s="187"/>
      <c r="J33" s="187"/>
      <c r="K33" s="188"/>
      <c r="L33" s="188"/>
      <c r="M33" s="188"/>
      <c r="N33" s="188"/>
      <c r="O33" s="189"/>
      <c r="P33" s="39"/>
      <c r="Q33" s="28"/>
      <c r="R33" s="28"/>
      <c r="S33" s="28"/>
      <c r="T33" s="28"/>
      <c r="U33" s="28"/>
      <c r="V33" s="28"/>
      <c r="W33" s="28"/>
      <c r="X33" s="28"/>
      <c r="Y33" s="28"/>
      <c r="Z33" s="28"/>
      <c r="AA33" s="28"/>
      <c r="AB33" s="69"/>
      <c r="AC33" s="28"/>
      <c r="AD33" s="28"/>
      <c r="AE33" s="28"/>
      <c r="AF33" s="28"/>
      <c r="AG33" s="28"/>
      <c r="AH33" s="28"/>
      <c r="AI33" s="28"/>
      <c r="AJ33" s="28"/>
      <c r="AK33" s="28"/>
      <c r="AL33" s="28"/>
      <c r="AM33" s="28"/>
      <c r="AN33" s="28"/>
      <c r="AO33" s="28"/>
      <c r="AP33" s="28"/>
      <c r="AQ33" s="28"/>
      <c r="AR33" s="19"/>
      <c r="AS33" s="28"/>
      <c r="AT33" s="28"/>
      <c r="AU33" s="28"/>
      <c r="AV33" s="28"/>
      <c r="AW33" s="28"/>
      <c r="AX33" s="28"/>
      <c r="AY33" s="28"/>
      <c r="AZ33" s="28"/>
      <c r="BA33" s="28"/>
      <c r="BB33" s="28"/>
      <c r="BC33" s="28"/>
    </row>
    <row r="34" spans="1:55" s="20" customFormat="1" x14ac:dyDescent="0.2">
      <c r="A34" s="17"/>
      <c r="B34" s="17"/>
      <c r="C34" s="192" t="s">
        <v>241</v>
      </c>
      <c r="D34" s="249" t="s">
        <v>242</v>
      </c>
      <c r="E34" s="249" t="s">
        <v>243</v>
      </c>
      <c r="F34" s="28"/>
      <c r="G34" s="193"/>
      <c r="H34" s="28"/>
      <c r="I34" s="187"/>
      <c r="J34" s="187"/>
      <c r="K34" s="188"/>
      <c r="L34" s="188"/>
      <c r="M34" s="188"/>
      <c r="N34" s="188"/>
      <c r="O34" s="189"/>
      <c r="P34" s="39"/>
      <c r="Q34" s="28"/>
      <c r="R34" s="28"/>
      <c r="S34" s="28"/>
      <c r="T34" s="28"/>
      <c r="U34" s="28"/>
      <c r="V34" s="28"/>
      <c r="W34" s="28"/>
      <c r="X34" s="28"/>
      <c r="Y34" s="28"/>
      <c r="Z34" s="28"/>
      <c r="AA34" s="28"/>
      <c r="AB34" s="234"/>
      <c r="AC34" s="28"/>
      <c r="AD34" s="28"/>
      <c r="AE34" s="28"/>
      <c r="AF34" s="28"/>
      <c r="AG34" s="28"/>
      <c r="AH34" s="28"/>
      <c r="AI34" s="28"/>
      <c r="AJ34" s="28"/>
      <c r="AK34" s="28"/>
      <c r="AL34" s="28"/>
      <c r="AM34" s="28"/>
      <c r="AN34" s="28"/>
      <c r="AO34" s="28"/>
      <c r="AP34" s="28"/>
      <c r="AQ34" s="28"/>
      <c r="AR34" s="19"/>
      <c r="AS34" s="28"/>
      <c r="AT34" s="28"/>
      <c r="AU34" s="28"/>
      <c r="AV34" s="28"/>
      <c r="AW34" s="28"/>
      <c r="AX34" s="28"/>
      <c r="AY34" s="28"/>
      <c r="AZ34" s="28"/>
      <c r="BA34" s="28"/>
      <c r="BB34" s="28"/>
      <c r="BC34" s="28"/>
    </row>
    <row r="35" spans="1:55" s="20" customFormat="1" x14ac:dyDescent="0.2">
      <c r="A35" s="17"/>
      <c r="B35" s="17"/>
      <c r="C35" s="192" t="s">
        <v>244</v>
      </c>
      <c r="D35" s="249" t="s">
        <v>245</v>
      </c>
      <c r="E35" s="249" t="s">
        <v>246</v>
      </c>
      <c r="F35" s="28"/>
      <c r="G35" s="187"/>
      <c r="H35" s="28"/>
      <c r="I35" s="187"/>
      <c r="J35" s="187"/>
      <c r="K35" s="188"/>
      <c r="L35" s="188"/>
      <c r="M35" s="188"/>
      <c r="N35" s="188"/>
      <c r="O35" s="189"/>
      <c r="P35" s="39"/>
      <c r="Q35" s="28"/>
      <c r="R35" s="28"/>
      <c r="S35" s="28"/>
      <c r="T35" s="28"/>
      <c r="U35" s="28"/>
      <c r="V35" s="28"/>
      <c r="W35" s="28"/>
      <c r="X35" s="28"/>
      <c r="Y35" s="28"/>
      <c r="Z35" s="28"/>
      <c r="AA35" s="28"/>
      <c r="AB35" s="69"/>
      <c r="AC35" s="28"/>
      <c r="AD35" s="28"/>
      <c r="AE35" s="28"/>
      <c r="AF35" s="28"/>
      <c r="AG35" s="28"/>
      <c r="AH35" s="28"/>
      <c r="AI35" s="28"/>
      <c r="AJ35" s="28"/>
      <c r="AK35" s="28"/>
      <c r="AL35" s="28"/>
      <c r="AM35" s="28"/>
      <c r="AN35" s="28"/>
      <c r="AO35" s="28"/>
      <c r="AP35" s="28"/>
      <c r="AQ35" s="28"/>
      <c r="AR35" s="19"/>
      <c r="AS35" s="28"/>
      <c r="AT35" s="28"/>
      <c r="AU35" s="28"/>
      <c r="AV35" s="28"/>
      <c r="AW35" s="28"/>
      <c r="AX35" s="28"/>
      <c r="AY35" s="28"/>
      <c r="AZ35" s="28"/>
      <c r="BA35" s="28"/>
      <c r="BB35" s="28"/>
      <c r="BC35" s="28"/>
    </row>
    <row r="36" spans="1:55" s="20" customFormat="1" x14ac:dyDescent="0.2">
      <c r="A36" s="17"/>
      <c r="B36" s="17"/>
      <c r="C36" s="192" t="s">
        <v>247</v>
      </c>
      <c r="D36" s="249" t="s">
        <v>248</v>
      </c>
      <c r="E36" s="249" t="s">
        <v>249</v>
      </c>
      <c r="F36" s="28"/>
      <c r="G36" s="187"/>
      <c r="H36" s="28"/>
      <c r="I36" s="187"/>
      <c r="J36" s="187"/>
      <c r="K36" s="188"/>
      <c r="L36" s="188"/>
      <c r="M36" s="188"/>
      <c r="N36" s="188"/>
      <c r="O36" s="189"/>
      <c r="P36" s="39"/>
      <c r="Q36" s="28"/>
      <c r="R36" s="28"/>
      <c r="S36" s="28"/>
      <c r="T36" s="28"/>
      <c r="U36" s="28"/>
      <c r="V36" s="28"/>
      <c r="W36" s="28"/>
      <c r="X36" s="28"/>
      <c r="Y36" s="28"/>
      <c r="Z36" s="28"/>
      <c r="AA36" s="28"/>
      <c r="AB36" s="234"/>
      <c r="AC36" s="28"/>
      <c r="AD36" s="28"/>
      <c r="AE36" s="28"/>
      <c r="AF36" s="28"/>
      <c r="AG36" s="28"/>
      <c r="AH36" s="28"/>
      <c r="AI36" s="28"/>
      <c r="AJ36" s="28"/>
      <c r="AK36" s="28"/>
      <c r="AL36" s="28"/>
      <c r="AM36" s="28"/>
      <c r="AN36" s="28"/>
      <c r="AO36" s="28"/>
      <c r="AP36" s="28"/>
      <c r="AQ36" s="28"/>
      <c r="AR36" s="41"/>
      <c r="AS36" s="28"/>
      <c r="AT36" s="28"/>
      <c r="AU36" s="28"/>
      <c r="AV36" s="28"/>
      <c r="AW36" s="28"/>
      <c r="AX36" s="28"/>
      <c r="AY36" s="28"/>
      <c r="AZ36" s="28"/>
      <c r="BA36" s="28"/>
      <c r="BB36" s="28"/>
      <c r="BC36" s="28"/>
    </row>
    <row r="37" spans="1:55" s="20" customFormat="1" ht="23.25" customHeight="1" x14ac:dyDescent="0.2">
      <c r="A37" s="17"/>
      <c r="B37" s="17"/>
      <c r="C37" s="326" t="s">
        <v>250</v>
      </c>
      <c r="D37" s="357"/>
      <c r="E37" s="187"/>
      <c r="F37" s="187"/>
      <c r="G37" s="187"/>
      <c r="H37" s="187"/>
      <c r="I37" s="187"/>
      <c r="J37" s="187"/>
      <c r="K37" s="188"/>
      <c r="L37" s="188"/>
      <c r="M37" s="188"/>
      <c r="N37" s="188"/>
      <c r="O37" s="189"/>
      <c r="P37" s="37"/>
      <c r="Q37" s="28"/>
      <c r="R37" s="28"/>
      <c r="S37" s="28"/>
      <c r="T37" s="28"/>
      <c r="U37" s="28"/>
      <c r="V37" s="28"/>
      <c r="W37" s="28"/>
      <c r="X37" s="28"/>
      <c r="Y37" s="28"/>
      <c r="Z37" s="28"/>
      <c r="AA37" s="28"/>
      <c r="AB37" s="3"/>
      <c r="AC37" s="28"/>
      <c r="AD37" s="28"/>
      <c r="AE37" s="28"/>
      <c r="AF37" s="28"/>
      <c r="AG37" s="28"/>
      <c r="AH37" s="28"/>
      <c r="AI37" s="28"/>
      <c r="AJ37" s="28"/>
      <c r="AK37" s="28"/>
      <c r="AL37" s="28"/>
      <c r="AM37" s="28"/>
      <c r="AN37" s="28"/>
      <c r="AO37" s="28"/>
      <c r="AP37" s="28"/>
      <c r="AQ37" s="28"/>
      <c r="AR37" s="19"/>
      <c r="AS37" s="28"/>
      <c r="AT37" s="28"/>
      <c r="AU37" s="28"/>
      <c r="AV37" s="28"/>
      <c r="AW37" s="28"/>
      <c r="AX37" s="28"/>
      <c r="AY37" s="28"/>
      <c r="AZ37" s="28"/>
      <c r="BA37" s="222"/>
      <c r="BB37" s="28"/>
      <c r="BC37" s="28"/>
    </row>
    <row r="38" spans="1:55" s="20" customFormat="1" ht="12.75" customHeight="1" x14ac:dyDescent="0.2">
      <c r="A38" s="17"/>
      <c r="B38" s="17"/>
      <c r="C38" s="190" t="s">
        <v>238</v>
      </c>
      <c r="D38" s="248" t="s">
        <v>239</v>
      </c>
      <c r="E38" s="191" t="s">
        <v>240</v>
      </c>
      <c r="F38" s="187"/>
      <c r="G38" s="187"/>
      <c r="H38" s="187"/>
      <c r="I38" s="28"/>
      <c r="J38" s="28"/>
      <c r="K38" s="188"/>
      <c r="L38" s="188"/>
      <c r="M38" s="188"/>
      <c r="N38" s="188"/>
      <c r="O38" s="189"/>
      <c r="P38" s="146"/>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row>
    <row r="39" spans="1:55" s="20" customFormat="1" ht="13.5" customHeight="1" x14ac:dyDescent="0.2">
      <c r="A39" s="17"/>
      <c r="B39" s="17"/>
      <c r="C39" s="324" t="s">
        <v>452</v>
      </c>
      <c r="D39" s="363" t="s">
        <v>242</v>
      </c>
      <c r="E39" s="364" t="s">
        <v>243</v>
      </c>
      <c r="F39" s="363"/>
      <c r="G39" s="363"/>
      <c r="H39" s="363"/>
      <c r="I39" s="28"/>
      <c r="J39" s="28"/>
      <c r="K39" s="188"/>
      <c r="L39" s="188"/>
      <c r="M39" s="188"/>
      <c r="N39" s="188"/>
      <c r="O39" s="189"/>
      <c r="P39" s="146"/>
      <c r="Q39" s="28"/>
      <c r="R39" s="28"/>
      <c r="S39" s="28"/>
      <c r="T39" s="28"/>
      <c r="U39" s="28"/>
      <c r="V39" s="28"/>
      <c r="W39" s="28"/>
      <c r="X39" s="28"/>
      <c r="Y39" s="28"/>
      <c r="Z39" s="28"/>
      <c r="AA39" s="28"/>
      <c r="AB39" s="52"/>
      <c r="AC39" s="52"/>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row>
    <row r="40" spans="1:55" s="20" customFormat="1" ht="13.5" customHeight="1" x14ac:dyDescent="0.2">
      <c r="A40" s="17"/>
      <c r="B40" s="17"/>
      <c r="C40" s="324" t="s">
        <v>449</v>
      </c>
      <c r="D40" s="363" t="s">
        <v>450</v>
      </c>
      <c r="E40" s="364" t="s">
        <v>451</v>
      </c>
      <c r="F40" s="363"/>
      <c r="G40" s="363"/>
      <c r="H40" s="363"/>
      <c r="I40" s="28"/>
      <c r="J40" s="28"/>
      <c r="K40" s="188"/>
      <c r="L40" s="188"/>
      <c r="M40" s="188"/>
      <c r="N40" s="188"/>
      <c r="O40" s="189"/>
      <c r="P40" s="146"/>
      <c r="Q40" s="28"/>
      <c r="R40" s="28"/>
      <c r="S40" s="28"/>
      <c r="T40" s="28"/>
      <c r="U40" s="28"/>
      <c r="V40" s="28"/>
      <c r="W40" s="28"/>
      <c r="X40" s="28"/>
      <c r="Y40" s="28"/>
      <c r="Z40" s="28"/>
      <c r="AA40" s="28"/>
      <c r="AB40" s="52"/>
      <c r="AC40" s="52"/>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row>
    <row r="41" spans="1:55" s="20" customFormat="1" ht="13.5" customHeight="1" x14ac:dyDescent="0.2">
      <c r="A41" s="17"/>
      <c r="B41" s="17"/>
      <c r="C41" s="297" t="s">
        <v>247</v>
      </c>
      <c r="D41" s="325" t="s">
        <v>251</v>
      </c>
      <c r="E41" s="325" t="s">
        <v>252</v>
      </c>
      <c r="F41" s="325"/>
      <c r="G41" s="325"/>
      <c r="H41" s="325"/>
      <c r="I41" s="28"/>
      <c r="J41" s="28"/>
      <c r="K41" s="188"/>
      <c r="L41" s="188"/>
      <c r="M41" s="188"/>
      <c r="N41" s="188"/>
      <c r="O41" s="189"/>
      <c r="P41" s="40"/>
      <c r="Q41" s="28"/>
      <c r="R41" s="28"/>
      <c r="S41" s="28"/>
      <c r="T41" s="28"/>
      <c r="U41" s="28"/>
      <c r="V41" s="28"/>
      <c r="W41" s="28"/>
      <c r="X41" s="28"/>
      <c r="Y41" s="28"/>
      <c r="Z41" s="28"/>
      <c r="AA41" s="28"/>
      <c r="AB41" s="232"/>
      <c r="AC41" s="52"/>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row>
    <row r="42" spans="1:55" s="20" customFormat="1" ht="24" customHeight="1" x14ac:dyDescent="0.2">
      <c r="A42" s="17"/>
      <c r="B42" s="17"/>
      <c r="C42" s="295" t="s">
        <v>169</v>
      </c>
      <c r="D42" s="358"/>
      <c r="E42" s="325"/>
      <c r="F42" s="325"/>
      <c r="G42" s="325"/>
      <c r="H42" s="325"/>
      <c r="I42" s="325"/>
      <c r="J42" s="325"/>
      <c r="K42" s="188"/>
      <c r="L42" s="188"/>
      <c r="M42" s="188"/>
      <c r="N42" s="188"/>
      <c r="O42" s="189"/>
      <c r="P42" s="40"/>
      <c r="Q42" s="28"/>
      <c r="R42" s="28"/>
      <c r="S42" s="28"/>
      <c r="T42" s="28"/>
      <c r="U42" s="28"/>
      <c r="V42" s="28"/>
      <c r="W42" s="28"/>
      <c r="X42" s="28"/>
      <c r="Y42" s="28"/>
      <c r="Z42" s="28"/>
      <c r="AA42" s="28"/>
      <c r="AB42" s="247"/>
      <c r="AC42" s="52"/>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row>
    <row r="43" spans="1:55" s="20" customFormat="1" ht="12.75" customHeight="1" x14ac:dyDescent="0.2">
      <c r="A43" s="17"/>
      <c r="B43" s="17"/>
      <c r="C43" s="412" t="s">
        <v>620</v>
      </c>
      <c r="D43" s="413"/>
      <c r="E43" s="413"/>
      <c r="F43" s="413"/>
      <c r="G43" s="413"/>
      <c r="H43" s="413"/>
      <c r="I43" s="413"/>
      <c r="J43" s="413"/>
      <c r="K43" s="413"/>
      <c r="L43" s="413"/>
      <c r="M43" s="413"/>
      <c r="N43" s="413"/>
      <c r="O43" s="414"/>
      <c r="P43" s="40"/>
      <c r="Q43" s="28"/>
      <c r="R43" s="28"/>
      <c r="S43" s="28"/>
      <c r="T43" s="28"/>
      <c r="U43" s="28"/>
      <c r="V43" s="28"/>
      <c r="W43" s="28"/>
      <c r="X43" s="28"/>
      <c r="Y43" s="28"/>
      <c r="Z43" s="28"/>
      <c r="AA43" s="28"/>
      <c r="AB43" s="247"/>
      <c r="AC43" s="52"/>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row>
    <row r="44" spans="1:55" s="20" customFormat="1" ht="24" customHeight="1" x14ac:dyDescent="0.2">
      <c r="A44" s="17"/>
      <c r="B44" s="17"/>
      <c r="C44" s="295" t="s">
        <v>285</v>
      </c>
      <c r="D44" s="358"/>
      <c r="E44" s="342"/>
      <c r="F44" s="342"/>
      <c r="G44" s="342"/>
      <c r="H44" s="342"/>
      <c r="I44" s="342"/>
      <c r="J44" s="342"/>
      <c r="K44" s="342"/>
      <c r="L44" s="342"/>
      <c r="M44" s="342"/>
      <c r="N44" s="342"/>
      <c r="O44" s="343"/>
      <c r="P44" s="40"/>
      <c r="Q44" s="28"/>
      <c r="R44" s="28"/>
      <c r="S44" s="28"/>
      <c r="T44" s="28"/>
      <c r="U44" s="28"/>
      <c r="V44" s="28"/>
      <c r="W44" s="28"/>
      <c r="X44" s="28"/>
      <c r="Y44" s="28"/>
      <c r="Z44" s="28"/>
      <c r="AA44" s="28"/>
      <c r="AB44" s="247"/>
      <c r="AC44" s="52"/>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row>
    <row r="45" spans="1:55" s="20" customFormat="1" ht="75" customHeight="1" x14ac:dyDescent="0.2">
      <c r="A45" s="17"/>
      <c r="B45" s="17"/>
      <c r="C45" s="415" t="s">
        <v>448</v>
      </c>
      <c r="D45" s="416"/>
      <c r="E45" s="416"/>
      <c r="F45" s="416"/>
      <c r="G45" s="416"/>
      <c r="H45" s="416"/>
      <c r="I45" s="416"/>
      <c r="J45" s="416"/>
      <c r="K45" s="416"/>
      <c r="L45" s="416"/>
      <c r="M45" s="416"/>
      <c r="N45" s="416"/>
      <c r="O45" s="417"/>
      <c r="P45" s="222"/>
      <c r="Q45" s="232"/>
      <c r="R45" s="28"/>
      <c r="S45" s="28"/>
      <c r="T45" s="28"/>
      <c r="U45" s="28"/>
      <c r="V45" s="28"/>
      <c r="W45" s="28"/>
      <c r="X45" s="28"/>
      <c r="Y45" s="28"/>
      <c r="Z45" s="28"/>
      <c r="AA45" s="28"/>
      <c r="AB45" s="52"/>
      <c r="AC45" s="52"/>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row>
    <row r="46" spans="1:55" s="127" customFormat="1" ht="26.25" customHeight="1" x14ac:dyDescent="0.2">
      <c r="A46" s="124"/>
      <c r="B46" s="124"/>
      <c r="C46" s="138"/>
      <c r="D46" s="247"/>
      <c r="E46" s="125"/>
      <c r="F46" s="178"/>
      <c r="G46" s="138"/>
      <c r="H46" s="138"/>
      <c r="I46" s="126"/>
      <c r="J46" s="126"/>
      <c r="K46" s="138"/>
      <c r="L46" s="138"/>
      <c r="M46" s="138"/>
      <c r="N46" s="138"/>
      <c r="O46" s="124"/>
      <c r="P46" s="12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24"/>
      <c r="AZ46" s="124"/>
      <c r="BA46" s="124"/>
      <c r="BB46" s="124"/>
      <c r="BC46" s="124"/>
    </row>
    <row r="47" spans="1:55" s="127" customFormat="1" ht="15" customHeight="1" x14ac:dyDescent="0.25">
      <c r="A47" s="124"/>
      <c r="B47" s="124"/>
      <c r="C47" s="242" t="s">
        <v>282</v>
      </c>
      <c r="D47" s="242"/>
      <c r="E47" s="125"/>
      <c r="F47" s="178"/>
      <c r="G47" s="138"/>
      <c r="H47" s="138"/>
      <c r="I47" s="126"/>
      <c r="J47" s="126"/>
      <c r="K47" s="138"/>
      <c r="L47" s="138"/>
      <c r="M47" s="138"/>
      <c r="N47" s="138"/>
      <c r="O47" s="124"/>
      <c r="P47" s="12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24"/>
      <c r="AZ47" s="124"/>
      <c r="BA47" s="124"/>
      <c r="BB47" s="124"/>
      <c r="BC47" s="124"/>
    </row>
    <row r="48" spans="1:55" s="127" customFormat="1" ht="15" customHeight="1" x14ac:dyDescent="0.2">
      <c r="A48" s="124"/>
      <c r="B48" s="124"/>
      <c r="C48" s="138"/>
      <c r="D48" s="247"/>
      <c r="E48" s="125"/>
      <c r="F48" s="178"/>
      <c r="G48" s="138"/>
      <c r="H48" s="138"/>
      <c r="I48" s="126"/>
      <c r="J48" s="126"/>
      <c r="K48" s="138"/>
      <c r="L48" s="138"/>
      <c r="M48" s="138"/>
      <c r="N48" s="138"/>
      <c r="O48" s="124"/>
      <c r="P48" s="12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c r="BC48" s="124"/>
    </row>
    <row r="49" spans="1:55" s="127" customFormat="1" ht="14.25" customHeight="1" x14ac:dyDescent="0.2">
      <c r="A49" s="124"/>
      <c r="B49" s="124"/>
      <c r="C49" s="443" t="s">
        <v>228</v>
      </c>
      <c r="D49" s="444"/>
      <c r="E49" s="444"/>
      <c r="F49" s="444"/>
      <c r="G49" s="444"/>
      <c r="H49" s="444"/>
      <c r="I49" s="444"/>
      <c r="J49" s="444"/>
      <c r="K49" s="444"/>
      <c r="L49" s="444"/>
      <c r="M49" s="444"/>
      <c r="N49" s="445"/>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124"/>
      <c r="AL49" s="124"/>
      <c r="AM49" s="124"/>
      <c r="AN49" s="124"/>
      <c r="AO49" s="124"/>
      <c r="AP49" s="124"/>
      <c r="AQ49" s="124"/>
      <c r="AR49" s="124"/>
      <c r="AS49" s="124"/>
      <c r="AT49" s="124"/>
      <c r="AU49" s="124"/>
      <c r="AV49" s="124"/>
      <c r="AW49" s="124"/>
      <c r="AX49" s="124"/>
      <c r="AY49" s="124"/>
      <c r="AZ49" s="124"/>
      <c r="BA49" s="124"/>
      <c r="BB49" s="124"/>
      <c r="BC49" s="124"/>
    </row>
    <row r="50" spans="1:55" s="127" customFormat="1" ht="41.25" customHeight="1" x14ac:dyDescent="0.2">
      <c r="A50" s="124"/>
      <c r="B50" s="124"/>
      <c r="C50" s="440" t="s">
        <v>209</v>
      </c>
      <c r="D50" s="441"/>
      <c r="E50" s="441"/>
      <c r="F50" s="441"/>
      <c r="G50" s="441"/>
      <c r="H50" s="441"/>
      <c r="I50" s="441"/>
      <c r="J50" s="441"/>
      <c r="K50" s="441"/>
      <c r="L50" s="441"/>
      <c r="M50" s="441"/>
      <c r="N50" s="442"/>
      <c r="O50" s="52"/>
      <c r="P50" s="124"/>
      <c r="Q50" s="124"/>
      <c r="R50" s="124"/>
      <c r="S50" s="124"/>
      <c r="T50" s="124"/>
      <c r="U50" s="124"/>
      <c r="V50" s="124"/>
      <c r="W50" s="124"/>
      <c r="X50" s="124"/>
      <c r="Y50" s="124"/>
      <c r="Z50" s="124"/>
      <c r="AA50" s="124"/>
      <c r="AB50" s="124"/>
      <c r="AC50" s="124"/>
      <c r="AD50" s="124"/>
      <c r="AE50" s="124"/>
      <c r="AF50" s="124"/>
      <c r="AG50" s="124"/>
      <c r="AH50" s="124"/>
      <c r="AI50" s="124"/>
      <c r="AJ50" s="124"/>
      <c r="AK50" s="124"/>
      <c r="AL50" s="124"/>
      <c r="AM50" s="124"/>
      <c r="AN50" s="124"/>
      <c r="AO50" s="124"/>
      <c r="AP50" s="124"/>
      <c r="AQ50" s="124"/>
      <c r="AR50" s="124"/>
      <c r="AS50" s="124"/>
      <c r="AT50" s="124"/>
      <c r="AU50" s="124"/>
      <c r="AV50" s="124"/>
      <c r="AW50" s="124"/>
      <c r="AX50" s="124"/>
      <c r="AY50" s="124"/>
      <c r="AZ50" s="124"/>
      <c r="BA50" s="124"/>
      <c r="BB50" s="124"/>
      <c r="BC50" s="124"/>
    </row>
    <row r="51" spans="1:55" s="127" customFormat="1" ht="30" customHeight="1" x14ac:dyDescent="0.2">
      <c r="A51" s="124"/>
      <c r="B51" s="124"/>
      <c r="C51" s="423" t="s">
        <v>464</v>
      </c>
      <c r="D51" s="423" t="s">
        <v>167</v>
      </c>
      <c r="E51" s="423" t="s">
        <v>7</v>
      </c>
      <c r="F51" s="451" t="s">
        <v>0</v>
      </c>
      <c r="G51" s="452"/>
      <c r="H51" s="466" t="s">
        <v>5</v>
      </c>
      <c r="I51" s="437"/>
      <c r="J51" s="438"/>
      <c r="K51" s="439" t="s">
        <v>6</v>
      </c>
      <c r="L51" s="435"/>
      <c r="M51" s="432" t="s">
        <v>178</v>
      </c>
      <c r="N51" s="433"/>
      <c r="O51" s="194"/>
      <c r="P51" s="124"/>
      <c r="Q51" s="124"/>
      <c r="R51" s="124"/>
      <c r="S51" s="124"/>
      <c r="T51" s="124"/>
      <c r="U51" s="124"/>
      <c r="V51" s="124"/>
      <c r="W51" s="124"/>
      <c r="X51" s="124"/>
      <c r="Y51" s="124"/>
      <c r="Z51" s="124"/>
      <c r="AA51" s="124"/>
      <c r="AB51" s="124"/>
      <c r="AC51" s="124"/>
      <c r="AD51" s="124"/>
      <c r="AE51" s="124"/>
      <c r="AF51" s="124"/>
      <c r="AG51" s="124"/>
      <c r="AH51" s="124"/>
      <c r="AI51" s="124"/>
      <c r="AJ51" s="124"/>
      <c r="AK51" s="124"/>
      <c r="AL51" s="124"/>
      <c r="AM51" s="124"/>
      <c r="AN51" s="124"/>
      <c r="AO51" s="124"/>
      <c r="AP51" s="124"/>
      <c r="AQ51" s="124"/>
      <c r="AR51" s="124"/>
      <c r="AS51" s="124"/>
      <c r="AT51" s="124"/>
      <c r="AU51" s="124"/>
      <c r="AV51" s="124"/>
      <c r="AW51" s="124"/>
      <c r="AX51" s="124"/>
      <c r="AY51" s="124"/>
      <c r="AZ51" s="124"/>
      <c r="BA51" s="124"/>
      <c r="BB51" s="124"/>
      <c r="BC51" s="124"/>
    </row>
    <row r="52" spans="1:55" s="127" customFormat="1" ht="30" customHeight="1" x14ac:dyDescent="0.2">
      <c r="A52" s="124"/>
      <c r="B52" s="124"/>
      <c r="C52" s="424"/>
      <c r="D52" s="424"/>
      <c r="E52" s="424"/>
      <c r="F52" s="453"/>
      <c r="G52" s="454"/>
      <c r="H52" s="434" t="s">
        <v>92</v>
      </c>
      <c r="I52" s="466" t="s">
        <v>88</v>
      </c>
      <c r="J52" s="438"/>
      <c r="K52" s="449" t="s">
        <v>175</v>
      </c>
      <c r="L52" s="449" t="s">
        <v>176</v>
      </c>
      <c r="M52" s="420" t="s">
        <v>179</v>
      </c>
      <c r="N52" s="420" t="s">
        <v>180</v>
      </c>
      <c r="O52" s="19"/>
      <c r="P52" s="124"/>
      <c r="Q52" s="124"/>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c r="AO52" s="124"/>
      <c r="AP52" s="124"/>
      <c r="AQ52" s="124"/>
      <c r="AR52" s="124"/>
      <c r="AS52" s="124"/>
      <c r="AT52" s="124"/>
      <c r="AU52" s="124"/>
      <c r="AV52" s="124"/>
      <c r="AW52" s="124"/>
      <c r="AX52" s="124"/>
      <c r="AY52" s="124"/>
      <c r="AZ52" s="124"/>
      <c r="BA52" s="124"/>
      <c r="BB52" s="124"/>
      <c r="BC52" s="124"/>
    </row>
    <row r="53" spans="1:55" s="127" customFormat="1" ht="30" customHeight="1" x14ac:dyDescent="0.2">
      <c r="A53" s="124"/>
      <c r="B53" s="124"/>
      <c r="C53" s="424"/>
      <c r="D53" s="424"/>
      <c r="E53" s="424"/>
      <c r="F53" s="455"/>
      <c r="G53" s="456"/>
      <c r="H53" s="434"/>
      <c r="I53" s="142" t="s">
        <v>174</v>
      </c>
      <c r="J53" s="29" t="s">
        <v>277</v>
      </c>
      <c r="K53" s="450"/>
      <c r="L53" s="450"/>
      <c r="M53" s="421"/>
      <c r="N53" s="421"/>
      <c r="O53" s="19"/>
      <c r="P53" s="124"/>
      <c r="Q53" s="124"/>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row>
    <row r="54" spans="1:55" s="124" customFormat="1" ht="30" customHeight="1" x14ac:dyDescent="0.2">
      <c r="C54" s="425"/>
      <c r="D54" s="425"/>
      <c r="E54" s="425"/>
      <c r="F54" s="177" t="s">
        <v>8</v>
      </c>
      <c r="G54" s="140" t="s">
        <v>9</v>
      </c>
      <c r="H54" s="90" t="s">
        <v>89</v>
      </c>
      <c r="I54" s="4" t="s">
        <v>10</v>
      </c>
      <c r="J54" s="4" t="s">
        <v>10</v>
      </c>
      <c r="K54" s="145" t="s">
        <v>89</v>
      </c>
      <c r="L54" s="5" t="s">
        <v>10</v>
      </c>
      <c r="M54" s="117" t="s">
        <v>89</v>
      </c>
      <c r="N54" s="118" t="s">
        <v>10</v>
      </c>
      <c r="O54" s="19"/>
    </row>
    <row r="55" spans="1:55" s="28" customFormat="1" ht="13.5" customHeight="1" x14ac:dyDescent="0.2">
      <c r="C55" s="407" t="s">
        <v>210</v>
      </c>
      <c r="D55" s="351" t="s">
        <v>521</v>
      </c>
      <c r="E55" s="83" t="s">
        <v>45</v>
      </c>
      <c r="F55" s="85">
        <v>1.095</v>
      </c>
      <c r="G55" s="133" t="s">
        <v>13</v>
      </c>
      <c r="H55" s="75">
        <v>1.25</v>
      </c>
      <c r="I55" s="23">
        <v>0.35715000000000002</v>
      </c>
      <c r="J55" s="23">
        <v>4.8980000000000003E-2</v>
      </c>
      <c r="K55" s="164">
        <v>0.14399999999999999</v>
      </c>
      <c r="L55" s="22">
        <v>1.5049999999999999E-2</v>
      </c>
      <c r="M55" s="48">
        <v>0.16600000000000001</v>
      </c>
      <c r="N55" s="25">
        <v>1.0120000000000001E-2</v>
      </c>
      <c r="O55" s="19"/>
      <c r="P55" s="39"/>
    </row>
    <row r="56" spans="1:55" s="19" customFormat="1" ht="13.5" customHeight="1" x14ac:dyDescent="0.25">
      <c r="C56" s="408"/>
      <c r="D56" s="352" t="s">
        <v>522</v>
      </c>
      <c r="E56" s="84" t="s">
        <v>47</v>
      </c>
      <c r="F56" s="87">
        <v>1.095</v>
      </c>
      <c r="G56" s="134" t="s">
        <v>13</v>
      </c>
      <c r="H56" s="75">
        <v>1.25</v>
      </c>
      <c r="I56" s="23">
        <v>0.35715000000000002</v>
      </c>
      <c r="J56" s="23">
        <v>4.8980000000000003E-2</v>
      </c>
      <c r="K56" s="165">
        <v>0.29399999999999998</v>
      </c>
      <c r="L56" s="23">
        <v>1.804E-2</v>
      </c>
      <c r="M56" s="48">
        <v>0.16600000000000001</v>
      </c>
      <c r="N56" s="25">
        <v>1.0120000000000001E-2</v>
      </c>
      <c r="P56" s="194"/>
      <c r="Q56" s="194"/>
      <c r="R56" s="194"/>
      <c r="S56" s="194"/>
      <c r="T56" s="194"/>
      <c r="U56" s="194"/>
      <c r="V56" s="194"/>
      <c r="W56" s="16"/>
      <c r="X56" s="16"/>
      <c r="Y56" s="39"/>
      <c r="Z56" s="39"/>
      <c r="AA56" s="39"/>
      <c r="AB56" s="39"/>
      <c r="AQ56" s="28"/>
      <c r="AS56" s="67"/>
      <c r="AT56" s="28"/>
      <c r="AU56" s="28"/>
      <c r="AV56" s="28"/>
      <c r="AW56" s="28"/>
      <c r="AX56" s="28"/>
      <c r="AY56" s="28"/>
      <c r="AZ56" s="28"/>
    </row>
    <row r="57" spans="1:55" s="28" customFormat="1" x14ac:dyDescent="0.2">
      <c r="C57" s="408"/>
      <c r="D57" s="352" t="s">
        <v>523</v>
      </c>
      <c r="E57" s="81" t="s">
        <v>49</v>
      </c>
      <c r="F57" s="87">
        <v>1.095</v>
      </c>
      <c r="G57" s="134" t="s">
        <v>13</v>
      </c>
      <c r="H57" s="75">
        <v>1.25</v>
      </c>
      <c r="I57" s="23">
        <v>0.35715000000000002</v>
      </c>
      <c r="J57" s="23">
        <v>4.8980000000000003E-2</v>
      </c>
      <c r="K57" s="165">
        <v>0.41</v>
      </c>
      <c r="L57" s="23">
        <v>2.2589999999999999E-2</v>
      </c>
      <c r="M57" s="48">
        <v>0.16600000000000001</v>
      </c>
      <c r="N57" s="25">
        <v>1.0120000000000001E-2</v>
      </c>
      <c r="O57" s="19"/>
      <c r="P57" s="19"/>
      <c r="Q57" s="19"/>
      <c r="R57" s="19"/>
      <c r="S57" s="19"/>
      <c r="T57" s="19"/>
      <c r="U57" s="19"/>
    </row>
    <row r="58" spans="1:55" s="28" customFormat="1" x14ac:dyDescent="0.2">
      <c r="C58" s="408"/>
      <c r="D58" s="352" t="s">
        <v>524</v>
      </c>
      <c r="E58" s="81" t="s">
        <v>51</v>
      </c>
      <c r="F58" s="87">
        <v>1.1850000000000001</v>
      </c>
      <c r="G58" s="134" t="s">
        <v>14</v>
      </c>
      <c r="H58" s="75">
        <v>2</v>
      </c>
      <c r="I58" s="23">
        <v>1.09348</v>
      </c>
      <c r="J58" s="23">
        <v>0.24440000000000001</v>
      </c>
      <c r="K58" s="165">
        <v>0.14399999999999999</v>
      </c>
      <c r="L58" s="23">
        <v>1.5049999999999999E-2</v>
      </c>
      <c r="M58" s="48">
        <v>0.16600000000000001</v>
      </c>
      <c r="N58" s="25">
        <v>1.0120000000000001E-2</v>
      </c>
      <c r="O58" s="19"/>
      <c r="P58" s="19"/>
      <c r="Q58" s="19"/>
      <c r="R58" s="19"/>
      <c r="S58" s="19"/>
      <c r="T58" s="19"/>
      <c r="U58" s="19"/>
    </row>
    <row r="59" spans="1:55" s="28" customFormat="1" x14ac:dyDescent="0.2">
      <c r="C59" s="408"/>
      <c r="D59" s="352" t="s">
        <v>525</v>
      </c>
      <c r="E59" s="81" t="s">
        <v>53</v>
      </c>
      <c r="F59" s="87">
        <v>1.1850000000000001</v>
      </c>
      <c r="G59" s="134" t="s">
        <v>14</v>
      </c>
      <c r="H59" s="75">
        <v>2</v>
      </c>
      <c r="I59" s="23">
        <v>1.09348</v>
      </c>
      <c r="J59" s="23">
        <v>0.24440000000000001</v>
      </c>
      <c r="K59" s="165">
        <v>0.29399999999999998</v>
      </c>
      <c r="L59" s="23">
        <v>1.804E-2</v>
      </c>
      <c r="M59" s="48">
        <v>0.16600000000000001</v>
      </c>
      <c r="N59" s="25">
        <v>1.0120000000000001E-2</v>
      </c>
      <c r="O59" s="19"/>
      <c r="P59" s="19"/>
      <c r="Q59" s="19"/>
      <c r="R59" s="19"/>
      <c r="S59" s="19"/>
      <c r="T59" s="19"/>
      <c r="U59" s="19"/>
      <c r="AC59" s="36"/>
      <c r="AD59" s="36"/>
      <c r="AE59" s="36"/>
      <c r="AF59" s="36"/>
      <c r="AG59" s="36"/>
      <c r="AH59" s="36"/>
      <c r="AI59" s="36"/>
      <c r="AJ59" s="36"/>
      <c r="AK59" s="36"/>
      <c r="AL59" s="36"/>
      <c r="AM59" s="36"/>
      <c r="AN59" s="36"/>
      <c r="AO59" s="36"/>
      <c r="AP59" s="36"/>
    </row>
    <row r="60" spans="1:55" s="28" customFormat="1" x14ac:dyDescent="0.2">
      <c r="C60" s="408"/>
      <c r="D60" s="352" t="s">
        <v>526</v>
      </c>
      <c r="E60" s="84" t="s">
        <v>55</v>
      </c>
      <c r="F60" s="87">
        <v>1.1850000000000001</v>
      </c>
      <c r="G60" s="134" t="s">
        <v>14</v>
      </c>
      <c r="H60" s="75">
        <v>2</v>
      </c>
      <c r="I60" s="23">
        <v>1.09348</v>
      </c>
      <c r="J60" s="23">
        <v>0.24440000000000001</v>
      </c>
      <c r="K60" s="165">
        <v>0.41</v>
      </c>
      <c r="L60" s="23">
        <v>2.2589999999999999E-2</v>
      </c>
      <c r="M60" s="48">
        <v>0.16600000000000001</v>
      </c>
      <c r="N60" s="25">
        <v>1.0120000000000001E-2</v>
      </c>
      <c r="O60" s="19"/>
      <c r="P60" s="19"/>
      <c r="Q60" s="19"/>
      <c r="R60" s="19"/>
      <c r="S60" s="19"/>
      <c r="T60" s="19"/>
      <c r="U60" s="19"/>
    </row>
    <row r="61" spans="1:55" s="28" customFormat="1" x14ac:dyDescent="0.2">
      <c r="C61" s="409"/>
      <c r="D61" s="353" t="s">
        <v>527</v>
      </c>
      <c r="E61" s="82" t="s">
        <v>204</v>
      </c>
      <c r="F61" s="89">
        <v>1.069</v>
      </c>
      <c r="G61" s="135" t="s">
        <v>12</v>
      </c>
      <c r="H61" s="77">
        <v>1.25</v>
      </c>
      <c r="I61" s="24">
        <v>0.35719000000000001</v>
      </c>
      <c r="J61" s="24">
        <v>1.3559999999999999E-2</v>
      </c>
      <c r="K61" s="165">
        <v>0.13500000000000001</v>
      </c>
      <c r="L61" s="23">
        <v>7.2999999999999996E-4</v>
      </c>
      <c r="M61" s="104">
        <v>0.16600000000000001</v>
      </c>
      <c r="N61" s="24">
        <v>1.0120000000000001E-2</v>
      </c>
      <c r="O61" s="19"/>
      <c r="P61" s="19"/>
      <c r="Q61" s="19"/>
      <c r="R61" s="19"/>
      <c r="S61" s="19"/>
      <c r="T61" s="19"/>
      <c r="U61" s="19"/>
    </row>
    <row r="62" spans="1:55" s="28" customFormat="1" x14ac:dyDescent="0.2">
      <c r="C62" s="407" t="s">
        <v>211</v>
      </c>
      <c r="D62" s="351" t="s">
        <v>529</v>
      </c>
      <c r="E62" s="80" t="s">
        <v>46</v>
      </c>
      <c r="F62" s="85">
        <v>1.095</v>
      </c>
      <c r="G62" s="133" t="s">
        <v>13</v>
      </c>
      <c r="H62" s="159">
        <v>1.25</v>
      </c>
      <c r="I62" s="25">
        <v>0.32501000000000002</v>
      </c>
      <c r="J62" s="25">
        <v>9.1550000000000006E-2</v>
      </c>
      <c r="K62" s="164">
        <v>0.14399999999999999</v>
      </c>
      <c r="L62" s="22">
        <v>1.5049999999999999E-2</v>
      </c>
      <c r="M62" s="48">
        <v>0.16600000000000001</v>
      </c>
      <c r="N62" s="25">
        <v>1.0120000000000001E-2</v>
      </c>
      <c r="O62" s="19"/>
      <c r="P62" s="19"/>
      <c r="Q62" s="19"/>
      <c r="R62" s="19"/>
      <c r="S62" s="19"/>
      <c r="T62" s="19"/>
      <c r="U62" s="19"/>
    </row>
    <row r="63" spans="1:55" s="28" customFormat="1" x14ac:dyDescent="0.2">
      <c r="C63" s="408"/>
      <c r="D63" s="352" t="s">
        <v>530</v>
      </c>
      <c r="E63" s="81" t="s">
        <v>48</v>
      </c>
      <c r="F63" s="87">
        <v>1.095</v>
      </c>
      <c r="G63" s="134" t="s">
        <v>13</v>
      </c>
      <c r="H63" s="75">
        <v>1.25</v>
      </c>
      <c r="I63" s="23">
        <v>0.32501000000000002</v>
      </c>
      <c r="J63" s="23">
        <v>9.1550000000000006E-2</v>
      </c>
      <c r="K63" s="165">
        <v>0.29399999999999998</v>
      </c>
      <c r="L63" s="23">
        <v>1.804E-2</v>
      </c>
      <c r="M63" s="48">
        <v>0.16600000000000001</v>
      </c>
      <c r="N63" s="25">
        <v>1.0120000000000001E-2</v>
      </c>
      <c r="O63" s="19"/>
      <c r="P63" s="19"/>
      <c r="Q63" s="19"/>
      <c r="R63" s="19"/>
      <c r="S63" s="19"/>
      <c r="T63" s="19"/>
      <c r="U63" s="19"/>
    </row>
    <row r="64" spans="1:55" s="28" customFormat="1" x14ac:dyDescent="0.2">
      <c r="C64" s="408"/>
      <c r="D64" s="352" t="s">
        <v>531</v>
      </c>
      <c r="E64" s="81" t="s">
        <v>50</v>
      </c>
      <c r="F64" s="87">
        <v>1.095</v>
      </c>
      <c r="G64" s="134" t="s">
        <v>13</v>
      </c>
      <c r="H64" s="75">
        <v>1.25</v>
      </c>
      <c r="I64" s="23">
        <v>0.32501000000000002</v>
      </c>
      <c r="J64" s="23">
        <v>9.1550000000000006E-2</v>
      </c>
      <c r="K64" s="165">
        <v>0.41</v>
      </c>
      <c r="L64" s="23">
        <v>2.2589999999999999E-2</v>
      </c>
      <c r="M64" s="48">
        <v>0.16600000000000001</v>
      </c>
      <c r="N64" s="25">
        <v>1.0120000000000001E-2</v>
      </c>
      <c r="O64" s="19"/>
      <c r="P64" s="19"/>
      <c r="Q64" s="19"/>
      <c r="R64" s="19"/>
      <c r="S64" s="19"/>
      <c r="T64" s="19"/>
      <c r="U64" s="19"/>
    </row>
    <row r="65" spans="3:27" s="28" customFormat="1" x14ac:dyDescent="0.2">
      <c r="C65" s="408"/>
      <c r="D65" s="352" t="s">
        <v>532</v>
      </c>
      <c r="E65" s="81" t="s">
        <v>52</v>
      </c>
      <c r="F65" s="87">
        <v>1.1850000000000001</v>
      </c>
      <c r="G65" s="134" t="s">
        <v>14</v>
      </c>
      <c r="H65" s="75">
        <v>2</v>
      </c>
      <c r="I65" s="23">
        <v>0.99507000000000001</v>
      </c>
      <c r="J65" s="23">
        <v>0.28258</v>
      </c>
      <c r="K65" s="165">
        <v>0.14399999999999999</v>
      </c>
      <c r="L65" s="23">
        <v>1.5049999999999999E-2</v>
      </c>
      <c r="M65" s="48">
        <v>0.16600000000000001</v>
      </c>
      <c r="N65" s="25">
        <v>1.0120000000000001E-2</v>
      </c>
      <c r="O65" s="19"/>
      <c r="P65" s="19"/>
      <c r="Q65" s="19"/>
      <c r="R65" s="19"/>
      <c r="S65" s="19"/>
      <c r="T65" s="19"/>
      <c r="U65" s="19"/>
    </row>
    <row r="66" spans="3:27" s="28" customFormat="1" x14ac:dyDescent="0.2">
      <c r="C66" s="408"/>
      <c r="D66" s="352" t="s">
        <v>533</v>
      </c>
      <c r="E66" s="81" t="s">
        <v>54</v>
      </c>
      <c r="F66" s="87">
        <v>1.1850000000000001</v>
      </c>
      <c r="G66" s="134" t="s">
        <v>14</v>
      </c>
      <c r="H66" s="75">
        <v>2</v>
      </c>
      <c r="I66" s="23">
        <v>0.99507000000000001</v>
      </c>
      <c r="J66" s="23">
        <v>0.28258</v>
      </c>
      <c r="K66" s="165">
        <v>0.29399999999999998</v>
      </c>
      <c r="L66" s="23">
        <v>1.804E-2</v>
      </c>
      <c r="M66" s="48">
        <v>0.16600000000000001</v>
      </c>
      <c r="N66" s="25">
        <v>1.0120000000000001E-2</v>
      </c>
      <c r="O66" s="19"/>
      <c r="P66" s="19"/>
      <c r="Q66" s="19"/>
      <c r="R66" s="19"/>
      <c r="S66" s="19"/>
      <c r="T66" s="19"/>
      <c r="U66" s="19"/>
    </row>
    <row r="67" spans="3:27" s="28" customFormat="1" x14ac:dyDescent="0.2">
      <c r="C67" s="408"/>
      <c r="D67" s="352" t="s">
        <v>534</v>
      </c>
      <c r="E67" s="81" t="s">
        <v>56</v>
      </c>
      <c r="F67" s="87">
        <v>1.1850000000000001</v>
      </c>
      <c r="G67" s="134" t="s">
        <v>14</v>
      </c>
      <c r="H67" s="75">
        <v>2</v>
      </c>
      <c r="I67" s="23">
        <v>0.99507000000000001</v>
      </c>
      <c r="J67" s="23">
        <v>0.28258</v>
      </c>
      <c r="K67" s="165">
        <v>0.41</v>
      </c>
      <c r="L67" s="23">
        <v>2.2589999999999999E-2</v>
      </c>
      <c r="M67" s="48">
        <v>0.16600000000000001</v>
      </c>
      <c r="N67" s="25">
        <v>1.0120000000000001E-2</v>
      </c>
      <c r="O67" s="19"/>
      <c r="P67" s="19"/>
      <c r="Q67" s="19"/>
      <c r="R67" s="19"/>
      <c r="S67" s="19"/>
      <c r="T67" s="19"/>
      <c r="U67" s="19"/>
    </row>
    <row r="68" spans="3:27" s="28" customFormat="1" x14ac:dyDescent="0.2">
      <c r="C68" s="409"/>
      <c r="D68" s="353" t="s">
        <v>528</v>
      </c>
      <c r="E68" s="82" t="s">
        <v>205</v>
      </c>
      <c r="F68" s="89">
        <v>1.069</v>
      </c>
      <c r="G68" s="135" t="s">
        <v>12</v>
      </c>
      <c r="H68" s="77">
        <v>1.25</v>
      </c>
      <c r="I68" s="24">
        <v>0.32504</v>
      </c>
      <c r="J68" s="24">
        <v>4.7309999999999998E-2</v>
      </c>
      <c r="K68" s="166">
        <v>0.13500000000000001</v>
      </c>
      <c r="L68" s="24">
        <v>7.2999999999999996E-4</v>
      </c>
      <c r="M68" s="104">
        <v>0.16600000000000001</v>
      </c>
      <c r="N68" s="24">
        <v>1.0120000000000001E-2</v>
      </c>
      <c r="O68" s="19"/>
      <c r="P68" s="19"/>
      <c r="Q68" s="19"/>
      <c r="R68" s="19"/>
      <c r="S68" s="19"/>
      <c r="T68" s="19"/>
      <c r="U68" s="19"/>
    </row>
    <row r="69" spans="3:27" s="28" customFormat="1" x14ac:dyDescent="0.2">
      <c r="O69" s="19"/>
      <c r="P69" s="19"/>
      <c r="Q69" s="19"/>
      <c r="R69" s="19"/>
      <c r="S69" s="19"/>
      <c r="T69" s="19"/>
      <c r="U69" s="19"/>
    </row>
    <row r="70" spans="3:27" s="28" customFormat="1" x14ac:dyDescent="0.2">
      <c r="C70" s="335" t="s">
        <v>224</v>
      </c>
      <c r="D70" s="356"/>
      <c r="E70" s="319"/>
      <c r="F70" s="319"/>
      <c r="G70" s="319"/>
      <c r="H70" s="319"/>
      <c r="I70" s="319"/>
      <c r="J70" s="319"/>
      <c r="K70" s="319"/>
      <c r="L70" s="319"/>
      <c r="M70" s="319"/>
      <c r="N70" s="320"/>
      <c r="O70" s="19"/>
      <c r="P70" s="19"/>
      <c r="Q70" s="19"/>
      <c r="R70" s="19"/>
      <c r="S70" s="19"/>
      <c r="T70" s="19"/>
      <c r="U70" s="19"/>
    </row>
    <row r="71" spans="3:27" s="28" customFormat="1" x14ac:dyDescent="0.2">
      <c r="C71" s="344" t="s">
        <v>462</v>
      </c>
      <c r="D71" s="338"/>
      <c r="E71" s="299"/>
      <c r="F71" s="299"/>
      <c r="G71" s="299"/>
      <c r="H71" s="299"/>
      <c r="I71" s="299"/>
      <c r="J71" s="299"/>
      <c r="K71" s="299"/>
      <c r="L71" s="299"/>
      <c r="M71" s="299"/>
      <c r="N71" s="300"/>
      <c r="O71" s="19"/>
      <c r="P71" s="19"/>
      <c r="Q71" s="19"/>
      <c r="R71" s="19"/>
      <c r="S71" s="19"/>
      <c r="T71" s="19"/>
      <c r="U71" s="19"/>
    </row>
    <row r="72" spans="3:27" s="28" customFormat="1" ht="23.25" customHeight="1" x14ac:dyDescent="0.2">
      <c r="C72" s="326" t="s">
        <v>453</v>
      </c>
      <c r="D72" s="357"/>
      <c r="E72" s="299"/>
      <c r="F72" s="299"/>
      <c r="G72" s="299"/>
      <c r="H72" s="299"/>
      <c r="I72" s="299"/>
      <c r="J72" s="299"/>
      <c r="K72" s="299"/>
      <c r="L72" s="299"/>
      <c r="M72" s="299"/>
      <c r="N72" s="300"/>
      <c r="O72" s="19"/>
      <c r="P72" s="19"/>
      <c r="Q72" s="19"/>
      <c r="R72" s="19"/>
      <c r="S72" s="19"/>
      <c r="T72" s="19"/>
      <c r="U72" s="19"/>
    </row>
    <row r="73" spans="3:27" s="28" customFormat="1" ht="12.75" customHeight="1" x14ac:dyDescent="0.2">
      <c r="C73" s="327" t="s">
        <v>455</v>
      </c>
      <c r="D73" s="330" t="s">
        <v>456</v>
      </c>
      <c r="F73" s="328"/>
      <c r="G73" s="328"/>
      <c r="H73" s="328"/>
      <c r="I73" s="328"/>
      <c r="J73" s="328"/>
      <c r="K73" s="328"/>
      <c r="L73" s="328"/>
      <c r="M73" s="328"/>
      <c r="N73" s="329"/>
      <c r="O73" s="41"/>
      <c r="P73" s="19"/>
      <c r="Q73" s="194"/>
      <c r="R73" s="194"/>
      <c r="S73" s="194"/>
      <c r="T73" s="194"/>
      <c r="U73" s="194"/>
      <c r="V73" s="194"/>
      <c r="W73" s="194"/>
      <c r="X73" s="194"/>
      <c r="Y73" s="194"/>
      <c r="Z73" s="194"/>
      <c r="AA73" s="194"/>
    </row>
    <row r="74" spans="3:27" s="28" customFormat="1" x14ac:dyDescent="0.2">
      <c r="C74" s="327" t="s">
        <v>457</v>
      </c>
      <c r="D74" s="330" t="s">
        <v>458</v>
      </c>
      <c r="F74" s="328"/>
      <c r="G74" s="328"/>
      <c r="H74" s="328"/>
      <c r="I74" s="328"/>
      <c r="J74" s="328"/>
      <c r="K74" s="328"/>
      <c r="L74" s="328"/>
      <c r="M74" s="328"/>
      <c r="N74" s="329"/>
      <c r="P74" s="19"/>
      <c r="Q74" s="194"/>
      <c r="R74" s="194"/>
      <c r="S74" s="194"/>
      <c r="T74" s="194"/>
      <c r="U74" s="194"/>
      <c r="V74" s="194"/>
      <c r="W74" s="194"/>
      <c r="X74" s="194"/>
      <c r="Y74" s="194"/>
      <c r="Z74" s="194"/>
      <c r="AA74" s="194"/>
    </row>
    <row r="75" spans="3:27" s="28" customFormat="1" ht="23.25" customHeight="1" x14ac:dyDescent="0.2">
      <c r="C75" s="326" t="s">
        <v>454</v>
      </c>
      <c r="D75" s="357"/>
      <c r="E75" s="321"/>
      <c r="F75" s="321"/>
      <c r="G75" s="321"/>
      <c r="H75" s="321"/>
      <c r="I75" s="321"/>
      <c r="J75" s="321"/>
      <c r="K75" s="321"/>
      <c r="L75" s="321"/>
      <c r="M75" s="321"/>
      <c r="N75" s="322"/>
      <c r="P75" s="19"/>
      <c r="Q75" s="194"/>
      <c r="R75" s="194"/>
      <c r="S75" s="194"/>
      <c r="T75" s="194"/>
      <c r="U75" s="194"/>
      <c r="V75" s="194"/>
      <c r="W75" s="194"/>
      <c r="X75" s="194"/>
      <c r="Y75" s="194"/>
      <c r="Z75" s="194"/>
      <c r="AA75" s="194"/>
    </row>
    <row r="76" spans="3:27" s="28" customFormat="1" ht="12.75" customHeight="1" x14ac:dyDescent="0.2">
      <c r="C76" s="327" t="s">
        <v>455</v>
      </c>
      <c r="D76" s="330" t="s">
        <v>233</v>
      </c>
      <c r="F76" s="328"/>
      <c r="G76" s="328"/>
      <c r="H76" s="328"/>
      <c r="I76" s="328"/>
      <c r="J76" s="328"/>
      <c r="K76" s="328"/>
      <c r="L76" s="328"/>
      <c r="M76" s="328"/>
      <c r="N76" s="329"/>
      <c r="P76" s="19"/>
      <c r="Q76" s="194"/>
      <c r="R76" s="194"/>
      <c r="S76" s="194"/>
      <c r="T76" s="194"/>
      <c r="U76" s="194"/>
      <c r="V76" s="194"/>
      <c r="W76" s="194"/>
      <c r="X76" s="194"/>
      <c r="Y76" s="194"/>
      <c r="Z76" s="194"/>
      <c r="AA76" s="194"/>
    </row>
    <row r="77" spans="3:27" s="28" customFormat="1" x14ac:dyDescent="0.2">
      <c r="C77" s="327" t="s">
        <v>457</v>
      </c>
      <c r="D77" s="330" t="s">
        <v>458</v>
      </c>
      <c r="F77" s="328"/>
      <c r="G77" s="328"/>
      <c r="H77" s="328"/>
      <c r="I77" s="328"/>
      <c r="J77" s="328"/>
      <c r="K77" s="328"/>
      <c r="L77" s="328"/>
      <c r="M77" s="328"/>
      <c r="N77" s="329"/>
      <c r="P77" s="41"/>
      <c r="Q77" s="194"/>
      <c r="R77" s="194"/>
      <c r="S77" s="194"/>
      <c r="T77" s="194"/>
      <c r="U77" s="194"/>
      <c r="V77" s="194"/>
      <c r="W77" s="194"/>
      <c r="X77" s="194"/>
      <c r="Y77" s="194"/>
      <c r="Z77" s="194"/>
      <c r="AA77" s="194"/>
    </row>
    <row r="78" spans="3:27" s="28" customFormat="1" x14ac:dyDescent="0.2">
      <c r="C78" s="323"/>
      <c r="D78" s="321"/>
      <c r="E78" s="321"/>
      <c r="F78" s="321"/>
      <c r="G78" s="321"/>
      <c r="H78" s="321"/>
      <c r="I78" s="321"/>
      <c r="J78" s="321"/>
      <c r="K78" s="321"/>
      <c r="L78" s="321"/>
      <c r="M78" s="321"/>
      <c r="N78" s="322"/>
      <c r="Q78" s="194"/>
      <c r="R78" s="194"/>
      <c r="S78" s="194"/>
      <c r="T78" s="194"/>
      <c r="U78" s="194"/>
      <c r="V78" s="194"/>
      <c r="W78" s="194"/>
      <c r="X78" s="194"/>
      <c r="Y78" s="194"/>
      <c r="Z78" s="194"/>
      <c r="AA78" s="194"/>
    </row>
    <row r="79" spans="3:27" s="28" customFormat="1" ht="12.75" customHeight="1" x14ac:dyDescent="0.2">
      <c r="C79" s="469" t="s">
        <v>229</v>
      </c>
      <c r="D79" s="470"/>
      <c r="E79" s="470"/>
      <c r="F79" s="470"/>
      <c r="G79" s="470"/>
      <c r="H79" s="470"/>
      <c r="I79" s="470"/>
      <c r="J79" s="470"/>
      <c r="K79" s="470"/>
      <c r="L79" s="470"/>
      <c r="M79" s="470"/>
      <c r="N79" s="471"/>
      <c r="O79" s="302"/>
      <c r="Q79" s="194"/>
      <c r="R79" s="194"/>
      <c r="S79" s="194"/>
      <c r="T79" s="194"/>
      <c r="U79" s="194"/>
      <c r="V79" s="194"/>
      <c r="W79" s="194"/>
      <c r="X79" s="194"/>
      <c r="Y79" s="194"/>
      <c r="Z79" s="194"/>
      <c r="AA79" s="194"/>
    </row>
    <row r="80" spans="3:27" s="28" customFormat="1" ht="23.25" customHeight="1" x14ac:dyDescent="0.2">
      <c r="C80" s="326" t="s">
        <v>169</v>
      </c>
      <c r="D80" s="357"/>
      <c r="E80" s="321"/>
      <c r="F80" s="321"/>
      <c r="G80" s="321"/>
      <c r="H80" s="321"/>
      <c r="I80" s="321"/>
      <c r="J80" s="321"/>
      <c r="K80" s="321"/>
      <c r="L80" s="321"/>
      <c r="M80" s="321"/>
      <c r="N80" s="322"/>
      <c r="Q80" s="194"/>
      <c r="R80" s="194"/>
      <c r="S80" s="194"/>
      <c r="T80" s="194"/>
      <c r="U80" s="194"/>
      <c r="V80" s="194"/>
      <c r="W80" s="194"/>
      <c r="X80" s="194"/>
      <c r="Y80" s="194"/>
      <c r="Z80" s="194"/>
      <c r="AA80" s="194"/>
    </row>
    <row r="81" spans="3:27" s="28" customFormat="1" ht="59.25" customHeight="1" x14ac:dyDescent="0.2">
      <c r="C81" s="412" t="s">
        <v>678</v>
      </c>
      <c r="D81" s="413"/>
      <c r="E81" s="413"/>
      <c r="F81" s="413"/>
      <c r="G81" s="413"/>
      <c r="H81" s="413"/>
      <c r="I81" s="413"/>
      <c r="J81" s="413"/>
      <c r="K81" s="413"/>
      <c r="L81" s="413"/>
      <c r="M81" s="413"/>
      <c r="N81" s="414"/>
      <c r="Q81" s="194"/>
      <c r="R81" s="194"/>
      <c r="S81" s="194"/>
      <c r="T81" s="194"/>
      <c r="U81" s="194"/>
      <c r="V81" s="194"/>
      <c r="W81" s="194"/>
      <c r="X81" s="194"/>
      <c r="Y81" s="194"/>
      <c r="Z81" s="194"/>
      <c r="AA81" s="194"/>
    </row>
    <row r="82" spans="3:27" s="28" customFormat="1" ht="23.25" customHeight="1" x14ac:dyDescent="0.2">
      <c r="C82" s="345" t="s">
        <v>285</v>
      </c>
      <c r="D82" s="359"/>
      <c r="E82" s="342"/>
      <c r="F82" s="342"/>
      <c r="G82" s="342"/>
      <c r="H82" s="342"/>
      <c r="I82" s="342"/>
      <c r="J82" s="342"/>
      <c r="K82" s="342"/>
      <c r="L82" s="342"/>
      <c r="M82" s="342"/>
      <c r="N82" s="343"/>
      <c r="Q82" s="194"/>
      <c r="R82" s="194"/>
      <c r="S82" s="194"/>
      <c r="T82" s="194"/>
      <c r="U82" s="194"/>
      <c r="V82" s="194"/>
      <c r="W82" s="194"/>
      <c r="X82" s="194"/>
      <c r="Y82" s="194"/>
      <c r="Z82" s="194"/>
      <c r="AA82" s="194"/>
    </row>
    <row r="83" spans="3:27" s="28" customFormat="1" ht="70.5" customHeight="1" x14ac:dyDescent="0.2">
      <c r="C83" s="415" t="s">
        <v>448</v>
      </c>
      <c r="D83" s="416"/>
      <c r="E83" s="416"/>
      <c r="F83" s="416"/>
      <c r="G83" s="416"/>
      <c r="H83" s="416"/>
      <c r="I83" s="416"/>
      <c r="J83" s="416"/>
      <c r="K83" s="416"/>
      <c r="L83" s="416"/>
      <c r="M83" s="416"/>
      <c r="N83" s="417"/>
    </row>
    <row r="84" spans="3:27" s="28" customFormat="1" x14ac:dyDescent="0.2"/>
    <row r="85" spans="3:27" s="28" customFormat="1" x14ac:dyDescent="0.2"/>
    <row r="86" spans="3:27" s="28" customFormat="1" ht="15" customHeight="1" x14ac:dyDescent="0.2">
      <c r="C86" s="443" t="s">
        <v>228</v>
      </c>
      <c r="D86" s="444"/>
      <c r="E86" s="444"/>
      <c r="F86" s="444"/>
      <c r="G86" s="444"/>
      <c r="H86" s="444"/>
      <c r="I86" s="444"/>
      <c r="J86" s="444"/>
      <c r="K86" s="444"/>
      <c r="L86" s="444"/>
      <c r="M86" s="444"/>
      <c r="N86" s="444"/>
      <c r="O86" s="444"/>
      <c r="P86" s="444"/>
      <c r="Q86" s="445"/>
    </row>
    <row r="87" spans="3:27" s="28" customFormat="1" ht="41.25" customHeight="1" x14ac:dyDescent="0.2">
      <c r="C87" s="440" t="s">
        <v>141</v>
      </c>
      <c r="D87" s="441"/>
      <c r="E87" s="441"/>
      <c r="F87" s="441"/>
      <c r="G87" s="441"/>
      <c r="H87" s="441"/>
      <c r="I87" s="441"/>
      <c r="J87" s="441"/>
      <c r="K87" s="441"/>
      <c r="L87" s="441"/>
      <c r="M87" s="441"/>
      <c r="N87" s="441"/>
      <c r="O87" s="441"/>
      <c r="P87" s="441"/>
      <c r="Q87" s="442"/>
    </row>
    <row r="88" spans="3:27" s="28" customFormat="1" ht="30" customHeight="1" x14ac:dyDescent="0.2">
      <c r="C88" s="422" t="s">
        <v>464</v>
      </c>
      <c r="D88" s="423" t="s">
        <v>167</v>
      </c>
      <c r="E88" s="422" t="s">
        <v>7</v>
      </c>
      <c r="F88" s="451" t="s">
        <v>17</v>
      </c>
      <c r="G88" s="452"/>
      <c r="H88" s="451" t="s">
        <v>0</v>
      </c>
      <c r="I88" s="463"/>
      <c r="J88" s="466" t="s">
        <v>5</v>
      </c>
      <c r="K88" s="437"/>
      <c r="L88" s="437"/>
      <c r="M88" s="437"/>
      <c r="N88" s="439" t="s">
        <v>6</v>
      </c>
      <c r="O88" s="435"/>
      <c r="P88" s="432" t="s">
        <v>178</v>
      </c>
      <c r="Q88" s="433"/>
    </row>
    <row r="89" spans="3:27" s="28" customFormat="1" ht="30" customHeight="1" x14ac:dyDescent="0.2">
      <c r="C89" s="422"/>
      <c r="D89" s="424"/>
      <c r="E89" s="422"/>
      <c r="F89" s="453"/>
      <c r="G89" s="454"/>
      <c r="H89" s="453"/>
      <c r="I89" s="464"/>
      <c r="J89" s="467" t="s">
        <v>92</v>
      </c>
      <c r="K89" s="466" t="s">
        <v>91</v>
      </c>
      <c r="L89" s="438"/>
      <c r="M89" s="418" t="s">
        <v>95</v>
      </c>
      <c r="N89" s="449" t="s">
        <v>96</v>
      </c>
      <c r="O89" s="449" t="s">
        <v>98</v>
      </c>
      <c r="P89" s="420" t="s">
        <v>179</v>
      </c>
      <c r="Q89" s="420" t="s">
        <v>180</v>
      </c>
    </row>
    <row r="90" spans="3:27" s="28" customFormat="1" ht="30" customHeight="1" x14ac:dyDescent="0.2">
      <c r="C90" s="422"/>
      <c r="D90" s="424"/>
      <c r="E90" s="422"/>
      <c r="F90" s="398" t="s">
        <v>455</v>
      </c>
      <c r="G90" s="398" t="s">
        <v>457</v>
      </c>
      <c r="H90" s="455"/>
      <c r="I90" s="465"/>
      <c r="J90" s="468"/>
      <c r="K90" s="142" t="s">
        <v>123</v>
      </c>
      <c r="L90" s="141" t="s">
        <v>276</v>
      </c>
      <c r="M90" s="419"/>
      <c r="N90" s="450"/>
      <c r="O90" s="450"/>
      <c r="P90" s="421"/>
      <c r="Q90" s="421"/>
    </row>
    <row r="91" spans="3:27" s="28" customFormat="1" ht="39" customHeight="1" x14ac:dyDescent="0.2">
      <c r="C91" s="422"/>
      <c r="D91" s="425"/>
      <c r="E91" s="422"/>
      <c r="F91" s="139" t="s">
        <v>90</v>
      </c>
      <c r="G91" s="139" t="s">
        <v>90</v>
      </c>
      <c r="H91" s="177" t="s">
        <v>8</v>
      </c>
      <c r="I91" s="140" t="s">
        <v>9</v>
      </c>
      <c r="J91" s="90" t="s">
        <v>89</v>
      </c>
      <c r="K91" s="90" t="s">
        <v>672</v>
      </c>
      <c r="L91" s="90" t="s">
        <v>672</v>
      </c>
      <c r="M91" s="4" t="s">
        <v>10</v>
      </c>
      <c r="N91" s="145" t="s">
        <v>89</v>
      </c>
      <c r="O91" s="5" t="s">
        <v>10</v>
      </c>
      <c r="P91" s="117" t="s">
        <v>89</v>
      </c>
      <c r="Q91" s="118" t="s">
        <v>10</v>
      </c>
    </row>
    <row r="92" spans="3:27" s="28" customFormat="1" x14ac:dyDescent="0.2">
      <c r="C92" s="407" t="s">
        <v>127</v>
      </c>
      <c r="D92" s="351" t="s">
        <v>500</v>
      </c>
      <c r="E92" s="30" t="s">
        <v>128</v>
      </c>
      <c r="F92" s="79" t="s">
        <v>102</v>
      </c>
      <c r="G92" s="79">
        <v>3</v>
      </c>
      <c r="H92" s="85">
        <v>1.095</v>
      </c>
      <c r="I92" s="133" t="s">
        <v>13</v>
      </c>
      <c r="J92" s="75">
        <v>0</v>
      </c>
      <c r="K92" s="95">
        <v>72.781999999999996</v>
      </c>
      <c r="L92" s="95">
        <v>13.260999999999999</v>
      </c>
      <c r="M92" s="23">
        <v>0.02</v>
      </c>
      <c r="N92" s="130">
        <v>0.14399999999999999</v>
      </c>
      <c r="O92" s="22">
        <v>1.5049999999999999E-2</v>
      </c>
      <c r="P92" s="48">
        <v>0.16600000000000001</v>
      </c>
      <c r="Q92" s="25">
        <v>1.0120000000000001E-2</v>
      </c>
    </row>
    <row r="93" spans="3:27" s="28" customFormat="1" x14ac:dyDescent="0.2">
      <c r="C93" s="408"/>
      <c r="D93" s="352" t="s">
        <v>501</v>
      </c>
      <c r="E93" s="35" t="s">
        <v>129</v>
      </c>
      <c r="F93" s="11" t="s">
        <v>102</v>
      </c>
      <c r="G93" s="11">
        <v>3</v>
      </c>
      <c r="H93" s="87">
        <v>1.095</v>
      </c>
      <c r="I93" s="134" t="s">
        <v>13</v>
      </c>
      <c r="J93" s="75">
        <v>0</v>
      </c>
      <c r="K93" s="95">
        <v>72.781999999999996</v>
      </c>
      <c r="L93" s="95">
        <v>13.260999999999999</v>
      </c>
      <c r="M93" s="23">
        <v>0.02</v>
      </c>
      <c r="N93" s="75">
        <v>0.29399999999999998</v>
      </c>
      <c r="O93" s="23">
        <v>1.804E-2</v>
      </c>
      <c r="P93" s="48">
        <v>0.16600000000000001</v>
      </c>
      <c r="Q93" s="25">
        <v>1.0120000000000001E-2</v>
      </c>
    </row>
    <row r="94" spans="3:27" s="28" customFormat="1" x14ac:dyDescent="0.2">
      <c r="C94" s="408"/>
      <c r="D94" s="352" t="s">
        <v>502</v>
      </c>
      <c r="E94" s="35" t="s">
        <v>130</v>
      </c>
      <c r="F94" s="11" t="s">
        <v>102</v>
      </c>
      <c r="G94" s="11">
        <v>3</v>
      </c>
      <c r="H94" s="87">
        <v>1.095</v>
      </c>
      <c r="I94" s="134" t="s">
        <v>13</v>
      </c>
      <c r="J94" s="75">
        <v>0</v>
      </c>
      <c r="K94" s="95">
        <v>72.781999999999996</v>
      </c>
      <c r="L94" s="95">
        <v>13.260999999999999</v>
      </c>
      <c r="M94" s="23">
        <v>0.02</v>
      </c>
      <c r="N94" s="75">
        <v>0.41</v>
      </c>
      <c r="O94" s="23">
        <v>2.2589999999999999E-2</v>
      </c>
      <c r="P94" s="48">
        <v>0.16600000000000001</v>
      </c>
      <c r="Q94" s="25">
        <v>1.0120000000000001E-2</v>
      </c>
    </row>
    <row r="95" spans="3:27" s="28" customFormat="1" x14ac:dyDescent="0.2">
      <c r="C95" s="408"/>
      <c r="D95" s="352" t="s">
        <v>503</v>
      </c>
      <c r="E95" s="35" t="s">
        <v>131</v>
      </c>
      <c r="F95" s="11" t="s">
        <v>102</v>
      </c>
      <c r="G95" s="11">
        <v>3</v>
      </c>
      <c r="H95" s="87">
        <v>1.1850000000000001</v>
      </c>
      <c r="I95" s="134" t="s">
        <v>14</v>
      </c>
      <c r="J95" s="75">
        <v>0</v>
      </c>
      <c r="K95" s="95">
        <v>182.31100000000001</v>
      </c>
      <c r="L95" s="95">
        <v>20</v>
      </c>
      <c r="M95" s="23">
        <v>0.14161000000000001</v>
      </c>
      <c r="N95" s="75">
        <v>0.14399999999999999</v>
      </c>
      <c r="O95" s="76">
        <v>1.5049999999999999E-2</v>
      </c>
      <c r="P95" s="48">
        <v>0.16600000000000001</v>
      </c>
      <c r="Q95" s="25">
        <v>1.0120000000000001E-2</v>
      </c>
    </row>
    <row r="96" spans="3:27" s="28" customFormat="1" x14ac:dyDescent="0.2">
      <c r="C96" s="408"/>
      <c r="D96" s="352" t="s">
        <v>504</v>
      </c>
      <c r="E96" s="35" t="s">
        <v>132</v>
      </c>
      <c r="F96" s="11" t="s">
        <v>102</v>
      </c>
      <c r="G96" s="11">
        <v>3</v>
      </c>
      <c r="H96" s="87">
        <v>1.1850000000000001</v>
      </c>
      <c r="I96" s="134" t="s">
        <v>14</v>
      </c>
      <c r="J96" s="75">
        <v>0</v>
      </c>
      <c r="K96" s="95">
        <v>182.31100000000001</v>
      </c>
      <c r="L96" s="95">
        <v>20</v>
      </c>
      <c r="M96" s="23">
        <v>0.14161000000000001</v>
      </c>
      <c r="N96" s="75">
        <v>0.29399999999999998</v>
      </c>
      <c r="O96" s="76">
        <v>1.804E-2</v>
      </c>
      <c r="P96" s="48">
        <v>0.16600000000000001</v>
      </c>
      <c r="Q96" s="25">
        <v>1.0120000000000001E-2</v>
      </c>
    </row>
    <row r="97" spans="3:21" s="28" customFormat="1" x14ac:dyDescent="0.2">
      <c r="C97" s="408"/>
      <c r="D97" s="352" t="s">
        <v>505</v>
      </c>
      <c r="E97" s="35" t="s">
        <v>133</v>
      </c>
      <c r="F97" s="11" t="s">
        <v>102</v>
      </c>
      <c r="G97" s="11">
        <v>3</v>
      </c>
      <c r="H97" s="87">
        <v>1.1850000000000001</v>
      </c>
      <c r="I97" s="134" t="s">
        <v>14</v>
      </c>
      <c r="J97" s="75">
        <v>0</v>
      </c>
      <c r="K97" s="95">
        <v>182.31100000000001</v>
      </c>
      <c r="L97" s="95">
        <v>20</v>
      </c>
      <c r="M97" s="23">
        <v>0.14161000000000001</v>
      </c>
      <c r="N97" s="75">
        <v>0.41</v>
      </c>
      <c r="O97" s="76">
        <v>2.2589999999999999E-2</v>
      </c>
      <c r="P97" s="48">
        <v>0.16600000000000001</v>
      </c>
      <c r="Q97" s="25">
        <v>1.0120000000000001E-2</v>
      </c>
    </row>
    <row r="98" spans="3:21" s="28" customFormat="1" x14ac:dyDescent="0.2">
      <c r="C98" s="409"/>
      <c r="D98" s="353" t="s">
        <v>506</v>
      </c>
      <c r="E98" s="33" t="s">
        <v>181</v>
      </c>
      <c r="F98" s="14" t="s">
        <v>102</v>
      </c>
      <c r="G98" s="14">
        <v>3</v>
      </c>
      <c r="H98" s="89">
        <v>1.069</v>
      </c>
      <c r="I98" s="135" t="s">
        <v>12</v>
      </c>
      <c r="J98" s="77">
        <v>0</v>
      </c>
      <c r="K98" s="104">
        <v>72.789000000000001</v>
      </c>
      <c r="L98" s="104">
        <v>10.388</v>
      </c>
      <c r="M98" s="24">
        <v>0.01</v>
      </c>
      <c r="N98" s="131">
        <v>0.13500000000000001</v>
      </c>
      <c r="O98" s="76">
        <v>7.2999999999999996E-4</v>
      </c>
      <c r="P98" s="104">
        <v>0.16600000000000001</v>
      </c>
      <c r="Q98" s="24">
        <v>1.0120000000000001E-2</v>
      </c>
    </row>
    <row r="99" spans="3:21" s="28" customFormat="1" x14ac:dyDescent="0.2">
      <c r="C99" s="407" t="s">
        <v>134</v>
      </c>
      <c r="D99" s="351" t="s">
        <v>535</v>
      </c>
      <c r="E99" s="30" t="s">
        <v>135</v>
      </c>
      <c r="F99" s="8" t="s">
        <v>102</v>
      </c>
      <c r="G99" s="8">
        <v>3</v>
      </c>
      <c r="H99" s="85">
        <v>1.095</v>
      </c>
      <c r="I99" s="133" t="s">
        <v>13</v>
      </c>
      <c r="J99" s="159">
        <v>0</v>
      </c>
      <c r="K99" s="48">
        <v>90.447999999999993</v>
      </c>
      <c r="L99" s="48">
        <v>14.862</v>
      </c>
      <c r="M99" s="25">
        <v>2.8000000000000001E-2</v>
      </c>
      <c r="N99" s="132">
        <v>0.14399999999999999</v>
      </c>
      <c r="O99" s="22">
        <v>1.5049999999999999E-2</v>
      </c>
      <c r="P99" s="48">
        <v>0.16600000000000001</v>
      </c>
      <c r="Q99" s="25">
        <v>1.0120000000000001E-2</v>
      </c>
    </row>
    <row r="100" spans="3:21" s="28" customFormat="1" x14ac:dyDescent="0.2">
      <c r="C100" s="408"/>
      <c r="D100" s="352" t="s">
        <v>536</v>
      </c>
      <c r="E100" s="35" t="s">
        <v>136</v>
      </c>
      <c r="F100" s="11" t="s">
        <v>102</v>
      </c>
      <c r="G100" s="11">
        <v>3</v>
      </c>
      <c r="H100" s="87">
        <v>1.095</v>
      </c>
      <c r="I100" s="134" t="s">
        <v>13</v>
      </c>
      <c r="J100" s="75">
        <v>0</v>
      </c>
      <c r="K100" s="95">
        <v>90.447999999999993</v>
      </c>
      <c r="L100" s="95">
        <v>14.862</v>
      </c>
      <c r="M100" s="23">
        <v>2.8000000000000001E-2</v>
      </c>
      <c r="N100" s="75">
        <v>0.29399999999999998</v>
      </c>
      <c r="O100" s="23">
        <v>1.804E-2</v>
      </c>
      <c r="P100" s="48">
        <v>0.16600000000000001</v>
      </c>
      <c r="Q100" s="25">
        <v>1.0120000000000001E-2</v>
      </c>
    </row>
    <row r="101" spans="3:21" s="28" customFormat="1" x14ac:dyDescent="0.2">
      <c r="C101" s="408"/>
      <c r="D101" s="352" t="s">
        <v>537</v>
      </c>
      <c r="E101" s="35" t="s">
        <v>137</v>
      </c>
      <c r="F101" s="11" t="s">
        <v>102</v>
      </c>
      <c r="G101" s="11">
        <v>3</v>
      </c>
      <c r="H101" s="87">
        <v>1.095</v>
      </c>
      <c r="I101" s="134" t="s">
        <v>13</v>
      </c>
      <c r="J101" s="75">
        <v>0</v>
      </c>
      <c r="K101" s="95">
        <v>90.447999999999993</v>
      </c>
      <c r="L101" s="95">
        <v>14.862</v>
      </c>
      <c r="M101" s="23">
        <v>2.8000000000000001E-2</v>
      </c>
      <c r="N101" s="75">
        <v>0.41</v>
      </c>
      <c r="O101" s="23">
        <v>2.2589999999999999E-2</v>
      </c>
      <c r="P101" s="48">
        <v>0.16600000000000001</v>
      </c>
      <c r="Q101" s="25">
        <v>1.0120000000000001E-2</v>
      </c>
      <c r="R101" s="195"/>
      <c r="S101" s="195"/>
      <c r="T101" s="195"/>
      <c r="U101" s="195"/>
    </row>
    <row r="102" spans="3:21" s="28" customFormat="1" x14ac:dyDescent="0.2">
      <c r="C102" s="408"/>
      <c r="D102" s="352" t="s">
        <v>538</v>
      </c>
      <c r="E102" s="35" t="s">
        <v>138</v>
      </c>
      <c r="F102" s="11" t="s">
        <v>102</v>
      </c>
      <c r="G102" s="11">
        <v>3</v>
      </c>
      <c r="H102" s="87">
        <v>1.1850000000000001</v>
      </c>
      <c r="I102" s="134" t="s">
        <v>14</v>
      </c>
      <c r="J102" s="75">
        <v>0</v>
      </c>
      <c r="K102" s="95">
        <v>226.56100000000001</v>
      </c>
      <c r="L102" s="95">
        <v>20</v>
      </c>
      <c r="M102" s="23">
        <v>0.16958999999999999</v>
      </c>
      <c r="N102" s="75">
        <v>0.14399999999999999</v>
      </c>
      <c r="O102" s="76">
        <v>1.5049999999999999E-2</v>
      </c>
      <c r="P102" s="48">
        <v>0.16600000000000001</v>
      </c>
      <c r="Q102" s="25">
        <v>1.0120000000000001E-2</v>
      </c>
      <c r="R102" s="195"/>
      <c r="S102" s="195"/>
      <c r="T102" s="195"/>
      <c r="U102" s="195"/>
    </row>
    <row r="103" spans="3:21" s="28" customFormat="1" x14ac:dyDescent="0.2">
      <c r="C103" s="408"/>
      <c r="D103" s="352" t="s">
        <v>539</v>
      </c>
      <c r="E103" s="35" t="s">
        <v>139</v>
      </c>
      <c r="F103" s="11" t="s">
        <v>102</v>
      </c>
      <c r="G103" s="11">
        <v>3</v>
      </c>
      <c r="H103" s="87">
        <v>1.1850000000000001</v>
      </c>
      <c r="I103" s="134" t="s">
        <v>14</v>
      </c>
      <c r="J103" s="75">
        <v>0</v>
      </c>
      <c r="K103" s="95">
        <v>226.56100000000001</v>
      </c>
      <c r="L103" s="95">
        <v>20</v>
      </c>
      <c r="M103" s="23">
        <v>0.16958999999999999</v>
      </c>
      <c r="N103" s="75">
        <v>0.29399999999999998</v>
      </c>
      <c r="O103" s="76">
        <v>1.804E-2</v>
      </c>
      <c r="P103" s="48">
        <v>0.16600000000000001</v>
      </c>
      <c r="Q103" s="25">
        <v>1.0120000000000001E-2</v>
      </c>
      <c r="R103" s="19"/>
      <c r="S103" s="19"/>
      <c r="T103" s="19"/>
      <c r="U103" s="19"/>
    </row>
    <row r="104" spans="3:21" s="28" customFormat="1" x14ac:dyDescent="0.2">
      <c r="C104" s="408"/>
      <c r="D104" s="352" t="s">
        <v>540</v>
      </c>
      <c r="E104" s="35" t="s">
        <v>140</v>
      </c>
      <c r="F104" s="11" t="s">
        <v>102</v>
      </c>
      <c r="G104" s="11">
        <v>3</v>
      </c>
      <c r="H104" s="87">
        <v>1.1850000000000001</v>
      </c>
      <c r="I104" s="134" t="s">
        <v>14</v>
      </c>
      <c r="J104" s="75">
        <v>0</v>
      </c>
      <c r="K104" s="95">
        <v>226.56100000000001</v>
      </c>
      <c r="L104" s="95">
        <v>20</v>
      </c>
      <c r="M104" s="23">
        <v>0.16958999999999999</v>
      </c>
      <c r="N104" s="75">
        <v>0.41</v>
      </c>
      <c r="O104" s="76">
        <v>2.2589999999999999E-2</v>
      </c>
      <c r="P104" s="48">
        <v>0.16600000000000001</v>
      </c>
      <c r="Q104" s="25">
        <v>1.0120000000000001E-2</v>
      </c>
      <c r="R104" s="41"/>
      <c r="S104" s="41"/>
      <c r="T104" s="41"/>
      <c r="U104" s="41"/>
    </row>
    <row r="105" spans="3:21" s="28" customFormat="1" x14ac:dyDescent="0.2">
      <c r="C105" s="409"/>
      <c r="D105" s="353" t="s">
        <v>541</v>
      </c>
      <c r="E105" s="33" t="s">
        <v>182</v>
      </c>
      <c r="F105" s="14" t="s">
        <v>102</v>
      </c>
      <c r="G105" s="14">
        <v>3</v>
      </c>
      <c r="H105" s="89">
        <v>1.069</v>
      </c>
      <c r="I105" s="135" t="s">
        <v>12</v>
      </c>
      <c r="J105" s="77">
        <v>0</v>
      </c>
      <c r="K105" s="104">
        <v>90.456999999999994</v>
      </c>
      <c r="L105" s="104">
        <v>5</v>
      </c>
      <c r="M105" s="24">
        <v>1.3270000000000001E-2</v>
      </c>
      <c r="N105" s="77">
        <v>0.13500000000000001</v>
      </c>
      <c r="O105" s="78">
        <v>7.2999999999999996E-4</v>
      </c>
      <c r="P105" s="104">
        <v>0.16600000000000001</v>
      </c>
      <c r="Q105" s="24">
        <v>1.0120000000000001E-2</v>
      </c>
      <c r="R105" s="195"/>
      <c r="S105" s="195"/>
      <c r="T105" s="195"/>
      <c r="U105" s="195"/>
    </row>
    <row r="106" spans="3:21" s="28" customFormat="1" x14ac:dyDescent="0.2">
      <c r="R106" s="19"/>
      <c r="S106" s="19"/>
      <c r="T106" s="19"/>
      <c r="U106" s="19"/>
    </row>
    <row r="107" spans="3:21" s="28" customFormat="1" x14ac:dyDescent="0.2">
      <c r="C107" s="335" t="s">
        <v>224</v>
      </c>
      <c r="D107" s="356"/>
      <c r="E107" s="224"/>
      <c r="F107" s="224"/>
      <c r="G107" s="224"/>
      <c r="H107" s="224"/>
      <c r="I107" s="224"/>
      <c r="J107" s="224"/>
      <c r="K107" s="224"/>
      <c r="L107" s="224"/>
      <c r="M107" s="224"/>
      <c r="N107" s="224"/>
      <c r="O107" s="224"/>
      <c r="P107" s="224"/>
      <c r="Q107" s="225"/>
      <c r="R107" s="19"/>
      <c r="S107" s="19"/>
      <c r="T107" s="19"/>
      <c r="U107" s="19"/>
    </row>
    <row r="108" spans="3:21" s="28" customFormat="1" x14ac:dyDescent="0.2">
      <c r="C108" s="344" t="s">
        <v>462</v>
      </c>
      <c r="D108" s="338"/>
      <c r="E108" s="52"/>
      <c r="F108" s="52"/>
      <c r="G108" s="52"/>
      <c r="H108" s="52"/>
      <c r="I108" s="52"/>
      <c r="J108" s="52"/>
      <c r="K108" s="52"/>
      <c r="L108" s="52"/>
      <c r="M108" s="52"/>
      <c r="N108" s="52"/>
      <c r="O108" s="52"/>
      <c r="P108" s="52"/>
      <c r="Q108" s="346"/>
      <c r="R108" s="19"/>
      <c r="S108" s="19"/>
      <c r="T108" s="19"/>
      <c r="U108" s="19"/>
    </row>
    <row r="109" spans="3:21" s="28" customFormat="1" ht="23.25" customHeight="1" x14ac:dyDescent="0.2">
      <c r="C109" s="332" t="s">
        <v>459</v>
      </c>
      <c r="D109" s="360"/>
      <c r="E109" s="196"/>
      <c r="F109" s="196"/>
      <c r="G109" s="196"/>
      <c r="H109" s="196"/>
      <c r="I109" s="196"/>
      <c r="J109" s="196"/>
      <c r="K109" s="196"/>
      <c r="L109" s="196"/>
      <c r="M109" s="196"/>
      <c r="N109" s="196"/>
      <c r="O109" s="196"/>
      <c r="P109" s="196"/>
      <c r="Q109" s="197"/>
      <c r="R109" s="41"/>
      <c r="S109" s="41"/>
      <c r="T109" s="41"/>
      <c r="U109" s="41"/>
    </row>
    <row r="110" spans="3:21" s="28" customFormat="1" ht="12.75" customHeight="1" x14ac:dyDescent="0.2">
      <c r="C110" s="326" t="s">
        <v>225</v>
      </c>
      <c r="D110" s="357"/>
      <c r="E110" s="196"/>
      <c r="F110" s="196"/>
      <c r="G110" s="196"/>
      <c r="H110" s="196"/>
      <c r="I110" s="196"/>
      <c r="J110" s="196"/>
      <c r="K110" s="196"/>
      <c r="L110" s="196"/>
      <c r="M110" s="196"/>
      <c r="N110" s="196"/>
      <c r="O110" s="196"/>
      <c r="P110" s="196"/>
      <c r="Q110" s="197"/>
      <c r="R110" s="41"/>
      <c r="S110" s="41"/>
      <c r="T110" s="41"/>
      <c r="U110" s="41"/>
    </row>
    <row r="111" spans="3:21" s="28" customFormat="1" ht="12.75" customHeight="1" x14ac:dyDescent="0.2">
      <c r="C111" s="305" t="s">
        <v>255</v>
      </c>
      <c r="D111" s="426" t="s">
        <v>267</v>
      </c>
      <c r="E111" s="426"/>
      <c r="F111" s="426"/>
      <c r="G111" s="426"/>
      <c r="H111" s="426"/>
      <c r="I111" s="426"/>
      <c r="J111" s="426"/>
      <c r="K111" s="426"/>
      <c r="L111" s="426"/>
      <c r="M111" s="426"/>
      <c r="N111" s="426"/>
      <c r="O111" s="426"/>
      <c r="P111" s="426"/>
      <c r="Q111" s="427"/>
      <c r="R111" s="41"/>
      <c r="S111" s="41"/>
      <c r="T111" s="41"/>
      <c r="U111" s="41"/>
    </row>
    <row r="112" spans="3:21" s="28" customFormat="1" ht="12.75" customHeight="1" x14ac:dyDescent="0.2">
      <c r="C112" s="305" t="s">
        <v>256</v>
      </c>
      <c r="D112" s="426" t="s">
        <v>268</v>
      </c>
      <c r="E112" s="426"/>
      <c r="F112" s="426"/>
      <c r="G112" s="426"/>
      <c r="H112" s="426"/>
      <c r="I112" s="426"/>
      <c r="J112" s="426"/>
      <c r="K112" s="426"/>
      <c r="L112" s="426"/>
      <c r="M112" s="426"/>
      <c r="N112" s="426"/>
      <c r="O112" s="426"/>
      <c r="P112" s="426"/>
      <c r="Q112" s="427"/>
      <c r="R112" s="19"/>
      <c r="S112" s="19"/>
      <c r="T112" s="19"/>
      <c r="U112" s="19"/>
    </row>
    <row r="113" spans="3:21" s="28" customFormat="1" ht="12.75" customHeight="1" x14ac:dyDescent="0.2">
      <c r="C113" s="306" t="s">
        <v>230</v>
      </c>
      <c r="D113" s="428" t="s">
        <v>231</v>
      </c>
      <c r="E113" s="428"/>
      <c r="F113" s="428"/>
      <c r="G113" s="428"/>
      <c r="H113" s="428"/>
      <c r="I113" s="428"/>
      <c r="J113" s="428"/>
      <c r="K113" s="428"/>
      <c r="L113" s="428"/>
      <c r="M113" s="428"/>
      <c r="N113" s="428"/>
      <c r="O113" s="428"/>
      <c r="P113" s="428"/>
      <c r="Q113" s="429"/>
      <c r="R113" s="19"/>
      <c r="S113" s="19"/>
      <c r="T113" s="19"/>
      <c r="U113" s="19"/>
    </row>
    <row r="114" spans="3:21" s="28" customFormat="1" x14ac:dyDescent="0.2">
      <c r="C114" s="306"/>
      <c r="D114" s="307"/>
      <c r="E114" s="307"/>
      <c r="F114" s="307"/>
      <c r="G114" s="307"/>
      <c r="H114" s="307"/>
      <c r="I114" s="307"/>
      <c r="J114" s="307"/>
      <c r="K114" s="307"/>
      <c r="L114" s="307"/>
      <c r="M114" s="307"/>
      <c r="N114" s="307"/>
      <c r="O114" s="307"/>
      <c r="P114" s="307"/>
      <c r="Q114" s="308"/>
    </row>
    <row r="115" spans="3:21" s="28" customFormat="1" ht="12.75" customHeight="1" x14ac:dyDescent="0.2">
      <c r="C115" s="309"/>
      <c r="D115" s="430" t="s">
        <v>229</v>
      </c>
      <c r="E115" s="430"/>
      <c r="F115" s="430"/>
      <c r="G115" s="430"/>
      <c r="H115" s="430"/>
      <c r="I115" s="430"/>
      <c r="J115" s="430"/>
      <c r="K115" s="430"/>
      <c r="L115" s="430"/>
      <c r="M115" s="430"/>
      <c r="N115" s="430"/>
      <c r="O115" s="430"/>
      <c r="P115" s="430"/>
      <c r="Q115" s="431"/>
    </row>
    <row r="116" spans="3:21" s="28" customFormat="1" x14ac:dyDescent="0.2">
      <c r="C116" s="309"/>
      <c r="D116" s="125"/>
      <c r="E116" s="253"/>
      <c r="F116" s="253"/>
      <c r="G116" s="253"/>
      <c r="H116" s="253"/>
      <c r="I116" s="253"/>
      <c r="J116" s="253"/>
      <c r="K116" s="253"/>
      <c r="L116" s="253"/>
      <c r="M116" s="253"/>
      <c r="N116" s="253"/>
      <c r="O116" s="253"/>
      <c r="P116" s="125"/>
      <c r="Q116" s="310"/>
    </row>
    <row r="117" spans="3:21" s="28" customFormat="1" ht="23.25" customHeight="1" x14ac:dyDescent="0.2">
      <c r="C117" s="317" t="s">
        <v>169</v>
      </c>
      <c r="D117" s="413" t="s">
        <v>259</v>
      </c>
      <c r="E117" s="413"/>
      <c r="F117" s="413"/>
      <c r="G117" s="413"/>
      <c r="H117" s="413"/>
      <c r="I117" s="413"/>
      <c r="J117" s="413"/>
      <c r="K117" s="413"/>
      <c r="L117" s="413"/>
      <c r="M117" s="413"/>
      <c r="N117" s="413"/>
      <c r="O117" s="413"/>
      <c r="P117" s="413"/>
      <c r="Q117" s="414"/>
    </row>
    <row r="118" spans="3:21" s="28" customFormat="1" ht="30.75" customHeight="1" x14ac:dyDescent="0.2">
      <c r="C118" s="333" t="s">
        <v>253</v>
      </c>
      <c r="D118" s="413" t="s">
        <v>260</v>
      </c>
      <c r="E118" s="413"/>
      <c r="F118" s="413"/>
      <c r="G118" s="413"/>
      <c r="H118" s="413"/>
      <c r="I118" s="413"/>
      <c r="J118" s="413"/>
      <c r="K118" s="413"/>
      <c r="L118" s="413"/>
      <c r="M118" s="413"/>
      <c r="N118" s="413"/>
      <c r="O118" s="413"/>
      <c r="P118" s="413"/>
      <c r="Q118" s="414"/>
    </row>
    <row r="119" spans="3:21" s="28" customFormat="1" ht="22.5" customHeight="1" x14ac:dyDescent="0.2">
      <c r="C119" s="311"/>
      <c r="D119" s="413" t="s">
        <v>257</v>
      </c>
      <c r="E119" s="413"/>
      <c r="F119" s="413"/>
      <c r="G119" s="413"/>
      <c r="H119" s="413"/>
      <c r="I119" s="413"/>
      <c r="J119" s="413"/>
      <c r="K119" s="413"/>
      <c r="L119" s="413"/>
      <c r="M119" s="413"/>
      <c r="N119" s="413"/>
      <c r="O119" s="413"/>
      <c r="P119" s="413"/>
      <c r="Q119" s="414"/>
    </row>
    <row r="120" spans="3:21" s="28" customFormat="1" ht="24.75" customHeight="1" x14ac:dyDescent="0.2">
      <c r="C120" s="311" t="s">
        <v>254</v>
      </c>
      <c r="D120" s="413" t="s">
        <v>679</v>
      </c>
      <c r="E120" s="413"/>
      <c r="F120" s="413"/>
      <c r="G120" s="413"/>
      <c r="H120" s="413"/>
      <c r="I120" s="413"/>
      <c r="J120" s="413"/>
      <c r="K120" s="413"/>
      <c r="L120" s="413"/>
      <c r="M120" s="413"/>
      <c r="N120" s="413"/>
      <c r="O120" s="413"/>
      <c r="P120" s="413"/>
      <c r="Q120" s="414"/>
    </row>
    <row r="121" spans="3:21" s="28" customFormat="1" x14ac:dyDescent="0.2">
      <c r="C121" s="311"/>
      <c r="D121" s="312"/>
      <c r="E121" s="413"/>
      <c r="F121" s="413"/>
      <c r="G121" s="413"/>
      <c r="H121" s="413"/>
      <c r="I121" s="413"/>
      <c r="J121" s="413"/>
      <c r="K121" s="413"/>
      <c r="L121" s="413"/>
      <c r="M121" s="413"/>
      <c r="N121" s="413"/>
      <c r="O121" s="413"/>
      <c r="P121" s="413"/>
      <c r="Q121" s="414"/>
    </row>
    <row r="122" spans="3:21" s="28" customFormat="1" x14ac:dyDescent="0.2">
      <c r="C122" s="331" t="s">
        <v>460</v>
      </c>
      <c r="D122" s="361"/>
      <c r="E122" s="312"/>
      <c r="F122" s="312"/>
      <c r="G122" s="312"/>
      <c r="H122" s="312"/>
      <c r="I122" s="312"/>
      <c r="J122" s="312"/>
      <c r="K122" s="312"/>
      <c r="L122" s="312"/>
      <c r="M122" s="312"/>
      <c r="N122" s="312"/>
      <c r="O122" s="312"/>
      <c r="P122" s="312"/>
      <c r="Q122" s="313"/>
    </row>
    <row r="123" spans="3:21" s="28" customFormat="1" ht="24" customHeight="1" x14ac:dyDescent="0.2">
      <c r="C123" s="326" t="s">
        <v>225</v>
      </c>
      <c r="D123" s="357"/>
      <c r="E123" s="312"/>
      <c r="F123" s="312"/>
      <c r="G123" s="312"/>
      <c r="H123" s="312"/>
      <c r="I123" s="312"/>
      <c r="J123" s="312"/>
      <c r="K123" s="312"/>
      <c r="L123" s="312"/>
      <c r="M123" s="312"/>
      <c r="N123" s="312"/>
      <c r="O123" s="312"/>
      <c r="P123" s="312"/>
      <c r="Q123" s="313"/>
    </row>
    <row r="124" spans="3:21" s="28" customFormat="1" ht="12.75" customHeight="1" x14ac:dyDescent="0.2">
      <c r="C124" s="305" t="s">
        <v>255</v>
      </c>
      <c r="D124" s="366" t="s">
        <v>233</v>
      </c>
      <c r="E124" s="366"/>
      <c r="F124" s="366"/>
      <c r="G124" s="366"/>
      <c r="H124" s="366"/>
      <c r="I124" s="366"/>
      <c r="J124" s="366"/>
      <c r="K124" s="366"/>
      <c r="L124" s="366"/>
      <c r="M124" s="366"/>
      <c r="N124" s="366"/>
      <c r="P124" s="312"/>
      <c r="Q124" s="313"/>
    </row>
    <row r="125" spans="3:21" s="28" customFormat="1" ht="12.75" customHeight="1" x14ac:dyDescent="0.2">
      <c r="C125" s="305" t="s">
        <v>256</v>
      </c>
      <c r="D125" s="367" t="s">
        <v>269</v>
      </c>
      <c r="E125" s="367"/>
      <c r="F125" s="367"/>
      <c r="G125" s="367"/>
      <c r="H125" s="367"/>
      <c r="I125" s="367"/>
      <c r="J125" s="367"/>
      <c r="K125" s="367"/>
      <c r="L125" s="367"/>
      <c r="M125" s="367"/>
      <c r="N125" s="367"/>
      <c r="P125" s="312"/>
      <c r="Q125" s="313"/>
    </row>
    <row r="126" spans="3:21" s="28" customFormat="1" ht="12.75" customHeight="1" x14ac:dyDescent="0.2">
      <c r="C126" s="306" t="s">
        <v>230</v>
      </c>
      <c r="D126" s="330" t="s">
        <v>231</v>
      </c>
      <c r="E126" s="330"/>
      <c r="F126" s="330"/>
      <c r="G126" s="330"/>
      <c r="H126" s="330"/>
      <c r="I126" s="330"/>
      <c r="J126" s="330"/>
      <c r="K126" s="330"/>
      <c r="L126" s="330"/>
      <c r="M126" s="330"/>
      <c r="N126" s="330"/>
      <c r="P126" s="312"/>
      <c r="Q126" s="313"/>
    </row>
    <row r="127" spans="3:21" s="28" customFormat="1" x14ac:dyDescent="0.2">
      <c r="C127" s="306"/>
      <c r="D127" s="307"/>
      <c r="E127" s="328"/>
      <c r="F127" s="328"/>
      <c r="G127" s="328"/>
      <c r="H127" s="328"/>
      <c r="I127" s="328"/>
      <c r="J127" s="328"/>
      <c r="K127" s="328"/>
      <c r="L127" s="328"/>
      <c r="M127" s="328"/>
      <c r="N127" s="328"/>
      <c r="O127" s="328"/>
      <c r="P127" s="312"/>
      <c r="Q127" s="313"/>
    </row>
    <row r="128" spans="3:21" s="28" customFormat="1" ht="12.75" customHeight="1" x14ac:dyDescent="0.2">
      <c r="C128" s="311"/>
      <c r="D128" s="261" t="s">
        <v>229</v>
      </c>
      <c r="E128" s="261"/>
      <c r="F128" s="261"/>
      <c r="G128" s="261"/>
      <c r="H128" s="261"/>
      <c r="I128" s="261"/>
      <c r="J128" s="261"/>
      <c r="K128" s="261"/>
      <c r="L128" s="261"/>
      <c r="M128" s="261"/>
      <c r="N128" s="261"/>
      <c r="P128" s="312"/>
      <c r="Q128" s="313"/>
    </row>
    <row r="129" spans="3:17" s="28" customFormat="1" x14ac:dyDescent="0.2">
      <c r="C129" s="311"/>
      <c r="D129" s="312"/>
      <c r="E129" s="253"/>
      <c r="F129" s="253"/>
      <c r="G129" s="253"/>
      <c r="H129" s="253"/>
      <c r="I129" s="253"/>
      <c r="J129" s="253"/>
      <c r="K129" s="253"/>
      <c r="L129" s="253"/>
      <c r="M129" s="253"/>
      <c r="N129" s="253"/>
      <c r="O129" s="253"/>
      <c r="P129" s="312"/>
      <c r="Q129" s="313"/>
    </row>
    <row r="130" spans="3:17" s="28" customFormat="1" ht="27" customHeight="1" x14ac:dyDescent="0.2">
      <c r="C130" s="318" t="s">
        <v>169</v>
      </c>
      <c r="D130" s="413" t="s">
        <v>258</v>
      </c>
      <c r="E130" s="413"/>
      <c r="F130" s="413"/>
      <c r="G130" s="413"/>
      <c r="H130" s="413"/>
      <c r="I130" s="413"/>
      <c r="J130" s="413"/>
      <c r="K130" s="413"/>
      <c r="L130" s="413"/>
      <c r="M130" s="413"/>
      <c r="N130" s="413"/>
      <c r="O130" s="413"/>
      <c r="P130" s="413"/>
      <c r="Q130" s="414"/>
    </row>
    <row r="131" spans="3:17" s="28" customFormat="1" ht="27" customHeight="1" x14ac:dyDescent="0.2">
      <c r="C131" s="412" t="s">
        <v>253</v>
      </c>
      <c r="D131" s="413" t="s">
        <v>261</v>
      </c>
      <c r="E131" s="413"/>
      <c r="F131" s="413"/>
      <c r="G131" s="413"/>
      <c r="H131" s="413"/>
      <c r="I131" s="413"/>
      <c r="J131" s="413"/>
      <c r="K131" s="413"/>
      <c r="L131" s="413"/>
      <c r="M131" s="413"/>
      <c r="N131" s="413"/>
      <c r="O131" s="413"/>
      <c r="P131" s="413"/>
      <c r="Q131" s="414"/>
    </row>
    <row r="132" spans="3:17" s="28" customFormat="1" ht="21.75" customHeight="1" x14ac:dyDescent="0.2">
      <c r="C132" s="412"/>
      <c r="D132" s="447" t="s">
        <v>262</v>
      </c>
      <c r="E132" s="447"/>
      <c r="F132" s="447"/>
      <c r="G132" s="447"/>
      <c r="H132" s="447"/>
      <c r="I132" s="447"/>
      <c r="J132" s="447"/>
      <c r="K132" s="447"/>
      <c r="L132" s="447"/>
      <c r="M132" s="447"/>
      <c r="N132" s="447"/>
      <c r="O132" s="447"/>
      <c r="P132" s="447"/>
      <c r="Q132" s="448"/>
    </row>
    <row r="133" spans="3:17" s="28" customFormat="1" ht="24" customHeight="1" x14ac:dyDescent="0.2">
      <c r="C133" s="314" t="s">
        <v>254</v>
      </c>
      <c r="D133" s="447" t="s">
        <v>680</v>
      </c>
      <c r="E133" s="447"/>
      <c r="F133" s="447"/>
      <c r="G133" s="447"/>
      <c r="H133" s="447"/>
      <c r="I133" s="447"/>
      <c r="J133" s="447"/>
      <c r="K133" s="447"/>
      <c r="L133" s="447"/>
      <c r="M133" s="447"/>
      <c r="N133" s="447"/>
      <c r="O133" s="447"/>
      <c r="P133" s="447"/>
      <c r="Q133" s="448"/>
    </row>
    <row r="134" spans="3:17" s="28" customFormat="1" ht="24" customHeight="1" x14ac:dyDescent="0.2">
      <c r="C134" s="334" t="s">
        <v>285</v>
      </c>
      <c r="D134" s="365"/>
      <c r="E134" s="365"/>
      <c r="F134" s="365"/>
      <c r="G134" s="365"/>
      <c r="H134" s="365"/>
      <c r="I134" s="365"/>
      <c r="J134" s="365"/>
      <c r="K134" s="365"/>
      <c r="L134" s="365"/>
      <c r="M134" s="365"/>
      <c r="N134" s="365"/>
      <c r="O134" s="365"/>
      <c r="P134" s="365"/>
      <c r="Q134" s="368"/>
    </row>
    <row r="135" spans="3:17" s="28" customFormat="1" ht="56.25" customHeight="1" x14ac:dyDescent="0.2">
      <c r="C135" s="415" t="s">
        <v>542</v>
      </c>
      <c r="D135" s="416"/>
      <c r="E135" s="416"/>
      <c r="F135" s="416"/>
      <c r="G135" s="416"/>
      <c r="H135" s="416"/>
      <c r="I135" s="416"/>
      <c r="J135" s="416"/>
      <c r="K135" s="416"/>
      <c r="L135" s="416"/>
      <c r="M135" s="416"/>
      <c r="N135" s="416"/>
      <c r="O135" s="416"/>
      <c r="P135" s="416"/>
      <c r="Q135" s="417"/>
    </row>
    <row r="136" spans="3:17" s="28" customFormat="1" x14ac:dyDescent="0.2"/>
    <row r="137" spans="3:17" s="28" customFormat="1" x14ac:dyDescent="0.2"/>
    <row r="138" spans="3:17" s="28" customFormat="1" ht="15" customHeight="1" x14ac:dyDescent="0.2">
      <c r="C138" s="410" t="s">
        <v>228</v>
      </c>
      <c r="D138" s="411"/>
      <c r="E138" s="411"/>
      <c r="F138" s="411"/>
      <c r="G138" s="411"/>
      <c r="H138" s="411"/>
      <c r="I138" s="411"/>
      <c r="J138" s="411"/>
      <c r="K138" s="411"/>
      <c r="L138" s="411"/>
      <c r="M138" s="411"/>
    </row>
    <row r="139" spans="3:17" s="28" customFormat="1" ht="41.25" customHeight="1" x14ac:dyDescent="0.2">
      <c r="C139" s="410" t="s">
        <v>125</v>
      </c>
      <c r="D139" s="411"/>
      <c r="E139" s="411"/>
      <c r="F139" s="411"/>
      <c r="G139" s="411"/>
      <c r="H139" s="411"/>
      <c r="I139" s="411"/>
      <c r="J139" s="411"/>
      <c r="K139" s="411"/>
      <c r="L139" s="411"/>
      <c r="M139" s="411"/>
    </row>
    <row r="140" spans="3:17" s="28" customFormat="1" ht="30" customHeight="1" x14ac:dyDescent="0.2">
      <c r="C140" s="422" t="s">
        <v>464</v>
      </c>
      <c r="D140" s="423" t="s">
        <v>167</v>
      </c>
      <c r="E140" s="422" t="s">
        <v>7</v>
      </c>
      <c r="F140" s="422" t="s">
        <v>0</v>
      </c>
      <c r="G140" s="458"/>
      <c r="H140" s="460" t="s">
        <v>5</v>
      </c>
      <c r="I140" s="462"/>
      <c r="J140" s="439" t="s">
        <v>6</v>
      </c>
      <c r="K140" s="435"/>
      <c r="L140" s="432" t="s">
        <v>178</v>
      </c>
      <c r="M140" s="433"/>
    </row>
    <row r="141" spans="3:17" s="28" customFormat="1" ht="30" customHeight="1" x14ac:dyDescent="0.2">
      <c r="C141" s="422"/>
      <c r="D141" s="424"/>
      <c r="E141" s="422"/>
      <c r="F141" s="422"/>
      <c r="G141" s="458"/>
      <c r="H141" s="434" t="s">
        <v>92</v>
      </c>
      <c r="I141" s="418" t="s">
        <v>95</v>
      </c>
      <c r="J141" s="435" t="s">
        <v>96</v>
      </c>
      <c r="K141" s="436" t="s">
        <v>176</v>
      </c>
      <c r="L141" s="420" t="s">
        <v>179</v>
      </c>
      <c r="M141" s="420" t="s">
        <v>180</v>
      </c>
    </row>
    <row r="142" spans="3:17" s="28" customFormat="1" ht="30" customHeight="1" x14ac:dyDescent="0.2">
      <c r="C142" s="422"/>
      <c r="D142" s="424"/>
      <c r="E142" s="422"/>
      <c r="F142" s="422"/>
      <c r="G142" s="458"/>
      <c r="H142" s="434"/>
      <c r="I142" s="419"/>
      <c r="J142" s="435"/>
      <c r="K142" s="436"/>
      <c r="L142" s="421"/>
      <c r="M142" s="421"/>
    </row>
    <row r="143" spans="3:17" s="28" customFormat="1" ht="30" customHeight="1" x14ac:dyDescent="0.2">
      <c r="C143" s="422"/>
      <c r="D143" s="425"/>
      <c r="E143" s="422"/>
      <c r="F143" s="177" t="s">
        <v>8</v>
      </c>
      <c r="G143" s="140" t="s">
        <v>9</v>
      </c>
      <c r="H143" s="90" t="s">
        <v>89</v>
      </c>
      <c r="I143" s="4" t="s">
        <v>10</v>
      </c>
      <c r="J143" s="145" t="s">
        <v>89</v>
      </c>
      <c r="K143" s="5" t="s">
        <v>10</v>
      </c>
      <c r="L143" s="117" t="s">
        <v>89</v>
      </c>
      <c r="M143" s="118" t="s">
        <v>10</v>
      </c>
      <c r="N143" s="19"/>
      <c r="O143" s="19"/>
    </row>
    <row r="144" spans="3:17" s="28" customFormat="1" x14ac:dyDescent="0.2">
      <c r="C144" s="407" t="s">
        <v>32</v>
      </c>
      <c r="D144" s="351" t="s">
        <v>507</v>
      </c>
      <c r="E144" s="80" t="s">
        <v>33</v>
      </c>
      <c r="F144" s="85">
        <v>1.095</v>
      </c>
      <c r="G144" s="86" t="s">
        <v>13</v>
      </c>
      <c r="H144" s="75">
        <v>0.11</v>
      </c>
      <c r="I144" s="76">
        <v>0.04</v>
      </c>
      <c r="J144" s="45"/>
      <c r="K144" s="22">
        <v>1.5049999999999999E-2</v>
      </c>
      <c r="L144" s="45"/>
      <c r="M144" s="25">
        <v>1.0120000000000001E-2</v>
      </c>
    </row>
    <row r="145" spans="3:21" s="28" customFormat="1" x14ac:dyDescent="0.2">
      <c r="C145" s="408"/>
      <c r="D145" s="352" t="s">
        <v>508</v>
      </c>
      <c r="E145" s="81" t="s">
        <v>34</v>
      </c>
      <c r="F145" s="87">
        <v>1.095</v>
      </c>
      <c r="G145" s="88" t="s">
        <v>13</v>
      </c>
      <c r="H145" s="75">
        <v>0.11</v>
      </c>
      <c r="I145" s="76">
        <v>0.04</v>
      </c>
      <c r="J145" s="46"/>
      <c r="K145" s="23">
        <v>1.804E-2</v>
      </c>
      <c r="L145" s="46"/>
      <c r="M145" s="25">
        <v>1.0120000000000001E-2</v>
      </c>
    </row>
    <row r="146" spans="3:21" s="28" customFormat="1" x14ac:dyDescent="0.2">
      <c r="C146" s="408"/>
      <c r="D146" s="352" t="s">
        <v>509</v>
      </c>
      <c r="E146" s="81" t="s">
        <v>35</v>
      </c>
      <c r="F146" s="87">
        <v>1.095</v>
      </c>
      <c r="G146" s="88" t="s">
        <v>13</v>
      </c>
      <c r="H146" s="75">
        <v>0.11</v>
      </c>
      <c r="I146" s="76">
        <v>0.04</v>
      </c>
      <c r="J146" s="46"/>
      <c r="K146" s="23">
        <v>2.2589999999999999E-2</v>
      </c>
      <c r="L146" s="46"/>
      <c r="M146" s="25">
        <v>1.0120000000000001E-2</v>
      </c>
    </row>
    <row r="147" spans="3:21" s="28" customFormat="1" x14ac:dyDescent="0.2">
      <c r="C147" s="408"/>
      <c r="D147" s="352" t="s">
        <v>510</v>
      </c>
      <c r="E147" s="81" t="s">
        <v>36</v>
      </c>
      <c r="F147" s="87">
        <v>1.1850000000000001</v>
      </c>
      <c r="G147" s="134" t="s">
        <v>14</v>
      </c>
      <c r="H147" s="75">
        <v>0.13800000000000001</v>
      </c>
      <c r="I147" s="76">
        <v>0.08</v>
      </c>
      <c r="J147" s="46"/>
      <c r="K147" s="23">
        <v>1.5049999999999999E-2</v>
      </c>
      <c r="L147" s="46"/>
      <c r="M147" s="25">
        <v>1.0120000000000001E-2</v>
      </c>
    </row>
    <row r="148" spans="3:21" s="28" customFormat="1" x14ac:dyDescent="0.2">
      <c r="C148" s="408"/>
      <c r="D148" s="352" t="s">
        <v>511</v>
      </c>
      <c r="E148" s="81" t="s">
        <v>37</v>
      </c>
      <c r="F148" s="87">
        <v>1.1850000000000001</v>
      </c>
      <c r="G148" s="134" t="s">
        <v>14</v>
      </c>
      <c r="H148" s="75">
        <v>0.13800000000000001</v>
      </c>
      <c r="I148" s="76">
        <v>0.08</v>
      </c>
      <c r="J148" s="46"/>
      <c r="K148" s="23">
        <v>1.804E-2</v>
      </c>
      <c r="L148" s="46"/>
      <c r="M148" s="25">
        <v>1.0120000000000001E-2</v>
      </c>
      <c r="P148" s="19"/>
      <c r="Q148" s="19"/>
      <c r="R148" s="19"/>
      <c r="S148" s="19"/>
      <c r="T148" s="19"/>
      <c r="U148" s="19"/>
    </row>
    <row r="149" spans="3:21" s="28" customFormat="1" x14ac:dyDescent="0.2">
      <c r="C149" s="408"/>
      <c r="D149" s="352" t="s">
        <v>512</v>
      </c>
      <c r="E149" s="81" t="s">
        <v>38</v>
      </c>
      <c r="F149" s="87">
        <v>1.1850000000000001</v>
      </c>
      <c r="G149" s="134" t="s">
        <v>14</v>
      </c>
      <c r="H149" s="75">
        <v>0.13800000000000001</v>
      </c>
      <c r="I149" s="76">
        <v>0.08</v>
      </c>
      <c r="J149" s="46"/>
      <c r="K149" s="23">
        <v>2.2589999999999999E-2</v>
      </c>
      <c r="L149" s="46"/>
      <c r="M149" s="25">
        <v>1.0120000000000001E-2</v>
      </c>
    </row>
    <row r="150" spans="3:21" s="28" customFormat="1" x14ac:dyDescent="0.2">
      <c r="C150" s="409"/>
      <c r="D150" s="264" t="s">
        <v>513</v>
      </c>
      <c r="E150" s="82" t="s">
        <v>206</v>
      </c>
      <c r="F150" s="89">
        <v>1.069</v>
      </c>
      <c r="G150" s="135" t="s">
        <v>12</v>
      </c>
      <c r="H150" s="77">
        <v>0.14799999999999999</v>
      </c>
      <c r="I150" s="78">
        <v>0.04</v>
      </c>
      <c r="J150" s="47"/>
      <c r="K150" s="24">
        <v>7.2999999999999996E-4</v>
      </c>
      <c r="L150" s="47"/>
      <c r="M150" s="24">
        <v>1.0120000000000001E-2</v>
      </c>
    </row>
    <row r="151" spans="3:21" s="28" customFormat="1" x14ac:dyDescent="0.2">
      <c r="C151" s="407" t="s">
        <v>1</v>
      </c>
      <c r="D151" s="351" t="s">
        <v>515</v>
      </c>
      <c r="E151" s="80" t="s">
        <v>39</v>
      </c>
      <c r="F151" s="85">
        <v>1.095</v>
      </c>
      <c r="G151" s="133" t="s">
        <v>13</v>
      </c>
      <c r="H151" s="159">
        <v>0.11</v>
      </c>
      <c r="I151" s="160">
        <v>4.4999999999999998E-2</v>
      </c>
      <c r="J151" s="45"/>
      <c r="K151" s="25">
        <v>1.5049999999999999E-2</v>
      </c>
      <c r="L151" s="45"/>
      <c r="M151" s="25">
        <v>1.0120000000000001E-2</v>
      </c>
    </row>
    <row r="152" spans="3:21" s="28" customFormat="1" x14ac:dyDescent="0.2">
      <c r="C152" s="408"/>
      <c r="D152" s="352" t="s">
        <v>516</v>
      </c>
      <c r="E152" s="81" t="s">
        <v>40</v>
      </c>
      <c r="F152" s="87">
        <v>1.095</v>
      </c>
      <c r="G152" s="134" t="s">
        <v>13</v>
      </c>
      <c r="H152" s="75">
        <v>0.11</v>
      </c>
      <c r="I152" s="76">
        <v>4.4999999999999998E-2</v>
      </c>
      <c r="J152" s="46"/>
      <c r="K152" s="23">
        <v>1.804E-2</v>
      </c>
      <c r="L152" s="46"/>
      <c r="M152" s="25">
        <v>1.0120000000000001E-2</v>
      </c>
    </row>
    <row r="153" spans="3:21" s="28" customFormat="1" x14ac:dyDescent="0.2">
      <c r="C153" s="408"/>
      <c r="D153" s="352" t="s">
        <v>517</v>
      </c>
      <c r="E153" s="81" t="s">
        <v>41</v>
      </c>
      <c r="F153" s="87">
        <v>1.095</v>
      </c>
      <c r="G153" s="134" t="s">
        <v>13</v>
      </c>
      <c r="H153" s="75">
        <v>0.11</v>
      </c>
      <c r="I153" s="76">
        <v>4.4999999999999998E-2</v>
      </c>
      <c r="J153" s="46"/>
      <c r="K153" s="23">
        <v>2.2589999999999999E-2</v>
      </c>
      <c r="L153" s="46"/>
      <c r="M153" s="25">
        <v>1.0120000000000001E-2</v>
      </c>
    </row>
    <row r="154" spans="3:21" s="28" customFormat="1" x14ac:dyDescent="0.2">
      <c r="C154" s="408"/>
      <c r="D154" s="352" t="s">
        <v>518</v>
      </c>
      <c r="E154" s="81" t="s">
        <v>42</v>
      </c>
      <c r="F154" s="87">
        <v>1.1850000000000001</v>
      </c>
      <c r="G154" s="134" t="s">
        <v>14</v>
      </c>
      <c r="H154" s="75">
        <v>0.13800000000000001</v>
      </c>
      <c r="I154" s="76">
        <v>0.105</v>
      </c>
      <c r="J154" s="46"/>
      <c r="K154" s="23">
        <v>1.5049999999999999E-2</v>
      </c>
      <c r="L154" s="46"/>
      <c r="M154" s="25">
        <v>1.0120000000000001E-2</v>
      </c>
    </row>
    <row r="155" spans="3:21" s="28" customFormat="1" x14ac:dyDescent="0.2">
      <c r="C155" s="408"/>
      <c r="D155" s="352" t="s">
        <v>519</v>
      </c>
      <c r="E155" s="81" t="s">
        <v>43</v>
      </c>
      <c r="F155" s="87">
        <v>1.1850000000000001</v>
      </c>
      <c r="G155" s="134" t="s">
        <v>14</v>
      </c>
      <c r="H155" s="75">
        <v>0.13800000000000001</v>
      </c>
      <c r="I155" s="76">
        <v>0.105</v>
      </c>
      <c r="J155" s="46"/>
      <c r="K155" s="23">
        <v>1.804E-2</v>
      </c>
      <c r="L155" s="46"/>
      <c r="M155" s="25">
        <v>1.0120000000000001E-2</v>
      </c>
    </row>
    <row r="156" spans="3:21" s="28" customFormat="1" x14ac:dyDescent="0.2">
      <c r="C156" s="408"/>
      <c r="D156" s="352" t="s">
        <v>520</v>
      </c>
      <c r="E156" s="81" t="s">
        <v>44</v>
      </c>
      <c r="F156" s="87">
        <v>1.1850000000000001</v>
      </c>
      <c r="G156" s="134" t="s">
        <v>14</v>
      </c>
      <c r="H156" s="75">
        <v>0.13800000000000001</v>
      </c>
      <c r="I156" s="76">
        <v>0.105</v>
      </c>
      <c r="J156" s="46"/>
      <c r="K156" s="23">
        <v>2.2589999999999999E-2</v>
      </c>
      <c r="L156" s="46"/>
      <c r="M156" s="25">
        <v>1.0120000000000001E-2</v>
      </c>
    </row>
    <row r="157" spans="3:21" s="28" customFormat="1" x14ac:dyDescent="0.2">
      <c r="C157" s="409"/>
      <c r="D157" s="264" t="s">
        <v>514</v>
      </c>
      <c r="E157" s="82" t="s">
        <v>207</v>
      </c>
      <c r="F157" s="89">
        <v>1.069</v>
      </c>
      <c r="G157" s="135" t="s">
        <v>12</v>
      </c>
      <c r="H157" s="77">
        <v>0.14799999999999999</v>
      </c>
      <c r="I157" s="78">
        <v>4.4999999999999998E-2</v>
      </c>
      <c r="J157" s="47"/>
      <c r="K157" s="24">
        <v>7.2999999999999996E-4</v>
      </c>
      <c r="L157" s="47"/>
      <c r="M157" s="24">
        <v>1.0120000000000001E-2</v>
      </c>
    </row>
    <row r="158" spans="3:21" s="28" customFormat="1" x14ac:dyDescent="0.2"/>
    <row r="159" spans="3:21" s="28" customFormat="1" x14ac:dyDescent="0.2">
      <c r="C159" s="304" t="s">
        <v>224</v>
      </c>
      <c r="D159" s="315"/>
      <c r="E159" s="315"/>
      <c r="F159" s="315"/>
      <c r="G159" s="315"/>
      <c r="H159" s="315"/>
      <c r="I159" s="315"/>
      <c r="J159" s="315"/>
      <c r="K159" s="315"/>
      <c r="L159" s="315"/>
      <c r="M159" s="316"/>
    </row>
    <row r="160" spans="3:21" s="28" customFormat="1" ht="23.25" customHeight="1" x14ac:dyDescent="0.2">
      <c r="C160" s="334" t="s">
        <v>169</v>
      </c>
      <c r="D160" s="362"/>
      <c r="E160" s="338"/>
      <c r="F160" s="338"/>
      <c r="G160" s="338"/>
      <c r="H160" s="338"/>
      <c r="I160" s="338"/>
      <c r="J160" s="338"/>
      <c r="K160" s="338"/>
      <c r="L160" s="338"/>
      <c r="M160" s="339"/>
    </row>
    <row r="161" spans="3:13" s="28" customFormat="1" ht="19.5" customHeight="1" x14ac:dyDescent="0.2">
      <c r="C161" s="412" t="s">
        <v>271</v>
      </c>
      <c r="D161" s="413"/>
      <c r="E161" s="413"/>
      <c r="F161" s="413"/>
      <c r="G161" s="413"/>
      <c r="H161" s="413"/>
      <c r="I161" s="413"/>
      <c r="J161" s="413"/>
      <c r="K161" s="413"/>
      <c r="L161" s="413"/>
      <c r="M161" s="414"/>
    </row>
    <row r="162" spans="3:13" s="28" customFormat="1" ht="23.25" customHeight="1" x14ac:dyDescent="0.2">
      <c r="C162" s="334" t="s">
        <v>285</v>
      </c>
      <c r="D162" s="342"/>
      <c r="E162" s="342"/>
      <c r="F162" s="342"/>
      <c r="G162" s="342"/>
      <c r="H162" s="342"/>
      <c r="I162" s="342"/>
      <c r="J162" s="342"/>
      <c r="K162" s="342"/>
      <c r="L162" s="342"/>
      <c r="M162" s="343"/>
    </row>
    <row r="163" spans="3:13" s="28" customFormat="1" ht="70.5" customHeight="1" x14ac:dyDescent="0.2">
      <c r="C163" s="415" t="s">
        <v>448</v>
      </c>
      <c r="D163" s="416"/>
      <c r="E163" s="416"/>
      <c r="F163" s="416"/>
      <c r="G163" s="416"/>
      <c r="H163" s="416"/>
      <c r="I163" s="416"/>
      <c r="J163" s="416"/>
      <c r="K163" s="416"/>
      <c r="L163" s="416"/>
      <c r="M163" s="417"/>
    </row>
    <row r="164" spans="3:13" s="28" customFormat="1" x14ac:dyDescent="0.2"/>
    <row r="165" spans="3:13" s="28" customFormat="1" x14ac:dyDescent="0.2"/>
    <row r="166" spans="3:13" s="28" customFormat="1" x14ac:dyDescent="0.2"/>
    <row r="167" spans="3:13" s="28" customFormat="1" x14ac:dyDescent="0.2"/>
    <row r="168" spans="3:13" s="28" customFormat="1" x14ac:dyDescent="0.2"/>
    <row r="169" spans="3:13" s="28" customFormat="1" x14ac:dyDescent="0.2"/>
    <row r="170" spans="3:13" s="28" customFormat="1" x14ac:dyDescent="0.2"/>
    <row r="171" spans="3:13" s="28" customFormat="1" x14ac:dyDescent="0.2"/>
    <row r="172" spans="3:13" s="28" customFormat="1" x14ac:dyDescent="0.2"/>
    <row r="173" spans="3:13" s="28" customFormat="1" x14ac:dyDescent="0.2"/>
    <row r="174" spans="3:13" s="28" customFormat="1" x14ac:dyDescent="0.2"/>
    <row r="175" spans="3:13" s="28" customFormat="1" x14ac:dyDescent="0.2"/>
    <row r="176" spans="3:13" s="28" customFormat="1" x14ac:dyDescent="0.2"/>
    <row r="177" s="28" customFormat="1" x14ac:dyDescent="0.2"/>
    <row r="178" s="28" customFormat="1" x14ac:dyDescent="0.2"/>
    <row r="179" s="28" customFormat="1" x14ac:dyDescent="0.2"/>
    <row r="180" s="28" customFormat="1" x14ac:dyDescent="0.2"/>
    <row r="181" s="28" customFormat="1" x14ac:dyDescent="0.2"/>
    <row r="182" s="28" customFormat="1" x14ac:dyDescent="0.2"/>
    <row r="183" s="28" customFormat="1" x14ac:dyDescent="0.2"/>
    <row r="184" s="28" customFormat="1" x14ac:dyDescent="0.2"/>
    <row r="185" s="28" customFormat="1" x14ac:dyDescent="0.2"/>
    <row r="186" s="28" customFormat="1" x14ac:dyDescent="0.2"/>
    <row r="187" s="28" customFormat="1" x14ac:dyDescent="0.2"/>
    <row r="188" s="28" customFormat="1" x14ac:dyDescent="0.2"/>
    <row r="189" s="28" customFormat="1" x14ac:dyDescent="0.2"/>
    <row r="190" s="28" customFormat="1" x14ac:dyDescent="0.2"/>
    <row r="191" s="28" customFormat="1" x14ac:dyDescent="0.2"/>
    <row r="192" s="28" customFormat="1" x14ac:dyDescent="0.2"/>
    <row r="193" s="28" customFormat="1" x14ac:dyDescent="0.2"/>
    <row r="194" s="28" customFormat="1" x14ac:dyDescent="0.2"/>
    <row r="195" s="28" customFormat="1" x14ac:dyDescent="0.2"/>
    <row r="196" s="28" customFormat="1" x14ac:dyDescent="0.2"/>
    <row r="197" s="28" customFormat="1" x14ac:dyDescent="0.2"/>
    <row r="198" s="28" customFormat="1" x14ac:dyDescent="0.2"/>
    <row r="199" s="28" customFormat="1" x14ac:dyDescent="0.2"/>
    <row r="200" s="28" customFormat="1" x14ac:dyDescent="0.2"/>
    <row r="201" s="28" customFormat="1" x14ac:dyDescent="0.2"/>
    <row r="202" s="28" customFormat="1" x14ac:dyDescent="0.2"/>
    <row r="203" s="28" customFormat="1" x14ac:dyDescent="0.2"/>
    <row r="204" s="28" customFormat="1" x14ac:dyDescent="0.2"/>
    <row r="205" s="28" customFormat="1" x14ac:dyDescent="0.2"/>
    <row r="206" s="28" customFormat="1" x14ac:dyDescent="0.2"/>
    <row r="207" s="28" customFormat="1" x14ac:dyDescent="0.2"/>
    <row r="208" s="28" customFormat="1" x14ac:dyDescent="0.2"/>
    <row r="209" s="28" customFormat="1" x14ac:dyDescent="0.2"/>
    <row r="210" s="28" customFormat="1" x14ac:dyDescent="0.2"/>
    <row r="211" s="28" customFormat="1" x14ac:dyDescent="0.2"/>
    <row r="212" s="28" customFormat="1" x14ac:dyDescent="0.2"/>
    <row r="213" s="28" customFormat="1" x14ac:dyDescent="0.2"/>
    <row r="214" s="28" customFormat="1" x14ac:dyDescent="0.2"/>
    <row r="215" s="28" customFormat="1" x14ac:dyDescent="0.2"/>
    <row r="216" s="28" customFormat="1" x14ac:dyDescent="0.2"/>
    <row r="217" s="28" customFormat="1" x14ac:dyDescent="0.2"/>
    <row r="218" s="28" customFormat="1" x14ac:dyDescent="0.2"/>
    <row r="219" s="28" customFormat="1" x14ac:dyDescent="0.2"/>
    <row r="220" s="28" customFormat="1" x14ac:dyDescent="0.2"/>
    <row r="221" s="28" customFormat="1" x14ac:dyDescent="0.2"/>
    <row r="222" s="28" customFormat="1" x14ac:dyDescent="0.2"/>
    <row r="223" s="28" customFormat="1" x14ac:dyDescent="0.2"/>
    <row r="224" s="28" customFormat="1" x14ac:dyDescent="0.2"/>
    <row r="225" s="28" customFormat="1" x14ac:dyDescent="0.2"/>
    <row r="226" s="28" customFormat="1" x14ac:dyDescent="0.2"/>
    <row r="227" s="28" customFormat="1" x14ac:dyDescent="0.2"/>
    <row r="228" s="28" customFormat="1" x14ac:dyDescent="0.2"/>
    <row r="229" s="28" customFormat="1" x14ac:dyDescent="0.2"/>
    <row r="230" s="28" customFormat="1" x14ac:dyDescent="0.2"/>
    <row r="231" s="28" customFormat="1" x14ac:dyDescent="0.2"/>
    <row r="232" s="28" customFormat="1" x14ac:dyDescent="0.2"/>
    <row r="233" s="28" customFormat="1" x14ac:dyDescent="0.2"/>
    <row r="234" s="28" customFormat="1" x14ac:dyDescent="0.2"/>
    <row r="235" s="28" customFormat="1" x14ac:dyDescent="0.2"/>
    <row r="236" s="28" customFormat="1" x14ac:dyDescent="0.2"/>
    <row r="237" s="28" customFormat="1" x14ac:dyDescent="0.2"/>
    <row r="238" s="28" customFormat="1" x14ac:dyDescent="0.2"/>
    <row r="239" s="28" customFormat="1" x14ac:dyDescent="0.2"/>
    <row r="240" s="28" customFormat="1" x14ac:dyDescent="0.2"/>
    <row r="241" s="28" customFormat="1" x14ac:dyDescent="0.2"/>
    <row r="242" s="28" customFormat="1" x14ac:dyDescent="0.2"/>
    <row r="243" s="28" customFormat="1" x14ac:dyDescent="0.2"/>
    <row r="244" s="28" customFormat="1" x14ac:dyDescent="0.2"/>
    <row r="245" s="28" customFormat="1" x14ac:dyDescent="0.2"/>
    <row r="246" s="28" customFormat="1" x14ac:dyDescent="0.2"/>
    <row r="247" s="28" customFormat="1" x14ac:dyDescent="0.2"/>
    <row r="248" s="28" customFormat="1" x14ac:dyDescent="0.2"/>
    <row r="249" s="28" customFormat="1" x14ac:dyDescent="0.2"/>
    <row r="250" s="28" customFormat="1" x14ac:dyDescent="0.2"/>
    <row r="251" s="28" customFormat="1" x14ac:dyDescent="0.2"/>
    <row r="252" s="28" customFormat="1" x14ac:dyDescent="0.2"/>
    <row r="253" s="28" customFormat="1" x14ac:dyDescent="0.2"/>
    <row r="254" s="28" customFormat="1" x14ac:dyDescent="0.2"/>
    <row r="255" s="28" customFormat="1" x14ac:dyDescent="0.2"/>
    <row r="256" s="28" customFormat="1" x14ac:dyDescent="0.2"/>
    <row r="257" s="28" customFormat="1" x14ac:dyDescent="0.2"/>
    <row r="258" s="28" customFormat="1" x14ac:dyDescent="0.2"/>
    <row r="259" s="28" customFormat="1" x14ac:dyDescent="0.2"/>
    <row r="260" s="28" customFormat="1" x14ac:dyDescent="0.2"/>
    <row r="261" s="28" customFormat="1" x14ac:dyDescent="0.2"/>
    <row r="262" s="28" customFormat="1" x14ac:dyDescent="0.2"/>
    <row r="263" s="28" customFormat="1" x14ac:dyDescent="0.2"/>
    <row r="264" s="28" customFormat="1" x14ac:dyDescent="0.2"/>
    <row r="265" s="28" customFormat="1" x14ac:dyDescent="0.2"/>
    <row r="266" s="28" customFormat="1" x14ac:dyDescent="0.2"/>
    <row r="267" s="28" customFormat="1" x14ac:dyDescent="0.2"/>
    <row r="268" s="28" customFormat="1" x14ac:dyDescent="0.2"/>
    <row r="269" s="28" customFormat="1" x14ac:dyDescent="0.2"/>
    <row r="270" s="28" customFormat="1" x14ac:dyDescent="0.2"/>
    <row r="271" s="28" customFormat="1" x14ac:dyDescent="0.2"/>
    <row r="272" s="28" customFormat="1" x14ac:dyDescent="0.2"/>
    <row r="273" s="28" customFormat="1" x14ac:dyDescent="0.2"/>
    <row r="274" s="28" customFormat="1" x14ac:dyDescent="0.2"/>
    <row r="275" s="28" customFormat="1" x14ac:dyDescent="0.2"/>
    <row r="276" s="28" customFormat="1" x14ac:dyDescent="0.2"/>
    <row r="277" s="28" customFormat="1" x14ac:dyDescent="0.2"/>
    <row r="278" s="28" customFormat="1" x14ac:dyDescent="0.2"/>
    <row r="279" s="28" customFormat="1" x14ac:dyDescent="0.2"/>
    <row r="280" s="28" customFormat="1" x14ac:dyDescent="0.2"/>
    <row r="281" s="28" customFormat="1" x14ac:dyDescent="0.2"/>
    <row r="282" s="28" customFormat="1" x14ac:dyDescent="0.2"/>
    <row r="283" s="28" customFormat="1" x14ac:dyDescent="0.2"/>
    <row r="284" s="28" customFormat="1" x14ac:dyDescent="0.2"/>
    <row r="285" s="28" customFormat="1" x14ac:dyDescent="0.2"/>
    <row r="286" s="28" customFormat="1" x14ac:dyDescent="0.2"/>
    <row r="287" s="28" customFormat="1" x14ac:dyDescent="0.2"/>
    <row r="288" s="28" customFormat="1" x14ac:dyDescent="0.2"/>
    <row r="289" s="28" customFormat="1" x14ac:dyDescent="0.2"/>
    <row r="290" s="28" customFormat="1" x14ac:dyDescent="0.2"/>
    <row r="291" s="28" customFormat="1" x14ac:dyDescent="0.2"/>
    <row r="292" s="28" customFormat="1" x14ac:dyDescent="0.2"/>
    <row r="293" s="28" customFormat="1" x14ac:dyDescent="0.2"/>
    <row r="294" s="28" customFormat="1" x14ac:dyDescent="0.2"/>
    <row r="295" s="28" customFormat="1" x14ac:dyDescent="0.2"/>
    <row r="296" s="28" customFormat="1" x14ac:dyDescent="0.2"/>
    <row r="297" s="28" customFormat="1" x14ac:dyDescent="0.2"/>
    <row r="298" s="28" customFormat="1" x14ac:dyDescent="0.2"/>
    <row r="299" s="28" customFormat="1" x14ac:dyDescent="0.2"/>
    <row r="300" s="28" customFormat="1" x14ac:dyDescent="0.2"/>
    <row r="301" s="28" customFormat="1" x14ac:dyDescent="0.2"/>
  </sheetData>
  <sheetProtection formatCells="0" formatColumns="0" formatRows="0" insertColumns="0" insertRows="0" insertHyperlinks="0" deleteColumns="0" deleteRows="0" sort="0" autoFilter="0" pivotTables="0"/>
  <customSheetViews>
    <customSheetView guid="{07999215-E707-4069-97E5-2B85A5FC3024}" scale="80" showPageBreaks="1" printArea="1" topLeftCell="AU2">
      <selection activeCell="BJ6" sqref="BJ6:BK6"/>
      <pageMargins left="0.74803149606299213" right="0.74803149606299213" top="0.98425196850393704" bottom="0.98425196850393704" header="0.51181102362204722" footer="0.51181102362204722"/>
      <pageSetup paperSize="9" scale="70" fitToHeight="0" orientation="landscape" r:id="rId1"/>
      <headerFooter alignWithMargins="0">
        <oddHeader>&amp;C&amp;"Arial,Bold"&amp;14&amp;A</oddHeader>
        <oddFooter>&amp;L&amp;F&amp;C&amp;P of &amp;N&amp;R&amp;D  &amp;T</oddFooter>
      </headerFooter>
    </customSheetView>
    <customSheetView guid="{D030C3FE-CD3A-49B5-AF62-7457EF741067}" scale="80" showPageBreaks="1" printArea="1" topLeftCell="AU2">
      <selection activeCell="BJ6" sqref="BJ6:BK6"/>
      <pageMargins left="0.74803149606299213" right="0.74803149606299213" top="0.98425196850393704" bottom="0.98425196850393704" header="0.51181102362204722" footer="0.51181102362204722"/>
      <pageSetup paperSize="9" scale="70" fitToHeight="0" orientation="landscape" r:id="rId2"/>
      <headerFooter alignWithMargins="0">
        <oddHeader>&amp;C&amp;"Arial,Bold"&amp;14&amp;A</oddHeader>
        <oddFooter>&amp;L&amp;F&amp;C&amp;P of &amp;N&amp;R&amp;D  &amp;T</oddFooter>
      </headerFooter>
    </customSheetView>
  </customSheetViews>
  <mergeCells count="93">
    <mergeCell ref="H51:J51"/>
    <mergeCell ref="H52:H53"/>
    <mergeCell ref="I52:J52"/>
    <mergeCell ref="C62:C68"/>
    <mergeCell ref="J89:J90"/>
    <mergeCell ref="C81:N81"/>
    <mergeCell ref="F88:G89"/>
    <mergeCell ref="K89:L89"/>
    <mergeCell ref="L52:L53"/>
    <mergeCell ref="C83:N83"/>
    <mergeCell ref="C79:N79"/>
    <mergeCell ref="C87:Q87"/>
    <mergeCell ref="C86:Q86"/>
    <mergeCell ref="D88:D91"/>
    <mergeCell ref="P88:Q88"/>
    <mergeCell ref="Q89:Q90"/>
    <mergeCell ref="P89:P90"/>
    <mergeCell ref="F140:G142"/>
    <mergeCell ref="H140:I140"/>
    <mergeCell ref="N89:N90"/>
    <mergeCell ref="C99:C105"/>
    <mergeCell ref="M89:M90"/>
    <mergeCell ref="C88:C91"/>
    <mergeCell ref="E88:E91"/>
    <mergeCell ref="H88:I90"/>
    <mergeCell ref="J88:M88"/>
    <mergeCell ref="N88:O88"/>
    <mergeCell ref="D132:Q132"/>
    <mergeCell ref="D133:Q133"/>
    <mergeCell ref="J140:K140"/>
    <mergeCell ref="C92:C98"/>
    <mergeCell ref="O89:O90"/>
    <mergeCell ref="C9:O9"/>
    <mergeCell ref="C51:C54"/>
    <mergeCell ref="E51:E54"/>
    <mergeCell ref="F51:G53"/>
    <mergeCell ref="C55:C61"/>
    <mergeCell ref="N11:O11"/>
    <mergeCell ref="N12:N13"/>
    <mergeCell ref="O12:O13"/>
    <mergeCell ref="C15:C21"/>
    <mergeCell ref="C22:C28"/>
    <mergeCell ref="C11:C14"/>
    <mergeCell ref="E11:E14"/>
    <mergeCell ref="F11:G13"/>
    <mergeCell ref="L11:M11"/>
    <mergeCell ref="M12:M13"/>
    <mergeCell ref="H11:K11"/>
    <mergeCell ref="I12:K12"/>
    <mergeCell ref="H12:H13"/>
    <mergeCell ref="L12:L13"/>
    <mergeCell ref="K51:L51"/>
    <mergeCell ref="C10:O10"/>
    <mergeCell ref="C43:O43"/>
    <mergeCell ref="C49:N49"/>
    <mergeCell ref="C50:N50"/>
    <mergeCell ref="M51:N51"/>
    <mergeCell ref="D11:D14"/>
    <mergeCell ref="D51:D54"/>
    <mergeCell ref="C31:O31"/>
    <mergeCell ref="C45:O45"/>
    <mergeCell ref="M52:M53"/>
    <mergeCell ref="N52:N53"/>
    <mergeCell ref="K52:K53"/>
    <mergeCell ref="C161:M161"/>
    <mergeCell ref="C163:M163"/>
    <mergeCell ref="D140:D143"/>
    <mergeCell ref="D111:Q111"/>
    <mergeCell ref="D112:Q112"/>
    <mergeCell ref="D113:Q113"/>
    <mergeCell ref="D115:Q115"/>
    <mergeCell ref="D117:Q117"/>
    <mergeCell ref="D118:Q118"/>
    <mergeCell ref="D119:Q119"/>
    <mergeCell ref="D120:Q120"/>
    <mergeCell ref="L140:M140"/>
    <mergeCell ref="L141:L142"/>
    <mergeCell ref="H141:H142"/>
    <mergeCell ref="J141:J142"/>
    <mergeCell ref="K141:K142"/>
    <mergeCell ref="C151:C157"/>
    <mergeCell ref="C138:M138"/>
    <mergeCell ref="C139:M139"/>
    <mergeCell ref="C131:C132"/>
    <mergeCell ref="E121:Q121"/>
    <mergeCell ref="C144:C150"/>
    <mergeCell ref="D130:Q130"/>
    <mergeCell ref="D131:Q131"/>
    <mergeCell ref="C135:Q135"/>
    <mergeCell ref="I141:I142"/>
    <mergeCell ref="M141:M142"/>
    <mergeCell ref="C140:C143"/>
    <mergeCell ref="E140:E143"/>
  </mergeCells>
  <conditionalFormatting sqref="L12:M12 K52:L52 AB12 J141:K141 N89:O89">
    <cfRule type="cellIs" dxfId="11" priority="31" stopIfTrue="1" operator="equal">
      <formula>"ERROR"</formula>
    </cfRule>
  </conditionalFormatting>
  <pageMargins left="0.70866141732283472" right="0.70866141732283472" top="0.74803149606299213" bottom="0.74803149606299213" header="0.31496062992125984" footer="0.31496062992125984"/>
  <pageSetup paperSize="9" scale="58" fitToHeight="0" orientation="landscape" r:id="rId3"/>
  <headerFooter alignWithMargins="0">
    <oddHeader>&amp;C&amp;"Arial,Bold"&amp;14&amp;A</oddHeader>
    <oddFooter>&amp;L2016-17 Network Tariff Tables&amp;C&amp;P of &amp;N&amp;R&amp;D  &amp;T</oddFooter>
  </headerFooter>
  <rowBreaks count="5" manualBreakCount="5">
    <brk id="43" max="16383" man="1"/>
    <brk id="46" min="1" max="16" man="1"/>
    <brk id="84" max="16383" man="1"/>
    <brk id="129" max="16383" man="1"/>
    <brk id="136" max="16383" man="1"/>
  </rowBreak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J132"/>
  <sheetViews>
    <sheetView zoomScale="80" zoomScaleNormal="80" workbookViewId="0">
      <selection activeCell="G7" sqref="G7"/>
    </sheetView>
  </sheetViews>
  <sheetFormatPr defaultRowHeight="12.75" x14ac:dyDescent="0.2"/>
  <cols>
    <col min="1" max="1" width="3.7109375" style="148" customWidth="1"/>
    <col min="2" max="2" width="3.7109375" style="149" customWidth="1"/>
    <col min="3" max="3" width="23.28515625" style="149" customWidth="1"/>
    <col min="4" max="4" width="42.140625" style="149" customWidth="1"/>
    <col min="5" max="5" width="12.7109375" style="149" customWidth="1"/>
    <col min="6" max="8" width="11.7109375" style="149" customWidth="1"/>
    <col min="9" max="16" width="13" style="149" customWidth="1"/>
    <col min="17" max="17" width="11.5703125" style="149" customWidth="1"/>
    <col min="18" max="18" width="11.7109375" style="149" customWidth="1"/>
    <col min="19" max="19" width="11.85546875" style="149" customWidth="1"/>
    <col min="20" max="23" width="6.7109375" style="149" customWidth="1"/>
    <col min="24" max="33" width="11.7109375" style="149" customWidth="1"/>
    <col min="34" max="34" width="9.7109375" style="149" customWidth="1"/>
    <col min="35" max="35" width="10.7109375" style="149" bestFit="1" customWidth="1"/>
    <col min="36" max="36" width="11.7109375" style="149" customWidth="1"/>
    <col min="37" max="37" width="9.140625" style="149"/>
    <col min="38" max="38" width="10.5703125" style="149" bestFit="1" customWidth="1"/>
    <col min="39" max="39" width="10.7109375" style="149" bestFit="1" customWidth="1"/>
    <col min="40" max="16384" width="9.140625" style="149"/>
  </cols>
  <sheetData>
    <row r="1" spans="1:62" x14ac:dyDescent="0.2">
      <c r="A1" s="151"/>
      <c r="B1" s="151"/>
      <c r="C1" s="151"/>
      <c r="D1" s="151"/>
      <c r="E1" s="151"/>
      <c r="F1" s="151"/>
      <c r="G1" s="153"/>
      <c r="H1" s="151"/>
      <c r="I1" s="151"/>
      <c r="J1" s="151"/>
      <c r="K1" s="151"/>
      <c r="L1" s="151"/>
      <c r="M1" s="151"/>
      <c r="N1" s="151"/>
      <c r="O1" s="151"/>
      <c r="P1" s="151"/>
      <c r="Q1" s="41"/>
      <c r="R1" s="151"/>
      <c r="S1" s="151"/>
      <c r="T1" s="151"/>
      <c r="U1" s="151"/>
      <c r="V1" s="151"/>
      <c r="W1" s="151"/>
      <c r="X1" s="151"/>
      <c r="Y1" s="151"/>
      <c r="Z1" s="151"/>
      <c r="AA1" s="151"/>
      <c r="AB1" s="151"/>
      <c r="AC1" s="151"/>
      <c r="AD1" s="151"/>
      <c r="AE1" s="151"/>
      <c r="AF1" s="151"/>
      <c r="AG1" s="15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row>
    <row r="2" spans="1:62" x14ac:dyDescent="0.2">
      <c r="A2" s="151"/>
      <c r="B2" s="151"/>
      <c r="C2" s="151"/>
      <c r="D2" s="151"/>
      <c r="E2" s="151"/>
      <c r="F2" s="151"/>
      <c r="G2" s="153"/>
      <c r="H2" s="151"/>
      <c r="I2" s="151"/>
      <c r="J2" s="151"/>
      <c r="K2" s="151"/>
      <c r="L2" s="151"/>
      <c r="M2" s="151"/>
      <c r="N2" s="151"/>
      <c r="O2" s="151"/>
      <c r="P2" s="151"/>
      <c r="Q2" s="41"/>
      <c r="R2" s="151"/>
      <c r="S2" s="151"/>
      <c r="T2" s="151"/>
      <c r="U2" s="151"/>
      <c r="V2" s="151"/>
      <c r="W2" s="151"/>
      <c r="X2" s="151"/>
      <c r="Y2" s="151"/>
      <c r="Z2" s="151"/>
      <c r="AA2" s="151"/>
      <c r="AB2" s="151"/>
      <c r="AC2" s="151"/>
      <c r="AD2" s="151"/>
      <c r="AE2" s="151"/>
      <c r="AF2" s="151"/>
      <c r="AG2" s="15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row>
    <row r="3" spans="1:62" s="194" customFormat="1" ht="18.75" customHeight="1" x14ac:dyDescent="0.2">
      <c r="A3" s="16"/>
      <c r="C3" s="237" t="s">
        <v>589</v>
      </c>
      <c r="F3" s="236"/>
      <c r="G3" s="236"/>
      <c r="H3" s="236"/>
      <c r="I3" s="236"/>
      <c r="J3" s="236"/>
      <c r="K3" s="236"/>
      <c r="L3" s="236"/>
      <c r="M3" s="236"/>
      <c r="N3" s="236"/>
      <c r="O3" s="236"/>
      <c r="P3" s="236"/>
      <c r="Q3" s="236"/>
      <c r="R3" s="236"/>
      <c r="S3" s="236"/>
      <c r="T3" s="236"/>
    </row>
    <row r="4" spans="1:62" s="194" customFormat="1" ht="18.75" customHeight="1" x14ac:dyDescent="0.2">
      <c r="A4" s="16"/>
      <c r="C4" s="238" t="s">
        <v>590</v>
      </c>
      <c r="F4" s="236"/>
      <c r="G4" s="236"/>
      <c r="H4" s="236"/>
      <c r="I4" s="236"/>
      <c r="J4" s="236"/>
      <c r="K4" s="236"/>
      <c r="L4" s="236"/>
      <c r="M4" s="236"/>
      <c r="N4" s="236"/>
      <c r="O4" s="236"/>
      <c r="P4" s="236"/>
      <c r="Q4" s="236"/>
      <c r="R4" s="236"/>
      <c r="S4" s="236"/>
      <c r="T4" s="236"/>
    </row>
    <row r="5" spans="1:62" s="194" customFormat="1" ht="18.75" customHeight="1" x14ac:dyDescent="0.2">
      <c r="A5" s="16"/>
      <c r="C5" s="236"/>
      <c r="D5" s="236"/>
      <c r="E5" s="238"/>
      <c r="F5" s="236"/>
      <c r="G5" s="236"/>
      <c r="H5" s="236"/>
      <c r="I5" s="236"/>
      <c r="J5" s="236"/>
      <c r="K5" s="236"/>
      <c r="L5" s="236"/>
      <c r="M5" s="236"/>
      <c r="N5" s="236"/>
      <c r="O5" s="236"/>
      <c r="P5" s="236"/>
      <c r="Q5" s="236"/>
      <c r="R5" s="236"/>
      <c r="S5" s="236"/>
      <c r="T5" s="236"/>
    </row>
    <row r="6" spans="1:62" s="194" customFormat="1" ht="18.75" customHeight="1" x14ac:dyDescent="0.2">
      <c r="A6" s="16"/>
      <c r="C6" s="236"/>
      <c r="D6" s="236"/>
      <c r="E6" s="238"/>
      <c r="F6" s="236"/>
      <c r="G6" s="236"/>
      <c r="H6" s="236"/>
      <c r="I6" s="236"/>
      <c r="J6" s="236"/>
      <c r="K6" s="236"/>
      <c r="L6" s="236"/>
      <c r="M6" s="236"/>
      <c r="N6" s="236"/>
      <c r="O6" s="236"/>
      <c r="P6" s="236"/>
      <c r="Q6" s="236"/>
      <c r="R6" s="236"/>
      <c r="S6" s="236"/>
      <c r="T6" s="236"/>
    </row>
    <row r="7" spans="1:62" s="194" customFormat="1" ht="18.75" customHeight="1" x14ac:dyDescent="0.25">
      <c r="A7" s="16"/>
      <c r="C7" s="242" t="s">
        <v>281</v>
      </c>
      <c r="D7" s="242"/>
      <c r="E7" s="238"/>
      <c r="F7" s="236"/>
      <c r="G7" s="236"/>
      <c r="H7" s="236"/>
      <c r="I7" s="236"/>
      <c r="J7" s="236"/>
      <c r="K7" s="236"/>
      <c r="L7" s="236"/>
      <c r="M7" s="236"/>
      <c r="N7" s="236"/>
      <c r="O7" s="236"/>
      <c r="P7" s="236"/>
      <c r="Q7" s="236"/>
      <c r="R7" s="236"/>
      <c r="S7" s="236"/>
      <c r="T7" s="236"/>
    </row>
    <row r="8" spans="1:62" s="41" customFormat="1" x14ac:dyDescent="0.2">
      <c r="A8" s="16"/>
      <c r="X8" s="42"/>
      <c r="Y8" s="42"/>
      <c r="Z8" s="42"/>
    </row>
    <row r="9" spans="1:62" s="2" customFormat="1" ht="15" customHeight="1" x14ac:dyDescent="0.2">
      <c r="A9" s="147"/>
      <c r="B9" s="1"/>
      <c r="C9" s="443" t="s">
        <v>228</v>
      </c>
      <c r="D9" s="444"/>
      <c r="E9" s="444"/>
      <c r="F9" s="444"/>
      <c r="G9" s="444"/>
      <c r="H9" s="444"/>
      <c r="I9" s="444"/>
      <c r="J9" s="444"/>
      <c r="K9" s="444"/>
      <c r="L9" s="444"/>
      <c r="M9" s="444"/>
      <c r="N9" s="444"/>
      <c r="O9" s="444"/>
      <c r="P9" s="445"/>
      <c r="Q9" s="41"/>
      <c r="R9" s="194"/>
      <c r="S9" s="194"/>
      <c r="T9" s="194"/>
      <c r="U9" s="194"/>
      <c r="V9" s="194"/>
      <c r="W9" s="194"/>
      <c r="X9" s="194"/>
      <c r="Y9" s="194"/>
      <c r="Z9" s="194"/>
      <c r="AA9" s="194"/>
      <c r="AB9" s="194"/>
      <c r="AC9" s="194"/>
      <c r="AD9" s="194"/>
      <c r="AE9" s="194"/>
      <c r="AF9" s="194"/>
      <c r="AG9" s="194"/>
      <c r="AH9" s="41"/>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row>
    <row r="10" spans="1:62" s="2" customFormat="1" ht="41.25" customHeight="1" x14ac:dyDescent="0.2">
      <c r="A10" s="147"/>
      <c r="B10" s="1"/>
      <c r="C10" s="440" t="str">
        <f>"DEFAULT TARIFFS APPLYING TO STANDARD ASSET CUSTOMERS – LARGE (&gt;100 MWh per annum)
GST Exclusive"</f>
        <v>DEFAULT TARIFFS APPLYING TO STANDARD ASSET CUSTOMERS – LARGE (&gt;100 MWh per annum)
GST Exclusive</v>
      </c>
      <c r="D10" s="441"/>
      <c r="E10" s="441"/>
      <c r="F10" s="441"/>
      <c r="G10" s="441"/>
      <c r="H10" s="441"/>
      <c r="I10" s="441"/>
      <c r="J10" s="441"/>
      <c r="K10" s="441"/>
      <c r="L10" s="441"/>
      <c r="M10" s="441"/>
      <c r="N10" s="441"/>
      <c r="O10" s="441"/>
      <c r="P10" s="442"/>
      <c r="Q10" s="41"/>
      <c r="R10" s="194"/>
      <c r="S10" s="194"/>
      <c r="T10" s="194"/>
      <c r="U10" s="194"/>
      <c r="V10" s="194"/>
      <c r="W10" s="194"/>
      <c r="X10" s="194"/>
      <c r="Y10" s="194"/>
      <c r="Z10" s="194"/>
      <c r="AA10" s="194"/>
      <c r="AB10" s="194"/>
      <c r="AC10" s="194"/>
      <c r="AD10" s="194"/>
      <c r="AE10" s="194"/>
      <c r="AF10" s="194"/>
      <c r="AG10" s="194"/>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row>
    <row r="11" spans="1:62" s="2" customFormat="1" ht="30" customHeight="1" x14ac:dyDescent="0.2">
      <c r="A11" s="147"/>
      <c r="B11" s="1"/>
      <c r="C11" s="423" t="s">
        <v>464</v>
      </c>
      <c r="D11" s="423" t="s">
        <v>167</v>
      </c>
      <c r="E11" s="423" t="s">
        <v>7</v>
      </c>
      <c r="F11" s="423" t="s">
        <v>16</v>
      </c>
      <c r="G11" s="451" t="s">
        <v>0</v>
      </c>
      <c r="H11" s="452"/>
      <c r="I11" s="419" t="s">
        <v>5</v>
      </c>
      <c r="J11" s="419"/>
      <c r="K11" s="419"/>
      <c r="L11" s="450" t="s">
        <v>6</v>
      </c>
      <c r="M11" s="450"/>
      <c r="N11" s="450"/>
      <c r="O11" s="432" t="s">
        <v>178</v>
      </c>
      <c r="P11" s="433"/>
      <c r="Q11" s="41"/>
      <c r="R11" s="194"/>
      <c r="S11" s="194"/>
      <c r="T11" s="194"/>
      <c r="U11" s="194"/>
      <c r="V11" s="194"/>
      <c r="W11" s="194"/>
      <c r="X11" s="194"/>
      <c r="Y11" s="194"/>
      <c r="Z11" s="194"/>
      <c r="AA11" s="194"/>
      <c r="AB11" s="194"/>
      <c r="AC11" s="194"/>
      <c r="AD11" s="194"/>
      <c r="AE11" s="194"/>
      <c r="AF11" s="194"/>
      <c r="AG11" s="194"/>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row>
    <row r="12" spans="1:62" s="2" customFormat="1" ht="30" customHeight="1" x14ac:dyDescent="0.2">
      <c r="A12" s="147"/>
      <c r="B12" s="1"/>
      <c r="C12" s="424"/>
      <c r="D12" s="424"/>
      <c r="E12" s="424"/>
      <c r="F12" s="424"/>
      <c r="G12" s="453"/>
      <c r="H12" s="454"/>
      <c r="I12" s="418" t="s">
        <v>92</v>
      </c>
      <c r="J12" s="418" t="s">
        <v>170</v>
      </c>
      <c r="K12" s="418" t="s">
        <v>95</v>
      </c>
      <c r="L12" s="449" t="s">
        <v>96</v>
      </c>
      <c r="M12" s="449" t="s">
        <v>203</v>
      </c>
      <c r="N12" s="449" t="s">
        <v>98</v>
      </c>
      <c r="O12" s="420" t="s">
        <v>179</v>
      </c>
      <c r="P12" s="420" t="s">
        <v>180</v>
      </c>
      <c r="Q12" s="41"/>
      <c r="R12" s="194"/>
      <c r="S12" s="194"/>
      <c r="T12" s="194"/>
      <c r="U12" s="194"/>
      <c r="V12" s="194"/>
      <c r="W12" s="194"/>
      <c r="X12" s="194"/>
      <c r="Y12" s="194"/>
      <c r="Z12" s="194"/>
      <c r="AA12" s="194"/>
      <c r="AB12" s="194"/>
      <c r="AC12" s="194"/>
      <c r="AD12" s="194"/>
      <c r="AE12" s="194"/>
      <c r="AF12" s="194"/>
      <c r="AG12" s="194"/>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row>
    <row r="13" spans="1:62" s="2" customFormat="1" ht="30" customHeight="1" x14ac:dyDescent="0.2">
      <c r="A13" s="147"/>
      <c r="B13" s="1"/>
      <c r="C13" s="424"/>
      <c r="D13" s="424"/>
      <c r="E13" s="424"/>
      <c r="F13" s="425"/>
      <c r="G13" s="455"/>
      <c r="H13" s="456"/>
      <c r="I13" s="419"/>
      <c r="J13" s="419"/>
      <c r="K13" s="419"/>
      <c r="L13" s="450"/>
      <c r="M13" s="450"/>
      <c r="N13" s="450"/>
      <c r="O13" s="421"/>
      <c r="P13" s="421"/>
      <c r="Q13" s="41"/>
      <c r="R13" s="194"/>
      <c r="S13" s="194"/>
      <c r="T13" s="194"/>
      <c r="U13" s="194"/>
      <c r="V13" s="194"/>
      <c r="W13" s="194"/>
      <c r="X13" s="194"/>
      <c r="Y13" s="194"/>
      <c r="Z13" s="194"/>
      <c r="AA13" s="194"/>
      <c r="AB13" s="194"/>
      <c r="AC13" s="194"/>
      <c r="AD13" s="194"/>
      <c r="AE13" s="194"/>
      <c r="AF13" s="194"/>
      <c r="AG13" s="194"/>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row>
    <row r="14" spans="1:62" s="2" customFormat="1" ht="35.1" customHeight="1" x14ac:dyDescent="0.2">
      <c r="A14" s="147"/>
      <c r="B14" s="1"/>
      <c r="C14" s="425"/>
      <c r="D14" s="425"/>
      <c r="E14" s="425"/>
      <c r="F14" s="143" t="s">
        <v>90</v>
      </c>
      <c r="G14" s="176" t="s">
        <v>8</v>
      </c>
      <c r="H14" s="143" t="s">
        <v>9</v>
      </c>
      <c r="I14" s="90" t="s">
        <v>89</v>
      </c>
      <c r="J14" s="403" t="s">
        <v>672</v>
      </c>
      <c r="K14" s="4" t="s">
        <v>10</v>
      </c>
      <c r="L14" s="114" t="s">
        <v>89</v>
      </c>
      <c r="M14" s="404" t="s">
        <v>672</v>
      </c>
      <c r="N14" s="115" t="s">
        <v>10</v>
      </c>
      <c r="O14" s="119" t="s">
        <v>89</v>
      </c>
      <c r="P14" s="118" t="s">
        <v>10</v>
      </c>
      <c r="Q14" s="41"/>
      <c r="R14" s="194"/>
      <c r="S14" s="194"/>
      <c r="T14" s="194"/>
      <c r="U14" s="194"/>
      <c r="V14" s="194"/>
      <c r="W14" s="194"/>
      <c r="X14" s="194"/>
      <c r="Y14" s="194"/>
      <c r="Z14" s="194"/>
      <c r="AA14" s="194"/>
      <c r="AB14" s="194"/>
      <c r="AC14" s="194"/>
      <c r="AD14" s="194"/>
      <c r="AE14" s="194"/>
      <c r="AF14" s="194"/>
      <c r="AG14" s="194"/>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row>
    <row r="15" spans="1:62" s="2" customFormat="1" x14ac:dyDescent="0.2">
      <c r="A15" s="62"/>
      <c r="B15" s="62"/>
      <c r="C15" s="457" t="s">
        <v>15</v>
      </c>
      <c r="D15" s="351" t="s">
        <v>549</v>
      </c>
      <c r="E15" s="7" t="s">
        <v>64</v>
      </c>
      <c r="F15" s="8">
        <v>400</v>
      </c>
      <c r="G15" s="8">
        <v>1.028</v>
      </c>
      <c r="H15" s="44" t="s">
        <v>11</v>
      </c>
      <c r="I15" s="110">
        <v>350.53</v>
      </c>
      <c r="J15" s="110">
        <v>22</v>
      </c>
      <c r="K15" s="111">
        <v>4.0000000000000001E-3</v>
      </c>
      <c r="L15" s="113">
        <v>20.411000000000001</v>
      </c>
      <c r="M15" s="9">
        <v>1.2569999999999999</v>
      </c>
      <c r="N15" s="103">
        <v>1.5049999999999999E-2</v>
      </c>
      <c r="O15" s="48">
        <v>0.89300000000000002</v>
      </c>
      <c r="P15" s="25">
        <v>1.31E-3</v>
      </c>
      <c r="Q15" s="41"/>
      <c r="R15" s="194"/>
      <c r="S15" s="194"/>
      <c r="T15" s="194"/>
      <c r="U15" s="194"/>
      <c r="V15" s="194"/>
      <c r="W15" s="194"/>
      <c r="X15" s="194"/>
      <c r="Y15" s="194"/>
      <c r="Z15" s="194"/>
      <c r="AA15" s="194"/>
      <c r="AB15" s="194"/>
      <c r="AC15" s="194"/>
      <c r="AD15" s="194"/>
      <c r="AE15" s="194"/>
      <c r="AF15" s="194"/>
      <c r="AG15" s="194"/>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c r="BH15" s="41"/>
      <c r="BI15" s="41"/>
      <c r="BJ15" s="41"/>
    </row>
    <row r="16" spans="1:62" s="2" customFormat="1" ht="14.25" customHeight="1" x14ac:dyDescent="0.2">
      <c r="A16" s="62"/>
      <c r="B16" s="62"/>
      <c r="C16" s="457"/>
      <c r="D16" s="352" t="s">
        <v>550</v>
      </c>
      <c r="E16" s="10" t="s">
        <v>65</v>
      </c>
      <c r="F16" s="11">
        <v>400</v>
      </c>
      <c r="G16" s="11">
        <v>1.028</v>
      </c>
      <c r="H16" s="99" t="s">
        <v>11</v>
      </c>
      <c r="I16" s="110">
        <v>350.53</v>
      </c>
      <c r="J16" s="110">
        <v>22</v>
      </c>
      <c r="K16" s="111">
        <v>4.0000000000000001E-3</v>
      </c>
      <c r="L16" s="101">
        <v>49.972999999999999</v>
      </c>
      <c r="M16" s="12">
        <v>3.4159999999999999</v>
      </c>
      <c r="N16" s="93">
        <v>1.804E-2</v>
      </c>
      <c r="O16" s="48">
        <v>0.89300000000000002</v>
      </c>
      <c r="P16" s="25">
        <v>1.31E-3</v>
      </c>
      <c r="Q16" s="42"/>
      <c r="R16" s="194"/>
      <c r="S16" s="194"/>
      <c r="T16" s="194"/>
      <c r="U16" s="194"/>
      <c r="V16" s="194"/>
      <c r="W16" s="194"/>
      <c r="X16" s="194"/>
      <c r="Y16" s="194"/>
      <c r="Z16" s="194"/>
      <c r="AA16" s="194"/>
      <c r="AB16" s="194"/>
      <c r="AC16" s="194"/>
      <c r="AD16" s="194"/>
      <c r="AE16" s="194"/>
      <c r="AF16" s="194"/>
      <c r="AG16" s="194"/>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c r="BF16" s="41"/>
      <c r="BG16" s="41"/>
      <c r="BH16" s="41"/>
      <c r="BI16" s="41"/>
      <c r="BJ16" s="41"/>
    </row>
    <row r="17" spans="1:62" s="2" customFormat="1" ht="14.25" customHeight="1" x14ac:dyDescent="0.2">
      <c r="A17" s="62"/>
      <c r="B17" s="62"/>
      <c r="C17" s="457"/>
      <c r="D17" s="352" t="s">
        <v>551</v>
      </c>
      <c r="E17" s="10" t="s">
        <v>66</v>
      </c>
      <c r="F17" s="11">
        <v>400</v>
      </c>
      <c r="G17" s="11">
        <v>1.028</v>
      </c>
      <c r="H17" s="99" t="s">
        <v>11</v>
      </c>
      <c r="I17" s="110">
        <v>350.53</v>
      </c>
      <c r="J17" s="110">
        <v>22</v>
      </c>
      <c r="K17" s="111">
        <v>4.0000000000000001E-3</v>
      </c>
      <c r="L17" s="101">
        <v>89.850999999999999</v>
      </c>
      <c r="M17" s="12">
        <v>6.4349999999999996</v>
      </c>
      <c r="N17" s="93">
        <v>2.2589999999999999E-2</v>
      </c>
      <c r="O17" s="48">
        <v>0.89300000000000002</v>
      </c>
      <c r="P17" s="25">
        <v>1.31E-3</v>
      </c>
      <c r="Q17" s="42"/>
      <c r="R17" s="194"/>
      <c r="S17" s="194"/>
      <c r="T17" s="194"/>
      <c r="U17" s="194"/>
      <c r="V17" s="194"/>
      <c r="W17" s="194"/>
      <c r="X17" s="194"/>
      <c r="Y17" s="194"/>
      <c r="Z17" s="194"/>
      <c r="AA17" s="194"/>
      <c r="AB17" s="194"/>
      <c r="AC17" s="194"/>
      <c r="AD17" s="194"/>
      <c r="AE17" s="194"/>
      <c r="AF17" s="194"/>
      <c r="AG17" s="194"/>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c r="BF17" s="41"/>
      <c r="BG17" s="41"/>
      <c r="BH17" s="41"/>
      <c r="BI17" s="41"/>
      <c r="BJ17" s="41"/>
    </row>
    <row r="18" spans="1:62" s="2" customFormat="1" ht="14.25" customHeight="1" x14ac:dyDescent="0.2">
      <c r="A18" s="62"/>
      <c r="B18" s="62"/>
      <c r="C18" s="457"/>
      <c r="D18" s="354" t="s">
        <v>552</v>
      </c>
      <c r="E18" s="121" t="s">
        <v>67</v>
      </c>
      <c r="F18" s="96"/>
      <c r="G18" s="96"/>
      <c r="H18" s="96"/>
      <c r="I18" s="96"/>
      <c r="J18" s="96"/>
      <c r="K18" s="96"/>
      <c r="L18" s="96"/>
      <c r="M18" s="96"/>
      <c r="N18" s="96"/>
      <c r="O18" s="162"/>
      <c r="P18" s="162"/>
      <c r="Q18" s="42"/>
      <c r="R18" s="194"/>
      <c r="S18" s="194"/>
      <c r="T18" s="194"/>
      <c r="U18" s="194"/>
      <c r="V18" s="194"/>
      <c r="W18" s="194"/>
      <c r="X18" s="194"/>
      <c r="Y18" s="194"/>
      <c r="Z18" s="194"/>
      <c r="AA18" s="194"/>
      <c r="AB18" s="194"/>
      <c r="AC18" s="194"/>
      <c r="AD18" s="194"/>
      <c r="AE18" s="194"/>
      <c r="AF18" s="194"/>
      <c r="AG18" s="194"/>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row>
    <row r="19" spans="1:62" s="2" customFormat="1" ht="14.25" customHeight="1" x14ac:dyDescent="0.2">
      <c r="A19" s="62"/>
      <c r="B19" s="62"/>
      <c r="C19" s="457"/>
      <c r="D19" s="354" t="s">
        <v>553</v>
      </c>
      <c r="E19" s="121" t="s">
        <v>68</v>
      </c>
      <c r="F19" s="96"/>
      <c r="G19" s="96"/>
      <c r="H19" s="96"/>
      <c r="I19" s="96"/>
      <c r="J19" s="96"/>
      <c r="K19" s="96"/>
      <c r="L19" s="96"/>
      <c r="M19" s="96"/>
      <c r="N19" s="96"/>
      <c r="O19" s="162"/>
      <c r="P19" s="162"/>
      <c r="Q19" s="42"/>
      <c r="R19" s="194"/>
      <c r="S19" s="194"/>
      <c r="T19" s="194"/>
      <c r="U19" s="194"/>
      <c r="V19" s="194"/>
      <c r="W19" s="194"/>
      <c r="X19" s="194"/>
      <c r="Y19" s="194"/>
      <c r="Z19" s="194"/>
      <c r="AA19" s="194"/>
      <c r="AB19" s="194"/>
      <c r="AC19" s="194"/>
      <c r="AD19" s="194"/>
      <c r="AE19" s="194"/>
      <c r="AF19" s="194"/>
      <c r="AG19" s="194"/>
      <c r="AH19" s="41"/>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row>
    <row r="20" spans="1:62" s="2" customFormat="1" ht="14.25" customHeight="1" x14ac:dyDescent="0.2">
      <c r="A20" s="62"/>
      <c r="B20" s="62"/>
      <c r="C20" s="457"/>
      <c r="D20" s="354" t="s">
        <v>554</v>
      </c>
      <c r="E20" s="121" t="s">
        <v>69</v>
      </c>
      <c r="F20" s="96"/>
      <c r="G20" s="96"/>
      <c r="H20" s="96"/>
      <c r="I20" s="96"/>
      <c r="J20" s="96"/>
      <c r="K20" s="96"/>
      <c r="L20" s="96"/>
      <c r="M20" s="96"/>
      <c r="N20" s="96"/>
      <c r="O20" s="162"/>
      <c r="P20" s="162"/>
      <c r="Q20" s="42"/>
      <c r="R20" s="194"/>
      <c r="S20" s="194"/>
      <c r="T20" s="194"/>
      <c r="U20" s="194"/>
      <c r="V20" s="194"/>
      <c r="W20" s="194"/>
      <c r="X20" s="194"/>
      <c r="Y20" s="194"/>
      <c r="Z20" s="194"/>
      <c r="AA20" s="194"/>
      <c r="AB20" s="194"/>
      <c r="AC20" s="194"/>
      <c r="AD20" s="194"/>
      <c r="AE20" s="194"/>
      <c r="AF20" s="194"/>
      <c r="AG20" s="194"/>
      <c r="AH20" s="41"/>
      <c r="AI20" s="41"/>
      <c r="AJ20" s="41"/>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row>
    <row r="21" spans="1:62" s="2" customFormat="1" ht="14.25" customHeight="1" x14ac:dyDescent="0.2">
      <c r="A21" s="62"/>
      <c r="B21" s="62"/>
      <c r="C21" s="457"/>
      <c r="D21" s="355" t="s">
        <v>555</v>
      </c>
      <c r="E21" s="122" t="s">
        <v>220</v>
      </c>
      <c r="F21" s="97"/>
      <c r="G21" s="97"/>
      <c r="H21" s="97"/>
      <c r="I21" s="97"/>
      <c r="J21" s="97"/>
      <c r="K21" s="97"/>
      <c r="L21" s="97"/>
      <c r="M21" s="97"/>
      <c r="N21" s="97"/>
      <c r="O21" s="163"/>
      <c r="P21" s="163"/>
      <c r="Q21" s="42"/>
      <c r="R21" s="194"/>
      <c r="S21" s="194"/>
      <c r="T21" s="194"/>
      <c r="U21" s="194"/>
      <c r="V21" s="194"/>
      <c r="W21" s="194"/>
      <c r="X21" s="194"/>
      <c r="Y21" s="194"/>
      <c r="Z21" s="194"/>
      <c r="AA21" s="194"/>
      <c r="AB21" s="194"/>
      <c r="AC21" s="194"/>
      <c r="AD21" s="194"/>
      <c r="AE21" s="194"/>
      <c r="AF21" s="194"/>
      <c r="AG21" s="194"/>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row>
    <row r="22" spans="1:62" s="2" customFormat="1" ht="14.25" customHeight="1" x14ac:dyDescent="0.2">
      <c r="A22" s="62"/>
      <c r="B22" s="62"/>
      <c r="C22" s="409" t="s">
        <v>2</v>
      </c>
      <c r="D22" s="351" t="s">
        <v>557</v>
      </c>
      <c r="E22" s="60" t="s">
        <v>70</v>
      </c>
      <c r="F22" s="61">
        <v>400</v>
      </c>
      <c r="G22" s="8">
        <v>1.0740000000000001</v>
      </c>
      <c r="H22" s="109" t="s">
        <v>609</v>
      </c>
      <c r="I22" s="110">
        <v>374.76600000000002</v>
      </c>
      <c r="J22" s="110">
        <v>24</v>
      </c>
      <c r="K22" s="111">
        <v>7.1999999999999998E-3</v>
      </c>
      <c r="L22" s="112">
        <v>20.411000000000001</v>
      </c>
      <c r="M22" s="112">
        <v>1.2569999999999999</v>
      </c>
      <c r="N22" s="120">
        <v>1.5049999999999999E-2</v>
      </c>
      <c r="O22" s="48">
        <v>0.89300000000000002</v>
      </c>
      <c r="P22" s="25">
        <v>1.31E-3</v>
      </c>
      <c r="Q22" s="42"/>
      <c r="R22" s="194"/>
      <c r="S22" s="194"/>
      <c r="T22" s="194"/>
      <c r="U22" s="194"/>
      <c r="V22" s="194"/>
      <c r="W22" s="194"/>
      <c r="X22" s="194"/>
      <c r="Y22" s="194"/>
      <c r="Z22" s="194"/>
      <c r="AA22" s="194"/>
      <c r="AB22" s="194"/>
      <c r="AC22" s="194"/>
      <c r="AD22" s="194"/>
      <c r="AE22" s="194"/>
      <c r="AF22" s="194"/>
      <c r="AG22" s="194"/>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row>
    <row r="23" spans="1:62" s="2" customFormat="1" ht="14.25" customHeight="1" x14ac:dyDescent="0.2">
      <c r="A23" s="62"/>
      <c r="B23" s="62"/>
      <c r="C23" s="457"/>
      <c r="D23" s="352" t="s">
        <v>558</v>
      </c>
      <c r="E23" s="10" t="s">
        <v>71</v>
      </c>
      <c r="F23" s="11">
        <v>400</v>
      </c>
      <c r="G23" s="11">
        <v>1.0740000000000001</v>
      </c>
      <c r="H23" s="99" t="s">
        <v>609</v>
      </c>
      <c r="I23" s="110">
        <v>374.76600000000002</v>
      </c>
      <c r="J23" s="110">
        <v>24</v>
      </c>
      <c r="K23" s="111">
        <v>7.1999999999999998E-3</v>
      </c>
      <c r="L23" s="112">
        <v>49.972999999999999</v>
      </c>
      <c r="M23" s="112">
        <v>3.4159999999999999</v>
      </c>
      <c r="N23" s="120">
        <v>1.804E-2</v>
      </c>
      <c r="O23" s="48">
        <v>0.89300000000000002</v>
      </c>
      <c r="P23" s="25">
        <v>1.31E-3</v>
      </c>
      <c r="Q23" s="42"/>
      <c r="R23" s="194"/>
      <c r="S23" s="194"/>
      <c r="T23" s="194"/>
      <c r="U23" s="194"/>
      <c r="V23" s="194"/>
      <c r="W23" s="194"/>
      <c r="X23" s="194"/>
      <c r="Y23" s="194"/>
      <c r="Z23" s="194"/>
      <c r="AA23" s="194"/>
      <c r="AB23" s="194"/>
      <c r="AC23" s="194"/>
      <c r="AD23" s="194"/>
      <c r="AE23" s="194"/>
      <c r="AF23" s="194"/>
      <c r="AG23" s="194"/>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row>
    <row r="24" spans="1:62" s="2" customFormat="1" ht="14.25" customHeight="1" x14ac:dyDescent="0.2">
      <c r="A24" s="62"/>
      <c r="B24" s="62"/>
      <c r="C24" s="457"/>
      <c r="D24" s="352" t="s">
        <v>559</v>
      </c>
      <c r="E24" s="10" t="s">
        <v>72</v>
      </c>
      <c r="F24" s="11">
        <v>400</v>
      </c>
      <c r="G24" s="11">
        <v>1.0740000000000001</v>
      </c>
      <c r="H24" s="99" t="s">
        <v>609</v>
      </c>
      <c r="I24" s="110">
        <v>374.76600000000002</v>
      </c>
      <c r="J24" s="110">
        <v>24</v>
      </c>
      <c r="K24" s="111">
        <v>7.1999999999999998E-3</v>
      </c>
      <c r="L24" s="112">
        <v>89.850999999999999</v>
      </c>
      <c r="M24" s="112">
        <v>6.4349999999999996</v>
      </c>
      <c r="N24" s="120">
        <v>2.2589999999999999E-2</v>
      </c>
      <c r="O24" s="48">
        <v>0.89300000000000002</v>
      </c>
      <c r="P24" s="25">
        <v>1.31E-3</v>
      </c>
      <c r="Q24" s="41"/>
      <c r="R24" s="194"/>
      <c r="S24" s="194"/>
      <c r="T24" s="194"/>
      <c r="U24" s="194"/>
      <c r="V24" s="194"/>
      <c r="W24" s="194"/>
      <c r="X24" s="194"/>
      <c r="Y24" s="194"/>
      <c r="Z24" s="194"/>
      <c r="AA24" s="194"/>
      <c r="AB24" s="194"/>
      <c r="AC24" s="194"/>
      <c r="AD24" s="194"/>
      <c r="AE24" s="194"/>
      <c r="AF24" s="194"/>
      <c r="AG24" s="194"/>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row>
    <row r="25" spans="1:62" s="2" customFormat="1" ht="14.25" customHeight="1" x14ac:dyDescent="0.2">
      <c r="A25" s="62"/>
      <c r="B25" s="62"/>
      <c r="C25" s="457"/>
      <c r="D25" s="352" t="s">
        <v>560</v>
      </c>
      <c r="E25" s="10" t="s">
        <v>73</v>
      </c>
      <c r="F25" s="11">
        <v>400</v>
      </c>
      <c r="G25" s="11">
        <v>1.1539999999999999</v>
      </c>
      <c r="H25" s="99" t="s">
        <v>610</v>
      </c>
      <c r="I25" s="110">
        <v>1189.5119999999999</v>
      </c>
      <c r="J25" s="110">
        <v>80.63</v>
      </c>
      <c r="K25" s="111">
        <v>1.0489999999999999E-2</v>
      </c>
      <c r="L25" s="112">
        <v>20.411000000000001</v>
      </c>
      <c r="M25" s="112">
        <v>1.2569999999999999</v>
      </c>
      <c r="N25" s="120">
        <v>1.5049999999999999E-2</v>
      </c>
      <c r="O25" s="48">
        <v>0.89300000000000002</v>
      </c>
      <c r="P25" s="25">
        <v>1.31E-3</v>
      </c>
      <c r="Q25" s="41"/>
      <c r="R25" s="194"/>
      <c r="S25" s="194"/>
      <c r="T25" s="194"/>
      <c r="U25" s="194"/>
      <c r="V25" s="194"/>
      <c r="W25" s="194"/>
      <c r="X25" s="194"/>
      <c r="Y25" s="194"/>
      <c r="Z25" s="194"/>
      <c r="AA25" s="194"/>
      <c r="AB25" s="194"/>
      <c r="AC25" s="194"/>
      <c r="AD25" s="194"/>
      <c r="AE25" s="194"/>
      <c r="AF25" s="194"/>
      <c r="AG25" s="194"/>
      <c r="AH25" s="41"/>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row>
    <row r="26" spans="1:62" s="2" customFormat="1" ht="14.25" customHeight="1" x14ac:dyDescent="0.2">
      <c r="A26" s="62"/>
      <c r="B26" s="62"/>
      <c r="C26" s="457"/>
      <c r="D26" s="352" t="s">
        <v>561</v>
      </c>
      <c r="E26" s="10" t="s">
        <v>74</v>
      </c>
      <c r="F26" s="11">
        <v>400</v>
      </c>
      <c r="G26" s="11">
        <v>1.1539999999999999</v>
      </c>
      <c r="H26" s="99" t="s">
        <v>610</v>
      </c>
      <c r="I26" s="110">
        <v>1189.5119999999999</v>
      </c>
      <c r="J26" s="110">
        <v>80.63</v>
      </c>
      <c r="K26" s="111">
        <v>1.0489999999999999E-2</v>
      </c>
      <c r="L26" s="112">
        <v>49.972999999999999</v>
      </c>
      <c r="M26" s="112">
        <v>3.4159999999999999</v>
      </c>
      <c r="N26" s="120">
        <v>1.804E-2</v>
      </c>
      <c r="O26" s="48">
        <v>0.89300000000000002</v>
      </c>
      <c r="P26" s="25">
        <v>1.31E-3</v>
      </c>
      <c r="Q26" s="41"/>
      <c r="R26" s="194"/>
      <c r="S26" s="194"/>
      <c r="T26" s="194"/>
      <c r="U26" s="194"/>
      <c r="V26" s="194"/>
      <c r="W26" s="194"/>
      <c r="X26" s="194"/>
      <c r="Y26" s="194"/>
      <c r="Z26" s="194"/>
      <c r="AA26" s="194"/>
      <c r="AB26" s="194"/>
      <c r="AC26" s="194"/>
      <c r="AD26" s="194"/>
      <c r="AE26" s="194"/>
      <c r="AF26" s="194"/>
      <c r="AG26" s="194"/>
      <c r="AH26" s="41"/>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row>
    <row r="27" spans="1:62" s="2" customFormat="1" ht="14.25" customHeight="1" x14ac:dyDescent="0.2">
      <c r="A27" s="62"/>
      <c r="B27" s="62"/>
      <c r="C27" s="457"/>
      <c r="D27" s="352" t="s">
        <v>562</v>
      </c>
      <c r="E27" s="10" t="s">
        <v>75</v>
      </c>
      <c r="F27" s="11">
        <v>400</v>
      </c>
      <c r="G27" s="11">
        <v>1.1539999999999999</v>
      </c>
      <c r="H27" s="99" t="s">
        <v>610</v>
      </c>
      <c r="I27" s="110">
        <v>1189.5119999999999</v>
      </c>
      <c r="J27" s="110">
        <v>80.63</v>
      </c>
      <c r="K27" s="111">
        <v>1.0489999999999999E-2</v>
      </c>
      <c r="L27" s="112">
        <v>89.850999999999999</v>
      </c>
      <c r="M27" s="112">
        <v>6.4349999999999996</v>
      </c>
      <c r="N27" s="120">
        <v>2.2589999999999999E-2</v>
      </c>
      <c r="O27" s="48">
        <v>0.89300000000000002</v>
      </c>
      <c r="P27" s="25">
        <v>1.31E-3</v>
      </c>
      <c r="Q27" s="41"/>
      <c r="R27" s="194"/>
      <c r="S27" s="194"/>
      <c r="T27" s="194"/>
      <c r="U27" s="194"/>
      <c r="V27" s="194"/>
      <c r="W27" s="194"/>
      <c r="X27" s="194"/>
      <c r="Y27" s="194"/>
      <c r="Z27" s="194"/>
      <c r="AA27" s="194"/>
      <c r="AB27" s="194"/>
      <c r="AC27" s="194"/>
      <c r="AD27" s="194"/>
      <c r="AE27" s="194"/>
      <c r="AF27" s="194"/>
      <c r="AG27" s="194"/>
      <c r="AH27" s="41"/>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row>
    <row r="28" spans="1:62" s="2" customFormat="1" ht="14.25" customHeight="1" x14ac:dyDescent="0.2">
      <c r="A28" s="62"/>
      <c r="B28" s="62"/>
      <c r="C28" s="457"/>
      <c r="D28" s="352" t="s">
        <v>556</v>
      </c>
      <c r="E28" s="13" t="s">
        <v>219</v>
      </c>
      <c r="F28" s="14">
        <v>400</v>
      </c>
      <c r="G28" s="14">
        <v>1.0649999999999999</v>
      </c>
      <c r="H28" s="100" t="s">
        <v>611</v>
      </c>
      <c r="I28" s="94">
        <v>249.488</v>
      </c>
      <c r="J28" s="94">
        <v>15</v>
      </c>
      <c r="K28" s="98">
        <v>6.1799999999999997E-3</v>
      </c>
      <c r="L28" s="102">
        <v>12.253</v>
      </c>
      <c r="M28" s="94">
        <v>0.71399999999999997</v>
      </c>
      <c r="N28" s="98">
        <v>7.2999999999999996E-4</v>
      </c>
      <c r="O28" s="104">
        <v>0.89300000000000002</v>
      </c>
      <c r="P28" s="24">
        <v>1.31E-3</v>
      </c>
      <c r="Q28" s="41"/>
      <c r="R28" s="194"/>
      <c r="S28" s="194"/>
      <c r="T28" s="194"/>
      <c r="U28" s="194"/>
      <c r="V28" s="194"/>
      <c r="W28" s="194"/>
      <c r="X28" s="194"/>
      <c r="Y28" s="194"/>
      <c r="Z28" s="194"/>
      <c r="AA28" s="194"/>
      <c r="AB28" s="194"/>
      <c r="AC28" s="194"/>
      <c r="AD28" s="194"/>
      <c r="AE28" s="194"/>
      <c r="AF28" s="194"/>
      <c r="AG28" s="194"/>
      <c r="AH28" s="41"/>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row>
    <row r="29" spans="1:62" s="2" customFormat="1" ht="14.25" customHeight="1" x14ac:dyDescent="0.2">
      <c r="A29" s="62"/>
      <c r="B29" s="62"/>
      <c r="C29" s="457" t="s">
        <v>3</v>
      </c>
      <c r="D29" s="351" t="s">
        <v>566</v>
      </c>
      <c r="E29" s="7" t="s">
        <v>76</v>
      </c>
      <c r="F29" s="8">
        <v>120</v>
      </c>
      <c r="G29" s="61">
        <v>1.095</v>
      </c>
      <c r="H29" s="44" t="s">
        <v>13</v>
      </c>
      <c r="I29" s="110">
        <v>137.779</v>
      </c>
      <c r="J29" s="110">
        <v>27.164999999999999</v>
      </c>
      <c r="K29" s="111">
        <v>5.0400000000000002E-3</v>
      </c>
      <c r="L29" s="112">
        <v>8.843</v>
      </c>
      <c r="M29" s="112">
        <v>1.2569999999999999</v>
      </c>
      <c r="N29" s="120">
        <v>1.5049999999999999E-2</v>
      </c>
      <c r="O29" s="48">
        <v>0.89300000000000002</v>
      </c>
      <c r="P29" s="25">
        <v>1.31E-3</v>
      </c>
      <c r="Q29" s="42"/>
      <c r="R29" s="194"/>
      <c r="S29" s="194"/>
      <c r="T29" s="194"/>
      <c r="U29" s="194"/>
      <c r="V29" s="194"/>
      <c r="W29" s="194"/>
      <c r="X29" s="194"/>
      <c r="Y29" s="194"/>
      <c r="Z29" s="194"/>
      <c r="AA29" s="194"/>
      <c r="AB29" s="194"/>
      <c r="AC29" s="194"/>
      <c r="AD29" s="194"/>
      <c r="AE29" s="194"/>
      <c r="AF29" s="194"/>
      <c r="AG29" s="194"/>
      <c r="AH29" s="41"/>
      <c r="AI29" s="41"/>
      <c r="AJ29" s="41"/>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row>
    <row r="30" spans="1:62" s="2" customFormat="1" ht="14.25" customHeight="1" x14ac:dyDescent="0.2">
      <c r="A30" s="62"/>
      <c r="B30" s="62"/>
      <c r="C30" s="457"/>
      <c r="D30" s="352" t="s">
        <v>567</v>
      </c>
      <c r="E30" s="10" t="s">
        <v>77</v>
      </c>
      <c r="F30" s="11">
        <v>120</v>
      </c>
      <c r="G30" s="11">
        <v>1.095</v>
      </c>
      <c r="H30" s="99" t="s">
        <v>13</v>
      </c>
      <c r="I30" s="110">
        <v>137.779</v>
      </c>
      <c r="J30" s="110">
        <v>27.164999999999999</v>
      </c>
      <c r="K30" s="111">
        <v>5.0400000000000002E-3</v>
      </c>
      <c r="L30" s="112">
        <v>18.547000000000001</v>
      </c>
      <c r="M30" s="112">
        <v>3.4159999999999999</v>
      </c>
      <c r="N30" s="120">
        <v>1.804E-2</v>
      </c>
      <c r="O30" s="48">
        <v>0.89300000000000002</v>
      </c>
      <c r="P30" s="25">
        <v>1.31E-3</v>
      </c>
      <c r="Q30" s="42"/>
      <c r="R30" s="194"/>
      <c r="S30" s="194"/>
      <c r="T30" s="194"/>
      <c r="U30" s="194"/>
      <c r="V30" s="194"/>
      <c r="W30" s="194"/>
      <c r="X30" s="194"/>
      <c r="Y30" s="194"/>
      <c r="Z30" s="194"/>
      <c r="AA30" s="194"/>
      <c r="AB30" s="194"/>
      <c r="AC30" s="194"/>
      <c r="AD30" s="194"/>
      <c r="AE30" s="194"/>
      <c r="AF30" s="194"/>
      <c r="AG30" s="194"/>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J30" s="41"/>
    </row>
    <row r="31" spans="1:62" s="2" customFormat="1" ht="14.25" customHeight="1" x14ac:dyDescent="0.2">
      <c r="A31" s="62"/>
      <c r="B31" s="62"/>
      <c r="C31" s="457"/>
      <c r="D31" s="352" t="s">
        <v>568</v>
      </c>
      <c r="E31" s="10" t="s">
        <v>78</v>
      </c>
      <c r="F31" s="11">
        <v>120</v>
      </c>
      <c r="G31" s="11">
        <v>1.095</v>
      </c>
      <c r="H31" s="99" t="s">
        <v>13</v>
      </c>
      <c r="I31" s="110">
        <v>137.779</v>
      </c>
      <c r="J31" s="110">
        <v>27.164999999999999</v>
      </c>
      <c r="K31" s="111">
        <v>5.0400000000000002E-3</v>
      </c>
      <c r="L31" s="112">
        <v>30.65</v>
      </c>
      <c r="M31" s="112">
        <v>6.4349999999999996</v>
      </c>
      <c r="N31" s="120">
        <v>2.2589999999999999E-2</v>
      </c>
      <c r="O31" s="48">
        <v>0.89300000000000002</v>
      </c>
      <c r="P31" s="25">
        <v>1.31E-3</v>
      </c>
      <c r="Q31" s="42"/>
      <c r="R31" s="194"/>
      <c r="S31" s="194"/>
      <c r="T31" s="194"/>
      <c r="U31" s="194"/>
      <c r="V31" s="194"/>
      <c r="W31" s="194"/>
      <c r="X31" s="194"/>
      <c r="Y31" s="194"/>
      <c r="Z31" s="194"/>
      <c r="AA31" s="194"/>
      <c r="AB31" s="194"/>
      <c r="AC31" s="194"/>
      <c r="AD31" s="194"/>
      <c r="AE31" s="194"/>
      <c r="AF31" s="194"/>
      <c r="AG31" s="194"/>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row>
    <row r="32" spans="1:62" s="2" customFormat="1" ht="14.25" customHeight="1" x14ac:dyDescent="0.2">
      <c r="A32" s="62"/>
      <c r="B32" s="62"/>
      <c r="C32" s="457"/>
      <c r="D32" s="352" t="s">
        <v>563</v>
      </c>
      <c r="E32" s="10" t="s">
        <v>79</v>
      </c>
      <c r="F32" s="11">
        <v>120</v>
      </c>
      <c r="G32" s="11">
        <v>1.1850000000000001</v>
      </c>
      <c r="H32" s="99" t="s">
        <v>14</v>
      </c>
      <c r="I32" s="110">
        <v>379.24900000000002</v>
      </c>
      <c r="J32" s="110">
        <v>90.567999999999998</v>
      </c>
      <c r="K32" s="111">
        <v>7.0000000000000001E-3</v>
      </c>
      <c r="L32" s="101">
        <v>8.843</v>
      </c>
      <c r="M32" s="12">
        <v>1.2569999999999999</v>
      </c>
      <c r="N32" s="93">
        <v>1.5049999999999999E-2</v>
      </c>
      <c r="O32" s="48">
        <v>0.89300000000000002</v>
      </c>
      <c r="P32" s="25">
        <v>1.31E-3</v>
      </c>
      <c r="Q32" s="42"/>
      <c r="R32" s="194"/>
      <c r="S32" s="194"/>
      <c r="T32" s="194"/>
      <c r="U32" s="194"/>
      <c r="V32" s="194"/>
      <c r="W32" s="194"/>
      <c r="X32" s="194"/>
      <c r="Y32" s="194"/>
      <c r="Z32" s="194"/>
      <c r="AA32" s="194"/>
      <c r="AB32" s="194"/>
      <c r="AC32" s="194"/>
      <c r="AD32" s="194"/>
      <c r="AE32" s="194"/>
      <c r="AF32" s="194"/>
      <c r="AG32" s="194"/>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row>
    <row r="33" spans="1:62" s="2" customFormat="1" ht="14.25" customHeight="1" x14ac:dyDescent="0.2">
      <c r="A33" s="62"/>
      <c r="B33" s="62"/>
      <c r="C33" s="457"/>
      <c r="D33" s="352" t="s">
        <v>564</v>
      </c>
      <c r="E33" s="10" t="s">
        <v>80</v>
      </c>
      <c r="F33" s="11">
        <v>120</v>
      </c>
      <c r="G33" s="11">
        <v>1.1850000000000001</v>
      </c>
      <c r="H33" s="99" t="s">
        <v>14</v>
      </c>
      <c r="I33" s="110">
        <v>379.24900000000002</v>
      </c>
      <c r="J33" s="110">
        <v>90.567999999999998</v>
      </c>
      <c r="K33" s="111">
        <v>7.0000000000000001E-3</v>
      </c>
      <c r="L33" s="101">
        <v>18.547000000000001</v>
      </c>
      <c r="M33" s="12">
        <v>3.4159999999999999</v>
      </c>
      <c r="N33" s="93">
        <v>1.804E-2</v>
      </c>
      <c r="O33" s="48">
        <v>0.89300000000000002</v>
      </c>
      <c r="P33" s="25">
        <v>1.31E-3</v>
      </c>
      <c r="Q33" s="42"/>
      <c r="R33" s="194"/>
      <c r="S33" s="194"/>
      <c r="T33" s="194"/>
      <c r="U33" s="194"/>
      <c r="V33" s="194"/>
      <c r="W33" s="194"/>
      <c r="X33" s="194"/>
      <c r="Y33" s="194"/>
      <c r="Z33" s="194"/>
      <c r="AA33" s="194"/>
      <c r="AB33" s="194"/>
      <c r="AC33" s="194"/>
      <c r="AD33" s="194"/>
      <c r="AE33" s="194"/>
      <c r="AF33" s="194"/>
      <c r="AG33" s="194"/>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row>
    <row r="34" spans="1:62" s="2" customFormat="1" ht="14.25" customHeight="1" x14ac:dyDescent="0.2">
      <c r="A34" s="62"/>
      <c r="B34" s="62"/>
      <c r="C34" s="457"/>
      <c r="D34" s="352" t="s">
        <v>565</v>
      </c>
      <c r="E34" s="10" t="s">
        <v>81</v>
      </c>
      <c r="F34" s="11">
        <v>120</v>
      </c>
      <c r="G34" s="11">
        <v>1.1850000000000001</v>
      </c>
      <c r="H34" s="99" t="s">
        <v>14</v>
      </c>
      <c r="I34" s="110">
        <v>379.24900000000002</v>
      </c>
      <c r="J34" s="110">
        <v>90.567999999999998</v>
      </c>
      <c r="K34" s="111">
        <v>7.0000000000000001E-3</v>
      </c>
      <c r="L34" s="101">
        <v>30.65</v>
      </c>
      <c r="M34" s="12">
        <v>6.4349999999999996</v>
      </c>
      <c r="N34" s="93">
        <v>2.2589999999999999E-2</v>
      </c>
      <c r="O34" s="48">
        <v>0.89300000000000002</v>
      </c>
      <c r="P34" s="25">
        <v>1.31E-3</v>
      </c>
      <c r="Q34" s="42"/>
      <c r="R34" s="194"/>
      <c r="S34" s="194"/>
      <c r="T34" s="194"/>
      <c r="U34" s="194"/>
      <c r="V34" s="194"/>
      <c r="W34" s="194"/>
      <c r="X34" s="194"/>
      <c r="Y34" s="194"/>
      <c r="Z34" s="194"/>
      <c r="AA34" s="194"/>
      <c r="AB34" s="194"/>
      <c r="AC34" s="194"/>
      <c r="AD34" s="194"/>
      <c r="AE34" s="194"/>
      <c r="AF34" s="194"/>
      <c r="AG34" s="194"/>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row>
    <row r="35" spans="1:62" s="2" customFormat="1" ht="14.25" customHeight="1" x14ac:dyDescent="0.2">
      <c r="A35" s="62"/>
      <c r="B35" s="62"/>
      <c r="C35" s="457"/>
      <c r="D35" s="352" t="s">
        <v>569</v>
      </c>
      <c r="E35" s="13" t="s">
        <v>221</v>
      </c>
      <c r="F35" s="14">
        <v>120</v>
      </c>
      <c r="G35" s="14">
        <v>1.069</v>
      </c>
      <c r="H35" s="100" t="s">
        <v>12</v>
      </c>
      <c r="I35" s="94">
        <v>87.34</v>
      </c>
      <c r="J35" s="94">
        <v>18.763999999999999</v>
      </c>
      <c r="K35" s="98">
        <v>5.7499999999999999E-3</v>
      </c>
      <c r="L35" s="102">
        <v>5.6840000000000002</v>
      </c>
      <c r="M35" s="94">
        <v>0.71399999999999997</v>
      </c>
      <c r="N35" s="98">
        <v>7.2999999999999996E-4</v>
      </c>
      <c r="O35" s="104">
        <v>0.89300000000000002</v>
      </c>
      <c r="P35" s="24">
        <v>1.31E-3</v>
      </c>
      <c r="Q35" s="42"/>
      <c r="R35" s="194"/>
      <c r="S35" s="194"/>
      <c r="T35" s="194"/>
      <c r="U35" s="194"/>
      <c r="V35" s="194"/>
      <c r="W35" s="194"/>
      <c r="X35" s="194"/>
      <c r="Y35" s="194"/>
      <c r="Z35" s="194"/>
      <c r="AA35" s="194"/>
      <c r="AB35" s="194"/>
      <c r="AC35" s="194"/>
      <c r="AD35" s="194"/>
      <c r="AE35" s="194"/>
      <c r="AF35" s="194"/>
      <c r="AG35" s="194"/>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row>
    <row r="36" spans="1:62" s="2" customFormat="1" ht="14.25" customHeight="1" x14ac:dyDescent="0.2">
      <c r="A36" s="62"/>
      <c r="B36" s="62"/>
      <c r="C36" s="457" t="s">
        <v>4</v>
      </c>
      <c r="D36" s="351" t="s">
        <v>571</v>
      </c>
      <c r="E36" s="7" t="s">
        <v>82</v>
      </c>
      <c r="F36" s="8">
        <v>30</v>
      </c>
      <c r="G36" s="61">
        <v>1.095</v>
      </c>
      <c r="H36" s="44" t="s">
        <v>13</v>
      </c>
      <c r="I36" s="110">
        <v>39.67</v>
      </c>
      <c r="J36" s="110">
        <v>34.543999999999997</v>
      </c>
      <c r="K36" s="111">
        <v>4.2199999999999998E-3</v>
      </c>
      <c r="L36" s="112">
        <v>5.1239999999999997</v>
      </c>
      <c r="M36" s="112">
        <v>1.2569999999999999</v>
      </c>
      <c r="N36" s="120">
        <v>1.5049999999999999E-2</v>
      </c>
      <c r="O36" s="48">
        <v>0.89300000000000002</v>
      </c>
      <c r="P36" s="25">
        <v>1.31E-3</v>
      </c>
      <c r="Q36" s="42"/>
      <c r="R36" s="194"/>
      <c r="S36" s="194"/>
      <c r="T36" s="194"/>
      <c r="U36" s="194"/>
      <c r="V36" s="194"/>
      <c r="W36" s="194"/>
      <c r="X36" s="194"/>
      <c r="Y36" s="194"/>
      <c r="Z36" s="194"/>
      <c r="AA36" s="194"/>
      <c r="AB36" s="194"/>
      <c r="AC36" s="194"/>
      <c r="AD36" s="194"/>
      <c r="AE36" s="194"/>
      <c r="AF36" s="194"/>
      <c r="AG36" s="194"/>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row>
    <row r="37" spans="1:62" s="2" customFormat="1" ht="14.25" customHeight="1" x14ac:dyDescent="0.2">
      <c r="A37" s="62"/>
      <c r="B37" s="62"/>
      <c r="C37" s="457"/>
      <c r="D37" s="352" t="s">
        <v>572</v>
      </c>
      <c r="E37" s="10" t="s">
        <v>83</v>
      </c>
      <c r="F37" s="11">
        <v>30</v>
      </c>
      <c r="G37" s="11">
        <v>1.095</v>
      </c>
      <c r="H37" s="99" t="s">
        <v>13</v>
      </c>
      <c r="I37" s="110">
        <v>39.67</v>
      </c>
      <c r="J37" s="110">
        <v>34.543999999999997</v>
      </c>
      <c r="K37" s="111">
        <v>4.2199999999999998E-3</v>
      </c>
      <c r="L37" s="112">
        <v>8.4459999999999997</v>
      </c>
      <c r="M37" s="112">
        <v>3.4159999999999999</v>
      </c>
      <c r="N37" s="120">
        <v>1.804E-2</v>
      </c>
      <c r="O37" s="48">
        <v>0.89300000000000002</v>
      </c>
      <c r="P37" s="25">
        <v>1.31E-3</v>
      </c>
      <c r="Q37" s="41"/>
      <c r="R37" s="194"/>
      <c r="S37" s="194"/>
      <c r="T37" s="194"/>
      <c r="U37" s="194"/>
      <c r="V37" s="194"/>
      <c r="W37" s="194"/>
      <c r="X37" s="194"/>
      <c r="Y37" s="194"/>
      <c r="Z37" s="194"/>
      <c r="AA37" s="194"/>
      <c r="AB37" s="194"/>
      <c r="AC37" s="194"/>
      <c r="AD37" s="194"/>
      <c r="AE37" s="194"/>
      <c r="AF37" s="194"/>
      <c r="AG37" s="194"/>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row>
    <row r="38" spans="1:62" s="2" customFormat="1" ht="14.25" customHeight="1" x14ac:dyDescent="0.2">
      <c r="A38" s="62"/>
      <c r="B38" s="62"/>
      <c r="C38" s="457"/>
      <c r="D38" s="352" t="s">
        <v>573</v>
      </c>
      <c r="E38" s="10" t="s">
        <v>84</v>
      </c>
      <c r="F38" s="11">
        <v>30</v>
      </c>
      <c r="G38" s="11">
        <v>1.095</v>
      </c>
      <c r="H38" s="99" t="s">
        <v>13</v>
      </c>
      <c r="I38" s="110">
        <v>39.67</v>
      </c>
      <c r="J38" s="110">
        <v>34.543999999999997</v>
      </c>
      <c r="K38" s="111">
        <v>4.2199999999999998E-3</v>
      </c>
      <c r="L38" s="112">
        <v>11.621</v>
      </c>
      <c r="M38" s="112">
        <v>6.4349999999999996</v>
      </c>
      <c r="N38" s="120">
        <v>2.2589999999999999E-2</v>
      </c>
      <c r="O38" s="48">
        <v>0.89300000000000002</v>
      </c>
      <c r="P38" s="25">
        <v>1.31E-3</v>
      </c>
      <c r="Q38" s="41"/>
      <c r="R38" s="194"/>
      <c r="S38" s="194"/>
      <c r="T38" s="194"/>
      <c r="U38" s="194"/>
      <c r="V38" s="194"/>
      <c r="W38" s="194"/>
      <c r="X38" s="194"/>
      <c r="Y38" s="194"/>
      <c r="Z38" s="194"/>
      <c r="AA38" s="194"/>
      <c r="AB38" s="194"/>
      <c r="AC38" s="194"/>
      <c r="AD38" s="194"/>
      <c r="AE38" s="194"/>
      <c r="AF38" s="194"/>
      <c r="AG38" s="194"/>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row>
    <row r="39" spans="1:62" s="2" customFormat="1" ht="14.25" customHeight="1" x14ac:dyDescent="0.2">
      <c r="A39" s="62"/>
      <c r="B39" s="62"/>
      <c r="C39" s="457"/>
      <c r="D39" s="352" t="s">
        <v>574</v>
      </c>
      <c r="E39" s="10" t="s">
        <v>85</v>
      </c>
      <c r="F39" s="11">
        <v>30</v>
      </c>
      <c r="G39" s="11">
        <v>1.1850000000000001</v>
      </c>
      <c r="H39" s="99" t="s">
        <v>14</v>
      </c>
      <c r="I39" s="110">
        <v>94.007999999999996</v>
      </c>
      <c r="J39" s="110">
        <v>95.951999999999998</v>
      </c>
      <c r="K39" s="111">
        <v>5.0000000000000001E-3</v>
      </c>
      <c r="L39" s="101">
        <v>5.1239999999999997</v>
      </c>
      <c r="M39" s="12">
        <v>1.2569999999999999</v>
      </c>
      <c r="N39" s="93">
        <v>1.5049999999999999E-2</v>
      </c>
      <c r="O39" s="48">
        <v>0.89300000000000002</v>
      </c>
      <c r="P39" s="25">
        <v>1.31E-3</v>
      </c>
      <c r="Q39" s="41"/>
      <c r="R39" s="194"/>
      <c r="S39" s="194"/>
      <c r="T39" s="194"/>
      <c r="U39" s="194"/>
      <c r="V39" s="194"/>
      <c r="W39" s="194"/>
      <c r="X39" s="194"/>
      <c r="Y39" s="194"/>
      <c r="Z39" s="194"/>
      <c r="AA39" s="194"/>
      <c r="AB39" s="194"/>
      <c r="AC39" s="194"/>
      <c r="AD39" s="194"/>
      <c r="AE39" s="194"/>
      <c r="AF39" s="194"/>
      <c r="AG39" s="194"/>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row>
    <row r="40" spans="1:62" s="2" customFormat="1" ht="14.25" customHeight="1" x14ac:dyDescent="0.2">
      <c r="A40" s="62"/>
      <c r="B40" s="62"/>
      <c r="C40" s="457"/>
      <c r="D40" s="352" t="s">
        <v>575</v>
      </c>
      <c r="E40" s="10" t="s">
        <v>86</v>
      </c>
      <c r="F40" s="11">
        <v>30</v>
      </c>
      <c r="G40" s="11">
        <v>1.1850000000000001</v>
      </c>
      <c r="H40" s="99" t="s">
        <v>14</v>
      </c>
      <c r="I40" s="110">
        <v>94.007999999999996</v>
      </c>
      <c r="J40" s="110">
        <v>95.951999999999998</v>
      </c>
      <c r="K40" s="111">
        <v>5.0000000000000001E-3</v>
      </c>
      <c r="L40" s="101">
        <v>8.4459999999999997</v>
      </c>
      <c r="M40" s="12">
        <v>3.4159999999999999</v>
      </c>
      <c r="N40" s="93">
        <v>1.804E-2</v>
      </c>
      <c r="O40" s="48">
        <v>0.89300000000000002</v>
      </c>
      <c r="P40" s="25">
        <v>1.31E-3</v>
      </c>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row>
    <row r="41" spans="1:62" s="2" customFormat="1" ht="14.25" customHeight="1" x14ac:dyDescent="0.2">
      <c r="A41" s="62"/>
      <c r="B41" s="62"/>
      <c r="C41" s="457"/>
      <c r="D41" s="352" t="s">
        <v>576</v>
      </c>
      <c r="E41" s="10" t="s">
        <v>87</v>
      </c>
      <c r="F41" s="11">
        <v>30</v>
      </c>
      <c r="G41" s="11">
        <v>1.1850000000000001</v>
      </c>
      <c r="H41" s="99" t="s">
        <v>14</v>
      </c>
      <c r="I41" s="110">
        <v>94.007999999999996</v>
      </c>
      <c r="J41" s="110">
        <v>95.951999999999998</v>
      </c>
      <c r="K41" s="111">
        <v>5.0000000000000001E-3</v>
      </c>
      <c r="L41" s="101">
        <v>11.621</v>
      </c>
      <c r="M41" s="12">
        <v>6.4349999999999996</v>
      </c>
      <c r="N41" s="93">
        <v>2.2589999999999999E-2</v>
      </c>
      <c r="O41" s="48">
        <v>0.89300000000000002</v>
      </c>
      <c r="P41" s="25">
        <v>1.31E-3</v>
      </c>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row>
    <row r="42" spans="1:62" s="2" customFormat="1" ht="14.25" customHeight="1" x14ac:dyDescent="0.2">
      <c r="A42" s="62"/>
      <c r="B42" s="65"/>
      <c r="C42" s="457"/>
      <c r="D42" s="353" t="s">
        <v>570</v>
      </c>
      <c r="E42" s="13" t="s">
        <v>222</v>
      </c>
      <c r="F42" s="14">
        <v>30</v>
      </c>
      <c r="G42" s="14">
        <v>1.069</v>
      </c>
      <c r="H42" s="100" t="s">
        <v>12</v>
      </c>
      <c r="I42" s="94">
        <v>24.558</v>
      </c>
      <c r="J42" s="94">
        <v>22.306000000000001</v>
      </c>
      <c r="K42" s="98">
        <v>6.0000000000000001E-3</v>
      </c>
      <c r="L42" s="102">
        <v>3.573</v>
      </c>
      <c r="M42" s="94">
        <v>0.71399999999999997</v>
      </c>
      <c r="N42" s="98">
        <v>7.2999999999999996E-4</v>
      </c>
      <c r="O42" s="104">
        <v>0.89300000000000002</v>
      </c>
      <c r="P42" s="24">
        <v>1.31E-3</v>
      </c>
      <c r="Q42" s="42"/>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row>
    <row r="43" spans="1:62" s="2" customFormat="1" ht="14.25" customHeight="1" x14ac:dyDescent="0.2">
      <c r="A43" s="15"/>
      <c r="B43" s="1"/>
      <c r="C43" s="16"/>
      <c r="D43" s="16"/>
      <c r="E43" s="41"/>
      <c r="F43" s="3"/>
      <c r="G43" s="3"/>
      <c r="H43" s="3"/>
      <c r="I43" s="3"/>
      <c r="J43" s="3"/>
      <c r="K43" s="3"/>
      <c r="L43" s="3"/>
      <c r="M43" s="3"/>
      <c r="N43" s="3"/>
      <c r="O43" s="3"/>
      <c r="P43" s="3"/>
      <c r="Q43" s="53"/>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row>
    <row r="44" spans="1:62" s="2" customFormat="1" ht="14.25" customHeight="1" x14ac:dyDescent="0.2">
      <c r="A44" s="15"/>
      <c r="B44" s="1"/>
      <c r="C44" s="336" t="s">
        <v>224</v>
      </c>
      <c r="D44" s="347"/>
      <c r="E44" s="200"/>
      <c r="F44" s="169"/>
      <c r="G44" s="169"/>
      <c r="H44" s="169"/>
      <c r="I44" s="169"/>
      <c r="J44" s="169"/>
      <c r="K44" s="169"/>
      <c r="L44" s="169"/>
      <c r="M44" s="169"/>
      <c r="N44" s="169"/>
      <c r="O44" s="169"/>
      <c r="P44" s="201"/>
      <c r="Q44" s="53"/>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row>
    <row r="45" spans="1:62" s="2" customFormat="1" ht="23.25" customHeight="1" x14ac:dyDescent="0.2">
      <c r="A45" s="15"/>
      <c r="B45" s="1"/>
      <c r="C45" s="267" t="s">
        <v>169</v>
      </c>
      <c r="D45" s="348"/>
      <c r="E45" s="74"/>
      <c r="F45" s="3"/>
      <c r="G45" s="3"/>
      <c r="H45" s="3"/>
      <c r="I45" s="3"/>
      <c r="J45" s="3"/>
      <c r="K45" s="3"/>
      <c r="L45" s="3"/>
      <c r="M45" s="3"/>
      <c r="N45" s="3"/>
      <c r="O45" s="3"/>
      <c r="P45" s="265"/>
      <c r="Q45" s="53"/>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row>
    <row r="46" spans="1:62" s="41" customFormat="1" ht="29.25" customHeight="1" x14ac:dyDescent="0.2">
      <c r="A46" s="194"/>
      <c r="B46" s="194"/>
      <c r="C46" s="479" t="s">
        <v>263</v>
      </c>
      <c r="D46" s="475"/>
      <c r="E46" s="475"/>
      <c r="F46" s="475"/>
      <c r="G46" s="475"/>
      <c r="H46" s="475"/>
      <c r="I46" s="475"/>
      <c r="J46" s="475"/>
      <c r="K46" s="475"/>
      <c r="L46" s="475"/>
      <c r="M46" s="475"/>
      <c r="N46" s="475"/>
      <c r="O46" s="475"/>
      <c r="P46" s="476"/>
      <c r="Q46" s="194"/>
      <c r="R46" s="1"/>
      <c r="S46" s="1"/>
      <c r="T46" s="1"/>
    </row>
    <row r="47" spans="1:62" s="41" customFormat="1" ht="13.5" customHeight="1" x14ac:dyDescent="0.2">
      <c r="A47" s="194"/>
      <c r="B47" s="194"/>
      <c r="C47" s="484" t="s">
        <v>271</v>
      </c>
      <c r="D47" s="430"/>
      <c r="E47" s="430"/>
      <c r="F47" s="430"/>
      <c r="G47" s="430"/>
      <c r="H47" s="430"/>
      <c r="I47" s="430"/>
      <c r="J47" s="430"/>
      <c r="K47" s="430"/>
      <c r="L47" s="430"/>
      <c r="M47" s="430"/>
      <c r="N47" s="430"/>
      <c r="O47" s="430"/>
      <c r="P47" s="431"/>
      <c r="Q47" s="194"/>
      <c r="R47" s="1"/>
      <c r="S47" s="1"/>
      <c r="T47" s="1"/>
    </row>
    <row r="48" spans="1:62" s="41" customFormat="1" ht="23.25" customHeight="1" x14ac:dyDescent="0.2">
      <c r="A48" s="194"/>
      <c r="B48" s="194"/>
      <c r="C48" s="268" t="s">
        <v>285</v>
      </c>
      <c r="D48" s="349"/>
      <c r="E48" s="244"/>
      <c r="F48" s="244"/>
      <c r="G48" s="244"/>
      <c r="H48" s="244"/>
      <c r="I48" s="244"/>
      <c r="J48" s="244"/>
      <c r="K48" s="244"/>
      <c r="L48" s="244"/>
      <c r="M48" s="244"/>
      <c r="N48" s="244"/>
      <c r="O48" s="244"/>
      <c r="P48" s="245"/>
      <c r="Q48" s="194"/>
      <c r="R48" s="1"/>
      <c r="S48" s="1"/>
      <c r="T48" s="1"/>
    </row>
    <row r="49" spans="1:33" s="41" customFormat="1" ht="73.5" customHeight="1" x14ac:dyDescent="0.2">
      <c r="A49" s="194"/>
      <c r="B49" s="194"/>
      <c r="C49" s="485" t="s">
        <v>448</v>
      </c>
      <c r="D49" s="486"/>
      <c r="E49" s="486"/>
      <c r="F49" s="486"/>
      <c r="G49" s="486"/>
      <c r="H49" s="486"/>
      <c r="I49" s="486"/>
      <c r="J49" s="486"/>
      <c r="K49" s="486"/>
      <c r="L49" s="486"/>
      <c r="M49" s="486"/>
      <c r="N49" s="486"/>
      <c r="O49" s="486"/>
      <c r="P49" s="487"/>
      <c r="Q49" s="194"/>
      <c r="R49" s="1"/>
      <c r="S49" s="1"/>
      <c r="T49" s="1"/>
    </row>
    <row r="50" spans="1:33" s="41" customFormat="1" x14ac:dyDescent="0.2">
      <c r="A50" s="194"/>
      <c r="B50" s="194"/>
      <c r="C50" s="194"/>
      <c r="D50" s="194"/>
      <c r="E50" s="194"/>
      <c r="F50" s="194"/>
      <c r="G50" s="194"/>
      <c r="H50" s="194"/>
      <c r="I50" s="194"/>
      <c r="J50" s="194"/>
      <c r="K50" s="194"/>
      <c r="L50" s="194"/>
      <c r="M50" s="194"/>
      <c r="N50" s="194"/>
      <c r="O50" s="194"/>
      <c r="P50" s="194"/>
      <c r="Q50" s="194"/>
      <c r="R50" s="194"/>
      <c r="S50" s="194"/>
      <c r="T50" s="194"/>
      <c r="U50" s="194"/>
      <c r="V50" s="194"/>
      <c r="W50" s="194"/>
      <c r="X50" s="194"/>
      <c r="Y50" s="194"/>
      <c r="Z50" s="194"/>
      <c r="AA50" s="194"/>
      <c r="AB50" s="194"/>
      <c r="AC50" s="194"/>
      <c r="AD50" s="194"/>
      <c r="AE50" s="194"/>
      <c r="AF50" s="194"/>
      <c r="AG50" s="194"/>
    </row>
    <row r="51" spans="1:33" s="41" customFormat="1" ht="15" customHeight="1" x14ac:dyDescent="0.2">
      <c r="A51" s="194"/>
      <c r="B51" s="194"/>
      <c r="C51" s="194"/>
      <c r="D51" s="194"/>
      <c r="E51" s="194"/>
      <c r="F51" s="194"/>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row>
    <row r="52" spans="1:33" s="41" customFormat="1" ht="15" customHeight="1" x14ac:dyDescent="0.25">
      <c r="A52" s="194"/>
      <c r="B52" s="194"/>
      <c r="C52" s="242" t="s">
        <v>282</v>
      </c>
      <c r="D52" s="242"/>
      <c r="E52" s="194"/>
      <c r="F52" s="194"/>
      <c r="G52" s="194"/>
      <c r="H52" s="194"/>
      <c r="I52" s="194"/>
      <c r="J52" s="194"/>
      <c r="K52" s="194"/>
      <c r="L52" s="194"/>
      <c r="M52" s="194"/>
      <c r="N52" s="194"/>
      <c r="O52" s="194"/>
      <c r="P52" s="194"/>
      <c r="Q52" s="194"/>
      <c r="R52" s="194"/>
      <c r="S52" s="194"/>
      <c r="T52" s="194"/>
      <c r="U52" s="194"/>
      <c r="V52" s="194"/>
      <c r="W52" s="194"/>
      <c r="X52" s="194"/>
      <c r="Y52" s="194"/>
      <c r="Z52" s="194"/>
      <c r="AA52" s="194"/>
      <c r="AB52" s="194"/>
      <c r="AC52" s="194"/>
      <c r="AD52" s="194"/>
      <c r="AE52" s="194"/>
      <c r="AF52" s="194"/>
      <c r="AG52" s="194"/>
    </row>
    <row r="53" spans="1:33" s="41" customFormat="1" ht="14.25" customHeight="1" x14ac:dyDescent="0.2">
      <c r="A53" s="194"/>
      <c r="B53" s="194"/>
      <c r="C53" s="194"/>
      <c r="D53" s="194"/>
      <c r="E53" s="194"/>
      <c r="F53" s="194"/>
      <c r="G53" s="194"/>
      <c r="H53" s="194"/>
      <c r="I53" s="194"/>
      <c r="J53" s="194"/>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row>
    <row r="54" spans="1:33" s="41" customFormat="1" ht="15" customHeight="1" x14ac:dyDescent="0.2">
      <c r="A54" s="194"/>
      <c r="B54" s="194"/>
      <c r="C54" s="443" t="s">
        <v>228</v>
      </c>
      <c r="D54" s="444"/>
      <c r="E54" s="444"/>
      <c r="F54" s="444"/>
      <c r="G54" s="444"/>
      <c r="H54" s="444"/>
      <c r="I54" s="444"/>
      <c r="J54" s="444"/>
      <c r="K54" s="444"/>
      <c r="L54" s="444"/>
      <c r="M54" s="444"/>
      <c r="N54" s="444"/>
      <c r="O54" s="444"/>
      <c r="P54" s="444"/>
      <c r="Q54" s="444"/>
      <c r="R54" s="444"/>
      <c r="S54" s="445"/>
      <c r="T54" s="194"/>
      <c r="U54" s="194"/>
      <c r="V54" s="194"/>
      <c r="W54" s="194"/>
      <c r="X54" s="194"/>
      <c r="Y54" s="194"/>
      <c r="Z54" s="194"/>
      <c r="AA54" s="194"/>
      <c r="AB54" s="194"/>
      <c r="AC54" s="194"/>
      <c r="AD54" s="194"/>
      <c r="AE54" s="194"/>
      <c r="AF54" s="194"/>
      <c r="AG54" s="194"/>
    </row>
    <row r="55" spans="1:33" s="41" customFormat="1" ht="41.25" customHeight="1" x14ac:dyDescent="0.2">
      <c r="A55" s="194"/>
      <c r="B55" s="194"/>
      <c r="C55" s="440" t="s">
        <v>671</v>
      </c>
      <c r="D55" s="441"/>
      <c r="E55" s="441"/>
      <c r="F55" s="441"/>
      <c r="G55" s="441"/>
      <c r="H55" s="441"/>
      <c r="I55" s="441"/>
      <c r="J55" s="441"/>
      <c r="K55" s="441"/>
      <c r="L55" s="441"/>
      <c r="M55" s="441"/>
      <c r="N55" s="441"/>
      <c r="O55" s="441"/>
      <c r="P55" s="441"/>
      <c r="Q55" s="441"/>
      <c r="R55" s="441"/>
      <c r="S55" s="442"/>
      <c r="T55" s="194"/>
      <c r="U55" s="194"/>
      <c r="V55" s="194"/>
      <c r="W55" s="194"/>
      <c r="X55" s="194"/>
      <c r="Y55" s="194"/>
      <c r="Z55" s="194"/>
      <c r="AA55" s="194"/>
      <c r="AB55" s="194"/>
      <c r="AC55" s="194"/>
      <c r="AD55" s="194"/>
      <c r="AE55" s="194"/>
      <c r="AF55" s="194"/>
      <c r="AG55" s="194"/>
    </row>
    <row r="56" spans="1:33" s="41" customFormat="1" ht="30.75" customHeight="1" x14ac:dyDescent="0.2">
      <c r="A56" s="194"/>
      <c r="B56" s="194"/>
      <c r="C56" s="424" t="s">
        <v>464</v>
      </c>
      <c r="D56" s="423" t="s">
        <v>167</v>
      </c>
      <c r="E56" s="424" t="s">
        <v>7</v>
      </c>
      <c r="F56" s="451" t="s">
        <v>16</v>
      </c>
      <c r="G56" s="452"/>
      <c r="H56" s="453" t="s">
        <v>0</v>
      </c>
      <c r="I56" s="454"/>
      <c r="J56" s="500" t="s">
        <v>5</v>
      </c>
      <c r="K56" s="501"/>
      <c r="L56" s="501"/>
      <c r="M56" s="502"/>
      <c r="N56" s="503" t="s">
        <v>6</v>
      </c>
      <c r="O56" s="504"/>
      <c r="P56" s="504"/>
      <c r="Q56" s="505"/>
      <c r="R56" s="496" t="s">
        <v>178</v>
      </c>
      <c r="S56" s="497"/>
      <c r="T56" s="194"/>
      <c r="U56" s="194"/>
      <c r="V56" s="194"/>
      <c r="W56" s="194"/>
      <c r="X56" s="194"/>
      <c r="Y56" s="194"/>
      <c r="Z56" s="194"/>
      <c r="AA56" s="194"/>
      <c r="AB56" s="194"/>
      <c r="AC56" s="194"/>
      <c r="AD56" s="194"/>
      <c r="AE56" s="194"/>
      <c r="AF56" s="194"/>
      <c r="AG56" s="194"/>
    </row>
    <row r="57" spans="1:33" s="41" customFormat="1" ht="30.75" customHeight="1" x14ac:dyDescent="0.2">
      <c r="A57" s="194"/>
      <c r="B57" s="194"/>
      <c r="C57" s="424"/>
      <c r="D57" s="424"/>
      <c r="E57" s="424"/>
      <c r="F57" s="453"/>
      <c r="G57" s="454"/>
      <c r="H57" s="453"/>
      <c r="I57" s="454"/>
      <c r="J57" s="418" t="s">
        <v>92</v>
      </c>
      <c r="K57" s="466" t="s">
        <v>91</v>
      </c>
      <c r="L57" s="438"/>
      <c r="M57" s="226" t="s">
        <v>88</v>
      </c>
      <c r="N57" s="449" t="s">
        <v>96</v>
      </c>
      <c r="O57" s="498" t="s">
        <v>91</v>
      </c>
      <c r="P57" s="499"/>
      <c r="Q57" s="449" t="s">
        <v>98</v>
      </c>
      <c r="R57" s="420" t="s">
        <v>179</v>
      </c>
      <c r="S57" s="420" t="s">
        <v>180</v>
      </c>
      <c r="T57" s="194"/>
      <c r="U57" s="194"/>
      <c r="V57" s="194"/>
      <c r="W57" s="194"/>
      <c r="X57" s="194"/>
      <c r="Y57" s="194"/>
      <c r="Z57" s="194"/>
      <c r="AA57" s="194"/>
      <c r="AB57" s="194"/>
      <c r="AC57" s="194"/>
      <c r="AD57" s="194"/>
      <c r="AE57" s="194"/>
      <c r="AF57" s="194"/>
      <c r="AG57" s="194"/>
    </row>
    <row r="58" spans="1:33" s="41" customFormat="1" ht="30.75" customHeight="1" x14ac:dyDescent="0.2">
      <c r="A58" s="194"/>
      <c r="B58" s="194"/>
      <c r="C58" s="424"/>
      <c r="D58" s="424"/>
      <c r="E58" s="424"/>
      <c r="F58" s="398" t="s">
        <v>455</v>
      </c>
      <c r="G58" s="398" t="s">
        <v>457</v>
      </c>
      <c r="H58" s="455"/>
      <c r="I58" s="456"/>
      <c r="J58" s="419"/>
      <c r="K58" s="227" t="s">
        <v>123</v>
      </c>
      <c r="L58" s="230" t="s">
        <v>276</v>
      </c>
      <c r="M58" s="29" t="s">
        <v>278</v>
      </c>
      <c r="N58" s="450"/>
      <c r="O58" s="91" t="s">
        <v>124</v>
      </c>
      <c r="P58" s="91" t="s">
        <v>279</v>
      </c>
      <c r="Q58" s="450"/>
      <c r="R58" s="421"/>
      <c r="S58" s="421"/>
      <c r="T58" s="194"/>
      <c r="U58" s="194"/>
      <c r="V58" s="194"/>
      <c r="W58" s="194"/>
      <c r="X58" s="194"/>
      <c r="Y58" s="194"/>
      <c r="Z58" s="194"/>
      <c r="AA58" s="194"/>
      <c r="AB58" s="194"/>
      <c r="AC58" s="194"/>
      <c r="AD58" s="194"/>
      <c r="AE58" s="194"/>
      <c r="AF58" s="194"/>
      <c r="AG58" s="194"/>
    </row>
    <row r="59" spans="1:33" s="41" customFormat="1" ht="30.75" customHeight="1" x14ac:dyDescent="0.2">
      <c r="A59" s="194"/>
      <c r="B59" s="194"/>
      <c r="C59" s="425"/>
      <c r="D59" s="425"/>
      <c r="E59" s="425"/>
      <c r="F59" s="228" t="s">
        <v>90</v>
      </c>
      <c r="G59" s="228" t="s">
        <v>90</v>
      </c>
      <c r="H59" s="228" t="s">
        <v>8</v>
      </c>
      <c r="I59" s="229" t="s">
        <v>9</v>
      </c>
      <c r="J59" s="90" t="s">
        <v>89</v>
      </c>
      <c r="K59" s="90" t="s">
        <v>673</v>
      </c>
      <c r="L59" s="90" t="s">
        <v>673</v>
      </c>
      <c r="M59" s="4" t="s">
        <v>10</v>
      </c>
      <c r="N59" s="91" t="s">
        <v>89</v>
      </c>
      <c r="O59" s="91" t="s">
        <v>673</v>
      </c>
      <c r="P59" s="91" t="s">
        <v>673</v>
      </c>
      <c r="Q59" s="6" t="s">
        <v>10</v>
      </c>
      <c r="R59" s="119" t="s">
        <v>89</v>
      </c>
      <c r="S59" s="118" t="s">
        <v>10</v>
      </c>
      <c r="T59" s="194"/>
      <c r="U59" s="194"/>
      <c r="V59" s="194"/>
      <c r="W59" s="194"/>
      <c r="X59" s="194"/>
      <c r="Y59" s="194"/>
      <c r="Z59" s="194"/>
      <c r="AA59" s="194"/>
      <c r="AB59" s="194"/>
      <c r="AC59" s="194"/>
      <c r="AD59" s="194"/>
      <c r="AE59" s="194"/>
      <c r="AF59" s="194"/>
      <c r="AG59" s="194"/>
    </row>
    <row r="60" spans="1:33" s="41" customFormat="1" ht="14.25" customHeight="1" x14ac:dyDescent="0.2">
      <c r="A60" s="194"/>
      <c r="B60" s="194"/>
      <c r="C60" s="407" t="s">
        <v>264</v>
      </c>
      <c r="D60" s="351" t="s">
        <v>577</v>
      </c>
      <c r="E60" s="30" t="s">
        <v>212</v>
      </c>
      <c r="F60" s="11">
        <v>20</v>
      </c>
      <c r="G60" s="8">
        <v>40</v>
      </c>
      <c r="H60" s="8">
        <v>1.095</v>
      </c>
      <c r="I60" s="44" t="s">
        <v>13</v>
      </c>
      <c r="J60" s="95">
        <v>32</v>
      </c>
      <c r="K60" s="95">
        <v>53.709000000000003</v>
      </c>
      <c r="L60" s="95">
        <v>12</v>
      </c>
      <c r="M60" s="23">
        <v>3.0839999999999999E-2</v>
      </c>
      <c r="N60" s="101">
        <v>5.3310000000000004</v>
      </c>
      <c r="O60" s="101">
        <v>1.2569999999999999</v>
      </c>
      <c r="P60" s="101">
        <v>1.2569999999999999</v>
      </c>
      <c r="Q60" s="107">
        <v>1.5049999999999999E-2</v>
      </c>
      <c r="R60" s="48">
        <v>0.89300000000000002</v>
      </c>
      <c r="S60" s="25">
        <v>1.31E-3</v>
      </c>
      <c r="T60" s="194"/>
      <c r="U60" s="194"/>
      <c r="V60" s="194"/>
      <c r="W60" s="194"/>
      <c r="X60" s="194"/>
      <c r="Y60" s="194"/>
      <c r="Z60" s="194"/>
      <c r="AA60" s="194"/>
      <c r="AB60" s="194"/>
      <c r="AC60" s="194"/>
      <c r="AD60" s="194"/>
      <c r="AE60" s="194"/>
      <c r="AF60" s="194"/>
      <c r="AG60" s="194"/>
    </row>
    <row r="61" spans="1:33" s="41" customFormat="1" ht="14.25" customHeight="1" x14ac:dyDescent="0.2">
      <c r="A61" s="194"/>
      <c r="B61" s="194"/>
      <c r="C61" s="408"/>
      <c r="D61" s="352" t="s">
        <v>578</v>
      </c>
      <c r="E61" s="35" t="s">
        <v>213</v>
      </c>
      <c r="F61" s="11">
        <v>20</v>
      </c>
      <c r="G61" s="11">
        <v>40</v>
      </c>
      <c r="H61" s="11">
        <v>1.095</v>
      </c>
      <c r="I61" s="99" t="s">
        <v>13</v>
      </c>
      <c r="J61" s="95">
        <v>32</v>
      </c>
      <c r="K61" s="95">
        <v>53.709000000000003</v>
      </c>
      <c r="L61" s="95">
        <v>12</v>
      </c>
      <c r="M61" s="23">
        <v>3.0839999999999999E-2</v>
      </c>
      <c r="N61" s="101">
        <v>9.0079999999999991</v>
      </c>
      <c r="O61" s="101">
        <v>3.4159999999999999</v>
      </c>
      <c r="P61" s="101">
        <v>3.4159999999999999</v>
      </c>
      <c r="Q61" s="107">
        <v>1.804E-2</v>
      </c>
      <c r="R61" s="48">
        <v>0.89300000000000002</v>
      </c>
      <c r="S61" s="25">
        <v>1.31E-3</v>
      </c>
      <c r="T61" s="194"/>
      <c r="U61" s="194"/>
      <c r="V61" s="194"/>
      <c r="W61" s="194"/>
      <c r="X61" s="194"/>
      <c r="Y61" s="194"/>
      <c r="Z61" s="194"/>
      <c r="AA61" s="194"/>
      <c r="AB61" s="194"/>
      <c r="AC61" s="194"/>
      <c r="AD61" s="194"/>
      <c r="AE61" s="194"/>
      <c r="AF61" s="194"/>
      <c r="AG61" s="194"/>
    </row>
    <row r="62" spans="1:33" s="41" customFormat="1" ht="14.25" customHeight="1" x14ac:dyDescent="0.2">
      <c r="A62" s="194"/>
      <c r="B62" s="194"/>
      <c r="C62" s="408"/>
      <c r="D62" s="352" t="s">
        <v>579</v>
      </c>
      <c r="E62" s="35" t="s">
        <v>214</v>
      </c>
      <c r="F62" s="11">
        <v>20</v>
      </c>
      <c r="G62" s="11">
        <v>40</v>
      </c>
      <c r="H62" s="11">
        <v>1.095</v>
      </c>
      <c r="I62" s="99" t="s">
        <v>13</v>
      </c>
      <c r="J62" s="95">
        <v>32</v>
      </c>
      <c r="K62" s="95">
        <v>53.709000000000003</v>
      </c>
      <c r="L62" s="95">
        <v>12</v>
      </c>
      <c r="M62" s="23">
        <v>3.0839999999999999E-2</v>
      </c>
      <c r="N62" s="101">
        <v>12.678000000000001</v>
      </c>
      <c r="O62" s="101">
        <v>6.4349999999999996</v>
      </c>
      <c r="P62" s="101">
        <v>6.4349999999999996</v>
      </c>
      <c r="Q62" s="107">
        <v>2.2589999999999999E-2</v>
      </c>
      <c r="R62" s="48">
        <v>0.89300000000000002</v>
      </c>
      <c r="S62" s="25">
        <v>1.31E-3</v>
      </c>
      <c r="T62" s="194"/>
      <c r="U62" s="194"/>
      <c r="V62" s="194"/>
      <c r="W62" s="194"/>
      <c r="X62" s="194"/>
      <c r="Y62" s="194"/>
      <c r="Z62" s="194"/>
      <c r="AA62" s="194"/>
      <c r="AB62" s="194"/>
      <c r="AC62" s="194"/>
      <c r="AD62" s="194"/>
      <c r="AE62" s="194"/>
      <c r="AF62" s="194"/>
      <c r="AG62" s="194"/>
    </row>
    <row r="63" spans="1:33" s="41" customFormat="1" ht="14.25" customHeight="1" x14ac:dyDescent="0.2">
      <c r="A63" s="194"/>
      <c r="B63" s="194"/>
      <c r="C63" s="408"/>
      <c r="D63" s="352" t="s">
        <v>580</v>
      </c>
      <c r="E63" s="35" t="s">
        <v>215</v>
      </c>
      <c r="F63" s="11">
        <v>20</v>
      </c>
      <c r="G63" s="11">
        <v>40</v>
      </c>
      <c r="H63" s="11">
        <v>1.1850000000000001</v>
      </c>
      <c r="I63" s="99" t="s">
        <v>14</v>
      </c>
      <c r="J63" s="95">
        <v>104.639</v>
      </c>
      <c r="K63" s="95">
        <v>134.52799999999999</v>
      </c>
      <c r="L63" s="95">
        <v>44.121000000000002</v>
      </c>
      <c r="M63" s="23">
        <v>0.05</v>
      </c>
      <c r="N63" s="101">
        <v>5.3310000000000004</v>
      </c>
      <c r="O63" s="101">
        <v>1.2569999999999999</v>
      </c>
      <c r="P63" s="101">
        <v>1.2569999999999999</v>
      </c>
      <c r="Q63" s="107">
        <v>1.5049999999999999E-2</v>
      </c>
      <c r="R63" s="48">
        <v>0.89300000000000002</v>
      </c>
      <c r="S63" s="25">
        <v>1.31E-3</v>
      </c>
      <c r="T63" s="194"/>
      <c r="U63" s="194"/>
      <c r="V63" s="194"/>
      <c r="W63" s="194"/>
      <c r="X63" s="194"/>
      <c r="Y63" s="194"/>
      <c r="Z63" s="194"/>
      <c r="AA63" s="194"/>
      <c r="AB63" s="194"/>
      <c r="AC63" s="194"/>
      <c r="AD63" s="194"/>
      <c r="AE63" s="194"/>
      <c r="AF63" s="194"/>
      <c r="AG63" s="194"/>
    </row>
    <row r="64" spans="1:33" s="41" customFormat="1" ht="14.25" customHeight="1" x14ac:dyDescent="0.2">
      <c r="A64" s="194"/>
      <c r="B64" s="194"/>
      <c r="C64" s="408"/>
      <c r="D64" s="352" t="s">
        <v>581</v>
      </c>
      <c r="E64" s="35" t="s">
        <v>216</v>
      </c>
      <c r="F64" s="11">
        <v>20</v>
      </c>
      <c r="G64" s="11">
        <v>40</v>
      </c>
      <c r="H64" s="11">
        <v>1.1850000000000001</v>
      </c>
      <c r="I64" s="99" t="s">
        <v>14</v>
      </c>
      <c r="J64" s="95">
        <v>104.639</v>
      </c>
      <c r="K64" s="95">
        <v>134.52799999999999</v>
      </c>
      <c r="L64" s="95">
        <v>44.121000000000002</v>
      </c>
      <c r="M64" s="23">
        <v>0.05</v>
      </c>
      <c r="N64" s="101">
        <v>9.0079999999999991</v>
      </c>
      <c r="O64" s="101">
        <v>3.4159999999999999</v>
      </c>
      <c r="P64" s="101">
        <v>3.4159999999999999</v>
      </c>
      <c r="Q64" s="107">
        <v>1.804E-2</v>
      </c>
      <c r="R64" s="48">
        <v>0.89300000000000002</v>
      </c>
      <c r="S64" s="25">
        <v>1.31E-3</v>
      </c>
      <c r="T64" s="194"/>
      <c r="U64" s="194"/>
      <c r="V64" s="194"/>
      <c r="W64" s="194"/>
      <c r="X64" s="194"/>
      <c r="Y64" s="194"/>
      <c r="Z64" s="194"/>
      <c r="AA64" s="194"/>
      <c r="AB64" s="194"/>
      <c r="AC64" s="194"/>
      <c r="AD64" s="194"/>
      <c r="AE64" s="194"/>
      <c r="AF64" s="194"/>
      <c r="AG64" s="194"/>
    </row>
    <row r="65" spans="1:33" s="41" customFormat="1" ht="14.25" customHeight="1" x14ac:dyDescent="0.2">
      <c r="A65" s="194"/>
      <c r="B65" s="194"/>
      <c r="C65" s="408"/>
      <c r="D65" s="352" t="s">
        <v>582</v>
      </c>
      <c r="E65" s="35" t="s">
        <v>217</v>
      </c>
      <c r="F65" s="11">
        <v>20</v>
      </c>
      <c r="G65" s="11">
        <v>40</v>
      </c>
      <c r="H65" s="11">
        <v>1.1850000000000001</v>
      </c>
      <c r="I65" s="99" t="s">
        <v>14</v>
      </c>
      <c r="J65" s="95">
        <v>104.639</v>
      </c>
      <c r="K65" s="95">
        <v>134.52799999999999</v>
      </c>
      <c r="L65" s="95">
        <v>44.121000000000002</v>
      </c>
      <c r="M65" s="23">
        <v>0.05</v>
      </c>
      <c r="N65" s="101">
        <v>12.678000000000001</v>
      </c>
      <c r="O65" s="101">
        <v>6.4349999999999996</v>
      </c>
      <c r="P65" s="101">
        <v>6.4349999999999996</v>
      </c>
      <c r="Q65" s="107">
        <v>2.2589999999999999E-2</v>
      </c>
      <c r="R65" s="48">
        <v>0.89300000000000002</v>
      </c>
      <c r="S65" s="25">
        <v>1.31E-3</v>
      </c>
      <c r="T65" s="194"/>
      <c r="U65" s="194"/>
      <c r="V65" s="194"/>
      <c r="W65" s="194"/>
      <c r="X65" s="194"/>
      <c r="Y65" s="194"/>
      <c r="Z65" s="194"/>
      <c r="AA65" s="194"/>
      <c r="AB65" s="194"/>
      <c r="AC65" s="194"/>
      <c r="AD65" s="194"/>
      <c r="AE65" s="194"/>
      <c r="AF65" s="194"/>
      <c r="AG65" s="194"/>
    </row>
    <row r="66" spans="1:33" s="41" customFormat="1" ht="14.25" customHeight="1" x14ac:dyDescent="0.2">
      <c r="A66" s="194"/>
      <c r="B66" s="194"/>
      <c r="C66" s="408"/>
      <c r="D66" s="353" t="s">
        <v>583</v>
      </c>
      <c r="E66" s="202" t="s">
        <v>218</v>
      </c>
      <c r="F66" s="203">
        <v>20</v>
      </c>
      <c r="G66" s="203">
        <v>40</v>
      </c>
      <c r="H66" s="14">
        <v>1.069</v>
      </c>
      <c r="I66" s="204" t="s">
        <v>12</v>
      </c>
      <c r="J66" s="105">
        <v>24</v>
      </c>
      <c r="K66" s="105">
        <v>53.709000000000003</v>
      </c>
      <c r="L66" s="105">
        <v>3.073</v>
      </c>
      <c r="M66" s="129">
        <v>0.01</v>
      </c>
      <c r="N66" s="106">
        <v>3.69</v>
      </c>
      <c r="O66" s="106">
        <v>0.71399999999999997</v>
      </c>
      <c r="P66" s="205">
        <v>0.71399999999999997</v>
      </c>
      <c r="Q66" s="107">
        <v>7.2999999999999996E-4</v>
      </c>
      <c r="R66" s="206">
        <v>0.89300000000000002</v>
      </c>
      <c r="S66" s="207">
        <v>1.31E-3</v>
      </c>
      <c r="T66" s="194"/>
      <c r="U66" s="194"/>
      <c r="V66" s="194"/>
      <c r="W66" s="194"/>
      <c r="X66" s="194"/>
      <c r="Y66" s="194"/>
      <c r="Z66" s="194"/>
      <c r="AA66" s="194"/>
      <c r="AB66" s="194"/>
      <c r="AC66" s="194"/>
      <c r="AD66" s="194"/>
      <c r="AE66" s="194"/>
      <c r="AF66" s="194"/>
      <c r="AG66" s="194"/>
    </row>
    <row r="67" spans="1:33" s="41" customFormat="1" x14ac:dyDescent="0.2">
      <c r="A67" s="194"/>
      <c r="B67" s="194"/>
      <c r="C67" s="208"/>
      <c r="D67" s="208"/>
      <c r="E67" s="209"/>
      <c r="F67" s="210"/>
      <c r="G67" s="212"/>
      <c r="H67" s="213"/>
      <c r="I67" s="214"/>
      <c r="J67" s="215"/>
      <c r="K67" s="215"/>
      <c r="L67" s="215"/>
      <c r="M67" s="216"/>
      <c r="N67" s="215"/>
      <c r="O67" s="215"/>
      <c r="P67" s="215"/>
      <c r="Q67" s="216"/>
      <c r="R67" s="215"/>
      <c r="S67" s="211"/>
      <c r="T67" s="194"/>
      <c r="U67" s="194"/>
      <c r="V67" s="194"/>
      <c r="W67" s="194"/>
      <c r="X67" s="194"/>
      <c r="Y67" s="194"/>
      <c r="Z67" s="194"/>
      <c r="AA67" s="194"/>
      <c r="AB67" s="194"/>
      <c r="AC67" s="194"/>
      <c r="AD67" s="194"/>
      <c r="AE67" s="194"/>
      <c r="AF67" s="194"/>
      <c r="AG67" s="194"/>
    </row>
    <row r="68" spans="1:33" s="41" customFormat="1" x14ac:dyDescent="0.2">
      <c r="A68" s="194"/>
      <c r="B68" s="194"/>
      <c r="C68" s="488" t="s">
        <v>224</v>
      </c>
      <c r="D68" s="489"/>
      <c r="E68" s="489"/>
      <c r="F68" s="489"/>
      <c r="G68" s="489"/>
      <c r="H68" s="489"/>
      <c r="I68" s="489"/>
      <c r="J68" s="489"/>
      <c r="K68" s="489"/>
      <c r="L68" s="489"/>
      <c r="M68" s="489"/>
      <c r="N68" s="489"/>
      <c r="O68" s="489"/>
      <c r="P68" s="489"/>
      <c r="Q68" s="489"/>
      <c r="R68" s="489"/>
      <c r="S68" s="490"/>
      <c r="T68" s="194"/>
      <c r="U68" s="194"/>
      <c r="V68" s="194"/>
      <c r="W68" s="194"/>
      <c r="X68" s="194"/>
      <c r="Y68" s="194"/>
      <c r="Z68" s="194"/>
      <c r="AA68" s="194"/>
      <c r="AB68" s="194"/>
      <c r="AC68" s="194"/>
      <c r="AD68" s="194"/>
      <c r="AE68" s="194"/>
      <c r="AF68" s="194"/>
      <c r="AG68" s="194"/>
    </row>
    <row r="69" spans="1:33" s="41" customFormat="1" ht="12.75" customHeight="1" x14ac:dyDescent="0.2">
      <c r="A69" s="194"/>
      <c r="B69" s="194"/>
      <c r="C69" s="491" t="s">
        <v>445</v>
      </c>
      <c r="D69" s="492"/>
      <c r="E69" s="492"/>
      <c r="F69" s="492"/>
      <c r="G69" s="492"/>
      <c r="H69" s="492"/>
      <c r="I69" s="492"/>
      <c r="J69" s="492"/>
      <c r="K69" s="492"/>
      <c r="L69" s="492"/>
      <c r="M69" s="492"/>
      <c r="N69" s="492"/>
      <c r="O69" s="492"/>
      <c r="P69" s="492"/>
      <c r="Q69" s="492"/>
      <c r="R69" s="492"/>
      <c r="S69" s="493"/>
      <c r="T69" s="194"/>
      <c r="U69" s="194"/>
      <c r="V69" s="194"/>
      <c r="W69" s="194"/>
      <c r="X69" s="194"/>
      <c r="Y69" s="194"/>
      <c r="Z69" s="194"/>
      <c r="AA69" s="194"/>
      <c r="AB69" s="194"/>
      <c r="AC69" s="194"/>
      <c r="AD69" s="194"/>
      <c r="AE69" s="194"/>
      <c r="AF69" s="194"/>
      <c r="AG69" s="194"/>
    </row>
    <row r="70" spans="1:33" s="41" customFormat="1" ht="12.75" customHeight="1" x14ac:dyDescent="0.2">
      <c r="A70" s="194"/>
      <c r="B70" s="194"/>
      <c r="C70" s="298"/>
      <c r="D70" s="299"/>
      <c r="E70" s="299"/>
      <c r="F70" s="299"/>
      <c r="G70" s="299"/>
      <c r="H70" s="299"/>
      <c r="I70" s="299"/>
      <c r="J70" s="299"/>
      <c r="K70" s="299"/>
      <c r="L70" s="299"/>
      <c r="M70" s="299"/>
      <c r="N70" s="299"/>
      <c r="O70" s="299"/>
      <c r="P70" s="299"/>
      <c r="Q70" s="299"/>
      <c r="R70" s="299"/>
      <c r="S70" s="300"/>
      <c r="T70" s="194"/>
      <c r="U70" s="194"/>
      <c r="V70" s="194"/>
      <c r="W70" s="194"/>
      <c r="X70" s="194"/>
      <c r="Y70" s="194"/>
      <c r="Z70" s="194"/>
      <c r="AA70" s="194"/>
      <c r="AB70" s="194"/>
      <c r="AC70" s="194"/>
      <c r="AD70" s="194"/>
      <c r="AE70" s="194"/>
      <c r="AF70" s="194"/>
      <c r="AG70" s="194"/>
    </row>
    <row r="71" spans="1:33" s="41" customFormat="1" ht="23.25" customHeight="1" x14ac:dyDescent="0.2">
      <c r="A71" s="194"/>
      <c r="B71" s="194"/>
      <c r="C71" s="481" t="s">
        <v>225</v>
      </c>
      <c r="D71" s="482"/>
      <c r="E71" s="482"/>
      <c r="F71" s="482"/>
      <c r="G71" s="482"/>
      <c r="H71" s="482"/>
      <c r="I71" s="482"/>
      <c r="J71" s="482"/>
      <c r="K71" s="482"/>
      <c r="L71" s="482"/>
      <c r="M71" s="482"/>
      <c r="N71" s="482"/>
      <c r="O71" s="482"/>
      <c r="P71" s="482"/>
      <c r="Q71" s="482"/>
      <c r="R71" s="482"/>
      <c r="S71" s="483"/>
      <c r="T71" s="194"/>
      <c r="U71" s="194"/>
      <c r="V71" s="194"/>
      <c r="W71" s="194"/>
      <c r="X71" s="194"/>
      <c r="Y71" s="194"/>
      <c r="Z71" s="194"/>
      <c r="AA71" s="194"/>
      <c r="AB71" s="194"/>
      <c r="AC71" s="194"/>
      <c r="AD71" s="194"/>
      <c r="AE71" s="194"/>
      <c r="AF71" s="194"/>
      <c r="AG71" s="194"/>
    </row>
    <row r="72" spans="1:33" s="41" customFormat="1" ht="12.75" customHeight="1" x14ac:dyDescent="0.2">
      <c r="A72" s="194"/>
      <c r="B72" s="194"/>
      <c r="C72" s="271" t="s">
        <v>255</v>
      </c>
      <c r="D72" s="302" t="s">
        <v>233</v>
      </c>
      <c r="E72" s="302"/>
      <c r="F72" s="302"/>
      <c r="G72" s="302"/>
      <c r="H72" s="302"/>
      <c r="I72" s="302"/>
      <c r="J72" s="302"/>
      <c r="K72" s="302"/>
      <c r="L72" s="302"/>
      <c r="M72" s="302"/>
      <c r="N72" s="302"/>
      <c r="O72" s="302"/>
      <c r="P72" s="302"/>
      <c r="Q72" s="302"/>
      <c r="R72" s="302"/>
      <c r="S72" s="303"/>
      <c r="T72" s="194"/>
      <c r="U72" s="194"/>
      <c r="V72" s="194"/>
      <c r="W72" s="194"/>
      <c r="X72" s="194"/>
      <c r="Y72" s="194"/>
      <c r="Z72" s="194"/>
      <c r="AA72" s="194"/>
      <c r="AB72" s="194"/>
      <c r="AC72" s="194"/>
      <c r="AD72" s="194"/>
      <c r="AE72" s="194"/>
      <c r="AF72" s="194"/>
      <c r="AG72" s="194"/>
    </row>
    <row r="73" spans="1:33" s="41" customFormat="1" ht="12.75" customHeight="1" x14ac:dyDescent="0.2">
      <c r="A73" s="194"/>
      <c r="B73" s="194"/>
      <c r="C73" s="271" t="s">
        <v>256</v>
      </c>
      <c r="D73" s="302" t="s">
        <v>232</v>
      </c>
      <c r="E73" s="302"/>
      <c r="F73" s="302"/>
      <c r="G73" s="302"/>
      <c r="H73" s="302"/>
      <c r="I73" s="302"/>
      <c r="J73" s="302"/>
      <c r="K73" s="302"/>
      <c r="L73" s="302"/>
      <c r="M73" s="302"/>
      <c r="N73" s="302"/>
      <c r="O73" s="302"/>
      <c r="P73" s="302"/>
      <c r="Q73" s="302"/>
      <c r="R73" s="302"/>
      <c r="S73" s="303"/>
      <c r="T73" s="194"/>
      <c r="U73" s="194"/>
      <c r="V73" s="194"/>
      <c r="W73" s="194"/>
      <c r="X73" s="194"/>
      <c r="Y73" s="194"/>
      <c r="Z73" s="194"/>
      <c r="AA73" s="194"/>
      <c r="AB73" s="194"/>
      <c r="AC73" s="194"/>
      <c r="AD73" s="194"/>
      <c r="AE73" s="194"/>
      <c r="AF73" s="194"/>
      <c r="AG73" s="194"/>
    </row>
    <row r="74" spans="1:33" s="41" customFormat="1" ht="12.75" customHeight="1" x14ac:dyDescent="0.2">
      <c r="A74" s="194"/>
      <c r="B74" s="194"/>
      <c r="C74" s="399" t="s">
        <v>681</v>
      </c>
      <c r="D74" s="402" t="s">
        <v>682</v>
      </c>
      <c r="E74" s="400"/>
      <c r="F74" s="400"/>
      <c r="G74" s="400"/>
      <c r="H74" s="400"/>
      <c r="I74" s="400"/>
      <c r="J74" s="400"/>
      <c r="K74" s="400"/>
      <c r="L74" s="400"/>
      <c r="M74" s="400"/>
      <c r="N74" s="400"/>
      <c r="O74" s="400"/>
      <c r="P74" s="400"/>
      <c r="Q74" s="400"/>
      <c r="R74" s="400"/>
      <c r="S74" s="401"/>
      <c r="T74" s="194"/>
      <c r="U74" s="194"/>
      <c r="V74" s="194"/>
      <c r="W74" s="194"/>
      <c r="X74" s="194"/>
      <c r="Y74" s="194"/>
      <c r="Z74" s="194"/>
      <c r="AA74" s="194"/>
      <c r="AB74" s="194"/>
      <c r="AC74" s="194"/>
      <c r="AD74" s="194"/>
      <c r="AE74" s="194"/>
      <c r="AF74" s="194"/>
      <c r="AG74" s="194"/>
    </row>
    <row r="75" spans="1:33" s="41" customFormat="1" ht="12.75" customHeight="1" x14ac:dyDescent="0.2">
      <c r="A75" s="194"/>
      <c r="B75" s="194"/>
      <c r="C75" s="271" t="s">
        <v>273</v>
      </c>
      <c r="D75" s="302" t="s">
        <v>446</v>
      </c>
      <c r="E75" s="302"/>
      <c r="F75" s="302"/>
      <c r="G75" s="302"/>
      <c r="H75" s="302"/>
      <c r="I75" s="302"/>
      <c r="J75" s="302"/>
      <c r="K75" s="302"/>
      <c r="L75" s="302"/>
      <c r="M75" s="302"/>
      <c r="N75" s="302"/>
      <c r="O75" s="302"/>
      <c r="P75" s="302"/>
      <c r="Q75" s="302"/>
      <c r="R75" s="302"/>
      <c r="S75" s="303"/>
      <c r="T75" s="194"/>
      <c r="U75" s="194"/>
      <c r="V75" s="194"/>
      <c r="W75" s="194"/>
      <c r="X75" s="194"/>
      <c r="Y75" s="194"/>
      <c r="Z75" s="194"/>
      <c r="AA75" s="194"/>
      <c r="AB75" s="194"/>
      <c r="AC75" s="194"/>
      <c r="AD75" s="194"/>
      <c r="AE75" s="194"/>
      <c r="AF75" s="194"/>
      <c r="AG75" s="194"/>
    </row>
    <row r="76" spans="1:33" s="41" customFormat="1" ht="12.75" customHeight="1" x14ac:dyDescent="0.2">
      <c r="A76" s="194"/>
      <c r="B76" s="194"/>
      <c r="C76" s="271"/>
      <c r="D76" s="302"/>
      <c r="E76" s="272"/>
      <c r="F76" s="272"/>
      <c r="G76" s="272"/>
      <c r="H76" s="272"/>
      <c r="I76" s="272"/>
      <c r="J76" s="272"/>
      <c r="K76" s="272"/>
      <c r="L76" s="272"/>
      <c r="M76" s="272"/>
      <c r="N76" s="272"/>
      <c r="O76" s="272"/>
      <c r="P76" s="272"/>
      <c r="Q76" s="272"/>
      <c r="R76" s="272"/>
      <c r="S76" s="273"/>
      <c r="T76" s="194"/>
      <c r="U76" s="194"/>
      <c r="V76" s="194"/>
      <c r="W76" s="194"/>
      <c r="X76" s="194"/>
      <c r="Y76" s="194"/>
      <c r="Z76" s="194"/>
      <c r="AA76" s="194"/>
      <c r="AB76" s="194"/>
      <c r="AC76" s="194"/>
      <c r="AD76" s="194"/>
      <c r="AE76" s="194"/>
      <c r="AF76" s="194"/>
      <c r="AG76" s="194"/>
    </row>
    <row r="77" spans="1:33" s="41" customFormat="1" ht="12.75" customHeight="1" x14ac:dyDescent="0.2">
      <c r="A77" s="194"/>
      <c r="B77" s="194"/>
      <c r="C77" s="274"/>
      <c r="D77" s="470" t="s">
        <v>229</v>
      </c>
      <c r="E77" s="470"/>
      <c r="F77" s="470"/>
      <c r="G77" s="470"/>
      <c r="H77" s="470"/>
      <c r="I77" s="470"/>
      <c r="J77" s="470"/>
      <c r="K77" s="470"/>
      <c r="L77" s="470"/>
      <c r="M77" s="470"/>
      <c r="N77" s="470"/>
      <c r="O77" s="470"/>
      <c r="P77" s="470"/>
      <c r="Q77" s="470"/>
      <c r="R77" s="470"/>
      <c r="S77" s="471"/>
      <c r="T77" s="194"/>
      <c r="U77" s="194"/>
      <c r="V77" s="194"/>
      <c r="W77" s="194"/>
      <c r="X77" s="194"/>
      <c r="Y77" s="194"/>
      <c r="Z77" s="194"/>
      <c r="AA77" s="194"/>
      <c r="AB77" s="194"/>
      <c r="AC77" s="194"/>
      <c r="AD77" s="194"/>
      <c r="AE77" s="194"/>
      <c r="AF77" s="194"/>
      <c r="AG77" s="194"/>
    </row>
    <row r="78" spans="1:33" s="41" customFormat="1" ht="23.25" customHeight="1" x14ac:dyDescent="0.2">
      <c r="A78" s="194"/>
      <c r="B78" s="194"/>
      <c r="C78" s="481" t="s">
        <v>169</v>
      </c>
      <c r="D78" s="482"/>
      <c r="E78" s="482"/>
      <c r="F78" s="482"/>
      <c r="G78" s="482"/>
      <c r="H78" s="482"/>
      <c r="I78" s="482"/>
      <c r="J78" s="482"/>
      <c r="K78" s="482"/>
      <c r="L78" s="482"/>
      <c r="M78" s="482"/>
      <c r="N78" s="482"/>
      <c r="O78" s="482"/>
      <c r="P78" s="482"/>
      <c r="Q78" s="482"/>
      <c r="R78" s="482"/>
      <c r="S78" s="483"/>
      <c r="T78" s="194"/>
      <c r="U78" s="194"/>
      <c r="V78" s="194"/>
      <c r="W78" s="194"/>
      <c r="X78" s="194"/>
      <c r="Y78" s="194"/>
      <c r="Z78" s="194"/>
      <c r="AA78" s="194"/>
      <c r="AB78" s="194"/>
      <c r="AC78" s="194"/>
      <c r="AD78" s="194"/>
      <c r="AE78" s="194"/>
      <c r="AF78" s="194"/>
      <c r="AG78" s="194"/>
    </row>
    <row r="79" spans="1:33" s="41" customFormat="1" ht="12.75" customHeight="1" x14ac:dyDescent="0.2">
      <c r="A79" s="194"/>
      <c r="B79" s="194"/>
      <c r="C79" s="480" t="s">
        <v>266</v>
      </c>
      <c r="D79" s="475" t="s">
        <v>622</v>
      </c>
      <c r="E79" s="475"/>
      <c r="F79" s="475"/>
      <c r="G79" s="475"/>
      <c r="H79" s="475"/>
      <c r="I79" s="475"/>
      <c r="J79" s="475"/>
      <c r="K79" s="475"/>
      <c r="L79" s="475"/>
      <c r="M79" s="475"/>
      <c r="N79" s="475"/>
      <c r="O79" s="475"/>
      <c r="P79" s="475"/>
      <c r="Q79" s="475"/>
      <c r="R79" s="475"/>
      <c r="S79" s="476"/>
      <c r="T79" s="194"/>
      <c r="U79" s="194"/>
      <c r="V79" s="194"/>
      <c r="W79" s="194"/>
      <c r="X79" s="194"/>
      <c r="Y79" s="194"/>
      <c r="Z79" s="194"/>
      <c r="AA79" s="194"/>
      <c r="AB79" s="194"/>
      <c r="AC79" s="194"/>
      <c r="AD79" s="194"/>
      <c r="AE79" s="194"/>
      <c r="AF79" s="194"/>
      <c r="AG79" s="194"/>
    </row>
    <row r="80" spans="1:33" s="41" customFormat="1" ht="15.75" customHeight="1" x14ac:dyDescent="0.2">
      <c r="A80" s="194"/>
      <c r="B80" s="194"/>
      <c r="C80" s="480"/>
      <c r="D80" s="475"/>
      <c r="E80" s="475"/>
      <c r="F80" s="475"/>
      <c r="G80" s="475"/>
      <c r="H80" s="475"/>
      <c r="I80" s="475"/>
      <c r="J80" s="475"/>
      <c r="K80" s="475"/>
      <c r="L80" s="475"/>
      <c r="M80" s="475"/>
      <c r="N80" s="475"/>
      <c r="O80" s="475"/>
      <c r="P80" s="475"/>
      <c r="Q80" s="475"/>
      <c r="R80" s="475"/>
      <c r="S80" s="476"/>
      <c r="T80" s="194"/>
      <c r="U80" s="194"/>
      <c r="V80" s="194"/>
      <c r="W80" s="194"/>
      <c r="X80" s="194"/>
      <c r="Y80" s="194"/>
      <c r="Z80" s="194"/>
      <c r="AA80" s="194"/>
      <c r="AB80" s="194"/>
      <c r="AC80" s="194"/>
      <c r="AD80" s="194"/>
      <c r="AE80" s="194"/>
      <c r="AF80" s="194"/>
      <c r="AG80" s="194"/>
    </row>
    <row r="81" spans="1:59" s="41" customFormat="1" ht="12.75" customHeight="1" x14ac:dyDescent="0.2">
      <c r="A81" s="194"/>
      <c r="B81" s="194"/>
      <c r="C81" s="480" t="s">
        <v>265</v>
      </c>
      <c r="D81" s="475" t="s">
        <v>685</v>
      </c>
      <c r="E81" s="475"/>
      <c r="F81" s="475"/>
      <c r="G81" s="475"/>
      <c r="H81" s="475"/>
      <c r="I81" s="475"/>
      <c r="J81" s="475"/>
      <c r="K81" s="475"/>
      <c r="L81" s="475"/>
      <c r="M81" s="475"/>
      <c r="N81" s="475"/>
      <c r="O81" s="475"/>
      <c r="P81" s="475"/>
      <c r="Q81" s="475"/>
      <c r="R81" s="475"/>
      <c r="S81" s="476"/>
      <c r="T81" s="194"/>
      <c r="U81" s="194"/>
      <c r="V81" s="194"/>
      <c r="W81" s="194"/>
      <c r="X81" s="194"/>
      <c r="Y81" s="194"/>
      <c r="Z81" s="194"/>
      <c r="AA81" s="194"/>
      <c r="AB81" s="194"/>
      <c r="AC81" s="194"/>
      <c r="AD81" s="194"/>
      <c r="AE81" s="194"/>
      <c r="AF81" s="194"/>
      <c r="AG81" s="194"/>
      <c r="AH81" s="43"/>
      <c r="AI81" s="43"/>
      <c r="AJ81" s="43"/>
      <c r="AK81" s="43"/>
      <c r="AL81" s="43"/>
      <c r="AM81" s="43"/>
      <c r="AN81" s="43"/>
    </row>
    <row r="82" spans="1:59" s="41" customFormat="1" ht="19.5" customHeight="1" x14ac:dyDescent="0.2">
      <c r="A82" s="194"/>
      <c r="B82" s="194"/>
      <c r="C82" s="480"/>
      <c r="D82" s="475"/>
      <c r="E82" s="475"/>
      <c r="F82" s="475"/>
      <c r="G82" s="475"/>
      <c r="H82" s="475"/>
      <c r="I82" s="475"/>
      <c r="J82" s="475"/>
      <c r="K82" s="475"/>
      <c r="L82" s="475"/>
      <c r="M82" s="475"/>
      <c r="N82" s="475"/>
      <c r="O82" s="475"/>
      <c r="P82" s="475"/>
      <c r="Q82" s="475"/>
      <c r="R82" s="475"/>
      <c r="S82" s="476"/>
      <c r="T82" s="194"/>
      <c r="U82" s="194"/>
      <c r="V82" s="194"/>
      <c r="W82" s="194"/>
      <c r="X82" s="194"/>
      <c r="Y82" s="194"/>
      <c r="Z82" s="194"/>
      <c r="AA82" s="194"/>
      <c r="AB82" s="194"/>
      <c r="AC82" s="194"/>
      <c r="AD82" s="194"/>
      <c r="AE82" s="194"/>
      <c r="AF82" s="194"/>
      <c r="AG82" s="194"/>
      <c r="AH82" s="43"/>
      <c r="AI82" s="43"/>
      <c r="AJ82" s="43"/>
      <c r="AK82" s="43"/>
      <c r="AL82" s="43"/>
      <c r="AM82" s="43"/>
      <c r="AN82" s="43"/>
      <c r="AO82" s="74"/>
      <c r="AP82" s="74"/>
      <c r="AQ82" s="74"/>
      <c r="AR82" s="74"/>
      <c r="AS82" s="74"/>
      <c r="AT82" s="74"/>
      <c r="AU82" s="74"/>
      <c r="AV82" s="74"/>
      <c r="AW82" s="74"/>
      <c r="AX82" s="74"/>
      <c r="AY82" s="74"/>
      <c r="AZ82" s="74"/>
      <c r="BA82" s="74"/>
      <c r="BB82" s="74"/>
      <c r="BC82" s="74"/>
      <c r="BD82" s="74"/>
      <c r="BE82" s="74"/>
      <c r="BF82" s="74"/>
      <c r="BG82" s="74"/>
    </row>
    <row r="83" spans="1:59" s="41" customFormat="1" ht="19.5" customHeight="1" x14ac:dyDescent="0.2">
      <c r="A83" s="194"/>
      <c r="B83" s="194"/>
      <c r="C83" s="405" t="s">
        <v>683</v>
      </c>
      <c r="D83" s="475" t="s">
        <v>684</v>
      </c>
      <c r="E83" s="475"/>
      <c r="F83" s="475"/>
      <c r="G83" s="475"/>
      <c r="H83" s="475"/>
      <c r="I83" s="475"/>
      <c r="J83" s="475"/>
      <c r="K83" s="475"/>
      <c r="L83" s="475"/>
      <c r="M83" s="475"/>
      <c r="N83" s="475"/>
      <c r="O83" s="475"/>
      <c r="P83" s="475"/>
      <c r="Q83" s="475"/>
      <c r="R83" s="475"/>
      <c r="S83" s="476"/>
      <c r="T83" s="194"/>
      <c r="U83" s="194"/>
      <c r="V83" s="194"/>
      <c r="W83" s="194"/>
      <c r="X83" s="194"/>
      <c r="Y83" s="194"/>
      <c r="Z83" s="194"/>
      <c r="AA83" s="194"/>
      <c r="AB83" s="194"/>
      <c r="AC83" s="194"/>
      <c r="AD83" s="194"/>
      <c r="AE83" s="194"/>
      <c r="AF83" s="194"/>
      <c r="AG83" s="194"/>
      <c r="AH83" s="43"/>
      <c r="AI83" s="43"/>
      <c r="AJ83" s="43"/>
      <c r="AK83" s="43"/>
      <c r="AL83" s="43"/>
      <c r="AM83" s="43"/>
      <c r="AN83" s="43"/>
      <c r="AO83" s="74"/>
      <c r="AP83" s="74"/>
      <c r="AQ83" s="74"/>
      <c r="AR83" s="74"/>
      <c r="AS83" s="74"/>
      <c r="AT83" s="74"/>
      <c r="AU83" s="74"/>
      <c r="AV83" s="74"/>
      <c r="AW83" s="74"/>
      <c r="AX83" s="74"/>
      <c r="AY83" s="74"/>
      <c r="AZ83" s="74"/>
      <c r="BA83" s="74"/>
      <c r="BB83" s="74"/>
      <c r="BC83" s="74"/>
      <c r="BD83" s="74"/>
      <c r="BE83" s="74"/>
      <c r="BF83" s="74"/>
      <c r="BG83" s="74"/>
    </row>
    <row r="84" spans="1:59" s="19" customFormat="1" ht="12.75" customHeight="1" x14ac:dyDescent="0.2">
      <c r="A84" s="194"/>
      <c r="B84" s="194"/>
      <c r="C84" s="469" t="s">
        <v>270</v>
      </c>
      <c r="D84" s="477" t="s">
        <v>686</v>
      </c>
      <c r="E84" s="477"/>
      <c r="F84" s="477"/>
      <c r="G84" s="477"/>
      <c r="H84" s="477"/>
      <c r="I84" s="477"/>
      <c r="J84" s="477"/>
      <c r="K84" s="477"/>
      <c r="L84" s="477"/>
      <c r="M84" s="477"/>
      <c r="N84" s="477"/>
      <c r="O84" s="477"/>
      <c r="P84" s="477"/>
      <c r="Q84" s="477"/>
      <c r="R84" s="477"/>
      <c r="S84" s="478"/>
      <c r="T84" s="194"/>
      <c r="U84" s="194"/>
      <c r="V84" s="194"/>
      <c r="W84" s="194"/>
      <c r="X84" s="194"/>
      <c r="Y84" s="194"/>
      <c r="Z84" s="194"/>
      <c r="AA84" s="194"/>
      <c r="AB84" s="194"/>
      <c r="AC84" s="194"/>
      <c r="AD84" s="194"/>
      <c r="AE84" s="194"/>
      <c r="AF84" s="194"/>
      <c r="AG84" s="194"/>
      <c r="AH84" s="494"/>
      <c r="AI84" s="494"/>
      <c r="AJ84" s="494"/>
      <c r="AK84" s="494"/>
      <c r="AL84" s="494"/>
      <c r="AM84" s="494"/>
      <c r="AO84" s="198"/>
      <c r="AP84" s="494"/>
      <c r="AQ84" s="494"/>
      <c r="AR84" s="494"/>
      <c r="AS84" s="494"/>
      <c r="AT84" s="494"/>
      <c r="AU84" s="494"/>
      <c r="AV84" s="494"/>
      <c r="AW84" s="494"/>
      <c r="AX84" s="494"/>
      <c r="AY84" s="494"/>
      <c r="AZ84" s="494"/>
      <c r="BA84" s="494"/>
      <c r="BB84" s="494"/>
      <c r="BC84" s="494"/>
      <c r="BD84" s="494"/>
      <c r="BE84" s="494"/>
      <c r="BF84" s="494"/>
      <c r="BG84" s="494"/>
    </row>
    <row r="85" spans="1:59" s="19" customFormat="1" ht="18" customHeight="1" x14ac:dyDescent="0.2">
      <c r="A85" s="194"/>
      <c r="B85" s="194"/>
      <c r="C85" s="469"/>
      <c r="D85" s="477"/>
      <c r="E85" s="477"/>
      <c r="F85" s="477"/>
      <c r="G85" s="477"/>
      <c r="H85" s="477"/>
      <c r="I85" s="477"/>
      <c r="J85" s="477"/>
      <c r="K85" s="477"/>
      <c r="L85" s="477"/>
      <c r="M85" s="477"/>
      <c r="N85" s="477"/>
      <c r="O85" s="477"/>
      <c r="P85" s="477"/>
      <c r="Q85" s="477"/>
      <c r="R85" s="477"/>
      <c r="S85" s="478"/>
      <c r="T85" s="194"/>
      <c r="U85" s="194"/>
      <c r="V85" s="194"/>
      <c r="W85" s="194"/>
      <c r="X85" s="194"/>
      <c r="Y85" s="194"/>
      <c r="Z85" s="194"/>
      <c r="AA85" s="194"/>
      <c r="AB85" s="194"/>
      <c r="AC85" s="194"/>
      <c r="AD85" s="194"/>
      <c r="AE85" s="194"/>
      <c r="AF85" s="194"/>
      <c r="AG85" s="194"/>
      <c r="AH85" s="246"/>
      <c r="AI85" s="246"/>
      <c r="AJ85" s="246"/>
      <c r="AK85" s="246"/>
      <c r="AL85" s="246"/>
      <c r="AM85" s="246"/>
      <c r="AO85" s="198"/>
      <c r="AP85" s="246"/>
      <c r="AQ85" s="246"/>
      <c r="AR85" s="246"/>
      <c r="AS85" s="246"/>
      <c r="AT85" s="246"/>
      <c r="AU85" s="246"/>
      <c r="AV85" s="246"/>
      <c r="AW85" s="246"/>
      <c r="AX85" s="246"/>
      <c r="AY85" s="246"/>
      <c r="AZ85" s="246"/>
      <c r="BA85" s="246"/>
      <c r="BB85" s="246"/>
      <c r="BC85" s="246"/>
      <c r="BD85" s="246"/>
      <c r="BE85" s="246"/>
      <c r="BF85" s="246"/>
      <c r="BG85" s="246"/>
    </row>
    <row r="86" spans="1:59" s="19" customFormat="1" ht="15.75" customHeight="1" x14ac:dyDescent="0.2">
      <c r="A86" s="194"/>
      <c r="B86" s="194"/>
      <c r="C86" s="469" t="s">
        <v>621</v>
      </c>
      <c r="D86" s="470"/>
      <c r="E86" s="470"/>
      <c r="F86" s="470"/>
      <c r="G86" s="470"/>
      <c r="H86" s="470"/>
      <c r="I86" s="470"/>
      <c r="J86" s="470"/>
      <c r="K86" s="470"/>
      <c r="L86" s="470"/>
      <c r="M86" s="470"/>
      <c r="N86" s="470"/>
      <c r="O86" s="470"/>
      <c r="P86" s="470"/>
      <c r="Q86" s="470"/>
      <c r="R86" s="470"/>
      <c r="S86" s="471"/>
      <c r="T86" s="194"/>
      <c r="U86" s="194"/>
      <c r="V86" s="194"/>
      <c r="W86" s="194"/>
      <c r="X86" s="194"/>
      <c r="Y86" s="194"/>
      <c r="Z86" s="194"/>
      <c r="AA86" s="194"/>
      <c r="AB86" s="194"/>
      <c r="AC86" s="194"/>
      <c r="AD86" s="194"/>
      <c r="AE86" s="194"/>
      <c r="AF86" s="194"/>
      <c r="AG86" s="194"/>
      <c r="AH86" s="406"/>
      <c r="AI86" s="406"/>
      <c r="AJ86" s="406"/>
      <c r="AK86" s="406"/>
      <c r="AL86" s="406"/>
      <c r="AM86" s="406"/>
      <c r="AO86" s="198"/>
      <c r="AP86" s="406"/>
      <c r="AQ86" s="406"/>
      <c r="AR86" s="406"/>
      <c r="AS86" s="406"/>
      <c r="AT86" s="406"/>
      <c r="AU86" s="406"/>
      <c r="AV86" s="406"/>
      <c r="AW86" s="406"/>
      <c r="AX86" s="406"/>
      <c r="AY86" s="406"/>
      <c r="AZ86" s="406"/>
      <c r="BA86" s="406"/>
      <c r="BB86" s="406"/>
      <c r="BC86" s="406"/>
      <c r="BD86" s="406"/>
      <c r="BE86" s="406"/>
      <c r="BF86" s="406"/>
      <c r="BG86" s="406"/>
    </row>
    <row r="87" spans="1:59" s="19" customFormat="1" ht="12.75" customHeight="1" x14ac:dyDescent="0.2">
      <c r="A87" s="194"/>
      <c r="B87" s="194"/>
      <c r="C87" s="271"/>
      <c r="D87" s="302"/>
      <c r="E87" s="302"/>
      <c r="F87" s="302"/>
      <c r="G87" s="302"/>
      <c r="H87" s="302"/>
      <c r="I87" s="302"/>
      <c r="J87" s="302"/>
      <c r="K87" s="302"/>
      <c r="L87" s="302"/>
      <c r="M87" s="302"/>
      <c r="N87" s="302"/>
      <c r="O87" s="302"/>
      <c r="P87" s="302"/>
      <c r="Q87" s="302"/>
      <c r="R87" s="302"/>
      <c r="S87" s="303"/>
      <c r="T87" s="194"/>
      <c r="U87" s="194"/>
      <c r="V87" s="194"/>
      <c r="W87" s="194"/>
      <c r="X87" s="194"/>
      <c r="Y87" s="194"/>
      <c r="Z87" s="194"/>
      <c r="AA87" s="194"/>
      <c r="AB87" s="194"/>
      <c r="AC87" s="194"/>
      <c r="AD87" s="194"/>
      <c r="AE87" s="194"/>
      <c r="AF87" s="194"/>
      <c r="AG87" s="194"/>
      <c r="AH87" s="246"/>
      <c r="AI87" s="246"/>
      <c r="AJ87" s="246"/>
      <c r="AK87" s="246"/>
      <c r="AL87" s="246"/>
      <c r="AM87" s="246"/>
      <c r="AO87" s="198"/>
      <c r="AP87" s="246"/>
      <c r="AQ87" s="246"/>
      <c r="AR87" s="246"/>
      <c r="AS87" s="246"/>
      <c r="AT87" s="246"/>
      <c r="AU87" s="246"/>
      <c r="AV87" s="246"/>
      <c r="AW87" s="246"/>
      <c r="AX87" s="246"/>
      <c r="AY87" s="246"/>
      <c r="AZ87" s="246"/>
      <c r="BA87" s="246"/>
      <c r="BB87" s="246"/>
      <c r="BC87" s="246"/>
      <c r="BD87" s="246"/>
      <c r="BE87" s="246"/>
      <c r="BF87" s="246"/>
      <c r="BG87" s="246"/>
    </row>
    <row r="88" spans="1:59" s="19" customFormat="1" ht="23.25" customHeight="1" x14ac:dyDescent="0.2">
      <c r="A88" s="194"/>
      <c r="B88" s="194"/>
      <c r="C88" s="301" t="s">
        <v>285</v>
      </c>
      <c r="D88" s="350"/>
      <c r="E88" s="302"/>
      <c r="F88" s="302"/>
      <c r="G88" s="302"/>
      <c r="H88" s="302"/>
      <c r="I88" s="302"/>
      <c r="J88" s="302"/>
      <c r="K88" s="302"/>
      <c r="L88" s="302"/>
      <c r="M88" s="302"/>
      <c r="N88" s="302"/>
      <c r="O88" s="302"/>
      <c r="P88" s="302"/>
      <c r="Q88" s="302"/>
      <c r="R88" s="302"/>
      <c r="S88" s="303"/>
      <c r="T88" s="194"/>
      <c r="U88" s="194"/>
      <c r="V88" s="194"/>
      <c r="W88" s="194"/>
      <c r="X88" s="194"/>
      <c r="Y88" s="194"/>
      <c r="Z88" s="194"/>
      <c r="AA88" s="194"/>
      <c r="AB88" s="194"/>
      <c r="AC88" s="194"/>
      <c r="AD88" s="194"/>
      <c r="AE88" s="194"/>
      <c r="AF88" s="194"/>
      <c r="AG88" s="194"/>
      <c r="AH88" s="246"/>
      <c r="AI88" s="246"/>
      <c r="AJ88" s="246"/>
      <c r="AK88" s="246"/>
      <c r="AL88" s="246"/>
      <c r="AM88" s="246"/>
      <c r="AO88" s="198"/>
      <c r="AP88" s="246"/>
      <c r="AQ88" s="246"/>
      <c r="AR88" s="246"/>
      <c r="AS88" s="246"/>
      <c r="AT88" s="246"/>
      <c r="AU88" s="246"/>
      <c r="AV88" s="246"/>
      <c r="AW88" s="246"/>
      <c r="AX88" s="246"/>
      <c r="AY88" s="246"/>
      <c r="AZ88" s="246"/>
      <c r="BA88" s="246"/>
      <c r="BB88" s="246"/>
      <c r="BC88" s="246"/>
      <c r="BD88" s="246"/>
      <c r="BE88" s="246"/>
      <c r="BF88" s="246"/>
      <c r="BG88" s="246"/>
    </row>
    <row r="89" spans="1:59" s="19" customFormat="1" ht="59.25" customHeight="1" x14ac:dyDescent="0.2">
      <c r="A89" s="194"/>
      <c r="B89" s="194"/>
      <c r="C89" s="472" t="s">
        <v>447</v>
      </c>
      <c r="D89" s="473"/>
      <c r="E89" s="473"/>
      <c r="F89" s="473"/>
      <c r="G89" s="473"/>
      <c r="H89" s="473"/>
      <c r="I89" s="473"/>
      <c r="J89" s="473"/>
      <c r="K89" s="473"/>
      <c r="L89" s="473"/>
      <c r="M89" s="473"/>
      <c r="N89" s="473"/>
      <c r="O89" s="473"/>
      <c r="P89" s="473"/>
      <c r="Q89" s="473"/>
      <c r="R89" s="473"/>
      <c r="S89" s="474"/>
      <c r="T89" s="194"/>
      <c r="U89" s="194"/>
      <c r="V89" s="194"/>
      <c r="W89" s="194"/>
      <c r="X89" s="194"/>
      <c r="Y89" s="194"/>
      <c r="Z89" s="194"/>
      <c r="AA89" s="194"/>
      <c r="AB89" s="194"/>
      <c r="AC89" s="194"/>
      <c r="AD89" s="194"/>
      <c r="AE89" s="194"/>
      <c r="AF89" s="194"/>
      <c r="AG89" s="194"/>
      <c r="AH89" s="246"/>
      <c r="AI89" s="246"/>
      <c r="AJ89" s="246"/>
      <c r="AK89" s="246"/>
      <c r="AL89" s="246"/>
      <c r="AM89" s="246"/>
      <c r="AO89" s="198"/>
      <c r="AP89" s="246"/>
      <c r="AQ89" s="246"/>
      <c r="AR89" s="246"/>
      <c r="AS89" s="246"/>
      <c r="AT89" s="246"/>
      <c r="AU89" s="246"/>
      <c r="AV89" s="246"/>
      <c r="AW89" s="246"/>
      <c r="AX89" s="246"/>
      <c r="AY89" s="246"/>
      <c r="AZ89" s="246"/>
      <c r="BA89" s="246"/>
      <c r="BB89" s="246"/>
      <c r="BC89" s="246"/>
      <c r="BD89" s="246"/>
      <c r="BE89" s="246"/>
      <c r="BF89" s="246"/>
      <c r="BG89" s="246"/>
    </row>
    <row r="90" spans="1:59" s="19" customFormat="1" x14ac:dyDescent="0.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246"/>
      <c r="AI90" s="63"/>
      <c r="AJ90" s="63"/>
      <c r="AK90" s="63"/>
      <c r="AL90" s="63"/>
      <c r="AM90" s="63"/>
      <c r="AO90" s="198"/>
      <c r="AP90" s="494"/>
      <c r="AQ90" s="494"/>
      <c r="AR90" s="494"/>
      <c r="AS90" s="494"/>
      <c r="AT90" s="494"/>
      <c r="AU90" s="494"/>
      <c r="AV90" s="494"/>
      <c r="AW90" s="494"/>
      <c r="AX90" s="494"/>
      <c r="AY90" s="494"/>
      <c r="AZ90" s="494"/>
      <c r="BA90" s="494"/>
      <c r="BB90" s="494"/>
      <c r="BC90" s="494"/>
      <c r="BD90" s="494"/>
      <c r="BE90" s="494"/>
      <c r="BF90" s="494"/>
      <c r="BG90" s="494"/>
    </row>
    <row r="91" spans="1:59" s="19" customFormat="1" x14ac:dyDescent="0.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63"/>
      <c r="AI91" s="63"/>
      <c r="AJ91" s="63"/>
      <c r="AK91" s="63"/>
      <c r="AL91" s="63"/>
      <c r="AM91" s="63"/>
      <c r="AO91" s="198"/>
      <c r="AP91" s="494"/>
      <c r="AQ91" s="494"/>
      <c r="AR91" s="494"/>
      <c r="AS91" s="494"/>
      <c r="AT91" s="494"/>
      <c r="AU91" s="494"/>
      <c r="AV91" s="494"/>
      <c r="AW91" s="494"/>
      <c r="AX91" s="494"/>
      <c r="AY91" s="494"/>
      <c r="AZ91" s="494"/>
      <c r="BA91" s="494"/>
      <c r="BB91" s="494"/>
      <c r="BC91" s="494"/>
      <c r="BD91" s="494"/>
      <c r="BE91" s="494"/>
      <c r="BF91" s="494"/>
      <c r="BG91" s="494"/>
    </row>
    <row r="92" spans="1:59" s="19" customFormat="1" ht="14.25" customHeight="1" x14ac:dyDescent="0.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64"/>
      <c r="AI92" s="64"/>
      <c r="AJ92" s="64"/>
      <c r="AK92" s="64"/>
      <c r="AL92" s="64"/>
      <c r="AM92" s="64"/>
      <c r="AO92" s="198"/>
      <c r="AP92" s="494"/>
      <c r="AQ92" s="494"/>
      <c r="AR92" s="494"/>
      <c r="AS92" s="494"/>
      <c r="AT92" s="494"/>
      <c r="AU92" s="494"/>
      <c r="AV92" s="495"/>
      <c r="AW92" s="183"/>
      <c r="AX92" s="199"/>
      <c r="AY92" s="199"/>
      <c r="AZ92" s="199"/>
      <c r="BA92" s="199"/>
      <c r="BB92" s="494"/>
      <c r="BC92" s="183"/>
      <c r="BD92" s="183"/>
      <c r="BE92" s="199"/>
      <c r="BF92" s="199"/>
      <c r="BG92" s="199"/>
    </row>
    <row r="93" spans="1:59" s="41" customFormat="1" x14ac:dyDescent="0.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O93" s="74"/>
      <c r="AP93" s="74"/>
      <c r="AQ93" s="74"/>
      <c r="AR93" s="74"/>
      <c r="AS93" s="74"/>
      <c r="AT93" s="74"/>
      <c r="AU93" s="74"/>
      <c r="AV93" s="74"/>
      <c r="AW93" s="74"/>
      <c r="AX93" s="74"/>
      <c r="AY93" s="74"/>
      <c r="AZ93" s="74"/>
      <c r="BA93" s="74"/>
      <c r="BB93" s="74"/>
      <c r="BC93" s="74"/>
      <c r="BD93" s="74"/>
      <c r="BE93" s="74"/>
      <c r="BF93" s="74"/>
      <c r="BG93" s="74"/>
    </row>
    <row r="94" spans="1:59" s="41" customFormat="1" x14ac:dyDescent="0.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O94" s="74"/>
      <c r="AP94" s="74"/>
      <c r="AQ94" s="74"/>
      <c r="AR94" s="74"/>
      <c r="AS94" s="74"/>
      <c r="AT94" s="74"/>
      <c r="AU94" s="74"/>
      <c r="AV94" s="74"/>
      <c r="AW94" s="74"/>
      <c r="AX94" s="74"/>
      <c r="AY94" s="74"/>
      <c r="AZ94" s="74"/>
      <c r="BA94" s="74"/>
      <c r="BB94" s="74"/>
      <c r="BC94" s="74"/>
      <c r="BD94" s="74"/>
      <c r="BE94" s="74"/>
      <c r="BF94" s="74"/>
      <c r="BG94" s="74"/>
    </row>
    <row r="95" spans="1:59" s="41" customFormat="1" x14ac:dyDescent="0.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row>
    <row r="96" spans="1:59" s="41" customFormat="1" x14ac:dyDescent="0.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row>
    <row r="97" spans="1:33" s="41" customFormat="1" x14ac:dyDescent="0.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row>
    <row r="98" spans="1:33" s="41" customFormat="1" x14ac:dyDescent="0.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row>
    <row r="99" spans="1:33" s="41" customFormat="1" x14ac:dyDescent="0.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row>
    <row r="100" spans="1:33" s="41" customFormat="1" x14ac:dyDescent="0.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row>
    <row r="101" spans="1:33" s="41" customFormat="1" x14ac:dyDescent="0.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row>
    <row r="102" spans="1:33" s="41" customFormat="1" x14ac:dyDescent="0.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row>
    <row r="103" spans="1:33" s="41" customFormat="1" x14ac:dyDescent="0.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row>
    <row r="104" spans="1:33" s="41" customFormat="1" x14ac:dyDescent="0.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row>
    <row r="105" spans="1:33" s="41" customFormat="1" x14ac:dyDescent="0.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row>
    <row r="106" spans="1:33" s="41" customFormat="1" x14ac:dyDescent="0.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row>
    <row r="107" spans="1:33" s="41" customFormat="1" x14ac:dyDescent="0.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row>
    <row r="108" spans="1:33" s="41" customFormat="1" x14ac:dyDescent="0.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row>
    <row r="109" spans="1:33" s="41" customFormat="1" x14ac:dyDescent="0.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row>
    <row r="110" spans="1:33" s="41" customFormat="1" x14ac:dyDescent="0.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row>
    <row r="111" spans="1:33" s="41" customFormat="1" x14ac:dyDescent="0.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row>
    <row r="112" spans="1:33" s="41" customFormat="1" x14ac:dyDescent="0.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row>
    <row r="113" spans="1:33" s="41" customFormat="1" x14ac:dyDescent="0.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row>
    <row r="114" spans="1:33" s="41" customFormat="1" x14ac:dyDescent="0.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row>
    <row r="115" spans="1:33" s="41" customFormat="1" x14ac:dyDescent="0.2">
      <c r="A115" s="16"/>
      <c r="R115" s="194"/>
      <c r="S115" s="194"/>
      <c r="T115" s="194"/>
      <c r="U115" s="194"/>
      <c r="V115" s="194"/>
      <c r="W115" s="194"/>
      <c r="X115" s="194"/>
      <c r="Y115" s="194"/>
      <c r="Z115" s="194"/>
      <c r="AA115" s="194"/>
      <c r="AB115" s="194"/>
      <c r="AC115" s="194"/>
      <c r="AD115" s="194"/>
      <c r="AE115" s="194"/>
      <c r="AF115" s="194"/>
      <c r="AG115" s="194"/>
    </row>
    <row r="116" spans="1:33" s="41" customFormat="1" x14ac:dyDescent="0.2">
      <c r="A116" s="16"/>
      <c r="R116" s="194"/>
      <c r="S116" s="194"/>
      <c r="T116" s="194"/>
      <c r="U116" s="194"/>
      <c r="V116" s="194"/>
      <c r="W116" s="194"/>
      <c r="X116" s="194"/>
      <c r="Y116" s="194"/>
      <c r="Z116" s="194"/>
      <c r="AA116" s="194"/>
      <c r="AB116" s="194"/>
      <c r="AC116" s="194"/>
      <c r="AD116" s="194"/>
      <c r="AE116" s="194"/>
      <c r="AF116" s="194"/>
      <c r="AG116" s="194"/>
    </row>
    <row r="117" spans="1:33" s="41" customFormat="1" x14ac:dyDescent="0.2">
      <c r="A117" s="16"/>
      <c r="R117" s="42"/>
    </row>
    <row r="118" spans="1:33" s="41" customFormat="1" x14ac:dyDescent="0.2">
      <c r="A118" s="16"/>
      <c r="R118" s="42"/>
    </row>
    <row r="119" spans="1:33" s="41" customFormat="1" x14ac:dyDescent="0.2">
      <c r="A119" s="16"/>
    </row>
    <row r="120" spans="1:33" s="41" customFormat="1" x14ac:dyDescent="0.2">
      <c r="A120" s="16"/>
    </row>
    <row r="121" spans="1:33" s="41" customFormat="1" x14ac:dyDescent="0.2">
      <c r="A121" s="16"/>
    </row>
    <row r="122" spans="1:33" s="41" customFormat="1" x14ac:dyDescent="0.2">
      <c r="A122" s="16"/>
    </row>
    <row r="123" spans="1:33" s="41" customFormat="1" x14ac:dyDescent="0.2">
      <c r="A123" s="16"/>
    </row>
    <row r="124" spans="1:33" s="41" customFormat="1" x14ac:dyDescent="0.2">
      <c r="A124" s="16"/>
    </row>
    <row r="125" spans="1:33" s="41" customFormat="1" x14ac:dyDescent="0.2">
      <c r="A125" s="16"/>
    </row>
    <row r="126" spans="1:33" s="41" customFormat="1" x14ac:dyDescent="0.2">
      <c r="A126" s="16"/>
    </row>
    <row r="127" spans="1:33" s="41" customFormat="1" x14ac:dyDescent="0.2">
      <c r="A127" s="16"/>
    </row>
    <row r="128" spans="1:33" s="41" customFormat="1" x14ac:dyDescent="0.2">
      <c r="A128" s="16"/>
    </row>
    <row r="129" spans="1:1" s="41" customFormat="1" x14ac:dyDescent="0.2">
      <c r="A129" s="16"/>
    </row>
    <row r="130" spans="1:1" s="41" customFormat="1" x14ac:dyDescent="0.2">
      <c r="A130" s="16"/>
    </row>
    <row r="131" spans="1:1" s="41" customFormat="1" x14ac:dyDescent="0.2">
      <c r="A131" s="16"/>
    </row>
    <row r="132" spans="1:1" s="41" customFormat="1" x14ac:dyDescent="0.2">
      <c r="A132" s="16"/>
    </row>
  </sheetData>
  <customSheetViews>
    <customSheetView guid="{07999215-E707-4069-97E5-2B85A5FC3024}" scale="80" showPageBreaks="1" fitToPage="1" printArea="1" topLeftCell="R1">
      <selection activeCell="AF5" sqref="AF5:AG5"/>
      <pageMargins left="0.15748031496062992" right="0.74803149606299213" top="0.98425196850393704" bottom="0.98425196850393704" header="0.51181102362204722" footer="0.51181102362204722"/>
      <pageSetup paperSize="9" scale="39" orientation="landscape" r:id="rId1"/>
      <headerFooter alignWithMargins="0">
        <oddHeader>&amp;C&amp;"Arial,Bold"&amp;14&amp;A</oddHeader>
        <oddFooter>&amp;L&amp;F&amp;C&amp;P of &amp;N&amp;R&amp;D  &amp;T</oddFooter>
      </headerFooter>
    </customSheetView>
    <customSheetView guid="{D030C3FE-CD3A-49B5-AF62-7457EF741067}" scale="80" showPageBreaks="1" fitToPage="1" printArea="1" topLeftCell="R1">
      <selection activeCell="AF5" sqref="AF5:AG5"/>
      <pageMargins left="0.15748031496062992" right="0.74803149606299213" top="0.98425196850393704" bottom="0.98425196850393704" header="0.51181102362204722" footer="0.51181102362204722"/>
      <pageSetup paperSize="9" scale="38" orientation="landscape" r:id="rId2"/>
      <headerFooter alignWithMargins="0">
        <oddHeader>&amp;C&amp;"Arial,Bold"&amp;14&amp;A</oddHeader>
        <oddFooter>&amp;L&amp;F&amp;C&amp;P of &amp;N&amp;R&amp;D  &amp;T</oddFooter>
      </headerFooter>
    </customSheetView>
  </customSheetViews>
  <mergeCells count="71">
    <mergeCell ref="F56:G57"/>
    <mergeCell ref="C9:P9"/>
    <mergeCell ref="C10:P10"/>
    <mergeCell ref="I12:I13"/>
    <mergeCell ref="J12:J13"/>
    <mergeCell ref="K12:K13"/>
    <mergeCell ref="L12:L13"/>
    <mergeCell ref="M12:M13"/>
    <mergeCell ref="N12:N13"/>
    <mergeCell ref="F11:F13"/>
    <mergeCell ref="G11:H13"/>
    <mergeCell ref="I11:K11"/>
    <mergeCell ref="L11:N11"/>
    <mergeCell ref="O11:P11"/>
    <mergeCell ref="O12:O13"/>
    <mergeCell ref="P12:P13"/>
    <mergeCell ref="D11:D14"/>
    <mergeCell ref="R56:S56"/>
    <mergeCell ref="J57:J58"/>
    <mergeCell ref="K57:L57"/>
    <mergeCell ref="N57:N58"/>
    <mergeCell ref="O57:P57"/>
    <mergeCell ref="Q57:Q58"/>
    <mergeCell ref="R57:R58"/>
    <mergeCell ref="S57:S58"/>
    <mergeCell ref="E11:E14"/>
    <mergeCell ref="C55:S55"/>
    <mergeCell ref="C56:C59"/>
    <mergeCell ref="E56:E59"/>
    <mergeCell ref="H56:I58"/>
    <mergeCell ref="J56:M56"/>
    <mergeCell ref="N56:Q56"/>
    <mergeCell ref="C11:C14"/>
    <mergeCell ref="AP84:BG84"/>
    <mergeCell ref="AT90:AU92"/>
    <mergeCell ref="AR90:AS92"/>
    <mergeCell ref="AY91:BA91"/>
    <mergeCell ref="AV90:BA90"/>
    <mergeCell ref="AW91:AX91"/>
    <mergeCell ref="AP90:AP92"/>
    <mergeCell ref="AQ90:AQ92"/>
    <mergeCell ref="AV91:AV92"/>
    <mergeCell ref="BB91:BB92"/>
    <mergeCell ref="BB90:BG90"/>
    <mergeCell ref="BC91:BD91"/>
    <mergeCell ref="BE91:BG91"/>
    <mergeCell ref="AH84:AM84"/>
    <mergeCell ref="C15:C21"/>
    <mergeCell ref="C22:C28"/>
    <mergeCell ref="C29:C35"/>
    <mergeCell ref="C36:C42"/>
    <mergeCell ref="C46:P46"/>
    <mergeCell ref="C81:C82"/>
    <mergeCell ref="C78:S78"/>
    <mergeCell ref="C79:C80"/>
    <mergeCell ref="D77:S77"/>
    <mergeCell ref="C47:P47"/>
    <mergeCell ref="C49:P49"/>
    <mergeCell ref="C68:S68"/>
    <mergeCell ref="C69:S69"/>
    <mergeCell ref="D56:D59"/>
    <mergeCell ref="C60:C66"/>
    <mergeCell ref="C71:S71"/>
    <mergeCell ref="C54:S54"/>
    <mergeCell ref="C84:C85"/>
    <mergeCell ref="C89:S89"/>
    <mergeCell ref="D79:S80"/>
    <mergeCell ref="D81:S82"/>
    <mergeCell ref="D84:S85"/>
    <mergeCell ref="D83:S83"/>
    <mergeCell ref="C86:S86"/>
  </mergeCells>
  <phoneticPr fontId="12" type="noConversion"/>
  <conditionalFormatting sqref="L12 BC91 N12">
    <cfRule type="cellIs" dxfId="10" priority="17" stopIfTrue="1" operator="equal">
      <formula>"ERROR"</formula>
    </cfRule>
  </conditionalFormatting>
  <conditionalFormatting sqref="BB91">
    <cfRule type="cellIs" dxfId="9" priority="16" stopIfTrue="1" operator="equal">
      <formula>"ERROR"</formula>
    </cfRule>
  </conditionalFormatting>
  <conditionalFormatting sqref="BE91">
    <cfRule type="cellIs" dxfId="8" priority="15" stopIfTrue="1" operator="equal">
      <formula>"ERROR"</formula>
    </cfRule>
  </conditionalFormatting>
  <conditionalFormatting sqref="BD92">
    <cfRule type="cellIs" dxfId="7" priority="14" stopIfTrue="1" operator="equal">
      <formula>"ERROR"</formula>
    </cfRule>
  </conditionalFormatting>
  <conditionalFormatting sqref="M12">
    <cfRule type="cellIs" dxfId="6" priority="2" stopIfTrue="1" operator="equal">
      <formula>"ERROR"</formula>
    </cfRule>
  </conditionalFormatting>
  <conditionalFormatting sqref="N57 Q57">
    <cfRule type="cellIs" dxfId="5" priority="1" stopIfTrue="1" operator="equal">
      <formula>"ERROR"</formula>
    </cfRule>
  </conditionalFormatting>
  <pageMargins left="0.15748031496062992" right="0.74803149606299213" top="0.98425196850393704" bottom="0.98425196850393704" header="0.51181102362204722" footer="0.51181102362204722"/>
  <pageSetup paperSize="9" scale="54" fitToHeight="0" orientation="landscape" r:id="rId3"/>
  <headerFooter alignWithMargins="0">
    <oddHeader>&amp;C&amp;"Arial,Bold"&amp;14&amp;A</oddHeader>
    <oddFooter>&amp;L2016-17 Network Tariff Tables&amp;C&amp;P of &amp;N&amp;R&amp;D  &amp;T</oddFooter>
  </headerFooter>
  <rowBreaks count="2" manualBreakCount="2">
    <brk id="47" max="16383" man="1"/>
    <brk id="51" max="16383" man="1"/>
  </rowBreak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1">
    <pageSetUpPr fitToPage="1"/>
  </sheetPr>
  <dimension ref="A1:AV283"/>
  <sheetViews>
    <sheetView tabSelected="1" topLeftCell="A4" zoomScale="80" zoomScaleNormal="80" workbookViewId="0">
      <selection activeCell="H94" sqref="H94"/>
    </sheetView>
  </sheetViews>
  <sheetFormatPr defaultColWidth="0" defaultRowHeight="12.75" x14ac:dyDescent="0.2"/>
  <cols>
    <col min="1" max="2" width="3.7109375" style="149" customWidth="1"/>
    <col min="3" max="3" width="25.28515625" style="149" customWidth="1"/>
    <col min="4" max="4" width="46.5703125" style="149" customWidth="1"/>
    <col min="5" max="5" width="15" style="150" customWidth="1"/>
    <col min="6" max="6" width="6.7109375" style="149" customWidth="1"/>
    <col min="7" max="7" width="6.7109375" style="156" customWidth="1"/>
    <col min="8" max="8" width="12.7109375" style="156" customWidth="1"/>
    <col min="9" max="9" width="12.7109375" style="157" customWidth="1"/>
    <col min="10" max="10" width="12.7109375" style="149" customWidth="1"/>
    <col min="11" max="11" width="14.7109375" style="149" customWidth="1"/>
    <col min="12" max="12" width="12.7109375" style="149" customWidth="1"/>
    <col min="13" max="13" width="14.7109375" style="149" customWidth="1"/>
    <col min="14" max="18" width="12.7109375" style="149" customWidth="1"/>
    <col min="19" max="19" width="5.140625" style="149" customWidth="1"/>
    <col min="20" max="20" width="11.140625" style="149" customWidth="1"/>
    <col min="21" max="21" width="25" style="194" customWidth="1"/>
    <col min="22" max="22" width="35.7109375" style="194" customWidth="1"/>
    <col min="23" max="23" width="14.140625" style="194" customWidth="1"/>
    <col min="24" max="25" width="6.7109375" style="194" customWidth="1"/>
    <col min="26" max="29" width="12.7109375" style="194" customWidth="1"/>
    <col min="30" max="30" width="14.7109375" style="194" customWidth="1"/>
    <col min="31" max="36" width="12.7109375" style="194" customWidth="1"/>
    <col min="37" max="37" width="10" style="194" customWidth="1"/>
    <col min="38" max="38" width="11" style="194" customWidth="1"/>
    <col min="39" max="44" width="9.140625" style="194" hidden="1" customWidth="1"/>
    <col min="45" max="45" width="0" style="194" hidden="1" customWidth="1"/>
    <col min="46" max="46" width="9.140625" style="194" hidden="1" customWidth="1"/>
    <col min="47" max="48" width="0" style="194" hidden="1" customWidth="1"/>
    <col min="49" max="16384" width="9.140625" style="194" hidden="1"/>
  </cols>
  <sheetData>
    <row r="1" spans="1:20" x14ac:dyDescent="0.2">
      <c r="A1" s="152"/>
      <c r="B1" s="152"/>
      <c r="C1" s="152"/>
      <c r="D1" s="152"/>
      <c r="E1" s="152"/>
      <c r="F1" s="152"/>
      <c r="G1" s="152"/>
      <c r="H1" s="152"/>
      <c r="I1" s="152"/>
      <c r="J1" s="152"/>
      <c r="K1" s="152"/>
      <c r="L1" s="152"/>
      <c r="M1" s="152"/>
      <c r="N1" s="152"/>
      <c r="O1" s="152"/>
      <c r="P1" s="152"/>
      <c r="Q1" s="152"/>
      <c r="R1" s="152"/>
      <c r="S1" s="41"/>
      <c r="T1" s="41"/>
    </row>
    <row r="2" spans="1:20" x14ac:dyDescent="0.2">
      <c r="A2" s="16"/>
      <c r="B2" s="194"/>
      <c r="C2" s="235"/>
      <c r="D2" s="235"/>
      <c r="E2" s="235"/>
      <c r="F2" s="235"/>
      <c r="G2" s="235"/>
      <c r="H2" s="235"/>
      <c r="I2" s="235"/>
      <c r="J2" s="235"/>
      <c r="K2" s="194"/>
      <c r="L2" s="194"/>
      <c r="M2" s="194"/>
      <c r="N2" s="194"/>
      <c r="O2" s="194"/>
      <c r="P2" s="194"/>
      <c r="Q2" s="194"/>
      <c r="R2" s="194"/>
      <c r="S2" s="194"/>
      <c r="T2" s="194"/>
    </row>
    <row r="3" spans="1:20" ht="18" x14ac:dyDescent="0.2">
      <c r="A3" s="16"/>
      <c r="B3" s="194"/>
      <c r="C3" s="237" t="s">
        <v>592</v>
      </c>
      <c r="D3" s="41"/>
      <c r="E3" s="236"/>
      <c r="F3" s="236"/>
      <c r="G3" s="236"/>
      <c r="H3" s="236"/>
      <c r="I3" s="236"/>
      <c r="J3" s="236"/>
      <c r="K3" s="236"/>
      <c r="L3" s="236"/>
      <c r="M3" s="236"/>
      <c r="N3" s="236"/>
      <c r="O3" s="236"/>
      <c r="P3" s="236"/>
      <c r="Q3" s="236"/>
      <c r="R3" s="236"/>
      <c r="S3" s="236"/>
      <c r="T3" s="194"/>
    </row>
    <row r="4" spans="1:20" ht="18" x14ac:dyDescent="0.2">
      <c r="A4" s="16"/>
      <c r="B4" s="194"/>
      <c r="C4" s="238" t="s">
        <v>593</v>
      </c>
      <c r="D4" s="41"/>
      <c r="E4" s="236"/>
      <c r="F4" s="236"/>
      <c r="G4" s="236"/>
      <c r="H4" s="236"/>
      <c r="I4" s="236"/>
      <c r="J4" s="236"/>
      <c r="K4" s="236"/>
      <c r="L4" s="236"/>
      <c r="M4" s="236"/>
      <c r="N4" s="236"/>
      <c r="O4" s="236"/>
      <c r="P4" s="236"/>
      <c r="Q4" s="236"/>
      <c r="R4" s="236"/>
      <c r="S4" s="236"/>
      <c r="T4" s="194"/>
    </row>
    <row r="5" spans="1:20" x14ac:dyDescent="0.2">
      <c r="A5" s="16"/>
      <c r="B5" s="194"/>
      <c r="C5" s="236"/>
      <c r="D5" s="236"/>
      <c r="E5" s="236"/>
      <c r="F5" s="236"/>
      <c r="G5" s="236"/>
      <c r="H5" s="236"/>
      <c r="I5" s="236"/>
      <c r="J5" s="236"/>
      <c r="K5" s="236"/>
      <c r="L5" s="236"/>
      <c r="M5" s="236"/>
      <c r="N5" s="236"/>
      <c r="O5" s="236"/>
      <c r="P5" s="236"/>
      <c r="Q5" s="236"/>
      <c r="R5" s="236"/>
      <c r="S5" s="236"/>
      <c r="T5" s="194"/>
    </row>
    <row r="6" spans="1:20" x14ac:dyDescent="0.2">
      <c r="A6" s="16"/>
      <c r="B6" s="194"/>
      <c r="C6" s="236"/>
      <c r="D6" s="236"/>
      <c r="E6" s="236"/>
      <c r="F6" s="236"/>
      <c r="G6" s="236"/>
      <c r="H6" s="236"/>
      <c r="I6" s="236"/>
      <c r="J6" s="236"/>
      <c r="K6" s="236"/>
      <c r="L6" s="236"/>
      <c r="M6" s="236"/>
      <c r="N6" s="236"/>
      <c r="O6" s="236"/>
      <c r="P6" s="236"/>
      <c r="Q6" s="236"/>
      <c r="R6" s="236"/>
      <c r="S6" s="236"/>
      <c r="T6" s="194"/>
    </row>
    <row r="7" spans="1:20" x14ac:dyDescent="0.2">
      <c r="A7" s="16"/>
      <c r="B7" s="239"/>
      <c r="C7" s="240"/>
      <c r="D7" s="240"/>
      <c r="E7" s="240"/>
      <c r="F7" s="236"/>
      <c r="G7" s="236"/>
      <c r="H7" s="236"/>
      <c r="I7" s="236"/>
      <c r="J7" s="236"/>
      <c r="K7" s="236"/>
      <c r="L7" s="236"/>
      <c r="M7" s="236"/>
      <c r="N7" s="236"/>
      <c r="O7" s="236"/>
      <c r="P7" s="236"/>
      <c r="Q7" s="236"/>
      <c r="R7" s="236"/>
      <c r="S7" s="236"/>
      <c r="T7" s="194"/>
    </row>
    <row r="8" spans="1:20" ht="21" customHeight="1" x14ac:dyDescent="0.25">
      <c r="A8" s="16"/>
      <c r="B8" s="241"/>
      <c r="C8" s="242" t="s">
        <v>281</v>
      </c>
      <c r="D8" s="236"/>
      <c r="E8" s="236"/>
      <c r="F8" s="236"/>
      <c r="G8" s="236"/>
      <c r="H8" s="236"/>
      <c r="I8" s="236"/>
      <c r="J8" s="236"/>
      <c r="K8" s="236"/>
      <c r="L8" s="236"/>
      <c r="M8" s="236"/>
      <c r="N8" s="236"/>
      <c r="O8" s="236"/>
      <c r="P8" s="236"/>
      <c r="Q8" s="236"/>
      <c r="R8" s="236"/>
      <c r="S8" s="236"/>
      <c r="T8" s="194"/>
    </row>
    <row r="9" spans="1:20" ht="18" x14ac:dyDescent="0.25">
      <c r="A9" s="41"/>
      <c r="B9" s="57"/>
      <c r="C9" s="57"/>
      <c r="D9" s="57"/>
      <c r="E9" s="153"/>
      <c r="F9" s="41"/>
      <c r="G9" s="154"/>
      <c r="H9" s="154"/>
      <c r="I9" s="155"/>
      <c r="J9" s="41"/>
      <c r="K9" s="41"/>
      <c r="L9" s="41"/>
      <c r="M9" s="41"/>
      <c r="N9" s="41"/>
      <c r="O9" s="41"/>
      <c r="P9" s="41"/>
      <c r="Q9" s="41"/>
      <c r="R9" s="41"/>
      <c r="S9" s="41"/>
      <c r="T9" s="41"/>
    </row>
    <row r="10" spans="1:20" ht="15" customHeight="1" x14ac:dyDescent="0.25">
      <c r="A10" s="136"/>
      <c r="B10" s="57"/>
      <c r="C10" s="443" t="s">
        <v>228</v>
      </c>
      <c r="D10" s="444"/>
      <c r="E10" s="444"/>
      <c r="F10" s="444"/>
      <c r="G10" s="444"/>
      <c r="H10" s="444"/>
      <c r="I10" s="444"/>
      <c r="J10" s="444"/>
      <c r="K10" s="444"/>
      <c r="L10" s="444"/>
      <c r="M10" s="444"/>
      <c r="N10" s="444"/>
      <c r="O10" s="444"/>
      <c r="P10" s="444"/>
      <c r="Q10" s="444"/>
      <c r="R10" s="445"/>
      <c r="S10" s="41"/>
      <c r="T10" s="41"/>
    </row>
    <row r="11" spans="1:20" ht="41.25" customHeight="1" x14ac:dyDescent="0.25">
      <c r="A11" s="136"/>
      <c r="B11" s="57"/>
      <c r="C11" s="440" t="str">
        <f>"DEFAULT TARIFFS APPLYING TO CONNECTION ASSET CUSTOMERS 
GST Exclusive"</f>
        <v>DEFAULT TARIFFS APPLYING TO CONNECTION ASSET CUSTOMERS 
GST Exclusive</v>
      </c>
      <c r="D11" s="441"/>
      <c r="E11" s="441"/>
      <c r="F11" s="441"/>
      <c r="G11" s="441"/>
      <c r="H11" s="441"/>
      <c r="I11" s="441"/>
      <c r="J11" s="441"/>
      <c r="K11" s="441"/>
      <c r="L11" s="441"/>
      <c r="M11" s="441"/>
      <c r="N11" s="441"/>
      <c r="O11" s="441"/>
      <c r="P11" s="441"/>
      <c r="Q11" s="441"/>
      <c r="R11" s="442"/>
      <c r="S11" s="41"/>
      <c r="T11" s="41"/>
    </row>
    <row r="12" spans="1:20" ht="30" customHeight="1" x14ac:dyDescent="0.25">
      <c r="A12" s="136"/>
      <c r="B12" s="57"/>
      <c r="C12" s="423" t="s">
        <v>464</v>
      </c>
      <c r="D12" s="423" t="s">
        <v>167</v>
      </c>
      <c r="E12" s="423" t="s">
        <v>7</v>
      </c>
      <c r="F12" s="451" t="s">
        <v>0</v>
      </c>
      <c r="G12" s="452"/>
      <c r="H12" s="466" t="s">
        <v>5</v>
      </c>
      <c r="I12" s="437"/>
      <c r="J12" s="437"/>
      <c r="K12" s="437"/>
      <c r="L12" s="437"/>
      <c r="M12" s="438"/>
      <c r="N12" s="439" t="s">
        <v>6</v>
      </c>
      <c r="O12" s="459"/>
      <c r="P12" s="435"/>
      <c r="Q12" s="432" t="s">
        <v>178</v>
      </c>
      <c r="R12" s="433"/>
      <c r="S12" s="41"/>
      <c r="T12" s="41"/>
    </row>
    <row r="13" spans="1:20" ht="30" customHeight="1" x14ac:dyDescent="0.25">
      <c r="A13" s="136"/>
      <c r="B13" s="57"/>
      <c r="C13" s="424"/>
      <c r="D13" s="424"/>
      <c r="E13" s="424"/>
      <c r="F13" s="453"/>
      <c r="G13" s="454"/>
      <c r="H13" s="418" t="s">
        <v>208</v>
      </c>
      <c r="I13" s="418" t="s">
        <v>92</v>
      </c>
      <c r="J13" s="418" t="s">
        <v>93</v>
      </c>
      <c r="K13" s="418" t="s">
        <v>94</v>
      </c>
      <c r="L13" s="418" t="s">
        <v>95</v>
      </c>
      <c r="M13" s="418" t="s">
        <v>226</v>
      </c>
      <c r="N13" s="449" t="s">
        <v>96</v>
      </c>
      <c r="O13" s="449" t="s">
        <v>97</v>
      </c>
      <c r="P13" s="449" t="s">
        <v>98</v>
      </c>
      <c r="Q13" s="420" t="s">
        <v>179</v>
      </c>
      <c r="R13" s="420" t="s">
        <v>180</v>
      </c>
      <c r="S13" s="2"/>
      <c r="T13" s="41"/>
    </row>
    <row r="14" spans="1:20" ht="35.25" customHeight="1" x14ac:dyDescent="0.25">
      <c r="A14" s="136"/>
      <c r="B14" s="57"/>
      <c r="C14" s="424"/>
      <c r="D14" s="424"/>
      <c r="E14" s="424"/>
      <c r="F14" s="455"/>
      <c r="G14" s="456"/>
      <c r="H14" s="419"/>
      <c r="I14" s="419"/>
      <c r="J14" s="419"/>
      <c r="K14" s="419"/>
      <c r="L14" s="419"/>
      <c r="M14" s="419"/>
      <c r="N14" s="450"/>
      <c r="O14" s="450"/>
      <c r="P14" s="450"/>
      <c r="Q14" s="421"/>
      <c r="R14" s="421"/>
      <c r="S14" s="41"/>
      <c r="T14" s="41"/>
    </row>
    <row r="15" spans="1:20" ht="39.950000000000003" customHeight="1" x14ac:dyDescent="0.25">
      <c r="A15" s="136"/>
      <c r="B15" s="57"/>
      <c r="C15" s="425"/>
      <c r="D15" s="425"/>
      <c r="E15" s="425"/>
      <c r="F15" s="139" t="s">
        <v>8</v>
      </c>
      <c r="G15" s="139" t="s">
        <v>9</v>
      </c>
      <c r="H15" s="90" t="s">
        <v>675</v>
      </c>
      <c r="I15" s="90" t="s">
        <v>89</v>
      </c>
      <c r="J15" s="90" t="s">
        <v>99</v>
      </c>
      <c r="K15" s="90" t="s">
        <v>227</v>
      </c>
      <c r="L15" s="4" t="s">
        <v>10</v>
      </c>
      <c r="M15" s="172" t="s">
        <v>674</v>
      </c>
      <c r="N15" s="91" t="s">
        <v>89</v>
      </c>
      <c r="O15" s="91" t="s">
        <v>99</v>
      </c>
      <c r="P15" s="6" t="s">
        <v>10</v>
      </c>
      <c r="Q15" s="119" t="s">
        <v>89</v>
      </c>
      <c r="R15" s="118" t="s">
        <v>10</v>
      </c>
      <c r="S15" s="41"/>
      <c r="T15" s="41"/>
    </row>
    <row r="16" spans="1:20" ht="12.75" customHeight="1" x14ac:dyDescent="0.2">
      <c r="A16" s="41"/>
      <c r="B16" s="73"/>
      <c r="C16" s="407" t="s">
        <v>297</v>
      </c>
      <c r="D16" s="262" t="s">
        <v>623</v>
      </c>
      <c r="E16" s="123" t="s">
        <v>142</v>
      </c>
      <c r="F16" s="528" t="s">
        <v>166</v>
      </c>
      <c r="G16" s="529"/>
      <c r="H16" s="110">
        <v>10.388999999999999</v>
      </c>
      <c r="I16" s="110">
        <v>130.36600000000001</v>
      </c>
      <c r="J16" s="110">
        <v>4.4779999999999998</v>
      </c>
      <c r="K16" s="110">
        <v>2.5070000000000001</v>
      </c>
      <c r="L16" s="111">
        <v>5.0099999999999997E-3</v>
      </c>
      <c r="M16" s="110">
        <v>0</v>
      </c>
      <c r="N16" s="113">
        <v>136.76499999999999</v>
      </c>
      <c r="O16" s="113">
        <v>0.93899999999999995</v>
      </c>
      <c r="P16" s="137">
        <v>1.436E-2</v>
      </c>
      <c r="Q16" s="112">
        <v>16.751999999999999</v>
      </c>
      <c r="R16" s="120">
        <v>8.3000000000000001E-4</v>
      </c>
      <c r="S16" s="41"/>
      <c r="T16" s="41"/>
    </row>
    <row r="17" spans="1:20" ht="12.75" customHeight="1" x14ac:dyDescent="0.2">
      <c r="A17" s="41"/>
      <c r="B17" s="73"/>
      <c r="C17" s="408"/>
      <c r="D17" s="263" t="s">
        <v>624</v>
      </c>
      <c r="E17" s="92" t="s">
        <v>143</v>
      </c>
      <c r="F17" s="526" t="s">
        <v>166</v>
      </c>
      <c r="G17" s="527"/>
      <c r="H17" s="110">
        <v>10.388999999999999</v>
      </c>
      <c r="I17" s="110">
        <v>130.36600000000001</v>
      </c>
      <c r="J17" s="110">
        <v>4.4779999999999998</v>
      </c>
      <c r="K17" s="110">
        <v>2.5070000000000001</v>
      </c>
      <c r="L17" s="111">
        <v>5.0099999999999997E-3</v>
      </c>
      <c r="M17" s="110">
        <v>0</v>
      </c>
      <c r="N17" s="112">
        <v>96.524000000000001</v>
      </c>
      <c r="O17" s="112">
        <v>2.4239999999999999</v>
      </c>
      <c r="P17" s="120">
        <v>1.7309999999999999E-2</v>
      </c>
      <c r="Q17" s="112">
        <v>16.751999999999999</v>
      </c>
      <c r="R17" s="120">
        <v>8.3000000000000001E-4</v>
      </c>
      <c r="S17" s="41"/>
      <c r="T17" s="41"/>
    </row>
    <row r="18" spans="1:20" ht="12.75" customHeight="1" x14ac:dyDescent="0.2">
      <c r="A18" s="41"/>
      <c r="B18" s="73"/>
      <c r="C18" s="408"/>
      <c r="D18" s="263" t="s">
        <v>625</v>
      </c>
      <c r="E18" s="92" t="s">
        <v>144</v>
      </c>
      <c r="F18" s="526" t="s">
        <v>166</v>
      </c>
      <c r="G18" s="527"/>
      <c r="H18" s="110">
        <v>10.388999999999999</v>
      </c>
      <c r="I18" s="110">
        <v>130.36600000000001</v>
      </c>
      <c r="J18" s="110">
        <v>4.4779999999999998</v>
      </c>
      <c r="K18" s="110">
        <v>2.5070000000000001</v>
      </c>
      <c r="L18" s="111">
        <v>5.0099999999999997E-3</v>
      </c>
      <c r="M18" s="110">
        <v>0</v>
      </c>
      <c r="N18" s="112">
        <v>104.58799999999999</v>
      </c>
      <c r="O18" s="112">
        <v>4.7670000000000003</v>
      </c>
      <c r="P18" s="120">
        <v>2.249E-2</v>
      </c>
      <c r="Q18" s="112">
        <v>16.751999999999999</v>
      </c>
      <c r="R18" s="120">
        <v>8.3000000000000001E-4</v>
      </c>
      <c r="S18" s="41"/>
      <c r="T18" s="41"/>
    </row>
    <row r="19" spans="1:20" ht="12.75" customHeight="1" x14ac:dyDescent="0.2">
      <c r="A19" s="41"/>
      <c r="B19" s="73"/>
      <c r="C19" s="408"/>
      <c r="D19" s="263" t="s">
        <v>626</v>
      </c>
      <c r="E19" s="92" t="s">
        <v>154</v>
      </c>
      <c r="F19" s="526" t="s">
        <v>166</v>
      </c>
      <c r="G19" s="527"/>
      <c r="H19" s="110">
        <v>10.388999999999999</v>
      </c>
      <c r="I19" s="110">
        <v>130.35300000000001</v>
      </c>
      <c r="J19" s="110">
        <v>14.038</v>
      </c>
      <c r="K19" s="110">
        <v>601.63199999999995</v>
      </c>
      <c r="L19" s="111">
        <v>1.4030000000000001E-2</v>
      </c>
      <c r="M19" s="110">
        <v>0</v>
      </c>
      <c r="N19" s="112">
        <v>136.76499999999999</v>
      </c>
      <c r="O19" s="112">
        <v>0.93899999999999995</v>
      </c>
      <c r="P19" s="120">
        <v>1.436E-2</v>
      </c>
      <c r="Q19" s="112">
        <v>16.751999999999999</v>
      </c>
      <c r="R19" s="120">
        <v>8.3000000000000001E-4</v>
      </c>
      <c r="S19" s="41"/>
      <c r="T19" s="41"/>
    </row>
    <row r="20" spans="1:20" ht="12.75" customHeight="1" x14ac:dyDescent="0.2">
      <c r="A20" s="41"/>
      <c r="B20" s="73"/>
      <c r="C20" s="408"/>
      <c r="D20" s="263" t="s">
        <v>627</v>
      </c>
      <c r="E20" s="92" t="s">
        <v>155</v>
      </c>
      <c r="F20" s="526" t="s">
        <v>166</v>
      </c>
      <c r="G20" s="527"/>
      <c r="H20" s="110">
        <v>10.388999999999999</v>
      </c>
      <c r="I20" s="110">
        <v>130.35300000000001</v>
      </c>
      <c r="J20" s="110">
        <v>14.038</v>
      </c>
      <c r="K20" s="110">
        <v>601.63199999999995</v>
      </c>
      <c r="L20" s="111">
        <v>1.4030000000000001E-2</v>
      </c>
      <c r="M20" s="110">
        <v>0</v>
      </c>
      <c r="N20" s="112">
        <v>96.524000000000001</v>
      </c>
      <c r="O20" s="112">
        <v>2.4239999999999999</v>
      </c>
      <c r="P20" s="120">
        <v>1.7309999999999999E-2</v>
      </c>
      <c r="Q20" s="112">
        <v>16.751999999999999</v>
      </c>
      <c r="R20" s="120">
        <v>8.3000000000000001E-4</v>
      </c>
      <c r="S20" s="41"/>
      <c r="T20" s="41"/>
    </row>
    <row r="21" spans="1:20" ht="12.75" customHeight="1" x14ac:dyDescent="0.2">
      <c r="A21" s="41"/>
      <c r="B21" s="73"/>
      <c r="C21" s="408"/>
      <c r="D21" s="263" t="s">
        <v>628</v>
      </c>
      <c r="E21" s="92" t="s">
        <v>156</v>
      </c>
      <c r="F21" s="526" t="s">
        <v>166</v>
      </c>
      <c r="G21" s="527"/>
      <c r="H21" s="110">
        <v>10.388999999999999</v>
      </c>
      <c r="I21" s="110">
        <v>130.35300000000001</v>
      </c>
      <c r="J21" s="110">
        <v>14.038</v>
      </c>
      <c r="K21" s="110">
        <v>601.63199999999995</v>
      </c>
      <c r="L21" s="111">
        <v>1.4030000000000001E-2</v>
      </c>
      <c r="M21" s="110">
        <v>0</v>
      </c>
      <c r="N21" s="112">
        <v>104.58799999999999</v>
      </c>
      <c r="O21" s="112">
        <v>4.7670000000000003</v>
      </c>
      <c r="P21" s="120">
        <v>2.249E-2</v>
      </c>
      <c r="Q21" s="112">
        <v>16.751999999999999</v>
      </c>
      <c r="R21" s="120">
        <v>8.3000000000000001E-4</v>
      </c>
      <c r="S21" s="41"/>
      <c r="T21" s="41"/>
    </row>
    <row r="22" spans="1:20" ht="12.75" customHeight="1" x14ac:dyDescent="0.25">
      <c r="A22" s="41"/>
      <c r="B22" s="57"/>
      <c r="C22" s="409"/>
      <c r="D22" s="264" t="s">
        <v>629</v>
      </c>
      <c r="E22" s="13" t="s">
        <v>183</v>
      </c>
      <c r="F22" s="524" t="s">
        <v>166</v>
      </c>
      <c r="G22" s="525"/>
      <c r="H22" s="94" t="s">
        <v>184</v>
      </c>
      <c r="I22" s="94" t="s">
        <v>184</v>
      </c>
      <c r="J22" s="94" t="s">
        <v>184</v>
      </c>
      <c r="K22" s="94" t="s">
        <v>184</v>
      </c>
      <c r="L22" s="94" t="s">
        <v>184</v>
      </c>
      <c r="M22" s="94">
        <v>0</v>
      </c>
      <c r="N22" s="54" t="s">
        <v>184</v>
      </c>
      <c r="O22" s="55" t="s">
        <v>184</v>
      </c>
      <c r="P22" s="56" t="s">
        <v>184</v>
      </c>
      <c r="Q22" s="94" t="s">
        <v>184</v>
      </c>
      <c r="R22" s="168" t="s">
        <v>184</v>
      </c>
      <c r="S22" s="41"/>
      <c r="T22" s="41"/>
    </row>
    <row r="23" spans="1:20" ht="12.75" customHeight="1" x14ac:dyDescent="0.2">
      <c r="A23" s="41"/>
      <c r="B23" s="73"/>
      <c r="C23" s="408" t="s">
        <v>298</v>
      </c>
      <c r="D23" s="262" t="s">
        <v>630</v>
      </c>
      <c r="E23" s="108" t="s">
        <v>145</v>
      </c>
      <c r="F23" s="528" t="s">
        <v>166</v>
      </c>
      <c r="G23" s="529"/>
      <c r="H23" s="110">
        <v>10.388999999999999</v>
      </c>
      <c r="I23" s="110">
        <v>62.173999999999999</v>
      </c>
      <c r="J23" s="110">
        <v>5.0209999999999999</v>
      </c>
      <c r="K23" s="110">
        <v>3.71</v>
      </c>
      <c r="L23" s="111">
        <v>5.0099999999999997E-3</v>
      </c>
      <c r="M23" s="110">
        <v>0</v>
      </c>
      <c r="N23" s="113">
        <v>136.76499999999999</v>
      </c>
      <c r="O23" s="113">
        <v>0.93899999999999995</v>
      </c>
      <c r="P23" s="137">
        <v>1.436E-2</v>
      </c>
      <c r="Q23" s="112">
        <v>16.751999999999999</v>
      </c>
      <c r="R23" s="120">
        <v>8.3000000000000001E-4</v>
      </c>
      <c r="S23" s="41"/>
      <c r="T23" s="41"/>
    </row>
    <row r="24" spans="1:20" ht="12.75" customHeight="1" x14ac:dyDescent="0.2">
      <c r="A24" s="41"/>
      <c r="B24" s="73"/>
      <c r="C24" s="408"/>
      <c r="D24" s="263" t="s">
        <v>631</v>
      </c>
      <c r="E24" s="92" t="s">
        <v>146</v>
      </c>
      <c r="F24" s="526" t="s">
        <v>166</v>
      </c>
      <c r="G24" s="527"/>
      <c r="H24" s="110">
        <v>10.388999999999999</v>
      </c>
      <c r="I24" s="110">
        <v>62.173999999999999</v>
      </c>
      <c r="J24" s="110">
        <v>5.0209999999999999</v>
      </c>
      <c r="K24" s="110">
        <v>3.71</v>
      </c>
      <c r="L24" s="111">
        <v>5.0099999999999997E-3</v>
      </c>
      <c r="M24" s="110">
        <v>0</v>
      </c>
      <c r="N24" s="112">
        <v>96.524000000000001</v>
      </c>
      <c r="O24" s="112">
        <v>2.4239999999999999</v>
      </c>
      <c r="P24" s="120">
        <v>1.7309999999999999E-2</v>
      </c>
      <c r="Q24" s="112">
        <v>16.751999999999999</v>
      </c>
      <c r="R24" s="120">
        <v>8.3000000000000001E-4</v>
      </c>
      <c r="S24" s="41"/>
      <c r="T24" s="41"/>
    </row>
    <row r="25" spans="1:20" ht="12.75" customHeight="1" x14ac:dyDescent="0.2">
      <c r="A25" s="41"/>
      <c r="B25" s="73"/>
      <c r="C25" s="408"/>
      <c r="D25" s="263" t="s">
        <v>632</v>
      </c>
      <c r="E25" s="92" t="s">
        <v>147</v>
      </c>
      <c r="F25" s="526" t="s">
        <v>166</v>
      </c>
      <c r="G25" s="527"/>
      <c r="H25" s="110">
        <v>10.388999999999999</v>
      </c>
      <c r="I25" s="110">
        <v>62.173999999999999</v>
      </c>
      <c r="J25" s="110">
        <v>5.0209999999999999</v>
      </c>
      <c r="K25" s="110">
        <v>3.71</v>
      </c>
      <c r="L25" s="111">
        <v>5.0099999999999997E-3</v>
      </c>
      <c r="M25" s="110">
        <v>0</v>
      </c>
      <c r="N25" s="112">
        <v>104.58799999999999</v>
      </c>
      <c r="O25" s="112">
        <v>4.7670000000000003</v>
      </c>
      <c r="P25" s="120">
        <v>2.249E-2</v>
      </c>
      <c r="Q25" s="112">
        <v>16.751999999999999</v>
      </c>
      <c r="R25" s="120">
        <v>8.3000000000000001E-4</v>
      </c>
      <c r="S25" s="41"/>
      <c r="T25" s="41"/>
    </row>
    <row r="26" spans="1:20" ht="12.75" customHeight="1" x14ac:dyDescent="0.2">
      <c r="A26" s="41"/>
      <c r="B26" s="73"/>
      <c r="C26" s="408"/>
      <c r="D26" s="263" t="s">
        <v>633</v>
      </c>
      <c r="E26" s="92" t="s">
        <v>157</v>
      </c>
      <c r="F26" s="526" t="s">
        <v>166</v>
      </c>
      <c r="G26" s="527"/>
      <c r="H26" s="110">
        <v>10.388999999999999</v>
      </c>
      <c r="I26" s="110">
        <v>61.164999999999999</v>
      </c>
      <c r="J26" s="110">
        <v>23.062000000000001</v>
      </c>
      <c r="K26" s="110">
        <v>27.073</v>
      </c>
      <c r="L26" s="111">
        <v>1.4030000000000001E-2</v>
      </c>
      <c r="M26" s="110">
        <v>0</v>
      </c>
      <c r="N26" s="112">
        <v>136.76499999999999</v>
      </c>
      <c r="O26" s="112">
        <v>0.93899999999999995</v>
      </c>
      <c r="P26" s="120">
        <v>1.436E-2</v>
      </c>
      <c r="Q26" s="112">
        <v>16.751999999999999</v>
      </c>
      <c r="R26" s="120">
        <v>8.3000000000000001E-4</v>
      </c>
      <c r="S26" s="41"/>
      <c r="T26" s="41"/>
    </row>
    <row r="27" spans="1:20" ht="12.75" customHeight="1" x14ac:dyDescent="0.2">
      <c r="A27" s="41"/>
      <c r="B27" s="73"/>
      <c r="C27" s="408"/>
      <c r="D27" s="263" t="s">
        <v>634</v>
      </c>
      <c r="E27" s="92" t="s">
        <v>158</v>
      </c>
      <c r="F27" s="526" t="s">
        <v>166</v>
      </c>
      <c r="G27" s="527"/>
      <c r="H27" s="110">
        <v>10.388999999999999</v>
      </c>
      <c r="I27" s="110">
        <v>61.164999999999999</v>
      </c>
      <c r="J27" s="110">
        <v>23.062000000000001</v>
      </c>
      <c r="K27" s="110">
        <v>27.073</v>
      </c>
      <c r="L27" s="111">
        <v>1.4030000000000001E-2</v>
      </c>
      <c r="M27" s="110">
        <v>0</v>
      </c>
      <c r="N27" s="112">
        <v>96.524000000000001</v>
      </c>
      <c r="O27" s="112">
        <v>2.4239999999999999</v>
      </c>
      <c r="P27" s="120">
        <v>1.7309999999999999E-2</v>
      </c>
      <c r="Q27" s="112">
        <v>16.751999999999999</v>
      </c>
      <c r="R27" s="120">
        <v>8.3000000000000001E-4</v>
      </c>
      <c r="S27" s="41"/>
      <c r="T27" s="41"/>
    </row>
    <row r="28" spans="1:20" ht="12.75" customHeight="1" x14ac:dyDescent="0.2">
      <c r="A28" s="41"/>
      <c r="B28" s="73"/>
      <c r="C28" s="408"/>
      <c r="D28" s="263" t="s">
        <v>635</v>
      </c>
      <c r="E28" s="92" t="s">
        <v>159</v>
      </c>
      <c r="F28" s="526" t="s">
        <v>166</v>
      </c>
      <c r="G28" s="527"/>
      <c r="H28" s="110">
        <v>10.388999999999999</v>
      </c>
      <c r="I28" s="110">
        <v>61.164999999999999</v>
      </c>
      <c r="J28" s="110">
        <v>23.062000000000001</v>
      </c>
      <c r="K28" s="110">
        <v>27.073</v>
      </c>
      <c r="L28" s="111">
        <v>1.4030000000000001E-2</v>
      </c>
      <c r="M28" s="110">
        <v>0</v>
      </c>
      <c r="N28" s="112">
        <v>104.58799999999999</v>
      </c>
      <c r="O28" s="112">
        <v>4.7670000000000003</v>
      </c>
      <c r="P28" s="120">
        <v>2.249E-2</v>
      </c>
      <c r="Q28" s="112">
        <v>16.751999999999999</v>
      </c>
      <c r="R28" s="120">
        <v>8.3000000000000001E-4</v>
      </c>
      <c r="S28" s="41"/>
      <c r="T28" s="41"/>
    </row>
    <row r="29" spans="1:20" ht="12.75" customHeight="1" x14ac:dyDescent="0.25">
      <c r="A29" s="41"/>
      <c r="B29" s="57"/>
      <c r="C29" s="409"/>
      <c r="D29" s="264" t="s">
        <v>636</v>
      </c>
      <c r="E29" s="13" t="s">
        <v>185</v>
      </c>
      <c r="F29" s="524" t="s">
        <v>166</v>
      </c>
      <c r="G29" s="525"/>
      <c r="H29" s="94" t="s">
        <v>184</v>
      </c>
      <c r="I29" s="94" t="s">
        <v>184</v>
      </c>
      <c r="J29" s="94" t="s">
        <v>184</v>
      </c>
      <c r="K29" s="94" t="s">
        <v>184</v>
      </c>
      <c r="L29" s="94" t="s">
        <v>184</v>
      </c>
      <c r="M29" s="94">
        <v>0</v>
      </c>
      <c r="N29" s="54" t="s">
        <v>184</v>
      </c>
      <c r="O29" s="55" t="s">
        <v>184</v>
      </c>
      <c r="P29" s="56" t="s">
        <v>184</v>
      </c>
      <c r="Q29" s="94" t="s">
        <v>184</v>
      </c>
      <c r="R29" s="168" t="s">
        <v>184</v>
      </c>
      <c r="S29" s="41"/>
      <c r="T29" s="41"/>
    </row>
    <row r="30" spans="1:20" ht="12.75" customHeight="1" x14ac:dyDescent="0.2">
      <c r="A30" s="41"/>
      <c r="B30" s="73"/>
      <c r="C30" s="407" t="s">
        <v>299</v>
      </c>
      <c r="D30" s="262" t="s">
        <v>637</v>
      </c>
      <c r="E30" s="108" t="s">
        <v>148</v>
      </c>
      <c r="F30" s="528" t="s">
        <v>166</v>
      </c>
      <c r="G30" s="529"/>
      <c r="H30" s="110">
        <v>10.388999999999999</v>
      </c>
      <c r="I30" s="110">
        <v>49.137</v>
      </c>
      <c r="J30" s="110">
        <v>6.2229999999999999</v>
      </c>
      <c r="K30" s="110">
        <v>3.5089999999999999</v>
      </c>
      <c r="L30" s="111">
        <v>5.0099999999999997E-3</v>
      </c>
      <c r="M30" s="110">
        <v>0</v>
      </c>
      <c r="N30" s="113">
        <v>136.76499999999999</v>
      </c>
      <c r="O30" s="113">
        <v>0.93899999999999995</v>
      </c>
      <c r="P30" s="137">
        <v>1.436E-2</v>
      </c>
      <c r="Q30" s="112">
        <v>16.751999999999999</v>
      </c>
      <c r="R30" s="120">
        <v>8.3000000000000001E-4</v>
      </c>
      <c r="S30" s="41"/>
      <c r="T30" s="41"/>
    </row>
    <row r="31" spans="1:20" ht="12.75" customHeight="1" x14ac:dyDescent="0.2">
      <c r="A31" s="41"/>
      <c r="B31" s="73"/>
      <c r="C31" s="408"/>
      <c r="D31" s="263" t="s">
        <v>638</v>
      </c>
      <c r="E31" s="92" t="s">
        <v>149</v>
      </c>
      <c r="F31" s="526" t="s">
        <v>166</v>
      </c>
      <c r="G31" s="527"/>
      <c r="H31" s="110">
        <v>10.388999999999999</v>
      </c>
      <c r="I31" s="110">
        <v>49.137</v>
      </c>
      <c r="J31" s="110">
        <v>6.2229999999999999</v>
      </c>
      <c r="K31" s="110">
        <v>3.5089999999999999</v>
      </c>
      <c r="L31" s="111">
        <v>5.0099999999999997E-3</v>
      </c>
      <c r="M31" s="110">
        <v>0</v>
      </c>
      <c r="N31" s="112">
        <v>96.524000000000001</v>
      </c>
      <c r="O31" s="112">
        <v>2.4239999999999999</v>
      </c>
      <c r="P31" s="120">
        <v>1.7309999999999999E-2</v>
      </c>
      <c r="Q31" s="112">
        <v>16.751999999999999</v>
      </c>
      <c r="R31" s="120">
        <v>8.3000000000000001E-4</v>
      </c>
      <c r="S31" s="41"/>
      <c r="T31" s="41"/>
    </row>
    <row r="32" spans="1:20" ht="12.75" customHeight="1" x14ac:dyDescent="0.2">
      <c r="A32" s="41"/>
      <c r="B32" s="73"/>
      <c r="C32" s="408"/>
      <c r="D32" s="263" t="s">
        <v>639</v>
      </c>
      <c r="E32" s="92" t="s">
        <v>150</v>
      </c>
      <c r="F32" s="526" t="s">
        <v>166</v>
      </c>
      <c r="G32" s="527"/>
      <c r="H32" s="110">
        <v>10.388999999999999</v>
      </c>
      <c r="I32" s="110">
        <v>49.137</v>
      </c>
      <c r="J32" s="110">
        <v>6.2229999999999999</v>
      </c>
      <c r="K32" s="110">
        <v>3.5089999999999999</v>
      </c>
      <c r="L32" s="111">
        <v>5.0099999999999997E-3</v>
      </c>
      <c r="M32" s="110">
        <v>0</v>
      </c>
      <c r="N32" s="112">
        <v>104.58799999999999</v>
      </c>
      <c r="O32" s="112">
        <v>4.7670000000000003</v>
      </c>
      <c r="P32" s="120">
        <v>2.249E-2</v>
      </c>
      <c r="Q32" s="112">
        <v>16.751999999999999</v>
      </c>
      <c r="R32" s="120">
        <v>8.3000000000000001E-4</v>
      </c>
      <c r="S32" s="41"/>
      <c r="T32" s="41"/>
    </row>
    <row r="33" spans="1:20" ht="12.75" customHeight="1" x14ac:dyDescent="0.2">
      <c r="A33" s="41"/>
      <c r="B33" s="73"/>
      <c r="C33" s="408"/>
      <c r="D33" s="263" t="s">
        <v>640</v>
      </c>
      <c r="E33" s="92" t="s">
        <v>160</v>
      </c>
      <c r="F33" s="526" t="s">
        <v>166</v>
      </c>
      <c r="G33" s="527"/>
      <c r="H33" s="110" t="s">
        <v>184</v>
      </c>
      <c r="I33" s="110" t="s">
        <v>184</v>
      </c>
      <c r="J33" s="110" t="s">
        <v>184</v>
      </c>
      <c r="K33" s="110" t="s">
        <v>184</v>
      </c>
      <c r="L33" s="111" t="s">
        <v>184</v>
      </c>
      <c r="M33" s="110">
        <v>0</v>
      </c>
      <c r="N33" s="112" t="s">
        <v>184</v>
      </c>
      <c r="O33" s="112" t="s">
        <v>184</v>
      </c>
      <c r="P33" s="120" t="s">
        <v>184</v>
      </c>
      <c r="Q33" s="112" t="s">
        <v>184</v>
      </c>
      <c r="R33" s="120" t="s">
        <v>184</v>
      </c>
      <c r="S33" s="41"/>
      <c r="T33" s="41"/>
    </row>
    <row r="34" spans="1:20" ht="12.75" customHeight="1" x14ac:dyDescent="0.2">
      <c r="A34" s="41"/>
      <c r="B34" s="73"/>
      <c r="C34" s="408"/>
      <c r="D34" s="263" t="s">
        <v>641</v>
      </c>
      <c r="E34" s="92" t="s">
        <v>161</v>
      </c>
      <c r="F34" s="526" t="s">
        <v>166</v>
      </c>
      <c r="G34" s="527"/>
      <c r="H34" s="110" t="s">
        <v>184</v>
      </c>
      <c r="I34" s="110" t="s">
        <v>184</v>
      </c>
      <c r="J34" s="110" t="s">
        <v>184</v>
      </c>
      <c r="K34" s="110" t="s">
        <v>184</v>
      </c>
      <c r="L34" s="111" t="s">
        <v>184</v>
      </c>
      <c r="M34" s="110">
        <v>0</v>
      </c>
      <c r="N34" s="112" t="s">
        <v>184</v>
      </c>
      <c r="O34" s="112" t="s">
        <v>184</v>
      </c>
      <c r="P34" s="120" t="s">
        <v>184</v>
      </c>
      <c r="Q34" s="112" t="s">
        <v>184</v>
      </c>
      <c r="R34" s="120" t="s">
        <v>184</v>
      </c>
      <c r="S34" s="41"/>
      <c r="T34" s="41"/>
    </row>
    <row r="35" spans="1:20" ht="12.75" customHeight="1" x14ac:dyDescent="0.2">
      <c r="A35" s="41"/>
      <c r="B35" s="73"/>
      <c r="C35" s="408"/>
      <c r="D35" s="263" t="s">
        <v>642</v>
      </c>
      <c r="E35" s="92" t="s">
        <v>162</v>
      </c>
      <c r="F35" s="526" t="s">
        <v>166</v>
      </c>
      <c r="G35" s="527"/>
      <c r="H35" s="110" t="s">
        <v>184</v>
      </c>
      <c r="I35" s="110" t="s">
        <v>184</v>
      </c>
      <c r="J35" s="110" t="s">
        <v>184</v>
      </c>
      <c r="K35" s="110" t="s">
        <v>184</v>
      </c>
      <c r="L35" s="111" t="s">
        <v>184</v>
      </c>
      <c r="M35" s="110">
        <v>0</v>
      </c>
      <c r="N35" s="112" t="s">
        <v>184</v>
      </c>
      <c r="O35" s="112" t="s">
        <v>184</v>
      </c>
      <c r="P35" s="120" t="s">
        <v>184</v>
      </c>
      <c r="Q35" s="112" t="s">
        <v>184</v>
      </c>
      <c r="R35" s="120" t="s">
        <v>184</v>
      </c>
      <c r="S35" s="41"/>
      <c r="T35" s="41"/>
    </row>
    <row r="36" spans="1:20" ht="12.75" customHeight="1" x14ac:dyDescent="0.25">
      <c r="A36" s="41"/>
      <c r="B36" s="57"/>
      <c r="C36" s="409"/>
      <c r="D36" s="264" t="s">
        <v>643</v>
      </c>
      <c r="E36" s="13" t="s">
        <v>223</v>
      </c>
      <c r="F36" s="524" t="s">
        <v>166</v>
      </c>
      <c r="G36" s="525"/>
      <c r="H36" s="94" t="s">
        <v>184</v>
      </c>
      <c r="I36" s="94" t="s">
        <v>184</v>
      </c>
      <c r="J36" s="94" t="s">
        <v>184</v>
      </c>
      <c r="K36" s="94" t="s">
        <v>184</v>
      </c>
      <c r="L36" s="94" t="s">
        <v>184</v>
      </c>
      <c r="M36" s="94">
        <v>0</v>
      </c>
      <c r="N36" s="54" t="s">
        <v>184</v>
      </c>
      <c r="O36" s="55" t="s">
        <v>184</v>
      </c>
      <c r="P36" s="56" t="s">
        <v>184</v>
      </c>
      <c r="Q36" s="94" t="s">
        <v>184</v>
      </c>
      <c r="R36" s="168" t="s">
        <v>184</v>
      </c>
      <c r="S36" s="41"/>
      <c r="T36" s="41"/>
    </row>
    <row r="37" spans="1:20" ht="12.75" customHeight="1" x14ac:dyDescent="0.2">
      <c r="A37" s="41"/>
      <c r="B37" s="73"/>
      <c r="C37" s="407" t="s">
        <v>300</v>
      </c>
      <c r="D37" s="262" t="s">
        <v>644</v>
      </c>
      <c r="E37" s="108" t="s">
        <v>151</v>
      </c>
      <c r="F37" s="528" t="s">
        <v>166</v>
      </c>
      <c r="G37" s="529"/>
      <c r="H37" s="110">
        <v>10.388999999999999</v>
      </c>
      <c r="I37" s="110">
        <v>39.109000000000002</v>
      </c>
      <c r="J37" s="110">
        <v>12.535</v>
      </c>
      <c r="K37" s="110">
        <v>7.0190000000000001</v>
      </c>
      <c r="L37" s="111">
        <v>5.0099999999999997E-3</v>
      </c>
      <c r="M37" s="110">
        <v>0</v>
      </c>
      <c r="N37" s="113">
        <v>136.76499999999999</v>
      </c>
      <c r="O37" s="113">
        <v>0.93899999999999995</v>
      </c>
      <c r="P37" s="137">
        <v>1.436E-2</v>
      </c>
      <c r="Q37" s="112">
        <v>16.751999999999999</v>
      </c>
      <c r="R37" s="120">
        <v>8.3000000000000001E-4</v>
      </c>
      <c r="S37" s="41"/>
      <c r="T37" s="41"/>
    </row>
    <row r="38" spans="1:20" ht="12.75" customHeight="1" x14ac:dyDescent="0.2">
      <c r="A38" s="41"/>
      <c r="B38" s="73"/>
      <c r="C38" s="408"/>
      <c r="D38" s="263" t="s">
        <v>645</v>
      </c>
      <c r="E38" s="92" t="s">
        <v>152</v>
      </c>
      <c r="F38" s="526" t="s">
        <v>166</v>
      </c>
      <c r="G38" s="527"/>
      <c r="H38" s="110">
        <v>10.388999999999999</v>
      </c>
      <c r="I38" s="110">
        <v>39.109000000000002</v>
      </c>
      <c r="J38" s="110">
        <v>12.535</v>
      </c>
      <c r="K38" s="110">
        <v>7.0190000000000001</v>
      </c>
      <c r="L38" s="111">
        <v>5.0099999999999997E-3</v>
      </c>
      <c r="M38" s="110">
        <v>0</v>
      </c>
      <c r="N38" s="112">
        <v>96.524000000000001</v>
      </c>
      <c r="O38" s="112">
        <v>2.4239999999999999</v>
      </c>
      <c r="P38" s="120">
        <v>1.7309999999999999E-2</v>
      </c>
      <c r="Q38" s="112">
        <v>16.751999999999999</v>
      </c>
      <c r="R38" s="120">
        <v>8.3000000000000001E-4</v>
      </c>
      <c r="S38" s="41"/>
      <c r="T38" s="41"/>
    </row>
    <row r="39" spans="1:20" ht="12.75" customHeight="1" x14ac:dyDescent="0.2">
      <c r="A39" s="41"/>
      <c r="B39" s="73"/>
      <c r="C39" s="408"/>
      <c r="D39" s="263" t="s">
        <v>646</v>
      </c>
      <c r="E39" s="92" t="s">
        <v>153</v>
      </c>
      <c r="F39" s="526" t="s">
        <v>166</v>
      </c>
      <c r="G39" s="527"/>
      <c r="H39" s="110">
        <v>10.388999999999999</v>
      </c>
      <c r="I39" s="110">
        <v>39.109000000000002</v>
      </c>
      <c r="J39" s="110">
        <v>12.535</v>
      </c>
      <c r="K39" s="110">
        <v>7.0190000000000001</v>
      </c>
      <c r="L39" s="111">
        <v>5.0099999999999997E-3</v>
      </c>
      <c r="M39" s="110">
        <v>0</v>
      </c>
      <c r="N39" s="112">
        <v>104.58799999999999</v>
      </c>
      <c r="O39" s="112">
        <v>4.7670000000000003</v>
      </c>
      <c r="P39" s="120">
        <v>2.249E-2</v>
      </c>
      <c r="Q39" s="112">
        <v>16.751999999999999</v>
      </c>
      <c r="R39" s="120">
        <v>8.3000000000000001E-4</v>
      </c>
      <c r="S39" s="41"/>
      <c r="T39" s="41"/>
    </row>
    <row r="40" spans="1:20" ht="12.75" customHeight="1" x14ac:dyDescent="0.2">
      <c r="A40" s="41"/>
      <c r="B40" s="73"/>
      <c r="C40" s="408"/>
      <c r="D40" s="263" t="s">
        <v>647</v>
      </c>
      <c r="E40" s="92" t="s">
        <v>163</v>
      </c>
      <c r="F40" s="526" t="s">
        <v>166</v>
      </c>
      <c r="G40" s="527"/>
      <c r="H40" s="110">
        <v>10.388999999999999</v>
      </c>
      <c r="I40" s="110">
        <v>40.107999999999997</v>
      </c>
      <c r="J40" s="110">
        <v>32.087000000000003</v>
      </c>
      <c r="K40" s="110">
        <v>36.28</v>
      </c>
      <c r="L40" s="111">
        <v>1.4030000000000001E-2</v>
      </c>
      <c r="M40" s="110">
        <v>0</v>
      </c>
      <c r="N40" s="112">
        <v>136.76499999999999</v>
      </c>
      <c r="O40" s="112">
        <v>0.93899999999999995</v>
      </c>
      <c r="P40" s="120">
        <v>1.436E-2</v>
      </c>
      <c r="Q40" s="112">
        <v>16.751999999999999</v>
      </c>
      <c r="R40" s="120">
        <v>8.3000000000000001E-4</v>
      </c>
      <c r="S40" s="41"/>
      <c r="T40" s="41"/>
    </row>
    <row r="41" spans="1:20" ht="12.75" customHeight="1" x14ac:dyDescent="0.2">
      <c r="A41" s="41"/>
      <c r="B41" s="73"/>
      <c r="C41" s="408"/>
      <c r="D41" s="263" t="s">
        <v>648</v>
      </c>
      <c r="E41" s="92" t="s">
        <v>164</v>
      </c>
      <c r="F41" s="526" t="s">
        <v>166</v>
      </c>
      <c r="G41" s="527"/>
      <c r="H41" s="110">
        <v>10.388999999999999</v>
      </c>
      <c r="I41" s="110">
        <v>40.107999999999997</v>
      </c>
      <c r="J41" s="110">
        <v>32.087000000000003</v>
      </c>
      <c r="K41" s="110">
        <v>36.28</v>
      </c>
      <c r="L41" s="111">
        <v>1.4030000000000001E-2</v>
      </c>
      <c r="M41" s="110">
        <v>0</v>
      </c>
      <c r="N41" s="112">
        <v>96.524000000000001</v>
      </c>
      <c r="O41" s="112">
        <v>2.4239999999999999</v>
      </c>
      <c r="P41" s="120">
        <v>1.7309999999999999E-2</v>
      </c>
      <c r="Q41" s="112">
        <v>16.751999999999999</v>
      </c>
      <c r="R41" s="120">
        <v>8.3000000000000001E-4</v>
      </c>
      <c r="S41" s="41"/>
      <c r="T41" s="41"/>
    </row>
    <row r="42" spans="1:20" ht="12.75" customHeight="1" x14ac:dyDescent="0.2">
      <c r="A42" s="41"/>
      <c r="B42" s="73"/>
      <c r="C42" s="408"/>
      <c r="D42" s="263" t="s">
        <v>649</v>
      </c>
      <c r="E42" s="92" t="s">
        <v>165</v>
      </c>
      <c r="F42" s="526" t="s">
        <v>166</v>
      </c>
      <c r="G42" s="527"/>
      <c r="H42" s="110">
        <v>10.388999999999999</v>
      </c>
      <c r="I42" s="110">
        <v>40.107999999999997</v>
      </c>
      <c r="J42" s="110">
        <v>32.087000000000003</v>
      </c>
      <c r="K42" s="110">
        <v>36.28</v>
      </c>
      <c r="L42" s="111">
        <v>1.4030000000000001E-2</v>
      </c>
      <c r="M42" s="110">
        <v>0</v>
      </c>
      <c r="N42" s="112">
        <v>104.58799999999999</v>
      </c>
      <c r="O42" s="112">
        <v>4.7670000000000003</v>
      </c>
      <c r="P42" s="120">
        <v>2.249E-2</v>
      </c>
      <c r="Q42" s="112">
        <v>16.751999999999999</v>
      </c>
      <c r="R42" s="120">
        <v>8.3000000000000001E-4</v>
      </c>
      <c r="S42" s="41"/>
      <c r="T42" s="41"/>
    </row>
    <row r="43" spans="1:20" ht="12.75" customHeight="1" x14ac:dyDescent="0.25">
      <c r="A43" s="41"/>
      <c r="B43" s="57"/>
      <c r="C43" s="409"/>
      <c r="D43" s="264" t="s">
        <v>650</v>
      </c>
      <c r="E43" s="13" t="s">
        <v>186</v>
      </c>
      <c r="F43" s="524" t="s">
        <v>166</v>
      </c>
      <c r="G43" s="525"/>
      <c r="H43" s="94" t="s">
        <v>184</v>
      </c>
      <c r="I43" s="94" t="s">
        <v>184</v>
      </c>
      <c r="J43" s="94" t="s">
        <v>184</v>
      </c>
      <c r="K43" s="94" t="s">
        <v>184</v>
      </c>
      <c r="L43" s="94" t="s">
        <v>184</v>
      </c>
      <c r="M43" s="94">
        <v>0</v>
      </c>
      <c r="N43" s="54" t="s">
        <v>184</v>
      </c>
      <c r="O43" s="55" t="s">
        <v>184</v>
      </c>
      <c r="P43" s="56" t="s">
        <v>184</v>
      </c>
      <c r="Q43" s="94" t="s">
        <v>184</v>
      </c>
      <c r="R43" s="168" t="s">
        <v>184</v>
      </c>
      <c r="S43" s="41"/>
      <c r="T43" s="41"/>
    </row>
    <row r="44" spans="1:20" ht="18" x14ac:dyDescent="0.25">
      <c r="A44" s="41"/>
      <c r="B44" s="57"/>
      <c r="C44" s="41"/>
      <c r="D44" s="57"/>
      <c r="E44" s="153"/>
      <c r="F44" s="41"/>
      <c r="G44" s="154"/>
      <c r="H44" s="154"/>
      <c r="I44" s="155"/>
      <c r="J44" s="41"/>
      <c r="K44" s="41"/>
      <c r="L44" s="41"/>
      <c r="M44" s="41"/>
      <c r="N44" s="41"/>
      <c r="O44" s="41"/>
      <c r="P44" s="41"/>
      <c r="Q44" s="41"/>
      <c r="R44" s="41"/>
      <c r="S44" s="41"/>
      <c r="T44" s="41"/>
    </row>
    <row r="45" spans="1:20" ht="18" x14ac:dyDescent="0.25">
      <c r="A45" s="41"/>
      <c r="B45" s="57"/>
      <c r="C45" s="336" t="s">
        <v>224</v>
      </c>
      <c r="D45" s="275"/>
      <c r="E45" s="270"/>
      <c r="F45" s="269"/>
      <c r="G45" s="276"/>
      <c r="H45" s="276"/>
      <c r="I45" s="277"/>
      <c r="J45" s="269"/>
      <c r="K45" s="269"/>
      <c r="L45" s="269"/>
      <c r="M45" s="269"/>
      <c r="N45" s="269"/>
      <c r="O45" s="269"/>
      <c r="P45" s="269"/>
      <c r="Q45" s="269"/>
      <c r="R45" s="278"/>
      <c r="S45" s="41"/>
      <c r="T45" s="41"/>
    </row>
    <row r="46" spans="1:20" ht="23.25" customHeight="1" x14ac:dyDescent="0.25">
      <c r="A46" s="41"/>
      <c r="B46" s="57"/>
      <c r="C46" s="267" t="s">
        <v>169</v>
      </c>
      <c r="D46" s="279"/>
      <c r="E46" s="280"/>
      <c r="F46" s="281"/>
      <c r="G46" s="282"/>
      <c r="H46" s="282"/>
      <c r="I46" s="283"/>
      <c r="J46" s="281"/>
      <c r="K46" s="281"/>
      <c r="L46" s="281"/>
      <c r="M46" s="281"/>
      <c r="N46" s="281"/>
      <c r="O46" s="281"/>
      <c r="P46" s="281"/>
      <c r="Q46" s="281"/>
      <c r="R46" s="284"/>
      <c r="S46" s="41"/>
      <c r="T46" s="41"/>
    </row>
    <row r="47" spans="1:20" ht="17.25" customHeight="1" x14ac:dyDescent="0.25">
      <c r="A47" s="41"/>
      <c r="B47" s="57"/>
      <c r="C47" s="285" t="s">
        <v>236</v>
      </c>
      <c r="D47" s="279"/>
      <c r="E47" s="280"/>
      <c r="F47" s="281"/>
      <c r="G47" s="282"/>
      <c r="H47" s="286"/>
      <c r="I47" s="286"/>
      <c r="J47" s="286"/>
      <c r="K47" s="286"/>
      <c r="L47" s="286"/>
      <c r="M47" s="286"/>
      <c r="N47" s="286"/>
      <c r="O47" s="281"/>
      <c r="P47" s="281"/>
      <c r="Q47" s="281"/>
      <c r="R47" s="284"/>
      <c r="S47" s="41"/>
      <c r="T47" s="41"/>
    </row>
    <row r="48" spans="1:20" ht="17.25" customHeight="1" x14ac:dyDescent="0.25">
      <c r="A48" s="41"/>
      <c r="B48" s="57"/>
      <c r="C48" s="469" t="s">
        <v>689</v>
      </c>
      <c r="D48" s="470"/>
      <c r="E48" s="470"/>
      <c r="F48" s="470"/>
      <c r="G48" s="470"/>
      <c r="H48" s="470"/>
      <c r="I48" s="470"/>
      <c r="J48" s="470"/>
      <c r="K48" s="470"/>
      <c r="L48" s="470"/>
      <c r="M48" s="470"/>
      <c r="N48" s="470"/>
      <c r="O48" s="470"/>
      <c r="P48" s="470"/>
      <c r="Q48" s="470"/>
      <c r="R48" s="471"/>
      <c r="S48" s="41"/>
      <c r="T48" s="41"/>
    </row>
    <row r="49" spans="1:20" ht="40.5" customHeight="1" x14ac:dyDescent="0.25">
      <c r="A49" s="41"/>
      <c r="B49" s="57"/>
      <c r="C49" s="469"/>
      <c r="D49" s="470"/>
      <c r="E49" s="470"/>
      <c r="F49" s="470"/>
      <c r="G49" s="470"/>
      <c r="H49" s="470"/>
      <c r="I49" s="470"/>
      <c r="J49" s="470"/>
      <c r="K49" s="470"/>
      <c r="L49" s="470"/>
      <c r="M49" s="470"/>
      <c r="N49" s="470"/>
      <c r="O49" s="470"/>
      <c r="P49" s="470"/>
      <c r="Q49" s="470"/>
      <c r="R49" s="471"/>
      <c r="S49" s="41"/>
      <c r="T49" s="41"/>
    </row>
    <row r="50" spans="1:20" ht="17.25" customHeight="1" x14ac:dyDescent="0.25">
      <c r="A50" s="41"/>
      <c r="B50" s="57"/>
      <c r="C50" s="287" t="s">
        <v>271</v>
      </c>
      <c r="D50" s="288"/>
      <c r="E50" s="289"/>
      <c r="F50" s="290"/>
      <c r="G50" s="291"/>
      <c r="H50" s="291"/>
      <c r="I50" s="292"/>
      <c r="J50" s="290"/>
      <c r="K50" s="290"/>
      <c r="L50" s="290"/>
      <c r="M50" s="290"/>
      <c r="N50" s="290"/>
      <c r="O50" s="290"/>
      <c r="P50" s="290"/>
      <c r="Q50" s="290"/>
      <c r="R50" s="293"/>
      <c r="S50" s="41"/>
      <c r="T50" s="41"/>
    </row>
    <row r="51" spans="1:20" ht="24.75" customHeight="1" x14ac:dyDescent="0.25">
      <c r="A51" s="41"/>
      <c r="B51" s="57"/>
      <c r="C51" s="41"/>
      <c r="D51" s="57"/>
      <c r="E51" s="153"/>
      <c r="F51" s="158"/>
      <c r="G51" s="154"/>
      <c r="H51" s="154"/>
      <c r="I51" s="155"/>
      <c r="J51" s="41"/>
      <c r="K51" s="41"/>
      <c r="L51" s="41"/>
      <c r="M51" s="41"/>
      <c r="N51" s="41"/>
      <c r="O51" s="41"/>
      <c r="P51" s="41"/>
      <c r="Q51" s="41"/>
      <c r="R51" s="41"/>
      <c r="S51" s="41"/>
      <c r="T51" s="41"/>
    </row>
    <row r="52" spans="1:20" ht="16.5" x14ac:dyDescent="0.25">
      <c r="A52" s="41"/>
      <c r="B52" s="41"/>
      <c r="C52" s="242" t="s">
        <v>282</v>
      </c>
      <c r="D52" s="41"/>
      <c r="E52" s="41"/>
      <c r="F52" s="153"/>
      <c r="G52" s="41"/>
      <c r="H52" s="154"/>
      <c r="I52" s="154"/>
      <c r="J52" s="155"/>
      <c r="K52" s="41"/>
      <c r="L52" s="41"/>
      <c r="M52" s="41"/>
      <c r="N52" s="41"/>
      <c r="O52" s="41"/>
      <c r="P52" s="41"/>
      <c r="Q52" s="41"/>
      <c r="R52" s="41"/>
      <c r="S52" s="41"/>
      <c r="T52" s="41"/>
    </row>
    <row r="53" spans="1:20" x14ac:dyDescent="0.2">
      <c r="A53" s="41"/>
      <c r="B53" s="41"/>
      <c r="C53" s="41"/>
      <c r="D53" s="41"/>
      <c r="E53" s="41"/>
      <c r="F53" s="153"/>
      <c r="G53" s="41"/>
      <c r="H53" s="154"/>
      <c r="I53" s="154"/>
      <c r="J53" s="155"/>
      <c r="K53" s="41"/>
      <c r="L53" s="41"/>
      <c r="M53" s="41"/>
      <c r="N53" s="41"/>
      <c r="O53" s="41"/>
      <c r="P53" s="41"/>
      <c r="Q53" s="41"/>
      <c r="R53" s="41"/>
      <c r="S53" s="41"/>
      <c r="T53" s="41"/>
    </row>
    <row r="54" spans="1:20" ht="15" customHeight="1" x14ac:dyDescent="0.2">
      <c r="A54" s="41"/>
      <c r="B54" s="41"/>
      <c r="C54" s="443" t="s">
        <v>228</v>
      </c>
      <c r="D54" s="444"/>
      <c r="E54" s="444"/>
      <c r="F54" s="444"/>
      <c r="G54" s="444"/>
      <c r="H54" s="444"/>
      <c r="I54" s="444"/>
      <c r="J54" s="444"/>
      <c r="K54" s="444"/>
      <c r="L54" s="444"/>
      <c r="M54" s="444"/>
      <c r="N54" s="444"/>
      <c r="O54" s="444"/>
      <c r="P54" s="444"/>
      <c r="Q54" s="444"/>
      <c r="R54" s="445"/>
      <c r="S54" s="41"/>
      <c r="T54" s="41"/>
    </row>
    <row r="55" spans="1:20" ht="41.25" customHeight="1" x14ac:dyDescent="0.2">
      <c r="A55" s="41"/>
      <c r="B55" s="41"/>
      <c r="C55" s="440" t="str">
        <f>"OPTIONAL TARIFFS APPLYING TO CONNECTION ASSET CUSTOMERS 
SEASONAL TIME-OF-USE-DEMAND 
GST Exclusive"</f>
        <v>OPTIONAL TARIFFS APPLYING TO CONNECTION ASSET CUSTOMERS 
SEASONAL TIME-OF-USE-DEMAND 
GST Exclusive</v>
      </c>
      <c r="D55" s="441"/>
      <c r="E55" s="441"/>
      <c r="F55" s="441"/>
      <c r="G55" s="441"/>
      <c r="H55" s="441"/>
      <c r="I55" s="441"/>
      <c r="J55" s="441"/>
      <c r="K55" s="441"/>
      <c r="L55" s="441"/>
      <c r="M55" s="441"/>
      <c r="N55" s="441"/>
      <c r="O55" s="441"/>
      <c r="P55" s="441"/>
      <c r="Q55" s="441"/>
      <c r="R55" s="442"/>
      <c r="S55" s="41"/>
      <c r="T55" s="41"/>
    </row>
    <row r="56" spans="1:20" ht="30" customHeight="1" x14ac:dyDescent="0.2">
      <c r="A56" s="41"/>
      <c r="B56" s="41"/>
      <c r="C56" s="423" t="s">
        <v>464</v>
      </c>
      <c r="D56" s="423" t="s">
        <v>167</v>
      </c>
      <c r="E56" s="423" t="s">
        <v>7</v>
      </c>
      <c r="F56" s="463" t="s">
        <v>0</v>
      </c>
      <c r="G56" s="452"/>
      <c r="H56" s="466" t="s">
        <v>5</v>
      </c>
      <c r="I56" s="437"/>
      <c r="J56" s="437"/>
      <c r="K56" s="437"/>
      <c r="L56" s="437"/>
      <c r="M56" s="438"/>
      <c r="N56" s="439" t="s">
        <v>6</v>
      </c>
      <c r="O56" s="459"/>
      <c r="P56" s="435"/>
      <c r="Q56" s="432" t="s">
        <v>178</v>
      </c>
      <c r="R56" s="433"/>
      <c r="S56" s="41"/>
      <c r="T56" s="41"/>
    </row>
    <row r="57" spans="1:20" ht="30" customHeight="1" x14ac:dyDescent="0.2">
      <c r="A57" s="41"/>
      <c r="B57" s="41"/>
      <c r="C57" s="424"/>
      <c r="D57" s="424"/>
      <c r="E57" s="424"/>
      <c r="F57" s="464"/>
      <c r="G57" s="454"/>
      <c r="H57" s="418" t="s">
        <v>208</v>
      </c>
      <c r="I57" s="418" t="s">
        <v>92</v>
      </c>
      <c r="J57" s="522" t="s">
        <v>676</v>
      </c>
      <c r="K57" s="522" t="s">
        <v>677</v>
      </c>
      <c r="L57" s="522" t="s">
        <v>226</v>
      </c>
      <c r="M57" s="522" t="s">
        <v>667</v>
      </c>
      <c r="N57" s="449" t="s">
        <v>96</v>
      </c>
      <c r="O57" s="449" t="s">
        <v>168</v>
      </c>
      <c r="P57" s="449" t="s">
        <v>98</v>
      </c>
      <c r="Q57" s="420" t="s">
        <v>179</v>
      </c>
      <c r="R57" s="420" t="s">
        <v>180</v>
      </c>
      <c r="S57" s="41"/>
      <c r="T57" s="41"/>
    </row>
    <row r="58" spans="1:20" ht="30" customHeight="1" x14ac:dyDescent="0.2">
      <c r="A58" s="41"/>
      <c r="B58" s="41"/>
      <c r="C58" s="424"/>
      <c r="D58" s="424"/>
      <c r="E58" s="424"/>
      <c r="F58" s="465"/>
      <c r="G58" s="456"/>
      <c r="H58" s="419"/>
      <c r="I58" s="419"/>
      <c r="J58" s="523"/>
      <c r="K58" s="523"/>
      <c r="L58" s="523"/>
      <c r="M58" s="523"/>
      <c r="N58" s="450"/>
      <c r="O58" s="450"/>
      <c r="P58" s="450"/>
      <c r="Q58" s="421"/>
      <c r="R58" s="421"/>
      <c r="S58" s="41"/>
      <c r="T58" s="41"/>
    </row>
    <row r="59" spans="1:20" ht="36" x14ac:dyDescent="0.2">
      <c r="A59" s="41"/>
      <c r="B59" s="41"/>
      <c r="C59" s="425"/>
      <c r="D59" s="425"/>
      <c r="E59" s="425"/>
      <c r="F59" s="171" t="s">
        <v>8</v>
      </c>
      <c r="G59" s="229" t="s">
        <v>9</v>
      </c>
      <c r="H59" s="90" t="s">
        <v>675</v>
      </c>
      <c r="I59" s="90" t="s">
        <v>89</v>
      </c>
      <c r="J59" s="90" t="s">
        <v>99</v>
      </c>
      <c r="K59" s="172" t="s">
        <v>227</v>
      </c>
      <c r="L59" s="172" t="s">
        <v>674</v>
      </c>
      <c r="M59" s="170" t="s">
        <v>10</v>
      </c>
      <c r="N59" s="91" t="s">
        <v>89</v>
      </c>
      <c r="O59" s="91" t="s">
        <v>100</v>
      </c>
      <c r="P59" s="91" t="s">
        <v>10</v>
      </c>
      <c r="Q59" s="119" t="s">
        <v>89</v>
      </c>
      <c r="R59" s="118" t="s">
        <v>10</v>
      </c>
      <c r="S59" s="41"/>
      <c r="T59" s="41"/>
    </row>
    <row r="60" spans="1:20" ht="12.75" customHeight="1" x14ac:dyDescent="0.2">
      <c r="A60" s="41"/>
      <c r="B60" s="41"/>
      <c r="C60" s="407" t="s">
        <v>651</v>
      </c>
      <c r="D60" s="173" t="s">
        <v>543</v>
      </c>
      <c r="E60" s="30" t="s">
        <v>101</v>
      </c>
      <c r="F60" s="518" t="s">
        <v>166</v>
      </c>
      <c r="G60" s="519"/>
      <c r="H60" s="48">
        <v>10.388999999999999</v>
      </c>
      <c r="I60" s="48">
        <v>0</v>
      </c>
      <c r="J60" s="48">
        <v>6.016</v>
      </c>
      <c r="K60" s="48">
        <v>11</v>
      </c>
      <c r="L60" s="48">
        <v>0</v>
      </c>
      <c r="M60" s="25">
        <v>4.0099999999999997E-3</v>
      </c>
      <c r="N60" s="112">
        <v>136.76499999999999</v>
      </c>
      <c r="O60" s="112">
        <v>0.93899999999999995</v>
      </c>
      <c r="P60" s="120">
        <v>1.436E-2</v>
      </c>
      <c r="Q60" s="112">
        <v>16.751999999999999</v>
      </c>
      <c r="R60" s="120">
        <v>8.3000000000000001E-4</v>
      </c>
      <c r="S60" s="41"/>
      <c r="T60" s="41"/>
    </row>
    <row r="61" spans="1:20" ht="12.75" customHeight="1" x14ac:dyDescent="0.2">
      <c r="A61" s="41"/>
      <c r="B61" s="41"/>
      <c r="C61" s="408"/>
      <c r="D61" s="174" t="s">
        <v>544</v>
      </c>
      <c r="E61" s="35" t="s">
        <v>103</v>
      </c>
      <c r="F61" s="511" t="s">
        <v>166</v>
      </c>
      <c r="G61" s="512"/>
      <c r="H61" s="48">
        <v>10.388999999999999</v>
      </c>
      <c r="I61" s="48">
        <v>0</v>
      </c>
      <c r="J61" s="48">
        <v>6.016</v>
      </c>
      <c r="K61" s="48">
        <v>11</v>
      </c>
      <c r="L61" s="48">
        <v>0</v>
      </c>
      <c r="M61" s="25">
        <v>4.0099999999999997E-3</v>
      </c>
      <c r="N61" s="112">
        <v>96.524000000000001</v>
      </c>
      <c r="O61" s="112">
        <v>2.4239999999999999</v>
      </c>
      <c r="P61" s="120">
        <v>1.7309999999999999E-2</v>
      </c>
      <c r="Q61" s="112">
        <v>16.751999999999999</v>
      </c>
      <c r="R61" s="120">
        <v>8.3000000000000001E-4</v>
      </c>
      <c r="S61" s="41"/>
      <c r="T61" s="41"/>
    </row>
    <row r="62" spans="1:20" ht="12.75" customHeight="1" x14ac:dyDescent="0.2">
      <c r="A62" s="41"/>
      <c r="B62" s="41"/>
      <c r="C62" s="408"/>
      <c r="D62" s="174" t="s">
        <v>545</v>
      </c>
      <c r="E62" s="35" t="s">
        <v>104</v>
      </c>
      <c r="F62" s="511" t="s">
        <v>166</v>
      </c>
      <c r="G62" s="512"/>
      <c r="H62" s="48">
        <v>10.388999999999999</v>
      </c>
      <c r="I62" s="48">
        <v>0</v>
      </c>
      <c r="J62" s="48">
        <v>6.016</v>
      </c>
      <c r="K62" s="48">
        <v>11</v>
      </c>
      <c r="L62" s="48">
        <v>0</v>
      </c>
      <c r="M62" s="25">
        <v>4.0099999999999997E-3</v>
      </c>
      <c r="N62" s="112">
        <v>104.58799999999999</v>
      </c>
      <c r="O62" s="112">
        <v>4.7670000000000003</v>
      </c>
      <c r="P62" s="120">
        <v>2.249E-2</v>
      </c>
      <c r="Q62" s="112">
        <v>16.751999999999999</v>
      </c>
      <c r="R62" s="120">
        <v>8.3000000000000001E-4</v>
      </c>
      <c r="S62" s="41"/>
      <c r="T62" s="41"/>
    </row>
    <row r="63" spans="1:20" ht="12.75" customHeight="1" x14ac:dyDescent="0.2">
      <c r="A63" s="41"/>
      <c r="B63" s="41"/>
      <c r="C63" s="408"/>
      <c r="D63" s="174" t="s">
        <v>652</v>
      </c>
      <c r="E63" s="219" t="s">
        <v>105</v>
      </c>
      <c r="F63" s="511" t="s">
        <v>166</v>
      </c>
      <c r="G63" s="512"/>
      <c r="H63" s="48">
        <v>10.388999999999999</v>
      </c>
      <c r="I63" s="48">
        <v>0</v>
      </c>
      <c r="J63" s="48">
        <v>20.257999999999999</v>
      </c>
      <c r="K63" s="48">
        <v>27.666</v>
      </c>
      <c r="L63" s="48">
        <v>0</v>
      </c>
      <c r="M63" s="25">
        <v>3.0079999999999999E-2</v>
      </c>
      <c r="N63" s="112">
        <v>136.76499999999999</v>
      </c>
      <c r="O63" s="112">
        <v>0.93899999999999995</v>
      </c>
      <c r="P63" s="120">
        <v>1.436E-2</v>
      </c>
      <c r="Q63" s="112">
        <v>16.751999999999999</v>
      </c>
      <c r="R63" s="120">
        <v>8.3000000000000001E-4</v>
      </c>
      <c r="S63" s="41"/>
      <c r="T63" s="41"/>
    </row>
    <row r="64" spans="1:20" ht="12.75" customHeight="1" x14ac:dyDescent="0.2">
      <c r="A64" s="41"/>
      <c r="B64" s="41"/>
      <c r="C64" s="408"/>
      <c r="D64" s="174" t="s">
        <v>546</v>
      </c>
      <c r="E64" s="219" t="s">
        <v>106</v>
      </c>
      <c r="F64" s="511" t="s">
        <v>166</v>
      </c>
      <c r="G64" s="512"/>
      <c r="H64" s="48">
        <v>10.388999999999999</v>
      </c>
      <c r="I64" s="48">
        <v>0</v>
      </c>
      <c r="J64" s="48">
        <v>20.257999999999999</v>
      </c>
      <c r="K64" s="48">
        <v>27.666</v>
      </c>
      <c r="L64" s="48">
        <v>0</v>
      </c>
      <c r="M64" s="25">
        <v>3.0079999999999999E-2</v>
      </c>
      <c r="N64" s="112">
        <v>96.524000000000001</v>
      </c>
      <c r="O64" s="112">
        <v>2.4239999999999999</v>
      </c>
      <c r="P64" s="120">
        <v>1.7309999999999999E-2</v>
      </c>
      <c r="Q64" s="112">
        <v>16.751999999999999</v>
      </c>
      <c r="R64" s="120">
        <v>8.3000000000000001E-4</v>
      </c>
      <c r="S64" s="41"/>
      <c r="T64" s="41"/>
    </row>
    <row r="65" spans="1:20" ht="12.75" customHeight="1" x14ac:dyDescent="0.2">
      <c r="A65" s="41"/>
      <c r="B65" s="41"/>
      <c r="C65" s="408"/>
      <c r="D65" s="174" t="s">
        <v>547</v>
      </c>
      <c r="E65" s="219" t="s">
        <v>107</v>
      </c>
      <c r="F65" s="511" t="s">
        <v>166</v>
      </c>
      <c r="G65" s="512"/>
      <c r="H65" s="48">
        <v>10.388999999999999</v>
      </c>
      <c r="I65" s="48">
        <v>0</v>
      </c>
      <c r="J65" s="48">
        <v>20.257999999999999</v>
      </c>
      <c r="K65" s="48">
        <v>27.666</v>
      </c>
      <c r="L65" s="48">
        <v>0</v>
      </c>
      <c r="M65" s="25">
        <v>3.0079999999999999E-2</v>
      </c>
      <c r="N65" s="112">
        <v>104.58799999999999</v>
      </c>
      <c r="O65" s="112">
        <v>4.7670000000000003</v>
      </c>
      <c r="P65" s="120">
        <v>2.249E-2</v>
      </c>
      <c r="Q65" s="112">
        <v>16.751999999999999</v>
      </c>
      <c r="R65" s="120">
        <v>8.3000000000000001E-4</v>
      </c>
      <c r="S65" s="41"/>
      <c r="T65" s="41"/>
    </row>
    <row r="66" spans="1:20" ht="12.75" customHeight="1" x14ac:dyDescent="0.2">
      <c r="A66" s="41"/>
      <c r="B66" s="41"/>
      <c r="C66" s="409"/>
      <c r="D66" s="174" t="s">
        <v>548</v>
      </c>
      <c r="E66" s="33" t="s">
        <v>108</v>
      </c>
      <c r="F66" s="520" t="s">
        <v>166</v>
      </c>
      <c r="G66" s="521"/>
      <c r="H66" s="104" t="s">
        <v>184</v>
      </c>
      <c r="I66" s="104" t="s">
        <v>184</v>
      </c>
      <c r="J66" s="104" t="s">
        <v>184</v>
      </c>
      <c r="K66" s="104" t="s">
        <v>184</v>
      </c>
      <c r="L66" s="104">
        <v>0</v>
      </c>
      <c r="M66" s="104" t="s">
        <v>184</v>
      </c>
      <c r="N66" s="102" t="s">
        <v>184</v>
      </c>
      <c r="O66" s="102" t="s">
        <v>184</v>
      </c>
      <c r="P66" s="98" t="s">
        <v>184</v>
      </c>
      <c r="Q66" s="98" t="s">
        <v>184</v>
      </c>
      <c r="R66" s="98" t="s">
        <v>184</v>
      </c>
      <c r="S66" s="41"/>
      <c r="T66" s="41"/>
    </row>
    <row r="67" spans="1:20" ht="12.75" customHeight="1" x14ac:dyDescent="0.2">
      <c r="A67" s="41"/>
      <c r="B67" s="41"/>
      <c r="C67" s="407" t="s">
        <v>302</v>
      </c>
      <c r="D67" s="173" t="s">
        <v>653</v>
      </c>
      <c r="E67" s="220" t="s">
        <v>109</v>
      </c>
      <c r="F67" s="509" t="s">
        <v>166</v>
      </c>
      <c r="G67" s="510"/>
      <c r="H67" s="48">
        <v>10.388999999999999</v>
      </c>
      <c r="I67" s="48">
        <v>0</v>
      </c>
      <c r="J67" s="48">
        <v>4.0110000000000001</v>
      </c>
      <c r="K67" s="48">
        <v>36.664999999999999</v>
      </c>
      <c r="L67" s="48">
        <v>0</v>
      </c>
      <c r="M67" s="25">
        <v>4.0099999999999997E-3</v>
      </c>
      <c r="N67" s="112">
        <v>136.76499999999999</v>
      </c>
      <c r="O67" s="112">
        <v>0.93899999999999995</v>
      </c>
      <c r="P67" s="120">
        <v>1.436E-2</v>
      </c>
      <c r="Q67" s="112">
        <v>16.751999999999999</v>
      </c>
      <c r="R67" s="120">
        <v>8.3000000000000001E-4</v>
      </c>
      <c r="S67" s="41"/>
      <c r="T67" s="41"/>
    </row>
    <row r="68" spans="1:20" ht="12.75" customHeight="1" x14ac:dyDescent="0.2">
      <c r="A68" s="41"/>
      <c r="B68" s="41"/>
      <c r="C68" s="408"/>
      <c r="D68" s="174" t="s">
        <v>654</v>
      </c>
      <c r="E68" s="219" t="s">
        <v>110</v>
      </c>
      <c r="F68" s="511" t="s">
        <v>166</v>
      </c>
      <c r="G68" s="512"/>
      <c r="H68" s="48">
        <v>10.388999999999999</v>
      </c>
      <c r="I68" s="48">
        <v>0</v>
      </c>
      <c r="J68" s="48">
        <v>4.0110000000000001</v>
      </c>
      <c r="K68" s="48">
        <v>36.664999999999999</v>
      </c>
      <c r="L68" s="48">
        <v>0</v>
      </c>
      <c r="M68" s="25">
        <v>4.0099999999999997E-3</v>
      </c>
      <c r="N68" s="112">
        <v>96.524000000000001</v>
      </c>
      <c r="O68" s="112">
        <v>2.4239999999999999</v>
      </c>
      <c r="P68" s="120">
        <v>1.7309999999999999E-2</v>
      </c>
      <c r="Q68" s="112">
        <v>16.751999999999999</v>
      </c>
      <c r="R68" s="120">
        <v>8.3000000000000001E-4</v>
      </c>
      <c r="S68" s="41"/>
      <c r="T68" s="41"/>
    </row>
    <row r="69" spans="1:20" ht="12.75" customHeight="1" x14ac:dyDescent="0.2">
      <c r="A69" s="41"/>
      <c r="B69" s="41"/>
      <c r="C69" s="408"/>
      <c r="D69" s="174" t="s">
        <v>655</v>
      </c>
      <c r="E69" s="219" t="s">
        <v>111</v>
      </c>
      <c r="F69" s="511" t="s">
        <v>166</v>
      </c>
      <c r="G69" s="512"/>
      <c r="H69" s="48">
        <v>10.388999999999999</v>
      </c>
      <c r="I69" s="48">
        <v>0</v>
      </c>
      <c r="J69" s="48">
        <v>4.0110000000000001</v>
      </c>
      <c r="K69" s="48">
        <v>36.664999999999999</v>
      </c>
      <c r="L69" s="48">
        <v>0</v>
      </c>
      <c r="M69" s="25">
        <v>4.0099999999999997E-3</v>
      </c>
      <c r="N69" s="112">
        <v>104.58799999999999</v>
      </c>
      <c r="O69" s="112">
        <v>4.7670000000000003</v>
      </c>
      <c r="P69" s="120">
        <v>2.249E-2</v>
      </c>
      <c r="Q69" s="112">
        <v>16.751999999999999</v>
      </c>
      <c r="R69" s="120">
        <v>8.3000000000000001E-4</v>
      </c>
      <c r="S69" s="41"/>
      <c r="T69" s="41"/>
    </row>
    <row r="70" spans="1:20" ht="12.75" customHeight="1" x14ac:dyDescent="0.2">
      <c r="A70" s="41"/>
      <c r="B70" s="41"/>
      <c r="C70" s="408"/>
      <c r="D70" s="174" t="s">
        <v>656</v>
      </c>
      <c r="E70" s="219" t="s">
        <v>112</v>
      </c>
      <c r="F70" s="511" t="s">
        <v>166</v>
      </c>
      <c r="G70" s="512"/>
      <c r="H70" s="105" t="s">
        <v>184</v>
      </c>
      <c r="I70" s="105" t="s">
        <v>184</v>
      </c>
      <c r="J70" s="105" t="s">
        <v>184</v>
      </c>
      <c r="K70" s="105" t="s">
        <v>184</v>
      </c>
      <c r="L70" s="48">
        <v>0</v>
      </c>
      <c r="M70" s="105" t="s">
        <v>184</v>
      </c>
      <c r="N70" s="112" t="s">
        <v>184</v>
      </c>
      <c r="O70" s="105" t="s">
        <v>184</v>
      </c>
      <c r="P70" s="112" t="s">
        <v>184</v>
      </c>
      <c r="Q70" s="112" t="s">
        <v>184</v>
      </c>
      <c r="R70" s="120" t="s">
        <v>184</v>
      </c>
      <c r="S70" s="41"/>
      <c r="T70" s="41"/>
    </row>
    <row r="71" spans="1:20" ht="12.75" customHeight="1" x14ac:dyDescent="0.2">
      <c r="A71" s="41"/>
      <c r="B71" s="41"/>
      <c r="C71" s="408"/>
      <c r="D71" s="174" t="s">
        <v>657</v>
      </c>
      <c r="E71" s="219" t="s">
        <v>113</v>
      </c>
      <c r="F71" s="511" t="s">
        <v>166</v>
      </c>
      <c r="G71" s="512"/>
      <c r="H71" s="105" t="s">
        <v>184</v>
      </c>
      <c r="I71" s="105" t="s">
        <v>184</v>
      </c>
      <c r="J71" s="105" t="s">
        <v>184</v>
      </c>
      <c r="K71" s="105" t="s">
        <v>184</v>
      </c>
      <c r="L71" s="48">
        <v>0</v>
      </c>
      <c r="M71" s="105" t="s">
        <v>184</v>
      </c>
      <c r="N71" s="112" t="s">
        <v>184</v>
      </c>
      <c r="O71" s="105" t="s">
        <v>184</v>
      </c>
      <c r="P71" s="112" t="s">
        <v>184</v>
      </c>
      <c r="Q71" s="112" t="s">
        <v>184</v>
      </c>
      <c r="R71" s="120" t="s">
        <v>184</v>
      </c>
      <c r="S71" s="41"/>
      <c r="T71" s="41"/>
    </row>
    <row r="72" spans="1:20" ht="12.75" customHeight="1" x14ac:dyDescent="0.2">
      <c r="A72" s="41"/>
      <c r="B72" s="41"/>
      <c r="C72" s="408"/>
      <c r="D72" s="174" t="s">
        <v>658</v>
      </c>
      <c r="E72" s="219" t="s">
        <v>114</v>
      </c>
      <c r="F72" s="511" t="s">
        <v>166</v>
      </c>
      <c r="G72" s="512"/>
      <c r="H72" s="105" t="s">
        <v>184</v>
      </c>
      <c r="I72" s="105" t="s">
        <v>184</v>
      </c>
      <c r="J72" s="105" t="s">
        <v>184</v>
      </c>
      <c r="K72" s="105" t="s">
        <v>184</v>
      </c>
      <c r="L72" s="48">
        <v>0</v>
      </c>
      <c r="M72" s="105" t="s">
        <v>184</v>
      </c>
      <c r="N72" s="112" t="s">
        <v>184</v>
      </c>
      <c r="O72" s="105" t="s">
        <v>184</v>
      </c>
      <c r="P72" s="112" t="s">
        <v>184</v>
      </c>
      <c r="Q72" s="112" t="s">
        <v>184</v>
      </c>
      <c r="R72" s="120" t="s">
        <v>184</v>
      </c>
      <c r="S72" s="41"/>
      <c r="T72" s="41"/>
    </row>
    <row r="73" spans="1:20" ht="12.75" customHeight="1" x14ac:dyDescent="0.2">
      <c r="A73" s="41"/>
      <c r="B73" s="41"/>
      <c r="C73" s="409"/>
      <c r="D73" s="175" t="s">
        <v>659</v>
      </c>
      <c r="E73" s="33" t="s">
        <v>115</v>
      </c>
      <c r="F73" s="520" t="s">
        <v>166</v>
      </c>
      <c r="G73" s="521"/>
      <c r="H73" s="104" t="s">
        <v>184</v>
      </c>
      <c r="I73" s="104" t="s">
        <v>184</v>
      </c>
      <c r="J73" s="104" t="s">
        <v>184</v>
      </c>
      <c r="K73" s="104" t="s">
        <v>184</v>
      </c>
      <c r="L73" s="104">
        <v>0</v>
      </c>
      <c r="M73" s="104" t="s">
        <v>184</v>
      </c>
      <c r="N73" s="102" t="s">
        <v>184</v>
      </c>
      <c r="O73" s="102" t="s">
        <v>184</v>
      </c>
      <c r="P73" s="98" t="s">
        <v>184</v>
      </c>
      <c r="Q73" s="94" t="s">
        <v>184</v>
      </c>
      <c r="R73" s="168" t="s">
        <v>184</v>
      </c>
      <c r="S73" s="41"/>
      <c r="T73" s="41"/>
    </row>
    <row r="74" spans="1:20" ht="12.75" customHeight="1" x14ac:dyDescent="0.2">
      <c r="A74" s="41"/>
      <c r="B74" s="41"/>
      <c r="C74" s="407" t="s">
        <v>304</v>
      </c>
      <c r="D74" s="173" t="s">
        <v>660</v>
      </c>
      <c r="E74" s="221" t="s">
        <v>116</v>
      </c>
      <c r="F74" s="509" t="s">
        <v>166</v>
      </c>
      <c r="G74" s="510"/>
      <c r="H74" s="48">
        <v>10.388999999999999</v>
      </c>
      <c r="I74" s="48">
        <v>0</v>
      </c>
      <c r="J74" s="48">
        <v>9.5730000000000004</v>
      </c>
      <c r="K74" s="48">
        <v>72.332999999999998</v>
      </c>
      <c r="L74" s="48">
        <v>0</v>
      </c>
      <c r="M74" s="25">
        <v>4.0099999999999997E-3</v>
      </c>
      <c r="N74" s="112">
        <v>136.76499999999999</v>
      </c>
      <c r="O74" s="112">
        <v>0.93899999999999995</v>
      </c>
      <c r="P74" s="120">
        <v>1.436E-2</v>
      </c>
      <c r="Q74" s="112">
        <v>16.751999999999999</v>
      </c>
      <c r="R74" s="120">
        <v>8.3000000000000001E-4</v>
      </c>
      <c r="S74" s="41"/>
      <c r="T74" s="41"/>
    </row>
    <row r="75" spans="1:20" ht="12.75" customHeight="1" x14ac:dyDescent="0.2">
      <c r="A75" s="41"/>
      <c r="B75" s="41"/>
      <c r="C75" s="408"/>
      <c r="D75" s="174" t="s">
        <v>661</v>
      </c>
      <c r="E75" s="219" t="s">
        <v>117</v>
      </c>
      <c r="F75" s="511" t="s">
        <v>166</v>
      </c>
      <c r="G75" s="512"/>
      <c r="H75" s="48">
        <v>10.388999999999999</v>
      </c>
      <c r="I75" s="48">
        <v>0</v>
      </c>
      <c r="J75" s="48">
        <v>9.5730000000000004</v>
      </c>
      <c r="K75" s="48">
        <v>72.332999999999998</v>
      </c>
      <c r="L75" s="48">
        <v>0</v>
      </c>
      <c r="M75" s="25">
        <v>4.0099999999999997E-3</v>
      </c>
      <c r="N75" s="112">
        <v>96.524000000000001</v>
      </c>
      <c r="O75" s="112">
        <v>2.4239999999999999</v>
      </c>
      <c r="P75" s="120">
        <v>1.7309999999999999E-2</v>
      </c>
      <c r="Q75" s="112">
        <v>16.751999999999999</v>
      </c>
      <c r="R75" s="120">
        <v>8.3000000000000001E-4</v>
      </c>
      <c r="S75" s="41"/>
      <c r="T75" s="41"/>
    </row>
    <row r="76" spans="1:20" ht="12.75" customHeight="1" x14ac:dyDescent="0.2">
      <c r="A76" s="41"/>
      <c r="B76" s="41"/>
      <c r="C76" s="408"/>
      <c r="D76" s="174" t="s">
        <v>662</v>
      </c>
      <c r="E76" s="219" t="s">
        <v>118</v>
      </c>
      <c r="F76" s="511" t="s">
        <v>166</v>
      </c>
      <c r="G76" s="512"/>
      <c r="H76" s="48">
        <v>10.388999999999999</v>
      </c>
      <c r="I76" s="48">
        <v>0</v>
      </c>
      <c r="J76" s="48">
        <v>9.5730000000000004</v>
      </c>
      <c r="K76" s="48">
        <v>72.332999999999998</v>
      </c>
      <c r="L76" s="48">
        <v>0</v>
      </c>
      <c r="M76" s="25">
        <v>4.0099999999999997E-3</v>
      </c>
      <c r="N76" s="112">
        <v>104.58799999999999</v>
      </c>
      <c r="O76" s="112">
        <v>4.7670000000000003</v>
      </c>
      <c r="P76" s="120">
        <v>2.249E-2</v>
      </c>
      <c r="Q76" s="112">
        <v>16.751999999999999</v>
      </c>
      <c r="R76" s="120">
        <v>8.3000000000000001E-4</v>
      </c>
      <c r="S76" s="41"/>
      <c r="T76" s="41"/>
    </row>
    <row r="77" spans="1:20" ht="12.75" customHeight="1" x14ac:dyDescent="0.2">
      <c r="A77" s="41"/>
      <c r="B77" s="41"/>
      <c r="C77" s="408"/>
      <c r="D77" s="174" t="s">
        <v>663</v>
      </c>
      <c r="E77" s="219" t="s">
        <v>119</v>
      </c>
      <c r="F77" s="511" t="s">
        <v>166</v>
      </c>
      <c r="G77" s="512"/>
      <c r="H77" s="48">
        <v>10.388999999999999</v>
      </c>
      <c r="I77" s="48">
        <v>0</v>
      </c>
      <c r="J77" s="48">
        <v>36.097000000000001</v>
      </c>
      <c r="K77" s="48">
        <v>181</v>
      </c>
      <c r="L77" s="48">
        <v>0</v>
      </c>
      <c r="M77" s="25">
        <v>3.0079999999999999E-2</v>
      </c>
      <c r="N77" s="112">
        <v>136.76499999999999</v>
      </c>
      <c r="O77" s="112">
        <v>0.93899999999999995</v>
      </c>
      <c r="P77" s="120">
        <v>1.436E-2</v>
      </c>
      <c r="Q77" s="112">
        <v>16.751999999999999</v>
      </c>
      <c r="R77" s="120">
        <v>8.3000000000000001E-4</v>
      </c>
      <c r="S77" s="41"/>
      <c r="T77" s="41"/>
    </row>
    <row r="78" spans="1:20" ht="12.75" customHeight="1" x14ac:dyDescent="0.2">
      <c r="A78" s="41"/>
      <c r="B78" s="41"/>
      <c r="C78" s="408"/>
      <c r="D78" s="174" t="s">
        <v>664</v>
      </c>
      <c r="E78" s="219" t="s">
        <v>120</v>
      </c>
      <c r="F78" s="511" t="s">
        <v>166</v>
      </c>
      <c r="G78" s="512"/>
      <c r="H78" s="48">
        <v>10.388999999999999</v>
      </c>
      <c r="I78" s="48">
        <v>0</v>
      </c>
      <c r="J78" s="48">
        <v>36.097000000000001</v>
      </c>
      <c r="K78" s="48">
        <v>181</v>
      </c>
      <c r="L78" s="48">
        <v>0</v>
      </c>
      <c r="M78" s="25">
        <v>3.0079999999999999E-2</v>
      </c>
      <c r="N78" s="112">
        <v>96.524000000000001</v>
      </c>
      <c r="O78" s="112">
        <v>2.4239999999999999</v>
      </c>
      <c r="P78" s="120">
        <v>1.7309999999999999E-2</v>
      </c>
      <c r="Q78" s="112">
        <v>16.751999999999999</v>
      </c>
      <c r="R78" s="120">
        <v>8.3000000000000001E-4</v>
      </c>
      <c r="S78" s="41"/>
      <c r="T78" s="41"/>
    </row>
    <row r="79" spans="1:20" ht="12.75" customHeight="1" x14ac:dyDescent="0.2">
      <c r="A79" s="41"/>
      <c r="B79" s="41"/>
      <c r="C79" s="408"/>
      <c r="D79" s="174" t="s">
        <v>665</v>
      </c>
      <c r="E79" s="219" t="s">
        <v>121</v>
      </c>
      <c r="F79" s="511" t="s">
        <v>166</v>
      </c>
      <c r="G79" s="512"/>
      <c r="H79" s="48">
        <v>10.388999999999999</v>
      </c>
      <c r="I79" s="48">
        <v>0</v>
      </c>
      <c r="J79" s="48">
        <v>36.097000000000001</v>
      </c>
      <c r="K79" s="48">
        <v>181</v>
      </c>
      <c r="L79" s="48">
        <v>0</v>
      </c>
      <c r="M79" s="25">
        <v>3.0079999999999999E-2</v>
      </c>
      <c r="N79" s="112">
        <v>104.58799999999999</v>
      </c>
      <c r="O79" s="112">
        <v>4.7670000000000003</v>
      </c>
      <c r="P79" s="120">
        <v>2.249E-2</v>
      </c>
      <c r="Q79" s="112">
        <v>16.751999999999999</v>
      </c>
      <c r="R79" s="120">
        <v>8.3000000000000001E-4</v>
      </c>
      <c r="S79" s="41"/>
      <c r="T79" s="41"/>
    </row>
    <row r="80" spans="1:20" ht="12.75" customHeight="1" x14ac:dyDescent="0.2">
      <c r="A80" s="41"/>
      <c r="B80" s="41"/>
      <c r="C80" s="408"/>
      <c r="D80" s="174" t="s">
        <v>666</v>
      </c>
      <c r="E80" s="33" t="s">
        <v>122</v>
      </c>
      <c r="F80" s="513" t="s">
        <v>166</v>
      </c>
      <c r="G80" s="514"/>
      <c r="H80" s="105" t="s">
        <v>184</v>
      </c>
      <c r="I80" s="105" t="s">
        <v>184</v>
      </c>
      <c r="J80" s="105" t="s">
        <v>184</v>
      </c>
      <c r="K80" s="105" t="s">
        <v>184</v>
      </c>
      <c r="L80" s="105">
        <v>0</v>
      </c>
      <c r="M80" s="105" t="s">
        <v>184</v>
      </c>
      <c r="N80" s="106" t="s">
        <v>184</v>
      </c>
      <c r="O80" s="106" t="s">
        <v>184</v>
      </c>
      <c r="P80" s="107" t="s">
        <v>184</v>
      </c>
      <c r="Q80" s="107" t="s">
        <v>184</v>
      </c>
      <c r="R80" s="107" t="s">
        <v>184</v>
      </c>
      <c r="S80" s="41"/>
      <c r="T80" s="41"/>
    </row>
    <row r="81" spans="1:20" x14ac:dyDescent="0.2">
      <c r="A81" s="41"/>
      <c r="B81" s="41"/>
      <c r="C81" s="217"/>
      <c r="D81" s="218"/>
      <c r="E81" s="209"/>
      <c r="F81" s="213"/>
      <c r="G81" s="213"/>
      <c r="H81" s="215"/>
      <c r="I81" s="215"/>
      <c r="J81" s="215"/>
      <c r="K81" s="215"/>
      <c r="L81" s="216"/>
      <c r="M81" s="215"/>
      <c r="N81" s="215"/>
      <c r="O81" s="215"/>
      <c r="P81" s="216"/>
      <c r="Q81" s="215"/>
      <c r="R81" s="216"/>
      <c r="S81" s="41"/>
      <c r="T81" s="41"/>
    </row>
    <row r="82" spans="1:20" ht="17.25" customHeight="1" x14ac:dyDescent="0.2">
      <c r="A82" s="41"/>
      <c r="B82" s="41"/>
      <c r="C82" s="337" t="s">
        <v>224</v>
      </c>
      <c r="D82" s="294"/>
      <c r="E82" s="294"/>
      <c r="F82" s="294"/>
      <c r="G82" s="294"/>
      <c r="H82" s="294"/>
      <c r="I82" s="294"/>
      <c r="J82" s="294"/>
      <c r="K82" s="294"/>
      <c r="L82" s="294"/>
      <c r="M82" s="294"/>
      <c r="N82" s="294"/>
      <c r="O82" s="294"/>
      <c r="P82" s="294"/>
      <c r="Q82" s="294"/>
      <c r="R82" s="278"/>
      <c r="S82" s="41"/>
      <c r="T82" s="41"/>
    </row>
    <row r="83" spans="1:20" x14ac:dyDescent="0.2">
      <c r="A83" s="41"/>
      <c r="B83" s="41"/>
      <c r="C83" s="515" t="s">
        <v>445</v>
      </c>
      <c r="D83" s="516"/>
      <c r="E83" s="516"/>
      <c r="F83" s="516"/>
      <c r="G83" s="516"/>
      <c r="H83" s="516"/>
      <c r="I83" s="516"/>
      <c r="J83" s="516"/>
      <c r="K83" s="516"/>
      <c r="L83" s="516"/>
      <c r="M83" s="516"/>
      <c r="N83" s="516"/>
      <c r="O83" s="516"/>
      <c r="P83" s="516"/>
      <c r="Q83" s="516"/>
      <c r="R83" s="517"/>
      <c r="S83" s="41"/>
      <c r="T83" s="41"/>
    </row>
    <row r="84" spans="1:20" x14ac:dyDescent="0.2">
      <c r="A84" s="41"/>
      <c r="B84" s="41"/>
      <c r="C84" s="515"/>
      <c r="D84" s="516"/>
      <c r="E84" s="516"/>
      <c r="F84" s="516"/>
      <c r="G84" s="516"/>
      <c r="H84" s="516"/>
      <c r="I84" s="516"/>
      <c r="J84" s="516"/>
      <c r="K84" s="516"/>
      <c r="L84" s="516"/>
      <c r="M84" s="516"/>
      <c r="N84" s="516"/>
      <c r="O84" s="516"/>
      <c r="P84" s="516"/>
      <c r="Q84" s="516"/>
      <c r="R84" s="517"/>
      <c r="S84" s="41"/>
      <c r="T84" s="41"/>
    </row>
    <row r="85" spans="1:20" ht="22.5" customHeight="1" x14ac:dyDescent="0.2">
      <c r="A85" s="41"/>
      <c r="B85" s="41"/>
      <c r="C85" s="295" t="s">
        <v>225</v>
      </c>
      <c r="D85" s="125"/>
      <c r="E85" s="125"/>
      <c r="F85" s="125"/>
      <c r="G85" s="125"/>
      <c r="H85" s="125"/>
      <c r="I85" s="125"/>
      <c r="J85" s="125"/>
      <c r="K85" s="125"/>
      <c r="L85" s="125"/>
      <c r="M85" s="125"/>
      <c r="N85" s="125"/>
      <c r="O85" s="125"/>
      <c r="P85" s="125"/>
      <c r="Q85" s="125"/>
      <c r="R85" s="296"/>
      <c r="S85" s="41"/>
      <c r="T85" s="41"/>
    </row>
    <row r="86" spans="1:20" ht="12.75" customHeight="1" x14ac:dyDescent="0.2">
      <c r="A86" s="41"/>
      <c r="B86" s="41"/>
      <c r="C86" s="297" t="s">
        <v>255</v>
      </c>
      <c r="D86" s="475" t="s">
        <v>233</v>
      </c>
      <c r="E86" s="475"/>
      <c r="F86" s="475"/>
      <c r="G86" s="475"/>
      <c r="H86" s="475"/>
      <c r="I86" s="475"/>
      <c r="J86" s="475"/>
      <c r="K86" s="475"/>
      <c r="L86" s="475"/>
      <c r="M86" s="475"/>
      <c r="N86" s="475"/>
      <c r="O86" s="475"/>
      <c r="P86" s="475"/>
      <c r="Q86" s="475"/>
      <c r="R86" s="476"/>
      <c r="S86" s="41"/>
      <c r="T86" s="41"/>
    </row>
    <row r="87" spans="1:20" ht="12.75" customHeight="1" x14ac:dyDescent="0.2">
      <c r="A87" s="41"/>
      <c r="B87" s="41"/>
      <c r="C87" s="297" t="s">
        <v>272</v>
      </c>
      <c r="D87" s="475" t="s">
        <v>283</v>
      </c>
      <c r="E87" s="475"/>
      <c r="F87" s="475"/>
      <c r="G87" s="475"/>
      <c r="H87" s="475"/>
      <c r="I87" s="475"/>
      <c r="J87" s="475"/>
      <c r="K87" s="475"/>
      <c r="L87" s="475"/>
      <c r="M87" s="475"/>
      <c r="N87" s="475"/>
      <c r="O87" s="475"/>
      <c r="P87" s="475"/>
      <c r="Q87" s="475"/>
      <c r="R87" s="476"/>
      <c r="S87" s="41"/>
      <c r="T87" s="41"/>
    </row>
    <row r="88" spans="1:20" ht="12.75" customHeight="1" x14ac:dyDescent="0.2">
      <c r="A88" s="41"/>
      <c r="B88" s="41"/>
      <c r="C88" s="297" t="s">
        <v>273</v>
      </c>
      <c r="D88" s="475" t="s">
        <v>274</v>
      </c>
      <c r="E88" s="475"/>
      <c r="F88" s="475"/>
      <c r="G88" s="475"/>
      <c r="H88" s="475"/>
      <c r="I88" s="475"/>
      <c r="J88" s="475"/>
      <c r="K88" s="475"/>
      <c r="L88" s="475"/>
      <c r="M88" s="475"/>
      <c r="N88" s="475"/>
      <c r="O88" s="475"/>
      <c r="P88" s="475"/>
      <c r="Q88" s="475"/>
      <c r="R88" s="476"/>
      <c r="S88" s="41"/>
      <c r="T88" s="41"/>
    </row>
    <row r="89" spans="1:20" x14ac:dyDescent="0.2">
      <c r="A89" s="41"/>
      <c r="B89" s="41"/>
      <c r="C89" s="297"/>
      <c r="D89" s="244"/>
      <c r="E89" s="244"/>
      <c r="F89" s="244"/>
      <c r="G89" s="244"/>
      <c r="H89" s="244"/>
      <c r="I89" s="244"/>
      <c r="J89" s="244"/>
      <c r="K89" s="244"/>
      <c r="L89" s="244"/>
      <c r="M89" s="244"/>
      <c r="N89" s="244"/>
      <c r="O89" s="244"/>
      <c r="P89" s="244"/>
      <c r="Q89" s="244"/>
      <c r="R89" s="245"/>
      <c r="S89" s="41"/>
      <c r="T89" s="41"/>
    </row>
    <row r="90" spans="1:20" x14ac:dyDescent="0.2">
      <c r="A90" s="41"/>
      <c r="B90" s="41"/>
      <c r="C90" s="266"/>
      <c r="D90" s="281" t="s">
        <v>234</v>
      </c>
      <c r="E90" s="36"/>
      <c r="F90" s="36"/>
      <c r="G90" s="36"/>
      <c r="H90" s="36"/>
      <c r="I90" s="36"/>
      <c r="J90" s="36"/>
      <c r="K90" s="36"/>
      <c r="L90" s="36"/>
      <c r="M90" s="59"/>
      <c r="N90" s="59"/>
      <c r="O90" s="59"/>
      <c r="P90" s="59"/>
      <c r="Q90" s="59"/>
      <c r="R90" s="296"/>
      <c r="S90" s="41"/>
      <c r="T90" s="41"/>
    </row>
    <row r="91" spans="1:20" ht="23.25" customHeight="1" x14ac:dyDescent="0.2">
      <c r="A91" s="41"/>
      <c r="B91" s="41"/>
      <c r="C91" s="295" t="s">
        <v>169</v>
      </c>
      <c r="D91" s="125"/>
      <c r="E91" s="125"/>
      <c r="F91" s="125"/>
      <c r="G91" s="125"/>
      <c r="H91" s="125"/>
      <c r="I91" s="125"/>
      <c r="J91" s="125"/>
      <c r="K91" s="125"/>
      <c r="L91" s="125"/>
      <c r="M91" s="125"/>
      <c r="N91" s="125"/>
      <c r="O91" s="125"/>
      <c r="P91" s="125"/>
      <c r="Q91" s="125"/>
      <c r="R91" s="296"/>
      <c r="S91" s="41"/>
      <c r="T91" s="41"/>
    </row>
    <row r="92" spans="1:20" ht="24.75" customHeight="1" x14ac:dyDescent="0.2">
      <c r="A92" s="41"/>
      <c r="B92" s="41"/>
      <c r="C92" s="285" t="s">
        <v>235</v>
      </c>
      <c r="D92" s="125"/>
      <c r="E92" s="125"/>
      <c r="F92" s="125"/>
      <c r="G92" s="125"/>
      <c r="H92" s="125"/>
      <c r="I92" s="125"/>
      <c r="J92" s="125"/>
      <c r="K92" s="125"/>
      <c r="L92" s="125"/>
      <c r="M92" s="125"/>
      <c r="N92" s="125"/>
      <c r="O92" s="125"/>
      <c r="P92" s="125"/>
      <c r="Q92" s="125"/>
      <c r="R92" s="296"/>
      <c r="S92" s="41"/>
      <c r="T92" s="41"/>
    </row>
    <row r="93" spans="1:20" ht="28.5" customHeight="1" x14ac:dyDescent="0.2">
      <c r="A93" s="41"/>
      <c r="B93" s="41"/>
      <c r="C93" s="484" t="s">
        <v>687</v>
      </c>
      <c r="D93" s="430"/>
      <c r="E93" s="430"/>
      <c r="F93" s="430"/>
      <c r="G93" s="430"/>
      <c r="H93" s="430"/>
      <c r="I93" s="430"/>
      <c r="J93" s="430"/>
      <c r="K93" s="430"/>
      <c r="L93" s="430"/>
      <c r="M93" s="430"/>
      <c r="N93" s="430"/>
      <c r="O93" s="430"/>
      <c r="P93" s="430"/>
      <c r="Q93" s="430"/>
      <c r="R93" s="431"/>
      <c r="S93" s="41"/>
      <c r="T93" s="41"/>
    </row>
    <row r="94" spans="1:20" ht="24.75" customHeight="1" x14ac:dyDescent="0.2">
      <c r="A94" s="41"/>
      <c r="B94" s="41"/>
      <c r="C94" s="285" t="s">
        <v>236</v>
      </c>
      <c r="D94" s="125"/>
      <c r="E94" s="125"/>
      <c r="F94" s="125"/>
      <c r="G94" s="125"/>
      <c r="H94" s="125"/>
      <c r="I94" s="125"/>
      <c r="J94" s="125"/>
      <c r="K94" s="125"/>
      <c r="L94" s="125"/>
      <c r="M94" s="125"/>
      <c r="N94" s="125"/>
      <c r="O94" s="125"/>
      <c r="P94" s="125"/>
      <c r="Q94" s="125"/>
      <c r="R94" s="296"/>
      <c r="S94" s="41"/>
      <c r="T94" s="41"/>
    </row>
    <row r="95" spans="1:20" ht="24.75" customHeight="1" x14ac:dyDescent="0.2">
      <c r="A95" s="41"/>
      <c r="B95" s="41"/>
      <c r="C95" s="285" t="s">
        <v>275</v>
      </c>
      <c r="D95" s="125"/>
      <c r="E95" s="125"/>
      <c r="F95" s="125"/>
      <c r="G95" s="125"/>
      <c r="H95" s="125"/>
      <c r="I95" s="125"/>
      <c r="J95" s="125"/>
      <c r="K95" s="125"/>
      <c r="L95" s="125"/>
      <c r="M95" s="125"/>
      <c r="N95" s="125"/>
      <c r="O95" s="125"/>
      <c r="P95" s="125"/>
      <c r="Q95" s="125"/>
      <c r="R95" s="296"/>
      <c r="S95" s="41"/>
      <c r="T95" s="41"/>
    </row>
    <row r="96" spans="1:20" ht="37.5" customHeight="1" x14ac:dyDescent="0.2">
      <c r="A96" s="41"/>
      <c r="B96" s="41"/>
      <c r="C96" s="479" t="s">
        <v>690</v>
      </c>
      <c r="D96" s="475"/>
      <c r="E96" s="475"/>
      <c r="F96" s="475"/>
      <c r="G96" s="475"/>
      <c r="H96" s="475"/>
      <c r="I96" s="475"/>
      <c r="J96" s="475"/>
      <c r="K96" s="475"/>
      <c r="L96" s="475"/>
      <c r="M96" s="475"/>
      <c r="N96" s="475"/>
      <c r="O96" s="475"/>
      <c r="P96" s="475"/>
      <c r="Q96" s="475"/>
      <c r="R96" s="476"/>
      <c r="S96" s="41"/>
      <c r="T96" s="41"/>
    </row>
    <row r="97" spans="1:20" ht="43.5" customHeight="1" x14ac:dyDescent="0.2">
      <c r="A97" s="41"/>
      <c r="B97" s="41"/>
      <c r="C97" s="506" t="s">
        <v>688</v>
      </c>
      <c r="D97" s="507"/>
      <c r="E97" s="507"/>
      <c r="F97" s="507"/>
      <c r="G97" s="507"/>
      <c r="H97" s="507"/>
      <c r="I97" s="507"/>
      <c r="J97" s="507"/>
      <c r="K97" s="507"/>
      <c r="L97" s="507"/>
      <c r="M97" s="507"/>
      <c r="N97" s="507"/>
      <c r="O97" s="507"/>
      <c r="P97" s="507"/>
      <c r="Q97" s="507"/>
      <c r="R97" s="508"/>
      <c r="S97" s="41"/>
      <c r="T97" s="41"/>
    </row>
    <row r="98" spans="1:20" x14ac:dyDescent="0.2">
      <c r="A98" s="41"/>
      <c r="B98" s="41"/>
      <c r="C98" s="41"/>
      <c r="D98" s="41"/>
      <c r="E98" s="153"/>
      <c r="F98" s="41"/>
      <c r="G98" s="154"/>
      <c r="H98" s="154"/>
      <c r="I98" s="155"/>
      <c r="J98" s="41"/>
      <c r="K98" s="41"/>
      <c r="L98" s="41"/>
      <c r="M98" s="41"/>
      <c r="N98" s="41"/>
      <c r="O98" s="41"/>
      <c r="P98" s="41"/>
      <c r="Q98" s="41"/>
      <c r="R98" s="41"/>
      <c r="S98" s="41"/>
      <c r="T98" s="41"/>
    </row>
    <row r="99" spans="1:20" x14ac:dyDescent="0.2">
      <c r="A99" s="41"/>
      <c r="B99" s="41"/>
      <c r="C99" s="41"/>
      <c r="D99" s="41"/>
      <c r="E99" s="153"/>
      <c r="F99" s="41"/>
      <c r="G99" s="154"/>
      <c r="H99" s="154"/>
      <c r="I99" s="155"/>
      <c r="J99" s="41"/>
      <c r="K99" s="41"/>
      <c r="L99" s="41"/>
      <c r="M99" s="41"/>
      <c r="N99" s="41"/>
      <c r="O99" s="41"/>
      <c r="P99" s="41"/>
      <c r="Q99" s="41"/>
      <c r="R99" s="41"/>
      <c r="S99" s="41"/>
      <c r="T99" s="41"/>
    </row>
    <row r="100" spans="1:20" x14ac:dyDescent="0.2">
      <c r="A100" s="41"/>
      <c r="B100" s="41"/>
      <c r="C100" s="41"/>
      <c r="D100" s="41"/>
      <c r="E100" s="153"/>
      <c r="F100" s="41"/>
      <c r="G100" s="154"/>
      <c r="H100" s="154"/>
      <c r="I100" s="155"/>
      <c r="J100" s="41"/>
      <c r="K100" s="41"/>
      <c r="L100" s="41"/>
      <c r="M100" s="41"/>
      <c r="N100" s="41"/>
      <c r="O100" s="41"/>
      <c r="P100" s="41"/>
      <c r="Q100" s="41"/>
      <c r="R100" s="41"/>
      <c r="S100" s="41"/>
      <c r="T100" s="41"/>
    </row>
    <row r="101" spans="1:20" x14ac:dyDescent="0.2">
      <c r="A101" s="41"/>
      <c r="B101" s="41"/>
      <c r="C101" s="41"/>
      <c r="D101" s="41"/>
      <c r="E101" s="153"/>
      <c r="F101" s="41"/>
      <c r="G101" s="154"/>
      <c r="H101" s="154"/>
      <c r="I101" s="155"/>
      <c r="J101" s="41"/>
      <c r="K101" s="41"/>
      <c r="L101" s="41"/>
      <c r="M101" s="41"/>
      <c r="N101" s="41"/>
      <c r="O101" s="41"/>
      <c r="P101" s="41"/>
      <c r="Q101" s="41"/>
      <c r="R101" s="41"/>
      <c r="S101" s="41"/>
      <c r="T101" s="41"/>
    </row>
    <row r="102" spans="1:20" x14ac:dyDescent="0.2">
      <c r="A102" s="41"/>
      <c r="B102" s="41"/>
      <c r="C102" s="41"/>
      <c r="D102" s="41"/>
      <c r="E102" s="153"/>
      <c r="F102" s="41"/>
      <c r="G102" s="154"/>
      <c r="H102" s="154"/>
      <c r="I102" s="155"/>
      <c r="J102" s="41"/>
      <c r="K102" s="41"/>
      <c r="L102" s="41"/>
      <c r="M102" s="41"/>
      <c r="N102" s="41"/>
      <c r="O102" s="41"/>
      <c r="P102" s="41"/>
      <c r="Q102" s="41"/>
      <c r="R102" s="41"/>
      <c r="S102" s="41"/>
      <c r="T102" s="41"/>
    </row>
    <row r="103" spans="1:20" x14ac:dyDescent="0.2">
      <c r="A103" s="41"/>
      <c r="B103" s="41"/>
      <c r="C103" s="41"/>
      <c r="D103" s="41"/>
      <c r="E103" s="153"/>
      <c r="F103" s="41"/>
      <c r="G103" s="154"/>
      <c r="H103" s="154"/>
      <c r="I103" s="155"/>
      <c r="J103" s="41"/>
      <c r="K103" s="41"/>
      <c r="L103" s="41"/>
      <c r="M103" s="41"/>
      <c r="N103" s="41"/>
      <c r="O103" s="41"/>
      <c r="P103" s="41"/>
      <c r="Q103" s="41"/>
      <c r="R103" s="41"/>
      <c r="S103" s="41"/>
      <c r="T103" s="41"/>
    </row>
    <row r="104" spans="1:20" x14ac:dyDescent="0.2">
      <c r="A104" s="41"/>
      <c r="B104" s="41"/>
      <c r="C104" s="41"/>
      <c r="D104" s="41"/>
      <c r="E104" s="153"/>
      <c r="F104" s="41"/>
      <c r="G104" s="154"/>
      <c r="H104" s="154"/>
      <c r="I104" s="155"/>
      <c r="J104" s="41"/>
      <c r="K104" s="41"/>
      <c r="L104" s="41"/>
      <c r="M104" s="41"/>
      <c r="N104" s="41"/>
      <c r="O104" s="41"/>
      <c r="P104" s="41"/>
      <c r="Q104" s="41"/>
      <c r="R104" s="41"/>
      <c r="S104" s="41"/>
      <c r="T104" s="41"/>
    </row>
    <row r="105" spans="1:20" x14ac:dyDescent="0.2">
      <c r="A105" s="41"/>
      <c r="B105" s="41"/>
      <c r="C105" s="41"/>
      <c r="D105" s="41"/>
      <c r="E105" s="153"/>
      <c r="F105" s="41"/>
      <c r="G105" s="154"/>
      <c r="H105" s="154"/>
      <c r="I105" s="155"/>
      <c r="J105" s="41"/>
      <c r="K105" s="41"/>
      <c r="L105" s="41"/>
      <c r="M105" s="41"/>
      <c r="N105" s="41"/>
      <c r="O105" s="41"/>
      <c r="P105" s="41"/>
      <c r="Q105" s="41"/>
      <c r="R105" s="41"/>
      <c r="S105" s="41"/>
      <c r="T105" s="41"/>
    </row>
    <row r="106" spans="1:20" x14ac:dyDescent="0.2">
      <c r="A106" s="41"/>
      <c r="B106" s="41"/>
      <c r="C106" s="41"/>
      <c r="D106" s="41"/>
      <c r="E106" s="153"/>
      <c r="F106" s="41"/>
      <c r="G106" s="154"/>
      <c r="H106" s="154"/>
      <c r="I106" s="155"/>
      <c r="J106" s="41"/>
      <c r="K106" s="41"/>
      <c r="L106" s="41"/>
      <c r="M106" s="41"/>
      <c r="N106" s="41"/>
      <c r="O106" s="41"/>
      <c r="P106" s="41"/>
      <c r="Q106" s="41"/>
      <c r="R106" s="41"/>
      <c r="S106" s="41"/>
      <c r="T106" s="41"/>
    </row>
    <row r="107" spans="1:20" x14ac:dyDescent="0.2">
      <c r="A107" s="41"/>
      <c r="B107" s="41"/>
      <c r="C107" s="41"/>
      <c r="D107" s="41"/>
      <c r="E107" s="153"/>
      <c r="F107" s="41"/>
      <c r="G107" s="154"/>
      <c r="H107" s="154"/>
      <c r="I107" s="155"/>
      <c r="J107" s="41"/>
      <c r="K107" s="41"/>
      <c r="L107" s="41"/>
      <c r="M107" s="41"/>
      <c r="N107" s="41"/>
      <c r="O107" s="41"/>
      <c r="P107" s="41"/>
      <c r="Q107" s="41"/>
      <c r="R107" s="41"/>
      <c r="S107" s="41"/>
      <c r="T107" s="41"/>
    </row>
    <row r="108" spans="1:20" x14ac:dyDescent="0.2">
      <c r="A108" s="41"/>
      <c r="B108" s="41"/>
      <c r="C108" s="41"/>
      <c r="D108" s="41"/>
      <c r="E108" s="153"/>
      <c r="F108" s="41"/>
      <c r="G108" s="154"/>
      <c r="H108" s="154"/>
      <c r="I108" s="155"/>
      <c r="J108" s="41"/>
      <c r="K108" s="41"/>
      <c r="L108" s="41"/>
      <c r="M108" s="41"/>
      <c r="N108" s="41"/>
      <c r="O108" s="41"/>
      <c r="P108" s="41"/>
      <c r="Q108" s="41"/>
      <c r="R108" s="41"/>
      <c r="S108" s="41"/>
      <c r="T108" s="41"/>
    </row>
    <row r="109" spans="1:20" x14ac:dyDescent="0.2">
      <c r="A109" s="41"/>
      <c r="B109" s="41"/>
      <c r="C109" s="41"/>
      <c r="D109" s="41"/>
      <c r="E109" s="153"/>
      <c r="F109" s="41"/>
      <c r="G109" s="154"/>
      <c r="H109" s="154"/>
      <c r="I109" s="155"/>
      <c r="J109" s="41"/>
      <c r="K109" s="41"/>
      <c r="L109" s="41"/>
      <c r="M109" s="41"/>
      <c r="N109" s="41"/>
      <c r="O109" s="41"/>
      <c r="P109" s="41"/>
      <c r="Q109" s="41"/>
      <c r="R109" s="41"/>
      <c r="S109" s="41"/>
      <c r="T109" s="41"/>
    </row>
    <row r="110" spans="1:20" x14ac:dyDescent="0.2">
      <c r="A110" s="41"/>
      <c r="B110" s="41"/>
      <c r="C110" s="41"/>
      <c r="D110" s="41"/>
      <c r="E110" s="153"/>
      <c r="F110" s="41"/>
      <c r="G110" s="154"/>
      <c r="H110" s="154"/>
      <c r="I110" s="155"/>
      <c r="J110" s="41"/>
      <c r="K110" s="41"/>
      <c r="L110" s="41"/>
      <c r="M110" s="41"/>
      <c r="N110" s="41"/>
      <c r="O110" s="41"/>
      <c r="P110" s="41"/>
      <c r="Q110" s="41"/>
      <c r="R110" s="41"/>
      <c r="S110" s="41"/>
      <c r="T110" s="41"/>
    </row>
    <row r="111" spans="1:20" x14ac:dyDescent="0.2">
      <c r="A111" s="41"/>
      <c r="B111" s="41"/>
      <c r="C111" s="41"/>
      <c r="D111" s="41"/>
      <c r="E111" s="153"/>
      <c r="F111" s="41"/>
      <c r="G111" s="154"/>
      <c r="H111" s="154"/>
      <c r="I111" s="155"/>
      <c r="J111" s="41"/>
      <c r="K111" s="41"/>
      <c r="L111" s="41"/>
      <c r="M111" s="41"/>
      <c r="N111" s="41"/>
      <c r="O111" s="41"/>
      <c r="P111" s="41"/>
      <c r="Q111" s="41"/>
      <c r="R111" s="41"/>
      <c r="S111" s="41"/>
      <c r="T111" s="41"/>
    </row>
    <row r="112" spans="1:20" x14ac:dyDescent="0.2">
      <c r="A112" s="41"/>
      <c r="B112" s="41"/>
      <c r="C112" s="41"/>
      <c r="D112" s="41"/>
      <c r="E112" s="153"/>
      <c r="F112" s="41"/>
      <c r="G112" s="154"/>
      <c r="H112" s="154"/>
      <c r="I112" s="155"/>
      <c r="J112" s="41"/>
      <c r="K112" s="41"/>
      <c r="L112" s="41"/>
      <c r="M112" s="41"/>
      <c r="N112" s="41"/>
      <c r="O112" s="41"/>
      <c r="P112" s="41"/>
      <c r="Q112" s="41"/>
      <c r="R112" s="41"/>
      <c r="S112" s="41"/>
      <c r="T112" s="41"/>
    </row>
    <row r="113" spans="1:20" x14ac:dyDescent="0.2">
      <c r="A113" s="41"/>
      <c r="B113" s="41"/>
      <c r="C113" s="41"/>
      <c r="D113" s="41"/>
      <c r="E113" s="153"/>
      <c r="F113" s="41"/>
      <c r="G113" s="154"/>
      <c r="H113" s="154"/>
      <c r="I113" s="155"/>
      <c r="J113" s="41"/>
      <c r="K113" s="41"/>
      <c r="L113" s="41"/>
      <c r="M113" s="41"/>
      <c r="N113" s="41"/>
      <c r="O113" s="41"/>
      <c r="P113" s="41"/>
      <c r="Q113" s="41"/>
      <c r="R113" s="41"/>
      <c r="S113" s="41"/>
      <c r="T113" s="41"/>
    </row>
    <row r="114" spans="1:20" x14ac:dyDescent="0.2">
      <c r="A114" s="41"/>
      <c r="B114" s="41"/>
      <c r="C114" s="41"/>
      <c r="D114" s="41"/>
      <c r="E114" s="153"/>
      <c r="F114" s="41"/>
      <c r="G114" s="154"/>
      <c r="H114" s="154"/>
      <c r="I114" s="155"/>
      <c r="J114" s="41"/>
      <c r="K114" s="41"/>
      <c r="L114" s="41"/>
      <c r="M114" s="41"/>
      <c r="N114" s="41"/>
      <c r="O114" s="41"/>
      <c r="P114" s="41"/>
      <c r="Q114" s="41"/>
      <c r="R114" s="41"/>
      <c r="S114" s="41"/>
      <c r="T114" s="41"/>
    </row>
    <row r="115" spans="1:20" x14ac:dyDescent="0.2">
      <c r="A115" s="41"/>
      <c r="B115" s="41"/>
      <c r="C115" s="41"/>
      <c r="D115" s="41"/>
      <c r="E115" s="153"/>
      <c r="F115" s="41"/>
      <c r="G115" s="154"/>
      <c r="H115" s="154"/>
      <c r="I115" s="155"/>
      <c r="J115" s="41"/>
      <c r="K115" s="41"/>
      <c r="L115" s="41"/>
      <c r="M115" s="41"/>
      <c r="N115" s="41"/>
      <c r="O115" s="41"/>
      <c r="P115" s="41"/>
      <c r="Q115" s="41"/>
      <c r="R115" s="41"/>
      <c r="S115" s="41"/>
      <c r="T115" s="41"/>
    </row>
    <row r="116" spans="1:20" x14ac:dyDescent="0.2">
      <c r="A116" s="41"/>
      <c r="B116" s="41"/>
      <c r="C116" s="41"/>
      <c r="D116" s="41"/>
      <c r="E116" s="153"/>
      <c r="F116" s="41"/>
      <c r="G116" s="154"/>
      <c r="H116" s="154"/>
      <c r="I116" s="155"/>
      <c r="J116" s="41"/>
      <c r="K116" s="41"/>
      <c r="L116" s="41"/>
      <c r="M116" s="41"/>
      <c r="N116" s="41"/>
      <c r="O116" s="41"/>
      <c r="P116" s="41"/>
      <c r="Q116" s="41"/>
      <c r="R116" s="41"/>
      <c r="S116" s="41"/>
      <c r="T116" s="41"/>
    </row>
    <row r="117" spans="1:20" x14ac:dyDescent="0.2">
      <c r="A117" s="41"/>
      <c r="B117" s="41"/>
      <c r="C117" s="41"/>
      <c r="D117" s="41"/>
      <c r="E117" s="153"/>
      <c r="F117" s="41"/>
      <c r="G117" s="154"/>
      <c r="H117" s="154"/>
      <c r="I117" s="155"/>
      <c r="J117" s="41"/>
      <c r="K117" s="41"/>
      <c r="L117" s="41"/>
      <c r="M117" s="41"/>
      <c r="N117" s="41"/>
      <c r="O117" s="41"/>
      <c r="P117" s="41"/>
      <c r="Q117" s="41"/>
      <c r="R117" s="41"/>
      <c r="S117" s="41"/>
      <c r="T117" s="41"/>
    </row>
    <row r="118" spans="1:20" x14ac:dyDescent="0.2">
      <c r="A118" s="41"/>
      <c r="B118" s="41"/>
      <c r="C118" s="41"/>
      <c r="D118" s="41"/>
      <c r="E118" s="153"/>
      <c r="F118" s="41"/>
      <c r="G118" s="154"/>
      <c r="H118" s="154"/>
      <c r="I118" s="155"/>
      <c r="J118" s="41"/>
      <c r="K118" s="41"/>
      <c r="L118" s="41"/>
      <c r="M118" s="41"/>
      <c r="N118" s="41"/>
      <c r="O118" s="41"/>
      <c r="P118" s="41"/>
      <c r="Q118" s="41"/>
      <c r="R118" s="41"/>
      <c r="S118" s="41"/>
      <c r="T118" s="41"/>
    </row>
    <row r="119" spans="1:20" x14ac:dyDescent="0.2">
      <c r="A119" s="41"/>
      <c r="B119" s="41"/>
      <c r="C119" s="41"/>
      <c r="D119" s="41"/>
      <c r="E119" s="153"/>
      <c r="F119" s="41"/>
      <c r="G119" s="154"/>
      <c r="H119" s="154"/>
      <c r="I119" s="155"/>
      <c r="J119" s="41"/>
      <c r="K119" s="41"/>
      <c r="L119" s="41"/>
      <c r="M119" s="41"/>
      <c r="N119" s="41"/>
      <c r="O119" s="41"/>
      <c r="P119" s="41"/>
      <c r="Q119" s="41"/>
      <c r="R119" s="41"/>
      <c r="S119" s="41"/>
      <c r="T119" s="41"/>
    </row>
    <row r="120" spans="1:20" x14ac:dyDescent="0.2">
      <c r="A120" s="41"/>
      <c r="B120" s="41"/>
      <c r="C120" s="41"/>
      <c r="D120" s="41"/>
      <c r="E120" s="153"/>
      <c r="F120" s="41"/>
      <c r="G120" s="154"/>
      <c r="H120" s="154"/>
      <c r="I120" s="155"/>
      <c r="J120" s="41"/>
      <c r="K120" s="41"/>
      <c r="L120" s="41"/>
      <c r="M120" s="41"/>
      <c r="N120" s="41"/>
      <c r="O120" s="41"/>
      <c r="P120" s="41"/>
      <c r="Q120" s="41"/>
      <c r="R120" s="41"/>
      <c r="S120" s="41"/>
      <c r="T120" s="41"/>
    </row>
    <row r="121" spans="1:20" x14ac:dyDescent="0.2">
      <c r="A121" s="41"/>
      <c r="B121" s="41"/>
      <c r="C121" s="41"/>
      <c r="D121" s="41"/>
      <c r="E121" s="153"/>
      <c r="F121" s="41"/>
      <c r="G121" s="154"/>
      <c r="H121" s="154"/>
      <c r="I121" s="155"/>
      <c r="J121" s="41"/>
      <c r="K121" s="41"/>
      <c r="L121" s="41"/>
      <c r="M121" s="41"/>
      <c r="N121" s="41"/>
      <c r="O121" s="41"/>
      <c r="P121" s="41"/>
      <c r="Q121" s="41"/>
      <c r="R121" s="41"/>
      <c r="S121" s="41"/>
      <c r="T121" s="41"/>
    </row>
    <row r="122" spans="1:20" x14ac:dyDescent="0.2">
      <c r="A122" s="41"/>
      <c r="B122" s="41"/>
      <c r="C122" s="41"/>
      <c r="D122" s="41"/>
      <c r="E122" s="153"/>
      <c r="F122" s="41"/>
      <c r="G122" s="154"/>
      <c r="H122" s="154"/>
      <c r="I122" s="155"/>
      <c r="J122" s="41"/>
      <c r="K122" s="41"/>
      <c r="L122" s="41"/>
      <c r="M122" s="41"/>
      <c r="N122" s="41"/>
      <c r="O122" s="41"/>
      <c r="P122" s="41"/>
      <c r="Q122" s="41"/>
      <c r="R122" s="41"/>
      <c r="S122" s="41"/>
      <c r="T122" s="41"/>
    </row>
    <row r="123" spans="1:20" x14ac:dyDescent="0.2">
      <c r="A123" s="41"/>
      <c r="B123" s="41"/>
      <c r="C123" s="41"/>
      <c r="D123" s="41"/>
      <c r="E123" s="153"/>
      <c r="F123" s="41"/>
      <c r="G123" s="154"/>
      <c r="H123" s="154"/>
      <c r="I123" s="155"/>
      <c r="J123" s="41"/>
      <c r="K123" s="41"/>
      <c r="L123" s="41"/>
      <c r="M123" s="41"/>
      <c r="N123" s="41"/>
      <c r="O123" s="41"/>
      <c r="P123" s="41"/>
      <c r="Q123" s="41"/>
      <c r="R123" s="41"/>
      <c r="S123" s="41"/>
      <c r="T123" s="41"/>
    </row>
    <row r="124" spans="1:20" x14ac:dyDescent="0.2">
      <c r="A124" s="41"/>
      <c r="B124" s="41"/>
      <c r="C124" s="41"/>
      <c r="D124" s="41"/>
      <c r="E124" s="153"/>
      <c r="F124" s="41"/>
      <c r="G124" s="154"/>
      <c r="H124" s="154"/>
      <c r="I124" s="155"/>
      <c r="J124" s="41"/>
      <c r="K124" s="41"/>
      <c r="L124" s="41"/>
      <c r="M124" s="41"/>
      <c r="N124" s="41"/>
      <c r="O124" s="41"/>
      <c r="P124" s="41"/>
      <c r="Q124" s="41"/>
      <c r="R124" s="41"/>
      <c r="S124" s="41"/>
      <c r="T124" s="41"/>
    </row>
    <row r="125" spans="1:20" x14ac:dyDescent="0.2">
      <c r="A125" s="41"/>
      <c r="B125" s="41"/>
      <c r="C125" s="41"/>
      <c r="D125" s="41"/>
      <c r="E125" s="153"/>
      <c r="F125" s="41"/>
      <c r="G125" s="154"/>
      <c r="H125" s="154"/>
      <c r="I125" s="155"/>
      <c r="J125" s="41"/>
      <c r="K125" s="41"/>
      <c r="L125" s="41"/>
      <c r="M125" s="41"/>
      <c r="N125" s="41"/>
      <c r="O125" s="41"/>
      <c r="P125" s="41"/>
      <c r="Q125" s="41"/>
      <c r="R125" s="41"/>
      <c r="S125" s="41"/>
      <c r="T125" s="41"/>
    </row>
    <row r="126" spans="1:20" x14ac:dyDescent="0.2">
      <c r="A126" s="41"/>
      <c r="B126" s="41"/>
      <c r="C126" s="41"/>
      <c r="D126" s="41"/>
      <c r="E126" s="153"/>
      <c r="F126" s="41"/>
      <c r="G126" s="154"/>
      <c r="H126" s="154"/>
      <c r="I126" s="155"/>
      <c r="J126" s="41"/>
      <c r="K126" s="41"/>
      <c r="L126" s="41"/>
      <c r="M126" s="41"/>
      <c r="N126" s="41"/>
      <c r="O126" s="41"/>
      <c r="P126" s="41"/>
      <c r="Q126" s="41"/>
      <c r="R126" s="41"/>
      <c r="S126" s="41"/>
      <c r="T126" s="41"/>
    </row>
    <row r="127" spans="1:20" x14ac:dyDescent="0.2">
      <c r="A127" s="41"/>
      <c r="B127" s="41"/>
      <c r="C127" s="41"/>
      <c r="D127" s="41"/>
      <c r="E127" s="153"/>
      <c r="F127" s="41"/>
      <c r="G127" s="154"/>
      <c r="H127" s="154"/>
      <c r="I127" s="155"/>
      <c r="J127" s="41"/>
      <c r="K127" s="41"/>
      <c r="L127" s="41"/>
      <c r="M127" s="41"/>
      <c r="N127" s="41"/>
      <c r="O127" s="41"/>
      <c r="P127" s="41"/>
      <c r="Q127" s="41"/>
      <c r="R127" s="41"/>
      <c r="S127" s="41"/>
      <c r="T127" s="41"/>
    </row>
    <row r="128" spans="1:20" x14ac:dyDescent="0.2">
      <c r="A128" s="41"/>
      <c r="B128" s="41"/>
      <c r="C128" s="41"/>
      <c r="D128" s="41"/>
      <c r="E128" s="153"/>
      <c r="F128" s="41"/>
      <c r="G128" s="154"/>
      <c r="H128" s="154"/>
      <c r="I128" s="155"/>
      <c r="J128" s="41"/>
      <c r="K128" s="41"/>
      <c r="L128" s="41"/>
      <c r="M128" s="41"/>
      <c r="N128" s="41"/>
      <c r="O128" s="41"/>
      <c r="P128" s="41"/>
      <c r="Q128" s="41"/>
      <c r="R128" s="41"/>
      <c r="S128" s="41"/>
      <c r="T128" s="41"/>
    </row>
    <row r="129" spans="1:20" x14ac:dyDescent="0.2">
      <c r="A129" s="41"/>
      <c r="B129" s="41"/>
      <c r="C129" s="41"/>
      <c r="D129" s="41"/>
      <c r="E129" s="153"/>
      <c r="F129" s="41"/>
      <c r="G129" s="154"/>
      <c r="H129" s="154"/>
      <c r="I129" s="155"/>
      <c r="J129" s="41"/>
      <c r="K129" s="41"/>
      <c r="L129" s="41"/>
      <c r="M129" s="41"/>
      <c r="N129" s="41"/>
      <c r="O129" s="41"/>
      <c r="P129" s="41"/>
      <c r="Q129" s="41"/>
      <c r="R129" s="41"/>
      <c r="S129" s="41"/>
      <c r="T129" s="41"/>
    </row>
    <row r="130" spans="1:20" x14ac:dyDescent="0.2">
      <c r="A130" s="41"/>
      <c r="B130" s="41"/>
      <c r="C130" s="41"/>
      <c r="D130" s="41"/>
      <c r="E130" s="153"/>
      <c r="F130" s="41"/>
      <c r="G130" s="154"/>
      <c r="H130" s="154"/>
      <c r="I130" s="155"/>
      <c r="J130" s="41"/>
      <c r="K130" s="41"/>
      <c r="L130" s="41"/>
      <c r="M130" s="41"/>
      <c r="N130" s="41"/>
      <c r="O130" s="41"/>
      <c r="P130" s="41"/>
      <c r="Q130" s="41"/>
      <c r="R130" s="41"/>
      <c r="S130" s="41"/>
      <c r="T130" s="41"/>
    </row>
    <row r="131" spans="1:20" x14ac:dyDescent="0.2">
      <c r="A131" s="41"/>
      <c r="B131" s="41"/>
      <c r="C131" s="41"/>
      <c r="D131" s="41"/>
      <c r="E131" s="153"/>
      <c r="F131" s="41"/>
      <c r="G131" s="154"/>
      <c r="H131" s="154"/>
      <c r="I131" s="155"/>
      <c r="J131" s="41"/>
      <c r="K131" s="41"/>
      <c r="L131" s="41"/>
      <c r="M131" s="41"/>
      <c r="N131" s="41"/>
      <c r="O131" s="41"/>
      <c r="P131" s="41"/>
      <c r="Q131" s="41"/>
      <c r="R131" s="41"/>
      <c r="S131" s="41"/>
      <c r="T131" s="41"/>
    </row>
    <row r="132" spans="1:20" x14ac:dyDescent="0.2">
      <c r="A132" s="41"/>
      <c r="B132" s="41"/>
      <c r="C132" s="41"/>
      <c r="D132" s="41"/>
      <c r="E132" s="153"/>
      <c r="F132" s="41"/>
      <c r="G132" s="154"/>
      <c r="H132" s="154"/>
      <c r="I132" s="155"/>
      <c r="J132" s="41"/>
      <c r="K132" s="41"/>
      <c r="L132" s="41"/>
      <c r="M132" s="41"/>
      <c r="N132" s="41"/>
      <c r="O132" s="41"/>
      <c r="P132" s="41"/>
      <c r="Q132" s="41"/>
      <c r="R132" s="41"/>
      <c r="S132" s="41"/>
      <c r="T132" s="41"/>
    </row>
    <row r="133" spans="1:20" x14ac:dyDescent="0.2">
      <c r="A133" s="41"/>
      <c r="B133" s="41"/>
      <c r="C133" s="41"/>
      <c r="D133" s="41"/>
      <c r="E133" s="153"/>
      <c r="F133" s="41"/>
      <c r="G133" s="154"/>
      <c r="H133" s="154"/>
      <c r="I133" s="155"/>
      <c r="J133" s="41"/>
      <c r="K133" s="41"/>
      <c r="L133" s="41"/>
      <c r="M133" s="41"/>
      <c r="N133" s="41"/>
      <c r="O133" s="41"/>
      <c r="P133" s="41"/>
      <c r="Q133" s="41"/>
      <c r="R133" s="41"/>
      <c r="S133" s="41"/>
      <c r="T133" s="41"/>
    </row>
    <row r="134" spans="1:20" x14ac:dyDescent="0.2">
      <c r="A134" s="41"/>
      <c r="B134" s="41"/>
      <c r="C134" s="41"/>
      <c r="D134" s="41"/>
      <c r="E134" s="153"/>
      <c r="F134" s="41"/>
      <c r="G134" s="154"/>
      <c r="H134" s="154"/>
      <c r="I134" s="155"/>
      <c r="J134" s="41"/>
      <c r="K134" s="41"/>
      <c r="L134" s="41"/>
      <c r="M134" s="41"/>
      <c r="N134" s="41"/>
      <c r="O134" s="41"/>
      <c r="P134" s="41"/>
      <c r="Q134" s="41"/>
      <c r="R134" s="41"/>
      <c r="S134" s="41"/>
      <c r="T134" s="41"/>
    </row>
    <row r="135" spans="1:20" x14ac:dyDescent="0.2">
      <c r="A135" s="41"/>
      <c r="B135" s="41"/>
      <c r="C135" s="41"/>
      <c r="D135" s="41"/>
      <c r="E135" s="153"/>
      <c r="F135" s="41"/>
      <c r="G135" s="154"/>
      <c r="H135" s="154"/>
      <c r="I135" s="155"/>
      <c r="J135" s="41"/>
      <c r="K135" s="41"/>
      <c r="L135" s="41"/>
      <c r="M135" s="41"/>
      <c r="N135" s="41"/>
      <c r="O135" s="41"/>
      <c r="P135" s="41"/>
      <c r="Q135" s="41"/>
      <c r="R135" s="41"/>
      <c r="S135" s="41"/>
      <c r="T135" s="41"/>
    </row>
    <row r="136" spans="1:20" x14ac:dyDescent="0.2">
      <c r="A136" s="41"/>
      <c r="B136" s="41"/>
      <c r="C136" s="41"/>
      <c r="D136" s="41"/>
      <c r="E136" s="153"/>
      <c r="F136" s="41"/>
      <c r="G136" s="154"/>
      <c r="H136" s="154"/>
      <c r="I136" s="155"/>
      <c r="J136" s="41"/>
      <c r="K136" s="41"/>
      <c r="L136" s="41"/>
      <c r="M136" s="41"/>
      <c r="N136" s="41"/>
      <c r="O136" s="41"/>
      <c r="P136" s="41"/>
      <c r="Q136" s="41"/>
      <c r="R136" s="41"/>
      <c r="S136" s="41"/>
      <c r="T136" s="41"/>
    </row>
    <row r="137" spans="1:20" x14ac:dyDescent="0.2">
      <c r="A137" s="41"/>
      <c r="B137" s="41"/>
      <c r="C137" s="41"/>
      <c r="D137" s="41"/>
      <c r="E137" s="153"/>
      <c r="F137" s="41"/>
      <c r="G137" s="154"/>
      <c r="H137" s="154"/>
      <c r="I137" s="155"/>
      <c r="J137" s="41"/>
      <c r="K137" s="41"/>
      <c r="L137" s="41"/>
      <c r="M137" s="41"/>
      <c r="N137" s="41"/>
      <c r="O137" s="41"/>
      <c r="P137" s="41"/>
      <c r="Q137" s="41"/>
      <c r="R137" s="41"/>
      <c r="S137" s="41"/>
      <c r="T137" s="41"/>
    </row>
    <row r="138" spans="1:20" x14ac:dyDescent="0.2">
      <c r="A138" s="41"/>
      <c r="B138" s="41"/>
      <c r="C138" s="41"/>
      <c r="D138" s="41"/>
      <c r="E138" s="153"/>
      <c r="F138" s="41"/>
      <c r="G138" s="154"/>
      <c r="H138" s="154"/>
      <c r="I138" s="155"/>
      <c r="J138" s="41"/>
      <c r="K138" s="41"/>
      <c r="L138" s="41"/>
      <c r="M138" s="41"/>
      <c r="N138" s="41"/>
      <c r="O138" s="41"/>
      <c r="P138" s="41"/>
      <c r="Q138" s="41"/>
      <c r="R138" s="41"/>
      <c r="S138" s="41"/>
      <c r="T138" s="41"/>
    </row>
    <row r="139" spans="1:20" x14ac:dyDescent="0.2">
      <c r="A139" s="41"/>
      <c r="B139" s="41"/>
      <c r="C139" s="41"/>
      <c r="D139" s="41"/>
      <c r="E139" s="153"/>
      <c r="F139" s="41"/>
      <c r="G139" s="154"/>
      <c r="H139" s="154"/>
      <c r="I139" s="155"/>
      <c r="J139" s="41"/>
      <c r="K139" s="41"/>
      <c r="L139" s="41"/>
      <c r="M139" s="41"/>
      <c r="N139" s="41"/>
      <c r="O139" s="41"/>
      <c r="P139" s="41"/>
      <c r="Q139" s="41"/>
      <c r="R139" s="41"/>
      <c r="S139" s="41"/>
      <c r="T139" s="41"/>
    </row>
    <row r="140" spans="1:20" x14ac:dyDescent="0.2">
      <c r="A140" s="41"/>
      <c r="B140" s="41"/>
      <c r="C140" s="41"/>
      <c r="D140" s="41"/>
      <c r="E140" s="153"/>
      <c r="F140" s="41"/>
      <c r="G140" s="154"/>
      <c r="H140" s="154"/>
      <c r="I140" s="155"/>
      <c r="J140" s="41"/>
      <c r="K140" s="41"/>
      <c r="L140" s="41"/>
      <c r="M140" s="41"/>
      <c r="N140" s="41"/>
      <c r="O140" s="41"/>
      <c r="P140" s="41"/>
      <c r="Q140" s="41"/>
      <c r="R140" s="41"/>
      <c r="S140" s="41"/>
      <c r="T140" s="41"/>
    </row>
    <row r="141" spans="1:20" x14ac:dyDescent="0.2">
      <c r="A141" s="41"/>
      <c r="B141" s="41"/>
      <c r="C141" s="41"/>
      <c r="D141" s="41"/>
      <c r="E141" s="153"/>
      <c r="F141" s="41"/>
      <c r="G141" s="154"/>
      <c r="H141" s="154"/>
      <c r="I141" s="155"/>
      <c r="J141" s="41"/>
      <c r="K141" s="41"/>
      <c r="L141" s="41"/>
      <c r="M141" s="41"/>
      <c r="N141" s="41"/>
      <c r="O141" s="41"/>
      <c r="P141" s="41"/>
      <c r="Q141" s="41"/>
      <c r="R141" s="41"/>
      <c r="S141" s="41"/>
      <c r="T141" s="41"/>
    </row>
    <row r="142" spans="1:20" x14ac:dyDescent="0.2">
      <c r="A142" s="41"/>
      <c r="B142" s="41"/>
      <c r="C142" s="41"/>
      <c r="D142" s="41"/>
      <c r="E142" s="153"/>
      <c r="F142" s="41"/>
      <c r="G142" s="154"/>
      <c r="H142" s="154"/>
      <c r="I142" s="155"/>
      <c r="J142" s="41"/>
      <c r="K142" s="41"/>
      <c r="L142" s="41"/>
      <c r="M142" s="41"/>
      <c r="N142" s="41"/>
      <c r="O142" s="41"/>
      <c r="P142" s="41"/>
      <c r="Q142" s="41"/>
      <c r="R142" s="41"/>
      <c r="S142" s="41"/>
      <c r="T142" s="41"/>
    </row>
    <row r="143" spans="1:20" x14ac:dyDescent="0.2">
      <c r="A143" s="41"/>
      <c r="B143" s="41"/>
      <c r="C143" s="41"/>
      <c r="D143" s="41"/>
      <c r="E143" s="153"/>
      <c r="F143" s="41"/>
      <c r="G143" s="154"/>
      <c r="H143" s="154"/>
      <c r="I143" s="155"/>
      <c r="J143" s="41"/>
      <c r="K143" s="41"/>
      <c r="L143" s="41"/>
      <c r="M143" s="41"/>
      <c r="N143" s="41"/>
      <c r="O143" s="41"/>
      <c r="P143" s="41"/>
      <c r="Q143" s="41"/>
      <c r="R143" s="41"/>
      <c r="S143" s="41"/>
      <c r="T143" s="41"/>
    </row>
    <row r="144" spans="1:20" x14ac:dyDescent="0.2">
      <c r="A144" s="41"/>
      <c r="B144" s="41"/>
      <c r="C144" s="41"/>
      <c r="D144" s="41"/>
      <c r="E144" s="153"/>
      <c r="F144" s="41"/>
      <c r="G144" s="154"/>
      <c r="H144" s="154"/>
      <c r="I144" s="155"/>
      <c r="J144" s="41"/>
      <c r="K144" s="41"/>
      <c r="L144" s="41"/>
      <c r="M144" s="41"/>
      <c r="N144" s="41"/>
      <c r="O144" s="41"/>
      <c r="P144" s="41"/>
      <c r="Q144" s="41"/>
      <c r="R144" s="41"/>
      <c r="S144" s="41"/>
      <c r="T144" s="41"/>
    </row>
    <row r="145" spans="1:20" x14ac:dyDescent="0.2">
      <c r="A145" s="41"/>
      <c r="B145" s="41"/>
      <c r="C145" s="41"/>
      <c r="D145" s="41"/>
      <c r="E145" s="153"/>
      <c r="F145" s="41"/>
      <c r="G145" s="154"/>
      <c r="H145" s="154"/>
      <c r="I145" s="155"/>
      <c r="J145" s="41"/>
      <c r="K145" s="41"/>
      <c r="L145" s="41"/>
      <c r="M145" s="41"/>
      <c r="N145" s="41"/>
      <c r="O145" s="41"/>
      <c r="P145" s="41"/>
      <c r="Q145" s="41"/>
      <c r="R145" s="41"/>
      <c r="S145" s="41"/>
      <c r="T145" s="41"/>
    </row>
    <row r="146" spans="1:20" x14ac:dyDescent="0.2">
      <c r="A146" s="41"/>
      <c r="B146" s="41"/>
      <c r="C146" s="41"/>
      <c r="D146" s="41"/>
      <c r="E146" s="153"/>
      <c r="F146" s="41"/>
      <c r="G146" s="154"/>
      <c r="H146" s="154"/>
      <c r="I146" s="155"/>
      <c r="J146" s="41"/>
      <c r="K146" s="41"/>
      <c r="L146" s="41"/>
      <c r="M146" s="41"/>
      <c r="N146" s="41"/>
      <c r="O146" s="41"/>
      <c r="P146" s="41"/>
      <c r="Q146" s="41"/>
      <c r="R146" s="41"/>
      <c r="S146" s="41"/>
      <c r="T146" s="41"/>
    </row>
    <row r="147" spans="1:20" x14ac:dyDescent="0.2">
      <c r="A147" s="41"/>
      <c r="B147" s="41"/>
      <c r="C147" s="41"/>
      <c r="D147" s="41"/>
      <c r="E147" s="153"/>
      <c r="F147" s="41"/>
      <c r="G147" s="154"/>
      <c r="H147" s="154"/>
      <c r="I147" s="155"/>
      <c r="J147" s="41"/>
      <c r="K147" s="41"/>
      <c r="L147" s="41"/>
      <c r="M147" s="41"/>
      <c r="N147" s="41"/>
      <c r="O147" s="41"/>
      <c r="P147" s="41"/>
      <c r="Q147" s="41"/>
      <c r="R147" s="41"/>
      <c r="S147" s="41"/>
      <c r="T147" s="41"/>
    </row>
    <row r="148" spans="1:20" x14ac:dyDescent="0.2">
      <c r="A148" s="41"/>
      <c r="B148" s="41"/>
      <c r="C148" s="41"/>
      <c r="D148" s="41"/>
      <c r="E148" s="153"/>
      <c r="F148" s="41"/>
      <c r="G148" s="154"/>
      <c r="H148" s="154"/>
      <c r="I148" s="155"/>
      <c r="J148" s="41"/>
      <c r="K148" s="41"/>
      <c r="L148" s="41"/>
      <c r="M148" s="41"/>
      <c r="N148" s="41"/>
      <c r="O148" s="41"/>
      <c r="P148" s="41"/>
      <c r="Q148" s="41"/>
      <c r="R148" s="41"/>
      <c r="S148" s="41"/>
      <c r="T148" s="41"/>
    </row>
    <row r="149" spans="1:20" x14ac:dyDescent="0.2">
      <c r="A149" s="41"/>
      <c r="B149" s="41"/>
      <c r="C149" s="41"/>
      <c r="D149" s="41"/>
      <c r="E149" s="153"/>
      <c r="F149" s="41"/>
      <c r="G149" s="154"/>
      <c r="H149" s="154"/>
      <c r="I149" s="155"/>
      <c r="J149" s="41"/>
      <c r="K149" s="41"/>
      <c r="L149" s="41"/>
      <c r="M149" s="41"/>
      <c r="N149" s="41"/>
      <c r="O149" s="41"/>
      <c r="P149" s="41"/>
      <c r="Q149" s="41"/>
      <c r="R149" s="41"/>
      <c r="S149" s="41"/>
      <c r="T149" s="41"/>
    </row>
    <row r="150" spans="1:20" x14ac:dyDescent="0.2">
      <c r="A150" s="41"/>
      <c r="B150" s="41"/>
      <c r="C150" s="41"/>
      <c r="D150" s="41"/>
      <c r="E150" s="153"/>
      <c r="F150" s="41"/>
      <c r="G150" s="154"/>
      <c r="H150" s="154"/>
      <c r="I150" s="155"/>
      <c r="J150" s="41"/>
      <c r="K150" s="41"/>
      <c r="L150" s="41"/>
      <c r="M150" s="41"/>
      <c r="N150" s="41"/>
      <c r="O150" s="41"/>
      <c r="P150" s="41"/>
      <c r="Q150" s="41"/>
      <c r="R150" s="41"/>
      <c r="S150" s="41"/>
      <c r="T150" s="41"/>
    </row>
    <row r="151" spans="1:20" x14ac:dyDescent="0.2">
      <c r="A151" s="41"/>
      <c r="B151" s="41"/>
      <c r="C151" s="41"/>
      <c r="D151" s="41"/>
      <c r="E151" s="153"/>
      <c r="F151" s="41"/>
      <c r="G151" s="154"/>
      <c r="H151" s="154"/>
      <c r="I151" s="155"/>
      <c r="J151" s="41"/>
      <c r="K151" s="41"/>
      <c r="L151" s="41"/>
      <c r="M151" s="41"/>
      <c r="N151" s="41"/>
      <c r="O151" s="41"/>
      <c r="P151" s="41"/>
      <c r="Q151" s="41"/>
      <c r="R151" s="41"/>
      <c r="S151" s="41"/>
      <c r="T151" s="41"/>
    </row>
    <row r="152" spans="1:20" x14ac:dyDescent="0.2">
      <c r="A152" s="41"/>
      <c r="B152" s="41"/>
      <c r="C152" s="41"/>
      <c r="D152" s="41"/>
      <c r="E152" s="153"/>
      <c r="F152" s="41"/>
      <c r="G152" s="154"/>
      <c r="H152" s="154"/>
      <c r="I152" s="155"/>
      <c r="J152" s="41"/>
      <c r="K152" s="41"/>
      <c r="L152" s="41"/>
      <c r="M152" s="41"/>
      <c r="N152" s="41"/>
      <c r="O152" s="41"/>
      <c r="P152" s="41"/>
      <c r="Q152" s="41"/>
      <c r="R152" s="41"/>
      <c r="S152" s="41"/>
      <c r="T152" s="41"/>
    </row>
    <row r="153" spans="1:20" x14ac:dyDescent="0.2">
      <c r="A153" s="41"/>
      <c r="B153" s="41"/>
      <c r="C153" s="41"/>
      <c r="D153" s="41"/>
      <c r="E153" s="153"/>
      <c r="F153" s="41"/>
      <c r="G153" s="154"/>
      <c r="H153" s="154"/>
      <c r="I153" s="155"/>
      <c r="J153" s="41"/>
      <c r="K153" s="41"/>
      <c r="L153" s="41"/>
      <c r="M153" s="41"/>
      <c r="N153" s="41"/>
      <c r="O153" s="41"/>
      <c r="P153" s="41"/>
      <c r="Q153" s="41"/>
      <c r="R153" s="41"/>
      <c r="S153" s="41"/>
      <c r="T153" s="41"/>
    </row>
    <row r="154" spans="1:20" x14ac:dyDescent="0.2">
      <c r="A154" s="41"/>
      <c r="B154" s="41"/>
      <c r="C154" s="41"/>
      <c r="D154" s="41"/>
      <c r="E154" s="153"/>
      <c r="F154" s="41"/>
      <c r="G154" s="154"/>
      <c r="H154" s="154"/>
      <c r="I154" s="155"/>
      <c r="J154" s="41"/>
      <c r="K154" s="41"/>
      <c r="L154" s="41"/>
      <c r="M154" s="41"/>
      <c r="N154" s="41"/>
      <c r="O154" s="41"/>
      <c r="P154" s="41"/>
      <c r="Q154" s="41"/>
      <c r="R154" s="41"/>
      <c r="S154" s="41"/>
      <c r="T154" s="41"/>
    </row>
    <row r="155" spans="1:20" x14ac:dyDescent="0.2">
      <c r="A155" s="41"/>
      <c r="B155" s="41"/>
      <c r="C155" s="41"/>
      <c r="D155" s="41"/>
      <c r="E155" s="153"/>
      <c r="F155" s="41"/>
      <c r="G155" s="154"/>
      <c r="H155" s="154"/>
      <c r="I155" s="155"/>
      <c r="J155" s="41"/>
      <c r="K155" s="41"/>
      <c r="L155" s="41"/>
      <c r="M155" s="41"/>
      <c r="N155" s="41"/>
      <c r="O155" s="41"/>
      <c r="P155" s="41"/>
      <c r="Q155" s="41"/>
      <c r="R155" s="41"/>
      <c r="S155" s="41"/>
      <c r="T155" s="41"/>
    </row>
    <row r="156" spans="1:20" x14ac:dyDescent="0.2">
      <c r="A156" s="41"/>
      <c r="B156" s="41"/>
      <c r="C156" s="41"/>
      <c r="D156" s="41"/>
      <c r="E156" s="153"/>
      <c r="F156" s="41"/>
      <c r="G156" s="154"/>
      <c r="H156" s="154"/>
      <c r="I156" s="155"/>
      <c r="J156" s="41"/>
      <c r="K156" s="41"/>
      <c r="L156" s="41"/>
      <c r="M156" s="41"/>
      <c r="N156" s="41"/>
      <c r="O156" s="41"/>
      <c r="P156" s="41"/>
      <c r="Q156" s="41"/>
      <c r="R156" s="41"/>
      <c r="S156" s="41"/>
      <c r="T156" s="41"/>
    </row>
    <row r="157" spans="1:20" x14ac:dyDescent="0.2">
      <c r="A157" s="41"/>
      <c r="B157" s="41"/>
      <c r="C157" s="41"/>
      <c r="D157" s="41"/>
      <c r="E157" s="153"/>
      <c r="F157" s="41"/>
      <c r="G157" s="154"/>
      <c r="H157" s="154"/>
      <c r="I157" s="155"/>
      <c r="J157" s="41"/>
      <c r="K157" s="41"/>
      <c r="L157" s="41"/>
      <c r="M157" s="41"/>
      <c r="N157" s="41"/>
      <c r="O157" s="41"/>
      <c r="P157" s="41"/>
      <c r="Q157" s="41"/>
      <c r="R157" s="41"/>
      <c r="S157" s="41"/>
      <c r="T157" s="41"/>
    </row>
    <row r="158" spans="1:20" x14ac:dyDescent="0.2">
      <c r="A158" s="41"/>
      <c r="B158" s="41"/>
      <c r="C158" s="41"/>
      <c r="D158" s="41"/>
      <c r="E158" s="153"/>
      <c r="F158" s="41"/>
      <c r="G158" s="154"/>
      <c r="H158" s="154"/>
      <c r="I158" s="155"/>
      <c r="J158" s="41"/>
      <c r="K158" s="41"/>
      <c r="L158" s="41"/>
      <c r="M158" s="41"/>
      <c r="N158" s="41"/>
      <c r="O158" s="41"/>
      <c r="P158" s="41"/>
      <c r="Q158" s="41"/>
      <c r="R158" s="41"/>
      <c r="S158" s="41"/>
      <c r="T158" s="41"/>
    </row>
    <row r="159" spans="1:20" x14ac:dyDescent="0.2">
      <c r="A159" s="41"/>
      <c r="B159" s="41"/>
      <c r="C159" s="41"/>
      <c r="D159" s="41"/>
      <c r="E159" s="153"/>
      <c r="F159" s="41"/>
      <c r="G159" s="154"/>
      <c r="H159" s="154"/>
      <c r="I159" s="155"/>
      <c r="J159" s="41"/>
      <c r="K159" s="41"/>
      <c r="L159" s="41"/>
      <c r="M159" s="41"/>
      <c r="N159" s="41"/>
      <c r="O159" s="41"/>
      <c r="P159" s="41"/>
      <c r="Q159" s="41"/>
      <c r="R159" s="41"/>
      <c r="S159" s="41"/>
      <c r="T159" s="41"/>
    </row>
    <row r="160" spans="1:20" x14ac:dyDescent="0.2">
      <c r="A160" s="41"/>
      <c r="B160" s="41"/>
      <c r="C160" s="41"/>
      <c r="D160" s="41"/>
      <c r="E160" s="153"/>
      <c r="F160" s="41"/>
      <c r="G160" s="154"/>
      <c r="H160" s="154"/>
      <c r="I160" s="155"/>
      <c r="J160" s="41"/>
      <c r="K160" s="41"/>
      <c r="L160" s="41"/>
      <c r="M160" s="41"/>
      <c r="N160" s="41"/>
      <c r="O160" s="41"/>
      <c r="P160" s="41"/>
      <c r="Q160" s="41"/>
      <c r="R160" s="41"/>
      <c r="S160" s="41"/>
      <c r="T160" s="41"/>
    </row>
    <row r="161" spans="1:20" x14ac:dyDescent="0.2">
      <c r="A161" s="41"/>
      <c r="B161" s="41"/>
      <c r="C161" s="41"/>
      <c r="D161" s="41"/>
      <c r="E161" s="153"/>
      <c r="F161" s="41"/>
      <c r="G161" s="154"/>
      <c r="H161" s="154"/>
      <c r="I161" s="155"/>
      <c r="J161" s="41"/>
      <c r="K161" s="41"/>
      <c r="L161" s="41"/>
      <c r="M161" s="41"/>
      <c r="N161" s="41"/>
      <c r="O161" s="41"/>
      <c r="P161" s="41"/>
      <c r="Q161" s="41"/>
      <c r="R161" s="41"/>
      <c r="S161" s="41"/>
      <c r="T161" s="41"/>
    </row>
    <row r="162" spans="1:20" x14ac:dyDescent="0.2">
      <c r="A162" s="41"/>
      <c r="B162" s="41"/>
      <c r="C162" s="41"/>
      <c r="D162" s="41"/>
      <c r="E162" s="153"/>
      <c r="F162" s="41"/>
      <c r="G162" s="154"/>
      <c r="H162" s="154"/>
      <c r="I162" s="155"/>
      <c r="J162" s="41"/>
      <c r="K162" s="41"/>
      <c r="L162" s="41"/>
      <c r="M162" s="41"/>
      <c r="N162" s="41"/>
      <c r="O162" s="41"/>
      <c r="P162" s="41"/>
      <c r="Q162" s="41"/>
      <c r="R162" s="41"/>
      <c r="S162" s="41"/>
      <c r="T162" s="41"/>
    </row>
    <row r="163" spans="1:20" x14ac:dyDescent="0.2">
      <c r="A163" s="41"/>
      <c r="B163" s="41"/>
      <c r="C163" s="41"/>
      <c r="D163" s="41"/>
      <c r="E163" s="153"/>
      <c r="F163" s="41"/>
      <c r="G163" s="154"/>
      <c r="H163" s="154"/>
      <c r="I163" s="155"/>
      <c r="J163" s="41"/>
      <c r="K163" s="41"/>
      <c r="L163" s="41"/>
      <c r="M163" s="41"/>
      <c r="N163" s="41"/>
      <c r="O163" s="41"/>
      <c r="P163" s="41"/>
      <c r="Q163" s="41"/>
      <c r="R163" s="41"/>
      <c r="S163" s="41"/>
      <c r="T163" s="41"/>
    </row>
    <row r="164" spans="1:20" x14ac:dyDescent="0.2">
      <c r="A164" s="41"/>
      <c r="B164" s="41"/>
      <c r="C164" s="41"/>
      <c r="D164" s="41"/>
      <c r="E164" s="153"/>
      <c r="F164" s="41"/>
      <c r="G164" s="154"/>
      <c r="H164" s="154"/>
      <c r="I164" s="155"/>
      <c r="J164" s="41"/>
      <c r="K164" s="41"/>
      <c r="L164" s="41"/>
      <c r="M164" s="41"/>
      <c r="N164" s="41"/>
      <c r="O164" s="41"/>
      <c r="P164" s="41"/>
      <c r="Q164" s="41"/>
      <c r="R164" s="41"/>
      <c r="S164" s="41"/>
      <c r="T164" s="41"/>
    </row>
    <row r="165" spans="1:20" x14ac:dyDescent="0.2">
      <c r="A165" s="41"/>
      <c r="B165" s="41"/>
      <c r="C165" s="41"/>
      <c r="D165" s="41"/>
      <c r="E165" s="153"/>
      <c r="F165" s="41"/>
      <c r="G165" s="154"/>
      <c r="H165" s="154"/>
      <c r="I165" s="155"/>
      <c r="J165" s="41"/>
      <c r="K165" s="41"/>
      <c r="L165" s="41"/>
      <c r="M165" s="41"/>
      <c r="N165" s="41"/>
      <c r="O165" s="41"/>
      <c r="P165" s="41"/>
      <c r="Q165" s="41"/>
      <c r="R165" s="41"/>
      <c r="S165" s="41"/>
      <c r="T165" s="41"/>
    </row>
    <row r="166" spans="1:20" x14ac:dyDescent="0.2">
      <c r="A166" s="41"/>
      <c r="B166" s="41"/>
      <c r="C166" s="41"/>
      <c r="D166" s="41"/>
      <c r="E166" s="153"/>
      <c r="F166" s="41"/>
      <c r="G166" s="154"/>
      <c r="H166" s="154"/>
      <c r="I166" s="155"/>
      <c r="J166" s="41"/>
      <c r="K166" s="41"/>
      <c r="L166" s="41"/>
      <c r="M166" s="41"/>
      <c r="N166" s="41"/>
      <c r="O166" s="41"/>
      <c r="P166" s="41"/>
      <c r="Q166" s="41"/>
      <c r="R166" s="41"/>
      <c r="S166" s="41"/>
      <c r="T166" s="41"/>
    </row>
    <row r="167" spans="1:20" x14ac:dyDescent="0.2">
      <c r="A167" s="41"/>
      <c r="B167" s="41"/>
      <c r="C167" s="41"/>
      <c r="D167" s="41"/>
      <c r="E167" s="153"/>
      <c r="F167" s="41"/>
      <c r="G167" s="154"/>
      <c r="H167" s="154"/>
      <c r="I167" s="155"/>
      <c r="J167" s="41"/>
      <c r="K167" s="41"/>
      <c r="L167" s="41"/>
      <c r="M167" s="41"/>
      <c r="N167" s="41"/>
      <c r="O167" s="41"/>
      <c r="P167" s="41"/>
      <c r="Q167" s="41"/>
      <c r="R167" s="41"/>
      <c r="S167" s="41"/>
      <c r="T167" s="41"/>
    </row>
    <row r="168" spans="1:20" x14ac:dyDescent="0.2">
      <c r="A168" s="41"/>
      <c r="B168" s="41"/>
      <c r="C168" s="41"/>
      <c r="D168" s="41"/>
      <c r="E168" s="153"/>
      <c r="F168" s="41"/>
      <c r="G168" s="154"/>
      <c r="H168" s="154"/>
      <c r="I168" s="155"/>
      <c r="J168" s="41"/>
      <c r="K168" s="41"/>
      <c r="L168" s="41"/>
      <c r="M168" s="41"/>
      <c r="N168" s="41"/>
      <c r="O168" s="41"/>
      <c r="P168" s="41"/>
      <c r="Q168" s="41"/>
      <c r="R168" s="41"/>
      <c r="S168" s="41"/>
      <c r="T168" s="41"/>
    </row>
    <row r="169" spans="1:20" x14ac:dyDescent="0.2">
      <c r="A169" s="41"/>
      <c r="B169" s="41"/>
      <c r="C169" s="41"/>
      <c r="D169" s="41"/>
      <c r="E169" s="153"/>
      <c r="F169" s="41"/>
      <c r="G169" s="154"/>
      <c r="H169" s="154"/>
      <c r="I169" s="155"/>
      <c r="J169" s="41"/>
      <c r="K169" s="41"/>
      <c r="L169" s="41"/>
      <c r="M169" s="41"/>
      <c r="N169" s="41"/>
      <c r="O169" s="41"/>
      <c r="P169" s="41"/>
      <c r="Q169" s="41"/>
      <c r="R169" s="41"/>
      <c r="S169" s="41"/>
      <c r="T169" s="41"/>
    </row>
    <row r="170" spans="1:20" x14ac:dyDescent="0.2">
      <c r="A170" s="41"/>
      <c r="B170" s="41"/>
      <c r="C170" s="41"/>
      <c r="D170" s="41"/>
      <c r="E170" s="153"/>
      <c r="F170" s="41"/>
      <c r="G170" s="154"/>
      <c r="H170" s="154"/>
      <c r="I170" s="155"/>
      <c r="J170" s="41"/>
      <c r="K170" s="41"/>
      <c r="L170" s="41"/>
      <c r="M170" s="41"/>
      <c r="N170" s="41"/>
      <c r="O170" s="41"/>
      <c r="P170" s="41"/>
      <c r="Q170" s="41"/>
      <c r="R170" s="41"/>
      <c r="S170" s="41"/>
      <c r="T170" s="41"/>
    </row>
    <row r="171" spans="1:20" x14ac:dyDescent="0.2">
      <c r="A171" s="41"/>
      <c r="B171" s="41"/>
      <c r="C171" s="41"/>
      <c r="D171" s="41"/>
      <c r="E171" s="153"/>
      <c r="F171" s="41"/>
      <c r="G171" s="154"/>
      <c r="H171" s="154"/>
      <c r="I171" s="155"/>
      <c r="J171" s="41"/>
      <c r="K171" s="41"/>
      <c r="L171" s="41"/>
      <c r="M171" s="41"/>
      <c r="N171" s="41"/>
      <c r="O171" s="41"/>
      <c r="P171" s="41"/>
      <c r="Q171" s="41"/>
      <c r="R171" s="41"/>
      <c r="S171" s="41"/>
      <c r="T171" s="41"/>
    </row>
    <row r="172" spans="1:20" x14ac:dyDescent="0.2">
      <c r="A172" s="41"/>
      <c r="B172" s="41"/>
      <c r="C172" s="41"/>
      <c r="D172" s="41"/>
      <c r="E172" s="153"/>
      <c r="F172" s="41"/>
      <c r="G172" s="154"/>
      <c r="H172" s="154"/>
      <c r="I172" s="155"/>
      <c r="J172" s="41"/>
      <c r="K172" s="41"/>
      <c r="L172" s="41"/>
      <c r="M172" s="41"/>
      <c r="N172" s="41"/>
      <c r="O172" s="41"/>
      <c r="P172" s="41"/>
      <c r="Q172" s="41"/>
      <c r="R172" s="41"/>
      <c r="S172" s="41"/>
      <c r="T172" s="41"/>
    </row>
    <row r="173" spans="1:20" x14ac:dyDescent="0.2">
      <c r="A173" s="41"/>
      <c r="B173" s="41"/>
      <c r="C173" s="41"/>
      <c r="D173" s="41"/>
      <c r="E173" s="153"/>
      <c r="F173" s="41"/>
      <c r="G173" s="154"/>
      <c r="H173" s="154"/>
      <c r="I173" s="155"/>
      <c r="J173" s="41"/>
      <c r="K173" s="41"/>
      <c r="L173" s="41"/>
      <c r="M173" s="41"/>
      <c r="N173" s="41"/>
      <c r="O173" s="41"/>
      <c r="P173" s="41"/>
      <c r="Q173" s="41"/>
      <c r="R173" s="41"/>
      <c r="S173" s="41"/>
      <c r="T173" s="41"/>
    </row>
    <row r="174" spans="1:20" x14ac:dyDescent="0.2">
      <c r="A174" s="41"/>
      <c r="B174" s="41"/>
      <c r="C174" s="41"/>
      <c r="D174" s="41"/>
      <c r="E174" s="153"/>
      <c r="F174" s="41"/>
      <c r="G174" s="154"/>
      <c r="H174" s="154"/>
      <c r="I174" s="155"/>
      <c r="J174" s="41"/>
      <c r="K174" s="41"/>
      <c r="L174" s="41"/>
      <c r="M174" s="41"/>
      <c r="N174" s="41"/>
      <c r="O174" s="41"/>
      <c r="P174" s="41"/>
      <c r="Q174" s="41"/>
      <c r="R174" s="41"/>
      <c r="S174" s="41"/>
      <c r="T174" s="41"/>
    </row>
    <row r="175" spans="1:20" x14ac:dyDescent="0.2">
      <c r="A175" s="41"/>
      <c r="B175" s="41"/>
      <c r="C175" s="41"/>
      <c r="D175" s="41"/>
      <c r="E175" s="153"/>
      <c r="F175" s="41"/>
      <c r="G175" s="154"/>
      <c r="H175" s="154"/>
      <c r="I175" s="155"/>
      <c r="J175" s="41"/>
      <c r="K175" s="41"/>
      <c r="L175" s="41"/>
      <c r="M175" s="41"/>
      <c r="N175" s="41"/>
      <c r="O175" s="41"/>
      <c r="P175" s="41"/>
      <c r="Q175" s="41"/>
      <c r="R175" s="41"/>
      <c r="S175" s="41"/>
      <c r="T175" s="41"/>
    </row>
    <row r="176" spans="1:20" x14ac:dyDescent="0.2">
      <c r="A176" s="41"/>
      <c r="B176" s="41"/>
      <c r="C176" s="41"/>
      <c r="D176" s="41"/>
      <c r="E176" s="153"/>
      <c r="F176" s="41"/>
      <c r="G176" s="154"/>
      <c r="H176" s="154"/>
      <c r="I176" s="155"/>
      <c r="J176" s="41"/>
      <c r="K176" s="41"/>
      <c r="L176" s="41"/>
      <c r="M176" s="41"/>
      <c r="N176" s="41"/>
      <c r="O176" s="41"/>
      <c r="P176" s="41"/>
      <c r="Q176" s="41"/>
      <c r="R176" s="41"/>
      <c r="S176" s="41"/>
      <c r="T176" s="41"/>
    </row>
    <row r="177" spans="1:20" x14ac:dyDescent="0.2">
      <c r="A177" s="41"/>
      <c r="B177" s="41"/>
      <c r="C177" s="41"/>
      <c r="D177" s="41"/>
      <c r="E177" s="153"/>
      <c r="F177" s="41"/>
      <c r="G177" s="154"/>
      <c r="H177" s="154"/>
      <c r="I177" s="155"/>
      <c r="J177" s="41"/>
      <c r="K177" s="41"/>
      <c r="L177" s="41"/>
      <c r="M177" s="41"/>
      <c r="N177" s="41"/>
      <c r="O177" s="41"/>
      <c r="P177" s="41"/>
      <c r="Q177" s="41"/>
      <c r="R177" s="41"/>
      <c r="S177" s="41"/>
      <c r="T177" s="41"/>
    </row>
    <row r="178" spans="1:20" x14ac:dyDescent="0.2">
      <c r="A178" s="41"/>
      <c r="B178" s="41"/>
      <c r="C178" s="41"/>
      <c r="D178" s="41"/>
      <c r="E178" s="153"/>
      <c r="F178" s="41"/>
      <c r="G178" s="154"/>
      <c r="H178" s="154"/>
      <c r="I178" s="155"/>
      <c r="J178" s="41"/>
      <c r="K178" s="41"/>
      <c r="L178" s="41"/>
      <c r="M178" s="41"/>
      <c r="N178" s="41"/>
      <c r="O178" s="41"/>
      <c r="P178" s="41"/>
      <c r="Q178" s="41"/>
      <c r="R178" s="41"/>
      <c r="S178" s="41"/>
      <c r="T178" s="41"/>
    </row>
    <row r="179" spans="1:20" x14ac:dyDescent="0.2">
      <c r="A179" s="41"/>
      <c r="B179" s="41"/>
      <c r="C179" s="41"/>
      <c r="D179" s="41"/>
      <c r="E179" s="153"/>
      <c r="F179" s="41"/>
      <c r="G179" s="154"/>
      <c r="H179" s="154"/>
      <c r="I179" s="155"/>
      <c r="J179" s="41"/>
      <c r="K179" s="41"/>
      <c r="L179" s="41"/>
      <c r="M179" s="41"/>
      <c r="N179" s="41"/>
      <c r="O179" s="41"/>
      <c r="P179" s="41"/>
      <c r="Q179" s="41"/>
      <c r="R179" s="41"/>
      <c r="S179" s="41"/>
      <c r="T179" s="41"/>
    </row>
    <row r="180" spans="1:20" x14ac:dyDescent="0.2">
      <c r="A180" s="41"/>
      <c r="B180" s="41"/>
      <c r="C180" s="41"/>
      <c r="D180" s="41"/>
      <c r="E180" s="153"/>
      <c r="F180" s="41"/>
      <c r="G180" s="154"/>
      <c r="H180" s="154"/>
      <c r="I180" s="155"/>
      <c r="J180" s="41"/>
      <c r="K180" s="41"/>
      <c r="L180" s="41"/>
      <c r="M180" s="41"/>
      <c r="N180" s="41"/>
      <c r="O180" s="41"/>
      <c r="P180" s="41"/>
      <c r="Q180" s="41"/>
      <c r="R180" s="41"/>
      <c r="S180" s="41"/>
      <c r="T180" s="41"/>
    </row>
    <row r="181" spans="1:20" x14ac:dyDescent="0.2">
      <c r="A181" s="41"/>
      <c r="B181" s="41"/>
      <c r="C181" s="41"/>
      <c r="D181" s="41"/>
      <c r="E181" s="153"/>
      <c r="F181" s="41"/>
      <c r="G181" s="154"/>
      <c r="H181" s="154"/>
      <c r="I181" s="155"/>
      <c r="J181" s="41"/>
      <c r="K181" s="41"/>
      <c r="L181" s="41"/>
      <c r="M181" s="41"/>
      <c r="N181" s="41"/>
      <c r="O181" s="41"/>
      <c r="P181" s="41"/>
      <c r="Q181" s="41"/>
      <c r="R181" s="41"/>
      <c r="S181" s="41"/>
      <c r="T181" s="41"/>
    </row>
    <row r="182" spans="1:20" x14ac:dyDescent="0.2">
      <c r="A182" s="41"/>
      <c r="B182" s="41"/>
      <c r="C182" s="41"/>
      <c r="D182" s="41"/>
      <c r="E182" s="153"/>
      <c r="F182" s="41"/>
      <c r="G182" s="154"/>
      <c r="H182" s="154"/>
      <c r="I182" s="155"/>
      <c r="J182" s="41"/>
      <c r="K182" s="41"/>
      <c r="L182" s="41"/>
      <c r="M182" s="41"/>
      <c r="N182" s="41"/>
      <c r="O182" s="41"/>
      <c r="P182" s="41"/>
      <c r="Q182" s="41"/>
      <c r="R182" s="41"/>
      <c r="S182" s="41"/>
      <c r="T182" s="41"/>
    </row>
    <row r="183" spans="1:20" x14ac:dyDescent="0.2">
      <c r="A183" s="41"/>
      <c r="B183" s="41"/>
      <c r="C183" s="41"/>
      <c r="D183" s="41"/>
      <c r="E183" s="153"/>
      <c r="F183" s="41"/>
      <c r="G183" s="154"/>
      <c r="H183" s="154"/>
      <c r="I183" s="155"/>
      <c r="J183" s="41"/>
      <c r="K183" s="41"/>
      <c r="L183" s="41"/>
      <c r="M183" s="41"/>
      <c r="N183" s="41"/>
      <c r="O183" s="41"/>
      <c r="P183" s="41"/>
      <c r="Q183" s="41"/>
      <c r="R183" s="41"/>
      <c r="S183" s="41"/>
      <c r="T183" s="41"/>
    </row>
    <row r="184" spans="1:20" x14ac:dyDescent="0.2">
      <c r="A184" s="41"/>
      <c r="B184" s="41"/>
      <c r="C184" s="41"/>
      <c r="D184" s="41"/>
      <c r="E184" s="153"/>
      <c r="F184" s="41"/>
      <c r="G184" s="154"/>
      <c r="H184" s="154"/>
      <c r="I184" s="155"/>
      <c r="J184" s="41"/>
      <c r="K184" s="41"/>
      <c r="L184" s="41"/>
      <c r="M184" s="41"/>
      <c r="N184" s="41"/>
      <c r="O184" s="41"/>
      <c r="P184" s="41"/>
      <c r="Q184" s="41"/>
      <c r="R184" s="41"/>
      <c r="S184" s="41"/>
      <c r="T184" s="41"/>
    </row>
    <row r="185" spans="1:20" x14ac:dyDescent="0.2">
      <c r="A185" s="41"/>
      <c r="B185" s="41"/>
      <c r="C185" s="41"/>
      <c r="D185" s="41"/>
      <c r="E185" s="153"/>
      <c r="F185" s="41"/>
      <c r="G185" s="154"/>
      <c r="H185" s="154"/>
      <c r="I185" s="155"/>
      <c r="J185" s="41"/>
      <c r="K185" s="41"/>
      <c r="L185" s="41"/>
      <c r="M185" s="41"/>
      <c r="N185" s="41"/>
      <c r="O185" s="41"/>
      <c r="P185" s="41"/>
      <c r="Q185" s="41"/>
      <c r="R185" s="41"/>
      <c r="S185" s="41"/>
      <c r="T185" s="41"/>
    </row>
    <row r="186" spans="1:20" x14ac:dyDescent="0.2">
      <c r="A186" s="41"/>
      <c r="B186" s="41"/>
      <c r="C186" s="41"/>
      <c r="D186" s="41"/>
      <c r="E186" s="153"/>
      <c r="F186" s="41"/>
      <c r="G186" s="154"/>
      <c r="H186" s="154"/>
      <c r="I186" s="155"/>
      <c r="J186" s="41"/>
      <c r="K186" s="41"/>
      <c r="L186" s="41"/>
      <c r="M186" s="41"/>
      <c r="N186" s="41"/>
      <c r="O186" s="41"/>
      <c r="P186" s="41"/>
      <c r="Q186" s="41"/>
      <c r="R186" s="41"/>
      <c r="S186" s="41"/>
      <c r="T186" s="41"/>
    </row>
    <row r="187" spans="1:20" x14ac:dyDescent="0.2">
      <c r="A187" s="41"/>
      <c r="B187" s="41"/>
      <c r="C187" s="41"/>
      <c r="D187" s="41"/>
      <c r="E187" s="153"/>
      <c r="F187" s="41"/>
      <c r="G187" s="154"/>
      <c r="H187" s="154"/>
      <c r="I187" s="155"/>
      <c r="J187" s="41"/>
      <c r="K187" s="41"/>
      <c r="L187" s="41"/>
      <c r="M187" s="41"/>
      <c r="N187" s="41"/>
      <c r="O187" s="41"/>
      <c r="P187" s="41"/>
      <c r="Q187" s="41"/>
      <c r="R187" s="41"/>
      <c r="S187" s="41"/>
      <c r="T187" s="41"/>
    </row>
    <row r="188" spans="1:20" x14ac:dyDescent="0.2">
      <c r="A188" s="41"/>
      <c r="B188" s="41"/>
      <c r="C188" s="41"/>
      <c r="D188" s="41"/>
      <c r="E188" s="153"/>
      <c r="F188" s="41"/>
      <c r="G188" s="154"/>
      <c r="H188" s="154"/>
      <c r="I188" s="155"/>
      <c r="J188" s="41"/>
      <c r="K188" s="41"/>
      <c r="L188" s="41"/>
      <c r="M188" s="41"/>
      <c r="N188" s="41"/>
      <c r="O188" s="41"/>
      <c r="P188" s="41"/>
      <c r="Q188" s="41"/>
      <c r="R188" s="41"/>
      <c r="S188" s="41"/>
      <c r="T188" s="41"/>
    </row>
    <row r="189" spans="1:20" x14ac:dyDescent="0.2">
      <c r="A189" s="41"/>
      <c r="B189" s="41"/>
      <c r="C189" s="41"/>
      <c r="D189" s="41"/>
      <c r="E189" s="153"/>
      <c r="F189" s="41"/>
      <c r="G189" s="154"/>
      <c r="H189" s="154"/>
      <c r="I189" s="155"/>
      <c r="J189" s="41"/>
      <c r="K189" s="41"/>
      <c r="L189" s="41"/>
      <c r="M189" s="41"/>
      <c r="N189" s="41"/>
      <c r="O189" s="41"/>
      <c r="P189" s="41"/>
      <c r="Q189" s="41"/>
      <c r="R189" s="41"/>
      <c r="S189" s="41"/>
      <c r="T189" s="41"/>
    </row>
    <row r="190" spans="1:20" x14ac:dyDescent="0.2">
      <c r="A190" s="41"/>
      <c r="B190" s="41"/>
      <c r="C190" s="41"/>
      <c r="D190" s="41"/>
      <c r="E190" s="153"/>
      <c r="F190" s="41"/>
      <c r="G190" s="154"/>
      <c r="H190" s="154"/>
      <c r="I190" s="155"/>
      <c r="J190" s="41"/>
      <c r="K190" s="41"/>
      <c r="L190" s="41"/>
      <c r="M190" s="41"/>
      <c r="N190" s="41"/>
      <c r="O190" s="41"/>
      <c r="P190" s="41"/>
      <c r="Q190" s="41"/>
      <c r="R190" s="41"/>
      <c r="S190" s="41"/>
      <c r="T190" s="41"/>
    </row>
    <row r="191" spans="1:20" x14ac:dyDescent="0.2">
      <c r="A191" s="41"/>
      <c r="B191" s="41"/>
      <c r="C191" s="41"/>
      <c r="D191" s="41"/>
      <c r="E191" s="153"/>
      <c r="F191" s="41"/>
      <c r="G191" s="154"/>
      <c r="H191" s="154"/>
      <c r="I191" s="155"/>
      <c r="J191" s="41"/>
      <c r="K191" s="41"/>
      <c r="L191" s="41"/>
      <c r="M191" s="41"/>
      <c r="N191" s="41"/>
      <c r="O191" s="41"/>
      <c r="P191" s="41"/>
      <c r="Q191" s="41"/>
      <c r="R191" s="41"/>
      <c r="S191" s="41"/>
      <c r="T191" s="41"/>
    </row>
    <row r="192" spans="1:20" x14ac:dyDescent="0.2">
      <c r="A192" s="41"/>
      <c r="B192" s="41"/>
      <c r="C192" s="41"/>
      <c r="D192" s="41"/>
      <c r="E192" s="153"/>
      <c r="F192" s="41"/>
      <c r="G192" s="154"/>
      <c r="H192" s="154"/>
      <c r="I192" s="155"/>
      <c r="J192" s="41"/>
      <c r="K192" s="41"/>
      <c r="L192" s="41"/>
      <c r="M192" s="41"/>
      <c r="N192" s="41"/>
      <c r="O192" s="41"/>
      <c r="P192" s="41"/>
      <c r="Q192" s="41"/>
      <c r="R192" s="41"/>
      <c r="S192" s="41"/>
      <c r="T192" s="41"/>
    </row>
    <row r="193" spans="1:20" x14ac:dyDescent="0.2">
      <c r="A193" s="41"/>
      <c r="B193" s="41"/>
      <c r="C193" s="41"/>
      <c r="D193" s="41"/>
      <c r="E193" s="153"/>
      <c r="F193" s="41"/>
      <c r="G193" s="154"/>
      <c r="H193" s="154"/>
      <c r="I193" s="155"/>
      <c r="J193" s="41"/>
      <c r="K193" s="41"/>
      <c r="L193" s="41"/>
      <c r="M193" s="41"/>
      <c r="N193" s="41"/>
      <c r="O193" s="41"/>
      <c r="P193" s="41"/>
      <c r="Q193" s="41"/>
      <c r="R193" s="41"/>
      <c r="S193" s="41"/>
      <c r="T193" s="41"/>
    </row>
    <row r="194" spans="1:20" x14ac:dyDescent="0.2">
      <c r="A194" s="41"/>
      <c r="B194" s="41"/>
      <c r="C194" s="41"/>
      <c r="D194" s="41"/>
      <c r="E194" s="153"/>
      <c r="F194" s="41"/>
      <c r="G194" s="154"/>
      <c r="H194" s="154"/>
      <c r="I194" s="155"/>
      <c r="J194" s="41"/>
      <c r="K194" s="41"/>
      <c r="L194" s="41"/>
      <c r="M194" s="41"/>
      <c r="N194" s="41"/>
      <c r="O194" s="41"/>
      <c r="P194" s="41"/>
      <c r="Q194" s="41"/>
      <c r="R194" s="41"/>
      <c r="S194" s="41"/>
      <c r="T194" s="41"/>
    </row>
    <row r="195" spans="1:20" x14ac:dyDescent="0.2">
      <c r="A195" s="41"/>
      <c r="B195" s="41"/>
      <c r="C195" s="41"/>
      <c r="D195" s="41"/>
      <c r="E195" s="153"/>
      <c r="F195" s="41"/>
      <c r="G195" s="154"/>
      <c r="H195" s="154"/>
      <c r="I195" s="155"/>
      <c r="J195" s="41"/>
      <c r="K195" s="41"/>
      <c r="L195" s="41"/>
      <c r="M195" s="41"/>
      <c r="N195" s="41"/>
      <c r="O195" s="41"/>
      <c r="P195" s="41"/>
      <c r="Q195" s="41"/>
      <c r="R195" s="41"/>
      <c r="S195" s="41"/>
      <c r="T195" s="41"/>
    </row>
    <row r="196" spans="1:20" x14ac:dyDescent="0.2">
      <c r="A196" s="41"/>
      <c r="B196" s="41"/>
      <c r="C196" s="41"/>
      <c r="D196" s="41"/>
      <c r="E196" s="153"/>
      <c r="F196" s="41"/>
      <c r="G196" s="154"/>
      <c r="H196" s="154"/>
      <c r="I196" s="155"/>
      <c r="J196" s="41"/>
      <c r="K196" s="41"/>
      <c r="L196" s="41"/>
      <c r="M196" s="41"/>
      <c r="N196" s="41"/>
      <c r="O196" s="41"/>
      <c r="P196" s="41"/>
      <c r="Q196" s="41"/>
      <c r="R196" s="41"/>
      <c r="S196" s="41"/>
      <c r="T196" s="41"/>
    </row>
    <row r="197" spans="1:20" x14ac:dyDescent="0.2">
      <c r="A197" s="41"/>
      <c r="B197" s="41"/>
      <c r="C197" s="41"/>
      <c r="D197" s="41"/>
      <c r="E197" s="153"/>
      <c r="F197" s="41"/>
      <c r="G197" s="154"/>
      <c r="H197" s="154"/>
      <c r="I197" s="155"/>
      <c r="J197" s="41"/>
      <c r="K197" s="41"/>
      <c r="L197" s="41"/>
      <c r="M197" s="41"/>
      <c r="N197" s="41"/>
      <c r="O197" s="41"/>
      <c r="P197" s="41"/>
      <c r="Q197" s="41"/>
      <c r="R197" s="41"/>
      <c r="S197" s="41"/>
      <c r="T197" s="41"/>
    </row>
    <row r="198" spans="1:20" x14ac:dyDescent="0.2">
      <c r="A198" s="41"/>
      <c r="B198" s="41"/>
      <c r="C198" s="41"/>
      <c r="D198" s="41"/>
      <c r="E198" s="153"/>
      <c r="F198" s="41"/>
      <c r="G198" s="154"/>
      <c r="H198" s="154"/>
      <c r="I198" s="155"/>
      <c r="J198" s="41"/>
      <c r="K198" s="41"/>
      <c r="L198" s="41"/>
      <c r="M198" s="41"/>
      <c r="N198" s="41"/>
      <c r="O198" s="41"/>
      <c r="P198" s="41"/>
      <c r="Q198" s="41"/>
      <c r="R198" s="41"/>
      <c r="S198" s="41"/>
      <c r="T198" s="41"/>
    </row>
    <row r="199" spans="1:20" x14ac:dyDescent="0.2">
      <c r="A199" s="41"/>
      <c r="B199" s="41"/>
      <c r="C199" s="41"/>
      <c r="D199" s="41"/>
      <c r="E199" s="153"/>
      <c r="F199" s="41"/>
      <c r="G199" s="154"/>
      <c r="H199" s="154"/>
      <c r="I199" s="155"/>
      <c r="J199" s="41"/>
      <c r="K199" s="41"/>
      <c r="L199" s="41"/>
      <c r="M199" s="41"/>
      <c r="N199" s="41"/>
      <c r="O199" s="41"/>
      <c r="P199" s="41"/>
      <c r="Q199" s="41"/>
      <c r="R199" s="41"/>
      <c r="S199" s="41"/>
      <c r="T199" s="41"/>
    </row>
    <row r="200" spans="1:20" x14ac:dyDescent="0.2">
      <c r="A200" s="41"/>
      <c r="B200" s="41"/>
      <c r="C200" s="41"/>
      <c r="D200" s="41"/>
      <c r="E200" s="153"/>
      <c r="F200" s="41"/>
      <c r="G200" s="154"/>
      <c r="H200" s="154"/>
      <c r="I200" s="155"/>
      <c r="J200" s="41"/>
      <c r="K200" s="41"/>
      <c r="L200" s="41"/>
      <c r="M200" s="41"/>
      <c r="N200" s="41"/>
      <c r="O200" s="41"/>
      <c r="P200" s="41"/>
      <c r="Q200" s="41"/>
      <c r="R200" s="41"/>
      <c r="S200" s="41"/>
      <c r="T200" s="41"/>
    </row>
    <row r="201" spans="1:20" x14ac:dyDescent="0.2">
      <c r="A201" s="41"/>
      <c r="B201" s="41"/>
      <c r="C201" s="41"/>
      <c r="D201" s="41"/>
      <c r="E201" s="153"/>
      <c r="F201" s="41"/>
      <c r="G201" s="154"/>
      <c r="H201" s="154"/>
      <c r="I201" s="155"/>
      <c r="J201" s="41"/>
      <c r="K201" s="41"/>
      <c r="L201" s="41"/>
      <c r="M201" s="41"/>
      <c r="N201" s="41"/>
      <c r="O201" s="41"/>
      <c r="P201" s="41"/>
      <c r="Q201" s="41"/>
      <c r="R201" s="41"/>
      <c r="S201" s="41"/>
      <c r="T201" s="41"/>
    </row>
    <row r="202" spans="1:20" x14ac:dyDescent="0.2">
      <c r="A202" s="41"/>
      <c r="B202" s="41"/>
      <c r="C202" s="41"/>
      <c r="D202" s="41"/>
      <c r="E202" s="153"/>
      <c r="F202" s="41"/>
      <c r="G202" s="154"/>
      <c r="H202" s="154"/>
      <c r="I202" s="155"/>
      <c r="J202" s="41"/>
      <c r="K202" s="41"/>
      <c r="L202" s="41"/>
      <c r="M202" s="41"/>
      <c r="N202" s="41"/>
      <c r="O202" s="41"/>
      <c r="P202" s="41"/>
      <c r="Q202" s="41"/>
      <c r="R202" s="41"/>
      <c r="S202" s="41"/>
      <c r="T202" s="41"/>
    </row>
    <row r="203" spans="1:20" x14ac:dyDescent="0.2">
      <c r="A203" s="41"/>
      <c r="B203" s="41"/>
      <c r="C203" s="41"/>
      <c r="D203" s="41"/>
      <c r="E203" s="153"/>
      <c r="F203" s="41"/>
      <c r="G203" s="154"/>
      <c r="H203" s="154"/>
      <c r="I203" s="155"/>
      <c r="J203" s="41"/>
      <c r="K203" s="41"/>
      <c r="L203" s="41"/>
      <c r="M203" s="41"/>
      <c r="N203" s="41"/>
      <c r="O203" s="41"/>
      <c r="P203" s="41"/>
      <c r="Q203" s="41"/>
      <c r="R203" s="41"/>
      <c r="S203" s="41"/>
      <c r="T203" s="41"/>
    </row>
    <row r="204" spans="1:20" x14ac:dyDescent="0.2">
      <c r="A204" s="41"/>
      <c r="B204" s="41"/>
      <c r="C204" s="41"/>
      <c r="D204" s="41"/>
      <c r="E204" s="153"/>
      <c r="F204" s="41"/>
      <c r="G204" s="154"/>
      <c r="H204" s="154"/>
      <c r="I204" s="155"/>
      <c r="J204" s="41"/>
      <c r="K204" s="41"/>
      <c r="L204" s="41"/>
      <c r="M204" s="41"/>
      <c r="N204" s="41"/>
      <c r="O204" s="41"/>
      <c r="P204" s="41"/>
      <c r="Q204" s="41"/>
      <c r="R204" s="41"/>
      <c r="S204" s="41"/>
      <c r="T204" s="41"/>
    </row>
    <row r="205" spans="1:20" x14ac:dyDescent="0.2">
      <c r="A205" s="41"/>
      <c r="B205" s="41"/>
      <c r="C205" s="41"/>
      <c r="D205" s="41"/>
      <c r="E205" s="153"/>
      <c r="F205" s="41"/>
      <c r="G205" s="154"/>
      <c r="H205" s="154"/>
      <c r="I205" s="155"/>
      <c r="J205" s="41"/>
      <c r="K205" s="41"/>
      <c r="L205" s="41"/>
      <c r="M205" s="41"/>
      <c r="N205" s="41"/>
      <c r="O205" s="41"/>
      <c r="P205" s="41"/>
      <c r="Q205" s="41"/>
      <c r="R205" s="41"/>
      <c r="S205" s="41"/>
      <c r="T205" s="41"/>
    </row>
    <row r="206" spans="1:20" x14ac:dyDescent="0.2">
      <c r="A206" s="41"/>
      <c r="B206" s="41"/>
      <c r="C206" s="41"/>
      <c r="D206" s="41"/>
      <c r="E206" s="153"/>
      <c r="F206" s="41"/>
      <c r="G206" s="154"/>
      <c r="H206" s="154"/>
      <c r="I206" s="155"/>
      <c r="J206" s="41"/>
      <c r="K206" s="41"/>
      <c r="L206" s="41"/>
      <c r="M206" s="41"/>
      <c r="N206" s="41"/>
      <c r="O206" s="41"/>
      <c r="P206" s="41"/>
      <c r="Q206" s="41"/>
      <c r="R206" s="41"/>
      <c r="S206" s="41"/>
      <c r="T206" s="41"/>
    </row>
    <row r="207" spans="1:20" x14ac:dyDescent="0.2">
      <c r="A207" s="41"/>
      <c r="B207" s="41"/>
      <c r="C207" s="41"/>
      <c r="D207" s="41"/>
      <c r="E207" s="153"/>
      <c r="F207" s="41"/>
      <c r="G207" s="154"/>
      <c r="H207" s="154"/>
      <c r="I207" s="155"/>
      <c r="J207" s="41"/>
      <c r="K207" s="41"/>
      <c r="L207" s="41"/>
      <c r="M207" s="41"/>
      <c r="N207" s="41"/>
      <c r="O207" s="41"/>
      <c r="P207" s="41"/>
      <c r="Q207" s="41"/>
      <c r="R207" s="41"/>
      <c r="S207" s="41"/>
      <c r="T207" s="41"/>
    </row>
    <row r="208" spans="1:20" x14ac:dyDescent="0.2">
      <c r="A208" s="41"/>
      <c r="B208" s="41"/>
      <c r="C208" s="41"/>
      <c r="D208" s="41"/>
      <c r="E208" s="153"/>
      <c r="F208" s="41"/>
      <c r="G208" s="154"/>
      <c r="H208" s="154"/>
      <c r="I208" s="155"/>
      <c r="J208" s="41"/>
      <c r="K208" s="41"/>
      <c r="L208" s="41"/>
      <c r="M208" s="41"/>
      <c r="N208" s="41"/>
      <c r="O208" s="41"/>
      <c r="P208" s="41"/>
      <c r="Q208" s="41"/>
      <c r="R208" s="41"/>
      <c r="S208" s="41"/>
      <c r="T208" s="41"/>
    </row>
    <row r="209" spans="1:20" x14ac:dyDescent="0.2">
      <c r="A209" s="41"/>
      <c r="B209" s="41"/>
      <c r="C209" s="41"/>
      <c r="D209" s="41"/>
      <c r="E209" s="153"/>
      <c r="F209" s="41"/>
      <c r="G209" s="154"/>
      <c r="H209" s="154"/>
      <c r="I209" s="155"/>
      <c r="J209" s="41"/>
      <c r="K209" s="41"/>
      <c r="L209" s="41"/>
      <c r="M209" s="41"/>
      <c r="N209" s="41"/>
      <c r="O209" s="41"/>
      <c r="P209" s="41"/>
      <c r="Q209" s="41"/>
      <c r="R209" s="41"/>
      <c r="S209" s="41"/>
      <c r="T209" s="41"/>
    </row>
    <row r="210" spans="1:20" x14ac:dyDescent="0.2">
      <c r="A210" s="41"/>
      <c r="B210" s="41"/>
      <c r="C210" s="41"/>
      <c r="D210" s="41"/>
      <c r="E210" s="153"/>
      <c r="F210" s="41"/>
      <c r="G210" s="154"/>
      <c r="H210" s="154"/>
      <c r="I210" s="155"/>
      <c r="J210" s="41"/>
      <c r="K210" s="41"/>
      <c r="L210" s="41"/>
      <c r="M210" s="41"/>
      <c r="N210" s="41"/>
      <c r="O210" s="41"/>
      <c r="P210" s="41"/>
      <c r="Q210" s="41"/>
      <c r="R210" s="41"/>
      <c r="S210" s="41"/>
      <c r="T210" s="41"/>
    </row>
    <row r="211" spans="1:20" x14ac:dyDescent="0.2">
      <c r="A211" s="41"/>
      <c r="B211" s="41"/>
      <c r="C211" s="41"/>
      <c r="D211" s="41"/>
      <c r="E211" s="153"/>
      <c r="F211" s="41"/>
      <c r="G211" s="154"/>
      <c r="H211" s="154"/>
      <c r="I211" s="155"/>
      <c r="J211" s="41"/>
      <c r="K211" s="41"/>
      <c r="L211" s="41"/>
      <c r="M211" s="41"/>
      <c r="N211" s="41"/>
      <c r="O211" s="41"/>
      <c r="P211" s="41"/>
      <c r="Q211" s="41"/>
      <c r="R211" s="41"/>
      <c r="S211" s="41"/>
      <c r="T211" s="41"/>
    </row>
    <row r="212" spans="1:20" x14ac:dyDescent="0.2">
      <c r="A212" s="41"/>
      <c r="B212" s="41"/>
      <c r="C212" s="41"/>
      <c r="D212" s="41"/>
      <c r="E212" s="153"/>
      <c r="F212" s="41"/>
      <c r="G212" s="154"/>
      <c r="H212" s="154"/>
      <c r="I212" s="155"/>
      <c r="J212" s="41"/>
      <c r="K212" s="41"/>
      <c r="L212" s="41"/>
      <c r="M212" s="41"/>
      <c r="N212" s="41"/>
      <c r="O212" s="41"/>
      <c r="P212" s="41"/>
      <c r="Q212" s="41"/>
      <c r="R212" s="41"/>
      <c r="S212" s="41"/>
      <c r="T212" s="41"/>
    </row>
    <row r="213" spans="1:20" x14ac:dyDescent="0.2">
      <c r="A213" s="41"/>
      <c r="B213" s="41"/>
      <c r="C213" s="41"/>
      <c r="D213" s="41"/>
      <c r="E213" s="153"/>
      <c r="F213" s="41"/>
      <c r="G213" s="154"/>
      <c r="H213" s="154"/>
      <c r="I213" s="155"/>
      <c r="J213" s="41"/>
      <c r="K213" s="41"/>
      <c r="L213" s="41"/>
      <c r="M213" s="41"/>
      <c r="N213" s="41"/>
      <c r="O213" s="41"/>
      <c r="P213" s="41"/>
      <c r="Q213" s="41"/>
      <c r="R213" s="41"/>
      <c r="S213" s="41"/>
      <c r="T213" s="41"/>
    </row>
    <row r="214" spans="1:20" x14ac:dyDescent="0.2">
      <c r="A214" s="41"/>
      <c r="B214" s="41"/>
      <c r="C214" s="41"/>
      <c r="D214" s="41"/>
      <c r="E214" s="153"/>
      <c r="F214" s="41"/>
      <c r="G214" s="154"/>
      <c r="H214" s="154"/>
      <c r="I214" s="155"/>
      <c r="J214" s="41"/>
      <c r="K214" s="41"/>
      <c r="L214" s="41"/>
      <c r="M214" s="41"/>
      <c r="N214" s="41"/>
      <c r="O214" s="41"/>
      <c r="P214" s="41"/>
      <c r="Q214" s="41"/>
      <c r="R214" s="41"/>
      <c r="S214" s="41"/>
      <c r="T214" s="41"/>
    </row>
    <row r="215" spans="1:20" x14ac:dyDescent="0.2">
      <c r="A215" s="41"/>
      <c r="B215" s="41"/>
      <c r="C215" s="41"/>
      <c r="D215" s="41"/>
      <c r="E215" s="153"/>
      <c r="F215" s="41"/>
      <c r="G215" s="154"/>
      <c r="H215" s="154"/>
      <c r="I215" s="155"/>
      <c r="J215" s="41"/>
      <c r="K215" s="41"/>
      <c r="L215" s="41"/>
      <c r="M215" s="41"/>
      <c r="N215" s="41"/>
      <c r="O215" s="41"/>
      <c r="P215" s="41"/>
      <c r="Q215" s="41"/>
      <c r="R215" s="41"/>
      <c r="S215" s="41"/>
      <c r="T215" s="41"/>
    </row>
    <row r="216" spans="1:20" x14ac:dyDescent="0.2">
      <c r="A216" s="41"/>
      <c r="B216" s="41"/>
      <c r="C216" s="41"/>
      <c r="D216" s="41"/>
      <c r="E216" s="153"/>
      <c r="F216" s="41"/>
      <c r="G216" s="154"/>
      <c r="H216" s="154"/>
      <c r="I216" s="155"/>
      <c r="J216" s="41"/>
      <c r="K216" s="41"/>
      <c r="L216" s="41"/>
      <c r="M216" s="41"/>
      <c r="N216" s="41"/>
      <c r="O216" s="41"/>
      <c r="P216" s="41"/>
      <c r="Q216" s="41"/>
      <c r="R216" s="41"/>
      <c r="S216" s="41"/>
      <c r="T216" s="41"/>
    </row>
    <row r="217" spans="1:20" x14ac:dyDescent="0.2">
      <c r="A217" s="41"/>
      <c r="B217" s="41"/>
      <c r="C217" s="41"/>
      <c r="D217" s="41"/>
      <c r="E217" s="153"/>
      <c r="F217" s="41"/>
      <c r="G217" s="154"/>
      <c r="H217" s="154"/>
      <c r="I217" s="155"/>
      <c r="J217" s="41"/>
      <c r="K217" s="41"/>
      <c r="L217" s="41"/>
      <c r="M217" s="41"/>
      <c r="N217" s="41"/>
      <c r="O217" s="41"/>
      <c r="P217" s="41"/>
      <c r="Q217" s="41"/>
      <c r="R217" s="41"/>
      <c r="S217" s="41"/>
      <c r="T217" s="41"/>
    </row>
    <row r="218" spans="1:20" x14ac:dyDescent="0.2">
      <c r="A218" s="41"/>
      <c r="B218" s="41"/>
      <c r="C218" s="41"/>
      <c r="D218" s="41"/>
      <c r="E218" s="153"/>
      <c r="F218" s="41"/>
      <c r="G218" s="154"/>
      <c r="H218" s="154"/>
      <c r="I218" s="155"/>
      <c r="J218" s="41"/>
      <c r="K218" s="41"/>
      <c r="L218" s="41"/>
      <c r="M218" s="41"/>
      <c r="N218" s="41"/>
      <c r="O218" s="41"/>
      <c r="P218" s="41"/>
      <c r="Q218" s="41"/>
      <c r="R218" s="41"/>
      <c r="S218" s="41"/>
      <c r="T218" s="41"/>
    </row>
    <row r="219" spans="1:20" x14ac:dyDescent="0.2">
      <c r="A219" s="41"/>
      <c r="B219" s="41"/>
      <c r="C219" s="41"/>
      <c r="D219" s="41"/>
      <c r="E219" s="153"/>
      <c r="F219" s="41"/>
      <c r="G219" s="154"/>
      <c r="H219" s="154"/>
      <c r="I219" s="155"/>
      <c r="J219" s="41"/>
      <c r="K219" s="41"/>
      <c r="L219" s="41"/>
      <c r="M219" s="41"/>
      <c r="N219" s="41"/>
      <c r="O219" s="41"/>
      <c r="P219" s="41"/>
      <c r="Q219" s="41"/>
      <c r="R219" s="41"/>
      <c r="S219" s="41"/>
      <c r="T219" s="41"/>
    </row>
    <row r="220" spans="1:20" x14ac:dyDescent="0.2">
      <c r="A220" s="41"/>
      <c r="B220" s="41"/>
      <c r="C220" s="41"/>
      <c r="D220" s="41"/>
      <c r="E220" s="153"/>
      <c r="F220" s="41"/>
      <c r="G220" s="154"/>
      <c r="H220" s="154"/>
      <c r="I220" s="155"/>
      <c r="J220" s="41"/>
      <c r="K220" s="41"/>
      <c r="L220" s="41"/>
      <c r="M220" s="41"/>
      <c r="N220" s="41"/>
      <c r="O220" s="41"/>
      <c r="P220" s="41"/>
      <c r="Q220" s="41"/>
      <c r="R220" s="41"/>
      <c r="S220" s="41"/>
      <c r="T220" s="41"/>
    </row>
    <row r="221" spans="1:20" x14ac:dyDescent="0.2">
      <c r="A221" s="41"/>
      <c r="B221" s="41"/>
      <c r="C221" s="41"/>
      <c r="D221" s="41"/>
      <c r="E221" s="153"/>
      <c r="F221" s="41"/>
      <c r="G221" s="154"/>
      <c r="H221" s="154"/>
      <c r="I221" s="155"/>
      <c r="J221" s="41"/>
      <c r="K221" s="41"/>
      <c r="L221" s="41"/>
      <c r="M221" s="41"/>
      <c r="N221" s="41"/>
      <c r="O221" s="41"/>
      <c r="P221" s="41"/>
      <c r="Q221" s="41"/>
      <c r="R221" s="41"/>
      <c r="S221" s="41"/>
      <c r="T221" s="41"/>
    </row>
    <row r="222" spans="1:20" x14ac:dyDescent="0.2">
      <c r="A222" s="41"/>
      <c r="B222" s="41"/>
      <c r="C222" s="41"/>
      <c r="D222" s="41"/>
      <c r="E222" s="153"/>
      <c r="F222" s="41"/>
      <c r="G222" s="154"/>
      <c r="H222" s="154"/>
      <c r="I222" s="155"/>
      <c r="J222" s="41"/>
      <c r="K222" s="41"/>
      <c r="L222" s="41"/>
      <c r="M222" s="41"/>
      <c r="N222" s="41"/>
      <c r="O222" s="41"/>
      <c r="P222" s="41"/>
      <c r="Q222" s="41"/>
      <c r="R222" s="41"/>
      <c r="S222" s="41"/>
      <c r="T222" s="41"/>
    </row>
    <row r="223" spans="1:20" x14ac:dyDescent="0.2">
      <c r="A223" s="41"/>
      <c r="B223" s="41"/>
      <c r="C223" s="41"/>
      <c r="D223" s="41"/>
      <c r="E223" s="153"/>
      <c r="F223" s="41"/>
      <c r="G223" s="154"/>
      <c r="H223" s="154"/>
      <c r="I223" s="155"/>
      <c r="J223" s="41"/>
      <c r="K223" s="41"/>
      <c r="L223" s="41"/>
      <c r="M223" s="41"/>
      <c r="N223" s="41"/>
      <c r="O223" s="41"/>
      <c r="P223" s="41"/>
      <c r="Q223" s="41"/>
      <c r="R223" s="41"/>
      <c r="S223" s="41"/>
      <c r="T223" s="41"/>
    </row>
    <row r="224" spans="1:20" x14ac:dyDescent="0.2">
      <c r="A224" s="41"/>
      <c r="B224" s="41"/>
      <c r="C224" s="41"/>
      <c r="D224" s="41"/>
      <c r="E224" s="153"/>
      <c r="F224" s="41"/>
      <c r="G224" s="154"/>
      <c r="H224" s="154"/>
      <c r="I224" s="155"/>
      <c r="J224" s="41"/>
      <c r="K224" s="41"/>
      <c r="L224" s="41"/>
      <c r="M224" s="41"/>
      <c r="N224" s="41"/>
      <c r="O224" s="41"/>
      <c r="P224" s="41"/>
      <c r="Q224" s="41"/>
      <c r="R224" s="41"/>
      <c r="S224" s="41"/>
      <c r="T224" s="41"/>
    </row>
    <row r="225" spans="1:20" x14ac:dyDescent="0.2">
      <c r="A225" s="41"/>
      <c r="B225" s="41"/>
      <c r="C225" s="41"/>
      <c r="D225" s="41"/>
      <c r="E225" s="153"/>
      <c r="F225" s="41"/>
      <c r="G225" s="154"/>
      <c r="H225" s="154"/>
      <c r="I225" s="155"/>
      <c r="J225" s="41"/>
      <c r="K225" s="41"/>
      <c r="L225" s="41"/>
      <c r="M225" s="41"/>
      <c r="N225" s="41"/>
      <c r="O225" s="41"/>
      <c r="P225" s="41"/>
      <c r="Q225" s="41"/>
      <c r="R225" s="41"/>
      <c r="S225" s="41"/>
      <c r="T225" s="41"/>
    </row>
    <row r="226" spans="1:20" x14ac:dyDescent="0.2">
      <c r="A226" s="41"/>
      <c r="B226" s="41"/>
      <c r="C226" s="41"/>
      <c r="D226" s="41"/>
      <c r="E226" s="153"/>
      <c r="F226" s="41"/>
      <c r="G226" s="154"/>
      <c r="H226" s="154"/>
      <c r="I226" s="155"/>
      <c r="J226" s="41"/>
      <c r="K226" s="41"/>
      <c r="L226" s="41"/>
      <c r="M226" s="41"/>
      <c r="N226" s="41"/>
      <c r="O226" s="41"/>
      <c r="P226" s="41"/>
      <c r="Q226" s="41"/>
      <c r="R226" s="41"/>
      <c r="S226" s="41"/>
      <c r="T226" s="41"/>
    </row>
    <row r="227" spans="1:20" x14ac:dyDescent="0.2">
      <c r="A227" s="41"/>
      <c r="B227" s="41"/>
      <c r="C227" s="41"/>
      <c r="D227" s="41"/>
      <c r="E227" s="153"/>
      <c r="F227" s="41"/>
      <c r="G227" s="154"/>
      <c r="H227" s="154"/>
      <c r="I227" s="155"/>
      <c r="J227" s="41"/>
      <c r="K227" s="41"/>
      <c r="L227" s="41"/>
      <c r="M227" s="41"/>
      <c r="N227" s="41"/>
      <c r="O227" s="41"/>
      <c r="P227" s="41"/>
      <c r="Q227" s="41"/>
      <c r="R227" s="41"/>
      <c r="S227" s="41"/>
      <c r="T227" s="41"/>
    </row>
    <row r="228" spans="1:20" x14ac:dyDescent="0.2">
      <c r="A228" s="41"/>
      <c r="B228" s="41"/>
      <c r="C228" s="41"/>
      <c r="D228" s="41"/>
      <c r="E228" s="153"/>
      <c r="F228" s="41"/>
      <c r="G228" s="154"/>
      <c r="H228" s="154"/>
      <c r="I228" s="155"/>
      <c r="J228" s="41"/>
      <c r="K228" s="41"/>
      <c r="L228" s="41"/>
      <c r="M228" s="41"/>
      <c r="N228" s="41"/>
      <c r="O228" s="41"/>
      <c r="P228" s="41"/>
      <c r="Q228" s="41"/>
      <c r="R228" s="41"/>
      <c r="S228" s="41"/>
      <c r="T228" s="41"/>
    </row>
    <row r="229" spans="1:20" x14ac:dyDescent="0.2">
      <c r="A229" s="41"/>
      <c r="B229" s="41"/>
      <c r="C229" s="41"/>
      <c r="D229" s="41"/>
      <c r="E229" s="153"/>
      <c r="F229" s="41"/>
      <c r="G229" s="154"/>
      <c r="H229" s="154"/>
      <c r="I229" s="155"/>
      <c r="J229" s="41"/>
      <c r="K229" s="41"/>
      <c r="L229" s="41"/>
      <c r="M229" s="41"/>
      <c r="N229" s="41"/>
      <c r="O229" s="41"/>
      <c r="P229" s="41"/>
      <c r="Q229" s="41"/>
      <c r="R229" s="41"/>
      <c r="S229" s="41"/>
      <c r="T229" s="41"/>
    </row>
    <row r="230" spans="1:20" x14ac:dyDescent="0.2">
      <c r="A230" s="41"/>
      <c r="B230" s="41"/>
      <c r="C230" s="41"/>
      <c r="D230" s="41"/>
      <c r="E230" s="153"/>
      <c r="F230" s="41"/>
      <c r="G230" s="154"/>
      <c r="H230" s="154"/>
      <c r="I230" s="155"/>
      <c r="J230" s="41"/>
      <c r="K230" s="41"/>
      <c r="L230" s="41"/>
      <c r="M230" s="41"/>
      <c r="N230" s="41"/>
      <c r="O230" s="41"/>
      <c r="P230" s="41"/>
      <c r="Q230" s="41"/>
      <c r="R230" s="41"/>
      <c r="S230" s="41"/>
      <c r="T230" s="41"/>
    </row>
    <row r="231" spans="1:20" x14ac:dyDescent="0.2">
      <c r="A231" s="41"/>
      <c r="B231" s="41"/>
      <c r="C231" s="41"/>
      <c r="D231" s="41"/>
      <c r="E231" s="153"/>
      <c r="F231" s="41"/>
      <c r="G231" s="154"/>
      <c r="H231" s="154"/>
      <c r="I231" s="155"/>
      <c r="J231" s="41"/>
      <c r="K231" s="41"/>
      <c r="L231" s="41"/>
      <c r="M231" s="41"/>
      <c r="N231" s="41"/>
      <c r="O231" s="41"/>
      <c r="P231" s="41"/>
      <c r="Q231" s="41"/>
      <c r="R231" s="41"/>
      <c r="S231" s="41"/>
      <c r="T231" s="41"/>
    </row>
    <row r="232" spans="1:20" x14ac:dyDescent="0.2">
      <c r="A232" s="41"/>
      <c r="B232" s="41"/>
      <c r="C232" s="41"/>
      <c r="D232" s="41"/>
      <c r="E232" s="153"/>
      <c r="F232" s="41"/>
      <c r="G232" s="154"/>
      <c r="H232" s="154"/>
      <c r="I232" s="155"/>
      <c r="J232" s="41"/>
      <c r="K232" s="41"/>
      <c r="L232" s="41"/>
      <c r="M232" s="41"/>
      <c r="N232" s="41"/>
      <c r="O232" s="41"/>
      <c r="P232" s="41"/>
      <c r="Q232" s="41"/>
      <c r="R232" s="41"/>
      <c r="S232" s="41"/>
      <c r="T232" s="41"/>
    </row>
    <row r="233" spans="1:20" x14ac:dyDescent="0.2">
      <c r="A233" s="41"/>
      <c r="B233" s="41"/>
      <c r="C233" s="41"/>
      <c r="D233" s="41"/>
      <c r="E233" s="153"/>
      <c r="F233" s="41"/>
      <c r="G233" s="154"/>
      <c r="H233" s="154"/>
      <c r="I233" s="155"/>
      <c r="J233" s="41"/>
      <c r="K233" s="41"/>
      <c r="L233" s="41"/>
      <c r="M233" s="41"/>
      <c r="N233" s="41"/>
      <c r="O233" s="41"/>
      <c r="P233" s="41"/>
      <c r="Q233" s="41"/>
      <c r="R233" s="41"/>
      <c r="S233" s="41"/>
      <c r="T233" s="41"/>
    </row>
    <row r="234" spans="1:20" x14ac:dyDescent="0.2">
      <c r="A234" s="41"/>
      <c r="B234" s="41"/>
      <c r="C234" s="41"/>
      <c r="D234" s="41"/>
      <c r="E234" s="153"/>
      <c r="F234" s="41"/>
      <c r="G234" s="154"/>
      <c r="H234" s="154"/>
      <c r="I234" s="155"/>
      <c r="J234" s="41"/>
      <c r="K234" s="41"/>
      <c r="L234" s="41"/>
      <c r="M234" s="41"/>
      <c r="N234" s="41"/>
      <c r="O234" s="41"/>
      <c r="P234" s="41"/>
      <c r="Q234" s="41"/>
      <c r="R234" s="41"/>
      <c r="S234" s="41"/>
      <c r="T234" s="41"/>
    </row>
    <row r="235" spans="1:20" x14ac:dyDescent="0.2">
      <c r="A235" s="41"/>
      <c r="B235" s="41"/>
      <c r="C235" s="41"/>
      <c r="D235" s="41"/>
      <c r="E235" s="153"/>
      <c r="F235" s="41"/>
      <c r="G235" s="154"/>
      <c r="H235" s="154"/>
      <c r="I235" s="155"/>
      <c r="J235" s="41"/>
      <c r="K235" s="41"/>
      <c r="L235" s="41"/>
      <c r="M235" s="41"/>
      <c r="N235" s="41"/>
      <c r="O235" s="41"/>
      <c r="P235" s="41"/>
      <c r="Q235" s="41"/>
      <c r="R235" s="41"/>
      <c r="S235" s="41"/>
      <c r="T235" s="41"/>
    </row>
    <row r="236" spans="1:20" x14ac:dyDescent="0.2">
      <c r="A236" s="41"/>
      <c r="B236" s="41"/>
      <c r="C236" s="41"/>
      <c r="D236" s="41"/>
      <c r="E236" s="153"/>
      <c r="F236" s="41"/>
      <c r="G236" s="154"/>
      <c r="H236" s="154"/>
      <c r="I236" s="155"/>
      <c r="J236" s="41"/>
      <c r="K236" s="41"/>
      <c r="L236" s="41"/>
      <c r="M236" s="41"/>
      <c r="N236" s="41"/>
      <c r="O236" s="41"/>
      <c r="P236" s="41"/>
      <c r="Q236" s="41"/>
      <c r="R236" s="41"/>
      <c r="S236" s="41"/>
      <c r="T236" s="41"/>
    </row>
    <row r="237" spans="1:20" x14ac:dyDescent="0.2">
      <c r="A237" s="41"/>
      <c r="B237" s="41"/>
      <c r="C237" s="41"/>
      <c r="D237" s="41"/>
      <c r="E237" s="153"/>
      <c r="F237" s="41"/>
      <c r="G237" s="154"/>
      <c r="H237" s="154"/>
      <c r="I237" s="155"/>
      <c r="J237" s="41"/>
      <c r="K237" s="41"/>
      <c r="L237" s="41"/>
      <c r="M237" s="41"/>
      <c r="N237" s="41"/>
      <c r="O237" s="41"/>
      <c r="P237" s="41"/>
      <c r="Q237" s="41"/>
      <c r="R237" s="41"/>
      <c r="S237" s="41"/>
      <c r="T237" s="41"/>
    </row>
    <row r="238" spans="1:20" x14ac:dyDescent="0.2">
      <c r="A238" s="41"/>
      <c r="B238" s="41"/>
      <c r="C238" s="41"/>
      <c r="D238" s="41"/>
      <c r="E238" s="153"/>
      <c r="F238" s="41"/>
      <c r="G238" s="154"/>
      <c r="H238" s="154"/>
      <c r="I238" s="155"/>
      <c r="J238" s="41"/>
      <c r="K238" s="41"/>
      <c r="L238" s="41"/>
      <c r="M238" s="41"/>
      <c r="N238" s="41"/>
      <c r="O238" s="41"/>
      <c r="P238" s="41"/>
      <c r="Q238" s="41"/>
      <c r="R238" s="41"/>
      <c r="S238" s="41"/>
      <c r="T238" s="41"/>
    </row>
    <row r="239" spans="1:20" x14ac:dyDescent="0.2">
      <c r="A239" s="41"/>
      <c r="B239" s="41"/>
      <c r="C239" s="41"/>
      <c r="D239" s="41"/>
      <c r="E239" s="153"/>
      <c r="F239" s="41"/>
      <c r="G239" s="154"/>
      <c r="H239" s="154"/>
      <c r="I239" s="155"/>
      <c r="J239" s="41"/>
      <c r="K239" s="41"/>
      <c r="L239" s="41"/>
      <c r="M239" s="41"/>
      <c r="N239" s="41"/>
      <c r="O239" s="41"/>
      <c r="P239" s="41"/>
      <c r="Q239" s="41"/>
      <c r="R239" s="41"/>
      <c r="S239" s="41"/>
      <c r="T239" s="41"/>
    </row>
    <row r="240" spans="1:20" x14ac:dyDescent="0.2">
      <c r="A240" s="41"/>
      <c r="B240" s="41"/>
      <c r="C240" s="41"/>
      <c r="D240" s="41"/>
      <c r="E240" s="153"/>
      <c r="F240" s="41"/>
      <c r="G240" s="154"/>
      <c r="H240" s="154"/>
      <c r="I240" s="155"/>
      <c r="J240" s="41"/>
      <c r="K240" s="41"/>
      <c r="L240" s="41"/>
      <c r="M240" s="41"/>
      <c r="N240" s="41"/>
      <c r="O240" s="41"/>
      <c r="P240" s="41"/>
      <c r="Q240" s="41"/>
      <c r="R240" s="41"/>
      <c r="S240" s="41"/>
      <c r="T240" s="41"/>
    </row>
    <row r="241" spans="1:20" x14ac:dyDescent="0.2">
      <c r="A241" s="41"/>
      <c r="B241" s="41"/>
      <c r="C241" s="41"/>
      <c r="D241" s="41"/>
      <c r="E241" s="153"/>
      <c r="F241" s="41"/>
      <c r="G241" s="154"/>
      <c r="H241" s="154"/>
      <c r="I241" s="155"/>
      <c r="J241" s="41"/>
      <c r="K241" s="41"/>
      <c r="L241" s="41"/>
      <c r="M241" s="41"/>
      <c r="N241" s="41"/>
      <c r="O241" s="41"/>
      <c r="P241" s="41"/>
      <c r="Q241" s="41"/>
      <c r="R241" s="41"/>
      <c r="S241" s="41"/>
      <c r="T241" s="41"/>
    </row>
    <row r="242" spans="1:20" x14ac:dyDescent="0.2">
      <c r="A242" s="41"/>
      <c r="B242" s="41"/>
      <c r="C242" s="41"/>
      <c r="D242" s="41"/>
      <c r="E242" s="153"/>
      <c r="F242" s="41"/>
      <c r="G242" s="154"/>
      <c r="H242" s="154"/>
      <c r="I242" s="155"/>
      <c r="J242" s="41"/>
      <c r="K242" s="41"/>
      <c r="L242" s="41"/>
      <c r="M242" s="41"/>
      <c r="N242" s="41"/>
      <c r="O242" s="41"/>
      <c r="P242" s="41"/>
      <c r="Q242" s="41"/>
      <c r="R242" s="41"/>
      <c r="S242" s="41"/>
      <c r="T242" s="41"/>
    </row>
    <row r="243" spans="1:20" x14ac:dyDescent="0.2">
      <c r="A243" s="41"/>
      <c r="B243" s="41"/>
      <c r="C243" s="41"/>
      <c r="D243" s="41"/>
      <c r="E243" s="153"/>
      <c r="F243" s="41"/>
      <c r="G243" s="154"/>
      <c r="H243" s="154"/>
      <c r="I243" s="155"/>
      <c r="J243" s="41"/>
      <c r="K243" s="41"/>
      <c r="L243" s="41"/>
      <c r="M243" s="41"/>
      <c r="N243" s="41"/>
      <c r="O243" s="41"/>
      <c r="P243" s="41"/>
      <c r="Q243" s="41"/>
      <c r="R243" s="41"/>
      <c r="S243" s="41"/>
      <c r="T243" s="41"/>
    </row>
    <row r="244" spans="1:20" x14ac:dyDescent="0.2">
      <c r="A244" s="41"/>
      <c r="B244" s="41"/>
      <c r="C244" s="41"/>
      <c r="D244" s="41"/>
      <c r="E244" s="153"/>
      <c r="F244" s="41"/>
      <c r="G244" s="154"/>
      <c r="H244" s="154"/>
      <c r="I244" s="155"/>
      <c r="J244" s="41"/>
      <c r="K244" s="41"/>
      <c r="L244" s="41"/>
      <c r="M244" s="41"/>
      <c r="N244" s="41"/>
      <c r="O244" s="41"/>
      <c r="P244" s="41"/>
      <c r="Q244" s="41"/>
      <c r="R244" s="41"/>
      <c r="S244" s="41"/>
      <c r="T244" s="41"/>
    </row>
    <row r="245" spans="1:20" x14ac:dyDescent="0.2">
      <c r="A245" s="41"/>
      <c r="B245" s="41"/>
      <c r="C245" s="41"/>
      <c r="D245" s="41"/>
      <c r="E245" s="153"/>
      <c r="F245" s="41"/>
      <c r="G245" s="154"/>
      <c r="H245" s="154"/>
      <c r="I245" s="155"/>
      <c r="J245" s="41"/>
      <c r="K245" s="41"/>
      <c r="L245" s="41"/>
      <c r="M245" s="41"/>
      <c r="N245" s="41"/>
      <c r="O245" s="41"/>
      <c r="P245" s="41"/>
      <c r="Q245" s="41"/>
      <c r="R245" s="41"/>
      <c r="S245" s="41"/>
      <c r="T245" s="41"/>
    </row>
    <row r="246" spans="1:20" x14ac:dyDescent="0.2">
      <c r="A246" s="41"/>
      <c r="B246" s="41"/>
      <c r="C246" s="41"/>
      <c r="D246" s="41"/>
      <c r="E246" s="153"/>
      <c r="F246" s="41"/>
      <c r="G246" s="154"/>
      <c r="H246" s="154"/>
      <c r="I246" s="155"/>
      <c r="J246" s="41"/>
      <c r="K246" s="41"/>
      <c r="L246" s="41"/>
      <c r="M246" s="41"/>
      <c r="N246" s="41"/>
      <c r="O246" s="41"/>
      <c r="P246" s="41"/>
      <c r="Q246" s="41"/>
      <c r="R246" s="41"/>
      <c r="S246" s="41"/>
      <c r="T246" s="41"/>
    </row>
    <row r="247" spans="1:20" x14ac:dyDescent="0.2">
      <c r="A247" s="41"/>
      <c r="B247" s="41"/>
      <c r="C247" s="41"/>
      <c r="D247" s="41"/>
      <c r="E247" s="153"/>
      <c r="F247" s="41"/>
      <c r="G247" s="154"/>
      <c r="H247" s="154"/>
      <c r="I247" s="155"/>
      <c r="J247" s="41"/>
      <c r="K247" s="41"/>
      <c r="L247" s="41"/>
      <c r="M247" s="41"/>
      <c r="N247" s="41"/>
      <c r="O247" s="41"/>
      <c r="P247" s="41"/>
      <c r="Q247" s="41"/>
      <c r="R247" s="41"/>
      <c r="S247" s="41"/>
      <c r="T247" s="41"/>
    </row>
    <row r="248" spans="1:20" x14ac:dyDescent="0.2">
      <c r="A248" s="41"/>
      <c r="B248" s="41"/>
      <c r="C248" s="41"/>
      <c r="D248" s="41"/>
      <c r="E248" s="153"/>
      <c r="F248" s="41"/>
      <c r="G248" s="154"/>
      <c r="H248" s="154"/>
      <c r="I248" s="155"/>
      <c r="J248" s="41"/>
      <c r="K248" s="41"/>
      <c r="L248" s="41"/>
      <c r="M248" s="41"/>
      <c r="N248" s="41"/>
      <c r="O248" s="41"/>
      <c r="P248" s="41"/>
      <c r="Q248" s="41"/>
      <c r="R248" s="41"/>
      <c r="S248" s="41"/>
      <c r="T248" s="41"/>
    </row>
    <row r="249" spans="1:20" x14ac:dyDescent="0.2">
      <c r="A249" s="41"/>
      <c r="B249" s="41"/>
      <c r="C249" s="41"/>
      <c r="D249" s="41"/>
      <c r="E249" s="153"/>
      <c r="F249" s="41"/>
      <c r="G249" s="154"/>
      <c r="H249" s="154"/>
      <c r="I249" s="155"/>
      <c r="J249" s="41"/>
      <c r="K249" s="41"/>
      <c r="L249" s="41"/>
      <c r="M249" s="41"/>
      <c r="N249" s="41"/>
      <c r="O249" s="41"/>
      <c r="P249" s="41"/>
      <c r="Q249" s="41"/>
      <c r="R249" s="41"/>
      <c r="S249" s="41"/>
      <c r="T249" s="41"/>
    </row>
    <row r="250" spans="1:20" x14ac:dyDescent="0.2">
      <c r="A250" s="41"/>
      <c r="B250" s="41"/>
      <c r="C250" s="41"/>
      <c r="D250" s="41"/>
      <c r="E250" s="153"/>
      <c r="F250" s="41"/>
      <c r="G250" s="154"/>
      <c r="H250" s="154"/>
      <c r="I250" s="155"/>
      <c r="J250" s="41"/>
      <c r="K250" s="41"/>
      <c r="L250" s="41"/>
      <c r="M250" s="41"/>
      <c r="N250" s="41"/>
      <c r="O250" s="41"/>
      <c r="P250" s="41"/>
      <c r="Q250" s="41"/>
      <c r="R250" s="41"/>
      <c r="S250" s="41"/>
      <c r="T250" s="41"/>
    </row>
    <row r="251" spans="1:20" x14ac:dyDescent="0.2">
      <c r="A251" s="41"/>
      <c r="B251" s="41"/>
      <c r="C251" s="41"/>
      <c r="D251" s="41"/>
      <c r="E251" s="153"/>
      <c r="F251" s="41"/>
      <c r="G251" s="154"/>
      <c r="H251" s="154"/>
      <c r="I251" s="155"/>
      <c r="J251" s="41"/>
      <c r="K251" s="41"/>
      <c r="L251" s="41"/>
      <c r="M251" s="41"/>
      <c r="N251" s="41"/>
      <c r="O251" s="41"/>
      <c r="P251" s="41"/>
      <c r="Q251" s="41"/>
      <c r="R251" s="41"/>
      <c r="S251" s="41"/>
      <c r="T251" s="41"/>
    </row>
    <row r="252" spans="1:20" x14ac:dyDescent="0.2">
      <c r="A252" s="41"/>
      <c r="B252" s="41"/>
      <c r="C252" s="41"/>
      <c r="D252" s="41"/>
      <c r="E252" s="153"/>
      <c r="F252" s="41"/>
      <c r="G252" s="154"/>
      <c r="H252" s="154"/>
      <c r="I252" s="155"/>
      <c r="J252" s="41"/>
      <c r="K252" s="41"/>
      <c r="L252" s="41"/>
      <c r="M252" s="41"/>
      <c r="N252" s="41"/>
      <c r="O252" s="41"/>
      <c r="P252" s="41"/>
      <c r="Q252" s="41"/>
      <c r="R252" s="41"/>
      <c r="S252" s="41"/>
      <c r="T252" s="41"/>
    </row>
    <row r="253" spans="1:20" x14ac:dyDescent="0.2">
      <c r="A253" s="41"/>
      <c r="B253" s="41"/>
      <c r="C253" s="41"/>
      <c r="D253" s="41"/>
      <c r="E253" s="153"/>
      <c r="F253" s="41"/>
      <c r="G253" s="154"/>
      <c r="H253" s="154"/>
      <c r="I253" s="155"/>
      <c r="J253" s="41"/>
      <c r="K253" s="41"/>
      <c r="L253" s="41"/>
      <c r="M253" s="41"/>
      <c r="N253" s="41"/>
      <c r="O253" s="41"/>
      <c r="P253" s="41"/>
      <c r="Q253" s="41"/>
      <c r="R253" s="41"/>
      <c r="S253" s="41"/>
      <c r="T253" s="41"/>
    </row>
    <row r="254" spans="1:20" x14ac:dyDescent="0.2">
      <c r="A254" s="41"/>
      <c r="B254" s="41"/>
      <c r="C254" s="41"/>
      <c r="D254" s="41"/>
      <c r="E254" s="153"/>
      <c r="F254" s="41"/>
      <c r="G254" s="154"/>
      <c r="H254" s="154"/>
      <c r="I254" s="155"/>
      <c r="J254" s="41"/>
      <c r="K254" s="41"/>
      <c r="L254" s="41"/>
      <c r="M254" s="41"/>
      <c r="N254" s="41"/>
      <c r="O254" s="41"/>
      <c r="P254" s="41"/>
      <c r="Q254" s="41"/>
      <c r="R254" s="41"/>
      <c r="S254" s="41"/>
      <c r="T254" s="41"/>
    </row>
    <row r="255" spans="1:20" x14ac:dyDescent="0.2">
      <c r="A255" s="41"/>
      <c r="B255" s="41"/>
      <c r="C255" s="41"/>
      <c r="D255" s="41"/>
      <c r="E255" s="153"/>
      <c r="F255" s="41"/>
      <c r="G255" s="154"/>
      <c r="H255" s="154"/>
      <c r="I255" s="155"/>
      <c r="J255" s="41"/>
      <c r="K255" s="41"/>
      <c r="L255" s="41"/>
      <c r="M255" s="41"/>
      <c r="N255" s="41"/>
      <c r="O255" s="41"/>
      <c r="P255" s="41"/>
      <c r="Q255" s="41"/>
      <c r="R255" s="41"/>
      <c r="S255" s="41"/>
      <c r="T255" s="41"/>
    </row>
    <row r="256" spans="1:20" x14ac:dyDescent="0.2">
      <c r="A256" s="41"/>
      <c r="B256" s="41"/>
      <c r="C256" s="41"/>
      <c r="D256" s="41"/>
      <c r="E256" s="153"/>
      <c r="F256" s="41"/>
      <c r="G256" s="154"/>
      <c r="H256" s="154"/>
      <c r="I256" s="155"/>
      <c r="J256" s="41"/>
      <c r="K256" s="41"/>
      <c r="L256" s="41"/>
      <c r="M256" s="41"/>
      <c r="N256" s="41"/>
      <c r="O256" s="41"/>
      <c r="P256" s="41"/>
      <c r="Q256" s="41"/>
      <c r="R256" s="41"/>
      <c r="S256" s="41"/>
      <c r="T256" s="41"/>
    </row>
    <row r="257" spans="1:20" x14ac:dyDescent="0.2">
      <c r="A257" s="41"/>
      <c r="B257" s="41"/>
      <c r="C257" s="41"/>
      <c r="D257" s="41"/>
      <c r="E257" s="153"/>
      <c r="F257" s="41"/>
      <c r="G257" s="154"/>
      <c r="H257" s="154"/>
      <c r="I257" s="155"/>
      <c r="J257" s="41"/>
      <c r="K257" s="41"/>
      <c r="L257" s="41"/>
      <c r="M257" s="41"/>
      <c r="N257" s="41"/>
      <c r="O257" s="41"/>
      <c r="P257" s="41"/>
      <c r="Q257" s="41"/>
      <c r="R257" s="41"/>
      <c r="S257" s="41"/>
      <c r="T257" s="41"/>
    </row>
    <row r="258" spans="1:20" x14ac:dyDescent="0.2">
      <c r="A258" s="41"/>
      <c r="B258" s="41"/>
      <c r="C258" s="41"/>
      <c r="D258" s="41"/>
      <c r="E258" s="153"/>
      <c r="F258" s="41"/>
      <c r="G258" s="154"/>
      <c r="H258" s="154"/>
      <c r="I258" s="155"/>
      <c r="J258" s="41"/>
      <c r="K258" s="41"/>
      <c r="L258" s="41"/>
      <c r="M258" s="41"/>
      <c r="N258" s="41"/>
      <c r="O258" s="41"/>
      <c r="P258" s="41"/>
      <c r="Q258" s="41"/>
      <c r="R258" s="41"/>
      <c r="S258" s="41"/>
      <c r="T258" s="41"/>
    </row>
    <row r="259" spans="1:20" x14ac:dyDescent="0.2">
      <c r="A259" s="41"/>
      <c r="B259" s="41"/>
      <c r="C259" s="41"/>
      <c r="D259" s="41"/>
      <c r="E259" s="153"/>
      <c r="F259" s="41"/>
      <c r="G259" s="154"/>
      <c r="H259" s="154"/>
      <c r="I259" s="155"/>
      <c r="J259" s="41"/>
      <c r="K259" s="41"/>
      <c r="L259" s="41"/>
      <c r="M259" s="41"/>
      <c r="N259" s="41"/>
      <c r="O259" s="41"/>
      <c r="P259" s="41"/>
      <c r="Q259" s="41"/>
      <c r="R259" s="41"/>
      <c r="S259" s="41"/>
      <c r="T259" s="41"/>
    </row>
    <row r="260" spans="1:20" x14ac:dyDescent="0.2">
      <c r="A260" s="41"/>
      <c r="B260" s="41"/>
      <c r="C260" s="41"/>
      <c r="D260" s="41"/>
      <c r="E260" s="153"/>
      <c r="F260" s="41"/>
      <c r="G260" s="154"/>
      <c r="H260" s="154"/>
      <c r="I260" s="155"/>
      <c r="J260" s="41"/>
      <c r="K260" s="41"/>
      <c r="L260" s="41"/>
      <c r="M260" s="41"/>
      <c r="N260" s="41"/>
      <c r="O260" s="41"/>
      <c r="P260" s="41"/>
      <c r="Q260" s="41"/>
      <c r="R260" s="41"/>
      <c r="S260" s="41"/>
      <c r="T260" s="41"/>
    </row>
    <row r="261" spans="1:20" x14ac:dyDescent="0.2">
      <c r="A261" s="41"/>
      <c r="B261" s="41"/>
      <c r="C261" s="41"/>
      <c r="D261" s="41"/>
      <c r="E261" s="153"/>
      <c r="F261" s="41"/>
      <c r="G261" s="154"/>
      <c r="H261" s="154"/>
      <c r="I261" s="155"/>
      <c r="J261" s="41"/>
      <c r="K261" s="41"/>
      <c r="L261" s="41"/>
      <c r="M261" s="41"/>
      <c r="N261" s="41"/>
      <c r="O261" s="41"/>
      <c r="P261" s="41"/>
      <c r="Q261" s="41"/>
      <c r="R261" s="41"/>
      <c r="S261" s="41"/>
      <c r="T261" s="41"/>
    </row>
    <row r="262" spans="1:20" x14ac:dyDescent="0.2">
      <c r="A262" s="41"/>
      <c r="B262" s="41"/>
      <c r="C262" s="41"/>
      <c r="D262" s="41"/>
      <c r="E262" s="153"/>
      <c r="F262" s="41"/>
      <c r="G262" s="154"/>
      <c r="H262" s="154"/>
      <c r="I262" s="155"/>
      <c r="J262" s="41"/>
      <c r="K262" s="41"/>
      <c r="L262" s="41"/>
      <c r="M262" s="41"/>
      <c r="N262" s="41"/>
      <c r="O262" s="41"/>
      <c r="P262" s="41"/>
      <c r="Q262" s="41"/>
      <c r="R262" s="41"/>
      <c r="S262" s="41"/>
      <c r="T262" s="41"/>
    </row>
    <row r="263" spans="1:20" x14ac:dyDescent="0.2">
      <c r="A263" s="41"/>
      <c r="B263" s="41"/>
      <c r="C263" s="41"/>
      <c r="D263" s="41"/>
      <c r="E263" s="153"/>
      <c r="F263" s="41"/>
      <c r="G263" s="154"/>
      <c r="H263" s="154"/>
      <c r="I263" s="155"/>
      <c r="J263" s="41"/>
      <c r="K263" s="41"/>
      <c r="L263" s="41"/>
      <c r="M263" s="41"/>
      <c r="N263" s="41"/>
      <c r="O263" s="41"/>
      <c r="P263" s="41"/>
      <c r="Q263" s="41"/>
      <c r="R263" s="41"/>
      <c r="S263" s="41"/>
      <c r="T263" s="41"/>
    </row>
    <row r="264" spans="1:20" x14ac:dyDescent="0.2">
      <c r="A264" s="41"/>
      <c r="B264" s="41"/>
      <c r="C264" s="41"/>
      <c r="D264" s="41"/>
      <c r="E264" s="153"/>
      <c r="F264" s="41"/>
      <c r="G264" s="154"/>
      <c r="H264" s="154"/>
      <c r="I264" s="155"/>
      <c r="J264" s="41"/>
      <c r="K264" s="41"/>
      <c r="L264" s="41"/>
      <c r="M264" s="41"/>
      <c r="N264" s="41"/>
      <c r="O264" s="41"/>
      <c r="P264" s="41"/>
      <c r="Q264" s="41"/>
      <c r="R264" s="41"/>
      <c r="S264" s="41"/>
      <c r="T264" s="41"/>
    </row>
    <row r="265" spans="1:20" x14ac:dyDescent="0.2">
      <c r="A265" s="41"/>
      <c r="B265" s="41"/>
      <c r="C265" s="41"/>
      <c r="D265" s="41"/>
      <c r="E265" s="153"/>
      <c r="F265" s="41"/>
      <c r="G265" s="154"/>
      <c r="H265" s="154"/>
      <c r="I265" s="155"/>
      <c r="J265" s="41"/>
      <c r="K265" s="41"/>
      <c r="L265" s="41"/>
      <c r="M265" s="41"/>
      <c r="N265" s="41"/>
      <c r="O265" s="41"/>
      <c r="P265" s="41"/>
      <c r="Q265" s="41"/>
      <c r="R265" s="41"/>
      <c r="S265" s="41"/>
      <c r="T265" s="41"/>
    </row>
    <row r="266" spans="1:20" x14ac:dyDescent="0.2">
      <c r="A266" s="41"/>
      <c r="B266" s="41"/>
      <c r="C266" s="41"/>
      <c r="D266" s="41"/>
      <c r="E266" s="153"/>
      <c r="F266" s="41"/>
      <c r="G266" s="154"/>
      <c r="H266" s="154"/>
      <c r="I266" s="155"/>
      <c r="J266" s="41"/>
      <c r="K266" s="41"/>
      <c r="L266" s="41"/>
      <c r="M266" s="41"/>
      <c r="N266" s="41"/>
      <c r="O266" s="41"/>
      <c r="P266" s="41"/>
      <c r="Q266" s="41"/>
      <c r="R266" s="41"/>
      <c r="S266" s="41"/>
      <c r="T266" s="41"/>
    </row>
    <row r="267" spans="1:20" x14ac:dyDescent="0.2">
      <c r="A267" s="41"/>
      <c r="B267" s="41"/>
      <c r="C267" s="41"/>
      <c r="D267" s="41"/>
      <c r="E267" s="153"/>
      <c r="F267" s="41"/>
      <c r="G267" s="154"/>
      <c r="H267" s="154"/>
      <c r="I267" s="155"/>
      <c r="J267" s="41"/>
      <c r="K267" s="41"/>
      <c r="L267" s="41"/>
      <c r="M267" s="41"/>
      <c r="N267" s="41"/>
      <c r="O267" s="41"/>
      <c r="P267" s="41"/>
      <c r="Q267" s="41"/>
      <c r="R267" s="41"/>
      <c r="S267" s="41"/>
      <c r="T267" s="41"/>
    </row>
    <row r="268" spans="1:20" x14ac:dyDescent="0.2">
      <c r="A268" s="41"/>
      <c r="B268" s="41"/>
      <c r="C268" s="41"/>
      <c r="D268" s="41"/>
      <c r="E268" s="153"/>
      <c r="F268" s="41"/>
      <c r="G268" s="154"/>
      <c r="H268" s="154"/>
      <c r="I268" s="155"/>
      <c r="J268" s="41"/>
      <c r="K268" s="41"/>
      <c r="L268" s="41"/>
      <c r="M268" s="41"/>
      <c r="N268" s="41"/>
      <c r="O268" s="41"/>
      <c r="P268" s="41"/>
      <c r="Q268" s="41"/>
      <c r="R268" s="41"/>
      <c r="S268" s="41"/>
      <c r="T268" s="41"/>
    </row>
    <row r="269" spans="1:20" x14ac:dyDescent="0.2">
      <c r="A269" s="41"/>
      <c r="B269" s="41"/>
      <c r="C269" s="41"/>
      <c r="D269" s="41"/>
      <c r="E269" s="153"/>
      <c r="F269" s="41"/>
      <c r="G269" s="154"/>
      <c r="H269" s="154"/>
      <c r="I269" s="155"/>
      <c r="J269" s="41"/>
      <c r="K269" s="41"/>
      <c r="L269" s="41"/>
      <c r="M269" s="41"/>
      <c r="N269" s="41"/>
      <c r="O269" s="41"/>
      <c r="P269" s="41"/>
      <c r="Q269" s="41"/>
      <c r="R269" s="41"/>
      <c r="S269" s="41"/>
      <c r="T269" s="41"/>
    </row>
    <row r="270" spans="1:20" x14ac:dyDescent="0.2">
      <c r="A270" s="41"/>
      <c r="B270" s="41"/>
      <c r="C270" s="41"/>
      <c r="D270" s="41"/>
      <c r="E270" s="153"/>
      <c r="F270" s="41"/>
      <c r="G270" s="154"/>
      <c r="H270" s="154"/>
      <c r="I270" s="155"/>
      <c r="J270" s="41"/>
      <c r="K270" s="41"/>
      <c r="L270" s="41"/>
      <c r="M270" s="41"/>
      <c r="N270" s="41"/>
      <c r="O270" s="41"/>
      <c r="P270" s="41"/>
      <c r="Q270" s="41"/>
      <c r="R270" s="41"/>
      <c r="S270" s="41"/>
      <c r="T270" s="41"/>
    </row>
    <row r="271" spans="1:20" x14ac:dyDescent="0.2">
      <c r="A271" s="41"/>
      <c r="B271" s="41"/>
      <c r="C271" s="41"/>
      <c r="D271" s="41"/>
      <c r="E271" s="153"/>
      <c r="F271" s="41"/>
      <c r="G271" s="154"/>
      <c r="H271" s="154"/>
      <c r="I271" s="155"/>
      <c r="J271" s="41"/>
      <c r="K271" s="41"/>
      <c r="L271" s="41"/>
      <c r="M271" s="41"/>
      <c r="N271" s="41"/>
      <c r="O271" s="41"/>
      <c r="P271" s="41"/>
      <c r="Q271" s="41"/>
      <c r="R271" s="41"/>
      <c r="S271" s="41"/>
      <c r="T271" s="41"/>
    </row>
    <row r="272" spans="1:20" x14ac:dyDescent="0.2">
      <c r="A272" s="41"/>
      <c r="B272" s="41"/>
      <c r="C272" s="41"/>
      <c r="D272" s="41"/>
      <c r="E272" s="153"/>
      <c r="F272" s="41"/>
      <c r="G272" s="154"/>
      <c r="H272" s="154"/>
      <c r="I272" s="155"/>
      <c r="J272" s="41"/>
      <c r="K272" s="41"/>
      <c r="L272" s="41"/>
      <c r="M272" s="41"/>
      <c r="N272" s="41"/>
      <c r="O272" s="41"/>
      <c r="P272" s="41"/>
      <c r="Q272" s="41"/>
      <c r="R272" s="41"/>
      <c r="S272" s="41"/>
      <c r="T272" s="41"/>
    </row>
    <row r="273" spans="1:20" x14ac:dyDescent="0.2">
      <c r="A273" s="41"/>
      <c r="B273" s="41"/>
      <c r="C273" s="41"/>
      <c r="D273" s="41"/>
      <c r="E273" s="153"/>
      <c r="F273" s="41"/>
      <c r="G273" s="154"/>
      <c r="H273" s="154"/>
      <c r="I273" s="155"/>
      <c r="J273" s="41"/>
      <c r="K273" s="41"/>
      <c r="L273" s="41"/>
      <c r="M273" s="41"/>
      <c r="N273" s="41"/>
      <c r="O273" s="41"/>
      <c r="P273" s="41"/>
      <c r="Q273" s="41"/>
      <c r="R273" s="41"/>
      <c r="S273" s="41"/>
      <c r="T273" s="41"/>
    </row>
    <row r="274" spans="1:20" x14ac:dyDescent="0.2">
      <c r="A274" s="41"/>
      <c r="B274" s="41"/>
      <c r="C274" s="41"/>
      <c r="D274" s="41"/>
      <c r="E274" s="153"/>
      <c r="F274" s="41"/>
      <c r="G274" s="154"/>
      <c r="H274" s="154"/>
      <c r="I274" s="155"/>
      <c r="J274" s="41"/>
      <c r="K274" s="41"/>
      <c r="L274" s="41"/>
      <c r="M274" s="41"/>
      <c r="N274" s="41"/>
      <c r="O274" s="41"/>
      <c r="P274" s="41"/>
      <c r="Q274" s="41"/>
      <c r="R274" s="41"/>
      <c r="S274" s="41"/>
      <c r="T274" s="41"/>
    </row>
    <row r="275" spans="1:20" x14ac:dyDescent="0.2">
      <c r="A275" s="41"/>
      <c r="B275" s="41"/>
      <c r="C275" s="41"/>
      <c r="D275" s="41"/>
      <c r="E275" s="153"/>
      <c r="F275" s="41"/>
      <c r="G275" s="154"/>
      <c r="H275" s="154"/>
      <c r="I275" s="155"/>
      <c r="J275" s="41"/>
      <c r="K275" s="41"/>
      <c r="L275" s="41"/>
      <c r="M275" s="41"/>
      <c r="N275" s="41"/>
      <c r="O275" s="41"/>
      <c r="P275" s="41"/>
      <c r="Q275" s="41"/>
      <c r="R275" s="41"/>
      <c r="S275" s="41"/>
      <c r="T275" s="41"/>
    </row>
    <row r="276" spans="1:20" x14ac:dyDescent="0.2">
      <c r="A276" s="41"/>
      <c r="B276" s="41"/>
      <c r="C276" s="41"/>
      <c r="D276" s="41"/>
      <c r="E276" s="153"/>
      <c r="F276" s="41"/>
      <c r="G276" s="154"/>
      <c r="H276" s="154"/>
      <c r="I276" s="155"/>
      <c r="J276" s="41"/>
      <c r="K276" s="41"/>
      <c r="L276" s="41"/>
      <c r="M276" s="41"/>
      <c r="N276" s="41"/>
      <c r="O276" s="41"/>
      <c r="P276" s="41"/>
      <c r="Q276" s="41"/>
      <c r="R276" s="41"/>
      <c r="S276" s="41"/>
      <c r="T276" s="41"/>
    </row>
    <row r="277" spans="1:20" x14ac:dyDescent="0.2">
      <c r="A277" s="41"/>
      <c r="B277" s="41"/>
      <c r="C277" s="41"/>
      <c r="D277" s="41"/>
      <c r="E277" s="153"/>
      <c r="F277" s="41"/>
      <c r="G277" s="154"/>
      <c r="H277" s="154"/>
      <c r="I277" s="155"/>
      <c r="J277" s="41"/>
      <c r="K277" s="41"/>
      <c r="L277" s="41"/>
      <c r="M277" s="41"/>
      <c r="N277" s="41"/>
      <c r="O277" s="41"/>
      <c r="P277" s="41"/>
      <c r="Q277" s="41"/>
      <c r="R277" s="41"/>
      <c r="S277" s="41"/>
      <c r="T277" s="41"/>
    </row>
    <row r="278" spans="1:20" x14ac:dyDescent="0.2">
      <c r="A278" s="41"/>
      <c r="B278" s="41"/>
      <c r="C278" s="41"/>
      <c r="D278" s="41"/>
      <c r="E278" s="153"/>
      <c r="F278" s="41"/>
      <c r="G278" s="154"/>
      <c r="H278" s="154"/>
      <c r="I278" s="155"/>
      <c r="J278" s="41"/>
      <c r="K278" s="41"/>
      <c r="L278" s="41"/>
      <c r="M278" s="41"/>
      <c r="N278" s="41"/>
      <c r="O278" s="41"/>
      <c r="P278" s="41"/>
      <c r="Q278" s="41"/>
      <c r="R278" s="41"/>
      <c r="S278" s="41"/>
      <c r="T278" s="41"/>
    </row>
    <row r="279" spans="1:20" x14ac:dyDescent="0.2">
      <c r="A279" s="41"/>
      <c r="B279" s="41"/>
      <c r="C279" s="41"/>
      <c r="D279" s="41"/>
      <c r="E279" s="153"/>
      <c r="F279" s="41"/>
      <c r="G279" s="154"/>
      <c r="H279" s="154"/>
      <c r="I279" s="155"/>
      <c r="J279" s="41"/>
      <c r="K279" s="41"/>
      <c r="L279" s="41"/>
      <c r="M279" s="41"/>
      <c r="N279" s="41"/>
      <c r="O279" s="41"/>
      <c r="P279" s="41"/>
      <c r="Q279" s="41"/>
      <c r="R279" s="41"/>
      <c r="S279" s="41"/>
      <c r="T279" s="41"/>
    </row>
    <row r="280" spans="1:20" x14ac:dyDescent="0.2">
      <c r="A280" s="41"/>
      <c r="B280" s="41"/>
      <c r="C280" s="41"/>
      <c r="D280" s="41"/>
      <c r="E280" s="153"/>
      <c r="F280" s="41"/>
      <c r="G280" s="154"/>
      <c r="H280" s="154"/>
      <c r="I280" s="155"/>
      <c r="J280" s="41"/>
      <c r="K280" s="41"/>
      <c r="L280" s="41"/>
      <c r="M280" s="41"/>
      <c r="N280" s="41"/>
      <c r="O280" s="41"/>
      <c r="P280" s="41"/>
      <c r="Q280" s="41"/>
      <c r="R280" s="41"/>
      <c r="S280" s="41"/>
      <c r="T280" s="41"/>
    </row>
    <row r="281" spans="1:20" x14ac:dyDescent="0.2">
      <c r="A281" s="41"/>
      <c r="B281" s="41"/>
      <c r="C281" s="41"/>
      <c r="D281" s="41"/>
      <c r="E281" s="153"/>
      <c r="F281" s="41"/>
      <c r="G281" s="154"/>
      <c r="H281" s="154"/>
      <c r="I281" s="155"/>
      <c r="J281" s="41"/>
      <c r="K281" s="41"/>
      <c r="L281" s="41"/>
      <c r="M281" s="41"/>
      <c r="N281" s="41"/>
      <c r="O281" s="41"/>
      <c r="P281" s="41"/>
      <c r="Q281" s="41"/>
      <c r="R281" s="41"/>
      <c r="S281" s="41"/>
      <c r="T281" s="41"/>
    </row>
    <row r="282" spans="1:20" x14ac:dyDescent="0.2">
      <c r="A282" s="41"/>
      <c r="B282" s="41"/>
      <c r="C282" s="41"/>
      <c r="D282" s="41"/>
      <c r="E282" s="153"/>
      <c r="F282" s="41"/>
      <c r="G282" s="154"/>
      <c r="H282" s="154"/>
      <c r="I282" s="155"/>
      <c r="J282" s="41"/>
      <c r="K282" s="41"/>
      <c r="L282" s="41"/>
      <c r="M282" s="41"/>
      <c r="N282" s="41"/>
      <c r="O282" s="41"/>
      <c r="P282" s="41"/>
      <c r="Q282" s="41"/>
      <c r="R282" s="41"/>
      <c r="S282" s="41"/>
      <c r="T282" s="41"/>
    </row>
    <row r="283" spans="1:20" x14ac:dyDescent="0.2">
      <c r="A283" s="41"/>
      <c r="B283" s="41"/>
      <c r="C283" s="41"/>
      <c r="D283" s="41"/>
      <c r="E283" s="153"/>
      <c r="F283" s="41"/>
      <c r="G283" s="154"/>
      <c r="H283" s="154"/>
      <c r="I283" s="155"/>
      <c r="J283" s="41"/>
      <c r="K283" s="41"/>
      <c r="L283" s="41"/>
      <c r="M283" s="41"/>
      <c r="N283" s="41"/>
      <c r="O283" s="41"/>
      <c r="P283" s="41"/>
      <c r="Q283" s="41"/>
      <c r="R283" s="41"/>
      <c r="S283" s="41"/>
      <c r="T283" s="41"/>
    </row>
  </sheetData>
  <customSheetViews>
    <customSheetView guid="{07999215-E707-4069-97E5-2B85A5FC3024}" scale="85" fitToPage="1">
      <selection activeCell="I15" sqref="I15"/>
      <pageMargins left="0" right="0" top="0.73" bottom="0.39370078740157483" header="0.39370078740157483" footer="0.11811023622047245"/>
      <printOptions horizontalCentered="1"/>
      <pageSetup paperSize="9" scale="81" fitToHeight="0" orientation="landscape" r:id="rId1"/>
      <headerFooter alignWithMargins="0">
        <oddHeader>&amp;C&amp;"Arial,Bold"&amp;14&amp;U&amp;A</oddHeader>
        <oddFooter>&amp;L&amp;8&amp;F&amp;C&amp;8&amp;P of &amp;N&amp;R&amp;8&amp;D &amp;T</oddFooter>
      </headerFooter>
    </customSheetView>
    <customSheetView guid="{D030C3FE-CD3A-49B5-AF62-7457EF741067}" scale="85" fitToPage="1">
      <selection activeCell="I15" sqref="I15"/>
      <pageMargins left="0" right="0" top="0.73" bottom="0.39370078740157483" header="0.39370078740157483" footer="0.11811023622047245"/>
      <printOptions horizontalCentered="1"/>
      <pageSetup paperSize="9" scale="81" fitToHeight="0" orientation="landscape" r:id="rId2"/>
      <headerFooter alignWithMargins="0">
        <oddHeader>&amp;C&amp;"Arial,Bold"&amp;14&amp;U&amp;A</oddHeader>
        <oddFooter>&amp;L&amp;8&amp;F&amp;C&amp;8&amp;P of &amp;N&amp;R&amp;8&amp;D &amp;T</oddFooter>
      </headerFooter>
    </customSheetView>
  </customSheetViews>
  <mergeCells count="104">
    <mergeCell ref="C10:R10"/>
    <mergeCell ref="C12:C15"/>
    <mergeCell ref="C11:R11"/>
    <mergeCell ref="E12:E15"/>
    <mergeCell ref="D12:D15"/>
    <mergeCell ref="N13:N14"/>
    <mergeCell ref="F12:G14"/>
    <mergeCell ref="Q12:R12"/>
    <mergeCell ref="Q13:Q14"/>
    <mergeCell ref="R13:R14"/>
    <mergeCell ref="H13:H14"/>
    <mergeCell ref="I13:I14"/>
    <mergeCell ref="J13:J14"/>
    <mergeCell ref="K13:K14"/>
    <mergeCell ref="O13:O14"/>
    <mergeCell ref="P13:P14"/>
    <mergeCell ref="L13:L14"/>
    <mergeCell ref="H12:M12"/>
    <mergeCell ref="M13:M14"/>
    <mergeCell ref="N12:P12"/>
    <mergeCell ref="C48:R49"/>
    <mergeCell ref="C16:C22"/>
    <mergeCell ref="C23:C29"/>
    <mergeCell ref="C30:C36"/>
    <mergeCell ref="F28:G28"/>
    <mergeCell ref="F29:G29"/>
    <mergeCell ref="C37:C43"/>
    <mergeCell ref="F16:G16"/>
    <mergeCell ref="F17:G17"/>
    <mergeCell ref="F18:G18"/>
    <mergeCell ref="F19:G19"/>
    <mergeCell ref="F20:G20"/>
    <mergeCell ref="F21:G21"/>
    <mergeCell ref="F22:G22"/>
    <mergeCell ref="F23:G23"/>
    <mergeCell ref="F24:G24"/>
    <mergeCell ref="F30:G30"/>
    <mergeCell ref="F31:G31"/>
    <mergeCell ref="F32:G32"/>
    <mergeCell ref="F33:G33"/>
    <mergeCell ref="F34:G34"/>
    <mergeCell ref="F25:G25"/>
    <mergeCell ref="F26:G26"/>
    <mergeCell ref="F27:G27"/>
    <mergeCell ref="F43:G43"/>
    <mergeCell ref="F35:G35"/>
    <mergeCell ref="F36:G36"/>
    <mergeCell ref="F37:G37"/>
    <mergeCell ref="F38:G38"/>
    <mergeCell ref="F39:G39"/>
    <mergeCell ref="F40:G40"/>
    <mergeCell ref="F41:G41"/>
    <mergeCell ref="F42:G42"/>
    <mergeCell ref="C54:R54"/>
    <mergeCell ref="C55:R55"/>
    <mergeCell ref="C56:C59"/>
    <mergeCell ref="D56:D59"/>
    <mergeCell ref="E56:E59"/>
    <mergeCell ref="F56:G58"/>
    <mergeCell ref="H56:M56"/>
    <mergeCell ref="N56:P56"/>
    <mergeCell ref="Q56:R56"/>
    <mergeCell ref="H57:H58"/>
    <mergeCell ref="I57:I58"/>
    <mergeCell ref="J57:J58"/>
    <mergeCell ref="K57:K58"/>
    <mergeCell ref="L57:L58"/>
    <mergeCell ref="M57:M58"/>
    <mergeCell ref="N57:N58"/>
    <mergeCell ref="O57:O58"/>
    <mergeCell ref="P57:P58"/>
    <mergeCell ref="Q57:Q58"/>
    <mergeCell ref="R57:R58"/>
    <mergeCell ref="C60:C66"/>
    <mergeCell ref="F60:G60"/>
    <mergeCell ref="F61:G61"/>
    <mergeCell ref="F62:G62"/>
    <mergeCell ref="F63:G63"/>
    <mergeCell ref="F64:G64"/>
    <mergeCell ref="F65:G65"/>
    <mergeCell ref="F66:G66"/>
    <mergeCell ref="C67:C73"/>
    <mergeCell ref="F67:G67"/>
    <mergeCell ref="F68:G68"/>
    <mergeCell ref="F69:G69"/>
    <mergeCell ref="F70:G70"/>
    <mergeCell ref="F71:G71"/>
    <mergeCell ref="F72:G72"/>
    <mergeCell ref="F73:G73"/>
    <mergeCell ref="C97:R97"/>
    <mergeCell ref="D87:R87"/>
    <mergeCell ref="D88:R88"/>
    <mergeCell ref="C93:R93"/>
    <mergeCell ref="C96:R96"/>
    <mergeCell ref="C74:C80"/>
    <mergeCell ref="F74:G74"/>
    <mergeCell ref="F75:G75"/>
    <mergeCell ref="F76:G76"/>
    <mergeCell ref="F77:G77"/>
    <mergeCell ref="F78:G78"/>
    <mergeCell ref="F79:G79"/>
    <mergeCell ref="F80:G80"/>
    <mergeCell ref="D86:R86"/>
    <mergeCell ref="C83:R84"/>
  </mergeCells>
  <phoneticPr fontId="12" type="noConversion"/>
  <conditionalFormatting sqref="N13:P13">
    <cfRule type="cellIs" dxfId="4" priority="5" stopIfTrue="1" operator="equal">
      <formula>"ERROR"</formula>
    </cfRule>
  </conditionalFormatting>
  <conditionalFormatting sqref="N57:P57">
    <cfRule type="cellIs" dxfId="3" priority="1" stopIfTrue="1" operator="equal">
      <formula>"ERROR"</formula>
    </cfRule>
  </conditionalFormatting>
  <printOptions horizontalCentered="1"/>
  <pageMargins left="0" right="0" top="0.74803149606299213" bottom="0.39370078740157483" header="0.39370078740157483" footer="0.11811023622047245"/>
  <pageSetup paperSize="9" scale="59" fitToHeight="0" orientation="landscape" r:id="rId3"/>
  <headerFooter alignWithMargins="0">
    <oddHeader>&amp;C&amp;"Arial,Bold"&amp;14&amp;A</oddHeader>
    <oddFooter>&amp;L&amp;8 2016-17 Network Tariff Tables&amp;C&amp;8&amp;P of &amp;N&amp;R&amp;8&amp;D &amp;T</oddFooter>
  </headerFooter>
  <rowBreaks count="1" manualBreakCount="1">
    <brk id="50" min="1" max="17" man="1"/>
  </row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BR291"/>
  <sheetViews>
    <sheetView zoomScale="80" zoomScaleNormal="80" workbookViewId="0"/>
  </sheetViews>
  <sheetFormatPr defaultColWidth="0" defaultRowHeight="12.75" x14ac:dyDescent="0.2"/>
  <cols>
    <col min="1" max="2" width="3.7109375" style="66" customWidth="1"/>
    <col min="3" max="3" width="20.5703125" style="66" customWidth="1"/>
    <col min="4" max="4" width="53.7109375" style="66" customWidth="1"/>
    <col min="5" max="5" width="14.140625" style="66" customWidth="1"/>
    <col min="6" max="7" width="7.5703125" style="66" customWidth="1"/>
    <col min="8" max="11" width="14.42578125" style="66" customWidth="1"/>
    <col min="12" max="14" width="11.7109375" style="66" customWidth="1"/>
    <col min="15" max="15" width="12.85546875" style="66" customWidth="1"/>
    <col min="16" max="17" width="12.7109375" style="66" customWidth="1"/>
    <col min="18" max="19" width="6.7109375" style="66" customWidth="1"/>
    <col min="20" max="26" width="11.7109375" style="66" customWidth="1"/>
    <col min="27" max="27" width="9.85546875" style="66" customWidth="1"/>
    <col min="28" max="28" width="22.7109375" style="66" customWidth="1"/>
    <col min="29" max="29" width="12.7109375" style="66" customWidth="1"/>
    <col min="30" max="33" width="6.7109375" style="66" customWidth="1"/>
    <col min="34" max="41" width="11.7109375" style="66" customWidth="1"/>
    <col min="42" max="43" width="9.140625" style="66" customWidth="1"/>
    <col min="44" max="45" width="12.7109375" style="66" customWidth="1"/>
    <col min="46" max="47" width="6.7109375" style="66" customWidth="1"/>
    <col min="48" max="53" width="10.7109375" style="66" customWidth="1"/>
    <col min="54" max="54" width="9.140625" style="66" customWidth="1"/>
    <col min="55" max="56" width="12.7109375" style="66" customWidth="1"/>
    <col min="57" max="58" width="6.7109375" style="66" customWidth="1"/>
    <col min="59" max="62" width="10.7109375" style="66" customWidth="1"/>
    <col min="63" max="66" width="9.140625" style="66" customWidth="1"/>
    <col min="67" max="70" width="0" style="66" hidden="1" customWidth="1"/>
    <col min="71" max="16384" width="9.140625" style="66" hidden="1"/>
  </cols>
  <sheetData>
    <row r="1" spans="1:66" s="373" customFormat="1" ht="19.5" customHeight="1" x14ac:dyDescent="0.2">
      <c r="A1" s="369"/>
      <c r="B1" s="369"/>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c r="AD1" s="370"/>
      <c r="AE1" s="370"/>
      <c r="AF1" s="371"/>
      <c r="AG1" s="370"/>
      <c r="AH1" s="370"/>
      <c r="AI1" s="370"/>
      <c r="AJ1" s="370"/>
      <c r="AK1" s="370"/>
      <c r="AL1" s="370"/>
      <c r="AM1" s="370"/>
      <c r="AN1" s="370"/>
      <c r="AO1" s="370"/>
      <c r="AP1" s="370"/>
      <c r="AQ1" s="370"/>
      <c r="AR1" s="370"/>
      <c r="AS1" s="370"/>
      <c r="AT1" s="371"/>
      <c r="AU1" s="370"/>
      <c r="AV1" s="370"/>
      <c r="AW1" s="370"/>
      <c r="AX1" s="370"/>
      <c r="AY1" s="370"/>
      <c r="AZ1" s="370"/>
      <c r="BA1" s="370"/>
      <c r="BB1" s="370"/>
      <c r="BC1" s="370"/>
      <c r="BD1" s="370"/>
      <c r="BE1" s="370"/>
      <c r="BF1" s="370"/>
      <c r="BG1" s="370"/>
      <c r="BH1" s="370"/>
      <c r="BI1" s="370"/>
      <c r="BJ1" s="370"/>
      <c r="BK1" s="372"/>
      <c r="BL1" s="372"/>
      <c r="BM1" s="372"/>
      <c r="BN1" s="372"/>
    </row>
    <row r="2" spans="1:66" s="194" customFormat="1" ht="18.75" customHeight="1" x14ac:dyDescent="0.2">
      <c r="A2" s="16"/>
      <c r="E2" s="237"/>
      <c r="F2" s="236"/>
      <c r="G2" s="236"/>
      <c r="H2" s="236"/>
      <c r="I2" s="236"/>
      <c r="J2" s="236"/>
      <c r="K2" s="236"/>
      <c r="L2" s="236"/>
      <c r="M2" s="236"/>
      <c r="N2" s="236"/>
      <c r="O2" s="236"/>
      <c r="P2" s="236"/>
      <c r="Q2" s="236"/>
    </row>
    <row r="3" spans="1:66" s="194" customFormat="1" ht="18.75" customHeight="1" x14ac:dyDescent="0.2">
      <c r="A3" s="16"/>
      <c r="C3" s="237" t="s">
        <v>589</v>
      </c>
      <c r="E3" s="238"/>
      <c r="F3" s="236"/>
      <c r="G3" s="236"/>
      <c r="H3" s="236"/>
      <c r="I3" s="236"/>
      <c r="J3" s="236"/>
      <c r="K3" s="236"/>
      <c r="L3" s="236"/>
      <c r="M3" s="236"/>
      <c r="N3" s="236"/>
      <c r="O3" s="236"/>
      <c r="P3" s="236"/>
      <c r="Q3" s="236"/>
    </row>
    <row r="4" spans="1:66" s="20" customFormat="1" ht="18" x14ac:dyDescent="0.25">
      <c r="A4" s="28"/>
      <c r="B4" s="71"/>
      <c r="C4" s="238" t="s">
        <v>594</v>
      </c>
      <c r="D4" s="28"/>
      <c r="E4" s="28"/>
      <c r="F4" s="28"/>
      <c r="G4" s="28"/>
      <c r="H4" s="28"/>
      <c r="I4" s="28"/>
      <c r="J4" s="128"/>
      <c r="K4" s="28"/>
      <c r="L4" s="28"/>
      <c r="M4" s="28"/>
      <c r="N4" s="28"/>
      <c r="O4" s="28"/>
      <c r="P4" s="72"/>
      <c r="Q4" s="28"/>
      <c r="R4" s="28"/>
      <c r="S4" s="28"/>
      <c r="T4" s="28"/>
      <c r="U4" s="28"/>
      <c r="V4" s="28"/>
      <c r="W4" s="28"/>
      <c r="X4" s="28"/>
      <c r="Y4" s="28"/>
      <c r="Z4" s="28"/>
      <c r="AA4" s="28"/>
      <c r="AB4" s="72"/>
      <c r="AC4" s="28"/>
      <c r="AD4" s="28"/>
      <c r="AE4" s="28"/>
      <c r="AF4" s="28"/>
      <c r="AG4" s="28"/>
      <c r="AH4" s="28"/>
      <c r="AI4" s="28"/>
      <c r="AJ4" s="28"/>
      <c r="AK4" s="28"/>
      <c r="AL4" s="28"/>
      <c r="AM4" s="28"/>
      <c r="AN4" s="28"/>
      <c r="AO4" s="28"/>
      <c r="AP4" s="28"/>
      <c r="AQ4" s="28"/>
      <c r="AR4" s="28"/>
      <c r="AS4" s="28"/>
      <c r="AT4" s="28"/>
      <c r="AU4" s="28"/>
      <c r="AV4" s="28"/>
      <c r="AW4" s="28"/>
      <c r="AX4" s="28"/>
      <c r="AY4" s="52"/>
      <c r="BA4" s="28"/>
      <c r="BB4" s="28"/>
      <c r="BC4" s="28"/>
      <c r="BD4" s="28"/>
      <c r="BE4" s="28"/>
      <c r="BF4" s="28"/>
      <c r="BG4" s="28"/>
      <c r="BH4" s="28"/>
      <c r="BI4" s="28"/>
      <c r="BJ4" s="28"/>
      <c r="BK4" s="28"/>
      <c r="BL4" s="28"/>
      <c r="BM4" s="28"/>
      <c r="BN4" s="28"/>
    </row>
    <row r="5" spans="1:66" s="20" customFormat="1" ht="15.75" x14ac:dyDescent="0.25">
      <c r="A5" s="28"/>
      <c r="B5" s="28"/>
      <c r="C5" s="28"/>
      <c r="D5" s="28"/>
      <c r="E5" s="28"/>
      <c r="F5" s="28"/>
      <c r="G5" s="28"/>
      <c r="H5" s="28"/>
      <c r="I5" s="161"/>
      <c r="J5" s="28"/>
      <c r="K5" s="28"/>
      <c r="L5" s="28"/>
      <c r="M5" s="28"/>
      <c r="N5" s="28"/>
      <c r="O5" s="28"/>
      <c r="P5" s="67"/>
      <c r="Q5" s="16"/>
      <c r="R5" s="16"/>
      <c r="S5" s="16"/>
      <c r="T5" s="16"/>
      <c r="U5" s="16"/>
      <c r="V5" s="161"/>
      <c r="W5" s="16"/>
      <c r="X5" s="39"/>
      <c r="Y5" s="39"/>
      <c r="Z5" s="39"/>
      <c r="AA5" s="39"/>
      <c r="AB5" s="36"/>
      <c r="AC5" s="36"/>
      <c r="AD5" s="36"/>
      <c r="AE5" s="36"/>
      <c r="AF5" s="36"/>
      <c r="AG5" s="36"/>
      <c r="AH5" s="36"/>
      <c r="AI5" s="36"/>
      <c r="AJ5" s="36"/>
      <c r="AK5" s="36"/>
      <c r="AL5" s="36"/>
      <c r="AM5" s="36"/>
      <c r="AN5" s="36"/>
      <c r="AO5" s="36"/>
      <c r="AP5" s="28"/>
      <c r="AQ5" s="19"/>
      <c r="AR5" s="67"/>
      <c r="AS5" s="161"/>
      <c r="AT5" s="28"/>
      <c r="AU5" s="28"/>
      <c r="AV5" s="28"/>
      <c r="AW5" s="28"/>
      <c r="AX5" s="28"/>
      <c r="AY5" s="194"/>
      <c r="AZ5" s="194"/>
      <c r="BA5" s="194"/>
      <c r="BB5" s="194"/>
      <c r="BC5" s="194"/>
      <c r="BD5" s="194"/>
      <c r="BE5" s="194"/>
      <c r="BF5" s="194"/>
      <c r="BG5" s="194"/>
      <c r="BH5" s="194"/>
      <c r="BI5" s="194"/>
      <c r="BJ5" s="194"/>
      <c r="BK5" s="194"/>
      <c r="BL5" s="194"/>
      <c r="BM5" s="28"/>
      <c r="BN5" s="28"/>
    </row>
    <row r="6" spans="1:66" s="20" customFormat="1" ht="15.75" x14ac:dyDescent="0.25">
      <c r="A6" s="28"/>
      <c r="B6" s="28"/>
      <c r="C6" s="28"/>
      <c r="D6" s="28"/>
      <c r="E6" s="28"/>
      <c r="F6" s="28"/>
      <c r="G6" s="28"/>
      <c r="H6" s="28"/>
      <c r="I6" s="161"/>
      <c r="J6" s="28"/>
      <c r="K6" s="28"/>
      <c r="L6" s="28"/>
      <c r="M6" s="28"/>
      <c r="N6" s="28"/>
      <c r="O6" s="28"/>
      <c r="P6" s="67"/>
      <c r="Q6" s="16"/>
      <c r="R6" s="16"/>
      <c r="S6" s="16"/>
      <c r="T6" s="16"/>
      <c r="U6" s="16"/>
      <c r="V6" s="161"/>
      <c r="W6" s="16"/>
      <c r="X6" s="39"/>
      <c r="Y6" s="39"/>
      <c r="Z6" s="39"/>
      <c r="AA6" s="39"/>
      <c r="AB6" s="36"/>
      <c r="AC6" s="36"/>
      <c r="AD6" s="36"/>
      <c r="AE6" s="36"/>
      <c r="AF6" s="36"/>
      <c r="AG6" s="36"/>
      <c r="AH6" s="36"/>
      <c r="AI6" s="36"/>
      <c r="AJ6" s="36"/>
      <c r="AK6" s="36"/>
      <c r="AL6" s="36"/>
      <c r="AM6" s="36"/>
      <c r="AN6" s="36"/>
      <c r="AO6" s="36"/>
      <c r="AP6" s="28"/>
      <c r="AQ6" s="19"/>
      <c r="AR6" s="67"/>
      <c r="AS6" s="161"/>
      <c r="AT6" s="28"/>
      <c r="AU6" s="28"/>
      <c r="AV6" s="28"/>
      <c r="AW6" s="28"/>
      <c r="AX6" s="28"/>
      <c r="AY6" s="194"/>
      <c r="AZ6" s="194"/>
      <c r="BA6" s="194"/>
      <c r="BB6" s="194"/>
      <c r="BC6" s="194"/>
      <c r="BD6" s="194"/>
      <c r="BE6" s="194"/>
      <c r="BF6" s="194"/>
      <c r="BG6" s="194"/>
      <c r="BH6" s="194"/>
      <c r="BI6" s="194"/>
      <c r="BJ6" s="194"/>
      <c r="BK6" s="194"/>
      <c r="BL6" s="194"/>
      <c r="BM6" s="28"/>
      <c r="BN6" s="28"/>
    </row>
    <row r="7" spans="1:66" s="28" customFormat="1" ht="15" customHeight="1" x14ac:dyDescent="0.2">
      <c r="C7" s="443" t="s">
        <v>228</v>
      </c>
      <c r="D7" s="444"/>
      <c r="E7" s="444"/>
      <c r="F7" s="444"/>
      <c r="G7" s="444"/>
      <c r="H7" s="444"/>
      <c r="I7" s="444"/>
      <c r="J7" s="444"/>
      <c r="K7" s="445"/>
      <c r="L7" s="194"/>
      <c r="M7" s="194"/>
      <c r="N7" s="194"/>
      <c r="O7" s="194"/>
      <c r="P7" s="194"/>
      <c r="Q7" s="16"/>
      <c r="R7" s="16"/>
      <c r="S7" s="16"/>
      <c r="T7" s="16"/>
      <c r="U7" s="16"/>
      <c r="V7" s="16"/>
      <c r="W7" s="16"/>
      <c r="X7" s="39"/>
      <c r="Y7" s="39"/>
      <c r="Z7" s="39"/>
      <c r="AA7" s="39"/>
      <c r="AB7" s="36"/>
      <c r="AC7" s="36"/>
      <c r="AD7" s="36"/>
      <c r="AE7" s="36"/>
      <c r="AF7" s="36"/>
      <c r="AG7" s="36"/>
      <c r="AH7" s="36"/>
      <c r="AI7" s="36"/>
      <c r="AJ7" s="36"/>
      <c r="AK7" s="36"/>
      <c r="AL7" s="36"/>
      <c r="AM7" s="36"/>
      <c r="AN7" s="36"/>
      <c r="AO7" s="36"/>
      <c r="AQ7" s="19"/>
      <c r="AY7" s="194"/>
      <c r="AZ7" s="194"/>
      <c r="BA7" s="194"/>
      <c r="BB7" s="194"/>
      <c r="BC7" s="194"/>
      <c r="BD7" s="194"/>
      <c r="BE7" s="194"/>
      <c r="BF7" s="194"/>
      <c r="BG7" s="194"/>
      <c r="BH7" s="194"/>
      <c r="BI7" s="194"/>
      <c r="BJ7" s="194"/>
      <c r="BK7" s="194"/>
      <c r="BL7" s="194"/>
    </row>
    <row r="8" spans="1:66" s="20" customFormat="1" ht="34.5" customHeight="1" x14ac:dyDescent="0.2">
      <c r="A8" s="147"/>
      <c r="B8" s="147"/>
      <c r="C8" s="440" t="s">
        <v>57</v>
      </c>
      <c r="D8" s="441"/>
      <c r="E8" s="441"/>
      <c r="F8" s="441"/>
      <c r="G8" s="441"/>
      <c r="H8" s="441"/>
      <c r="I8" s="441"/>
      <c r="J8" s="441"/>
      <c r="K8" s="442"/>
      <c r="L8" s="194"/>
      <c r="M8" s="194"/>
      <c r="N8" s="194"/>
      <c r="O8" s="194"/>
      <c r="P8" s="194"/>
      <c r="Q8" s="28"/>
      <c r="R8" s="28"/>
      <c r="S8" s="28"/>
      <c r="T8" s="28"/>
      <c r="U8" s="28"/>
      <c r="V8" s="28"/>
      <c r="W8" s="28"/>
      <c r="X8" s="28"/>
      <c r="Y8" s="28"/>
      <c r="Z8" s="28"/>
      <c r="AA8" s="68"/>
      <c r="AB8" s="28"/>
      <c r="AC8" s="28"/>
      <c r="AD8" s="28"/>
      <c r="AE8" s="28"/>
      <c r="AF8" s="28"/>
      <c r="AG8" s="28"/>
      <c r="AH8" s="28"/>
      <c r="AI8" s="28"/>
      <c r="AJ8" s="28"/>
      <c r="AK8" s="28"/>
      <c r="AL8" s="28"/>
      <c r="AM8" s="28"/>
      <c r="AN8" s="28"/>
      <c r="AO8" s="28"/>
      <c r="AP8" s="28"/>
      <c r="AQ8" s="19"/>
      <c r="AR8" s="28"/>
      <c r="AS8" s="28"/>
      <c r="AT8" s="28"/>
      <c r="AU8" s="28"/>
      <c r="AV8" s="28"/>
      <c r="AW8" s="28"/>
      <c r="AX8" s="28"/>
      <c r="AY8" s="194"/>
      <c r="AZ8" s="194"/>
      <c r="BA8" s="194"/>
      <c r="BB8" s="194"/>
      <c r="BC8" s="194"/>
      <c r="BD8" s="194"/>
      <c r="BE8" s="194"/>
      <c r="BF8" s="194"/>
      <c r="BG8" s="194"/>
      <c r="BH8" s="194"/>
      <c r="BI8" s="194"/>
      <c r="BJ8" s="194"/>
      <c r="BK8" s="194"/>
      <c r="BL8" s="194"/>
      <c r="BM8" s="28"/>
      <c r="BN8" s="28"/>
    </row>
    <row r="9" spans="1:66" s="20" customFormat="1" ht="35.1" customHeight="1" x14ac:dyDescent="0.2">
      <c r="A9" s="147"/>
      <c r="B9" s="147"/>
      <c r="C9" s="423" t="s">
        <v>464</v>
      </c>
      <c r="D9" s="423" t="s">
        <v>167</v>
      </c>
      <c r="E9" s="423" t="s">
        <v>7</v>
      </c>
      <c r="F9" s="451" t="s">
        <v>0</v>
      </c>
      <c r="G9" s="452"/>
      <c r="H9" s="466" t="s">
        <v>5</v>
      </c>
      <c r="I9" s="438"/>
      <c r="J9" s="439" t="s">
        <v>6</v>
      </c>
      <c r="K9" s="435"/>
      <c r="L9" s="194"/>
      <c r="M9" s="194"/>
      <c r="N9" s="194"/>
      <c r="O9" s="194"/>
      <c r="P9" s="194"/>
      <c r="Q9" s="28"/>
      <c r="R9" s="28"/>
      <c r="S9" s="28"/>
      <c r="T9" s="28"/>
      <c r="U9" s="28"/>
      <c r="V9" s="28"/>
      <c r="W9" s="28"/>
      <c r="X9" s="28"/>
      <c r="Y9" s="28"/>
      <c r="Z9" s="28"/>
      <c r="AA9" s="68"/>
      <c r="AB9" s="28"/>
      <c r="AC9" s="28"/>
      <c r="AD9" s="28"/>
      <c r="AE9" s="28"/>
      <c r="AF9" s="28"/>
      <c r="AG9" s="28"/>
      <c r="AH9" s="28"/>
      <c r="AI9" s="28"/>
      <c r="AJ9" s="28"/>
      <c r="AK9" s="28"/>
      <c r="AL9" s="28"/>
      <c r="AM9" s="28"/>
      <c r="AN9" s="28"/>
      <c r="AO9" s="28"/>
      <c r="AP9" s="28"/>
      <c r="AQ9" s="19"/>
      <c r="AR9" s="28"/>
      <c r="AS9" s="28"/>
      <c r="AT9" s="28"/>
      <c r="AU9" s="28"/>
      <c r="AV9" s="28"/>
      <c r="AW9" s="28"/>
      <c r="AX9" s="28"/>
      <c r="AY9" s="194"/>
      <c r="AZ9" s="194"/>
      <c r="BA9" s="194"/>
      <c r="BB9" s="194"/>
      <c r="BC9" s="194"/>
      <c r="BD9" s="194"/>
      <c r="BE9" s="194"/>
      <c r="BF9" s="194"/>
      <c r="BG9" s="194"/>
      <c r="BH9" s="194"/>
      <c r="BI9" s="194"/>
      <c r="BJ9" s="194"/>
      <c r="BK9" s="194"/>
      <c r="BL9" s="194"/>
      <c r="BM9" s="28"/>
      <c r="BN9" s="28"/>
    </row>
    <row r="10" spans="1:66" s="20" customFormat="1" ht="24" customHeight="1" x14ac:dyDescent="0.2">
      <c r="A10" s="147"/>
      <c r="B10" s="147"/>
      <c r="C10" s="424"/>
      <c r="D10" s="424"/>
      <c r="E10" s="424"/>
      <c r="F10" s="453"/>
      <c r="G10" s="454"/>
      <c r="H10" s="418" t="s">
        <v>92</v>
      </c>
      <c r="I10" s="530" t="s">
        <v>177</v>
      </c>
      <c r="J10" s="449" t="s">
        <v>96</v>
      </c>
      <c r="K10" s="449" t="s">
        <v>176</v>
      </c>
      <c r="L10" s="194"/>
      <c r="M10" s="194"/>
      <c r="N10" s="194"/>
      <c r="O10" s="194"/>
      <c r="P10" s="194"/>
      <c r="Q10" s="28"/>
      <c r="R10" s="28"/>
      <c r="S10" s="28"/>
      <c r="T10" s="28"/>
      <c r="U10" s="28"/>
      <c r="V10" s="28"/>
      <c r="W10" s="28"/>
      <c r="X10" s="28"/>
      <c r="Y10" s="28"/>
      <c r="Z10" s="28"/>
      <c r="AA10" s="59"/>
      <c r="AB10" s="28"/>
      <c r="AC10" s="28"/>
      <c r="AD10" s="28"/>
      <c r="AE10" s="28"/>
      <c r="AF10" s="28"/>
      <c r="AG10" s="28"/>
      <c r="AH10" s="28"/>
      <c r="AI10" s="28"/>
      <c r="AJ10" s="28"/>
      <c r="AK10" s="28"/>
      <c r="AL10" s="28"/>
      <c r="AM10" s="28"/>
      <c r="AN10" s="28"/>
      <c r="AO10" s="28"/>
      <c r="AP10" s="28"/>
      <c r="AQ10" s="19"/>
      <c r="AR10" s="28"/>
      <c r="AS10" s="28"/>
      <c r="AT10" s="28"/>
      <c r="AU10" s="28"/>
      <c r="AV10" s="28"/>
      <c r="AW10" s="28"/>
      <c r="AX10" s="28"/>
      <c r="AY10" s="194"/>
      <c r="AZ10" s="194"/>
      <c r="BA10" s="194"/>
      <c r="BB10" s="194"/>
      <c r="BC10" s="194"/>
      <c r="BD10" s="194"/>
      <c r="BE10" s="194"/>
      <c r="BF10" s="194"/>
      <c r="BG10" s="194"/>
      <c r="BH10" s="194"/>
      <c r="BI10" s="194"/>
      <c r="BJ10" s="194"/>
      <c r="BK10" s="194"/>
      <c r="BL10" s="194"/>
      <c r="BM10" s="28"/>
      <c r="BN10" s="28"/>
    </row>
    <row r="11" spans="1:66" s="20" customFormat="1" ht="24" customHeight="1" x14ac:dyDescent="0.2">
      <c r="A11" s="147"/>
      <c r="B11" s="147"/>
      <c r="C11" s="424"/>
      <c r="D11" s="424"/>
      <c r="E11" s="424"/>
      <c r="F11" s="455"/>
      <c r="G11" s="456"/>
      <c r="H11" s="419"/>
      <c r="I11" s="531"/>
      <c r="J11" s="450"/>
      <c r="K11" s="450"/>
      <c r="L11" s="194"/>
      <c r="M11" s="194"/>
      <c r="N11" s="194"/>
      <c r="O11" s="194"/>
      <c r="P11" s="194"/>
      <c r="Q11" s="28"/>
      <c r="R11" s="28"/>
      <c r="S11" s="28"/>
      <c r="T11" s="28"/>
      <c r="U11" s="28"/>
      <c r="V11" s="28"/>
      <c r="W11" s="28"/>
      <c r="X11" s="28"/>
      <c r="Y11" s="28"/>
      <c r="Z11" s="28"/>
      <c r="AA11" s="59"/>
      <c r="AB11" s="28"/>
      <c r="AC11" s="28"/>
      <c r="AD11" s="28"/>
      <c r="AE11" s="28"/>
      <c r="AF11" s="28"/>
      <c r="AG11" s="28"/>
      <c r="AH11" s="28"/>
      <c r="AI11" s="28"/>
      <c r="AJ11" s="28"/>
      <c r="AK11" s="28"/>
      <c r="AL11" s="28"/>
      <c r="AM11" s="28"/>
      <c r="AN11" s="28"/>
      <c r="AO11" s="28"/>
      <c r="AP11" s="28"/>
      <c r="AQ11" s="19"/>
      <c r="AR11" s="28"/>
      <c r="AS11" s="28"/>
      <c r="AT11" s="28"/>
      <c r="AU11" s="28"/>
      <c r="AV11" s="28"/>
      <c r="AW11" s="28"/>
      <c r="AX11" s="28"/>
      <c r="AY11" s="194"/>
      <c r="AZ11" s="194"/>
      <c r="BA11" s="194"/>
      <c r="BB11" s="194"/>
      <c r="BC11" s="194"/>
      <c r="BD11" s="194"/>
      <c r="BE11" s="194"/>
      <c r="BF11" s="194"/>
      <c r="BG11" s="194"/>
      <c r="BH11" s="194"/>
      <c r="BI11" s="194"/>
      <c r="BJ11" s="194"/>
      <c r="BK11" s="194"/>
      <c r="BL11" s="194"/>
      <c r="BM11" s="28"/>
      <c r="BN11" s="28"/>
    </row>
    <row r="12" spans="1:66" s="20" customFormat="1" ht="42.75" customHeight="1" x14ac:dyDescent="0.2">
      <c r="A12" s="147"/>
      <c r="B12" s="147"/>
      <c r="C12" s="425"/>
      <c r="D12" s="425"/>
      <c r="E12" s="425"/>
      <c r="F12" s="233" t="s">
        <v>8</v>
      </c>
      <c r="G12" s="233" t="s">
        <v>9</v>
      </c>
      <c r="H12" s="90" t="s">
        <v>668</v>
      </c>
      <c r="I12" s="4" t="s">
        <v>10</v>
      </c>
      <c r="J12" s="114" t="s">
        <v>89</v>
      </c>
      <c r="K12" s="116" t="s">
        <v>10</v>
      </c>
      <c r="L12" s="194"/>
      <c r="M12" s="194"/>
      <c r="N12" s="194"/>
      <c r="O12" s="194"/>
      <c r="P12" s="194"/>
      <c r="Q12" s="28"/>
      <c r="R12" s="28"/>
      <c r="S12" s="28"/>
      <c r="T12" s="28"/>
      <c r="U12" s="28"/>
      <c r="V12" s="28"/>
      <c r="W12" s="28"/>
      <c r="X12" s="28"/>
      <c r="Y12" s="28"/>
      <c r="Z12" s="28"/>
      <c r="AA12" s="59"/>
      <c r="AB12" s="28"/>
      <c r="AC12" s="28"/>
      <c r="AD12" s="28"/>
      <c r="AE12" s="28"/>
      <c r="AF12" s="28"/>
      <c r="AG12" s="28"/>
      <c r="AH12" s="28"/>
      <c r="AI12" s="28"/>
      <c r="AJ12" s="28"/>
      <c r="AK12" s="28"/>
      <c r="AL12" s="28"/>
      <c r="AM12" s="28"/>
      <c r="AN12" s="28"/>
      <c r="AO12" s="28"/>
      <c r="AP12" s="28"/>
      <c r="AQ12" s="19"/>
      <c r="AR12" s="28"/>
      <c r="AS12" s="28"/>
      <c r="AT12" s="28"/>
      <c r="AU12" s="28"/>
      <c r="AV12" s="28"/>
      <c r="AW12" s="28"/>
      <c r="AX12" s="28"/>
      <c r="AY12" s="194"/>
      <c r="AZ12" s="194"/>
      <c r="BA12" s="194"/>
      <c r="BB12" s="194"/>
      <c r="BC12" s="194"/>
      <c r="BD12" s="194"/>
      <c r="BE12" s="194"/>
      <c r="BF12" s="194"/>
      <c r="BG12" s="194"/>
      <c r="BH12" s="194"/>
      <c r="BI12" s="194"/>
      <c r="BJ12" s="194"/>
      <c r="BK12" s="194"/>
      <c r="BL12" s="194"/>
      <c r="BM12" s="28"/>
      <c r="BN12" s="28"/>
    </row>
    <row r="13" spans="1:66" s="20" customFormat="1" ht="14.25" customHeight="1" x14ac:dyDescent="0.2">
      <c r="A13" s="147"/>
      <c r="B13" s="147"/>
      <c r="C13" s="407" t="s">
        <v>338</v>
      </c>
      <c r="D13" s="80" t="s">
        <v>479</v>
      </c>
      <c r="E13" s="80" t="s">
        <v>58</v>
      </c>
      <c r="F13" s="21">
        <v>1.095</v>
      </c>
      <c r="G13" s="44" t="s">
        <v>13</v>
      </c>
      <c r="H13" s="223">
        <v>7.0000000000000001E-3</v>
      </c>
      <c r="I13" s="167">
        <v>0.17796999999999999</v>
      </c>
      <c r="J13" s="49"/>
      <c r="K13" s="167">
        <v>1.5049999999999999E-2</v>
      </c>
      <c r="L13" s="194"/>
      <c r="M13" s="194"/>
      <c r="N13" s="194"/>
      <c r="O13" s="194"/>
      <c r="P13" s="194"/>
      <c r="Q13" s="28"/>
      <c r="R13" s="28"/>
      <c r="S13" s="28"/>
      <c r="T13" s="28"/>
      <c r="U13" s="28"/>
      <c r="V13" s="28"/>
      <c r="W13" s="28"/>
      <c r="X13" s="28"/>
      <c r="Y13" s="28"/>
      <c r="Z13" s="28"/>
      <c r="AA13" s="70"/>
      <c r="AB13" s="28"/>
      <c r="AC13" s="28"/>
      <c r="AD13" s="28"/>
      <c r="AE13" s="28"/>
      <c r="AF13" s="28"/>
      <c r="AG13" s="28"/>
      <c r="AH13" s="28"/>
      <c r="AI13" s="28"/>
      <c r="AJ13" s="28"/>
      <c r="AK13" s="28"/>
      <c r="AL13" s="28"/>
      <c r="AM13" s="28"/>
      <c r="AN13" s="28"/>
      <c r="AO13" s="28"/>
      <c r="AP13" s="28"/>
      <c r="AQ13" s="19"/>
      <c r="AR13" s="28"/>
      <c r="AS13" s="28"/>
      <c r="AT13" s="28"/>
      <c r="AU13" s="28"/>
      <c r="AV13" s="28"/>
      <c r="AW13" s="28"/>
      <c r="AX13" s="28"/>
      <c r="AY13" s="194"/>
      <c r="AZ13" s="194"/>
      <c r="BA13" s="194"/>
      <c r="BB13" s="194"/>
      <c r="BC13" s="194"/>
      <c r="BD13" s="194"/>
      <c r="BE13" s="194"/>
      <c r="BF13" s="194"/>
      <c r="BG13" s="194"/>
      <c r="BH13" s="194"/>
      <c r="BI13" s="194"/>
      <c r="BJ13" s="194"/>
      <c r="BK13" s="194"/>
      <c r="BL13" s="194"/>
      <c r="BM13" s="28"/>
      <c r="BN13" s="28"/>
    </row>
    <row r="14" spans="1:66" s="20" customFormat="1" ht="14.25" customHeight="1" x14ac:dyDescent="0.2">
      <c r="A14" s="17"/>
      <c r="B14" s="17"/>
      <c r="C14" s="408"/>
      <c r="D14" s="81" t="s">
        <v>483</v>
      </c>
      <c r="E14" s="81" t="s">
        <v>188</v>
      </c>
      <c r="F14" s="27">
        <v>1.095</v>
      </c>
      <c r="G14" s="99" t="s">
        <v>13</v>
      </c>
      <c r="H14" s="51">
        <v>7.0000000000000001E-3</v>
      </c>
      <c r="I14" s="26">
        <v>0.17796999999999999</v>
      </c>
      <c r="J14" s="50"/>
      <c r="K14" s="26">
        <v>1.5049999999999999E-2</v>
      </c>
      <c r="L14" s="194"/>
      <c r="M14" s="194"/>
      <c r="N14" s="194"/>
      <c r="O14" s="194"/>
      <c r="P14" s="194"/>
      <c r="Q14" s="28"/>
      <c r="R14" s="28"/>
      <c r="S14" s="28"/>
      <c r="T14" s="28"/>
      <c r="U14" s="28"/>
      <c r="V14" s="28"/>
      <c r="W14" s="28"/>
      <c r="X14" s="28"/>
      <c r="Y14" s="28"/>
      <c r="Z14" s="28"/>
      <c r="AA14" s="39"/>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194"/>
      <c r="AZ14" s="194"/>
      <c r="BA14" s="194"/>
      <c r="BB14" s="194"/>
      <c r="BC14" s="194"/>
      <c r="BD14" s="194"/>
      <c r="BE14" s="194"/>
      <c r="BF14" s="194"/>
      <c r="BG14" s="194"/>
      <c r="BH14" s="194"/>
      <c r="BI14" s="194"/>
      <c r="BJ14" s="194"/>
      <c r="BK14" s="194"/>
      <c r="BL14" s="194"/>
      <c r="BM14" s="28"/>
      <c r="BN14" s="28"/>
    </row>
    <row r="15" spans="1:66" s="20" customFormat="1" ht="14.25" customHeight="1" x14ac:dyDescent="0.2">
      <c r="A15" s="17"/>
      <c r="B15" s="17"/>
      <c r="C15" s="408"/>
      <c r="D15" s="81" t="s">
        <v>484</v>
      </c>
      <c r="E15" s="81" t="s">
        <v>189</v>
      </c>
      <c r="F15" s="27">
        <v>1.095</v>
      </c>
      <c r="G15" s="99" t="s">
        <v>13</v>
      </c>
      <c r="H15" s="51">
        <v>7.0000000000000001E-3</v>
      </c>
      <c r="I15" s="26">
        <v>0.17796999999999999</v>
      </c>
      <c r="J15" s="50"/>
      <c r="K15" s="26">
        <v>1.5049999999999999E-2</v>
      </c>
      <c r="L15" s="194"/>
      <c r="M15" s="194"/>
      <c r="N15" s="194"/>
      <c r="O15" s="194"/>
      <c r="P15" s="194"/>
      <c r="Q15" s="28"/>
      <c r="R15" s="28"/>
      <c r="S15" s="28"/>
      <c r="T15" s="28"/>
      <c r="U15" s="28"/>
      <c r="V15" s="28"/>
      <c r="W15" s="28"/>
      <c r="X15" s="28"/>
      <c r="Y15" s="28"/>
      <c r="Z15" s="28"/>
      <c r="AA15" s="39"/>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194"/>
      <c r="AZ15" s="194"/>
      <c r="BA15" s="194"/>
      <c r="BB15" s="194"/>
      <c r="BC15" s="194"/>
      <c r="BD15" s="194"/>
      <c r="BE15" s="194"/>
      <c r="BF15" s="194"/>
      <c r="BG15" s="194"/>
      <c r="BH15" s="194"/>
      <c r="BI15" s="194"/>
      <c r="BJ15" s="194"/>
      <c r="BK15" s="194"/>
      <c r="BL15" s="194"/>
      <c r="BM15" s="28"/>
      <c r="BN15" s="28"/>
    </row>
    <row r="16" spans="1:66" s="20" customFormat="1" ht="14.25" customHeight="1" x14ac:dyDescent="0.2">
      <c r="A16" s="17"/>
      <c r="B16" s="17"/>
      <c r="C16" s="408"/>
      <c r="D16" s="81" t="s">
        <v>485</v>
      </c>
      <c r="E16" s="81" t="s">
        <v>59</v>
      </c>
      <c r="F16" s="27">
        <v>1.095</v>
      </c>
      <c r="G16" s="99" t="s">
        <v>13</v>
      </c>
      <c r="H16" s="51">
        <v>7.0000000000000001E-3</v>
      </c>
      <c r="I16" s="26">
        <v>0.17796999999999999</v>
      </c>
      <c r="J16" s="50"/>
      <c r="K16" s="26">
        <v>1.804E-2</v>
      </c>
      <c r="L16" s="194"/>
      <c r="M16" s="194"/>
      <c r="N16" s="194"/>
      <c r="O16" s="194"/>
      <c r="P16" s="194"/>
      <c r="Q16" s="28"/>
      <c r="R16" s="28"/>
      <c r="S16" s="28"/>
      <c r="T16" s="28"/>
      <c r="U16" s="28"/>
      <c r="V16" s="28"/>
      <c r="W16" s="28"/>
      <c r="X16" s="28"/>
      <c r="Y16" s="28"/>
      <c r="Z16" s="28"/>
      <c r="AA16" s="39"/>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194"/>
      <c r="AZ16" s="194"/>
      <c r="BA16" s="194"/>
      <c r="BB16" s="194"/>
      <c r="BC16" s="194"/>
      <c r="BD16" s="194"/>
      <c r="BE16" s="194"/>
      <c r="BF16" s="194"/>
      <c r="BG16" s="194"/>
      <c r="BH16" s="194"/>
      <c r="BI16" s="194"/>
      <c r="BJ16" s="194"/>
      <c r="BK16" s="194"/>
      <c r="BL16" s="194"/>
      <c r="BM16" s="28"/>
      <c r="BN16" s="28"/>
    </row>
    <row r="17" spans="1:66" s="20" customFormat="1" ht="14.25" customHeight="1" x14ac:dyDescent="0.2">
      <c r="A17" s="17"/>
      <c r="B17" s="17"/>
      <c r="C17" s="408"/>
      <c r="D17" s="81" t="s">
        <v>486</v>
      </c>
      <c r="E17" s="81" t="s">
        <v>190</v>
      </c>
      <c r="F17" s="27">
        <v>1.095</v>
      </c>
      <c r="G17" s="99" t="s">
        <v>13</v>
      </c>
      <c r="H17" s="51">
        <v>7.0000000000000001E-3</v>
      </c>
      <c r="I17" s="26">
        <v>0.17796999999999999</v>
      </c>
      <c r="J17" s="50"/>
      <c r="K17" s="26">
        <v>1.804E-2</v>
      </c>
      <c r="L17" s="194"/>
      <c r="M17" s="194"/>
      <c r="N17" s="194"/>
      <c r="O17" s="194"/>
      <c r="P17" s="194"/>
      <c r="Q17" s="28"/>
      <c r="R17" s="28"/>
      <c r="S17" s="28"/>
      <c r="T17" s="28"/>
      <c r="U17" s="28"/>
      <c r="V17" s="28"/>
      <c r="W17" s="28"/>
      <c r="X17" s="28"/>
      <c r="Y17" s="28"/>
      <c r="Z17" s="28"/>
      <c r="AA17" s="39"/>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194"/>
      <c r="AZ17" s="194"/>
      <c r="BA17" s="194"/>
      <c r="BB17" s="194"/>
      <c r="BC17" s="194"/>
      <c r="BD17" s="194"/>
      <c r="BE17" s="194"/>
      <c r="BF17" s="194"/>
      <c r="BG17" s="194"/>
      <c r="BH17" s="194"/>
      <c r="BI17" s="194"/>
      <c r="BJ17" s="194"/>
      <c r="BK17" s="194"/>
      <c r="BL17" s="194"/>
      <c r="BM17" s="28"/>
      <c r="BN17" s="28"/>
    </row>
    <row r="18" spans="1:66" s="20" customFormat="1" ht="14.25" customHeight="1" x14ac:dyDescent="0.2">
      <c r="A18" s="17"/>
      <c r="B18" s="17"/>
      <c r="C18" s="408"/>
      <c r="D18" s="81" t="s">
        <v>487</v>
      </c>
      <c r="E18" s="81" t="s">
        <v>191</v>
      </c>
      <c r="F18" s="27">
        <v>1.095</v>
      </c>
      <c r="G18" s="99" t="s">
        <v>13</v>
      </c>
      <c r="H18" s="51">
        <v>7.0000000000000001E-3</v>
      </c>
      <c r="I18" s="26">
        <v>0.17796999999999999</v>
      </c>
      <c r="J18" s="50"/>
      <c r="K18" s="26">
        <v>1.804E-2</v>
      </c>
      <c r="L18" s="194"/>
      <c r="M18" s="194"/>
      <c r="N18" s="194"/>
      <c r="O18" s="194"/>
      <c r="P18" s="194"/>
      <c r="Q18" s="28"/>
      <c r="R18" s="28"/>
      <c r="S18" s="28"/>
      <c r="T18" s="28"/>
      <c r="U18" s="28"/>
      <c r="V18" s="28"/>
      <c r="W18" s="28"/>
      <c r="X18" s="28"/>
      <c r="Y18" s="28"/>
      <c r="Z18" s="28"/>
      <c r="AA18" s="39"/>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194"/>
      <c r="AZ18" s="194"/>
      <c r="BA18" s="194"/>
      <c r="BB18" s="194"/>
      <c r="BC18" s="194"/>
      <c r="BD18" s="194"/>
      <c r="BE18" s="194"/>
      <c r="BF18" s="194"/>
      <c r="BG18" s="194"/>
      <c r="BH18" s="194"/>
      <c r="BI18" s="194"/>
      <c r="BJ18" s="194"/>
      <c r="BK18" s="194"/>
      <c r="BL18" s="194"/>
      <c r="BM18" s="28"/>
      <c r="BN18" s="28"/>
    </row>
    <row r="19" spans="1:66" s="20" customFormat="1" ht="14.25" customHeight="1" x14ac:dyDescent="0.2">
      <c r="A19" s="17"/>
      <c r="B19" s="17"/>
      <c r="C19" s="408"/>
      <c r="D19" s="81" t="s">
        <v>488</v>
      </c>
      <c r="E19" s="81" t="s">
        <v>60</v>
      </c>
      <c r="F19" s="27">
        <v>1.095</v>
      </c>
      <c r="G19" s="99" t="s">
        <v>13</v>
      </c>
      <c r="H19" s="51">
        <v>7.0000000000000001E-3</v>
      </c>
      <c r="I19" s="26">
        <v>0.17796999999999999</v>
      </c>
      <c r="J19" s="50"/>
      <c r="K19" s="26">
        <v>2.2589999999999999E-2</v>
      </c>
      <c r="L19" s="194"/>
      <c r="M19" s="194"/>
      <c r="N19" s="194"/>
      <c r="O19" s="194"/>
      <c r="P19" s="194"/>
      <c r="Q19" s="28"/>
      <c r="R19" s="28"/>
      <c r="S19" s="28"/>
      <c r="T19" s="28"/>
      <c r="U19" s="28"/>
      <c r="V19" s="28"/>
      <c r="W19" s="28"/>
      <c r="X19" s="28"/>
      <c r="Y19" s="28"/>
      <c r="Z19" s="28"/>
      <c r="AA19" s="39"/>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194"/>
      <c r="AZ19" s="194"/>
      <c r="BA19" s="194"/>
      <c r="BB19" s="194"/>
      <c r="BC19" s="194"/>
      <c r="BD19" s="194"/>
      <c r="BE19" s="194"/>
      <c r="BF19" s="194"/>
      <c r="BG19" s="194"/>
      <c r="BH19" s="194"/>
      <c r="BI19" s="194"/>
      <c r="BJ19" s="194"/>
      <c r="BK19" s="194"/>
      <c r="BL19" s="194"/>
      <c r="BM19" s="28"/>
      <c r="BN19" s="28"/>
    </row>
    <row r="20" spans="1:66" s="20" customFormat="1" ht="14.25" customHeight="1" x14ac:dyDescent="0.2">
      <c r="A20" s="17"/>
      <c r="B20" s="17"/>
      <c r="C20" s="408"/>
      <c r="D20" s="81" t="s">
        <v>489</v>
      </c>
      <c r="E20" s="81" t="s">
        <v>192</v>
      </c>
      <c r="F20" s="27">
        <v>1.095</v>
      </c>
      <c r="G20" s="99" t="s">
        <v>13</v>
      </c>
      <c r="H20" s="51">
        <v>7.0000000000000001E-3</v>
      </c>
      <c r="I20" s="26">
        <v>0.17796999999999999</v>
      </c>
      <c r="J20" s="50"/>
      <c r="K20" s="26">
        <v>2.2589999999999999E-2</v>
      </c>
      <c r="L20" s="194"/>
      <c r="M20" s="194"/>
      <c r="N20" s="194"/>
      <c r="O20" s="194"/>
      <c r="P20" s="194"/>
      <c r="Q20" s="28"/>
      <c r="R20" s="28"/>
      <c r="S20" s="28"/>
      <c r="T20" s="28"/>
      <c r="U20" s="28"/>
      <c r="V20" s="28"/>
      <c r="W20" s="28"/>
      <c r="X20" s="28"/>
      <c r="Y20" s="28"/>
      <c r="Z20" s="28"/>
      <c r="AA20" s="39"/>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194"/>
      <c r="AZ20" s="194"/>
      <c r="BA20" s="194"/>
      <c r="BB20" s="194"/>
      <c r="BC20" s="194"/>
      <c r="BD20" s="194"/>
      <c r="BE20" s="194"/>
      <c r="BF20" s="194"/>
      <c r="BG20" s="194"/>
      <c r="BH20" s="194"/>
      <c r="BI20" s="194"/>
      <c r="BJ20" s="194"/>
      <c r="BK20" s="194"/>
      <c r="BL20" s="194"/>
      <c r="BM20" s="28"/>
      <c r="BN20" s="28"/>
    </row>
    <row r="21" spans="1:66" s="20" customFormat="1" ht="14.25" customHeight="1" x14ac:dyDescent="0.2">
      <c r="A21" s="17"/>
      <c r="B21" s="17"/>
      <c r="C21" s="408"/>
      <c r="D21" s="81" t="s">
        <v>490</v>
      </c>
      <c r="E21" s="81" t="s">
        <v>193</v>
      </c>
      <c r="F21" s="27">
        <v>1.095</v>
      </c>
      <c r="G21" s="99" t="s">
        <v>13</v>
      </c>
      <c r="H21" s="51">
        <v>7.0000000000000001E-3</v>
      </c>
      <c r="I21" s="26">
        <v>0.17796999999999999</v>
      </c>
      <c r="J21" s="50"/>
      <c r="K21" s="26">
        <v>2.2589999999999999E-2</v>
      </c>
      <c r="L21" s="194"/>
      <c r="M21" s="194"/>
      <c r="N21" s="194"/>
      <c r="O21" s="194"/>
      <c r="P21" s="194"/>
      <c r="Q21" s="28"/>
      <c r="R21" s="28"/>
      <c r="S21" s="28"/>
      <c r="T21" s="28"/>
      <c r="U21" s="28"/>
      <c r="V21" s="28"/>
      <c r="W21" s="28"/>
      <c r="X21" s="28"/>
      <c r="Y21" s="28"/>
      <c r="Z21" s="28"/>
      <c r="AA21" s="39"/>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194"/>
      <c r="AZ21" s="194"/>
      <c r="BA21" s="194"/>
      <c r="BB21" s="194"/>
      <c r="BC21" s="194"/>
      <c r="BD21" s="194"/>
      <c r="BE21" s="194"/>
      <c r="BF21" s="194"/>
      <c r="BG21" s="194"/>
      <c r="BH21" s="194"/>
      <c r="BI21" s="194"/>
      <c r="BJ21" s="194"/>
      <c r="BK21" s="194"/>
      <c r="BL21" s="194"/>
      <c r="BM21" s="28"/>
      <c r="BN21" s="28"/>
    </row>
    <row r="22" spans="1:66" s="20" customFormat="1" ht="14.25" customHeight="1" x14ac:dyDescent="0.2">
      <c r="A22" s="17"/>
      <c r="B22" s="17"/>
      <c r="C22" s="408"/>
      <c r="D22" s="81" t="s">
        <v>491</v>
      </c>
      <c r="E22" s="81" t="s">
        <v>61</v>
      </c>
      <c r="F22" s="27">
        <v>1.1850000000000001</v>
      </c>
      <c r="G22" s="99" t="s">
        <v>14</v>
      </c>
      <c r="H22" s="51">
        <v>0.316</v>
      </c>
      <c r="I22" s="26">
        <v>0.1782</v>
      </c>
      <c r="J22" s="50"/>
      <c r="K22" s="26">
        <v>1.5049999999999999E-2</v>
      </c>
      <c r="L22" s="194"/>
      <c r="M22" s="194"/>
      <c r="N22" s="194"/>
      <c r="O22" s="194"/>
      <c r="P22" s="194"/>
      <c r="Q22" s="28"/>
      <c r="R22" s="28"/>
      <c r="S22" s="28"/>
      <c r="T22" s="28"/>
      <c r="U22" s="28"/>
      <c r="V22" s="28"/>
      <c r="W22" s="28"/>
      <c r="X22" s="28"/>
      <c r="Y22" s="28"/>
      <c r="Z22" s="28"/>
      <c r="AA22" s="39"/>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194"/>
      <c r="AZ22" s="194"/>
      <c r="BA22" s="194"/>
      <c r="BB22" s="194"/>
      <c r="BC22" s="194"/>
      <c r="BD22" s="194"/>
      <c r="BE22" s="194"/>
      <c r="BF22" s="194"/>
      <c r="BG22" s="194"/>
      <c r="BH22" s="194"/>
      <c r="BI22" s="194"/>
      <c r="BJ22" s="194"/>
      <c r="BK22" s="194"/>
      <c r="BL22" s="194"/>
      <c r="BM22" s="28"/>
      <c r="BN22" s="28"/>
    </row>
    <row r="23" spans="1:66" s="20" customFormat="1" ht="14.25" customHeight="1" x14ac:dyDescent="0.2">
      <c r="A23" s="17"/>
      <c r="B23" s="17"/>
      <c r="C23" s="408"/>
      <c r="D23" s="81" t="s">
        <v>492</v>
      </c>
      <c r="E23" s="81" t="s">
        <v>194</v>
      </c>
      <c r="F23" s="27">
        <v>1.1850000000000001</v>
      </c>
      <c r="G23" s="99" t="s">
        <v>14</v>
      </c>
      <c r="H23" s="51">
        <v>0.316</v>
      </c>
      <c r="I23" s="26">
        <v>0.1782</v>
      </c>
      <c r="J23" s="50"/>
      <c r="K23" s="26">
        <v>1.5049999999999999E-2</v>
      </c>
      <c r="L23" s="194"/>
      <c r="M23" s="194"/>
      <c r="N23" s="194"/>
      <c r="O23" s="194"/>
      <c r="P23" s="194"/>
      <c r="Q23" s="28"/>
      <c r="R23" s="28"/>
      <c r="S23" s="28"/>
      <c r="T23" s="28"/>
      <c r="U23" s="28"/>
      <c r="V23" s="28"/>
      <c r="W23" s="28"/>
      <c r="X23" s="28"/>
      <c r="Y23" s="28"/>
      <c r="Z23" s="28"/>
      <c r="AA23" s="39"/>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194"/>
      <c r="AZ23" s="194"/>
      <c r="BA23" s="194"/>
      <c r="BB23" s="194"/>
      <c r="BC23" s="194"/>
      <c r="BD23" s="194"/>
      <c r="BE23" s="194"/>
      <c r="BF23" s="194"/>
      <c r="BG23" s="194"/>
      <c r="BH23" s="194"/>
      <c r="BI23" s="194"/>
      <c r="BJ23" s="194"/>
      <c r="BK23" s="194"/>
      <c r="BL23" s="194"/>
      <c r="BM23" s="28"/>
      <c r="BN23" s="28"/>
    </row>
    <row r="24" spans="1:66" s="20" customFormat="1" ht="14.25" customHeight="1" x14ac:dyDescent="0.2">
      <c r="A24" s="17"/>
      <c r="B24" s="17"/>
      <c r="C24" s="408"/>
      <c r="D24" s="81" t="s">
        <v>493</v>
      </c>
      <c r="E24" s="81" t="s">
        <v>195</v>
      </c>
      <c r="F24" s="27">
        <v>1.1850000000000001</v>
      </c>
      <c r="G24" s="99" t="s">
        <v>14</v>
      </c>
      <c r="H24" s="51">
        <v>0.316</v>
      </c>
      <c r="I24" s="26">
        <v>0.1782</v>
      </c>
      <c r="J24" s="50"/>
      <c r="K24" s="26">
        <v>1.5049999999999999E-2</v>
      </c>
      <c r="L24" s="194"/>
      <c r="M24" s="194"/>
      <c r="N24" s="194"/>
      <c r="O24" s="194"/>
      <c r="P24" s="194"/>
      <c r="Q24" s="28"/>
      <c r="R24" s="28"/>
      <c r="S24" s="28"/>
      <c r="T24" s="28"/>
      <c r="U24" s="28"/>
      <c r="V24" s="28"/>
      <c r="W24" s="28"/>
      <c r="X24" s="28"/>
      <c r="Y24" s="28"/>
      <c r="Z24" s="28"/>
      <c r="AA24" s="39"/>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194"/>
      <c r="AZ24" s="194"/>
      <c r="BA24" s="194"/>
      <c r="BB24" s="194"/>
      <c r="BC24" s="194"/>
      <c r="BD24" s="194"/>
      <c r="BE24" s="194"/>
      <c r="BF24" s="194"/>
      <c r="BG24" s="194"/>
      <c r="BH24" s="194"/>
      <c r="BI24" s="194"/>
      <c r="BJ24" s="194"/>
      <c r="BK24" s="194"/>
      <c r="BL24" s="194"/>
      <c r="BM24" s="28"/>
      <c r="BN24" s="28"/>
    </row>
    <row r="25" spans="1:66" s="20" customFormat="1" ht="14.25" customHeight="1" x14ac:dyDescent="0.2">
      <c r="A25" s="17"/>
      <c r="B25" s="17"/>
      <c r="C25" s="408"/>
      <c r="D25" s="81" t="s">
        <v>494</v>
      </c>
      <c r="E25" s="81" t="s">
        <v>62</v>
      </c>
      <c r="F25" s="27">
        <v>1.1850000000000001</v>
      </c>
      <c r="G25" s="99" t="s">
        <v>14</v>
      </c>
      <c r="H25" s="51">
        <v>0.316</v>
      </c>
      <c r="I25" s="26">
        <v>0.1782</v>
      </c>
      <c r="J25" s="50"/>
      <c r="K25" s="26">
        <v>1.804E-2</v>
      </c>
      <c r="L25" s="194"/>
      <c r="M25" s="194"/>
      <c r="N25" s="194"/>
      <c r="O25" s="194"/>
      <c r="P25" s="194"/>
      <c r="Q25" s="28"/>
      <c r="R25" s="28"/>
      <c r="S25" s="28"/>
      <c r="T25" s="28"/>
      <c r="U25" s="28"/>
      <c r="V25" s="28"/>
      <c r="W25" s="28"/>
      <c r="X25" s="28"/>
      <c r="Y25" s="28"/>
      <c r="Z25" s="28"/>
      <c r="AA25" s="39"/>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194"/>
      <c r="AZ25" s="194"/>
      <c r="BA25" s="194"/>
      <c r="BB25" s="194"/>
      <c r="BC25" s="194"/>
      <c r="BD25" s="194"/>
      <c r="BE25" s="194"/>
      <c r="BF25" s="194"/>
      <c r="BG25" s="194"/>
      <c r="BH25" s="194"/>
      <c r="BI25" s="194"/>
      <c r="BJ25" s="194"/>
      <c r="BK25" s="194"/>
      <c r="BL25" s="194"/>
      <c r="BM25" s="28"/>
      <c r="BN25" s="28"/>
    </row>
    <row r="26" spans="1:66" s="20" customFormat="1" ht="14.25" customHeight="1" x14ac:dyDescent="0.2">
      <c r="A26" s="17"/>
      <c r="B26" s="17"/>
      <c r="C26" s="408"/>
      <c r="D26" s="81" t="s">
        <v>495</v>
      </c>
      <c r="E26" s="81" t="s">
        <v>196</v>
      </c>
      <c r="F26" s="27">
        <v>1.1850000000000001</v>
      </c>
      <c r="G26" s="99" t="s">
        <v>14</v>
      </c>
      <c r="H26" s="51">
        <v>0.316</v>
      </c>
      <c r="I26" s="26">
        <v>0.1782</v>
      </c>
      <c r="J26" s="50"/>
      <c r="K26" s="26">
        <v>1.804E-2</v>
      </c>
      <c r="L26" s="194"/>
      <c r="M26" s="194"/>
      <c r="N26" s="194"/>
      <c r="O26" s="194"/>
      <c r="P26" s="194"/>
      <c r="Q26" s="28"/>
      <c r="R26" s="28"/>
      <c r="S26" s="28"/>
      <c r="T26" s="28"/>
      <c r="U26" s="28"/>
      <c r="V26" s="28"/>
      <c r="W26" s="28"/>
      <c r="X26" s="28"/>
      <c r="Y26" s="28"/>
      <c r="Z26" s="28"/>
      <c r="AA26" s="39"/>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194"/>
      <c r="AZ26" s="194"/>
      <c r="BA26" s="194"/>
      <c r="BB26" s="194"/>
      <c r="BC26" s="194"/>
      <c r="BD26" s="194"/>
      <c r="BE26" s="194"/>
      <c r="BF26" s="194"/>
      <c r="BG26" s="194"/>
      <c r="BH26" s="194"/>
      <c r="BI26" s="194"/>
      <c r="BJ26" s="194"/>
      <c r="BK26" s="194"/>
      <c r="BL26" s="194"/>
      <c r="BM26" s="28"/>
      <c r="BN26" s="28"/>
    </row>
    <row r="27" spans="1:66" s="20" customFormat="1" ht="14.25" customHeight="1" x14ac:dyDescent="0.2">
      <c r="A27" s="17"/>
      <c r="B27" s="17"/>
      <c r="C27" s="408"/>
      <c r="D27" s="81" t="s">
        <v>496</v>
      </c>
      <c r="E27" s="81" t="s">
        <v>197</v>
      </c>
      <c r="F27" s="27">
        <v>1.1850000000000001</v>
      </c>
      <c r="G27" s="99" t="s">
        <v>14</v>
      </c>
      <c r="H27" s="51">
        <v>0.316</v>
      </c>
      <c r="I27" s="26">
        <v>0.1782</v>
      </c>
      <c r="J27" s="50"/>
      <c r="K27" s="26">
        <v>1.804E-2</v>
      </c>
      <c r="L27" s="194"/>
      <c r="M27" s="194"/>
      <c r="N27" s="194"/>
      <c r="O27" s="194"/>
      <c r="P27" s="194"/>
      <c r="Q27" s="28"/>
      <c r="R27" s="28"/>
      <c r="S27" s="28"/>
      <c r="T27" s="28"/>
      <c r="U27" s="28"/>
      <c r="V27" s="28"/>
      <c r="W27" s="28"/>
      <c r="X27" s="28"/>
      <c r="Y27" s="28"/>
      <c r="Z27" s="28"/>
      <c r="AA27" s="39"/>
      <c r="AB27" s="28"/>
      <c r="AC27" s="28"/>
      <c r="AD27" s="28"/>
      <c r="AE27" s="28"/>
      <c r="AF27" s="28"/>
      <c r="AG27" s="28"/>
      <c r="AH27" s="28"/>
      <c r="AI27" s="28"/>
      <c r="AJ27" s="28"/>
      <c r="AK27" s="28"/>
      <c r="AL27" s="28"/>
      <c r="AM27" s="28"/>
      <c r="AN27" s="28"/>
      <c r="AO27" s="28"/>
      <c r="AP27" s="28"/>
      <c r="AQ27" s="19"/>
      <c r="AR27" s="28"/>
      <c r="AS27" s="28"/>
      <c r="AT27" s="28"/>
      <c r="AU27" s="28"/>
      <c r="AV27" s="28"/>
      <c r="AW27" s="28"/>
      <c r="AX27" s="28"/>
      <c r="AY27" s="194"/>
      <c r="AZ27" s="194"/>
      <c r="BA27" s="194"/>
      <c r="BB27" s="194"/>
      <c r="BC27" s="194"/>
      <c r="BD27" s="194"/>
      <c r="BE27" s="194"/>
      <c r="BF27" s="194"/>
      <c r="BG27" s="194"/>
      <c r="BH27" s="194"/>
      <c r="BI27" s="194"/>
      <c r="BJ27" s="194"/>
      <c r="BK27" s="194"/>
      <c r="BL27" s="194"/>
      <c r="BM27" s="28"/>
      <c r="BN27" s="28"/>
    </row>
    <row r="28" spans="1:66" s="20" customFormat="1" ht="12.75" customHeight="1" x14ac:dyDescent="0.2">
      <c r="A28" s="17"/>
      <c r="B28" s="17"/>
      <c r="C28" s="408"/>
      <c r="D28" s="81" t="s">
        <v>497</v>
      </c>
      <c r="E28" s="81" t="s">
        <v>63</v>
      </c>
      <c r="F28" s="27">
        <v>1.1850000000000001</v>
      </c>
      <c r="G28" s="99" t="s">
        <v>14</v>
      </c>
      <c r="H28" s="51">
        <v>0.316</v>
      </c>
      <c r="I28" s="26">
        <v>0.1782</v>
      </c>
      <c r="J28" s="50"/>
      <c r="K28" s="26">
        <v>2.2589999999999999E-2</v>
      </c>
      <c r="L28" s="194"/>
      <c r="M28" s="194"/>
      <c r="N28" s="194"/>
      <c r="O28" s="194"/>
      <c r="P28" s="194"/>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194"/>
      <c r="AZ28" s="194"/>
      <c r="BA28" s="194"/>
      <c r="BB28" s="194"/>
      <c r="BC28" s="194"/>
      <c r="BD28" s="194"/>
      <c r="BE28" s="194"/>
      <c r="BF28" s="194"/>
      <c r="BG28" s="194"/>
      <c r="BH28" s="194"/>
      <c r="BI28" s="194"/>
      <c r="BJ28" s="194"/>
      <c r="BK28" s="194"/>
      <c r="BL28" s="194"/>
      <c r="BM28" s="28"/>
      <c r="BN28" s="28"/>
    </row>
    <row r="29" spans="1:66" s="20" customFormat="1" x14ac:dyDescent="0.2">
      <c r="A29" s="17"/>
      <c r="B29" s="17"/>
      <c r="C29" s="408"/>
      <c r="D29" s="81" t="s">
        <v>498</v>
      </c>
      <c r="E29" s="81" t="s">
        <v>198</v>
      </c>
      <c r="F29" s="27">
        <v>1.1850000000000001</v>
      </c>
      <c r="G29" s="99" t="s">
        <v>14</v>
      </c>
      <c r="H29" s="51">
        <v>0.316</v>
      </c>
      <c r="I29" s="26">
        <v>0.1782</v>
      </c>
      <c r="J29" s="50"/>
      <c r="K29" s="26">
        <v>2.2589999999999999E-2</v>
      </c>
      <c r="L29" s="194"/>
      <c r="M29" s="194"/>
      <c r="N29" s="194"/>
      <c r="O29" s="194"/>
      <c r="P29" s="194"/>
      <c r="Q29" s="28"/>
      <c r="R29" s="28"/>
      <c r="S29" s="28"/>
      <c r="T29" s="28"/>
      <c r="U29" s="28"/>
      <c r="V29" s="28"/>
      <c r="W29" s="28"/>
      <c r="X29" s="28"/>
      <c r="Y29" s="28"/>
      <c r="Z29" s="28"/>
      <c r="AA29" s="39"/>
      <c r="AB29" s="28"/>
      <c r="AC29" s="28"/>
      <c r="AD29" s="28"/>
      <c r="AE29" s="28"/>
      <c r="AF29" s="28"/>
      <c r="AG29" s="28"/>
      <c r="AH29" s="28"/>
      <c r="AI29" s="28"/>
      <c r="AJ29" s="28"/>
      <c r="AK29" s="28"/>
      <c r="AL29" s="28"/>
      <c r="AM29" s="28"/>
      <c r="AN29" s="28"/>
      <c r="AO29" s="28"/>
      <c r="AP29" s="28"/>
      <c r="AQ29" s="19"/>
      <c r="AR29" s="28"/>
      <c r="AS29" s="28"/>
      <c r="AT29" s="28"/>
      <c r="AU29" s="28"/>
      <c r="AV29" s="28"/>
      <c r="AW29" s="28"/>
      <c r="AX29" s="28"/>
      <c r="AY29" s="194"/>
      <c r="AZ29" s="194"/>
      <c r="BA29" s="194"/>
      <c r="BB29" s="194"/>
      <c r="BC29" s="194"/>
      <c r="BD29" s="194"/>
      <c r="BE29" s="194"/>
      <c r="BF29" s="194"/>
      <c r="BG29" s="194"/>
      <c r="BH29" s="194"/>
      <c r="BI29" s="194"/>
      <c r="BJ29" s="194"/>
      <c r="BK29" s="194"/>
      <c r="BL29" s="194"/>
      <c r="BM29" s="28"/>
      <c r="BN29" s="28"/>
    </row>
    <row r="30" spans="1:66" s="20" customFormat="1" x14ac:dyDescent="0.2">
      <c r="A30" s="17"/>
      <c r="B30" s="17"/>
      <c r="C30" s="408"/>
      <c r="D30" s="81" t="s">
        <v>499</v>
      </c>
      <c r="E30" s="81" t="s">
        <v>199</v>
      </c>
      <c r="F30" s="27">
        <v>1.1850000000000001</v>
      </c>
      <c r="G30" s="99" t="s">
        <v>14</v>
      </c>
      <c r="H30" s="51">
        <v>0.316</v>
      </c>
      <c r="I30" s="26">
        <v>0.1782</v>
      </c>
      <c r="J30" s="50"/>
      <c r="K30" s="26">
        <v>2.2589999999999999E-2</v>
      </c>
      <c r="L30" s="194"/>
      <c r="M30" s="194"/>
      <c r="N30" s="194"/>
      <c r="O30" s="194"/>
      <c r="P30" s="194"/>
      <c r="Q30" s="28"/>
      <c r="R30" s="28"/>
      <c r="S30" s="28"/>
      <c r="T30" s="28"/>
      <c r="U30" s="28"/>
      <c r="V30" s="28"/>
      <c r="W30" s="28"/>
      <c r="X30" s="28"/>
      <c r="Y30" s="28"/>
      <c r="Z30" s="28"/>
      <c r="AA30" s="69"/>
      <c r="AB30" s="28"/>
      <c r="AC30" s="28"/>
      <c r="AD30" s="28"/>
      <c r="AE30" s="28"/>
      <c r="AF30" s="28"/>
      <c r="AG30" s="28"/>
      <c r="AH30" s="28"/>
      <c r="AI30" s="28"/>
      <c r="AJ30" s="28"/>
      <c r="AK30" s="28"/>
      <c r="AL30" s="28"/>
      <c r="AM30" s="28"/>
      <c r="AN30" s="28"/>
      <c r="AO30" s="28"/>
      <c r="AP30" s="28"/>
      <c r="AQ30" s="19"/>
      <c r="AR30" s="28"/>
      <c r="AS30" s="28"/>
      <c r="AT30" s="28"/>
      <c r="AU30" s="28"/>
      <c r="AV30" s="28"/>
      <c r="AW30" s="28"/>
      <c r="AX30" s="28"/>
      <c r="AY30" s="194"/>
      <c r="AZ30" s="194"/>
      <c r="BA30" s="194"/>
      <c r="BB30" s="194"/>
      <c r="BC30" s="194"/>
      <c r="BD30" s="194"/>
      <c r="BE30" s="194"/>
      <c r="BF30" s="194"/>
      <c r="BG30" s="194"/>
      <c r="BH30" s="194"/>
      <c r="BI30" s="194"/>
      <c r="BJ30" s="194"/>
      <c r="BK30" s="194"/>
      <c r="BL30" s="194"/>
      <c r="BM30" s="28"/>
      <c r="BN30" s="28"/>
    </row>
    <row r="31" spans="1:66" s="20" customFormat="1" x14ac:dyDescent="0.2">
      <c r="A31" s="17"/>
      <c r="B31" s="17"/>
      <c r="C31" s="408"/>
      <c r="D31" s="81" t="s">
        <v>480</v>
      </c>
      <c r="E31" s="81" t="s">
        <v>200</v>
      </c>
      <c r="F31" s="27">
        <v>1.069</v>
      </c>
      <c r="G31" s="99" t="s">
        <v>12</v>
      </c>
      <c r="H31" s="51">
        <v>0.24099999999999999</v>
      </c>
      <c r="I31" s="26">
        <v>1.502E-2</v>
      </c>
      <c r="J31" s="50"/>
      <c r="K31" s="23">
        <v>7.2999999999999996E-4</v>
      </c>
      <c r="L31" s="194"/>
      <c r="M31" s="194"/>
      <c r="N31" s="194"/>
      <c r="O31" s="194"/>
      <c r="P31" s="194"/>
      <c r="Q31" s="28"/>
      <c r="R31" s="28"/>
      <c r="S31" s="28"/>
      <c r="T31" s="28"/>
      <c r="U31" s="28"/>
      <c r="V31" s="28"/>
      <c r="W31" s="28"/>
      <c r="X31" s="28"/>
      <c r="Y31" s="28"/>
      <c r="Z31" s="28"/>
      <c r="AA31" s="234"/>
      <c r="AB31" s="28"/>
      <c r="AC31" s="28"/>
      <c r="AD31" s="28"/>
      <c r="AE31" s="28"/>
      <c r="AF31" s="28"/>
      <c r="AG31" s="28"/>
      <c r="AH31" s="28"/>
      <c r="AI31" s="28"/>
      <c r="AJ31" s="28"/>
      <c r="AK31" s="28"/>
      <c r="AL31" s="28"/>
      <c r="AM31" s="28"/>
      <c r="AN31" s="28"/>
      <c r="AO31" s="28"/>
      <c r="AP31" s="28"/>
      <c r="AQ31" s="19"/>
      <c r="AR31" s="28"/>
      <c r="AS31" s="28"/>
      <c r="AT31" s="28"/>
      <c r="AU31" s="28"/>
      <c r="AV31" s="28"/>
      <c r="AW31" s="28"/>
      <c r="AX31" s="28"/>
      <c r="AY31" s="194"/>
      <c r="AZ31" s="194"/>
      <c r="BA31" s="194"/>
      <c r="BB31" s="194"/>
      <c r="BC31" s="194"/>
      <c r="BD31" s="194"/>
      <c r="BE31" s="194"/>
      <c r="BF31" s="194"/>
      <c r="BG31" s="194"/>
      <c r="BH31" s="194"/>
      <c r="BI31" s="194"/>
      <c r="BJ31" s="194"/>
      <c r="BK31" s="194"/>
      <c r="BL31" s="194"/>
      <c r="BM31" s="28"/>
      <c r="BN31" s="28"/>
    </row>
    <row r="32" spans="1:66" s="20" customFormat="1" x14ac:dyDescent="0.2">
      <c r="A32" s="17"/>
      <c r="B32" s="17"/>
      <c r="C32" s="408"/>
      <c r="D32" s="81" t="s">
        <v>481</v>
      </c>
      <c r="E32" s="81" t="s">
        <v>201</v>
      </c>
      <c r="F32" s="27">
        <v>1.069</v>
      </c>
      <c r="G32" s="99" t="s">
        <v>12</v>
      </c>
      <c r="H32" s="51">
        <v>0.24099999999999999</v>
      </c>
      <c r="I32" s="26">
        <v>1.502E-2</v>
      </c>
      <c r="J32" s="50"/>
      <c r="K32" s="23">
        <v>7.2999999999999996E-4</v>
      </c>
      <c r="L32" s="194"/>
      <c r="M32" s="194"/>
      <c r="N32" s="194"/>
      <c r="O32" s="194"/>
      <c r="P32" s="194"/>
      <c r="Q32" s="28"/>
      <c r="R32" s="28"/>
      <c r="S32" s="28"/>
      <c r="T32" s="28"/>
      <c r="U32" s="28"/>
      <c r="V32" s="28"/>
      <c r="W32" s="28"/>
      <c r="X32" s="28"/>
      <c r="Y32" s="28"/>
      <c r="Z32" s="28"/>
      <c r="AA32" s="69"/>
      <c r="AB32" s="28"/>
      <c r="AC32" s="28"/>
      <c r="AD32" s="28"/>
      <c r="AE32" s="28"/>
      <c r="AF32" s="28"/>
      <c r="AG32" s="28"/>
      <c r="AH32" s="28"/>
      <c r="AI32" s="28"/>
      <c r="AJ32" s="28"/>
      <c r="AK32" s="28"/>
      <c r="AL32" s="28"/>
      <c r="AM32" s="28"/>
      <c r="AN32" s="28"/>
      <c r="AO32" s="28"/>
      <c r="AP32" s="28"/>
      <c r="AQ32" s="19"/>
      <c r="AR32" s="28"/>
      <c r="AS32" s="28"/>
      <c r="AT32" s="28"/>
      <c r="AU32" s="28"/>
      <c r="AV32" s="28"/>
      <c r="AW32" s="28"/>
      <c r="AX32" s="28"/>
      <c r="AY32" s="194"/>
      <c r="AZ32" s="194"/>
      <c r="BA32" s="194"/>
      <c r="BB32" s="194"/>
      <c r="BC32" s="194"/>
      <c r="BD32" s="194"/>
      <c r="BE32" s="194"/>
      <c r="BF32" s="194"/>
      <c r="BG32" s="194"/>
      <c r="BH32" s="194"/>
      <c r="BI32" s="194"/>
      <c r="BJ32" s="194"/>
      <c r="BK32" s="194"/>
      <c r="BL32" s="194"/>
      <c r="BM32" s="28"/>
      <c r="BN32" s="28"/>
    </row>
    <row r="33" spans="1:66" s="20" customFormat="1" x14ac:dyDescent="0.2">
      <c r="A33" s="17"/>
      <c r="B33" s="17"/>
      <c r="C33" s="409"/>
      <c r="D33" s="81" t="s">
        <v>482</v>
      </c>
      <c r="E33" s="82" t="s">
        <v>280</v>
      </c>
      <c r="F33" s="179">
        <v>1.069</v>
      </c>
      <c r="G33" s="100" t="s">
        <v>12</v>
      </c>
      <c r="H33" s="180">
        <v>0.24099999999999999</v>
      </c>
      <c r="I33" s="181">
        <v>1.502E-2</v>
      </c>
      <c r="J33" s="182"/>
      <c r="K33" s="24">
        <v>7.2999999999999996E-4</v>
      </c>
      <c r="L33" s="194"/>
      <c r="M33" s="194"/>
      <c r="N33" s="194"/>
      <c r="O33" s="194"/>
      <c r="P33" s="194"/>
      <c r="Q33" s="28"/>
      <c r="R33" s="28"/>
      <c r="S33" s="28"/>
      <c r="T33" s="28"/>
      <c r="U33" s="28"/>
      <c r="V33" s="28"/>
      <c r="W33" s="28"/>
      <c r="X33" s="28"/>
      <c r="Y33" s="28"/>
      <c r="Z33" s="28"/>
      <c r="AA33" s="234"/>
      <c r="AB33" s="28"/>
      <c r="AC33" s="28"/>
      <c r="AD33" s="28"/>
      <c r="AE33" s="28"/>
      <c r="AF33" s="28"/>
      <c r="AG33" s="28"/>
      <c r="AH33" s="28"/>
      <c r="AI33" s="28"/>
      <c r="AJ33" s="28"/>
      <c r="AK33" s="28"/>
      <c r="AL33" s="28"/>
      <c r="AM33" s="28"/>
      <c r="AN33" s="28"/>
      <c r="AO33" s="28"/>
      <c r="AP33" s="28"/>
      <c r="AQ33" s="41"/>
      <c r="AR33" s="28"/>
      <c r="AS33" s="28"/>
      <c r="AT33" s="28"/>
      <c r="AU33" s="28"/>
      <c r="AV33" s="28"/>
      <c r="AW33" s="28"/>
      <c r="AX33" s="28"/>
      <c r="AY33" s="194"/>
      <c r="AZ33" s="194"/>
      <c r="BA33" s="194"/>
      <c r="BB33" s="194"/>
      <c r="BC33" s="194"/>
      <c r="BD33" s="194"/>
      <c r="BE33" s="194"/>
      <c r="BF33" s="194"/>
      <c r="BG33" s="194"/>
      <c r="BH33" s="194"/>
      <c r="BI33" s="194"/>
      <c r="BJ33" s="194"/>
      <c r="BK33" s="194"/>
      <c r="BL33" s="194"/>
      <c r="BM33" s="28"/>
      <c r="BN33" s="28"/>
    </row>
    <row r="34" spans="1:66" s="20" customFormat="1" x14ac:dyDescent="0.2">
      <c r="A34" s="17"/>
      <c r="B34" s="17"/>
      <c r="C34" s="231"/>
      <c r="D34" s="231"/>
      <c r="E34" s="231"/>
      <c r="F34" s="231"/>
      <c r="G34" s="231"/>
      <c r="H34" s="231"/>
      <c r="I34" s="231"/>
      <c r="J34" s="231"/>
      <c r="K34" s="231"/>
      <c r="L34" s="194"/>
      <c r="M34" s="194"/>
      <c r="N34" s="194"/>
      <c r="O34" s="194"/>
      <c r="P34" s="194"/>
      <c r="Q34" s="28"/>
      <c r="R34" s="28"/>
      <c r="S34" s="28"/>
      <c r="T34" s="28"/>
      <c r="U34" s="28"/>
      <c r="V34" s="28"/>
      <c r="W34" s="28"/>
      <c r="X34" s="28"/>
      <c r="Y34" s="28"/>
      <c r="Z34" s="28"/>
      <c r="AA34" s="234"/>
      <c r="AB34" s="28"/>
      <c r="AC34" s="28"/>
      <c r="AD34" s="28"/>
      <c r="AE34" s="28"/>
      <c r="AF34" s="28"/>
      <c r="AG34" s="28"/>
      <c r="AH34" s="28"/>
      <c r="AI34" s="28"/>
      <c r="AJ34" s="28"/>
      <c r="AK34" s="28"/>
      <c r="AL34" s="28"/>
      <c r="AM34" s="28"/>
      <c r="AN34" s="28"/>
      <c r="AO34" s="28"/>
      <c r="AP34" s="28"/>
      <c r="AQ34" s="41"/>
      <c r="AR34" s="28"/>
      <c r="AS34" s="28"/>
      <c r="AT34" s="28"/>
      <c r="AU34" s="28"/>
      <c r="AV34" s="28"/>
      <c r="AW34" s="28"/>
      <c r="AX34" s="28"/>
      <c r="AY34" s="194"/>
      <c r="AZ34" s="194"/>
      <c r="BA34" s="194"/>
      <c r="BB34" s="194"/>
      <c r="BC34" s="194"/>
      <c r="BD34" s="194"/>
      <c r="BE34" s="194"/>
      <c r="BF34" s="194"/>
      <c r="BG34" s="194"/>
      <c r="BH34" s="194"/>
      <c r="BI34" s="194"/>
      <c r="BJ34" s="194"/>
      <c r="BK34" s="194"/>
      <c r="BL34" s="194"/>
      <c r="BM34" s="28"/>
      <c r="BN34" s="28"/>
    </row>
    <row r="35" spans="1:66" s="20" customFormat="1" ht="12.75" customHeight="1" x14ac:dyDescent="0.2">
      <c r="A35" s="17"/>
      <c r="B35" s="17"/>
      <c r="C35" s="304" t="s">
        <v>224</v>
      </c>
      <c r="D35" s="315"/>
      <c r="E35" s="340"/>
      <c r="F35" s="340"/>
      <c r="G35" s="340"/>
      <c r="H35" s="340"/>
      <c r="I35" s="340"/>
      <c r="J35" s="340"/>
      <c r="K35" s="341"/>
      <c r="L35" s="194"/>
      <c r="M35" s="194"/>
      <c r="N35" s="194"/>
      <c r="O35" s="194"/>
      <c r="P35" s="194"/>
      <c r="Q35" s="28"/>
      <c r="R35" s="28"/>
      <c r="S35" s="28"/>
      <c r="T35" s="28"/>
      <c r="U35" s="28"/>
      <c r="V35" s="28"/>
      <c r="W35" s="28"/>
      <c r="X35" s="28"/>
      <c r="Y35" s="28"/>
      <c r="Z35" s="28"/>
      <c r="AA35" s="3"/>
      <c r="AB35" s="28"/>
      <c r="AC35" s="28"/>
      <c r="AD35" s="28"/>
      <c r="AE35" s="28"/>
      <c r="AF35" s="28"/>
      <c r="AG35" s="28"/>
      <c r="AH35" s="28"/>
      <c r="AI35" s="28"/>
      <c r="AJ35" s="28"/>
      <c r="AK35" s="28"/>
      <c r="AL35" s="28"/>
      <c r="AM35" s="28"/>
      <c r="AN35" s="28"/>
      <c r="AO35" s="28"/>
      <c r="AP35" s="28"/>
      <c r="AQ35" s="19"/>
      <c r="AR35" s="28"/>
      <c r="AS35" s="28"/>
      <c r="AT35" s="28"/>
      <c r="AU35" s="28"/>
      <c r="AV35" s="28"/>
      <c r="AW35" s="28"/>
      <c r="AX35" s="28"/>
      <c r="AY35" s="194"/>
      <c r="AZ35" s="194"/>
      <c r="BA35" s="194"/>
      <c r="BB35" s="194"/>
      <c r="BC35" s="194"/>
      <c r="BD35" s="194"/>
      <c r="BE35" s="194"/>
      <c r="BF35" s="194"/>
      <c r="BG35" s="194"/>
      <c r="BH35" s="194"/>
      <c r="BI35" s="194"/>
      <c r="BJ35" s="194"/>
      <c r="BK35" s="194"/>
      <c r="BL35" s="194"/>
      <c r="BM35" s="28"/>
      <c r="BN35" s="28"/>
    </row>
    <row r="36" spans="1:66" s="20" customFormat="1" ht="23.25" customHeight="1" x14ac:dyDescent="0.2">
      <c r="A36" s="17"/>
      <c r="B36" s="17"/>
      <c r="C36" s="326" t="s">
        <v>169</v>
      </c>
      <c r="D36" s="357"/>
      <c r="E36" s="338"/>
      <c r="F36" s="338"/>
      <c r="G36" s="338"/>
      <c r="H36" s="338"/>
      <c r="I36" s="338"/>
      <c r="J36" s="338"/>
      <c r="K36" s="339"/>
      <c r="L36" s="194"/>
      <c r="M36" s="194"/>
      <c r="N36" s="194"/>
      <c r="O36" s="194"/>
      <c r="P36" s="194"/>
      <c r="Q36" s="28"/>
      <c r="R36" s="28"/>
      <c r="S36" s="28"/>
      <c r="T36" s="28"/>
      <c r="U36" s="28"/>
      <c r="V36" s="28"/>
      <c r="W36" s="28"/>
      <c r="X36" s="28"/>
      <c r="Y36" s="28"/>
      <c r="Z36" s="28"/>
      <c r="AA36" s="3"/>
      <c r="AB36" s="28"/>
      <c r="AC36" s="28"/>
      <c r="AD36" s="28"/>
      <c r="AE36" s="28"/>
      <c r="AF36" s="28"/>
      <c r="AG36" s="28"/>
      <c r="AH36" s="28"/>
      <c r="AI36" s="28"/>
      <c r="AJ36" s="28"/>
      <c r="AK36" s="28"/>
      <c r="AL36" s="28"/>
      <c r="AM36" s="28"/>
      <c r="AN36" s="28"/>
      <c r="AO36" s="28"/>
      <c r="AP36" s="28"/>
      <c r="AQ36" s="19"/>
      <c r="AR36" s="28"/>
      <c r="AS36" s="28"/>
      <c r="AT36" s="28"/>
      <c r="AU36" s="28"/>
      <c r="AV36" s="28"/>
      <c r="AW36" s="28"/>
      <c r="AX36" s="28"/>
      <c r="AY36" s="194"/>
      <c r="AZ36" s="194"/>
      <c r="BA36" s="194"/>
      <c r="BB36" s="194"/>
      <c r="BC36" s="194"/>
      <c r="BD36" s="194"/>
      <c r="BE36" s="194"/>
      <c r="BF36" s="194"/>
      <c r="BG36" s="194"/>
      <c r="BH36" s="194"/>
      <c r="BI36" s="194"/>
      <c r="BJ36" s="194"/>
      <c r="BK36" s="194"/>
      <c r="BL36" s="194"/>
      <c r="BM36" s="28"/>
      <c r="BN36" s="28"/>
    </row>
    <row r="37" spans="1:66" s="20" customFormat="1" ht="30" customHeight="1" x14ac:dyDescent="0.2">
      <c r="A37" s="17"/>
      <c r="B37" s="17"/>
      <c r="C37" s="415" t="s">
        <v>271</v>
      </c>
      <c r="D37" s="416"/>
      <c r="E37" s="416"/>
      <c r="F37" s="416"/>
      <c r="G37" s="416"/>
      <c r="H37" s="416"/>
      <c r="I37" s="416"/>
      <c r="J37" s="416"/>
      <c r="K37" s="417"/>
      <c r="L37" s="194"/>
      <c r="M37" s="194"/>
      <c r="N37" s="194"/>
      <c r="O37" s="194"/>
      <c r="P37" s="194"/>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194"/>
      <c r="AZ37" s="194"/>
      <c r="BA37" s="194"/>
      <c r="BB37" s="194"/>
      <c r="BC37" s="194"/>
      <c r="BD37" s="194"/>
      <c r="BE37" s="194"/>
      <c r="BF37" s="194"/>
      <c r="BG37" s="194"/>
      <c r="BH37" s="194"/>
      <c r="BI37" s="194"/>
      <c r="BJ37" s="194"/>
      <c r="BK37" s="194"/>
      <c r="BL37" s="194"/>
      <c r="BM37" s="28"/>
      <c r="BN37" s="28"/>
    </row>
    <row r="38" spans="1:66" s="20" customFormat="1" ht="28.5" customHeight="1" x14ac:dyDescent="0.2">
      <c r="A38" s="17"/>
      <c r="B38" s="17"/>
      <c r="C38" s="194"/>
      <c r="D38" s="194"/>
      <c r="E38" s="194"/>
      <c r="F38" s="194"/>
      <c r="G38" s="194"/>
      <c r="H38" s="194"/>
      <c r="I38" s="194"/>
      <c r="J38" s="194"/>
      <c r="K38" s="194"/>
      <c r="L38" s="194"/>
      <c r="M38" s="194"/>
      <c r="N38" s="194"/>
      <c r="O38" s="194"/>
      <c r="P38" s="194"/>
      <c r="Q38" s="28"/>
      <c r="R38" s="28"/>
      <c r="S38" s="28"/>
      <c r="T38" s="28"/>
      <c r="U38" s="28"/>
      <c r="V38" s="28"/>
      <c r="W38" s="28"/>
      <c r="X38" s="28"/>
      <c r="Y38" s="28"/>
      <c r="Z38" s="28"/>
      <c r="AA38" s="52"/>
      <c r="AB38" s="52"/>
      <c r="AC38" s="28"/>
      <c r="AD38" s="28"/>
      <c r="AE38" s="28"/>
      <c r="AF38" s="28"/>
      <c r="AG38" s="28"/>
      <c r="AH38" s="28"/>
      <c r="AI38" s="28"/>
      <c r="AJ38" s="28"/>
      <c r="AK38" s="28"/>
      <c r="AL38" s="28"/>
      <c r="AM38" s="28"/>
      <c r="AN38" s="28"/>
      <c r="AO38" s="28"/>
      <c r="AP38" s="28"/>
      <c r="AQ38" s="28"/>
      <c r="AR38" s="28"/>
      <c r="AS38" s="28"/>
      <c r="AT38" s="28"/>
      <c r="AU38" s="28"/>
      <c r="AV38" s="28"/>
      <c r="AW38" s="28"/>
      <c r="AX38" s="28"/>
      <c r="AY38" s="194"/>
      <c r="AZ38" s="194"/>
      <c r="BA38" s="194"/>
      <c r="BB38" s="194"/>
      <c r="BC38" s="194"/>
      <c r="BD38" s="194"/>
      <c r="BE38" s="194"/>
      <c r="BF38" s="194"/>
      <c r="BG38" s="194"/>
      <c r="BH38" s="194"/>
      <c r="BI38" s="194"/>
      <c r="BJ38" s="194"/>
      <c r="BK38" s="194"/>
      <c r="BL38" s="194"/>
      <c r="BM38" s="28"/>
      <c r="BN38" s="28"/>
    </row>
    <row r="39" spans="1:66" s="20" customFormat="1" ht="40.5" customHeight="1" x14ac:dyDescent="0.2">
      <c r="A39" s="17"/>
      <c r="B39" s="17"/>
      <c r="C39" s="194"/>
      <c r="D39" s="194"/>
      <c r="E39" s="194"/>
      <c r="F39" s="194"/>
      <c r="G39" s="194"/>
      <c r="H39" s="194"/>
      <c r="I39" s="194"/>
      <c r="J39" s="194"/>
      <c r="K39" s="194"/>
      <c r="L39" s="194"/>
      <c r="M39" s="194"/>
      <c r="N39" s="194"/>
      <c r="O39" s="194"/>
      <c r="P39" s="194"/>
      <c r="Q39" s="28"/>
      <c r="R39" s="28"/>
      <c r="S39" s="28"/>
      <c r="T39" s="28"/>
      <c r="U39" s="28"/>
      <c r="V39" s="28"/>
      <c r="W39" s="28"/>
      <c r="X39" s="28"/>
      <c r="Y39" s="28"/>
      <c r="Z39" s="28"/>
      <c r="AA39" s="232"/>
      <c r="AB39" s="52"/>
      <c r="AC39" s="28"/>
      <c r="AD39" s="28"/>
      <c r="AE39" s="28"/>
      <c r="AF39" s="28"/>
      <c r="AG39" s="28"/>
      <c r="AH39" s="28"/>
      <c r="AI39" s="28"/>
      <c r="AJ39" s="28"/>
      <c r="AK39" s="28"/>
      <c r="AL39" s="28"/>
      <c r="AM39" s="28"/>
      <c r="AN39" s="28"/>
      <c r="AO39" s="28"/>
      <c r="AP39" s="28"/>
      <c r="AQ39" s="28"/>
      <c r="AR39" s="28"/>
      <c r="AS39" s="28"/>
      <c r="AT39" s="28"/>
      <c r="AU39" s="28"/>
      <c r="AV39" s="28"/>
      <c r="AW39" s="28"/>
      <c r="AX39" s="28"/>
      <c r="AY39" s="194"/>
      <c r="AZ39" s="194"/>
      <c r="BA39" s="194"/>
      <c r="BB39" s="194"/>
      <c r="BC39" s="194"/>
      <c r="BD39" s="194"/>
      <c r="BE39" s="194"/>
      <c r="BF39" s="194"/>
      <c r="BG39" s="194"/>
      <c r="BH39" s="194"/>
      <c r="BI39" s="194"/>
      <c r="BJ39" s="194"/>
      <c r="BK39" s="194"/>
      <c r="BL39" s="194"/>
      <c r="BM39" s="28"/>
      <c r="BN39" s="28"/>
    </row>
    <row r="40" spans="1:66" s="20" customFormat="1" ht="30" customHeight="1" x14ac:dyDescent="0.2">
      <c r="A40" s="17"/>
      <c r="B40" s="17"/>
      <c r="C40" s="194"/>
      <c r="D40" s="194"/>
      <c r="E40" s="194"/>
      <c r="F40" s="194"/>
      <c r="G40" s="194"/>
      <c r="H40" s="194"/>
      <c r="I40" s="194"/>
      <c r="J40" s="194"/>
      <c r="K40" s="194"/>
      <c r="L40" s="194"/>
      <c r="M40" s="194"/>
      <c r="N40" s="194"/>
      <c r="O40" s="194"/>
      <c r="P40" s="194"/>
      <c r="Q40" s="28"/>
      <c r="R40" s="28"/>
      <c r="S40" s="28"/>
      <c r="T40" s="28"/>
      <c r="U40" s="28"/>
      <c r="V40" s="28"/>
      <c r="W40" s="28"/>
      <c r="X40" s="28"/>
      <c r="Y40" s="28"/>
      <c r="Z40" s="28"/>
      <c r="AA40" s="52"/>
      <c r="AB40" s="52"/>
      <c r="AC40" s="28"/>
      <c r="AD40" s="28"/>
      <c r="AE40" s="28"/>
      <c r="AF40" s="28"/>
      <c r="AG40" s="28"/>
      <c r="AH40" s="28"/>
      <c r="AI40" s="28"/>
      <c r="AJ40" s="28"/>
      <c r="AK40" s="28"/>
      <c r="AL40" s="28"/>
      <c r="AM40" s="28"/>
      <c r="AN40" s="28"/>
      <c r="AO40" s="28"/>
      <c r="AP40" s="28"/>
      <c r="AQ40" s="28"/>
      <c r="AR40" s="28"/>
      <c r="AS40" s="28"/>
      <c r="AT40" s="28"/>
      <c r="AU40" s="28"/>
      <c r="AV40" s="28"/>
      <c r="AW40" s="28"/>
      <c r="AX40" s="28"/>
      <c r="AY40" s="194"/>
      <c r="AZ40" s="194"/>
      <c r="BA40" s="194"/>
      <c r="BB40" s="194"/>
      <c r="BC40" s="194"/>
      <c r="BD40" s="194"/>
      <c r="BE40" s="194"/>
      <c r="BF40" s="194"/>
      <c r="BG40" s="194"/>
      <c r="BH40" s="194"/>
      <c r="BI40" s="194"/>
      <c r="BJ40" s="194"/>
      <c r="BK40" s="194"/>
      <c r="BL40" s="194"/>
      <c r="BM40" s="28"/>
      <c r="BN40" s="28"/>
    </row>
    <row r="41" spans="1:66" s="127" customFormat="1" ht="26.25" customHeight="1" x14ac:dyDescent="0.2">
      <c r="A41" s="124"/>
      <c r="B41" s="124"/>
      <c r="C41" s="194"/>
      <c r="D41" s="194"/>
      <c r="E41" s="194"/>
      <c r="F41" s="194"/>
      <c r="G41" s="194"/>
      <c r="H41" s="194"/>
      <c r="I41" s="194"/>
      <c r="J41" s="194"/>
      <c r="K41" s="194"/>
      <c r="L41" s="194"/>
      <c r="M41" s="194"/>
      <c r="N41" s="194"/>
      <c r="O41" s="194"/>
      <c r="P41" s="194"/>
      <c r="Q41" s="124"/>
      <c r="R41" s="124"/>
      <c r="S41" s="124"/>
      <c r="T41" s="124"/>
      <c r="U41" s="124"/>
      <c r="V41" s="124"/>
      <c r="W41" s="124"/>
      <c r="X41" s="124"/>
      <c r="Y41" s="124"/>
      <c r="Z41" s="124"/>
      <c r="AA41" s="124"/>
      <c r="AB41" s="124"/>
      <c r="AC41" s="124"/>
      <c r="AD41" s="124"/>
      <c r="AE41" s="124"/>
      <c r="AF41" s="124"/>
      <c r="AG41" s="124"/>
      <c r="AH41" s="124"/>
      <c r="AI41" s="124"/>
      <c r="AJ41" s="124"/>
      <c r="AK41" s="124"/>
      <c r="AL41" s="124"/>
      <c r="AM41" s="124"/>
      <c r="AN41" s="124"/>
      <c r="AO41" s="124"/>
      <c r="AP41" s="124"/>
      <c r="AQ41" s="124"/>
      <c r="AR41" s="124"/>
      <c r="AS41" s="124"/>
      <c r="AT41" s="124"/>
      <c r="AU41" s="124"/>
      <c r="AV41" s="124"/>
      <c r="AW41" s="124"/>
      <c r="AX41" s="124"/>
      <c r="AY41" s="194"/>
      <c r="AZ41" s="194"/>
      <c r="BA41" s="194"/>
      <c r="BB41" s="194"/>
      <c r="BC41" s="194"/>
      <c r="BD41" s="194"/>
      <c r="BE41" s="194"/>
      <c r="BF41" s="194"/>
      <c r="BG41" s="194"/>
      <c r="BH41" s="194"/>
      <c r="BI41" s="194"/>
      <c r="BJ41" s="194"/>
      <c r="BK41" s="194"/>
      <c r="BL41" s="194"/>
      <c r="BM41" s="124"/>
      <c r="BN41" s="124"/>
    </row>
    <row r="42" spans="1:66" s="127" customFormat="1" ht="15" customHeight="1" x14ac:dyDescent="0.2">
      <c r="A42" s="124"/>
      <c r="B42" s="124"/>
      <c r="C42" s="194"/>
      <c r="D42" s="194"/>
      <c r="E42" s="194"/>
      <c r="F42" s="194"/>
      <c r="G42" s="194"/>
      <c r="H42" s="194"/>
      <c r="I42" s="194"/>
      <c r="J42" s="194"/>
      <c r="K42" s="194"/>
      <c r="L42" s="194"/>
      <c r="M42" s="194"/>
      <c r="N42" s="194"/>
      <c r="O42" s="194"/>
      <c r="P42" s="194"/>
      <c r="Q42" s="124"/>
      <c r="R42" s="124"/>
      <c r="S42" s="124"/>
      <c r="T42" s="124"/>
      <c r="U42" s="124"/>
      <c r="V42" s="124"/>
      <c r="W42" s="124"/>
      <c r="X42" s="124"/>
      <c r="Y42" s="124"/>
      <c r="Z42" s="124"/>
      <c r="AA42" s="124"/>
      <c r="AB42" s="124"/>
      <c r="AC42" s="124"/>
      <c r="AD42" s="124"/>
      <c r="AE42" s="124"/>
      <c r="AF42" s="124"/>
      <c r="AG42" s="124"/>
      <c r="AH42" s="124"/>
      <c r="AI42" s="124"/>
      <c r="AJ42" s="124"/>
      <c r="AK42" s="124"/>
      <c r="AL42" s="124"/>
      <c r="AM42" s="124"/>
      <c r="AN42" s="124"/>
      <c r="AO42" s="124"/>
      <c r="AP42" s="124"/>
      <c r="AQ42" s="124"/>
      <c r="AR42" s="124"/>
      <c r="AS42" s="124"/>
      <c r="AT42" s="124"/>
      <c r="AU42" s="124"/>
      <c r="AV42" s="124"/>
      <c r="AW42" s="124"/>
      <c r="AX42" s="124"/>
      <c r="AY42" s="194"/>
      <c r="AZ42" s="194"/>
      <c r="BA42" s="194"/>
      <c r="BB42" s="194"/>
      <c r="BC42" s="194"/>
      <c r="BD42" s="194"/>
      <c r="BE42" s="194"/>
      <c r="BF42" s="194"/>
      <c r="BG42" s="194"/>
      <c r="BH42" s="194"/>
      <c r="BI42" s="194"/>
      <c r="BJ42" s="194"/>
      <c r="BK42" s="194"/>
      <c r="BL42" s="194"/>
      <c r="BM42" s="124"/>
      <c r="BN42" s="124"/>
    </row>
    <row r="43" spans="1:66" s="127" customFormat="1" ht="15" customHeight="1" x14ac:dyDescent="0.2">
      <c r="A43" s="124"/>
      <c r="B43" s="124"/>
      <c r="C43" s="194"/>
      <c r="D43" s="194"/>
      <c r="E43" s="194"/>
      <c r="F43" s="194"/>
      <c r="G43" s="194"/>
      <c r="H43" s="194"/>
      <c r="I43" s="194"/>
      <c r="J43" s="194"/>
      <c r="K43" s="194"/>
      <c r="L43" s="194"/>
      <c r="M43" s="194"/>
      <c r="N43" s="194"/>
      <c r="O43" s="194"/>
      <c r="P43" s="194"/>
      <c r="Q43" s="124"/>
      <c r="R43" s="124"/>
      <c r="S43" s="124"/>
      <c r="T43" s="124"/>
      <c r="U43" s="124"/>
      <c r="V43" s="124"/>
      <c r="W43" s="124"/>
      <c r="X43" s="124"/>
      <c r="Y43" s="124"/>
      <c r="Z43" s="124"/>
      <c r="AA43" s="124"/>
      <c r="AB43" s="124"/>
      <c r="AC43" s="124"/>
      <c r="AD43" s="124"/>
      <c r="AE43" s="124"/>
      <c r="AF43" s="124"/>
      <c r="AG43" s="124"/>
      <c r="AH43" s="124"/>
      <c r="AI43" s="124"/>
      <c r="AJ43" s="124"/>
      <c r="AK43" s="124"/>
      <c r="AL43" s="124"/>
      <c r="AM43" s="124"/>
      <c r="AN43" s="124"/>
      <c r="AO43" s="124"/>
      <c r="AP43" s="124"/>
      <c r="AQ43" s="124"/>
      <c r="AR43" s="124"/>
      <c r="AS43" s="124"/>
      <c r="AT43" s="124"/>
      <c r="AU43" s="124"/>
      <c r="AV43" s="124"/>
      <c r="AW43" s="124"/>
      <c r="AX43" s="124"/>
      <c r="AY43" s="194"/>
      <c r="AZ43" s="194"/>
      <c r="BA43" s="194"/>
      <c r="BB43" s="194"/>
      <c r="BC43" s="194"/>
      <c r="BD43" s="194"/>
      <c r="BE43" s="194"/>
      <c r="BF43" s="194"/>
      <c r="BG43" s="194"/>
      <c r="BH43" s="194"/>
      <c r="BI43" s="194"/>
      <c r="BJ43" s="194"/>
      <c r="BK43" s="194"/>
      <c r="BL43" s="194"/>
      <c r="BM43" s="124"/>
      <c r="BN43" s="124"/>
    </row>
    <row r="44" spans="1:66" s="127" customFormat="1" ht="14.25" customHeight="1" x14ac:dyDescent="0.2">
      <c r="A44" s="124"/>
      <c r="B44" s="124"/>
      <c r="C44" s="194"/>
      <c r="D44" s="194"/>
      <c r="E44" s="194"/>
      <c r="F44" s="194"/>
      <c r="G44" s="194"/>
      <c r="H44" s="194"/>
      <c r="I44" s="194"/>
      <c r="J44" s="194"/>
      <c r="K44" s="194"/>
      <c r="L44" s="194"/>
      <c r="M44" s="194"/>
      <c r="N44" s="194"/>
      <c r="O44" s="194"/>
      <c r="P44" s="194"/>
      <c r="Q44" s="124"/>
      <c r="R44" s="124"/>
      <c r="S44" s="124"/>
      <c r="T44" s="124"/>
      <c r="U44" s="124"/>
      <c r="V44" s="124"/>
      <c r="W44" s="124"/>
      <c r="X44" s="124"/>
      <c r="Y44" s="124"/>
      <c r="Z44" s="124"/>
      <c r="AA44" s="124"/>
      <c r="AB44" s="124"/>
      <c r="AC44" s="124"/>
      <c r="AD44" s="124"/>
      <c r="AE44" s="124"/>
      <c r="AF44" s="124"/>
      <c r="AG44" s="124"/>
      <c r="AH44" s="124"/>
      <c r="AI44" s="124"/>
      <c r="AJ44" s="124"/>
      <c r="AK44" s="124"/>
      <c r="AL44" s="124"/>
      <c r="AM44" s="124"/>
      <c r="AN44" s="124"/>
      <c r="AO44" s="124"/>
      <c r="AP44" s="124"/>
      <c r="AQ44" s="124"/>
      <c r="AR44" s="124"/>
      <c r="AS44" s="124"/>
      <c r="AT44" s="124"/>
      <c r="AU44" s="124"/>
      <c r="AV44" s="124"/>
      <c r="AW44" s="124"/>
      <c r="AX44" s="124"/>
      <c r="AY44" s="194"/>
      <c r="AZ44" s="194"/>
      <c r="BA44" s="194"/>
      <c r="BB44" s="194"/>
      <c r="BC44" s="194"/>
      <c r="BD44" s="194"/>
      <c r="BE44" s="194"/>
      <c r="BF44" s="194"/>
      <c r="BG44" s="194"/>
      <c r="BH44" s="194"/>
      <c r="BI44" s="194"/>
      <c r="BJ44" s="194"/>
      <c r="BK44" s="194"/>
      <c r="BL44" s="194"/>
      <c r="BM44" s="124"/>
      <c r="BN44" s="124"/>
    </row>
    <row r="45" spans="1:66" s="127" customFormat="1" x14ac:dyDescent="0.2">
      <c r="A45" s="124"/>
      <c r="B45" s="124"/>
      <c r="C45" s="194"/>
      <c r="D45" s="194"/>
      <c r="E45" s="194"/>
      <c r="F45" s="194"/>
      <c r="G45" s="194"/>
      <c r="H45" s="194"/>
      <c r="I45" s="194"/>
      <c r="J45" s="194"/>
      <c r="K45" s="194"/>
      <c r="L45" s="194"/>
      <c r="M45" s="194"/>
      <c r="N45" s="194"/>
      <c r="O45" s="194"/>
      <c r="P45" s="194"/>
      <c r="Q45" s="124"/>
      <c r="R45" s="124"/>
      <c r="S45" s="124"/>
      <c r="T45" s="124"/>
      <c r="U45" s="124"/>
      <c r="V45" s="124"/>
      <c r="W45" s="124"/>
      <c r="X45" s="124"/>
      <c r="Y45" s="124"/>
      <c r="Z45" s="124"/>
      <c r="AA45" s="124"/>
      <c r="AB45" s="124"/>
      <c r="AC45" s="124"/>
      <c r="AD45" s="124"/>
      <c r="AE45" s="124"/>
      <c r="AF45" s="124"/>
      <c r="AG45" s="124"/>
      <c r="AH45" s="124"/>
      <c r="AI45" s="124"/>
      <c r="AJ45" s="124"/>
      <c r="AK45" s="124"/>
      <c r="AL45" s="124"/>
      <c r="AM45" s="124"/>
      <c r="AN45" s="124"/>
      <c r="AO45" s="124"/>
      <c r="AP45" s="124"/>
      <c r="AQ45" s="124"/>
      <c r="AR45" s="124"/>
      <c r="AS45" s="124"/>
      <c r="AT45" s="124"/>
      <c r="AU45" s="124"/>
      <c r="AV45" s="124"/>
      <c r="AW45" s="124"/>
      <c r="AX45" s="124"/>
      <c r="AY45" s="194"/>
      <c r="AZ45" s="194"/>
      <c r="BA45" s="194"/>
      <c r="BB45" s="194"/>
      <c r="BC45" s="194"/>
      <c r="BD45" s="194"/>
      <c r="BE45" s="194"/>
      <c r="BF45" s="194"/>
      <c r="BG45" s="194"/>
      <c r="BH45" s="194"/>
      <c r="BI45" s="194"/>
      <c r="BJ45" s="194"/>
      <c r="BK45" s="194"/>
      <c r="BL45" s="194"/>
      <c r="BM45" s="124"/>
      <c r="BN45" s="124"/>
    </row>
    <row r="46" spans="1:66" s="127" customFormat="1" ht="30" customHeight="1" x14ac:dyDescent="0.2">
      <c r="A46" s="124"/>
      <c r="B46" s="124"/>
      <c r="C46" s="194"/>
      <c r="D46" s="194"/>
      <c r="E46" s="194"/>
      <c r="F46" s="194"/>
      <c r="G46" s="194"/>
      <c r="H46" s="194"/>
      <c r="I46" s="194"/>
      <c r="J46" s="194"/>
      <c r="K46" s="194"/>
      <c r="L46" s="194"/>
      <c r="M46" s="194"/>
      <c r="N46" s="194"/>
      <c r="O46" s="194"/>
      <c r="P46" s="19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94"/>
      <c r="AZ46" s="194"/>
      <c r="BA46" s="194"/>
      <c r="BB46" s="194"/>
      <c r="BC46" s="194"/>
      <c r="BD46" s="194"/>
      <c r="BE46" s="194"/>
      <c r="BF46" s="194"/>
      <c r="BG46" s="194"/>
      <c r="BH46" s="194"/>
      <c r="BI46" s="194"/>
      <c r="BJ46" s="194"/>
      <c r="BK46" s="194"/>
      <c r="BL46" s="194"/>
      <c r="BM46" s="124"/>
      <c r="BN46" s="124"/>
    </row>
    <row r="47" spans="1:66" s="127" customFormat="1" ht="30" customHeight="1" x14ac:dyDescent="0.2">
      <c r="A47" s="124"/>
      <c r="B47" s="124"/>
      <c r="C47" s="194"/>
      <c r="D47" s="194"/>
      <c r="E47" s="194"/>
      <c r="F47" s="194"/>
      <c r="G47" s="194"/>
      <c r="H47" s="194"/>
      <c r="I47" s="194"/>
      <c r="J47" s="194"/>
      <c r="K47" s="194"/>
      <c r="L47" s="194"/>
      <c r="M47" s="194"/>
      <c r="N47" s="194"/>
      <c r="O47" s="194"/>
      <c r="P47" s="19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94"/>
      <c r="AZ47" s="194"/>
      <c r="BA47" s="194"/>
      <c r="BB47" s="194"/>
      <c r="BC47" s="194"/>
      <c r="BD47" s="194"/>
      <c r="BE47" s="194"/>
      <c r="BF47" s="194"/>
      <c r="BG47" s="194"/>
      <c r="BH47" s="194"/>
      <c r="BI47" s="194"/>
      <c r="BJ47" s="194"/>
      <c r="BK47" s="194"/>
      <c r="BL47" s="194"/>
      <c r="BM47" s="124"/>
      <c r="BN47" s="124"/>
    </row>
    <row r="48" spans="1:66" s="127" customFormat="1" ht="30" customHeight="1" x14ac:dyDescent="0.2">
      <c r="A48" s="124"/>
      <c r="B48" s="124"/>
      <c r="C48" s="194"/>
      <c r="D48" s="194"/>
      <c r="E48" s="194"/>
      <c r="F48" s="194"/>
      <c r="G48" s="194"/>
      <c r="H48" s="194"/>
      <c r="I48" s="194"/>
      <c r="J48" s="194"/>
      <c r="K48" s="194"/>
      <c r="L48" s="194"/>
      <c r="M48" s="194"/>
      <c r="N48" s="194"/>
      <c r="O48" s="194"/>
      <c r="P48" s="19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c r="BC48" s="124"/>
      <c r="BD48" s="124"/>
      <c r="BE48" s="124"/>
      <c r="BF48" s="124"/>
      <c r="BG48" s="124"/>
      <c r="BH48" s="124"/>
      <c r="BI48" s="124"/>
      <c r="BJ48" s="124"/>
      <c r="BK48" s="124"/>
      <c r="BL48" s="124"/>
      <c r="BM48" s="124"/>
      <c r="BN48" s="124"/>
    </row>
    <row r="49" spans="3:62" s="124" customFormat="1" ht="30" customHeight="1" x14ac:dyDescent="0.2">
      <c r="C49" s="194"/>
      <c r="D49" s="194"/>
      <c r="E49" s="194"/>
      <c r="F49" s="194"/>
      <c r="G49" s="194"/>
      <c r="H49" s="194"/>
      <c r="I49" s="194"/>
      <c r="J49" s="194"/>
      <c r="K49" s="194"/>
      <c r="L49" s="194"/>
      <c r="M49" s="194"/>
      <c r="N49" s="194"/>
      <c r="O49" s="194"/>
      <c r="P49" s="194"/>
    </row>
    <row r="50" spans="3:62" s="28" customFormat="1" ht="27.75" customHeight="1" x14ac:dyDescent="0.2">
      <c r="C50" s="194"/>
      <c r="D50" s="194"/>
      <c r="E50" s="194"/>
      <c r="F50" s="194"/>
      <c r="G50" s="194"/>
      <c r="H50" s="194"/>
      <c r="I50" s="194"/>
      <c r="J50" s="194"/>
      <c r="K50" s="194"/>
      <c r="L50" s="194"/>
      <c r="M50" s="194"/>
      <c r="N50" s="194"/>
      <c r="O50" s="194"/>
      <c r="P50" s="194"/>
    </row>
    <row r="51" spans="3:62" s="19" customFormat="1" ht="29.25" customHeight="1" x14ac:dyDescent="0.25">
      <c r="C51" s="194"/>
      <c r="D51" s="194"/>
      <c r="E51" s="194"/>
      <c r="F51" s="194"/>
      <c r="G51" s="194"/>
      <c r="H51" s="194"/>
      <c r="I51" s="194"/>
      <c r="J51" s="194"/>
      <c r="K51" s="194"/>
      <c r="L51" s="194"/>
      <c r="M51" s="194"/>
      <c r="N51" s="194"/>
      <c r="O51" s="194"/>
      <c r="P51" s="194"/>
      <c r="Q51" s="194"/>
      <c r="R51" s="194"/>
      <c r="S51" s="194"/>
      <c r="T51" s="194"/>
      <c r="U51" s="194"/>
      <c r="V51" s="16"/>
      <c r="W51" s="16"/>
      <c r="X51" s="39"/>
      <c r="Y51" s="39"/>
      <c r="Z51" s="39"/>
      <c r="AA51" s="39"/>
      <c r="AP51" s="28"/>
      <c r="AR51" s="67"/>
      <c r="AS51" s="28"/>
      <c r="AT51" s="28"/>
      <c r="AU51" s="28"/>
      <c r="AV51" s="28"/>
      <c r="AW51" s="28"/>
      <c r="AX51" s="28"/>
      <c r="AY51" s="28"/>
      <c r="AZ51" s="28"/>
      <c r="BA51" s="28"/>
      <c r="BC51" s="67"/>
      <c r="BD51" s="234"/>
      <c r="BE51" s="234"/>
      <c r="BF51" s="234"/>
      <c r="BG51" s="234"/>
      <c r="BH51" s="234"/>
      <c r="BI51" s="234"/>
      <c r="BJ51" s="234"/>
    </row>
    <row r="52" spans="3:62" s="28" customFormat="1" x14ac:dyDescent="0.2">
      <c r="C52" s="194"/>
      <c r="D52" s="194"/>
      <c r="E52" s="194"/>
      <c r="F52" s="194"/>
      <c r="G52" s="194"/>
      <c r="H52" s="194"/>
      <c r="I52" s="194"/>
      <c r="J52" s="194"/>
      <c r="K52" s="194"/>
      <c r="L52" s="194"/>
      <c r="M52" s="194"/>
      <c r="N52" s="194"/>
      <c r="O52" s="194"/>
      <c r="P52" s="194"/>
      <c r="Q52" s="19"/>
      <c r="R52" s="19"/>
      <c r="S52" s="19"/>
      <c r="T52" s="19"/>
    </row>
    <row r="53" spans="3:62" s="28" customFormat="1" x14ac:dyDescent="0.2">
      <c r="C53" s="194"/>
      <c r="D53" s="194"/>
      <c r="E53" s="194"/>
      <c r="F53" s="194"/>
      <c r="G53" s="194"/>
      <c r="H53" s="194"/>
      <c r="I53" s="194"/>
      <c r="J53" s="194"/>
      <c r="K53" s="194"/>
      <c r="L53" s="194"/>
      <c r="M53" s="194"/>
      <c r="N53" s="194"/>
      <c r="O53" s="194"/>
      <c r="P53" s="194"/>
      <c r="Q53" s="19"/>
      <c r="R53" s="19"/>
      <c r="S53" s="19"/>
      <c r="T53" s="19"/>
    </row>
    <row r="54" spans="3:62" s="28" customFormat="1" x14ac:dyDescent="0.2">
      <c r="C54" s="194"/>
      <c r="D54" s="194"/>
      <c r="E54" s="194"/>
      <c r="F54" s="194"/>
      <c r="G54" s="194"/>
      <c r="H54" s="194"/>
      <c r="I54" s="194"/>
      <c r="J54" s="194"/>
      <c r="K54" s="194"/>
      <c r="L54" s="194"/>
      <c r="M54" s="194"/>
      <c r="N54" s="194"/>
      <c r="O54" s="194"/>
      <c r="P54" s="194"/>
      <c r="Q54" s="19"/>
      <c r="R54" s="19"/>
      <c r="S54" s="19"/>
      <c r="T54" s="19"/>
      <c r="AB54" s="36"/>
      <c r="AC54" s="36"/>
      <c r="AD54" s="36"/>
      <c r="AE54" s="36"/>
      <c r="AF54" s="36"/>
      <c r="AG54" s="36"/>
      <c r="AH54" s="36"/>
      <c r="AI54" s="36"/>
      <c r="AJ54" s="36"/>
      <c r="AK54" s="36"/>
      <c r="AL54" s="36"/>
      <c r="AM54" s="36"/>
      <c r="AN54" s="36"/>
      <c r="AO54" s="36"/>
    </row>
    <row r="55" spans="3:62" s="28" customFormat="1" x14ac:dyDescent="0.2">
      <c r="C55" s="194"/>
      <c r="D55" s="194"/>
      <c r="E55" s="194"/>
      <c r="F55" s="194"/>
      <c r="G55" s="194"/>
      <c r="H55" s="194"/>
      <c r="I55" s="194"/>
      <c r="J55" s="194"/>
      <c r="K55" s="194"/>
      <c r="L55" s="194"/>
      <c r="M55" s="194"/>
      <c r="N55" s="194"/>
      <c r="O55" s="194"/>
      <c r="P55" s="194"/>
      <c r="Q55" s="19"/>
      <c r="R55" s="19"/>
      <c r="S55" s="19"/>
      <c r="T55" s="19"/>
    </row>
    <row r="56" spans="3:62" s="28" customFormat="1" x14ac:dyDescent="0.2">
      <c r="C56" s="194"/>
      <c r="D56" s="194"/>
      <c r="E56" s="194"/>
      <c r="F56" s="194"/>
      <c r="G56" s="194"/>
      <c r="H56" s="194"/>
      <c r="I56" s="194"/>
      <c r="J56" s="194"/>
      <c r="K56" s="194"/>
      <c r="L56" s="194"/>
      <c r="M56" s="194"/>
      <c r="N56" s="194"/>
      <c r="O56" s="194"/>
      <c r="P56" s="194"/>
      <c r="Q56" s="19"/>
      <c r="R56" s="19"/>
      <c r="S56" s="19"/>
      <c r="T56" s="19"/>
    </row>
    <row r="57" spans="3:62" s="28" customFormat="1" x14ac:dyDescent="0.2">
      <c r="C57" s="194"/>
      <c r="D57" s="194"/>
      <c r="E57" s="194"/>
      <c r="F57" s="194"/>
      <c r="G57" s="194"/>
      <c r="H57" s="194"/>
      <c r="I57" s="194"/>
      <c r="J57" s="194"/>
      <c r="K57" s="194"/>
      <c r="L57" s="194"/>
      <c r="M57" s="194"/>
      <c r="N57" s="194"/>
      <c r="O57" s="194"/>
      <c r="P57" s="194"/>
      <c r="Q57" s="19"/>
      <c r="R57" s="19"/>
      <c r="S57" s="19"/>
      <c r="T57" s="19"/>
    </row>
    <row r="58" spans="3:62" s="28" customFormat="1" x14ac:dyDescent="0.2">
      <c r="C58" s="194"/>
      <c r="D58" s="194"/>
      <c r="E58" s="194"/>
      <c r="F58" s="194"/>
      <c r="G58" s="194"/>
      <c r="H58" s="194"/>
      <c r="I58" s="194"/>
      <c r="J58" s="194"/>
      <c r="K58" s="194"/>
      <c r="L58" s="194"/>
      <c r="M58" s="194"/>
      <c r="N58" s="194"/>
      <c r="O58" s="194"/>
      <c r="P58" s="194"/>
      <c r="Q58" s="19"/>
      <c r="R58" s="19"/>
      <c r="S58" s="19"/>
      <c r="T58" s="19"/>
    </row>
    <row r="59" spans="3:62" s="28" customFormat="1" x14ac:dyDescent="0.2">
      <c r="C59" s="194"/>
      <c r="D59" s="194"/>
      <c r="E59" s="194"/>
      <c r="F59" s="194"/>
      <c r="G59" s="194"/>
      <c r="H59" s="194"/>
      <c r="I59" s="194"/>
      <c r="J59" s="194"/>
      <c r="K59" s="194"/>
      <c r="L59" s="194"/>
      <c r="M59" s="194"/>
      <c r="N59" s="194"/>
      <c r="O59" s="194"/>
      <c r="P59" s="194"/>
      <c r="Q59" s="19"/>
      <c r="R59" s="19"/>
      <c r="S59" s="19"/>
      <c r="T59" s="19"/>
    </row>
    <row r="60" spans="3:62" s="28" customFormat="1" x14ac:dyDescent="0.2">
      <c r="C60" s="194"/>
      <c r="D60" s="194"/>
      <c r="E60" s="194"/>
      <c r="F60" s="194"/>
      <c r="G60" s="194"/>
      <c r="H60" s="194"/>
      <c r="I60" s="194"/>
      <c r="J60" s="194"/>
      <c r="K60" s="194"/>
      <c r="L60" s="194"/>
      <c r="M60" s="194"/>
      <c r="N60" s="194"/>
      <c r="O60" s="194"/>
      <c r="P60" s="194"/>
      <c r="Q60" s="19"/>
      <c r="R60" s="19"/>
      <c r="S60" s="19"/>
      <c r="T60" s="19"/>
    </row>
    <row r="61" spans="3:62" s="28" customFormat="1" x14ac:dyDescent="0.2">
      <c r="C61" s="194"/>
      <c r="D61" s="194"/>
      <c r="E61" s="194"/>
      <c r="F61" s="194"/>
      <c r="G61" s="194"/>
      <c r="H61" s="194"/>
      <c r="I61" s="194"/>
      <c r="J61" s="194"/>
      <c r="K61" s="194"/>
      <c r="L61" s="194"/>
      <c r="M61" s="194"/>
      <c r="N61" s="194"/>
      <c r="O61" s="194"/>
      <c r="P61" s="194"/>
      <c r="Q61" s="19"/>
      <c r="R61" s="19"/>
      <c r="S61" s="19"/>
      <c r="T61" s="19"/>
    </row>
    <row r="62" spans="3:62" s="28" customFormat="1" x14ac:dyDescent="0.2">
      <c r="C62" s="194"/>
      <c r="D62" s="194"/>
      <c r="E62" s="194"/>
      <c r="F62" s="194"/>
      <c r="G62" s="194"/>
      <c r="H62" s="194"/>
      <c r="I62" s="194"/>
      <c r="J62" s="194"/>
      <c r="K62" s="194"/>
      <c r="L62" s="194"/>
      <c r="M62" s="194"/>
      <c r="N62" s="194"/>
      <c r="O62" s="194"/>
      <c r="P62" s="194"/>
      <c r="Q62" s="19"/>
      <c r="R62" s="19"/>
      <c r="S62" s="19"/>
      <c r="T62" s="19"/>
    </row>
    <row r="63" spans="3:62" s="28" customFormat="1" x14ac:dyDescent="0.2">
      <c r="C63" s="194"/>
      <c r="D63" s="194"/>
      <c r="E63" s="194"/>
      <c r="F63" s="194"/>
      <c r="G63" s="194"/>
      <c r="H63" s="194"/>
      <c r="I63" s="194"/>
      <c r="J63" s="194"/>
      <c r="K63" s="194"/>
      <c r="L63" s="194"/>
      <c r="M63" s="194"/>
      <c r="N63" s="194"/>
      <c r="O63" s="194"/>
      <c r="P63" s="194"/>
      <c r="Q63" s="19"/>
      <c r="R63" s="19"/>
      <c r="S63" s="19"/>
      <c r="T63" s="19"/>
    </row>
    <row r="64" spans="3:62" s="28" customFormat="1" x14ac:dyDescent="0.2">
      <c r="C64" s="194"/>
      <c r="D64" s="194"/>
      <c r="E64" s="194"/>
      <c r="F64" s="194"/>
      <c r="G64" s="194"/>
      <c r="H64" s="194"/>
      <c r="I64" s="194"/>
      <c r="J64" s="194"/>
      <c r="K64" s="194"/>
      <c r="L64" s="194"/>
      <c r="M64" s="194"/>
      <c r="N64" s="194"/>
      <c r="O64" s="194"/>
      <c r="P64" s="194"/>
      <c r="Q64" s="19"/>
      <c r="R64" s="19"/>
      <c r="S64" s="19"/>
      <c r="T64" s="19"/>
    </row>
    <row r="65" spans="3:20" s="28" customFormat="1" x14ac:dyDescent="0.2">
      <c r="C65" s="194"/>
      <c r="D65" s="194"/>
      <c r="E65" s="194"/>
      <c r="F65" s="194"/>
      <c r="G65" s="194"/>
      <c r="H65" s="194"/>
      <c r="I65" s="194"/>
      <c r="J65" s="194"/>
      <c r="K65" s="194"/>
      <c r="L65" s="194"/>
      <c r="M65" s="194"/>
      <c r="N65" s="194"/>
      <c r="O65" s="194"/>
      <c r="P65" s="194"/>
      <c r="Q65" s="19"/>
      <c r="R65" s="19"/>
      <c r="S65" s="19"/>
      <c r="T65" s="19"/>
    </row>
    <row r="66" spans="3:20" s="28" customFormat="1" x14ac:dyDescent="0.2">
      <c r="C66" s="194"/>
      <c r="D66" s="194"/>
      <c r="E66" s="194"/>
      <c r="F66" s="194"/>
      <c r="G66" s="194"/>
      <c r="H66" s="194"/>
      <c r="I66" s="194"/>
      <c r="J66" s="194"/>
      <c r="K66" s="194"/>
      <c r="L66" s="194"/>
      <c r="M66" s="194"/>
      <c r="N66" s="194"/>
      <c r="O66" s="194"/>
      <c r="P66" s="194"/>
      <c r="Q66" s="19"/>
      <c r="R66" s="19"/>
      <c r="S66" s="19"/>
      <c r="T66" s="19"/>
    </row>
    <row r="67" spans="3:20" s="28" customFormat="1" x14ac:dyDescent="0.2">
      <c r="C67" s="194"/>
      <c r="D67" s="194"/>
      <c r="E67" s="194"/>
      <c r="F67" s="194"/>
      <c r="G67" s="194"/>
      <c r="H67" s="194"/>
      <c r="I67" s="194"/>
      <c r="J67" s="194"/>
      <c r="K67" s="194"/>
      <c r="L67" s="194"/>
      <c r="M67" s="194"/>
      <c r="N67" s="194"/>
      <c r="O67" s="194"/>
      <c r="P67" s="194"/>
      <c r="Q67" s="19"/>
      <c r="R67" s="19"/>
      <c r="S67" s="19"/>
      <c r="T67" s="19"/>
    </row>
    <row r="68" spans="3:20" s="28" customFormat="1" x14ac:dyDescent="0.2">
      <c r="C68" s="194"/>
      <c r="D68" s="194"/>
      <c r="E68" s="194"/>
      <c r="F68" s="194"/>
      <c r="G68" s="194"/>
      <c r="H68" s="194"/>
      <c r="I68" s="194"/>
      <c r="J68" s="194"/>
      <c r="K68" s="194"/>
      <c r="L68" s="194"/>
      <c r="M68" s="194"/>
      <c r="N68" s="194"/>
      <c r="O68" s="194"/>
      <c r="P68" s="194"/>
      <c r="Q68" s="19"/>
      <c r="R68" s="19"/>
      <c r="S68" s="19"/>
      <c r="T68" s="19"/>
    </row>
    <row r="69" spans="3:20" s="28" customFormat="1" x14ac:dyDescent="0.2">
      <c r="C69" s="194"/>
      <c r="D69" s="194"/>
      <c r="E69" s="194"/>
      <c r="F69" s="194"/>
      <c r="G69" s="194"/>
      <c r="H69" s="194"/>
      <c r="I69" s="194"/>
      <c r="J69" s="194"/>
      <c r="K69" s="194"/>
      <c r="L69" s="194"/>
      <c r="M69" s="194"/>
      <c r="N69" s="194"/>
      <c r="O69" s="194"/>
      <c r="P69" s="194"/>
      <c r="Q69" s="19"/>
      <c r="R69" s="19"/>
      <c r="S69" s="19"/>
      <c r="T69" s="19"/>
    </row>
    <row r="70" spans="3:20" s="28" customFormat="1" x14ac:dyDescent="0.2">
      <c r="C70" s="194"/>
      <c r="D70" s="194"/>
      <c r="E70" s="194"/>
      <c r="F70" s="194"/>
      <c r="G70" s="194"/>
      <c r="H70" s="194"/>
      <c r="I70" s="194"/>
      <c r="J70" s="194"/>
      <c r="K70" s="194"/>
      <c r="L70" s="194"/>
      <c r="M70" s="194"/>
      <c r="N70" s="194"/>
      <c r="O70" s="194"/>
      <c r="P70" s="194"/>
      <c r="Q70" s="19"/>
      <c r="R70" s="19"/>
      <c r="S70" s="19"/>
      <c r="T70" s="19"/>
    </row>
    <row r="71" spans="3:20" s="28" customFormat="1" x14ac:dyDescent="0.2">
      <c r="C71" s="194"/>
      <c r="D71" s="194"/>
      <c r="E71" s="194"/>
      <c r="F71" s="194"/>
      <c r="G71" s="194"/>
      <c r="H71" s="194"/>
      <c r="I71" s="194"/>
      <c r="J71" s="194"/>
      <c r="K71" s="194"/>
      <c r="L71" s="194"/>
      <c r="M71" s="194"/>
      <c r="N71" s="194"/>
      <c r="O71" s="194"/>
      <c r="P71" s="194"/>
      <c r="Q71" s="41"/>
      <c r="R71" s="41"/>
      <c r="S71" s="41"/>
      <c r="T71" s="41"/>
    </row>
    <row r="72" spans="3:20" s="28" customFormat="1" x14ac:dyDescent="0.2">
      <c r="C72" s="194"/>
      <c r="D72" s="194"/>
      <c r="E72" s="194"/>
      <c r="F72" s="194"/>
      <c r="G72" s="194"/>
      <c r="H72" s="194"/>
      <c r="I72" s="194"/>
      <c r="J72" s="194"/>
      <c r="K72" s="194"/>
      <c r="L72" s="194"/>
      <c r="M72" s="194"/>
      <c r="N72" s="194"/>
      <c r="O72" s="194"/>
      <c r="P72" s="194"/>
    </row>
    <row r="73" spans="3:20" s="28" customFormat="1" x14ac:dyDescent="0.2">
      <c r="C73" s="194"/>
      <c r="D73" s="194"/>
      <c r="E73" s="194"/>
      <c r="F73" s="194"/>
      <c r="G73" s="194"/>
      <c r="H73" s="194"/>
      <c r="I73" s="194"/>
      <c r="J73" s="194"/>
      <c r="K73" s="194"/>
      <c r="L73" s="194"/>
      <c r="M73" s="194"/>
      <c r="N73" s="194"/>
      <c r="O73" s="194"/>
      <c r="P73" s="194"/>
    </row>
    <row r="74" spans="3:20" s="28" customFormat="1" x14ac:dyDescent="0.2">
      <c r="C74" s="194"/>
      <c r="D74" s="194"/>
      <c r="E74" s="194"/>
      <c r="F74" s="194"/>
      <c r="G74" s="194"/>
      <c r="H74" s="194"/>
      <c r="I74" s="194"/>
      <c r="J74" s="194"/>
      <c r="K74" s="194"/>
      <c r="L74" s="194"/>
      <c r="M74" s="194"/>
      <c r="N74" s="194"/>
      <c r="O74" s="194"/>
      <c r="P74" s="194"/>
    </row>
    <row r="75" spans="3:20" s="28" customFormat="1" x14ac:dyDescent="0.2">
      <c r="C75" s="194"/>
      <c r="D75" s="194"/>
      <c r="E75" s="194"/>
      <c r="F75" s="194"/>
      <c r="G75" s="194"/>
      <c r="H75" s="194"/>
      <c r="I75" s="194"/>
      <c r="J75" s="194"/>
      <c r="K75" s="194"/>
      <c r="L75" s="194"/>
      <c r="M75" s="194"/>
      <c r="N75" s="194"/>
      <c r="O75" s="194"/>
      <c r="P75" s="194"/>
    </row>
    <row r="76" spans="3:20" s="28" customFormat="1" x14ac:dyDescent="0.2">
      <c r="C76" s="194"/>
      <c r="D76" s="194"/>
      <c r="E76" s="194"/>
      <c r="F76" s="194"/>
      <c r="G76" s="194"/>
      <c r="H76" s="194"/>
      <c r="I76" s="194"/>
      <c r="J76" s="194"/>
      <c r="K76" s="194"/>
      <c r="L76" s="194"/>
      <c r="M76" s="194"/>
      <c r="N76" s="194"/>
      <c r="O76" s="194"/>
      <c r="P76" s="194"/>
    </row>
    <row r="77" spans="3:20" s="28" customFormat="1" x14ac:dyDescent="0.2">
      <c r="C77" s="194"/>
      <c r="D77" s="194"/>
      <c r="E77" s="194"/>
      <c r="F77" s="194"/>
      <c r="G77" s="194"/>
      <c r="H77" s="194"/>
      <c r="I77" s="194"/>
      <c r="J77" s="194"/>
      <c r="K77" s="194"/>
      <c r="L77" s="194"/>
      <c r="M77" s="194"/>
      <c r="N77" s="194"/>
      <c r="O77" s="194"/>
      <c r="P77" s="194"/>
    </row>
    <row r="78" spans="3:20" s="28" customFormat="1" x14ac:dyDescent="0.2">
      <c r="C78" s="194"/>
      <c r="D78" s="194"/>
      <c r="E78" s="194"/>
      <c r="F78" s="194"/>
      <c r="G78" s="194"/>
      <c r="H78" s="194"/>
      <c r="I78" s="194"/>
      <c r="J78" s="194"/>
      <c r="K78" s="194"/>
      <c r="L78" s="194"/>
      <c r="M78" s="194"/>
      <c r="N78" s="194"/>
      <c r="O78" s="194"/>
      <c r="P78" s="194"/>
    </row>
    <row r="79" spans="3:20" s="28" customFormat="1" ht="30" customHeight="1" x14ac:dyDescent="0.2">
      <c r="C79" s="194"/>
      <c r="D79" s="194"/>
      <c r="E79" s="194"/>
      <c r="F79" s="194"/>
      <c r="G79" s="194"/>
      <c r="H79" s="194"/>
      <c r="I79" s="194"/>
      <c r="J79" s="194"/>
      <c r="K79" s="194"/>
      <c r="L79" s="194"/>
      <c r="M79" s="194"/>
      <c r="N79" s="194"/>
      <c r="O79" s="194"/>
      <c r="P79" s="194"/>
    </row>
    <row r="80" spans="3:20" s="28" customFormat="1" ht="30" customHeight="1" x14ac:dyDescent="0.2">
      <c r="C80" s="194"/>
      <c r="D80" s="194"/>
      <c r="E80" s="194"/>
      <c r="F80" s="194"/>
      <c r="G80" s="194"/>
      <c r="H80" s="194"/>
      <c r="I80" s="194"/>
      <c r="J80" s="194"/>
      <c r="K80" s="194"/>
      <c r="L80" s="194"/>
      <c r="M80" s="194"/>
      <c r="N80" s="194"/>
      <c r="O80" s="194"/>
      <c r="P80" s="194"/>
    </row>
    <row r="81" spans="3:20" s="28" customFormat="1" ht="30" customHeight="1" x14ac:dyDescent="0.2">
      <c r="C81" s="194"/>
      <c r="D81" s="194"/>
      <c r="E81" s="194"/>
      <c r="F81" s="194"/>
      <c r="G81" s="194"/>
      <c r="H81" s="194"/>
      <c r="I81" s="194"/>
      <c r="J81" s="194"/>
      <c r="K81" s="194"/>
      <c r="L81" s="194"/>
      <c r="M81" s="194"/>
      <c r="N81" s="194"/>
      <c r="O81" s="194"/>
      <c r="P81" s="194"/>
    </row>
    <row r="82" spans="3:20" s="28" customFormat="1" ht="30" customHeight="1" x14ac:dyDescent="0.2">
      <c r="C82" s="194"/>
      <c r="D82" s="194"/>
      <c r="E82" s="194"/>
      <c r="F82" s="194"/>
      <c r="G82" s="194"/>
      <c r="H82" s="194"/>
      <c r="I82" s="194"/>
      <c r="J82" s="194"/>
      <c r="K82" s="194"/>
      <c r="L82" s="194"/>
      <c r="M82" s="194"/>
      <c r="N82" s="194"/>
      <c r="O82" s="194"/>
      <c r="P82" s="194"/>
    </row>
    <row r="83" spans="3:20" s="28" customFormat="1" x14ac:dyDescent="0.2">
      <c r="C83" s="194"/>
      <c r="D83" s="194"/>
      <c r="E83" s="194"/>
      <c r="F83" s="194"/>
      <c r="G83" s="194"/>
      <c r="H83" s="194"/>
      <c r="I83" s="194"/>
      <c r="J83" s="194"/>
      <c r="K83" s="194"/>
      <c r="L83" s="194"/>
      <c r="M83" s="194"/>
      <c r="N83" s="194"/>
      <c r="O83" s="194"/>
      <c r="P83" s="194"/>
    </row>
    <row r="84" spans="3:20" s="28" customFormat="1" x14ac:dyDescent="0.2">
      <c r="C84" s="194"/>
      <c r="D84" s="194"/>
      <c r="E84" s="194"/>
      <c r="F84" s="194"/>
      <c r="G84" s="194"/>
      <c r="H84" s="194"/>
      <c r="I84" s="194"/>
      <c r="J84" s="194"/>
      <c r="K84" s="194"/>
      <c r="L84" s="194"/>
      <c r="M84" s="194"/>
      <c r="N84" s="194"/>
      <c r="O84" s="194"/>
      <c r="P84" s="194"/>
    </row>
    <row r="85" spans="3:20" s="28" customFormat="1" x14ac:dyDescent="0.2">
      <c r="C85" s="194"/>
      <c r="D85" s="194"/>
      <c r="E85" s="194"/>
      <c r="F85" s="194"/>
      <c r="G85" s="194"/>
      <c r="H85" s="194"/>
      <c r="I85" s="194"/>
      <c r="J85" s="194"/>
      <c r="K85" s="194"/>
      <c r="L85" s="194"/>
      <c r="M85" s="194"/>
      <c r="N85" s="194"/>
      <c r="O85" s="194"/>
      <c r="P85" s="194"/>
    </row>
    <row r="86" spans="3:20" s="28" customFormat="1" x14ac:dyDescent="0.2">
      <c r="C86" s="194"/>
      <c r="D86" s="194"/>
      <c r="E86" s="194"/>
      <c r="F86" s="194"/>
      <c r="G86" s="194"/>
      <c r="H86" s="194"/>
      <c r="I86" s="194"/>
      <c r="J86" s="194"/>
      <c r="K86" s="194"/>
      <c r="L86" s="194"/>
      <c r="M86" s="194"/>
      <c r="N86" s="194"/>
      <c r="O86" s="194"/>
      <c r="P86" s="194"/>
    </row>
    <row r="87" spans="3:20" s="28" customFormat="1" x14ac:dyDescent="0.2">
      <c r="C87" s="194"/>
      <c r="D87" s="194"/>
      <c r="E87" s="194"/>
      <c r="F87" s="194"/>
      <c r="G87" s="194"/>
      <c r="H87" s="194"/>
      <c r="I87" s="194"/>
      <c r="J87" s="194"/>
      <c r="K87" s="194"/>
      <c r="L87" s="194"/>
      <c r="M87" s="194"/>
      <c r="N87" s="194"/>
      <c r="O87" s="194"/>
      <c r="P87" s="194"/>
    </row>
    <row r="88" spans="3:20" s="28" customFormat="1" x14ac:dyDescent="0.2">
      <c r="C88" s="194"/>
      <c r="D88" s="194"/>
      <c r="E88" s="194"/>
      <c r="F88" s="194"/>
      <c r="G88" s="194"/>
      <c r="H88" s="194"/>
      <c r="I88" s="194"/>
      <c r="J88" s="194"/>
      <c r="K88" s="194"/>
      <c r="L88" s="194"/>
      <c r="M88" s="194"/>
      <c r="N88" s="194"/>
      <c r="O88" s="194"/>
      <c r="P88" s="194"/>
    </row>
    <row r="89" spans="3:20" s="28" customFormat="1" x14ac:dyDescent="0.2">
      <c r="C89" s="194"/>
      <c r="D89" s="194"/>
      <c r="E89" s="194"/>
      <c r="F89" s="194"/>
      <c r="G89" s="194"/>
      <c r="H89" s="194"/>
      <c r="I89" s="194"/>
      <c r="J89" s="194"/>
      <c r="K89" s="194"/>
      <c r="L89" s="194"/>
      <c r="M89" s="194"/>
      <c r="N89" s="194"/>
      <c r="O89" s="194"/>
      <c r="P89" s="194"/>
    </row>
    <row r="90" spans="3:20" s="28" customFormat="1" x14ac:dyDescent="0.2">
      <c r="C90" s="194"/>
      <c r="D90" s="194"/>
      <c r="E90" s="194"/>
      <c r="F90" s="194"/>
      <c r="G90" s="194"/>
      <c r="H90" s="194"/>
      <c r="I90" s="194"/>
      <c r="J90" s="194"/>
      <c r="K90" s="194"/>
      <c r="L90" s="194"/>
      <c r="M90" s="194"/>
      <c r="N90" s="194"/>
      <c r="O90" s="194"/>
      <c r="P90" s="194"/>
    </row>
    <row r="91" spans="3:20" s="28" customFormat="1" x14ac:dyDescent="0.2">
      <c r="C91" s="194"/>
      <c r="D91" s="194"/>
      <c r="E91" s="194"/>
      <c r="F91" s="194"/>
      <c r="G91" s="194"/>
      <c r="H91" s="194"/>
      <c r="I91" s="194"/>
      <c r="J91" s="194"/>
      <c r="K91" s="194"/>
      <c r="L91" s="194"/>
      <c r="M91" s="194"/>
      <c r="N91" s="194"/>
      <c r="O91" s="194"/>
      <c r="P91" s="194"/>
    </row>
    <row r="92" spans="3:20" s="28" customFormat="1" x14ac:dyDescent="0.2">
      <c r="C92" s="194"/>
      <c r="D92" s="194"/>
      <c r="E92" s="194"/>
      <c r="F92" s="194"/>
      <c r="G92" s="194"/>
      <c r="H92" s="194"/>
      <c r="I92" s="194"/>
      <c r="J92" s="194"/>
      <c r="K92" s="194"/>
      <c r="L92" s="194"/>
      <c r="M92" s="194"/>
      <c r="N92" s="194"/>
      <c r="O92" s="194"/>
      <c r="P92" s="194"/>
      <c r="Q92" s="195"/>
      <c r="R92" s="195"/>
      <c r="S92" s="195"/>
      <c r="T92" s="195"/>
    </row>
    <row r="93" spans="3:20" s="28" customFormat="1" x14ac:dyDescent="0.2">
      <c r="C93" s="194"/>
      <c r="D93" s="194"/>
      <c r="E93" s="194"/>
      <c r="F93" s="194"/>
      <c r="G93" s="194"/>
      <c r="H93" s="194"/>
      <c r="I93" s="194"/>
      <c r="J93" s="194"/>
      <c r="K93" s="194"/>
      <c r="L93" s="194"/>
      <c r="M93" s="194"/>
      <c r="N93" s="194"/>
      <c r="O93" s="194"/>
      <c r="P93" s="194"/>
      <c r="Q93" s="195"/>
      <c r="R93" s="195"/>
      <c r="S93" s="195"/>
      <c r="T93" s="195"/>
    </row>
    <row r="94" spans="3:20" s="28" customFormat="1" x14ac:dyDescent="0.2">
      <c r="C94" s="194"/>
      <c r="D94" s="194"/>
      <c r="E94" s="194"/>
      <c r="F94" s="194"/>
      <c r="G94" s="194"/>
      <c r="H94" s="194"/>
      <c r="I94" s="194"/>
      <c r="J94" s="194"/>
      <c r="K94" s="194"/>
      <c r="L94" s="194"/>
      <c r="M94" s="194"/>
      <c r="N94" s="194"/>
      <c r="O94" s="194"/>
      <c r="P94" s="194"/>
      <c r="Q94" s="19"/>
      <c r="R94" s="19"/>
      <c r="S94" s="19"/>
      <c r="T94" s="19"/>
    </row>
    <row r="95" spans="3:20" s="28" customFormat="1" x14ac:dyDescent="0.2">
      <c r="C95" s="194"/>
      <c r="D95" s="194"/>
      <c r="E95" s="194"/>
      <c r="F95" s="194"/>
      <c r="G95" s="194"/>
      <c r="H95" s="194"/>
      <c r="I95" s="194"/>
      <c r="J95" s="194"/>
      <c r="K95" s="194"/>
      <c r="L95" s="194"/>
      <c r="M95" s="194"/>
      <c r="N95" s="194"/>
      <c r="O95" s="194"/>
      <c r="P95" s="194"/>
      <c r="Q95" s="41"/>
      <c r="R95" s="41"/>
      <c r="S95" s="41"/>
      <c r="T95" s="41"/>
    </row>
    <row r="96" spans="3:20" s="28" customFormat="1" x14ac:dyDescent="0.2">
      <c r="C96" s="194"/>
      <c r="D96" s="194"/>
      <c r="E96" s="194"/>
      <c r="F96" s="194"/>
      <c r="G96" s="194"/>
      <c r="H96" s="194"/>
      <c r="I96" s="194"/>
      <c r="J96" s="194"/>
      <c r="K96" s="194"/>
      <c r="L96" s="194"/>
      <c r="M96" s="194"/>
      <c r="N96" s="194"/>
      <c r="O96" s="194"/>
      <c r="P96" s="194"/>
      <c r="Q96" s="195"/>
      <c r="R96" s="195"/>
      <c r="S96" s="195"/>
      <c r="T96" s="195"/>
    </row>
    <row r="97" spans="3:20" s="28" customFormat="1" x14ac:dyDescent="0.2">
      <c r="C97" s="194"/>
      <c r="D97" s="194"/>
      <c r="E97" s="194"/>
      <c r="F97" s="194"/>
      <c r="G97" s="194"/>
      <c r="H97" s="194"/>
      <c r="I97" s="194"/>
      <c r="J97" s="194"/>
      <c r="K97" s="194"/>
      <c r="L97" s="194"/>
      <c r="M97" s="194"/>
      <c r="N97" s="194"/>
      <c r="O97" s="194"/>
      <c r="P97" s="194"/>
      <c r="Q97" s="19"/>
      <c r="R97" s="19"/>
      <c r="S97" s="19"/>
      <c r="T97" s="19"/>
    </row>
    <row r="98" spans="3:20" s="28" customFormat="1" x14ac:dyDescent="0.2">
      <c r="C98" s="194"/>
      <c r="D98" s="194"/>
      <c r="E98" s="194"/>
      <c r="F98" s="194"/>
      <c r="G98" s="194"/>
      <c r="H98" s="194"/>
      <c r="I98" s="194"/>
      <c r="J98" s="194"/>
      <c r="K98" s="194"/>
      <c r="L98" s="194"/>
      <c r="M98" s="194"/>
      <c r="N98" s="194"/>
      <c r="O98" s="194"/>
      <c r="P98" s="194"/>
      <c r="Q98" s="41"/>
      <c r="R98" s="41"/>
      <c r="S98" s="41"/>
      <c r="T98" s="41"/>
    </row>
    <row r="99" spans="3:20" s="28" customFormat="1" x14ac:dyDescent="0.2">
      <c r="C99" s="194"/>
      <c r="D99" s="194"/>
      <c r="E99" s="194"/>
      <c r="F99" s="194"/>
      <c r="G99" s="194"/>
      <c r="H99" s="194"/>
      <c r="I99" s="194"/>
      <c r="J99" s="194"/>
      <c r="K99" s="194"/>
      <c r="L99" s="194"/>
      <c r="M99" s="194"/>
      <c r="N99" s="194"/>
      <c r="O99" s="194"/>
      <c r="P99" s="194"/>
      <c r="Q99" s="41"/>
      <c r="R99" s="41"/>
      <c r="S99" s="41"/>
      <c r="T99" s="41"/>
    </row>
    <row r="100" spans="3:20" s="28" customFormat="1" x14ac:dyDescent="0.2">
      <c r="C100" s="194"/>
      <c r="D100" s="194"/>
      <c r="E100" s="194"/>
      <c r="F100" s="194"/>
      <c r="G100" s="194"/>
      <c r="H100" s="194"/>
      <c r="I100" s="194"/>
      <c r="J100" s="194"/>
      <c r="K100" s="194"/>
      <c r="L100" s="194"/>
      <c r="M100" s="194"/>
      <c r="N100" s="194"/>
      <c r="O100" s="194"/>
      <c r="P100" s="194"/>
      <c r="Q100" s="41"/>
      <c r="R100" s="41"/>
      <c r="S100" s="41"/>
      <c r="T100" s="41"/>
    </row>
    <row r="101" spans="3:20" s="28" customFormat="1" x14ac:dyDescent="0.2">
      <c r="C101" s="194"/>
      <c r="D101" s="194"/>
      <c r="E101" s="194"/>
      <c r="F101" s="194"/>
      <c r="G101" s="194"/>
      <c r="H101" s="194"/>
      <c r="I101" s="194"/>
      <c r="J101" s="194"/>
      <c r="K101" s="194"/>
      <c r="L101" s="194"/>
      <c r="M101" s="194"/>
      <c r="N101" s="194"/>
      <c r="O101" s="194"/>
      <c r="P101" s="194"/>
      <c r="Q101" s="19"/>
      <c r="R101" s="19"/>
      <c r="S101" s="19"/>
      <c r="T101" s="19"/>
    </row>
    <row r="102" spans="3:20" s="28" customFormat="1" x14ac:dyDescent="0.2">
      <c r="C102" s="194"/>
      <c r="D102" s="194"/>
      <c r="E102" s="194"/>
      <c r="F102" s="194"/>
      <c r="G102" s="194"/>
      <c r="H102" s="194"/>
      <c r="I102" s="194"/>
      <c r="J102" s="194"/>
      <c r="K102" s="194"/>
      <c r="L102" s="194"/>
      <c r="M102" s="194"/>
      <c r="N102" s="194"/>
      <c r="O102" s="194"/>
      <c r="P102" s="194"/>
      <c r="Q102" s="19"/>
      <c r="R102" s="19"/>
      <c r="S102" s="19"/>
      <c r="T102" s="19"/>
    </row>
    <row r="103" spans="3:20" s="28" customFormat="1" x14ac:dyDescent="0.2">
      <c r="C103" s="194"/>
      <c r="D103" s="194"/>
      <c r="E103" s="194"/>
      <c r="F103" s="194"/>
      <c r="G103" s="194"/>
      <c r="H103" s="194"/>
      <c r="I103" s="194"/>
      <c r="J103" s="194"/>
      <c r="K103" s="194"/>
      <c r="L103" s="194"/>
      <c r="M103" s="194"/>
      <c r="N103" s="194"/>
      <c r="O103" s="194"/>
      <c r="P103" s="194"/>
    </row>
    <row r="104" spans="3:20" s="28" customFormat="1" x14ac:dyDescent="0.2">
      <c r="C104" s="194"/>
      <c r="D104" s="194"/>
      <c r="E104" s="194"/>
      <c r="F104" s="194"/>
      <c r="G104" s="194"/>
      <c r="H104" s="194"/>
      <c r="I104" s="194"/>
      <c r="J104" s="194"/>
      <c r="K104" s="194"/>
      <c r="L104" s="194"/>
      <c r="M104" s="194"/>
      <c r="N104" s="194"/>
      <c r="O104" s="194"/>
      <c r="P104" s="194"/>
    </row>
    <row r="105" spans="3:20" s="28" customFormat="1" x14ac:dyDescent="0.2">
      <c r="C105" s="194"/>
      <c r="D105" s="194"/>
      <c r="E105" s="194"/>
      <c r="F105" s="194"/>
      <c r="G105" s="194"/>
      <c r="H105" s="194"/>
      <c r="I105" s="194"/>
      <c r="J105" s="194"/>
      <c r="K105" s="194"/>
      <c r="L105" s="194"/>
      <c r="M105" s="194"/>
      <c r="N105" s="194"/>
      <c r="O105" s="194"/>
      <c r="P105" s="194"/>
    </row>
    <row r="106" spans="3:20" s="28" customFormat="1" x14ac:dyDescent="0.2">
      <c r="C106" s="194"/>
      <c r="D106" s="194"/>
      <c r="E106" s="194"/>
      <c r="F106" s="194"/>
      <c r="G106" s="194"/>
      <c r="H106" s="194"/>
      <c r="I106" s="194"/>
      <c r="J106" s="194"/>
      <c r="K106" s="194"/>
      <c r="L106" s="194"/>
      <c r="M106" s="194"/>
      <c r="N106" s="194"/>
      <c r="O106" s="194"/>
      <c r="P106" s="194"/>
    </row>
    <row r="107" spans="3:20" s="28" customFormat="1" x14ac:dyDescent="0.2">
      <c r="C107" s="194"/>
      <c r="D107" s="194"/>
      <c r="E107" s="194"/>
      <c r="F107" s="194"/>
      <c r="G107" s="194"/>
      <c r="H107" s="194"/>
      <c r="I107" s="194"/>
      <c r="J107" s="194"/>
      <c r="K107" s="194"/>
      <c r="L107" s="194"/>
      <c r="M107" s="194"/>
      <c r="N107" s="194"/>
      <c r="O107" s="194"/>
      <c r="P107" s="194"/>
    </row>
    <row r="108" spans="3:20" s="28" customFormat="1" x14ac:dyDescent="0.2">
      <c r="C108" s="194"/>
      <c r="D108" s="194"/>
      <c r="E108" s="194"/>
      <c r="F108" s="194"/>
      <c r="G108" s="194"/>
      <c r="H108" s="194"/>
      <c r="I108" s="194"/>
      <c r="J108" s="194"/>
      <c r="K108" s="194"/>
      <c r="L108" s="194"/>
      <c r="M108" s="194"/>
      <c r="N108" s="194"/>
      <c r="O108" s="194"/>
      <c r="P108" s="194"/>
    </row>
    <row r="109" spans="3:20" s="28" customFormat="1" x14ac:dyDescent="0.2">
      <c r="C109" s="194"/>
      <c r="D109" s="194"/>
      <c r="E109" s="194"/>
      <c r="F109" s="194"/>
      <c r="G109" s="194"/>
      <c r="H109" s="194"/>
      <c r="I109" s="194"/>
      <c r="J109" s="194"/>
      <c r="K109" s="194"/>
      <c r="L109" s="194"/>
      <c r="M109" s="194"/>
      <c r="N109" s="194"/>
      <c r="O109" s="194"/>
      <c r="P109" s="194"/>
    </row>
    <row r="110" spans="3:20" s="28" customFormat="1" x14ac:dyDescent="0.2">
      <c r="C110" s="194"/>
      <c r="D110" s="194"/>
      <c r="E110" s="194"/>
      <c r="F110" s="194"/>
      <c r="G110" s="194"/>
      <c r="H110" s="194"/>
      <c r="I110" s="194"/>
      <c r="J110" s="194"/>
      <c r="K110" s="194"/>
      <c r="L110" s="194"/>
      <c r="M110" s="194"/>
      <c r="N110" s="194"/>
      <c r="O110" s="194"/>
      <c r="P110" s="194"/>
    </row>
    <row r="111" spans="3:20" s="28" customFormat="1" x14ac:dyDescent="0.2">
      <c r="C111" s="194"/>
      <c r="D111" s="194"/>
      <c r="E111" s="194"/>
      <c r="F111" s="194"/>
      <c r="G111" s="194"/>
      <c r="H111" s="194"/>
      <c r="I111" s="194"/>
      <c r="J111" s="194"/>
      <c r="K111" s="194"/>
      <c r="L111" s="194"/>
      <c r="M111" s="194"/>
      <c r="N111" s="194"/>
      <c r="O111" s="194"/>
      <c r="P111" s="194"/>
    </row>
    <row r="112" spans="3:20" s="28" customFormat="1" x14ac:dyDescent="0.2">
      <c r="C112" s="194"/>
      <c r="D112" s="194"/>
      <c r="E112" s="194"/>
      <c r="F112" s="194"/>
      <c r="G112" s="194"/>
      <c r="H112" s="194"/>
      <c r="I112" s="194"/>
      <c r="J112" s="194"/>
      <c r="K112" s="194"/>
      <c r="L112" s="194"/>
      <c r="M112" s="194"/>
      <c r="N112" s="194"/>
      <c r="O112" s="194"/>
      <c r="P112" s="194"/>
    </row>
    <row r="113" spans="3:16" s="28" customFormat="1" x14ac:dyDescent="0.2">
      <c r="C113" s="194"/>
      <c r="D113" s="194"/>
      <c r="E113" s="194"/>
      <c r="F113" s="194"/>
      <c r="G113" s="194"/>
      <c r="H113" s="194"/>
      <c r="I113" s="194"/>
      <c r="J113" s="194"/>
      <c r="K113" s="194"/>
      <c r="L113" s="194"/>
      <c r="M113" s="194"/>
      <c r="N113" s="194"/>
      <c r="O113" s="194"/>
      <c r="P113" s="194"/>
    </row>
    <row r="114" spans="3:16" s="28" customFormat="1" x14ac:dyDescent="0.2">
      <c r="C114" s="194"/>
      <c r="D114" s="194"/>
      <c r="E114" s="194"/>
      <c r="F114" s="194"/>
      <c r="G114" s="194"/>
      <c r="H114" s="194"/>
      <c r="I114" s="194"/>
      <c r="J114" s="194"/>
      <c r="K114" s="194"/>
      <c r="L114" s="194"/>
      <c r="M114" s="194"/>
      <c r="N114" s="194"/>
      <c r="O114" s="194"/>
      <c r="P114" s="194"/>
    </row>
    <row r="115" spans="3:16" s="28" customFormat="1" x14ac:dyDescent="0.2">
      <c r="C115" s="194"/>
      <c r="D115" s="194"/>
      <c r="E115" s="194"/>
      <c r="F115" s="194"/>
      <c r="G115" s="194"/>
      <c r="H115" s="194"/>
      <c r="I115" s="194"/>
      <c r="J115" s="194"/>
      <c r="K115" s="194"/>
      <c r="L115" s="194"/>
      <c r="M115" s="194"/>
      <c r="N115" s="194"/>
      <c r="O115" s="194"/>
      <c r="P115" s="194"/>
    </row>
    <row r="116" spans="3:16" s="28" customFormat="1" x14ac:dyDescent="0.2">
      <c r="C116" s="194"/>
      <c r="D116" s="194"/>
      <c r="E116" s="194"/>
      <c r="F116" s="194"/>
      <c r="G116" s="194"/>
      <c r="H116" s="194"/>
      <c r="I116" s="194"/>
      <c r="J116" s="194"/>
      <c r="K116" s="194"/>
      <c r="L116" s="194"/>
      <c r="M116" s="194"/>
      <c r="N116" s="194"/>
      <c r="O116" s="194"/>
      <c r="P116" s="194"/>
    </row>
    <row r="117" spans="3:16" s="28" customFormat="1" x14ac:dyDescent="0.2">
      <c r="C117" s="194"/>
      <c r="D117" s="194"/>
      <c r="E117" s="194"/>
      <c r="F117" s="194"/>
      <c r="G117" s="194"/>
      <c r="H117" s="194"/>
      <c r="I117" s="194"/>
      <c r="J117" s="194"/>
      <c r="K117" s="194"/>
      <c r="L117" s="194"/>
      <c r="M117" s="194"/>
      <c r="N117" s="194"/>
      <c r="O117" s="194"/>
      <c r="P117" s="194"/>
    </row>
    <row r="118" spans="3:16" s="28" customFormat="1" x14ac:dyDescent="0.2">
      <c r="C118" s="194"/>
      <c r="D118" s="194"/>
      <c r="E118" s="194"/>
      <c r="F118" s="194"/>
      <c r="G118" s="194"/>
      <c r="H118" s="194"/>
      <c r="I118" s="194"/>
      <c r="J118" s="194"/>
      <c r="K118" s="194"/>
      <c r="L118" s="194"/>
      <c r="M118" s="194"/>
      <c r="N118" s="194"/>
      <c r="O118" s="194"/>
      <c r="P118" s="194"/>
    </row>
    <row r="119" spans="3:16" s="28" customFormat="1" x14ac:dyDescent="0.2">
      <c r="C119" s="194"/>
      <c r="D119" s="194"/>
      <c r="E119" s="194"/>
      <c r="F119" s="194"/>
      <c r="G119" s="194"/>
      <c r="H119" s="194"/>
      <c r="I119" s="194"/>
      <c r="J119" s="194"/>
      <c r="K119" s="194"/>
      <c r="L119" s="194"/>
      <c r="M119" s="194"/>
      <c r="N119" s="194"/>
      <c r="O119" s="194"/>
      <c r="P119" s="194"/>
    </row>
    <row r="120" spans="3:16" s="28" customFormat="1" x14ac:dyDescent="0.2">
      <c r="C120" s="194"/>
      <c r="D120" s="194"/>
      <c r="E120" s="194"/>
      <c r="F120" s="194"/>
      <c r="G120" s="194"/>
      <c r="H120" s="194"/>
      <c r="I120" s="194"/>
      <c r="J120" s="194"/>
      <c r="K120" s="194"/>
      <c r="L120" s="194"/>
      <c r="M120" s="194"/>
      <c r="N120" s="194"/>
      <c r="O120" s="194"/>
      <c r="P120" s="194"/>
    </row>
    <row r="121" spans="3:16" s="28" customFormat="1" x14ac:dyDescent="0.2">
      <c r="C121" s="194"/>
      <c r="D121" s="194"/>
      <c r="E121" s="194"/>
      <c r="F121" s="194"/>
      <c r="G121" s="194"/>
      <c r="H121" s="194"/>
      <c r="I121" s="194"/>
      <c r="J121" s="194"/>
      <c r="K121" s="194"/>
      <c r="L121" s="194"/>
      <c r="M121" s="194"/>
      <c r="N121" s="194"/>
      <c r="O121" s="194"/>
      <c r="P121" s="194"/>
    </row>
    <row r="122" spans="3:16" s="28" customFormat="1" x14ac:dyDescent="0.2">
      <c r="C122" s="194"/>
      <c r="D122" s="194"/>
      <c r="E122" s="194"/>
      <c r="F122" s="194"/>
      <c r="G122" s="194"/>
      <c r="H122" s="194"/>
      <c r="I122" s="194"/>
      <c r="J122" s="194"/>
      <c r="K122" s="194"/>
      <c r="L122" s="194"/>
      <c r="M122" s="194"/>
      <c r="N122" s="194"/>
      <c r="O122" s="194"/>
      <c r="P122" s="194"/>
    </row>
    <row r="123" spans="3:16" s="28" customFormat="1" x14ac:dyDescent="0.2">
      <c r="C123" s="194"/>
      <c r="D123" s="194"/>
      <c r="E123" s="194"/>
      <c r="F123" s="194"/>
      <c r="G123" s="194"/>
      <c r="H123" s="194"/>
      <c r="I123" s="194"/>
      <c r="J123" s="194"/>
      <c r="K123" s="194"/>
      <c r="L123" s="194"/>
      <c r="M123" s="194"/>
      <c r="N123" s="194"/>
      <c r="O123" s="194"/>
      <c r="P123" s="194"/>
    </row>
    <row r="124" spans="3:16" s="28" customFormat="1" x14ac:dyDescent="0.2">
      <c r="C124" s="194"/>
      <c r="D124" s="194"/>
      <c r="E124" s="194"/>
      <c r="F124" s="194"/>
      <c r="G124" s="194"/>
      <c r="H124" s="194"/>
      <c r="I124" s="194"/>
      <c r="J124" s="194"/>
      <c r="K124" s="194"/>
      <c r="L124" s="194"/>
      <c r="M124" s="194"/>
      <c r="N124" s="194"/>
      <c r="O124" s="194"/>
      <c r="P124" s="194"/>
    </row>
    <row r="125" spans="3:16" s="28" customFormat="1" ht="30" customHeight="1" x14ac:dyDescent="0.2">
      <c r="C125" s="194"/>
      <c r="D125" s="194"/>
      <c r="E125" s="194"/>
      <c r="F125" s="194"/>
      <c r="G125" s="194"/>
      <c r="H125" s="194"/>
      <c r="I125" s="194"/>
      <c r="J125" s="194"/>
      <c r="K125" s="194"/>
      <c r="L125" s="194"/>
      <c r="M125" s="194"/>
      <c r="N125" s="194"/>
      <c r="O125" s="194"/>
      <c r="P125" s="194"/>
    </row>
    <row r="126" spans="3:16" s="28" customFormat="1" ht="30" customHeight="1" x14ac:dyDescent="0.2">
      <c r="C126" s="194"/>
      <c r="D126" s="194"/>
      <c r="E126" s="194"/>
      <c r="F126" s="194"/>
      <c r="G126" s="194"/>
      <c r="H126" s="194"/>
      <c r="I126" s="194"/>
      <c r="J126" s="194"/>
      <c r="K126" s="194"/>
      <c r="L126" s="194"/>
      <c r="M126" s="194"/>
      <c r="N126" s="194"/>
      <c r="O126" s="194"/>
      <c r="P126" s="194"/>
    </row>
    <row r="127" spans="3:16" s="28" customFormat="1" ht="30" customHeight="1" x14ac:dyDescent="0.2">
      <c r="C127" s="194"/>
      <c r="D127" s="194"/>
      <c r="E127" s="194"/>
      <c r="F127" s="194"/>
      <c r="G127" s="194"/>
      <c r="H127" s="194"/>
      <c r="I127" s="194"/>
      <c r="J127" s="194"/>
      <c r="K127" s="194"/>
      <c r="L127" s="194"/>
      <c r="M127" s="194"/>
      <c r="N127" s="194"/>
      <c r="O127" s="194"/>
      <c r="P127" s="194"/>
    </row>
    <row r="128" spans="3:16" s="28" customFormat="1" ht="30" customHeight="1" x14ac:dyDescent="0.2">
      <c r="C128" s="194"/>
      <c r="D128" s="194"/>
      <c r="E128" s="194"/>
      <c r="F128" s="194"/>
      <c r="G128" s="194"/>
      <c r="H128" s="194"/>
      <c r="I128" s="194"/>
      <c r="J128" s="194"/>
      <c r="K128" s="194"/>
      <c r="L128" s="194"/>
      <c r="M128" s="194"/>
      <c r="N128" s="194"/>
      <c r="O128" s="194"/>
      <c r="P128" s="194"/>
    </row>
    <row r="129" spans="3:20" s="28" customFormat="1" x14ac:dyDescent="0.2">
      <c r="C129" s="194"/>
      <c r="D129" s="194"/>
      <c r="E129" s="194"/>
      <c r="F129" s="194"/>
      <c r="G129" s="194"/>
      <c r="H129" s="194"/>
      <c r="I129" s="194"/>
      <c r="J129" s="194"/>
      <c r="K129" s="194"/>
      <c r="L129" s="194"/>
      <c r="M129" s="194"/>
      <c r="N129" s="194"/>
      <c r="O129" s="194"/>
      <c r="P129" s="194"/>
    </row>
    <row r="130" spans="3:20" s="28" customFormat="1" x14ac:dyDescent="0.2">
      <c r="C130" s="194"/>
      <c r="D130" s="194"/>
      <c r="E130" s="194"/>
      <c r="F130" s="194"/>
      <c r="G130" s="194"/>
      <c r="H130" s="194"/>
      <c r="I130" s="194"/>
      <c r="J130" s="194"/>
      <c r="K130" s="194"/>
      <c r="L130" s="194"/>
      <c r="M130" s="194"/>
      <c r="N130" s="194"/>
      <c r="O130" s="194"/>
      <c r="P130" s="194"/>
    </row>
    <row r="131" spans="3:20" s="28" customFormat="1" x14ac:dyDescent="0.2">
      <c r="C131" s="194"/>
      <c r="D131" s="194"/>
      <c r="E131" s="194"/>
      <c r="F131" s="194"/>
      <c r="G131" s="194"/>
      <c r="H131" s="194"/>
      <c r="I131" s="194"/>
      <c r="J131" s="194"/>
      <c r="K131" s="194"/>
      <c r="L131" s="194"/>
      <c r="M131" s="194"/>
      <c r="N131" s="194"/>
      <c r="O131" s="194"/>
      <c r="P131" s="194"/>
    </row>
    <row r="132" spans="3:20" s="28" customFormat="1" x14ac:dyDescent="0.2">
      <c r="C132" s="194"/>
      <c r="D132" s="194"/>
      <c r="E132" s="194"/>
      <c r="F132" s="194"/>
      <c r="G132" s="194"/>
      <c r="H132" s="194"/>
      <c r="I132" s="194"/>
      <c r="J132" s="194"/>
      <c r="K132" s="194"/>
      <c r="L132" s="194"/>
      <c r="M132" s="194"/>
      <c r="N132" s="194"/>
      <c r="O132" s="194"/>
      <c r="P132" s="194"/>
    </row>
    <row r="133" spans="3:20" s="28" customFormat="1" x14ac:dyDescent="0.2">
      <c r="C133" s="194"/>
      <c r="D133" s="194"/>
      <c r="E133" s="194"/>
      <c r="F133" s="194"/>
      <c r="G133" s="194"/>
      <c r="H133" s="194"/>
      <c r="I133" s="194"/>
      <c r="J133" s="194"/>
      <c r="K133" s="194"/>
      <c r="L133" s="194"/>
      <c r="M133" s="194"/>
      <c r="N133" s="194"/>
      <c r="O133" s="194"/>
      <c r="P133" s="194"/>
      <c r="Q133" s="19"/>
      <c r="R133" s="19"/>
      <c r="S133" s="19"/>
      <c r="T133" s="19"/>
    </row>
    <row r="134" spans="3:20" s="28" customFormat="1" x14ac:dyDescent="0.2">
      <c r="C134" s="194"/>
      <c r="D134" s="194"/>
      <c r="E134" s="194"/>
      <c r="F134" s="194"/>
      <c r="G134" s="194"/>
      <c r="H134" s="194"/>
      <c r="I134" s="194"/>
      <c r="J134" s="194"/>
      <c r="K134" s="194"/>
      <c r="L134" s="194"/>
      <c r="M134" s="194"/>
      <c r="N134" s="194"/>
      <c r="O134" s="194"/>
      <c r="P134" s="194"/>
    </row>
    <row r="135" spans="3:20" s="28" customFormat="1" x14ac:dyDescent="0.2">
      <c r="C135" s="194"/>
      <c r="D135" s="194"/>
      <c r="E135" s="194"/>
      <c r="F135" s="194"/>
      <c r="G135" s="194"/>
      <c r="H135" s="194"/>
      <c r="I135" s="194"/>
      <c r="J135" s="194"/>
      <c r="K135" s="194"/>
      <c r="L135" s="194"/>
      <c r="M135" s="194"/>
      <c r="N135" s="194"/>
      <c r="O135" s="194"/>
      <c r="P135" s="194"/>
    </row>
    <row r="136" spans="3:20" s="28" customFormat="1" x14ac:dyDescent="0.2">
      <c r="C136" s="194"/>
      <c r="D136" s="194"/>
      <c r="E136" s="194"/>
      <c r="F136" s="194"/>
      <c r="G136" s="194"/>
      <c r="H136" s="194"/>
      <c r="I136" s="194"/>
      <c r="J136" s="194"/>
      <c r="K136" s="194"/>
      <c r="L136" s="194"/>
      <c r="M136" s="194"/>
      <c r="N136" s="194"/>
      <c r="O136" s="194"/>
      <c r="P136" s="194"/>
    </row>
    <row r="137" spans="3:20" s="28" customFormat="1" x14ac:dyDescent="0.2">
      <c r="C137" s="194"/>
      <c r="D137" s="194"/>
      <c r="E137" s="194"/>
      <c r="F137" s="194"/>
      <c r="G137" s="194"/>
      <c r="H137" s="194"/>
      <c r="I137" s="194"/>
      <c r="J137" s="194"/>
      <c r="K137" s="194"/>
      <c r="L137" s="194"/>
      <c r="M137" s="194"/>
      <c r="N137" s="194"/>
      <c r="O137" s="194"/>
      <c r="P137" s="194"/>
    </row>
    <row r="138" spans="3:20" s="28" customFormat="1" x14ac:dyDescent="0.2">
      <c r="C138" s="194"/>
      <c r="D138" s="194"/>
      <c r="E138" s="194"/>
      <c r="F138" s="194"/>
      <c r="G138" s="194"/>
      <c r="H138" s="194"/>
      <c r="I138" s="194"/>
      <c r="J138" s="194"/>
      <c r="K138" s="194"/>
      <c r="L138" s="194"/>
      <c r="M138" s="194"/>
      <c r="N138" s="194"/>
      <c r="O138" s="194"/>
      <c r="P138" s="194"/>
    </row>
    <row r="139" spans="3:20" s="28" customFormat="1" x14ac:dyDescent="0.2">
      <c r="C139" s="194"/>
      <c r="D139" s="194"/>
      <c r="E139" s="194"/>
      <c r="F139" s="194"/>
      <c r="G139" s="194"/>
      <c r="H139" s="194"/>
      <c r="I139" s="194"/>
      <c r="J139" s="194"/>
      <c r="K139" s="194"/>
      <c r="L139" s="194"/>
      <c r="M139" s="194"/>
      <c r="N139" s="194"/>
      <c r="O139" s="194"/>
      <c r="P139" s="194"/>
    </row>
    <row r="140" spans="3:20" s="28" customFormat="1" x14ac:dyDescent="0.2">
      <c r="C140" s="194"/>
      <c r="D140" s="194"/>
      <c r="E140" s="194"/>
      <c r="F140" s="194"/>
      <c r="G140" s="194"/>
      <c r="H140" s="194"/>
      <c r="I140" s="194"/>
      <c r="J140" s="194"/>
      <c r="K140" s="194"/>
      <c r="L140" s="194"/>
      <c r="M140" s="194"/>
      <c r="N140" s="194"/>
      <c r="O140" s="194"/>
      <c r="P140" s="194"/>
    </row>
    <row r="141" spans="3:20" s="28" customFormat="1" x14ac:dyDescent="0.2">
      <c r="C141" s="194"/>
      <c r="D141" s="194"/>
      <c r="E141" s="194"/>
      <c r="F141" s="194"/>
      <c r="G141" s="194"/>
      <c r="H141" s="194"/>
      <c r="I141" s="194"/>
      <c r="J141" s="194"/>
      <c r="K141" s="194"/>
      <c r="L141" s="194"/>
      <c r="M141" s="194"/>
      <c r="N141" s="194"/>
      <c r="O141" s="194"/>
      <c r="P141" s="194"/>
    </row>
    <row r="142" spans="3:20" s="28" customFormat="1" x14ac:dyDescent="0.2">
      <c r="C142" s="194"/>
      <c r="D142" s="194"/>
      <c r="E142" s="194"/>
      <c r="F142" s="194"/>
      <c r="G142" s="194"/>
      <c r="H142" s="194"/>
      <c r="I142" s="194"/>
      <c r="J142" s="194"/>
      <c r="K142" s="194"/>
      <c r="L142" s="194"/>
      <c r="M142" s="194"/>
      <c r="N142" s="194"/>
      <c r="O142" s="194"/>
      <c r="P142" s="194"/>
    </row>
    <row r="143" spans="3:20" s="28" customFormat="1" x14ac:dyDescent="0.2">
      <c r="C143" s="194"/>
      <c r="D143" s="194"/>
      <c r="E143" s="194"/>
      <c r="F143" s="194"/>
      <c r="G143" s="194"/>
      <c r="H143" s="194"/>
      <c r="I143" s="194"/>
      <c r="J143" s="194"/>
      <c r="K143" s="194"/>
      <c r="L143" s="194"/>
      <c r="M143" s="194"/>
      <c r="N143" s="194"/>
      <c r="O143" s="194"/>
      <c r="P143" s="194"/>
    </row>
    <row r="144" spans="3:20" s="28" customFormat="1" x14ac:dyDescent="0.2">
      <c r="C144" s="194"/>
      <c r="D144" s="194"/>
      <c r="E144" s="194"/>
      <c r="F144" s="194"/>
      <c r="G144" s="194"/>
      <c r="H144" s="194"/>
      <c r="I144" s="194"/>
      <c r="J144" s="194"/>
      <c r="K144" s="194"/>
      <c r="L144" s="194"/>
      <c r="M144" s="194"/>
      <c r="N144" s="194"/>
      <c r="O144" s="194"/>
      <c r="P144" s="194"/>
    </row>
    <row r="145" spans="3:16" s="28" customFormat="1" x14ac:dyDescent="0.2">
      <c r="C145" s="194"/>
      <c r="D145" s="194"/>
      <c r="E145" s="194"/>
      <c r="F145" s="194"/>
      <c r="G145" s="194"/>
      <c r="H145" s="194"/>
      <c r="I145" s="194"/>
      <c r="J145" s="194"/>
      <c r="K145" s="194"/>
      <c r="L145" s="194"/>
      <c r="M145" s="194"/>
      <c r="N145" s="194"/>
      <c r="O145" s="194"/>
      <c r="P145" s="194"/>
    </row>
    <row r="146" spans="3:16" s="28" customFormat="1" x14ac:dyDescent="0.2">
      <c r="C146" s="194"/>
      <c r="D146" s="194"/>
      <c r="E146" s="194"/>
      <c r="F146" s="194"/>
      <c r="G146" s="194"/>
      <c r="H146" s="194"/>
      <c r="I146" s="194"/>
      <c r="J146" s="194"/>
      <c r="K146" s="194"/>
      <c r="L146" s="194"/>
      <c r="M146" s="194"/>
      <c r="N146" s="194"/>
      <c r="O146" s="194"/>
      <c r="P146" s="194"/>
    </row>
    <row r="147" spans="3:16" s="28" customFormat="1" x14ac:dyDescent="0.2">
      <c r="C147" s="194"/>
      <c r="D147" s="194"/>
      <c r="E147" s="194"/>
      <c r="F147" s="194"/>
      <c r="G147" s="194"/>
      <c r="H147" s="194"/>
      <c r="I147" s="194"/>
      <c r="J147" s="194"/>
      <c r="K147" s="194"/>
      <c r="L147" s="194"/>
      <c r="M147" s="194"/>
      <c r="N147" s="194"/>
      <c r="O147" s="194"/>
      <c r="P147" s="194"/>
    </row>
    <row r="148" spans="3:16" s="28" customFormat="1" x14ac:dyDescent="0.2">
      <c r="C148" s="194"/>
      <c r="D148" s="194"/>
      <c r="E148" s="194"/>
      <c r="F148" s="194"/>
      <c r="G148" s="194"/>
      <c r="H148" s="194"/>
      <c r="I148" s="194"/>
      <c r="J148" s="194"/>
      <c r="K148" s="194"/>
      <c r="L148" s="194"/>
      <c r="M148" s="194"/>
      <c r="N148" s="194"/>
      <c r="O148" s="194"/>
      <c r="P148" s="194"/>
    </row>
    <row r="149" spans="3:16" s="28" customFormat="1" x14ac:dyDescent="0.2">
      <c r="C149" s="194"/>
      <c r="D149" s="194"/>
      <c r="E149" s="194"/>
      <c r="F149" s="194"/>
      <c r="G149" s="194"/>
      <c r="H149" s="194"/>
      <c r="I149" s="194"/>
      <c r="J149" s="194"/>
      <c r="K149" s="194"/>
      <c r="L149" s="194"/>
      <c r="M149" s="194"/>
      <c r="N149" s="194"/>
      <c r="O149" s="194"/>
      <c r="P149" s="194"/>
    </row>
    <row r="150" spans="3:16" s="28" customFormat="1" x14ac:dyDescent="0.2">
      <c r="C150" s="194"/>
      <c r="D150" s="194"/>
      <c r="E150" s="194"/>
      <c r="F150" s="194"/>
      <c r="G150" s="194"/>
      <c r="H150" s="194"/>
      <c r="I150" s="194"/>
      <c r="J150" s="194"/>
      <c r="K150" s="194"/>
      <c r="L150" s="194"/>
      <c r="M150" s="194"/>
      <c r="N150" s="194"/>
      <c r="O150" s="194"/>
      <c r="P150" s="194"/>
    </row>
    <row r="151" spans="3:16" s="28" customFormat="1" x14ac:dyDescent="0.2">
      <c r="C151" s="194"/>
      <c r="D151" s="194"/>
      <c r="E151" s="194"/>
      <c r="F151" s="194"/>
      <c r="G151" s="194"/>
      <c r="H151" s="194"/>
      <c r="I151" s="194"/>
      <c r="J151" s="194"/>
      <c r="K151" s="194"/>
      <c r="L151" s="194"/>
      <c r="M151" s="194"/>
      <c r="N151" s="194"/>
      <c r="O151" s="194"/>
      <c r="P151" s="194"/>
    </row>
    <row r="152" spans="3:16" s="28" customFormat="1" x14ac:dyDescent="0.2">
      <c r="C152" s="194"/>
      <c r="D152" s="194"/>
      <c r="E152" s="194"/>
      <c r="F152" s="194"/>
      <c r="G152" s="194"/>
      <c r="H152" s="194"/>
      <c r="I152" s="194"/>
      <c r="J152" s="194"/>
      <c r="K152" s="194"/>
      <c r="L152" s="194"/>
      <c r="M152" s="194"/>
      <c r="N152" s="194"/>
      <c r="O152" s="194"/>
      <c r="P152" s="194"/>
    </row>
    <row r="153" spans="3:16" s="28" customFormat="1" x14ac:dyDescent="0.2">
      <c r="C153" s="194"/>
      <c r="D153" s="194"/>
      <c r="E153" s="194"/>
      <c r="F153" s="194"/>
      <c r="G153" s="194"/>
      <c r="H153" s="194"/>
      <c r="I153" s="194"/>
      <c r="J153" s="194"/>
      <c r="K153" s="194"/>
      <c r="L153" s="194"/>
      <c r="M153" s="194"/>
      <c r="N153" s="194"/>
      <c r="O153" s="194"/>
      <c r="P153" s="194"/>
    </row>
    <row r="154" spans="3:16" s="28" customFormat="1" x14ac:dyDescent="0.2">
      <c r="C154" s="194"/>
      <c r="D154" s="194"/>
      <c r="E154" s="194"/>
      <c r="F154" s="194"/>
      <c r="G154" s="194"/>
      <c r="H154" s="194"/>
      <c r="I154" s="194"/>
      <c r="J154" s="194"/>
      <c r="K154" s="194"/>
      <c r="L154" s="194"/>
      <c r="M154" s="194"/>
      <c r="N154" s="194"/>
      <c r="O154" s="194"/>
      <c r="P154" s="194"/>
    </row>
    <row r="155" spans="3:16" s="28" customFormat="1" x14ac:dyDescent="0.2">
      <c r="C155" s="194"/>
      <c r="D155" s="194"/>
      <c r="E155" s="194"/>
      <c r="F155" s="194"/>
      <c r="G155" s="194"/>
      <c r="H155" s="194"/>
      <c r="I155" s="194"/>
      <c r="J155" s="194"/>
      <c r="K155" s="194"/>
      <c r="L155" s="194"/>
      <c r="M155" s="194"/>
      <c r="N155" s="194"/>
      <c r="O155" s="194"/>
      <c r="P155" s="194"/>
    </row>
    <row r="156" spans="3:16" s="28" customFormat="1" x14ac:dyDescent="0.2">
      <c r="C156" s="194"/>
      <c r="D156" s="194"/>
      <c r="E156" s="194"/>
      <c r="F156" s="194"/>
      <c r="G156" s="194"/>
      <c r="H156" s="194"/>
      <c r="I156" s="194"/>
      <c r="J156" s="194"/>
      <c r="K156" s="194"/>
      <c r="L156" s="194"/>
      <c r="M156" s="194"/>
      <c r="N156" s="194"/>
      <c r="O156" s="194"/>
      <c r="P156" s="194"/>
    </row>
    <row r="157" spans="3:16" s="28" customFormat="1" x14ac:dyDescent="0.2">
      <c r="C157" s="194"/>
      <c r="D157" s="194"/>
      <c r="E157" s="194"/>
      <c r="F157" s="194"/>
      <c r="G157" s="194"/>
      <c r="H157" s="194"/>
      <c r="I157" s="194"/>
      <c r="J157" s="194"/>
      <c r="K157" s="194"/>
      <c r="L157" s="194"/>
      <c r="M157" s="194"/>
      <c r="N157" s="194"/>
      <c r="O157" s="194"/>
      <c r="P157" s="194"/>
    </row>
    <row r="158" spans="3:16" s="28" customFormat="1" x14ac:dyDescent="0.2">
      <c r="C158" s="194"/>
      <c r="D158" s="194"/>
      <c r="E158" s="194"/>
      <c r="F158" s="194"/>
      <c r="G158" s="194"/>
      <c r="H158" s="194"/>
      <c r="I158" s="194"/>
      <c r="J158" s="194"/>
      <c r="K158" s="194"/>
      <c r="L158" s="194"/>
      <c r="M158" s="194"/>
      <c r="N158" s="194"/>
      <c r="O158" s="194"/>
      <c r="P158" s="194"/>
    </row>
    <row r="159" spans="3:16" s="28" customFormat="1" x14ac:dyDescent="0.2">
      <c r="C159" s="194"/>
      <c r="D159" s="194"/>
      <c r="E159" s="194"/>
      <c r="F159" s="194"/>
      <c r="G159" s="194"/>
      <c r="H159" s="194"/>
      <c r="I159" s="194"/>
      <c r="J159" s="194"/>
      <c r="K159" s="194"/>
      <c r="L159" s="194"/>
      <c r="M159" s="194"/>
      <c r="N159" s="194"/>
      <c r="O159" s="194"/>
      <c r="P159" s="194"/>
    </row>
    <row r="160" spans="3:16" s="28" customFormat="1" x14ac:dyDescent="0.2">
      <c r="C160" s="194"/>
      <c r="D160" s="194"/>
      <c r="E160" s="194"/>
      <c r="F160" s="194"/>
      <c r="G160" s="194"/>
      <c r="H160" s="194"/>
      <c r="I160" s="194"/>
      <c r="J160" s="194"/>
      <c r="K160" s="194"/>
      <c r="L160" s="194"/>
      <c r="M160" s="194"/>
      <c r="N160" s="194"/>
      <c r="O160" s="194"/>
      <c r="P160" s="194"/>
    </row>
    <row r="161" spans="3:16" s="28" customFormat="1" x14ac:dyDescent="0.2">
      <c r="C161" s="194"/>
      <c r="D161" s="194"/>
      <c r="E161" s="194"/>
      <c r="F161" s="194"/>
      <c r="G161" s="194"/>
      <c r="H161" s="194"/>
      <c r="I161" s="194"/>
      <c r="J161" s="194"/>
      <c r="K161" s="194"/>
      <c r="L161" s="194"/>
      <c r="M161" s="194"/>
      <c r="N161" s="194"/>
      <c r="O161" s="194"/>
      <c r="P161" s="194"/>
    </row>
    <row r="162" spans="3:16" s="28" customFormat="1" x14ac:dyDescent="0.2">
      <c r="C162" s="194"/>
      <c r="D162" s="194"/>
      <c r="E162" s="194"/>
      <c r="F162" s="194"/>
      <c r="G162" s="194"/>
      <c r="H162" s="194"/>
      <c r="I162" s="194"/>
      <c r="J162" s="194"/>
      <c r="K162" s="194"/>
      <c r="L162" s="194"/>
      <c r="M162" s="194"/>
      <c r="N162" s="194"/>
      <c r="O162" s="194"/>
      <c r="P162" s="194"/>
    </row>
    <row r="163" spans="3:16" s="28" customFormat="1" x14ac:dyDescent="0.2">
      <c r="C163" s="194"/>
      <c r="D163" s="194"/>
      <c r="E163" s="194"/>
      <c r="F163" s="194"/>
      <c r="G163" s="194"/>
      <c r="H163" s="194"/>
      <c r="I163" s="194"/>
      <c r="J163" s="194"/>
      <c r="K163" s="194"/>
      <c r="L163" s="194"/>
      <c r="M163" s="194"/>
      <c r="N163" s="194"/>
      <c r="O163" s="194"/>
      <c r="P163" s="194"/>
    </row>
    <row r="164" spans="3:16" s="28" customFormat="1" x14ac:dyDescent="0.2">
      <c r="C164" s="194"/>
      <c r="D164" s="194"/>
      <c r="E164" s="194"/>
      <c r="F164" s="194"/>
      <c r="G164" s="194"/>
      <c r="H164" s="194"/>
      <c r="I164" s="194"/>
      <c r="J164" s="194"/>
      <c r="K164" s="194"/>
      <c r="L164" s="194"/>
      <c r="M164" s="194"/>
      <c r="N164" s="194"/>
      <c r="O164" s="194"/>
      <c r="P164" s="194"/>
    </row>
    <row r="165" spans="3:16" s="28" customFormat="1" x14ac:dyDescent="0.2">
      <c r="C165" s="194"/>
      <c r="D165" s="194"/>
      <c r="E165" s="194"/>
      <c r="F165" s="194"/>
      <c r="G165" s="194"/>
      <c r="H165" s="194"/>
      <c r="I165" s="194"/>
      <c r="J165" s="194"/>
      <c r="K165" s="194"/>
      <c r="L165" s="194"/>
      <c r="M165" s="194"/>
      <c r="N165" s="194"/>
      <c r="O165" s="194"/>
      <c r="P165" s="194"/>
    </row>
    <row r="166" spans="3:16" s="28" customFormat="1" x14ac:dyDescent="0.2">
      <c r="C166" s="194"/>
      <c r="D166" s="194"/>
      <c r="E166" s="194"/>
      <c r="F166" s="194"/>
      <c r="G166" s="194"/>
      <c r="H166" s="194"/>
      <c r="I166" s="194"/>
      <c r="J166" s="194"/>
      <c r="K166" s="194"/>
      <c r="L166" s="194"/>
      <c r="M166" s="194"/>
      <c r="N166" s="194"/>
      <c r="O166" s="194"/>
      <c r="P166" s="194"/>
    </row>
    <row r="167" spans="3:16" s="28" customFormat="1" x14ac:dyDescent="0.2">
      <c r="C167" s="194"/>
      <c r="D167" s="194"/>
      <c r="E167" s="194"/>
      <c r="F167" s="194"/>
      <c r="G167" s="194"/>
      <c r="H167" s="194"/>
      <c r="I167" s="194"/>
      <c r="J167" s="194"/>
      <c r="K167" s="194"/>
      <c r="L167" s="194"/>
      <c r="M167" s="194"/>
      <c r="N167" s="194"/>
      <c r="O167" s="194"/>
      <c r="P167" s="194"/>
    </row>
    <row r="168" spans="3:16" s="28" customFormat="1" x14ac:dyDescent="0.2">
      <c r="C168" s="194"/>
      <c r="D168" s="194"/>
      <c r="E168" s="194"/>
      <c r="F168" s="194"/>
      <c r="G168" s="194"/>
      <c r="H168" s="194"/>
      <c r="I168" s="194"/>
      <c r="J168" s="194"/>
      <c r="K168" s="194"/>
      <c r="L168" s="194"/>
      <c r="M168" s="194"/>
      <c r="N168" s="194"/>
      <c r="O168" s="194"/>
      <c r="P168" s="194"/>
    </row>
    <row r="169" spans="3:16" s="28" customFormat="1" x14ac:dyDescent="0.2">
      <c r="C169" s="194"/>
      <c r="D169" s="194"/>
      <c r="E169" s="194"/>
      <c r="F169" s="194"/>
      <c r="G169" s="194"/>
      <c r="H169" s="194"/>
      <c r="I169" s="194"/>
      <c r="J169" s="194"/>
      <c r="K169" s="194"/>
      <c r="L169" s="194"/>
      <c r="M169" s="194"/>
      <c r="N169" s="194"/>
      <c r="O169" s="194"/>
      <c r="P169" s="194"/>
    </row>
    <row r="170" spans="3:16" s="28" customFormat="1" x14ac:dyDescent="0.2">
      <c r="C170" s="194"/>
      <c r="D170" s="194"/>
      <c r="E170" s="194"/>
      <c r="F170" s="194"/>
      <c r="G170" s="194"/>
      <c r="H170" s="194"/>
      <c r="I170" s="194"/>
      <c r="J170" s="194"/>
      <c r="K170" s="194"/>
      <c r="L170" s="194"/>
      <c r="M170" s="194"/>
      <c r="N170" s="194"/>
      <c r="O170" s="194"/>
      <c r="P170" s="194"/>
    </row>
    <row r="171" spans="3:16" s="28" customFormat="1" x14ac:dyDescent="0.2">
      <c r="C171" s="194"/>
      <c r="D171" s="194"/>
      <c r="E171" s="194"/>
      <c r="F171" s="194"/>
      <c r="G171" s="194"/>
      <c r="H171" s="194"/>
      <c r="I171" s="194"/>
      <c r="J171" s="194"/>
      <c r="K171" s="194"/>
      <c r="L171" s="194"/>
      <c r="M171" s="194"/>
      <c r="N171" s="194"/>
      <c r="O171" s="194"/>
      <c r="P171" s="194"/>
    </row>
    <row r="172" spans="3:16" s="28" customFormat="1" x14ac:dyDescent="0.2">
      <c r="C172" s="194"/>
      <c r="D172" s="194"/>
      <c r="E172" s="194"/>
      <c r="F172" s="194"/>
      <c r="G172" s="194"/>
      <c r="H172" s="194"/>
      <c r="I172" s="194"/>
      <c r="J172" s="194"/>
      <c r="K172" s="194"/>
      <c r="L172" s="194"/>
      <c r="M172" s="194"/>
      <c r="N172" s="194"/>
      <c r="O172" s="194"/>
      <c r="P172" s="194"/>
    </row>
    <row r="173" spans="3:16" s="28" customFormat="1" x14ac:dyDescent="0.2">
      <c r="C173" s="194"/>
      <c r="D173" s="194"/>
      <c r="E173" s="194"/>
      <c r="F173" s="194"/>
      <c r="G173" s="194"/>
      <c r="H173" s="194"/>
      <c r="I173" s="194"/>
      <c r="J173" s="194"/>
      <c r="K173" s="194"/>
      <c r="L173" s="194"/>
      <c r="M173" s="194"/>
      <c r="N173" s="194"/>
      <c r="O173" s="194"/>
      <c r="P173" s="194"/>
    </row>
    <row r="174" spans="3:16" s="28" customFormat="1" x14ac:dyDescent="0.2">
      <c r="C174" s="194"/>
      <c r="D174" s="194"/>
      <c r="E174" s="194"/>
      <c r="F174" s="194"/>
      <c r="G174" s="194"/>
      <c r="H174" s="194"/>
      <c r="I174" s="194"/>
      <c r="J174" s="194"/>
      <c r="K174" s="194"/>
      <c r="L174" s="194"/>
      <c r="M174" s="194"/>
      <c r="N174" s="194"/>
      <c r="O174" s="194"/>
      <c r="P174" s="194"/>
    </row>
    <row r="175" spans="3:16" s="28" customFormat="1" x14ac:dyDescent="0.2">
      <c r="C175" s="194"/>
      <c r="D175" s="194"/>
      <c r="E175" s="194"/>
      <c r="F175" s="194"/>
      <c r="G175" s="194"/>
      <c r="H175" s="194"/>
      <c r="I175" s="194"/>
      <c r="J175" s="194"/>
      <c r="K175" s="194"/>
      <c r="L175" s="194"/>
      <c r="M175" s="194"/>
      <c r="N175" s="194"/>
      <c r="O175" s="194"/>
      <c r="P175" s="194"/>
    </row>
    <row r="176" spans="3:16" s="28" customFormat="1" x14ac:dyDescent="0.2">
      <c r="C176" s="194"/>
      <c r="D176" s="194"/>
      <c r="E176" s="194"/>
      <c r="F176" s="194"/>
      <c r="G176" s="194"/>
      <c r="H176" s="194"/>
      <c r="I176" s="194"/>
      <c r="J176" s="194"/>
      <c r="K176" s="194"/>
      <c r="L176" s="194"/>
      <c r="M176" s="194"/>
      <c r="N176" s="194"/>
      <c r="O176" s="194"/>
      <c r="P176" s="194"/>
    </row>
    <row r="177" spans="3:16" s="28" customFormat="1" x14ac:dyDescent="0.2">
      <c r="C177" s="194"/>
      <c r="D177" s="194"/>
      <c r="E177" s="194"/>
      <c r="F177" s="194"/>
      <c r="G177" s="194"/>
      <c r="H177" s="194"/>
      <c r="I177" s="194"/>
      <c r="J177" s="194"/>
      <c r="K177" s="194"/>
      <c r="L177" s="194"/>
      <c r="M177" s="194"/>
      <c r="N177" s="194"/>
      <c r="O177" s="194"/>
      <c r="P177" s="194"/>
    </row>
    <row r="178" spans="3:16" s="28" customFormat="1" x14ac:dyDescent="0.2">
      <c r="C178" s="194"/>
      <c r="D178" s="194"/>
      <c r="E178" s="194"/>
      <c r="F178" s="194"/>
      <c r="G178" s="194"/>
      <c r="H178" s="194"/>
      <c r="I178" s="194"/>
      <c r="J178" s="194"/>
      <c r="K178" s="194"/>
      <c r="L178" s="194"/>
      <c r="M178" s="194"/>
      <c r="N178" s="194"/>
      <c r="O178" s="194"/>
      <c r="P178" s="194"/>
    </row>
    <row r="179" spans="3:16" s="28" customFormat="1" x14ac:dyDescent="0.2">
      <c r="C179" s="194"/>
      <c r="D179" s="194"/>
      <c r="E179" s="194"/>
      <c r="F179" s="194"/>
      <c r="G179" s="194"/>
      <c r="H179" s="194"/>
      <c r="I179" s="194"/>
      <c r="J179" s="194"/>
      <c r="K179" s="194"/>
      <c r="L179" s="194"/>
      <c r="M179" s="194"/>
      <c r="N179" s="194"/>
      <c r="O179" s="194"/>
      <c r="P179" s="194"/>
    </row>
    <row r="180" spans="3:16" s="28" customFormat="1" x14ac:dyDescent="0.2">
      <c r="C180" s="194"/>
      <c r="D180" s="194"/>
      <c r="E180" s="194"/>
      <c r="F180" s="194"/>
      <c r="G180" s="194"/>
      <c r="H180" s="194"/>
      <c r="I180" s="194"/>
      <c r="J180" s="194"/>
      <c r="K180" s="194"/>
      <c r="L180" s="194"/>
      <c r="M180" s="194"/>
      <c r="N180" s="194"/>
      <c r="O180" s="194"/>
      <c r="P180" s="194"/>
    </row>
    <row r="181" spans="3:16" s="28" customFormat="1" x14ac:dyDescent="0.2">
      <c r="C181" s="194"/>
      <c r="D181" s="194"/>
      <c r="E181" s="194"/>
      <c r="F181" s="194"/>
      <c r="G181" s="194"/>
      <c r="H181" s="194"/>
      <c r="I181" s="194"/>
      <c r="J181" s="194"/>
      <c r="K181" s="194"/>
      <c r="L181" s="194"/>
      <c r="M181" s="194"/>
      <c r="N181" s="194"/>
      <c r="O181" s="194"/>
      <c r="P181" s="194"/>
    </row>
    <row r="182" spans="3:16" s="28" customFormat="1" x14ac:dyDescent="0.2">
      <c r="C182" s="194"/>
      <c r="D182" s="194"/>
      <c r="E182" s="194"/>
      <c r="F182" s="194"/>
      <c r="G182" s="194"/>
      <c r="H182" s="194"/>
      <c r="I182" s="194"/>
      <c r="J182" s="194"/>
      <c r="K182" s="194"/>
      <c r="L182" s="194"/>
      <c r="M182" s="194"/>
      <c r="N182" s="194"/>
      <c r="O182" s="194"/>
      <c r="P182" s="194"/>
    </row>
    <row r="183" spans="3:16" s="28" customFormat="1" x14ac:dyDescent="0.2">
      <c r="C183" s="194"/>
      <c r="D183" s="194"/>
      <c r="E183" s="194"/>
      <c r="F183" s="194"/>
      <c r="G183" s="194"/>
      <c r="H183" s="194"/>
      <c r="I183" s="194"/>
      <c r="J183" s="194"/>
      <c r="K183" s="194"/>
      <c r="L183" s="194"/>
      <c r="M183" s="194"/>
      <c r="N183" s="194"/>
      <c r="O183" s="194"/>
      <c r="P183" s="194"/>
    </row>
    <row r="184" spans="3:16" s="28" customFormat="1" x14ac:dyDescent="0.2">
      <c r="C184" s="194"/>
      <c r="D184" s="194"/>
      <c r="E184" s="194"/>
      <c r="F184" s="194"/>
      <c r="G184" s="194"/>
      <c r="H184" s="194"/>
      <c r="I184" s="194"/>
      <c r="J184" s="194"/>
      <c r="K184" s="194"/>
      <c r="L184" s="194"/>
      <c r="M184" s="194"/>
      <c r="N184" s="194"/>
      <c r="O184" s="194"/>
      <c r="P184" s="194"/>
    </row>
    <row r="185" spans="3:16" s="28" customFormat="1" x14ac:dyDescent="0.2">
      <c r="C185" s="194"/>
      <c r="D185" s="194"/>
      <c r="E185" s="194"/>
      <c r="F185" s="194"/>
      <c r="G185" s="194"/>
      <c r="H185" s="194"/>
      <c r="I185" s="194"/>
      <c r="J185" s="194"/>
      <c r="K185" s="194"/>
      <c r="L185" s="194"/>
      <c r="M185" s="194"/>
      <c r="N185" s="194"/>
      <c r="O185" s="194"/>
      <c r="P185" s="194"/>
    </row>
    <row r="186" spans="3:16" s="28" customFormat="1" x14ac:dyDescent="0.2">
      <c r="C186" s="194"/>
      <c r="D186" s="194"/>
      <c r="E186" s="194"/>
      <c r="F186" s="194"/>
      <c r="G186" s="194"/>
      <c r="H186" s="194"/>
      <c r="I186" s="194"/>
      <c r="J186" s="194"/>
      <c r="K186" s="194"/>
      <c r="L186" s="194"/>
      <c r="M186" s="194"/>
      <c r="N186" s="194"/>
      <c r="O186" s="194"/>
      <c r="P186" s="194"/>
    </row>
    <row r="187" spans="3:16" s="28" customFormat="1" x14ac:dyDescent="0.2">
      <c r="C187" s="194"/>
      <c r="D187" s="194"/>
      <c r="E187" s="194"/>
      <c r="F187" s="194"/>
      <c r="G187" s="194"/>
      <c r="H187" s="194"/>
      <c r="I187" s="194"/>
      <c r="J187" s="194"/>
      <c r="K187" s="194"/>
      <c r="L187" s="194"/>
      <c r="M187" s="194"/>
      <c r="N187" s="194"/>
      <c r="O187" s="194"/>
      <c r="P187" s="194"/>
    </row>
    <row r="188" spans="3:16" s="28" customFormat="1" x14ac:dyDescent="0.2">
      <c r="C188" s="194"/>
      <c r="D188" s="194"/>
      <c r="E188" s="194"/>
      <c r="F188" s="194"/>
      <c r="G188" s="194"/>
      <c r="H188" s="194"/>
      <c r="I188" s="194"/>
      <c r="J188" s="194"/>
      <c r="K188" s="194"/>
      <c r="L188" s="194"/>
      <c r="M188" s="194"/>
      <c r="N188" s="194"/>
      <c r="O188" s="194"/>
      <c r="P188" s="194"/>
    </row>
    <row r="189" spans="3:16" s="28" customFormat="1" x14ac:dyDescent="0.2">
      <c r="C189" s="194"/>
      <c r="D189" s="194"/>
      <c r="E189" s="194"/>
      <c r="F189" s="194"/>
      <c r="G189" s="194"/>
      <c r="H189" s="194"/>
      <c r="I189" s="194"/>
      <c r="J189" s="194"/>
      <c r="K189" s="194"/>
      <c r="L189" s="194"/>
      <c r="M189" s="194"/>
      <c r="N189" s="194"/>
      <c r="O189" s="194"/>
      <c r="P189" s="194"/>
    </row>
    <row r="190" spans="3:16" s="28" customFormat="1" x14ac:dyDescent="0.2">
      <c r="C190" s="194"/>
      <c r="D190" s="194"/>
      <c r="E190" s="194"/>
      <c r="F190" s="194"/>
      <c r="G190" s="194"/>
      <c r="H190" s="194"/>
      <c r="I190" s="194"/>
      <c r="J190" s="194"/>
      <c r="K190" s="194"/>
      <c r="L190" s="194"/>
      <c r="M190" s="194"/>
      <c r="N190" s="194"/>
      <c r="O190" s="194"/>
      <c r="P190" s="194"/>
    </row>
    <row r="191" spans="3:16" s="28" customFormat="1" x14ac:dyDescent="0.2">
      <c r="C191" s="194"/>
      <c r="D191" s="194"/>
      <c r="E191" s="194"/>
      <c r="F191" s="194"/>
      <c r="G191" s="194"/>
      <c r="H191" s="194"/>
      <c r="I191" s="194"/>
      <c r="J191" s="194"/>
      <c r="K191" s="194"/>
      <c r="L191" s="194"/>
      <c r="M191" s="194"/>
      <c r="N191" s="194"/>
      <c r="O191" s="194"/>
      <c r="P191" s="194"/>
    </row>
    <row r="192" spans="3:16" s="28" customFormat="1" x14ac:dyDescent="0.2">
      <c r="C192" s="194"/>
      <c r="D192" s="194"/>
      <c r="E192" s="194"/>
      <c r="F192" s="194"/>
      <c r="G192" s="194"/>
      <c r="H192" s="194"/>
      <c r="I192" s="194"/>
      <c r="J192" s="194"/>
      <c r="K192" s="194"/>
      <c r="L192" s="194"/>
      <c r="M192" s="194"/>
      <c r="N192" s="194"/>
      <c r="O192" s="194"/>
      <c r="P192" s="194"/>
    </row>
    <row r="193" spans="3:16" s="28" customFormat="1" x14ac:dyDescent="0.2">
      <c r="C193" s="194"/>
      <c r="D193" s="194"/>
      <c r="E193" s="194"/>
      <c r="F193" s="194"/>
      <c r="G193" s="194"/>
      <c r="H193" s="194"/>
      <c r="I193" s="194"/>
      <c r="J193" s="194"/>
      <c r="K193" s="194"/>
      <c r="L193" s="194"/>
      <c r="M193" s="194"/>
      <c r="N193" s="194"/>
      <c r="O193" s="194"/>
      <c r="P193" s="194"/>
    </row>
    <row r="194" spans="3:16" s="28" customFormat="1" x14ac:dyDescent="0.2">
      <c r="C194" s="194"/>
      <c r="D194" s="194"/>
      <c r="E194" s="194"/>
      <c r="F194" s="194"/>
      <c r="G194" s="194"/>
      <c r="H194" s="194"/>
      <c r="I194" s="194"/>
      <c r="J194" s="194"/>
      <c r="K194" s="194"/>
      <c r="L194" s="194"/>
      <c r="M194" s="194"/>
      <c r="N194" s="194"/>
      <c r="O194" s="194"/>
      <c r="P194" s="194"/>
    </row>
    <row r="195" spans="3:16" s="28" customFormat="1" x14ac:dyDescent="0.2">
      <c r="C195" s="194"/>
      <c r="D195" s="194"/>
      <c r="E195" s="194"/>
      <c r="F195" s="194"/>
      <c r="G195" s="194"/>
      <c r="H195" s="194"/>
      <c r="I195" s="194"/>
      <c r="J195" s="194"/>
      <c r="K195" s="194"/>
      <c r="L195" s="194"/>
      <c r="M195" s="194"/>
      <c r="N195" s="194"/>
      <c r="O195" s="194"/>
      <c r="P195" s="194"/>
    </row>
    <row r="196" spans="3:16" s="28" customFormat="1" x14ac:dyDescent="0.2">
      <c r="C196" s="194"/>
      <c r="D196" s="194"/>
      <c r="E196" s="194"/>
      <c r="F196" s="194"/>
      <c r="G196" s="194"/>
      <c r="H196" s="194"/>
      <c r="I196" s="194"/>
      <c r="J196" s="194"/>
      <c r="K196" s="194"/>
      <c r="L196" s="194"/>
      <c r="M196" s="194"/>
      <c r="N196" s="194"/>
      <c r="O196" s="194"/>
      <c r="P196" s="194"/>
    </row>
    <row r="197" spans="3:16" s="28" customFormat="1" x14ac:dyDescent="0.2">
      <c r="C197" s="194"/>
      <c r="D197" s="194"/>
      <c r="E197" s="194"/>
      <c r="F197" s="194"/>
      <c r="G197" s="194"/>
      <c r="H197" s="194"/>
      <c r="I197" s="194"/>
      <c r="J197" s="194"/>
      <c r="K197" s="194"/>
      <c r="L197" s="194"/>
      <c r="M197" s="194"/>
      <c r="N197" s="194"/>
      <c r="O197" s="194"/>
      <c r="P197" s="194"/>
    </row>
    <row r="198" spans="3:16" s="28" customFormat="1" x14ac:dyDescent="0.2">
      <c r="C198" s="194"/>
      <c r="D198" s="194"/>
      <c r="E198" s="194"/>
      <c r="F198" s="194"/>
      <c r="G198" s="194"/>
      <c r="H198" s="194"/>
      <c r="I198" s="194"/>
      <c r="J198" s="194"/>
      <c r="K198" s="194"/>
      <c r="L198" s="194"/>
      <c r="M198" s="194"/>
      <c r="N198" s="194"/>
      <c r="O198" s="194"/>
      <c r="P198" s="194"/>
    </row>
    <row r="199" spans="3:16" s="28" customFormat="1" x14ac:dyDescent="0.2">
      <c r="C199" s="194"/>
      <c r="D199" s="194"/>
      <c r="E199" s="194"/>
      <c r="F199" s="194"/>
      <c r="G199" s="194"/>
      <c r="H199" s="194"/>
      <c r="I199" s="194"/>
      <c r="J199" s="194"/>
      <c r="K199" s="194"/>
      <c r="L199" s="194"/>
      <c r="M199" s="194"/>
      <c r="N199" s="194"/>
      <c r="O199" s="194"/>
      <c r="P199" s="194"/>
    </row>
    <row r="200" spans="3:16" s="28" customFormat="1" x14ac:dyDescent="0.2">
      <c r="C200" s="194"/>
      <c r="D200" s="194"/>
      <c r="E200" s="194"/>
      <c r="F200" s="194"/>
      <c r="G200" s="194"/>
      <c r="H200" s="194"/>
      <c r="I200" s="194"/>
      <c r="J200" s="194"/>
      <c r="K200" s="194"/>
      <c r="L200" s="194"/>
      <c r="M200" s="194"/>
      <c r="N200" s="194"/>
      <c r="O200" s="194"/>
      <c r="P200" s="194"/>
    </row>
    <row r="201" spans="3:16" s="28" customFormat="1" x14ac:dyDescent="0.2">
      <c r="C201" s="194"/>
      <c r="D201" s="194"/>
      <c r="E201" s="194"/>
      <c r="F201" s="194"/>
      <c r="G201" s="194"/>
      <c r="H201" s="194"/>
      <c r="I201" s="194"/>
      <c r="J201" s="194"/>
      <c r="K201" s="194"/>
      <c r="L201" s="194"/>
      <c r="M201" s="194"/>
      <c r="N201" s="194"/>
      <c r="O201" s="194"/>
      <c r="P201" s="194"/>
    </row>
    <row r="202" spans="3:16" s="28" customFormat="1" x14ac:dyDescent="0.2">
      <c r="C202" s="194"/>
      <c r="D202" s="194"/>
      <c r="E202" s="194"/>
      <c r="F202" s="194"/>
      <c r="G202" s="194"/>
      <c r="H202" s="194"/>
      <c r="I202" s="194"/>
      <c r="J202" s="194"/>
      <c r="K202" s="194"/>
      <c r="L202" s="194"/>
      <c r="M202" s="194"/>
      <c r="N202" s="194"/>
      <c r="O202" s="194"/>
      <c r="P202" s="194"/>
    </row>
    <row r="203" spans="3:16" s="28" customFormat="1" x14ac:dyDescent="0.2">
      <c r="C203" s="194"/>
      <c r="D203" s="194"/>
      <c r="E203" s="194"/>
      <c r="F203" s="194"/>
      <c r="G203" s="194"/>
      <c r="H203" s="194"/>
      <c r="I203" s="194"/>
      <c r="J203" s="194"/>
      <c r="K203" s="194"/>
      <c r="L203" s="194"/>
      <c r="M203" s="194"/>
      <c r="N203" s="194"/>
      <c r="O203" s="194"/>
      <c r="P203" s="194"/>
    </row>
    <row r="204" spans="3:16" s="28" customFormat="1" x14ac:dyDescent="0.2">
      <c r="C204" s="194"/>
      <c r="D204" s="194"/>
      <c r="E204" s="194"/>
      <c r="F204" s="194"/>
      <c r="G204" s="194"/>
      <c r="H204" s="194"/>
      <c r="I204" s="194"/>
      <c r="J204" s="194"/>
      <c r="K204" s="194"/>
      <c r="L204" s="194"/>
      <c r="M204" s="194"/>
      <c r="N204" s="194"/>
      <c r="O204" s="194"/>
      <c r="P204" s="194"/>
    </row>
    <row r="205" spans="3:16" s="28" customFormat="1" x14ac:dyDescent="0.2">
      <c r="C205" s="194"/>
      <c r="D205" s="194"/>
      <c r="E205" s="194"/>
      <c r="F205" s="194"/>
      <c r="G205" s="194"/>
      <c r="H205" s="194"/>
      <c r="I205" s="194"/>
      <c r="J205" s="194"/>
      <c r="K205" s="194"/>
      <c r="L205" s="194"/>
      <c r="M205" s="194"/>
      <c r="N205" s="194"/>
      <c r="O205" s="194"/>
      <c r="P205" s="194"/>
    </row>
    <row r="206" spans="3:16" s="28" customFormat="1" x14ac:dyDescent="0.2">
      <c r="C206" s="194"/>
      <c r="D206" s="194"/>
      <c r="E206" s="194"/>
      <c r="F206" s="194"/>
      <c r="G206" s="194"/>
      <c r="H206" s="194"/>
      <c r="I206" s="194"/>
      <c r="J206" s="194"/>
      <c r="K206" s="194"/>
      <c r="L206" s="194"/>
      <c r="M206" s="194"/>
      <c r="N206" s="194"/>
      <c r="O206" s="194"/>
      <c r="P206" s="194"/>
    </row>
    <row r="207" spans="3:16" s="28" customFormat="1" x14ac:dyDescent="0.2">
      <c r="C207" s="194"/>
      <c r="D207" s="194"/>
      <c r="E207" s="194"/>
      <c r="F207" s="194"/>
      <c r="G207" s="194"/>
      <c r="H207" s="194"/>
      <c r="I207" s="194"/>
      <c r="J207" s="194"/>
      <c r="K207" s="194"/>
      <c r="L207" s="194"/>
      <c r="M207" s="194"/>
      <c r="N207" s="194"/>
      <c r="O207" s="194"/>
      <c r="P207" s="194"/>
    </row>
    <row r="208" spans="3:16" s="28" customFormat="1" x14ac:dyDescent="0.2">
      <c r="C208" s="194"/>
      <c r="D208" s="194"/>
      <c r="E208" s="194"/>
      <c r="F208" s="194"/>
      <c r="G208" s="194"/>
      <c r="H208" s="194"/>
      <c r="I208" s="194"/>
      <c r="J208" s="194"/>
      <c r="K208" s="194"/>
      <c r="L208" s="194"/>
      <c r="M208" s="194"/>
      <c r="N208" s="194"/>
      <c r="O208" s="194"/>
      <c r="P208" s="194"/>
    </row>
    <row r="209" spans="3:16" s="28" customFormat="1" x14ac:dyDescent="0.2">
      <c r="C209" s="194"/>
      <c r="D209" s="194"/>
      <c r="E209" s="194"/>
      <c r="F209" s="194"/>
      <c r="G209" s="194"/>
      <c r="H209" s="194"/>
      <c r="I209" s="194"/>
      <c r="J209" s="194"/>
      <c r="K209" s="194"/>
      <c r="L209" s="194"/>
      <c r="M209" s="194"/>
      <c r="N209" s="194"/>
      <c r="O209" s="194"/>
      <c r="P209" s="194"/>
    </row>
    <row r="210" spans="3:16" s="28" customFormat="1" x14ac:dyDescent="0.2">
      <c r="C210" s="194"/>
      <c r="D210" s="194"/>
      <c r="E210" s="194"/>
      <c r="F210" s="194"/>
      <c r="G210" s="194"/>
      <c r="H210" s="194"/>
      <c r="I210" s="194"/>
      <c r="J210" s="194"/>
      <c r="K210" s="194"/>
      <c r="L210" s="194"/>
      <c r="M210" s="194"/>
      <c r="N210" s="194"/>
      <c r="O210" s="194"/>
      <c r="P210" s="194"/>
    </row>
    <row r="211" spans="3:16" s="28" customFormat="1" x14ac:dyDescent="0.2">
      <c r="C211" s="194"/>
      <c r="D211" s="194"/>
      <c r="E211" s="194"/>
      <c r="F211" s="194"/>
      <c r="G211" s="194"/>
      <c r="H211" s="194"/>
      <c r="I211" s="194"/>
      <c r="J211" s="194"/>
      <c r="K211" s="194"/>
      <c r="L211" s="194"/>
      <c r="M211" s="194"/>
      <c r="N211" s="194"/>
      <c r="O211" s="194"/>
      <c r="P211" s="194"/>
    </row>
    <row r="212" spans="3:16" s="28" customFormat="1" x14ac:dyDescent="0.2">
      <c r="C212" s="194"/>
      <c r="D212" s="194"/>
      <c r="E212" s="194"/>
      <c r="F212" s="194"/>
      <c r="G212" s="194"/>
      <c r="H212" s="194"/>
      <c r="I212" s="194"/>
      <c r="J212" s="194"/>
      <c r="K212" s="194"/>
      <c r="L212" s="194"/>
      <c r="M212" s="194"/>
      <c r="N212" s="194"/>
      <c r="O212" s="194"/>
      <c r="P212" s="194"/>
    </row>
    <row r="213" spans="3:16" s="28" customFormat="1" x14ac:dyDescent="0.2">
      <c r="C213" s="194"/>
      <c r="D213" s="194"/>
      <c r="E213" s="194"/>
      <c r="F213" s="194"/>
      <c r="G213" s="194"/>
      <c r="H213" s="194"/>
      <c r="I213" s="194"/>
      <c r="J213" s="194"/>
      <c r="K213" s="194"/>
      <c r="L213" s="194"/>
      <c r="M213" s="194"/>
      <c r="N213" s="194"/>
      <c r="O213" s="194"/>
      <c r="P213" s="194"/>
    </row>
    <row r="214" spans="3:16" s="28" customFormat="1" x14ac:dyDescent="0.2">
      <c r="C214" s="194"/>
      <c r="D214" s="194"/>
      <c r="E214" s="194"/>
      <c r="F214" s="194"/>
      <c r="G214" s="194"/>
      <c r="H214" s="194"/>
      <c r="I214" s="194"/>
      <c r="J214" s="194"/>
      <c r="K214" s="194"/>
      <c r="L214" s="194"/>
      <c r="M214" s="194"/>
      <c r="N214" s="194"/>
      <c r="O214" s="194"/>
      <c r="P214" s="194"/>
    </row>
    <row r="215" spans="3:16" s="28" customFormat="1" x14ac:dyDescent="0.2">
      <c r="C215" s="194"/>
      <c r="D215" s="194"/>
      <c r="E215" s="194"/>
      <c r="F215" s="194"/>
      <c r="G215" s="194"/>
      <c r="H215" s="194"/>
      <c r="I215" s="194"/>
      <c r="J215" s="194"/>
      <c r="K215" s="194"/>
      <c r="L215" s="194"/>
      <c r="M215" s="194"/>
      <c r="N215" s="194"/>
      <c r="O215" s="194"/>
      <c r="P215" s="194"/>
    </row>
    <row r="216" spans="3:16" s="28" customFormat="1" x14ac:dyDescent="0.2">
      <c r="C216" s="194"/>
      <c r="D216" s="194"/>
      <c r="E216" s="194"/>
      <c r="F216" s="194"/>
      <c r="G216" s="194"/>
      <c r="H216" s="194"/>
      <c r="I216" s="194"/>
      <c r="J216" s="194"/>
      <c r="K216" s="194"/>
      <c r="L216" s="194"/>
      <c r="M216" s="194"/>
      <c r="N216" s="194"/>
      <c r="O216" s="194"/>
      <c r="P216" s="194"/>
    </row>
    <row r="217" spans="3:16" s="28" customFormat="1" x14ac:dyDescent="0.2">
      <c r="C217" s="194"/>
      <c r="D217" s="194"/>
      <c r="E217" s="194"/>
      <c r="F217" s="194"/>
      <c r="G217" s="194"/>
      <c r="H217" s="194"/>
      <c r="I217" s="194"/>
      <c r="J217" s="194"/>
      <c r="K217" s="194"/>
      <c r="L217" s="194"/>
      <c r="M217" s="194"/>
      <c r="N217" s="194"/>
      <c r="O217" s="194"/>
      <c r="P217" s="194"/>
    </row>
    <row r="218" spans="3:16" s="28" customFormat="1" x14ac:dyDescent="0.2">
      <c r="C218" s="194"/>
      <c r="D218" s="194"/>
      <c r="E218" s="194"/>
      <c r="F218" s="194"/>
      <c r="G218" s="194"/>
      <c r="H218" s="194"/>
      <c r="I218" s="194"/>
      <c r="J218" s="194"/>
      <c r="K218" s="194"/>
      <c r="L218" s="194"/>
      <c r="M218" s="194"/>
      <c r="N218" s="194"/>
      <c r="O218" s="194"/>
      <c r="P218" s="194"/>
    </row>
    <row r="219" spans="3:16" s="28" customFormat="1" x14ac:dyDescent="0.2">
      <c r="C219" s="194"/>
      <c r="D219" s="194"/>
      <c r="E219" s="194"/>
      <c r="F219" s="194"/>
      <c r="G219" s="194"/>
      <c r="H219" s="194"/>
      <c r="I219" s="194"/>
      <c r="J219" s="194"/>
      <c r="K219" s="194"/>
      <c r="L219" s="194"/>
      <c r="M219" s="194"/>
      <c r="N219" s="194"/>
      <c r="O219" s="194"/>
      <c r="P219" s="194"/>
    </row>
    <row r="220" spans="3:16" s="28" customFormat="1" x14ac:dyDescent="0.2">
      <c r="C220" s="194"/>
      <c r="D220" s="194"/>
      <c r="E220" s="194"/>
      <c r="F220" s="194"/>
      <c r="G220" s="194"/>
      <c r="H220" s="194"/>
      <c r="I220" s="194"/>
      <c r="J220" s="194"/>
      <c r="K220" s="194"/>
      <c r="L220" s="194"/>
      <c r="M220" s="194"/>
      <c r="N220" s="194"/>
      <c r="O220" s="194"/>
      <c r="P220" s="194"/>
    </row>
    <row r="221" spans="3:16" s="28" customFormat="1" x14ac:dyDescent="0.2">
      <c r="C221" s="194"/>
      <c r="D221" s="194"/>
      <c r="E221" s="194"/>
      <c r="F221" s="194"/>
      <c r="G221" s="194"/>
      <c r="H221" s="194"/>
      <c r="I221" s="194"/>
      <c r="J221" s="194"/>
      <c r="K221" s="194"/>
      <c r="L221" s="194"/>
      <c r="M221" s="194"/>
      <c r="N221" s="194"/>
      <c r="O221" s="194"/>
      <c r="P221" s="194"/>
    </row>
    <row r="222" spans="3:16" s="28" customFormat="1" x14ac:dyDescent="0.2">
      <c r="C222" s="194"/>
      <c r="D222" s="194"/>
      <c r="E222" s="194"/>
      <c r="F222" s="194"/>
      <c r="G222" s="194"/>
      <c r="H222" s="194"/>
      <c r="I222" s="194"/>
      <c r="J222" s="194"/>
      <c r="K222" s="194"/>
      <c r="L222" s="194"/>
      <c r="M222" s="194"/>
      <c r="N222" s="194"/>
      <c r="O222" s="194"/>
      <c r="P222" s="194"/>
    </row>
    <row r="223" spans="3:16" s="28" customFormat="1" x14ac:dyDescent="0.2">
      <c r="C223" s="194"/>
      <c r="D223" s="194"/>
      <c r="E223" s="194"/>
      <c r="F223" s="194"/>
      <c r="G223" s="194"/>
      <c r="H223" s="194"/>
      <c r="I223" s="194"/>
      <c r="J223" s="194"/>
      <c r="K223" s="194"/>
      <c r="L223" s="194"/>
      <c r="M223" s="194"/>
      <c r="N223" s="194"/>
      <c r="O223" s="194"/>
      <c r="P223" s="194"/>
    </row>
    <row r="224" spans="3:16" s="28" customFormat="1" x14ac:dyDescent="0.2">
      <c r="C224" s="194"/>
      <c r="D224" s="194"/>
      <c r="E224" s="194"/>
      <c r="F224" s="194"/>
      <c r="G224" s="194"/>
      <c r="H224" s="194"/>
      <c r="I224" s="194"/>
      <c r="J224" s="194"/>
      <c r="K224" s="194"/>
      <c r="L224" s="194"/>
      <c r="M224" s="194"/>
      <c r="N224" s="194"/>
      <c r="O224" s="194"/>
      <c r="P224" s="194"/>
    </row>
    <row r="225" spans="3:16" s="28" customFormat="1" x14ac:dyDescent="0.2">
      <c r="C225" s="194"/>
      <c r="D225" s="194"/>
      <c r="E225" s="194"/>
      <c r="F225" s="194"/>
      <c r="G225" s="194"/>
      <c r="H225" s="194"/>
      <c r="I225" s="194"/>
      <c r="J225" s="194"/>
      <c r="K225" s="194"/>
      <c r="L225" s="194"/>
      <c r="M225" s="194"/>
      <c r="N225" s="194"/>
      <c r="O225" s="194"/>
      <c r="P225" s="194"/>
    </row>
    <row r="226" spans="3:16" s="28" customFormat="1" x14ac:dyDescent="0.2">
      <c r="C226" s="194"/>
      <c r="D226" s="194"/>
      <c r="E226" s="194"/>
      <c r="F226" s="194"/>
      <c r="G226" s="194"/>
      <c r="H226" s="194"/>
      <c r="I226" s="194"/>
      <c r="J226" s="194"/>
      <c r="K226" s="194"/>
      <c r="L226" s="194"/>
      <c r="M226" s="194"/>
      <c r="N226" s="194"/>
      <c r="O226" s="194"/>
      <c r="P226" s="194"/>
    </row>
    <row r="227" spans="3:16" s="28" customFormat="1" x14ac:dyDescent="0.2">
      <c r="C227" s="194"/>
      <c r="D227" s="194"/>
      <c r="E227" s="194"/>
      <c r="F227" s="194"/>
      <c r="G227" s="194"/>
      <c r="H227" s="194"/>
      <c r="I227" s="194"/>
      <c r="J227" s="194"/>
      <c r="K227" s="194"/>
      <c r="L227" s="194"/>
      <c r="M227" s="194"/>
      <c r="N227" s="194"/>
      <c r="O227" s="194"/>
      <c r="P227" s="194"/>
    </row>
    <row r="228" spans="3:16" s="28" customFormat="1" x14ac:dyDescent="0.2">
      <c r="C228" s="194"/>
      <c r="D228" s="194"/>
      <c r="E228" s="194"/>
      <c r="F228" s="194"/>
      <c r="G228" s="194"/>
      <c r="H228" s="194"/>
      <c r="I228" s="194"/>
      <c r="J228" s="194"/>
      <c r="K228" s="194"/>
      <c r="L228" s="194"/>
      <c r="M228" s="194"/>
      <c r="N228" s="194"/>
      <c r="O228" s="194"/>
      <c r="P228" s="194"/>
    </row>
    <row r="229" spans="3:16" s="28" customFormat="1" x14ac:dyDescent="0.2">
      <c r="C229" s="194"/>
      <c r="D229" s="194"/>
      <c r="E229" s="194"/>
      <c r="F229" s="194"/>
      <c r="G229" s="194"/>
      <c r="H229" s="194"/>
      <c r="I229" s="194"/>
      <c r="J229" s="194"/>
      <c r="K229" s="194"/>
      <c r="L229" s="194"/>
      <c r="M229" s="194"/>
      <c r="N229" s="194"/>
      <c r="O229" s="194"/>
      <c r="P229" s="194"/>
    </row>
    <row r="230" spans="3:16" s="28" customFormat="1" x14ac:dyDescent="0.2">
      <c r="C230" s="194"/>
      <c r="D230" s="194"/>
      <c r="E230" s="194"/>
      <c r="F230" s="194"/>
      <c r="G230" s="194"/>
      <c r="H230" s="194"/>
      <c r="I230" s="194"/>
      <c r="J230" s="194"/>
      <c r="K230" s="194"/>
      <c r="L230" s="194"/>
      <c r="M230" s="194"/>
      <c r="N230" s="194"/>
      <c r="O230" s="194"/>
      <c r="P230" s="194"/>
    </row>
    <row r="231" spans="3:16" s="28" customFormat="1" x14ac:dyDescent="0.2">
      <c r="C231" s="194"/>
      <c r="D231" s="194"/>
      <c r="E231" s="194"/>
      <c r="F231" s="194"/>
      <c r="G231" s="194"/>
      <c r="H231" s="194"/>
      <c r="I231" s="194"/>
      <c r="J231" s="194"/>
      <c r="K231" s="194"/>
      <c r="L231" s="194"/>
      <c r="M231" s="194"/>
      <c r="N231" s="194"/>
      <c r="O231" s="194"/>
      <c r="P231" s="194"/>
    </row>
    <row r="232" spans="3:16" s="28" customFormat="1" x14ac:dyDescent="0.2">
      <c r="C232" s="194"/>
      <c r="D232" s="194"/>
      <c r="E232" s="194"/>
      <c r="F232" s="194"/>
      <c r="G232" s="194"/>
      <c r="H232" s="194"/>
      <c r="I232" s="194"/>
      <c r="J232" s="194"/>
      <c r="K232" s="194"/>
      <c r="L232" s="194"/>
      <c r="M232" s="194"/>
      <c r="N232" s="194"/>
      <c r="O232" s="194"/>
      <c r="P232" s="194"/>
    </row>
    <row r="233" spans="3:16" s="28" customFormat="1" x14ac:dyDescent="0.2">
      <c r="C233" s="194"/>
      <c r="D233" s="194"/>
      <c r="E233" s="194"/>
      <c r="F233" s="194"/>
      <c r="G233" s="194"/>
      <c r="H233" s="194"/>
      <c r="I233" s="194"/>
      <c r="J233" s="194"/>
      <c r="K233" s="194"/>
      <c r="L233" s="194"/>
      <c r="M233" s="194"/>
      <c r="N233" s="194"/>
      <c r="O233" s="194"/>
      <c r="P233" s="194"/>
    </row>
    <row r="234" spans="3:16" s="28" customFormat="1" x14ac:dyDescent="0.2">
      <c r="C234" s="194"/>
      <c r="D234" s="194"/>
      <c r="E234" s="194"/>
      <c r="F234" s="194"/>
      <c r="G234" s="194"/>
      <c r="H234" s="194"/>
      <c r="I234" s="194"/>
      <c r="J234" s="194"/>
      <c r="K234" s="194"/>
      <c r="L234" s="194"/>
      <c r="M234" s="194"/>
      <c r="N234" s="194"/>
      <c r="O234" s="194"/>
      <c r="P234" s="194"/>
    </row>
    <row r="235" spans="3:16" s="28" customFormat="1" x14ac:dyDescent="0.2">
      <c r="C235" s="194"/>
      <c r="D235" s="194"/>
      <c r="E235" s="194"/>
      <c r="F235" s="194"/>
      <c r="G235" s="194"/>
      <c r="H235" s="194"/>
      <c r="I235" s="194"/>
      <c r="J235" s="194"/>
      <c r="K235" s="194"/>
      <c r="L235" s="194"/>
      <c r="M235" s="194"/>
      <c r="N235" s="194"/>
      <c r="O235" s="194"/>
      <c r="P235" s="194"/>
    </row>
    <row r="236" spans="3:16" s="28" customFormat="1" x14ac:dyDescent="0.2">
      <c r="C236" s="194"/>
      <c r="D236" s="194"/>
      <c r="E236" s="194"/>
      <c r="F236" s="194"/>
      <c r="G236" s="194"/>
      <c r="H236" s="194"/>
      <c r="I236" s="194"/>
      <c r="J236" s="194"/>
      <c r="K236" s="194"/>
      <c r="L236" s="194"/>
      <c r="M236" s="194"/>
      <c r="N236" s="194"/>
      <c r="O236" s="194"/>
      <c r="P236" s="194"/>
    </row>
    <row r="237" spans="3:16" s="28" customFormat="1" x14ac:dyDescent="0.2">
      <c r="C237" s="194"/>
      <c r="D237" s="194"/>
      <c r="E237" s="194"/>
      <c r="F237" s="194"/>
      <c r="G237" s="194"/>
      <c r="H237" s="194"/>
      <c r="I237" s="194"/>
      <c r="J237" s="194"/>
      <c r="K237" s="194"/>
      <c r="L237" s="194"/>
      <c r="M237" s="194"/>
      <c r="N237" s="194"/>
      <c r="O237" s="194"/>
      <c r="P237" s="194"/>
    </row>
    <row r="238" spans="3:16" s="28" customFormat="1" x14ac:dyDescent="0.2">
      <c r="C238" s="194"/>
      <c r="D238" s="194"/>
      <c r="E238" s="194"/>
      <c r="F238" s="194"/>
      <c r="G238" s="194"/>
      <c r="H238" s="194"/>
      <c r="I238" s="194"/>
      <c r="J238" s="194"/>
      <c r="K238" s="194"/>
      <c r="L238" s="194"/>
      <c r="M238" s="194"/>
      <c r="N238" s="194"/>
      <c r="O238" s="194"/>
      <c r="P238" s="194"/>
    </row>
    <row r="239" spans="3:16" s="28" customFormat="1" x14ac:dyDescent="0.2">
      <c r="C239" s="194"/>
      <c r="D239" s="194"/>
      <c r="E239" s="194"/>
      <c r="F239" s="194"/>
      <c r="G239" s="194"/>
      <c r="H239" s="194"/>
      <c r="I239" s="194"/>
      <c r="J239" s="194"/>
      <c r="K239" s="194"/>
      <c r="L239" s="194"/>
      <c r="M239" s="194"/>
      <c r="N239" s="194"/>
      <c r="O239" s="194"/>
      <c r="P239" s="194"/>
    </row>
    <row r="240" spans="3:16" s="28" customFormat="1" x14ac:dyDescent="0.2">
      <c r="C240" s="194"/>
      <c r="D240" s="194"/>
      <c r="E240" s="194"/>
      <c r="F240" s="194"/>
      <c r="G240" s="194"/>
      <c r="H240" s="194"/>
      <c r="I240" s="194"/>
      <c r="J240" s="194"/>
      <c r="K240" s="194"/>
      <c r="L240" s="194"/>
      <c r="M240" s="194"/>
      <c r="N240" s="194"/>
      <c r="O240" s="194"/>
      <c r="P240" s="194"/>
    </row>
    <row r="241" spans="3:16" s="28" customFormat="1" x14ac:dyDescent="0.2">
      <c r="C241" s="194"/>
      <c r="D241" s="194"/>
      <c r="E241" s="194"/>
      <c r="F241" s="194"/>
      <c r="G241" s="194"/>
      <c r="H241" s="194"/>
      <c r="I241" s="194"/>
      <c r="J241" s="194"/>
      <c r="K241" s="194"/>
      <c r="L241" s="194"/>
      <c r="M241" s="194"/>
      <c r="N241" s="194"/>
      <c r="O241" s="194"/>
      <c r="P241" s="194"/>
    </row>
    <row r="242" spans="3:16" s="28" customFormat="1" x14ac:dyDescent="0.2">
      <c r="C242" s="194"/>
      <c r="D242" s="194"/>
      <c r="E242" s="194"/>
      <c r="F242" s="194"/>
      <c r="G242" s="194"/>
      <c r="H242" s="194"/>
      <c r="I242" s="194"/>
      <c r="J242" s="194"/>
      <c r="K242" s="194"/>
      <c r="L242" s="194"/>
      <c r="M242" s="194"/>
      <c r="N242" s="194"/>
      <c r="O242" s="194"/>
      <c r="P242" s="194"/>
    </row>
    <row r="243" spans="3:16" s="28" customFormat="1" x14ac:dyDescent="0.2"/>
    <row r="244" spans="3:16" s="28" customFormat="1" x14ac:dyDescent="0.2"/>
    <row r="245" spans="3:16" s="28" customFormat="1" x14ac:dyDescent="0.2"/>
    <row r="246" spans="3:16" s="28" customFormat="1" x14ac:dyDescent="0.2"/>
    <row r="247" spans="3:16" s="28" customFormat="1" x14ac:dyDescent="0.2"/>
    <row r="248" spans="3:16" s="28" customFormat="1" x14ac:dyDescent="0.2"/>
    <row r="249" spans="3:16" s="28" customFormat="1" x14ac:dyDescent="0.2"/>
    <row r="250" spans="3:16" s="28" customFormat="1" x14ac:dyDescent="0.2"/>
    <row r="251" spans="3:16" s="28" customFormat="1" x14ac:dyDescent="0.2"/>
    <row r="252" spans="3:16" s="28" customFormat="1" x14ac:dyDescent="0.2"/>
    <row r="253" spans="3:16" s="28" customFormat="1" x14ac:dyDescent="0.2"/>
    <row r="254" spans="3:16" s="28" customFormat="1" x14ac:dyDescent="0.2"/>
    <row r="255" spans="3:16" s="28" customFormat="1" x14ac:dyDescent="0.2"/>
    <row r="256" spans="3:16" s="28" customFormat="1" x14ac:dyDescent="0.2"/>
    <row r="257" s="28" customFormat="1" x14ac:dyDescent="0.2"/>
    <row r="258" s="28" customFormat="1" x14ac:dyDescent="0.2"/>
    <row r="259" s="28" customFormat="1" x14ac:dyDescent="0.2"/>
    <row r="260" s="28" customFormat="1" x14ac:dyDescent="0.2"/>
    <row r="261" s="28" customFormat="1" x14ac:dyDescent="0.2"/>
    <row r="262" s="28" customFormat="1" x14ac:dyDescent="0.2"/>
    <row r="263" s="28" customFormat="1" x14ac:dyDescent="0.2"/>
    <row r="264" s="28" customFormat="1" x14ac:dyDescent="0.2"/>
    <row r="265" s="28" customFormat="1" x14ac:dyDescent="0.2"/>
    <row r="266" s="28" customFormat="1" x14ac:dyDescent="0.2"/>
    <row r="267" s="28" customFormat="1" x14ac:dyDescent="0.2"/>
    <row r="268" s="28" customFormat="1" x14ac:dyDescent="0.2"/>
    <row r="269" s="28" customFormat="1" x14ac:dyDescent="0.2"/>
    <row r="270" s="28" customFormat="1" x14ac:dyDescent="0.2"/>
    <row r="271" s="28" customFormat="1" x14ac:dyDescent="0.2"/>
    <row r="272" s="28" customFormat="1" x14ac:dyDescent="0.2"/>
    <row r="273" s="28" customFormat="1" x14ac:dyDescent="0.2"/>
    <row r="274" s="28" customFormat="1" x14ac:dyDescent="0.2"/>
    <row r="275" s="28" customFormat="1" x14ac:dyDescent="0.2"/>
    <row r="276" s="28" customFormat="1" x14ac:dyDescent="0.2"/>
    <row r="277" s="28" customFormat="1" x14ac:dyDescent="0.2"/>
    <row r="278" s="28" customFormat="1" x14ac:dyDescent="0.2"/>
    <row r="279" s="28" customFormat="1" x14ac:dyDescent="0.2"/>
    <row r="280" s="28" customFormat="1" x14ac:dyDescent="0.2"/>
    <row r="281" s="28" customFormat="1" x14ac:dyDescent="0.2"/>
    <row r="282" s="28" customFormat="1" x14ac:dyDescent="0.2"/>
    <row r="283" s="28" customFormat="1" x14ac:dyDescent="0.2"/>
    <row r="284" s="28" customFormat="1" x14ac:dyDescent="0.2"/>
    <row r="285" s="28" customFormat="1" x14ac:dyDescent="0.2"/>
    <row r="286" s="28" customFormat="1" x14ac:dyDescent="0.2"/>
    <row r="287" s="28" customFormat="1" x14ac:dyDescent="0.2"/>
    <row r="288" s="28" customFormat="1" x14ac:dyDescent="0.2"/>
    <row r="289" s="28" customFormat="1" x14ac:dyDescent="0.2"/>
    <row r="290" s="28" customFormat="1" x14ac:dyDescent="0.2"/>
    <row r="291" s="28" customFormat="1" x14ac:dyDescent="0.2"/>
  </sheetData>
  <mergeCells count="14">
    <mergeCell ref="J9:K9"/>
    <mergeCell ref="C7:K7"/>
    <mergeCell ref="C8:K8"/>
    <mergeCell ref="C37:K37"/>
    <mergeCell ref="D9:D12"/>
    <mergeCell ref="C13:C33"/>
    <mergeCell ref="C9:C12"/>
    <mergeCell ref="E9:E12"/>
    <mergeCell ref="F9:G11"/>
    <mergeCell ref="H9:I9"/>
    <mergeCell ref="H10:H11"/>
    <mergeCell ref="I10:I11"/>
    <mergeCell ref="J10:J11"/>
    <mergeCell ref="K10:K11"/>
  </mergeCells>
  <conditionalFormatting sqref="J10:K10 AA11">
    <cfRule type="cellIs" dxfId="2" priority="1" stopIfTrue="1" operator="equal">
      <formula>"ERROR"</formula>
    </cfRule>
  </conditionalFormatting>
  <pageMargins left="0.70866141732283472" right="0.70866141732283472" top="0.74803149606299213" bottom="0.74803149606299213" header="0.31496062992125984" footer="0.31496062992125984"/>
  <pageSetup paperSize="9" scale="55" fitToHeight="0" orientation="portrait" r:id="rId1"/>
  <headerFooter alignWithMargins="0">
    <oddHeader>&amp;C&amp;"Arial,Bold"&amp;14&amp;A</oddHeader>
    <oddFooter>&amp;L2016-17 Network Tariff Tables&amp;C&amp;P of &amp;N&amp;R&amp;D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BR259"/>
  <sheetViews>
    <sheetView zoomScale="80" zoomScaleNormal="80" workbookViewId="0"/>
  </sheetViews>
  <sheetFormatPr defaultColWidth="0" defaultRowHeight="12.75" x14ac:dyDescent="0.2"/>
  <cols>
    <col min="1" max="2" width="3.7109375" style="66" customWidth="1"/>
    <col min="3" max="3" width="20.5703125" style="66" customWidth="1"/>
    <col min="4" max="4" width="11.7109375" style="66" customWidth="1"/>
    <col min="5" max="7" width="11.85546875" style="66" customWidth="1"/>
    <col min="8" max="14" width="11.7109375" style="66" customWidth="1"/>
    <col min="15" max="15" width="12.85546875" style="66" customWidth="1"/>
    <col min="16" max="17" width="12.7109375" style="66" customWidth="1"/>
    <col min="18" max="19" width="6.7109375" style="66" customWidth="1"/>
    <col min="20" max="26" width="11.7109375" style="66" customWidth="1"/>
    <col min="27" max="27" width="9.85546875" style="66" customWidth="1"/>
    <col min="28" max="28" width="22.7109375" style="66" customWidth="1"/>
    <col min="29" max="29" width="12.7109375" style="66" customWidth="1"/>
    <col min="30" max="33" width="6.7109375" style="66" customWidth="1"/>
    <col min="34" max="41" width="11.7109375" style="66" customWidth="1"/>
    <col min="42" max="43" width="9.140625" style="66" customWidth="1"/>
    <col min="44" max="45" width="12.7109375" style="66" customWidth="1"/>
    <col min="46" max="47" width="6.7109375" style="66" customWidth="1"/>
    <col min="48" max="53" width="10.7109375" style="66" customWidth="1"/>
    <col min="54" max="54" width="9.140625" style="66" customWidth="1"/>
    <col min="55" max="56" width="12.7109375" style="66" customWidth="1"/>
    <col min="57" max="58" width="6.7109375" style="66" customWidth="1"/>
    <col min="59" max="62" width="10.7109375" style="66" customWidth="1"/>
    <col min="63" max="66" width="9.140625" style="66" customWidth="1"/>
    <col min="67" max="70" width="0" style="66" hidden="1" customWidth="1"/>
    <col min="71" max="16384" width="9.140625" style="66" hidden="1"/>
  </cols>
  <sheetData>
    <row r="1" spans="1:66" s="373" customFormat="1" ht="19.5" customHeight="1" x14ac:dyDescent="0.2">
      <c r="A1" s="369"/>
      <c r="B1" s="369"/>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c r="AD1" s="370"/>
      <c r="AE1" s="370"/>
      <c r="AF1" s="371"/>
      <c r="AG1" s="370"/>
      <c r="AH1" s="370"/>
      <c r="AI1" s="370"/>
      <c r="AJ1" s="370"/>
      <c r="AK1" s="370"/>
      <c r="AL1" s="370"/>
      <c r="AM1" s="370"/>
      <c r="AN1" s="370"/>
      <c r="AO1" s="370"/>
      <c r="AP1" s="370"/>
      <c r="AQ1" s="370"/>
      <c r="AR1" s="370"/>
      <c r="AS1" s="370"/>
      <c r="AT1" s="371"/>
      <c r="AU1" s="370"/>
      <c r="AV1" s="370"/>
      <c r="AW1" s="370"/>
      <c r="AX1" s="370"/>
      <c r="AY1" s="370"/>
      <c r="AZ1" s="370"/>
      <c r="BA1" s="370"/>
      <c r="BB1" s="370"/>
      <c r="BC1" s="370"/>
      <c r="BD1" s="370"/>
      <c r="BE1" s="370"/>
      <c r="BF1" s="370"/>
      <c r="BG1" s="370"/>
      <c r="BH1" s="370"/>
      <c r="BI1" s="370"/>
      <c r="BJ1" s="370"/>
      <c r="BK1" s="372"/>
      <c r="BL1" s="372"/>
      <c r="BM1" s="372"/>
      <c r="BN1" s="372"/>
    </row>
    <row r="2" spans="1:66" s="194" customFormat="1" ht="18.75" customHeight="1" x14ac:dyDescent="0.2">
      <c r="A2" s="16"/>
      <c r="E2" s="237"/>
      <c r="F2" s="236"/>
      <c r="G2" s="236"/>
      <c r="H2" s="236"/>
      <c r="I2" s="236"/>
      <c r="J2" s="236"/>
      <c r="K2" s="236"/>
      <c r="L2" s="236"/>
      <c r="M2" s="236"/>
      <c r="N2" s="236"/>
      <c r="O2" s="236"/>
      <c r="P2" s="236"/>
      <c r="Q2" s="236"/>
    </row>
    <row r="3" spans="1:66" s="194" customFormat="1" ht="18.75" customHeight="1" x14ac:dyDescent="0.2">
      <c r="A3" s="16"/>
      <c r="C3" s="237" t="s">
        <v>592</v>
      </c>
      <c r="E3" s="238"/>
      <c r="F3" s="236"/>
      <c r="G3" s="236"/>
      <c r="H3" s="236"/>
      <c r="I3" s="236"/>
      <c r="J3" s="236"/>
      <c r="K3" s="236"/>
      <c r="L3" s="236"/>
      <c r="M3" s="236"/>
      <c r="N3" s="236"/>
      <c r="O3" s="236"/>
      <c r="P3" s="236"/>
      <c r="Q3" s="236"/>
    </row>
    <row r="4" spans="1:66" s="20" customFormat="1" ht="18" x14ac:dyDescent="0.25">
      <c r="A4" s="28"/>
      <c r="B4" s="71"/>
      <c r="C4" s="238" t="s">
        <v>618</v>
      </c>
      <c r="D4" s="28"/>
      <c r="E4" s="28"/>
      <c r="F4" s="28"/>
      <c r="G4" s="28"/>
      <c r="H4" s="28"/>
      <c r="I4" s="28"/>
      <c r="J4" s="128"/>
      <c r="K4" s="28"/>
      <c r="L4" s="28"/>
      <c r="M4" s="28"/>
      <c r="N4" s="28"/>
      <c r="O4" s="28"/>
      <c r="P4" s="72"/>
      <c r="Q4" s="28"/>
      <c r="R4" s="28"/>
      <c r="S4" s="28"/>
      <c r="T4" s="28"/>
      <c r="U4" s="28"/>
      <c r="V4" s="28"/>
      <c r="W4" s="28"/>
      <c r="X4" s="28"/>
      <c r="Y4" s="28"/>
      <c r="Z4" s="28"/>
      <c r="AA4" s="28"/>
      <c r="AB4" s="72"/>
      <c r="AC4" s="28"/>
      <c r="AD4" s="28"/>
      <c r="AE4" s="28"/>
      <c r="AF4" s="28"/>
      <c r="AG4" s="28"/>
      <c r="AH4" s="28"/>
      <c r="AI4" s="28"/>
      <c r="AJ4" s="28"/>
      <c r="AK4" s="28"/>
      <c r="AL4" s="28"/>
      <c r="AM4" s="28"/>
      <c r="AN4" s="28"/>
      <c r="AO4" s="28"/>
      <c r="AP4" s="28"/>
      <c r="AQ4" s="28"/>
      <c r="AR4" s="28"/>
      <c r="AS4" s="28"/>
      <c r="AT4" s="28"/>
      <c r="AU4" s="28"/>
      <c r="AV4" s="28"/>
      <c r="AW4" s="28"/>
      <c r="AX4" s="28"/>
      <c r="AY4" s="52"/>
      <c r="BA4" s="28"/>
      <c r="BB4" s="28"/>
      <c r="BC4" s="28"/>
      <c r="BD4" s="28"/>
      <c r="BE4" s="28"/>
      <c r="BF4" s="28"/>
      <c r="BG4" s="28"/>
      <c r="BH4" s="28"/>
      <c r="BI4" s="28"/>
      <c r="BJ4" s="28"/>
      <c r="BK4" s="28"/>
      <c r="BL4" s="28"/>
      <c r="BM4" s="28"/>
      <c r="BN4" s="28"/>
    </row>
    <row r="5" spans="1:66" s="20" customFormat="1" ht="18" x14ac:dyDescent="0.25">
      <c r="A5" s="28"/>
      <c r="B5" s="28"/>
      <c r="C5" s="238" t="s">
        <v>619</v>
      </c>
      <c r="D5" s="28"/>
      <c r="E5" s="28"/>
      <c r="F5" s="28"/>
      <c r="G5" s="28"/>
      <c r="H5" s="28"/>
      <c r="I5" s="161"/>
      <c r="J5" s="28"/>
      <c r="K5" s="28"/>
      <c r="L5" s="28"/>
      <c r="M5" s="28"/>
      <c r="N5" s="28"/>
      <c r="O5" s="28"/>
      <c r="P5" s="67"/>
      <c r="Q5" s="16"/>
      <c r="R5" s="16"/>
      <c r="S5" s="16"/>
      <c r="T5" s="16"/>
      <c r="U5" s="16"/>
      <c r="V5" s="161"/>
      <c r="W5" s="16"/>
      <c r="X5" s="39"/>
      <c r="Y5" s="39"/>
      <c r="Z5" s="39"/>
      <c r="AA5" s="39"/>
      <c r="AB5" s="36"/>
      <c r="AC5" s="36"/>
      <c r="AD5" s="36"/>
      <c r="AE5" s="36"/>
      <c r="AF5" s="36"/>
      <c r="AG5" s="36"/>
      <c r="AH5" s="36"/>
      <c r="AI5" s="36"/>
      <c r="AJ5" s="36"/>
      <c r="AK5" s="36"/>
      <c r="AL5" s="36"/>
      <c r="AM5" s="36"/>
      <c r="AN5" s="36"/>
      <c r="AO5" s="36"/>
      <c r="AP5" s="28"/>
      <c r="AQ5" s="19"/>
      <c r="AR5" s="67"/>
      <c r="AS5" s="161"/>
      <c r="AT5" s="28"/>
      <c r="AU5" s="28"/>
      <c r="AV5" s="28"/>
      <c r="AW5" s="28"/>
      <c r="AX5" s="28"/>
      <c r="AY5" s="28"/>
      <c r="AZ5" s="28"/>
      <c r="BA5" s="28"/>
      <c r="BB5" s="19"/>
      <c r="BC5" s="67"/>
      <c r="BD5" s="243"/>
      <c r="BE5" s="243"/>
      <c r="BF5" s="161"/>
      <c r="BG5" s="243"/>
      <c r="BH5" s="243"/>
      <c r="BI5" s="243"/>
      <c r="BK5" s="28"/>
      <c r="BL5" s="28"/>
      <c r="BM5" s="28"/>
      <c r="BN5" s="28"/>
    </row>
    <row r="6" spans="1:66" s="20" customFormat="1" ht="15.75" customHeight="1" x14ac:dyDescent="0.2">
      <c r="A6" s="17"/>
      <c r="B6" s="17"/>
      <c r="C6" s="194"/>
      <c r="D6" s="194"/>
      <c r="E6" s="194"/>
      <c r="F6" s="194"/>
      <c r="G6" s="194"/>
      <c r="H6" s="194"/>
      <c r="I6" s="194"/>
      <c r="J6" s="194"/>
      <c r="K6" s="194"/>
      <c r="L6" s="194"/>
      <c r="M6" s="194"/>
      <c r="N6" s="194"/>
      <c r="O6" s="194"/>
      <c r="P6" s="194"/>
      <c r="Q6" s="28"/>
      <c r="R6" s="28"/>
      <c r="S6" s="28"/>
      <c r="T6" s="28"/>
      <c r="U6" s="28"/>
      <c r="V6" s="28"/>
      <c r="W6" s="28"/>
      <c r="X6" s="28"/>
      <c r="Y6" s="28"/>
      <c r="Z6" s="28"/>
      <c r="AA6" s="247"/>
      <c r="AB6" s="52"/>
      <c r="AC6" s="28"/>
      <c r="AD6" s="28"/>
      <c r="AE6" s="28"/>
      <c r="AF6" s="28"/>
      <c r="AG6" s="28"/>
      <c r="AH6" s="28"/>
      <c r="AI6" s="28"/>
      <c r="AJ6" s="28"/>
      <c r="AK6" s="28"/>
      <c r="AL6" s="28"/>
      <c r="AM6" s="28"/>
      <c r="AN6" s="28"/>
      <c r="AO6" s="28"/>
      <c r="AP6" s="28"/>
      <c r="AQ6" s="28"/>
      <c r="AR6" s="28"/>
      <c r="AS6" s="28"/>
      <c r="AT6" s="28"/>
      <c r="AU6" s="28"/>
      <c r="AV6" s="28"/>
      <c r="AW6" s="28"/>
      <c r="AX6" s="28"/>
      <c r="AY6" s="28"/>
      <c r="AZ6" s="194"/>
      <c r="BA6" s="194"/>
      <c r="BB6" s="194"/>
      <c r="BC6" s="28"/>
      <c r="BD6" s="28"/>
      <c r="BE6" s="28"/>
      <c r="BF6" s="28"/>
      <c r="BG6" s="28"/>
      <c r="BH6" s="28"/>
      <c r="BI6" s="28"/>
      <c r="BJ6" s="28"/>
      <c r="BK6" s="28"/>
      <c r="BL6" s="28"/>
      <c r="BM6" s="28"/>
      <c r="BN6" s="28"/>
    </row>
    <row r="7" spans="1:66" s="20" customFormat="1" ht="67.5" customHeight="1" x14ac:dyDescent="0.2">
      <c r="A7" s="17"/>
      <c r="B7" s="17"/>
      <c r="C7" s="535" t="s">
        <v>597</v>
      </c>
      <c r="D7" s="536"/>
      <c r="E7" s="536"/>
      <c r="F7" s="536"/>
      <c r="G7" s="536"/>
      <c r="H7" s="194"/>
      <c r="I7" s="194"/>
      <c r="J7" s="194"/>
      <c r="K7" s="194"/>
      <c r="L7" s="194"/>
      <c r="M7" s="194"/>
      <c r="N7" s="194"/>
      <c r="O7" s="194"/>
      <c r="P7" s="194"/>
      <c r="Q7" s="28"/>
      <c r="R7" s="28"/>
      <c r="S7" s="28"/>
      <c r="T7" s="28"/>
      <c r="U7" s="28"/>
      <c r="V7" s="28"/>
      <c r="W7" s="28"/>
      <c r="X7" s="28"/>
      <c r="Y7" s="28"/>
      <c r="Z7" s="28"/>
      <c r="AA7" s="52"/>
      <c r="AB7" s="52"/>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row>
    <row r="8" spans="1:66" s="127" customFormat="1" ht="30" customHeight="1" x14ac:dyDescent="0.2">
      <c r="A8" s="124"/>
      <c r="B8" s="124"/>
      <c r="C8" s="423" t="s">
        <v>7</v>
      </c>
      <c r="D8" s="537" t="s">
        <v>5</v>
      </c>
      <c r="E8" s="538"/>
      <c r="F8" s="539" t="s">
        <v>6</v>
      </c>
      <c r="G8" s="540"/>
      <c r="H8" s="194"/>
      <c r="I8" s="194"/>
      <c r="J8" s="194"/>
      <c r="K8" s="194"/>
      <c r="L8" s="194"/>
      <c r="M8" s="194"/>
      <c r="N8" s="194"/>
      <c r="O8" s="194"/>
      <c r="P8" s="19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row>
    <row r="9" spans="1:66" s="127" customFormat="1" ht="51" customHeight="1" x14ac:dyDescent="0.2">
      <c r="A9" s="124"/>
      <c r="B9" s="124"/>
      <c r="C9" s="424"/>
      <c r="D9" s="374" t="s">
        <v>92</v>
      </c>
      <c r="E9" s="374" t="s">
        <v>95</v>
      </c>
      <c r="F9" s="375" t="s">
        <v>96</v>
      </c>
      <c r="G9" s="375" t="s">
        <v>98</v>
      </c>
      <c r="H9" s="194"/>
      <c r="I9" s="194"/>
      <c r="J9" s="194"/>
      <c r="K9" s="194"/>
      <c r="L9" s="194"/>
      <c r="M9" s="194"/>
      <c r="N9" s="194"/>
      <c r="O9" s="194"/>
      <c r="P9" s="19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row>
    <row r="10" spans="1:66" s="127" customFormat="1" ht="30" customHeight="1" x14ac:dyDescent="0.2">
      <c r="A10" s="124"/>
      <c r="B10" s="124"/>
      <c r="C10" s="425"/>
      <c r="D10" s="172" t="s">
        <v>89</v>
      </c>
      <c r="E10" s="172" t="s">
        <v>10</v>
      </c>
      <c r="F10" s="376" t="s">
        <v>89</v>
      </c>
      <c r="G10" s="377" t="s">
        <v>10</v>
      </c>
      <c r="H10" s="194"/>
      <c r="I10" s="194"/>
      <c r="J10" s="194"/>
      <c r="K10" s="194"/>
      <c r="L10" s="194"/>
      <c r="M10" s="194"/>
      <c r="N10" s="194"/>
      <c r="O10" s="194"/>
      <c r="P10" s="19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row>
    <row r="11" spans="1:66" s="127" customFormat="1" ht="12.75" customHeight="1" x14ac:dyDescent="0.2">
      <c r="A11" s="124"/>
      <c r="B11" s="124"/>
      <c r="C11" s="378" t="s">
        <v>584</v>
      </c>
      <c r="D11" s="379"/>
      <c r="E11" s="380">
        <v>0</v>
      </c>
      <c r="F11" s="379"/>
      <c r="G11" s="379"/>
      <c r="H11" s="194"/>
      <c r="I11" s="194"/>
      <c r="J11" s="194"/>
      <c r="K11" s="194"/>
      <c r="L11" s="194"/>
      <c r="M11" s="194"/>
      <c r="N11" s="194"/>
      <c r="O11" s="194"/>
      <c r="P11" s="19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BC11" s="124"/>
      <c r="BD11" s="124"/>
      <c r="BE11" s="124"/>
      <c r="BF11" s="124"/>
      <c r="BG11" s="124"/>
      <c r="BH11" s="124"/>
      <c r="BI11" s="124"/>
      <c r="BJ11" s="124"/>
      <c r="BK11" s="124"/>
      <c r="BL11" s="124"/>
      <c r="BM11" s="124"/>
      <c r="BN11" s="124"/>
    </row>
    <row r="12" spans="1:66" s="127" customFormat="1" ht="12.75" customHeight="1" x14ac:dyDescent="0.2">
      <c r="A12" s="124"/>
      <c r="B12" s="124"/>
      <c r="C12" s="381" t="s">
        <v>585</v>
      </c>
      <c r="D12" s="382"/>
      <c r="E12" s="383">
        <v>-0.44</v>
      </c>
      <c r="F12" s="382"/>
      <c r="G12" s="382"/>
      <c r="H12" s="194"/>
      <c r="I12" s="194"/>
      <c r="J12" s="194"/>
      <c r="K12" s="194"/>
      <c r="L12" s="194"/>
      <c r="M12" s="194"/>
      <c r="N12" s="194"/>
      <c r="O12" s="194"/>
      <c r="P12" s="19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row>
    <row r="13" spans="1:66" s="127" customFormat="1" ht="12.75" customHeight="1" x14ac:dyDescent="0.2">
      <c r="A13" s="124"/>
      <c r="B13" s="124"/>
      <c r="C13" s="381" t="s">
        <v>586</v>
      </c>
      <c r="D13" s="382"/>
      <c r="E13" s="383">
        <v>0</v>
      </c>
      <c r="F13" s="382"/>
      <c r="G13" s="382"/>
      <c r="H13" s="194"/>
      <c r="I13" s="194"/>
      <c r="J13" s="194"/>
      <c r="K13" s="194"/>
      <c r="L13" s="194"/>
      <c r="M13" s="194"/>
      <c r="N13" s="194"/>
      <c r="O13" s="194"/>
      <c r="P13" s="19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row>
    <row r="14" spans="1:66" s="127" customFormat="1" ht="12.75" customHeight="1" x14ac:dyDescent="0.2">
      <c r="A14" s="124"/>
      <c r="B14" s="124"/>
      <c r="C14" s="391" t="s">
        <v>596</v>
      </c>
      <c r="D14" s="392"/>
      <c r="E14" s="393">
        <v>0</v>
      </c>
      <c r="F14" s="392"/>
      <c r="G14" s="392"/>
      <c r="H14" s="194"/>
      <c r="I14" s="194"/>
      <c r="J14" s="194"/>
      <c r="K14" s="194"/>
      <c r="L14" s="194"/>
      <c r="M14" s="194"/>
      <c r="N14" s="194"/>
      <c r="O14" s="194"/>
      <c r="P14" s="19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BC14" s="124"/>
      <c r="BD14" s="124"/>
      <c r="BE14" s="124"/>
      <c r="BF14" s="124"/>
      <c r="BG14" s="124"/>
      <c r="BH14" s="124"/>
      <c r="BI14" s="124"/>
      <c r="BJ14" s="124"/>
      <c r="BK14" s="124"/>
      <c r="BL14" s="124"/>
      <c r="BM14" s="124"/>
      <c r="BN14" s="124"/>
    </row>
    <row r="15" spans="1:66" s="127" customFormat="1" ht="12.75" customHeight="1" x14ac:dyDescent="0.2">
      <c r="A15" s="124"/>
      <c r="B15" s="124"/>
      <c r="C15" s="384" t="s">
        <v>587</v>
      </c>
      <c r="D15" s="385"/>
      <c r="E15" s="386">
        <v>0</v>
      </c>
      <c r="F15" s="385"/>
      <c r="G15" s="385"/>
      <c r="H15" s="194"/>
      <c r="I15" s="194"/>
      <c r="J15" s="194"/>
      <c r="K15" s="194"/>
      <c r="L15" s="194"/>
      <c r="M15" s="194"/>
      <c r="N15" s="194"/>
      <c r="O15" s="194"/>
      <c r="P15" s="19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BC15" s="124"/>
      <c r="BD15" s="124"/>
      <c r="BE15" s="124"/>
      <c r="BF15" s="124"/>
      <c r="BG15" s="124"/>
      <c r="BH15" s="124"/>
      <c r="BI15" s="124"/>
      <c r="BJ15" s="124"/>
      <c r="BK15" s="124"/>
      <c r="BL15" s="124"/>
      <c r="BM15" s="124"/>
      <c r="BN15" s="124"/>
    </row>
    <row r="16" spans="1:66" s="127" customFormat="1" ht="30" customHeight="1" x14ac:dyDescent="0.2">
      <c r="A16" s="124"/>
      <c r="B16" s="124"/>
      <c r="C16" s="387"/>
      <c r="D16" s="187"/>
      <c r="E16" s="388"/>
      <c r="F16" s="187"/>
      <c r="G16" s="187"/>
      <c r="H16" s="194"/>
      <c r="I16" s="194"/>
      <c r="J16" s="194"/>
      <c r="K16" s="194"/>
      <c r="L16" s="194"/>
      <c r="M16" s="194"/>
      <c r="N16" s="194"/>
      <c r="O16" s="194"/>
      <c r="P16" s="19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BC16" s="124"/>
      <c r="BD16" s="124"/>
      <c r="BE16" s="124"/>
      <c r="BF16" s="124"/>
      <c r="BG16" s="124"/>
      <c r="BH16" s="124"/>
      <c r="BI16" s="124"/>
      <c r="BJ16" s="124"/>
      <c r="BK16" s="124"/>
      <c r="BL16" s="124"/>
      <c r="BM16" s="124"/>
      <c r="BN16" s="124"/>
    </row>
    <row r="17" spans="3:62" s="124" customFormat="1" ht="30" customHeight="1" x14ac:dyDescent="0.2">
      <c r="C17" s="337" t="s">
        <v>224</v>
      </c>
      <c r="D17" s="184"/>
      <c r="E17" s="389"/>
      <c r="F17" s="184"/>
      <c r="G17" s="390"/>
      <c r="H17" s="194"/>
      <c r="I17" s="194"/>
      <c r="J17" s="194"/>
      <c r="K17" s="194"/>
      <c r="L17" s="194"/>
      <c r="M17" s="194"/>
      <c r="N17" s="194"/>
      <c r="O17" s="194"/>
      <c r="P17" s="194"/>
    </row>
    <row r="18" spans="3:62" s="28" customFormat="1" ht="174" customHeight="1" x14ac:dyDescent="0.2">
      <c r="C18" s="479" t="s">
        <v>617</v>
      </c>
      <c r="D18" s="475"/>
      <c r="E18" s="475"/>
      <c r="F18" s="475"/>
      <c r="G18" s="476"/>
      <c r="H18" s="194"/>
      <c r="I18" s="194"/>
      <c r="J18" s="194"/>
      <c r="K18" s="194"/>
      <c r="L18" s="194"/>
      <c r="M18" s="194"/>
      <c r="N18" s="194"/>
      <c r="O18" s="194"/>
      <c r="P18" s="194"/>
    </row>
    <row r="19" spans="3:62" s="19" customFormat="1" ht="51.75" customHeight="1" x14ac:dyDescent="0.25">
      <c r="C19" s="532" t="s">
        <v>588</v>
      </c>
      <c r="D19" s="533"/>
      <c r="E19" s="533"/>
      <c r="F19" s="533"/>
      <c r="G19" s="534"/>
      <c r="H19" s="194"/>
      <c r="I19" s="194"/>
      <c r="J19" s="194"/>
      <c r="K19" s="194"/>
      <c r="L19" s="194"/>
      <c r="M19" s="194"/>
      <c r="N19" s="194"/>
      <c r="O19" s="194"/>
      <c r="P19" s="194"/>
      <c r="Q19" s="194"/>
      <c r="R19" s="194"/>
      <c r="S19" s="194"/>
      <c r="T19" s="194"/>
      <c r="U19" s="194"/>
      <c r="V19" s="16"/>
      <c r="W19" s="16"/>
      <c r="X19" s="39"/>
      <c r="Y19" s="39"/>
      <c r="Z19" s="39"/>
      <c r="AA19" s="39"/>
      <c r="AP19" s="28"/>
      <c r="AR19" s="67"/>
      <c r="AS19" s="28"/>
      <c r="AT19" s="28"/>
      <c r="AU19" s="28"/>
      <c r="AV19" s="28"/>
      <c r="AW19" s="28"/>
      <c r="AX19" s="28"/>
      <c r="AY19" s="28"/>
      <c r="AZ19" s="28"/>
      <c r="BA19" s="28"/>
      <c r="BC19" s="67"/>
      <c r="BD19" s="243"/>
      <c r="BE19" s="243"/>
      <c r="BF19" s="243"/>
      <c r="BG19" s="243"/>
      <c r="BH19" s="243"/>
      <c r="BI19" s="243"/>
      <c r="BJ19" s="243"/>
    </row>
    <row r="20" spans="3:62" s="28" customFormat="1" x14ac:dyDescent="0.2">
      <c r="C20" s="194"/>
      <c r="D20" s="194"/>
      <c r="E20" s="194"/>
      <c r="F20" s="194"/>
      <c r="G20" s="194"/>
      <c r="H20" s="194"/>
      <c r="I20" s="194"/>
      <c r="J20" s="194"/>
      <c r="K20" s="194"/>
      <c r="L20" s="194"/>
      <c r="M20" s="194"/>
      <c r="N20" s="194"/>
      <c r="O20" s="194"/>
      <c r="P20" s="194"/>
      <c r="Q20" s="19"/>
      <c r="R20" s="19"/>
      <c r="S20" s="19"/>
      <c r="T20" s="19"/>
    </row>
    <row r="21" spans="3:62" s="28" customFormat="1" x14ac:dyDescent="0.2">
      <c r="C21" s="194"/>
      <c r="D21" s="194"/>
      <c r="E21" s="194"/>
      <c r="F21" s="194"/>
      <c r="G21" s="194"/>
      <c r="H21" s="194"/>
      <c r="I21" s="194"/>
      <c r="J21" s="194"/>
      <c r="K21" s="194"/>
      <c r="L21" s="194"/>
      <c r="M21" s="194"/>
      <c r="N21" s="194"/>
      <c r="O21" s="194"/>
      <c r="P21" s="194"/>
      <c r="Q21" s="19"/>
      <c r="R21" s="19"/>
      <c r="S21" s="19"/>
      <c r="T21" s="19"/>
    </row>
    <row r="22" spans="3:62" s="28" customFormat="1" x14ac:dyDescent="0.2">
      <c r="C22" s="194"/>
      <c r="D22" s="194"/>
      <c r="E22" s="194"/>
      <c r="F22" s="194"/>
      <c r="G22" s="194"/>
      <c r="H22" s="194"/>
      <c r="I22" s="194"/>
      <c r="J22" s="194"/>
      <c r="K22" s="194"/>
      <c r="L22" s="194"/>
      <c r="M22" s="194"/>
      <c r="N22" s="194"/>
      <c r="O22" s="194"/>
      <c r="P22" s="194"/>
      <c r="Q22" s="19"/>
      <c r="R22" s="19"/>
      <c r="S22" s="19"/>
      <c r="T22" s="19"/>
      <c r="AB22" s="36"/>
      <c r="AC22" s="36"/>
      <c r="AD22" s="36"/>
      <c r="AE22" s="36"/>
      <c r="AF22" s="36"/>
      <c r="AG22" s="36"/>
      <c r="AH22" s="36"/>
      <c r="AI22" s="36"/>
      <c r="AJ22" s="36"/>
      <c r="AK22" s="36"/>
      <c r="AL22" s="36"/>
      <c r="AM22" s="36"/>
      <c r="AN22" s="36"/>
      <c r="AO22" s="36"/>
    </row>
    <row r="23" spans="3:62" s="28" customFormat="1" x14ac:dyDescent="0.2">
      <c r="C23" s="194"/>
      <c r="D23" s="194"/>
      <c r="E23" s="194"/>
      <c r="F23" s="194"/>
      <c r="G23" s="194"/>
      <c r="H23" s="194"/>
      <c r="I23" s="194"/>
      <c r="J23" s="194"/>
      <c r="K23" s="194"/>
      <c r="L23" s="194"/>
      <c r="M23" s="194"/>
      <c r="N23" s="194"/>
      <c r="O23" s="194"/>
      <c r="P23" s="194"/>
      <c r="Q23" s="19"/>
      <c r="R23" s="19"/>
      <c r="S23" s="19"/>
      <c r="T23" s="19"/>
    </row>
    <row r="24" spans="3:62" s="28" customFormat="1" x14ac:dyDescent="0.2">
      <c r="C24" s="194"/>
      <c r="D24" s="194"/>
      <c r="E24" s="194"/>
      <c r="F24" s="194"/>
      <c r="G24" s="194"/>
      <c r="H24" s="194"/>
      <c r="I24" s="194"/>
      <c r="J24" s="194"/>
      <c r="K24" s="194"/>
      <c r="L24" s="194"/>
      <c r="M24" s="194"/>
      <c r="N24" s="194"/>
      <c r="O24" s="194"/>
      <c r="P24" s="194"/>
      <c r="Q24" s="19"/>
      <c r="R24" s="19"/>
      <c r="S24" s="19"/>
      <c r="T24" s="19"/>
    </row>
    <row r="25" spans="3:62" s="28" customFormat="1" x14ac:dyDescent="0.2">
      <c r="C25" s="194"/>
      <c r="D25" s="194"/>
      <c r="E25" s="194"/>
      <c r="F25" s="194"/>
      <c r="G25" s="194"/>
      <c r="H25" s="194"/>
      <c r="I25" s="194"/>
      <c r="J25" s="194"/>
      <c r="K25" s="194"/>
      <c r="L25" s="194"/>
      <c r="M25" s="194"/>
      <c r="N25" s="194"/>
      <c r="O25" s="194"/>
      <c r="P25" s="194"/>
      <c r="Q25" s="19"/>
      <c r="R25" s="19"/>
      <c r="S25" s="19"/>
      <c r="T25" s="19"/>
    </row>
    <row r="26" spans="3:62" s="28" customFormat="1" x14ac:dyDescent="0.2">
      <c r="C26" s="194"/>
      <c r="D26" s="194"/>
      <c r="E26" s="194"/>
      <c r="F26" s="194"/>
      <c r="G26" s="194"/>
      <c r="H26" s="194"/>
      <c r="I26" s="194"/>
      <c r="J26" s="194"/>
      <c r="K26" s="194"/>
      <c r="L26" s="194"/>
      <c r="M26" s="194"/>
      <c r="N26" s="194"/>
      <c r="O26" s="194"/>
      <c r="P26" s="194"/>
      <c r="Q26" s="19"/>
      <c r="R26" s="19"/>
      <c r="S26" s="19"/>
      <c r="T26" s="19"/>
    </row>
    <row r="27" spans="3:62" s="28" customFormat="1" x14ac:dyDescent="0.2">
      <c r="C27" s="194"/>
      <c r="D27" s="194"/>
      <c r="E27" s="194"/>
      <c r="F27" s="194"/>
      <c r="G27" s="194"/>
      <c r="H27" s="194"/>
      <c r="I27" s="194"/>
      <c r="J27" s="194"/>
      <c r="K27" s="194"/>
      <c r="L27" s="194"/>
      <c r="M27" s="194"/>
      <c r="N27" s="194"/>
      <c r="O27" s="194"/>
      <c r="P27" s="194"/>
      <c r="Q27" s="19"/>
      <c r="R27" s="19"/>
      <c r="S27" s="19"/>
      <c r="T27" s="19"/>
    </row>
    <row r="28" spans="3:62" s="28" customFormat="1" x14ac:dyDescent="0.2">
      <c r="C28" s="194"/>
      <c r="D28" s="194"/>
      <c r="E28" s="194"/>
      <c r="F28" s="194"/>
      <c r="G28" s="194"/>
      <c r="H28" s="194"/>
      <c r="I28" s="194"/>
      <c r="J28" s="194"/>
      <c r="K28" s="194"/>
      <c r="L28" s="194"/>
      <c r="M28" s="194"/>
      <c r="N28" s="194"/>
      <c r="O28" s="194"/>
      <c r="P28" s="194"/>
      <c r="Q28" s="19"/>
      <c r="R28" s="19"/>
      <c r="S28" s="19"/>
      <c r="T28" s="19"/>
    </row>
    <row r="29" spans="3:62" s="28" customFormat="1" x14ac:dyDescent="0.2">
      <c r="C29" s="194"/>
      <c r="D29" s="194"/>
      <c r="E29" s="194"/>
      <c r="F29" s="194"/>
      <c r="G29" s="194"/>
      <c r="H29" s="194"/>
      <c r="I29" s="194"/>
      <c r="J29" s="194"/>
      <c r="K29" s="194"/>
      <c r="L29" s="194"/>
      <c r="M29" s="194"/>
      <c r="N29" s="194"/>
      <c r="O29" s="194"/>
      <c r="P29" s="194"/>
      <c r="Q29" s="19"/>
      <c r="R29" s="19"/>
      <c r="S29" s="19"/>
      <c r="T29" s="19"/>
    </row>
    <row r="30" spans="3:62" s="28" customFormat="1" x14ac:dyDescent="0.2">
      <c r="C30" s="194"/>
      <c r="D30" s="194"/>
      <c r="E30" s="194"/>
      <c r="F30" s="194"/>
      <c r="G30" s="194"/>
      <c r="H30" s="194"/>
      <c r="I30" s="194"/>
      <c r="J30" s="194"/>
      <c r="K30" s="194"/>
      <c r="L30" s="194"/>
      <c r="M30" s="194"/>
      <c r="N30" s="194"/>
      <c r="O30" s="194"/>
      <c r="P30" s="194"/>
      <c r="Q30" s="19"/>
      <c r="R30" s="19"/>
      <c r="S30" s="19"/>
      <c r="T30" s="19"/>
    </row>
    <row r="31" spans="3:62" s="28" customFormat="1" x14ac:dyDescent="0.2">
      <c r="C31" s="194"/>
      <c r="D31" s="194"/>
      <c r="E31" s="194"/>
      <c r="F31" s="194"/>
      <c r="G31" s="194"/>
      <c r="H31" s="194"/>
      <c r="I31" s="194"/>
      <c r="J31" s="194"/>
      <c r="K31" s="194"/>
      <c r="L31" s="194"/>
      <c r="M31" s="194"/>
      <c r="N31" s="194"/>
      <c r="O31" s="194"/>
      <c r="P31" s="194"/>
      <c r="Q31" s="19"/>
      <c r="R31" s="19"/>
      <c r="S31" s="19"/>
      <c r="T31" s="19"/>
    </row>
    <row r="32" spans="3:62" s="28" customFormat="1" x14ac:dyDescent="0.2">
      <c r="C32" s="194"/>
      <c r="D32" s="194"/>
      <c r="E32" s="194"/>
      <c r="F32" s="194"/>
      <c r="G32" s="194"/>
      <c r="H32" s="194"/>
      <c r="I32" s="194"/>
      <c r="J32" s="194"/>
      <c r="K32" s="194"/>
      <c r="L32" s="194"/>
      <c r="M32" s="194"/>
      <c r="N32" s="194"/>
      <c r="O32" s="194"/>
      <c r="P32" s="194"/>
      <c r="Q32" s="19"/>
      <c r="R32" s="19"/>
      <c r="S32" s="19"/>
      <c r="T32" s="19"/>
    </row>
    <row r="33" spans="3:20" s="28" customFormat="1" x14ac:dyDescent="0.2">
      <c r="C33" s="194"/>
      <c r="D33" s="194"/>
      <c r="E33" s="194"/>
      <c r="F33" s="194"/>
      <c r="G33" s="194"/>
      <c r="H33" s="194"/>
      <c r="I33" s="194"/>
      <c r="J33" s="194"/>
      <c r="K33" s="194"/>
      <c r="L33" s="194"/>
      <c r="M33" s="194"/>
      <c r="N33" s="194"/>
      <c r="O33" s="194"/>
      <c r="P33" s="194"/>
      <c r="Q33" s="19"/>
      <c r="R33" s="19"/>
      <c r="S33" s="19"/>
      <c r="T33" s="19"/>
    </row>
    <row r="34" spans="3:20" s="28" customFormat="1" x14ac:dyDescent="0.2">
      <c r="C34" s="194"/>
      <c r="D34" s="194"/>
      <c r="E34" s="194"/>
      <c r="F34" s="194"/>
      <c r="G34" s="194"/>
      <c r="H34" s="194"/>
      <c r="I34" s="194"/>
      <c r="J34" s="194"/>
      <c r="K34" s="194"/>
      <c r="L34" s="194"/>
      <c r="M34" s="194"/>
      <c r="N34" s="194"/>
      <c r="O34" s="194"/>
      <c r="P34" s="194"/>
      <c r="Q34" s="19"/>
      <c r="R34" s="19"/>
      <c r="S34" s="19"/>
      <c r="T34" s="19"/>
    </row>
    <row r="35" spans="3:20" s="28" customFormat="1" x14ac:dyDescent="0.2">
      <c r="C35" s="194"/>
      <c r="D35" s="194"/>
      <c r="E35" s="194"/>
      <c r="F35" s="194"/>
      <c r="G35" s="194"/>
      <c r="H35" s="194"/>
      <c r="I35" s="194"/>
      <c r="J35" s="194"/>
      <c r="K35" s="194"/>
      <c r="L35" s="194"/>
      <c r="M35" s="194"/>
      <c r="N35" s="194"/>
      <c r="O35" s="194"/>
      <c r="P35" s="194"/>
      <c r="Q35" s="19"/>
      <c r="R35" s="19"/>
      <c r="S35" s="19"/>
      <c r="T35" s="19"/>
    </row>
    <row r="36" spans="3:20" s="28" customFormat="1" x14ac:dyDescent="0.2">
      <c r="C36" s="194"/>
      <c r="D36" s="194"/>
      <c r="E36" s="194"/>
      <c r="F36" s="194"/>
      <c r="G36" s="194"/>
      <c r="H36" s="194"/>
      <c r="I36" s="194"/>
      <c r="J36" s="194"/>
      <c r="K36" s="194"/>
      <c r="L36" s="194"/>
      <c r="M36" s="194"/>
      <c r="N36" s="194"/>
      <c r="O36" s="194"/>
      <c r="P36" s="194"/>
      <c r="Q36" s="19"/>
      <c r="R36" s="19"/>
      <c r="S36" s="19"/>
      <c r="T36" s="19"/>
    </row>
    <row r="37" spans="3:20" s="28" customFormat="1" x14ac:dyDescent="0.2">
      <c r="C37" s="194"/>
      <c r="D37" s="194"/>
      <c r="E37" s="194"/>
      <c r="F37" s="194"/>
      <c r="G37" s="194"/>
      <c r="H37" s="194"/>
      <c r="I37" s="194"/>
      <c r="J37" s="194"/>
      <c r="K37" s="194"/>
      <c r="L37" s="194"/>
      <c r="M37" s="194"/>
      <c r="N37" s="194"/>
      <c r="O37" s="194"/>
      <c r="P37" s="194"/>
      <c r="Q37" s="19"/>
      <c r="R37" s="19"/>
      <c r="S37" s="19"/>
      <c r="T37" s="19"/>
    </row>
    <row r="38" spans="3:20" s="28" customFormat="1" x14ac:dyDescent="0.2">
      <c r="C38" s="194"/>
      <c r="D38" s="194"/>
      <c r="E38" s="194"/>
      <c r="F38" s="194"/>
      <c r="G38" s="194"/>
      <c r="H38" s="194"/>
      <c r="I38" s="194"/>
      <c r="J38" s="194"/>
      <c r="K38" s="194"/>
      <c r="L38" s="194"/>
      <c r="M38" s="194"/>
      <c r="N38" s="194"/>
      <c r="O38" s="194"/>
      <c r="P38" s="194"/>
      <c r="Q38" s="19"/>
      <c r="R38" s="19"/>
      <c r="S38" s="19"/>
      <c r="T38" s="19"/>
    </row>
    <row r="39" spans="3:20" s="28" customFormat="1" x14ac:dyDescent="0.2">
      <c r="C39" s="194"/>
      <c r="D39" s="194"/>
      <c r="E39" s="194"/>
      <c r="F39" s="194"/>
      <c r="G39" s="194"/>
      <c r="H39" s="194"/>
      <c r="I39" s="194"/>
      <c r="J39" s="194"/>
      <c r="K39" s="194"/>
      <c r="L39" s="194"/>
      <c r="M39" s="194"/>
      <c r="N39" s="194"/>
      <c r="O39" s="194"/>
      <c r="P39" s="194"/>
      <c r="Q39" s="41"/>
      <c r="R39" s="41"/>
      <c r="S39" s="41"/>
      <c r="T39" s="41"/>
    </row>
    <row r="40" spans="3:20" s="28" customFormat="1" x14ac:dyDescent="0.2">
      <c r="C40" s="194"/>
      <c r="D40" s="194"/>
      <c r="E40" s="194"/>
      <c r="F40" s="194"/>
      <c r="G40" s="194"/>
      <c r="H40" s="194"/>
      <c r="I40" s="194"/>
      <c r="J40" s="194"/>
      <c r="K40" s="194"/>
      <c r="L40" s="194"/>
      <c r="M40" s="194"/>
      <c r="N40" s="194"/>
      <c r="O40" s="194"/>
      <c r="P40" s="194"/>
    </row>
    <row r="41" spans="3:20" s="28" customFormat="1" x14ac:dyDescent="0.2">
      <c r="C41" s="194"/>
      <c r="D41" s="194"/>
      <c r="E41" s="194"/>
      <c r="F41" s="194"/>
      <c r="G41" s="194"/>
      <c r="H41" s="194"/>
      <c r="I41" s="194"/>
      <c r="J41" s="194"/>
      <c r="K41" s="194"/>
      <c r="L41" s="194"/>
      <c r="M41" s="194"/>
      <c r="N41" s="194"/>
      <c r="O41" s="194"/>
      <c r="P41" s="194"/>
    </row>
    <row r="42" spans="3:20" s="28" customFormat="1" x14ac:dyDescent="0.2">
      <c r="C42" s="194"/>
      <c r="D42" s="194"/>
      <c r="E42" s="194"/>
      <c r="F42" s="194"/>
      <c r="G42" s="194"/>
      <c r="H42" s="194"/>
      <c r="I42" s="194"/>
      <c r="J42" s="194"/>
      <c r="K42" s="194"/>
      <c r="L42" s="194"/>
      <c r="M42" s="194"/>
      <c r="N42" s="194"/>
      <c r="O42" s="194"/>
      <c r="P42" s="194"/>
    </row>
    <row r="43" spans="3:20" s="28" customFormat="1" x14ac:dyDescent="0.2">
      <c r="C43" s="194"/>
      <c r="D43" s="194"/>
      <c r="E43" s="194"/>
      <c r="F43" s="194"/>
      <c r="G43" s="194"/>
      <c r="H43" s="194"/>
      <c r="I43" s="194"/>
      <c r="J43" s="194"/>
      <c r="K43" s="194"/>
      <c r="L43" s="194"/>
      <c r="M43" s="194"/>
      <c r="N43" s="194"/>
      <c r="O43" s="194"/>
      <c r="P43" s="194"/>
    </row>
    <row r="44" spans="3:20" s="28" customFormat="1" x14ac:dyDescent="0.2">
      <c r="C44" s="194"/>
      <c r="D44" s="194"/>
      <c r="E44" s="194"/>
      <c r="F44" s="194"/>
      <c r="G44" s="194"/>
      <c r="H44" s="194"/>
      <c r="I44" s="194"/>
      <c r="J44" s="194"/>
      <c r="K44" s="194"/>
      <c r="L44" s="194"/>
      <c r="M44" s="194"/>
      <c r="N44" s="194"/>
      <c r="O44" s="194"/>
      <c r="P44" s="194"/>
    </row>
    <row r="45" spans="3:20" s="28" customFormat="1" x14ac:dyDescent="0.2">
      <c r="C45" s="194"/>
      <c r="D45" s="194"/>
      <c r="E45" s="194"/>
      <c r="F45" s="194"/>
      <c r="G45" s="194"/>
      <c r="H45" s="194"/>
      <c r="I45" s="194"/>
      <c r="J45" s="194"/>
      <c r="K45" s="194"/>
      <c r="L45" s="194"/>
      <c r="M45" s="194"/>
      <c r="N45" s="194"/>
      <c r="O45" s="194"/>
      <c r="P45" s="194"/>
    </row>
    <row r="46" spans="3:20" s="28" customFormat="1" x14ac:dyDescent="0.2">
      <c r="C46" s="194"/>
      <c r="D46" s="194"/>
      <c r="E46" s="194"/>
      <c r="F46" s="194"/>
      <c r="G46" s="194"/>
      <c r="H46" s="194"/>
      <c r="I46" s="194"/>
      <c r="J46" s="194"/>
      <c r="K46" s="194"/>
      <c r="L46" s="194"/>
      <c r="M46" s="194"/>
      <c r="N46" s="194"/>
      <c r="O46" s="194"/>
      <c r="P46" s="194"/>
    </row>
    <row r="47" spans="3:20" s="28" customFormat="1" ht="30" customHeight="1" x14ac:dyDescent="0.2">
      <c r="C47" s="194"/>
      <c r="D47" s="194"/>
      <c r="E47" s="194"/>
      <c r="F47" s="194"/>
      <c r="G47" s="194"/>
      <c r="H47" s="194"/>
      <c r="I47" s="194"/>
      <c r="J47" s="194"/>
      <c r="K47" s="194"/>
      <c r="L47" s="194"/>
      <c r="M47" s="194"/>
      <c r="N47" s="194"/>
      <c r="O47" s="194"/>
      <c r="P47" s="194"/>
    </row>
    <row r="48" spans="3:20" s="28" customFormat="1" ht="30" customHeight="1" x14ac:dyDescent="0.2">
      <c r="C48" s="194"/>
      <c r="D48" s="194"/>
      <c r="E48" s="194"/>
      <c r="F48" s="194"/>
      <c r="G48" s="194"/>
      <c r="H48" s="194"/>
      <c r="I48" s="194"/>
      <c r="J48" s="194"/>
      <c r="K48" s="194"/>
      <c r="L48" s="194"/>
      <c r="M48" s="194"/>
      <c r="N48" s="194"/>
      <c r="O48" s="194"/>
      <c r="P48" s="194"/>
    </row>
    <row r="49" spans="3:20" s="28" customFormat="1" ht="30" customHeight="1" x14ac:dyDescent="0.2">
      <c r="C49" s="194"/>
      <c r="D49" s="194"/>
      <c r="E49" s="194"/>
      <c r="F49" s="194"/>
      <c r="G49" s="194"/>
      <c r="H49" s="194"/>
      <c r="I49" s="194"/>
      <c r="J49" s="194"/>
      <c r="K49" s="194"/>
      <c r="L49" s="194"/>
      <c r="M49" s="194"/>
      <c r="N49" s="194"/>
      <c r="O49" s="194"/>
      <c r="P49" s="194"/>
    </row>
    <row r="50" spans="3:20" s="28" customFormat="1" ht="30" customHeight="1" x14ac:dyDescent="0.2">
      <c r="C50" s="194"/>
      <c r="D50" s="194"/>
      <c r="E50" s="194"/>
      <c r="F50" s="194"/>
      <c r="G50" s="194"/>
      <c r="H50" s="194"/>
      <c r="I50" s="194"/>
      <c r="J50" s="194"/>
      <c r="K50" s="194"/>
      <c r="L50" s="194"/>
      <c r="M50" s="194"/>
      <c r="N50" s="194"/>
      <c r="O50" s="194"/>
      <c r="P50" s="194"/>
    </row>
    <row r="51" spans="3:20" s="28" customFormat="1" x14ac:dyDescent="0.2">
      <c r="C51" s="194"/>
      <c r="D51" s="194"/>
      <c r="E51" s="194"/>
      <c r="F51" s="194"/>
      <c r="G51" s="194"/>
      <c r="H51" s="194"/>
      <c r="I51" s="194"/>
      <c r="J51" s="194"/>
      <c r="K51" s="194"/>
      <c r="L51" s="194"/>
      <c r="M51" s="194"/>
      <c r="N51" s="194"/>
      <c r="O51" s="194"/>
      <c r="P51" s="194"/>
    </row>
    <row r="52" spans="3:20" s="28" customFormat="1" x14ac:dyDescent="0.2">
      <c r="C52" s="194"/>
      <c r="D52" s="194"/>
      <c r="E52" s="194"/>
      <c r="F52" s="194"/>
      <c r="G52" s="194"/>
      <c r="H52" s="194"/>
      <c r="I52" s="194"/>
      <c r="J52" s="194"/>
      <c r="K52" s="194"/>
      <c r="L52" s="194"/>
      <c r="M52" s="194"/>
      <c r="N52" s="194"/>
      <c r="O52" s="194"/>
      <c r="P52" s="194"/>
    </row>
    <row r="53" spans="3:20" s="28" customFormat="1" x14ac:dyDescent="0.2">
      <c r="C53" s="194"/>
      <c r="D53" s="194"/>
      <c r="E53" s="194"/>
      <c r="F53" s="194"/>
      <c r="G53" s="194"/>
      <c r="H53" s="194"/>
      <c r="I53" s="194"/>
      <c r="J53" s="194"/>
      <c r="K53" s="194"/>
      <c r="L53" s="194"/>
      <c r="M53" s="194"/>
      <c r="N53" s="194"/>
      <c r="O53" s="194"/>
      <c r="P53" s="194"/>
    </row>
    <row r="54" spans="3:20" s="28" customFormat="1" x14ac:dyDescent="0.2">
      <c r="C54" s="194"/>
      <c r="D54" s="194"/>
      <c r="E54" s="194"/>
      <c r="F54" s="194"/>
      <c r="G54" s="194"/>
      <c r="H54" s="194"/>
      <c r="I54" s="194"/>
      <c r="J54" s="194"/>
      <c r="K54" s="194"/>
      <c r="L54" s="194"/>
      <c r="M54" s="194"/>
      <c r="N54" s="194"/>
      <c r="O54" s="194"/>
      <c r="P54" s="194"/>
    </row>
    <row r="55" spans="3:20" s="28" customFormat="1" x14ac:dyDescent="0.2">
      <c r="C55" s="194"/>
      <c r="D55" s="194"/>
      <c r="E55" s="194"/>
      <c r="F55" s="194"/>
      <c r="G55" s="194"/>
      <c r="H55" s="194"/>
      <c r="I55" s="194"/>
      <c r="J55" s="194"/>
      <c r="K55" s="194"/>
      <c r="L55" s="194"/>
      <c r="M55" s="194"/>
      <c r="N55" s="194"/>
      <c r="O55" s="194"/>
      <c r="P55" s="194"/>
    </row>
    <row r="56" spans="3:20" s="28" customFormat="1" x14ac:dyDescent="0.2">
      <c r="C56" s="194"/>
      <c r="D56" s="194"/>
      <c r="E56" s="194"/>
      <c r="F56" s="194"/>
      <c r="G56" s="194"/>
      <c r="H56" s="194"/>
      <c r="I56" s="194"/>
      <c r="J56" s="194"/>
      <c r="K56" s="194"/>
      <c r="L56" s="194"/>
      <c r="M56" s="194"/>
      <c r="N56" s="194"/>
      <c r="O56" s="194"/>
      <c r="P56" s="194"/>
    </row>
    <row r="57" spans="3:20" s="28" customFormat="1" x14ac:dyDescent="0.2">
      <c r="C57" s="194"/>
      <c r="D57" s="194"/>
      <c r="E57" s="194"/>
      <c r="F57" s="194"/>
      <c r="G57" s="194"/>
      <c r="H57" s="194"/>
      <c r="I57" s="194"/>
      <c r="J57" s="194"/>
      <c r="K57" s="194"/>
      <c r="L57" s="194"/>
      <c r="M57" s="194"/>
      <c r="N57" s="194"/>
      <c r="O57" s="194"/>
      <c r="P57" s="194"/>
    </row>
    <row r="58" spans="3:20" s="28" customFormat="1" x14ac:dyDescent="0.2">
      <c r="C58" s="194"/>
      <c r="D58" s="194"/>
      <c r="E58" s="194"/>
      <c r="F58" s="194"/>
      <c r="G58" s="194"/>
      <c r="H58" s="194"/>
      <c r="I58" s="194"/>
      <c r="J58" s="194"/>
      <c r="K58" s="194"/>
      <c r="L58" s="194"/>
      <c r="M58" s="194"/>
      <c r="N58" s="194"/>
      <c r="O58" s="194"/>
      <c r="P58" s="194"/>
    </row>
    <row r="59" spans="3:20" s="28" customFormat="1" x14ac:dyDescent="0.2">
      <c r="C59" s="194"/>
      <c r="D59" s="194"/>
      <c r="E59" s="194"/>
      <c r="F59" s="194"/>
      <c r="G59" s="194"/>
      <c r="H59" s="194"/>
      <c r="I59" s="194"/>
      <c r="J59" s="194"/>
      <c r="K59" s="194"/>
      <c r="L59" s="194"/>
      <c r="M59" s="194"/>
      <c r="N59" s="194"/>
      <c r="O59" s="194"/>
      <c r="P59" s="194"/>
    </row>
    <row r="60" spans="3:20" s="28" customFormat="1" x14ac:dyDescent="0.2">
      <c r="C60" s="194"/>
      <c r="D60" s="194"/>
      <c r="E60" s="194"/>
      <c r="F60" s="194"/>
      <c r="G60" s="194"/>
      <c r="H60" s="194"/>
      <c r="I60" s="194"/>
      <c r="J60" s="194"/>
      <c r="K60" s="194"/>
      <c r="L60" s="194"/>
      <c r="M60" s="194"/>
      <c r="N60" s="194"/>
      <c r="O60" s="194"/>
      <c r="P60" s="194"/>
      <c r="Q60" s="195"/>
      <c r="R60" s="195"/>
      <c r="S60" s="195"/>
      <c r="T60" s="195"/>
    </row>
    <row r="61" spans="3:20" s="28" customFormat="1" x14ac:dyDescent="0.2">
      <c r="C61" s="194"/>
      <c r="D61" s="194"/>
      <c r="E61" s="194"/>
      <c r="F61" s="194"/>
      <c r="G61" s="194"/>
      <c r="H61" s="194"/>
      <c r="I61" s="194"/>
      <c r="J61" s="194"/>
      <c r="K61" s="194"/>
      <c r="L61" s="194"/>
      <c r="M61" s="194"/>
      <c r="N61" s="194"/>
      <c r="O61" s="194"/>
      <c r="P61" s="194"/>
      <c r="Q61" s="195"/>
      <c r="R61" s="195"/>
      <c r="S61" s="195"/>
      <c r="T61" s="195"/>
    </row>
    <row r="62" spans="3:20" s="28" customFormat="1" x14ac:dyDescent="0.2">
      <c r="C62" s="194"/>
      <c r="D62" s="194"/>
      <c r="E62" s="194"/>
      <c r="F62" s="194"/>
      <c r="G62" s="194"/>
      <c r="H62" s="194"/>
      <c r="I62" s="194"/>
      <c r="J62" s="194"/>
      <c r="K62" s="194"/>
      <c r="L62" s="194"/>
      <c r="M62" s="194"/>
      <c r="N62" s="194"/>
      <c r="O62" s="194"/>
      <c r="P62" s="194"/>
      <c r="Q62" s="19"/>
      <c r="R62" s="19"/>
      <c r="S62" s="19"/>
      <c r="T62" s="19"/>
    </row>
    <row r="63" spans="3:20" s="28" customFormat="1" x14ac:dyDescent="0.2">
      <c r="C63" s="194"/>
      <c r="D63" s="194"/>
      <c r="E63" s="194"/>
      <c r="F63" s="194"/>
      <c r="G63" s="194"/>
      <c r="H63" s="194"/>
      <c r="I63" s="194"/>
      <c r="J63" s="194"/>
      <c r="K63" s="194"/>
      <c r="L63" s="194"/>
      <c r="M63" s="194"/>
      <c r="N63" s="194"/>
      <c r="O63" s="194"/>
      <c r="P63" s="194"/>
      <c r="Q63" s="41"/>
      <c r="R63" s="41"/>
      <c r="S63" s="41"/>
      <c r="T63" s="41"/>
    </row>
    <row r="64" spans="3:20" s="28" customFormat="1" x14ac:dyDescent="0.2">
      <c r="C64" s="194"/>
      <c r="D64" s="194"/>
      <c r="E64" s="194"/>
      <c r="F64" s="194"/>
      <c r="G64" s="194"/>
      <c r="H64" s="194"/>
      <c r="I64" s="194"/>
      <c r="J64" s="194"/>
      <c r="K64" s="194"/>
      <c r="L64" s="194"/>
      <c r="M64" s="194"/>
      <c r="N64" s="194"/>
      <c r="O64" s="194"/>
      <c r="P64" s="194"/>
      <c r="Q64" s="195"/>
      <c r="R64" s="195"/>
      <c r="S64" s="195"/>
      <c r="T64" s="195"/>
    </row>
    <row r="65" spans="3:20" s="28" customFormat="1" x14ac:dyDescent="0.2">
      <c r="C65" s="194"/>
      <c r="D65" s="194"/>
      <c r="E65" s="194"/>
      <c r="F65" s="194"/>
      <c r="G65" s="194"/>
      <c r="H65" s="194"/>
      <c r="I65" s="194"/>
      <c r="J65" s="194"/>
      <c r="K65" s="194"/>
      <c r="L65" s="194"/>
      <c r="M65" s="194"/>
      <c r="N65" s="194"/>
      <c r="O65" s="194"/>
      <c r="P65" s="194"/>
      <c r="Q65" s="19"/>
      <c r="R65" s="19"/>
      <c r="S65" s="19"/>
      <c r="T65" s="19"/>
    </row>
    <row r="66" spans="3:20" s="28" customFormat="1" x14ac:dyDescent="0.2">
      <c r="C66" s="194"/>
      <c r="D66" s="194"/>
      <c r="E66" s="194"/>
      <c r="F66" s="194"/>
      <c r="G66" s="194"/>
      <c r="H66" s="194"/>
      <c r="I66" s="194"/>
      <c r="J66" s="194"/>
      <c r="K66" s="194"/>
      <c r="L66" s="194"/>
      <c r="M66" s="194"/>
      <c r="N66" s="194"/>
      <c r="O66" s="194"/>
      <c r="P66" s="194"/>
      <c r="Q66" s="41"/>
      <c r="R66" s="41"/>
      <c r="S66" s="41"/>
      <c r="T66" s="41"/>
    </row>
    <row r="67" spans="3:20" s="28" customFormat="1" x14ac:dyDescent="0.2">
      <c r="C67" s="194"/>
      <c r="D67" s="194"/>
      <c r="E67" s="194"/>
      <c r="F67" s="194"/>
      <c r="G67" s="194"/>
      <c r="H67" s="194"/>
      <c r="I67" s="194"/>
      <c r="J67" s="194"/>
      <c r="K67" s="194"/>
      <c r="L67" s="194"/>
      <c r="M67" s="194"/>
      <c r="N67" s="194"/>
      <c r="O67" s="194"/>
      <c r="P67" s="194"/>
      <c r="Q67" s="41"/>
      <c r="R67" s="41"/>
      <c r="S67" s="41"/>
      <c r="T67" s="41"/>
    </row>
    <row r="68" spans="3:20" s="28" customFormat="1" x14ac:dyDescent="0.2">
      <c r="C68" s="194"/>
      <c r="D68" s="194"/>
      <c r="E68" s="194"/>
      <c r="F68" s="194"/>
      <c r="G68" s="194"/>
      <c r="H68" s="194"/>
      <c r="I68" s="194"/>
      <c r="J68" s="194"/>
      <c r="K68" s="194"/>
      <c r="L68" s="194"/>
      <c r="M68" s="194"/>
      <c r="N68" s="194"/>
      <c r="O68" s="194"/>
      <c r="P68" s="194"/>
      <c r="Q68" s="41"/>
      <c r="R68" s="41"/>
      <c r="S68" s="41"/>
      <c r="T68" s="41"/>
    </row>
    <row r="69" spans="3:20" s="28" customFormat="1" x14ac:dyDescent="0.2">
      <c r="C69" s="194"/>
      <c r="D69" s="194"/>
      <c r="E69" s="194"/>
      <c r="F69" s="194"/>
      <c r="G69" s="194"/>
      <c r="H69" s="194"/>
      <c r="I69" s="194"/>
      <c r="J69" s="194"/>
      <c r="K69" s="194"/>
      <c r="L69" s="194"/>
      <c r="M69" s="194"/>
      <c r="N69" s="194"/>
      <c r="O69" s="194"/>
      <c r="P69" s="194"/>
      <c r="Q69" s="19"/>
      <c r="R69" s="19"/>
      <c r="S69" s="19"/>
      <c r="T69" s="19"/>
    </row>
    <row r="70" spans="3:20" s="28" customFormat="1" x14ac:dyDescent="0.2">
      <c r="C70" s="194"/>
      <c r="D70" s="194"/>
      <c r="E70" s="194"/>
      <c r="F70" s="194"/>
      <c r="G70" s="194"/>
      <c r="H70" s="194"/>
      <c r="I70" s="194"/>
      <c r="J70" s="194"/>
      <c r="K70" s="194"/>
      <c r="L70" s="194"/>
      <c r="M70" s="194"/>
      <c r="N70" s="194"/>
      <c r="O70" s="194"/>
      <c r="P70" s="194"/>
      <c r="Q70" s="19"/>
      <c r="R70" s="19"/>
      <c r="S70" s="19"/>
      <c r="T70" s="19"/>
    </row>
    <row r="71" spans="3:20" s="28" customFormat="1" x14ac:dyDescent="0.2">
      <c r="C71" s="194"/>
      <c r="D71" s="194"/>
      <c r="E71" s="194"/>
      <c r="F71" s="194"/>
      <c r="G71" s="194"/>
      <c r="H71" s="194"/>
      <c r="I71" s="194"/>
      <c r="J71" s="194"/>
      <c r="K71" s="194"/>
      <c r="L71" s="194"/>
      <c r="M71" s="194"/>
      <c r="N71" s="194"/>
      <c r="O71" s="194"/>
      <c r="P71" s="194"/>
    </row>
    <row r="72" spans="3:20" s="28" customFormat="1" x14ac:dyDescent="0.2">
      <c r="C72" s="194"/>
      <c r="D72" s="194"/>
      <c r="E72" s="194"/>
      <c r="F72" s="194"/>
      <c r="G72" s="194"/>
      <c r="H72" s="194"/>
      <c r="I72" s="194"/>
      <c r="J72" s="194"/>
      <c r="K72" s="194"/>
      <c r="L72" s="194"/>
      <c r="M72" s="194"/>
      <c r="N72" s="194"/>
      <c r="O72" s="194"/>
      <c r="P72" s="194"/>
    </row>
    <row r="73" spans="3:20" s="28" customFormat="1" x14ac:dyDescent="0.2">
      <c r="C73" s="194"/>
      <c r="D73" s="194"/>
      <c r="E73" s="194"/>
      <c r="F73" s="194"/>
      <c r="G73" s="194"/>
      <c r="H73" s="194"/>
      <c r="I73" s="194"/>
      <c r="J73" s="194"/>
      <c r="K73" s="194"/>
      <c r="L73" s="194"/>
      <c r="M73" s="194"/>
      <c r="N73" s="194"/>
      <c r="O73" s="194"/>
      <c r="P73" s="194"/>
    </row>
    <row r="74" spans="3:20" s="28" customFormat="1" x14ac:dyDescent="0.2">
      <c r="C74" s="194"/>
      <c r="D74" s="194"/>
      <c r="E74" s="194"/>
      <c r="F74" s="194"/>
      <c r="G74" s="194"/>
      <c r="H74" s="194"/>
      <c r="I74" s="194"/>
      <c r="J74" s="194"/>
      <c r="K74" s="194"/>
      <c r="L74" s="194"/>
      <c r="M74" s="194"/>
      <c r="N74" s="194"/>
      <c r="O74" s="194"/>
      <c r="P74" s="194"/>
    </row>
    <row r="75" spans="3:20" s="28" customFormat="1" x14ac:dyDescent="0.2">
      <c r="C75" s="194"/>
      <c r="D75" s="194"/>
      <c r="E75" s="194"/>
      <c r="F75" s="194"/>
      <c r="G75" s="194"/>
      <c r="H75" s="194"/>
      <c r="I75" s="194"/>
      <c r="J75" s="194"/>
      <c r="K75" s="194"/>
      <c r="L75" s="194"/>
      <c r="M75" s="194"/>
      <c r="N75" s="194"/>
      <c r="O75" s="194"/>
      <c r="P75" s="194"/>
    </row>
    <row r="76" spans="3:20" s="28" customFormat="1" x14ac:dyDescent="0.2">
      <c r="C76" s="194"/>
      <c r="D76" s="194"/>
      <c r="E76" s="194"/>
      <c r="F76" s="194"/>
      <c r="G76" s="194"/>
      <c r="H76" s="194"/>
      <c r="I76" s="194"/>
      <c r="J76" s="194"/>
      <c r="K76" s="194"/>
      <c r="L76" s="194"/>
      <c r="M76" s="194"/>
      <c r="N76" s="194"/>
      <c r="O76" s="194"/>
      <c r="P76" s="194"/>
    </row>
    <row r="77" spans="3:20" s="28" customFormat="1" x14ac:dyDescent="0.2">
      <c r="C77" s="194"/>
      <c r="D77" s="194"/>
      <c r="E77" s="194"/>
      <c r="F77" s="194"/>
      <c r="G77" s="194"/>
      <c r="H77" s="194"/>
      <c r="I77" s="194"/>
      <c r="J77" s="194"/>
      <c r="K77" s="194"/>
      <c r="L77" s="194"/>
      <c r="M77" s="194"/>
      <c r="N77" s="194"/>
      <c r="O77" s="194"/>
      <c r="P77" s="194"/>
    </row>
    <row r="78" spans="3:20" s="28" customFormat="1" x14ac:dyDescent="0.2">
      <c r="C78" s="194"/>
      <c r="D78" s="194"/>
      <c r="E78" s="194"/>
      <c r="F78" s="194"/>
      <c r="G78" s="194"/>
      <c r="H78" s="194"/>
      <c r="I78" s="194"/>
      <c r="J78" s="194"/>
      <c r="K78" s="194"/>
      <c r="L78" s="194"/>
      <c r="M78" s="194"/>
      <c r="N78" s="194"/>
      <c r="O78" s="194"/>
      <c r="P78" s="194"/>
    </row>
    <row r="79" spans="3:20" s="28" customFormat="1" x14ac:dyDescent="0.2">
      <c r="C79" s="194"/>
      <c r="D79" s="194"/>
      <c r="E79" s="194"/>
      <c r="F79" s="194"/>
      <c r="G79" s="194"/>
      <c r="H79" s="194"/>
      <c r="I79" s="194"/>
      <c r="J79" s="194"/>
      <c r="K79" s="194"/>
      <c r="L79" s="194"/>
      <c r="M79" s="194"/>
      <c r="N79" s="194"/>
      <c r="O79" s="194"/>
      <c r="P79" s="194"/>
    </row>
    <row r="80" spans="3:20" s="28" customFormat="1" x14ac:dyDescent="0.2">
      <c r="C80" s="194"/>
      <c r="D80" s="194"/>
      <c r="E80" s="194"/>
      <c r="F80" s="194"/>
      <c r="G80" s="194"/>
      <c r="H80" s="194"/>
      <c r="I80" s="194"/>
      <c r="J80" s="194"/>
      <c r="K80" s="194"/>
      <c r="L80" s="194"/>
      <c r="M80" s="194"/>
      <c r="N80" s="194"/>
      <c r="O80" s="194"/>
      <c r="P80" s="194"/>
    </row>
    <row r="81" spans="3:16" s="28" customFormat="1" x14ac:dyDescent="0.2">
      <c r="C81" s="194"/>
      <c r="D81" s="194"/>
      <c r="E81" s="194"/>
      <c r="F81" s="194"/>
      <c r="G81" s="194"/>
      <c r="H81" s="194"/>
      <c r="I81" s="194"/>
      <c r="J81" s="194"/>
      <c r="K81" s="194"/>
      <c r="L81" s="194"/>
      <c r="M81" s="194"/>
      <c r="N81" s="194"/>
      <c r="O81" s="194"/>
      <c r="P81" s="194"/>
    </row>
    <row r="82" spans="3:16" s="28" customFormat="1" x14ac:dyDescent="0.2">
      <c r="C82" s="194"/>
      <c r="D82" s="194"/>
      <c r="E82" s="194"/>
      <c r="F82" s="194"/>
      <c r="G82" s="194"/>
      <c r="H82" s="194"/>
      <c r="I82" s="194"/>
      <c r="J82" s="194"/>
      <c r="K82" s="194"/>
      <c r="L82" s="194"/>
      <c r="M82" s="194"/>
      <c r="N82" s="194"/>
      <c r="O82" s="194"/>
      <c r="P82" s="194"/>
    </row>
    <row r="83" spans="3:16" s="28" customFormat="1" x14ac:dyDescent="0.2">
      <c r="C83" s="194"/>
      <c r="D83" s="194"/>
      <c r="E83" s="194"/>
      <c r="F83" s="194"/>
      <c r="G83" s="194"/>
      <c r="H83" s="194"/>
      <c r="I83" s="194"/>
      <c r="J83" s="194"/>
      <c r="K83" s="194"/>
      <c r="L83" s="194"/>
      <c r="M83" s="194"/>
      <c r="N83" s="194"/>
      <c r="O83" s="194"/>
      <c r="P83" s="194"/>
    </row>
    <row r="84" spans="3:16" s="28" customFormat="1" x14ac:dyDescent="0.2">
      <c r="C84" s="194"/>
      <c r="D84" s="194"/>
      <c r="E84" s="194"/>
      <c r="F84" s="194"/>
      <c r="G84" s="194"/>
      <c r="H84" s="194"/>
      <c r="I84" s="194"/>
      <c r="J84" s="194"/>
      <c r="K84" s="194"/>
      <c r="L84" s="194"/>
      <c r="M84" s="194"/>
      <c r="N84" s="194"/>
      <c r="O84" s="194"/>
      <c r="P84" s="194"/>
    </row>
    <row r="85" spans="3:16" s="28" customFormat="1" x14ac:dyDescent="0.2">
      <c r="C85" s="194"/>
      <c r="D85" s="194"/>
      <c r="E85" s="194"/>
      <c r="F85" s="194"/>
      <c r="G85" s="194"/>
      <c r="H85" s="194"/>
      <c r="I85" s="194"/>
      <c r="J85" s="194"/>
      <c r="K85" s="194"/>
      <c r="L85" s="194"/>
      <c r="M85" s="194"/>
      <c r="N85" s="194"/>
      <c r="O85" s="194"/>
      <c r="P85" s="194"/>
    </row>
    <row r="86" spans="3:16" s="28" customFormat="1" x14ac:dyDescent="0.2">
      <c r="C86" s="194"/>
      <c r="D86" s="194"/>
      <c r="E86" s="194"/>
      <c r="F86" s="194"/>
      <c r="G86" s="194"/>
      <c r="H86" s="194"/>
      <c r="I86" s="194"/>
      <c r="J86" s="194"/>
      <c r="K86" s="194"/>
      <c r="L86" s="194"/>
      <c r="M86" s="194"/>
      <c r="N86" s="194"/>
      <c r="O86" s="194"/>
      <c r="P86" s="194"/>
    </row>
    <row r="87" spans="3:16" s="28" customFormat="1" x14ac:dyDescent="0.2">
      <c r="C87" s="194"/>
      <c r="D87" s="194"/>
      <c r="E87" s="194"/>
      <c r="F87" s="194"/>
      <c r="G87" s="194"/>
      <c r="H87" s="194"/>
      <c r="I87" s="194"/>
      <c r="J87" s="194"/>
      <c r="K87" s="194"/>
      <c r="L87" s="194"/>
      <c r="M87" s="194"/>
      <c r="N87" s="194"/>
      <c r="O87" s="194"/>
      <c r="P87" s="194"/>
    </row>
    <row r="88" spans="3:16" s="28" customFormat="1" x14ac:dyDescent="0.2">
      <c r="C88" s="194"/>
      <c r="D88" s="194"/>
      <c r="E88" s="194"/>
      <c r="F88" s="194"/>
      <c r="G88" s="194"/>
      <c r="H88" s="194"/>
      <c r="I88" s="194"/>
      <c r="J88" s="194"/>
      <c r="K88" s="194"/>
      <c r="L88" s="194"/>
      <c r="M88" s="194"/>
      <c r="N88" s="194"/>
      <c r="O88" s="194"/>
      <c r="P88" s="194"/>
    </row>
    <row r="89" spans="3:16" s="28" customFormat="1" x14ac:dyDescent="0.2">
      <c r="C89" s="194"/>
      <c r="D89" s="194"/>
      <c r="E89" s="194"/>
      <c r="F89" s="194"/>
      <c r="G89" s="194"/>
      <c r="H89" s="194"/>
      <c r="I89" s="194"/>
      <c r="J89" s="194"/>
      <c r="K89" s="194"/>
      <c r="L89" s="194"/>
      <c r="M89" s="194"/>
      <c r="N89" s="194"/>
      <c r="O89" s="194"/>
      <c r="P89" s="194"/>
    </row>
    <row r="90" spans="3:16" s="28" customFormat="1" x14ac:dyDescent="0.2">
      <c r="C90" s="194"/>
      <c r="D90" s="194"/>
      <c r="E90" s="194"/>
      <c r="F90" s="194"/>
      <c r="G90" s="194"/>
      <c r="H90" s="194"/>
      <c r="I90" s="194"/>
      <c r="J90" s="194"/>
      <c r="K90" s="194"/>
      <c r="L90" s="194"/>
      <c r="M90" s="194"/>
      <c r="N90" s="194"/>
      <c r="O90" s="194"/>
      <c r="P90" s="194"/>
    </row>
    <row r="91" spans="3:16" s="28" customFormat="1" x14ac:dyDescent="0.2">
      <c r="C91" s="194"/>
      <c r="D91" s="194"/>
      <c r="E91" s="194"/>
      <c r="F91" s="194"/>
      <c r="G91" s="194"/>
      <c r="H91" s="194"/>
      <c r="I91" s="194"/>
      <c r="J91" s="194"/>
      <c r="K91" s="194"/>
      <c r="L91" s="194"/>
      <c r="M91" s="194"/>
      <c r="N91" s="194"/>
      <c r="O91" s="194"/>
      <c r="P91" s="194"/>
    </row>
    <row r="92" spans="3:16" s="28" customFormat="1" x14ac:dyDescent="0.2">
      <c r="C92" s="194"/>
      <c r="D92" s="194"/>
      <c r="E92" s="194"/>
      <c r="F92" s="194"/>
      <c r="G92" s="194"/>
      <c r="H92" s="194"/>
      <c r="I92" s="194"/>
      <c r="J92" s="194"/>
      <c r="K92" s="194"/>
      <c r="L92" s="194"/>
      <c r="M92" s="194"/>
      <c r="N92" s="194"/>
      <c r="O92" s="194"/>
      <c r="P92" s="194"/>
    </row>
    <row r="93" spans="3:16" s="28" customFormat="1" ht="30" customHeight="1" x14ac:dyDescent="0.2">
      <c r="C93" s="194"/>
      <c r="D93" s="194"/>
      <c r="E93" s="194"/>
      <c r="F93" s="194"/>
      <c r="G93" s="194"/>
      <c r="H93" s="194"/>
      <c r="I93" s="194"/>
      <c r="J93" s="194"/>
      <c r="K93" s="194"/>
      <c r="L93" s="194"/>
      <c r="M93" s="194"/>
      <c r="N93" s="194"/>
      <c r="O93" s="194"/>
      <c r="P93" s="194"/>
    </row>
    <row r="94" spans="3:16" s="28" customFormat="1" ht="30" customHeight="1" x14ac:dyDescent="0.2">
      <c r="C94" s="194"/>
      <c r="D94" s="194"/>
      <c r="E94" s="194"/>
      <c r="F94" s="194"/>
      <c r="G94" s="194"/>
      <c r="H94" s="194"/>
      <c r="I94" s="194"/>
      <c r="J94" s="194"/>
      <c r="K94" s="194"/>
      <c r="L94" s="194"/>
      <c r="M94" s="194"/>
      <c r="N94" s="194"/>
      <c r="O94" s="194"/>
      <c r="P94" s="194"/>
    </row>
    <row r="95" spans="3:16" s="28" customFormat="1" ht="30" customHeight="1" x14ac:dyDescent="0.2">
      <c r="C95" s="194"/>
      <c r="D95" s="194"/>
      <c r="E95" s="194"/>
      <c r="F95" s="194"/>
      <c r="G95" s="194"/>
      <c r="H95" s="194"/>
      <c r="I95" s="194"/>
      <c r="J95" s="194"/>
      <c r="K95" s="194"/>
      <c r="L95" s="194"/>
      <c r="M95" s="194"/>
      <c r="N95" s="194"/>
      <c r="O95" s="194"/>
      <c r="P95" s="194"/>
    </row>
    <row r="96" spans="3:16" s="28" customFormat="1" ht="30" customHeight="1" x14ac:dyDescent="0.2">
      <c r="C96" s="194"/>
      <c r="D96" s="194"/>
      <c r="E96" s="194"/>
      <c r="F96" s="194"/>
      <c r="G96" s="194"/>
      <c r="H96" s="194"/>
      <c r="I96" s="194"/>
      <c r="J96" s="194"/>
      <c r="K96" s="194"/>
      <c r="L96" s="194"/>
      <c r="M96" s="194"/>
      <c r="N96" s="194"/>
      <c r="O96" s="194"/>
      <c r="P96" s="194"/>
    </row>
    <row r="97" spans="3:20" s="28" customFormat="1" x14ac:dyDescent="0.2">
      <c r="C97" s="194"/>
      <c r="D97" s="194"/>
      <c r="E97" s="194"/>
      <c r="F97" s="194"/>
      <c r="G97" s="194"/>
      <c r="H97" s="194"/>
      <c r="I97" s="194"/>
      <c r="J97" s="194"/>
      <c r="K97" s="194"/>
      <c r="L97" s="194"/>
      <c r="M97" s="194"/>
      <c r="N97" s="194"/>
      <c r="O97" s="194"/>
      <c r="P97" s="194"/>
    </row>
    <row r="98" spans="3:20" s="28" customFormat="1" x14ac:dyDescent="0.2">
      <c r="C98" s="194"/>
      <c r="D98" s="194"/>
      <c r="E98" s="194"/>
      <c r="F98" s="194"/>
      <c r="G98" s="194"/>
      <c r="H98" s="194"/>
      <c r="I98" s="194"/>
      <c r="J98" s="194"/>
      <c r="K98" s="194"/>
      <c r="L98" s="194"/>
      <c r="M98" s="194"/>
      <c r="N98" s="194"/>
      <c r="O98" s="194"/>
      <c r="P98" s="194"/>
    </row>
    <row r="99" spans="3:20" s="28" customFormat="1" x14ac:dyDescent="0.2">
      <c r="C99" s="194"/>
      <c r="D99" s="194"/>
      <c r="E99" s="194"/>
      <c r="F99" s="194"/>
      <c r="G99" s="194"/>
      <c r="H99" s="194"/>
      <c r="I99" s="194"/>
      <c r="J99" s="194"/>
      <c r="K99" s="194"/>
      <c r="L99" s="194"/>
      <c r="M99" s="194"/>
      <c r="N99" s="194"/>
      <c r="O99" s="194"/>
      <c r="P99" s="194"/>
    </row>
    <row r="100" spans="3:20" s="28" customFormat="1" x14ac:dyDescent="0.2">
      <c r="C100" s="194"/>
      <c r="D100" s="194"/>
      <c r="E100" s="194"/>
      <c r="F100" s="194"/>
      <c r="G100" s="194"/>
      <c r="H100" s="194"/>
      <c r="I100" s="194"/>
      <c r="J100" s="194"/>
      <c r="K100" s="194"/>
      <c r="L100" s="194"/>
      <c r="M100" s="194"/>
      <c r="N100" s="194"/>
      <c r="O100" s="194"/>
      <c r="P100" s="194"/>
    </row>
    <row r="101" spans="3:20" s="28" customFormat="1" x14ac:dyDescent="0.2">
      <c r="C101" s="194"/>
      <c r="D101" s="194"/>
      <c r="E101" s="194"/>
      <c r="F101" s="194"/>
      <c r="G101" s="194"/>
      <c r="H101" s="194"/>
      <c r="I101" s="194"/>
      <c r="J101" s="194"/>
      <c r="K101" s="194"/>
      <c r="L101" s="194"/>
      <c r="M101" s="194"/>
      <c r="N101" s="194"/>
      <c r="O101" s="194"/>
      <c r="P101" s="194"/>
      <c r="Q101" s="19"/>
      <c r="R101" s="19"/>
      <c r="S101" s="19"/>
      <c r="T101" s="19"/>
    </row>
    <row r="102" spans="3:20" s="28" customFormat="1" x14ac:dyDescent="0.2">
      <c r="C102" s="194"/>
      <c r="D102" s="194"/>
      <c r="E102" s="194"/>
      <c r="F102" s="194"/>
      <c r="G102" s="194"/>
      <c r="H102" s="194"/>
      <c r="I102" s="194"/>
      <c r="J102" s="194"/>
      <c r="K102" s="194"/>
      <c r="L102" s="194"/>
      <c r="M102" s="194"/>
      <c r="N102" s="194"/>
      <c r="O102" s="194"/>
      <c r="P102" s="194"/>
    </row>
    <row r="103" spans="3:20" s="28" customFormat="1" x14ac:dyDescent="0.2">
      <c r="C103" s="194"/>
      <c r="D103" s="194"/>
      <c r="E103" s="194"/>
      <c r="F103" s="194"/>
      <c r="G103" s="194"/>
      <c r="H103" s="194"/>
      <c r="I103" s="194"/>
      <c r="J103" s="194"/>
      <c r="K103" s="194"/>
      <c r="L103" s="194"/>
      <c r="M103" s="194"/>
      <c r="N103" s="194"/>
      <c r="O103" s="194"/>
      <c r="P103" s="194"/>
    </row>
    <row r="104" spans="3:20" s="28" customFormat="1" x14ac:dyDescent="0.2">
      <c r="C104" s="194"/>
      <c r="D104" s="194"/>
      <c r="E104" s="194"/>
      <c r="F104" s="194"/>
      <c r="G104" s="194"/>
      <c r="H104" s="194"/>
      <c r="I104" s="194"/>
      <c r="J104" s="194"/>
      <c r="K104" s="194"/>
      <c r="L104" s="194"/>
      <c r="M104" s="194"/>
      <c r="N104" s="194"/>
      <c r="O104" s="194"/>
      <c r="P104" s="194"/>
    </row>
    <row r="105" spans="3:20" s="28" customFormat="1" x14ac:dyDescent="0.2">
      <c r="C105" s="194"/>
      <c r="D105" s="194"/>
      <c r="E105" s="194"/>
      <c r="F105" s="194"/>
      <c r="G105" s="194"/>
      <c r="H105" s="194"/>
      <c r="I105" s="194"/>
      <c r="J105" s="194"/>
      <c r="K105" s="194"/>
      <c r="L105" s="194"/>
      <c r="M105" s="194"/>
      <c r="N105" s="194"/>
      <c r="O105" s="194"/>
      <c r="P105" s="194"/>
    </row>
    <row r="106" spans="3:20" s="28" customFormat="1" x14ac:dyDescent="0.2">
      <c r="C106" s="194"/>
      <c r="D106" s="194"/>
      <c r="E106" s="194"/>
      <c r="F106" s="194"/>
      <c r="G106" s="194"/>
      <c r="H106" s="194"/>
      <c r="I106" s="194"/>
      <c r="J106" s="194"/>
      <c r="K106" s="194"/>
      <c r="L106" s="194"/>
      <c r="M106" s="194"/>
      <c r="N106" s="194"/>
      <c r="O106" s="194"/>
      <c r="P106" s="194"/>
    </row>
    <row r="107" spans="3:20" s="28" customFormat="1" x14ac:dyDescent="0.2">
      <c r="C107" s="194"/>
      <c r="D107" s="194"/>
      <c r="E107" s="194"/>
      <c r="F107" s="194"/>
      <c r="G107" s="194"/>
      <c r="H107" s="194"/>
      <c r="I107" s="194"/>
      <c r="J107" s="194"/>
      <c r="K107" s="194"/>
      <c r="L107" s="194"/>
      <c r="M107" s="194"/>
      <c r="N107" s="194"/>
      <c r="O107" s="194"/>
      <c r="P107" s="194"/>
    </row>
    <row r="108" spans="3:20" s="28" customFormat="1" x14ac:dyDescent="0.2">
      <c r="C108" s="194"/>
      <c r="D108" s="194"/>
      <c r="E108" s="194"/>
      <c r="F108" s="194"/>
      <c r="G108" s="194"/>
      <c r="H108" s="194"/>
      <c r="I108" s="194"/>
      <c r="J108" s="194"/>
      <c r="K108" s="194"/>
      <c r="L108" s="194"/>
      <c r="M108" s="194"/>
      <c r="N108" s="194"/>
      <c r="O108" s="194"/>
      <c r="P108" s="194"/>
    </row>
    <row r="109" spans="3:20" s="28" customFormat="1" x14ac:dyDescent="0.2">
      <c r="C109" s="194"/>
      <c r="D109" s="194"/>
      <c r="E109" s="194"/>
      <c r="F109" s="194"/>
      <c r="G109" s="194"/>
      <c r="H109" s="194"/>
      <c r="I109" s="194"/>
      <c r="J109" s="194"/>
      <c r="K109" s="194"/>
      <c r="L109" s="194"/>
      <c r="M109" s="194"/>
      <c r="N109" s="194"/>
      <c r="O109" s="194"/>
      <c r="P109" s="194"/>
    </row>
    <row r="110" spans="3:20" s="28" customFormat="1" x14ac:dyDescent="0.2">
      <c r="C110" s="194"/>
      <c r="D110" s="194"/>
      <c r="E110" s="194"/>
      <c r="F110" s="194"/>
      <c r="G110" s="194"/>
      <c r="H110" s="194"/>
      <c r="I110" s="194"/>
      <c r="J110" s="194"/>
      <c r="K110" s="194"/>
      <c r="L110" s="194"/>
      <c r="M110" s="194"/>
      <c r="N110" s="194"/>
      <c r="O110" s="194"/>
      <c r="P110" s="194"/>
    </row>
    <row r="111" spans="3:20" s="28" customFormat="1" x14ac:dyDescent="0.2">
      <c r="C111" s="194"/>
      <c r="D111" s="194"/>
      <c r="E111" s="194"/>
      <c r="F111" s="194"/>
      <c r="G111" s="194"/>
      <c r="H111" s="194"/>
      <c r="I111" s="194"/>
      <c r="J111" s="194"/>
      <c r="K111" s="194"/>
      <c r="L111" s="194"/>
      <c r="M111" s="194"/>
      <c r="N111" s="194"/>
      <c r="O111" s="194"/>
      <c r="P111" s="194"/>
    </row>
    <row r="112" spans="3:20" s="28" customFormat="1" x14ac:dyDescent="0.2">
      <c r="C112" s="194"/>
      <c r="D112" s="194"/>
      <c r="E112" s="194"/>
      <c r="F112" s="194"/>
      <c r="G112" s="194"/>
      <c r="H112" s="194"/>
      <c r="I112" s="194"/>
      <c r="J112" s="194"/>
      <c r="K112" s="194"/>
      <c r="L112" s="194"/>
      <c r="M112" s="194"/>
      <c r="N112" s="194"/>
      <c r="O112" s="194"/>
      <c r="P112" s="194"/>
    </row>
    <row r="113" spans="3:16" s="28" customFormat="1" x14ac:dyDescent="0.2">
      <c r="C113" s="194"/>
      <c r="D113" s="194"/>
      <c r="E113" s="194"/>
      <c r="F113" s="194"/>
      <c r="G113" s="194"/>
      <c r="H113" s="194"/>
      <c r="I113" s="194"/>
      <c r="J113" s="194"/>
      <c r="K113" s="194"/>
      <c r="L113" s="194"/>
      <c r="M113" s="194"/>
      <c r="N113" s="194"/>
      <c r="O113" s="194"/>
      <c r="P113" s="194"/>
    </row>
    <row r="114" spans="3:16" s="28" customFormat="1" x14ac:dyDescent="0.2">
      <c r="C114" s="194"/>
      <c r="D114" s="194"/>
      <c r="E114" s="194"/>
      <c r="F114" s="194"/>
      <c r="G114" s="194"/>
      <c r="H114" s="194"/>
      <c r="I114" s="194"/>
      <c r="J114" s="194"/>
      <c r="K114" s="194"/>
      <c r="L114" s="194"/>
      <c r="M114" s="194"/>
      <c r="N114" s="194"/>
      <c r="O114" s="194"/>
      <c r="P114" s="194"/>
    </row>
    <row r="115" spans="3:16" s="28" customFormat="1" x14ac:dyDescent="0.2">
      <c r="C115" s="194"/>
      <c r="D115" s="194"/>
      <c r="E115" s="194"/>
      <c r="F115" s="194"/>
      <c r="G115" s="194"/>
      <c r="H115" s="194"/>
      <c r="I115" s="194"/>
      <c r="J115" s="194"/>
      <c r="K115" s="194"/>
      <c r="L115" s="194"/>
      <c r="M115" s="194"/>
      <c r="N115" s="194"/>
      <c r="O115" s="194"/>
      <c r="P115" s="194"/>
    </row>
    <row r="116" spans="3:16" s="28" customFormat="1" x14ac:dyDescent="0.2">
      <c r="C116" s="194"/>
      <c r="D116" s="194"/>
      <c r="E116" s="194"/>
      <c r="F116" s="194"/>
      <c r="G116" s="194"/>
      <c r="H116" s="194"/>
      <c r="I116" s="194"/>
      <c r="J116" s="194"/>
      <c r="K116" s="194"/>
      <c r="L116" s="194"/>
      <c r="M116" s="194"/>
      <c r="N116" s="194"/>
      <c r="O116" s="194"/>
      <c r="P116" s="194"/>
    </row>
    <row r="117" spans="3:16" s="28" customFormat="1" x14ac:dyDescent="0.2">
      <c r="C117" s="194"/>
      <c r="D117" s="194"/>
      <c r="E117" s="194"/>
      <c r="F117" s="194"/>
      <c r="G117" s="194"/>
      <c r="H117" s="194"/>
      <c r="I117" s="194"/>
      <c r="J117" s="194"/>
      <c r="K117" s="194"/>
      <c r="L117" s="194"/>
      <c r="M117" s="194"/>
      <c r="N117" s="194"/>
      <c r="O117" s="194"/>
      <c r="P117" s="194"/>
    </row>
    <row r="118" spans="3:16" s="28" customFormat="1" x14ac:dyDescent="0.2">
      <c r="C118" s="194"/>
      <c r="D118" s="194"/>
      <c r="E118" s="194"/>
      <c r="F118" s="194"/>
      <c r="G118" s="194"/>
      <c r="H118" s="194"/>
      <c r="I118" s="194"/>
      <c r="J118" s="194"/>
      <c r="K118" s="194"/>
      <c r="L118" s="194"/>
      <c r="M118" s="194"/>
      <c r="N118" s="194"/>
      <c r="O118" s="194"/>
      <c r="P118" s="194"/>
    </row>
    <row r="119" spans="3:16" s="28" customFormat="1" x14ac:dyDescent="0.2">
      <c r="C119" s="194"/>
      <c r="D119" s="194"/>
      <c r="E119" s="194"/>
      <c r="F119" s="194"/>
      <c r="G119" s="194"/>
      <c r="H119" s="194"/>
      <c r="I119" s="194"/>
      <c r="J119" s="194"/>
      <c r="K119" s="194"/>
      <c r="L119" s="194"/>
      <c r="M119" s="194"/>
      <c r="N119" s="194"/>
      <c r="O119" s="194"/>
      <c r="P119" s="194"/>
    </row>
    <row r="120" spans="3:16" s="28" customFormat="1" x14ac:dyDescent="0.2">
      <c r="C120" s="194"/>
      <c r="D120" s="194"/>
      <c r="E120" s="194"/>
      <c r="F120" s="194"/>
      <c r="G120" s="194"/>
      <c r="H120" s="194"/>
      <c r="I120" s="194"/>
      <c r="J120" s="194"/>
      <c r="K120" s="194"/>
      <c r="L120" s="194"/>
      <c r="M120" s="194"/>
      <c r="N120" s="194"/>
      <c r="O120" s="194"/>
      <c r="P120" s="194"/>
    </row>
    <row r="121" spans="3:16" s="28" customFormat="1" x14ac:dyDescent="0.2">
      <c r="C121" s="194"/>
      <c r="D121" s="194"/>
      <c r="E121" s="194"/>
      <c r="F121" s="194"/>
      <c r="G121" s="194"/>
      <c r="H121" s="194"/>
      <c r="I121" s="194"/>
      <c r="J121" s="194"/>
      <c r="K121" s="194"/>
      <c r="L121" s="194"/>
      <c r="M121" s="194"/>
      <c r="N121" s="194"/>
      <c r="O121" s="194"/>
      <c r="P121" s="194"/>
    </row>
    <row r="122" spans="3:16" s="28" customFormat="1" x14ac:dyDescent="0.2">
      <c r="C122" s="194"/>
      <c r="D122" s="194"/>
      <c r="E122" s="194"/>
      <c r="F122" s="194"/>
      <c r="G122" s="194"/>
      <c r="H122" s="194"/>
      <c r="I122" s="194"/>
      <c r="J122" s="194"/>
      <c r="K122" s="194"/>
      <c r="L122" s="194"/>
      <c r="M122" s="194"/>
      <c r="N122" s="194"/>
      <c r="O122" s="194"/>
      <c r="P122" s="194"/>
    </row>
    <row r="123" spans="3:16" s="28" customFormat="1" x14ac:dyDescent="0.2">
      <c r="C123" s="194"/>
      <c r="D123" s="194"/>
      <c r="E123" s="194"/>
      <c r="F123" s="194"/>
      <c r="G123" s="194"/>
      <c r="H123" s="194"/>
      <c r="I123" s="194"/>
      <c r="J123" s="194"/>
      <c r="K123" s="194"/>
      <c r="L123" s="194"/>
      <c r="M123" s="194"/>
      <c r="N123" s="194"/>
      <c r="O123" s="194"/>
      <c r="P123" s="194"/>
    </row>
    <row r="124" spans="3:16" s="28" customFormat="1" x14ac:dyDescent="0.2">
      <c r="C124" s="194"/>
      <c r="D124" s="194"/>
      <c r="E124" s="194"/>
      <c r="F124" s="194"/>
      <c r="G124" s="194"/>
      <c r="H124" s="194"/>
      <c r="I124" s="194"/>
      <c r="J124" s="194"/>
      <c r="K124" s="194"/>
      <c r="L124" s="194"/>
      <c r="M124" s="194"/>
      <c r="N124" s="194"/>
      <c r="O124" s="194"/>
      <c r="P124" s="194"/>
    </row>
    <row r="125" spans="3:16" s="28" customFormat="1" x14ac:dyDescent="0.2">
      <c r="C125" s="194"/>
      <c r="D125" s="194"/>
      <c r="E125" s="194"/>
      <c r="F125" s="194"/>
      <c r="G125" s="194"/>
      <c r="H125" s="194"/>
      <c r="I125" s="194"/>
      <c r="J125" s="194"/>
      <c r="K125" s="194"/>
      <c r="L125" s="194"/>
      <c r="M125" s="194"/>
      <c r="N125" s="194"/>
      <c r="O125" s="194"/>
      <c r="P125" s="194"/>
    </row>
    <row r="126" spans="3:16" s="28" customFormat="1" x14ac:dyDescent="0.2">
      <c r="C126" s="194"/>
      <c r="D126" s="194"/>
      <c r="E126" s="194"/>
      <c r="F126" s="194"/>
      <c r="G126" s="194"/>
      <c r="H126" s="194"/>
      <c r="I126" s="194"/>
      <c r="J126" s="194"/>
      <c r="K126" s="194"/>
      <c r="L126" s="194"/>
      <c r="M126" s="194"/>
      <c r="N126" s="194"/>
      <c r="O126" s="194"/>
      <c r="P126" s="194"/>
    </row>
    <row r="127" spans="3:16" s="28" customFormat="1" x14ac:dyDescent="0.2">
      <c r="C127" s="194"/>
      <c r="D127" s="194"/>
      <c r="E127" s="194"/>
      <c r="F127" s="194"/>
      <c r="G127" s="194"/>
      <c r="H127" s="194"/>
      <c r="I127" s="194"/>
      <c r="J127" s="194"/>
      <c r="K127" s="194"/>
      <c r="L127" s="194"/>
      <c r="M127" s="194"/>
      <c r="N127" s="194"/>
      <c r="O127" s="194"/>
      <c r="P127" s="194"/>
    </row>
    <row r="128" spans="3:16" s="28" customFormat="1" x14ac:dyDescent="0.2">
      <c r="C128" s="194"/>
      <c r="D128" s="194"/>
      <c r="E128" s="194"/>
      <c r="F128" s="194"/>
      <c r="G128" s="194"/>
      <c r="H128" s="194"/>
      <c r="I128" s="194"/>
      <c r="J128" s="194"/>
      <c r="K128" s="194"/>
      <c r="L128" s="194"/>
      <c r="M128" s="194"/>
      <c r="N128" s="194"/>
      <c r="O128" s="194"/>
      <c r="P128" s="194"/>
    </row>
    <row r="129" spans="3:16" s="28" customFormat="1" x14ac:dyDescent="0.2">
      <c r="C129" s="194"/>
      <c r="D129" s="194"/>
      <c r="E129" s="194"/>
      <c r="F129" s="194"/>
      <c r="G129" s="194"/>
      <c r="H129" s="194"/>
      <c r="I129" s="194"/>
      <c r="J129" s="194"/>
      <c r="K129" s="194"/>
      <c r="L129" s="194"/>
      <c r="M129" s="194"/>
      <c r="N129" s="194"/>
      <c r="O129" s="194"/>
      <c r="P129" s="194"/>
    </row>
    <row r="130" spans="3:16" s="28" customFormat="1" x14ac:dyDescent="0.2">
      <c r="C130" s="194"/>
      <c r="D130" s="194"/>
      <c r="E130" s="194"/>
      <c r="F130" s="194"/>
      <c r="G130" s="194"/>
      <c r="H130" s="194"/>
      <c r="I130" s="194"/>
      <c r="J130" s="194"/>
      <c r="K130" s="194"/>
      <c r="L130" s="194"/>
      <c r="M130" s="194"/>
      <c r="N130" s="194"/>
      <c r="O130" s="194"/>
      <c r="P130" s="194"/>
    </row>
    <row r="131" spans="3:16" s="28" customFormat="1" x14ac:dyDescent="0.2">
      <c r="C131" s="194"/>
      <c r="D131" s="194"/>
      <c r="E131" s="194"/>
      <c r="F131" s="194"/>
      <c r="G131" s="194"/>
      <c r="H131" s="194"/>
      <c r="I131" s="194"/>
      <c r="J131" s="194"/>
      <c r="K131" s="194"/>
      <c r="L131" s="194"/>
      <c r="M131" s="194"/>
      <c r="N131" s="194"/>
      <c r="O131" s="194"/>
      <c r="P131" s="194"/>
    </row>
    <row r="132" spans="3:16" s="28" customFormat="1" x14ac:dyDescent="0.2">
      <c r="C132" s="194"/>
      <c r="D132" s="194"/>
      <c r="E132" s="194"/>
      <c r="F132" s="194"/>
      <c r="G132" s="194"/>
      <c r="H132" s="194"/>
      <c r="I132" s="194"/>
      <c r="J132" s="194"/>
      <c r="K132" s="194"/>
      <c r="L132" s="194"/>
      <c r="M132" s="194"/>
      <c r="N132" s="194"/>
      <c r="O132" s="194"/>
      <c r="P132" s="194"/>
    </row>
    <row r="133" spans="3:16" s="28" customFormat="1" x14ac:dyDescent="0.2">
      <c r="C133" s="194"/>
      <c r="D133" s="194"/>
      <c r="E133" s="194"/>
      <c r="F133" s="194"/>
      <c r="G133" s="194"/>
      <c r="H133" s="194"/>
      <c r="I133" s="194"/>
      <c r="J133" s="194"/>
      <c r="K133" s="194"/>
      <c r="L133" s="194"/>
      <c r="M133" s="194"/>
      <c r="N133" s="194"/>
      <c r="O133" s="194"/>
      <c r="P133" s="194"/>
    </row>
    <row r="134" spans="3:16" s="28" customFormat="1" x14ac:dyDescent="0.2">
      <c r="C134" s="194"/>
      <c r="D134" s="194"/>
      <c r="E134" s="194"/>
      <c r="F134" s="194"/>
      <c r="G134" s="194"/>
      <c r="H134" s="194"/>
      <c r="I134" s="194"/>
      <c r="J134" s="194"/>
      <c r="K134" s="194"/>
      <c r="L134" s="194"/>
      <c r="M134" s="194"/>
      <c r="N134" s="194"/>
      <c r="O134" s="194"/>
      <c r="P134" s="194"/>
    </row>
    <row r="135" spans="3:16" s="28" customFormat="1" x14ac:dyDescent="0.2">
      <c r="C135" s="194"/>
      <c r="D135" s="194"/>
      <c r="E135" s="194"/>
      <c r="F135" s="194"/>
      <c r="G135" s="194"/>
      <c r="H135" s="194"/>
      <c r="I135" s="194"/>
      <c r="J135" s="194"/>
      <c r="K135" s="194"/>
      <c r="L135" s="194"/>
      <c r="M135" s="194"/>
      <c r="N135" s="194"/>
      <c r="O135" s="194"/>
      <c r="P135" s="194"/>
    </row>
    <row r="136" spans="3:16" s="28" customFormat="1" x14ac:dyDescent="0.2">
      <c r="C136" s="194"/>
      <c r="D136" s="194"/>
      <c r="E136" s="194"/>
      <c r="F136" s="194"/>
      <c r="G136" s="194"/>
      <c r="H136" s="194"/>
      <c r="I136" s="194"/>
      <c r="J136" s="194"/>
      <c r="K136" s="194"/>
      <c r="L136" s="194"/>
      <c r="M136" s="194"/>
      <c r="N136" s="194"/>
      <c r="O136" s="194"/>
      <c r="P136" s="194"/>
    </row>
    <row r="137" spans="3:16" s="28" customFormat="1" x14ac:dyDescent="0.2">
      <c r="C137" s="194"/>
      <c r="D137" s="194"/>
      <c r="E137" s="194"/>
      <c r="F137" s="194"/>
      <c r="G137" s="194"/>
      <c r="H137" s="194"/>
      <c r="I137" s="194"/>
      <c r="J137" s="194"/>
      <c r="K137" s="194"/>
      <c r="L137" s="194"/>
      <c r="M137" s="194"/>
      <c r="N137" s="194"/>
      <c r="O137" s="194"/>
      <c r="P137" s="194"/>
    </row>
    <row r="138" spans="3:16" s="28" customFormat="1" x14ac:dyDescent="0.2">
      <c r="C138" s="194"/>
      <c r="D138" s="194"/>
      <c r="E138" s="194"/>
      <c r="F138" s="194"/>
      <c r="G138" s="194"/>
      <c r="H138" s="194"/>
      <c r="I138" s="194"/>
      <c r="J138" s="194"/>
      <c r="K138" s="194"/>
      <c r="L138" s="194"/>
      <c r="M138" s="194"/>
      <c r="N138" s="194"/>
      <c r="O138" s="194"/>
      <c r="P138" s="194"/>
    </row>
    <row r="139" spans="3:16" s="28" customFormat="1" x14ac:dyDescent="0.2">
      <c r="C139" s="194"/>
      <c r="D139" s="194"/>
      <c r="E139" s="194"/>
      <c r="F139" s="194"/>
      <c r="G139" s="194"/>
      <c r="H139" s="194"/>
      <c r="I139" s="194"/>
      <c r="J139" s="194"/>
      <c r="K139" s="194"/>
      <c r="L139" s="194"/>
      <c r="M139" s="194"/>
      <c r="N139" s="194"/>
      <c r="O139" s="194"/>
      <c r="P139" s="194"/>
    </row>
    <row r="140" spans="3:16" s="28" customFormat="1" x14ac:dyDescent="0.2">
      <c r="C140" s="194"/>
      <c r="D140" s="194"/>
      <c r="E140" s="194"/>
      <c r="F140" s="194"/>
      <c r="G140" s="194"/>
      <c r="H140" s="194"/>
      <c r="I140" s="194"/>
      <c r="J140" s="194"/>
      <c r="K140" s="194"/>
      <c r="L140" s="194"/>
      <c r="M140" s="194"/>
      <c r="N140" s="194"/>
      <c r="O140" s="194"/>
      <c r="P140" s="194"/>
    </row>
    <row r="141" spans="3:16" s="28" customFormat="1" x14ac:dyDescent="0.2">
      <c r="C141" s="194"/>
      <c r="D141" s="194"/>
      <c r="E141" s="194"/>
      <c r="F141" s="194"/>
      <c r="G141" s="194"/>
      <c r="H141" s="194"/>
      <c r="I141" s="194"/>
      <c r="J141" s="194"/>
      <c r="K141" s="194"/>
      <c r="L141" s="194"/>
      <c r="M141" s="194"/>
      <c r="N141" s="194"/>
      <c r="O141" s="194"/>
      <c r="P141" s="194"/>
    </row>
    <row r="142" spans="3:16" s="28" customFormat="1" x14ac:dyDescent="0.2">
      <c r="C142" s="194"/>
      <c r="D142" s="194"/>
      <c r="E142" s="194"/>
      <c r="F142" s="194"/>
      <c r="G142" s="194"/>
      <c r="H142" s="194"/>
      <c r="I142" s="194"/>
      <c r="J142" s="194"/>
      <c r="K142" s="194"/>
      <c r="L142" s="194"/>
      <c r="M142" s="194"/>
      <c r="N142" s="194"/>
      <c r="O142" s="194"/>
      <c r="P142" s="194"/>
    </row>
    <row r="143" spans="3:16" s="28" customFormat="1" x14ac:dyDescent="0.2">
      <c r="C143" s="194"/>
      <c r="D143" s="194"/>
      <c r="E143" s="194"/>
      <c r="F143" s="194"/>
      <c r="G143" s="194"/>
      <c r="H143" s="194"/>
      <c r="I143" s="194"/>
      <c r="J143" s="194"/>
      <c r="K143" s="194"/>
      <c r="L143" s="194"/>
      <c r="M143" s="194"/>
      <c r="N143" s="194"/>
      <c r="O143" s="194"/>
      <c r="P143" s="194"/>
    </row>
    <row r="144" spans="3:16" s="28" customFormat="1" x14ac:dyDescent="0.2">
      <c r="C144" s="194"/>
      <c r="D144" s="194"/>
      <c r="E144" s="194"/>
      <c r="F144" s="194"/>
      <c r="G144" s="194"/>
      <c r="H144" s="194"/>
      <c r="I144" s="194"/>
      <c r="J144" s="194"/>
      <c r="K144" s="194"/>
      <c r="L144" s="194"/>
      <c r="M144" s="194"/>
      <c r="N144" s="194"/>
      <c r="O144" s="194"/>
      <c r="P144" s="194"/>
    </row>
    <row r="145" spans="3:16" s="28" customFormat="1" x14ac:dyDescent="0.2">
      <c r="C145" s="194"/>
      <c r="D145" s="194"/>
      <c r="E145" s="194"/>
      <c r="F145" s="194"/>
      <c r="G145" s="194"/>
      <c r="H145" s="194"/>
      <c r="I145" s="194"/>
      <c r="J145" s="194"/>
      <c r="K145" s="194"/>
      <c r="L145" s="194"/>
      <c r="M145" s="194"/>
      <c r="N145" s="194"/>
      <c r="O145" s="194"/>
      <c r="P145" s="194"/>
    </row>
    <row r="146" spans="3:16" s="28" customFormat="1" x14ac:dyDescent="0.2">
      <c r="C146" s="194"/>
      <c r="D146" s="194"/>
      <c r="E146" s="194"/>
      <c r="F146" s="194"/>
      <c r="G146" s="194"/>
      <c r="H146" s="194"/>
      <c r="I146" s="194"/>
      <c r="J146" s="194"/>
      <c r="K146" s="194"/>
      <c r="L146" s="194"/>
      <c r="M146" s="194"/>
      <c r="N146" s="194"/>
      <c r="O146" s="194"/>
      <c r="P146" s="194"/>
    </row>
    <row r="147" spans="3:16" s="28" customFormat="1" x14ac:dyDescent="0.2">
      <c r="C147" s="194"/>
      <c r="D147" s="194"/>
      <c r="E147" s="194"/>
      <c r="F147" s="194"/>
      <c r="G147" s="194"/>
      <c r="H147" s="194"/>
      <c r="I147" s="194"/>
      <c r="J147" s="194"/>
      <c r="K147" s="194"/>
      <c r="L147" s="194"/>
      <c r="M147" s="194"/>
      <c r="N147" s="194"/>
      <c r="O147" s="194"/>
      <c r="P147" s="194"/>
    </row>
    <row r="148" spans="3:16" s="28" customFormat="1" x14ac:dyDescent="0.2">
      <c r="C148" s="194"/>
      <c r="D148" s="194"/>
      <c r="E148" s="194"/>
      <c r="F148" s="194"/>
      <c r="G148" s="194"/>
      <c r="H148" s="194"/>
      <c r="I148" s="194"/>
      <c r="J148" s="194"/>
      <c r="K148" s="194"/>
      <c r="L148" s="194"/>
      <c r="M148" s="194"/>
      <c r="N148" s="194"/>
      <c r="O148" s="194"/>
      <c r="P148" s="194"/>
    </row>
    <row r="149" spans="3:16" s="28" customFormat="1" x14ac:dyDescent="0.2">
      <c r="C149" s="194"/>
      <c r="D149" s="194"/>
      <c r="E149" s="194"/>
      <c r="F149" s="194"/>
      <c r="G149" s="194"/>
      <c r="H149" s="194"/>
      <c r="I149" s="194"/>
      <c r="J149" s="194"/>
      <c r="K149" s="194"/>
      <c r="L149" s="194"/>
      <c r="M149" s="194"/>
      <c r="N149" s="194"/>
      <c r="O149" s="194"/>
      <c r="P149" s="194"/>
    </row>
    <row r="150" spans="3:16" s="28" customFormat="1" x14ac:dyDescent="0.2">
      <c r="C150" s="194"/>
      <c r="D150" s="194"/>
      <c r="E150" s="194"/>
      <c r="F150" s="194"/>
      <c r="G150" s="194"/>
      <c r="H150" s="194"/>
      <c r="I150" s="194"/>
      <c r="J150" s="194"/>
      <c r="K150" s="194"/>
      <c r="L150" s="194"/>
      <c r="M150" s="194"/>
      <c r="N150" s="194"/>
      <c r="O150" s="194"/>
      <c r="P150" s="194"/>
    </row>
    <row r="151" spans="3:16" s="28" customFormat="1" x14ac:dyDescent="0.2">
      <c r="C151" s="194"/>
      <c r="D151" s="194"/>
      <c r="E151" s="194"/>
      <c r="F151" s="194"/>
      <c r="G151" s="194"/>
      <c r="H151" s="194"/>
      <c r="I151" s="194"/>
      <c r="J151" s="194"/>
      <c r="K151" s="194"/>
      <c r="L151" s="194"/>
      <c r="M151" s="194"/>
      <c r="N151" s="194"/>
      <c r="O151" s="194"/>
      <c r="P151" s="194"/>
    </row>
    <row r="152" spans="3:16" s="28" customFormat="1" x14ac:dyDescent="0.2">
      <c r="C152" s="194"/>
      <c r="D152" s="194"/>
      <c r="E152" s="194"/>
      <c r="F152" s="194"/>
      <c r="G152" s="194"/>
      <c r="H152" s="194"/>
      <c r="I152" s="194"/>
      <c r="J152" s="194"/>
      <c r="K152" s="194"/>
      <c r="L152" s="194"/>
      <c r="M152" s="194"/>
      <c r="N152" s="194"/>
      <c r="O152" s="194"/>
      <c r="P152" s="194"/>
    </row>
    <row r="153" spans="3:16" s="28" customFormat="1" x14ac:dyDescent="0.2">
      <c r="C153" s="194"/>
      <c r="D153" s="194"/>
      <c r="E153" s="194"/>
      <c r="F153" s="194"/>
      <c r="G153" s="194"/>
      <c r="H153" s="194"/>
      <c r="I153" s="194"/>
      <c r="J153" s="194"/>
      <c r="K153" s="194"/>
      <c r="L153" s="194"/>
      <c r="M153" s="194"/>
      <c r="N153" s="194"/>
      <c r="O153" s="194"/>
      <c r="P153" s="194"/>
    </row>
    <row r="154" spans="3:16" s="28" customFormat="1" x14ac:dyDescent="0.2">
      <c r="C154" s="194"/>
      <c r="D154" s="194"/>
      <c r="E154" s="194"/>
      <c r="F154" s="194"/>
      <c r="G154" s="194"/>
      <c r="H154" s="194"/>
      <c r="I154" s="194"/>
      <c r="J154" s="194"/>
      <c r="K154" s="194"/>
      <c r="L154" s="194"/>
      <c r="M154" s="194"/>
      <c r="N154" s="194"/>
      <c r="O154" s="194"/>
      <c r="P154" s="194"/>
    </row>
    <row r="155" spans="3:16" s="28" customFormat="1" x14ac:dyDescent="0.2">
      <c r="C155" s="194"/>
      <c r="D155" s="194"/>
      <c r="E155" s="194"/>
      <c r="F155" s="194"/>
      <c r="G155" s="194"/>
      <c r="H155" s="194"/>
      <c r="I155" s="194"/>
      <c r="J155" s="194"/>
      <c r="K155" s="194"/>
      <c r="L155" s="194"/>
      <c r="M155" s="194"/>
      <c r="N155" s="194"/>
      <c r="O155" s="194"/>
      <c r="P155" s="194"/>
    </row>
    <row r="156" spans="3:16" s="28" customFormat="1" x14ac:dyDescent="0.2">
      <c r="C156" s="194"/>
      <c r="D156" s="194"/>
      <c r="E156" s="194"/>
      <c r="F156" s="194"/>
      <c r="G156" s="194"/>
      <c r="H156" s="194"/>
      <c r="I156" s="194"/>
      <c r="J156" s="194"/>
      <c r="K156" s="194"/>
      <c r="L156" s="194"/>
      <c r="M156" s="194"/>
      <c r="N156" s="194"/>
      <c r="O156" s="194"/>
      <c r="P156" s="194"/>
    </row>
    <row r="157" spans="3:16" s="28" customFormat="1" x14ac:dyDescent="0.2">
      <c r="C157" s="194"/>
      <c r="D157" s="194"/>
      <c r="E157" s="194"/>
      <c r="F157" s="194"/>
      <c r="G157" s="194"/>
      <c r="H157" s="194"/>
      <c r="I157" s="194"/>
      <c r="J157" s="194"/>
      <c r="K157" s="194"/>
      <c r="L157" s="194"/>
      <c r="M157" s="194"/>
      <c r="N157" s="194"/>
      <c r="O157" s="194"/>
      <c r="P157" s="194"/>
    </row>
    <row r="158" spans="3:16" s="28" customFormat="1" x14ac:dyDescent="0.2">
      <c r="C158" s="194"/>
      <c r="D158" s="194"/>
      <c r="E158" s="194"/>
      <c r="F158" s="194"/>
      <c r="G158" s="194"/>
      <c r="H158" s="194"/>
      <c r="I158" s="194"/>
      <c r="J158" s="194"/>
      <c r="K158" s="194"/>
      <c r="L158" s="194"/>
      <c r="M158" s="194"/>
      <c r="N158" s="194"/>
      <c r="O158" s="194"/>
      <c r="P158" s="194"/>
    </row>
    <row r="159" spans="3:16" s="28" customFormat="1" x14ac:dyDescent="0.2">
      <c r="C159" s="194"/>
      <c r="D159" s="194"/>
      <c r="E159" s="194"/>
      <c r="F159" s="194"/>
      <c r="G159" s="194"/>
      <c r="H159" s="194"/>
      <c r="I159" s="194"/>
      <c r="J159" s="194"/>
      <c r="K159" s="194"/>
      <c r="L159" s="194"/>
      <c r="M159" s="194"/>
      <c r="N159" s="194"/>
      <c r="O159" s="194"/>
      <c r="P159" s="194"/>
    </row>
    <row r="160" spans="3:16" s="28" customFormat="1" x14ac:dyDescent="0.2">
      <c r="C160" s="194"/>
      <c r="D160" s="194"/>
      <c r="E160" s="194"/>
      <c r="F160" s="194"/>
      <c r="G160" s="194"/>
      <c r="H160" s="194"/>
      <c r="I160" s="194"/>
      <c r="J160" s="194"/>
      <c r="K160" s="194"/>
      <c r="L160" s="194"/>
      <c r="M160" s="194"/>
      <c r="N160" s="194"/>
      <c r="O160" s="194"/>
      <c r="P160" s="194"/>
    </row>
    <row r="161" spans="3:16" s="28" customFormat="1" x14ac:dyDescent="0.2">
      <c r="C161" s="194"/>
      <c r="D161" s="194"/>
      <c r="E161" s="194"/>
      <c r="F161" s="194"/>
      <c r="G161" s="194"/>
      <c r="H161" s="194"/>
      <c r="I161" s="194"/>
      <c r="J161" s="194"/>
      <c r="K161" s="194"/>
      <c r="L161" s="194"/>
      <c r="M161" s="194"/>
      <c r="N161" s="194"/>
      <c r="O161" s="194"/>
      <c r="P161" s="194"/>
    </row>
    <row r="162" spans="3:16" s="28" customFormat="1" x14ac:dyDescent="0.2">
      <c r="C162" s="194"/>
      <c r="D162" s="194"/>
      <c r="E162" s="194"/>
      <c r="F162" s="194"/>
      <c r="G162" s="194"/>
      <c r="H162" s="194"/>
      <c r="I162" s="194"/>
      <c r="J162" s="194"/>
      <c r="K162" s="194"/>
      <c r="L162" s="194"/>
      <c r="M162" s="194"/>
      <c r="N162" s="194"/>
      <c r="O162" s="194"/>
      <c r="P162" s="194"/>
    </row>
    <row r="163" spans="3:16" s="28" customFormat="1" x14ac:dyDescent="0.2">
      <c r="C163" s="194"/>
      <c r="D163" s="194"/>
      <c r="E163" s="194"/>
      <c r="F163" s="194"/>
      <c r="G163" s="194"/>
      <c r="H163" s="194"/>
      <c r="I163" s="194"/>
      <c r="J163" s="194"/>
      <c r="K163" s="194"/>
      <c r="L163" s="194"/>
      <c r="M163" s="194"/>
      <c r="N163" s="194"/>
      <c r="O163" s="194"/>
      <c r="P163" s="194"/>
    </row>
    <row r="164" spans="3:16" s="28" customFormat="1" x14ac:dyDescent="0.2">
      <c r="C164" s="194"/>
      <c r="D164" s="194"/>
      <c r="E164" s="194"/>
      <c r="F164" s="194"/>
      <c r="G164" s="194"/>
      <c r="H164" s="194"/>
      <c r="I164" s="194"/>
      <c r="J164" s="194"/>
      <c r="K164" s="194"/>
      <c r="L164" s="194"/>
      <c r="M164" s="194"/>
      <c r="N164" s="194"/>
      <c r="O164" s="194"/>
      <c r="P164" s="194"/>
    </row>
    <row r="165" spans="3:16" s="28" customFormat="1" x14ac:dyDescent="0.2">
      <c r="C165" s="194"/>
      <c r="D165" s="194"/>
      <c r="E165" s="194"/>
      <c r="F165" s="194"/>
      <c r="G165" s="194"/>
      <c r="H165" s="194"/>
      <c r="I165" s="194"/>
      <c r="J165" s="194"/>
      <c r="K165" s="194"/>
      <c r="L165" s="194"/>
      <c r="M165" s="194"/>
      <c r="N165" s="194"/>
      <c r="O165" s="194"/>
      <c r="P165" s="194"/>
    </row>
    <row r="166" spans="3:16" s="28" customFormat="1" x14ac:dyDescent="0.2">
      <c r="C166" s="194"/>
      <c r="D166" s="194"/>
      <c r="E166" s="194"/>
      <c r="F166" s="194"/>
      <c r="G166" s="194"/>
      <c r="H166" s="194"/>
      <c r="I166" s="194"/>
      <c r="J166" s="194"/>
      <c r="K166" s="194"/>
      <c r="L166" s="194"/>
      <c r="M166" s="194"/>
      <c r="N166" s="194"/>
      <c r="O166" s="194"/>
      <c r="P166" s="194"/>
    </row>
    <row r="167" spans="3:16" s="28" customFormat="1" x14ac:dyDescent="0.2">
      <c r="C167" s="194"/>
      <c r="D167" s="194"/>
      <c r="E167" s="194"/>
      <c r="F167" s="194"/>
      <c r="G167" s="194"/>
      <c r="H167" s="194"/>
      <c r="I167" s="194"/>
      <c r="J167" s="194"/>
      <c r="K167" s="194"/>
      <c r="L167" s="194"/>
      <c r="M167" s="194"/>
      <c r="N167" s="194"/>
      <c r="O167" s="194"/>
      <c r="P167" s="194"/>
    </row>
    <row r="168" spans="3:16" s="28" customFormat="1" x14ac:dyDescent="0.2">
      <c r="C168" s="194"/>
      <c r="D168" s="194"/>
      <c r="E168" s="194"/>
      <c r="F168" s="194"/>
      <c r="G168" s="194"/>
      <c r="H168" s="194"/>
      <c r="I168" s="194"/>
      <c r="J168" s="194"/>
      <c r="K168" s="194"/>
      <c r="L168" s="194"/>
      <c r="M168" s="194"/>
      <c r="N168" s="194"/>
      <c r="O168" s="194"/>
      <c r="P168" s="194"/>
    </row>
    <row r="169" spans="3:16" s="28" customFormat="1" x14ac:dyDescent="0.2">
      <c r="C169" s="194"/>
      <c r="D169" s="194"/>
      <c r="E169" s="194"/>
      <c r="F169" s="194"/>
      <c r="G169" s="194"/>
      <c r="H169" s="194"/>
      <c r="I169" s="194"/>
      <c r="J169" s="194"/>
      <c r="K169" s="194"/>
      <c r="L169" s="194"/>
      <c r="M169" s="194"/>
      <c r="N169" s="194"/>
      <c r="O169" s="194"/>
      <c r="P169" s="194"/>
    </row>
    <row r="170" spans="3:16" s="28" customFormat="1" x14ac:dyDescent="0.2">
      <c r="C170" s="194"/>
      <c r="D170" s="194"/>
      <c r="E170" s="194"/>
      <c r="F170" s="194"/>
      <c r="G170" s="194"/>
      <c r="H170" s="194"/>
      <c r="I170" s="194"/>
      <c r="J170" s="194"/>
      <c r="K170" s="194"/>
      <c r="L170" s="194"/>
      <c r="M170" s="194"/>
      <c r="N170" s="194"/>
      <c r="O170" s="194"/>
      <c r="P170" s="194"/>
    </row>
    <row r="171" spans="3:16" s="28" customFormat="1" x14ac:dyDescent="0.2">
      <c r="C171" s="194"/>
      <c r="D171" s="194"/>
      <c r="E171" s="194"/>
      <c r="F171" s="194"/>
      <c r="G171" s="194"/>
      <c r="H171" s="194"/>
      <c r="I171" s="194"/>
      <c r="J171" s="194"/>
      <c r="K171" s="194"/>
      <c r="L171" s="194"/>
      <c r="M171" s="194"/>
      <c r="N171" s="194"/>
      <c r="O171" s="194"/>
      <c r="P171" s="194"/>
    </row>
    <row r="172" spans="3:16" s="28" customFormat="1" x14ac:dyDescent="0.2">
      <c r="C172" s="194"/>
      <c r="D172" s="194"/>
      <c r="E172" s="194"/>
      <c r="F172" s="194"/>
      <c r="G172" s="194"/>
      <c r="H172" s="194"/>
      <c r="I172" s="194"/>
      <c r="J172" s="194"/>
      <c r="K172" s="194"/>
      <c r="L172" s="194"/>
      <c r="M172" s="194"/>
      <c r="N172" s="194"/>
      <c r="O172" s="194"/>
      <c r="P172" s="194"/>
    </row>
    <row r="173" spans="3:16" s="28" customFormat="1" x14ac:dyDescent="0.2">
      <c r="C173" s="194"/>
      <c r="D173" s="194"/>
      <c r="E173" s="194"/>
      <c r="F173" s="194"/>
      <c r="G173" s="194"/>
      <c r="H173" s="194"/>
      <c r="I173" s="194"/>
      <c r="J173" s="194"/>
      <c r="K173" s="194"/>
      <c r="L173" s="194"/>
      <c r="M173" s="194"/>
      <c r="N173" s="194"/>
      <c r="O173" s="194"/>
      <c r="P173" s="194"/>
    </row>
    <row r="174" spans="3:16" s="28" customFormat="1" x14ac:dyDescent="0.2">
      <c r="C174" s="194"/>
      <c r="D174" s="194"/>
      <c r="E174" s="194"/>
      <c r="F174" s="194"/>
      <c r="G174" s="194"/>
      <c r="H174" s="194"/>
      <c r="I174" s="194"/>
      <c r="J174" s="194"/>
      <c r="K174" s="194"/>
      <c r="L174" s="194"/>
      <c r="M174" s="194"/>
      <c r="N174" s="194"/>
      <c r="O174" s="194"/>
      <c r="P174" s="194"/>
    </row>
    <row r="175" spans="3:16" s="28" customFormat="1" x14ac:dyDescent="0.2">
      <c r="C175" s="194"/>
      <c r="D175" s="194"/>
      <c r="E175" s="194"/>
      <c r="F175" s="194"/>
      <c r="G175" s="194"/>
      <c r="H175" s="194"/>
      <c r="I175" s="194"/>
      <c r="J175" s="194"/>
      <c r="K175" s="194"/>
      <c r="L175" s="194"/>
      <c r="M175" s="194"/>
      <c r="N175" s="194"/>
      <c r="O175" s="194"/>
      <c r="P175" s="194"/>
    </row>
    <row r="176" spans="3:16" s="28" customFormat="1" x14ac:dyDescent="0.2">
      <c r="C176" s="194"/>
      <c r="D176" s="194"/>
      <c r="E176" s="194"/>
      <c r="F176" s="194"/>
      <c r="G176" s="194"/>
      <c r="H176" s="194"/>
      <c r="I176" s="194"/>
      <c r="J176" s="194"/>
      <c r="K176" s="194"/>
      <c r="L176" s="194"/>
      <c r="M176" s="194"/>
      <c r="N176" s="194"/>
      <c r="O176" s="194"/>
      <c r="P176" s="194"/>
    </row>
    <row r="177" spans="3:16" s="28" customFormat="1" x14ac:dyDescent="0.2">
      <c r="C177" s="194"/>
      <c r="D177" s="194"/>
      <c r="E177" s="194"/>
      <c r="F177" s="194"/>
      <c r="G177" s="194"/>
      <c r="H177" s="194"/>
      <c r="I177" s="194"/>
      <c r="J177" s="194"/>
      <c r="K177" s="194"/>
      <c r="L177" s="194"/>
      <c r="M177" s="194"/>
      <c r="N177" s="194"/>
      <c r="O177" s="194"/>
      <c r="P177" s="194"/>
    </row>
    <row r="178" spans="3:16" s="28" customFormat="1" x14ac:dyDescent="0.2">
      <c r="C178" s="194"/>
      <c r="D178" s="194"/>
      <c r="E178" s="194"/>
      <c r="F178" s="194"/>
      <c r="G178" s="194"/>
      <c r="H178" s="194"/>
      <c r="I178" s="194"/>
      <c r="J178" s="194"/>
      <c r="K178" s="194"/>
      <c r="L178" s="194"/>
      <c r="M178" s="194"/>
      <c r="N178" s="194"/>
      <c r="O178" s="194"/>
      <c r="P178" s="194"/>
    </row>
    <row r="179" spans="3:16" s="28" customFormat="1" x14ac:dyDescent="0.2">
      <c r="C179" s="194"/>
      <c r="D179" s="194"/>
      <c r="E179" s="194"/>
      <c r="F179" s="194"/>
      <c r="G179" s="194"/>
      <c r="H179" s="194"/>
      <c r="I179" s="194"/>
      <c r="J179" s="194"/>
      <c r="K179" s="194"/>
      <c r="L179" s="194"/>
      <c r="M179" s="194"/>
      <c r="N179" s="194"/>
      <c r="O179" s="194"/>
      <c r="P179" s="194"/>
    </row>
    <row r="180" spans="3:16" s="28" customFormat="1" x14ac:dyDescent="0.2">
      <c r="C180" s="194"/>
      <c r="D180" s="194"/>
      <c r="E180" s="194"/>
      <c r="F180" s="194"/>
      <c r="G180" s="194"/>
      <c r="H180" s="194"/>
      <c r="I180" s="194"/>
      <c r="J180" s="194"/>
      <c r="K180" s="194"/>
      <c r="L180" s="194"/>
      <c r="M180" s="194"/>
      <c r="N180" s="194"/>
      <c r="O180" s="194"/>
      <c r="P180" s="194"/>
    </row>
    <row r="181" spans="3:16" s="28" customFormat="1" x14ac:dyDescent="0.2">
      <c r="C181" s="194"/>
      <c r="D181" s="194"/>
      <c r="E181" s="194"/>
      <c r="F181" s="194"/>
      <c r="G181" s="194"/>
      <c r="H181" s="194"/>
      <c r="I181" s="194"/>
      <c r="J181" s="194"/>
      <c r="K181" s="194"/>
      <c r="L181" s="194"/>
      <c r="M181" s="194"/>
      <c r="N181" s="194"/>
      <c r="O181" s="194"/>
      <c r="P181" s="194"/>
    </row>
    <row r="182" spans="3:16" s="28" customFormat="1" x14ac:dyDescent="0.2">
      <c r="C182" s="194"/>
      <c r="D182" s="194"/>
      <c r="E182" s="194"/>
      <c r="F182" s="194"/>
      <c r="G182" s="194"/>
      <c r="H182" s="194"/>
      <c r="I182" s="194"/>
      <c r="J182" s="194"/>
      <c r="K182" s="194"/>
      <c r="L182" s="194"/>
      <c r="M182" s="194"/>
      <c r="N182" s="194"/>
      <c r="O182" s="194"/>
      <c r="P182" s="194"/>
    </row>
    <row r="183" spans="3:16" s="28" customFormat="1" x14ac:dyDescent="0.2">
      <c r="C183" s="194"/>
      <c r="D183" s="194"/>
      <c r="E183" s="194"/>
      <c r="F183" s="194"/>
      <c r="G183" s="194"/>
      <c r="H183" s="194"/>
      <c r="I183" s="194"/>
      <c r="J183" s="194"/>
      <c r="K183" s="194"/>
      <c r="L183" s="194"/>
      <c r="M183" s="194"/>
      <c r="N183" s="194"/>
      <c r="O183" s="194"/>
      <c r="P183" s="194"/>
    </row>
    <row r="184" spans="3:16" s="28" customFormat="1" x14ac:dyDescent="0.2">
      <c r="C184" s="194"/>
      <c r="D184" s="194"/>
      <c r="E184" s="194"/>
      <c r="F184" s="194"/>
      <c r="G184" s="194"/>
      <c r="H184" s="194"/>
      <c r="I184" s="194"/>
      <c r="J184" s="194"/>
      <c r="K184" s="194"/>
      <c r="L184" s="194"/>
      <c r="M184" s="194"/>
      <c r="N184" s="194"/>
      <c r="O184" s="194"/>
      <c r="P184" s="194"/>
    </row>
    <row r="185" spans="3:16" s="28" customFormat="1" x14ac:dyDescent="0.2">
      <c r="C185" s="194"/>
      <c r="D185" s="194"/>
      <c r="E185" s="194"/>
      <c r="F185" s="194"/>
      <c r="G185" s="194"/>
      <c r="H185" s="194"/>
      <c r="I185" s="194"/>
      <c r="J185" s="194"/>
      <c r="K185" s="194"/>
      <c r="L185" s="194"/>
      <c r="M185" s="194"/>
      <c r="N185" s="194"/>
      <c r="O185" s="194"/>
      <c r="P185" s="194"/>
    </row>
    <row r="186" spans="3:16" s="28" customFormat="1" x14ac:dyDescent="0.2">
      <c r="C186" s="194"/>
      <c r="D186" s="194"/>
      <c r="E186" s="194"/>
      <c r="F186" s="194"/>
      <c r="G186" s="194"/>
      <c r="H186" s="194"/>
      <c r="I186" s="194"/>
      <c r="J186" s="194"/>
      <c r="K186" s="194"/>
      <c r="L186" s="194"/>
      <c r="M186" s="194"/>
      <c r="N186" s="194"/>
      <c r="O186" s="194"/>
      <c r="P186" s="194"/>
    </row>
    <row r="187" spans="3:16" s="28" customFormat="1" x14ac:dyDescent="0.2">
      <c r="C187" s="194"/>
      <c r="D187" s="194"/>
      <c r="E187" s="194"/>
      <c r="F187" s="194"/>
      <c r="G187" s="194"/>
      <c r="H187" s="194"/>
      <c r="I187" s="194"/>
      <c r="J187" s="194"/>
      <c r="K187" s="194"/>
      <c r="L187" s="194"/>
      <c r="M187" s="194"/>
      <c r="N187" s="194"/>
      <c r="O187" s="194"/>
      <c r="P187" s="194"/>
    </row>
    <row r="188" spans="3:16" s="28" customFormat="1" x14ac:dyDescent="0.2">
      <c r="C188" s="194"/>
      <c r="D188" s="194"/>
      <c r="E188" s="194"/>
      <c r="F188" s="194"/>
      <c r="G188" s="194"/>
      <c r="H188" s="194"/>
      <c r="I188" s="194"/>
      <c r="J188" s="194"/>
      <c r="K188" s="194"/>
      <c r="L188" s="194"/>
      <c r="M188" s="194"/>
      <c r="N188" s="194"/>
      <c r="O188" s="194"/>
      <c r="P188" s="194"/>
    </row>
    <row r="189" spans="3:16" s="28" customFormat="1" x14ac:dyDescent="0.2">
      <c r="C189" s="194"/>
      <c r="D189" s="194"/>
      <c r="E189" s="194"/>
      <c r="F189" s="194"/>
      <c r="G189" s="194"/>
      <c r="H189" s="194"/>
      <c r="I189" s="194"/>
      <c r="J189" s="194"/>
      <c r="K189" s="194"/>
      <c r="L189" s="194"/>
      <c r="M189" s="194"/>
      <c r="N189" s="194"/>
      <c r="O189" s="194"/>
      <c r="P189" s="194"/>
    </row>
    <row r="190" spans="3:16" s="28" customFormat="1" x14ac:dyDescent="0.2">
      <c r="C190" s="194"/>
      <c r="D190" s="194"/>
      <c r="E190" s="194"/>
      <c r="F190" s="194"/>
      <c r="G190" s="194"/>
      <c r="H190" s="194"/>
      <c r="I190" s="194"/>
      <c r="J190" s="194"/>
      <c r="K190" s="194"/>
      <c r="L190" s="194"/>
      <c r="M190" s="194"/>
      <c r="N190" s="194"/>
      <c r="O190" s="194"/>
      <c r="P190" s="194"/>
    </row>
    <row r="191" spans="3:16" s="28" customFormat="1" x14ac:dyDescent="0.2">
      <c r="C191" s="194"/>
      <c r="D191" s="194"/>
      <c r="E191" s="194"/>
      <c r="F191" s="194"/>
      <c r="G191" s="194"/>
      <c r="H191" s="194"/>
      <c r="I191" s="194"/>
      <c r="J191" s="194"/>
      <c r="K191" s="194"/>
      <c r="L191" s="194"/>
      <c r="M191" s="194"/>
      <c r="N191" s="194"/>
      <c r="O191" s="194"/>
      <c r="P191" s="194"/>
    </row>
    <row r="192" spans="3:16" s="28" customFormat="1" x14ac:dyDescent="0.2">
      <c r="C192" s="194"/>
      <c r="D192" s="194"/>
      <c r="E192" s="194"/>
      <c r="F192" s="194"/>
      <c r="G192" s="194"/>
      <c r="H192" s="194"/>
      <c r="I192" s="194"/>
      <c r="J192" s="194"/>
      <c r="K192" s="194"/>
      <c r="L192" s="194"/>
      <c r="M192" s="194"/>
      <c r="N192" s="194"/>
      <c r="O192" s="194"/>
      <c r="P192" s="194"/>
    </row>
    <row r="193" spans="3:16" s="28" customFormat="1" x14ac:dyDescent="0.2">
      <c r="C193" s="194"/>
      <c r="D193" s="194"/>
      <c r="E193" s="194"/>
      <c r="F193" s="194"/>
      <c r="G193" s="194"/>
      <c r="H193" s="194"/>
      <c r="I193" s="194"/>
      <c r="J193" s="194"/>
      <c r="K193" s="194"/>
      <c r="L193" s="194"/>
      <c r="M193" s="194"/>
      <c r="N193" s="194"/>
      <c r="O193" s="194"/>
      <c r="P193" s="194"/>
    </row>
    <row r="194" spans="3:16" s="28" customFormat="1" x14ac:dyDescent="0.2">
      <c r="C194" s="194"/>
      <c r="D194" s="194"/>
      <c r="E194" s="194"/>
      <c r="F194" s="194"/>
      <c r="G194" s="194"/>
      <c r="H194" s="194"/>
      <c r="I194" s="194"/>
      <c r="J194" s="194"/>
      <c r="K194" s="194"/>
      <c r="L194" s="194"/>
      <c r="M194" s="194"/>
      <c r="N194" s="194"/>
      <c r="O194" s="194"/>
      <c r="P194" s="194"/>
    </row>
    <row r="195" spans="3:16" s="28" customFormat="1" x14ac:dyDescent="0.2">
      <c r="C195" s="194"/>
      <c r="D195" s="194"/>
      <c r="E195" s="194"/>
      <c r="F195" s="194"/>
      <c r="G195" s="194"/>
      <c r="H195" s="194"/>
      <c r="I195" s="194"/>
      <c r="J195" s="194"/>
      <c r="K195" s="194"/>
      <c r="L195" s="194"/>
      <c r="M195" s="194"/>
      <c r="N195" s="194"/>
      <c r="O195" s="194"/>
      <c r="P195" s="194"/>
    </row>
    <row r="196" spans="3:16" s="28" customFormat="1" x14ac:dyDescent="0.2">
      <c r="C196" s="194"/>
      <c r="D196" s="194"/>
      <c r="E196" s="194"/>
      <c r="F196" s="194"/>
      <c r="G196" s="194"/>
      <c r="H196" s="194"/>
      <c r="I196" s="194"/>
      <c r="J196" s="194"/>
      <c r="K196" s="194"/>
      <c r="L196" s="194"/>
      <c r="M196" s="194"/>
      <c r="N196" s="194"/>
      <c r="O196" s="194"/>
      <c r="P196" s="194"/>
    </row>
    <row r="197" spans="3:16" s="28" customFormat="1" x14ac:dyDescent="0.2">
      <c r="C197" s="194"/>
      <c r="D197" s="194"/>
      <c r="E197" s="194"/>
      <c r="F197" s="194"/>
      <c r="G197" s="194"/>
      <c r="H197" s="194"/>
      <c r="I197" s="194"/>
      <c r="J197" s="194"/>
      <c r="K197" s="194"/>
      <c r="L197" s="194"/>
      <c r="M197" s="194"/>
      <c r="N197" s="194"/>
      <c r="O197" s="194"/>
      <c r="P197" s="194"/>
    </row>
    <row r="198" spans="3:16" s="28" customFormat="1" x14ac:dyDescent="0.2">
      <c r="C198" s="194"/>
      <c r="D198" s="194"/>
      <c r="E198" s="194"/>
      <c r="F198" s="194"/>
      <c r="G198" s="194"/>
      <c r="H198" s="194"/>
      <c r="I198" s="194"/>
      <c r="J198" s="194"/>
      <c r="K198" s="194"/>
      <c r="L198" s="194"/>
      <c r="M198" s="194"/>
      <c r="N198" s="194"/>
      <c r="O198" s="194"/>
      <c r="P198" s="194"/>
    </row>
    <row r="199" spans="3:16" s="28" customFormat="1" x14ac:dyDescent="0.2">
      <c r="C199" s="194"/>
      <c r="D199" s="194"/>
      <c r="E199" s="194"/>
      <c r="F199" s="194"/>
      <c r="G199" s="194"/>
      <c r="H199" s="194"/>
      <c r="I199" s="194"/>
      <c r="J199" s="194"/>
      <c r="K199" s="194"/>
      <c r="L199" s="194"/>
      <c r="M199" s="194"/>
      <c r="N199" s="194"/>
      <c r="O199" s="194"/>
      <c r="P199" s="194"/>
    </row>
    <row r="200" spans="3:16" s="28" customFormat="1" x14ac:dyDescent="0.2">
      <c r="C200" s="194"/>
      <c r="D200" s="194"/>
      <c r="E200" s="194"/>
      <c r="F200" s="194"/>
      <c r="G200" s="194"/>
      <c r="H200" s="194"/>
      <c r="I200" s="194"/>
      <c r="J200" s="194"/>
      <c r="K200" s="194"/>
      <c r="L200" s="194"/>
      <c r="M200" s="194"/>
      <c r="N200" s="194"/>
      <c r="O200" s="194"/>
      <c r="P200" s="194"/>
    </row>
    <row r="201" spans="3:16" s="28" customFormat="1" x14ac:dyDescent="0.2">
      <c r="C201" s="194"/>
      <c r="D201" s="194"/>
      <c r="E201" s="194"/>
      <c r="F201" s="194"/>
      <c r="G201" s="194"/>
      <c r="H201" s="194"/>
      <c r="I201" s="194"/>
      <c r="J201" s="194"/>
      <c r="K201" s="194"/>
      <c r="L201" s="194"/>
      <c r="M201" s="194"/>
      <c r="N201" s="194"/>
      <c r="O201" s="194"/>
      <c r="P201" s="194"/>
    </row>
    <row r="202" spans="3:16" s="28" customFormat="1" x14ac:dyDescent="0.2">
      <c r="C202" s="194"/>
      <c r="D202" s="194"/>
      <c r="E202" s="194"/>
      <c r="F202" s="194"/>
      <c r="G202" s="194"/>
      <c r="H202" s="194"/>
      <c r="I202" s="194"/>
      <c r="J202" s="194"/>
      <c r="K202" s="194"/>
      <c r="L202" s="194"/>
      <c r="M202" s="194"/>
      <c r="N202" s="194"/>
      <c r="O202" s="194"/>
      <c r="P202" s="194"/>
    </row>
    <row r="203" spans="3:16" s="28" customFormat="1" x14ac:dyDescent="0.2">
      <c r="C203" s="194"/>
      <c r="D203" s="194"/>
      <c r="E203" s="194"/>
      <c r="F203" s="194"/>
      <c r="G203" s="194"/>
      <c r="H203" s="194"/>
      <c r="I203" s="194"/>
      <c r="J203" s="194"/>
      <c r="K203" s="194"/>
      <c r="L203" s="194"/>
      <c r="M203" s="194"/>
      <c r="N203" s="194"/>
      <c r="O203" s="194"/>
      <c r="P203" s="194"/>
    </row>
    <row r="204" spans="3:16" s="28" customFormat="1" x14ac:dyDescent="0.2">
      <c r="C204" s="194"/>
      <c r="D204" s="194"/>
      <c r="E204" s="194"/>
      <c r="F204" s="194"/>
      <c r="G204" s="194"/>
      <c r="H204" s="194"/>
      <c r="I204" s="194"/>
      <c r="J204" s="194"/>
      <c r="K204" s="194"/>
      <c r="L204" s="194"/>
      <c r="M204" s="194"/>
      <c r="N204" s="194"/>
      <c r="O204" s="194"/>
      <c r="P204" s="194"/>
    </row>
    <row r="205" spans="3:16" s="28" customFormat="1" x14ac:dyDescent="0.2">
      <c r="C205" s="194"/>
      <c r="D205" s="194"/>
      <c r="E205" s="194"/>
      <c r="F205" s="194"/>
      <c r="G205" s="194"/>
      <c r="H205" s="194"/>
      <c r="I205" s="194"/>
      <c r="J205" s="194"/>
      <c r="K205" s="194"/>
      <c r="L205" s="194"/>
      <c r="M205" s="194"/>
      <c r="N205" s="194"/>
      <c r="O205" s="194"/>
      <c r="P205" s="194"/>
    </row>
    <row r="206" spans="3:16" s="28" customFormat="1" x14ac:dyDescent="0.2">
      <c r="C206" s="194"/>
      <c r="D206" s="194"/>
      <c r="E206" s="194"/>
      <c r="F206" s="194"/>
      <c r="G206" s="194"/>
      <c r="H206" s="194"/>
      <c r="I206" s="194"/>
      <c r="J206" s="194"/>
      <c r="K206" s="194"/>
      <c r="L206" s="194"/>
      <c r="M206" s="194"/>
      <c r="N206" s="194"/>
      <c r="O206" s="194"/>
      <c r="P206" s="194"/>
    </row>
    <row r="207" spans="3:16" s="28" customFormat="1" x14ac:dyDescent="0.2">
      <c r="C207" s="194"/>
      <c r="D207" s="194"/>
      <c r="E207" s="194"/>
      <c r="F207" s="194"/>
      <c r="G207" s="194"/>
      <c r="H207" s="194"/>
      <c r="I207" s="194"/>
      <c r="J207" s="194"/>
      <c r="K207" s="194"/>
      <c r="L207" s="194"/>
      <c r="M207" s="194"/>
      <c r="N207" s="194"/>
      <c r="O207" s="194"/>
      <c r="P207" s="194"/>
    </row>
    <row r="208" spans="3:16" s="28" customFormat="1" x14ac:dyDescent="0.2">
      <c r="C208" s="194"/>
      <c r="D208" s="194"/>
      <c r="E208" s="194"/>
      <c r="F208" s="194"/>
      <c r="G208" s="194"/>
      <c r="H208" s="194"/>
      <c r="I208" s="194"/>
      <c r="J208" s="194"/>
      <c r="K208" s="194"/>
      <c r="L208" s="194"/>
      <c r="M208" s="194"/>
      <c r="N208" s="194"/>
      <c r="O208" s="194"/>
      <c r="P208" s="194"/>
    </row>
    <row r="209" spans="3:16" s="28" customFormat="1" x14ac:dyDescent="0.2">
      <c r="C209" s="194"/>
      <c r="D209" s="194"/>
      <c r="E209" s="194"/>
      <c r="F209" s="194"/>
      <c r="G209" s="194"/>
      <c r="H209" s="194"/>
      <c r="I209" s="194"/>
      <c r="J209" s="194"/>
      <c r="K209" s="194"/>
      <c r="L209" s="194"/>
      <c r="M209" s="194"/>
      <c r="N209" s="194"/>
      <c r="O209" s="194"/>
      <c r="P209" s="194"/>
    </row>
    <row r="210" spans="3:16" s="28" customFormat="1" x14ac:dyDescent="0.2">
      <c r="C210" s="194"/>
      <c r="D210" s="194"/>
      <c r="E210" s="194"/>
      <c r="F210" s="194"/>
      <c r="G210" s="194"/>
      <c r="H210" s="194"/>
      <c r="I210" s="194"/>
      <c r="J210" s="194"/>
      <c r="K210" s="194"/>
      <c r="L210" s="194"/>
      <c r="M210" s="194"/>
      <c r="N210" s="194"/>
      <c r="O210" s="194"/>
      <c r="P210" s="194"/>
    </row>
    <row r="211" spans="3:16" s="28" customFormat="1" x14ac:dyDescent="0.2"/>
    <row r="212" spans="3:16" s="28" customFormat="1" x14ac:dyDescent="0.2"/>
    <row r="213" spans="3:16" s="28" customFormat="1" x14ac:dyDescent="0.2"/>
    <row r="214" spans="3:16" s="28" customFormat="1" x14ac:dyDescent="0.2"/>
    <row r="215" spans="3:16" s="28" customFormat="1" x14ac:dyDescent="0.2"/>
    <row r="216" spans="3:16" s="28" customFormat="1" x14ac:dyDescent="0.2"/>
    <row r="217" spans="3:16" s="28" customFormat="1" x14ac:dyDescent="0.2"/>
    <row r="218" spans="3:16" s="28" customFormat="1" x14ac:dyDescent="0.2"/>
    <row r="219" spans="3:16" s="28" customFormat="1" x14ac:dyDescent="0.2"/>
    <row r="220" spans="3:16" s="28" customFormat="1" x14ac:dyDescent="0.2"/>
    <row r="221" spans="3:16" s="28" customFormat="1" x14ac:dyDescent="0.2"/>
    <row r="222" spans="3:16" s="28" customFormat="1" x14ac:dyDescent="0.2"/>
    <row r="223" spans="3:16" s="28" customFormat="1" x14ac:dyDescent="0.2"/>
    <row r="224" spans="3:16" s="28" customFormat="1" x14ac:dyDescent="0.2"/>
    <row r="225" s="28" customFormat="1" x14ac:dyDescent="0.2"/>
    <row r="226" s="28" customFormat="1" x14ac:dyDescent="0.2"/>
    <row r="227" s="28" customFormat="1" x14ac:dyDescent="0.2"/>
    <row r="228" s="28" customFormat="1" x14ac:dyDescent="0.2"/>
    <row r="229" s="28" customFormat="1" x14ac:dyDescent="0.2"/>
    <row r="230" s="28" customFormat="1" x14ac:dyDescent="0.2"/>
    <row r="231" s="28" customFormat="1" x14ac:dyDescent="0.2"/>
    <row r="232" s="28" customFormat="1" x14ac:dyDescent="0.2"/>
    <row r="233" s="28" customFormat="1" x14ac:dyDescent="0.2"/>
    <row r="234" s="28" customFormat="1" x14ac:dyDescent="0.2"/>
    <row r="235" s="28" customFormat="1" x14ac:dyDescent="0.2"/>
    <row r="236" s="28" customFormat="1" x14ac:dyDescent="0.2"/>
    <row r="237" s="28" customFormat="1" x14ac:dyDescent="0.2"/>
    <row r="238" s="28" customFormat="1" x14ac:dyDescent="0.2"/>
    <row r="239" s="28" customFormat="1" x14ac:dyDescent="0.2"/>
    <row r="240" s="28" customFormat="1" x14ac:dyDescent="0.2"/>
    <row r="241" s="28" customFormat="1" x14ac:dyDescent="0.2"/>
    <row r="242" s="28" customFormat="1" x14ac:dyDescent="0.2"/>
    <row r="243" s="28" customFormat="1" x14ac:dyDescent="0.2"/>
    <row r="244" s="28" customFormat="1" x14ac:dyDescent="0.2"/>
    <row r="245" s="28" customFormat="1" x14ac:dyDescent="0.2"/>
    <row r="246" s="28" customFormat="1" x14ac:dyDescent="0.2"/>
    <row r="247" s="28" customFormat="1" x14ac:dyDescent="0.2"/>
    <row r="248" s="28" customFormat="1" x14ac:dyDescent="0.2"/>
    <row r="249" s="28" customFormat="1" x14ac:dyDescent="0.2"/>
    <row r="250" s="28" customFormat="1" x14ac:dyDescent="0.2"/>
    <row r="251" s="28" customFormat="1" x14ac:dyDescent="0.2"/>
    <row r="252" s="28" customFormat="1" x14ac:dyDescent="0.2"/>
    <row r="253" s="28" customFormat="1" x14ac:dyDescent="0.2"/>
    <row r="254" s="28" customFormat="1" x14ac:dyDescent="0.2"/>
    <row r="255" s="28" customFormat="1" x14ac:dyDescent="0.2"/>
    <row r="256" s="28" customFormat="1" x14ac:dyDescent="0.2"/>
    <row r="257" s="28" customFormat="1" x14ac:dyDescent="0.2"/>
    <row r="258" s="28" customFormat="1" x14ac:dyDescent="0.2"/>
    <row r="259" s="28" customFormat="1" x14ac:dyDescent="0.2"/>
  </sheetData>
  <mergeCells count="6">
    <mergeCell ref="C18:G18"/>
    <mergeCell ref="C19:G19"/>
    <mergeCell ref="C7:G7"/>
    <mergeCell ref="C8:C10"/>
    <mergeCell ref="D8:E8"/>
    <mergeCell ref="F8:G8"/>
  </mergeCells>
  <conditionalFormatting sqref="F9">
    <cfRule type="cellIs" dxfId="1" priority="1" stopIfTrue="1" operator="equal">
      <formula>"ERROR"</formula>
    </cfRule>
  </conditionalFormatting>
  <conditionalFormatting sqref="G9">
    <cfRule type="cellIs" dxfId="0" priority="2" stopIfTrue="1" operator="equal">
      <formula>"ERROR"</formula>
    </cfRule>
  </conditionalFormatting>
  <pageMargins left="0.70866141732283472" right="0.70866141732283472" top="0.74803149606299213" bottom="0.74803149606299213" header="0.31496062992125984" footer="0.31496062992125984"/>
  <pageSetup paperSize="9" scale="68" fitToHeight="0" orientation="portrait" r:id="rId1"/>
  <headerFooter alignWithMargins="0">
    <oddHeader>&amp;C&amp;"Arial,Bold"&amp;14&amp;A</oddHeader>
    <oddFooter>&amp;L2016-17 Network Tariff Tables&amp;C&amp;P of &amp;N&amp;R&amp;D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C3:G105"/>
  <sheetViews>
    <sheetView topLeftCell="A85" zoomScale="90" zoomScaleNormal="90" workbookViewId="0"/>
  </sheetViews>
  <sheetFormatPr defaultRowHeight="12.75" x14ac:dyDescent="0.2"/>
  <cols>
    <col min="1" max="1" width="4" style="194" customWidth="1"/>
    <col min="2" max="2" width="4.85546875" style="194" customWidth="1"/>
    <col min="3" max="3" width="38.7109375" style="194" customWidth="1"/>
    <col min="4" max="4" width="47.28515625" style="194" customWidth="1"/>
    <col min="5" max="7" width="40.42578125" style="194" customWidth="1"/>
    <col min="8" max="16384" width="9.140625" style="194"/>
  </cols>
  <sheetData>
    <row r="3" spans="3:7" ht="18" x14ac:dyDescent="0.2">
      <c r="C3" s="237" t="s">
        <v>589</v>
      </c>
    </row>
    <row r="4" spans="3:7" ht="18" x14ac:dyDescent="0.2">
      <c r="C4" s="238" t="s">
        <v>595</v>
      </c>
    </row>
    <row r="5" spans="3:7" ht="15.75" customHeight="1" x14ac:dyDescent="0.2"/>
    <row r="6" spans="3:7" ht="15.75" customHeight="1" x14ac:dyDescent="0.2"/>
    <row r="7" spans="3:7" ht="18.75" customHeight="1" x14ac:dyDescent="0.25">
      <c r="C7" s="242" t="s">
        <v>348</v>
      </c>
    </row>
    <row r="8" spans="3:7" ht="17.25" thickBot="1" x14ac:dyDescent="0.3">
      <c r="C8" s="242"/>
    </row>
    <row r="9" spans="3:7" ht="76.5" customHeight="1" x14ac:dyDescent="0.2">
      <c r="C9" s="250" t="s">
        <v>284</v>
      </c>
      <c r="D9" s="250" t="s">
        <v>463</v>
      </c>
      <c r="E9" s="250" t="s">
        <v>440</v>
      </c>
      <c r="F9" s="255" t="s">
        <v>441</v>
      </c>
      <c r="G9" s="255" t="s">
        <v>442</v>
      </c>
    </row>
    <row r="10" spans="3:7" ht="16.5" customHeight="1" x14ac:dyDescent="0.2">
      <c r="C10" s="541" t="s">
        <v>325</v>
      </c>
      <c r="D10" s="251" t="s">
        <v>15</v>
      </c>
      <c r="E10" s="251" t="s">
        <v>350</v>
      </c>
      <c r="F10" s="251" t="s">
        <v>351</v>
      </c>
      <c r="G10" s="251" t="s">
        <v>352</v>
      </c>
    </row>
    <row r="11" spans="3:7" ht="16.5" customHeight="1" x14ac:dyDescent="0.2">
      <c r="C11" s="543"/>
      <c r="D11" s="254" t="s">
        <v>2</v>
      </c>
      <c r="E11" s="254" t="s">
        <v>353</v>
      </c>
      <c r="F11" s="254" t="s">
        <v>354</v>
      </c>
      <c r="G11" s="254" t="s">
        <v>355</v>
      </c>
    </row>
    <row r="12" spans="3:7" ht="16.5" customHeight="1" x14ac:dyDescent="0.2">
      <c r="C12" s="543"/>
      <c r="D12" s="254" t="s">
        <v>3</v>
      </c>
      <c r="E12" s="254" t="s">
        <v>356</v>
      </c>
      <c r="F12" s="254" t="s">
        <v>357</v>
      </c>
      <c r="G12" s="254" t="s">
        <v>358</v>
      </c>
    </row>
    <row r="13" spans="3:7" ht="16.5" customHeight="1" x14ac:dyDescent="0.2">
      <c r="C13" s="543"/>
      <c r="D13" s="254" t="s">
        <v>4</v>
      </c>
      <c r="E13" s="254" t="s">
        <v>359</v>
      </c>
      <c r="F13" s="254" t="s">
        <v>360</v>
      </c>
      <c r="G13" s="254" t="s">
        <v>361</v>
      </c>
    </row>
    <row r="14" spans="3:7" ht="16.5" customHeight="1" x14ac:dyDescent="0.2">
      <c r="C14" s="542"/>
      <c r="D14" s="252" t="s">
        <v>264</v>
      </c>
      <c r="E14" s="252" t="s">
        <v>444</v>
      </c>
      <c r="F14" s="252" t="s">
        <v>362</v>
      </c>
      <c r="G14" s="252" t="s">
        <v>363</v>
      </c>
    </row>
    <row r="15" spans="3:7" ht="16.5" customHeight="1" x14ac:dyDescent="0.2">
      <c r="C15" s="541" t="s">
        <v>326</v>
      </c>
      <c r="D15" s="251" t="s">
        <v>2</v>
      </c>
      <c r="E15" s="251" t="s">
        <v>364</v>
      </c>
      <c r="F15" s="251" t="s">
        <v>365</v>
      </c>
      <c r="G15" s="251" t="s">
        <v>366</v>
      </c>
    </row>
    <row r="16" spans="3:7" ht="16.5" customHeight="1" x14ac:dyDescent="0.2">
      <c r="C16" s="543"/>
      <c r="D16" s="254" t="s">
        <v>3</v>
      </c>
      <c r="E16" s="254" t="s">
        <v>367</v>
      </c>
      <c r="F16" s="254" t="s">
        <v>368</v>
      </c>
      <c r="G16" s="254" t="s">
        <v>369</v>
      </c>
    </row>
    <row r="17" spans="3:7" ht="16.5" customHeight="1" x14ac:dyDescent="0.2">
      <c r="C17" s="543"/>
      <c r="D17" s="254" t="s">
        <v>4</v>
      </c>
      <c r="E17" s="254" t="s">
        <v>370</v>
      </c>
      <c r="F17" s="254" t="s">
        <v>371</v>
      </c>
      <c r="G17" s="254" t="s">
        <v>372</v>
      </c>
    </row>
    <row r="18" spans="3:7" ht="16.5" customHeight="1" x14ac:dyDescent="0.2">
      <c r="C18" s="543"/>
      <c r="D18" s="252" t="s">
        <v>264</v>
      </c>
      <c r="E18" s="252" t="s">
        <v>444</v>
      </c>
      <c r="F18" s="252" t="s">
        <v>373</v>
      </c>
      <c r="G18" s="252" t="s">
        <v>374</v>
      </c>
    </row>
    <row r="19" spans="3:7" ht="16.5" customHeight="1" x14ac:dyDescent="0.2">
      <c r="C19" s="541" t="s">
        <v>327</v>
      </c>
      <c r="D19" s="251" t="s">
        <v>2</v>
      </c>
      <c r="E19" s="251" t="s">
        <v>219</v>
      </c>
      <c r="F19" s="251" t="s">
        <v>375</v>
      </c>
      <c r="G19" s="251" t="s">
        <v>376</v>
      </c>
    </row>
    <row r="20" spans="3:7" ht="16.5" customHeight="1" x14ac:dyDescent="0.2">
      <c r="C20" s="543"/>
      <c r="D20" s="254" t="s">
        <v>3</v>
      </c>
      <c r="E20" s="254" t="s">
        <v>221</v>
      </c>
      <c r="F20" s="254" t="s">
        <v>377</v>
      </c>
      <c r="G20" s="254" t="s">
        <v>378</v>
      </c>
    </row>
    <row r="21" spans="3:7" ht="16.5" customHeight="1" x14ac:dyDescent="0.2">
      <c r="C21" s="543"/>
      <c r="D21" s="254" t="s">
        <v>4</v>
      </c>
      <c r="E21" s="254" t="s">
        <v>222</v>
      </c>
      <c r="F21" s="254" t="s">
        <v>379</v>
      </c>
      <c r="G21" s="254" t="s">
        <v>380</v>
      </c>
    </row>
    <row r="22" spans="3:7" ht="16.5" customHeight="1" x14ac:dyDescent="0.2">
      <c r="C22" s="543"/>
      <c r="D22" s="252" t="s">
        <v>264</v>
      </c>
      <c r="E22" s="252" t="s">
        <v>444</v>
      </c>
      <c r="F22" s="252" t="s">
        <v>218</v>
      </c>
      <c r="G22" s="252" t="s">
        <v>381</v>
      </c>
    </row>
    <row r="23" spans="3:7" ht="16.5" customHeight="1" x14ac:dyDescent="0.2">
      <c r="C23" s="541" t="s">
        <v>328</v>
      </c>
      <c r="D23" s="251" t="s">
        <v>329</v>
      </c>
      <c r="E23" s="251" t="s">
        <v>382</v>
      </c>
      <c r="F23" s="251" t="s">
        <v>383</v>
      </c>
      <c r="G23" s="251" t="s">
        <v>384</v>
      </c>
    </row>
    <row r="24" spans="3:7" ht="16.5" customHeight="1" x14ac:dyDescent="0.2">
      <c r="C24" s="543"/>
      <c r="D24" s="254" t="s">
        <v>330</v>
      </c>
      <c r="E24" s="254" t="s">
        <v>385</v>
      </c>
      <c r="F24" s="254" t="s">
        <v>386</v>
      </c>
      <c r="G24" s="254" t="s">
        <v>387</v>
      </c>
    </row>
    <row r="25" spans="3:7" ht="16.5" customHeight="1" x14ac:dyDescent="0.2">
      <c r="C25" s="543"/>
      <c r="D25" s="254" t="s">
        <v>331</v>
      </c>
      <c r="E25" s="257" t="s">
        <v>444</v>
      </c>
      <c r="F25" s="254" t="s">
        <v>388</v>
      </c>
      <c r="G25" s="254" t="s">
        <v>389</v>
      </c>
    </row>
    <row r="26" spans="3:7" ht="16.5" customHeight="1" x14ac:dyDescent="0.2">
      <c r="C26" s="543"/>
      <c r="D26" s="254" t="s">
        <v>18</v>
      </c>
      <c r="E26" s="256" t="s">
        <v>390</v>
      </c>
      <c r="F26" s="254" t="s">
        <v>391</v>
      </c>
      <c r="G26" s="254" t="s">
        <v>392</v>
      </c>
    </row>
    <row r="27" spans="3:7" ht="16.5" customHeight="1" x14ac:dyDescent="0.2">
      <c r="C27" s="543"/>
      <c r="D27" s="254" t="s">
        <v>332</v>
      </c>
      <c r="E27" s="254" t="s">
        <v>393</v>
      </c>
      <c r="F27" s="254" t="s">
        <v>394</v>
      </c>
      <c r="G27" s="254" t="s">
        <v>395</v>
      </c>
    </row>
    <row r="28" spans="3:7" ht="16.5" customHeight="1" x14ac:dyDescent="0.2">
      <c r="C28" s="543"/>
      <c r="D28" s="254" t="s">
        <v>333</v>
      </c>
      <c r="E28" s="257" t="s">
        <v>444</v>
      </c>
      <c r="F28" s="254" t="s">
        <v>396</v>
      </c>
      <c r="G28" s="254" t="s">
        <v>397</v>
      </c>
    </row>
    <row r="29" spans="3:7" ht="16.5" customHeight="1" x14ac:dyDescent="0.2">
      <c r="C29" s="543"/>
      <c r="D29" s="254" t="s">
        <v>334</v>
      </c>
      <c r="E29" s="256" t="s">
        <v>398</v>
      </c>
      <c r="F29" s="254" t="s">
        <v>399</v>
      </c>
      <c r="G29" s="254" t="s">
        <v>400</v>
      </c>
    </row>
    <row r="30" spans="3:7" ht="16.5" customHeight="1" x14ac:dyDescent="0.2">
      <c r="C30" s="543"/>
      <c r="D30" s="254" t="s">
        <v>335</v>
      </c>
      <c r="E30" s="254" t="s">
        <v>401</v>
      </c>
      <c r="F30" s="254" t="s">
        <v>402</v>
      </c>
      <c r="G30" s="254" t="s">
        <v>403</v>
      </c>
    </row>
    <row r="31" spans="3:7" ht="16.5" customHeight="1" x14ac:dyDescent="0.2">
      <c r="C31" s="541" t="s">
        <v>670</v>
      </c>
      <c r="D31" s="251" t="s">
        <v>329</v>
      </c>
      <c r="E31" s="251" t="s">
        <v>404</v>
      </c>
      <c r="F31" s="251" t="s">
        <v>405</v>
      </c>
      <c r="G31" s="251" t="s">
        <v>406</v>
      </c>
    </row>
    <row r="32" spans="3:7" ht="16.5" customHeight="1" x14ac:dyDescent="0.2">
      <c r="C32" s="543"/>
      <c r="D32" s="254" t="s">
        <v>330</v>
      </c>
      <c r="E32" s="254" t="s">
        <v>407</v>
      </c>
      <c r="F32" s="254" t="s">
        <v>408</v>
      </c>
      <c r="G32" s="254" t="s">
        <v>409</v>
      </c>
    </row>
    <row r="33" spans="3:7" ht="16.5" customHeight="1" x14ac:dyDescent="0.2">
      <c r="C33" s="543"/>
      <c r="D33" s="254" t="s">
        <v>331</v>
      </c>
      <c r="E33" s="257" t="s">
        <v>444</v>
      </c>
      <c r="F33" s="254" t="s">
        <v>410</v>
      </c>
      <c r="G33" s="254" t="s">
        <v>411</v>
      </c>
    </row>
    <row r="34" spans="3:7" ht="16.5" customHeight="1" x14ac:dyDescent="0.2">
      <c r="C34" s="543"/>
      <c r="D34" s="254" t="s">
        <v>18</v>
      </c>
      <c r="E34" s="256" t="s">
        <v>412</v>
      </c>
      <c r="F34" s="254" t="s">
        <v>413</v>
      </c>
      <c r="G34" s="254" t="s">
        <v>414</v>
      </c>
    </row>
    <row r="35" spans="3:7" ht="16.5" customHeight="1" x14ac:dyDescent="0.2">
      <c r="C35" s="543"/>
      <c r="D35" s="254" t="s">
        <v>332</v>
      </c>
      <c r="E35" s="254" t="s">
        <v>415</v>
      </c>
      <c r="F35" s="254" t="s">
        <v>416</v>
      </c>
      <c r="G35" s="254" t="s">
        <v>417</v>
      </c>
    </row>
    <row r="36" spans="3:7" ht="16.5" customHeight="1" x14ac:dyDescent="0.2">
      <c r="C36" s="543"/>
      <c r="D36" s="254" t="s">
        <v>333</v>
      </c>
      <c r="E36" s="257" t="s">
        <v>444</v>
      </c>
      <c r="F36" s="254" t="s">
        <v>418</v>
      </c>
      <c r="G36" s="254" t="s">
        <v>419</v>
      </c>
    </row>
    <row r="37" spans="3:7" ht="16.5" customHeight="1" x14ac:dyDescent="0.2">
      <c r="C37" s="543"/>
      <c r="D37" s="254" t="s">
        <v>334</v>
      </c>
      <c r="E37" s="256" t="s">
        <v>420</v>
      </c>
      <c r="F37" s="254" t="s">
        <v>421</v>
      </c>
      <c r="G37" s="254" t="s">
        <v>422</v>
      </c>
    </row>
    <row r="38" spans="3:7" ht="16.5" customHeight="1" x14ac:dyDescent="0.2">
      <c r="C38" s="543"/>
      <c r="D38" s="254" t="s">
        <v>335</v>
      </c>
      <c r="E38" s="254" t="s">
        <v>423</v>
      </c>
      <c r="F38" s="254" t="s">
        <v>424</v>
      </c>
      <c r="G38" s="254" t="s">
        <v>425</v>
      </c>
    </row>
    <row r="39" spans="3:7" ht="16.5" customHeight="1" x14ac:dyDescent="0.2">
      <c r="C39" s="541" t="s">
        <v>669</v>
      </c>
      <c r="D39" s="251" t="s">
        <v>329</v>
      </c>
      <c r="E39" s="251" t="s">
        <v>202</v>
      </c>
      <c r="F39" s="251" t="s">
        <v>426</v>
      </c>
      <c r="G39" s="251" t="s">
        <v>427</v>
      </c>
    </row>
    <row r="40" spans="3:7" ht="16.5" customHeight="1" x14ac:dyDescent="0.2">
      <c r="C40" s="543" t="s">
        <v>336</v>
      </c>
      <c r="D40" s="254" t="s">
        <v>330</v>
      </c>
      <c r="E40" s="254" t="s">
        <v>205</v>
      </c>
      <c r="F40" s="254" t="s">
        <v>428</v>
      </c>
      <c r="G40" s="254" t="s">
        <v>429</v>
      </c>
    </row>
    <row r="41" spans="3:7" ht="16.5" customHeight="1" x14ac:dyDescent="0.2">
      <c r="C41" s="543"/>
      <c r="D41" s="254" t="s">
        <v>331</v>
      </c>
      <c r="E41" s="257" t="s">
        <v>444</v>
      </c>
      <c r="F41" s="254" t="s">
        <v>182</v>
      </c>
      <c r="G41" s="254" t="s">
        <v>430</v>
      </c>
    </row>
    <row r="42" spans="3:7" ht="16.5" customHeight="1" x14ac:dyDescent="0.2">
      <c r="C42" s="543"/>
      <c r="D42" s="254" t="s">
        <v>18</v>
      </c>
      <c r="E42" s="256" t="s">
        <v>187</v>
      </c>
      <c r="F42" s="254" t="s">
        <v>431</v>
      </c>
      <c r="G42" s="254" t="s">
        <v>432</v>
      </c>
    </row>
    <row r="43" spans="3:7" ht="16.5" customHeight="1" x14ac:dyDescent="0.2">
      <c r="C43" s="543"/>
      <c r="D43" s="254" t="s">
        <v>332</v>
      </c>
      <c r="E43" s="254" t="s">
        <v>204</v>
      </c>
      <c r="F43" s="254" t="s">
        <v>433</v>
      </c>
      <c r="G43" s="254" t="s">
        <v>434</v>
      </c>
    </row>
    <row r="44" spans="3:7" ht="16.5" customHeight="1" x14ac:dyDescent="0.2">
      <c r="C44" s="543"/>
      <c r="D44" s="254" t="s">
        <v>333</v>
      </c>
      <c r="E44" s="257" t="s">
        <v>444</v>
      </c>
      <c r="F44" s="254" t="s">
        <v>181</v>
      </c>
      <c r="G44" s="254" t="s">
        <v>435</v>
      </c>
    </row>
    <row r="45" spans="3:7" ht="16.5" customHeight="1" x14ac:dyDescent="0.2">
      <c r="C45" s="543"/>
      <c r="D45" s="254" t="s">
        <v>334</v>
      </c>
      <c r="E45" s="256" t="s">
        <v>207</v>
      </c>
      <c r="F45" s="254" t="s">
        <v>436</v>
      </c>
      <c r="G45" s="254" t="s">
        <v>437</v>
      </c>
    </row>
    <row r="46" spans="3:7" ht="16.5" customHeight="1" x14ac:dyDescent="0.2">
      <c r="C46" s="543"/>
      <c r="D46" s="254" t="s">
        <v>335</v>
      </c>
      <c r="E46" s="254" t="s">
        <v>206</v>
      </c>
      <c r="F46" s="254" t="s">
        <v>438</v>
      </c>
      <c r="G46" s="254" t="s">
        <v>439</v>
      </c>
    </row>
    <row r="47" spans="3:7" ht="16.5" customHeight="1" x14ac:dyDescent="0.2">
      <c r="C47" s="541" t="s">
        <v>337</v>
      </c>
      <c r="D47" s="544" t="s">
        <v>338</v>
      </c>
      <c r="E47" s="251" t="s">
        <v>339</v>
      </c>
      <c r="F47" s="251" t="s">
        <v>443</v>
      </c>
      <c r="G47" s="251" t="s">
        <v>443</v>
      </c>
    </row>
    <row r="48" spans="3:7" ht="16.5" customHeight="1" x14ac:dyDescent="0.2">
      <c r="C48" s="543"/>
      <c r="D48" s="545"/>
      <c r="E48" s="254" t="s">
        <v>340</v>
      </c>
      <c r="F48" s="254" t="s">
        <v>443</v>
      </c>
      <c r="G48" s="254" t="s">
        <v>443</v>
      </c>
    </row>
    <row r="49" spans="3:7" ht="16.5" customHeight="1" x14ac:dyDescent="0.2">
      <c r="C49" s="542"/>
      <c r="D49" s="546"/>
      <c r="E49" s="252" t="s">
        <v>341</v>
      </c>
      <c r="F49" s="259" t="s">
        <v>443</v>
      </c>
      <c r="G49" s="259" t="s">
        <v>443</v>
      </c>
    </row>
    <row r="50" spans="3:7" ht="16.5" customHeight="1" x14ac:dyDescent="0.2">
      <c r="C50" s="543" t="s">
        <v>342</v>
      </c>
      <c r="D50" s="544" t="s">
        <v>338</v>
      </c>
      <c r="E50" s="251" t="s">
        <v>343</v>
      </c>
      <c r="F50" s="251" t="s">
        <v>443</v>
      </c>
      <c r="G50" s="251" t="s">
        <v>443</v>
      </c>
    </row>
    <row r="51" spans="3:7" ht="16.5" customHeight="1" x14ac:dyDescent="0.2">
      <c r="C51" s="547"/>
      <c r="D51" s="545"/>
      <c r="E51" s="254" t="s">
        <v>344</v>
      </c>
      <c r="F51" s="254" t="s">
        <v>443</v>
      </c>
      <c r="G51" s="254" t="s">
        <v>443</v>
      </c>
    </row>
    <row r="52" spans="3:7" ht="16.5" customHeight="1" x14ac:dyDescent="0.2">
      <c r="C52" s="543"/>
      <c r="D52" s="546"/>
      <c r="E52" s="252" t="s">
        <v>345</v>
      </c>
      <c r="F52" s="259" t="s">
        <v>443</v>
      </c>
      <c r="G52" s="259" t="s">
        <v>443</v>
      </c>
    </row>
    <row r="53" spans="3:7" ht="16.5" customHeight="1" x14ac:dyDescent="0.2">
      <c r="C53" s="548" t="s">
        <v>346</v>
      </c>
      <c r="D53" s="544" t="s">
        <v>338</v>
      </c>
      <c r="E53" s="251" t="s">
        <v>200</v>
      </c>
      <c r="F53" s="251" t="s">
        <v>443</v>
      </c>
      <c r="G53" s="251" t="s">
        <v>443</v>
      </c>
    </row>
    <row r="54" spans="3:7" ht="16.5" customHeight="1" x14ac:dyDescent="0.2">
      <c r="C54" s="430"/>
      <c r="D54" s="545"/>
      <c r="E54" s="254" t="s">
        <v>201</v>
      </c>
      <c r="F54" s="254" t="s">
        <v>443</v>
      </c>
      <c r="G54" s="254" t="s">
        <v>443</v>
      </c>
    </row>
    <row r="55" spans="3:7" ht="16.5" customHeight="1" x14ac:dyDescent="0.2">
      <c r="C55" s="549"/>
      <c r="D55" s="546"/>
      <c r="E55" s="252" t="s">
        <v>280</v>
      </c>
      <c r="F55" s="259" t="s">
        <v>443</v>
      </c>
      <c r="G55" s="259" t="s">
        <v>443</v>
      </c>
    </row>
    <row r="56" spans="3:7" ht="15.75" customHeight="1" x14ac:dyDescent="0.25">
      <c r="C56" s="242"/>
    </row>
    <row r="57" spans="3:7" ht="15.75" customHeight="1" x14ac:dyDescent="0.2">
      <c r="C57" s="258"/>
    </row>
    <row r="58" spans="3:7" ht="19.5" customHeight="1" x14ac:dyDescent="0.25">
      <c r="C58" s="242" t="s">
        <v>347</v>
      </c>
    </row>
    <row r="59" spans="3:7" ht="19.5" customHeight="1" x14ac:dyDescent="0.2">
      <c r="C59" s="260" t="s">
        <v>349</v>
      </c>
    </row>
    <row r="60" spans="3:7" ht="13.5" thickBot="1" x14ac:dyDescent="0.25"/>
    <row r="61" spans="3:7" ht="30" customHeight="1" x14ac:dyDescent="0.2">
      <c r="C61" s="250" t="s">
        <v>284</v>
      </c>
      <c r="D61" s="250" t="s">
        <v>167</v>
      </c>
      <c r="E61" s="250" t="s">
        <v>285</v>
      </c>
    </row>
    <row r="62" spans="3:7" ht="15.75" customHeight="1" x14ac:dyDescent="0.2">
      <c r="C62" s="541" t="s">
        <v>286</v>
      </c>
      <c r="D62" s="541" t="s">
        <v>287</v>
      </c>
      <c r="E62" s="251" t="s">
        <v>288</v>
      </c>
    </row>
    <row r="63" spans="3:7" ht="15.75" customHeight="1" x14ac:dyDescent="0.2">
      <c r="C63" s="542"/>
      <c r="D63" s="542"/>
      <c r="E63" s="252" t="s">
        <v>289</v>
      </c>
    </row>
    <row r="64" spans="3:7" ht="15.75" customHeight="1" x14ac:dyDescent="0.2">
      <c r="C64" s="541" t="s">
        <v>290</v>
      </c>
      <c r="D64" s="541" t="s">
        <v>287</v>
      </c>
      <c r="E64" s="251" t="s">
        <v>291</v>
      </c>
    </row>
    <row r="65" spans="3:6" ht="15.75" customHeight="1" x14ac:dyDescent="0.2">
      <c r="C65" s="542"/>
      <c r="D65" s="542"/>
      <c r="E65" s="252" t="s">
        <v>292</v>
      </c>
    </row>
    <row r="66" spans="3:6" ht="15.75" customHeight="1" x14ac:dyDescent="0.2">
      <c r="C66" s="541" t="s">
        <v>293</v>
      </c>
      <c r="D66" s="541" t="s">
        <v>287</v>
      </c>
      <c r="E66" s="251" t="s">
        <v>294</v>
      </c>
    </row>
    <row r="67" spans="3:6" ht="15.75" customHeight="1" x14ac:dyDescent="0.2">
      <c r="C67" s="542"/>
      <c r="D67" s="542"/>
      <c r="E67" s="252" t="s">
        <v>295</v>
      </c>
    </row>
    <row r="68" spans="3:6" ht="26.25" customHeight="1" x14ac:dyDescent="0.2">
      <c r="C68" s="541" t="s">
        <v>296</v>
      </c>
      <c r="D68" s="251" t="s">
        <v>297</v>
      </c>
      <c r="E68" s="254" t="s">
        <v>612</v>
      </c>
      <c r="F68" s="41"/>
    </row>
    <row r="69" spans="3:6" ht="26.25" customHeight="1" x14ac:dyDescent="0.2">
      <c r="C69" s="543"/>
      <c r="D69" s="254" t="s">
        <v>298</v>
      </c>
      <c r="E69" s="254" t="s">
        <v>616</v>
      </c>
    </row>
    <row r="70" spans="3:6" ht="26.25" customHeight="1" x14ac:dyDescent="0.2">
      <c r="C70" s="543"/>
      <c r="D70" s="254" t="s">
        <v>299</v>
      </c>
      <c r="E70" s="254" t="s">
        <v>614</v>
      </c>
    </row>
    <row r="71" spans="3:6" ht="26.25" customHeight="1" x14ac:dyDescent="0.2">
      <c r="C71" s="543"/>
      <c r="D71" s="254" t="s">
        <v>300</v>
      </c>
      <c r="E71" s="254" t="s">
        <v>615</v>
      </c>
    </row>
    <row r="72" spans="3:6" ht="15.75" customHeight="1" x14ac:dyDescent="0.2">
      <c r="C72" s="543"/>
      <c r="D72" s="254" t="s">
        <v>651</v>
      </c>
      <c r="E72" s="254" t="s">
        <v>301</v>
      </c>
    </row>
    <row r="73" spans="3:6" ht="15.75" customHeight="1" x14ac:dyDescent="0.2">
      <c r="C73" s="543"/>
      <c r="D73" s="254" t="s">
        <v>302</v>
      </c>
      <c r="E73" s="254" t="s">
        <v>303</v>
      </c>
    </row>
    <row r="74" spans="3:6" ht="15.75" customHeight="1" x14ac:dyDescent="0.2">
      <c r="C74" s="542"/>
      <c r="D74" s="252" t="s">
        <v>304</v>
      </c>
      <c r="E74" s="252" t="s">
        <v>305</v>
      </c>
    </row>
    <row r="75" spans="3:6" ht="15.75" customHeight="1" x14ac:dyDescent="0.2">
      <c r="C75" s="541" t="s">
        <v>306</v>
      </c>
      <c r="D75" s="251" t="s">
        <v>297</v>
      </c>
      <c r="E75" s="251" t="s">
        <v>307</v>
      </c>
    </row>
    <row r="76" spans="3:6" ht="15.75" customHeight="1" x14ac:dyDescent="0.2">
      <c r="C76" s="543"/>
      <c r="D76" s="254" t="s">
        <v>298</v>
      </c>
      <c r="E76" s="254" t="s">
        <v>308</v>
      </c>
    </row>
    <row r="77" spans="3:6" ht="15.75" customHeight="1" x14ac:dyDescent="0.2">
      <c r="C77" s="543"/>
      <c r="D77" s="254" t="s">
        <v>299</v>
      </c>
      <c r="E77" s="254" t="s">
        <v>309</v>
      </c>
    </row>
    <row r="78" spans="3:6" ht="15.75" customHeight="1" x14ac:dyDescent="0.2">
      <c r="C78" s="543"/>
      <c r="D78" s="254" t="s">
        <v>300</v>
      </c>
      <c r="E78" s="254" t="s">
        <v>310</v>
      </c>
    </row>
    <row r="79" spans="3:6" ht="15.75" customHeight="1" x14ac:dyDescent="0.2">
      <c r="C79" s="543"/>
      <c r="D79" s="254" t="s">
        <v>651</v>
      </c>
      <c r="E79" s="254" t="s">
        <v>311</v>
      </c>
    </row>
    <row r="80" spans="3:6" ht="15.75" customHeight="1" x14ac:dyDescent="0.2">
      <c r="C80" s="543"/>
      <c r="D80" s="254" t="s">
        <v>302</v>
      </c>
      <c r="E80" s="254" t="s">
        <v>312</v>
      </c>
    </row>
    <row r="81" spans="3:5" ht="15.75" customHeight="1" x14ac:dyDescent="0.2">
      <c r="C81" s="542"/>
      <c r="D81" s="252" t="s">
        <v>304</v>
      </c>
      <c r="E81" s="252" t="s">
        <v>313</v>
      </c>
    </row>
    <row r="82" spans="3:5" ht="15.75" customHeight="1" x14ac:dyDescent="0.2">
      <c r="C82" s="541" t="s">
        <v>314</v>
      </c>
      <c r="D82" s="251" t="s">
        <v>297</v>
      </c>
      <c r="E82" s="251" t="s">
        <v>183</v>
      </c>
    </row>
    <row r="83" spans="3:5" ht="15.75" customHeight="1" x14ac:dyDescent="0.2">
      <c r="C83" s="543"/>
      <c r="D83" s="254" t="s">
        <v>298</v>
      </c>
      <c r="E83" s="254" t="s">
        <v>185</v>
      </c>
    </row>
    <row r="84" spans="3:5" ht="15.75" customHeight="1" x14ac:dyDescent="0.2">
      <c r="C84" s="543"/>
      <c r="D84" s="254" t="s">
        <v>299</v>
      </c>
      <c r="E84" s="254" t="s">
        <v>223</v>
      </c>
    </row>
    <row r="85" spans="3:5" ht="15.75" customHeight="1" x14ac:dyDescent="0.2">
      <c r="C85" s="543"/>
      <c r="D85" s="254" t="s">
        <v>300</v>
      </c>
      <c r="E85" s="254" t="s">
        <v>186</v>
      </c>
    </row>
    <row r="86" spans="3:5" ht="15.75" customHeight="1" x14ac:dyDescent="0.2">
      <c r="C86" s="543"/>
      <c r="D86" s="254" t="s">
        <v>651</v>
      </c>
      <c r="E86" s="254" t="s">
        <v>108</v>
      </c>
    </row>
    <row r="87" spans="3:5" ht="15.75" customHeight="1" x14ac:dyDescent="0.2">
      <c r="C87" s="543"/>
      <c r="D87" s="254" t="s">
        <v>302</v>
      </c>
      <c r="E87" s="254" t="s">
        <v>115</v>
      </c>
    </row>
    <row r="88" spans="3:5" ht="15.75" customHeight="1" x14ac:dyDescent="0.2">
      <c r="C88" s="542"/>
      <c r="D88" s="252" t="s">
        <v>304</v>
      </c>
      <c r="E88" s="252" t="s">
        <v>122</v>
      </c>
    </row>
    <row r="89" spans="3:5" ht="15.75" customHeight="1" x14ac:dyDescent="0.2">
      <c r="C89" s="541" t="s">
        <v>315</v>
      </c>
      <c r="D89" s="541" t="s">
        <v>316</v>
      </c>
      <c r="E89" s="251" t="s">
        <v>317</v>
      </c>
    </row>
    <row r="90" spans="3:5" ht="15.75" customHeight="1" x14ac:dyDescent="0.2">
      <c r="C90" s="542"/>
      <c r="D90" s="542"/>
      <c r="E90" s="252" t="s">
        <v>318</v>
      </c>
    </row>
    <row r="91" spans="3:5" ht="15.75" customHeight="1" x14ac:dyDescent="0.2">
      <c r="C91" s="541" t="s">
        <v>319</v>
      </c>
      <c r="D91" s="541" t="s">
        <v>316</v>
      </c>
      <c r="E91" s="251" t="s">
        <v>320</v>
      </c>
    </row>
    <row r="92" spans="3:5" ht="15.75" customHeight="1" x14ac:dyDescent="0.2">
      <c r="C92" s="542"/>
      <c r="D92" s="542"/>
      <c r="E92" s="252" t="s">
        <v>321</v>
      </c>
    </row>
    <row r="93" spans="3:5" ht="15.75" customHeight="1" x14ac:dyDescent="0.2">
      <c r="C93" s="541" t="s">
        <v>322</v>
      </c>
      <c r="D93" s="541" t="s">
        <v>316</v>
      </c>
      <c r="E93" s="251" t="s">
        <v>323</v>
      </c>
    </row>
    <row r="94" spans="3:5" ht="15.75" customHeight="1" x14ac:dyDescent="0.2">
      <c r="C94" s="542"/>
      <c r="D94" s="542"/>
      <c r="E94" s="252" t="s">
        <v>324</v>
      </c>
    </row>
    <row r="95" spans="3:5" ht="30" customHeight="1" x14ac:dyDescent="0.2">
      <c r="C95" s="261" t="s">
        <v>613</v>
      </c>
      <c r="D95" s="394"/>
      <c r="E95" s="395"/>
    </row>
    <row r="98" spans="3:5" ht="18.75" customHeight="1" x14ac:dyDescent="0.25">
      <c r="C98" s="242" t="s">
        <v>598</v>
      </c>
    </row>
    <row r="99" spans="3:5" ht="18" customHeight="1" thickBot="1" x14ac:dyDescent="0.25"/>
    <row r="100" spans="3:5" ht="57.75" customHeight="1" x14ac:dyDescent="0.2">
      <c r="C100" s="397" t="s">
        <v>440</v>
      </c>
      <c r="D100" s="396" t="s">
        <v>441</v>
      </c>
      <c r="E100" s="396" t="s">
        <v>442</v>
      </c>
    </row>
    <row r="101" spans="3:5" x14ac:dyDescent="0.2">
      <c r="C101" s="251" t="s">
        <v>584</v>
      </c>
      <c r="D101" s="251" t="s">
        <v>599</v>
      </c>
      <c r="E101" s="251" t="s">
        <v>602</v>
      </c>
    </row>
    <row r="102" spans="3:5" x14ac:dyDescent="0.2">
      <c r="C102" s="254" t="s">
        <v>585</v>
      </c>
      <c r="D102" s="254" t="s">
        <v>600</v>
      </c>
      <c r="E102" s="254" t="s">
        <v>603</v>
      </c>
    </row>
    <row r="103" spans="3:5" x14ac:dyDescent="0.2">
      <c r="C103" s="254" t="s">
        <v>586</v>
      </c>
      <c r="D103" s="254" t="s">
        <v>601</v>
      </c>
      <c r="E103" s="254" t="s">
        <v>604</v>
      </c>
    </row>
    <row r="104" spans="3:5" x14ac:dyDescent="0.2">
      <c r="C104" s="254" t="s">
        <v>596</v>
      </c>
      <c r="D104" s="254" t="s">
        <v>605</v>
      </c>
      <c r="E104" s="254" t="s">
        <v>606</v>
      </c>
    </row>
    <row r="105" spans="3:5" x14ac:dyDescent="0.2">
      <c r="C105" s="252" t="s">
        <v>587</v>
      </c>
      <c r="D105" s="252" t="s">
        <v>607</v>
      </c>
      <c r="E105" s="252" t="s">
        <v>608</v>
      </c>
    </row>
  </sheetData>
  <mergeCells count="27">
    <mergeCell ref="C75:C81"/>
    <mergeCell ref="C31:C38"/>
    <mergeCell ref="C39:C46"/>
    <mergeCell ref="C47:C49"/>
    <mergeCell ref="D47:D49"/>
    <mergeCell ref="C50:C52"/>
    <mergeCell ref="D50:D52"/>
    <mergeCell ref="C66:C67"/>
    <mergeCell ref="D66:D67"/>
    <mergeCell ref="C53:C55"/>
    <mergeCell ref="D53:D55"/>
    <mergeCell ref="C93:C94"/>
    <mergeCell ref="D93:D94"/>
    <mergeCell ref="C10:C14"/>
    <mergeCell ref="C15:C18"/>
    <mergeCell ref="C19:C22"/>
    <mergeCell ref="C23:C30"/>
    <mergeCell ref="C68:C74"/>
    <mergeCell ref="C82:C88"/>
    <mergeCell ref="C89:C90"/>
    <mergeCell ref="D89:D90"/>
    <mergeCell ref="C91:C92"/>
    <mergeCell ref="D91:D92"/>
    <mergeCell ref="C62:C63"/>
    <mergeCell ref="D62:D63"/>
    <mergeCell ref="C64:C65"/>
    <mergeCell ref="D64:D65"/>
  </mergeCells>
  <pageMargins left="0.70866141732283472" right="0.70866141732283472" top="0.74803149606299213" bottom="0.74803149606299213" header="0.31496062992125984" footer="0.31496062992125984"/>
  <pageSetup paperSize="9" scale="61" fitToHeight="0" orientation="landscape" r:id="rId1"/>
  <headerFooter>
    <oddHeader>&amp;A</oddHeader>
    <oddFooter>&amp;L2016-17 Network Tariff Tables&amp;C&amp;P of &amp;N&amp;R&amp;D  &amp;T</oddFooter>
  </headerFooter>
  <rowBreaks count="1" manualBreakCount="1">
    <brk id="88"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SAC Small Tariff Rates</vt:lpstr>
      <vt:lpstr>SAC Large Tariff Rates</vt:lpstr>
      <vt:lpstr>CAC Tariff Rates</vt:lpstr>
      <vt:lpstr>SAC Unmetered Rates</vt:lpstr>
      <vt:lpstr>Additional MEG NTCs</vt:lpstr>
      <vt:lpstr>List of Network Tariff Codes</vt:lpstr>
      <vt:lpstr>'List of Network Tariff Codes'!_Hlk318882101</vt:lpstr>
      <vt:lpstr>'Additional MEG NTCs'!Print_Area</vt:lpstr>
      <vt:lpstr>'CAC Tariff Rates'!Print_Area</vt:lpstr>
      <vt:lpstr>'SAC Large Tariff Rates'!Print_Area</vt:lpstr>
      <vt:lpstr>'SAC Small Tariff Rates'!Print_Area</vt:lpstr>
      <vt:lpstr>'SAC Unmetered Rates'!Print_Area</vt:lpstr>
    </vt:vector>
  </TitlesOfParts>
  <Company>NORQEB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 Popham</dc:creator>
  <cp:lastModifiedBy>binksg</cp:lastModifiedBy>
  <cp:lastPrinted>2016-04-21T05:35:21Z</cp:lastPrinted>
  <dcterms:created xsi:type="dcterms:W3CDTF">2001-10-01T05:05:02Z</dcterms:created>
  <dcterms:modified xsi:type="dcterms:W3CDTF">2016-05-29T23:36:32Z</dcterms:modified>
</cp:coreProperties>
</file>