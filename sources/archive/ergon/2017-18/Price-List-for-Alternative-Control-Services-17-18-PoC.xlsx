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405" windowWidth="14400" windowHeight="11400"/>
  </bookViews>
  <sheets>
    <sheet name="ACS Price List" sheetId="1" r:id="rId1"/>
    <sheet name="ACS Tariff classes &amp; tariffs" sheetId="3" r:id="rId2"/>
    <sheet name="Rates by ProdCode" sheetId="5" r:id="rId3"/>
  </sheets>
  <externalReferences>
    <externalReference r:id="rId4"/>
  </externalReferences>
  <definedNames>
    <definedName name="_xlnm._FilterDatabase" localSheetId="0" hidden="1">'ACS Price List'!$A$12:$Q$180</definedName>
    <definedName name="_xlnm._FilterDatabase" localSheetId="2" hidden="1">'Rates by ProdCode'!$B$10:$I$362</definedName>
    <definedName name="_Hlk318882101" localSheetId="1">'ACS Tariff classes &amp; tariffs'!#REF!</definedName>
    <definedName name="_Order1" hidden="1">0</definedName>
    <definedName name="anscount" hidden="1">1</definedName>
    <definedName name="current_pricing_year">'[1]Model builder'!$E$23</definedName>
    <definedName name="JS_final_round">[1]JS!$C$25:$L$34</definedName>
    <definedName name="JS_final_round_C">[1]JS!$C$24:$L$24</definedName>
    <definedName name="limcount" hidden="1">1</definedName>
    <definedName name="_xlnm.Print_Area" localSheetId="0">'ACS Price List'!$A$5:$Q$181</definedName>
    <definedName name="_xlnm.Print_Titles" localSheetId="0">'ACS Price List'!$5:$13</definedName>
    <definedName name="ProdCodes">'ACS Price List'!$D$13:$G$180</definedName>
    <definedName name="sencount" hidden="1">1</definedName>
    <definedName name="Z_FB458C62_3D77_4EB6_93BC_1C1381A8DB8D_.wvu.PrintArea" localSheetId="0" hidden="1">'ACS Price List'!$A$5:$N$181</definedName>
    <definedName name="Z_FB458C62_3D77_4EB6_93BC_1C1381A8DB8D_.wvu.PrintTitles" localSheetId="0" hidden="1">'ACS Price List'!$5:$13</definedName>
    <definedName name="Z_FB458C62_3D77_4EB6_93BC_1C1381A8DB8D_.wvu.Rows" localSheetId="0" hidden="1">'ACS Price List'!$1:$2</definedName>
  </definedNames>
  <calcPr calcId="145621"/>
  <customWorkbookViews>
    <customWorkbookView name="ly002 - Personal View" guid="{FB458C62-3D77-4EB6-93BC-1C1381A8DB8D}" mergeInterval="0" personalView="1" maximized="1" windowWidth="1644" windowHeight="851" activeSheetId="1"/>
  </customWorkbookViews>
</workbook>
</file>

<file path=xl/calcChain.xml><?xml version="1.0" encoding="utf-8"?>
<calcChain xmlns="http://schemas.openxmlformats.org/spreadsheetml/2006/main">
  <c r="F338" i="5" l="1"/>
  <c r="F337" i="5"/>
  <c r="K3" i="5" l="1"/>
  <c r="I336" i="5"/>
  <c r="K336" i="5" s="1"/>
  <c r="F336" i="5"/>
  <c r="I335" i="5"/>
  <c r="K335" i="5" s="1"/>
  <c r="F335" i="5"/>
  <c r="I334" i="5"/>
  <c r="K334" i="5" s="1"/>
  <c r="F334" i="5"/>
  <c r="K2" i="5"/>
  <c r="K106" i="3"/>
  <c r="K105" i="3"/>
  <c r="K104" i="3"/>
  <c r="K103" i="3"/>
  <c r="K102" i="3"/>
  <c r="K101" i="3"/>
  <c r="K100" i="3"/>
  <c r="K99" i="3"/>
  <c r="K98" i="3"/>
  <c r="K97" i="3"/>
  <c r="U160" i="3"/>
  <c r="L3" i="5" l="1"/>
  <c r="F333" i="5" l="1"/>
  <c r="Q20" i="5"/>
  <c r="Q19" i="5"/>
  <c r="Q18" i="5"/>
  <c r="Q17" i="5"/>
  <c r="Q16" i="5"/>
  <c r="Q15" i="5"/>
  <c r="Q14" i="5"/>
  <c r="Q13" i="5"/>
  <c r="Q12" i="5"/>
  <c r="Q11" i="5"/>
  <c r="T20" i="5"/>
  <c r="T19" i="5"/>
  <c r="T18" i="5"/>
  <c r="T17" i="5"/>
  <c r="T16" i="5"/>
  <c r="T15" i="5"/>
  <c r="T14" i="5"/>
  <c r="T13" i="5"/>
  <c r="T12" i="5"/>
  <c r="T11" i="5"/>
  <c r="I362" i="5"/>
  <c r="K362" i="5" s="1"/>
  <c r="I361" i="5"/>
  <c r="K361" i="5" s="1"/>
  <c r="I360" i="5"/>
  <c r="K360" i="5" s="1"/>
  <c r="I359" i="5"/>
  <c r="K359" i="5" s="1"/>
  <c r="I358" i="5"/>
  <c r="K358" i="5" s="1"/>
  <c r="I357" i="5"/>
  <c r="K357" i="5" s="1"/>
  <c r="I356" i="5"/>
  <c r="K356" i="5" s="1"/>
  <c r="I355" i="5"/>
  <c r="K355" i="5" s="1"/>
  <c r="I338" i="5"/>
  <c r="K338" i="5" s="1"/>
  <c r="I337" i="5"/>
  <c r="K337" i="5" s="1"/>
  <c r="I333" i="5"/>
  <c r="K333" i="5" s="1"/>
  <c r="I332" i="5"/>
  <c r="K332" i="5" s="1"/>
  <c r="I331" i="5"/>
  <c r="K331" i="5" s="1"/>
  <c r="I330" i="5"/>
  <c r="K330" i="5" s="1"/>
  <c r="I329" i="5"/>
  <c r="K329" i="5" s="1"/>
  <c r="I328" i="5"/>
  <c r="K328" i="5" s="1"/>
  <c r="I327" i="5"/>
  <c r="K327" i="5" s="1"/>
  <c r="I326" i="5"/>
  <c r="K326" i="5" s="1"/>
  <c r="I325" i="5"/>
  <c r="K325" i="5" s="1"/>
  <c r="I324" i="5"/>
  <c r="K324" i="5" s="1"/>
  <c r="I323" i="5"/>
  <c r="K323" i="5" s="1"/>
  <c r="I322" i="5"/>
  <c r="K322" i="5" s="1"/>
  <c r="I321" i="5"/>
  <c r="K321" i="5" s="1"/>
  <c r="I320" i="5"/>
  <c r="K320" i="5" s="1"/>
  <c r="I319" i="5"/>
  <c r="K319" i="5" s="1"/>
  <c r="I318" i="5"/>
  <c r="K318" i="5" s="1"/>
  <c r="I312" i="5"/>
  <c r="K312" i="5" s="1"/>
  <c r="I311" i="5"/>
  <c r="K311" i="5" s="1"/>
  <c r="I310" i="5"/>
  <c r="K310" i="5" s="1"/>
  <c r="I309" i="5"/>
  <c r="K309" i="5" s="1"/>
  <c r="I308" i="5"/>
  <c r="K308" i="5" s="1"/>
  <c r="I307" i="5"/>
  <c r="K307" i="5" s="1"/>
  <c r="I306" i="5"/>
  <c r="K306" i="5" s="1"/>
  <c r="I305" i="5"/>
  <c r="K305" i="5" s="1"/>
  <c r="I304" i="5"/>
  <c r="K304" i="5" s="1"/>
  <c r="I303" i="5"/>
  <c r="K303" i="5" s="1"/>
  <c r="I302" i="5"/>
  <c r="K302" i="5" s="1"/>
  <c r="I301" i="5"/>
  <c r="K301" i="5" s="1"/>
  <c r="I300" i="5"/>
  <c r="K300" i="5" s="1"/>
  <c r="I299" i="5"/>
  <c r="K299" i="5" s="1"/>
  <c r="I298" i="5"/>
  <c r="K298" i="5" s="1"/>
  <c r="I297" i="5"/>
  <c r="K297" i="5" s="1"/>
  <c r="I296" i="5"/>
  <c r="K296" i="5" s="1"/>
  <c r="I295" i="5"/>
  <c r="K295" i="5" s="1"/>
  <c r="I294" i="5"/>
  <c r="K294" i="5" s="1"/>
  <c r="I293" i="5"/>
  <c r="K293" i="5" s="1"/>
  <c r="I287" i="5"/>
  <c r="K287" i="5" s="1"/>
  <c r="I286" i="5"/>
  <c r="K286" i="5" s="1"/>
  <c r="I285" i="5"/>
  <c r="K285" i="5" s="1"/>
  <c r="I284" i="5"/>
  <c r="K284" i="5" s="1"/>
  <c r="I283" i="5"/>
  <c r="K283" i="5" s="1"/>
  <c r="I282" i="5"/>
  <c r="K282" i="5" s="1"/>
  <c r="I281" i="5"/>
  <c r="K281" i="5" s="1"/>
  <c r="I280" i="5"/>
  <c r="K280" i="5" s="1"/>
  <c r="I279" i="5"/>
  <c r="K279" i="5" s="1"/>
  <c r="I278" i="5"/>
  <c r="K278" i="5" s="1"/>
  <c r="I277" i="5"/>
  <c r="K277" i="5" s="1"/>
  <c r="I276" i="5"/>
  <c r="K276" i="5" s="1"/>
  <c r="I275" i="5"/>
  <c r="K275" i="5" s="1"/>
  <c r="I274" i="5"/>
  <c r="K274" i="5" s="1"/>
  <c r="I273" i="5"/>
  <c r="K273" i="5" s="1"/>
  <c r="I272" i="5"/>
  <c r="K272" i="5" s="1"/>
  <c r="I271" i="5"/>
  <c r="K271" i="5" s="1"/>
  <c r="I270" i="5"/>
  <c r="K270" i="5" s="1"/>
  <c r="I269" i="5"/>
  <c r="K269" i="5" s="1"/>
  <c r="I268" i="5"/>
  <c r="K268" i="5" s="1"/>
  <c r="I262" i="5"/>
  <c r="K262" i="5" s="1"/>
  <c r="I261" i="5"/>
  <c r="K261" i="5" s="1"/>
  <c r="I260" i="5"/>
  <c r="K260" i="5" s="1"/>
  <c r="I259" i="5"/>
  <c r="K259" i="5" s="1"/>
  <c r="I258" i="5"/>
  <c r="K258" i="5" s="1"/>
  <c r="I257" i="5"/>
  <c r="K257" i="5" s="1"/>
  <c r="I256" i="5"/>
  <c r="K256" i="5" s="1"/>
  <c r="I255" i="5"/>
  <c r="K255" i="5" s="1"/>
  <c r="I254" i="5"/>
  <c r="K254" i="5" s="1"/>
  <c r="I253" i="5"/>
  <c r="K253" i="5" s="1"/>
  <c r="I252" i="5"/>
  <c r="K252" i="5" s="1"/>
  <c r="I251" i="5"/>
  <c r="K251" i="5" s="1"/>
  <c r="I250" i="5"/>
  <c r="K250" i="5" s="1"/>
  <c r="I249" i="5"/>
  <c r="K249" i="5" s="1"/>
  <c r="I248" i="5"/>
  <c r="K248" i="5" s="1"/>
  <c r="I247" i="5"/>
  <c r="K247" i="5" s="1"/>
  <c r="I246" i="5"/>
  <c r="K246" i="5" s="1"/>
  <c r="I245" i="5"/>
  <c r="K245" i="5" s="1"/>
  <c r="I244" i="5"/>
  <c r="K244" i="5" s="1"/>
  <c r="I243" i="5"/>
  <c r="K243" i="5" s="1"/>
  <c r="I242" i="5"/>
  <c r="K242" i="5" s="1"/>
  <c r="I241" i="5"/>
  <c r="K241" i="5" s="1"/>
  <c r="I240" i="5"/>
  <c r="K240" i="5" s="1"/>
  <c r="I239" i="5"/>
  <c r="K239" i="5" s="1"/>
  <c r="I238" i="5"/>
  <c r="K238" i="5" s="1"/>
  <c r="I237" i="5"/>
  <c r="K237" i="5" s="1"/>
  <c r="I236" i="5"/>
  <c r="K236" i="5" s="1"/>
  <c r="I235" i="5"/>
  <c r="K235" i="5" s="1"/>
  <c r="I234" i="5"/>
  <c r="K234" i="5" s="1"/>
  <c r="I231" i="5"/>
  <c r="K231" i="5" s="1"/>
  <c r="I230" i="5"/>
  <c r="K230" i="5" s="1"/>
  <c r="I229" i="5"/>
  <c r="K229" i="5" s="1"/>
  <c r="I228" i="5"/>
  <c r="K228" i="5" s="1"/>
  <c r="I227" i="5"/>
  <c r="K227" i="5" s="1"/>
  <c r="I226" i="5"/>
  <c r="K226" i="5" s="1"/>
  <c r="I222" i="5"/>
  <c r="K222" i="5" s="1"/>
  <c r="I221" i="5"/>
  <c r="K221" i="5" s="1"/>
  <c r="I220" i="5"/>
  <c r="K220" i="5" s="1"/>
  <c r="I219" i="5"/>
  <c r="K219" i="5" s="1"/>
  <c r="I218" i="5"/>
  <c r="K218" i="5" s="1"/>
  <c r="I217" i="5"/>
  <c r="K217" i="5" s="1"/>
  <c r="I216" i="5"/>
  <c r="K216" i="5" s="1"/>
  <c r="I215" i="5"/>
  <c r="K215" i="5" s="1"/>
  <c r="I214" i="5"/>
  <c r="K214" i="5" s="1"/>
  <c r="I213" i="5"/>
  <c r="K213" i="5" s="1"/>
  <c r="I212" i="5"/>
  <c r="K212" i="5" s="1"/>
  <c r="I211" i="5"/>
  <c r="K211" i="5" s="1"/>
  <c r="I210" i="5"/>
  <c r="K210" i="5" s="1"/>
  <c r="I209" i="5"/>
  <c r="K209" i="5" s="1"/>
  <c r="I208" i="5"/>
  <c r="K208" i="5" s="1"/>
  <c r="I207" i="5"/>
  <c r="K207" i="5" s="1"/>
  <c r="I206" i="5"/>
  <c r="K206" i="5" s="1"/>
  <c r="I205" i="5"/>
  <c r="K205" i="5" s="1"/>
  <c r="I204" i="5"/>
  <c r="K204" i="5" s="1"/>
  <c r="I203" i="5"/>
  <c r="K203" i="5" s="1"/>
  <c r="I202" i="5"/>
  <c r="K202" i="5" s="1"/>
  <c r="I201" i="5"/>
  <c r="K201" i="5" s="1"/>
  <c r="I200" i="5"/>
  <c r="K200" i="5" s="1"/>
  <c r="I199" i="5"/>
  <c r="K199" i="5" s="1"/>
  <c r="I198" i="5"/>
  <c r="K198" i="5" s="1"/>
  <c r="I197" i="5"/>
  <c r="K197" i="5" s="1"/>
  <c r="I192" i="5"/>
  <c r="K192" i="5" s="1"/>
  <c r="I191" i="5"/>
  <c r="K191" i="5" s="1"/>
  <c r="I190" i="5"/>
  <c r="K190" i="5" s="1"/>
  <c r="I189" i="5"/>
  <c r="K189" i="5" s="1"/>
  <c r="I187" i="5"/>
  <c r="K187" i="5" s="1"/>
  <c r="I186" i="5"/>
  <c r="K186" i="5" s="1"/>
  <c r="I185" i="5"/>
  <c r="K185" i="5" s="1"/>
  <c r="I184" i="5"/>
  <c r="K184" i="5" s="1"/>
  <c r="I183" i="5"/>
  <c r="K183" i="5" s="1"/>
  <c r="I178" i="5"/>
  <c r="K178" i="5" s="1"/>
  <c r="I177" i="5"/>
  <c r="K177" i="5" s="1"/>
  <c r="I176" i="5"/>
  <c r="K176" i="5" s="1"/>
  <c r="I175" i="5"/>
  <c r="K175" i="5" s="1"/>
  <c r="I173" i="5"/>
  <c r="K173" i="5" s="1"/>
  <c r="I172" i="5"/>
  <c r="K172" i="5" s="1"/>
  <c r="I171" i="5"/>
  <c r="K171" i="5" s="1"/>
  <c r="I170" i="5"/>
  <c r="K170" i="5" s="1"/>
  <c r="I169" i="5"/>
  <c r="K169" i="5" s="1"/>
  <c r="F362" i="5"/>
  <c r="F361" i="5"/>
  <c r="F360" i="5"/>
  <c r="F359" i="5"/>
  <c r="F358" i="5"/>
  <c r="F357" i="5"/>
  <c r="F356" i="5"/>
  <c r="F355" i="5"/>
  <c r="F354" i="5"/>
  <c r="F353" i="5"/>
  <c r="F352" i="5"/>
  <c r="F351" i="5"/>
  <c r="F350" i="5"/>
  <c r="F349" i="5"/>
  <c r="F348" i="5"/>
  <c r="F347" i="5"/>
  <c r="F346" i="5"/>
  <c r="F345" i="5"/>
  <c r="F344" i="5"/>
  <c r="F343" i="5"/>
  <c r="F342" i="5"/>
  <c r="F341" i="5"/>
  <c r="F340" i="5"/>
  <c r="F339"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24" i="3" l="1"/>
  <c r="G24" i="3"/>
  <c r="H24" i="3"/>
  <c r="K24" i="3"/>
  <c r="L24" i="3"/>
  <c r="O24" i="3"/>
  <c r="P24" i="3"/>
  <c r="F59" i="3"/>
  <c r="G59" i="3"/>
  <c r="H59" i="3"/>
  <c r="K59" i="3"/>
  <c r="L59" i="3"/>
  <c r="O59" i="3"/>
  <c r="P59"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96" i="3"/>
  <c r="K95" i="3"/>
  <c r="K94" i="3"/>
  <c r="K93" i="3"/>
  <c r="K92" i="3"/>
  <c r="K91" i="3"/>
  <c r="K90" i="3"/>
  <c r="K89" i="3"/>
  <c r="K88" i="3"/>
  <c r="K87" i="3"/>
  <c r="K86" i="3"/>
  <c r="K85" i="3"/>
  <c r="K84" i="3"/>
  <c r="K83" i="3"/>
  <c r="K82" i="3"/>
  <c r="K81" i="3"/>
  <c r="R135" i="3" l="1"/>
  <c r="Q135" i="3"/>
  <c r="J135" i="3"/>
  <c r="I135" i="3"/>
  <c r="H135" i="3"/>
  <c r="G135" i="3"/>
  <c r="F135" i="3"/>
  <c r="R109" i="3"/>
  <c r="Q109" i="3"/>
  <c r="P109" i="3"/>
  <c r="O109" i="3"/>
  <c r="J109" i="3"/>
  <c r="I109" i="3"/>
  <c r="H109" i="3"/>
  <c r="G109" i="3"/>
  <c r="F109" i="3"/>
  <c r="P56" i="3"/>
  <c r="O56" i="3"/>
  <c r="L56" i="3"/>
  <c r="K56" i="3"/>
  <c r="H56" i="3"/>
  <c r="G56" i="3"/>
  <c r="F56" i="3"/>
  <c r="P58" i="3"/>
  <c r="O58" i="3"/>
  <c r="L58" i="3"/>
  <c r="K58" i="3"/>
  <c r="H58" i="3"/>
  <c r="G58" i="3"/>
  <c r="F58" i="3"/>
  <c r="L80" i="3"/>
  <c r="K80" i="3"/>
  <c r="L79" i="3"/>
  <c r="K79" i="3"/>
  <c r="L78" i="3"/>
  <c r="K78" i="3"/>
  <c r="L77" i="3"/>
  <c r="K77" i="3"/>
  <c r="L76" i="3"/>
  <c r="K76" i="3"/>
  <c r="L75" i="3"/>
  <c r="K75" i="3"/>
  <c r="L74" i="3"/>
  <c r="K74" i="3"/>
  <c r="L73" i="3"/>
  <c r="K73" i="3"/>
  <c r="L72" i="3"/>
  <c r="K72" i="3"/>
  <c r="L71" i="3"/>
  <c r="K71" i="3"/>
  <c r="L70" i="3"/>
  <c r="K70" i="3"/>
  <c r="L69" i="3"/>
  <c r="K69" i="3"/>
  <c r="L68" i="3"/>
  <c r="K68" i="3"/>
  <c r="L67" i="3"/>
  <c r="K67" i="3"/>
  <c r="L66" i="3"/>
  <c r="K66" i="3"/>
  <c r="L65" i="3"/>
  <c r="K65" i="3"/>
  <c r="L64" i="3"/>
  <c r="K64" i="3"/>
  <c r="L63" i="3"/>
  <c r="K63" i="3"/>
  <c r="L62" i="3"/>
  <c r="K62" i="3"/>
  <c r="L61" i="3"/>
  <c r="K61" i="3"/>
  <c r="L60" i="3"/>
  <c r="K60" i="3"/>
  <c r="L57" i="3"/>
  <c r="K57" i="3"/>
  <c r="L55" i="3"/>
  <c r="K55" i="3"/>
  <c r="L54" i="3"/>
  <c r="K54" i="3"/>
  <c r="L53" i="3"/>
  <c r="K53" i="3"/>
  <c r="L52" i="3"/>
  <c r="K52" i="3"/>
  <c r="L51" i="3"/>
  <c r="K51" i="3"/>
  <c r="L50" i="3"/>
  <c r="K50" i="3"/>
  <c r="L49" i="3"/>
  <c r="K49" i="3"/>
  <c r="L48" i="3"/>
  <c r="K48" i="3"/>
  <c r="L47" i="3"/>
  <c r="K47" i="3"/>
  <c r="L46" i="3"/>
  <c r="K46" i="3"/>
  <c r="L45" i="3"/>
  <c r="K45" i="3"/>
  <c r="L44" i="3"/>
  <c r="K44" i="3"/>
  <c r="L43" i="3"/>
  <c r="K43" i="3"/>
  <c r="L42" i="3"/>
  <c r="K42" i="3"/>
  <c r="L41" i="3"/>
  <c r="K41" i="3"/>
  <c r="L40" i="3"/>
  <c r="K40" i="3"/>
  <c r="L39" i="3"/>
  <c r="K39" i="3"/>
  <c r="L38" i="3"/>
  <c r="K38" i="3"/>
  <c r="L37" i="3"/>
  <c r="K37" i="3"/>
  <c r="L36" i="3"/>
  <c r="K36" i="3"/>
  <c r="L35" i="3"/>
  <c r="K35" i="3"/>
  <c r="L34" i="3"/>
  <c r="K34" i="3"/>
  <c r="L33" i="3"/>
  <c r="K33" i="3"/>
  <c r="L32" i="3"/>
  <c r="K32" i="3"/>
  <c r="L31" i="3"/>
  <c r="K31" i="3"/>
  <c r="L30" i="3"/>
  <c r="K30" i="3"/>
  <c r="L29" i="3"/>
  <c r="K29" i="3"/>
  <c r="L28" i="3"/>
  <c r="K28" i="3"/>
  <c r="L27" i="3"/>
  <c r="K27" i="3"/>
  <c r="L26" i="3"/>
  <c r="K26" i="3"/>
  <c r="L25" i="3"/>
  <c r="K25" i="3"/>
  <c r="L23" i="3"/>
  <c r="K23" i="3"/>
  <c r="L22" i="3"/>
  <c r="K22" i="3"/>
  <c r="L21" i="3"/>
  <c r="K21" i="3"/>
  <c r="L20" i="3"/>
  <c r="K20" i="3"/>
  <c r="L19" i="3"/>
  <c r="K19" i="3"/>
  <c r="L18" i="3"/>
  <c r="K18" i="3"/>
  <c r="L17" i="3"/>
  <c r="K17" i="3"/>
  <c r="L15" i="3"/>
  <c r="K15" i="3"/>
  <c r="L14" i="3"/>
  <c r="K14" i="3"/>
  <c r="L13" i="3"/>
  <c r="K13" i="3"/>
  <c r="L12" i="3"/>
  <c r="K12" i="3"/>
  <c r="L11" i="3"/>
  <c r="K11" i="3"/>
  <c r="P80" i="3"/>
  <c r="O80" i="3"/>
  <c r="P79" i="3"/>
  <c r="O79" i="3"/>
  <c r="P78" i="3"/>
  <c r="O78" i="3"/>
  <c r="P77" i="3"/>
  <c r="O77" i="3"/>
  <c r="P76" i="3"/>
  <c r="O76" i="3"/>
  <c r="P75" i="3"/>
  <c r="O75" i="3"/>
  <c r="P74" i="3"/>
  <c r="O74" i="3"/>
  <c r="P73" i="3"/>
  <c r="O73" i="3"/>
  <c r="P72" i="3"/>
  <c r="O72" i="3"/>
  <c r="P71" i="3"/>
  <c r="O71" i="3"/>
  <c r="P70" i="3"/>
  <c r="O70" i="3"/>
  <c r="P69" i="3"/>
  <c r="O69" i="3"/>
  <c r="P68" i="3"/>
  <c r="O68" i="3"/>
  <c r="P67" i="3"/>
  <c r="O67" i="3"/>
  <c r="P66" i="3"/>
  <c r="O66" i="3"/>
  <c r="P65" i="3"/>
  <c r="O65" i="3"/>
  <c r="P64" i="3"/>
  <c r="O64" i="3"/>
  <c r="P63" i="3"/>
  <c r="O63" i="3"/>
  <c r="P62" i="3"/>
  <c r="O62" i="3"/>
  <c r="P61" i="3"/>
  <c r="O61" i="3"/>
  <c r="P60" i="3"/>
  <c r="O60" i="3"/>
  <c r="P57" i="3"/>
  <c r="O57" i="3"/>
  <c r="P55" i="3"/>
  <c r="O55" i="3"/>
  <c r="P54" i="3"/>
  <c r="O54" i="3"/>
  <c r="P53" i="3"/>
  <c r="O53" i="3"/>
  <c r="P52" i="3"/>
  <c r="O52" i="3"/>
  <c r="P51" i="3"/>
  <c r="O51" i="3"/>
  <c r="P23" i="3"/>
  <c r="O23" i="3"/>
  <c r="P21" i="3"/>
  <c r="O21" i="3"/>
  <c r="H23" i="3"/>
  <c r="G23" i="3"/>
  <c r="H21" i="3"/>
  <c r="G21" i="3"/>
  <c r="H22" i="3"/>
  <c r="G22" i="3"/>
  <c r="L16" i="3"/>
  <c r="K16" i="3"/>
  <c r="F21" i="3"/>
  <c r="F23" i="3" l="1"/>
  <c r="J157" i="3" l="1"/>
  <c r="I157" i="3"/>
  <c r="H157" i="3"/>
  <c r="G157" i="3"/>
  <c r="F157" i="3"/>
  <c r="J156" i="3"/>
  <c r="I156" i="3"/>
  <c r="H156" i="3"/>
  <c r="G156" i="3"/>
  <c r="F156" i="3"/>
  <c r="J155" i="3"/>
  <c r="I155" i="3"/>
  <c r="H155" i="3"/>
  <c r="G155" i="3"/>
  <c r="F155" i="3"/>
  <c r="J154" i="3"/>
  <c r="I154" i="3"/>
  <c r="H154" i="3"/>
  <c r="G154" i="3"/>
  <c r="F154" i="3"/>
  <c r="J153" i="3"/>
  <c r="I153" i="3"/>
  <c r="H153" i="3"/>
  <c r="G153" i="3"/>
  <c r="F153" i="3"/>
  <c r="J152" i="3"/>
  <c r="I152" i="3"/>
  <c r="H152" i="3"/>
  <c r="G152" i="3"/>
  <c r="F152" i="3"/>
  <c r="J151" i="3"/>
  <c r="I151" i="3"/>
  <c r="H151" i="3"/>
  <c r="G151" i="3"/>
  <c r="F151" i="3"/>
  <c r="J150" i="3"/>
  <c r="I150" i="3"/>
  <c r="H150" i="3"/>
  <c r="G150" i="3"/>
  <c r="F150" i="3"/>
  <c r="R149" i="3"/>
  <c r="Q149" i="3"/>
  <c r="P149" i="3"/>
  <c r="O149" i="3"/>
  <c r="R148" i="3"/>
  <c r="Q148" i="3"/>
  <c r="P148" i="3"/>
  <c r="O148" i="3"/>
  <c r="J147" i="3"/>
  <c r="I147" i="3"/>
  <c r="H147" i="3"/>
  <c r="G147" i="3"/>
  <c r="J146" i="3"/>
  <c r="I146" i="3"/>
  <c r="H146" i="3"/>
  <c r="G146" i="3"/>
  <c r="J145" i="3"/>
  <c r="I145" i="3"/>
  <c r="H145" i="3"/>
  <c r="G145" i="3"/>
  <c r="J144" i="3"/>
  <c r="I144" i="3"/>
  <c r="H144" i="3"/>
  <c r="G144" i="3"/>
  <c r="J143" i="3"/>
  <c r="I143" i="3"/>
  <c r="H143" i="3"/>
  <c r="G143" i="3"/>
  <c r="J142" i="3"/>
  <c r="I142" i="3"/>
  <c r="H142" i="3"/>
  <c r="G142" i="3"/>
  <c r="F149" i="3"/>
  <c r="F148" i="3"/>
  <c r="F147" i="3"/>
  <c r="F146" i="3"/>
  <c r="F145" i="3"/>
  <c r="F144" i="3"/>
  <c r="F143" i="3"/>
  <c r="F142" i="3"/>
  <c r="Q81" i="3"/>
  <c r="R81" i="3"/>
  <c r="R141" i="3"/>
  <c r="Q141" i="3"/>
  <c r="R140" i="3"/>
  <c r="Q140" i="3"/>
  <c r="R139" i="3"/>
  <c r="Q139" i="3"/>
  <c r="R138" i="3"/>
  <c r="Q138" i="3"/>
  <c r="R137" i="3"/>
  <c r="Q137" i="3"/>
  <c r="R136" i="3"/>
  <c r="Q136" i="3"/>
  <c r="R134" i="3"/>
  <c r="Q134" i="3"/>
  <c r="R133" i="3"/>
  <c r="Q133" i="3"/>
  <c r="R132" i="3"/>
  <c r="Q132" i="3"/>
  <c r="R131" i="3"/>
  <c r="Q131" i="3"/>
  <c r="R130" i="3"/>
  <c r="Q130" i="3"/>
  <c r="R129" i="3"/>
  <c r="Q129" i="3"/>
  <c r="R128" i="3"/>
  <c r="Q128" i="3"/>
  <c r="R127" i="3"/>
  <c r="Q127" i="3"/>
  <c r="R126" i="3"/>
  <c r="Q126" i="3"/>
  <c r="R125" i="3"/>
  <c r="Q125" i="3"/>
  <c r="R124" i="3"/>
  <c r="Q124" i="3"/>
  <c r="R123" i="3"/>
  <c r="Q123" i="3"/>
  <c r="R122" i="3"/>
  <c r="Q122" i="3"/>
  <c r="R121" i="3"/>
  <c r="Q121" i="3"/>
  <c r="R120" i="3"/>
  <c r="Q120" i="3"/>
  <c r="R119" i="3"/>
  <c r="Q119" i="3"/>
  <c r="R118" i="3"/>
  <c r="Q118" i="3"/>
  <c r="R117" i="3"/>
  <c r="Q117" i="3"/>
  <c r="P117" i="3"/>
  <c r="O117" i="3"/>
  <c r="R116" i="3"/>
  <c r="Q116" i="3"/>
  <c r="P116" i="3"/>
  <c r="O116" i="3"/>
  <c r="R115" i="3"/>
  <c r="Q115" i="3"/>
  <c r="R114" i="3"/>
  <c r="Q114" i="3"/>
  <c r="R113" i="3"/>
  <c r="Q113" i="3"/>
  <c r="R112" i="3"/>
  <c r="Q112" i="3"/>
  <c r="R111" i="3"/>
  <c r="Q111" i="3"/>
  <c r="R110" i="3"/>
  <c r="Q110" i="3"/>
  <c r="R108" i="3"/>
  <c r="Q108" i="3"/>
  <c r="P108" i="3"/>
  <c r="O108" i="3"/>
  <c r="R107" i="3"/>
  <c r="Q107" i="3"/>
  <c r="P107" i="3"/>
  <c r="O107" i="3"/>
  <c r="R106" i="3"/>
  <c r="Q106" i="3"/>
  <c r="R105" i="3"/>
  <c r="Q105" i="3"/>
  <c r="R104" i="3"/>
  <c r="Q104" i="3"/>
  <c r="R103" i="3"/>
  <c r="Q103" i="3"/>
  <c r="R102" i="3"/>
  <c r="Q102" i="3"/>
  <c r="R101" i="3"/>
  <c r="Q101" i="3"/>
  <c r="R100" i="3"/>
  <c r="Q100" i="3"/>
  <c r="R99" i="3"/>
  <c r="Q99" i="3"/>
  <c r="R98" i="3"/>
  <c r="Q98" i="3"/>
  <c r="R97" i="3"/>
  <c r="Q97" i="3"/>
  <c r="R96" i="3"/>
  <c r="Q96" i="3"/>
  <c r="R95" i="3"/>
  <c r="Q95" i="3"/>
  <c r="R94" i="3"/>
  <c r="Q94" i="3"/>
  <c r="R93" i="3"/>
  <c r="Q93" i="3"/>
  <c r="R92" i="3"/>
  <c r="Q92" i="3"/>
  <c r="R91" i="3"/>
  <c r="Q91" i="3"/>
  <c r="R90" i="3"/>
  <c r="Q90" i="3"/>
  <c r="R89" i="3"/>
  <c r="Q89" i="3"/>
  <c r="R88" i="3"/>
  <c r="Q88" i="3"/>
  <c r="R87" i="3"/>
  <c r="Q87" i="3"/>
  <c r="R86" i="3"/>
  <c r="Q86" i="3"/>
  <c r="R85" i="3"/>
  <c r="Q85" i="3"/>
  <c r="R84" i="3"/>
  <c r="Q84" i="3"/>
  <c r="R83" i="3"/>
  <c r="Q83" i="3"/>
  <c r="R82" i="3"/>
  <c r="Q82" i="3"/>
  <c r="P45" i="3"/>
  <c r="O45" i="3"/>
  <c r="P44" i="3"/>
  <c r="O44" i="3"/>
  <c r="P43" i="3"/>
  <c r="O43" i="3"/>
  <c r="P42" i="3"/>
  <c r="O42" i="3"/>
  <c r="P41" i="3"/>
  <c r="O41" i="3"/>
  <c r="P40" i="3"/>
  <c r="O40" i="3"/>
  <c r="P39" i="3"/>
  <c r="O39" i="3"/>
  <c r="P38" i="3"/>
  <c r="O38" i="3"/>
  <c r="P37" i="3"/>
  <c r="O37" i="3"/>
  <c r="P36" i="3"/>
  <c r="O36" i="3"/>
  <c r="P35" i="3"/>
  <c r="O35" i="3"/>
  <c r="P34" i="3"/>
  <c r="O34" i="3"/>
  <c r="P33" i="3"/>
  <c r="O33" i="3"/>
  <c r="P32" i="3"/>
  <c r="O32" i="3"/>
  <c r="P31" i="3"/>
  <c r="O31" i="3"/>
  <c r="P30" i="3"/>
  <c r="O30" i="3"/>
  <c r="P29" i="3"/>
  <c r="O29" i="3"/>
  <c r="P28" i="3"/>
  <c r="O28" i="3"/>
  <c r="P27" i="3"/>
  <c r="O27" i="3"/>
  <c r="P26" i="3"/>
  <c r="O26" i="3"/>
  <c r="P25" i="3"/>
  <c r="O25" i="3"/>
  <c r="P22" i="3"/>
  <c r="O22" i="3"/>
  <c r="P20" i="3"/>
  <c r="O20" i="3"/>
  <c r="P19" i="3"/>
  <c r="O19" i="3"/>
  <c r="P18" i="3"/>
  <c r="O18" i="3"/>
  <c r="P17" i="3"/>
  <c r="O17" i="3"/>
  <c r="P16" i="3"/>
  <c r="O16" i="3"/>
  <c r="P15" i="3"/>
  <c r="O15" i="3"/>
  <c r="P14" i="3"/>
  <c r="O14" i="3"/>
  <c r="P13" i="3"/>
  <c r="O13" i="3"/>
  <c r="P12" i="3"/>
  <c r="O12" i="3"/>
  <c r="P11" i="3"/>
  <c r="O11" i="3"/>
  <c r="J141" i="3"/>
  <c r="I141" i="3"/>
  <c r="H141" i="3"/>
  <c r="G141" i="3"/>
  <c r="J140" i="3"/>
  <c r="I140" i="3"/>
  <c r="H140" i="3"/>
  <c r="G140" i="3"/>
  <c r="J139" i="3"/>
  <c r="I139" i="3"/>
  <c r="H139" i="3"/>
  <c r="G139" i="3"/>
  <c r="J138" i="3"/>
  <c r="I138" i="3"/>
  <c r="H138" i="3"/>
  <c r="G138" i="3"/>
  <c r="J137" i="3"/>
  <c r="I137" i="3"/>
  <c r="H137" i="3"/>
  <c r="G137" i="3"/>
  <c r="J136" i="3"/>
  <c r="I136" i="3"/>
  <c r="H136" i="3"/>
  <c r="G136" i="3"/>
  <c r="J134" i="3"/>
  <c r="I134" i="3"/>
  <c r="H134" i="3"/>
  <c r="G134" i="3"/>
  <c r="J133" i="3"/>
  <c r="I133" i="3"/>
  <c r="H133" i="3"/>
  <c r="G133" i="3"/>
  <c r="J132" i="3"/>
  <c r="I132" i="3"/>
  <c r="H132" i="3"/>
  <c r="G132" i="3"/>
  <c r="J131" i="3"/>
  <c r="I131" i="3"/>
  <c r="H131" i="3"/>
  <c r="G131" i="3"/>
  <c r="J130" i="3"/>
  <c r="I130" i="3"/>
  <c r="H130" i="3"/>
  <c r="G130" i="3"/>
  <c r="J129" i="3"/>
  <c r="I129" i="3"/>
  <c r="H129" i="3"/>
  <c r="G129" i="3"/>
  <c r="J128" i="3"/>
  <c r="I128" i="3"/>
  <c r="H128" i="3"/>
  <c r="G128" i="3"/>
  <c r="J127" i="3"/>
  <c r="I127" i="3"/>
  <c r="H127" i="3"/>
  <c r="G127" i="3"/>
  <c r="J126" i="3"/>
  <c r="I126" i="3"/>
  <c r="H126" i="3"/>
  <c r="G126" i="3"/>
  <c r="J125" i="3"/>
  <c r="I125" i="3"/>
  <c r="H125" i="3"/>
  <c r="G125" i="3"/>
  <c r="J124" i="3"/>
  <c r="I124" i="3"/>
  <c r="H124" i="3"/>
  <c r="G124" i="3"/>
  <c r="J123" i="3"/>
  <c r="I123" i="3"/>
  <c r="H123" i="3"/>
  <c r="G123" i="3"/>
  <c r="J122" i="3"/>
  <c r="I122" i="3"/>
  <c r="H122" i="3"/>
  <c r="G122" i="3"/>
  <c r="J121" i="3"/>
  <c r="I121" i="3"/>
  <c r="H121" i="3"/>
  <c r="G121" i="3"/>
  <c r="J120" i="3"/>
  <c r="I120" i="3"/>
  <c r="H120" i="3"/>
  <c r="G120" i="3"/>
  <c r="J119" i="3"/>
  <c r="I119" i="3"/>
  <c r="H119" i="3"/>
  <c r="G119" i="3"/>
  <c r="J118" i="3"/>
  <c r="I118" i="3"/>
  <c r="H118" i="3"/>
  <c r="G118" i="3"/>
  <c r="J117" i="3"/>
  <c r="I117" i="3"/>
  <c r="H117" i="3"/>
  <c r="G117" i="3"/>
  <c r="J116" i="3"/>
  <c r="I116" i="3"/>
  <c r="H116" i="3"/>
  <c r="G116" i="3"/>
  <c r="J115" i="3"/>
  <c r="I115" i="3"/>
  <c r="H115" i="3"/>
  <c r="G115" i="3"/>
  <c r="J114" i="3"/>
  <c r="I114" i="3"/>
  <c r="H114" i="3"/>
  <c r="G114" i="3"/>
  <c r="J113" i="3"/>
  <c r="I113" i="3"/>
  <c r="H113" i="3"/>
  <c r="G113" i="3"/>
  <c r="J112" i="3"/>
  <c r="I112" i="3"/>
  <c r="H112" i="3"/>
  <c r="G112" i="3"/>
  <c r="J111" i="3"/>
  <c r="I111" i="3"/>
  <c r="H111" i="3"/>
  <c r="G111" i="3"/>
  <c r="J110" i="3"/>
  <c r="I110" i="3"/>
  <c r="H110" i="3"/>
  <c r="G110" i="3"/>
  <c r="J108" i="3"/>
  <c r="I108" i="3"/>
  <c r="H108" i="3"/>
  <c r="G108" i="3"/>
  <c r="J107" i="3"/>
  <c r="I107" i="3"/>
  <c r="H107" i="3"/>
  <c r="G107" i="3"/>
  <c r="J106" i="3"/>
  <c r="I106" i="3"/>
  <c r="H106" i="3"/>
  <c r="G106" i="3"/>
  <c r="J105" i="3"/>
  <c r="I105" i="3"/>
  <c r="H105" i="3"/>
  <c r="G105" i="3"/>
  <c r="J104" i="3"/>
  <c r="I104" i="3"/>
  <c r="H104" i="3"/>
  <c r="G104" i="3"/>
  <c r="J103" i="3"/>
  <c r="I103" i="3"/>
  <c r="H103" i="3"/>
  <c r="G103" i="3"/>
  <c r="J102" i="3"/>
  <c r="I102" i="3"/>
  <c r="H102" i="3"/>
  <c r="G102" i="3"/>
  <c r="J101" i="3"/>
  <c r="I101" i="3"/>
  <c r="H101" i="3"/>
  <c r="G101" i="3"/>
  <c r="J100" i="3"/>
  <c r="I100" i="3"/>
  <c r="H100" i="3"/>
  <c r="G100" i="3"/>
  <c r="J99" i="3"/>
  <c r="I99" i="3"/>
  <c r="H99" i="3"/>
  <c r="G99" i="3"/>
  <c r="J98" i="3"/>
  <c r="I98" i="3"/>
  <c r="H98" i="3"/>
  <c r="G98" i="3"/>
  <c r="J97" i="3"/>
  <c r="I97" i="3"/>
  <c r="H97" i="3"/>
  <c r="G97" i="3"/>
  <c r="J96" i="3"/>
  <c r="I96" i="3"/>
  <c r="H96" i="3"/>
  <c r="G96" i="3"/>
  <c r="J95" i="3"/>
  <c r="I95" i="3"/>
  <c r="H95" i="3"/>
  <c r="G95" i="3"/>
  <c r="J94" i="3"/>
  <c r="I94" i="3"/>
  <c r="H94" i="3"/>
  <c r="G94" i="3"/>
  <c r="J93" i="3"/>
  <c r="I93" i="3"/>
  <c r="H93" i="3"/>
  <c r="G93" i="3"/>
  <c r="J92" i="3"/>
  <c r="I92" i="3"/>
  <c r="H92" i="3"/>
  <c r="G92" i="3"/>
  <c r="J91" i="3"/>
  <c r="I91" i="3"/>
  <c r="H91" i="3"/>
  <c r="G91" i="3"/>
  <c r="J90" i="3"/>
  <c r="I90" i="3"/>
  <c r="H90" i="3"/>
  <c r="G90" i="3"/>
  <c r="J89" i="3"/>
  <c r="I89" i="3"/>
  <c r="H89" i="3"/>
  <c r="G89" i="3"/>
  <c r="J88" i="3"/>
  <c r="I88" i="3"/>
  <c r="H88" i="3"/>
  <c r="G88" i="3"/>
  <c r="J87" i="3"/>
  <c r="I87" i="3"/>
  <c r="H87" i="3"/>
  <c r="G87" i="3"/>
  <c r="J86" i="3"/>
  <c r="I86" i="3"/>
  <c r="H86" i="3"/>
  <c r="G86" i="3"/>
  <c r="J85" i="3"/>
  <c r="I85" i="3"/>
  <c r="H85" i="3"/>
  <c r="G85" i="3"/>
  <c r="J84" i="3"/>
  <c r="I84" i="3"/>
  <c r="H84" i="3"/>
  <c r="G84" i="3"/>
  <c r="J83" i="3"/>
  <c r="I83" i="3"/>
  <c r="H83" i="3"/>
  <c r="G83" i="3"/>
  <c r="J82" i="3"/>
  <c r="I82" i="3"/>
  <c r="H82" i="3"/>
  <c r="G82" i="3"/>
  <c r="J81" i="3"/>
  <c r="I81" i="3"/>
  <c r="H81" i="3"/>
  <c r="G81" i="3"/>
  <c r="G50" i="3"/>
  <c r="G49" i="3"/>
  <c r="G48" i="3"/>
  <c r="G47" i="3"/>
  <c r="G46" i="3"/>
  <c r="H80" i="3"/>
  <c r="G80" i="3"/>
  <c r="H79" i="3"/>
  <c r="G79" i="3"/>
  <c r="H78" i="3"/>
  <c r="G78" i="3"/>
  <c r="H77" i="3"/>
  <c r="G77" i="3"/>
  <c r="H76" i="3"/>
  <c r="G76" i="3"/>
  <c r="H75" i="3"/>
  <c r="G75" i="3"/>
  <c r="H74" i="3"/>
  <c r="G74" i="3"/>
  <c r="H73" i="3"/>
  <c r="G73" i="3"/>
  <c r="H72" i="3"/>
  <c r="G72" i="3"/>
  <c r="H71" i="3"/>
  <c r="G71" i="3"/>
  <c r="H70" i="3"/>
  <c r="G70" i="3"/>
  <c r="H69" i="3"/>
  <c r="G69" i="3"/>
  <c r="H68" i="3"/>
  <c r="G68" i="3"/>
  <c r="H67" i="3"/>
  <c r="G67" i="3"/>
  <c r="H66" i="3"/>
  <c r="G66" i="3"/>
  <c r="H65" i="3"/>
  <c r="G65" i="3"/>
  <c r="H64" i="3"/>
  <c r="G64" i="3"/>
  <c r="H63" i="3"/>
  <c r="G63" i="3"/>
  <c r="H62" i="3"/>
  <c r="G62" i="3"/>
  <c r="H61" i="3"/>
  <c r="G61" i="3"/>
  <c r="H60" i="3"/>
  <c r="G60" i="3"/>
  <c r="H57" i="3"/>
  <c r="G57" i="3"/>
  <c r="H55" i="3"/>
  <c r="G55" i="3"/>
  <c r="H54" i="3"/>
  <c r="G54" i="3"/>
  <c r="H53" i="3"/>
  <c r="G53" i="3"/>
  <c r="H52" i="3"/>
  <c r="G52" i="3"/>
  <c r="H51" i="3"/>
  <c r="G51" i="3"/>
  <c r="H50" i="3"/>
  <c r="H49" i="3"/>
  <c r="H48" i="3"/>
  <c r="H47" i="3"/>
  <c r="H46" i="3"/>
  <c r="H45" i="3"/>
  <c r="G45" i="3"/>
  <c r="H44" i="3"/>
  <c r="G44" i="3"/>
  <c r="H43" i="3"/>
  <c r="G43" i="3"/>
  <c r="H42" i="3"/>
  <c r="G42" i="3"/>
  <c r="H41" i="3"/>
  <c r="G41" i="3"/>
  <c r="H40" i="3"/>
  <c r="G40" i="3"/>
  <c r="H39" i="3"/>
  <c r="G39" i="3"/>
  <c r="H38" i="3"/>
  <c r="G38" i="3"/>
  <c r="H37" i="3"/>
  <c r="G37" i="3"/>
  <c r="H36" i="3"/>
  <c r="G36" i="3"/>
  <c r="H35" i="3"/>
  <c r="G35" i="3"/>
  <c r="H34" i="3"/>
  <c r="G34" i="3"/>
  <c r="H33" i="3"/>
  <c r="G33" i="3"/>
  <c r="H32" i="3"/>
  <c r="G32" i="3"/>
  <c r="H31" i="3"/>
  <c r="G31" i="3"/>
  <c r="H30" i="3"/>
  <c r="G30" i="3"/>
  <c r="H29" i="3"/>
  <c r="G29" i="3"/>
  <c r="H28" i="3"/>
  <c r="G28" i="3"/>
  <c r="H27" i="3"/>
  <c r="G27" i="3"/>
  <c r="H26" i="3"/>
  <c r="G26" i="3"/>
  <c r="H25" i="3"/>
  <c r="G25" i="3"/>
  <c r="H20" i="3"/>
  <c r="G20" i="3"/>
  <c r="H19" i="3"/>
  <c r="G19" i="3"/>
  <c r="H18" i="3"/>
  <c r="G18" i="3"/>
  <c r="H17" i="3"/>
  <c r="G17" i="3"/>
  <c r="H16" i="3"/>
  <c r="G16" i="3"/>
  <c r="H15" i="3"/>
  <c r="G15" i="3"/>
  <c r="H14" i="3"/>
  <c r="G14" i="3"/>
  <c r="H13" i="3"/>
  <c r="G13" i="3"/>
  <c r="H12" i="3"/>
  <c r="G12" i="3"/>
  <c r="H11" i="3"/>
  <c r="G11" i="3"/>
  <c r="F80" i="3"/>
  <c r="F79" i="3"/>
  <c r="F78" i="3"/>
  <c r="F77" i="3"/>
  <c r="F76" i="3"/>
  <c r="F75" i="3"/>
  <c r="F74" i="3"/>
  <c r="F73" i="3"/>
  <c r="F72" i="3"/>
  <c r="F71" i="3"/>
  <c r="F70" i="3"/>
  <c r="F69" i="3"/>
  <c r="F68" i="3"/>
  <c r="F67" i="3"/>
  <c r="F66" i="3"/>
  <c r="F65" i="3"/>
  <c r="F64" i="3"/>
  <c r="F63" i="3"/>
  <c r="F62" i="3"/>
  <c r="F61" i="3"/>
  <c r="F60" i="3"/>
  <c r="F45" i="3"/>
  <c r="F44" i="3"/>
  <c r="F43" i="3"/>
  <c r="F42" i="3"/>
  <c r="F41" i="3"/>
  <c r="F40" i="3"/>
  <c r="F39" i="3"/>
  <c r="F38" i="3"/>
  <c r="F37" i="3"/>
  <c r="F36" i="3"/>
  <c r="F35" i="3"/>
  <c r="F34" i="3"/>
  <c r="F33" i="3"/>
  <c r="F32" i="3"/>
  <c r="F31" i="3"/>
  <c r="F30" i="3"/>
  <c r="F29" i="3"/>
  <c r="F28" i="3"/>
  <c r="F27" i="3"/>
  <c r="F26" i="3"/>
  <c r="F25" i="3"/>
  <c r="U11" i="3" l="1"/>
  <c r="U142" i="3"/>
  <c r="U46" i="3"/>
  <c r="U81" i="3"/>
  <c r="U150" i="3"/>
  <c r="F124" i="3"/>
  <c r="U165" i="3" l="1"/>
  <c r="F141" i="3"/>
  <c r="F140" i="3"/>
  <c r="F139" i="3"/>
  <c r="F138" i="3"/>
  <c r="F137" i="3"/>
  <c r="F136" i="3"/>
  <c r="F134" i="3"/>
  <c r="F133" i="3"/>
  <c r="F132" i="3"/>
  <c r="F131" i="3"/>
  <c r="F130" i="3"/>
  <c r="F129" i="3"/>
  <c r="F128" i="3"/>
  <c r="F127" i="3"/>
  <c r="F126" i="3"/>
  <c r="F125" i="3"/>
  <c r="F123" i="3"/>
  <c r="F122" i="3"/>
  <c r="F121" i="3"/>
  <c r="F120" i="3"/>
  <c r="F119" i="3"/>
  <c r="F118" i="3"/>
  <c r="F117" i="3"/>
  <c r="F116" i="3"/>
  <c r="F115" i="3"/>
  <c r="F114" i="3"/>
  <c r="F113" i="3"/>
  <c r="F112" i="3"/>
  <c r="F111" i="3"/>
  <c r="F110" i="3"/>
  <c r="F108" i="3"/>
  <c r="F107" i="3"/>
  <c r="F106" i="3"/>
  <c r="F105" i="3"/>
  <c r="F104" i="3"/>
  <c r="F103" i="3"/>
  <c r="F102" i="3"/>
  <c r="F101" i="3"/>
  <c r="F100" i="3"/>
  <c r="F99" i="3"/>
  <c r="F98" i="3"/>
  <c r="F97" i="3"/>
  <c r="F57" i="3"/>
  <c r="F22" i="3"/>
  <c r="F55" i="3"/>
  <c r="F20" i="3"/>
  <c r="F54" i="3"/>
  <c r="F19" i="3"/>
  <c r="F53" i="3"/>
  <c r="F18" i="3"/>
  <c r="F96" i="3"/>
  <c r="F95" i="3"/>
  <c r="F94" i="3"/>
  <c r="F93" i="3"/>
  <c r="F92" i="3"/>
  <c r="F52" i="3"/>
  <c r="F17" i="3"/>
  <c r="F51" i="3"/>
  <c r="F16" i="3"/>
  <c r="F91" i="3"/>
  <c r="F90" i="3"/>
  <c r="F89" i="3"/>
  <c r="F88" i="3"/>
  <c r="F87" i="3"/>
  <c r="F86" i="3"/>
  <c r="F85" i="3"/>
  <c r="F84" i="3"/>
  <c r="F83" i="3"/>
  <c r="F82" i="3"/>
  <c r="F81" i="3"/>
  <c r="F46" i="3" l="1"/>
  <c r="F11" i="3"/>
  <c r="F12" i="3"/>
  <c r="F47" i="3"/>
  <c r="F48" i="3"/>
  <c r="F13" i="3"/>
  <c r="F50" i="3"/>
  <c r="F15" i="3"/>
  <c r="F49" i="3"/>
  <c r="F14" i="3"/>
  <c r="L171" i="1"/>
  <c r="J170" i="1" l="1"/>
  <c r="K168" i="1" l="1"/>
  <c r="K167" i="1"/>
  <c r="K164" i="1"/>
  <c r="K166" i="1"/>
  <c r="K169" i="1"/>
  <c r="K165" i="1"/>
  <c r="J168" i="1" l="1"/>
  <c r="J166" i="1"/>
  <c r="J165" i="1"/>
  <c r="L168" i="1" l="1"/>
  <c r="L165" i="1"/>
  <c r="L166" i="1"/>
  <c r="J173" i="1"/>
  <c r="J177" i="1"/>
  <c r="J180" i="1"/>
  <c r="J176" i="1"/>
  <c r="J179" i="1"/>
  <c r="J175" i="1"/>
  <c r="J178" i="1"/>
  <c r="J174" i="1"/>
  <c r="K173" i="1"/>
  <c r="K180" i="1"/>
  <c r="K179" i="1"/>
  <c r="K178" i="1"/>
  <c r="K177" i="1"/>
  <c r="K176" i="1"/>
  <c r="K175" i="1"/>
  <c r="K174" i="1"/>
  <c r="J169" i="1"/>
  <c r="J167" i="1"/>
  <c r="L174" i="1" l="1"/>
  <c r="L167" i="1"/>
  <c r="L175" i="1"/>
  <c r="L177" i="1"/>
  <c r="L169" i="1"/>
  <c r="L179" i="1"/>
  <c r="L173" i="1"/>
  <c r="L176" i="1"/>
  <c r="L178" i="1"/>
  <c r="L180" i="1"/>
  <c r="J164" i="1"/>
  <c r="L164" i="1" l="1"/>
  <c r="L83" i="1" l="1"/>
  <c r="I290" i="5"/>
  <c r="K290" i="5" s="1"/>
  <c r="I315" i="5"/>
  <c r="K315" i="5" s="1"/>
  <c r="J83" i="1"/>
  <c r="I265" i="5"/>
  <c r="K265" i="5" s="1"/>
  <c r="I225" i="5"/>
  <c r="K225" i="5" s="1"/>
  <c r="J81" i="1" l="1"/>
  <c r="I341" i="5"/>
  <c r="K341" i="5" s="1"/>
  <c r="I339" i="5"/>
  <c r="K339" i="5" s="1"/>
  <c r="J80" i="1"/>
  <c r="I263" i="5"/>
  <c r="K263" i="5" s="1"/>
  <c r="I223" i="5"/>
  <c r="K223" i="5" s="1"/>
  <c r="J82" i="1"/>
  <c r="I264" i="5"/>
  <c r="K264" i="5" s="1"/>
  <c r="I224" i="5"/>
  <c r="K224" i="5" s="1"/>
  <c r="L135" i="1" l="1"/>
  <c r="I317" i="5"/>
  <c r="K317" i="5" s="1"/>
  <c r="I292" i="5"/>
  <c r="K292" i="5" s="1"/>
  <c r="J134" i="1"/>
  <c r="I349" i="5"/>
  <c r="K349" i="5" s="1"/>
  <c r="I347" i="5"/>
  <c r="K347" i="5" s="1"/>
  <c r="L81" i="1"/>
  <c r="I345" i="5"/>
  <c r="K345" i="5" s="1"/>
  <c r="I343" i="5"/>
  <c r="K343" i="5" s="1"/>
  <c r="J135" i="1"/>
  <c r="I233" i="5"/>
  <c r="K233" i="5" s="1"/>
  <c r="I267" i="5"/>
  <c r="K267" i="5" s="1"/>
  <c r="L82" i="1"/>
  <c r="I314" i="5"/>
  <c r="K314" i="5" s="1"/>
  <c r="I289" i="5"/>
  <c r="K289" i="5" s="1"/>
  <c r="L134" i="1"/>
  <c r="I353" i="5"/>
  <c r="K353" i="5" s="1"/>
  <c r="I351" i="5"/>
  <c r="K351" i="5" s="1"/>
  <c r="L133" i="1"/>
  <c r="I316" i="5"/>
  <c r="K316" i="5" s="1"/>
  <c r="I291" i="5"/>
  <c r="K291" i="5" s="1"/>
  <c r="L80" i="1"/>
  <c r="I313" i="5"/>
  <c r="K313" i="5" s="1"/>
  <c r="I288" i="5"/>
  <c r="K288" i="5" s="1"/>
  <c r="L136" i="1"/>
  <c r="I352" i="5"/>
  <c r="K352" i="5" s="1"/>
  <c r="I354" i="5"/>
  <c r="K354" i="5" s="1"/>
  <c r="J133" i="1"/>
  <c r="I266" i="5"/>
  <c r="K266" i="5" s="1"/>
  <c r="I232" i="5"/>
  <c r="K232" i="5" s="1"/>
  <c r="J136" i="1"/>
  <c r="I348" i="5"/>
  <c r="K348" i="5" s="1"/>
  <c r="I350" i="5"/>
  <c r="K350" i="5" s="1"/>
  <c r="J84" i="1" l="1"/>
  <c r="I340" i="5"/>
  <c r="K340" i="5" s="1"/>
  <c r="I342" i="5"/>
  <c r="K342" i="5" s="1"/>
  <c r="L84" i="1"/>
  <c r="I344" i="5"/>
  <c r="K344" i="5" s="1"/>
  <c r="I346" i="5"/>
  <c r="K346" i="5" s="1"/>
  <c r="J113" i="1" l="1"/>
  <c r="I60" i="5"/>
  <c r="K60" i="5" s="1"/>
  <c r="I31" i="5"/>
  <c r="K31" i="5" s="1"/>
  <c r="L131" i="1"/>
  <c r="I182" i="5"/>
  <c r="K182" i="5" s="1"/>
  <c r="I196" i="5"/>
  <c r="K196" i="5" s="1"/>
  <c r="J129" i="1"/>
  <c r="I166" i="5"/>
  <c r="K166" i="5" s="1"/>
  <c r="I152" i="5"/>
  <c r="K152" i="5" s="1"/>
  <c r="L123" i="1"/>
  <c r="I128" i="5"/>
  <c r="K128" i="5" s="1"/>
  <c r="I99" i="5"/>
  <c r="K99" i="5" s="1"/>
  <c r="L127" i="1"/>
  <c r="I132" i="5"/>
  <c r="K132" i="5" s="1"/>
  <c r="I103" i="5"/>
  <c r="K103" i="5" s="1"/>
  <c r="J125" i="1"/>
  <c r="I72" i="5"/>
  <c r="K72" i="5" s="1"/>
  <c r="I43" i="5"/>
  <c r="K43" i="5" s="1"/>
  <c r="L129" i="1"/>
  <c r="I194" i="5"/>
  <c r="K194" i="5" s="1"/>
  <c r="I180" i="5"/>
  <c r="K180" i="5" s="1"/>
  <c r="L130" i="1"/>
  <c r="I181" i="5"/>
  <c r="K181" i="5" s="1"/>
  <c r="I195" i="5"/>
  <c r="K195" i="5" s="1"/>
  <c r="J127" i="1"/>
  <c r="I74" i="5"/>
  <c r="K74" i="5" s="1"/>
  <c r="I45" i="5"/>
  <c r="K45" i="5" s="1"/>
  <c r="J123" i="1"/>
  <c r="I70" i="5"/>
  <c r="K70" i="5" s="1"/>
  <c r="I41" i="5"/>
  <c r="K41" i="5" s="1"/>
  <c r="L125" i="1"/>
  <c r="I130" i="5"/>
  <c r="K130" i="5" s="1"/>
  <c r="I101" i="5"/>
  <c r="K101" i="5" s="1"/>
  <c r="J131" i="1"/>
  <c r="I154" i="5"/>
  <c r="K154" i="5" s="1"/>
  <c r="I168" i="5"/>
  <c r="K168" i="5" s="1"/>
  <c r="J130" i="1"/>
  <c r="I153" i="5"/>
  <c r="K153" i="5" s="1"/>
  <c r="I167" i="5"/>
  <c r="K167" i="5" s="1"/>
  <c r="L113" i="1"/>
  <c r="I118" i="5"/>
  <c r="K118" i="5" s="1"/>
  <c r="I89" i="5"/>
  <c r="K89" i="5" s="1"/>
  <c r="L118" i="1" l="1"/>
  <c r="I94" i="5"/>
  <c r="K94" i="5" s="1"/>
  <c r="I123" i="5"/>
  <c r="K123" i="5" s="1"/>
  <c r="L119" i="1"/>
  <c r="I124" i="5"/>
  <c r="K124" i="5" s="1"/>
  <c r="I95" i="5"/>
  <c r="K95" i="5" s="1"/>
  <c r="L122" i="1"/>
  <c r="I98" i="5"/>
  <c r="K98" i="5" s="1"/>
  <c r="I127" i="5"/>
  <c r="K127" i="5" s="1"/>
  <c r="J121" i="1"/>
  <c r="I68" i="5"/>
  <c r="K68" i="5" s="1"/>
  <c r="I39" i="5"/>
  <c r="K39" i="5" s="1"/>
  <c r="L124" i="1"/>
  <c r="I129" i="5"/>
  <c r="K129" i="5" s="1"/>
  <c r="I100" i="5"/>
  <c r="K100" i="5" s="1"/>
  <c r="J126" i="1"/>
  <c r="I44" i="5"/>
  <c r="K44" i="5" s="1"/>
  <c r="I73" i="5"/>
  <c r="K73" i="5" s="1"/>
  <c r="J117" i="1"/>
  <c r="I64" i="5"/>
  <c r="K64" i="5" s="1"/>
  <c r="I35" i="5"/>
  <c r="K35" i="5" s="1"/>
  <c r="L128" i="1"/>
  <c r="I193" i="5"/>
  <c r="K193" i="5" s="1"/>
  <c r="I179" i="5"/>
  <c r="K179" i="5" s="1"/>
  <c r="J116" i="1"/>
  <c r="I34" i="5"/>
  <c r="K34" i="5" s="1"/>
  <c r="I63" i="5"/>
  <c r="K63" i="5" s="1"/>
  <c r="L114" i="1"/>
  <c r="I90" i="5"/>
  <c r="K90" i="5" s="1"/>
  <c r="I119" i="5"/>
  <c r="K119" i="5" s="1"/>
  <c r="J118" i="1"/>
  <c r="I65" i="5"/>
  <c r="K65" i="5" s="1"/>
  <c r="I36" i="5"/>
  <c r="K36" i="5" s="1"/>
  <c r="J122" i="1"/>
  <c r="I69" i="5"/>
  <c r="K69" i="5" s="1"/>
  <c r="I40" i="5"/>
  <c r="K40" i="5" s="1"/>
  <c r="L120" i="1"/>
  <c r="I125" i="5"/>
  <c r="K125" i="5" s="1"/>
  <c r="I96" i="5"/>
  <c r="K96" i="5" s="1"/>
  <c r="J115" i="1"/>
  <c r="I62" i="5"/>
  <c r="K62" i="5" s="1"/>
  <c r="I33" i="5"/>
  <c r="K33" i="5" s="1"/>
  <c r="L117" i="1"/>
  <c r="I122" i="5"/>
  <c r="K122" i="5" s="1"/>
  <c r="I93" i="5"/>
  <c r="K93" i="5" s="1"/>
  <c r="J120" i="1"/>
  <c r="I38" i="5"/>
  <c r="K38" i="5" s="1"/>
  <c r="I67" i="5"/>
  <c r="K67" i="5" s="1"/>
  <c r="L116" i="1"/>
  <c r="I121" i="5"/>
  <c r="K121" i="5" s="1"/>
  <c r="I92" i="5"/>
  <c r="K92" i="5" s="1"/>
  <c r="J112" i="1"/>
  <c r="I30" i="5"/>
  <c r="K30" i="5" s="1"/>
  <c r="I59" i="5"/>
  <c r="K59" i="5" s="1"/>
  <c r="L121" i="1"/>
  <c r="I126" i="5"/>
  <c r="K126" i="5" s="1"/>
  <c r="I97" i="5"/>
  <c r="K97" i="5" s="1"/>
  <c r="L126" i="1"/>
  <c r="I102" i="5"/>
  <c r="K102" i="5" s="1"/>
  <c r="I131" i="5"/>
  <c r="K131" i="5" s="1"/>
  <c r="J119" i="1"/>
  <c r="I66" i="5"/>
  <c r="K66" i="5" s="1"/>
  <c r="I37" i="5"/>
  <c r="K37" i="5" s="1"/>
  <c r="L112" i="1"/>
  <c r="I117" i="5"/>
  <c r="K117" i="5" s="1"/>
  <c r="I88" i="5"/>
  <c r="K88" i="5" s="1"/>
  <c r="J128" i="1"/>
  <c r="I165" i="5"/>
  <c r="K165" i="5" s="1"/>
  <c r="I151" i="5"/>
  <c r="K151" i="5" s="1"/>
  <c r="J124" i="1"/>
  <c r="I42" i="5"/>
  <c r="K42" i="5" s="1"/>
  <c r="I71" i="5"/>
  <c r="K71" i="5" s="1"/>
  <c r="L115" i="1"/>
  <c r="I120" i="5"/>
  <c r="K120" i="5" s="1"/>
  <c r="I91" i="5"/>
  <c r="K91" i="5" s="1"/>
  <c r="J114" i="1"/>
  <c r="I61" i="5"/>
  <c r="K61" i="5" s="1"/>
  <c r="I32" i="5"/>
  <c r="K32" i="5" s="1"/>
  <c r="J111" i="1" l="1"/>
  <c r="I58" i="5"/>
  <c r="K58" i="5" s="1"/>
  <c r="I29" i="5"/>
  <c r="K29" i="5" s="1"/>
  <c r="L111" i="1"/>
  <c r="I116" i="5"/>
  <c r="K116" i="5" s="1"/>
  <c r="I87" i="5"/>
  <c r="K87" i="5" s="1"/>
  <c r="I12" i="5" l="1"/>
  <c r="K12" i="5" s="1"/>
  <c r="K17" i="1"/>
  <c r="J17" i="1"/>
  <c r="L17" i="1" s="1"/>
  <c r="I11" i="5" l="1"/>
  <c r="K11" i="5" s="1"/>
  <c r="J16" i="1"/>
  <c r="K16" i="1"/>
  <c r="I14" i="5" l="1"/>
  <c r="K14" i="5" s="1"/>
  <c r="J19" i="1"/>
  <c r="L19" i="1" s="1"/>
  <c r="K19" i="1"/>
  <c r="L16" i="1"/>
  <c r="K86" i="1"/>
  <c r="J86" i="1"/>
  <c r="L86" i="1" s="1"/>
  <c r="I24" i="5"/>
  <c r="K24" i="5" s="1"/>
  <c r="I13" i="5"/>
  <c r="K13" i="5" s="1"/>
  <c r="J18" i="1"/>
  <c r="L18" i="1" s="1"/>
  <c r="K18" i="1"/>
  <c r="I15" i="5"/>
  <c r="K15" i="5" s="1"/>
  <c r="K20" i="1"/>
  <c r="J20" i="1"/>
  <c r="L20" i="1" s="1"/>
  <c r="L62" i="1"/>
  <c r="L36" i="1"/>
  <c r="L40" i="1"/>
  <c r="L56" i="1"/>
  <c r="J102" i="1" l="1"/>
  <c r="I56" i="5"/>
  <c r="K56" i="5" s="1"/>
  <c r="I27" i="5"/>
  <c r="K27" i="5" s="1"/>
  <c r="J103" i="1"/>
  <c r="I149" i="5"/>
  <c r="K149" i="5" s="1"/>
  <c r="I163" i="5"/>
  <c r="K163" i="5" s="1"/>
  <c r="L68" i="1"/>
  <c r="I174" i="5"/>
  <c r="K174" i="5" s="1"/>
  <c r="I188" i="5"/>
  <c r="K188" i="5" s="1"/>
  <c r="J107" i="1"/>
  <c r="I150" i="5"/>
  <c r="K150" i="5" s="1"/>
  <c r="I164" i="5"/>
  <c r="K164" i="5" s="1"/>
  <c r="J94" i="1"/>
  <c r="I54" i="5"/>
  <c r="K54" i="5" s="1"/>
  <c r="I25" i="5"/>
  <c r="K25" i="5" s="1"/>
  <c r="J95" i="1"/>
  <c r="I161" i="5"/>
  <c r="K161" i="5" s="1"/>
  <c r="I147" i="5"/>
  <c r="K147" i="5" s="1"/>
  <c r="J99" i="1"/>
  <c r="I162" i="5"/>
  <c r="K162" i="5" s="1"/>
  <c r="I148" i="5"/>
  <c r="K148" i="5" s="1"/>
  <c r="L109" i="1"/>
  <c r="L101" i="1"/>
  <c r="L105" i="1"/>
  <c r="L97" i="1"/>
  <c r="L66" i="1" l="1"/>
  <c r="I110" i="5"/>
  <c r="K110" i="5" s="1"/>
  <c r="I81" i="5"/>
  <c r="K81" i="5" s="1"/>
  <c r="J59" i="1"/>
  <c r="I145" i="5"/>
  <c r="K145" i="5" s="1"/>
  <c r="I159" i="5"/>
  <c r="K159" i="5" s="1"/>
  <c r="J48" i="1"/>
  <c r="I18" i="5"/>
  <c r="K18" i="5" s="1"/>
  <c r="I48" i="5"/>
  <c r="K48" i="5" s="1"/>
  <c r="L35" i="1"/>
  <c r="I104" i="5"/>
  <c r="K104" i="5" s="1"/>
  <c r="I75" i="5"/>
  <c r="K75" i="5" s="1"/>
  <c r="J49" i="1"/>
  <c r="I157" i="5"/>
  <c r="K157" i="5" s="1"/>
  <c r="I143" i="5"/>
  <c r="K143" i="5" s="1"/>
  <c r="J65" i="1"/>
  <c r="I146" i="5"/>
  <c r="K146" i="5" s="1"/>
  <c r="I160" i="5"/>
  <c r="K160" i="5" s="1"/>
  <c r="J41" i="1"/>
  <c r="I134" i="5"/>
  <c r="K134" i="5" s="1"/>
  <c r="I133" i="5"/>
  <c r="K133" i="5" s="1"/>
  <c r="L55" i="1"/>
  <c r="I78" i="5"/>
  <c r="K78" i="5" s="1"/>
  <c r="I107" i="5"/>
  <c r="K107" i="5" s="1"/>
  <c r="J34" i="1"/>
  <c r="I141" i="5"/>
  <c r="K141" i="5" s="1"/>
  <c r="I155" i="5"/>
  <c r="K155" i="5" s="1"/>
  <c r="J38" i="1"/>
  <c r="I142" i="5"/>
  <c r="K142" i="5" s="1"/>
  <c r="I156" i="5"/>
  <c r="K156" i="5" s="1"/>
  <c r="J54" i="1"/>
  <c r="I158" i="5"/>
  <c r="K158" i="5" s="1"/>
  <c r="I144" i="5"/>
  <c r="K144" i="5" s="1"/>
  <c r="J106" i="1"/>
  <c r="I57" i="5"/>
  <c r="K57" i="5" s="1"/>
  <c r="I28" i="5"/>
  <c r="K28" i="5" s="1"/>
  <c r="J98" i="1"/>
  <c r="I26" i="5"/>
  <c r="K26" i="5" s="1"/>
  <c r="I55" i="5"/>
  <c r="K55" i="5" s="1"/>
  <c r="L96" i="1"/>
  <c r="I112" i="5"/>
  <c r="K112" i="5" s="1"/>
  <c r="I83" i="5"/>
  <c r="K83" i="5" s="1"/>
  <c r="L60" i="1"/>
  <c r="I108" i="5"/>
  <c r="K108" i="5" s="1"/>
  <c r="I79" i="5"/>
  <c r="K79" i="5" s="1"/>
  <c r="L51" i="1"/>
  <c r="L104" i="1" l="1"/>
  <c r="I114" i="5"/>
  <c r="K114" i="5" s="1"/>
  <c r="I85" i="5"/>
  <c r="K85" i="5" s="1"/>
  <c r="L108" i="1"/>
  <c r="I86" i="5"/>
  <c r="K86" i="5" s="1"/>
  <c r="I115" i="5"/>
  <c r="K115" i="5" s="1"/>
  <c r="J52" i="1"/>
  <c r="I138" i="5"/>
  <c r="K138" i="5" s="1"/>
  <c r="I137" i="5"/>
  <c r="K137" i="5" s="1"/>
  <c r="J57" i="1"/>
  <c r="I50" i="5"/>
  <c r="K50" i="5" s="1"/>
  <c r="I20" i="5"/>
  <c r="K20" i="5" s="1"/>
  <c r="J53" i="1"/>
  <c r="I49" i="5"/>
  <c r="K49" i="5" s="1"/>
  <c r="I19" i="5"/>
  <c r="K19" i="5" s="1"/>
  <c r="L100" i="1"/>
  <c r="I84" i="5"/>
  <c r="K84" i="5" s="1"/>
  <c r="I113" i="5"/>
  <c r="K113" i="5" s="1"/>
  <c r="J63" i="1"/>
  <c r="I22" i="5"/>
  <c r="K22" i="5" s="1"/>
  <c r="I52" i="5"/>
  <c r="K52" i="5" s="1"/>
  <c r="J64" i="1"/>
  <c r="I53" i="5"/>
  <c r="K53" i="5" s="1"/>
  <c r="I23" i="5"/>
  <c r="K23" i="5" s="1"/>
  <c r="L61" i="1"/>
  <c r="I109" i="5"/>
  <c r="K109" i="5" s="1"/>
  <c r="I80" i="5"/>
  <c r="K80" i="5" s="1"/>
  <c r="L41" i="1"/>
  <c r="I136" i="5"/>
  <c r="K136" i="5" s="1"/>
  <c r="I135" i="5"/>
  <c r="K135" i="5" s="1"/>
  <c r="L67" i="1"/>
  <c r="I82" i="5"/>
  <c r="K82" i="5" s="1"/>
  <c r="I111" i="5"/>
  <c r="K111" i="5" s="1"/>
  <c r="J37" i="1"/>
  <c r="I17" i="5"/>
  <c r="K17" i="5" s="1"/>
  <c r="I47" i="5"/>
  <c r="K47" i="5" s="1"/>
  <c r="L39" i="1"/>
  <c r="I105" i="5"/>
  <c r="K105" i="5" s="1"/>
  <c r="I76" i="5"/>
  <c r="K76" i="5" s="1"/>
  <c r="J58" i="1"/>
  <c r="I21" i="5"/>
  <c r="K21" i="5" s="1"/>
  <c r="I51" i="5"/>
  <c r="K51" i="5" s="1"/>
  <c r="J33" i="1" l="1"/>
  <c r="I46" i="5"/>
  <c r="K46" i="5" s="1"/>
  <c r="I16" i="5"/>
  <c r="K16" i="5" s="1"/>
  <c r="L52" i="1"/>
  <c r="I140" i="5"/>
  <c r="K140" i="5" s="1"/>
  <c r="I139" i="5"/>
  <c r="K139" i="5" s="1"/>
  <c r="L50" i="1" l="1"/>
  <c r="I106" i="5"/>
  <c r="K106" i="5" s="1"/>
  <c r="I77" i="5"/>
  <c r="K77" i="5" s="1"/>
</calcChain>
</file>

<file path=xl/sharedStrings.xml><?xml version="1.0" encoding="utf-8"?>
<sst xmlns="http://schemas.openxmlformats.org/spreadsheetml/2006/main" count="3550" uniqueCount="842">
  <si>
    <t>Ergon Energy Corporation Limited</t>
  </si>
  <si>
    <t>Ref</t>
  </si>
  <si>
    <t>Service</t>
  </si>
  <si>
    <t>Product Codes</t>
  </si>
  <si>
    <t>Urban</t>
  </si>
  <si>
    <t>Isolated</t>
  </si>
  <si>
    <t>GST Excl</t>
  </si>
  <si>
    <t>GST Incl</t>
  </si>
  <si>
    <t>TBSSPU</t>
  </si>
  <si>
    <t>TBSSPS</t>
  </si>
  <si>
    <t>TBSSPL</t>
  </si>
  <si>
    <t>TBSSPI</t>
  </si>
  <si>
    <t>TBSMPU</t>
  </si>
  <si>
    <t>TBSMPS</t>
  </si>
  <si>
    <t>TBSMPL</t>
  </si>
  <si>
    <t>TBSMPI</t>
  </si>
  <si>
    <t>REENBHU</t>
  </si>
  <si>
    <t>REENBHS</t>
  </si>
  <si>
    <t>REENBHL</t>
  </si>
  <si>
    <t>REENBHI</t>
  </si>
  <si>
    <t>REDDBHU</t>
  </si>
  <si>
    <t>REDDBHS</t>
  </si>
  <si>
    <t>REDDBHL</t>
  </si>
  <si>
    <t>REDDBHI</t>
  </si>
  <si>
    <t>DEENBHU</t>
  </si>
  <si>
    <t>DEENBHS</t>
  </si>
  <si>
    <t>DEENBHL</t>
  </si>
  <si>
    <t>DEENBHI</t>
  </si>
  <si>
    <t>As Quoted</t>
  </si>
  <si>
    <t>POA</t>
  </si>
  <si>
    <t>SUPABOLU</t>
  </si>
  <si>
    <t>SUPABOLS</t>
  </si>
  <si>
    <t>SUPABOLL</t>
  </si>
  <si>
    <t>SUPABOLI</t>
  </si>
  <si>
    <t>REENAHU</t>
  </si>
  <si>
    <t>REENAHS</t>
  </si>
  <si>
    <t>REENAHL</t>
  </si>
  <si>
    <t>REENAHI</t>
  </si>
  <si>
    <t>DEENAHU</t>
  </si>
  <si>
    <t>DEENAHS</t>
  </si>
  <si>
    <t>DEENAHL</t>
  </si>
  <si>
    <t>DEENAHI</t>
  </si>
  <si>
    <t>Notes</t>
  </si>
  <si>
    <t>Key:</t>
  </si>
  <si>
    <t>Pre-Connection Services</t>
  </si>
  <si>
    <t>Connection Services</t>
  </si>
  <si>
    <t>6-CF</t>
  </si>
  <si>
    <t>CFTBSSPU</t>
  </si>
  <si>
    <t>CFTBSSPS</t>
  </si>
  <si>
    <t>7-CF</t>
  </si>
  <si>
    <t>CFTBSSPL</t>
  </si>
  <si>
    <t>CFTBSSPI</t>
  </si>
  <si>
    <t>8-CF</t>
  </si>
  <si>
    <t>CFTBSMPU</t>
  </si>
  <si>
    <t>CFTBSMPS</t>
  </si>
  <si>
    <t>9-CF</t>
  </si>
  <si>
    <t>CFTBSMPL</t>
  </si>
  <si>
    <t>CFTBSMPI</t>
  </si>
  <si>
    <t>Post Connection Services</t>
  </si>
  <si>
    <t>10-CF</t>
  </si>
  <si>
    <t>CFSUPABOLU</t>
  </si>
  <si>
    <t>CFSUPABOLS</t>
  </si>
  <si>
    <t>11-CF</t>
  </si>
  <si>
    <t>CFSUPABOLL</t>
  </si>
  <si>
    <t>CFSUPABOLI</t>
  </si>
  <si>
    <t>12-CF</t>
  </si>
  <si>
    <t>CFDEENBHU</t>
  </si>
  <si>
    <t>CFDEENBHS</t>
  </si>
  <si>
    <t>13-CF</t>
  </si>
  <si>
    <t>CFDEENBHL</t>
  </si>
  <si>
    <t>CFDEENBHI</t>
  </si>
  <si>
    <t>14-CF</t>
  </si>
  <si>
    <t>CFREENBHU</t>
  </si>
  <si>
    <t>CFREENBHS</t>
  </si>
  <si>
    <t>15-CF</t>
  </si>
  <si>
    <t>CFREENBHL</t>
  </si>
  <si>
    <t>CFREENBHI</t>
  </si>
  <si>
    <t>16-CF</t>
  </si>
  <si>
    <t>CFREDDBHU</t>
  </si>
  <si>
    <t>CFREDDBHS</t>
  </si>
  <si>
    <t>17-CF</t>
  </si>
  <si>
    <t>CFREDDBHL</t>
  </si>
  <si>
    <t>CFREDDBHI</t>
  </si>
  <si>
    <t>Metering Services</t>
  </si>
  <si>
    <t>Public Lighting Services</t>
  </si>
  <si>
    <t>Default Metering Services</t>
  </si>
  <si>
    <t>EO&amp;O - Major</t>
  </si>
  <si>
    <t>EO&amp;O - Minor</t>
  </si>
  <si>
    <t>G&amp;EO - Major</t>
  </si>
  <si>
    <t>G&amp;EO - Minor</t>
  </si>
  <si>
    <t>MPOAU</t>
  </si>
  <si>
    <t>MPOAS</t>
  </si>
  <si>
    <t>MPOAL</t>
  </si>
  <si>
    <t>MPOAI</t>
  </si>
  <si>
    <t>TEMPDEENU</t>
  </si>
  <si>
    <t>TEMPDEENS</t>
  </si>
  <si>
    <t>TEMPDEENL</t>
  </si>
  <si>
    <t>TEMPDEENI</t>
  </si>
  <si>
    <t>LVSLDU</t>
  </si>
  <si>
    <t>LVSLDS</t>
  </si>
  <si>
    <t>LVSLDL</t>
  </si>
  <si>
    <t>HVSLDU</t>
  </si>
  <si>
    <t>HVSLDS</t>
  </si>
  <si>
    <t>HVSLDL</t>
  </si>
  <si>
    <t>HVSLDI</t>
  </si>
  <si>
    <t>SUPENHU</t>
  </si>
  <si>
    <t>SUPENHS</t>
  </si>
  <si>
    <t>SUPENHL</t>
  </si>
  <si>
    <t>SUPENHI</t>
  </si>
  <si>
    <t>Fixed fee applies</t>
  </si>
  <si>
    <t>Price on application</t>
  </si>
  <si>
    <t>ACSEOOMA</t>
  </si>
  <si>
    <t>ACSEOOMI</t>
  </si>
  <si>
    <t>ACSGEOMA</t>
  </si>
  <si>
    <t>ACSGEOMI</t>
  </si>
  <si>
    <t>EOOMAEXT</t>
  </si>
  <si>
    <t>EOOMIEXT</t>
  </si>
  <si>
    <t>GEOMAEXT</t>
  </si>
  <si>
    <t>GEOMIEXT</t>
  </si>
  <si>
    <t>Primary service - Non-capital</t>
  </si>
  <si>
    <t>Primary service - Capital</t>
  </si>
  <si>
    <t>Controlled load - Non-capital</t>
  </si>
  <si>
    <t>Controlled load - Capital</t>
  </si>
  <si>
    <t>ACSMNCC</t>
  </si>
  <si>
    <t>ACSMCC</t>
  </si>
  <si>
    <t>Fee Based Service</t>
  </si>
  <si>
    <t>Quoted Service</t>
  </si>
  <si>
    <t>Default Metering Service</t>
  </si>
  <si>
    <t>Public Lighting Service</t>
  </si>
  <si>
    <t>A supplementary daily charge that recovers the operating cost of Type 5 and 6 meters.  Applies to each secondary controlled load.</t>
  </si>
  <si>
    <t>A daily charge that recovers the operating cost of Type 5 and 6 meters.  Applies to the primary metering service.</t>
  </si>
  <si>
    <t>Supplementary daily charge</t>
  </si>
  <si>
    <t>Daily charge</t>
  </si>
  <si>
    <r>
      <t xml:space="preserve">Fixed fee applies, capped to maximum specified in Schedule 8 of </t>
    </r>
    <r>
      <rPr>
        <i/>
        <sz val="8"/>
        <rFont val="Arial"/>
        <family val="2"/>
      </rPr>
      <t>Electricity Regulation 2006</t>
    </r>
  </si>
  <si>
    <r>
      <t xml:space="preserve">Fixed fee applies, capped to UR/SR price as per Schedule 8 of </t>
    </r>
    <r>
      <rPr>
        <i/>
        <sz val="8"/>
        <rFont val="Arial"/>
        <family val="2"/>
      </rPr>
      <t>Electricity Regulation 2006</t>
    </r>
  </si>
  <si>
    <r>
      <t>Fixed fee applies, capped to maximum specified in Schedule 8 of</t>
    </r>
    <r>
      <rPr>
        <i/>
        <sz val="8"/>
        <rFont val="Arial"/>
        <family val="2"/>
      </rPr>
      <t xml:space="preserve"> Electricity Regulation 2006</t>
    </r>
  </si>
  <si>
    <t>LVSLDI</t>
  </si>
  <si>
    <t>66-CF</t>
  </si>
  <si>
    <t>CFDEENAHU</t>
  </si>
  <si>
    <t>CFDEENAHS</t>
  </si>
  <si>
    <t>CFDEENAHL</t>
  </si>
  <si>
    <t>CFDEENAHI</t>
  </si>
  <si>
    <t>67-CF</t>
  </si>
  <si>
    <t>CFREENAHU</t>
  </si>
  <si>
    <t>CFREENAHS</t>
  </si>
  <si>
    <t>CFREENAHL</t>
  </si>
  <si>
    <t>CFREENAHI</t>
  </si>
  <si>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a (lower) maximum price EECL is able to charge customers in EECL's supply area for these services. </t>
    </r>
  </si>
  <si>
    <t>A daily charge that recovers the capital cost of Type 5 and 6 meters installed before 1 July 2015.  Applies to the primary metering service.
This daily charge applies to customers with existing connections (before 1 July 2015) and new installations (on or after 1 July 2015).  It does not apply to meter replacements and additional meters required to accommodate additional tariffs other than controlled load.</t>
  </si>
  <si>
    <t>A supplementary daily charge that recovers the capital cost of Type 5 and 6 meters installed before 1 July 2015.  Applies to each secondary controlled load.
This daily charge applies to customers with existing connections (before 1 July 2015) and new installations (on or after 1 July 2015).  It does not apply to meter replacements and additional meters required to accommodate additional tariffs other than controlled load.</t>
  </si>
  <si>
    <t>Fixed fee applies, per light</t>
  </si>
  <si>
    <t>Embedded generation - Non-capital</t>
  </si>
  <si>
    <t>Embedded generation - Capital</t>
  </si>
  <si>
    <t>Meter replacements</t>
  </si>
  <si>
    <t>New meter installations</t>
  </si>
  <si>
    <t>19-CF</t>
  </si>
  <si>
    <t>20-CF</t>
  </si>
  <si>
    <t>21-CF</t>
  </si>
  <si>
    <t>22-CF</t>
  </si>
  <si>
    <t>23-CF</t>
  </si>
  <si>
    <t>24-CF</t>
  </si>
  <si>
    <t>25-CF</t>
  </si>
  <si>
    <t>26-CF</t>
  </si>
  <si>
    <t>Install replacement meter (Type 5 and 6) – Single phase – urban/short rural feeder</t>
  </si>
  <si>
    <t>Call out fee for installation of a replacement meter (Type 5 and 6) – Single phase – urban/short rural feeder</t>
  </si>
  <si>
    <t>Call out fee for installation of a replacement meter (Type 5 and 6) – Single phase – long rural/isolated feeder</t>
  </si>
  <si>
    <t>Install replacement meter (Type 5 and 6) – Dual element – urban/short rural feeder</t>
  </si>
  <si>
    <t>Call out fee for installation of a replacement meter (Type 5 and 6) – Dual element – urban/short rural feeder</t>
  </si>
  <si>
    <t>Install replacement meter (Type 5 and 6) –  Dual element – long rural/isolated feeder</t>
  </si>
  <si>
    <t>Call out fee for installation of a replacement meter (Type 5 and 6) – Dual element – long rural/isolated feeder</t>
  </si>
  <si>
    <t>Install replacement meter (Type 5 and 6) – Polyphase – urban/short rural feeder</t>
  </si>
  <si>
    <t>Call out fee for installation of a replacement meter (Type 5 and 6) – Polyphase – urban/short rural feeder</t>
  </si>
  <si>
    <t>Install replacement meter (Type 5 and 6) –  Polyphase – long rural/isolated feeder</t>
  </si>
  <si>
    <t>Call out fee for installation of a replacement meter (Type 5 and 6) – Polyphase – long rural/isolated feeder</t>
  </si>
  <si>
    <t>Install replacement meter (CT) – urban/short rural feeder</t>
  </si>
  <si>
    <t>Call out fee for installation of a replacement meter (CT) – urban/short rural feeder</t>
  </si>
  <si>
    <t xml:space="preserve">Install replacement meter (CT) – long rural/isolated feeder </t>
  </si>
  <si>
    <t>Call out fee for installation of a replacement meter (CT) – long rural/isolated feeder</t>
  </si>
  <si>
    <t>Auxiliary metering services</t>
  </si>
  <si>
    <t>74-CF</t>
  </si>
  <si>
    <t>75-CF</t>
  </si>
  <si>
    <t>Call out fee for special meter read</t>
  </si>
  <si>
    <t>Call out fee for meter test</t>
  </si>
  <si>
    <t>157-CF</t>
  </si>
  <si>
    <t>158-CF</t>
  </si>
  <si>
    <t>159-CF</t>
  </si>
  <si>
    <t>160-CF</t>
  </si>
  <si>
    <t>SPMTRRDU</t>
  </si>
  <si>
    <t>SPMTRRDS</t>
  </si>
  <si>
    <t>SPMTRRDL</t>
  </si>
  <si>
    <t>SPMTRRDI</t>
  </si>
  <si>
    <t>CFSPMTRRDU</t>
  </si>
  <si>
    <t>CFSPMTRRDS</t>
  </si>
  <si>
    <t>CFSPMTRRDL</t>
  </si>
  <si>
    <t>CFSPMTRRDI</t>
  </si>
  <si>
    <t>MTRTESTU</t>
  </si>
  <si>
    <t>MTRTESTS</t>
  </si>
  <si>
    <t>MTRTESTL</t>
  </si>
  <si>
    <t>MTRTESTI</t>
  </si>
  <si>
    <t>CFMTRTESTU</t>
  </si>
  <si>
    <t>CFMTRTESTS</t>
  </si>
  <si>
    <t>CFMTRTESTL</t>
  </si>
  <si>
    <t>CFMTRTESTI</t>
  </si>
  <si>
    <t>MTRINSPU</t>
  </si>
  <si>
    <t>MTRINSPS</t>
  </si>
  <si>
    <t>MTRINSPL</t>
  </si>
  <si>
    <t>MTRINSPI</t>
  </si>
  <si>
    <t>MOVEMTRU</t>
  </si>
  <si>
    <t>MOVEMTRS</t>
  </si>
  <si>
    <t>MOVEMTRL</t>
  </si>
  <si>
    <t>MOVEMTRI</t>
  </si>
  <si>
    <t>MTRREPU</t>
  </si>
  <si>
    <t>MTRREPS</t>
  </si>
  <si>
    <t>MTRREPL</t>
  </si>
  <si>
    <t>MTRREPI</t>
  </si>
  <si>
    <t>RMMTRU</t>
  </si>
  <si>
    <t>RMMTRS</t>
  </si>
  <si>
    <t>RMMTRL</t>
  </si>
  <si>
    <t>RMMTRI</t>
  </si>
  <si>
    <t>MTRSEALU</t>
  </si>
  <si>
    <t>MTRSEALS</t>
  </si>
  <si>
    <t>MTRSEALL</t>
  </si>
  <si>
    <t>MTRSEALI</t>
  </si>
  <si>
    <t>CHTSRAU</t>
  </si>
  <si>
    <t>CHTSRAS</t>
  </si>
  <si>
    <t>CHTSRAL</t>
  </si>
  <si>
    <t>CHTSRAI</t>
  </si>
  <si>
    <t>CHTARIFU</t>
  </si>
  <si>
    <t>CHTARIFS</t>
  </si>
  <si>
    <t>CHTARIFL</t>
  </si>
  <si>
    <t>CHTARIFI</t>
  </si>
  <si>
    <t>PRCDMTRU</t>
  </si>
  <si>
    <t>PRCDMTRS</t>
  </si>
  <si>
    <t>PRCDMTRL</t>
  </si>
  <si>
    <t>PRCDMTRI</t>
  </si>
  <si>
    <t>INMTRLDCU</t>
  </si>
  <si>
    <t>INMTRLDCS</t>
  </si>
  <si>
    <t>INMTRLDCL</t>
  </si>
  <si>
    <t>INMTRLDCI</t>
  </si>
  <si>
    <t>RMLDCRLU</t>
  </si>
  <si>
    <t>RMLDCRLS</t>
  </si>
  <si>
    <t>RMLDCRLL</t>
  </si>
  <si>
    <t>RMLDCRLI</t>
  </si>
  <si>
    <t>CHLDCRCU</t>
  </si>
  <si>
    <t>CHLDCRCS</t>
  </si>
  <si>
    <t>CHLDCRCL</t>
  </si>
  <si>
    <t>CHLDCRCI</t>
  </si>
  <si>
    <t>Ellipse Cost Code</t>
  </si>
  <si>
    <t>Short rural</t>
  </si>
  <si>
    <t>Long rural</t>
  </si>
  <si>
    <t>Urban/short rural feeder price</t>
  </si>
  <si>
    <t>Long rural/isolated feeder price</t>
  </si>
  <si>
    <t>AER classification</t>
  </si>
  <si>
    <t>Service description</t>
  </si>
  <si>
    <t>No Charge Product Code</t>
  </si>
  <si>
    <t>Ancillary Network Services</t>
  </si>
  <si>
    <t>CUSTAPTU</t>
  </si>
  <si>
    <t>CUSTAPTS</t>
  </si>
  <si>
    <t>CUSTAPTL</t>
  </si>
  <si>
    <t>CUSTAPTI</t>
  </si>
  <si>
    <t>NMSPU</t>
  </si>
  <si>
    <t>NMSPS</t>
  </si>
  <si>
    <t>CFNMSPU</t>
  </si>
  <si>
    <t>CFNMSPS</t>
  </si>
  <si>
    <t>NMSPL</t>
  </si>
  <si>
    <t>NMSPI</t>
  </si>
  <si>
    <t>CFNMSPL</t>
  </si>
  <si>
    <t>CFNMSPI</t>
  </si>
  <si>
    <t>NMPPU</t>
  </si>
  <si>
    <t>NMPPS</t>
  </si>
  <si>
    <t>NMPPL</t>
  </si>
  <si>
    <t>NMPPI</t>
  </si>
  <si>
    <t>NMCTPU</t>
  </si>
  <si>
    <t>NMCTPS</t>
  </si>
  <si>
    <t>NMCTPL</t>
  </si>
  <si>
    <t>NMCTPI</t>
  </si>
  <si>
    <t>ADSPATU</t>
  </si>
  <si>
    <t>ADSPATS</t>
  </si>
  <si>
    <t>ADSPATL</t>
  </si>
  <si>
    <t>ADSPATI</t>
  </si>
  <si>
    <t>ADPPATU</t>
  </si>
  <si>
    <t>ADPPATS</t>
  </si>
  <si>
    <t>ADPPATL</t>
  </si>
  <si>
    <t>ADPPATI</t>
  </si>
  <si>
    <t>Customer</t>
  </si>
  <si>
    <t>B2B
Retailer only</t>
  </si>
  <si>
    <t>NRMAHU</t>
  </si>
  <si>
    <t>NRMAHS</t>
  </si>
  <si>
    <t>NRMAHL</t>
  </si>
  <si>
    <t>NRMAHI</t>
  </si>
  <si>
    <t>ADCTATU</t>
  </si>
  <si>
    <t>ADCTATS</t>
  </si>
  <si>
    <t>ADCTATL</t>
  </si>
  <si>
    <t>ADCTATI</t>
  </si>
  <si>
    <t>APFSAC</t>
  </si>
  <si>
    <t>APFMEG</t>
  </si>
  <si>
    <t>APFMTA</t>
  </si>
  <si>
    <t>APFRED</t>
  </si>
  <si>
    <t>PPQA</t>
  </si>
  <si>
    <t>ASPRED</t>
  </si>
  <si>
    <t>106-CF</t>
  </si>
  <si>
    <t>Call out fee for Final Meter Read – urban/short rural feeder</t>
  </si>
  <si>
    <t>CFFMTRRDU</t>
  </si>
  <si>
    <t>107-CF</t>
  </si>
  <si>
    <t>Call out fee for Final Meter Read – long rural/isolated feeder</t>
  </si>
  <si>
    <t>CFFMTRRDL</t>
  </si>
  <si>
    <t>CFFMTRRDI</t>
  </si>
  <si>
    <t>CFFMTRRDS</t>
  </si>
  <si>
    <t xml:space="preserve">Install new meter (Type 5 and 6) –  Single phase – Primary </t>
  </si>
  <si>
    <t>Install new meter (Type 5 and 6) – Single phase –  Primary plus embedded generation</t>
  </si>
  <si>
    <t>Install new meter (Type 5 and 6) – Dual element – Primary plus controlled load</t>
  </si>
  <si>
    <t>Install new meter (Type 5 and 6) – Dual element – Primary plus controlled load plus embedded generation</t>
  </si>
  <si>
    <t>Install new meter (Type 5 and 6) – Polyphase – Primary</t>
  </si>
  <si>
    <t>Install new meter (Type 5 and 6) – Polyphase – Primary plus embedded generation</t>
  </si>
  <si>
    <t>Install new meter (CT) – Primary</t>
  </si>
  <si>
    <t>Install new meter (CT) – Primary plus embedded generation</t>
  </si>
  <si>
    <t xml:space="preserve">Install additional single phase meter for controlled load purposes </t>
  </si>
  <si>
    <t xml:space="preserve">Install additional polyphase meter for controlled load purposes </t>
  </si>
  <si>
    <t xml:space="preserve">Install additional meter (CT) for controlled load purposes </t>
  </si>
  <si>
    <t xml:space="preserve">Install additional single phase meter to accommodate additional tariffs other than controlled load </t>
  </si>
  <si>
    <t xml:space="preserve">Install additional polyphase meter to accommodate additional tariffs other than controlled load </t>
  </si>
  <si>
    <t xml:space="preserve">Install additional meter (CT) to accommodate additional tariffs other than controlled load </t>
  </si>
  <si>
    <t xml:space="preserve">Install new single phase meter to accommodate embedded generation installation </t>
  </si>
  <si>
    <t xml:space="preserve">Install new polyphase meter to accommodate embedded generation installation </t>
  </si>
  <si>
    <t xml:space="preserve">Install new meter (CT) to accommodate embedded generation installation </t>
  </si>
  <si>
    <t>Call out fee for install new meter (Type 5 and 6) - Single phase</t>
  </si>
  <si>
    <t>Call out fee for install new meter (Type 5 and 6) - Dual element</t>
  </si>
  <si>
    <t>CFNMDUALU</t>
  </si>
  <si>
    <t>CFNMDUALS</t>
  </si>
  <si>
    <t>CFNMDUALL</t>
  </si>
  <si>
    <t>CFNMDUALI</t>
  </si>
  <si>
    <t>Call out fee for install new meter (Type 5 and 6) - Polyphase</t>
  </si>
  <si>
    <t>CFNMTHREU</t>
  </si>
  <si>
    <t>CFNMTHRES</t>
  </si>
  <si>
    <t>CFNMTHREL</t>
  </si>
  <si>
    <t>CFNMTHREI</t>
  </si>
  <si>
    <t xml:space="preserve">Call out fee for install new meter (CT) </t>
  </si>
  <si>
    <t>CFNMCTU</t>
  </si>
  <si>
    <t>CFNMCTS</t>
  </si>
  <si>
    <t>CFNMCTL</t>
  </si>
  <si>
    <t>CFNMCTI</t>
  </si>
  <si>
    <t>Network Tariff Component</t>
  </si>
  <si>
    <t>Install replacement meter (Type 5 and 6) – Single phase – long rural/isolated feeder</t>
  </si>
  <si>
    <t>NMDPCLU</t>
  </si>
  <si>
    <t>NMDPCLS</t>
  </si>
  <si>
    <t>NMDPCLL</t>
  </si>
  <si>
    <t>NMDPCLI</t>
  </si>
  <si>
    <t>ADSPCLU</t>
  </si>
  <si>
    <t>ADSPCLS</t>
  </si>
  <si>
    <t>ADSPCLL</t>
  </si>
  <si>
    <t>ADSPCLI</t>
  </si>
  <si>
    <t>ADPPCLU</t>
  </si>
  <si>
    <t>ADPPCLS</t>
  </si>
  <si>
    <t>ADPPCLL</t>
  </si>
  <si>
    <t>ADPPCLI</t>
  </si>
  <si>
    <t>ADCTCLU</t>
  </si>
  <si>
    <t>ADCTCLS</t>
  </si>
  <si>
    <t>ADCTCLL</t>
  </si>
  <si>
    <t>ADCTCLI</t>
  </si>
  <si>
    <t>NMSPEGU</t>
  </si>
  <si>
    <t>NMSPEGS</t>
  </si>
  <si>
    <t>NMSPEGL</t>
  </si>
  <si>
    <t>NMSPEGI</t>
  </si>
  <si>
    <t>NMDPCLEGU</t>
  </si>
  <si>
    <t>NMDPCLEGS</t>
  </si>
  <si>
    <t>NMDPCLEGL</t>
  </si>
  <si>
    <t>NMDPCLEGI</t>
  </si>
  <si>
    <t>NMPPEGU</t>
  </si>
  <si>
    <t>NMPPEGS</t>
  </si>
  <si>
    <t>NMPPEGL</t>
  </si>
  <si>
    <t>NMPPEGI</t>
  </si>
  <si>
    <t>NMCTPEGU</t>
  </si>
  <si>
    <t>NMCTPEGS</t>
  </si>
  <si>
    <t>NMCTPEGL</t>
  </si>
  <si>
    <t>NMCTPEGI</t>
  </si>
  <si>
    <t>NSPAEGU</t>
  </si>
  <si>
    <t>NSPAEGS</t>
  </si>
  <si>
    <t>NSPAEGL</t>
  </si>
  <si>
    <t>NSPAEGI</t>
  </si>
  <si>
    <t>NPPAEGU</t>
  </si>
  <si>
    <t>NPPAEGS</t>
  </si>
  <si>
    <t>NPPAEGL</t>
  </si>
  <si>
    <t>NPPAEGI</t>
  </si>
  <si>
    <t>NCTAEGU</t>
  </si>
  <si>
    <t>NCTAEGS</t>
  </si>
  <si>
    <t>NCTAEGL</t>
  </si>
  <si>
    <t>NCTAEGI</t>
  </si>
  <si>
    <t>MSNGLU</t>
  </si>
  <si>
    <t>CFMSNGLU</t>
  </si>
  <si>
    <t>MSNGLS</t>
  </si>
  <si>
    <t>CFMSNGLS</t>
  </si>
  <si>
    <t>MSNGLL</t>
  </si>
  <si>
    <t>MSNGLI</t>
  </si>
  <si>
    <t>MDUALU</t>
  </si>
  <si>
    <t>MDUALS</t>
  </si>
  <si>
    <t>CFMDUALU</t>
  </si>
  <si>
    <t>CFMDUALS</t>
  </si>
  <si>
    <t>MDUALL</t>
  </si>
  <si>
    <t>MDUALI</t>
  </si>
  <si>
    <t>MTHREU</t>
  </si>
  <si>
    <t>MTHRES</t>
  </si>
  <si>
    <t>CFMTHREU</t>
  </si>
  <si>
    <t>CFMTHRES</t>
  </si>
  <si>
    <t>MTHREL</t>
  </si>
  <si>
    <t>MTHREI</t>
  </si>
  <si>
    <t>MCTU</t>
  </si>
  <si>
    <t>MCTS</t>
  </si>
  <si>
    <t>CFMCTU</t>
  </si>
  <si>
    <t>CFMCTS</t>
  </si>
  <si>
    <t>MCTL</t>
  </si>
  <si>
    <t>MCTI</t>
  </si>
  <si>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that long rural / isolated customers in EECL's supply area are only able to be charged for these services at the same rate as an urban / short rural customer. </t>
    </r>
  </si>
  <si>
    <t>GENCF</t>
  </si>
  <si>
    <t>Form "A" Required</t>
  </si>
  <si>
    <t>No</t>
  </si>
  <si>
    <t>Yes</t>
  </si>
  <si>
    <t>N/A</t>
  </si>
  <si>
    <r>
      <t xml:space="preserve">Fixed fee applies, capped to UR/SR price (to be consistent with Schedule 8 of </t>
    </r>
    <r>
      <rPr>
        <i/>
        <sz val="8"/>
        <rFont val="Arial"/>
        <family val="2"/>
      </rPr>
      <t>Electricity Regulation 2006</t>
    </r>
    <r>
      <rPr>
        <sz val="8"/>
        <rFont val="Arial"/>
        <family val="2"/>
      </rPr>
      <t>)</t>
    </r>
  </si>
  <si>
    <r>
      <t xml:space="preserve">Fixed fee applies, capped to the maximum price of the associated service (to be consistent with Schedule 8 of </t>
    </r>
    <r>
      <rPr>
        <i/>
        <sz val="8"/>
        <rFont val="Arial"/>
        <family val="2"/>
      </rPr>
      <t>Electricity Regulation 2006)</t>
    </r>
  </si>
  <si>
    <t>EO&amp;O - Major - Exit Fee</t>
  </si>
  <si>
    <t>EO&amp;O - Minor - Exit Fee</t>
  </si>
  <si>
    <t>G&amp;EO - Major - Exit Fee</t>
  </si>
  <si>
    <t>G&amp;EO - Minor - Exit Fee</t>
  </si>
  <si>
    <t>A daily charge (per light) that recovers costs related to the maintenance of public lighting assets (including emerging public lighting technology) gifted to Ergon Energy and thereafter maintained and operated by Ergon Energy.  Major public lights only.</t>
  </si>
  <si>
    <t>A daily charge (per light) that recovers costs related to the provision, construction and maintenance of public lighting assets (including emerging public lighting technology) owned and operated by Ergon Energy.  Major public lights only.</t>
  </si>
  <si>
    <t>A daily charge (per light) that recovers costs related to the provision, construction and maintenance of public lighting assets (including emerging public lighting technology) owned and operated by Ergon Energy.  Minor public lights only.</t>
  </si>
  <si>
    <t>A daily charge (per light) that recovers costs related to the maintenance of public lighting assets (including emerging public lighting technology) gifted to Ergon Energy and thereafter maintained and operated by Ergon Energy.  Minor public lights only.</t>
  </si>
  <si>
    <t>Exit fee payable (per light) when a customer requests a public light owned and operated by Ergon Energy to be scrapped before the end of its useful operational life.  Major public lights only.</t>
  </si>
  <si>
    <t>Exit fee payable (per light) when a customer requests a public light owned and operated by Ergon Energy to be scrapped before the end of its useful operational life.  Minor public lights only.</t>
  </si>
  <si>
    <t>Exit fee payable (per light) when a customer requests a public light gifted to and operated by Ergon Energy to be scrapped before the end of its useful operational life.  Major public lights only.</t>
  </si>
  <si>
    <t>Exit fee payable (per light) when a customer requests a public light gifted to and operated by Ergon Energy to be scrapped before the end of its useful operational life.  Minor public lights only.</t>
  </si>
  <si>
    <t>Depends on activity requested</t>
  </si>
  <si>
    <t>UNMTRSVCU</t>
  </si>
  <si>
    <t>UNMTRSVCS</t>
  </si>
  <si>
    <t>UNMTRSVCL</t>
  </si>
  <si>
    <t>UNMTRSVCI</t>
  </si>
  <si>
    <t>2017-18 Price List for Alternative Control Services</t>
  </si>
  <si>
    <t>Release 0.0  - 1 July 2017</t>
  </si>
  <si>
    <r>
      <t xml:space="preserve">Fixed fee applies (to be consistent with Schedule 8 of </t>
    </r>
    <r>
      <rPr>
        <i/>
        <sz val="8"/>
        <rFont val="Arial"/>
        <family val="2"/>
      </rPr>
      <t>Electricity Regulation 2006</t>
    </r>
    <r>
      <rPr>
        <sz val="8"/>
        <rFont val="Arial"/>
        <family val="2"/>
      </rPr>
      <t>)</t>
    </r>
  </si>
  <si>
    <t xml:space="preserve">                      Ergon Energy Corporation Limited</t>
  </si>
  <si>
    <t>Tariff class</t>
  </si>
  <si>
    <t>Tariff</t>
  </si>
  <si>
    <t xml:space="preserve">                      2017-18 ACS tariffs by tariff class</t>
  </si>
  <si>
    <t>Fee based services (urban/short rural)</t>
  </si>
  <si>
    <t>Fee based services (long rural/isolated)</t>
  </si>
  <si>
    <t>Quoted Services</t>
  </si>
  <si>
    <t>Service undertaken</t>
  </si>
  <si>
    <t>GENCF*</t>
  </si>
  <si>
    <t>Note:</t>
  </si>
  <si>
    <t>Application fee - Basic or standard connection</t>
  </si>
  <si>
    <t>Services associated with assessing an application requesting a connection to be made (or altered) between Ergon Energy's network and the customer’s installation, and the preparation of a compliant basic or standard connection offer.  
Applies to small customers classified as a Standard Asset Customer (SAC), as per Ergon Energy's pricing proposal.</t>
  </si>
  <si>
    <t>Application fee - Basic or standard connection - Micro-embedded generators</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</si>
  <si>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No technical assessment required.</t>
  </si>
  <si>
    <t>Application fee - Basic or standard connection - Micro-embedded generators - Technical assessment required</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</si>
  <si>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where a technical assessment is required to be undertaken by Ergon Energy.</t>
  </si>
  <si>
    <t>Application fee - Real estate development connection</t>
  </si>
  <si>
    <t>Services associated with assessing an application requesting a connection to be made between Ergon Energy's network and a real estate developer's installation, and the preparation of a compliant connection offer. 
Includes works carried out by contractors and/or Ergon Energy.</t>
  </si>
  <si>
    <t>Protection and Power Quality assessment prior to connection</t>
  </si>
  <si>
    <t>Evaluation of application protection design for completeness against engineering connection standard. Study of Power Quality issues including Flicker, Harmonics and DC voltage injection.</t>
  </si>
  <si>
    <t>Temporary connection, not in permanent position - single phase metered - urban/short rural feeders</t>
  </si>
  <si>
    <t>Call out fee for temporary connection, not in permanent position - single phase metered - urban/short rural feeders</t>
  </si>
  <si>
    <t>Temporary connection, not in permanent position - single phase metered - long rural/isolated feeders</t>
  </si>
  <si>
    <t>Call out fee for temporary connection, not in permanent position - single phase metered - long rural/isolated feeders</t>
  </si>
  <si>
    <t>Temporary connection, not in permanent position - multi phase metered - urban/short rural feeders</t>
  </si>
  <si>
    <t>Call out fee for temporary connection, not in permanent position - multi-phase metered - urban/short rural feeders</t>
  </si>
  <si>
    <t>Temporary connection, not in permanent position - multi phase metered - long rural/isolated feeders</t>
  </si>
  <si>
    <t>Call out fee for temporary connection, not in permanent position - multi-phase metered - long rural/isolated feeders</t>
  </si>
  <si>
    <t>Supply abolishment during business hours - urban/short rural feeders</t>
  </si>
  <si>
    <t>Call out fee for supply abolishment during business hours - urban/short rural feeders</t>
  </si>
  <si>
    <t>Supply abolishment during business hours - long rural/isolated feeders</t>
  </si>
  <si>
    <t>Call out fee for supply abolishment during business hours - long rural/isolated feeders</t>
  </si>
  <si>
    <t>De-energisation during business hours - urban/short rural feeders</t>
  </si>
  <si>
    <t>Retailer requests de-energisation of the customer's premises during business hours:
- where the de-energisation can be performed (e.g. pole, pillar or meter)
- Main switch sticker</t>
  </si>
  <si>
    <t>Call out fee for de-energisation during business hours - urban/short rural feeders</t>
  </si>
  <si>
    <t>De-energisation during business hours - long rural/isolated feeders</t>
  </si>
  <si>
    <t>Call out fee for de-energisation during business hours - long rural/isolated feeders</t>
  </si>
  <si>
    <t>Re-energisation during business hours - urban/short rural feeders</t>
  </si>
  <si>
    <t>Retailer requests re-energisation of customer's premises during business hours:
- after a physical disconnection and premises requires a visual examination
- following a main switch sticker</t>
  </si>
  <si>
    <t>Call out fee for re-energisation during business hours - urban/short rural feeders</t>
  </si>
  <si>
    <t>Re-energisation during business hours - long rural/isolated feeders</t>
  </si>
  <si>
    <t>Call out fee for re-energisation during business hours - long rural/isolated feeders</t>
  </si>
  <si>
    <t>Re-energisation during business hours - after de-energisation for debt - urban/short rural feeders</t>
  </si>
  <si>
    <t>Call out fee for re-energisation during business hours - after de-energisation for debt - urban/short rural feeders</t>
  </si>
  <si>
    <t>Re-energisation during business hours - after de-energisation for debt - long rural/isolated feeders</t>
  </si>
  <si>
    <t>Call out fee for re-energisation during business hours - after de-energisation for debt - long rural/isolated feeders</t>
  </si>
  <si>
    <t>Accreditation of alternative service providers - real estate developments</t>
  </si>
  <si>
    <t>Accreditation of service providers that meet competency criteria.
Applies to real estate developments.</t>
  </si>
  <si>
    <t xml:space="preserve">Application fee - Negotiated connection </t>
  </si>
  <si>
    <t>Services associated with assessing an application requesting a connection to be made (or altered) between Ergon Energy's network and the customer’s installation, and the costs associated with negotiating and preparing a negotiated connection offer.  
Applies to small customers classified as a Standard Asset Customer (SAC), as per Ergon Energy's pricing proposal, with the exception of micro-embedded generators.</t>
  </si>
  <si>
    <t>Application fee - Negotiated connection - Micro-embedded generators</t>
  </si>
  <si>
    <t>Services associated with assessing a micro-embedded generator application requesting a connection to be made (or altered) between Ergon Energy's network and the customer’s installation, and the costs associated with negotiating and preparing a negotiated connection offer.
Applies to micro-embedded generators only (a subset of SAC, as per Ergon Energy's pricing proposal).</t>
  </si>
  <si>
    <t>Application fee - Negotiated - Major customer connection</t>
  </si>
  <si>
    <t>Services associated with assessing a major customer connection application requesting a connection to be made (or altered) between Ergon Energy's network and the customer’s installation, and the costs associated with negotiating and preparing a compliant negotiated connection offer.
Applies to major customers classified as an Individually Calculated Customer (ICC), Connection Asset Customer (CAC) or Embedded Generator (EG), as per Ergon Energy's pricing proposal.</t>
  </si>
  <si>
    <t>Carrying out planning studies and analysis relating to connection applications</t>
  </si>
  <si>
    <t>Services associated with carrying out additional planning studies and analysis on the distribution system which are reasonably required to assess a small customer or real estate development connection application. Excludes planning studies and analysis that would otherwise be required for distributor purposes or for the efficient management of the shared network.
Applies to small customers classified as a Standard Asset Customer, as per Ergon Energy's pricing proposal (including micro-embedded generators), and real estate developers.</t>
  </si>
  <si>
    <t>Feasibility and concept scoping, including planning and design, for major customer connections</t>
  </si>
  <si>
    <t>Detailed design and advice for major customer connections for the selected (preferred) connection option. This includes shared network planning and design works incurred during the feasibility and concept scoping phases (i.e. before the connection offer has been accepted) (where applicable).</t>
  </si>
  <si>
    <t>Tender process</t>
  </si>
  <si>
    <t>Applies where Ergon Energy conducts a tender process on behalf of a connection applicant to procure connection services that can be provided by a third party, or where the connection applicant conducts a tender process and requires assistance from Ergon Energy</t>
  </si>
  <si>
    <t>Pre-connection site inspection</t>
  </si>
  <si>
    <t>Site inspection in order to determine nature of connection being sought</t>
  </si>
  <si>
    <t>Provision of site-specific connection information and advice</t>
  </si>
  <si>
    <t>Provision of site-specific connection advice, data and/or information on request (during the connection enquiry and/or connection application stage only).  For example:
- advice on project feasibility
- advice on whether augmentation would likely be required
- capacity information, including specific network capacity
- load profiles for load flow studies
- requests to review reports and designs prepared by external consultants, prior to lodgement of connection application
- additional or more detailed specification and design options.
Excludes information provided in planning reports/studies and project scopes.</t>
  </si>
  <si>
    <t>Preparation of preliminary designs and planning reports for major customer connections, including project scopes and estimates</t>
  </si>
  <si>
    <t xml:space="preserve">Initial specification and design outline for major customer connections.  Includes general evaluation and advice on asset ownership options, indicative estimates of viable connection options, and recommendation on the most suitable option.  </t>
  </si>
  <si>
    <t>Customer build, own and operate consultation services</t>
  </si>
  <si>
    <t>Provision of advice, design and specification on request to an applicant considering a build-own-operate asset ownership option for connection assets.</t>
  </si>
  <si>
    <t>Detailed enquiry response fee - embedded generation</t>
  </si>
  <si>
    <t xml:space="preserve">Costs associated with preparing a detailed enquiry response pursuant to Chapter 5 of the NER.
Applies to any embedded generation connection applicant that submits an enquiry under the connection process set out in Chapter 5 of the NER and seeks a detailed enquiry response.
</t>
  </si>
  <si>
    <t>Design and construction of connection assets for major customers</t>
  </si>
  <si>
    <t>Detailed design work and construction of connection assets after a connection offer has been made.
Applies to major customers classified as an Individually Calculated Customer (ICC), Connection Asset Customer (CAC) or Embedded Generator (EG) as per Ergon Energy's pricing proposal.</t>
  </si>
  <si>
    <t>Commissioning and energisation of major customer connections</t>
  </si>
  <si>
    <t>Includes:
- inspection and testing of connection assets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
Applies to major customers classified as an Individually Calculated Customer (ICC), Connection Asset Customer (CAC) or Embedded Generator (EG) as per Ergon Energy's pricing proposal.</t>
  </si>
  <si>
    <t>Design and construction for real estate developments</t>
  </si>
  <si>
    <t>Detailed design work and construction for a real estate development connection after a connection offer has been made.
Includes work associated with augmentation to the shared network which is directly attributable to the establishment or alteration of the real estate development connection</t>
  </si>
  <si>
    <t>Commissioning and energisation of real estate development connections</t>
  </si>
  <si>
    <t>Includes:
- inspection and testing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t>
  </si>
  <si>
    <t>Removal of network constraint for embedded generator</t>
  </si>
  <si>
    <t>Augmenting the network to remove a constraint faced by an embedded generator</t>
  </si>
  <si>
    <t>Move point of attachment - single/multi phase</t>
  </si>
  <si>
    <t>Re-arrange connection assets at customer's request</t>
  </si>
  <si>
    <t>Protection and Power Quality assessment after connection</t>
  </si>
  <si>
    <t>Investigation into Power Quality issues including Flicker, Harmonics and DC voltage injection.</t>
  </si>
  <si>
    <t>Temporary de-energisation - no dismantling</t>
  </si>
  <si>
    <t>Temporary de-energisation and re-energisation of supply at the service fuse to allow customer or contractor to work close - no dismantling of service required (i.e. no service line drop).</t>
  </si>
  <si>
    <t>LV Service line drop and replace - physical dismantling</t>
  </si>
  <si>
    <t xml:space="preserve">Temporary de-energisation and re-energisation of supply to allow customer or contractor to work close - the service will be physically dismantled or disconnected (e.g. overhead service dropped). </t>
  </si>
  <si>
    <t>HV Service line drop and replace</t>
  </si>
  <si>
    <t>Temporary de-energisation and re-energisation of supply to allow customer or contractor to work close - Isolate and earth</t>
  </si>
  <si>
    <t>Supply enhancement</t>
  </si>
  <si>
    <t>Provision of connection services above minimum requirements</t>
  </si>
  <si>
    <t>Upgrade from overhead to underground service</t>
  </si>
  <si>
    <t>Rectification of illegal connections or damage to overhead or underground service cables</t>
  </si>
  <si>
    <t>De-energisation after business hours</t>
  </si>
  <si>
    <t>Re-energisation after business hours</t>
  </si>
  <si>
    <t>Accreditation of alternative service providers - major customer connections</t>
  </si>
  <si>
    <t>Accreditation of service providers that meet competency criteria.
Applies to major customers classified as an Individually Calculated Customer (ICC), Connection Asset Customer (CAC) or Embedded Generator (EG) as per Ergon Energy's pricing proposal.</t>
  </si>
  <si>
    <t>Approval of third party design - major customer connections</t>
  </si>
  <si>
    <t>Review, inspection and auditing of design carried out by an alternative service provider prior to energisation.
Applies to major customers classified as an Individually Calculated Customer (ICC), Connection Asset Customer (CAC) or Embedded Generator (EG) as per Ergon Energy's pricing proposal.</t>
  </si>
  <si>
    <t>Approval of third party design - real estate developments</t>
  </si>
  <si>
    <t>Review, inspection and auditing of design carried out by an alternative service provider prior to energisation.
Applies to real estate developments.</t>
  </si>
  <si>
    <t>Construction audit - major customer connections</t>
  </si>
  <si>
    <t>Review, inspection and auditing of construction works carried out by an alternative service provider prior to energisation.
Applies to major customers classified as an Individually Calculated Customer (ICC), Connection Asset Customer (CAC) or Embedded Generator (EG) as per Ergon Energy's pricing proposal.</t>
  </si>
  <si>
    <t>Construction audit - real estate developments</t>
  </si>
  <si>
    <t>Review, inspection and auditing of construction works carried out by an alternative service provider prior to energisation.
Applies to real estate developments.</t>
  </si>
  <si>
    <t>Approval of third party materials</t>
  </si>
  <si>
    <t>Certification of non-approved materials (i.e. approval of non-approved materials to be used on Ergon Energy's network).</t>
  </si>
  <si>
    <t>Special meter read</t>
  </si>
  <si>
    <t>Meter test</t>
  </si>
  <si>
    <t>Meter inspection and investigation on request</t>
  </si>
  <si>
    <t>Metering alteration</t>
  </si>
  <si>
    <t>Exchange meter</t>
  </si>
  <si>
    <t>Type 5 to 7 non-standard metering services</t>
  </si>
  <si>
    <t>Removal of a meter (Type 5 &amp; 6)</t>
  </si>
  <si>
    <t>Meter re-seal</t>
  </si>
  <si>
    <t>Install new or replacement meter - after hours</t>
  </si>
  <si>
    <t>Change time switch</t>
  </si>
  <si>
    <t>Change to time switch setting</t>
  </si>
  <si>
    <t>Change tariff</t>
  </si>
  <si>
    <t>Reprogram card meters</t>
  </si>
  <si>
    <t>Install metering related load control</t>
  </si>
  <si>
    <t>Removal of load control device</t>
  </si>
  <si>
    <t>Remove load control relay or time clock on request</t>
  </si>
  <si>
    <t>Change load control relay channel</t>
  </si>
  <si>
    <t>Change load control relay channel at retailer, customer or other third party request that is not part of initial load control installation, nor part of standard asset maintenance or replacement.</t>
  </si>
  <si>
    <t>Services provided in relation to a Retailer of Last Resort (ROLR) event</t>
  </si>
  <si>
    <t>Services Ergon Energy provides when a ROLR event occurs</t>
  </si>
  <si>
    <t>Non-standard network data requests</t>
  </si>
  <si>
    <t>Customer requests provision of electricity network data requiring customised investigation, analysis or technical input (e.g. requests for pole assess information and zone substation data)</t>
  </si>
  <si>
    <t>Provision of services for approved unmetered supplies</t>
  </si>
  <si>
    <t>Provision of services, other than standard connection, for approved unmetered equipment, public telephones, traffic lights and public BBQs.
Includes attendance on site to verify a load change, following a customer request to increase or decrease the load of a network connected unmetered supply device.</t>
  </si>
  <si>
    <t>Removal/rearrangement of network assets</t>
  </si>
  <si>
    <t>Removal, relocation or rearrangement of network assets (other than connection assets) at customer request, that would not otherwise have been required for the efficient management of the network.</t>
  </si>
  <si>
    <t>Aerial markers</t>
  </si>
  <si>
    <t>Installation of aerial markers (or Powerlink Hazard Identifiers) on service lines</t>
  </si>
  <si>
    <t>Tiger tails</t>
  </si>
  <si>
    <t>Installation of covers on service lines</t>
  </si>
  <si>
    <t>Assessment for Non-Exporting embedded generator applications</t>
  </si>
  <si>
    <t>Services associated with assessing a generator on a customer's installation which will not be exporting into the distribution system.  Includes costs associated with preparing a Consent Agreement.</t>
  </si>
  <si>
    <t>Witness testing</t>
  </si>
  <si>
    <t>Witnessing of testing carried out at the customer's installation by the connection applicant where reasonably required or requested (e.g. as the result of the introduction of a parallel generator on a customer's installation)</t>
  </si>
  <si>
    <t>Removal/rearrangement of public lighting assets</t>
  </si>
  <si>
    <t>Relocation, rearrangement and removal of existing public light assets and energy efficient retrofit</t>
  </si>
  <si>
    <t>Daily charge, per light</t>
  </si>
  <si>
    <t>B2B Service Order Type</t>
  </si>
  <si>
    <t>De-energisation</t>
  </si>
  <si>
    <t>Re-energisation</t>
  </si>
  <si>
    <t>Product Code</t>
  </si>
  <si>
    <t>Feeder Category</t>
  </si>
  <si>
    <t>SR</t>
  </si>
  <si>
    <t>UR</t>
  </si>
  <si>
    <t>LR</t>
  </si>
  <si>
    <t>IS</t>
  </si>
  <si>
    <t xml:space="preserve">  Ergon Energy Corporation Limited</t>
  </si>
  <si>
    <t xml:space="preserve">  2017-18 ACS tariff rates by product code</t>
  </si>
  <si>
    <r>
      <t>Temporary connection, not in permanent position</t>
    </r>
    <r>
      <rPr>
        <sz val="8"/>
        <color rgb="FFFF0000"/>
        <rFont val="Arial"/>
        <family val="2"/>
      </rPr>
      <t xml:space="preserve"> </t>
    </r>
    <r>
      <rPr>
        <sz val="8"/>
        <rFont val="Arial"/>
        <family val="2"/>
      </rPr>
      <t>- multi phase metered - urban/short rural feeders</t>
    </r>
  </si>
  <si>
    <t xml:space="preserve">Work on metering equipment for temporary connection, not in permanent position - single phase or multi phase metered </t>
  </si>
  <si>
    <t>Work on metering equipment undertaken by Ergon Energy to accommodate a temporary connection.  
Note:  this service is only available for non-grid connected areas of our network (isolated feeders and the Mount Isa-Cloncurry supply network).</t>
  </si>
  <si>
    <t>MTBSU</t>
  </si>
  <si>
    <t>MTBSS</t>
  </si>
  <si>
    <t>MTBSL</t>
  </si>
  <si>
    <t>MTBSI</t>
  </si>
  <si>
    <t>MSUPABOLU</t>
  </si>
  <si>
    <t>MSUPABOLS</t>
  </si>
  <si>
    <t>MSUPABOLL</t>
  </si>
  <si>
    <t>MSUPABOLI</t>
  </si>
  <si>
    <t>A supplementary daily charge that recovers the operating cost of Type 5 and 6 meters.  Applies to all types of embedded generating units (with the exception of parallel generators that do not require the installation of a new meter).</t>
  </si>
  <si>
    <t>A supplementary daily charge that recovers the capital cost of Type 5 and 6 meters installed before 1 July 2015.  Applies to all types of embedded generating units (with the exception of parallel generators that do not require the installation of a new meter).
This daily charge applies to customers with existing connections (before 1 July 2015) and new installations (on or after 1 July 2015).  It does not apply to meter replacements and additional meters required to accommodate additional tariffs other than controlled load.</t>
  </si>
  <si>
    <t>Work on metering equipment for a post connection service, not covered by another metering service.</t>
  </si>
  <si>
    <t xml:space="preserve">Work on metering equipment undertaken by Ergon Energy in conjunction with a  post connection quoted service.  Only applies where this work is not covered by another metering service.
Note:  this service is only available where Ergon Energy is the Default Metering Co-ordinator or Responsible Person for the premises.
</t>
  </si>
  <si>
    <t>Decommissioning of metering equipment for supply abolishment</t>
  </si>
  <si>
    <t xml:space="preserve">Decommissioning of metering associated with a retailer request to abolish supply at a connection point.  
Note:  this service is only available where Ergon Energy is the default Metering Co-ordinator or Responsible Person for the premises.    
</t>
  </si>
  <si>
    <t>161-M</t>
  </si>
  <si>
    <t>162-M</t>
  </si>
  <si>
    <t>163-M</t>
  </si>
  <si>
    <t>Release 2.0  - 1 December 2017</t>
  </si>
  <si>
    <t>De-energisation after Business Hours</t>
  </si>
  <si>
    <t>Re-energisation after Business Hours</t>
  </si>
  <si>
    <t>Special Read 
Check Read</t>
  </si>
  <si>
    <t>CFMSNGLL</t>
  </si>
  <si>
    <t>CFMSNGLI</t>
  </si>
  <si>
    <t>CFMDUALL</t>
  </si>
  <si>
    <t>CFMDUALI</t>
  </si>
  <si>
    <t>CFMTHREL</t>
  </si>
  <si>
    <t>CFMTHREI</t>
  </si>
  <si>
    <t>CFMCTL</t>
  </si>
  <si>
    <t>CFMCTI</t>
  </si>
  <si>
    <t>Generic Call Out Fee - Metering Co-ordinator fault (quoted services only)</t>
  </si>
  <si>
    <t>GENCFMC</t>
  </si>
  <si>
    <t>Fixed fee applies, capped to UR/SR price as per Schedule 8 of Electricity Regulation 2006</t>
  </si>
  <si>
    <t>Fixed fee applies, capped to UR/SR price (to be consistent with Schedule 8 of Electricity Regulation 2006)</t>
  </si>
  <si>
    <t xml:space="preserve">Visual examination during business hours for remote re-energisation - urban/short rural feeders </t>
  </si>
  <si>
    <t xml:space="preserve">Visual examination during business hours for remote re-energisation - long rural/isolated feeders </t>
  </si>
  <si>
    <t xml:space="preserve">Visual examination during business hours for remote re-energisation - after de-energisation for debt - urban/short rural feeders </t>
  </si>
  <si>
    <t xml:space="preserve">Visual examination during business hours for remote re-energisation - after de-energisation for debt - long rural/isolated feeders </t>
  </si>
  <si>
    <t>VEREENBHU</t>
  </si>
  <si>
    <t>VEREENBHS</t>
  </si>
  <si>
    <t>VEREENBHL</t>
  </si>
  <si>
    <t>VEREENBHI</t>
  </si>
  <si>
    <t>VEREDDBHU</t>
  </si>
  <si>
    <t>VEREDDBHS</t>
  </si>
  <si>
    <t>VEREDDBHL</t>
  </si>
  <si>
    <t>VEREDDBHI</t>
  </si>
  <si>
    <t>17-VE</t>
  </si>
  <si>
    <t>16-VE</t>
  </si>
  <si>
    <t>15-VE</t>
  </si>
  <si>
    <t>14-VE</t>
  </si>
  <si>
    <t>92-CR</t>
  </si>
  <si>
    <t>Fixed fee applies, capped to maximum specified in Schedule 8 of Electricity Regulation 2006</t>
  </si>
  <si>
    <t>Primary Service</t>
  </si>
  <si>
    <t>Metering Component (MC Fee)</t>
  </si>
  <si>
    <t>(Call out fee)</t>
  </si>
  <si>
    <t>GENCF is a generic call out fee product code, which may be applied to certain Quoted Services.   Call outs may not be applicable for some quoted services.</t>
  </si>
  <si>
    <t>No service undertaken due to fault of another party 
(Call out fee)</t>
  </si>
  <si>
    <t>GENCFMC*</t>
  </si>
  <si>
    <t>67-VE</t>
  </si>
  <si>
    <t xml:space="preserve">Visual examination after business hours for remote re-energisation </t>
  </si>
  <si>
    <t>VEREENAHU</t>
  </si>
  <si>
    <t>VEREENAHS</t>
  </si>
  <si>
    <t>VEREENAHL</t>
  </si>
  <si>
    <t>VEREENAHI</t>
  </si>
  <si>
    <r>
      <t xml:space="preserve">GST Exclusive Rate </t>
    </r>
    <r>
      <rPr>
        <sz val="9"/>
        <color rgb="FFFFFFFF"/>
        <rFont val="Arial"/>
        <family val="2"/>
      </rPr>
      <t>(effective 1 Jul 2017)</t>
    </r>
  </si>
  <si>
    <r>
      <t xml:space="preserve">GST Exclusive Rate </t>
    </r>
    <r>
      <rPr>
        <sz val="9"/>
        <color rgb="FFFFFFFF"/>
        <rFont val="Arial"/>
        <family val="2"/>
      </rPr>
      <t>(effective 1 Dec 2017)</t>
    </r>
  </si>
  <si>
    <t>Customer or retailer requested appointments</t>
  </si>
  <si>
    <t>MC Fee: Supply abolishment during business hours - urban/short rural feeders</t>
  </si>
  <si>
    <t>MC Fee: Supply abolishment during business hours - long rural/isolated feeders</t>
  </si>
  <si>
    <t>Call out: Temporary connection, not in permanent position - single phase metered - urban/short rural feeders</t>
  </si>
  <si>
    <t>Call out: Temporary connection, not in permanent position - multi phase metered - urban/short rural feeders</t>
  </si>
  <si>
    <t>Call out: Supply abolishment during business hours - urban/short rural feeders</t>
  </si>
  <si>
    <t>Call out: De-energisation during business hours - urban/short rural feeders</t>
  </si>
  <si>
    <t>Call out: Re-energisation during business hours - urban/short rural feeders</t>
  </si>
  <si>
    <t>Call out: Re-energisation during business hours - after de-energisation for debt - urban/short rural feeders</t>
  </si>
  <si>
    <t>Call out: Install replacement meter (Type 5 and 6) – Single phase – urban/short rural feeder</t>
  </si>
  <si>
    <t>Call out: Install replacement meter (Type 5 and 6) – Dual element – urban/short rural feeder</t>
  </si>
  <si>
    <t>Call out: Install replacement meter (Type 5 and 6) – Polyphase – urban/short rural feeder</t>
  </si>
  <si>
    <t>Call out: Install replacement meter (CT) – urban/short rural feeder</t>
  </si>
  <si>
    <t xml:space="preserve">Call out: Install new meter (Type 5 and 6) –  Single phase – Primary </t>
  </si>
  <si>
    <t>Call out: Temporary connection, not in permanent position - single phase metered - long rural/isolated feeders</t>
  </si>
  <si>
    <t>Call out: Temporary connection, not in permanent position - multi phase metered - long rural/isolated feeders</t>
  </si>
  <si>
    <t>Call out: Supply abolishment during business hours - long rural/isolated feeders</t>
  </si>
  <si>
    <t>Call out: De-energisation during business hours - long rural/isolated feeders</t>
  </si>
  <si>
    <t>Call out: Re-energisation during business hours - long rural/isolated feeders</t>
  </si>
  <si>
    <t>Call out: Re-energisation during business hours - after de-energisation for debt - long rural/isolated feeders</t>
  </si>
  <si>
    <t>Call out: Install replacement meter (Type 5 and 6) – Single phase – long rural/isolated feeder</t>
  </si>
  <si>
    <t>Call out: Install replacement meter (Type 5 and 6) –  Dual element – long rural/isolated feeder</t>
  </si>
  <si>
    <t>Call out: Install replacement meter (Type 5 and 6) –  Polyphase – long rural/isolated feeder</t>
  </si>
  <si>
    <t xml:space="preserve">Call out: Install replacement meter (CT) – long rural/isolated feeder </t>
  </si>
  <si>
    <t>Generic Call Out Fee - customer/retailer fault (quoted services only)</t>
  </si>
  <si>
    <t>Work on metering equipment for a post connection service, not covered by another metering service (quoted services only)</t>
  </si>
  <si>
    <t>Call out: De-energisation after business hours</t>
  </si>
  <si>
    <t>Call out: Re-energisation after business hours</t>
  </si>
  <si>
    <t>Call out: Special meter read</t>
  </si>
  <si>
    <t>Call out: Meter test</t>
  </si>
  <si>
    <t>Call out: Install new meter (CT)</t>
  </si>
  <si>
    <t xml:space="preserve">Call out: Install new meter (CT) </t>
  </si>
  <si>
    <t xml:space="preserve">Call out: Install new meter (Type 5 and 6) – Dual element </t>
  </si>
  <si>
    <t>Call out: Install new meter (Type 5 and 6) – Dual element</t>
  </si>
  <si>
    <t>Call out: Install new meter (Type 5 and 6) –  Single phase</t>
  </si>
  <si>
    <t xml:space="preserve">Call out: Install new meter (Type 5 and 6) –  Single phase </t>
  </si>
  <si>
    <t xml:space="preserve">Call out: Install new meter (Type 5 and 6) – Polyphase </t>
  </si>
  <si>
    <t>Call out: Install new meter (Type 5 and 6) – Polyphase</t>
  </si>
  <si>
    <t>MC Fee: Temporary connection, not in permanent position -  single phase or multi phase metered - urban/short rural feeders</t>
  </si>
  <si>
    <t>MC Fee: Temporary connection, not in permanent position - single phase or multi phase metered - long rural/isolated feeders</t>
  </si>
  <si>
    <t>Table 1:  ACS tariffs billed per service</t>
  </si>
  <si>
    <t>Table 2:  ACS tariffs billed as network tariff component</t>
  </si>
  <si>
    <t>Billing unit</t>
  </si>
  <si>
    <t>Default Metering Services: Primary service - Non-capital</t>
  </si>
  <si>
    <t>Default Metering Services: Controlled load - Non-capital</t>
  </si>
  <si>
    <t>Default Metering Services: Controlled load - Capital</t>
  </si>
  <si>
    <t>Default Metering Services: Embedded generation - Non-capital</t>
  </si>
  <si>
    <t>Default Metering Services: Embedded generation - Capital</t>
  </si>
  <si>
    <t>Public Lighting Services: EO&amp;O - Major</t>
  </si>
  <si>
    <t>Public Lighting Services: G&amp;EO - Major</t>
  </si>
  <si>
    <t>Public Lighting Services: G&amp;EO - Minor</t>
  </si>
  <si>
    <t>dollars ($)</t>
  </si>
  <si>
    <t>dollars per day per meter ($/day/meter)</t>
  </si>
  <si>
    <t>dollars per day per light ($/day/light)</t>
  </si>
  <si>
    <r>
      <t xml:space="preserve">GST Exclusive Rate 
</t>
    </r>
    <r>
      <rPr>
        <sz val="9"/>
        <color rgb="FFFFFFFF"/>
        <rFont val="Arial"/>
        <family val="2"/>
      </rPr>
      <t>(effective 1 Jul 2017)</t>
    </r>
  </si>
  <si>
    <r>
      <t xml:space="preserve">GST Exclusive Rate 
</t>
    </r>
    <r>
      <rPr>
        <sz val="9"/>
        <color rgb="FFFFFFFF"/>
        <rFont val="Arial"/>
        <family val="2"/>
      </rPr>
      <t>(effective 1 Dec 2017)</t>
    </r>
  </si>
  <si>
    <t xml:space="preserve">Default Metering Services: Primary service - Capital </t>
  </si>
  <si>
    <t xml:space="preserve">Public Lighting Services: EO&amp;O - Minor </t>
  </si>
  <si>
    <t>Ref#</t>
  </si>
  <si>
    <t xml:space="preserve">Retailer or Metering Co-ordinator requests visual examination during business hours, prior to performing a remote re-energisation.  </t>
  </si>
  <si>
    <t>Metering Co-ordinator requested appointments</t>
  </si>
  <si>
    <t>Supply Service Works (SSW) - Establish Temporary Supply</t>
  </si>
  <si>
    <t>Supply Service Works (SSW) - Supply Abolishment</t>
  </si>
  <si>
    <t>Supply Service Works (SSW) - Supply Alteration</t>
  </si>
  <si>
    <t>Metering Service Works - Exchange Meter</t>
  </si>
  <si>
    <t>Metering Service Works -  Install Meter</t>
  </si>
  <si>
    <t>Metering Service Works (MSW) - Meter Investigation Test</t>
  </si>
  <si>
    <t>Metering Service Works (MSW) - Meter Investigation Inspect</t>
  </si>
  <si>
    <t>Metering Service Works (MSW) - Move Meter</t>
  </si>
  <si>
    <t>Metering Service Works (MSW) - Exchange Meter</t>
  </si>
  <si>
    <t>Metering Service Works (MSW) - 
Remove  Meter</t>
  </si>
  <si>
    <t>Metering Service Works (MSW) - Reseal Device</t>
  </si>
  <si>
    <t>Metering Service Works (MSW) - 
Install Meter</t>
  </si>
  <si>
    <t xml:space="preserve">Supply Service Works (MSW) -  Tariff Change
</t>
  </si>
  <si>
    <t>Metering Service Works (MSW) - Meter Reconfiguration</t>
  </si>
  <si>
    <t>Metering Service Works (MSW) -  Install Controlled Load</t>
  </si>
  <si>
    <t>Metering Service Works (MSW) - Remove Meter</t>
  </si>
  <si>
    <t>Supply Service Works -  Tariff Change</t>
  </si>
  <si>
    <t>Works initiated by a Metering Co-ordinator, which are not covered by another service and are not required for the efficient management of the network, or to satisfy distributor purposes or obligations.  Includes but is not limited to:
-  temporary isolation of power to allow an alternative provider to work on their metering installation
- restoration of supply due to fault with another provider's metering installation</t>
  </si>
  <si>
    <t>MCAPTU</t>
  </si>
  <si>
    <t>MCAPTS</t>
  </si>
  <si>
    <t>MCAPTL</t>
  </si>
  <si>
    <t>MCAPTI</t>
  </si>
  <si>
    <t>GENMU</t>
  </si>
  <si>
    <t>GENMS</t>
  </si>
  <si>
    <t>GENML</t>
  </si>
  <si>
    <t>GENMI</t>
  </si>
  <si>
    <t>92-MC</t>
  </si>
  <si>
    <t>No. Prod Codes in this sheet</t>
  </si>
  <si>
    <t>Total Unique Prod Codes</t>
  </si>
  <si>
    <t>GENM is a generic metering component product code, which may be applied to certain Quoted Services (i.e. where another existing metering service doesn't apply).  Product code variants include GENMU, GENMS, GENML, GENMI</t>
  </si>
  <si>
    <t>Additional Product Codes and Ellipse Cost Codes -</t>
  </si>
  <si>
    <t>Generic Call out Fee - Metering Co-ordinator fault (quoted services only)</t>
  </si>
  <si>
    <t xml:space="preserve">ACS Isolated Feeder </t>
  </si>
  <si>
    <t xml:space="preserve">Connection of a single phase supply to a meter location that is not permanent (i.e. short term supply).   Excludes work on metering equipment.  </t>
  </si>
  <si>
    <t xml:space="preserve">Travel time to perform a temporary connection,  requested by a retailer or customer, and the service is unable to be performed due to customer/retailer fault. </t>
  </si>
  <si>
    <t xml:space="preserve">Travel time to perform a temporary connection requested by a retailer or customer, and the service is unable to be performed due to customer/retailer fault. </t>
  </si>
  <si>
    <t xml:space="preserve">Connection of a multi phase supply to a meter location that is not permanent (i.e. short term supply). Excludes work on metering equipment.  </t>
  </si>
  <si>
    <t xml:space="preserve">Travel time to perform a temporary connection requested by a retailer or customer, and the service is unable to be performed due to customer/retailer fault.  </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</si>
  <si>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Excludes decommissioning of metering undertaken by Ergon Energy or an alternative provider.  </t>
  </si>
  <si>
    <t xml:space="preserve">Travel time to perform a supply abolishment requested by a retailer or customer, and the service is unable to be performed due to customer/retailer fault. </t>
  </si>
  <si>
    <t xml:space="preserve">Travel time to perform a de-energisation during business hours requested by a retailer or customer , and the service is unable to be performed due to customer/retailer fault. </t>
  </si>
  <si>
    <r>
      <t xml:space="preserve">Fixed fee applies, capped to maximum specified in </t>
    </r>
    <r>
      <rPr>
        <i/>
        <sz val="8"/>
        <rFont val="Arial"/>
        <family val="2"/>
      </rPr>
      <t>Schedule 8 of Electricity Regulation 2006</t>
    </r>
  </si>
  <si>
    <t xml:space="preserve">Travel time to perform a  re-energisation or visual inspection during business hours  requested by a retailer or customer , and the service is unable to be performed due to customer/retailer fault.  </t>
  </si>
  <si>
    <r>
      <t>Travel time to perform a re-energisation or visual inspection during business hours</t>
    </r>
    <r>
      <rPr>
        <strike/>
        <sz val="8"/>
        <rFont val="Arial"/>
        <family val="2"/>
      </rPr>
      <t xml:space="preserve"> </t>
    </r>
    <r>
      <rPr>
        <sz val="8"/>
        <rFont val="Arial"/>
        <family val="2"/>
      </rPr>
      <t xml:space="preserve">requested by a retailer or customer, and the service is unable to be performed due to customer/retailer fault.  </t>
    </r>
  </si>
  <si>
    <t xml:space="preserve">Travel time to perform a re-energisation or visual inspection during business hours  requested by a retailer or customer , and the service is unable to be performed due to customer/retailer fault. </t>
  </si>
  <si>
    <t>De-energisation, followed by physical dismantling then reattachment of service and re-energisation.  Excludes work on metering equipment (if required).</t>
  </si>
  <si>
    <t>Removal, relocation or rearrangement of connection assets at customer request.  Excludes work on metering equipment (if required).</t>
  </si>
  <si>
    <t>For example, an upgrade from single phase to multi phase and/or increase capacity. Applies to underground and overhead service upgrades.  Excludes work on metering equipment (if required)</t>
  </si>
  <si>
    <r>
      <t xml:space="preserve">Customer requests increase in reliability or quality of supply beyond the standard, and/or above minimum regulatory requirements (e.g. reserve feeder).  Excludes work on metering equipment (if required) </t>
    </r>
    <r>
      <rPr>
        <strike/>
        <sz val="8"/>
        <color rgb="FFFF0000"/>
        <rFont val="Arial"/>
        <family val="2"/>
      </rPr>
      <t/>
    </r>
  </si>
  <si>
    <r>
      <t xml:space="preserve">Requests to convert an existing overhead service to an underground service.  Excludes work on metering equipment (if required) </t>
    </r>
    <r>
      <rPr>
        <strike/>
        <sz val="8"/>
        <color rgb="FFFF0000"/>
        <rFont val="Arial"/>
        <family val="2"/>
      </rPr>
      <t/>
    </r>
  </si>
  <si>
    <t>Repair works to re-establish a safe and legal connection due to customer or third party action.  Excludes work on metering equipment (if required)</t>
  </si>
  <si>
    <t xml:space="preserve">Installation and provision of a new single phase Type 5 or 6 meter, where allowed by regulation. Applies where there is a primary metering service.  
Note:  this service is only available in non-grid connected areas of our network (isolated feeders and feeders in Mount Isa-Cloncurry supply network).  </t>
  </si>
  <si>
    <t xml:space="preserve">Installation and provision of a new single 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</si>
  <si>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 xml:space="preserve">Installation and provision of a new dual element Type 5 or 6 meter, where allowed by regulation.  Applies where there is a primary metering service plus controlled load. 
Note:  this service is only available in non-grid connected areas of our network (isolated feeders and feeders in Mount Isa-Cloncurry supply network).  </t>
  </si>
  <si>
    <t xml:space="preserve">Installation and provision of a new dual element Type 5 or 6 meter, where allowed by regulation.  Applies where there is a primary metering service plus controlled load plus embedded generation.
Note:  this service is only available in non-grid connected areas of our network (isolated feeders and feeders in Mount Isa-Cloncurry supply network).  </t>
  </si>
  <si>
    <t xml:space="preserve">Installation and provision of a new polyphase Type 5 or 6 meter, where allowed by regulation. Applies where there is a primary metering service.
Note:  this service is only available in non-grid connected areas of our network (isolated feeders and feeders in Mount Isa-Cloncurry supply network).  </t>
  </si>
  <si>
    <t xml:space="preserve">Installation and provision of a new polyphase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</si>
  <si>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 xml:space="preserve">Installation and provision of a new CT meter, where allowed by regulation. Applies where there is a primary metering service plus embedded generation.
Note:  this service is only available in non-grid connected areas of our network (isolated feeders and feeders in Mount Isa-Cloncurry supply network).  </t>
  </si>
  <si>
    <t xml:space="preserve">Off-cycle meter read, during business hours.  Does not include final meter reads which are included in Default Metering Services.
Note:  this service is only available where Ergon Energy is the default Metering Co-ordinator or Responsible Person for the premises.   </t>
  </si>
  <si>
    <t>Travel time to perform a special meter read requested by a retailer, and the service is unable to be completed due to customer/retailer fault.  Does not include final meter reads.</t>
  </si>
  <si>
    <t xml:space="preserve">Customer requested meter accuracy testing of Ergon Energy whole current Type 5 and 6 meter. Also includes meter tests by Ergon Energy for Ergon Energy meters attached to a CT. 
Only available where meter installed and operational.
Note:  this service is only available where Ergon Energy is the default Metering Co-ordinator or Responsible Person for the premises.   </t>
  </si>
  <si>
    <t xml:space="preserve">Travel time to perform a meter test requested by a retailer, and the service is unable to be completed due to customer/retailer fault.  </t>
  </si>
  <si>
    <t xml:space="preserve">A request to conduct a site review of the state of the customer's metering installation without physically testing the metering equipment.
Note:  this service is only available where Ergon Energy is the default Metering Co-ordinator or Responsible Person for the premises.   </t>
  </si>
  <si>
    <t xml:space="preserve">Meter is being relocated or meter wiring altered and requires Ergon Energy to visit site to verify the integrity of the metering equipment.
Note:  this service is only available where Ergon Energy is the default Metering Co-ordinator or Responsible Person for the premises.   </t>
  </si>
  <si>
    <t>Like for like meter exchange on request, unless not allowed by regulation
Note:  this service is only available for non-grid connected areas of our network (isolated feeders and the Mount Isa-Cloncurry supply network)</t>
  </si>
  <si>
    <t>Provision of Type 5 to 7 metering services above minimum requirements, unless not allowed by regulation. For example:
- provision, installation and maintenance of meters above minimum requirements (i.e. installation of a non-standard meter above minimum regulatory requirements on request)
- provision of metering data above minimum requirements (such as urgent delivery, summarisation of metering data, historical metering data prior to the previous 2 years etc.)
- provision of time of use metering data (provision of half hourly data on request if available. Collection and processing of probe read data from accumulation read interval capable meters on a one off basis.)
- provision of energy pulsing output for a customer
- interface to building management system
Note:  where a new or replacement meter is deemed to be required, Ergon Energy is only able to undertake this work in non-grid connected areas of our network (Isolated feeders and Mount Isa-Cloncurry supply network)</t>
  </si>
  <si>
    <t xml:space="preserve">Removal of a meter on request when an existing Type 5 or 6 meter remains installed at the premises. Includes – remove meter and re-commission installation; no re-wiring required.
Note:  this service is only available where Ergon Energy is the default Metering Co-ordinator or Responsible Person for the premises.   </t>
  </si>
  <si>
    <t xml:space="preserve">Where the customer has caused the meter to need re-sealing (e.g. by having electrical work done on site)
Note:  this service is only available where Ergon Energy is the default Metering Co-ordinator or Responsible Person for the premises.   </t>
  </si>
  <si>
    <t>Request to reprogram meter due to change in tariff (including adding or removing a tariff) and/or time of use setting (except for controlled load timing changes)
Note:  this service is only available where Ergon Energy is the default Metering Co-ordinator or Responsible Person for the premises.   
Where a new or replacement meter is required to support a change in tariff, Ergon Energy is only able to undertake this work in non-grid connected areas of our network (Isolated feeders and feeders in Mount Isa-Cloncurry supply network).</t>
  </si>
  <si>
    <t xml:space="preserve">Attend and reprogram card meters to reflect retail tariffs, outside scheduled visit
Note:  this service is only available where Ergon Energy is the default Metering Co-ordinator or Responsible Person for the premises.   </t>
  </si>
  <si>
    <t>Installation of customer load control initiated and managed via the meter
Note:  where a new or replacement meter is deemed to be required, Ergon Energy is only able to undertake this work in non-grid connected areas of our network (Isolated feeders and Mount Isa-Cloncurry supply network)</t>
  </si>
  <si>
    <r>
      <t>Works initiated by a customer, retailer</t>
    </r>
    <r>
      <rPr>
        <sz val="8"/>
        <color rgb="FFFF0000"/>
        <rFont val="Arial"/>
        <family val="2"/>
      </rPr>
      <t xml:space="preserve"> </t>
    </r>
    <r>
      <rPr>
        <sz val="8"/>
        <rFont val="Arial"/>
        <family val="2"/>
      </rPr>
      <t>or third party which are not covered by another service and are not required for the efficient management of the network, or to satisfy distributor purposes or obligations.  Includes, but is not limited to:
- restoration of supply due to customer action</t>
    </r>
    <r>
      <rPr>
        <sz val="8"/>
        <color rgb="FFFF0000"/>
        <rFont val="Arial"/>
        <family val="2"/>
      </rPr>
      <t xml:space="preserve"> </t>
    </r>
    <r>
      <rPr>
        <sz val="8"/>
        <rFont val="Arial"/>
        <family val="2"/>
      </rPr>
      <t xml:space="preserve">
- re-test at customer's installation (i.e. customer has submitted Form A and the Retailer has issued a Service Order Request, but installation fails test and cannot be connected, requiring a re-test of the installation)
- safety observer
- tree trimming
- switching
- cable bundling
- checking pump size for tariff eligibility.</t>
    </r>
  </si>
  <si>
    <t>Customer ,retailer or third party requested appointments</t>
  </si>
  <si>
    <t>Travel time to perform a Final Meter Read requested by a retailer or customer, and the service is unable to be performed due to customer/retailer fault.</t>
  </si>
  <si>
    <r>
      <t xml:space="preserve">Fixed fee applies.  Aggregate of this service and #161-M capped to maximum specified in Schedule 8 of </t>
    </r>
    <r>
      <rPr>
        <i/>
        <sz val="8"/>
        <rFont val="Arial"/>
        <family val="2"/>
      </rPr>
      <t>Electricity Regulation 2006</t>
    </r>
  </si>
  <si>
    <r>
      <t xml:space="preserve">Fixed fee applies.  Aggregate of this service and relevant temporary connection service capped to maximum specified in Schedule 8 of </t>
    </r>
    <r>
      <rPr>
        <i/>
        <sz val="8"/>
        <rFont val="Arial"/>
        <family val="2"/>
      </rPr>
      <t>Electricity Regulation 2006</t>
    </r>
  </si>
  <si>
    <t>revised price or new prod code from 1 December</t>
  </si>
  <si>
    <t>Fee Based and Quoted Services</t>
  </si>
  <si>
    <t>Retailer or Metering Co-ordinator requests visual examination during business hours, prior to performing a remote re-energisation.  Applies where the customer was previously de-energised for non-payment of their electricity account</t>
  </si>
  <si>
    <t>Retailer requests re-energisation of customer's premises during business hours where the customer was previously de-energised for non-payment of their electricity account</t>
  </si>
  <si>
    <t>Re-energisation after disconnection for non-payment</t>
  </si>
  <si>
    <t>Supply Service Works (SSW) - Temporary Isolation</t>
  </si>
  <si>
    <t>Retailer requests de-energisation of the customer's premises after business hours:
- where the de-energisation can be performed (e.g. pole, pillar or meter).
- Main switch sticker</t>
  </si>
  <si>
    <t>Call out fee for de-energisations after business hours</t>
  </si>
  <si>
    <t xml:space="preserve">Travel time to perform a de-energisation after business hours requested by a retailer, and the service is unable to be performed due to customer/retailer fault. </t>
  </si>
  <si>
    <t>Retailer or Metering Co-ordinator requests visual examination during business hours, prior to performing a remote re-energisation. Applies all instances, including where the customer was previously de-energised for non-payment of their electricity account.</t>
  </si>
  <si>
    <t>Call out fee for re-energisations after business hours</t>
  </si>
  <si>
    <t>Travel time to perform a re-energisation or visual examination after business hours requested by a retailer, and the service is unable to be performed due to customer/retailer fault.</t>
  </si>
  <si>
    <t>Retailer requests re-energisation of a customer's premises after business hours:
- after a physical disconnection and premises requires a visual examination
- following a main switch sticker
- where the customer was previously de-energised for non-payment of their electricity account</t>
  </si>
  <si>
    <t xml:space="preserve">Travel time to perform a re-energisation or visual inspection during business hours requested by a retailer or customer, and the service is unable to be performed due to customer/retailer fault. </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</si>
  <si>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</si>
  <si>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 xml:space="preserve">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</si>
  <si>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</si>
  <si>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 xml:space="preserve">Installation and provision during business hours of a dual element replacement meter, where allowed by regulation.  
Note:  this service is only available in non-grid connected areas of our network (isolated feeders and feeders in Mount Isa-Cloncurry supply network).  </t>
  </si>
  <si>
    <r>
      <t>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r>
    <r>
      <rPr>
        <strike/>
        <sz val="8"/>
        <rFont val="Arial"/>
        <family val="2"/>
      </rPr>
      <t xml:space="preserve">
</t>
    </r>
  </si>
  <si>
    <r>
      <t>Travel time to perform the installation of a replacement meter (Type 5 and 6) requested by a retailer or customer, and the service is unable to be performed due to customer/retailer fault.</t>
    </r>
    <r>
      <rPr>
        <strike/>
        <sz val="8"/>
        <rFont val="Arial"/>
        <family val="2"/>
      </rPr>
      <t xml:space="preserve"> 
</t>
    </r>
    <r>
      <rPr>
        <sz val="8"/>
        <rFont val="Arial"/>
        <family val="2"/>
      </rPr>
      <t>Note: Call out fees for replacement meters are only applicable in non-grid connected areas of our network (isolated feeders and feeders in Mount Isa-Cloncurry supply network)</t>
    </r>
  </si>
  <si>
    <t xml:space="preserve">Installation and provision during business hours of a polyphase replacement meter, where allowed by regulation.  
Note:  this service is only available in non-grid connected areas of our network (isolated feeders and feeders in Mount Isa-Cloncurry supply network).  </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</si>
  <si>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</si>
  <si>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</si>
  <si>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 xml:space="preserve">Installation and provision during business hours of a CT replacement meter, where allowed by regulation.  Note:  this service is only available in non-grid connected areas of our network (isolated feeders and feeders in Mount Isa-Cloncurry supply network).  </t>
  </si>
  <si>
    <t xml:space="preserve">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</si>
  <si>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 xml:space="preserve">Installation and provision of a new CT meter, where allowed by regulation. Applies where there is a primary metering service.
Note:  this service is only available in non-grid connected areas of our network (isolated feeders and feeders in Mount Isa-Cloncurry supply network).  </t>
  </si>
  <si>
    <t xml:space="preserve">Installation and provision of an additional single phase Type 5 or 6 meter for controlled load purposes, where allowed by regulation.
Note:  this service is only available in non-grid connected areas of our network (isolated feeders and feeders in Mount Isa-Cloncurry supply network).  </t>
  </si>
  <si>
    <t xml:space="preserve">Installation and provision of an additional polyphase Type 5 or 6 meter for controlled load purposes.
Note:  this service is only available in non-grid connected areas of our network (isolated feeders and feeders in Mount Isa-Cloncurry supply network).  </t>
  </si>
  <si>
    <t xml:space="preserve">Installation and provision of an additional meter (CT) for controlled load purposes.
Note:  this service is only available in non-grid connected areas of our network (isolated feeders and feeders in Mount Isa-Cloncurry supply network).  </t>
  </si>
  <si>
    <t xml:space="preserve">Installation and provision of an additional single phase Type 5 or 6 meter to accommodate additional tariffs other than controlled load.
Note:  this service is only available in non-grid connected areas of our network (isolated feeders and feeders in Mount Isa-Cloncurry supply network).  </t>
  </si>
  <si>
    <t xml:space="preserve">Installation and provision of an additional polyphase Type 5 or 6 meter to accommodate additional tariffs other than controlled load.
Note:  this service is only available in non-grid connected areas of our network (isolated feeders and feeders in Mount Isa-Cloncurry supply network).  </t>
  </si>
  <si>
    <t xml:space="preserve">Installation and provision of an additional meter (CT) to accommodate additional tariffs other than controlled load.
Note:  this service is only available in non-grid connected areas of our network (isolated feeders and feeders in Mount Isa-Cloncurry supply network).  </t>
  </si>
  <si>
    <t xml:space="preserve">Installation and provision of a new single phase Type 5 or 6 meter to accommodate an embedded generation installation. 
Note:  this service is only available in non-grid connected areas of our network (isolated feeders and feeders in Mount Isa-Cloncurry supply network).  </t>
  </si>
  <si>
    <t xml:space="preserve">Installation and provision of a new polyphase Type 5 or 6 meter to accommodate an embedded generation installation. 
Note:  this service is only available in non-grid connected areas of our network (isolated feeders and feeders in Mount Isa-Cloncurry supply network).  </t>
  </si>
  <si>
    <t xml:space="preserve">Installation and provision of a new meter (CT) to accommodate an embedded generation installation.
Note:  this service is only available in non-grid connected areas of our network (isolated feeders and feeders in Mount Isa-Cloncurry supply network).  </t>
  </si>
  <si>
    <t>Travel time to perform the installation of a new meter requested by a retailer or customer, and the service is unable to be performed due to customer/retailer fault.
Note: Call out fees for new meters are only applicable in non-grid connected areas of our network (isolated feeders and feeders in Mount Isa-Cloncurry supply network)</t>
  </si>
  <si>
    <r>
      <t>Travel time to perform the installation of a new meter 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</si>
  <si>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r>
      <t xml:space="preserve">Travel time to perform the installation of a new meter </t>
    </r>
    <r>
      <rPr>
        <strike/>
        <sz val="8"/>
        <rFont val="Arial"/>
        <family val="2"/>
      </rPr>
      <t xml:space="preserve"> </t>
    </r>
    <r>
      <rPr>
        <sz val="8"/>
        <rFont val="Arial"/>
        <family val="2"/>
      </rPr>
      <t>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</si>
  <si>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r>
      <t xml:space="preserve">Travel time to perform the installation of a new meter  requested by a retailer or customer, and the service is unable to be performed due to customer/retailer fault. </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</si>
  <si>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 xml:space="preserve">Installation and provision after hours of a Type 5 and 6 or CT meter on or after 1 July 2015.  All feeder types.
Note:  this service is only available in non-grid connected areas of our network (isolated feeders and feeders in Mount Isa-Cloncurry supply network).  </t>
  </si>
  <si>
    <t>Metering Service Works (MSW) -  Change Time switch</t>
  </si>
  <si>
    <t>GENCFMC  is a variation of the GENCF product code, and may be applied where the Metering Co-ordinator is identified to be at fault.</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</si>
</sst>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7" formatCode="&quot;$&quot;#,##0.00;\-&quot;$&quot;#,##0.00"/>
    <numFmt numFmtId="44" formatCode="_-&quot;$&quot;* #,##0.00_-;\-&quot;$&quot;* #,##0.00_-;_-&quot;$&quot;* &quot;-&quot;??_-;_-@_-"/>
    <numFmt numFmtId="43" formatCode="_-* #,##0.00_-;\-* #,##0.00_-;_-* &quot;-&quot;??_-;_-@_-"/>
    <numFmt numFmtId="164" formatCode="&quot;$&quot;#,##0.00000;\-&quot;$&quot;#,##0.00000"/>
    <numFmt numFmtId="165" formatCode="&quot;$&quot;#,##0.0000"/>
    <numFmt numFmtId="166" formatCode="&quot;$&quot;#,##0.00"/>
    <numFmt numFmtId="167" formatCode="_(* #,##0_);_(* \(#,##0\);_(* &quot;-&quot;_);_(@_)"/>
    <numFmt numFmtId="168" formatCode="_(* #,##0.00_);_(* \(#,##0.00\);_(* &quot;-&quot;??_);_(@_)"/>
    <numFmt numFmtId="169" formatCode="_(&quot;$&quot;* #,##0.00_);_(&quot;$&quot;* \(#,##0.00\);_(&quot;$&quot;* &quot;-&quot;??_);_(@_)"/>
    <numFmt numFmtId="170" formatCode="_(* #,##0_);_(* \(#,##0\);_(* &quot;-&quot;?_);_(@_)"/>
    <numFmt numFmtId="171" formatCode="&quot;$&quot;#,##0"/>
    <numFmt numFmtId="172" formatCode="&quot;$&quot;#,##0.0;\-&quot;$&quot;#,##0.0"/>
    <numFmt numFmtId="173" formatCode="0.0%"/>
    <numFmt numFmtId="174" formatCode="#,##0;\(#,##0\);\-"/>
    <numFmt numFmtId="175" formatCode="#,##0_);[Red]\(#,##0\);\-"/>
    <numFmt numFmtId="176" formatCode="&quot;$&quot;#,##0.0;[Red]\-&quot;$&quot;#,##0.0"/>
    <numFmt numFmtId="177" formatCode="_(&quot;$&quot;* #,##0_);_(&quot;$&quot;* \(#,##0\);_(&quot;$&quot;* &quot;-&quot;_);_(@_)"/>
    <numFmt numFmtId="178" formatCode="&quot;$&quot;#,##0_);[Red]\(&quot;$&quot;#,##0\)"/>
    <numFmt numFmtId="179" formatCode="#,##0;\(#,##0\)"/>
    <numFmt numFmtId="180" formatCode="#,##0_ ;\(#,##0\);\-\ "/>
    <numFmt numFmtId="181" formatCode="0.00000"/>
  </numFmts>
  <fonts count="8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Arial"/>
      <family val="2"/>
    </font>
    <font>
      <b/>
      <sz val="10"/>
      <name val="Arial"/>
      <family val="2"/>
    </font>
    <font>
      <b/>
      <sz val="8"/>
      <name val="Arial"/>
      <family val="2"/>
    </font>
    <font>
      <b/>
      <sz val="9"/>
      <name val="Arial"/>
      <family val="2"/>
    </font>
    <font>
      <sz val="9"/>
      <name val="Arial"/>
      <family val="2"/>
    </font>
    <font>
      <b/>
      <sz val="14"/>
      <color indexed="10"/>
      <name val="Arial"/>
      <family val="2"/>
    </font>
    <font>
      <b/>
      <sz val="16"/>
      <name val="Arial"/>
      <family val="2"/>
    </font>
    <font>
      <b/>
      <sz val="11"/>
      <color indexed="10"/>
      <name val="Arial"/>
      <family val="2"/>
    </font>
    <font>
      <b/>
      <i/>
      <sz val="11"/>
      <color theme="0"/>
      <name val="Arial"/>
      <family val="2"/>
    </font>
    <font>
      <b/>
      <sz val="10"/>
      <color theme="0"/>
      <name val="Arial"/>
      <family val="2"/>
    </font>
    <font>
      <sz val="8"/>
      <color theme="1"/>
      <name val="Arial"/>
      <family val="2"/>
    </font>
    <font>
      <sz val="8"/>
      <color theme="0"/>
      <name val="Arial"/>
      <family val="2"/>
    </font>
    <font>
      <b/>
      <sz val="8"/>
      <color theme="0"/>
      <name val="Arial"/>
      <family val="2"/>
    </font>
    <font>
      <sz val="10"/>
      <color theme="0"/>
      <name val="Arial"/>
      <family val="2"/>
    </font>
    <font>
      <i/>
      <sz val="8"/>
      <name val="Arial"/>
      <family val="2"/>
    </font>
    <font>
      <sz val="9"/>
      <color theme="1"/>
      <name val="Arial"/>
      <family val="2"/>
    </font>
    <font>
      <b/>
      <sz val="8"/>
      <color rgb="FFFF0000"/>
      <name val="Arial"/>
      <family val="2"/>
    </font>
    <font>
      <sz val="10"/>
      <color theme="1"/>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8"/>
      <name val="Arial"/>
      <family val="2"/>
    </font>
    <font>
      <b/>
      <sz val="16"/>
      <color indexed="9"/>
      <name val="Arial"/>
      <family val="2"/>
    </font>
    <font>
      <b/>
      <sz val="12"/>
      <color theme="0"/>
      <name val="Calibri"/>
      <family val="2"/>
      <scheme val="minor"/>
    </font>
    <font>
      <b/>
      <sz val="18"/>
      <color indexed="56"/>
      <name val="Cambria"/>
      <family val="2"/>
    </font>
    <font>
      <b/>
      <sz val="18"/>
      <color indexed="62"/>
      <name val="Cambria"/>
      <family val="2"/>
    </font>
    <font>
      <b/>
      <sz val="11"/>
      <color indexed="8"/>
      <name val="Calibri"/>
      <family val="2"/>
    </font>
    <font>
      <sz val="11"/>
      <color indexed="10"/>
      <name val="Calibri"/>
      <family val="2"/>
    </font>
    <font>
      <i/>
      <sz val="10"/>
      <color rgb="FFFF0000"/>
      <name val="Arial"/>
      <family val="2"/>
    </font>
    <font>
      <b/>
      <sz val="11"/>
      <color theme="1"/>
      <name val="Arial"/>
      <family val="2"/>
    </font>
    <font>
      <b/>
      <sz val="14"/>
      <name val="Arial"/>
      <family val="2"/>
    </font>
    <font>
      <sz val="10"/>
      <color rgb="FFFF0000"/>
      <name val="Arial"/>
      <family val="2"/>
    </font>
    <font>
      <b/>
      <sz val="13"/>
      <name val="Arial"/>
      <family val="2"/>
    </font>
    <font>
      <b/>
      <sz val="9"/>
      <color rgb="FFFFFFFF"/>
      <name val="Arial"/>
      <family val="2"/>
    </font>
    <font>
      <sz val="9"/>
      <color rgb="FFFFFFFF"/>
      <name val="Arial"/>
      <family val="2"/>
    </font>
    <font>
      <sz val="9"/>
      <color rgb="FF000000"/>
      <name val="Arial"/>
      <family val="2"/>
    </font>
    <font>
      <sz val="11"/>
      <name val="Calibri"/>
      <family val="2"/>
      <scheme val="minor"/>
    </font>
    <font>
      <sz val="11"/>
      <name val="Calibri"/>
      <family val="2"/>
    </font>
    <font>
      <sz val="11"/>
      <color theme="1"/>
      <name val="Calibri"/>
      <family val="2"/>
    </font>
    <font>
      <i/>
      <sz val="11"/>
      <color theme="1"/>
      <name val="Calibri"/>
      <family val="2"/>
    </font>
    <font>
      <i/>
      <sz val="11"/>
      <color theme="9" tint="-0.249977111117893"/>
      <name val="Calibri"/>
      <family val="2"/>
      <scheme val="minor"/>
    </font>
    <font>
      <sz val="8"/>
      <color theme="0" tint="-0.1498764000366222"/>
      <name val="Arial"/>
      <family val="2"/>
    </font>
    <font>
      <b/>
      <sz val="14"/>
      <name val="Calibri"/>
      <family val="2"/>
    </font>
    <font>
      <b/>
      <sz val="12"/>
      <name val="Calibri"/>
      <family val="2"/>
    </font>
    <font>
      <b/>
      <i/>
      <sz val="11"/>
      <name val="Calibri"/>
      <family val="2"/>
    </font>
    <font>
      <sz val="8"/>
      <color theme="4" tint="-0.24994659260841701"/>
      <name val="Arial"/>
      <family val="2"/>
    </font>
    <font>
      <sz val="8"/>
      <color theme="9" tint="-0.24994659260841701"/>
      <name val="Arial"/>
      <family val="2"/>
    </font>
    <font>
      <i/>
      <sz val="8"/>
      <color indexed="10"/>
      <name val="Arial"/>
      <family val="2"/>
    </font>
    <font>
      <sz val="8"/>
      <color indexed="24"/>
      <name val="Arial"/>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2"/>
      <color indexed="9"/>
      <name val="Arial"/>
      <family val="2"/>
    </font>
    <font>
      <i/>
      <sz val="11"/>
      <color theme="0" tint="-0.499984740745262"/>
      <name val="Calibri"/>
      <family val="2"/>
      <scheme val="minor"/>
    </font>
    <font>
      <sz val="10"/>
      <color theme="0" tint="-0.249977111117893"/>
      <name val="Arial"/>
      <family val="2"/>
    </font>
    <font>
      <sz val="8"/>
      <color theme="0" tint="-0.249977111117893"/>
      <name val="Arial"/>
      <family val="2"/>
    </font>
    <font>
      <sz val="9"/>
      <color theme="0" tint="-0.249977111117893"/>
      <name val="Arial"/>
      <family val="2"/>
    </font>
    <font>
      <b/>
      <u/>
      <sz val="10"/>
      <name val="Arial"/>
      <family val="2"/>
    </font>
    <font>
      <sz val="8"/>
      <color rgb="FFFF0000"/>
      <name val="Arial"/>
      <family val="2"/>
    </font>
    <font>
      <strike/>
      <sz val="8"/>
      <color rgb="FFFF0000"/>
      <name val="Arial"/>
      <family val="2"/>
    </font>
    <font>
      <strike/>
      <sz val="8"/>
      <name val="Arial"/>
      <family val="2"/>
    </font>
    <font>
      <b/>
      <sz val="18"/>
      <color rgb="FFFF0000"/>
      <name val="Arial"/>
      <family val="2"/>
    </font>
    <font>
      <sz val="9"/>
      <color rgb="FFFF0000"/>
      <name val="Arial"/>
      <family val="2"/>
    </font>
    <font>
      <u/>
      <sz val="10"/>
      <name val="Arial"/>
      <family val="2"/>
    </font>
    <font>
      <b/>
      <sz val="12"/>
      <color theme="0"/>
      <name val="Arial"/>
      <family val="2"/>
    </font>
    <font>
      <b/>
      <sz val="11"/>
      <color theme="0"/>
      <name val="Arial"/>
      <family val="2"/>
    </font>
  </fonts>
  <fills count="54">
    <fill>
      <patternFill patternType="none"/>
    </fill>
    <fill>
      <patternFill patternType="gray125"/>
    </fill>
    <fill>
      <patternFill patternType="solid">
        <fgColor theme="0"/>
        <bgColor indexed="64"/>
      </patternFill>
    </fill>
    <fill>
      <patternFill patternType="solid">
        <fgColor rgb="FF2C5697"/>
        <bgColor indexed="64"/>
      </patternFill>
    </fill>
    <fill>
      <patternFill patternType="solid">
        <fgColor rgb="FFA3DBE8"/>
        <bgColor indexed="64"/>
      </patternFill>
    </fill>
    <fill>
      <patternFill patternType="solid">
        <fgColor theme="0" tint="-0.14999847407452621"/>
        <bgColor indexed="64"/>
      </patternFill>
    </fill>
    <fill>
      <patternFill patternType="solid">
        <fgColor rgb="FFC2DEEA"/>
        <bgColor indexed="64"/>
      </patternFill>
    </fill>
    <fill>
      <patternFill patternType="solid">
        <fgColor rgb="FF5BC6E8"/>
        <bgColor indexed="64"/>
      </patternFill>
    </fill>
    <fill>
      <patternFill patternType="solid">
        <fgColor theme="0" tint="-0.249977111117893"/>
        <bgColor indexed="64"/>
      </patternFill>
    </fill>
    <fill>
      <patternFill patternType="solid">
        <fgColor theme="4" tint="0.59999389629810485"/>
        <bgColor indexed="65"/>
      </patternFill>
    </fill>
    <fill>
      <patternFill patternType="solid">
        <fgColor theme="0" tint="-0.499984740745262"/>
        <bgColor indexed="64"/>
      </patternFill>
    </fill>
    <fill>
      <patternFill patternType="solid">
        <fgColor indexed="31"/>
      </patternFill>
    </fill>
    <fill>
      <patternFill patternType="solid">
        <fgColor indexed="38"/>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9"/>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43"/>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22"/>
        <bgColor indexed="64"/>
      </patternFill>
    </fill>
    <fill>
      <patternFill patternType="solid">
        <fgColor indexed="55"/>
      </patternFill>
    </fill>
    <fill>
      <patternFill patternType="solid">
        <fgColor indexed="41"/>
        <bgColor indexed="64"/>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solid">
        <fgColor indexed="26"/>
        <bgColor indexed="64"/>
      </patternFill>
    </fill>
    <fill>
      <patternFill patternType="solid">
        <fgColor theme="4" tint="-0.499984740745262"/>
        <bgColor indexed="64"/>
      </patternFill>
    </fill>
    <fill>
      <patternFill patternType="solid">
        <fgColor theme="1"/>
        <bgColor indexed="64"/>
      </patternFill>
    </fill>
    <fill>
      <patternFill patternType="solid">
        <fgColor theme="7" tint="0.59999389629810485"/>
        <bgColor indexed="64"/>
      </patternFill>
    </fill>
    <fill>
      <patternFill patternType="solid">
        <fgColor rgb="FFDDEEFF"/>
        <bgColor indexed="64"/>
      </patternFill>
    </fill>
    <fill>
      <patternFill patternType="solid">
        <fgColor theme="4" tint="0.59996337778862885"/>
        <bgColor indexed="64"/>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theme="0" tint="-0.24994659260841701"/>
        <bgColor indexed="64"/>
      </patternFill>
    </fill>
    <fill>
      <patternFill patternType="solid">
        <fgColor rgb="FF00338D"/>
        <bgColor indexed="64"/>
      </patternFill>
    </fill>
    <fill>
      <patternFill patternType="solid">
        <fgColor rgb="FFFFFFCC"/>
      </patternFill>
    </fill>
    <fill>
      <patternFill patternType="solid">
        <fgColor rgb="FFFFFF00"/>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2C5697"/>
      </left>
      <right/>
      <top style="thin">
        <color rgb="FF2C5697"/>
      </top>
      <bottom style="thin">
        <color rgb="FF2C569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indexed="38"/>
      </bottom>
      <diagonal/>
    </border>
    <border>
      <left/>
      <right/>
      <top/>
      <bottom style="medium">
        <color indexed="30"/>
      </bottom>
      <diagonal/>
    </border>
    <border>
      <left/>
      <right/>
      <top/>
      <bottom style="medium">
        <color indexed="3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thin">
        <color theme="0" tint="-0.14996795556505021"/>
      </top>
      <bottom style="thin">
        <color theme="0" tint="-0.14996795556505021"/>
      </bottom>
      <diagonal/>
    </border>
    <border>
      <left/>
      <right/>
      <top style="thin">
        <color theme="0" tint="-0.14996795556505021"/>
      </top>
      <bottom style="thin">
        <color rgb="FF2C5697"/>
      </bottom>
      <diagonal/>
    </border>
    <border>
      <left/>
      <right/>
      <top style="thin">
        <color rgb="FF2C5697"/>
      </top>
      <bottom style="thin">
        <color theme="0" tint="-0.14996795556505021"/>
      </bottom>
      <diagonal/>
    </border>
    <border>
      <left/>
      <right/>
      <top style="thin">
        <color theme="0" tint="-0.14996795556505021"/>
      </top>
      <bottom style="thin">
        <color theme="0" tint="-0.14993743705557422"/>
      </bottom>
      <diagonal/>
    </border>
    <border>
      <left/>
      <right/>
      <top/>
      <bottom style="thin">
        <color theme="0" tint="-0.14996795556505021"/>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style="dotted">
        <color indexed="23"/>
      </left>
      <right style="dotted">
        <color indexed="23"/>
      </right>
      <top style="dotted">
        <color indexed="23"/>
      </top>
      <bottom style="dotted">
        <color indexed="2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int="-0.14996795556505021"/>
      </top>
      <bottom/>
      <diagonal/>
    </border>
    <border>
      <left style="thin">
        <color theme="0"/>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right style="thin">
        <color theme="0"/>
      </right>
      <top/>
      <bottom/>
      <diagonal/>
    </border>
    <border>
      <left/>
      <right/>
      <top style="thin">
        <color theme="0"/>
      </top>
      <bottom style="thin">
        <color theme="0" tint="-0.14996795556505021"/>
      </bottom>
      <diagonal/>
    </border>
    <border>
      <left/>
      <right style="thin">
        <color theme="3"/>
      </right>
      <top style="thin">
        <color theme="0" tint="-0.14996795556505021"/>
      </top>
      <bottom style="thin">
        <color theme="0" tint="-0.14996795556505021"/>
      </bottom>
      <diagonal/>
    </border>
    <border>
      <left/>
      <right style="thin">
        <color theme="3"/>
      </right>
      <top style="thin">
        <color theme="0" tint="-0.14996795556505021"/>
      </top>
      <bottom style="thin">
        <color rgb="FF2C5697"/>
      </bottom>
      <diagonal/>
    </border>
    <border>
      <left/>
      <right style="thin">
        <color theme="3"/>
      </right>
      <top style="thin">
        <color rgb="FF2C5697"/>
      </top>
      <bottom style="thin">
        <color theme="0" tint="-0.14996795556505021"/>
      </bottom>
      <diagonal/>
    </border>
    <border>
      <left/>
      <right style="thin">
        <color theme="3"/>
      </right>
      <top/>
      <bottom style="thin">
        <color theme="0" tint="-0.14996795556505021"/>
      </bottom>
      <diagonal/>
    </border>
    <border>
      <left/>
      <right style="thin">
        <color theme="3"/>
      </right>
      <top style="thin">
        <color theme="0" tint="-0.14996795556505021"/>
      </top>
      <bottom/>
      <diagonal/>
    </border>
    <border>
      <left/>
      <right style="thin">
        <color theme="3"/>
      </right>
      <top style="thin">
        <color theme="0" tint="-0.14996795556505021"/>
      </top>
      <bottom style="thin">
        <color theme="0" tint="-0.14993743705557422"/>
      </bottom>
      <diagonal/>
    </border>
    <border>
      <left/>
      <right/>
      <top style="thin">
        <color theme="0" tint="-0.14996795556505021"/>
      </top>
      <bottom style="thin">
        <color theme="3"/>
      </bottom>
      <diagonal/>
    </border>
    <border>
      <left/>
      <right style="thin">
        <color rgb="FF2C5697"/>
      </right>
      <top/>
      <bottom/>
      <diagonal/>
    </border>
    <border>
      <left style="thin">
        <color theme="0"/>
      </left>
      <right style="thin">
        <color theme="0"/>
      </right>
      <top/>
      <bottom style="thin">
        <color theme="0" tint="-0.14996795556505021"/>
      </bottom>
      <diagonal/>
    </border>
    <border>
      <left style="thin">
        <color theme="0"/>
      </left>
      <right style="thin">
        <color theme="0"/>
      </right>
      <top style="thin">
        <color theme="0" tint="-0.14996795556505021"/>
      </top>
      <bottom style="thin">
        <color theme="0" tint="-0.14996795556505021"/>
      </bottom>
      <diagonal/>
    </border>
    <border>
      <left style="thin">
        <color theme="0"/>
      </left>
      <right style="thin">
        <color theme="0"/>
      </right>
      <top style="thin">
        <color theme="0" tint="-0.14996795556505021"/>
      </top>
      <bottom style="thin">
        <color rgb="FF2C5697"/>
      </bottom>
      <diagonal/>
    </border>
    <border>
      <left/>
      <right style="thin">
        <color theme="0"/>
      </right>
      <top style="thin">
        <color theme="0"/>
      </top>
      <bottom style="thin">
        <color theme="0" tint="-0.14996795556505021"/>
      </bottom>
      <diagonal/>
    </border>
    <border>
      <left/>
      <right style="thin">
        <color theme="0"/>
      </right>
      <top style="thin">
        <color theme="0" tint="-0.14996795556505021"/>
      </top>
      <bottom style="thin">
        <color theme="0" tint="-0.14996795556505021"/>
      </bottom>
      <diagonal/>
    </border>
    <border>
      <left/>
      <right style="thin">
        <color theme="0"/>
      </right>
      <top style="thin">
        <color theme="0" tint="-0.14996795556505021"/>
      </top>
      <bottom style="thin">
        <color rgb="FF2C5697"/>
      </bottom>
      <diagonal/>
    </border>
    <border>
      <left style="thin">
        <color theme="0"/>
      </left>
      <right style="thin">
        <color theme="0"/>
      </right>
      <top style="thin">
        <color theme="0" tint="-0.14996795556505021"/>
      </top>
      <bottom/>
      <diagonal/>
    </border>
    <border>
      <left style="thin">
        <color theme="0"/>
      </left>
      <right style="thin">
        <color theme="0"/>
      </right>
      <top style="thin">
        <color rgb="FF2C5697"/>
      </top>
      <bottom style="thin">
        <color theme="0" tint="-0.14996795556505021"/>
      </bottom>
      <diagonal/>
    </border>
    <border>
      <left/>
      <right style="thin">
        <color theme="0"/>
      </right>
      <top style="thin">
        <color rgb="FF2C5697"/>
      </top>
      <bottom style="thin">
        <color theme="0" tint="-0.14996795556505021"/>
      </bottom>
      <diagonal/>
    </border>
    <border>
      <left/>
      <right style="thin">
        <color theme="0"/>
      </right>
      <top/>
      <bottom style="thin">
        <color theme="0" tint="-0.14996795556505021"/>
      </bottom>
      <diagonal/>
    </border>
    <border>
      <left/>
      <right style="thin">
        <color theme="0"/>
      </right>
      <top style="thin">
        <color theme="0" tint="-0.14996795556505021"/>
      </top>
      <bottom/>
      <diagonal/>
    </border>
    <border>
      <left style="thin">
        <color theme="3"/>
      </left>
      <right/>
      <top/>
      <bottom style="thin">
        <color theme="0"/>
      </bottom>
      <diagonal/>
    </border>
    <border>
      <left/>
      <right style="thin">
        <color theme="3"/>
      </right>
      <top/>
      <bottom/>
      <diagonal/>
    </border>
    <border>
      <left/>
      <right style="thin">
        <color theme="0"/>
      </right>
      <top/>
      <bottom style="thin">
        <color rgb="FF2C5697"/>
      </bottom>
      <diagonal/>
    </border>
    <border>
      <left/>
      <right style="thin">
        <color theme="0"/>
      </right>
      <top style="thin">
        <color rgb="FF2C5697"/>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thin">
        <color theme="0"/>
      </left>
      <right/>
      <top/>
      <bottom style="thin">
        <color theme="3"/>
      </bottom>
      <diagonal/>
    </border>
    <border>
      <left/>
      <right style="thin">
        <color rgb="FF2C5697"/>
      </right>
      <top/>
      <bottom style="thin">
        <color theme="3"/>
      </bottom>
      <diagonal/>
    </border>
    <border>
      <left style="thin">
        <color indexed="64"/>
      </left>
      <right style="thin">
        <color indexed="64"/>
      </right>
      <top/>
      <bottom/>
      <diagonal/>
    </border>
    <border>
      <left style="thin">
        <color indexed="64"/>
      </left>
      <right/>
      <top/>
      <bottom/>
      <diagonal/>
    </border>
    <border>
      <left/>
      <right/>
      <top/>
      <bottom style="thin">
        <color theme="0"/>
      </bottom>
      <diagonal/>
    </border>
  </borders>
  <cellStyleXfs count="387">
    <xf numFmtId="0" fontId="0" fillId="0" borderId="0"/>
    <xf numFmtId="44" fontId="5" fillId="0" borderId="0" applyFont="0" applyFill="0" applyBorder="0" applyAlignment="0" applyProtection="0"/>
    <xf numFmtId="0" fontId="25" fillId="0" borderId="0"/>
    <xf numFmtId="0" fontId="5" fillId="0" borderId="0"/>
    <xf numFmtId="0" fontId="26"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12"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20" borderId="0" applyNumberFormat="0" applyBorder="0" applyAlignment="0" applyProtection="0"/>
    <xf numFmtId="0" fontId="26"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26" fillId="21" borderId="0" applyNumberFormat="0" applyBorder="0" applyAlignment="0" applyProtection="0"/>
    <xf numFmtId="0" fontId="26" fillId="14"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17" borderId="0" applyNumberFormat="0" applyBorder="0" applyAlignment="0" applyProtection="0"/>
    <xf numFmtId="0" fontId="26" fillId="24" borderId="0" applyNumberFormat="0" applyBorder="0" applyAlignment="0" applyProtection="0"/>
    <xf numFmtId="0" fontId="26" fillId="20" borderId="0" applyNumberFormat="0" applyBorder="0" applyAlignment="0" applyProtection="0"/>
    <xf numFmtId="0" fontId="26" fillId="12" borderId="0" applyNumberFormat="0" applyBorder="0" applyAlignment="0" applyProtection="0"/>
    <xf numFmtId="0" fontId="26" fillId="25" borderId="0" applyNumberFormat="0" applyBorder="0" applyAlignment="0" applyProtection="0"/>
    <xf numFmtId="0" fontId="26" fillId="14" borderId="0" applyNumberFormat="0" applyBorder="0" applyAlignment="0" applyProtection="0"/>
    <xf numFmtId="0" fontId="27" fillId="26" borderId="0" applyNumberFormat="0" applyBorder="0" applyAlignment="0" applyProtection="0"/>
    <xf numFmtId="0" fontId="27" fillId="12" borderId="0" applyNumberFormat="0" applyBorder="0" applyAlignment="0" applyProtection="0"/>
    <xf numFmtId="0" fontId="27" fillId="21" borderId="0" applyNumberFormat="0" applyBorder="0" applyAlignment="0" applyProtection="0"/>
    <xf numFmtId="0" fontId="27" fillId="14"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7"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12" borderId="0" applyNumberFormat="0" applyBorder="0" applyAlignment="0" applyProtection="0"/>
    <xf numFmtId="0" fontId="27" fillId="29" borderId="0" applyNumberFormat="0" applyBorder="0" applyAlignment="0" applyProtection="0"/>
    <xf numFmtId="0" fontId="27" fillId="14" borderId="0" applyNumberFormat="0" applyBorder="0" applyAlignment="0" applyProtection="0"/>
    <xf numFmtId="0" fontId="27" fillId="30" borderId="0" applyNumberFormat="0" applyBorder="0" applyAlignment="0" applyProtection="0"/>
    <xf numFmtId="0" fontId="27" fillId="28" borderId="0" applyNumberFormat="0" applyBorder="0" applyAlignment="0" applyProtection="0"/>
    <xf numFmtId="0" fontId="27" fillId="31"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2" borderId="0" applyNumberFormat="0" applyBorder="0" applyAlignment="0" applyProtection="0"/>
    <xf numFmtId="0" fontId="27" fillId="27" borderId="0" applyNumberFormat="0" applyBorder="0" applyAlignment="0" applyProtection="0"/>
    <xf numFmtId="0" fontId="27" fillId="33"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167" fontId="5" fillId="35" borderId="0" applyNumberFormat="0" applyFont="0" applyBorder="0" applyAlignment="0">
      <alignment horizontal="right"/>
    </xf>
    <xf numFmtId="167" fontId="5" fillId="35" borderId="0" applyNumberFormat="0" applyFont="0" applyBorder="0" applyAlignment="0">
      <alignment horizontal="right"/>
    </xf>
    <xf numFmtId="0" fontId="23" fillId="0" borderId="8" applyNumberFormat="0">
      <alignment horizontal="left" vertical="center" wrapText="1"/>
    </xf>
    <xf numFmtId="0" fontId="29" fillId="24" borderId="9" applyNumberFormat="0" applyAlignment="0" applyProtection="0"/>
    <xf numFmtId="0" fontId="29" fillId="18" borderId="9" applyNumberFormat="0" applyAlignment="0" applyProtection="0"/>
    <xf numFmtId="0" fontId="30" fillId="36" borderId="10" applyNumberFormat="0" applyAlignment="0" applyProtection="0"/>
    <xf numFmtId="0" fontId="30" fillId="36" borderId="10" applyNumberFormat="0" applyAlignment="0" applyProtection="0"/>
    <xf numFmtId="168" fontId="4" fillId="0" borderId="0" applyFont="0" applyFill="0" applyBorder="0" applyAlignment="0" applyProtection="0"/>
    <xf numFmtId="168" fontId="5"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168" fontId="26" fillId="0" borderId="0" applyFont="0" applyFill="0" applyBorder="0" applyAlignment="0" applyProtection="0"/>
    <xf numFmtId="168" fontId="5"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44" fontId="4" fillId="0" borderId="0" applyFont="0" applyFill="0" applyBorder="0" applyAlignment="0" applyProtection="0"/>
    <xf numFmtId="44" fontId="5" fillId="0" borderId="0" applyFont="0" applyFill="0" applyBorder="0" applyAlignment="0" applyProtection="0"/>
    <xf numFmtId="169" fontId="26" fillId="0" borderId="0" applyFont="0" applyFill="0" applyBorder="0" applyAlignment="0" applyProtection="0"/>
    <xf numFmtId="169" fontId="4" fillId="0" borderId="0" applyFont="0" applyFill="0" applyBorder="0" applyAlignment="0" applyProtection="0"/>
    <xf numFmtId="169" fontId="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3" fillId="0" borderId="11" applyNumberFormat="0" applyFill="0" applyAlignment="0" applyProtection="0"/>
    <xf numFmtId="0" fontId="34" fillId="0" borderId="12" applyNumberFormat="0" applyFill="0" applyAlignment="0" applyProtection="0"/>
    <xf numFmtId="0" fontId="35" fillId="0" borderId="13" applyNumberFormat="0" applyFill="0" applyAlignment="0" applyProtection="0"/>
    <xf numFmtId="0" fontId="36" fillId="0" borderId="14" applyNumberFormat="0" applyFill="0" applyAlignment="0" applyProtection="0"/>
    <xf numFmtId="0" fontId="37" fillId="0" borderId="15" applyNumberFormat="0" applyFill="0" applyAlignment="0" applyProtection="0"/>
    <xf numFmtId="0" fontId="38" fillId="0" borderId="16" applyNumberFormat="0" applyFill="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14" borderId="9" applyNumberFormat="0" applyAlignment="0" applyProtection="0"/>
    <xf numFmtId="0" fontId="39" fillId="14" borderId="9" applyNumberFormat="0" applyAlignment="0" applyProtection="0"/>
    <xf numFmtId="3" fontId="5" fillId="37" borderId="0" applyNumberFormat="0" applyFont="0" applyBorder="0" applyAlignment="0">
      <alignment horizontal="right"/>
      <protection locked="0"/>
    </xf>
    <xf numFmtId="167" fontId="5" fillId="38" borderId="0" applyFont="0" applyBorder="0" applyAlignment="0">
      <alignment horizontal="right"/>
      <protection locked="0"/>
    </xf>
    <xf numFmtId="167" fontId="5" fillId="38" borderId="0" applyFont="0" applyBorder="0" applyAlignment="0">
      <alignment horizontal="right"/>
      <protection locked="0"/>
    </xf>
    <xf numFmtId="167" fontId="5" fillId="38" borderId="0" applyFont="0" applyBorder="0" applyAlignment="0">
      <alignment horizontal="right"/>
      <protection locked="0"/>
    </xf>
    <xf numFmtId="167" fontId="5" fillId="39" borderId="0" applyFont="0" applyBorder="0" applyAlignment="0">
      <alignment horizontal="right"/>
      <protection locked="0"/>
    </xf>
    <xf numFmtId="170" fontId="5" fillId="40" borderId="0" applyFont="0" applyBorder="0">
      <alignment horizontal="right"/>
      <protection locked="0"/>
    </xf>
    <xf numFmtId="167" fontId="5" fillId="41" borderId="0" applyFont="0" applyBorder="0">
      <alignment horizontal="right"/>
      <protection locked="0"/>
    </xf>
    <xf numFmtId="0" fontId="40" fillId="0" borderId="17" applyNumberFormat="0" applyFill="0" applyAlignment="0" applyProtection="0"/>
    <xf numFmtId="0" fontId="40" fillId="0" borderId="17" applyNumberFormat="0" applyFill="0" applyAlignment="0" applyProtection="0"/>
    <xf numFmtId="0" fontId="41" fillId="23" borderId="0" applyNumberFormat="0" applyBorder="0" applyAlignment="0" applyProtection="0"/>
    <xf numFmtId="0" fontId="41" fillId="23" borderId="0" applyNumberFormat="0" applyBorder="0" applyAlignment="0" applyProtection="0"/>
    <xf numFmtId="0" fontId="5" fillId="0" borderId="0"/>
    <xf numFmtId="0" fontId="5" fillId="0" borderId="0" applyFill="0"/>
    <xf numFmtId="0" fontId="5" fillId="0" borderId="0"/>
    <xf numFmtId="0" fontId="5" fillId="0" borderId="0"/>
    <xf numFmtId="0" fontId="4" fillId="0" borderId="0"/>
    <xf numFmtId="0" fontId="5" fillId="0" borderId="0"/>
    <xf numFmtId="0" fontId="5" fillId="0" borderId="0"/>
    <xf numFmtId="0" fontId="4" fillId="0" borderId="0"/>
    <xf numFmtId="0" fontId="5" fillId="0" borderId="0"/>
    <xf numFmtId="0" fontId="5" fillId="0" borderId="0"/>
    <xf numFmtId="0" fontId="5" fillId="0" borderId="0"/>
    <xf numFmtId="0" fontId="4" fillId="0" borderId="0"/>
    <xf numFmtId="0" fontId="5" fillId="0" borderId="0"/>
    <xf numFmtId="0" fontId="4" fillId="0" borderId="0"/>
    <xf numFmtId="0" fontId="4" fillId="0" borderId="0"/>
    <xf numFmtId="0" fontId="5" fillId="0" borderId="0"/>
    <xf numFmtId="0" fontId="5" fillId="0" borderId="0"/>
    <xf numFmtId="0" fontId="5" fillId="16" borderId="18" applyNumberFormat="0" applyFont="0" applyAlignment="0" applyProtection="0"/>
    <xf numFmtId="0" fontId="5" fillId="16" borderId="18" applyNumberFormat="0" applyFont="0" applyAlignment="0" applyProtection="0"/>
    <xf numFmtId="0" fontId="42" fillId="24" borderId="19" applyNumberFormat="0" applyAlignment="0" applyProtection="0"/>
    <xf numFmtId="0" fontId="42" fillId="18" borderId="19" applyNumberFormat="0" applyAlignment="0" applyProtection="0"/>
    <xf numFmtId="0" fontId="5" fillId="0" borderId="0" applyBorder="0"/>
    <xf numFmtId="9" fontId="5"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3" fillId="0" borderId="0" applyFont="0" applyFill="0" applyBorder="0" applyAlignment="0" applyProtection="0"/>
    <xf numFmtId="9" fontId="26" fillId="0" borderId="0" applyFont="0" applyFill="0" applyBorder="0" applyAlignment="0" applyProtection="0"/>
    <xf numFmtId="9" fontId="5" fillId="0" borderId="0" applyFont="0" applyFill="0" applyBorder="0" applyAlignment="0" applyProtection="0"/>
    <xf numFmtId="0" fontId="44" fillId="42" borderId="0"/>
    <xf numFmtId="0" fontId="5" fillId="0" borderId="0"/>
    <xf numFmtId="0" fontId="5" fillId="0" borderId="0"/>
    <xf numFmtId="0" fontId="5" fillId="0" borderId="0"/>
    <xf numFmtId="0" fontId="5" fillId="0" borderId="0"/>
    <xf numFmtId="0" fontId="44" fillId="10" borderId="0">
      <alignment horizontal="left" vertical="center"/>
      <protection locked="0"/>
    </xf>
    <xf numFmtId="0" fontId="45" fillId="43" borderId="0">
      <alignment vertical="center"/>
      <protection locked="0"/>
    </xf>
    <xf numFmtId="0" fontId="46" fillId="0" borderId="0" applyNumberFormat="0" applyFill="0" applyBorder="0" applyAlignment="0" applyProtection="0"/>
    <xf numFmtId="0" fontId="47" fillId="0" borderId="0" applyNumberFormat="0" applyFill="0" applyBorder="0" applyAlignment="0" applyProtection="0"/>
    <xf numFmtId="0" fontId="48" fillId="0" borderId="20" applyNumberFormat="0" applyFill="0" applyAlignment="0" applyProtection="0"/>
    <xf numFmtId="0" fontId="48" fillId="0" borderId="21" applyNumberFormat="0" applyFill="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 fillId="0" borderId="0"/>
    <xf numFmtId="0" fontId="5" fillId="0" borderId="0"/>
    <xf numFmtId="0" fontId="26" fillId="11" borderId="0" applyNumberFormat="0" applyBorder="0" applyAlignment="0" applyProtection="0"/>
    <xf numFmtId="0" fontId="26" fillId="13" borderId="0" applyNumberFormat="0" applyBorder="0" applyAlignment="0" applyProtection="0"/>
    <xf numFmtId="0" fontId="26" fillId="15" borderId="0" applyNumberFormat="0" applyBorder="0" applyAlignment="0" applyProtection="0"/>
    <xf numFmtId="0" fontId="26" fillId="17" borderId="0" applyNumberFormat="0" applyBorder="0" applyAlignment="0" applyProtection="0"/>
    <xf numFmtId="0" fontId="26" fillId="1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26" fillId="25" borderId="0" applyNumberFormat="0" applyBorder="0" applyAlignment="0" applyProtection="0"/>
    <xf numFmtId="0" fontId="27" fillId="26"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7" fillId="27" borderId="0" applyNumberFormat="0" applyBorder="0" applyAlignment="0" applyProtection="0"/>
    <xf numFmtId="0" fontId="58" fillId="44" borderId="1">
      <alignment horizontal="right"/>
    </xf>
    <xf numFmtId="172" fontId="59" fillId="44" borderId="1">
      <alignment horizontal="right" vertical="top"/>
    </xf>
    <xf numFmtId="173" fontId="59" fillId="44" borderId="1">
      <alignment horizontal="right" vertical="top"/>
    </xf>
    <xf numFmtId="174" fontId="59" fillId="44" borderId="1">
      <alignment horizontal="right" vertical="top"/>
    </xf>
    <xf numFmtId="175" fontId="6" fillId="0" borderId="0" applyBorder="0">
      <alignment vertical="center"/>
    </xf>
    <xf numFmtId="175" fontId="10" fillId="0" borderId="0" applyFill="0" applyBorder="0">
      <alignment vertical="center"/>
    </xf>
    <xf numFmtId="0" fontId="60" fillId="45" borderId="0">
      <alignment horizontal="right" vertical="top"/>
    </xf>
    <xf numFmtId="176" fontId="59" fillId="45" borderId="0">
      <alignment horizontal="right" vertical="top"/>
    </xf>
    <xf numFmtId="173" fontId="60" fillId="45" borderId="0">
      <alignment horizontal="right" vertical="top"/>
    </xf>
    <xf numFmtId="174" fontId="59" fillId="45" borderId="0">
      <alignment horizontal="right" vertical="top"/>
    </xf>
    <xf numFmtId="0" fontId="29" fillId="24" borderId="9" applyNumberFormat="0" applyAlignment="0" applyProtection="0"/>
    <xf numFmtId="0" fontId="58" fillId="46" borderId="1">
      <alignment horizontal="center"/>
    </xf>
    <xf numFmtId="167" fontId="5" fillId="0" borderId="0" applyFont="0" applyFill="0" applyBorder="0" applyAlignment="0" applyProtection="0"/>
    <xf numFmtId="167" fontId="5" fillId="0" borderId="0" applyFont="0" applyFill="0" applyBorder="0" applyAlignment="0" applyProtection="0"/>
    <xf numFmtId="168" fontId="5" fillId="0" borderId="0" applyFont="0" applyFill="0" applyBorder="0" applyAlignment="0" applyProtection="0"/>
    <xf numFmtId="168" fontId="3" fillId="0" borderId="0" applyFont="0" applyFill="0" applyBorder="0" applyAlignment="0" applyProtection="0"/>
    <xf numFmtId="168" fontId="5" fillId="0" borderId="0" applyFont="0" applyFill="0" applyBorder="0" applyAlignment="0" applyProtection="0"/>
    <xf numFmtId="168" fontId="3"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2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68" fontId="5"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8" fontId="5" fillId="0" borderId="0" applyFont="0" applyFill="0" applyBorder="0" applyAlignment="0" applyProtection="0"/>
    <xf numFmtId="178" fontId="5" fillId="0" borderId="0" applyFont="0" applyFill="0" applyBorder="0" applyAlignment="0" applyProtection="0"/>
    <xf numFmtId="178"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78" fontId="5" fillId="0" borderId="0" applyFont="0" applyFill="0" applyBorder="0" applyAlignment="0" applyProtection="0"/>
    <xf numFmtId="15" fontId="61" fillId="0" borderId="0">
      <alignment horizontal="right" vertical="top"/>
    </xf>
    <xf numFmtId="17" fontId="61" fillId="0" borderId="0">
      <alignment horizontal="right" vertical="top"/>
    </xf>
    <xf numFmtId="0" fontId="62" fillId="0" borderId="0">
      <alignment horizontal="left" vertical="top" indent="1"/>
    </xf>
    <xf numFmtId="0" fontId="58" fillId="47" borderId="1">
      <alignment horizontal="right"/>
    </xf>
    <xf numFmtId="172" fontId="59" fillId="47" borderId="1">
      <alignment horizontal="right" vertical="top"/>
    </xf>
    <xf numFmtId="173" fontId="59" fillId="47" borderId="1">
      <alignment horizontal="right" vertical="top"/>
    </xf>
    <xf numFmtId="174" fontId="59" fillId="47" borderId="1">
      <alignment horizontal="right" vertical="top"/>
    </xf>
    <xf numFmtId="0" fontId="59" fillId="0" borderId="0">
      <alignment horizontal="right" vertical="top"/>
    </xf>
    <xf numFmtId="172" fontId="60" fillId="0" borderId="0">
      <alignment vertical="top"/>
    </xf>
    <xf numFmtId="173" fontId="60" fillId="0" borderId="0">
      <alignment horizontal="right" vertical="top"/>
    </xf>
    <xf numFmtId="174" fontId="59" fillId="0" borderId="0">
      <alignment horizontal="right" vertical="top"/>
    </xf>
    <xf numFmtId="0" fontId="63" fillId="48" borderId="0" applyNumberFormat="0">
      <alignment horizontal="center" vertical="center"/>
    </xf>
    <xf numFmtId="0" fontId="33" fillId="0" borderId="11" applyNumberFormat="0" applyFill="0" applyAlignment="0" applyProtection="0"/>
    <xf numFmtId="0" fontId="35" fillId="0" borderId="13" applyNumberFormat="0" applyFill="0" applyAlignment="0" applyProtection="0"/>
    <xf numFmtId="0" fontId="37" fillId="0" borderId="15" applyNumberFormat="0" applyFill="0" applyAlignment="0" applyProtection="0"/>
    <xf numFmtId="0" fontId="37" fillId="0" borderId="0" applyNumberFormat="0" applyFill="0" applyBorder="0" applyAlignment="0" applyProtection="0"/>
    <xf numFmtId="0" fontId="64" fillId="0" borderId="0">
      <alignment horizontal="left" vertical="top"/>
    </xf>
    <xf numFmtId="0" fontId="65" fillId="0" borderId="0">
      <alignment horizontal="left" vertical="top"/>
    </xf>
    <xf numFmtId="0" fontId="66" fillId="0" borderId="0">
      <alignment horizontal="left" vertical="top"/>
    </xf>
    <xf numFmtId="175" fontId="24" fillId="0" borderId="27">
      <alignment vertical="center"/>
    </xf>
    <xf numFmtId="38" fontId="67" fillId="0" borderId="28">
      <alignment vertical="center"/>
      <protection locked="0"/>
    </xf>
    <xf numFmtId="175" fontId="6" fillId="49" borderId="29">
      <alignment vertical="center"/>
      <protection locked="0"/>
    </xf>
    <xf numFmtId="175" fontId="68" fillId="0" borderId="30">
      <alignment vertical="center"/>
      <protection locked="0"/>
    </xf>
    <xf numFmtId="0" fontId="69" fillId="0" borderId="0" applyNumberFormat="0">
      <alignment horizontal="left" vertical="top"/>
    </xf>
    <xf numFmtId="0" fontId="70" fillId="38" borderId="31" applyNumberFormat="0" applyFill="0" applyAlignment="0" applyProtection="0">
      <alignment vertical="center"/>
      <protection locked="0"/>
    </xf>
    <xf numFmtId="0" fontId="5" fillId="0" borderId="0"/>
    <xf numFmtId="0" fontId="3" fillId="0" borderId="0"/>
    <xf numFmtId="0" fontId="3" fillId="0" borderId="0"/>
    <xf numFmtId="0" fontId="3" fillId="0" borderId="0"/>
    <xf numFmtId="0" fontId="3" fillId="0" borderId="0"/>
    <xf numFmtId="0" fontId="42" fillId="24" borderId="19" applyNumberFormat="0" applyAlignment="0" applyProtection="0"/>
    <xf numFmtId="0" fontId="71" fillId="0" borderId="32">
      <alignment horizontal="left"/>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9" fontId="72" fillId="0" borderId="0">
      <alignment horizontal="left"/>
    </xf>
    <xf numFmtId="0" fontId="73" fillId="0" borderId="32">
      <alignment horizontal="left"/>
    </xf>
    <xf numFmtId="180" fontId="18" fillId="50" borderId="0" applyNumberFormat="0" applyBorder="0">
      <alignment wrapText="1"/>
    </xf>
    <xf numFmtId="180" fontId="74" fillId="51" borderId="0" applyNumberFormat="0">
      <alignment vertical="center"/>
    </xf>
    <xf numFmtId="0" fontId="46" fillId="0" borderId="0" applyNumberFormat="0" applyFill="0" applyBorder="0" applyAlignment="0" applyProtection="0"/>
    <xf numFmtId="175" fontId="10" fillId="0" borderId="33">
      <alignment vertical="center"/>
    </xf>
    <xf numFmtId="175" fontId="10" fillId="0" borderId="34">
      <alignment vertical="center"/>
    </xf>
    <xf numFmtId="175" fontId="10" fillId="0" borderId="5">
      <alignment vertical="center"/>
    </xf>
    <xf numFmtId="0" fontId="48" fillId="0" borderId="20" applyNumberFormat="0" applyFill="0" applyAlignment="0" applyProtection="0"/>
    <xf numFmtId="0" fontId="75" fillId="0" borderId="0">
      <alignment horizontal="center"/>
    </xf>
    <xf numFmtId="43" fontId="3"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16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2" fillId="9" borderId="0" applyNumberFormat="0" applyBorder="0" applyAlignment="0" applyProtection="0"/>
    <xf numFmtId="0" fontId="2" fillId="9" borderId="0" applyNumberFormat="0" applyBorder="0" applyAlignment="0" applyProtection="0"/>
    <xf numFmtId="168" fontId="2" fillId="0" borderId="0" applyFont="0" applyFill="0" applyBorder="0" applyAlignment="0" applyProtection="0"/>
    <xf numFmtId="168" fontId="2" fillId="0" borderId="0" applyFont="0" applyFill="0" applyBorder="0" applyAlignment="0" applyProtection="0"/>
    <xf numFmtId="43"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5" fillId="52" borderId="46" applyNumberFormat="0" applyFont="0" applyAlignment="0" applyProtection="0"/>
    <xf numFmtId="0" fontId="1" fillId="9" borderId="0" applyNumberFormat="0" applyBorder="0" applyAlignment="0" applyProtection="0"/>
    <xf numFmtId="0" fontId="1" fillId="9" borderId="0" applyNumberFormat="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0" applyNumberFormat="0" applyBorder="0" applyAlignment="0" applyProtection="0"/>
    <xf numFmtId="0" fontId="1" fillId="9" borderId="0" applyNumberFormat="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524">
    <xf numFmtId="0" fontId="0" fillId="0" borderId="0" xfId="0"/>
    <xf numFmtId="0" fontId="7" fillId="0" borderId="0" xfId="0" applyFont="1" applyFill="1" applyAlignment="1">
      <alignment horizontal="center"/>
    </xf>
    <xf numFmtId="0" fontId="7" fillId="0" borderId="0" xfId="0" applyFont="1"/>
    <xf numFmtId="0" fontId="7" fillId="0" borderId="0" xfId="0" applyFont="1" applyFill="1" applyBorder="1" applyAlignment="1">
      <alignment horizontal="center"/>
    </xf>
    <xf numFmtId="0" fontId="8" fillId="0" borderId="1" xfId="0" applyFont="1" applyFill="1" applyBorder="1" applyAlignment="1">
      <alignment horizontal="center" vertical="top"/>
    </xf>
    <xf numFmtId="0" fontId="12" fillId="0" borderId="0" xfId="0" applyFont="1" applyFill="1" applyAlignment="1">
      <alignment vertical="top" wrapText="1"/>
    </xf>
    <xf numFmtId="0" fontId="7" fillId="0" borderId="0" xfId="0" applyFont="1" applyAlignment="1">
      <alignment vertical="top" wrapText="1"/>
    </xf>
    <xf numFmtId="44" fontId="8" fillId="0" borderId="1" xfId="1" applyFont="1" applyFill="1" applyBorder="1" applyAlignment="1">
      <alignment horizontal="center" vertical="center" wrapText="1"/>
    </xf>
    <xf numFmtId="0" fontId="6" fillId="0" borderId="1" xfId="0" applyFont="1" applyFill="1" applyBorder="1" applyAlignment="1">
      <alignment horizontal="center" vertical="top"/>
    </xf>
    <xf numFmtId="0" fontId="8" fillId="0" borderId="1" xfId="0" applyFont="1" applyFill="1" applyBorder="1" applyAlignment="1">
      <alignment horizontal="left" vertical="top" wrapText="1"/>
    </xf>
    <xf numFmtId="0" fontId="8" fillId="0" borderId="1" xfId="0" applyFont="1" applyFill="1" applyBorder="1" applyAlignment="1">
      <alignment horizontal="left" vertical="top" wrapText="1" shrinkToFit="1"/>
    </xf>
    <xf numFmtId="0" fontId="7" fillId="0" borderId="0" xfId="0" applyFont="1" applyFill="1" applyBorder="1"/>
    <xf numFmtId="0" fontId="6" fillId="0" borderId="0" xfId="0" applyFont="1" applyFill="1" applyBorder="1" applyAlignment="1">
      <alignment horizontal="left" vertical="top" wrapText="1"/>
    </xf>
    <xf numFmtId="0" fontId="6" fillId="0" borderId="0" xfId="0" applyFont="1" applyFill="1" applyBorder="1" applyAlignment="1">
      <alignment horizontal="center" vertical="top"/>
    </xf>
    <xf numFmtId="0" fontId="6" fillId="0" borderId="1" xfId="0" applyFont="1" applyFill="1" applyBorder="1" applyAlignment="1">
      <alignment horizontal="left" vertical="top" wrapText="1" shrinkToFit="1"/>
    </xf>
    <xf numFmtId="44" fontId="8" fillId="2" borderId="1" xfId="1" applyFont="1" applyFill="1" applyBorder="1" applyAlignment="1">
      <alignment horizontal="center" vertical="center" wrapText="1"/>
    </xf>
    <xf numFmtId="44" fontId="18" fillId="2" borderId="1" xfId="0" applyNumberFormat="1" applyFont="1" applyFill="1" applyBorder="1" applyAlignment="1">
      <alignment horizontal="center" vertical="center"/>
    </xf>
    <xf numFmtId="44" fontId="18" fillId="0"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19" fillId="3" borderId="2" xfId="0" applyFont="1" applyFill="1" applyBorder="1" applyAlignment="1">
      <alignment horizontal="center" vertical="center"/>
    </xf>
    <xf numFmtId="44" fontId="21" fillId="3" borderId="2" xfId="1" applyFont="1" applyFill="1" applyBorder="1" applyAlignment="1">
      <alignment horizontal="center" vertical="center"/>
    </xf>
    <xf numFmtId="44" fontId="21" fillId="3" borderId="2" xfId="1" applyFont="1" applyFill="1" applyBorder="1" applyAlignment="1">
      <alignment horizontal="center" vertical="center" wrapText="1"/>
    </xf>
    <xf numFmtId="0" fontId="8" fillId="6" borderId="1" xfId="0" applyFont="1" applyFill="1" applyBorder="1" applyAlignment="1">
      <alignment horizontal="center" vertical="top"/>
    </xf>
    <xf numFmtId="0" fontId="8" fillId="6" borderId="1" xfId="0" applyFont="1" applyFill="1" applyBorder="1" applyAlignment="1">
      <alignment horizontal="center" vertical="center"/>
    </xf>
    <xf numFmtId="44" fontId="8" fillId="6" borderId="1" xfId="1" applyFont="1" applyFill="1" applyBorder="1" applyAlignment="1">
      <alignment horizontal="center" vertical="center" wrapText="1"/>
    </xf>
    <xf numFmtId="0" fontId="6" fillId="6" borderId="1" xfId="0" applyFont="1" applyFill="1" applyBorder="1" applyAlignment="1">
      <alignment vertical="center" wrapText="1"/>
    </xf>
    <xf numFmtId="0" fontId="8" fillId="7" borderId="3" xfId="0" applyFont="1" applyFill="1" applyBorder="1" applyAlignment="1">
      <alignment horizontal="center" vertical="center"/>
    </xf>
    <xf numFmtId="0" fontId="9" fillId="7" borderId="2" xfId="0" applyFont="1" applyFill="1" applyBorder="1" applyAlignment="1">
      <alignment horizontal="left" vertical="center"/>
    </xf>
    <xf numFmtId="0" fontId="7" fillId="7" borderId="2" xfId="0" applyFont="1" applyFill="1" applyBorder="1" applyAlignment="1">
      <alignment horizontal="left" vertical="center"/>
    </xf>
    <xf numFmtId="0" fontId="7" fillId="7" borderId="2" xfId="0" applyFont="1" applyFill="1" applyBorder="1" applyAlignment="1">
      <alignment vertical="center"/>
    </xf>
    <xf numFmtId="0" fontId="7" fillId="7" borderId="2" xfId="0" applyFont="1" applyFill="1" applyBorder="1" applyAlignment="1">
      <alignment horizontal="center" vertical="center"/>
    </xf>
    <xf numFmtId="0" fontId="8" fillId="4" borderId="1" xfId="0" applyFont="1" applyFill="1" applyBorder="1" applyAlignment="1">
      <alignment horizontal="center" vertical="top"/>
    </xf>
    <xf numFmtId="0" fontId="8"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8" fillId="4" borderId="1" xfId="0" applyFont="1" applyFill="1" applyBorder="1" applyAlignment="1">
      <alignment horizontal="center" vertical="center"/>
    </xf>
    <xf numFmtId="44" fontId="8" fillId="4" borderId="1" xfId="1" applyFont="1" applyFill="1" applyBorder="1" applyAlignment="1">
      <alignment horizontal="center" vertical="center" wrapText="1"/>
    </xf>
    <xf numFmtId="0" fontId="6" fillId="4" borderId="1" xfId="0" applyFont="1" applyFill="1" applyBorder="1" applyAlignment="1">
      <alignment vertical="center" wrapText="1"/>
    </xf>
    <xf numFmtId="44" fontId="18" fillId="4" borderId="1" xfId="0" applyNumberFormat="1" applyFont="1" applyFill="1" applyBorder="1" applyAlignment="1">
      <alignment horizontal="center" vertical="center" wrapText="1"/>
    </xf>
    <xf numFmtId="44" fontId="18" fillId="4" borderId="1" xfId="0" applyNumberFormat="1" applyFont="1" applyFill="1" applyBorder="1" applyAlignment="1">
      <alignment horizontal="center" vertical="center"/>
    </xf>
    <xf numFmtId="0" fontId="8" fillId="4" borderId="1" xfId="0" applyFont="1" applyFill="1" applyBorder="1" applyAlignment="1">
      <alignment horizontal="left" vertical="top" wrapText="1" shrinkToFit="1"/>
    </xf>
    <xf numFmtId="0" fontId="6" fillId="4" borderId="1" xfId="0" applyFont="1" applyFill="1" applyBorder="1" applyAlignment="1">
      <alignment horizontal="center" vertical="top"/>
    </xf>
    <xf numFmtId="0" fontId="8" fillId="6" borderId="1" xfId="0" applyFont="1" applyFill="1" applyBorder="1" applyAlignment="1">
      <alignment horizontal="left" vertical="top" wrapText="1" shrinkToFit="1"/>
    </xf>
    <xf numFmtId="0" fontId="7" fillId="6" borderId="1" xfId="0" applyFont="1" applyFill="1" applyBorder="1" applyAlignment="1">
      <alignment vertical="top" wrapText="1"/>
    </xf>
    <xf numFmtId="0" fontId="7" fillId="4" borderId="1" xfId="0" applyFont="1" applyFill="1" applyBorder="1" applyAlignment="1">
      <alignment vertical="top" wrapText="1"/>
    </xf>
    <xf numFmtId="0" fontId="6" fillId="6" borderId="1" xfId="0" applyFont="1" applyFill="1" applyBorder="1" applyAlignment="1">
      <alignment horizontal="center" vertical="top"/>
    </xf>
    <xf numFmtId="44" fontId="6" fillId="6" borderId="1" xfId="1" applyFont="1" applyFill="1" applyBorder="1" applyAlignment="1">
      <alignment horizontal="center" vertical="center" wrapText="1"/>
    </xf>
    <xf numFmtId="0" fontId="8" fillId="8" borderId="3" xfId="0" applyFont="1" applyFill="1" applyBorder="1" applyAlignment="1">
      <alignment horizontal="center" vertical="center"/>
    </xf>
    <xf numFmtId="0" fontId="9" fillId="8" borderId="2" xfId="0" applyFont="1" applyFill="1" applyBorder="1" applyAlignment="1">
      <alignment horizontal="left" vertical="center"/>
    </xf>
    <xf numFmtId="0" fontId="10" fillId="8" borderId="2" xfId="0" applyFont="1" applyFill="1" applyBorder="1" applyAlignment="1">
      <alignment horizontal="left" vertical="center"/>
    </xf>
    <xf numFmtId="0" fontId="8" fillId="8" borderId="2" xfId="0" applyFont="1" applyFill="1" applyBorder="1" applyAlignment="1">
      <alignment horizontal="center" vertical="center"/>
    </xf>
    <xf numFmtId="44" fontId="7" fillId="8" borderId="2" xfId="1" applyFont="1" applyFill="1" applyBorder="1" applyAlignment="1">
      <alignment horizontal="center" vertical="center"/>
    </xf>
    <xf numFmtId="44" fontId="7" fillId="8" borderId="2" xfId="1" applyFont="1" applyFill="1" applyBorder="1" applyAlignment="1">
      <alignment horizontal="center" vertical="center" wrapText="1"/>
    </xf>
    <xf numFmtId="44" fontId="6" fillId="4" borderId="1" xfId="1" applyFont="1" applyFill="1" applyBorder="1" applyAlignment="1">
      <alignment horizontal="center"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shrinkToFit="1"/>
    </xf>
    <xf numFmtId="4" fontId="8" fillId="6" borderId="1" xfId="1" applyNumberFormat="1" applyFont="1" applyFill="1" applyBorder="1" applyAlignment="1">
      <alignment horizontal="center" vertical="center"/>
    </xf>
    <xf numFmtId="4" fontId="8" fillId="5" borderId="1" xfId="0" applyNumberFormat="1" applyFont="1" applyFill="1" applyBorder="1" applyAlignment="1">
      <alignment horizontal="center" vertical="center"/>
    </xf>
    <xf numFmtId="7" fontId="8" fillId="0" borderId="1" xfId="1" applyNumberFormat="1" applyFont="1" applyFill="1" applyBorder="1" applyAlignment="1">
      <alignment horizontal="center" vertical="center"/>
    </xf>
    <xf numFmtId="7" fontId="8" fillId="4" borderId="1" xfId="1" applyNumberFormat="1" applyFont="1" applyFill="1" applyBorder="1" applyAlignment="1">
      <alignment horizontal="center" vertical="center"/>
    </xf>
    <xf numFmtId="7" fontId="8" fillId="5" borderId="1" xfId="1" applyNumberFormat="1" applyFont="1" applyFill="1" applyBorder="1" applyAlignment="1">
      <alignment horizontal="center" vertical="center"/>
    </xf>
    <xf numFmtId="7" fontId="8" fillId="6" borderId="1" xfId="1" applyNumberFormat="1" applyFont="1" applyFill="1" applyBorder="1" applyAlignment="1">
      <alignment horizontal="center" vertical="center"/>
    </xf>
    <xf numFmtId="164" fontId="6" fillId="0" borderId="1" xfId="1" applyNumberFormat="1" applyFont="1" applyFill="1" applyBorder="1" applyAlignment="1">
      <alignment horizontal="center" vertical="center"/>
    </xf>
    <xf numFmtId="165" fontId="8" fillId="0" borderId="1" xfId="1" applyNumberFormat="1" applyFont="1" applyFill="1" applyBorder="1" applyAlignment="1">
      <alignment horizontal="center" vertical="center"/>
    </xf>
    <xf numFmtId="166" fontId="8" fillId="6" borderId="1" xfId="1" applyNumberFormat="1" applyFont="1" applyFill="1" applyBorder="1" applyAlignment="1">
      <alignment horizontal="center" vertical="center"/>
    </xf>
    <xf numFmtId="44" fontId="6" fillId="0" borderId="1" xfId="1" applyFont="1" applyFill="1" applyBorder="1" applyAlignment="1">
      <alignment horizontal="center" vertical="center" wrapText="1"/>
    </xf>
    <xf numFmtId="0" fontId="6" fillId="0" borderId="1" xfId="0" applyFont="1" applyFill="1" applyBorder="1" applyAlignment="1">
      <alignment vertical="center" wrapText="1"/>
    </xf>
    <xf numFmtId="0" fontId="6" fillId="6" borderId="1" xfId="0" applyFont="1" applyFill="1" applyBorder="1" applyAlignment="1">
      <alignment horizontal="center" vertical="center"/>
    </xf>
    <xf numFmtId="0" fontId="12" fillId="0" borderId="0" xfId="0" applyFont="1" applyFill="1" applyAlignment="1">
      <alignment horizontal="center" vertical="top" wrapText="1"/>
    </xf>
    <xf numFmtId="0" fontId="16" fillId="3"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4" fontId="18" fillId="6" borderId="1" xfId="0" applyNumberFormat="1" applyFont="1" applyFill="1" applyBorder="1" applyAlignment="1">
      <alignment horizontal="center" vertical="center"/>
    </xf>
    <xf numFmtId="171" fontId="8" fillId="0" borderId="1" xfId="1" applyNumberFormat="1" applyFont="1" applyFill="1" applyBorder="1" applyAlignment="1">
      <alignment horizontal="center" vertical="center"/>
    </xf>
    <xf numFmtId="44" fontId="6" fillId="6" borderId="1" xfId="0" applyNumberFormat="1" applyFont="1" applyFill="1" applyBorder="1" applyAlignment="1">
      <alignment horizontal="center" vertical="center"/>
    </xf>
    <xf numFmtId="0" fontId="7" fillId="0" borderId="0" xfId="0" applyFont="1" applyFill="1" applyBorder="1" applyAlignment="1">
      <alignment horizontal="center" vertical="center"/>
    </xf>
    <xf numFmtId="0" fontId="6" fillId="0" borderId="0" xfId="0" applyFont="1" applyAlignment="1">
      <alignment horizontal="center" vertical="center"/>
    </xf>
    <xf numFmtId="1" fontId="7" fillId="0" borderId="0" xfId="0" applyNumberFormat="1" applyFont="1"/>
    <xf numFmtId="1" fontId="7" fillId="7" borderId="2" xfId="0" applyNumberFormat="1" applyFont="1" applyFill="1" applyBorder="1" applyAlignment="1">
      <alignment vertical="center"/>
    </xf>
    <xf numFmtId="1" fontId="6" fillId="0" borderId="1" xfId="0" applyNumberFormat="1" applyFont="1" applyFill="1" applyBorder="1" applyAlignment="1">
      <alignment horizontal="center" vertical="center"/>
    </xf>
    <xf numFmtId="1" fontId="8" fillId="0" borderId="1" xfId="0" applyNumberFormat="1" applyFont="1" applyFill="1" applyBorder="1" applyAlignment="1">
      <alignment horizontal="center" vertical="center"/>
    </xf>
    <xf numFmtId="1" fontId="8" fillId="4" borderId="1" xfId="0" applyNumberFormat="1" applyFont="1" applyFill="1" applyBorder="1" applyAlignment="1">
      <alignment horizontal="center" vertical="center"/>
    </xf>
    <xf numFmtId="1" fontId="8" fillId="6" borderId="1" xfId="0" applyNumberFormat="1" applyFont="1" applyFill="1" applyBorder="1" applyAlignment="1">
      <alignment horizontal="center" vertical="center"/>
    </xf>
    <xf numFmtId="1" fontId="8" fillId="8" borderId="2" xfId="0" applyNumberFormat="1" applyFont="1" applyFill="1" applyBorder="1" applyAlignment="1">
      <alignment horizontal="center" vertical="center"/>
    </xf>
    <xf numFmtId="1" fontId="18" fillId="0" borderId="1" xfId="0" applyNumberFormat="1" applyFont="1" applyFill="1" applyBorder="1" applyAlignment="1">
      <alignment horizontal="center" vertical="center"/>
    </xf>
    <xf numFmtId="1" fontId="6" fillId="6" borderId="1" xfId="0" applyNumberFormat="1" applyFont="1" applyFill="1" applyBorder="1" applyAlignment="1">
      <alignment horizontal="center" vertical="center"/>
    </xf>
    <xf numFmtId="1" fontId="18" fillId="6" borderId="1" xfId="0" applyNumberFormat="1" applyFont="1" applyFill="1" applyBorder="1" applyAlignment="1">
      <alignment horizontal="center" vertical="center"/>
    </xf>
    <xf numFmtId="1" fontId="6" fillId="4" borderId="1" xfId="0" applyNumberFormat="1" applyFont="1" applyFill="1" applyBorder="1" applyAlignment="1">
      <alignment horizontal="center" vertical="center" wrapText="1"/>
    </xf>
    <xf numFmtId="1" fontId="6" fillId="0" borderId="1" xfId="0" applyNumberFormat="1" applyFont="1" applyFill="1" applyBorder="1" applyAlignment="1">
      <alignment horizontal="center" vertical="center" wrapText="1" shrinkToFit="1"/>
    </xf>
    <xf numFmtId="1" fontId="19" fillId="3" borderId="2" xfId="0" applyNumberFormat="1" applyFont="1" applyFill="1" applyBorder="1" applyAlignment="1">
      <alignment horizontal="center" vertical="center"/>
    </xf>
    <xf numFmtId="0" fontId="52" fillId="2" borderId="0" xfId="158" applyFont="1" applyFill="1" applyBorder="1" applyAlignment="1" applyProtection="1">
      <alignment vertical="top"/>
    </xf>
    <xf numFmtId="0" fontId="5" fillId="2" borderId="0" xfId="159" applyFill="1"/>
    <xf numFmtId="0" fontId="53" fillId="2" borderId="0" xfId="159" applyFont="1" applyFill="1"/>
    <xf numFmtId="0" fontId="52" fillId="2" borderId="0" xfId="158" applyFont="1" applyFill="1" applyBorder="1" applyAlignment="1" applyProtection="1">
      <alignment vertical="center"/>
    </xf>
    <xf numFmtId="0" fontId="54" fillId="2" borderId="0" xfId="117" applyFont="1" applyFill="1" applyProtection="1"/>
    <xf numFmtId="0" fontId="12" fillId="2" borderId="0" xfId="159" applyFont="1" applyFill="1"/>
    <xf numFmtId="0" fontId="76" fillId="2" borderId="0" xfId="159" applyFont="1" applyFill="1" applyBorder="1"/>
    <xf numFmtId="0" fontId="77" fillId="2" borderId="0" xfId="115" applyFont="1" applyFill="1" applyBorder="1" applyAlignment="1">
      <alignment horizontal="center" vertical="top"/>
    </xf>
    <xf numFmtId="0" fontId="6" fillId="0" borderId="0" xfId="0" applyFont="1" applyFill="1" applyBorder="1" applyAlignment="1">
      <alignment horizontal="center" vertical="center"/>
    </xf>
    <xf numFmtId="0" fontId="76" fillId="2" borderId="0" xfId="159" applyFont="1" applyFill="1"/>
    <xf numFmtId="0" fontId="6" fillId="0" borderId="1" xfId="0" applyFont="1" applyBorder="1" applyAlignment="1">
      <alignment horizontal="center" vertical="center"/>
    </xf>
    <xf numFmtId="0" fontId="5" fillId="2" borderId="0" xfId="159" applyFill="1"/>
    <xf numFmtId="0" fontId="5" fillId="2" borderId="0" xfId="159" applyFill="1"/>
    <xf numFmtId="0" fontId="53" fillId="2" borderId="0" xfId="159" applyFont="1" applyFill="1"/>
    <xf numFmtId="0" fontId="5" fillId="2" borderId="0" xfId="159" applyFill="1"/>
    <xf numFmtId="0" fontId="57" fillId="2" borderId="22" xfId="159" applyFont="1" applyFill="1" applyBorder="1" applyAlignment="1">
      <alignment vertical="center" wrapText="1"/>
    </xf>
    <xf numFmtId="7" fontId="6"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44" fontId="6" fillId="0" borderId="0" xfId="1" applyFont="1" applyFill="1" applyBorder="1" applyAlignment="1">
      <alignment horizontal="center" vertical="center" wrapText="1"/>
    </xf>
    <xf numFmtId="164" fontId="6" fillId="0" borderId="0" xfId="1" applyNumberFormat="1" applyFont="1" applyFill="1" applyBorder="1" applyAlignment="1">
      <alignment horizontal="center" vertical="center"/>
    </xf>
    <xf numFmtId="165" fontId="6" fillId="0" borderId="0" xfId="1" applyNumberFormat="1" applyFont="1" applyFill="1" applyBorder="1" applyAlignment="1">
      <alignment horizontal="center" vertical="center"/>
    </xf>
    <xf numFmtId="171" fontId="6" fillId="0" borderId="0" xfId="1" applyNumberFormat="1" applyFont="1" applyFill="1" applyBorder="1" applyAlignment="1">
      <alignment horizontal="center" vertical="center"/>
    </xf>
    <xf numFmtId="44" fontId="5" fillId="0" borderId="0" xfId="1" applyFont="1" applyFill="1" applyBorder="1" applyAlignment="1">
      <alignment horizontal="center" vertical="center"/>
    </xf>
    <xf numFmtId="4" fontId="6" fillId="0" borderId="0" xfId="0" applyNumberFormat="1" applyFont="1" applyFill="1" applyBorder="1" applyAlignment="1">
      <alignment horizontal="center" vertical="center"/>
    </xf>
    <xf numFmtId="4" fontId="6" fillId="0" borderId="0" xfId="1" applyNumberFormat="1" applyFont="1" applyFill="1" applyBorder="1" applyAlignment="1">
      <alignment horizontal="center" vertical="center"/>
    </xf>
    <xf numFmtId="44" fontId="21" fillId="0" borderId="0" xfId="1" applyFont="1" applyFill="1" applyBorder="1" applyAlignment="1">
      <alignment horizontal="center" vertical="center"/>
    </xf>
    <xf numFmtId="0" fontId="6" fillId="0" borderId="0" xfId="0" applyFont="1" applyFill="1" applyBorder="1" applyAlignment="1">
      <alignment horizontal="center" vertical="center" wrapText="1"/>
    </xf>
    <xf numFmtId="0" fontId="79" fillId="0" borderId="0" xfId="0" applyFont="1" applyFill="1" applyBorder="1" applyAlignment="1">
      <alignment vertical="center"/>
    </xf>
    <xf numFmtId="0" fontId="7" fillId="0" borderId="0" xfId="0" applyFont="1" applyFill="1" applyBorder="1" applyAlignment="1">
      <alignment vertical="center"/>
    </xf>
    <xf numFmtId="0" fontId="9" fillId="0" borderId="0" xfId="0" applyFont="1" applyFill="1" applyBorder="1" applyAlignment="1">
      <alignment horizontal="center" vertical="center"/>
    </xf>
    <xf numFmtId="0" fontId="5" fillId="0" borderId="0" xfId="0" applyFont="1" applyFill="1" applyBorder="1" applyAlignment="1">
      <alignment vertical="center"/>
    </xf>
    <xf numFmtId="0" fontId="16" fillId="0" borderId="0" xfId="0" applyFont="1" applyFill="1" applyBorder="1" applyAlignment="1">
      <alignment horizontal="center" vertical="center" wrapText="1"/>
    </xf>
    <xf numFmtId="0" fontId="16" fillId="0" borderId="0" xfId="0" applyFont="1" applyFill="1" applyBorder="1" applyAlignment="1">
      <alignment horizontal="center" vertical="center"/>
    </xf>
    <xf numFmtId="1" fontId="6" fillId="0" borderId="0" xfId="0" applyNumberFormat="1" applyFont="1" applyFill="1" applyBorder="1" applyAlignment="1">
      <alignment horizontal="center" vertical="center"/>
    </xf>
    <xf numFmtId="0" fontId="6" fillId="0" borderId="0" xfId="0" applyFont="1" applyFill="1" applyBorder="1" applyAlignment="1">
      <alignment vertical="center" wrapText="1"/>
    </xf>
    <xf numFmtId="0" fontId="9" fillId="0" borderId="0" xfId="0" applyFont="1" applyFill="1" applyBorder="1" applyAlignment="1">
      <alignment horizontal="left" vertical="center"/>
    </xf>
    <xf numFmtId="0" fontId="10" fillId="0" borderId="0" xfId="0" applyFont="1" applyFill="1" applyBorder="1" applyAlignment="1">
      <alignment horizontal="left" vertical="center"/>
    </xf>
    <xf numFmtId="44" fontId="5" fillId="0" borderId="0" xfId="1" applyFont="1" applyFill="1" applyBorder="1" applyAlignment="1">
      <alignment horizontal="center" vertical="center" wrapText="1"/>
    </xf>
    <xf numFmtId="0" fontId="6" fillId="0" borderId="0" xfId="0" applyFont="1" applyFill="1" applyBorder="1" applyAlignment="1">
      <alignment horizontal="left" vertical="top" wrapText="1" shrinkToFit="1"/>
    </xf>
    <xf numFmtId="44" fontId="18" fillId="0" borderId="0" xfId="0" applyNumberFormat="1" applyFont="1" applyFill="1" applyBorder="1" applyAlignment="1">
      <alignment horizontal="center" vertical="center" wrapText="1"/>
    </xf>
    <xf numFmtId="44" fontId="18" fillId="0" borderId="0" xfId="0" applyNumberFormat="1" applyFont="1" applyFill="1" applyBorder="1" applyAlignment="1">
      <alignment horizontal="center" vertical="center"/>
    </xf>
    <xf numFmtId="1" fontId="6" fillId="0" borderId="0" xfId="0" applyNumberFormat="1" applyFont="1" applyFill="1" applyBorder="1" applyAlignment="1">
      <alignment horizontal="center" vertical="center" wrapText="1"/>
    </xf>
    <xf numFmtId="0" fontId="24" fillId="0" borderId="0" xfId="0" applyFont="1" applyFill="1" applyBorder="1" applyAlignment="1">
      <alignment vertical="center" wrapText="1"/>
    </xf>
    <xf numFmtId="1" fontId="18" fillId="0" borderId="0" xfId="0" applyNumberFormat="1" applyFont="1" applyFill="1" applyBorder="1" applyAlignment="1">
      <alignment horizontal="center" vertical="center"/>
    </xf>
    <xf numFmtId="0" fontId="18" fillId="0" borderId="0" xfId="0" applyFont="1" applyFill="1" applyBorder="1" applyAlignment="1">
      <alignment vertical="top" wrapText="1"/>
    </xf>
    <xf numFmtId="49" fontId="6" fillId="0" borderId="0" xfId="0" applyNumberFormat="1" applyFont="1" applyFill="1" applyBorder="1" applyAlignment="1">
      <alignment horizontal="center" vertical="center" wrapText="1" shrinkToFit="1"/>
    </xf>
    <xf numFmtId="1" fontId="6" fillId="0" borderId="0" xfId="0" applyNumberFormat="1" applyFont="1" applyFill="1" applyBorder="1" applyAlignment="1">
      <alignment horizontal="center" vertical="center" wrapText="1" shrinkToFit="1"/>
    </xf>
    <xf numFmtId="0" fontId="19" fillId="0" borderId="0" xfId="0" applyFont="1" applyFill="1" applyBorder="1" applyAlignment="1">
      <alignment horizontal="center" vertical="center"/>
    </xf>
    <xf numFmtId="0" fontId="17" fillId="0" borderId="0" xfId="0" applyFont="1" applyFill="1" applyBorder="1" applyAlignment="1">
      <alignment horizontal="left" vertical="center"/>
    </xf>
    <xf numFmtId="0" fontId="20" fillId="0" borderId="0" xfId="0" applyFont="1" applyFill="1" applyBorder="1" applyAlignment="1">
      <alignment horizontal="left" vertical="center"/>
    </xf>
    <xf numFmtId="1" fontId="19" fillId="0" borderId="0" xfId="0" applyNumberFormat="1" applyFont="1" applyFill="1" applyBorder="1" applyAlignment="1">
      <alignment horizontal="center" vertical="center"/>
    </xf>
    <xf numFmtId="44" fontId="21" fillId="0" borderId="0" xfId="1" applyFont="1" applyFill="1" applyBorder="1" applyAlignment="1">
      <alignment horizontal="center" vertical="center" wrapText="1"/>
    </xf>
    <xf numFmtId="0" fontId="19" fillId="0" borderId="0" xfId="0" applyFont="1" applyFill="1" applyBorder="1" applyAlignment="1">
      <alignment vertical="center" wrapText="1"/>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0" fillId="2" borderId="0" xfId="0" applyFill="1"/>
    <xf numFmtId="0" fontId="5" fillId="2" borderId="0" xfId="0" applyFont="1" applyFill="1" applyAlignment="1">
      <alignment horizontal="center"/>
    </xf>
    <xf numFmtId="0" fontId="5" fillId="2" borderId="0" xfId="0" applyFont="1" applyFill="1"/>
    <xf numFmtId="1" fontId="5" fillId="2" borderId="0" xfId="0" applyNumberFormat="1" applyFont="1" applyFill="1"/>
    <xf numFmtId="44" fontId="6" fillId="0" borderId="0" xfId="1"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55" fillId="3" borderId="39" xfId="159" applyFont="1" applyFill="1" applyBorder="1" applyAlignment="1">
      <alignment vertical="center" wrapText="1"/>
    </xf>
    <xf numFmtId="0" fontId="53" fillId="2" borderId="0" xfId="0" applyFont="1" applyFill="1"/>
    <xf numFmtId="44" fontId="6" fillId="0" borderId="0" xfId="1" applyFont="1" applyFill="1" applyBorder="1" applyAlignment="1">
      <alignment horizontal="center" vertical="center" wrapText="1"/>
    </xf>
    <xf numFmtId="0" fontId="6" fillId="4" borderId="1" xfId="115" applyFont="1" applyFill="1" applyBorder="1" applyAlignment="1">
      <alignment horizontal="center" vertical="top"/>
    </xf>
    <xf numFmtId="44" fontId="6" fillId="0" borderId="0" xfId="1" applyFont="1" applyFill="1" applyBorder="1" applyAlignment="1">
      <alignment horizontal="center" vertical="center" wrapText="1"/>
    </xf>
    <xf numFmtId="0" fontId="6" fillId="6" borderId="1" xfId="115" applyFont="1" applyFill="1" applyBorder="1" applyAlignment="1">
      <alignment horizontal="left" vertical="top" wrapText="1" shrinkToFit="1"/>
    </xf>
    <xf numFmtId="0" fontId="83" fillId="0" borderId="0" xfId="0" applyFont="1" applyFill="1" applyBorder="1" applyAlignment="1">
      <alignment horizontal="left"/>
    </xf>
    <xf numFmtId="0" fontId="6" fillId="0" borderId="1" xfId="115" applyFont="1" applyFill="1" applyBorder="1" applyAlignment="1">
      <alignment horizontal="left" vertical="top" wrapText="1"/>
    </xf>
    <xf numFmtId="0" fontId="6" fillId="0" borderId="1" xfId="115" applyFont="1" applyFill="1" applyBorder="1" applyAlignment="1">
      <alignment horizontal="left" vertical="top" wrapText="1" shrinkToFit="1"/>
    </xf>
    <xf numFmtId="0" fontId="20" fillId="3" borderId="2" xfId="115" applyFont="1" applyFill="1" applyBorder="1" applyAlignment="1">
      <alignment horizontal="left" vertical="center"/>
    </xf>
    <xf numFmtId="0" fontId="6" fillId="6" borderId="1" xfId="115" applyFont="1" applyFill="1" applyBorder="1" applyAlignment="1">
      <alignment horizontal="left" vertical="top" wrapText="1"/>
    </xf>
    <xf numFmtId="0" fontId="6" fillId="4" borderId="1" xfId="115" applyFont="1" applyFill="1" applyBorder="1" applyAlignment="1">
      <alignment horizontal="left" vertical="top" wrapText="1"/>
    </xf>
    <xf numFmtId="0" fontId="18" fillId="2" borderId="1" xfId="115" applyFont="1" applyFill="1" applyBorder="1" applyAlignment="1">
      <alignment vertical="top" wrapText="1"/>
    </xf>
    <xf numFmtId="44" fontId="6" fillId="0" borderId="0" xfId="1"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6" borderId="1" xfId="0" applyFont="1" applyFill="1" applyBorder="1" applyAlignment="1">
      <alignment horizontal="left" vertical="top" wrapText="1"/>
    </xf>
    <xf numFmtId="0" fontId="18" fillId="6" borderId="1" xfId="0" applyFont="1" applyFill="1" applyBorder="1" applyAlignment="1">
      <alignment vertical="top" wrapText="1"/>
    </xf>
    <xf numFmtId="0" fontId="6" fillId="6" borderId="1" xfId="0" applyFont="1" applyFill="1" applyBorder="1" applyAlignment="1">
      <alignment vertical="top" wrapText="1"/>
    </xf>
    <xf numFmtId="0" fontId="18" fillId="6" borderId="1" xfId="2" applyFont="1" applyFill="1" applyBorder="1" applyAlignment="1">
      <alignment vertical="top" wrapText="1"/>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55" fillId="3" borderId="39" xfId="159" applyFont="1" applyFill="1" applyBorder="1" applyAlignment="1">
      <alignment horizontal="center" vertical="center" wrapText="1"/>
    </xf>
    <xf numFmtId="0" fontId="9" fillId="2" borderId="0" xfId="0" applyFont="1" applyFill="1"/>
    <xf numFmtId="0" fontId="85" fillId="2" borderId="0" xfId="0" applyFont="1" applyFill="1" applyAlignment="1">
      <alignment horizontal="center"/>
    </xf>
    <xf numFmtId="0" fontId="5" fillId="2" borderId="0" xfId="0" applyFont="1" applyFill="1" applyAlignment="1">
      <alignment horizontal="right"/>
    </xf>
    <xf numFmtId="0" fontId="76" fillId="2" borderId="56" xfId="159" applyFont="1" applyFill="1" applyBorder="1"/>
    <xf numFmtId="0" fontId="53" fillId="2" borderId="0" xfId="0" applyFont="1" applyFill="1" applyAlignment="1">
      <alignment horizontal="right"/>
    </xf>
    <xf numFmtId="0" fontId="52" fillId="2" borderId="0" xfId="158" applyFont="1" applyFill="1" applyBorder="1" applyAlignment="1" applyProtection="1">
      <alignment horizontal="left" vertical="center"/>
    </xf>
    <xf numFmtId="4" fontId="84" fillId="2" borderId="0" xfId="159" applyNumberFormat="1" applyFont="1" applyFill="1" applyBorder="1" applyAlignment="1">
      <alignment horizontal="right" vertical="center" wrapText="1"/>
    </xf>
    <xf numFmtId="0" fontId="5" fillId="2" borderId="68" xfId="159" applyFill="1" applyBorder="1"/>
    <xf numFmtId="0" fontId="0" fillId="2" borderId="0" xfId="0" applyFill="1" applyAlignment="1">
      <alignment horizontal="left"/>
    </xf>
    <xf numFmtId="0" fontId="52" fillId="2" borderId="0" xfId="158" applyFont="1" applyFill="1" applyBorder="1" applyAlignment="1" applyProtection="1">
      <alignment horizontal="left" vertical="top"/>
    </xf>
    <xf numFmtId="0" fontId="0" fillId="2" borderId="0" xfId="0" applyFill="1" applyAlignment="1">
      <alignment horizontal="center"/>
    </xf>
    <xf numFmtId="0" fontId="55" fillId="3" borderId="39" xfId="159" applyFont="1" applyFill="1" applyBorder="1" applyAlignment="1">
      <alignment horizontal="left" vertical="center" wrapText="1"/>
    </xf>
    <xf numFmtId="4" fontId="0" fillId="2" borderId="0" xfId="0" applyNumberFormat="1" applyFill="1" applyAlignment="1">
      <alignment horizontal="center"/>
    </xf>
    <xf numFmtId="181" fontId="57" fillId="2" borderId="22" xfId="159" applyNumberFormat="1" applyFont="1" applyFill="1" applyBorder="1" applyAlignment="1">
      <alignment vertical="center" wrapText="1"/>
    </xf>
    <xf numFmtId="0" fontId="53" fillId="53" borderId="0" xfId="0" applyFont="1" applyFill="1" applyAlignment="1">
      <alignment horizontal="right"/>
    </xf>
    <xf numFmtId="0" fontId="0" fillId="2" borderId="0" xfId="0" applyFill="1" applyAlignment="1">
      <alignment horizontal="right"/>
    </xf>
    <xf numFmtId="0" fontId="55" fillId="2" borderId="0" xfId="159" applyFont="1" applyFill="1" applyBorder="1" applyAlignment="1">
      <alignment horizontal="right" vertical="center" wrapText="1"/>
    </xf>
    <xf numFmtId="0" fontId="5" fillId="2" borderId="47" xfId="159" applyFill="1" applyBorder="1"/>
    <xf numFmtId="0" fontId="85" fillId="2" borderId="0" xfId="0" applyFont="1" applyFill="1" applyAlignment="1">
      <alignment horizontal="right"/>
    </xf>
    <xf numFmtId="1" fontId="57" fillId="2" borderId="22" xfId="159" applyNumberFormat="1" applyFont="1" applyFill="1" applyBorder="1" applyAlignment="1">
      <alignment horizontal="center" vertical="center" wrapText="1"/>
    </xf>
    <xf numFmtId="0" fontId="57" fillId="2" borderId="22" xfId="159" applyFont="1" applyFill="1" applyBorder="1" applyAlignment="1">
      <alignment horizontal="center" vertical="center" wrapText="1"/>
    </xf>
    <xf numFmtId="0" fontId="57" fillId="2" borderId="22" xfId="159" applyFont="1" applyFill="1" applyBorder="1" applyAlignment="1">
      <alignment horizontal="left" vertical="center" wrapText="1"/>
    </xf>
    <xf numFmtId="0" fontId="57" fillId="2" borderId="0" xfId="159" applyFont="1" applyFill="1" applyBorder="1" applyAlignment="1">
      <alignment horizontal="right" vertical="center" wrapText="1"/>
    </xf>
    <xf numFmtId="4" fontId="84" fillId="53" borderId="22" xfId="159" applyNumberFormat="1" applyFont="1" applyFill="1" applyBorder="1" applyAlignment="1">
      <alignment horizontal="right" vertical="center" wrapText="1"/>
    </xf>
    <xf numFmtId="4" fontId="57" fillId="2" borderId="0" xfId="159" applyNumberFormat="1" applyFont="1" applyFill="1" applyBorder="1" applyAlignment="1">
      <alignment horizontal="right" vertical="center" wrapText="1"/>
    </xf>
    <xf numFmtId="4" fontId="57" fillId="2" borderId="22" xfId="159" quotePrefix="1" applyNumberFormat="1" applyFont="1" applyFill="1" applyBorder="1" applyAlignment="1">
      <alignment horizontal="right" vertical="center" wrapText="1"/>
    </xf>
    <xf numFmtId="4" fontId="57" fillId="2" borderId="22" xfId="159" applyNumberFormat="1" applyFont="1" applyFill="1" applyBorder="1" applyAlignment="1">
      <alignment horizontal="right" vertical="center" wrapText="1"/>
    </xf>
    <xf numFmtId="0" fontId="57" fillId="2" borderId="22" xfId="159" applyFont="1" applyFill="1" applyBorder="1" applyAlignment="1">
      <alignment horizontal="right" vertical="center" wrapText="1"/>
    </xf>
    <xf numFmtId="0" fontId="55" fillId="3" borderId="39" xfId="159" applyFont="1" applyFill="1" applyBorder="1" applyAlignment="1">
      <alignment horizontal="right" vertical="center" wrapText="1"/>
    </xf>
    <xf numFmtId="0" fontId="5" fillId="2" borderId="0" xfId="0" applyFont="1" applyFill="1" applyAlignment="1">
      <alignment horizontal="left"/>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56" xfId="115" applyFont="1" applyFill="1" applyBorder="1" applyAlignment="1">
      <alignment horizontal="center" vertical="top"/>
    </xf>
    <xf numFmtId="0" fontId="77" fillId="2" borderId="0" xfId="115" applyFont="1" applyFill="1" applyBorder="1" applyAlignment="1">
      <alignment horizontal="center" vertical="top"/>
    </xf>
    <xf numFmtId="0" fontId="77" fillId="2" borderId="0" xfId="115" applyFont="1" applyFill="1" applyBorder="1" applyAlignment="1">
      <alignment horizontal="center" vertical="top"/>
    </xf>
    <xf numFmtId="0" fontId="57" fillId="2" borderId="22" xfId="159" applyFont="1" applyFill="1" applyBorder="1" applyAlignment="1">
      <alignment vertical="center" wrapText="1"/>
    </xf>
    <xf numFmtId="0" fontId="55" fillId="3" borderId="39" xfId="159" applyFont="1" applyFill="1" applyBorder="1" applyAlignment="1">
      <alignment horizontal="center" vertical="center" wrapText="1"/>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44" fontId="18" fillId="0" borderId="0" xfId="0" applyNumberFormat="1" applyFont="1" applyFill="1" applyBorder="1" applyAlignment="1">
      <alignment horizontal="center" vertical="center"/>
    </xf>
    <xf numFmtId="2" fontId="7" fillId="0" borderId="0" xfId="0" applyNumberFormat="1" applyFont="1" applyFill="1" applyBorder="1"/>
    <xf numFmtId="0" fontId="16" fillId="0" borderId="0" xfId="0" applyFont="1" applyFill="1" applyBorder="1" applyAlignment="1">
      <alignment vertical="center" wrapText="1"/>
    </xf>
    <xf numFmtId="1" fontId="16" fillId="0" borderId="0" xfId="0" applyNumberFormat="1" applyFont="1" applyFill="1" applyBorder="1" applyAlignment="1">
      <alignment vertical="center" wrapText="1"/>
    </xf>
    <xf numFmtId="0" fontId="6" fillId="0" borderId="0" xfId="0" applyFont="1" applyFill="1" applyBorder="1" applyAlignment="1">
      <alignment vertical="center"/>
    </xf>
    <xf numFmtId="44" fontId="18" fillId="0" borderId="0" xfId="0" applyNumberFormat="1" applyFont="1" applyFill="1" applyBorder="1" applyAlignment="1">
      <alignment vertical="center"/>
    </xf>
    <xf numFmtId="0" fontId="78" fillId="2" borderId="69" xfId="159" applyFont="1" applyFill="1" applyBorder="1"/>
    <xf numFmtId="0" fontId="77" fillId="2" borderId="69" xfId="115" applyFont="1" applyFill="1" applyBorder="1" applyAlignment="1">
      <alignment horizontal="center" vertical="top"/>
    </xf>
    <xf numFmtId="0" fontId="76" fillId="2" borderId="69" xfId="159" applyFont="1" applyFill="1" applyBorder="1"/>
    <xf numFmtId="0" fontId="5" fillId="2" borderId="69" xfId="159" applyFill="1" applyBorder="1"/>
    <xf numFmtId="0" fontId="77" fillId="2" borderId="72" xfId="115" applyFont="1" applyFill="1" applyBorder="1" applyAlignment="1">
      <alignment horizontal="center" vertical="top"/>
    </xf>
    <xf numFmtId="0" fontId="77" fillId="2" borderId="73" xfId="115" applyFont="1" applyFill="1" applyBorder="1" applyAlignment="1">
      <alignment horizontal="center" vertical="top"/>
    </xf>
    <xf numFmtId="0" fontId="76" fillId="2" borderId="74" xfId="159" applyFont="1" applyFill="1" applyBorder="1"/>
    <xf numFmtId="0" fontId="76" fillId="2" borderId="75" xfId="159" applyFont="1" applyFill="1" applyBorder="1"/>
    <xf numFmtId="0" fontId="76" fillId="2" borderId="73" xfId="159" applyFont="1" applyFill="1" applyBorder="1"/>
    <xf numFmtId="0" fontId="76" fillId="2" borderId="76" xfId="159" applyFont="1" applyFill="1" applyBorder="1"/>
    <xf numFmtId="0" fontId="8"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top" wrapText="1"/>
    </xf>
    <xf numFmtId="0" fontId="16" fillId="3" borderId="2"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0" xfId="0" applyFont="1" applyFill="1" applyBorder="1" applyAlignment="1">
      <alignment horizontal="center" vertical="top" wrapText="1"/>
    </xf>
    <xf numFmtId="0" fontId="16" fillId="3" borderId="6" xfId="0" applyFont="1" applyFill="1" applyBorder="1" applyAlignment="1">
      <alignment horizontal="center" vertical="center" wrapText="1"/>
    </xf>
    <xf numFmtId="0" fontId="9" fillId="7" borderId="44" xfId="0" applyFont="1" applyFill="1" applyBorder="1" applyAlignment="1">
      <alignment horizontal="left" vertical="center"/>
    </xf>
    <xf numFmtId="0" fontId="12" fillId="2" borderId="57" xfId="159" applyFont="1" applyFill="1" applyBorder="1" applyAlignment="1">
      <alignment vertical="center" wrapText="1"/>
    </xf>
    <xf numFmtId="0" fontId="12" fillId="2" borderId="48" xfId="159" applyFont="1" applyFill="1" applyBorder="1" applyAlignment="1">
      <alignment vertical="center" wrapText="1"/>
    </xf>
    <xf numFmtId="0" fontId="12" fillId="2" borderId="60" xfId="159" applyFont="1" applyFill="1" applyBorder="1" applyAlignment="1">
      <alignment vertical="center" wrapText="1"/>
    </xf>
    <xf numFmtId="0" fontId="12" fillId="2" borderId="22" xfId="159" applyFont="1" applyFill="1" applyBorder="1" applyAlignment="1">
      <alignment vertical="center" wrapText="1"/>
    </xf>
    <xf numFmtId="0" fontId="12" fillId="2" borderId="61" xfId="159" applyFont="1" applyFill="1" applyBorder="1" applyAlignment="1">
      <alignment vertical="center" wrapText="1"/>
    </xf>
    <xf numFmtId="0" fontId="12" fillId="2" borderId="26" xfId="159" applyFont="1" applyFill="1" applyBorder="1" applyAlignment="1">
      <alignment vertical="center" wrapText="1"/>
    </xf>
    <xf numFmtId="0" fontId="12" fillId="2" borderId="52" xfId="159" applyFont="1" applyFill="1" applyBorder="1" applyAlignment="1">
      <alignment vertical="center" wrapText="1"/>
    </xf>
    <xf numFmtId="0" fontId="12" fillId="2" borderId="58" xfId="159" applyFont="1" applyFill="1" applyBorder="1" applyAlignment="1">
      <alignment vertical="center" wrapText="1"/>
    </xf>
    <xf numFmtId="0" fontId="12" fillId="2" borderId="49" xfId="159" applyFont="1" applyFill="1" applyBorder="1" applyAlignment="1">
      <alignment vertical="center" wrapText="1"/>
    </xf>
    <xf numFmtId="0" fontId="12" fillId="2" borderId="59" xfId="159" applyFont="1" applyFill="1" applyBorder="1" applyAlignment="1">
      <alignment vertical="center" wrapText="1"/>
    </xf>
    <xf numFmtId="0" fontId="12" fillId="2" borderId="23" xfId="159" applyFont="1" applyFill="1" applyBorder="1" applyAlignment="1">
      <alignment vertical="center" wrapText="1"/>
    </xf>
    <xf numFmtId="0" fontId="12" fillId="2" borderId="62" xfId="159" applyFont="1" applyFill="1" applyBorder="1" applyAlignment="1">
      <alignment vertical="center" wrapText="1"/>
    </xf>
    <xf numFmtId="0" fontId="12" fillId="2" borderId="55" xfId="159" applyFont="1" applyFill="1" applyBorder="1" applyAlignment="1">
      <alignment vertical="center" wrapText="1"/>
    </xf>
    <xf numFmtId="0" fontId="12" fillId="2" borderId="64" xfId="159" applyFont="1" applyFill="1" applyBorder="1" applyAlignment="1">
      <alignment vertical="center" wrapText="1"/>
    </xf>
    <xf numFmtId="0" fontId="12" fillId="2" borderId="65" xfId="159" applyFont="1" applyFill="1" applyBorder="1" applyAlignment="1">
      <alignment vertical="center" wrapText="1"/>
    </xf>
    <xf numFmtId="0" fontId="12" fillId="2" borderId="24" xfId="159" applyFont="1" applyFill="1" applyBorder="1" applyAlignment="1">
      <alignment vertical="center" wrapText="1"/>
    </xf>
    <xf numFmtId="0" fontId="12" fillId="2" borderId="51" xfId="159" applyFont="1" applyFill="1" applyBorder="1" applyAlignment="1">
      <alignment vertical="center" wrapText="1"/>
    </xf>
    <xf numFmtId="0" fontId="12" fillId="2" borderId="66" xfId="159" applyFont="1" applyFill="1" applyBorder="1" applyAlignment="1">
      <alignment vertical="center" wrapText="1"/>
    </xf>
    <xf numFmtId="0" fontId="12" fillId="2" borderId="63" xfId="159" applyFont="1" applyFill="1" applyBorder="1" applyAlignment="1">
      <alignment vertical="center" wrapText="1"/>
    </xf>
    <xf numFmtId="0" fontId="12" fillId="2" borderId="38" xfId="159" applyFont="1" applyFill="1" applyBorder="1" applyAlignment="1">
      <alignment vertical="center" wrapText="1"/>
    </xf>
    <xf numFmtId="0" fontId="12" fillId="2" borderId="67" xfId="159" applyFont="1" applyFill="1" applyBorder="1" applyAlignment="1">
      <alignment vertical="center" wrapText="1"/>
    </xf>
    <xf numFmtId="0" fontId="12" fillId="2" borderId="53" xfId="159" applyFont="1" applyFill="1" applyBorder="1" applyAlignment="1">
      <alignment vertical="center" wrapText="1"/>
    </xf>
    <xf numFmtId="0" fontId="12" fillId="2" borderId="26" xfId="159" applyFont="1" applyFill="1" applyBorder="1" applyAlignment="1">
      <alignment vertical="center"/>
    </xf>
    <xf numFmtId="0" fontId="12" fillId="2" borderId="24" xfId="159" applyFont="1" applyFill="1" applyBorder="1" applyAlignment="1">
      <alignment vertical="center"/>
    </xf>
    <xf numFmtId="0" fontId="12" fillId="2" borderId="22" xfId="159" applyFont="1" applyFill="1" applyBorder="1" applyAlignment="1">
      <alignment vertical="center"/>
    </xf>
    <xf numFmtId="0" fontId="12" fillId="2" borderId="23" xfId="159" applyFont="1" applyFill="1" applyBorder="1" applyAlignment="1">
      <alignment vertical="center"/>
    </xf>
    <xf numFmtId="0" fontId="12" fillId="2" borderId="25" xfId="159" applyFont="1" applyFill="1" applyBorder="1" applyAlignment="1">
      <alignment vertical="center" wrapText="1"/>
    </xf>
    <xf numFmtId="0" fontId="12" fillId="2" borderId="54" xfId="159" applyFont="1" applyFill="1" applyBorder="1" applyAlignment="1">
      <alignment vertical="center" wrapText="1"/>
    </xf>
    <xf numFmtId="0" fontId="12" fillId="2" borderId="50" xfId="159" applyFont="1" applyFill="1" applyBorder="1" applyAlignment="1">
      <alignment vertical="center" wrapText="1"/>
    </xf>
    <xf numFmtId="7" fontId="6" fillId="4" borderId="1" xfId="1" applyNumberFormat="1" applyFont="1" applyFill="1" applyBorder="1" applyAlignment="1">
      <alignment horizontal="center" vertical="center"/>
    </xf>
    <xf numFmtId="7" fontId="6" fillId="6" borderId="1" xfId="1" applyNumberFormat="1" applyFont="1" applyFill="1" applyBorder="1" applyAlignment="1">
      <alignment horizontal="center" vertical="center"/>
    </xf>
    <xf numFmtId="1" fontId="6" fillId="6" borderId="1" xfId="115" applyNumberFormat="1" applyFont="1" applyFill="1" applyBorder="1" applyAlignment="1">
      <alignment horizontal="center" vertical="center"/>
    </xf>
    <xf numFmtId="0" fontId="6" fillId="4" borderId="1" xfId="0" applyFont="1" applyFill="1" applyBorder="1" applyAlignment="1">
      <alignment horizontal="left" vertical="top" wrapText="1" shrinkToFit="1"/>
    </xf>
    <xf numFmtId="1" fontId="6" fillId="4" borderId="1" xfId="0" applyNumberFormat="1" applyFont="1" applyFill="1" applyBorder="1" applyAlignment="1">
      <alignment horizontal="center" vertical="center"/>
    </xf>
    <xf numFmtId="44" fontId="6" fillId="4" borderId="1" xfId="0" applyNumberFormat="1"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171" fontId="6" fillId="0" borderId="1" xfId="1" applyNumberFormat="1" applyFont="1" applyFill="1" applyBorder="1" applyAlignment="1">
      <alignment horizontal="center" vertical="center"/>
    </xf>
    <xf numFmtId="7" fontId="6" fillId="0" borderId="1" xfId="1" applyNumberFormat="1" applyFont="1" applyFill="1" applyBorder="1" applyAlignment="1">
      <alignment horizontal="center" vertical="center"/>
    </xf>
    <xf numFmtId="4" fontId="6" fillId="5" borderId="1" xfId="0" applyNumberFormat="1" applyFont="1" applyFill="1" applyBorder="1" applyAlignment="1">
      <alignment horizontal="center" vertical="center"/>
    </xf>
    <xf numFmtId="0" fontId="6" fillId="4" borderId="1" xfId="115" applyFont="1" applyFill="1" applyBorder="1" applyAlignment="1">
      <alignment horizontal="center" vertical="center"/>
    </xf>
    <xf numFmtId="1" fontId="6" fillId="4" borderId="1" xfId="115" applyNumberFormat="1" applyFont="1" applyFill="1" applyBorder="1" applyAlignment="1">
      <alignment horizontal="center" vertical="center"/>
    </xf>
    <xf numFmtId="0" fontId="6" fillId="0" borderId="1" xfId="0" applyFont="1" applyBorder="1" applyAlignment="1">
      <alignment horizontal="center" vertical="center" wrapText="1"/>
    </xf>
    <xf numFmtId="0" fontId="6" fillId="6" borderId="1" xfId="115" applyFont="1" applyFill="1" applyBorder="1" applyAlignment="1">
      <alignment vertical="center"/>
    </xf>
    <xf numFmtId="0" fontId="6" fillId="0" borderId="1" xfId="0" applyFont="1" applyFill="1" applyBorder="1" applyAlignment="1">
      <alignment horizontal="center" vertical="center" wrapText="1"/>
    </xf>
    <xf numFmtId="1" fontId="6" fillId="0" borderId="1" xfId="0" applyNumberFormat="1" applyFont="1" applyFill="1" applyBorder="1" applyAlignment="1">
      <alignment horizontal="center" vertical="center" wrapText="1"/>
    </xf>
    <xf numFmtId="166" fontId="8" fillId="0" borderId="1" xfId="1" applyNumberFormat="1" applyFont="1" applyFill="1" applyBorder="1" applyAlignment="1">
      <alignment horizontal="center" vertical="center"/>
    </xf>
    <xf numFmtId="0" fontId="5" fillId="53" borderId="0" xfId="0" applyFont="1" applyFill="1" applyAlignment="1">
      <alignment horizontal="right"/>
    </xf>
    <xf numFmtId="0" fontId="16" fillId="3" borderId="6" xfId="0" applyFont="1" applyFill="1" applyBorder="1" applyAlignment="1">
      <alignment horizontal="center" vertical="center"/>
    </xf>
    <xf numFmtId="0" fontId="8" fillId="0" borderId="7" xfId="0" applyFont="1" applyFill="1" applyBorder="1" applyAlignment="1">
      <alignment horizontal="center" vertical="top"/>
    </xf>
    <xf numFmtId="0" fontId="6" fillId="0" borderId="7" xfId="0" applyFont="1" applyFill="1" applyBorder="1" applyAlignment="1">
      <alignment horizontal="left" vertical="top" wrapText="1"/>
    </xf>
    <xf numFmtId="1" fontId="6" fillId="0" borderId="7" xfId="0" applyNumberFormat="1" applyFont="1" applyFill="1" applyBorder="1" applyAlignment="1">
      <alignment horizontal="center" vertical="center"/>
    </xf>
    <xf numFmtId="7" fontId="8" fillId="0" borderId="7" xfId="1" applyNumberFormat="1" applyFont="1" applyFill="1" applyBorder="1" applyAlignment="1">
      <alignment horizontal="center" vertical="center"/>
    </xf>
    <xf numFmtId="44" fontId="8" fillId="0" borderId="7" xfId="1" applyFont="1" applyFill="1" applyBorder="1" applyAlignment="1">
      <alignment horizontal="center" vertical="center" wrapText="1"/>
    </xf>
    <xf numFmtId="0" fontId="6" fillId="0" borderId="7" xfId="0" applyFont="1" applyFill="1" applyBorder="1" applyAlignment="1">
      <alignment vertical="center" wrapText="1"/>
    </xf>
    <xf numFmtId="0" fontId="6" fillId="0" borderId="7" xfId="0" applyFont="1" applyFill="1" applyBorder="1" applyAlignment="1">
      <alignment horizontal="center" vertical="center" wrapText="1"/>
    </xf>
    <xf numFmtId="0" fontId="6" fillId="0" borderId="7" xfId="0" applyFont="1" applyFill="1" applyBorder="1" applyAlignment="1">
      <alignment horizontal="center" vertical="center"/>
    </xf>
    <xf numFmtId="0" fontId="7" fillId="7" borderId="2" xfId="0" applyFont="1" applyFill="1" applyBorder="1" applyAlignment="1">
      <alignment vertical="center" wrapText="1"/>
    </xf>
    <xf numFmtId="0" fontId="7" fillId="7" borderId="4" xfId="0" applyFont="1" applyFill="1" applyBorder="1" applyAlignment="1">
      <alignment vertical="center" wrapText="1"/>
    </xf>
    <xf numFmtId="0" fontId="8" fillId="0" borderId="6" xfId="0" applyFont="1" applyFill="1" applyBorder="1" applyAlignment="1">
      <alignment horizontal="center" vertical="top"/>
    </xf>
    <xf numFmtId="0" fontId="8" fillId="0" borderId="6" xfId="0" applyFont="1" applyFill="1" applyBorder="1" applyAlignment="1">
      <alignment horizontal="left" vertical="top" wrapText="1"/>
    </xf>
    <xf numFmtId="1" fontId="8" fillId="0" borderId="6" xfId="0" applyNumberFormat="1" applyFont="1" applyFill="1" applyBorder="1" applyAlignment="1">
      <alignment horizontal="center" vertical="center"/>
    </xf>
    <xf numFmtId="44" fontId="8" fillId="0" borderId="6" xfId="1" applyFont="1" applyFill="1" applyBorder="1" applyAlignment="1">
      <alignment horizontal="center" vertical="center" wrapText="1"/>
    </xf>
    <xf numFmtId="0" fontId="6" fillId="0" borderId="6" xfId="0" applyFont="1" applyFill="1" applyBorder="1" applyAlignment="1">
      <alignment vertical="center" wrapText="1"/>
    </xf>
    <xf numFmtId="0" fontId="6" fillId="0" borderId="6" xfId="0" applyFont="1" applyFill="1" applyBorder="1" applyAlignment="1">
      <alignment horizontal="center" vertical="center" wrapText="1"/>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8" fillId="4" borderId="7" xfId="0" applyFont="1" applyFill="1" applyBorder="1" applyAlignment="1">
      <alignment horizontal="center" vertical="top"/>
    </xf>
    <xf numFmtId="0" fontId="6" fillId="4" borderId="7" xfId="0" applyFont="1" applyFill="1" applyBorder="1" applyAlignment="1">
      <alignment horizontal="left" vertical="top" wrapText="1"/>
    </xf>
    <xf numFmtId="0" fontId="8" fillId="4" borderId="7" xfId="0" applyFont="1" applyFill="1" applyBorder="1" applyAlignment="1">
      <alignment horizontal="center" vertical="center"/>
    </xf>
    <xf numFmtId="1" fontId="8" fillId="4" borderId="7" xfId="0" applyNumberFormat="1" applyFont="1" applyFill="1" applyBorder="1" applyAlignment="1">
      <alignment horizontal="center" vertical="center"/>
    </xf>
    <xf numFmtId="7" fontId="6" fillId="4" borderId="7" xfId="1" applyNumberFormat="1" applyFont="1" applyFill="1" applyBorder="1" applyAlignment="1">
      <alignment horizontal="center" vertical="center"/>
    </xf>
    <xf numFmtId="7" fontId="8" fillId="4" borderId="7" xfId="1" applyNumberFormat="1" applyFont="1" applyFill="1" applyBorder="1" applyAlignment="1">
      <alignment horizontal="center" vertical="center"/>
    </xf>
    <xf numFmtId="44" fontId="8" fillId="4" borderId="7" xfId="1" applyFont="1" applyFill="1" applyBorder="1" applyAlignment="1">
      <alignment horizontal="center" vertical="center" wrapText="1"/>
    </xf>
    <xf numFmtId="0" fontId="6" fillId="4" borderId="7" xfId="0" applyFont="1" applyFill="1" applyBorder="1" applyAlignment="1">
      <alignment vertical="center" wrapText="1"/>
    </xf>
    <xf numFmtId="0" fontId="6" fillId="4" borderId="7" xfId="0" applyFont="1" applyFill="1" applyBorder="1" applyAlignment="1">
      <alignment horizontal="center" vertical="center" wrapText="1"/>
    </xf>
    <xf numFmtId="44" fontId="8" fillId="2" borderId="6" xfId="1" applyFont="1" applyFill="1" applyBorder="1" applyAlignment="1">
      <alignment horizontal="center" vertical="center" wrapText="1"/>
    </xf>
    <xf numFmtId="0" fontId="6" fillId="0" borderId="7" xfId="0" applyFont="1" applyFill="1" applyBorder="1" applyAlignment="1">
      <alignment horizontal="left" vertical="top" wrapText="1" shrinkToFit="1"/>
    </xf>
    <xf numFmtId="0" fontId="6" fillId="0" borderId="7" xfId="115" applyFont="1" applyFill="1" applyBorder="1" applyAlignment="1">
      <alignment horizontal="left" vertical="top" wrapText="1" shrinkToFit="1"/>
    </xf>
    <xf numFmtId="0" fontId="8" fillId="0" borderId="7" xfId="0" applyFont="1" applyFill="1" applyBorder="1" applyAlignment="1">
      <alignment horizontal="center" vertical="center"/>
    </xf>
    <xf numFmtId="0" fontId="8" fillId="5" borderId="7" xfId="0" applyFont="1" applyFill="1" applyBorder="1" applyAlignment="1">
      <alignment horizontal="center" vertical="center"/>
    </xf>
    <xf numFmtId="1" fontId="8" fillId="0" borderId="7" xfId="0" applyNumberFormat="1" applyFont="1" applyFill="1" applyBorder="1" applyAlignment="1">
      <alignment horizontal="center" vertical="center"/>
    </xf>
    <xf numFmtId="7" fontId="6" fillId="0" borderId="7" xfId="1" applyNumberFormat="1" applyFont="1" applyFill="1" applyBorder="1" applyAlignment="1">
      <alignment horizontal="center" vertical="center"/>
    </xf>
    <xf numFmtId="7" fontId="8" fillId="5" borderId="7" xfId="1" applyNumberFormat="1" applyFont="1" applyFill="1" applyBorder="1" applyAlignment="1">
      <alignment horizontal="center" vertical="center"/>
    </xf>
    <xf numFmtId="0" fontId="6" fillId="0" borderId="7" xfId="0" applyFont="1" applyBorder="1" applyAlignment="1">
      <alignment horizontal="center" vertical="center" wrapText="1"/>
    </xf>
    <xf numFmtId="0" fontId="6" fillId="0" borderId="6" xfId="0" applyFont="1" applyFill="1" applyBorder="1" applyAlignment="1">
      <alignment horizontal="center" vertical="top"/>
    </xf>
    <xf numFmtId="0" fontId="6" fillId="0" borderId="6" xfId="115" applyFont="1" applyFill="1" applyBorder="1" applyAlignment="1">
      <alignment horizontal="left" vertical="top" wrapText="1"/>
    </xf>
    <xf numFmtId="0" fontId="6" fillId="0" borderId="6" xfId="0" applyFont="1" applyFill="1" applyBorder="1" applyAlignment="1">
      <alignment horizontal="center" vertical="center"/>
    </xf>
    <xf numFmtId="1" fontId="6" fillId="0" borderId="6" xfId="0" applyNumberFormat="1" applyFont="1" applyFill="1" applyBorder="1" applyAlignment="1">
      <alignment horizontal="center" vertical="center"/>
    </xf>
    <xf numFmtId="44" fontId="6" fillId="0" borderId="6" xfId="1" applyFont="1" applyFill="1" applyBorder="1" applyAlignment="1">
      <alignment horizontal="center" vertical="center" wrapText="1"/>
    </xf>
    <xf numFmtId="0" fontId="6" fillId="0" borderId="7" xfId="0" applyFont="1" applyFill="1" applyBorder="1" applyAlignment="1">
      <alignment horizontal="center" vertical="top"/>
    </xf>
    <xf numFmtId="0" fontId="6" fillId="0" borderId="7" xfId="115" applyFont="1" applyFill="1" applyBorder="1" applyAlignment="1">
      <alignment horizontal="left" vertical="top" wrapText="1"/>
    </xf>
    <xf numFmtId="44" fontId="6" fillId="0" borderId="7" xfId="1" applyFont="1" applyFill="1" applyBorder="1" applyAlignment="1">
      <alignment horizontal="center" vertical="center" wrapText="1"/>
    </xf>
    <xf numFmtId="0" fontId="7" fillId="2" borderId="0" xfId="0" applyFont="1" applyFill="1" applyBorder="1" applyAlignment="1">
      <alignment horizontal="center"/>
    </xf>
    <xf numFmtId="0" fontId="12" fillId="2" borderId="0" xfId="0" applyFont="1" applyFill="1" applyAlignment="1">
      <alignment vertical="top" wrapText="1"/>
    </xf>
    <xf numFmtId="0" fontId="12" fillId="2" borderId="0" xfId="0" applyFont="1" applyFill="1" applyAlignment="1">
      <alignment horizontal="center" vertical="top" wrapText="1"/>
    </xf>
    <xf numFmtId="0" fontId="6" fillId="2" borderId="0" xfId="0" applyFont="1" applyFill="1" applyAlignment="1">
      <alignment horizontal="center" vertical="center"/>
    </xf>
    <xf numFmtId="0" fontId="12" fillId="2" borderId="0" xfId="0" applyFont="1" applyFill="1" applyBorder="1" applyAlignment="1">
      <alignment vertical="top" wrapText="1"/>
    </xf>
    <xf numFmtId="0" fontId="12" fillId="2" borderId="0" xfId="0" applyFont="1" applyFill="1" applyBorder="1" applyAlignment="1">
      <alignment horizontal="center" vertical="top" wrapText="1"/>
    </xf>
    <xf numFmtId="0" fontId="7" fillId="2" borderId="0" xfId="0" applyFont="1" applyFill="1"/>
    <xf numFmtId="0" fontId="7" fillId="2" borderId="0" xfId="0" applyFont="1" applyFill="1" applyBorder="1"/>
    <xf numFmtId="1" fontId="7" fillId="2" borderId="0" xfId="0" applyNumberFormat="1" applyFont="1" applyFill="1" applyBorder="1" applyAlignment="1">
      <alignment horizontal="center"/>
    </xf>
    <xf numFmtId="0" fontId="7" fillId="2" borderId="0" xfId="0" applyFont="1" applyFill="1" applyAlignment="1">
      <alignment horizontal="center"/>
    </xf>
    <xf numFmtId="0" fontId="14" fillId="2" borderId="0" xfId="0" applyFont="1" applyFill="1" applyBorder="1" applyAlignment="1">
      <alignment horizontal="center" vertical="center" wrapText="1"/>
    </xf>
    <xf numFmtId="1" fontId="11" fillId="2" borderId="0" xfId="0" applyNumberFormat="1" applyFont="1" applyFill="1" applyBorder="1" applyAlignment="1">
      <alignment horizontal="right" vertical="top" wrapText="1"/>
    </xf>
    <xf numFmtId="0" fontId="13" fillId="2" borderId="0" xfId="0" applyFont="1" applyFill="1" applyBorder="1"/>
    <xf numFmtId="1" fontId="7" fillId="2" borderId="0" xfId="0" applyNumberFormat="1" applyFont="1" applyFill="1" applyBorder="1"/>
    <xf numFmtId="1" fontId="15" fillId="2" borderId="0" xfId="0" applyNumberFormat="1" applyFont="1" applyFill="1" applyBorder="1" applyAlignment="1">
      <alignment vertical="center" wrapText="1"/>
    </xf>
    <xf numFmtId="0" fontId="85" fillId="2" borderId="0" xfId="0" applyFont="1" applyFill="1" applyBorder="1"/>
    <xf numFmtId="0" fontId="15" fillId="2" borderId="0" xfId="0" applyFont="1" applyFill="1" applyBorder="1" applyAlignment="1">
      <alignment vertical="center" wrapText="1"/>
    </xf>
    <xf numFmtId="0" fontId="7" fillId="2" borderId="0" xfId="0" applyFont="1" applyFill="1" applyBorder="1" applyAlignment="1">
      <alignment vertical="top" wrapText="1"/>
    </xf>
    <xf numFmtId="0" fontId="8" fillId="2" borderId="0" xfId="0" applyFont="1" applyFill="1" applyBorder="1" applyAlignment="1">
      <alignment horizontal="center" vertical="top" wrapText="1"/>
    </xf>
    <xf numFmtId="0" fontId="50" fillId="2" borderId="0" xfId="0" applyFont="1" applyFill="1" applyBorder="1" applyAlignment="1">
      <alignment horizontal="center"/>
    </xf>
    <xf numFmtId="0" fontId="50" fillId="2" borderId="0" xfId="0" applyFont="1" applyFill="1" applyBorder="1"/>
    <xf numFmtId="0" fontId="6" fillId="2" borderId="0" xfId="0" applyFont="1" applyFill="1" applyBorder="1" applyAlignment="1">
      <alignment horizontal="center" vertical="top" wrapText="1"/>
    </xf>
    <xf numFmtId="0" fontId="6" fillId="2" borderId="0" xfId="0" applyFont="1" applyFill="1" applyBorder="1" applyAlignment="1">
      <alignment horizontal="center" vertical="top"/>
    </xf>
    <xf numFmtId="0" fontId="8" fillId="2" borderId="0" xfId="0" applyFont="1" applyFill="1" applyBorder="1" applyAlignment="1">
      <alignment horizontal="left" vertical="top" wrapText="1"/>
    </xf>
    <xf numFmtId="0" fontId="6" fillId="2" borderId="0" xfId="0" applyFont="1" applyFill="1" applyBorder="1" applyAlignment="1">
      <alignment horizontal="left" vertical="top" wrapText="1"/>
    </xf>
    <xf numFmtId="0" fontId="8" fillId="2" borderId="0" xfId="0" applyFont="1" applyFill="1" applyBorder="1" applyAlignment="1">
      <alignment horizontal="center" vertical="center"/>
    </xf>
    <xf numFmtId="1" fontId="8" fillId="2" borderId="0" xfId="0" applyNumberFormat="1" applyFont="1" applyFill="1" applyBorder="1" applyAlignment="1">
      <alignment horizontal="center" vertical="center"/>
    </xf>
    <xf numFmtId="44" fontId="8" fillId="2" borderId="0" xfId="1" applyFont="1" applyFill="1" applyBorder="1" applyAlignment="1">
      <alignment horizontal="center" vertical="center"/>
    </xf>
    <xf numFmtId="44" fontId="8" fillId="2" borderId="0" xfId="1" applyFont="1" applyFill="1" applyBorder="1" applyAlignment="1">
      <alignment horizontal="center" vertical="center" wrapText="1"/>
    </xf>
    <xf numFmtId="0" fontId="8" fillId="2" borderId="0" xfId="0" applyFont="1" applyFill="1" applyBorder="1" applyAlignment="1">
      <alignment vertical="center" wrapText="1"/>
    </xf>
    <xf numFmtId="0" fontId="8" fillId="2" borderId="0" xfId="0" applyFont="1" applyFill="1" applyBorder="1" applyAlignment="1">
      <alignment horizontal="center" vertical="center" wrapText="1"/>
    </xf>
    <xf numFmtId="0" fontId="6" fillId="2" borderId="0" xfId="0" applyFont="1" applyFill="1" applyBorder="1" applyAlignment="1">
      <alignment horizontal="center" vertical="center"/>
    </xf>
    <xf numFmtId="1" fontId="7" fillId="2" borderId="0" xfId="0" applyNumberFormat="1" applyFont="1" applyFill="1"/>
    <xf numFmtId="0" fontId="7" fillId="2" borderId="0" xfId="0" applyFont="1" applyFill="1" applyAlignment="1">
      <alignment vertical="top" wrapText="1"/>
    </xf>
    <xf numFmtId="0" fontId="10" fillId="2" borderId="0" xfId="0" applyFont="1" applyFill="1" applyBorder="1" applyAlignment="1">
      <alignment horizontal="left" vertical="top"/>
    </xf>
    <xf numFmtId="0" fontId="6" fillId="2" borderId="0" xfId="0" applyFont="1" applyFill="1"/>
    <xf numFmtId="1" fontId="6" fillId="2" borderId="0" xfId="0" applyNumberFormat="1" applyFont="1" applyFill="1" applyAlignment="1">
      <alignment horizontal="center"/>
    </xf>
    <xf numFmtId="0" fontId="6" fillId="2" borderId="0" xfId="0" applyFont="1" applyFill="1" applyAlignment="1">
      <alignment horizontal="left"/>
    </xf>
    <xf numFmtId="0" fontId="7" fillId="2" borderId="0" xfId="0" applyFont="1" applyFill="1" applyBorder="1" applyAlignment="1">
      <alignment vertical="center"/>
    </xf>
    <xf numFmtId="2" fontId="7" fillId="2" borderId="0" xfId="0" applyNumberFormat="1" applyFont="1" applyFill="1" applyBorder="1"/>
    <xf numFmtId="7" fontId="6" fillId="2" borderId="0" xfId="1" applyNumberFormat="1" applyFont="1" applyFill="1" applyBorder="1" applyAlignment="1">
      <alignment horizontal="center" vertical="center"/>
    </xf>
    <xf numFmtId="44" fontId="6" fillId="2" borderId="0" xfId="1" applyFont="1" applyFill="1" applyBorder="1" applyAlignment="1">
      <alignment vertical="center"/>
    </xf>
    <xf numFmtId="44" fontId="5" fillId="2" borderId="0" xfId="1" applyFont="1" applyFill="1" applyBorder="1" applyAlignment="1">
      <alignment horizontal="center" vertical="center"/>
    </xf>
    <xf numFmtId="44" fontId="6" fillId="2" borderId="0" xfId="1" applyFont="1" applyFill="1" applyBorder="1" applyAlignment="1">
      <alignment horizontal="center" vertical="center"/>
    </xf>
    <xf numFmtId="4" fontId="6" fillId="2" borderId="0" xfId="0" applyNumberFormat="1" applyFont="1" applyFill="1" applyBorder="1" applyAlignment="1">
      <alignment horizontal="center" vertical="center"/>
    </xf>
    <xf numFmtId="166" fontId="6" fillId="2" borderId="0" xfId="1" applyNumberFormat="1" applyFont="1" applyFill="1" applyBorder="1" applyAlignment="1">
      <alignment horizontal="center" vertical="center"/>
    </xf>
    <xf numFmtId="44" fontId="21" fillId="2" borderId="0" xfId="1" applyFont="1" applyFill="1" applyBorder="1" applyAlignment="1">
      <alignment horizontal="center" vertical="center"/>
    </xf>
    <xf numFmtId="164" fontId="6" fillId="2" borderId="0" xfId="1" applyNumberFormat="1" applyFont="1" applyFill="1" applyBorder="1" applyAlignment="1">
      <alignment horizontal="center" vertical="center"/>
    </xf>
    <xf numFmtId="165" fontId="6" fillId="2" borderId="0" xfId="1" applyNumberFormat="1" applyFont="1" applyFill="1" applyBorder="1" applyAlignment="1">
      <alignment horizontal="center" vertical="center"/>
    </xf>
    <xf numFmtId="171" fontId="6" fillId="2" borderId="0" xfId="1" applyNumberFormat="1" applyFont="1" applyFill="1" applyBorder="1" applyAlignment="1">
      <alignment horizontal="center" vertical="center"/>
    </xf>
    <xf numFmtId="44" fontId="6" fillId="2" borderId="78" xfId="1" applyFont="1" applyFill="1" applyBorder="1" applyAlignment="1">
      <alignment vertical="center"/>
    </xf>
    <xf numFmtId="0" fontId="8" fillId="7" borderId="41" xfId="0" applyFont="1" applyFill="1" applyBorder="1" applyAlignment="1">
      <alignment horizontal="center" vertical="center"/>
    </xf>
    <xf numFmtId="0" fontId="9" fillId="7" borderId="5" xfId="0" applyFont="1" applyFill="1" applyBorder="1" applyAlignment="1">
      <alignment horizontal="left" vertical="center"/>
    </xf>
    <xf numFmtId="0" fontId="7" fillId="7" borderId="5" xfId="0" applyFont="1" applyFill="1" applyBorder="1" applyAlignment="1">
      <alignment horizontal="left" vertical="center"/>
    </xf>
    <xf numFmtId="0" fontId="7" fillId="7" borderId="5" xfId="0" applyFont="1" applyFill="1" applyBorder="1" applyAlignment="1">
      <alignment vertical="center"/>
    </xf>
    <xf numFmtId="1" fontId="7" fillId="7" borderId="5" xfId="0" applyNumberFormat="1" applyFont="1" applyFill="1" applyBorder="1"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wrapText="1"/>
    </xf>
    <xf numFmtId="0" fontId="7" fillId="7" borderId="42" xfId="0" applyFont="1" applyFill="1" applyBorder="1" applyAlignment="1">
      <alignment vertical="center" wrapText="1"/>
    </xf>
    <xf numFmtId="44" fontId="18" fillId="0" borderId="7" xfId="0" applyNumberFormat="1" applyFont="1" applyFill="1" applyBorder="1" applyAlignment="1">
      <alignment horizontal="center" vertical="center"/>
    </xf>
    <xf numFmtId="1" fontId="18" fillId="0" borderId="7" xfId="0" applyNumberFormat="1" applyFont="1" applyFill="1" applyBorder="1" applyAlignment="1">
      <alignment horizontal="center" vertical="center"/>
    </xf>
    <xf numFmtId="166" fontId="8" fillId="0" borderId="7" xfId="1" applyNumberFormat="1" applyFont="1" applyFill="1" applyBorder="1" applyAlignment="1">
      <alignment horizontal="center" vertical="center"/>
    </xf>
    <xf numFmtId="4" fontId="8" fillId="5" borderId="7" xfId="0" applyNumberFormat="1" applyFont="1" applyFill="1" applyBorder="1" applyAlignment="1">
      <alignment horizontal="center" vertical="center"/>
    </xf>
    <xf numFmtId="44" fontId="7" fillId="8" borderId="4" xfId="1" applyFont="1" applyFill="1" applyBorder="1" applyAlignment="1">
      <alignment horizontal="center" vertical="center" wrapText="1"/>
    </xf>
    <xf numFmtId="0" fontId="6" fillId="6" borderId="6" xfId="0" applyFont="1" applyFill="1" applyBorder="1" applyAlignment="1">
      <alignment horizontal="center" vertical="top"/>
    </xf>
    <xf numFmtId="0" fontId="6" fillId="6" borderId="6" xfId="115" applyFont="1" applyFill="1" applyBorder="1" applyAlignment="1">
      <alignment horizontal="left" vertical="top" wrapText="1"/>
    </xf>
    <xf numFmtId="0" fontId="6" fillId="6" borderId="6" xfId="0" applyFont="1" applyFill="1" applyBorder="1" applyAlignment="1">
      <alignment horizontal="center" vertical="center"/>
    </xf>
    <xf numFmtId="1" fontId="6" fillId="6" borderId="6" xfId="0" applyNumberFormat="1" applyFont="1" applyFill="1" applyBorder="1" applyAlignment="1">
      <alignment horizontal="center" vertical="center"/>
    </xf>
    <xf numFmtId="4" fontId="8" fillId="6" borderId="6" xfId="1" applyNumberFormat="1" applyFont="1" applyFill="1" applyBorder="1" applyAlignment="1">
      <alignment horizontal="center" vertical="center"/>
    </xf>
    <xf numFmtId="166" fontId="8" fillId="6" borderId="6" xfId="1" applyNumberFormat="1" applyFont="1" applyFill="1" applyBorder="1" applyAlignment="1">
      <alignment horizontal="center" vertical="center"/>
    </xf>
    <xf numFmtId="44" fontId="6" fillId="6" borderId="6" xfId="1" applyFont="1" applyFill="1" applyBorder="1" applyAlignment="1">
      <alignment horizontal="center" vertical="center" wrapText="1"/>
    </xf>
    <xf numFmtId="0" fontId="6" fillId="6" borderId="6" xfId="0" applyFont="1" applyFill="1" applyBorder="1" applyAlignment="1">
      <alignment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top"/>
    </xf>
    <xf numFmtId="0" fontId="6" fillId="6" borderId="7" xfId="0" applyFont="1" applyFill="1" applyBorder="1" applyAlignment="1">
      <alignment horizontal="left" vertical="top" wrapText="1"/>
    </xf>
    <xf numFmtId="0" fontId="6" fillId="6" borderId="7" xfId="0" applyFont="1" applyFill="1" applyBorder="1" applyAlignment="1">
      <alignment horizontal="center" vertical="center"/>
    </xf>
    <xf numFmtId="1" fontId="6" fillId="6" borderId="7" xfId="0" applyNumberFormat="1" applyFont="1" applyFill="1" applyBorder="1" applyAlignment="1">
      <alignment horizontal="center" vertical="center"/>
    </xf>
    <xf numFmtId="166" fontId="8" fillId="6" borderId="7" xfId="1" applyNumberFormat="1" applyFont="1" applyFill="1" applyBorder="1" applyAlignment="1">
      <alignment horizontal="center" vertical="center"/>
    </xf>
    <xf numFmtId="44" fontId="6" fillId="6" borderId="7" xfId="1" applyFont="1" applyFill="1" applyBorder="1" applyAlignment="1">
      <alignment horizontal="center" vertical="center" wrapText="1"/>
    </xf>
    <xf numFmtId="0" fontId="6" fillId="6" borderId="7" xfId="0" applyFont="1" applyFill="1" applyBorder="1" applyAlignment="1">
      <alignment vertical="center" wrapText="1"/>
    </xf>
    <xf numFmtId="0" fontId="6" fillId="6" borderId="7" xfId="0" applyFont="1" applyFill="1" applyBorder="1" applyAlignment="1">
      <alignment horizontal="center" vertical="center" wrapText="1"/>
    </xf>
    <xf numFmtId="0" fontId="18" fillId="6" borderId="6" xfId="2" applyFont="1" applyFill="1" applyBorder="1" applyAlignment="1">
      <alignment vertical="top" wrapText="1"/>
    </xf>
    <xf numFmtId="0" fontId="6" fillId="6" borderId="6" xfId="0" applyFont="1" applyFill="1" applyBorder="1" applyAlignment="1">
      <alignment horizontal="left" vertical="top" wrapText="1"/>
    </xf>
    <xf numFmtId="44" fontId="18" fillId="6" borderId="6" xfId="0" applyNumberFormat="1" applyFont="1" applyFill="1" applyBorder="1" applyAlignment="1">
      <alignment horizontal="center" vertical="center"/>
    </xf>
    <xf numFmtId="1" fontId="18" fillId="6" borderId="6" xfId="0" applyNumberFormat="1" applyFont="1" applyFill="1" applyBorder="1" applyAlignment="1">
      <alignment horizontal="center" vertical="center"/>
    </xf>
    <xf numFmtId="0" fontId="6" fillId="4" borderId="7" xfId="115" applyFont="1" applyFill="1" applyBorder="1" applyAlignment="1">
      <alignment horizontal="left" vertical="top" wrapText="1"/>
    </xf>
    <xf numFmtId="0" fontId="6" fillId="4" borderId="7" xfId="0" applyFont="1" applyFill="1" applyBorder="1" applyAlignment="1">
      <alignment horizontal="center" vertical="center"/>
    </xf>
    <xf numFmtId="1" fontId="6" fillId="4" borderId="7" xfId="0" applyNumberFormat="1" applyFont="1" applyFill="1" applyBorder="1" applyAlignment="1">
      <alignment horizontal="center" vertical="center"/>
    </xf>
    <xf numFmtId="44" fontId="6" fillId="4" borderId="7" xfId="1" applyFont="1" applyFill="1" applyBorder="1" applyAlignment="1">
      <alignment horizontal="center" vertical="center" wrapText="1"/>
    </xf>
    <xf numFmtId="0" fontId="8" fillId="0" borderId="77" xfId="0" applyFont="1" applyFill="1" applyBorder="1" applyAlignment="1">
      <alignment horizontal="center" vertical="top"/>
    </xf>
    <xf numFmtId="0" fontId="6" fillId="2" borderId="77" xfId="115" applyFont="1" applyFill="1" applyBorder="1" applyAlignment="1">
      <alignment horizontal="left" vertical="top" wrapText="1"/>
    </xf>
    <xf numFmtId="1" fontId="6" fillId="0" borderId="77" xfId="0" applyNumberFormat="1" applyFont="1" applyFill="1" applyBorder="1" applyAlignment="1">
      <alignment horizontal="center" vertical="center" wrapText="1"/>
    </xf>
    <xf numFmtId="44" fontId="8" fillId="0" borderId="77" xfId="1" applyFont="1" applyFill="1" applyBorder="1" applyAlignment="1">
      <alignment horizontal="center" vertical="center" wrapText="1"/>
    </xf>
    <xf numFmtId="0" fontId="6" fillId="0" borderId="77" xfId="0" applyFont="1" applyFill="1" applyBorder="1" applyAlignment="1">
      <alignment vertical="center" wrapText="1"/>
    </xf>
    <xf numFmtId="0" fontId="6" fillId="0" borderId="77" xfId="0" applyFont="1" applyFill="1" applyBorder="1" applyAlignment="1">
      <alignment horizontal="center" vertical="center" wrapText="1"/>
    </xf>
    <xf numFmtId="164" fontId="6" fillId="0" borderId="7" xfId="1" applyNumberFormat="1" applyFont="1" applyFill="1" applyBorder="1" applyAlignment="1">
      <alignment horizontal="center" vertical="center"/>
    </xf>
    <xf numFmtId="44" fontId="21" fillId="3" borderId="4" xfId="1" applyFont="1" applyFill="1" applyBorder="1" applyAlignment="1">
      <alignment horizontal="center" vertical="center" wrapText="1"/>
    </xf>
    <xf numFmtId="0" fontId="18" fillId="2" borderId="6" xfId="115" applyFont="1" applyFill="1" applyBorder="1" applyAlignment="1">
      <alignment vertical="top" wrapText="1"/>
    </xf>
    <xf numFmtId="0" fontId="8" fillId="5" borderId="6" xfId="0" applyFont="1" applyFill="1" applyBorder="1" applyAlignment="1">
      <alignment horizontal="center" vertical="center"/>
    </xf>
    <xf numFmtId="1" fontId="18" fillId="0" borderId="6" xfId="0" applyNumberFormat="1" applyFont="1" applyFill="1" applyBorder="1" applyAlignment="1">
      <alignment horizontal="center" vertical="center"/>
    </xf>
    <xf numFmtId="7" fontId="6" fillId="5" borderId="6" xfId="1" applyNumberFormat="1" applyFont="1" applyFill="1" applyBorder="1" applyAlignment="1">
      <alignment horizontal="center" vertical="center"/>
    </xf>
    <xf numFmtId="7" fontId="6" fillId="0" borderId="6" xfId="1" applyNumberFormat="1" applyFont="1" applyFill="1" applyBorder="1" applyAlignment="1">
      <alignment horizontal="center" vertical="center"/>
    </xf>
    <xf numFmtId="7" fontId="8" fillId="0" borderId="6" xfId="1" applyNumberFormat="1" applyFont="1" applyFill="1" applyBorder="1" applyAlignment="1">
      <alignment horizontal="center" vertical="center"/>
    </xf>
    <xf numFmtId="165" fontId="6" fillId="0" borderId="7" xfId="1" applyNumberFormat="1" applyFont="1" applyFill="1" applyBorder="1" applyAlignment="1">
      <alignment horizontal="center" vertical="center"/>
    </xf>
    <xf numFmtId="165" fontId="8" fillId="0" borderId="7" xfId="1" applyNumberFormat="1" applyFont="1" applyFill="1" applyBorder="1" applyAlignment="1">
      <alignment horizontal="center" vertical="center"/>
    </xf>
    <xf numFmtId="0" fontId="86" fillId="3" borderId="2" xfId="115" applyFont="1" applyFill="1" applyBorder="1" applyAlignment="1">
      <alignment horizontal="left" vertical="center"/>
    </xf>
    <xf numFmtId="0" fontId="16" fillId="3" borderId="2" xfId="0" applyFont="1" applyFill="1" applyBorder="1" applyAlignment="1">
      <alignment horizontal="center" vertical="center"/>
    </xf>
    <xf numFmtId="0" fontId="7" fillId="7" borderId="44" xfId="0" applyFont="1" applyFill="1" applyBorder="1" applyAlignment="1">
      <alignment horizontal="center" vertical="center"/>
    </xf>
    <xf numFmtId="0" fontId="7" fillId="7" borderId="44" xfId="0" applyFont="1" applyFill="1" applyBorder="1" applyAlignment="1">
      <alignment vertical="center"/>
    </xf>
    <xf numFmtId="0" fontId="8" fillId="7" borderId="43" xfId="0" applyFont="1" applyFill="1" applyBorder="1" applyAlignment="1">
      <alignment horizontal="center" vertical="center"/>
    </xf>
    <xf numFmtId="0" fontId="7" fillId="7" borderId="44" xfId="0" applyFont="1" applyFill="1" applyBorder="1" applyAlignment="1">
      <alignment horizontal="left" vertical="center"/>
    </xf>
    <xf numFmtId="1" fontId="7" fillId="7" borderId="44" xfId="0" applyNumberFormat="1" applyFont="1" applyFill="1" applyBorder="1" applyAlignment="1">
      <alignment vertical="center"/>
    </xf>
    <xf numFmtId="0" fontId="7" fillId="7" borderId="44" xfId="0" applyFont="1" applyFill="1" applyBorder="1" applyAlignment="1">
      <alignment vertical="center" wrapText="1"/>
    </xf>
    <xf numFmtId="0" fontId="7" fillId="7" borderId="45" xfId="0" applyFont="1" applyFill="1" applyBorder="1" applyAlignment="1">
      <alignment vertical="center" wrapText="1"/>
    </xf>
    <xf numFmtId="0" fontId="87" fillId="3" borderId="3" xfId="0" applyFont="1" applyFill="1" applyBorder="1" applyAlignment="1">
      <alignment horizontal="left" vertical="center"/>
    </xf>
    <xf numFmtId="0" fontId="87" fillId="3" borderId="2" xfId="0" applyFont="1" applyFill="1" applyBorder="1" applyAlignment="1">
      <alignment horizontal="center" vertical="center" wrapText="1"/>
    </xf>
    <xf numFmtId="1" fontId="16" fillId="3" borderId="2" xfId="0" applyNumberFormat="1" applyFont="1" applyFill="1" applyBorder="1" applyAlignment="1">
      <alignment horizontal="center" vertical="center" wrapText="1"/>
    </xf>
    <xf numFmtId="0" fontId="7" fillId="2" borderId="79" xfId="0" applyFont="1" applyFill="1" applyBorder="1"/>
    <xf numFmtId="0" fontId="6" fillId="2" borderId="0" xfId="0" applyFont="1" applyFill="1" applyAlignment="1">
      <alignment horizontal="center" wrapText="1"/>
    </xf>
    <xf numFmtId="0" fontId="6" fillId="0" borderId="1" xfId="0" applyFont="1" applyFill="1" applyBorder="1" applyAlignment="1">
      <alignment horizontal="center" vertical="center"/>
    </xf>
    <xf numFmtId="44" fontId="8" fillId="0" borderId="1" xfId="1" applyFont="1" applyFill="1" applyBorder="1" applyAlignment="1">
      <alignment horizontal="center" vertical="center"/>
    </xf>
    <xf numFmtId="0" fontId="6"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44" fontId="8" fillId="0" borderId="77" xfId="1" applyFont="1" applyFill="1" applyBorder="1" applyAlignment="1">
      <alignment horizontal="center" vertical="center"/>
    </xf>
    <xf numFmtId="0" fontId="8" fillId="0" borderId="6" xfId="0" applyFont="1" applyFill="1" applyBorder="1" applyAlignment="1">
      <alignment horizontal="center" vertical="center"/>
    </xf>
    <xf numFmtId="44" fontId="8" fillId="0" borderId="6" xfId="1" applyFont="1" applyFill="1" applyBorder="1" applyAlignment="1">
      <alignment horizontal="center" vertical="center"/>
    </xf>
    <xf numFmtId="0" fontId="14" fillId="2" borderId="0" xfId="0" applyFont="1" applyFill="1" applyBorder="1" applyAlignment="1">
      <alignment horizontal="center" vertical="center" wrapText="1"/>
    </xf>
    <xf numFmtId="0" fontId="8" fillId="2" borderId="0" xfId="0" applyFont="1" applyFill="1" applyBorder="1" applyAlignment="1">
      <alignment horizontal="left" vertical="top" wrapText="1"/>
    </xf>
    <xf numFmtId="0" fontId="51" fillId="2" borderId="0"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6" fillId="0" borderId="1" xfId="0" applyFont="1" applyFill="1" applyBorder="1" applyAlignment="1">
      <alignment horizontal="left" vertical="top" wrapText="1"/>
    </xf>
    <xf numFmtId="0" fontId="16" fillId="3" borderId="1" xfId="0" applyFont="1" applyFill="1" applyBorder="1" applyAlignment="1">
      <alignment horizontal="center" vertical="top" wrapText="1"/>
    </xf>
    <xf numFmtId="0" fontId="16" fillId="3" borderId="1" xfId="0" applyFont="1" applyFill="1" applyBorder="1" applyAlignment="1">
      <alignment horizontal="center" vertical="center" wrapText="1"/>
    </xf>
    <xf numFmtId="0" fontId="6" fillId="0" borderId="7" xfId="0" applyFont="1" applyFill="1" applyBorder="1" applyAlignment="1">
      <alignment horizontal="center" vertical="center"/>
    </xf>
    <xf numFmtId="44" fontId="18" fillId="0" borderId="1" xfId="0" applyNumberFormat="1" applyFont="1" applyFill="1" applyBorder="1" applyAlignment="1">
      <alignment horizontal="center" vertical="center"/>
    </xf>
    <xf numFmtId="44" fontId="6" fillId="0" borderId="1" xfId="1" applyFont="1" applyFill="1" applyBorder="1" applyAlignment="1">
      <alignment horizontal="center" vertical="center"/>
    </xf>
    <xf numFmtId="44" fontId="6" fillId="0" borderId="7" xfId="1" applyFont="1" applyFill="1" applyBorder="1" applyAlignment="1">
      <alignment horizontal="center" vertical="center"/>
    </xf>
    <xf numFmtId="44" fontId="8" fillId="0" borderId="7" xfId="1" applyFont="1" applyFill="1" applyBorder="1" applyAlignment="1">
      <alignment horizontal="center" vertical="center"/>
    </xf>
    <xf numFmtId="0" fontId="6" fillId="0" borderId="77" xfId="0" applyFont="1" applyFill="1" applyBorder="1" applyAlignment="1">
      <alignment horizontal="center" vertical="center" wrapText="1"/>
    </xf>
    <xf numFmtId="44" fontId="6" fillId="0" borderId="6" xfId="1" applyFont="1" applyFill="1" applyBorder="1" applyAlignment="1">
      <alignment horizontal="center" vertical="center"/>
    </xf>
    <xf numFmtId="44" fontId="6" fillId="0" borderId="0" xfId="1" applyFont="1" applyFill="1" applyBorder="1" applyAlignment="1">
      <alignment horizontal="center" vertical="center"/>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16" fillId="0" borderId="0" xfId="0" applyFont="1" applyFill="1" applyBorder="1" applyAlignment="1">
      <alignment horizontal="center" vertical="center" wrapText="1"/>
    </xf>
    <xf numFmtId="0" fontId="5" fillId="0" borderId="0" xfId="0" applyFont="1" applyFill="1" applyBorder="1"/>
    <xf numFmtId="1" fontId="16" fillId="0" borderId="0" xfId="0" applyNumberFormat="1" applyFont="1" applyFill="1" applyBorder="1" applyAlignment="1">
      <alignment horizontal="center" vertical="center" wrapText="1"/>
    </xf>
    <xf numFmtId="0" fontId="16" fillId="0" borderId="0" xfId="0" applyFont="1" applyFill="1" applyBorder="1" applyAlignment="1">
      <alignment horizontal="center" vertical="top" wrapText="1"/>
    </xf>
    <xf numFmtId="0" fontId="16" fillId="3" borderId="6" xfId="0" applyFont="1" applyFill="1" applyBorder="1" applyAlignment="1">
      <alignment horizontal="center" vertical="center" wrapText="1"/>
    </xf>
    <xf numFmtId="1" fontId="16" fillId="3" borderId="1" xfId="0" applyNumberFormat="1" applyFont="1" applyFill="1" applyBorder="1" applyAlignment="1">
      <alignment horizontal="center" vertical="center" wrapText="1"/>
    </xf>
    <xf numFmtId="1" fontId="16" fillId="3" borderId="6" xfId="0" applyNumberFormat="1" applyFont="1" applyFill="1" applyBorder="1" applyAlignment="1">
      <alignment horizontal="center" vertical="center" wrapText="1"/>
    </xf>
    <xf numFmtId="0" fontId="56" fillId="3" borderId="35" xfId="159" applyFont="1" applyFill="1" applyBorder="1" applyAlignment="1">
      <alignment horizontal="center" vertical="center" wrapText="1"/>
    </xf>
    <xf numFmtId="0" fontId="56" fillId="3" borderId="36" xfId="159" applyFont="1" applyFill="1" applyBorder="1" applyAlignment="1">
      <alignment horizontal="center" vertical="center" wrapText="1"/>
    </xf>
    <xf numFmtId="0" fontId="56" fillId="3" borderId="37" xfId="159" applyFont="1" applyFill="1" applyBorder="1" applyAlignment="1">
      <alignment horizontal="center" vertical="center" wrapText="1"/>
    </xf>
    <xf numFmtId="0" fontId="55" fillId="3" borderId="47" xfId="159" applyFont="1" applyFill="1" applyBorder="1" applyAlignment="1">
      <alignment horizontal="center" vertical="center" wrapText="1"/>
    </xf>
    <xf numFmtId="0" fontId="55" fillId="3" borderId="0" xfId="159" applyFont="1" applyFill="1" applyBorder="1" applyAlignment="1">
      <alignment horizontal="center" vertical="center" wrapText="1"/>
    </xf>
    <xf numFmtId="0" fontId="55" fillId="3" borderId="39" xfId="159" applyFont="1" applyFill="1" applyBorder="1" applyAlignment="1">
      <alignment horizontal="center" vertical="center" wrapText="1"/>
    </xf>
    <xf numFmtId="0" fontId="55" fillId="3" borderId="40" xfId="159" applyFont="1" applyFill="1" applyBorder="1" applyAlignment="1">
      <alignment horizontal="center" vertical="center" wrapText="1"/>
    </xf>
    <xf numFmtId="0" fontId="56" fillId="3" borderId="39" xfId="159" applyFont="1" applyFill="1" applyBorder="1" applyAlignment="1">
      <alignment horizontal="center" vertical="center" wrapText="1"/>
    </xf>
    <xf numFmtId="0" fontId="56" fillId="3" borderId="0" xfId="159" applyFont="1" applyFill="1" applyBorder="1" applyAlignment="1">
      <alignment horizontal="center" vertical="center" wrapText="1"/>
    </xf>
    <xf numFmtId="0" fontId="12" fillId="2" borderId="47" xfId="159" applyFont="1" applyFill="1" applyBorder="1" applyAlignment="1">
      <alignment vertical="center" wrapText="1"/>
    </xf>
    <xf numFmtId="0" fontId="12" fillId="2" borderId="70" xfId="159" applyFont="1" applyFill="1" applyBorder="1" applyAlignment="1">
      <alignment vertical="center" wrapText="1"/>
    </xf>
    <xf numFmtId="0" fontId="12" fillId="2" borderId="71" xfId="159" applyFont="1" applyFill="1" applyBorder="1" applyAlignment="1">
      <alignment vertical="center" wrapText="1"/>
    </xf>
  </cellXfs>
  <cellStyles count="387">
    <cellStyle name="20% - Accent1 2" xfId="4"/>
    <cellStyle name="20% - Accent1 3" xfId="5"/>
    <cellStyle name="20% - Accent1 4" xfId="160"/>
    <cellStyle name="20% - Accent2 2" xfId="6"/>
    <cellStyle name="20% - Accent2 3" xfId="7"/>
    <cellStyle name="20% - Accent2 4" xfId="161"/>
    <cellStyle name="20% - Accent3 2" xfId="8"/>
    <cellStyle name="20% - Accent3 2 2" xfId="9"/>
    <cellStyle name="20% - Accent3 3" xfId="10"/>
    <cellStyle name="20% - Accent3 4" xfId="162"/>
    <cellStyle name="20% - Accent4 2" xfId="11"/>
    <cellStyle name="20% - Accent4 3" xfId="12"/>
    <cellStyle name="20% - Accent4 4" xfId="163"/>
    <cellStyle name="20% - Accent5 2" xfId="13"/>
    <cellStyle name="20% - Accent5 3" xfId="14"/>
    <cellStyle name="20% - Accent5 4" xfId="164"/>
    <cellStyle name="20% - Accent6 2" xfId="15"/>
    <cellStyle name="20% - Accent6 3" xfId="16"/>
    <cellStyle name="40% - Accent1 2" xfId="17"/>
    <cellStyle name="40% - Accent1 3" xfId="18"/>
    <cellStyle name="40% - Accent1 4" xfId="19"/>
    <cellStyle name="40% - Accent1 4 2" xfId="20"/>
    <cellStyle name="40% - Accent1 4 2 2" xfId="165"/>
    <cellStyle name="40% - Accent1 4 2 2 2" xfId="329"/>
    <cellStyle name="40% - Accent1 4 2 3" xfId="285"/>
    <cellStyle name="40% - Accent1 4 2 3 2" xfId="366"/>
    <cellStyle name="40% - Accent1 4 2 4" xfId="308"/>
    <cellStyle name="40% - Accent1 4 3" xfId="166"/>
    <cellStyle name="40% - Accent1 4 3 2" xfId="330"/>
    <cellStyle name="40% - Accent1 4 4" xfId="167"/>
    <cellStyle name="40% - Accent1 4 4 2" xfId="331"/>
    <cellStyle name="40% - Accent1 4 5" xfId="284"/>
    <cellStyle name="40% - Accent1 4 5 2" xfId="365"/>
    <cellStyle name="40% - Accent1 4 6" xfId="307"/>
    <cellStyle name="40% - Accent1 5" xfId="168"/>
    <cellStyle name="40% - Accent2 2" xfId="21"/>
    <cellStyle name="40% - Accent2 3" xfId="22"/>
    <cellStyle name="40% - Accent2 4" xfId="169"/>
    <cellStyle name="40% - Accent3 2" xfId="23"/>
    <cellStyle name="40% - Accent3 3" xfId="24"/>
    <cellStyle name="40% - Accent3 4" xfId="170"/>
    <cellStyle name="40% - Accent4 2" xfId="25"/>
    <cellStyle name="40% - Accent4 3" xfId="26"/>
    <cellStyle name="40% - Accent4 4" xfId="171"/>
    <cellStyle name="40% - Accent5 2" xfId="27"/>
    <cellStyle name="40% - Accent5 3" xfId="28"/>
    <cellStyle name="40% - Accent5 4" xfId="172"/>
    <cellStyle name="40% - Accent6 2" xfId="29"/>
    <cellStyle name="40% - Accent6 3" xfId="30"/>
    <cellStyle name="40% - Accent6 4" xfId="173"/>
    <cellStyle name="60% - Accent1 2" xfId="31"/>
    <cellStyle name="60% - Accent1 3" xfId="32"/>
    <cellStyle name="60% - Accent1 4" xfId="174"/>
    <cellStyle name="60% - Accent2 2" xfId="33"/>
    <cellStyle name="60% - Accent2 3" xfId="34"/>
    <cellStyle name="60% - Accent2 4" xfId="175"/>
    <cellStyle name="60% - Accent3 2" xfId="35"/>
    <cellStyle name="60% - Accent3 3" xfId="36"/>
    <cellStyle name="60% - Accent3 4" xfId="176"/>
    <cellStyle name="60% - Accent4 2" xfId="37"/>
    <cellStyle name="60% - Accent4 3" xfId="38"/>
    <cellStyle name="60% - Accent4 4" xfId="177"/>
    <cellStyle name="60% - Accent5 2" xfId="39"/>
    <cellStyle name="60% - Accent5 3" xfId="40"/>
    <cellStyle name="60% - Accent5 4" xfId="178"/>
    <cellStyle name="60% - Accent6 2" xfId="41"/>
    <cellStyle name="60% - Accent6 3" xfId="42"/>
    <cellStyle name="60% - Accent6 4" xfId="179"/>
    <cellStyle name="Accent1 2" xfId="43"/>
    <cellStyle name="Accent1 3" xfId="44"/>
    <cellStyle name="Accent1 4" xfId="180"/>
    <cellStyle name="Accent2 2" xfId="45"/>
    <cellStyle name="Accent2 3" xfId="46"/>
    <cellStyle name="Accent3 2" xfId="47"/>
    <cellStyle name="Accent3 3" xfId="48"/>
    <cellStyle name="Accent4 2" xfId="49"/>
    <cellStyle name="Accent4 3" xfId="50"/>
    <cellStyle name="Accent4 4" xfId="181"/>
    <cellStyle name="Accent5 2" xfId="51"/>
    <cellStyle name="Accent5 3" xfId="52"/>
    <cellStyle name="Accent6 2" xfId="53"/>
    <cellStyle name="Accent6 3" xfId="54"/>
    <cellStyle name="Actual" xfId="182"/>
    <cellStyle name="ActualCurrency" xfId="183"/>
    <cellStyle name="ActualPercent" xfId="184"/>
    <cellStyle name="ActualValue" xfId="185"/>
    <cellStyle name="Bad 2" xfId="55"/>
    <cellStyle name="Bad 3" xfId="56"/>
    <cellStyle name="Blockout" xfId="57"/>
    <cellStyle name="Blockout 2" xfId="58"/>
    <cellStyle name="BLUE TABLE SHADED GREY" xfId="59"/>
    <cellStyle name="Calc 1" xfId="186"/>
    <cellStyle name="Calc 2" xfId="187"/>
    <cellStyle name="CalcRef" xfId="188"/>
    <cellStyle name="CalcRefCurrency" xfId="189"/>
    <cellStyle name="CalcRefPercent" xfId="190"/>
    <cellStyle name="CalcRefValue" xfId="191"/>
    <cellStyle name="Calculation 2" xfId="60"/>
    <cellStyle name="Calculation 3" xfId="61"/>
    <cellStyle name="Calculation 4" xfId="192"/>
    <cellStyle name="CaseSelection" xfId="193"/>
    <cellStyle name="Check Cell 2" xfId="62"/>
    <cellStyle name="Check Cell 3" xfId="63"/>
    <cellStyle name="Comma [0] 2" xfId="194"/>
    <cellStyle name="Comma [0] 3" xfId="195"/>
    <cellStyle name="Comma 10" xfId="196"/>
    <cellStyle name="Comma 12" xfId="197"/>
    <cellStyle name="Comma 12 2" xfId="332"/>
    <cellStyle name="Comma 2" xfId="64"/>
    <cellStyle name="Comma 2 2" xfId="65"/>
    <cellStyle name="Comma 2 2 2" xfId="198"/>
    <cellStyle name="Comma 2 3" xfId="66"/>
    <cellStyle name="Comma 2 3 2" xfId="199"/>
    <cellStyle name="Comma 2 3 2 2" xfId="333"/>
    <cellStyle name="Comma 2 3 3" xfId="287"/>
    <cellStyle name="Comma 2 3 3 2" xfId="368"/>
    <cellStyle name="Comma 2 3 4" xfId="310"/>
    <cellStyle name="Comma 2 4" xfId="67"/>
    <cellStyle name="Comma 2 4 2" xfId="270"/>
    <cellStyle name="Comma 2 4 2 2" xfId="351"/>
    <cellStyle name="Comma 2 4 3" xfId="288"/>
    <cellStyle name="Comma 2 4 3 2" xfId="369"/>
    <cellStyle name="Comma 2 4 4" xfId="311"/>
    <cellStyle name="Comma 2 5" xfId="200"/>
    <cellStyle name="Comma 2 6" xfId="286"/>
    <cellStyle name="Comma 2 6 2" xfId="367"/>
    <cellStyle name="Comma 2 7" xfId="309"/>
    <cellStyle name="Comma 2_Major Customer Project Data_15Nov2012" xfId="201"/>
    <cellStyle name="Comma 3" xfId="68"/>
    <cellStyle name="Comma 3 2" xfId="69"/>
    <cellStyle name="Comma 3 2 2" xfId="70"/>
    <cellStyle name="Comma 3 2 2 2" xfId="271"/>
    <cellStyle name="Comma 3 2 2 2 2" xfId="352"/>
    <cellStyle name="Comma 3 2 2 3" xfId="289"/>
    <cellStyle name="Comma 3 2 2 3 2" xfId="370"/>
    <cellStyle name="Comma 3 2 2 4" xfId="312"/>
    <cellStyle name="Comma 3 2 3" xfId="71"/>
    <cellStyle name="Comma 3 2 3 2" xfId="272"/>
    <cellStyle name="Comma 3 2 3 2 2" xfId="353"/>
    <cellStyle name="Comma 3 2 3 3" xfId="290"/>
    <cellStyle name="Comma 3 2 3 3 2" xfId="371"/>
    <cellStyle name="Comma 3 2 3 4" xfId="313"/>
    <cellStyle name="Comma 3 3" xfId="72"/>
    <cellStyle name="Comma 3 3 2" xfId="202"/>
    <cellStyle name="Comma 3 4" xfId="203"/>
    <cellStyle name="Comma 4" xfId="73"/>
    <cellStyle name="Comma 4 2" xfId="204"/>
    <cellStyle name="Comma 5" xfId="74"/>
    <cellStyle name="Comma 5 2" xfId="205"/>
    <cellStyle name="Comma 6" xfId="75"/>
    <cellStyle name="Comma 6 2" xfId="76"/>
    <cellStyle name="Comma 6 2 2" xfId="206"/>
    <cellStyle name="Comma 6 2 2 2" xfId="334"/>
    <cellStyle name="Comma 6 2 3" xfId="274"/>
    <cellStyle name="Comma 6 2 3 2" xfId="355"/>
    <cellStyle name="Comma 6 2 4" xfId="292"/>
    <cellStyle name="Comma 6 2 4 2" xfId="373"/>
    <cellStyle name="Comma 6 2 5" xfId="315"/>
    <cellStyle name="Comma 6 3" xfId="207"/>
    <cellStyle name="Comma 6 3 2" xfId="335"/>
    <cellStyle name="Comma 6 4" xfId="273"/>
    <cellStyle name="Comma 6 4 2" xfId="354"/>
    <cellStyle name="Comma 6 5" xfId="291"/>
    <cellStyle name="Comma 6 5 2" xfId="372"/>
    <cellStyle name="Comma 6 6" xfId="314"/>
    <cellStyle name="Comma 7" xfId="208"/>
    <cellStyle name="Comma 8" xfId="209"/>
    <cellStyle name="Comma 8 2" xfId="336"/>
    <cellStyle name="Comma 9" xfId="210"/>
    <cellStyle name="Comma 9 2" xfId="337"/>
    <cellStyle name="Currency" xfId="1" builtinId="4"/>
    <cellStyle name="Currency [0] 2" xfId="211"/>
    <cellStyle name="Currency [0] 3" xfId="212"/>
    <cellStyle name="Currency 10" xfId="213"/>
    <cellStyle name="Currency 11" xfId="214"/>
    <cellStyle name="Currency 12" xfId="215"/>
    <cellStyle name="Currency 2" xfId="77"/>
    <cellStyle name="Currency 2 2" xfId="78"/>
    <cellStyle name="Currency 2 2 2" xfId="79"/>
    <cellStyle name="Currency 2 3" xfId="80"/>
    <cellStyle name="Currency 2 4" xfId="81"/>
    <cellStyle name="Currency 2 4 2" xfId="275"/>
    <cellStyle name="Currency 2 4 2 2" xfId="356"/>
    <cellStyle name="Currency 2 4 3" xfId="293"/>
    <cellStyle name="Currency 2 4 3 2" xfId="374"/>
    <cellStyle name="Currency 2 4 4" xfId="316"/>
    <cellStyle name="Currency 3" xfId="82"/>
    <cellStyle name="Currency 3 2" xfId="216"/>
    <cellStyle name="Currency 4" xfId="83"/>
    <cellStyle name="Currency 4 2" xfId="84"/>
    <cellStyle name="Currency 4 2 2" xfId="276"/>
    <cellStyle name="Currency 4 2 2 2" xfId="357"/>
    <cellStyle name="Currency 4 2 3" xfId="294"/>
    <cellStyle name="Currency 4 2 3 2" xfId="375"/>
    <cellStyle name="Currency 4 2 4" xfId="317"/>
    <cellStyle name="Currency 5" xfId="85"/>
    <cellStyle name="Currency 5 2" xfId="217"/>
    <cellStyle name="Currency 6" xfId="86"/>
    <cellStyle name="Currency 6 2" xfId="87"/>
    <cellStyle name="Currency 6 2 2" xfId="218"/>
    <cellStyle name="Currency 6 2 2 2" xfId="338"/>
    <cellStyle name="Currency 6 2 3" xfId="296"/>
    <cellStyle name="Currency 6 2 3 2" xfId="377"/>
    <cellStyle name="Currency 6 2 4" xfId="319"/>
    <cellStyle name="Currency 6 3" xfId="219"/>
    <cellStyle name="Currency 6 3 2" xfId="339"/>
    <cellStyle name="Currency 6 4" xfId="295"/>
    <cellStyle name="Currency 6 4 2" xfId="376"/>
    <cellStyle name="Currency 6 5" xfId="318"/>
    <cellStyle name="Currency 7" xfId="88"/>
    <cellStyle name="Currency 7 2" xfId="89"/>
    <cellStyle name="Currency 7 2 2" xfId="220"/>
    <cellStyle name="Currency 7 2 2 2" xfId="340"/>
    <cellStyle name="Currency 7 2 3" xfId="278"/>
    <cellStyle name="Currency 7 2 3 2" xfId="359"/>
    <cellStyle name="Currency 7 2 4" xfId="298"/>
    <cellStyle name="Currency 7 2 4 2" xfId="379"/>
    <cellStyle name="Currency 7 2 5" xfId="321"/>
    <cellStyle name="Currency 7 3" xfId="221"/>
    <cellStyle name="Currency 7 3 2" xfId="341"/>
    <cellStyle name="Currency 7 4" xfId="277"/>
    <cellStyle name="Currency 7 4 2" xfId="358"/>
    <cellStyle name="Currency 7 5" xfId="297"/>
    <cellStyle name="Currency 7 5 2" xfId="378"/>
    <cellStyle name="Currency 7 6" xfId="320"/>
    <cellStyle name="Currency 8" xfId="222"/>
    <cellStyle name="Currency 8 2" xfId="342"/>
    <cellStyle name="Currency 9" xfId="223"/>
    <cellStyle name="DateD-MMM-YYYY" xfId="224"/>
    <cellStyle name="DateMMM-YY" xfId="225"/>
    <cellStyle name="ErrorCheck" xfId="226"/>
    <cellStyle name="Explanatory Text 2" xfId="90"/>
    <cellStyle name="Explanatory Text 3" xfId="91"/>
    <cellStyle name="Forecast" xfId="227"/>
    <cellStyle name="ForecastCurrency" xfId="228"/>
    <cellStyle name="ForecastPercent" xfId="229"/>
    <cellStyle name="ForecastValue" xfId="230"/>
    <cellStyle name="Generic" xfId="231"/>
    <cellStyle name="GenericCurrency" xfId="232"/>
    <cellStyle name="GenericPercent" xfId="233"/>
    <cellStyle name="GenericValue" xfId="234"/>
    <cellStyle name="Good 2" xfId="92"/>
    <cellStyle name="Good 3" xfId="93"/>
    <cellStyle name="Greyed out" xfId="235"/>
    <cellStyle name="Heading 1 2" xfId="94"/>
    <cellStyle name="Heading 1 3" xfId="95"/>
    <cellStyle name="Heading 1 4" xfId="236"/>
    <cellStyle name="Heading 2 2" xfId="96"/>
    <cellStyle name="Heading 2 3" xfId="97"/>
    <cellStyle name="Heading 2 4" xfId="237"/>
    <cellStyle name="Heading 3 2" xfId="98"/>
    <cellStyle name="Heading 3 3" xfId="99"/>
    <cellStyle name="Heading 3 4" xfId="238"/>
    <cellStyle name="Heading 4 2" xfId="100"/>
    <cellStyle name="Heading 4 3" xfId="101"/>
    <cellStyle name="Heading 4 4" xfId="239"/>
    <cellStyle name="Heading1" xfId="240"/>
    <cellStyle name="Heading2" xfId="241"/>
    <cellStyle name="Heading3" xfId="242"/>
    <cellStyle name="Inconsistant formula" xfId="243"/>
    <cellStyle name="Input - Macro Pasted" xfId="244"/>
    <cellStyle name="Input - Manual" xfId="245"/>
    <cellStyle name="Input - Manual Data Dump" xfId="246"/>
    <cellStyle name="Input 2" xfId="102"/>
    <cellStyle name="Input 3" xfId="103"/>
    <cellStyle name="Input1" xfId="104"/>
    <cellStyle name="Input1 2" xfId="105"/>
    <cellStyle name="Input1 3" xfId="106"/>
    <cellStyle name="Input1 4" xfId="107"/>
    <cellStyle name="Input1 5" xfId="108"/>
    <cellStyle name="Input2" xfId="109"/>
    <cellStyle name="Input3" xfId="110"/>
    <cellStyle name="Linked Cell 2" xfId="111"/>
    <cellStyle name="Linked Cell 3" xfId="112"/>
    <cellStyle name="Named Range Label" xfId="247"/>
    <cellStyle name="Named Range_BuildITHelp" xfId="248"/>
    <cellStyle name="Neutral 2" xfId="113"/>
    <cellStyle name="Neutral 3" xfId="114"/>
    <cellStyle name="Normal" xfId="0" builtinId="0"/>
    <cellStyle name="Normal 10" xfId="115"/>
    <cellStyle name="Normal 114" xfId="116"/>
    <cellStyle name="Normal 13" xfId="159"/>
    <cellStyle name="Normal 2" xfId="117"/>
    <cellStyle name="Normal 2 2" xfId="118"/>
    <cellStyle name="Normal 2 2 2" xfId="249"/>
    <cellStyle name="Normal 2 3" xfId="119"/>
    <cellStyle name="Normal 2 3 2" xfId="279"/>
    <cellStyle name="Normal 2 3 2 2" xfId="360"/>
    <cellStyle name="Normal 2 3 3" xfId="299"/>
    <cellStyle name="Normal 2 3 3 2" xfId="380"/>
    <cellStyle name="Normal 2 3 4" xfId="322"/>
    <cellStyle name="Normal 3" xfId="120"/>
    <cellStyle name="Normal 3 2" xfId="121"/>
    <cellStyle name="Normal 3 3" xfId="122"/>
    <cellStyle name="Normal 3 3 2" xfId="250"/>
    <cellStyle name="Normal 3 3 2 2" xfId="343"/>
    <cellStyle name="Normal 3 3 3" xfId="300"/>
    <cellStyle name="Normal 3 3 3 2" xfId="381"/>
    <cellStyle name="Normal 3 3 4" xfId="323"/>
    <cellStyle name="Normal 3 4" xfId="251"/>
    <cellStyle name="Normal 3 4 2" xfId="344"/>
    <cellStyle name="Normal 4" xfId="123"/>
    <cellStyle name="Normal 4 2" xfId="124"/>
    <cellStyle name="Normal 4 3" xfId="125"/>
    <cellStyle name="Normal 4 4" xfId="126"/>
    <cellStyle name="Normal 4 4 2" xfId="280"/>
    <cellStyle name="Normal 4 4 2 2" xfId="361"/>
    <cellStyle name="Normal 4 4 3" xfId="301"/>
    <cellStyle name="Normal 4 4 3 2" xfId="382"/>
    <cellStyle name="Normal 4 4 4" xfId="324"/>
    <cellStyle name="Normal 5" xfId="127"/>
    <cellStyle name="Normal 5 2" xfId="128"/>
    <cellStyle name="Normal 5 2 2" xfId="158"/>
    <cellStyle name="Normal 5 2 2 3 2 2" xfId="129"/>
    <cellStyle name="Normal 5 2 2 3 2 2 2" xfId="282"/>
    <cellStyle name="Normal 5 2 2 3 2 2 2 2" xfId="363"/>
    <cellStyle name="Normal 5 2 2 3 2 2 3" xfId="303"/>
    <cellStyle name="Normal 5 2 2 3 2 2 3 2" xfId="384"/>
    <cellStyle name="Normal 5 2 2 3 2 2 4" xfId="326"/>
    <cellStyle name="Normal 5 2 3" xfId="281"/>
    <cellStyle name="Normal 5 2 3 2" xfId="362"/>
    <cellStyle name="Normal 5 2 4" xfId="302"/>
    <cellStyle name="Normal 5 2 4 2" xfId="383"/>
    <cellStyle name="Normal 5 2 5" xfId="325"/>
    <cellStyle name="Normal 5 3" xfId="252"/>
    <cellStyle name="Normal 5 3 2" xfId="345"/>
    <cellStyle name="Normal 6" xfId="130"/>
    <cellStyle name="Normal 7" xfId="3"/>
    <cellStyle name="Normal 8" xfId="131"/>
    <cellStyle name="Normal 9" xfId="2"/>
    <cellStyle name="Normal 9 2" xfId="253"/>
    <cellStyle name="Normal 9 2 2" xfId="346"/>
    <cellStyle name="Note 2" xfId="132"/>
    <cellStyle name="Note 3" xfId="133"/>
    <cellStyle name="Note 4" xfId="306"/>
    <cellStyle name="Output 2" xfId="134"/>
    <cellStyle name="Output 3" xfId="135"/>
    <cellStyle name="Output 4" xfId="254"/>
    <cellStyle name="PanelHeading" xfId="255"/>
    <cellStyle name="Pattern_SUMMARY (2)" xfId="136"/>
    <cellStyle name="Percent 2" xfId="137"/>
    <cellStyle name="Percent 2 2" xfId="138"/>
    <cellStyle name="Percent 2 2 2" xfId="139"/>
    <cellStyle name="Percent 2 2 2 2" xfId="283"/>
    <cellStyle name="Percent 2 2 2 2 2" xfId="364"/>
    <cellStyle name="Percent 2 2 2 3" xfId="304"/>
    <cellStyle name="Percent 2 2 2 3 2" xfId="385"/>
    <cellStyle name="Percent 2 2 2 4" xfId="327"/>
    <cellStyle name="Percent 2 3" xfId="140"/>
    <cellStyle name="Percent 2 3 2" xfId="256"/>
    <cellStyle name="Percent 2 3 2 2" xfId="347"/>
    <cellStyle name="Percent 2 3 3" xfId="305"/>
    <cellStyle name="Percent 2 3 3 2" xfId="386"/>
    <cellStyle name="Percent 2 3 4" xfId="328"/>
    <cellStyle name="Percent 2 4" xfId="257"/>
    <cellStyle name="Percent 2 4 2" xfId="348"/>
    <cellStyle name="Percent 3" xfId="141"/>
    <cellStyle name="Percent 3 2" xfId="142"/>
    <cellStyle name="Percent 4" xfId="143"/>
    <cellStyle name="Percent 5" xfId="144"/>
    <cellStyle name="Percent 6" xfId="258"/>
    <cellStyle name="Percent 6 2" xfId="349"/>
    <cellStyle name="Percent 7" xfId="259"/>
    <cellStyle name="Percent 7 2" xfId="350"/>
    <cellStyle name="SheetHeader1" xfId="145"/>
    <cellStyle name="SheetHeading" xfId="260"/>
    <cellStyle name="SheetlHeading" xfId="261"/>
    <cellStyle name="Style 1" xfId="146"/>
    <cellStyle name="Style 1 2" xfId="147"/>
    <cellStyle name="Style 1 3" xfId="148"/>
    <cellStyle name="Style 1 4" xfId="149"/>
    <cellStyle name="TableLvl2" xfId="150"/>
    <cellStyle name="TableLvl3" xfId="151"/>
    <cellStyle name="Title - grey" xfId="262"/>
    <cellStyle name="Title 1" xfId="263"/>
    <cellStyle name="Title 2" xfId="152"/>
    <cellStyle name="Title 3" xfId="153"/>
    <cellStyle name="Title 4" xfId="264"/>
    <cellStyle name="Total - General" xfId="265"/>
    <cellStyle name="Total - Grand" xfId="266"/>
    <cellStyle name="Total - Sub" xfId="267"/>
    <cellStyle name="Total 2" xfId="154"/>
    <cellStyle name="Total 3" xfId="155"/>
    <cellStyle name="Total 4" xfId="268"/>
    <cellStyle name="Units" xfId="269"/>
    <cellStyle name="Warning Text 2" xfId="156"/>
    <cellStyle name="Warning Text 3" xfId="157"/>
  </cellStyles>
  <dxfs count="8">
    <dxf>
      <font>
        <color rgb="FF006100"/>
      </font>
      <fill>
        <patternFill>
          <bgColor rgb="FFC6EFCE"/>
        </patternFill>
      </fill>
    </dxf>
    <dxf>
      <font>
        <color rgb="FF9C6500"/>
      </font>
      <fill>
        <patternFill>
          <bgColor rgb="FFFFEB9C"/>
        </patternFill>
      </fill>
    </dxf>
    <dxf>
      <fill>
        <patternFill>
          <bgColor rgb="FF66FF33"/>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mruColors>
      <color rgb="FF66FF33"/>
      <color rgb="FF2C5697"/>
      <color rgb="FFC2DEEA"/>
      <color rgb="FF5BC6E8"/>
      <color rgb="FFA3DBE8"/>
      <color rgb="FFFFFF99"/>
      <color rgb="FFB1A0C7"/>
      <color rgb="FF00A1D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190501</xdr:colOff>
      <xdr:row>6</xdr:row>
      <xdr:rowOff>78442</xdr:rowOff>
    </xdr:from>
    <xdr:to>
      <xdr:col>1</xdr:col>
      <xdr:colOff>1456765</xdr:colOff>
      <xdr:row>9</xdr:row>
      <xdr:rowOff>57430</xdr:rowOff>
    </xdr:to>
    <xdr:pic>
      <xdr:nvPicPr>
        <xdr:cNvPr id="3" name="Picture 2"/>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82707" y="773207"/>
          <a:ext cx="1266264" cy="1613646"/>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47626</xdr:colOff>
      <xdr:row>0</xdr:row>
      <xdr:rowOff>0</xdr:rowOff>
    </xdr:from>
    <xdr:to>
      <xdr:col>4</xdr:col>
      <xdr:colOff>1028701</xdr:colOff>
      <xdr:row>6</xdr:row>
      <xdr:rowOff>47307</xdr:rowOff>
    </xdr:to>
    <xdr:pic>
      <xdr:nvPicPr>
        <xdr:cNvPr id="2" name="Picture 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38176" y="0"/>
          <a:ext cx="981075" cy="1159351"/>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35718</xdr:colOff>
      <xdr:row>0</xdr:row>
      <xdr:rowOff>0</xdr:rowOff>
    </xdr:from>
    <xdr:to>
      <xdr:col>3</xdr:col>
      <xdr:colOff>88106</xdr:colOff>
      <xdr:row>6</xdr:row>
      <xdr:rowOff>61595</xdr:rowOff>
    </xdr:to>
    <xdr:pic>
      <xdr:nvPicPr>
        <xdr:cNvPr id="2" name="Picture 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42937" y="0"/>
          <a:ext cx="981075" cy="1180783"/>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Group%20-%20Corporate%20Governance\Network%20Pricing\2016-17\Pricing\2.%20AER\16-04-05-FL%20DCOS%20New%20ARR%20allocation%20model%20v3.1.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Disclaimer"/>
      <sheetName val="Colour legend &amp; notes"/>
      <sheetName val="&lt;-- Front matter"/>
      <sheetName val="TUOS SAC Large"/>
      <sheetName val="TUOS SAC Small"/>
      <sheetName val="TUOS CAC"/>
      <sheetName val="TUOS ICC"/>
      <sheetName val="Jurisdictional Charges"/>
      <sheetName val="DUOS SAC Small"/>
      <sheetName val="DUOS SAC Large"/>
      <sheetName val="DUOS CAC"/>
      <sheetName val="DUOS ICC"/>
      <sheetName val="A&amp;S all years"/>
      <sheetName val="&lt;&lt;-- Final results - Proj."/>
      <sheetName val="ICC Tariffs"/>
      <sheetName val="CAC Tariffs"/>
      <sheetName val="EG Tariffs"/>
      <sheetName val="CAC Tariff Rates"/>
      <sheetName val="SAC Large Tariff Rates"/>
      <sheetName val="SAC Small Tariff Rates"/>
      <sheetName val="SAC Unmetered Rates"/>
      <sheetName val="DLFs"/>
      <sheetName val="&lt;&lt;-- Final results - current yr"/>
      <sheetName val="Model builder"/>
      <sheetName val="Index lists"/>
      <sheetName val="Model log"/>
      <sheetName val="Input log"/>
      <sheetName val="DUOS inputs"/>
      <sheetName val="TUOS inputs"/>
      <sheetName val="&lt;-- Model builder"/>
      <sheetName val="Control panel"/>
      <sheetName val="Control - Pricing projection"/>
      <sheetName val="Control - TUOS, JS, and A&amp;S"/>
      <sheetName val="&lt;-- Controls"/>
      <sheetName val="Recon. rounded rates DUOS"/>
      <sheetName val="Allocation and recovery"/>
      <sheetName val="Inputs summary"/>
      <sheetName val="&lt;-- Summary"/>
      <sheetName val="Pr.Proj - TUOS - SACS Mt Isa"/>
      <sheetName val="Pr.Proj - TUOS - SACS"/>
      <sheetName val="Pr.Proj - TUOS - SACL"/>
      <sheetName val="Pr.Proj - TUOS - CAC"/>
      <sheetName val="Pr.Proj - TUOS - ICC"/>
      <sheetName val="&lt;-- Pr.Proj - TUOS"/>
      <sheetName val="TUOS status"/>
      <sheetName val="TUOS for CAW"/>
      <sheetName val="SAC TUOS Mt Isa"/>
      <sheetName val="SAC TUOS"/>
      <sheetName val="CAC TUOS"/>
      <sheetName val="ICC TUOS"/>
      <sheetName val="TUOS by TNI"/>
      <sheetName val="&lt;-- TUOS"/>
      <sheetName val="JS"/>
      <sheetName val="A&amp;S"/>
      <sheetName val="&lt;-- JS and A&amp;S costs"/>
      <sheetName val="Pr.Proj - Projected DUOS"/>
      <sheetName val="Pr.Proj - Summary"/>
      <sheetName val="Pr. Proj - Rate projection"/>
      <sheetName val="Pr. Proj - Extrapolation"/>
      <sheetName val="Pr. Proj. - CY values"/>
      <sheetName val="&lt;-- Pr.Proj - DUOS"/>
      <sheetName val="SAC Large rates and volumes"/>
      <sheetName val="SAC Small rates and volumes"/>
      <sheetName val="CAC rates and volumes"/>
      <sheetName val="EG rates and volumes"/>
      <sheetName val="ICC rates and volumes"/>
      <sheetName val="SAC allocations"/>
      <sheetName val="CAC allocations"/>
      <sheetName val="&lt;-- Rates and allocations"/>
      <sheetName val="Mixture model status"/>
      <sheetName val="Mixture model adjustment"/>
      <sheetName val="SAC prev year allocation"/>
      <sheetName val="CAC prev year allocation"/>
      <sheetName val="EG prev year allocation"/>
      <sheetName val="ICC prev year allocation"/>
      <sheetName val="Tariff volumes"/>
      <sheetName val="&lt;-- Mixture model"/>
      <sheetName val="Comm serv to ICC CAC SAC"/>
      <sheetName val="Admin other to CAC SAC"/>
      <sheetName val="Admin other to EG cust "/>
      <sheetName val="Admin other to ICC and EG Group"/>
      <sheetName val="Cust Stat Summary"/>
      <sheetName val="&lt;-- Admin, other, comm serv"/>
      <sheetName val="Table definitions"/>
      <sheetName val="Variable definitions"/>
      <sheetName val="&lt;-- Ancill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3">
          <cell r="E23" t="str">
            <v>2016-17</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ow r="24">
          <cell r="C24" t="str">
            <v>ID</v>
          </cell>
          <cell r="D24" t="str">
            <v>Tariff class</v>
          </cell>
          <cell r="E24" t="str">
            <v xml:space="preserve"> Tariff</v>
          </cell>
          <cell r="F24" t="str">
            <v>Charge</v>
          </cell>
          <cell r="G24" t="str">
            <v>Units</v>
          </cell>
          <cell r="H24" t="str">
            <v>2016-17</v>
          </cell>
          <cell r="I24" t="str">
            <v>2017-18</v>
          </cell>
          <cell r="J24" t="str">
            <v>2018-19</v>
          </cell>
          <cell r="K24" t="str">
            <v>2019-20</v>
          </cell>
          <cell r="L24" t="str">
            <v>2020-21</v>
          </cell>
        </row>
        <row r="25">
          <cell r="C25" t="str">
            <v>SAC small</v>
          </cell>
          <cell r="D25" t="str">
            <v>SAC Small Primary Tariffs</v>
          </cell>
          <cell r="E25" t="str">
            <v xml:space="preserve"> </v>
          </cell>
          <cell r="F25" t="str">
            <v>Fixed charge</v>
          </cell>
          <cell r="G25" t="str">
            <v>$/day</v>
          </cell>
          <cell r="H25">
            <v>0.16600000000000001</v>
          </cell>
          <cell r="I25">
            <v>0.17799999999999999</v>
          </cell>
          <cell r="J25">
            <v>0.153</v>
          </cell>
          <cell r="K25">
            <v>0.14599999999999999</v>
          </cell>
          <cell r="L25" t="e">
            <v>#VALUE!</v>
          </cell>
        </row>
        <row r="26">
          <cell r="C26" t="str">
            <v>SAC small</v>
          </cell>
          <cell r="D26" t="str">
            <v>SAC Small Primary Tariffs</v>
          </cell>
          <cell r="F26" t="str">
            <v>Volume charge</v>
          </cell>
          <cell r="G26" t="str">
            <v>$/kWh</v>
          </cell>
          <cell r="H26">
            <v>1.0120000000000001E-2</v>
          </cell>
          <cell r="I26">
            <v>1.108E-2</v>
          </cell>
          <cell r="J26">
            <v>9.75E-3</v>
          </cell>
          <cell r="K26">
            <v>9.4999999999999998E-3</v>
          </cell>
          <cell r="L26" t="e">
            <v>#VALUE!</v>
          </cell>
        </row>
        <row r="27">
          <cell r="C27" t="str">
            <v>SAC small controlled</v>
          </cell>
          <cell r="D27" t="str">
            <v>SAC Small Controlled Load Tariffs</v>
          </cell>
          <cell r="E27" t="str">
            <v xml:space="preserve"> </v>
          </cell>
          <cell r="F27" t="str">
            <v>Volume charge</v>
          </cell>
          <cell r="G27" t="str">
            <v>$/kWh</v>
          </cell>
          <cell r="H27">
            <v>1.0120000000000001E-2</v>
          </cell>
          <cell r="I27">
            <v>1.108E-2</v>
          </cell>
          <cell r="J27">
            <v>9.75E-3</v>
          </cell>
          <cell r="K27">
            <v>9.4999999999999998E-3</v>
          </cell>
          <cell r="L27" t="e">
            <v>#VALUE!</v>
          </cell>
        </row>
        <row r="28">
          <cell r="C28" t="str">
            <v>SAC small controlled</v>
          </cell>
          <cell r="D28" t="str">
            <v>SAC Small Controlled Load Tariffs</v>
          </cell>
        </row>
        <row r="29">
          <cell r="C29" t="str">
            <v>SAC large</v>
          </cell>
          <cell r="D29" t="str">
            <v>SAC Large</v>
          </cell>
          <cell r="E29" t="str">
            <v xml:space="preserve"> </v>
          </cell>
          <cell r="F29" t="str">
            <v>Fixed charge</v>
          </cell>
          <cell r="G29" t="str">
            <v>$/day</v>
          </cell>
          <cell r="H29">
            <v>0.89300000000000002</v>
          </cell>
          <cell r="I29">
            <v>0.97</v>
          </cell>
          <cell r="J29">
            <v>0.85</v>
          </cell>
          <cell r="K29">
            <v>0.82499999999999996</v>
          </cell>
          <cell r="L29" t="e">
            <v>#VALUE!</v>
          </cell>
        </row>
        <row r="30">
          <cell r="C30" t="str">
            <v>SAC large</v>
          </cell>
          <cell r="D30" t="str">
            <v>SAC Large</v>
          </cell>
          <cell r="F30" t="str">
            <v>Volume charge</v>
          </cell>
          <cell r="G30" t="str">
            <v>$/kWh</v>
          </cell>
          <cell r="H30">
            <v>1.31E-3</v>
          </cell>
          <cell r="I30">
            <v>1.4400000000000001E-3</v>
          </cell>
          <cell r="J30">
            <v>1.2600000000000001E-3</v>
          </cell>
          <cell r="K30">
            <v>1.2199999999999999E-3</v>
          </cell>
          <cell r="L30" t="e">
            <v>#VALUE!</v>
          </cell>
        </row>
        <row r="31">
          <cell r="C31" t="str">
            <v>CAC</v>
          </cell>
          <cell r="D31" t="str">
            <v>CAC</v>
          </cell>
          <cell r="E31" t="str">
            <v xml:space="preserve"> </v>
          </cell>
          <cell r="F31" t="str">
            <v>Fixed charge</v>
          </cell>
          <cell r="G31" t="str">
            <v>$/day</v>
          </cell>
          <cell r="H31">
            <v>16.751999999999999</v>
          </cell>
          <cell r="I31">
            <v>18.495000000000001</v>
          </cell>
          <cell r="J31">
            <v>16.236000000000001</v>
          </cell>
          <cell r="K31">
            <v>15.773</v>
          </cell>
          <cell r="L31" t="e">
            <v>#VALUE!</v>
          </cell>
        </row>
        <row r="32">
          <cell r="C32" t="str">
            <v>CAC</v>
          </cell>
          <cell r="D32" t="str">
            <v>CAC</v>
          </cell>
          <cell r="F32" t="str">
            <v>Volume charge</v>
          </cell>
          <cell r="G32" t="str">
            <v>$/kWh</v>
          </cell>
          <cell r="H32">
            <v>8.3000000000000001E-4</v>
          </cell>
          <cell r="I32">
            <v>8.9999999999999998E-4</v>
          </cell>
          <cell r="J32">
            <v>7.9000000000000001E-4</v>
          </cell>
          <cell r="K32">
            <v>7.6999999999999996E-4</v>
          </cell>
          <cell r="L32" t="e">
            <v>#VALUE!</v>
          </cell>
        </row>
        <row r="33">
          <cell r="C33" t="str">
            <v>ICC</v>
          </cell>
          <cell r="D33" t="str">
            <v>ICC</v>
          </cell>
          <cell r="E33" t="str">
            <v xml:space="preserve"> </v>
          </cell>
          <cell r="F33" t="str">
            <v>Fixed charge</v>
          </cell>
          <cell r="G33" t="str">
            <v>$/day</v>
          </cell>
          <cell r="H33">
            <v>134.11799999999999</v>
          </cell>
          <cell r="I33">
            <v>146.56800000000001</v>
          </cell>
          <cell r="J33">
            <v>128.53800000000001</v>
          </cell>
          <cell r="K33">
            <v>124.752</v>
          </cell>
          <cell r="L33" t="e">
            <v>#VALUE!</v>
          </cell>
        </row>
        <row r="34">
          <cell r="D34" t="str">
            <v>ICC</v>
          </cell>
        </row>
      </sheetData>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fitToPage="1"/>
  </sheetPr>
  <dimension ref="A1:BH192"/>
  <sheetViews>
    <sheetView tabSelected="1" showRuler="0" topLeftCell="A3" zoomScale="80" zoomScaleNormal="80" zoomScalePageLayoutView="90" workbookViewId="0">
      <pane xSplit="1" ySplit="11" topLeftCell="B14" activePane="bottomRight" state="frozen"/>
      <selection activeCell="A3" sqref="A3"/>
      <selection pane="topRight" activeCell="B3" sqref="B3"/>
      <selection pane="bottomLeft" activeCell="A14" sqref="A14"/>
      <selection pane="bottomRight" activeCell="D20" sqref="D20:G20"/>
    </sheetView>
  </sheetViews>
  <sheetFormatPr defaultColWidth="0" defaultRowHeight="12.75" zeroHeight="1" x14ac:dyDescent="0.2"/>
  <cols>
    <col min="1" max="1" width="5.85546875" style="1" bestFit="1" customWidth="1"/>
    <col min="2" max="2" width="33.85546875" style="2" customWidth="1"/>
    <col min="3" max="3" width="49.42578125" style="2" customWidth="1"/>
    <col min="4" max="7" width="11.7109375" style="2" customWidth="1"/>
    <col min="8" max="8" width="14.28515625" style="77" customWidth="1"/>
    <col min="9" max="10" width="10.7109375" style="1" customWidth="1"/>
    <col min="11" max="12" width="10.7109375" style="2" customWidth="1"/>
    <col min="13" max="13" width="19.140625" style="6" customWidth="1"/>
    <col min="14" max="14" width="33.28515625" style="5" customWidth="1"/>
    <col min="15" max="15" width="14.5703125" style="68" customWidth="1"/>
    <col min="16" max="16" width="12.5703125" style="76" customWidth="1"/>
    <col min="17" max="17" width="15.5703125" style="76" customWidth="1"/>
    <col min="18" max="18" width="9.140625" style="11" customWidth="1"/>
    <col min="19" max="20" width="9.140625" style="11" hidden="1" customWidth="1"/>
    <col min="21" max="21" width="9.5703125" style="11" hidden="1" customWidth="1"/>
    <col min="22" max="22" width="7.140625" style="11" hidden="1" customWidth="1"/>
    <col min="23" max="35" width="9.140625" style="11" hidden="1" customWidth="1"/>
    <col min="36" max="60" width="0" style="11" hidden="1" customWidth="1"/>
    <col min="61" max="16384" width="9.140625" style="11" hidden="1"/>
  </cols>
  <sheetData>
    <row r="1" spans="1:60" ht="12.75" hidden="1" customHeight="1" x14ac:dyDescent="0.2">
      <c r="A1" s="3"/>
      <c r="B1" s="3"/>
      <c r="C1" s="3"/>
      <c r="D1" s="3"/>
      <c r="E1" s="3"/>
      <c r="F1" s="3"/>
      <c r="G1" s="3"/>
      <c r="H1" s="3"/>
      <c r="I1" s="3"/>
      <c r="J1" s="3"/>
      <c r="K1" s="3"/>
      <c r="L1" s="3"/>
      <c r="M1" s="3"/>
    </row>
    <row r="2" spans="1:60" ht="23.25" hidden="1" customHeight="1" x14ac:dyDescent="0.35">
      <c r="A2" s="3"/>
      <c r="B2" s="158"/>
      <c r="C2" s="3"/>
      <c r="D2" s="3"/>
      <c r="E2" s="3"/>
      <c r="F2" s="3"/>
      <c r="G2" s="3"/>
      <c r="H2" s="3"/>
      <c r="I2" s="3"/>
      <c r="J2" s="3"/>
      <c r="K2" s="3"/>
      <c r="L2" s="3"/>
      <c r="M2" s="3"/>
    </row>
    <row r="3" spans="1:60" x14ac:dyDescent="0.2">
      <c r="A3" s="360"/>
      <c r="B3" s="360"/>
      <c r="C3" s="360"/>
      <c r="D3" s="360"/>
      <c r="E3" s="360"/>
      <c r="F3" s="360"/>
      <c r="G3" s="360"/>
      <c r="H3" s="360"/>
      <c r="I3" s="360"/>
      <c r="J3" s="360"/>
      <c r="K3" s="360"/>
      <c r="L3" s="360"/>
      <c r="M3" s="360"/>
      <c r="N3" s="361"/>
      <c r="O3" s="362"/>
      <c r="P3" s="363"/>
      <c r="Q3" s="363"/>
      <c r="R3" s="367"/>
      <c r="S3" s="367"/>
    </row>
    <row r="4" spans="1:60" x14ac:dyDescent="0.2">
      <c r="A4" s="360"/>
      <c r="B4" s="360"/>
      <c r="C4" s="360"/>
      <c r="D4" s="360"/>
      <c r="E4" s="360"/>
      <c r="F4" s="360"/>
      <c r="G4" s="360"/>
      <c r="H4" s="360"/>
      <c r="I4" s="360"/>
      <c r="J4" s="360"/>
      <c r="K4" s="360"/>
      <c r="L4" s="360"/>
      <c r="M4" s="360"/>
      <c r="N4" s="361"/>
      <c r="O4" s="362"/>
      <c r="P4" s="363"/>
      <c r="Q4" s="363"/>
      <c r="R4" s="367"/>
      <c r="S4" s="367"/>
    </row>
    <row r="5" spans="1:60" x14ac:dyDescent="0.2">
      <c r="A5" s="360"/>
      <c r="B5" s="360"/>
      <c r="C5" s="360"/>
      <c r="D5" s="360"/>
      <c r="E5" s="360"/>
      <c r="F5" s="360"/>
      <c r="G5" s="360"/>
      <c r="H5" s="360"/>
      <c r="I5" s="360"/>
      <c r="J5" s="360"/>
      <c r="K5" s="360"/>
      <c r="L5" s="360"/>
      <c r="M5" s="360"/>
      <c r="N5" s="364"/>
      <c r="O5" s="365"/>
      <c r="P5" s="363"/>
      <c r="Q5" s="363"/>
      <c r="R5" s="367"/>
      <c r="S5" s="367"/>
    </row>
    <row r="6" spans="1:60" x14ac:dyDescent="0.2">
      <c r="A6" s="360"/>
      <c r="B6" s="366"/>
      <c r="C6" s="366"/>
      <c r="D6" s="360"/>
      <c r="E6" s="367"/>
      <c r="F6" s="367"/>
      <c r="G6" s="360"/>
      <c r="H6" s="368"/>
      <c r="I6" s="369"/>
      <c r="J6" s="367"/>
      <c r="K6" s="360"/>
      <c r="L6" s="367"/>
      <c r="M6" s="367"/>
      <c r="N6" s="360"/>
      <c r="O6" s="360"/>
      <c r="P6" s="363"/>
      <c r="Q6" s="363"/>
      <c r="R6" s="367"/>
      <c r="S6" s="367"/>
    </row>
    <row r="7" spans="1:60" ht="20.25" x14ac:dyDescent="0.2">
      <c r="A7" s="360"/>
      <c r="B7" s="486" t="s">
        <v>0</v>
      </c>
      <c r="C7" s="486"/>
      <c r="D7" s="486"/>
      <c r="E7" s="486"/>
      <c r="F7" s="486"/>
      <c r="G7" s="486"/>
      <c r="H7" s="370"/>
      <c r="I7" s="370"/>
      <c r="J7" s="369"/>
      <c r="K7" s="145"/>
      <c r="L7" s="145"/>
      <c r="M7" s="145"/>
      <c r="N7" s="145"/>
      <c r="O7" s="190"/>
      <c r="P7" s="363"/>
      <c r="Q7" s="363"/>
      <c r="R7" s="367"/>
      <c r="S7" s="367"/>
      <c r="AB7" s="506"/>
      <c r="AC7" s="506"/>
      <c r="AE7" s="506"/>
      <c r="AF7" s="506"/>
    </row>
    <row r="8" spans="1:60" ht="52.5" customHeight="1" x14ac:dyDescent="0.2">
      <c r="A8" s="360"/>
      <c r="B8" s="486" t="s">
        <v>436</v>
      </c>
      <c r="C8" s="486"/>
      <c r="D8" s="486"/>
      <c r="E8" s="486"/>
      <c r="F8" s="486"/>
      <c r="G8" s="486"/>
      <c r="H8" s="371" t="s">
        <v>43</v>
      </c>
      <c r="I8" s="43"/>
      <c r="J8" s="490" t="s">
        <v>147</v>
      </c>
      <c r="K8" s="490"/>
      <c r="L8" s="490"/>
      <c r="M8" s="490"/>
      <c r="N8" s="490"/>
      <c r="O8" s="381"/>
      <c r="P8" s="363"/>
      <c r="Q8" s="363"/>
      <c r="R8" s="367"/>
      <c r="S8" s="367"/>
      <c r="U8" s="117"/>
      <c r="AB8" s="75"/>
      <c r="AC8" s="118"/>
      <c r="AE8" s="75"/>
      <c r="AF8" s="118"/>
    </row>
    <row r="9" spans="1:60" ht="55.5" customHeight="1" x14ac:dyDescent="0.25">
      <c r="A9" s="372"/>
      <c r="B9" s="488" t="s">
        <v>615</v>
      </c>
      <c r="C9" s="488"/>
      <c r="D9" s="488" t="s">
        <v>437</v>
      </c>
      <c r="E9" s="488"/>
      <c r="F9" s="488" t="s">
        <v>437</v>
      </c>
      <c r="G9" s="488"/>
      <c r="H9" s="373"/>
      <c r="I9" s="42"/>
      <c r="J9" s="490" t="s">
        <v>411</v>
      </c>
      <c r="K9" s="490"/>
      <c r="L9" s="490"/>
      <c r="M9" s="490"/>
      <c r="N9" s="490"/>
      <c r="O9" s="381"/>
      <c r="P9" s="363"/>
      <c r="Q9" s="363"/>
      <c r="R9" s="367"/>
      <c r="S9" s="367"/>
      <c r="AB9" s="75"/>
      <c r="AC9" s="118"/>
      <c r="AE9" s="75"/>
      <c r="AF9" s="118"/>
    </row>
    <row r="10" spans="1:60" ht="18" x14ac:dyDescent="0.25">
      <c r="A10" s="372"/>
      <c r="B10" s="489"/>
      <c r="C10" s="489"/>
      <c r="D10" s="489"/>
      <c r="E10" s="489"/>
      <c r="F10" s="489"/>
      <c r="G10" s="489"/>
      <c r="H10" s="374"/>
      <c r="I10" s="376"/>
      <c r="J10" s="367"/>
      <c r="K10" s="377"/>
      <c r="L10" s="487"/>
      <c r="M10" s="487"/>
      <c r="N10" s="487"/>
      <c r="O10" s="378"/>
      <c r="P10" s="363"/>
      <c r="Q10" s="363"/>
      <c r="R10" s="367"/>
      <c r="S10" s="367"/>
      <c r="U10" s="119"/>
      <c r="V10" s="119"/>
      <c r="AB10" s="120"/>
      <c r="AC10" s="118"/>
      <c r="AE10" s="120"/>
      <c r="AF10" s="118"/>
    </row>
    <row r="11" spans="1:60" x14ac:dyDescent="0.2">
      <c r="A11" s="360"/>
      <c r="B11" s="367"/>
      <c r="C11" s="367"/>
      <c r="D11" s="367"/>
      <c r="E11" s="367"/>
      <c r="F11" s="375"/>
      <c r="G11" s="367"/>
      <c r="H11" s="373"/>
      <c r="I11" s="379"/>
      <c r="J11" s="379"/>
      <c r="K11" s="380"/>
      <c r="L11" s="380"/>
      <c r="M11" s="377"/>
      <c r="N11" s="364"/>
      <c r="O11" s="365"/>
      <c r="P11" s="391"/>
      <c r="Q11" s="391"/>
      <c r="R11" s="477"/>
      <c r="S11" s="367"/>
      <c r="U11" s="75"/>
      <c r="V11" s="118"/>
    </row>
    <row r="12" spans="1:60" ht="57" customHeight="1" x14ac:dyDescent="0.2">
      <c r="A12" s="492" t="s">
        <v>1</v>
      </c>
      <c r="B12" s="492" t="s">
        <v>2</v>
      </c>
      <c r="C12" s="492" t="s">
        <v>253</v>
      </c>
      <c r="D12" s="492" t="s">
        <v>3</v>
      </c>
      <c r="E12" s="492"/>
      <c r="F12" s="492"/>
      <c r="G12" s="492"/>
      <c r="H12" s="510" t="s">
        <v>247</v>
      </c>
      <c r="I12" s="491" t="s">
        <v>250</v>
      </c>
      <c r="J12" s="491"/>
      <c r="K12" s="491" t="s">
        <v>251</v>
      </c>
      <c r="L12" s="491"/>
      <c r="M12" s="492" t="s">
        <v>252</v>
      </c>
      <c r="N12" s="492" t="s">
        <v>42</v>
      </c>
      <c r="O12" s="69" t="s">
        <v>285</v>
      </c>
      <c r="P12" s="492" t="s">
        <v>413</v>
      </c>
      <c r="Q12" s="492" t="s">
        <v>584</v>
      </c>
      <c r="R12" s="367"/>
      <c r="S12" s="367"/>
      <c r="U12" s="75"/>
      <c r="V12" s="118"/>
    </row>
    <row r="13" spans="1:60" s="118" customFormat="1" ht="14.25" x14ac:dyDescent="0.2">
      <c r="A13" s="509"/>
      <c r="B13" s="509"/>
      <c r="C13" s="509"/>
      <c r="D13" s="315" t="s">
        <v>4</v>
      </c>
      <c r="E13" s="315" t="s">
        <v>248</v>
      </c>
      <c r="F13" s="315" t="s">
        <v>249</v>
      </c>
      <c r="G13" s="315" t="s">
        <v>5</v>
      </c>
      <c r="H13" s="511"/>
      <c r="I13" s="315" t="s">
        <v>6</v>
      </c>
      <c r="J13" s="315" t="s">
        <v>7</v>
      </c>
      <c r="K13" s="315" t="s">
        <v>6</v>
      </c>
      <c r="L13" s="315" t="s">
        <v>7</v>
      </c>
      <c r="M13" s="509"/>
      <c r="N13" s="509"/>
      <c r="O13" s="266" t="s">
        <v>284</v>
      </c>
      <c r="P13" s="509"/>
      <c r="Q13" s="509"/>
      <c r="R13" s="398"/>
      <c r="S13" s="398"/>
      <c r="U13" s="120"/>
      <c r="AB13" s="245"/>
      <c r="AC13" s="245"/>
      <c r="AD13" s="245"/>
      <c r="AE13" s="245"/>
      <c r="AF13" s="245"/>
      <c r="AG13" s="245"/>
      <c r="AH13" s="245"/>
      <c r="AI13" s="246"/>
      <c r="AJ13" s="508"/>
      <c r="AK13" s="508"/>
      <c r="AL13" s="508"/>
      <c r="AM13" s="508"/>
      <c r="AN13" s="505"/>
      <c r="AO13" s="505"/>
      <c r="AP13" s="121"/>
      <c r="AQ13" s="505"/>
      <c r="AS13" s="505"/>
      <c r="AT13" s="505"/>
      <c r="AU13" s="505"/>
      <c r="AV13" s="505"/>
      <c r="AW13" s="505"/>
      <c r="AX13" s="505"/>
      <c r="AY13" s="505"/>
      <c r="AZ13" s="507"/>
      <c r="BA13" s="508"/>
      <c r="BB13" s="508"/>
      <c r="BC13" s="508"/>
      <c r="BD13" s="508"/>
      <c r="BE13" s="505"/>
      <c r="BF13" s="505"/>
      <c r="BG13" s="121"/>
      <c r="BH13" s="505"/>
    </row>
    <row r="14" spans="1:60" s="118" customFormat="1" ht="20.25" customHeight="1" x14ac:dyDescent="0.2">
      <c r="A14" s="474" t="s">
        <v>801</v>
      </c>
      <c r="B14" s="475"/>
      <c r="C14" s="262"/>
      <c r="D14" s="466"/>
      <c r="E14" s="466"/>
      <c r="F14" s="466"/>
      <c r="G14" s="466"/>
      <c r="H14" s="476"/>
      <c r="I14" s="466"/>
      <c r="J14" s="466"/>
      <c r="K14" s="466"/>
      <c r="L14" s="466"/>
      <c r="M14" s="262"/>
      <c r="N14" s="262"/>
      <c r="O14" s="262"/>
      <c r="P14" s="262"/>
      <c r="Q14" s="263"/>
      <c r="R14" s="398"/>
      <c r="S14" s="398"/>
      <c r="U14" s="120"/>
      <c r="AB14" s="245"/>
      <c r="AC14" s="245"/>
      <c r="AD14" s="245"/>
      <c r="AE14" s="245"/>
      <c r="AF14" s="245"/>
      <c r="AG14" s="245"/>
      <c r="AH14" s="245"/>
      <c r="AI14" s="246"/>
      <c r="AJ14" s="265"/>
      <c r="AK14" s="265"/>
      <c r="AL14" s="265"/>
      <c r="AM14" s="265"/>
      <c r="AN14" s="505"/>
      <c r="AO14" s="505"/>
      <c r="AP14" s="264"/>
      <c r="AQ14" s="505"/>
      <c r="AS14" s="505"/>
      <c r="AT14" s="505"/>
      <c r="AU14" s="505"/>
      <c r="AV14" s="264"/>
      <c r="AW14" s="264"/>
      <c r="AX14" s="264"/>
      <c r="AY14" s="264"/>
      <c r="AZ14" s="507"/>
      <c r="BA14" s="265"/>
      <c r="BB14" s="265"/>
      <c r="BC14" s="265"/>
      <c r="BD14" s="265"/>
      <c r="BE14" s="505"/>
      <c r="BF14" s="505"/>
      <c r="BG14" s="264"/>
      <c r="BH14" s="505"/>
    </row>
    <row r="15" spans="1:60" s="118" customFormat="1" ht="14.25" x14ac:dyDescent="0.2">
      <c r="A15" s="469"/>
      <c r="B15" s="267" t="s">
        <v>44</v>
      </c>
      <c r="C15" s="470"/>
      <c r="D15" s="468"/>
      <c r="E15" s="468"/>
      <c r="F15" s="468"/>
      <c r="G15" s="468"/>
      <c r="H15" s="471"/>
      <c r="I15" s="467"/>
      <c r="J15" s="467"/>
      <c r="K15" s="468"/>
      <c r="L15" s="468"/>
      <c r="M15" s="472"/>
      <c r="N15" s="472"/>
      <c r="O15" s="472"/>
      <c r="P15" s="472"/>
      <c r="Q15" s="473"/>
      <c r="R15" s="398"/>
      <c r="S15" s="398"/>
      <c r="AB15" s="245"/>
      <c r="AC15" s="245"/>
      <c r="AD15" s="245"/>
      <c r="AE15" s="122"/>
      <c r="AF15" s="122"/>
      <c r="AG15" s="122"/>
      <c r="AH15" s="122"/>
      <c r="AI15" s="246"/>
      <c r="AJ15" s="122"/>
      <c r="AK15" s="122"/>
      <c r="AL15" s="122"/>
      <c r="AM15" s="122"/>
      <c r="AN15" s="505"/>
      <c r="AO15" s="505"/>
      <c r="AP15" s="121"/>
      <c r="AQ15" s="505"/>
      <c r="AS15" s="505"/>
      <c r="AT15" s="505"/>
      <c r="AU15" s="505"/>
      <c r="AV15" s="122"/>
      <c r="AW15" s="122"/>
      <c r="AX15" s="122"/>
      <c r="AY15" s="122"/>
      <c r="AZ15" s="507"/>
      <c r="BA15" s="122"/>
      <c r="BB15" s="122"/>
      <c r="BC15" s="122"/>
      <c r="BD15" s="122"/>
      <c r="BE15" s="505"/>
      <c r="BF15" s="505"/>
      <c r="BG15" s="121"/>
      <c r="BH15" s="505"/>
    </row>
    <row r="16" spans="1:60" ht="78.75" x14ac:dyDescent="0.2">
      <c r="A16" s="316">
        <v>1</v>
      </c>
      <c r="B16" s="317" t="s">
        <v>449</v>
      </c>
      <c r="C16" s="317" t="s">
        <v>450</v>
      </c>
      <c r="D16" s="493" t="s">
        <v>294</v>
      </c>
      <c r="E16" s="493"/>
      <c r="F16" s="493"/>
      <c r="G16" s="493"/>
      <c r="H16" s="318">
        <v>8000</v>
      </c>
      <c r="I16" s="319">
        <v>888.4</v>
      </c>
      <c r="J16" s="319">
        <f>I16*1.1</f>
        <v>977.24</v>
      </c>
      <c r="K16" s="319">
        <f t="shared" ref="K16:L20" si="0">I16</f>
        <v>888.4</v>
      </c>
      <c r="L16" s="319">
        <f t="shared" si="0"/>
        <v>977.24</v>
      </c>
      <c r="M16" s="320" t="s">
        <v>125</v>
      </c>
      <c r="N16" s="321" t="s">
        <v>109</v>
      </c>
      <c r="O16" s="322" t="s">
        <v>284</v>
      </c>
      <c r="P16" s="323" t="s">
        <v>414</v>
      </c>
      <c r="Q16" s="322" t="s">
        <v>416</v>
      </c>
      <c r="R16" s="399"/>
      <c r="S16" s="399"/>
      <c r="T16" s="244"/>
      <c r="U16" s="75"/>
      <c r="V16" s="75"/>
      <c r="W16" s="75"/>
      <c r="X16" s="75"/>
      <c r="AB16" s="13"/>
      <c r="AC16" s="12"/>
      <c r="AD16" s="12"/>
      <c r="AE16" s="247"/>
      <c r="AF16" s="247"/>
      <c r="AG16" s="247"/>
      <c r="AH16" s="247"/>
      <c r="AI16" s="123"/>
      <c r="AJ16" s="106"/>
      <c r="AK16" s="106"/>
      <c r="AL16" s="106"/>
      <c r="AM16" s="106"/>
      <c r="AN16" s="108"/>
      <c r="AO16" s="124"/>
      <c r="AP16" s="116"/>
      <c r="AQ16" s="98"/>
    </row>
    <row r="17" spans="1:43" ht="90" x14ac:dyDescent="0.2">
      <c r="A17" s="4">
        <v>2</v>
      </c>
      <c r="B17" s="261" t="s">
        <v>451</v>
      </c>
      <c r="C17" s="261" t="s">
        <v>452</v>
      </c>
      <c r="D17" s="479" t="s">
        <v>295</v>
      </c>
      <c r="E17" s="479"/>
      <c r="F17" s="479"/>
      <c r="G17" s="479"/>
      <c r="H17" s="80">
        <v>8001</v>
      </c>
      <c r="I17" s="58">
        <v>48.6</v>
      </c>
      <c r="J17" s="58">
        <f>I17*1.1</f>
        <v>53.460000000000008</v>
      </c>
      <c r="K17" s="58">
        <f t="shared" si="0"/>
        <v>48.6</v>
      </c>
      <c r="L17" s="58">
        <f t="shared" si="0"/>
        <v>53.460000000000008</v>
      </c>
      <c r="M17" s="7" t="s">
        <v>125</v>
      </c>
      <c r="N17" s="66" t="s">
        <v>109</v>
      </c>
      <c r="O17" s="70" t="s">
        <v>284</v>
      </c>
      <c r="P17" s="260" t="s">
        <v>414</v>
      </c>
      <c r="Q17" s="70" t="s">
        <v>416</v>
      </c>
      <c r="R17" s="400"/>
      <c r="S17" s="400"/>
      <c r="U17" s="75"/>
      <c r="V17" s="75"/>
      <c r="W17" s="75"/>
      <c r="X17" s="75"/>
      <c r="AB17" s="13"/>
      <c r="AC17" s="12"/>
      <c r="AD17" s="12"/>
      <c r="AE17" s="247"/>
      <c r="AF17" s="247"/>
      <c r="AG17" s="247"/>
      <c r="AH17" s="247"/>
      <c r="AI17" s="123"/>
      <c r="AJ17" s="106"/>
      <c r="AK17" s="106"/>
      <c r="AL17" s="106"/>
      <c r="AM17" s="106"/>
      <c r="AN17" s="108"/>
      <c r="AO17" s="124"/>
      <c r="AP17" s="116"/>
      <c r="AQ17" s="98"/>
    </row>
    <row r="18" spans="1:43" ht="90" x14ac:dyDescent="0.2">
      <c r="A18" s="4">
        <v>3</v>
      </c>
      <c r="B18" s="261" t="s">
        <v>453</v>
      </c>
      <c r="C18" s="261" t="s">
        <v>454</v>
      </c>
      <c r="D18" s="479" t="s">
        <v>296</v>
      </c>
      <c r="E18" s="479"/>
      <c r="F18" s="479"/>
      <c r="G18" s="479"/>
      <c r="H18" s="80">
        <v>8002</v>
      </c>
      <c r="I18" s="58">
        <v>220.7</v>
      </c>
      <c r="J18" s="58">
        <f>I18*1.1</f>
        <v>242.77</v>
      </c>
      <c r="K18" s="58">
        <f t="shared" si="0"/>
        <v>220.7</v>
      </c>
      <c r="L18" s="58">
        <f t="shared" si="0"/>
        <v>242.77</v>
      </c>
      <c r="M18" s="7" t="s">
        <v>125</v>
      </c>
      <c r="N18" s="66" t="s">
        <v>109</v>
      </c>
      <c r="O18" s="70" t="s">
        <v>284</v>
      </c>
      <c r="P18" s="260" t="s">
        <v>414</v>
      </c>
      <c r="Q18" s="70" t="s">
        <v>416</v>
      </c>
      <c r="R18" s="400"/>
      <c r="S18" s="400"/>
      <c r="U18" s="75"/>
      <c r="V18" s="75"/>
      <c r="W18" s="75"/>
      <c r="X18" s="75"/>
      <c r="AB18" s="13"/>
      <c r="AC18" s="12"/>
      <c r="AD18" s="12"/>
      <c r="AE18" s="247"/>
      <c r="AF18" s="247"/>
      <c r="AG18" s="247"/>
      <c r="AH18" s="247"/>
      <c r="AI18" s="123"/>
      <c r="AJ18" s="106"/>
      <c r="AK18" s="106"/>
      <c r="AL18" s="106"/>
      <c r="AM18" s="106"/>
      <c r="AN18" s="108"/>
      <c r="AO18" s="124"/>
      <c r="AP18" s="116"/>
      <c r="AQ18" s="98"/>
    </row>
    <row r="19" spans="1:43" ht="56.25" x14ac:dyDescent="0.2">
      <c r="A19" s="4">
        <v>4</v>
      </c>
      <c r="B19" s="261" t="s">
        <v>455</v>
      </c>
      <c r="C19" s="261" t="s">
        <v>456</v>
      </c>
      <c r="D19" s="479" t="s">
        <v>297</v>
      </c>
      <c r="E19" s="479"/>
      <c r="F19" s="479"/>
      <c r="G19" s="479"/>
      <c r="H19" s="79">
        <v>8003</v>
      </c>
      <c r="I19" s="58">
        <v>930.2</v>
      </c>
      <c r="J19" s="58">
        <f>I19*1.1</f>
        <v>1023.2200000000001</v>
      </c>
      <c r="K19" s="58">
        <f t="shared" si="0"/>
        <v>930.2</v>
      </c>
      <c r="L19" s="58">
        <f t="shared" si="0"/>
        <v>1023.2200000000001</v>
      </c>
      <c r="M19" s="7" t="s">
        <v>125</v>
      </c>
      <c r="N19" s="66" t="s">
        <v>109</v>
      </c>
      <c r="O19" s="70" t="s">
        <v>284</v>
      </c>
      <c r="P19" s="260" t="s">
        <v>414</v>
      </c>
      <c r="Q19" s="70" t="s">
        <v>416</v>
      </c>
      <c r="R19" s="400"/>
      <c r="S19" s="400"/>
      <c r="U19" s="75"/>
      <c r="V19" s="75"/>
      <c r="W19" s="75"/>
      <c r="X19" s="75"/>
      <c r="AB19" s="13"/>
      <c r="AC19" s="12"/>
      <c r="AD19" s="12"/>
      <c r="AE19" s="247"/>
      <c r="AF19" s="247"/>
      <c r="AG19" s="247"/>
      <c r="AH19" s="247"/>
      <c r="AI19" s="123"/>
      <c r="AJ19" s="106"/>
      <c r="AK19" s="106"/>
      <c r="AL19" s="106"/>
      <c r="AM19" s="106"/>
      <c r="AN19" s="108"/>
      <c r="AO19" s="124"/>
      <c r="AP19" s="116"/>
      <c r="AQ19" s="98"/>
    </row>
    <row r="20" spans="1:43" ht="33.75" x14ac:dyDescent="0.2">
      <c r="A20" s="4">
        <v>5</v>
      </c>
      <c r="B20" s="261" t="s">
        <v>457</v>
      </c>
      <c r="C20" s="261" t="s">
        <v>458</v>
      </c>
      <c r="D20" s="479" t="s">
        <v>298</v>
      </c>
      <c r="E20" s="479"/>
      <c r="F20" s="479"/>
      <c r="G20" s="479"/>
      <c r="H20" s="80">
        <v>8004</v>
      </c>
      <c r="I20" s="58">
        <v>1376.7</v>
      </c>
      <c r="J20" s="58">
        <f>I20*1.1</f>
        <v>1514.3700000000001</v>
      </c>
      <c r="K20" s="58">
        <f t="shared" si="0"/>
        <v>1376.7</v>
      </c>
      <c r="L20" s="58">
        <f t="shared" si="0"/>
        <v>1514.3700000000001</v>
      </c>
      <c r="M20" s="7" t="s">
        <v>125</v>
      </c>
      <c r="N20" s="66" t="s">
        <v>109</v>
      </c>
      <c r="O20" s="70" t="s">
        <v>284</v>
      </c>
      <c r="P20" s="260" t="s">
        <v>414</v>
      </c>
      <c r="Q20" s="70" t="s">
        <v>416</v>
      </c>
      <c r="R20" s="400"/>
      <c r="S20" s="400"/>
      <c r="U20" s="75"/>
      <c r="V20" s="75"/>
      <c r="W20" s="75"/>
      <c r="X20" s="75"/>
      <c r="AB20" s="13"/>
      <c r="AC20" s="12"/>
      <c r="AD20" s="12"/>
      <c r="AE20" s="247"/>
      <c r="AF20" s="247"/>
      <c r="AG20" s="247"/>
      <c r="AH20" s="247"/>
      <c r="AI20" s="123"/>
      <c r="AJ20" s="106"/>
      <c r="AK20" s="106"/>
      <c r="AL20" s="106"/>
      <c r="AM20" s="106"/>
      <c r="AN20" s="108"/>
      <c r="AO20" s="124"/>
      <c r="AP20" s="116"/>
      <c r="AQ20" s="98"/>
    </row>
    <row r="21" spans="1:43" ht="90" x14ac:dyDescent="0.2">
      <c r="A21" s="4">
        <v>40</v>
      </c>
      <c r="B21" s="9" t="s">
        <v>487</v>
      </c>
      <c r="C21" s="9" t="s">
        <v>488</v>
      </c>
      <c r="D21" s="479" t="s">
        <v>28</v>
      </c>
      <c r="E21" s="482"/>
      <c r="F21" s="482"/>
      <c r="G21" s="482"/>
      <c r="H21" s="80">
        <v>8005</v>
      </c>
      <c r="I21" s="480" t="s">
        <v>29</v>
      </c>
      <c r="J21" s="480"/>
      <c r="K21" s="480" t="s">
        <v>29</v>
      </c>
      <c r="L21" s="480"/>
      <c r="M21" s="7" t="s">
        <v>126</v>
      </c>
      <c r="N21" s="66" t="s">
        <v>110</v>
      </c>
      <c r="O21" s="70" t="s">
        <v>284</v>
      </c>
      <c r="P21" s="260" t="s">
        <v>414</v>
      </c>
      <c r="Q21" s="70" t="s">
        <v>416</v>
      </c>
      <c r="R21" s="401"/>
      <c r="S21" s="401"/>
      <c r="U21" s="75"/>
      <c r="V21" s="75"/>
      <c r="W21" s="75"/>
      <c r="X21" s="75"/>
      <c r="AB21" s="13"/>
      <c r="AC21" s="12"/>
      <c r="AD21" s="12"/>
      <c r="AE21" s="247"/>
      <c r="AF21" s="247"/>
      <c r="AG21" s="247"/>
      <c r="AH21" s="247"/>
      <c r="AI21" s="123"/>
      <c r="AJ21" s="500"/>
      <c r="AK21" s="500"/>
      <c r="AL21" s="500"/>
      <c r="AM21" s="500"/>
      <c r="AN21" s="108"/>
      <c r="AO21" s="124"/>
      <c r="AP21" s="116"/>
      <c r="AQ21" s="98"/>
    </row>
    <row r="22" spans="1:43" ht="90" x14ac:dyDescent="0.2">
      <c r="A22" s="4">
        <v>41</v>
      </c>
      <c r="B22" s="9" t="s">
        <v>489</v>
      </c>
      <c r="C22" s="9" t="s">
        <v>490</v>
      </c>
      <c r="D22" s="482" t="s">
        <v>28</v>
      </c>
      <c r="E22" s="482"/>
      <c r="F22" s="482"/>
      <c r="G22" s="482"/>
      <c r="H22" s="80">
        <v>8006</v>
      </c>
      <c r="I22" s="480" t="s">
        <v>29</v>
      </c>
      <c r="J22" s="480"/>
      <c r="K22" s="480" t="s">
        <v>29</v>
      </c>
      <c r="L22" s="480"/>
      <c r="M22" s="7" t="s">
        <v>126</v>
      </c>
      <c r="N22" s="66" t="s">
        <v>110</v>
      </c>
      <c r="O22" s="70" t="s">
        <v>284</v>
      </c>
      <c r="P22" s="260" t="s">
        <v>414</v>
      </c>
      <c r="Q22" s="70" t="s">
        <v>416</v>
      </c>
      <c r="R22" s="401"/>
      <c r="S22" s="401"/>
      <c r="U22" s="75"/>
      <c r="V22" s="75"/>
      <c r="W22" s="75"/>
      <c r="X22" s="75"/>
      <c r="AB22" s="13"/>
      <c r="AC22" s="12"/>
      <c r="AD22" s="12"/>
      <c r="AE22" s="247"/>
      <c r="AF22" s="247"/>
      <c r="AG22" s="247"/>
      <c r="AH22" s="247"/>
      <c r="AI22" s="123"/>
      <c r="AJ22" s="500"/>
      <c r="AK22" s="500"/>
      <c r="AL22" s="500"/>
      <c r="AM22" s="500"/>
      <c r="AN22" s="108"/>
      <c r="AO22" s="124"/>
      <c r="AP22" s="116"/>
      <c r="AQ22" s="98"/>
    </row>
    <row r="23" spans="1:43" ht="101.25" x14ac:dyDescent="0.2">
      <c r="A23" s="4">
        <v>42</v>
      </c>
      <c r="B23" s="9" t="s">
        <v>491</v>
      </c>
      <c r="C23" s="9" t="s">
        <v>492</v>
      </c>
      <c r="D23" s="482" t="s">
        <v>28</v>
      </c>
      <c r="E23" s="482"/>
      <c r="F23" s="482"/>
      <c r="G23" s="482"/>
      <c r="H23" s="80">
        <v>8007</v>
      </c>
      <c r="I23" s="480" t="s">
        <v>29</v>
      </c>
      <c r="J23" s="480"/>
      <c r="K23" s="480" t="s">
        <v>29</v>
      </c>
      <c r="L23" s="480"/>
      <c r="M23" s="7" t="s">
        <v>126</v>
      </c>
      <c r="N23" s="66" t="s">
        <v>110</v>
      </c>
      <c r="O23" s="70" t="s">
        <v>284</v>
      </c>
      <c r="P23" s="100" t="s">
        <v>414</v>
      </c>
      <c r="Q23" s="309" t="s">
        <v>416</v>
      </c>
      <c r="R23" s="401"/>
      <c r="S23" s="401"/>
      <c r="U23" s="75"/>
      <c r="V23" s="75"/>
      <c r="W23" s="75"/>
      <c r="X23" s="75"/>
      <c r="AB23" s="13"/>
      <c r="AC23" s="12"/>
      <c r="AD23" s="12"/>
      <c r="AE23" s="247"/>
      <c r="AF23" s="247"/>
      <c r="AG23" s="247"/>
      <c r="AH23" s="247"/>
      <c r="AI23" s="123"/>
      <c r="AJ23" s="500"/>
      <c r="AK23" s="500"/>
      <c r="AL23" s="500"/>
      <c r="AM23" s="500"/>
      <c r="AN23" s="108"/>
      <c r="AO23" s="124"/>
      <c r="AP23" s="116"/>
      <c r="AQ23" s="98"/>
    </row>
    <row r="24" spans="1:43" ht="112.5" x14ac:dyDescent="0.2">
      <c r="A24" s="4">
        <v>43</v>
      </c>
      <c r="B24" s="9" t="s">
        <v>493</v>
      </c>
      <c r="C24" s="9" t="s">
        <v>494</v>
      </c>
      <c r="D24" s="482" t="s">
        <v>28</v>
      </c>
      <c r="E24" s="482"/>
      <c r="F24" s="482"/>
      <c r="G24" s="482"/>
      <c r="H24" s="80">
        <v>8008</v>
      </c>
      <c r="I24" s="480" t="s">
        <v>29</v>
      </c>
      <c r="J24" s="480"/>
      <c r="K24" s="480" t="s">
        <v>29</v>
      </c>
      <c r="L24" s="480"/>
      <c r="M24" s="7" t="s">
        <v>126</v>
      </c>
      <c r="N24" s="66" t="s">
        <v>110</v>
      </c>
      <c r="O24" s="70" t="s">
        <v>284</v>
      </c>
      <c r="P24" s="100" t="s">
        <v>414</v>
      </c>
      <c r="Q24" s="309" t="s">
        <v>416</v>
      </c>
      <c r="R24" s="401"/>
      <c r="S24" s="401"/>
      <c r="U24" s="75"/>
      <c r="V24" s="75"/>
      <c r="W24" s="75"/>
      <c r="X24" s="75"/>
      <c r="AB24" s="13"/>
      <c r="AC24" s="12"/>
      <c r="AD24" s="12"/>
      <c r="AE24" s="247"/>
      <c r="AF24" s="247"/>
      <c r="AG24" s="247"/>
      <c r="AH24" s="247"/>
      <c r="AI24" s="123"/>
      <c r="AJ24" s="500"/>
      <c r="AK24" s="500"/>
      <c r="AL24" s="500"/>
      <c r="AM24" s="500"/>
      <c r="AN24" s="108"/>
      <c r="AO24" s="124"/>
      <c r="AP24" s="116"/>
      <c r="AQ24" s="98"/>
    </row>
    <row r="25" spans="1:43" ht="56.25" x14ac:dyDescent="0.2">
      <c r="A25" s="4">
        <v>44</v>
      </c>
      <c r="B25" s="9" t="s">
        <v>495</v>
      </c>
      <c r="C25" s="9" t="s">
        <v>496</v>
      </c>
      <c r="D25" s="482" t="s">
        <v>28</v>
      </c>
      <c r="E25" s="482"/>
      <c r="F25" s="482"/>
      <c r="G25" s="482"/>
      <c r="H25" s="80">
        <v>8009</v>
      </c>
      <c r="I25" s="480" t="s">
        <v>29</v>
      </c>
      <c r="J25" s="480"/>
      <c r="K25" s="480" t="s">
        <v>29</v>
      </c>
      <c r="L25" s="480"/>
      <c r="M25" s="7" t="s">
        <v>126</v>
      </c>
      <c r="N25" s="66" t="s">
        <v>110</v>
      </c>
      <c r="O25" s="70" t="s">
        <v>284</v>
      </c>
      <c r="P25" s="100" t="s">
        <v>414</v>
      </c>
      <c r="Q25" s="309" t="s">
        <v>416</v>
      </c>
      <c r="R25" s="401"/>
      <c r="S25" s="401"/>
      <c r="U25" s="75"/>
      <c r="V25" s="75"/>
      <c r="W25" s="75"/>
      <c r="X25" s="75"/>
      <c r="AB25" s="13"/>
      <c r="AC25" s="12"/>
      <c r="AD25" s="12"/>
      <c r="AE25" s="247"/>
      <c r="AF25" s="247"/>
      <c r="AG25" s="247"/>
      <c r="AH25" s="247"/>
      <c r="AI25" s="123"/>
      <c r="AJ25" s="500"/>
      <c r="AK25" s="500"/>
      <c r="AL25" s="500"/>
      <c r="AM25" s="500"/>
      <c r="AN25" s="108"/>
      <c r="AO25" s="124"/>
      <c r="AP25" s="116"/>
      <c r="AQ25" s="98"/>
    </row>
    <row r="26" spans="1:43" ht="56.25" x14ac:dyDescent="0.2">
      <c r="A26" s="4">
        <v>45</v>
      </c>
      <c r="B26" s="9" t="s">
        <v>497</v>
      </c>
      <c r="C26" s="9" t="s">
        <v>498</v>
      </c>
      <c r="D26" s="482" t="s">
        <v>28</v>
      </c>
      <c r="E26" s="482"/>
      <c r="F26" s="482"/>
      <c r="G26" s="482"/>
      <c r="H26" s="80">
        <v>8010</v>
      </c>
      <c r="I26" s="480" t="s">
        <v>29</v>
      </c>
      <c r="J26" s="480"/>
      <c r="K26" s="480" t="s">
        <v>29</v>
      </c>
      <c r="L26" s="480"/>
      <c r="M26" s="7" t="s">
        <v>126</v>
      </c>
      <c r="N26" s="66" t="s">
        <v>110</v>
      </c>
      <c r="O26" s="70" t="s">
        <v>284</v>
      </c>
      <c r="P26" s="100" t="s">
        <v>414</v>
      </c>
      <c r="Q26" s="309" t="s">
        <v>416</v>
      </c>
      <c r="R26" s="401"/>
      <c r="S26" s="401"/>
      <c r="U26" s="75"/>
      <c r="V26" s="75"/>
      <c r="W26" s="75"/>
      <c r="X26" s="75"/>
      <c r="AB26" s="13"/>
      <c r="AC26" s="12"/>
      <c r="AD26" s="12"/>
      <c r="AE26" s="247"/>
      <c r="AF26" s="247"/>
      <c r="AG26" s="247"/>
      <c r="AH26" s="247"/>
      <c r="AI26" s="123"/>
      <c r="AJ26" s="500"/>
      <c r="AK26" s="500"/>
      <c r="AL26" s="500"/>
      <c r="AM26" s="500"/>
      <c r="AN26" s="108"/>
      <c r="AO26" s="124"/>
      <c r="AP26" s="116"/>
      <c r="AQ26" s="98"/>
    </row>
    <row r="27" spans="1:43" ht="22.5" x14ac:dyDescent="0.2">
      <c r="A27" s="4">
        <v>46</v>
      </c>
      <c r="B27" s="9" t="s">
        <v>499</v>
      </c>
      <c r="C27" s="9" t="s">
        <v>500</v>
      </c>
      <c r="D27" s="482" t="s">
        <v>28</v>
      </c>
      <c r="E27" s="482"/>
      <c r="F27" s="482"/>
      <c r="G27" s="482"/>
      <c r="H27" s="80">
        <v>8011</v>
      </c>
      <c r="I27" s="480" t="s">
        <v>29</v>
      </c>
      <c r="J27" s="480"/>
      <c r="K27" s="480" t="s">
        <v>29</v>
      </c>
      <c r="L27" s="480"/>
      <c r="M27" s="7" t="s">
        <v>126</v>
      </c>
      <c r="N27" s="66" t="s">
        <v>110</v>
      </c>
      <c r="O27" s="70" t="s">
        <v>284</v>
      </c>
      <c r="P27" s="100" t="s">
        <v>414</v>
      </c>
      <c r="Q27" s="309" t="s">
        <v>416</v>
      </c>
      <c r="R27" s="401"/>
      <c r="S27" s="401"/>
      <c r="U27" s="75"/>
      <c r="V27" s="75"/>
      <c r="W27" s="75"/>
      <c r="X27" s="75"/>
      <c r="AB27" s="13"/>
      <c r="AC27" s="12"/>
      <c r="AD27" s="12"/>
      <c r="AE27" s="247"/>
      <c r="AF27" s="247"/>
      <c r="AG27" s="247"/>
      <c r="AH27" s="247"/>
      <c r="AI27" s="123"/>
      <c r="AJ27" s="500"/>
      <c r="AK27" s="500"/>
      <c r="AL27" s="500"/>
      <c r="AM27" s="500"/>
      <c r="AN27" s="108"/>
      <c r="AO27" s="124"/>
      <c r="AP27" s="116"/>
      <c r="AQ27" s="98"/>
    </row>
    <row r="28" spans="1:43" ht="135" x14ac:dyDescent="0.2">
      <c r="A28" s="4">
        <v>47</v>
      </c>
      <c r="B28" s="9" t="s">
        <v>501</v>
      </c>
      <c r="C28" s="9" t="s">
        <v>502</v>
      </c>
      <c r="D28" s="482" t="s">
        <v>28</v>
      </c>
      <c r="E28" s="482"/>
      <c r="F28" s="482"/>
      <c r="G28" s="482"/>
      <c r="H28" s="80">
        <v>8012</v>
      </c>
      <c r="I28" s="480" t="s">
        <v>29</v>
      </c>
      <c r="J28" s="480"/>
      <c r="K28" s="480" t="s">
        <v>29</v>
      </c>
      <c r="L28" s="480"/>
      <c r="M28" s="7" t="s">
        <v>126</v>
      </c>
      <c r="N28" s="66" t="s">
        <v>110</v>
      </c>
      <c r="O28" s="70" t="s">
        <v>284</v>
      </c>
      <c r="P28" s="100" t="s">
        <v>414</v>
      </c>
      <c r="Q28" s="309" t="s">
        <v>416</v>
      </c>
      <c r="R28" s="401"/>
      <c r="S28" s="401"/>
      <c r="U28" s="75"/>
      <c r="V28" s="75"/>
      <c r="W28" s="75"/>
      <c r="X28" s="75"/>
      <c r="AB28" s="13"/>
      <c r="AC28" s="12"/>
      <c r="AD28" s="12"/>
      <c r="AE28" s="247"/>
      <c r="AF28" s="247"/>
      <c r="AG28" s="247"/>
      <c r="AH28" s="247"/>
      <c r="AI28" s="123"/>
      <c r="AJ28" s="500"/>
      <c r="AK28" s="500"/>
      <c r="AL28" s="500"/>
      <c r="AM28" s="500"/>
      <c r="AN28" s="108"/>
      <c r="AO28" s="124"/>
      <c r="AP28" s="116"/>
      <c r="AQ28" s="98"/>
    </row>
    <row r="29" spans="1:43" ht="45" x14ac:dyDescent="0.2">
      <c r="A29" s="4">
        <v>48</v>
      </c>
      <c r="B29" s="9" t="s">
        <v>503</v>
      </c>
      <c r="C29" s="9" t="s">
        <v>504</v>
      </c>
      <c r="D29" s="482" t="s">
        <v>28</v>
      </c>
      <c r="E29" s="482"/>
      <c r="F29" s="482"/>
      <c r="G29" s="482"/>
      <c r="H29" s="80">
        <v>8013</v>
      </c>
      <c r="I29" s="480" t="s">
        <v>29</v>
      </c>
      <c r="J29" s="480"/>
      <c r="K29" s="480" t="s">
        <v>29</v>
      </c>
      <c r="L29" s="480"/>
      <c r="M29" s="7" t="s">
        <v>126</v>
      </c>
      <c r="N29" s="66" t="s">
        <v>110</v>
      </c>
      <c r="O29" s="70" t="s">
        <v>284</v>
      </c>
      <c r="P29" s="100" t="s">
        <v>414</v>
      </c>
      <c r="Q29" s="309" t="s">
        <v>416</v>
      </c>
      <c r="R29" s="401"/>
      <c r="S29" s="401"/>
      <c r="U29" s="75"/>
      <c r="V29" s="75"/>
      <c r="W29" s="75"/>
      <c r="X29" s="75"/>
      <c r="AB29" s="13"/>
      <c r="AC29" s="12"/>
      <c r="AD29" s="12"/>
      <c r="AE29" s="247"/>
      <c r="AF29" s="247"/>
      <c r="AG29" s="247"/>
      <c r="AH29" s="247"/>
      <c r="AI29" s="123"/>
      <c r="AJ29" s="500"/>
      <c r="AK29" s="500"/>
      <c r="AL29" s="500"/>
      <c r="AM29" s="500"/>
      <c r="AN29" s="108"/>
      <c r="AO29" s="124"/>
      <c r="AP29" s="116"/>
      <c r="AQ29" s="98"/>
    </row>
    <row r="30" spans="1:43" ht="33.75" x14ac:dyDescent="0.2">
      <c r="A30" s="4">
        <v>49</v>
      </c>
      <c r="B30" s="9" t="s">
        <v>505</v>
      </c>
      <c r="C30" s="9" t="s">
        <v>506</v>
      </c>
      <c r="D30" s="482" t="s">
        <v>28</v>
      </c>
      <c r="E30" s="482"/>
      <c r="F30" s="482"/>
      <c r="G30" s="482"/>
      <c r="H30" s="80">
        <v>8014</v>
      </c>
      <c r="I30" s="480" t="s">
        <v>29</v>
      </c>
      <c r="J30" s="480"/>
      <c r="K30" s="480" t="s">
        <v>29</v>
      </c>
      <c r="L30" s="480"/>
      <c r="M30" s="7" t="s">
        <v>126</v>
      </c>
      <c r="N30" s="66" t="s">
        <v>110</v>
      </c>
      <c r="O30" s="70" t="s">
        <v>284</v>
      </c>
      <c r="P30" s="100" t="s">
        <v>414</v>
      </c>
      <c r="Q30" s="309" t="s">
        <v>416</v>
      </c>
      <c r="R30" s="401"/>
      <c r="S30" s="401"/>
      <c r="U30" s="75"/>
      <c r="V30" s="75"/>
      <c r="W30" s="75"/>
      <c r="X30" s="75"/>
      <c r="AB30" s="13"/>
      <c r="AC30" s="12"/>
      <c r="AD30" s="12"/>
      <c r="AE30" s="247"/>
      <c r="AF30" s="247"/>
      <c r="AG30" s="247"/>
      <c r="AH30" s="247"/>
      <c r="AI30" s="123"/>
      <c r="AJ30" s="500"/>
      <c r="AK30" s="500"/>
      <c r="AL30" s="500"/>
      <c r="AM30" s="500"/>
      <c r="AN30" s="108"/>
      <c r="AO30" s="124"/>
      <c r="AP30" s="116"/>
      <c r="AQ30" s="98"/>
    </row>
    <row r="31" spans="1:43" ht="78.75" x14ac:dyDescent="0.2">
      <c r="A31" s="326">
        <v>50</v>
      </c>
      <c r="B31" s="327" t="s">
        <v>507</v>
      </c>
      <c r="C31" s="327" t="s">
        <v>508</v>
      </c>
      <c r="D31" s="484" t="s">
        <v>28</v>
      </c>
      <c r="E31" s="484"/>
      <c r="F31" s="484"/>
      <c r="G31" s="484"/>
      <c r="H31" s="328">
        <v>8015</v>
      </c>
      <c r="I31" s="485" t="s">
        <v>29</v>
      </c>
      <c r="J31" s="485"/>
      <c r="K31" s="485" t="s">
        <v>29</v>
      </c>
      <c r="L31" s="485"/>
      <c r="M31" s="329" t="s">
        <v>126</v>
      </c>
      <c r="N31" s="330" t="s">
        <v>110</v>
      </c>
      <c r="O31" s="331" t="s">
        <v>284</v>
      </c>
      <c r="P31" s="332" t="s">
        <v>414</v>
      </c>
      <c r="Q31" s="333" t="s">
        <v>416</v>
      </c>
      <c r="R31" s="401"/>
      <c r="S31" s="401"/>
      <c r="U31" s="75"/>
      <c r="V31" s="75"/>
      <c r="W31" s="75"/>
      <c r="X31" s="75"/>
      <c r="AB31" s="13"/>
      <c r="AC31" s="12"/>
      <c r="AD31" s="12"/>
      <c r="AE31" s="247"/>
      <c r="AF31" s="247"/>
      <c r="AG31" s="247"/>
      <c r="AH31" s="247"/>
      <c r="AI31" s="123"/>
      <c r="AJ31" s="500"/>
      <c r="AK31" s="500"/>
      <c r="AL31" s="500"/>
      <c r="AM31" s="500"/>
      <c r="AN31" s="108"/>
      <c r="AO31" s="124"/>
      <c r="AP31" s="116"/>
      <c r="AQ31" s="98"/>
    </row>
    <row r="32" spans="1:43" s="118" customFormat="1" x14ac:dyDescent="0.2">
      <c r="A32" s="26"/>
      <c r="B32" s="27" t="s">
        <v>45</v>
      </c>
      <c r="C32" s="28"/>
      <c r="D32" s="29"/>
      <c r="E32" s="29"/>
      <c r="F32" s="29"/>
      <c r="G32" s="29"/>
      <c r="H32" s="78"/>
      <c r="I32" s="30"/>
      <c r="J32" s="30"/>
      <c r="K32" s="29"/>
      <c r="L32" s="29"/>
      <c r="M32" s="324"/>
      <c r="N32" s="324"/>
      <c r="O32" s="324"/>
      <c r="P32" s="324"/>
      <c r="Q32" s="325"/>
      <c r="R32" s="402"/>
      <c r="S32" s="402"/>
      <c r="U32" s="75"/>
      <c r="V32" s="75"/>
      <c r="W32" s="75"/>
      <c r="X32" s="75"/>
      <c r="AB32" s="241"/>
      <c r="AC32" s="125"/>
      <c r="AD32" s="126"/>
      <c r="AE32" s="241"/>
      <c r="AF32" s="241"/>
      <c r="AG32" s="241"/>
      <c r="AH32" s="241"/>
      <c r="AI32" s="123"/>
      <c r="AJ32" s="112"/>
      <c r="AK32" s="112"/>
      <c r="AL32" s="112"/>
      <c r="AM32" s="112"/>
      <c r="AN32" s="127"/>
      <c r="AO32" s="127"/>
      <c r="AP32" s="127"/>
      <c r="AQ32" s="124"/>
    </row>
    <row r="33" spans="1:43" ht="95.25" customHeight="1" x14ac:dyDescent="0.2">
      <c r="A33" s="334">
        <v>6</v>
      </c>
      <c r="B33" s="335" t="s">
        <v>459</v>
      </c>
      <c r="C33" s="335" t="s">
        <v>757</v>
      </c>
      <c r="D33" s="336" t="s">
        <v>8</v>
      </c>
      <c r="E33" s="336" t="s">
        <v>9</v>
      </c>
      <c r="F33" s="336"/>
      <c r="G33" s="336"/>
      <c r="H33" s="337">
        <v>8020</v>
      </c>
      <c r="I33" s="338">
        <v>330.2</v>
      </c>
      <c r="J33" s="338">
        <f>I33*1.1</f>
        <v>363.22</v>
      </c>
      <c r="K33" s="339"/>
      <c r="L33" s="339"/>
      <c r="M33" s="340" t="s">
        <v>125</v>
      </c>
      <c r="N33" s="341" t="s">
        <v>798</v>
      </c>
      <c r="O33" s="342" t="s">
        <v>285</v>
      </c>
      <c r="P33" s="342" t="s">
        <v>415</v>
      </c>
      <c r="Q33" s="342" t="s">
        <v>724</v>
      </c>
      <c r="R33" s="400"/>
      <c r="S33" s="400"/>
      <c r="U33" s="75"/>
      <c r="V33" s="75"/>
      <c r="W33" s="75"/>
      <c r="X33" s="75"/>
      <c r="AB33" s="13"/>
      <c r="AC33" s="12"/>
      <c r="AD33" s="12"/>
      <c r="AE33" s="241"/>
      <c r="AF33" s="241"/>
      <c r="AG33" s="241"/>
      <c r="AH33" s="241"/>
      <c r="AI33" s="123"/>
      <c r="AJ33" s="106"/>
      <c r="AK33" s="106"/>
      <c r="AL33" s="106"/>
      <c r="AM33" s="106"/>
      <c r="AN33" s="108"/>
      <c r="AO33" s="124"/>
      <c r="AP33" s="116"/>
      <c r="AQ33" s="98"/>
    </row>
    <row r="34" spans="1:43" ht="33.75" x14ac:dyDescent="0.2">
      <c r="A34" s="8" t="s">
        <v>46</v>
      </c>
      <c r="B34" s="9" t="s">
        <v>460</v>
      </c>
      <c r="C34" s="261" t="s">
        <v>758</v>
      </c>
      <c r="D34" s="259" t="s">
        <v>47</v>
      </c>
      <c r="E34" s="259" t="s">
        <v>48</v>
      </c>
      <c r="F34" s="18"/>
      <c r="G34" s="18"/>
      <c r="H34" s="80">
        <v>8021</v>
      </c>
      <c r="I34" s="58">
        <v>116.9</v>
      </c>
      <c r="J34" s="58">
        <f>I34*1.1</f>
        <v>128.59</v>
      </c>
      <c r="K34" s="60"/>
      <c r="L34" s="60"/>
      <c r="M34" s="7" t="s">
        <v>125</v>
      </c>
      <c r="N34" s="66" t="s">
        <v>109</v>
      </c>
      <c r="O34" s="70" t="s">
        <v>285</v>
      </c>
      <c r="P34" s="260" t="s">
        <v>416</v>
      </c>
      <c r="Q34" s="70" t="s">
        <v>416</v>
      </c>
      <c r="R34" s="400"/>
      <c r="S34" s="400"/>
      <c r="U34" s="75"/>
      <c r="V34" s="75"/>
      <c r="W34" s="75"/>
      <c r="X34" s="75"/>
      <c r="AB34" s="13"/>
      <c r="AC34" s="12"/>
      <c r="AD34" s="12"/>
      <c r="AE34" s="241"/>
      <c r="AF34" s="241"/>
      <c r="AG34" s="241"/>
      <c r="AH34" s="241"/>
      <c r="AI34" s="123"/>
      <c r="AJ34" s="106"/>
      <c r="AK34" s="106"/>
      <c r="AL34" s="106"/>
      <c r="AM34" s="106"/>
      <c r="AN34" s="108"/>
      <c r="AO34" s="124"/>
      <c r="AP34" s="116"/>
      <c r="AQ34" s="98"/>
    </row>
    <row r="35" spans="1:43" ht="45" x14ac:dyDescent="0.2">
      <c r="A35" s="31">
        <v>7</v>
      </c>
      <c r="B35" s="32" t="s">
        <v>461</v>
      </c>
      <c r="C35" s="33" t="s">
        <v>757</v>
      </c>
      <c r="D35" s="34"/>
      <c r="E35" s="34"/>
      <c r="F35" s="34" t="s">
        <v>10</v>
      </c>
      <c r="G35" s="34" t="s">
        <v>11</v>
      </c>
      <c r="H35" s="81">
        <v>8022</v>
      </c>
      <c r="I35" s="59"/>
      <c r="J35" s="59"/>
      <c r="K35" s="297">
        <v>330.2</v>
      </c>
      <c r="L35" s="297">
        <f>K35*1.1</f>
        <v>363.22</v>
      </c>
      <c r="M35" s="35" t="s">
        <v>125</v>
      </c>
      <c r="N35" s="36" t="s">
        <v>798</v>
      </c>
      <c r="O35" s="54" t="s">
        <v>285</v>
      </c>
      <c r="P35" s="54" t="s">
        <v>415</v>
      </c>
      <c r="Q35" s="54" t="s">
        <v>724</v>
      </c>
      <c r="R35" s="400"/>
      <c r="S35" s="400"/>
      <c r="U35" s="75"/>
      <c r="V35" s="75"/>
      <c r="W35" s="75"/>
      <c r="X35" s="75"/>
      <c r="AB35" s="13"/>
      <c r="AC35" s="12"/>
      <c r="AD35" s="12"/>
      <c r="AE35" s="241"/>
      <c r="AF35" s="241"/>
      <c r="AG35" s="241"/>
      <c r="AH35" s="241"/>
      <c r="AI35" s="123"/>
      <c r="AJ35" s="106"/>
      <c r="AK35" s="106"/>
      <c r="AL35" s="106"/>
      <c r="AM35" s="106"/>
      <c r="AN35" s="108"/>
      <c r="AO35" s="124"/>
      <c r="AP35" s="116"/>
      <c r="AQ35" s="98"/>
    </row>
    <row r="36" spans="1:43" ht="45" x14ac:dyDescent="0.2">
      <c r="A36" s="31" t="s">
        <v>49</v>
      </c>
      <c r="B36" s="32" t="s">
        <v>462</v>
      </c>
      <c r="C36" s="33" t="s">
        <v>759</v>
      </c>
      <c r="D36" s="34"/>
      <c r="E36" s="34"/>
      <c r="F36" s="34" t="s">
        <v>50</v>
      </c>
      <c r="G36" s="34" t="s">
        <v>51</v>
      </c>
      <c r="H36" s="81">
        <v>8023</v>
      </c>
      <c r="I36" s="59"/>
      <c r="J36" s="59"/>
      <c r="K36" s="59">
        <v>330.2</v>
      </c>
      <c r="L36" s="59">
        <f>K36*1.1</f>
        <v>363.22</v>
      </c>
      <c r="M36" s="35" t="s">
        <v>125</v>
      </c>
      <c r="N36" s="36" t="s">
        <v>418</v>
      </c>
      <c r="O36" s="54" t="s">
        <v>285</v>
      </c>
      <c r="P36" s="54" t="s">
        <v>416</v>
      </c>
      <c r="Q36" s="54" t="s">
        <v>416</v>
      </c>
      <c r="R36" s="400"/>
      <c r="S36" s="400"/>
      <c r="U36" s="75"/>
      <c r="V36" s="75"/>
      <c r="W36" s="75"/>
      <c r="X36" s="75"/>
      <c r="AB36" s="13"/>
      <c r="AC36" s="12"/>
      <c r="AD36" s="12"/>
      <c r="AE36" s="241"/>
      <c r="AF36" s="241"/>
      <c r="AG36" s="241"/>
      <c r="AH36" s="241"/>
      <c r="AI36" s="123"/>
      <c r="AJ36" s="106"/>
      <c r="AK36" s="106"/>
      <c r="AL36" s="106"/>
      <c r="AM36" s="106"/>
      <c r="AN36" s="108"/>
      <c r="AO36" s="124"/>
      <c r="AP36" s="116"/>
      <c r="AQ36" s="98"/>
    </row>
    <row r="37" spans="1:43" ht="45" x14ac:dyDescent="0.2">
      <c r="A37" s="155">
        <v>8</v>
      </c>
      <c r="B37" s="163" t="s">
        <v>595</v>
      </c>
      <c r="C37" s="163" t="s">
        <v>760</v>
      </c>
      <c r="D37" s="34" t="s">
        <v>12</v>
      </c>
      <c r="E37" s="34" t="s">
        <v>13</v>
      </c>
      <c r="F37" s="34"/>
      <c r="G37" s="34"/>
      <c r="H37" s="81">
        <v>8024</v>
      </c>
      <c r="I37" s="297">
        <v>330.2</v>
      </c>
      <c r="J37" s="297">
        <f>I37*1.1</f>
        <v>363.22</v>
      </c>
      <c r="K37" s="59"/>
      <c r="L37" s="59"/>
      <c r="M37" s="35" t="s">
        <v>125</v>
      </c>
      <c r="N37" s="36" t="s">
        <v>798</v>
      </c>
      <c r="O37" s="54" t="s">
        <v>285</v>
      </c>
      <c r="P37" s="54" t="s">
        <v>415</v>
      </c>
      <c r="Q37" s="54" t="s">
        <v>724</v>
      </c>
      <c r="R37" s="400"/>
      <c r="S37" s="400"/>
      <c r="U37" s="75"/>
      <c r="V37" s="75"/>
      <c r="W37" s="75"/>
      <c r="X37" s="75"/>
      <c r="AB37" s="13"/>
      <c r="AC37" s="12"/>
      <c r="AD37" s="12"/>
      <c r="AE37" s="241"/>
      <c r="AF37" s="241"/>
      <c r="AG37" s="241"/>
      <c r="AH37" s="241"/>
      <c r="AI37" s="123"/>
      <c r="AJ37" s="106"/>
      <c r="AK37" s="106"/>
      <c r="AL37" s="106"/>
      <c r="AM37" s="106"/>
      <c r="AN37" s="108"/>
      <c r="AO37" s="124"/>
      <c r="AP37" s="116"/>
      <c r="AQ37" s="98"/>
    </row>
    <row r="38" spans="1:43" ht="33.75" x14ac:dyDescent="0.2">
      <c r="A38" s="8" t="s">
        <v>52</v>
      </c>
      <c r="B38" s="9" t="s">
        <v>464</v>
      </c>
      <c r="C38" s="261" t="s">
        <v>761</v>
      </c>
      <c r="D38" s="259" t="s">
        <v>53</v>
      </c>
      <c r="E38" s="259" t="s">
        <v>54</v>
      </c>
      <c r="F38" s="18"/>
      <c r="G38" s="18"/>
      <c r="H38" s="80">
        <v>8025</v>
      </c>
      <c r="I38" s="58">
        <v>116.9</v>
      </c>
      <c r="J38" s="58">
        <f>I38*1.1</f>
        <v>128.59</v>
      </c>
      <c r="K38" s="60"/>
      <c r="L38" s="60"/>
      <c r="M38" s="7" t="s">
        <v>125</v>
      </c>
      <c r="N38" s="66" t="s">
        <v>109</v>
      </c>
      <c r="O38" s="70" t="s">
        <v>285</v>
      </c>
      <c r="P38" s="260" t="s">
        <v>416</v>
      </c>
      <c r="Q38" s="70" t="s">
        <v>416</v>
      </c>
      <c r="R38" s="400"/>
      <c r="S38" s="400"/>
      <c r="U38" s="75"/>
      <c r="V38" s="75"/>
      <c r="W38" s="75"/>
      <c r="X38" s="75"/>
      <c r="AB38" s="13"/>
      <c r="AC38" s="12"/>
      <c r="AD38" s="12"/>
      <c r="AE38" s="241"/>
      <c r="AF38" s="241"/>
      <c r="AG38" s="241"/>
      <c r="AH38" s="241"/>
      <c r="AI38" s="123"/>
      <c r="AJ38" s="106"/>
      <c r="AK38" s="106"/>
      <c r="AL38" s="106"/>
      <c r="AM38" s="106"/>
      <c r="AN38" s="108"/>
      <c r="AO38" s="124"/>
      <c r="AP38" s="116"/>
      <c r="AQ38" s="98"/>
    </row>
    <row r="39" spans="1:43" ht="45" x14ac:dyDescent="0.2">
      <c r="A39" s="155">
        <v>9</v>
      </c>
      <c r="B39" s="163" t="s">
        <v>465</v>
      </c>
      <c r="C39" s="163" t="s">
        <v>760</v>
      </c>
      <c r="D39" s="34"/>
      <c r="E39" s="34"/>
      <c r="F39" s="34" t="s">
        <v>14</v>
      </c>
      <c r="G39" s="34" t="s">
        <v>15</v>
      </c>
      <c r="H39" s="81">
        <v>8026</v>
      </c>
      <c r="I39" s="59"/>
      <c r="J39" s="59"/>
      <c r="K39" s="297">
        <v>330.2</v>
      </c>
      <c r="L39" s="297">
        <f t="shared" ref="L39:L41" si="1">K39*1.1</f>
        <v>363.22</v>
      </c>
      <c r="M39" s="35" t="s">
        <v>125</v>
      </c>
      <c r="N39" s="36" t="s">
        <v>798</v>
      </c>
      <c r="O39" s="54" t="s">
        <v>285</v>
      </c>
      <c r="P39" s="54" t="s">
        <v>415</v>
      </c>
      <c r="Q39" s="54" t="s">
        <v>724</v>
      </c>
      <c r="R39" s="400"/>
      <c r="S39" s="400"/>
      <c r="U39" s="75"/>
      <c r="V39" s="75"/>
      <c r="W39" s="75"/>
      <c r="X39" s="75"/>
      <c r="AB39" s="13"/>
      <c r="AC39" s="12"/>
      <c r="AD39" s="12"/>
      <c r="AE39" s="241"/>
      <c r="AF39" s="241"/>
      <c r="AG39" s="241"/>
      <c r="AH39" s="241"/>
      <c r="AI39" s="123"/>
      <c r="AJ39" s="106"/>
      <c r="AK39" s="106"/>
      <c r="AL39" s="106"/>
      <c r="AM39" s="106"/>
      <c r="AN39" s="108"/>
      <c r="AO39" s="124"/>
      <c r="AP39" s="116"/>
      <c r="AQ39" s="98"/>
    </row>
    <row r="40" spans="1:43" ht="45" x14ac:dyDescent="0.2">
      <c r="A40" s="31" t="s">
        <v>55</v>
      </c>
      <c r="B40" s="32" t="s">
        <v>466</v>
      </c>
      <c r="C40" s="33" t="s">
        <v>761</v>
      </c>
      <c r="D40" s="34"/>
      <c r="E40" s="34"/>
      <c r="F40" s="34" t="s">
        <v>56</v>
      </c>
      <c r="G40" s="34" t="s">
        <v>57</v>
      </c>
      <c r="H40" s="81">
        <v>8027</v>
      </c>
      <c r="I40" s="59"/>
      <c r="J40" s="59"/>
      <c r="K40" s="59">
        <v>330.2</v>
      </c>
      <c r="L40" s="59">
        <f t="shared" si="1"/>
        <v>363.22</v>
      </c>
      <c r="M40" s="35" t="s">
        <v>125</v>
      </c>
      <c r="N40" s="36" t="s">
        <v>418</v>
      </c>
      <c r="O40" s="54" t="s">
        <v>285</v>
      </c>
      <c r="P40" s="54" t="s">
        <v>416</v>
      </c>
      <c r="Q40" s="54" t="s">
        <v>416</v>
      </c>
      <c r="R40" s="400"/>
      <c r="S40" s="400"/>
      <c r="U40" s="75"/>
      <c r="V40" s="75"/>
      <c r="W40" s="75"/>
      <c r="X40" s="75"/>
      <c r="AB40" s="13"/>
      <c r="AC40" s="12"/>
      <c r="AD40" s="12"/>
      <c r="AE40" s="241"/>
      <c r="AF40" s="241"/>
      <c r="AG40" s="241"/>
      <c r="AH40" s="241"/>
      <c r="AI40" s="123"/>
      <c r="AJ40" s="106"/>
      <c r="AK40" s="106"/>
      <c r="AL40" s="106"/>
      <c r="AM40" s="106"/>
      <c r="AN40" s="108"/>
      <c r="AO40" s="124"/>
      <c r="AP40" s="116"/>
      <c r="AQ40" s="98"/>
    </row>
    <row r="41" spans="1:43" ht="78.75" customHeight="1" x14ac:dyDescent="0.2">
      <c r="A41" s="155" t="s">
        <v>612</v>
      </c>
      <c r="B41" s="163" t="s">
        <v>596</v>
      </c>
      <c r="C41" s="163" t="s">
        <v>597</v>
      </c>
      <c r="D41" s="307" t="s">
        <v>598</v>
      </c>
      <c r="E41" s="307" t="s">
        <v>599</v>
      </c>
      <c r="F41" s="307" t="s">
        <v>600</v>
      </c>
      <c r="G41" s="307" t="s">
        <v>601</v>
      </c>
      <c r="H41" s="308">
        <v>8033</v>
      </c>
      <c r="I41" s="297">
        <v>82.5</v>
      </c>
      <c r="J41" s="297">
        <f>I41*1.1</f>
        <v>90.750000000000014</v>
      </c>
      <c r="K41" s="297">
        <v>82.5</v>
      </c>
      <c r="L41" s="297">
        <f t="shared" si="1"/>
        <v>90.750000000000014</v>
      </c>
      <c r="M41" s="52" t="s">
        <v>125</v>
      </c>
      <c r="N41" s="36" t="s">
        <v>799</v>
      </c>
      <c r="O41" s="54" t="s">
        <v>285</v>
      </c>
      <c r="P41" s="54" t="s">
        <v>415</v>
      </c>
      <c r="Q41" s="54" t="s">
        <v>724</v>
      </c>
      <c r="R41" s="400"/>
      <c r="S41" s="400"/>
      <c r="U41" s="75"/>
      <c r="V41" s="75"/>
      <c r="W41" s="75"/>
      <c r="X41" s="75"/>
      <c r="AB41" s="13"/>
      <c r="AC41" s="12"/>
      <c r="AD41" s="12"/>
      <c r="AE41" s="241"/>
      <c r="AF41" s="241"/>
      <c r="AG41" s="241"/>
      <c r="AH41" s="241"/>
      <c r="AI41" s="123"/>
      <c r="AJ41" s="106"/>
      <c r="AK41" s="106"/>
      <c r="AL41" s="106"/>
      <c r="AM41" s="106"/>
      <c r="AN41" s="154"/>
      <c r="AO41" s="124"/>
      <c r="AP41" s="144"/>
      <c r="AQ41" s="143"/>
    </row>
    <row r="42" spans="1:43" ht="56.25" x14ac:dyDescent="0.2">
      <c r="A42" s="4">
        <v>51</v>
      </c>
      <c r="B42" s="9" t="s">
        <v>509</v>
      </c>
      <c r="C42" s="9" t="s">
        <v>510</v>
      </c>
      <c r="D42" s="482" t="s">
        <v>28</v>
      </c>
      <c r="E42" s="482"/>
      <c r="F42" s="482"/>
      <c r="G42" s="482"/>
      <c r="H42" s="80">
        <v>8028</v>
      </c>
      <c r="I42" s="480" t="s">
        <v>29</v>
      </c>
      <c r="J42" s="480"/>
      <c r="K42" s="480" t="s">
        <v>29</v>
      </c>
      <c r="L42" s="480"/>
      <c r="M42" s="7" t="s">
        <v>126</v>
      </c>
      <c r="N42" s="66" t="s">
        <v>110</v>
      </c>
      <c r="O42" s="70" t="s">
        <v>284</v>
      </c>
      <c r="P42" s="100" t="s">
        <v>414</v>
      </c>
      <c r="Q42" s="309" t="s">
        <v>416</v>
      </c>
      <c r="R42" s="401"/>
      <c r="S42" s="401"/>
      <c r="U42" s="75"/>
      <c r="V42" s="75"/>
      <c r="W42" s="75"/>
      <c r="X42" s="75"/>
      <c r="AB42" s="13"/>
      <c r="AC42" s="12"/>
      <c r="AD42" s="12"/>
      <c r="AE42" s="247"/>
      <c r="AF42" s="247"/>
      <c r="AG42" s="247"/>
      <c r="AH42" s="247"/>
      <c r="AI42" s="123"/>
      <c r="AJ42" s="500"/>
      <c r="AK42" s="500"/>
      <c r="AL42" s="500"/>
      <c r="AM42" s="500"/>
      <c r="AN42" s="108"/>
      <c r="AO42" s="124"/>
      <c r="AP42" s="116"/>
      <c r="AQ42" s="98"/>
    </row>
    <row r="43" spans="1:43" ht="157.5" x14ac:dyDescent="0.2">
      <c r="A43" s="4">
        <v>52</v>
      </c>
      <c r="B43" s="9" t="s">
        <v>511</v>
      </c>
      <c r="C43" s="9" t="s">
        <v>512</v>
      </c>
      <c r="D43" s="482" t="s">
        <v>28</v>
      </c>
      <c r="E43" s="482"/>
      <c r="F43" s="482"/>
      <c r="G43" s="482"/>
      <c r="H43" s="80">
        <v>8029</v>
      </c>
      <c r="I43" s="480" t="s">
        <v>29</v>
      </c>
      <c r="J43" s="480"/>
      <c r="K43" s="480" t="s">
        <v>29</v>
      </c>
      <c r="L43" s="480"/>
      <c r="M43" s="15" t="s">
        <v>126</v>
      </c>
      <c r="N43" s="66" t="s">
        <v>110</v>
      </c>
      <c r="O43" s="70" t="s">
        <v>284</v>
      </c>
      <c r="P43" s="100" t="s">
        <v>414</v>
      </c>
      <c r="Q43" s="309" t="s">
        <v>416</v>
      </c>
      <c r="R43" s="401"/>
      <c r="S43" s="401"/>
      <c r="U43" s="75"/>
      <c r="V43" s="75"/>
      <c r="W43" s="75"/>
      <c r="X43" s="75"/>
      <c r="AB43" s="13"/>
      <c r="AC43" s="12"/>
      <c r="AD43" s="12"/>
      <c r="AE43" s="247"/>
      <c r="AF43" s="247"/>
      <c r="AG43" s="247"/>
      <c r="AH43" s="247"/>
      <c r="AI43" s="123"/>
      <c r="AJ43" s="500"/>
      <c r="AK43" s="500"/>
      <c r="AL43" s="500"/>
      <c r="AM43" s="500"/>
      <c r="AN43" s="108"/>
      <c r="AO43" s="124"/>
      <c r="AP43" s="116"/>
      <c r="AQ43" s="98"/>
    </row>
    <row r="44" spans="1:43" ht="56.25" x14ac:dyDescent="0.2">
      <c r="A44" s="4">
        <v>53</v>
      </c>
      <c r="B44" s="9" t="s">
        <v>513</v>
      </c>
      <c r="C44" s="9" t="s">
        <v>514</v>
      </c>
      <c r="D44" s="482" t="s">
        <v>28</v>
      </c>
      <c r="E44" s="482"/>
      <c r="F44" s="482"/>
      <c r="G44" s="482"/>
      <c r="H44" s="80">
        <v>8030</v>
      </c>
      <c r="I44" s="480" t="s">
        <v>29</v>
      </c>
      <c r="J44" s="480"/>
      <c r="K44" s="480" t="s">
        <v>29</v>
      </c>
      <c r="L44" s="480"/>
      <c r="M44" s="15" t="s">
        <v>126</v>
      </c>
      <c r="N44" s="66" t="s">
        <v>110</v>
      </c>
      <c r="O44" s="70" t="s">
        <v>284</v>
      </c>
      <c r="P44" s="100" t="s">
        <v>414</v>
      </c>
      <c r="Q44" s="309" t="s">
        <v>416</v>
      </c>
      <c r="R44" s="401"/>
      <c r="S44" s="401"/>
      <c r="U44" s="75"/>
      <c r="V44" s="75"/>
      <c r="W44" s="75"/>
      <c r="X44" s="75"/>
      <c r="AB44" s="13"/>
      <c r="AC44" s="12"/>
      <c r="AD44" s="12"/>
      <c r="AE44" s="247"/>
      <c r="AF44" s="247"/>
      <c r="AG44" s="247"/>
      <c r="AH44" s="247"/>
      <c r="AI44" s="123"/>
      <c r="AJ44" s="500"/>
      <c r="AK44" s="500"/>
      <c r="AL44" s="500"/>
      <c r="AM44" s="500"/>
      <c r="AN44" s="108"/>
      <c r="AO44" s="124"/>
      <c r="AP44" s="116"/>
      <c r="AQ44" s="98"/>
    </row>
    <row r="45" spans="1:43" ht="101.25" x14ac:dyDescent="0.2">
      <c r="A45" s="4">
        <v>54</v>
      </c>
      <c r="B45" s="9" t="s">
        <v>515</v>
      </c>
      <c r="C45" s="9" t="s">
        <v>516</v>
      </c>
      <c r="D45" s="482" t="s">
        <v>28</v>
      </c>
      <c r="E45" s="482"/>
      <c r="F45" s="482"/>
      <c r="G45" s="482"/>
      <c r="H45" s="80">
        <v>8031</v>
      </c>
      <c r="I45" s="480" t="s">
        <v>29</v>
      </c>
      <c r="J45" s="480"/>
      <c r="K45" s="480" t="s">
        <v>29</v>
      </c>
      <c r="L45" s="480"/>
      <c r="M45" s="15" t="s">
        <v>126</v>
      </c>
      <c r="N45" s="66" t="s">
        <v>110</v>
      </c>
      <c r="O45" s="70" t="s">
        <v>284</v>
      </c>
      <c r="P45" s="100" t="s">
        <v>415</v>
      </c>
      <c r="Q45" s="309" t="s">
        <v>416</v>
      </c>
      <c r="R45" s="401"/>
      <c r="S45" s="401"/>
      <c r="U45" s="75"/>
      <c r="V45" s="75"/>
      <c r="W45" s="75"/>
      <c r="X45" s="75"/>
      <c r="AB45" s="13"/>
      <c r="AC45" s="12"/>
      <c r="AD45" s="12"/>
      <c r="AE45" s="247"/>
      <c r="AF45" s="247"/>
      <c r="AG45" s="247"/>
      <c r="AH45" s="247"/>
      <c r="AI45" s="123"/>
      <c r="AJ45" s="500"/>
      <c r="AK45" s="500"/>
      <c r="AL45" s="500"/>
      <c r="AM45" s="500"/>
      <c r="AN45" s="108"/>
      <c r="AO45" s="124"/>
      <c r="AP45" s="116"/>
      <c r="AQ45" s="98"/>
    </row>
    <row r="46" spans="1:43" ht="22.5" x14ac:dyDescent="0.2">
      <c r="A46" s="326">
        <v>55</v>
      </c>
      <c r="B46" s="327" t="s">
        <v>517</v>
      </c>
      <c r="C46" s="327" t="s">
        <v>518</v>
      </c>
      <c r="D46" s="484" t="s">
        <v>28</v>
      </c>
      <c r="E46" s="484"/>
      <c r="F46" s="484"/>
      <c r="G46" s="484"/>
      <c r="H46" s="328">
        <v>8032</v>
      </c>
      <c r="I46" s="485" t="s">
        <v>29</v>
      </c>
      <c r="J46" s="485"/>
      <c r="K46" s="485" t="s">
        <v>29</v>
      </c>
      <c r="L46" s="485"/>
      <c r="M46" s="343" t="s">
        <v>126</v>
      </c>
      <c r="N46" s="330" t="s">
        <v>110</v>
      </c>
      <c r="O46" s="331" t="s">
        <v>284</v>
      </c>
      <c r="P46" s="332" t="s">
        <v>414</v>
      </c>
      <c r="Q46" s="333" t="s">
        <v>416</v>
      </c>
      <c r="R46" s="401"/>
      <c r="S46" s="401"/>
      <c r="U46" s="75"/>
      <c r="V46" s="75"/>
      <c r="W46" s="75"/>
      <c r="X46" s="75"/>
      <c r="AB46" s="13"/>
      <c r="AC46" s="12"/>
      <c r="AD46" s="12"/>
      <c r="AE46" s="247"/>
      <c r="AF46" s="247"/>
      <c r="AG46" s="247"/>
      <c r="AH46" s="247"/>
      <c r="AI46" s="123"/>
      <c r="AJ46" s="500"/>
      <c r="AK46" s="500"/>
      <c r="AL46" s="500"/>
      <c r="AM46" s="500"/>
      <c r="AN46" s="108"/>
      <c r="AO46" s="124"/>
      <c r="AP46" s="116"/>
      <c r="AQ46" s="98"/>
    </row>
    <row r="47" spans="1:43" s="118" customFormat="1" x14ac:dyDescent="0.2">
      <c r="A47" s="26"/>
      <c r="B47" s="27" t="s">
        <v>58</v>
      </c>
      <c r="C47" s="28"/>
      <c r="D47" s="29"/>
      <c r="E47" s="29"/>
      <c r="F47" s="29"/>
      <c r="G47" s="29"/>
      <c r="H47" s="78"/>
      <c r="I47" s="30"/>
      <c r="J47" s="30"/>
      <c r="K47" s="29"/>
      <c r="L47" s="29"/>
      <c r="M47" s="324"/>
      <c r="N47" s="324"/>
      <c r="O47" s="324"/>
      <c r="P47" s="324"/>
      <c r="Q47" s="325"/>
      <c r="R47" s="402"/>
      <c r="S47" s="402"/>
      <c r="U47" s="75"/>
      <c r="V47" s="75"/>
      <c r="W47" s="75"/>
      <c r="X47" s="75"/>
      <c r="AB47" s="241"/>
      <c r="AC47" s="125"/>
      <c r="AD47" s="126"/>
      <c r="AE47" s="241"/>
      <c r="AF47" s="241"/>
      <c r="AG47" s="241"/>
      <c r="AH47" s="241"/>
      <c r="AI47" s="123"/>
      <c r="AJ47" s="112"/>
      <c r="AK47" s="112"/>
      <c r="AL47" s="112"/>
      <c r="AM47" s="112"/>
      <c r="AN47" s="127"/>
      <c r="AO47" s="127"/>
      <c r="AP47" s="127"/>
      <c r="AQ47" s="124"/>
    </row>
    <row r="48" spans="1:43" ht="67.5" x14ac:dyDescent="0.2">
      <c r="A48" s="316">
        <v>10</v>
      </c>
      <c r="B48" s="344" t="s">
        <v>467</v>
      </c>
      <c r="C48" s="345" t="s">
        <v>762</v>
      </c>
      <c r="D48" s="346" t="s">
        <v>30</v>
      </c>
      <c r="E48" s="346" t="s">
        <v>31</v>
      </c>
      <c r="F48" s="347"/>
      <c r="G48" s="347"/>
      <c r="H48" s="348">
        <v>8040</v>
      </c>
      <c r="I48" s="349">
        <v>292.39999999999998</v>
      </c>
      <c r="J48" s="349">
        <f>I48*1.1</f>
        <v>321.64</v>
      </c>
      <c r="K48" s="350"/>
      <c r="L48" s="350"/>
      <c r="M48" s="320" t="s">
        <v>125</v>
      </c>
      <c r="N48" s="321" t="s">
        <v>109</v>
      </c>
      <c r="O48" s="322" t="s">
        <v>285</v>
      </c>
      <c r="P48" s="323" t="s">
        <v>414</v>
      </c>
      <c r="Q48" s="351" t="s">
        <v>725</v>
      </c>
      <c r="R48" s="400"/>
      <c r="S48" s="400"/>
      <c r="U48" s="75"/>
      <c r="V48" s="75"/>
      <c r="W48" s="75"/>
      <c r="X48" s="75"/>
      <c r="AB48" s="13"/>
      <c r="AC48" s="128"/>
      <c r="AD48" s="128"/>
      <c r="AE48" s="241"/>
      <c r="AF48" s="241"/>
      <c r="AG48" s="241"/>
      <c r="AH48" s="241"/>
      <c r="AI48" s="123"/>
      <c r="AJ48" s="106"/>
      <c r="AK48" s="106"/>
      <c r="AL48" s="106"/>
      <c r="AM48" s="106"/>
      <c r="AN48" s="108"/>
      <c r="AO48" s="124"/>
      <c r="AP48" s="116"/>
      <c r="AQ48" s="98"/>
    </row>
    <row r="49" spans="1:43" ht="33.75" x14ac:dyDescent="0.2">
      <c r="A49" s="8" t="s">
        <v>59</v>
      </c>
      <c r="B49" s="10" t="s">
        <v>468</v>
      </c>
      <c r="C49" s="160" t="s">
        <v>763</v>
      </c>
      <c r="D49" s="259" t="s">
        <v>60</v>
      </c>
      <c r="E49" s="259" t="s">
        <v>61</v>
      </c>
      <c r="F49" s="18"/>
      <c r="G49" s="18"/>
      <c r="H49" s="80">
        <v>8041</v>
      </c>
      <c r="I49" s="58">
        <v>116.9</v>
      </c>
      <c r="J49" s="58">
        <f>I49*1.1</f>
        <v>128.59</v>
      </c>
      <c r="K49" s="60"/>
      <c r="L49" s="60"/>
      <c r="M49" s="7" t="s">
        <v>125</v>
      </c>
      <c r="N49" s="66" t="s">
        <v>109</v>
      </c>
      <c r="O49" s="70" t="s">
        <v>285</v>
      </c>
      <c r="P49" s="260" t="s">
        <v>416</v>
      </c>
      <c r="Q49" s="309" t="s">
        <v>416</v>
      </c>
      <c r="R49" s="400"/>
      <c r="S49" s="400"/>
      <c r="U49" s="75"/>
      <c r="V49" s="75"/>
      <c r="W49" s="75"/>
      <c r="X49" s="75"/>
      <c r="AB49" s="13"/>
      <c r="AC49" s="128"/>
      <c r="AD49" s="128"/>
      <c r="AE49" s="241"/>
      <c r="AF49" s="241"/>
      <c r="AG49" s="241"/>
      <c r="AH49" s="241"/>
      <c r="AI49" s="123"/>
      <c r="AJ49" s="106"/>
      <c r="AK49" s="106"/>
      <c r="AL49" s="106"/>
      <c r="AM49" s="106"/>
      <c r="AN49" s="108"/>
      <c r="AO49" s="124"/>
      <c r="AP49" s="116"/>
      <c r="AQ49" s="98"/>
    </row>
    <row r="50" spans="1:43" ht="67.5" x14ac:dyDescent="0.2">
      <c r="A50" s="22">
        <v>11</v>
      </c>
      <c r="B50" s="41" t="s">
        <v>469</v>
      </c>
      <c r="C50" s="157" t="s">
        <v>762</v>
      </c>
      <c r="D50" s="23"/>
      <c r="E50" s="23"/>
      <c r="F50" s="23" t="s">
        <v>32</v>
      </c>
      <c r="G50" s="23" t="s">
        <v>33</v>
      </c>
      <c r="H50" s="82">
        <v>8042</v>
      </c>
      <c r="I50" s="61"/>
      <c r="J50" s="61"/>
      <c r="K50" s="298">
        <v>292.39999999999998</v>
      </c>
      <c r="L50" s="298">
        <f t="shared" ref="L50:L52" si="2">K50*1.1</f>
        <v>321.64</v>
      </c>
      <c r="M50" s="24" t="s">
        <v>125</v>
      </c>
      <c r="N50" s="25" t="s">
        <v>134</v>
      </c>
      <c r="O50" s="71" t="s">
        <v>285</v>
      </c>
      <c r="P50" s="71" t="s">
        <v>414</v>
      </c>
      <c r="Q50" s="71" t="s">
        <v>725</v>
      </c>
      <c r="R50" s="400"/>
      <c r="S50" s="400"/>
      <c r="U50" s="75"/>
      <c r="V50" s="75"/>
      <c r="W50" s="75"/>
      <c r="X50" s="75"/>
      <c r="AB50" s="13"/>
      <c r="AC50" s="128"/>
      <c r="AD50" s="128"/>
      <c r="AE50" s="241"/>
      <c r="AF50" s="241"/>
      <c r="AG50" s="241"/>
      <c r="AH50" s="241"/>
      <c r="AI50" s="123"/>
      <c r="AJ50" s="106"/>
      <c r="AK50" s="106"/>
      <c r="AL50" s="106"/>
      <c r="AM50" s="106"/>
      <c r="AN50" s="108"/>
      <c r="AO50" s="124"/>
      <c r="AP50" s="116"/>
      <c r="AQ50" s="98"/>
    </row>
    <row r="51" spans="1:43" ht="33.75" x14ac:dyDescent="0.2">
      <c r="A51" s="22" t="s">
        <v>62</v>
      </c>
      <c r="B51" s="41" t="s">
        <v>470</v>
      </c>
      <c r="C51" s="157" t="s">
        <v>763</v>
      </c>
      <c r="D51" s="23"/>
      <c r="E51" s="23"/>
      <c r="F51" s="23" t="s">
        <v>63</v>
      </c>
      <c r="G51" s="23" t="s">
        <v>64</v>
      </c>
      <c r="H51" s="82">
        <v>8043</v>
      </c>
      <c r="I51" s="61"/>
      <c r="J51" s="61"/>
      <c r="K51" s="61">
        <v>116.9</v>
      </c>
      <c r="L51" s="61">
        <f t="shared" si="2"/>
        <v>128.59</v>
      </c>
      <c r="M51" s="24" t="s">
        <v>125</v>
      </c>
      <c r="N51" s="25" t="s">
        <v>417</v>
      </c>
      <c r="O51" s="71" t="s">
        <v>285</v>
      </c>
      <c r="P51" s="71" t="s">
        <v>416</v>
      </c>
      <c r="Q51" s="71" t="s">
        <v>416</v>
      </c>
      <c r="R51" s="400"/>
      <c r="S51" s="400"/>
      <c r="U51" s="75"/>
      <c r="V51" s="75"/>
      <c r="W51" s="75"/>
      <c r="X51" s="75"/>
      <c r="AB51" s="13"/>
      <c r="AC51" s="128"/>
      <c r="AD51" s="128"/>
      <c r="AE51" s="241"/>
      <c r="AF51" s="241"/>
      <c r="AG51" s="241"/>
      <c r="AH51" s="241"/>
      <c r="AI51" s="123"/>
      <c r="AJ51" s="106"/>
      <c r="AK51" s="106"/>
      <c r="AL51" s="106"/>
      <c r="AM51" s="106"/>
      <c r="AN51" s="108"/>
      <c r="AO51" s="124"/>
      <c r="AP51" s="116"/>
      <c r="AQ51" s="98"/>
    </row>
    <row r="52" spans="1:43" ht="78.75" x14ac:dyDescent="0.2">
      <c r="A52" s="44" t="s">
        <v>613</v>
      </c>
      <c r="B52" s="157" t="s">
        <v>610</v>
      </c>
      <c r="C52" s="157" t="s">
        <v>611</v>
      </c>
      <c r="D52" s="310" t="s">
        <v>602</v>
      </c>
      <c r="E52" s="310" t="s">
        <v>603</v>
      </c>
      <c r="F52" s="310" t="s">
        <v>604</v>
      </c>
      <c r="G52" s="310" t="s">
        <v>605</v>
      </c>
      <c r="H52" s="299">
        <v>8039</v>
      </c>
      <c r="I52" s="298">
        <v>58.4</v>
      </c>
      <c r="J52" s="298">
        <f>I52*1.1</f>
        <v>64.240000000000009</v>
      </c>
      <c r="K52" s="298">
        <v>58.4</v>
      </c>
      <c r="L52" s="298">
        <f t="shared" si="2"/>
        <v>64.240000000000009</v>
      </c>
      <c r="M52" s="24" t="s">
        <v>125</v>
      </c>
      <c r="N52" s="25" t="s">
        <v>134</v>
      </c>
      <c r="O52" s="71" t="s">
        <v>285</v>
      </c>
      <c r="P52" s="71" t="s">
        <v>416</v>
      </c>
      <c r="Q52" s="71" t="s">
        <v>725</v>
      </c>
      <c r="R52" s="400"/>
      <c r="S52" s="400"/>
      <c r="U52" s="75"/>
      <c r="V52" s="75"/>
      <c r="W52" s="75"/>
      <c r="X52" s="75"/>
      <c r="AB52" s="13"/>
      <c r="AC52" s="128"/>
      <c r="AD52" s="128"/>
      <c r="AE52" s="241"/>
      <c r="AF52" s="241"/>
      <c r="AG52" s="241"/>
      <c r="AH52" s="241"/>
      <c r="AI52" s="123"/>
      <c r="AJ52" s="106"/>
      <c r="AK52" s="106"/>
      <c r="AL52" s="106"/>
      <c r="AM52" s="106"/>
      <c r="AN52" s="156"/>
      <c r="AO52" s="124"/>
      <c r="AP52" s="144"/>
      <c r="AQ52" s="143"/>
    </row>
    <row r="53" spans="1:43" ht="56.25" x14ac:dyDescent="0.2">
      <c r="A53" s="31">
        <v>12</v>
      </c>
      <c r="B53" s="39" t="s">
        <v>471</v>
      </c>
      <c r="C53" s="33" t="s">
        <v>472</v>
      </c>
      <c r="D53" s="34" t="s">
        <v>24</v>
      </c>
      <c r="E53" s="34" t="s">
        <v>25</v>
      </c>
      <c r="F53" s="34"/>
      <c r="G53" s="34"/>
      <c r="H53" s="81">
        <v>8044</v>
      </c>
      <c r="I53" s="59">
        <v>0</v>
      </c>
      <c r="J53" s="59">
        <f t="shared" ref="J53:J54" si="3">I53*1.1</f>
        <v>0</v>
      </c>
      <c r="K53" s="59"/>
      <c r="L53" s="59"/>
      <c r="M53" s="35" t="s">
        <v>125</v>
      </c>
      <c r="N53" s="36" t="s">
        <v>133</v>
      </c>
      <c r="O53" s="54" t="s">
        <v>285</v>
      </c>
      <c r="P53" s="54" t="s">
        <v>414</v>
      </c>
      <c r="Q53" s="54" t="s">
        <v>585</v>
      </c>
      <c r="R53" s="400"/>
      <c r="S53" s="400"/>
      <c r="U53" s="75"/>
      <c r="V53" s="75"/>
      <c r="W53" s="75"/>
      <c r="X53" s="75"/>
      <c r="AB53" s="13"/>
      <c r="AC53" s="128"/>
      <c r="AD53" s="12"/>
      <c r="AE53" s="241"/>
      <c r="AF53" s="241"/>
      <c r="AG53" s="241"/>
      <c r="AH53" s="241"/>
      <c r="AI53" s="123"/>
      <c r="AJ53" s="106"/>
      <c r="AK53" s="106"/>
      <c r="AL53" s="106"/>
      <c r="AM53" s="106"/>
      <c r="AN53" s="108"/>
      <c r="AO53" s="124"/>
      <c r="AP53" s="116"/>
      <c r="AQ53" s="98"/>
    </row>
    <row r="54" spans="1:43" ht="45" x14ac:dyDescent="0.2">
      <c r="A54" s="31" t="s">
        <v>65</v>
      </c>
      <c r="B54" s="39" t="s">
        <v>473</v>
      </c>
      <c r="C54" s="33" t="s">
        <v>764</v>
      </c>
      <c r="D54" s="34" t="s">
        <v>66</v>
      </c>
      <c r="E54" s="34" t="s">
        <v>67</v>
      </c>
      <c r="F54" s="34"/>
      <c r="G54" s="34"/>
      <c r="H54" s="81">
        <v>8045</v>
      </c>
      <c r="I54" s="59">
        <v>0</v>
      </c>
      <c r="J54" s="59">
        <f t="shared" si="3"/>
        <v>0</v>
      </c>
      <c r="K54" s="59"/>
      <c r="L54" s="59"/>
      <c r="M54" s="35" t="s">
        <v>125</v>
      </c>
      <c r="N54" s="36" t="s">
        <v>418</v>
      </c>
      <c r="O54" s="54" t="s">
        <v>285</v>
      </c>
      <c r="P54" s="54" t="s">
        <v>416</v>
      </c>
      <c r="Q54" s="54" t="s">
        <v>416</v>
      </c>
      <c r="R54" s="400"/>
      <c r="S54" s="400"/>
      <c r="U54" s="75"/>
      <c r="V54" s="75"/>
      <c r="W54" s="75"/>
      <c r="X54" s="75"/>
      <c r="AB54" s="13"/>
      <c r="AC54" s="128"/>
      <c r="AD54" s="12"/>
      <c r="AE54" s="241"/>
      <c r="AF54" s="241"/>
      <c r="AG54" s="241"/>
      <c r="AH54" s="241"/>
      <c r="AI54" s="123"/>
      <c r="AJ54" s="106"/>
      <c r="AK54" s="106"/>
      <c r="AL54" s="106"/>
      <c r="AM54" s="106"/>
      <c r="AN54" s="108"/>
      <c r="AO54" s="124"/>
      <c r="AP54" s="116"/>
      <c r="AQ54" s="98"/>
    </row>
    <row r="55" spans="1:43" ht="56.25" x14ac:dyDescent="0.2">
      <c r="A55" s="31">
        <v>13</v>
      </c>
      <c r="B55" s="39" t="s">
        <v>474</v>
      </c>
      <c r="C55" s="33" t="s">
        <v>472</v>
      </c>
      <c r="D55" s="34"/>
      <c r="E55" s="34"/>
      <c r="F55" s="34" t="s">
        <v>26</v>
      </c>
      <c r="G55" s="34" t="s">
        <v>27</v>
      </c>
      <c r="H55" s="81">
        <v>8046</v>
      </c>
      <c r="I55" s="59"/>
      <c r="J55" s="59"/>
      <c r="K55" s="59">
        <v>0</v>
      </c>
      <c r="L55" s="59">
        <f t="shared" ref="L55:L56" si="4">K55*1.1</f>
        <v>0</v>
      </c>
      <c r="M55" s="35" t="s">
        <v>125</v>
      </c>
      <c r="N55" s="36" t="s">
        <v>135</v>
      </c>
      <c r="O55" s="54" t="s">
        <v>285</v>
      </c>
      <c r="P55" s="54" t="s">
        <v>414</v>
      </c>
      <c r="Q55" s="54" t="s">
        <v>585</v>
      </c>
      <c r="R55" s="400"/>
      <c r="S55" s="400"/>
      <c r="U55" s="75"/>
      <c r="V55" s="75"/>
      <c r="W55" s="75"/>
      <c r="X55" s="75"/>
      <c r="AB55" s="13"/>
      <c r="AC55" s="128"/>
      <c r="AD55" s="12"/>
      <c r="AE55" s="241"/>
      <c r="AF55" s="241"/>
      <c r="AG55" s="241"/>
      <c r="AH55" s="241"/>
      <c r="AI55" s="123"/>
      <c r="AJ55" s="106"/>
      <c r="AK55" s="106"/>
      <c r="AL55" s="106"/>
      <c r="AM55" s="106"/>
      <c r="AN55" s="108"/>
      <c r="AO55" s="124"/>
      <c r="AP55" s="116"/>
      <c r="AQ55" s="98"/>
    </row>
    <row r="56" spans="1:43" ht="45" x14ac:dyDescent="0.2">
      <c r="A56" s="31" t="s">
        <v>68</v>
      </c>
      <c r="B56" s="39" t="s">
        <v>475</v>
      </c>
      <c r="C56" s="33" t="s">
        <v>764</v>
      </c>
      <c r="D56" s="34"/>
      <c r="E56" s="34"/>
      <c r="F56" s="34" t="s">
        <v>69</v>
      </c>
      <c r="G56" s="34" t="s">
        <v>70</v>
      </c>
      <c r="H56" s="81">
        <v>8047</v>
      </c>
      <c r="I56" s="59"/>
      <c r="J56" s="59"/>
      <c r="K56" s="59">
        <v>0</v>
      </c>
      <c r="L56" s="59">
        <f t="shared" si="4"/>
        <v>0</v>
      </c>
      <c r="M56" s="35" t="s">
        <v>125</v>
      </c>
      <c r="N56" s="36" t="s">
        <v>418</v>
      </c>
      <c r="O56" s="54" t="s">
        <v>285</v>
      </c>
      <c r="P56" s="54" t="s">
        <v>416</v>
      </c>
      <c r="Q56" s="54" t="s">
        <v>416</v>
      </c>
      <c r="R56" s="400"/>
      <c r="S56" s="400"/>
      <c r="U56" s="75"/>
      <c r="V56" s="75"/>
      <c r="W56" s="75"/>
      <c r="X56" s="75"/>
      <c r="AB56" s="13"/>
      <c r="AC56" s="128"/>
      <c r="AD56" s="12"/>
      <c r="AE56" s="241"/>
      <c r="AF56" s="241"/>
      <c r="AG56" s="241"/>
      <c r="AH56" s="241"/>
      <c r="AI56" s="123"/>
      <c r="AJ56" s="106"/>
      <c r="AK56" s="106"/>
      <c r="AL56" s="106"/>
      <c r="AM56" s="106"/>
      <c r="AN56" s="108"/>
      <c r="AO56" s="124"/>
      <c r="AP56" s="116"/>
      <c r="AQ56" s="98"/>
    </row>
    <row r="57" spans="1:43" ht="56.25" x14ac:dyDescent="0.2">
      <c r="A57" s="31">
        <v>14</v>
      </c>
      <c r="B57" s="39" t="s">
        <v>476</v>
      </c>
      <c r="C57" s="33" t="s">
        <v>477</v>
      </c>
      <c r="D57" s="34" t="s">
        <v>16</v>
      </c>
      <c r="E57" s="34" t="s">
        <v>17</v>
      </c>
      <c r="F57" s="34"/>
      <c r="G57" s="34"/>
      <c r="H57" s="81">
        <v>8048</v>
      </c>
      <c r="I57" s="59">
        <v>0</v>
      </c>
      <c r="J57" s="59">
        <f t="shared" ref="J57:J59" si="5">I57*1.1</f>
        <v>0</v>
      </c>
      <c r="K57" s="59"/>
      <c r="L57" s="59"/>
      <c r="M57" s="35" t="s">
        <v>125</v>
      </c>
      <c r="N57" s="36" t="s">
        <v>133</v>
      </c>
      <c r="O57" s="54" t="s">
        <v>285</v>
      </c>
      <c r="P57" s="54" t="s">
        <v>414</v>
      </c>
      <c r="Q57" s="54" t="s">
        <v>586</v>
      </c>
      <c r="R57" s="400"/>
      <c r="S57" s="400"/>
      <c r="U57" s="75"/>
      <c r="V57" s="75"/>
      <c r="W57" s="75"/>
      <c r="X57" s="75"/>
      <c r="AB57" s="13"/>
      <c r="AC57" s="128"/>
      <c r="AD57" s="12"/>
      <c r="AE57" s="241"/>
      <c r="AF57" s="241"/>
      <c r="AG57" s="241"/>
      <c r="AH57" s="241"/>
      <c r="AI57" s="123"/>
      <c r="AJ57" s="106"/>
      <c r="AK57" s="106"/>
      <c r="AL57" s="106"/>
      <c r="AM57" s="106"/>
      <c r="AN57" s="108"/>
      <c r="AO57" s="124"/>
      <c r="AP57" s="116"/>
      <c r="AQ57" s="98"/>
    </row>
    <row r="58" spans="1:43" ht="33.75" x14ac:dyDescent="0.2">
      <c r="A58" s="40" t="s">
        <v>646</v>
      </c>
      <c r="B58" s="300" t="s">
        <v>631</v>
      </c>
      <c r="C58" s="33" t="s">
        <v>722</v>
      </c>
      <c r="D58" s="53" t="s">
        <v>635</v>
      </c>
      <c r="E58" s="53" t="s">
        <v>636</v>
      </c>
      <c r="F58" s="53"/>
      <c r="G58" s="53"/>
      <c r="H58" s="301">
        <v>2050</v>
      </c>
      <c r="I58" s="297">
        <v>0</v>
      </c>
      <c r="J58" s="297">
        <f t="shared" si="5"/>
        <v>0</v>
      </c>
      <c r="K58" s="297"/>
      <c r="L58" s="297"/>
      <c r="M58" s="52" t="s">
        <v>125</v>
      </c>
      <c r="N58" s="36" t="s">
        <v>765</v>
      </c>
      <c r="O58" s="54" t="s">
        <v>285</v>
      </c>
      <c r="P58" s="54" t="s">
        <v>414</v>
      </c>
      <c r="Q58" s="54" t="s">
        <v>586</v>
      </c>
      <c r="R58" s="400"/>
      <c r="S58" s="400"/>
      <c r="U58" s="75"/>
      <c r="V58" s="75"/>
      <c r="W58" s="75"/>
      <c r="X58" s="75"/>
      <c r="AB58" s="13"/>
      <c r="AC58" s="128"/>
      <c r="AD58" s="12"/>
      <c r="AE58" s="241"/>
      <c r="AF58" s="241"/>
      <c r="AG58" s="241"/>
      <c r="AH58" s="241"/>
      <c r="AI58" s="123"/>
      <c r="AJ58" s="106"/>
      <c r="AK58" s="106"/>
      <c r="AL58" s="106"/>
      <c r="AM58" s="106"/>
      <c r="AN58" s="156"/>
      <c r="AO58" s="124"/>
      <c r="AP58" s="169"/>
      <c r="AQ58" s="168"/>
    </row>
    <row r="59" spans="1:43" ht="45" x14ac:dyDescent="0.2">
      <c r="A59" s="31" t="s">
        <v>71</v>
      </c>
      <c r="B59" s="39" t="s">
        <v>478</v>
      </c>
      <c r="C59" s="33" t="s">
        <v>766</v>
      </c>
      <c r="D59" s="34" t="s">
        <v>72</v>
      </c>
      <c r="E59" s="34" t="s">
        <v>73</v>
      </c>
      <c r="F59" s="34"/>
      <c r="G59" s="34"/>
      <c r="H59" s="81">
        <v>8049</v>
      </c>
      <c r="I59" s="59">
        <v>0</v>
      </c>
      <c r="J59" s="59">
        <f t="shared" si="5"/>
        <v>0</v>
      </c>
      <c r="K59" s="59"/>
      <c r="L59" s="59"/>
      <c r="M59" s="35" t="s">
        <v>125</v>
      </c>
      <c r="N59" s="36" t="s">
        <v>418</v>
      </c>
      <c r="O59" s="54" t="s">
        <v>285</v>
      </c>
      <c r="P59" s="54" t="s">
        <v>416</v>
      </c>
      <c r="Q59" s="54" t="s">
        <v>416</v>
      </c>
      <c r="R59" s="400"/>
      <c r="S59" s="400"/>
      <c r="U59" s="75"/>
      <c r="V59" s="75"/>
      <c r="W59" s="75"/>
      <c r="X59" s="75"/>
      <c r="AB59" s="13"/>
      <c r="AC59" s="128"/>
      <c r="AD59" s="12"/>
      <c r="AE59" s="241"/>
      <c r="AF59" s="241"/>
      <c r="AG59" s="241"/>
      <c r="AH59" s="241"/>
      <c r="AI59" s="123"/>
      <c r="AJ59" s="106"/>
      <c r="AK59" s="106"/>
      <c r="AL59" s="106"/>
      <c r="AM59" s="106"/>
      <c r="AN59" s="108"/>
      <c r="AO59" s="124"/>
      <c r="AP59" s="116"/>
      <c r="AQ59" s="98"/>
    </row>
    <row r="60" spans="1:43" ht="56.25" x14ac:dyDescent="0.2">
      <c r="A60" s="31">
        <v>15</v>
      </c>
      <c r="B60" s="39" t="s">
        <v>479</v>
      </c>
      <c r="C60" s="33" t="s">
        <v>477</v>
      </c>
      <c r="D60" s="34"/>
      <c r="E60" s="34"/>
      <c r="F60" s="34" t="s">
        <v>18</v>
      </c>
      <c r="G60" s="34" t="s">
        <v>19</v>
      </c>
      <c r="H60" s="81">
        <v>8050</v>
      </c>
      <c r="I60" s="59"/>
      <c r="J60" s="59"/>
      <c r="K60" s="59">
        <v>0</v>
      </c>
      <c r="L60" s="59">
        <f t="shared" ref="L60:L62" si="6">K60*1.1</f>
        <v>0</v>
      </c>
      <c r="M60" s="35" t="s">
        <v>125</v>
      </c>
      <c r="N60" s="36" t="s">
        <v>133</v>
      </c>
      <c r="O60" s="54" t="s">
        <v>285</v>
      </c>
      <c r="P60" s="54" t="s">
        <v>414</v>
      </c>
      <c r="Q60" s="54" t="s">
        <v>586</v>
      </c>
      <c r="R60" s="400"/>
      <c r="S60" s="400"/>
      <c r="U60" s="75"/>
      <c r="V60" s="75"/>
      <c r="W60" s="75"/>
      <c r="X60" s="75"/>
      <c r="AB60" s="13"/>
      <c r="AC60" s="128"/>
      <c r="AD60" s="12"/>
      <c r="AE60" s="241"/>
      <c r="AF60" s="241"/>
      <c r="AG60" s="241"/>
      <c r="AH60" s="241"/>
      <c r="AI60" s="123"/>
      <c r="AJ60" s="106"/>
      <c r="AK60" s="106"/>
      <c r="AL60" s="106"/>
      <c r="AM60" s="106"/>
      <c r="AN60" s="108"/>
      <c r="AO60" s="124"/>
      <c r="AP60" s="116"/>
      <c r="AQ60" s="98"/>
    </row>
    <row r="61" spans="1:43" ht="38.25" customHeight="1" x14ac:dyDescent="0.2">
      <c r="A61" s="40" t="s">
        <v>645</v>
      </c>
      <c r="B61" s="300" t="s">
        <v>632</v>
      </c>
      <c r="C61" s="33" t="s">
        <v>722</v>
      </c>
      <c r="D61" s="53"/>
      <c r="E61" s="53"/>
      <c r="F61" s="53" t="s">
        <v>637</v>
      </c>
      <c r="G61" s="53" t="s">
        <v>638</v>
      </c>
      <c r="H61" s="301">
        <v>2051</v>
      </c>
      <c r="I61" s="297"/>
      <c r="J61" s="297"/>
      <c r="K61" s="297">
        <v>0</v>
      </c>
      <c r="L61" s="297">
        <f t="shared" si="6"/>
        <v>0</v>
      </c>
      <c r="M61" s="52" t="s">
        <v>125</v>
      </c>
      <c r="N61" s="36" t="s">
        <v>765</v>
      </c>
      <c r="O61" s="54" t="s">
        <v>285</v>
      </c>
      <c r="P61" s="54" t="s">
        <v>414</v>
      </c>
      <c r="Q61" s="54" t="s">
        <v>586</v>
      </c>
      <c r="R61" s="400"/>
      <c r="S61" s="400"/>
      <c r="U61" s="75"/>
      <c r="V61" s="75"/>
      <c r="W61" s="75"/>
      <c r="X61" s="75"/>
      <c r="AB61" s="13"/>
      <c r="AC61" s="128"/>
      <c r="AD61" s="12"/>
      <c r="AE61" s="241"/>
      <c r="AF61" s="241"/>
      <c r="AG61" s="241"/>
      <c r="AH61" s="241"/>
      <c r="AI61" s="123"/>
      <c r="AJ61" s="106"/>
      <c r="AK61" s="106"/>
      <c r="AL61" s="106"/>
      <c r="AM61" s="106"/>
      <c r="AN61" s="156"/>
      <c r="AO61" s="124"/>
      <c r="AP61" s="169"/>
      <c r="AQ61" s="168"/>
    </row>
    <row r="62" spans="1:43" ht="45" x14ac:dyDescent="0.2">
      <c r="A62" s="31" t="s">
        <v>74</v>
      </c>
      <c r="B62" s="39" t="s">
        <v>480</v>
      </c>
      <c r="C62" s="33" t="s">
        <v>767</v>
      </c>
      <c r="D62" s="34"/>
      <c r="E62" s="34"/>
      <c r="F62" s="34" t="s">
        <v>75</v>
      </c>
      <c r="G62" s="34" t="s">
        <v>76</v>
      </c>
      <c r="H62" s="81">
        <v>8051</v>
      </c>
      <c r="I62" s="59"/>
      <c r="J62" s="59"/>
      <c r="K62" s="59">
        <v>0</v>
      </c>
      <c r="L62" s="59">
        <f t="shared" si="6"/>
        <v>0</v>
      </c>
      <c r="M62" s="35" t="s">
        <v>125</v>
      </c>
      <c r="N62" s="36" t="s">
        <v>418</v>
      </c>
      <c r="O62" s="54" t="s">
        <v>285</v>
      </c>
      <c r="P62" s="54" t="s">
        <v>416</v>
      </c>
      <c r="Q62" s="54" t="s">
        <v>416</v>
      </c>
      <c r="R62" s="400"/>
      <c r="S62" s="400"/>
      <c r="U62" s="75"/>
      <c r="V62" s="75"/>
      <c r="W62" s="75"/>
      <c r="X62" s="75"/>
      <c r="AB62" s="13"/>
      <c r="AC62" s="128"/>
      <c r="AD62" s="12"/>
      <c r="AE62" s="241"/>
      <c r="AF62" s="241"/>
      <c r="AG62" s="241"/>
      <c r="AH62" s="241"/>
      <c r="AI62" s="123"/>
      <c r="AJ62" s="106"/>
      <c r="AK62" s="106"/>
      <c r="AL62" s="106"/>
      <c r="AM62" s="106"/>
      <c r="AN62" s="108"/>
      <c r="AO62" s="124"/>
      <c r="AP62" s="116"/>
      <c r="AQ62" s="98"/>
    </row>
    <row r="63" spans="1:43" ht="33.75" x14ac:dyDescent="0.2">
      <c r="A63" s="40">
        <v>16</v>
      </c>
      <c r="B63" s="39" t="s">
        <v>481</v>
      </c>
      <c r="C63" s="33" t="s">
        <v>803</v>
      </c>
      <c r="D63" s="37" t="s">
        <v>20</v>
      </c>
      <c r="E63" s="37" t="s">
        <v>21</v>
      </c>
      <c r="F63" s="34"/>
      <c r="G63" s="34"/>
      <c r="H63" s="81">
        <v>8052</v>
      </c>
      <c r="I63" s="59">
        <v>45.5</v>
      </c>
      <c r="J63" s="59">
        <f t="shared" ref="J63:J65" si="7">I63*1.1</f>
        <v>50.050000000000004</v>
      </c>
      <c r="K63" s="59"/>
      <c r="L63" s="59"/>
      <c r="M63" s="35" t="s">
        <v>125</v>
      </c>
      <c r="N63" s="36" t="s">
        <v>133</v>
      </c>
      <c r="O63" s="54" t="s">
        <v>285</v>
      </c>
      <c r="P63" s="54" t="s">
        <v>414</v>
      </c>
      <c r="Q63" s="54" t="s">
        <v>804</v>
      </c>
      <c r="R63" s="400"/>
      <c r="S63" s="400"/>
      <c r="U63" s="75"/>
      <c r="V63" s="75"/>
      <c r="W63" s="75"/>
      <c r="X63" s="75"/>
      <c r="AB63" s="13"/>
      <c r="AC63" s="128"/>
      <c r="AD63" s="12"/>
      <c r="AE63" s="129"/>
      <c r="AF63" s="129"/>
      <c r="AG63" s="241"/>
      <c r="AH63" s="241"/>
      <c r="AI63" s="123"/>
      <c r="AJ63" s="106"/>
      <c r="AK63" s="106"/>
      <c r="AL63" s="106"/>
      <c r="AM63" s="106"/>
      <c r="AN63" s="108"/>
      <c r="AO63" s="124"/>
      <c r="AP63" s="116"/>
      <c r="AQ63" s="98"/>
    </row>
    <row r="64" spans="1:43" ht="49.5" customHeight="1" x14ac:dyDescent="0.2">
      <c r="A64" s="40" t="s">
        <v>644</v>
      </c>
      <c r="B64" s="300" t="s">
        <v>633</v>
      </c>
      <c r="C64" s="33" t="s">
        <v>802</v>
      </c>
      <c r="D64" s="302" t="s">
        <v>639</v>
      </c>
      <c r="E64" s="302" t="s">
        <v>640</v>
      </c>
      <c r="F64" s="53"/>
      <c r="G64" s="53"/>
      <c r="H64" s="301">
        <v>2052</v>
      </c>
      <c r="I64" s="297">
        <v>45.5</v>
      </c>
      <c r="J64" s="297">
        <f t="shared" si="7"/>
        <v>50.050000000000004</v>
      </c>
      <c r="K64" s="297"/>
      <c r="L64" s="297"/>
      <c r="M64" s="52" t="s">
        <v>125</v>
      </c>
      <c r="N64" s="36" t="s">
        <v>765</v>
      </c>
      <c r="O64" s="54" t="s">
        <v>285</v>
      </c>
      <c r="P64" s="54" t="s">
        <v>414</v>
      </c>
      <c r="Q64" s="54" t="s">
        <v>804</v>
      </c>
      <c r="R64" s="400"/>
      <c r="S64" s="400"/>
      <c r="U64" s="75"/>
      <c r="V64" s="75"/>
      <c r="W64" s="75"/>
      <c r="X64" s="75"/>
      <c r="AB64" s="13"/>
      <c r="AC64" s="128"/>
      <c r="AD64" s="12"/>
      <c r="AE64" s="129"/>
      <c r="AF64" s="129"/>
      <c r="AG64" s="241"/>
      <c r="AH64" s="241"/>
      <c r="AI64" s="123"/>
      <c r="AJ64" s="106"/>
      <c r="AK64" s="106"/>
      <c r="AL64" s="106"/>
      <c r="AM64" s="106"/>
      <c r="AN64" s="156"/>
      <c r="AO64" s="124"/>
      <c r="AP64" s="169"/>
      <c r="AQ64" s="168"/>
    </row>
    <row r="65" spans="1:43" ht="33.75" x14ac:dyDescent="0.2">
      <c r="A65" s="8" t="s">
        <v>77</v>
      </c>
      <c r="B65" s="10" t="s">
        <v>482</v>
      </c>
      <c r="C65" s="14" t="s">
        <v>813</v>
      </c>
      <c r="D65" s="259" t="s">
        <v>78</v>
      </c>
      <c r="E65" s="259" t="s">
        <v>79</v>
      </c>
      <c r="F65" s="18"/>
      <c r="G65" s="18"/>
      <c r="H65" s="80">
        <v>8053</v>
      </c>
      <c r="I65" s="58">
        <v>38.9</v>
      </c>
      <c r="J65" s="58">
        <f t="shared" si="7"/>
        <v>42.79</v>
      </c>
      <c r="K65" s="60"/>
      <c r="L65" s="60"/>
      <c r="M65" s="7" t="s">
        <v>125</v>
      </c>
      <c r="N65" s="66" t="s">
        <v>109</v>
      </c>
      <c r="O65" s="70" t="s">
        <v>285</v>
      </c>
      <c r="P65" s="70" t="s">
        <v>416</v>
      </c>
      <c r="Q65" s="70" t="s">
        <v>416</v>
      </c>
      <c r="R65" s="400"/>
      <c r="S65" s="400"/>
      <c r="U65" s="75"/>
      <c r="V65" s="75"/>
      <c r="W65" s="75"/>
      <c r="X65" s="75"/>
      <c r="AB65" s="13"/>
      <c r="AC65" s="128"/>
      <c r="AD65" s="128"/>
      <c r="AE65" s="241"/>
      <c r="AF65" s="241"/>
      <c r="AG65" s="241"/>
      <c r="AH65" s="241"/>
      <c r="AI65" s="123"/>
      <c r="AJ65" s="106"/>
      <c r="AK65" s="106"/>
      <c r="AL65" s="106"/>
      <c r="AM65" s="106"/>
      <c r="AN65" s="108"/>
      <c r="AO65" s="124"/>
      <c r="AP65" s="116"/>
      <c r="AQ65" s="98"/>
    </row>
    <row r="66" spans="1:43" ht="33.75" x14ac:dyDescent="0.2">
      <c r="A66" s="31">
        <v>17</v>
      </c>
      <c r="B66" s="39" t="s">
        <v>483</v>
      </c>
      <c r="C66" s="33" t="s">
        <v>803</v>
      </c>
      <c r="D66" s="34"/>
      <c r="E66" s="34"/>
      <c r="F66" s="34" t="s">
        <v>22</v>
      </c>
      <c r="G66" s="34" t="s">
        <v>23</v>
      </c>
      <c r="H66" s="81">
        <v>8054</v>
      </c>
      <c r="I66" s="59"/>
      <c r="J66" s="59"/>
      <c r="K66" s="59">
        <v>45.5</v>
      </c>
      <c r="L66" s="59">
        <f t="shared" ref="L66:L68" si="8">K66*1.1</f>
        <v>50.050000000000004</v>
      </c>
      <c r="M66" s="35" t="s">
        <v>125</v>
      </c>
      <c r="N66" s="36" t="s">
        <v>133</v>
      </c>
      <c r="O66" s="54" t="s">
        <v>285</v>
      </c>
      <c r="P66" s="54" t="s">
        <v>414</v>
      </c>
      <c r="Q66" s="54" t="s">
        <v>804</v>
      </c>
      <c r="R66" s="400"/>
      <c r="S66" s="400"/>
      <c r="U66" s="75"/>
      <c r="V66" s="75"/>
      <c r="W66" s="75"/>
      <c r="X66" s="75"/>
      <c r="AB66" s="13"/>
      <c r="AC66" s="128"/>
      <c r="AD66" s="12"/>
      <c r="AE66" s="241"/>
      <c r="AF66" s="241"/>
      <c r="AG66" s="241"/>
      <c r="AH66" s="241"/>
      <c r="AI66" s="123"/>
      <c r="AJ66" s="106"/>
      <c r="AK66" s="106"/>
      <c r="AL66" s="106"/>
      <c r="AM66" s="106"/>
      <c r="AN66" s="108"/>
      <c r="AO66" s="124"/>
      <c r="AP66" s="116"/>
      <c r="AQ66" s="98"/>
    </row>
    <row r="67" spans="1:43" ht="51.75" customHeight="1" x14ac:dyDescent="0.2">
      <c r="A67" s="40" t="s">
        <v>643</v>
      </c>
      <c r="B67" s="300" t="s">
        <v>634</v>
      </c>
      <c r="C67" s="33" t="s">
        <v>802</v>
      </c>
      <c r="D67" s="53"/>
      <c r="E67" s="53"/>
      <c r="F67" s="53" t="s">
        <v>641</v>
      </c>
      <c r="G67" s="53" t="s">
        <v>642</v>
      </c>
      <c r="H67" s="301">
        <v>2053</v>
      </c>
      <c r="I67" s="297"/>
      <c r="J67" s="297"/>
      <c r="K67" s="297">
        <v>45.5</v>
      </c>
      <c r="L67" s="297">
        <f t="shared" si="8"/>
        <v>50.050000000000004</v>
      </c>
      <c r="M67" s="52" t="s">
        <v>125</v>
      </c>
      <c r="N67" s="36" t="s">
        <v>648</v>
      </c>
      <c r="O67" s="54" t="s">
        <v>285</v>
      </c>
      <c r="P67" s="54" t="s">
        <v>414</v>
      </c>
      <c r="Q67" s="54" t="s">
        <v>804</v>
      </c>
      <c r="R67" s="400"/>
      <c r="S67" s="400"/>
      <c r="U67" s="75"/>
      <c r="V67" s="75"/>
      <c r="W67" s="75"/>
      <c r="X67" s="75"/>
      <c r="AB67" s="13"/>
      <c r="AC67" s="128"/>
      <c r="AD67" s="12"/>
      <c r="AE67" s="129"/>
      <c r="AF67" s="129"/>
      <c r="AG67" s="241"/>
      <c r="AH67" s="241"/>
      <c r="AI67" s="123"/>
      <c r="AJ67" s="106"/>
      <c r="AK67" s="106"/>
      <c r="AL67" s="106"/>
      <c r="AM67" s="106"/>
      <c r="AN67" s="156"/>
      <c r="AO67" s="124"/>
      <c r="AP67" s="176"/>
      <c r="AQ67" s="175"/>
    </row>
    <row r="68" spans="1:43" ht="45" x14ac:dyDescent="0.2">
      <c r="A68" s="31" t="s">
        <v>80</v>
      </c>
      <c r="B68" s="39" t="s">
        <v>484</v>
      </c>
      <c r="C68" s="33" t="s">
        <v>768</v>
      </c>
      <c r="D68" s="34"/>
      <c r="E68" s="34"/>
      <c r="F68" s="34" t="s">
        <v>81</v>
      </c>
      <c r="G68" s="34" t="s">
        <v>82</v>
      </c>
      <c r="H68" s="81">
        <v>8055</v>
      </c>
      <c r="I68" s="59"/>
      <c r="J68" s="59"/>
      <c r="K68" s="59">
        <v>45.5</v>
      </c>
      <c r="L68" s="59">
        <f t="shared" si="8"/>
        <v>50.050000000000004</v>
      </c>
      <c r="M68" s="35" t="s">
        <v>125</v>
      </c>
      <c r="N68" s="36" t="s">
        <v>418</v>
      </c>
      <c r="O68" s="54" t="s">
        <v>285</v>
      </c>
      <c r="P68" s="54" t="s">
        <v>416</v>
      </c>
      <c r="Q68" s="54" t="s">
        <v>416</v>
      </c>
      <c r="R68" s="400"/>
      <c r="S68" s="400"/>
      <c r="U68" s="75"/>
      <c r="V68" s="75"/>
      <c r="W68" s="75"/>
      <c r="X68" s="75"/>
      <c r="AB68" s="13"/>
      <c r="AC68" s="128"/>
      <c r="AD68" s="12"/>
      <c r="AE68" s="241"/>
      <c r="AF68" s="241"/>
      <c r="AG68" s="241"/>
      <c r="AH68" s="241"/>
      <c r="AI68" s="123"/>
      <c r="AJ68" s="106"/>
      <c r="AK68" s="106"/>
      <c r="AL68" s="106"/>
      <c r="AM68" s="106"/>
      <c r="AN68" s="108"/>
      <c r="AO68" s="124"/>
      <c r="AP68" s="116"/>
      <c r="AQ68" s="98"/>
    </row>
    <row r="69" spans="1:43" ht="36" customHeight="1" x14ac:dyDescent="0.2">
      <c r="A69" s="4">
        <v>56</v>
      </c>
      <c r="B69" s="9" t="s">
        <v>519</v>
      </c>
      <c r="C69" s="261" t="s">
        <v>769</v>
      </c>
      <c r="D69" s="16" t="s">
        <v>90</v>
      </c>
      <c r="E69" s="16" t="s">
        <v>91</v>
      </c>
      <c r="F69" s="16" t="s">
        <v>92</v>
      </c>
      <c r="G69" s="16" t="s">
        <v>93</v>
      </c>
      <c r="H69" s="80">
        <v>8056</v>
      </c>
      <c r="I69" s="480" t="s">
        <v>29</v>
      </c>
      <c r="J69" s="480"/>
      <c r="K69" s="480" t="s">
        <v>29</v>
      </c>
      <c r="L69" s="480"/>
      <c r="M69" s="7" t="s">
        <v>126</v>
      </c>
      <c r="N69" s="66" t="s">
        <v>110</v>
      </c>
      <c r="O69" s="70" t="s">
        <v>285</v>
      </c>
      <c r="P69" s="70" t="s">
        <v>415</v>
      </c>
      <c r="Q69" s="70" t="s">
        <v>726</v>
      </c>
      <c r="R69" s="401"/>
      <c r="S69" s="401"/>
      <c r="U69" s="75"/>
      <c r="V69" s="75"/>
      <c r="W69" s="75"/>
      <c r="X69" s="75"/>
      <c r="AB69" s="13"/>
      <c r="AC69" s="12"/>
      <c r="AD69" s="12"/>
      <c r="AE69" s="243"/>
      <c r="AF69" s="243"/>
      <c r="AG69" s="243"/>
      <c r="AH69" s="243"/>
      <c r="AI69" s="123"/>
      <c r="AJ69" s="500"/>
      <c r="AK69" s="500"/>
      <c r="AL69" s="500"/>
      <c r="AM69" s="500"/>
      <c r="AN69" s="108"/>
      <c r="AO69" s="124"/>
      <c r="AP69" s="116"/>
      <c r="AQ69" s="98"/>
    </row>
    <row r="70" spans="1:43" ht="33.75" x14ac:dyDescent="0.2">
      <c r="A70" s="4">
        <v>57</v>
      </c>
      <c r="B70" s="9" t="s">
        <v>520</v>
      </c>
      <c r="C70" s="261" t="s">
        <v>770</v>
      </c>
      <c r="D70" s="482" t="s">
        <v>28</v>
      </c>
      <c r="E70" s="482"/>
      <c r="F70" s="482"/>
      <c r="G70" s="482"/>
      <c r="H70" s="80">
        <v>8057</v>
      </c>
      <c r="I70" s="480" t="s">
        <v>29</v>
      </c>
      <c r="J70" s="480"/>
      <c r="K70" s="480" t="s">
        <v>29</v>
      </c>
      <c r="L70" s="480"/>
      <c r="M70" s="7" t="s">
        <v>126</v>
      </c>
      <c r="N70" s="66" t="s">
        <v>110</v>
      </c>
      <c r="O70" s="311" t="s">
        <v>285</v>
      </c>
      <c r="P70" s="70" t="s">
        <v>415</v>
      </c>
      <c r="Q70" s="311" t="s">
        <v>726</v>
      </c>
      <c r="R70" s="401"/>
      <c r="S70" s="401"/>
      <c r="U70" s="75"/>
      <c r="V70" s="75"/>
      <c r="W70" s="75"/>
      <c r="X70" s="75"/>
      <c r="AB70" s="13"/>
      <c r="AC70" s="12"/>
      <c r="AD70" s="12"/>
      <c r="AE70" s="247"/>
      <c r="AF70" s="247"/>
      <c r="AG70" s="247"/>
      <c r="AH70" s="247"/>
      <c r="AI70" s="123"/>
      <c r="AJ70" s="500"/>
      <c r="AK70" s="500"/>
      <c r="AL70" s="500"/>
      <c r="AM70" s="500"/>
      <c r="AN70" s="108"/>
      <c r="AO70" s="124"/>
      <c r="AP70" s="116"/>
      <c r="AQ70" s="98"/>
    </row>
    <row r="71" spans="1:43" ht="22.5" x14ac:dyDescent="0.2">
      <c r="A71" s="4">
        <v>58</v>
      </c>
      <c r="B71" s="9" t="s">
        <v>521</v>
      </c>
      <c r="C71" s="9" t="s">
        <v>522</v>
      </c>
      <c r="D71" s="482" t="s">
        <v>28</v>
      </c>
      <c r="E71" s="482"/>
      <c r="F71" s="482"/>
      <c r="G71" s="482"/>
      <c r="H71" s="80">
        <v>8058</v>
      </c>
      <c r="I71" s="480" t="s">
        <v>29</v>
      </c>
      <c r="J71" s="480"/>
      <c r="K71" s="480" t="s">
        <v>29</v>
      </c>
      <c r="L71" s="480"/>
      <c r="M71" s="7" t="s">
        <v>126</v>
      </c>
      <c r="N71" s="66" t="s">
        <v>110</v>
      </c>
      <c r="O71" s="70" t="s">
        <v>284</v>
      </c>
      <c r="P71" s="70" t="s">
        <v>414</v>
      </c>
      <c r="Q71" s="70" t="s">
        <v>416</v>
      </c>
      <c r="R71" s="401"/>
      <c r="S71" s="401"/>
      <c r="U71" s="75"/>
      <c r="V71" s="75"/>
      <c r="W71" s="75"/>
      <c r="X71" s="75"/>
      <c r="AB71" s="13"/>
      <c r="AC71" s="12"/>
      <c r="AD71" s="12"/>
      <c r="AE71" s="247"/>
      <c r="AF71" s="247"/>
      <c r="AG71" s="247"/>
      <c r="AH71" s="247"/>
      <c r="AI71" s="123"/>
      <c r="AJ71" s="500"/>
      <c r="AK71" s="500"/>
      <c r="AL71" s="500"/>
      <c r="AM71" s="500"/>
      <c r="AN71" s="108"/>
      <c r="AO71" s="124"/>
      <c r="AP71" s="116"/>
      <c r="AQ71" s="98"/>
    </row>
    <row r="72" spans="1:43" ht="45.75" customHeight="1" x14ac:dyDescent="0.2">
      <c r="A72" s="4">
        <v>59</v>
      </c>
      <c r="B72" s="9" t="s">
        <v>523</v>
      </c>
      <c r="C72" s="9" t="s">
        <v>524</v>
      </c>
      <c r="D72" s="260" t="s">
        <v>94</v>
      </c>
      <c r="E72" s="260" t="s">
        <v>95</v>
      </c>
      <c r="F72" s="260" t="s">
        <v>96</v>
      </c>
      <c r="G72" s="260" t="s">
        <v>97</v>
      </c>
      <c r="H72" s="79">
        <v>8059</v>
      </c>
      <c r="I72" s="480" t="s">
        <v>29</v>
      </c>
      <c r="J72" s="480"/>
      <c r="K72" s="480" t="s">
        <v>29</v>
      </c>
      <c r="L72" s="480"/>
      <c r="M72" s="7" t="s">
        <v>126</v>
      </c>
      <c r="N72" s="66" t="s">
        <v>110</v>
      </c>
      <c r="O72" s="70" t="s">
        <v>285</v>
      </c>
      <c r="P72" s="70" t="s">
        <v>414</v>
      </c>
      <c r="Q72" s="311" t="s">
        <v>805</v>
      </c>
      <c r="R72" s="401"/>
      <c r="S72" s="401"/>
      <c r="U72" s="75"/>
      <c r="V72" s="75"/>
      <c r="W72" s="75"/>
      <c r="X72" s="75"/>
      <c r="AB72" s="13"/>
      <c r="AC72" s="12"/>
      <c r="AD72" s="12"/>
      <c r="AE72" s="241"/>
      <c r="AF72" s="241"/>
      <c r="AG72" s="241"/>
      <c r="AH72" s="241"/>
      <c r="AI72" s="123"/>
      <c r="AJ72" s="500"/>
      <c r="AK72" s="500"/>
      <c r="AL72" s="500"/>
      <c r="AM72" s="500"/>
      <c r="AN72" s="108"/>
      <c r="AO72" s="124"/>
      <c r="AP72" s="116"/>
      <c r="AQ72" s="98"/>
    </row>
    <row r="73" spans="1:43" ht="45" customHeight="1" x14ac:dyDescent="0.2">
      <c r="A73" s="4">
        <v>60</v>
      </c>
      <c r="B73" s="9" t="s">
        <v>525</v>
      </c>
      <c r="C73" s="9" t="s">
        <v>526</v>
      </c>
      <c r="D73" s="260" t="s">
        <v>98</v>
      </c>
      <c r="E73" s="260" t="s">
        <v>99</v>
      </c>
      <c r="F73" s="260" t="s">
        <v>100</v>
      </c>
      <c r="G73" s="260" t="s">
        <v>136</v>
      </c>
      <c r="H73" s="79">
        <v>8060</v>
      </c>
      <c r="I73" s="480" t="s">
        <v>29</v>
      </c>
      <c r="J73" s="480"/>
      <c r="K73" s="480" t="s">
        <v>29</v>
      </c>
      <c r="L73" s="480"/>
      <c r="M73" s="7" t="s">
        <v>126</v>
      </c>
      <c r="N73" s="66" t="s">
        <v>110</v>
      </c>
      <c r="O73" s="70" t="s">
        <v>285</v>
      </c>
      <c r="P73" s="70" t="s">
        <v>414</v>
      </c>
      <c r="Q73" s="311" t="s">
        <v>805</v>
      </c>
      <c r="R73" s="401"/>
      <c r="S73" s="401"/>
      <c r="U73" s="75"/>
      <c r="V73" s="75"/>
      <c r="W73" s="75"/>
      <c r="X73" s="75"/>
      <c r="AB73" s="13"/>
      <c r="AC73" s="12"/>
      <c r="AD73" s="12"/>
      <c r="AE73" s="241"/>
      <c r="AF73" s="241"/>
      <c r="AG73" s="241"/>
      <c r="AH73" s="241"/>
      <c r="AI73" s="123"/>
      <c r="AJ73" s="500"/>
      <c r="AK73" s="500"/>
      <c r="AL73" s="500"/>
      <c r="AM73" s="500"/>
      <c r="AN73" s="108"/>
      <c r="AO73" s="124"/>
      <c r="AP73" s="116"/>
      <c r="AQ73" s="98"/>
    </row>
    <row r="74" spans="1:43" ht="29.25" customHeight="1" x14ac:dyDescent="0.2">
      <c r="A74" s="4">
        <v>61</v>
      </c>
      <c r="B74" s="9" t="s">
        <v>527</v>
      </c>
      <c r="C74" s="9" t="s">
        <v>528</v>
      </c>
      <c r="D74" s="260" t="s">
        <v>101</v>
      </c>
      <c r="E74" s="260" t="s">
        <v>102</v>
      </c>
      <c r="F74" s="260" t="s">
        <v>103</v>
      </c>
      <c r="G74" s="260" t="s">
        <v>104</v>
      </c>
      <c r="H74" s="79">
        <v>8061</v>
      </c>
      <c r="I74" s="480" t="s">
        <v>29</v>
      </c>
      <c r="J74" s="480"/>
      <c r="K74" s="480" t="s">
        <v>29</v>
      </c>
      <c r="L74" s="480"/>
      <c r="M74" s="7" t="s">
        <v>126</v>
      </c>
      <c r="N74" s="66" t="s">
        <v>110</v>
      </c>
      <c r="O74" s="70" t="s">
        <v>285</v>
      </c>
      <c r="P74" s="70" t="s">
        <v>414</v>
      </c>
      <c r="Q74" s="311" t="s">
        <v>805</v>
      </c>
      <c r="R74" s="401"/>
      <c r="S74" s="401"/>
      <c r="U74" s="75"/>
      <c r="V74" s="75"/>
      <c r="W74" s="75"/>
      <c r="X74" s="75"/>
      <c r="AB74" s="13"/>
      <c r="AC74" s="12"/>
      <c r="AD74" s="12"/>
      <c r="AE74" s="241"/>
      <c r="AF74" s="241"/>
      <c r="AG74" s="241"/>
      <c r="AH74" s="241"/>
      <c r="AI74" s="123"/>
      <c r="AJ74" s="500"/>
      <c r="AK74" s="500"/>
      <c r="AL74" s="500"/>
      <c r="AM74" s="500"/>
      <c r="AN74" s="108"/>
      <c r="AO74" s="124"/>
      <c r="AP74" s="116"/>
      <c r="AQ74" s="98"/>
    </row>
    <row r="75" spans="1:43" ht="33.75" x14ac:dyDescent="0.2">
      <c r="A75" s="4">
        <v>62</v>
      </c>
      <c r="B75" s="9" t="s">
        <v>529</v>
      </c>
      <c r="C75" s="159" t="s">
        <v>771</v>
      </c>
      <c r="D75" s="260" t="s">
        <v>105</v>
      </c>
      <c r="E75" s="260" t="s">
        <v>106</v>
      </c>
      <c r="F75" s="260" t="s">
        <v>107</v>
      </c>
      <c r="G75" s="260" t="s">
        <v>108</v>
      </c>
      <c r="H75" s="79">
        <v>8062</v>
      </c>
      <c r="I75" s="480" t="s">
        <v>29</v>
      </c>
      <c r="J75" s="480"/>
      <c r="K75" s="480" t="s">
        <v>29</v>
      </c>
      <c r="L75" s="480"/>
      <c r="M75" s="7" t="s">
        <v>126</v>
      </c>
      <c r="N75" s="66" t="s">
        <v>110</v>
      </c>
      <c r="O75" s="70" t="s">
        <v>285</v>
      </c>
      <c r="P75" s="70" t="s">
        <v>415</v>
      </c>
      <c r="Q75" s="70" t="s">
        <v>726</v>
      </c>
      <c r="R75" s="401"/>
      <c r="S75" s="401"/>
      <c r="U75" s="75"/>
      <c r="V75" s="75"/>
      <c r="W75" s="75"/>
      <c r="X75" s="75"/>
      <c r="AB75" s="13"/>
      <c r="AC75" s="12"/>
      <c r="AD75" s="12"/>
      <c r="AE75" s="241"/>
      <c r="AF75" s="241"/>
      <c r="AG75" s="241"/>
      <c r="AH75" s="241"/>
      <c r="AI75" s="123"/>
      <c r="AJ75" s="500"/>
      <c r="AK75" s="500"/>
      <c r="AL75" s="500"/>
      <c r="AM75" s="500"/>
      <c r="AN75" s="108"/>
      <c r="AO75" s="124"/>
      <c r="AP75" s="116"/>
      <c r="AQ75" s="98"/>
    </row>
    <row r="76" spans="1:43" ht="33.75" x14ac:dyDescent="0.2">
      <c r="A76" s="4">
        <v>63</v>
      </c>
      <c r="B76" s="9" t="s">
        <v>530</v>
      </c>
      <c r="C76" s="159" t="s">
        <v>772</v>
      </c>
      <c r="D76" s="482" t="s">
        <v>28</v>
      </c>
      <c r="E76" s="482"/>
      <c r="F76" s="482"/>
      <c r="G76" s="482"/>
      <c r="H76" s="80">
        <v>8063</v>
      </c>
      <c r="I76" s="480" t="s">
        <v>29</v>
      </c>
      <c r="J76" s="480"/>
      <c r="K76" s="480" t="s">
        <v>29</v>
      </c>
      <c r="L76" s="480"/>
      <c r="M76" s="7" t="s">
        <v>126</v>
      </c>
      <c r="N76" s="66" t="s">
        <v>110</v>
      </c>
      <c r="O76" s="70" t="s">
        <v>284</v>
      </c>
      <c r="P76" s="70" t="s">
        <v>414</v>
      </c>
      <c r="Q76" s="70" t="s">
        <v>416</v>
      </c>
      <c r="R76" s="401"/>
      <c r="S76" s="401"/>
      <c r="U76" s="75"/>
      <c r="V76" s="75"/>
      <c r="W76" s="75"/>
      <c r="X76" s="75"/>
      <c r="AB76" s="13"/>
      <c r="AC76" s="12"/>
      <c r="AD76" s="12"/>
      <c r="AE76" s="247"/>
      <c r="AF76" s="247"/>
      <c r="AG76" s="247"/>
      <c r="AH76" s="247"/>
      <c r="AI76" s="123"/>
      <c r="AJ76" s="500"/>
      <c r="AK76" s="500"/>
      <c r="AL76" s="500"/>
      <c r="AM76" s="500"/>
      <c r="AN76" s="108"/>
      <c r="AO76" s="124"/>
      <c r="AP76" s="116"/>
      <c r="AQ76" s="98"/>
    </row>
    <row r="77" spans="1:43" ht="33.75" x14ac:dyDescent="0.2">
      <c r="A77" s="4">
        <v>64</v>
      </c>
      <c r="B77" s="9" t="s">
        <v>531</v>
      </c>
      <c r="C77" s="159" t="s">
        <v>773</v>
      </c>
      <c r="D77" s="482" t="s">
        <v>28</v>
      </c>
      <c r="E77" s="482"/>
      <c r="F77" s="482"/>
      <c r="G77" s="482"/>
      <c r="H77" s="80">
        <v>8064</v>
      </c>
      <c r="I77" s="480" t="s">
        <v>29</v>
      </c>
      <c r="J77" s="480"/>
      <c r="K77" s="480" t="s">
        <v>29</v>
      </c>
      <c r="L77" s="480"/>
      <c r="M77" s="7" t="s">
        <v>126</v>
      </c>
      <c r="N77" s="66" t="s">
        <v>110</v>
      </c>
      <c r="O77" s="70" t="s">
        <v>284</v>
      </c>
      <c r="P77" s="70" t="s">
        <v>415</v>
      </c>
      <c r="Q77" s="311" t="s">
        <v>726</v>
      </c>
      <c r="R77" s="401"/>
      <c r="S77" s="401"/>
      <c r="U77" s="75"/>
      <c r="V77" s="75"/>
      <c r="W77" s="75"/>
      <c r="X77" s="75"/>
      <c r="AB77" s="13"/>
      <c r="AC77" s="12"/>
      <c r="AD77" s="12"/>
      <c r="AE77" s="247"/>
      <c r="AF77" s="247"/>
      <c r="AG77" s="247"/>
      <c r="AH77" s="247"/>
      <c r="AI77" s="123"/>
      <c r="AJ77" s="500"/>
      <c r="AK77" s="500"/>
      <c r="AL77" s="500"/>
      <c r="AM77" s="500"/>
      <c r="AN77" s="108"/>
      <c r="AO77" s="124"/>
      <c r="AP77" s="116"/>
      <c r="AQ77" s="98"/>
    </row>
    <row r="78" spans="1:43" ht="33.75" x14ac:dyDescent="0.2">
      <c r="A78" s="4">
        <v>65</v>
      </c>
      <c r="B78" s="9" t="s">
        <v>532</v>
      </c>
      <c r="C78" s="261" t="s">
        <v>774</v>
      </c>
      <c r="D78" s="482" t="s">
        <v>28</v>
      </c>
      <c r="E78" s="482"/>
      <c r="F78" s="482"/>
      <c r="G78" s="482"/>
      <c r="H78" s="80">
        <v>8065</v>
      </c>
      <c r="I78" s="480" t="s">
        <v>29</v>
      </c>
      <c r="J78" s="480"/>
      <c r="K78" s="480" t="s">
        <v>29</v>
      </c>
      <c r="L78" s="480"/>
      <c r="M78" s="7" t="s">
        <v>126</v>
      </c>
      <c r="N78" s="66" t="s">
        <v>110</v>
      </c>
      <c r="O78" s="70" t="s">
        <v>284</v>
      </c>
      <c r="P78" s="70" t="s">
        <v>414</v>
      </c>
      <c r="Q78" s="70" t="s">
        <v>416</v>
      </c>
      <c r="R78" s="401"/>
      <c r="S78" s="401"/>
      <c r="U78" s="75"/>
      <c r="V78" s="75"/>
      <c r="W78" s="75"/>
      <c r="X78" s="75"/>
      <c r="AB78" s="13"/>
      <c r="AC78" s="12"/>
      <c r="AD78" s="12"/>
      <c r="AE78" s="247"/>
      <c r="AF78" s="247"/>
      <c r="AG78" s="247"/>
      <c r="AH78" s="247"/>
      <c r="AI78" s="123"/>
      <c r="AJ78" s="500"/>
      <c r="AK78" s="500"/>
      <c r="AL78" s="500"/>
      <c r="AM78" s="500"/>
      <c r="AN78" s="108"/>
      <c r="AO78" s="124"/>
      <c r="AP78" s="116"/>
      <c r="AQ78" s="98"/>
    </row>
    <row r="79" spans="1:43" ht="90" x14ac:dyDescent="0.2">
      <c r="A79" s="8" t="s">
        <v>614</v>
      </c>
      <c r="B79" s="261" t="s">
        <v>608</v>
      </c>
      <c r="C79" s="261" t="s">
        <v>609</v>
      </c>
      <c r="D79" s="260" t="s">
        <v>746</v>
      </c>
      <c r="E79" s="260" t="s">
        <v>747</v>
      </c>
      <c r="F79" s="260" t="s">
        <v>748</v>
      </c>
      <c r="G79" s="260" t="s">
        <v>749</v>
      </c>
      <c r="H79" s="79">
        <v>8077</v>
      </c>
      <c r="I79" s="495" t="s">
        <v>29</v>
      </c>
      <c r="J79" s="480"/>
      <c r="K79" s="495" t="s">
        <v>29</v>
      </c>
      <c r="L79" s="480"/>
      <c r="M79" s="65" t="s">
        <v>126</v>
      </c>
      <c r="N79" s="66" t="s">
        <v>110</v>
      </c>
      <c r="O79" s="70" t="s">
        <v>431</v>
      </c>
      <c r="P79" s="70" t="s">
        <v>431</v>
      </c>
      <c r="Q79" s="311" t="s">
        <v>431</v>
      </c>
      <c r="R79" s="403"/>
      <c r="S79" s="403"/>
      <c r="U79" s="75"/>
      <c r="V79" s="75"/>
      <c r="W79" s="75"/>
      <c r="X79" s="75"/>
      <c r="AB79" s="13"/>
      <c r="AC79" s="12"/>
      <c r="AD79" s="12"/>
      <c r="AE79" s="241"/>
      <c r="AF79" s="241"/>
      <c r="AG79" s="241"/>
      <c r="AH79" s="241"/>
      <c r="AI79" s="123"/>
      <c r="AJ79" s="149"/>
      <c r="AK79" s="149"/>
      <c r="AL79" s="149"/>
      <c r="AM79" s="149"/>
      <c r="AN79" s="156"/>
      <c r="AO79" s="124"/>
      <c r="AP79" s="151"/>
      <c r="AQ79" s="150"/>
    </row>
    <row r="80" spans="1:43" ht="56.25" x14ac:dyDescent="0.2">
      <c r="A80" s="40">
        <v>66</v>
      </c>
      <c r="B80" s="33" t="s">
        <v>533</v>
      </c>
      <c r="C80" s="33" t="s">
        <v>806</v>
      </c>
      <c r="D80" s="37" t="s">
        <v>38</v>
      </c>
      <c r="E80" s="37" t="s">
        <v>39</v>
      </c>
      <c r="F80" s="37" t="s">
        <v>40</v>
      </c>
      <c r="G80" s="37" t="s">
        <v>41</v>
      </c>
      <c r="H80" s="81">
        <v>8066</v>
      </c>
      <c r="I80" s="59">
        <v>0</v>
      </c>
      <c r="J80" s="59">
        <f>I80*1.1</f>
        <v>0</v>
      </c>
      <c r="K80" s="59">
        <v>0</v>
      </c>
      <c r="L80" s="59">
        <f t="shared" ref="L80:L84" si="9">K80*1.1</f>
        <v>0</v>
      </c>
      <c r="M80" s="35" t="s">
        <v>126</v>
      </c>
      <c r="N80" s="36" t="s">
        <v>133</v>
      </c>
      <c r="O80" s="54" t="s">
        <v>285</v>
      </c>
      <c r="P80" s="54" t="s">
        <v>414</v>
      </c>
      <c r="Q80" s="54" t="s">
        <v>616</v>
      </c>
      <c r="R80" s="400"/>
      <c r="S80" s="400"/>
      <c r="U80" s="75"/>
      <c r="V80" s="75"/>
      <c r="W80" s="75"/>
      <c r="X80" s="75"/>
      <c r="AB80" s="13"/>
      <c r="AC80" s="12"/>
      <c r="AD80" s="12"/>
      <c r="AE80" s="129"/>
      <c r="AF80" s="129"/>
      <c r="AG80" s="129"/>
      <c r="AH80" s="129"/>
      <c r="AI80" s="123"/>
      <c r="AJ80" s="106"/>
      <c r="AK80" s="106"/>
      <c r="AL80" s="106"/>
      <c r="AM80" s="106"/>
      <c r="AN80" s="108"/>
      <c r="AO80" s="124"/>
      <c r="AP80" s="116"/>
      <c r="AQ80" s="98"/>
    </row>
    <row r="81" spans="1:43" ht="45" x14ac:dyDescent="0.2">
      <c r="A81" s="40" t="s">
        <v>137</v>
      </c>
      <c r="B81" s="33" t="s">
        <v>807</v>
      </c>
      <c r="C81" s="33" t="s">
        <v>808</v>
      </c>
      <c r="D81" s="37" t="s">
        <v>138</v>
      </c>
      <c r="E81" s="37" t="s">
        <v>139</v>
      </c>
      <c r="F81" s="37" t="s">
        <v>140</v>
      </c>
      <c r="G81" s="37" t="s">
        <v>141</v>
      </c>
      <c r="H81" s="81">
        <v>8075</v>
      </c>
      <c r="I81" s="59">
        <v>0</v>
      </c>
      <c r="J81" s="59">
        <f t="shared" ref="J81:J84" si="10">I81*1.1</f>
        <v>0</v>
      </c>
      <c r="K81" s="59">
        <v>0</v>
      </c>
      <c r="L81" s="59">
        <f t="shared" si="9"/>
        <v>0</v>
      </c>
      <c r="M81" s="35" t="s">
        <v>126</v>
      </c>
      <c r="N81" s="36" t="s">
        <v>418</v>
      </c>
      <c r="O81" s="54" t="s">
        <v>285</v>
      </c>
      <c r="P81" s="54" t="s">
        <v>416</v>
      </c>
      <c r="Q81" s="54" t="s">
        <v>416</v>
      </c>
      <c r="R81" s="400"/>
      <c r="S81" s="400"/>
      <c r="U81" s="75"/>
      <c r="V81" s="75"/>
      <c r="W81" s="75"/>
      <c r="X81" s="75"/>
      <c r="AB81" s="13"/>
      <c r="AC81" s="12"/>
      <c r="AD81" s="12"/>
      <c r="AE81" s="129"/>
      <c r="AF81" s="129"/>
      <c r="AG81" s="129"/>
      <c r="AH81" s="129"/>
      <c r="AI81" s="123"/>
      <c r="AJ81" s="106"/>
      <c r="AK81" s="106"/>
      <c r="AL81" s="106"/>
      <c r="AM81" s="106"/>
      <c r="AN81" s="108"/>
      <c r="AO81" s="124"/>
      <c r="AP81" s="116"/>
      <c r="AQ81" s="98"/>
    </row>
    <row r="82" spans="1:43" ht="76.5" customHeight="1" x14ac:dyDescent="0.2">
      <c r="A82" s="31">
        <v>67</v>
      </c>
      <c r="B82" s="33" t="s">
        <v>534</v>
      </c>
      <c r="C82" s="33" t="s">
        <v>812</v>
      </c>
      <c r="D82" s="38" t="s">
        <v>34</v>
      </c>
      <c r="E82" s="38" t="s">
        <v>35</v>
      </c>
      <c r="F82" s="38" t="s">
        <v>36</v>
      </c>
      <c r="G82" s="38" t="s">
        <v>37</v>
      </c>
      <c r="H82" s="81">
        <v>8067</v>
      </c>
      <c r="I82" s="59">
        <v>109.9</v>
      </c>
      <c r="J82" s="59">
        <f t="shared" si="10"/>
        <v>120.89000000000001</v>
      </c>
      <c r="K82" s="59">
        <v>109.9</v>
      </c>
      <c r="L82" s="59">
        <f t="shared" si="9"/>
        <v>120.89000000000001</v>
      </c>
      <c r="M82" s="35" t="s">
        <v>126</v>
      </c>
      <c r="N82" s="36" t="s">
        <v>133</v>
      </c>
      <c r="O82" s="54" t="s">
        <v>285</v>
      </c>
      <c r="P82" s="54" t="s">
        <v>414</v>
      </c>
      <c r="Q82" s="54" t="s">
        <v>617</v>
      </c>
      <c r="R82" s="400"/>
      <c r="S82" s="400"/>
      <c r="U82" s="75"/>
      <c r="V82" s="75"/>
      <c r="W82" s="75"/>
      <c r="X82" s="75"/>
      <c r="AB82" s="13"/>
      <c r="AC82" s="12"/>
      <c r="AD82" s="12"/>
      <c r="AE82" s="243"/>
      <c r="AF82" s="243"/>
      <c r="AG82" s="243"/>
      <c r="AH82" s="243"/>
      <c r="AI82" s="123"/>
      <c r="AJ82" s="106"/>
      <c r="AK82" s="106"/>
      <c r="AL82" s="106"/>
      <c r="AM82" s="106"/>
      <c r="AN82" s="108"/>
      <c r="AO82" s="124"/>
      <c r="AP82" s="116"/>
      <c r="AQ82" s="98"/>
    </row>
    <row r="83" spans="1:43" ht="58.5" customHeight="1" x14ac:dyDescent="0.2">
      <c r="A83" s="40" t="s">
        <v>655</v>
      </c>
      <c r="B83" s="300" t="s">
        <v>656</v>
      </c>
      <c r="C83" s="33" t="s">
        <v>809</v>
      </c>
      <c r="D83" s="53" t="s">
        <v>657</v>
      </c>
      <c r="E83" s="53" t="s">
        <v>658</v>
      </c>
      <c r="F83" s="53" t="s">
        <v>659</v>
      </c>
      <c r="G83" s="53" t="s">
        <v>660</v>
      </c>
      <c r="H83" s="301">
        <v>8254</v>
      </c>
      <c r="I83" s="297">
        <v>109.9</v>
      </c>
      <c r="J83" s="297">
        <f t="shared" si="10"/>
        <v>120.89000000000001</v>
      </c>
      <c r="K83" s="297">
        <v>109.9</v>
      </c>
      <c r="L83" s="297">
        <f t="shared" si="9"/>
        <v>120.89000000000001</v>
      </c>
      <c r="M83" s="52" t="s">
        <v>126</v>
      </c>
      <c r="N83" s="36" t="s">
        <v>438</v>
      </c>
      <c r="O83" s="54" t="s">
        <v>285</v>
      </c>
      <c r="P83" s="54" t="s">
        <v>414</v>
      </c>
      <c r="Q83" s="54" t="s">
        <v>617</v>
      </c>
      <c r="R83" s="400"/>
      <c r="S83" s="400"/>
      <c r="U83" s="75"/>
      <c r="V83" s="75"/>
      <c r="W83" s="75"/>
      <c r="X83" s="75"/>
      <c r="AB83" s="13"/>
      <c r="AC83" s="12"/>
      <c r="AD83" s="12"/>
      <c r="AE83" s="243"/>
      <c r="AF83" s="243"/>
      <c r="AG83" s="243"/>
      <c r="AH83" s="243"/>
      <c r="AI83" s="123"/>
      <c r="AJ83" s="106"/>
      <c r="AK83" s="106"/>
      <c r="AL83" s="106"/>
      <c r="AM83" s="106"/>
      <c r="AN83" s="156"/>
      <c r="AO83" s="124"/>
      <c r="AP83" s="178"/>
      <c r="AQ83" s="177"/>
    </row>
    <row r="84" spans="1:43" ht="48" customHeight="1" x14ac:dyDescent="0.2">
      <c r="A84" s="31" t="s">
        <v>142</v>
      </c>
      <c r="B84" s="33" t="s">
        <v>810</v>
      </c>
      <c r="C84" s="33" t="s">
        <v>811</v>
      </c>
      <c r="D84" s="38" t="s">
        <v>143</v>
      </c>
      <c r="E84" s="38" t="s">
        <v>144</v>
      </c>
      <c r="F84" s="38" t="s">
        <v>145</v>
      </c>
      <c r="G84" s="38" t="s">
        <v>146</v>
      </c>
      <c r="H84" s="81">
        <v>8076</v>
      </c>
      <c r="I84" s="59">
        <v>58.4</v>
      </c>
      <c r="J84" s="59">
        <f t="shared" si="10"/>
        <v>64.240000000000009</v>
      </c>
      <c r="K84" s="59">
        <v>58.4</v>
      </c>
      <c r="L84" s="59">
        <f t="shared" si="9"/>
        <v>64.240000000000009</v>
      </c>
      <c r="M84" s="35" t="s">
        <v>126</v>
      </c>
      <c r="N84" s="36" t="s">
        <v>438</v>
      </c>
      <c r="O84" s="54" t="s">
        <v>285</v>
      </c>
      <c r="P84" s="54" t="s">
        <v>416</v>
      </c>
      <c r="Q84" s="54" t="s">
        <v>416</v>
      </c>
      <c r="R84" s="400"/>
      <c r="S84" s="400"/>
      <c r="U84" s="75"/>
      <c r="V84" s="75"/>
      <c r="W84" s="75"/>
      <c r="X84" s="75"/>
      <c r="AB84" s="13"/>
      <c r="AC84" s="12"/>
      <c r="AD84" s="12"/>
      <c r="AE84" s="243"/>
      <c r="AF84" s="243"/>
      <c r="AG84" s="243"/>
      <c r="AH84" s="243"/>
      <c r="AI84" s="123"/>
      <c r="AJ84" s="106"/>
      <c r="AK84" s="106"/>
      <c r="AL84" s="106"/>
      <c r="AM84" s="106"/>
      <c r="AN84" s="108"/>
      <c r="AO84" s="124"/>
      <c r="AP84" s="116"/>
      <c r="AQ84" s="98"/>
    </row>
    <row r="85" spans="1:43" ht="56.25" x14ac:dyDescent="0.2">
      <c r="A85" s="4">
        <v>68</v>
      </c>
      <c r="B85" s="10" t="s">
        <v>535</v>
      </c>
      <c r="C85" s="10" t="s">
        <v>536</v>
      </c>
      <c r="D85" s="481" t="s">
        <v>28</v>
      </c>
      <c r="E85" s="481"/>
      <c r="F85" s="481"/>
      <c r="G85" s="481"/>
      <c r="H85" s="312">
        <v>8068</v>
      </c>
      <c r="I85" s="480" t="s">
        <v>29</v>
      </c>
      <c r="J85" s="480"/>
      <c r="K85" s="480" t="s">
        <v>29</v>
      </c>
      <c r="L85" s="480"/>
      <c r="M85" s="15" t="s">
        <v>126</v>
      </c>
      <c r="N85" s="66" t="s">
        <v>110</v>
      </c>
      <c r="O85" s="70" t="s">
        <v>284</v>
      </c>
      <c r="P85" s="70" t="s">
        <v>414</v>
      </c>
      <c r="Q85" s="70" t="s">
        <v>416</v>
      </c>
      <c r="R85" s="401"/>
      <c r="S85" s="401"/>
      <c r="U85" s="75"/>
      <c r="V85" s="75"/>
      <c r="W85" s="75"/>
      <c r="X85" s="75"/>
      <c r="AB85" s="13"/>
      <c r="AC85" s="128"/>
      <c r="AD85" s="128"/>
      <c r="AE85" s="124"/>
      <c r="AF85" s="124"/>
      <c r="AG85" s="124"/>
      <c r="AH85" s="124"/>
      <c r="AI85" s="131"/>
      <c r="AJ85" s="500"/>
      <c r="AK85" s="500"/>
      <c r="AL85" s="500"/>
      <c r="AM85" s="500"/>
      <c r="AN85" s="108"/>
      <c r="AO85" s="124"/>
      <c r="AP85" s="116"/>
      <c r="AQ85" s="98"/>
    </row>
    <row r="86" spans="1:43" ht="33.75" x14ac:dyDescent="0.2">
      <c r="A86" s="4">
        <v>18</v>
      </c>
      <c r="B86" s="10" t="s">
        <v>485</v>
      </c>
      <c r="C86" s="10" t="s">
        <v>486</v>
      </c>
      <c r="D86" s="494" t="s">
        <v>299</v>
      </c>
      <c r="E86" s="494"/>
      <c r="F86" s="494"/>
      <c r="G86" s="494"/>
      <c r="H86" s="312">
        <v>8069</v>
      </c>
      <c r="I86" s="58">
        <v>903.5</v>
      </c>
      <c r="J86" s="58">
        <f>I86*1.1</f>
        <v>993.85000000000014</v>
      </c>
      <c r="K86" s="58">
        <f t="shared" ref="K86" si="11">I86</f>
        <v>903.5</v>
      </c>
      <c r="L86" s="58">
        <f t="shared" ref="L86" si="12">J86</f>
        <v>993.85000000000014</v>
      </c>
      <c r="M86" s="15" t="s">
        <v>125</v>
      </c>
      <c r="N86" s="66" t="s">
        <v>109</v>
      </c>
      <c r="O86" s="70" t="s">
        <v>284</v>
      </c>
      <c r="P86" s="70" t="s">
        <v>414</v>
      </c>
      <c r="Q86" s="70" t="s">
        <v>416</v>
      </c>
      <c r="R86" s="400"/>
      <c r="S86" s="400"/>
      <c r="U86" s="75"/>
      <c r="V86" s="75"/>
      <c r="W86" s="75"/>
      <c r="X86" s="75"/>
      <c r="AB86" s="13"/>
      <c r="AC86" s="128"/>
      <c r="AD86" s="128"/>
      <c r="AE86" s="248"/>
      <c r="AF86" s="248"/>
      <c r="AG86" s="248"/>
      <c r="AH86" s="248"/>
      <c r="AI86" s="131"/>
      <c r="AJ86" s="106"/>
      <c r="AK86" s="106"/>
      <c r="AL86" s="106"/>
      <c r="AM86" s="106"/>
      <c r="AN86" s="108"/>
      <c r="AO86" s="124"/>
      <c r="AP86" s="116"/>
      <c r="AQ86" s="98"/>
    </row>
    <row r="87" spans="1:43" ht="67.5" x14ac:dyDescent="0.2">
      <c r="A87" s="4">
        <v>69</v>
      </c>
      <c r="B87" s="9" t="s">
        <v>537</v>
      </c>
      <c r="C87" s="9" t="s">
        <v>538</v>
      </c>
      <c r="D87" s="482" t="s">
        <v>28</v>
      </c>
      <c r="E87" s="482"/>
      <c r="F87" s="482"/>
      <c r="G87" s="482"/>
      <c r="H87" s="80">
        <v>8070</v>
      </c>
      <c r="I87" s="480" t="s">
        <v>29</v>
      </c>
      <c r="J87" s="480"/>
      <c r="K87" s="480" t="s">
        <v>29</v>
      </c>
      <c r="L87" s="480"/>
      <c r="M87" s="15" t="s">
        <v>126</v>
      </c>
      <c r="N87" s="66" t="s">
        <v>110</v>
      </c>
      <c r="O87" s="70" t="s">
        <v>284</v>
      </c>
      <c r="P87" s="70" t="s">
        <v>414</v>
      </c>
      <c r="Q87" s="70" t="s">
        <v>416</v>
      </c>
      <c r="R87" s="401"/>
      <c r="S87" s="401"/>
      <c r="U87" s="75"/>
      <c r="V87" s="75"/>
      <c r="W87" s="75"/>
      <c r="X87" s="75"/>
      <c r="AB87" s="13"/>
      <c r="AC87" s="12"/>
      <c r="AD87" s="12"/>
      <c r="AE87" s="247"/>
      <c r="AF87" s="247"/>
      <c r="AG87" s="247"/>
      <c r="AH87" s="247"/>
      <c r="AI87" s="123"/>
      <c r="AJ87" s="500"/>
      <c r="AK87" s="500"/>
      <c r="AL87" s="500"/>
      <c r="AM87" s="500"/>
      <c r="AN87" s="108"/>
      <c r="AO87" s="124"/>
      <c r="AP87" s="116"/>
      <c r="AQ87" s="98"/>
    </row>
    <row r="88" spans="1:43" ht="45" x14ac:dyDescent="0.2">
      <c r="A88" s="4">
        <v>70</v>
      </c>
      <c r="B88" s="9" t="s">
        <v>539</v>
      </c>
      <c r="C88" s="9" t="s">
        <v>540</v>
      </c>
      <c r="D88" s="482" t="s">
        <v>28</v>
      </c>
      <c r="E88" s="482"/>
      <c r="F88" s="482"/>
      <c r="G88" s="482"/>
      <c r="H88" s="80">
        <v>8071</v>
      </c>
      <c r="I88" s="480" t="s">
        <v>29</v>
      </c>
      <c r="J88" s="480"/>
      <c r="K88" s="480" t="s">
        <v>29</v>
      </c>
      <c r="L88" s="480"/>
      <c r="M88" s="15" t="s">
        <v>126</v>
      </c>
      <c r="N88" s="66" t="s">
        <v>110</v>
      </c>
      <c r="O88" s="70" t="s">
        <v>284</v>
      </c>
      <c r="P88" s="70" t="s">
        <v>414</v>
      </c>
      <c r="Q88" s="70" t="s">
        <v>416</v>
      </c>
      <c r="R88" s="401"/>
      <c r="S88" s="401"/>
      <c r="U88" s="75"/>
      <c r="V88" s="75"/>
      <c r="W88" s="75"/>
      <c r="X88" s="75"/>
      <c r="AB88" s="13"/>
      <c r="AC88" s="12"/>
      <c r="AD88" s="12"/>
      <c r="AE88" s="247"/>
      <c r="AF88" s="247"/>
      <c r="AG88" s="247"/>
      <c r="AH88" s="247"/>
      <c r="AI88" s="123"/>
      <c r="AJ88" s="500"/>
      <c r="AK88" s="500"/>
      <c r="AL88" s="500"/>
      <c r="AM88" s="500"/>
      <c r="AN88" s="108"/>
      <c r="AO88" s="124"/>
      <c r="AP88" s="116"/>
      <c r="AQ88" s="98"/>
    </row>
    <row r="89" spans="1:43" ht="67.5" x14ac:dyDescent="0.2">
      <c r="A89" s="4">
        <v>71</v>
      </c>
      <c r="B89" s="9" t="s">
        <v>541</v>
      </c>
      <c r="C89" s="9" t="s">
        <v>542</v>
      </c>
      <c r="D89" s="482" t="s">
        <v>28</v>
      </c>
      <c r="E89" s="482"/>
      <c r="F89" s="482"/>
      <c r="G89" s="482"/>
      <c r="H89" s="80">
        <v>8072</v>
      </c>
      <c r="I89" s="480" t="s">
        <v>29</v>
      </c>
      <c r="J89" s="480"/>
      <c r="K89" s="480" t="s">
        <v>29</v>
      </c>
      <c r="L89" s="480"/>
      <c r="M89" s="15" t="s">
        <v>126</v>
      </c>
      <c r="N89" s="66" t="s">
        <v>110</v>
      </c>
      <c r="O89" s="70" t="s">
        <v>284</v>
      </c>
      <c r="P89" s="70" t="s">
        <v>414</v>
      </c>
      <c r="Q89" s="70" t="s">
        <v>416</v>
      </c>
      <c r="R89" s="401"/>
      <c r="S89" s="401"/>
      <c r="U89" s="75"/>
      <c r="V89" s="75"/>
      <c r="W89" s="75"/>
      <c r="X89" s="75"/>
      <c r="AB89" s="13"/>
      <c r="AC89" s="12"/>
      <c r="AD89" s="12"/>
      <c r="AE89" s="247"/>
      <c r="AF89" s="247"/>
      <c r="AG89" s="247"/>
      <c r="AH89" s="247"/>
      <c r="AI89" s="123"/>
      <c r="AJ89" s="500"/>
      <c r="AK89" s="500"/>
      <c r="AL89" s="500"/>
      <c r="AM89" s="500"/>
      <c r="AN89" s="108"/>
      <c r="AO89" s="124"/>
      <c r="AP89" s="116"/>
      <c r="AQ89" s="98"/>
    </row>
    <row r="90" spans="1:43" ht="45" x14ac:dyDescent="0.2">
      <c r="A90" s="4">
        <v>72</v>
      </c>
      <c r="B90" s="9" t="s">
        <v>543</v>
      </c>
      <c r="C90" s="9" t="s">
        <v>544</v>
      </c>
      <c r="D90" s="482" t="s">
        <v>28</v>
      </c>
      <c r="E90" s="482"/>
      <c r="F90" s="482"/>
      <c r="G90" s="482"/>
      <c r="H90" s="80">
        <v>8073</v>
      </c>
      <c r="I90" s="480" t="s">
        <v>29</v>
      </c>
      <c r="J90" s="480"/>
      <c r="K90" s="480" t="s">
        <v>29</v>
      </c>
      <c r="L90" s="480"/>
      <c r="M90" s="15" t="s">
        <v>126</v>
      </c>
      <c r="N90" s="66" t="s">
        <v>110</v>
      </c>
      <c r="O90" s="70" t="s">
        <v>284</v>
      </c>
      <c r="P90" s="70" t="s">
        <v>414</v>
      </c>
      <c r="Q90" s="70" t="s">
        <v>416</v>
      </c>
      <c r="R90" s="401"/>
      <c r="S90" s="401"/>
      <c r="U90" s="75"/>
      <c r="V90" s="75"/>
      <c r="W90" s="75"/>
      <c r="X90" s="75"/>
      <c r="AB90" s="13"/>
      <c r="AC90" s="12"/>
      <c r="AD90" s="12"/>
      <c r="AE90" s="247"/>
      <c r="AF90" s="247"/>
      <c r="AG90" s="247"/>
      <c r="AH90" s="247"/>
      <c r="AI90" s="123"/>
      <c r="AJ90" s="500"/>
      <c r="AK90" s="500"/>
      <c r="AL90" s="500"/>
      <c r="AM90" s="500"/>
      <c r="AN90" s="108"/>
      <c r="AO90" s="124"/>
      <c r="AP90" s="116"/>
      <c r="AQ90" s="98"/>
    </row>
    <row r="91" spans="1:43" ht="22.5" x14ac:dyDescent="0.2">
      <c r="A91" s="326">
        <v>73</v>
      </c>
      <c r="B91" s="327" t="s">
        <v>545</v>
      </c>
      <c r="C91" s="327" t="s">
        <v>546</v>
      </c>
      <c r="D91" s="484" t="s">
        <v>28</v>
      </c>
      <c r="E91" s="484"/>
      <c r="F91" s="484"/>
      <c r="G91" s="484"/>
      <c r="H91" s="328">
        <v>8074</v>
      </c>
      <c r="I91" s="485" t="s">
        <v>29</v>
      </c>
      <c r="J91" s="485"/>
      <c r="K91" s="485" t="s">
        <v>29</v>
      </c>
      <c r="L91" s="485"/>
      <c r="M91" s="343" t="s">
        <v>126</v>
      </c>
      <c r="N91" s="330" t="s">
        <v>110</v>
      </c>
      <c r="O91" s="331" t="s">
        <v>284</v>
      </c>
      <c r="P91" s="331" t="s">
        <v>414</v>
      </c>
      <c r="Q91" s="331" t="s">
        <v>416</v>
      </c>
      <c r="R91" s="401"/>
      <c r="S91" s="401"/>
      <c r="U91" s="75"/>
      <c r="V91" s="75"/>
      <c r="W91" s="75"/>
      <c r="X91" s="75"/>
      <c r="AB91" s="13"/>
      <c r="AC91" s="12"/>
      <c r="AD91" s="12"/>
      <c r="AE91" s="247"/>
      <c r="AF91" s="247"/>
      <c r="AG91" s="247"/>
      <c r="AH91" s="247"/>
      <c r="AI91" s="123"/>
      <c r="AJ91" s="500"/>
      <c r="AK91" s="500"/>
      <c r="AL91" s="500"/>
      <c r="AM91" s="500"/>
      <c r="AN91" s="108"/>
      <c r="AO91" s="124"/>
      <c r="AP91" s="116"/>
      <c r="AQ91" s="98"/>
    </row>
    <row r="92" spans="1:43" s="118" customFormat="1" x14ac:dyDescent="0.2">
      <c r="A92" s="411"/>
      <c r="B92" s="412" t="s">
        <v>83</v>
      </c>
      <c r="C92" s="413"/>
      <c r="D92" s="414"/>
      <c r="E92" s="414"/>
      <c r="F92" s="414"/>
      <c r="G92" s="414"/>
      <c r="H92" s="415"/>
      <c r="I92" s="416"/>
      <c r="J92" s="416"/>
      <c r="K92" s="414"/>
      <c r="L92" s="414"/>
      <c r="M92" s="417"/>
      <c r="N92" s="417"/>
      <c r="O92" s="417"/>
      <c r="P92" s="417"/>
      <c r="Q92" s="418"/>
      <c r="R92" s="402"/>
      <c r="S92" s="402"/>
      <c r="U92" s="75"/>
      <c r="V92" s="75"/>
      <c r="W92" s="75"/>
      <c r="X92" s="75"/>
      <c r="AB92" s="241"/>
      <c r="AC92" s="125"/>
      <c r="AD92" s="126"/>
      <c r="AE92" s="241"/>
      <c r="AF92" s="241"/>
      <c r="AG92" s="241"/>
      <c r="AH92" s="241"/>
      <c r="AI92" s="123"/>
      <c r="AJ92" s="112"/>
      <c r="AK92" s="112"/>
      <c r="AL92" s="112"/>
      <c r="AM92" s="112"/>
      <c r="AN92" s="127"/>
      <c r="AO92" s="127"/>
      <c r="AP92" s="127"/>
      <c r="AQ92" s="124"/>
    </row>
    <row r="93" spans="1:43" s="118" customFormat="1" x14ac:dyDescent="0.2">
      <c r="A93" s="46"/>
      <c r="B93" s="47" t="s">
        <v>153</v>
      </c>
      <c r="C93" s="48"/>
      <c r="D93" s="49"/>
      <c r="E93" s="49"/>
      <c r="F93" s="49"/>
      <c r="G93" s="49"/>
      <c r="H93" s="83"/>
      <c r="I93" s="50"/>
      <c r="J93" s="50"/>
      <c r="K93" s="50"/>
      <c r="L93" s="50"/>
      <c r="M93" s="51"/>
      <c r="N93" s="51"/>
      <c r="O93" s="51"/>
      <c r="P93" s="51"/>
      <c r="Q93" s="423"/>
      <c r="R93" s="402"/>
      <c r="S93" s="402"/>
      <c r="U93" s="75"/>
      <c r="V93" s="75"/>
      <c r="W93" s="75"/>
      <c r="X93" s="75"/>
      <c r="AB93" s="241"/>
      <c r="AC93" s="125"/>
      <c r="AD93" s="126"/>
      <c r="AE93" s="241"/>
      <c r="AF93" s="241"/>
      <c r="AG93" s="241"/>
      <c r="AH93" s="241"/>
      <c r="AI93" s="123"/>
      <c r="AJ93" s="112"/>
      <c r="AK93" s="112"/>
      <c r="AL93" s="112"/>
      <c r="AM93" s="112"/>
      <c r="AN93" s="127"/>
      <c r="AO93" s="127"/>
      <c r="AP93" s="127"/>
      <c r="AQ93" s="132"/>
    </row>
    <row r="94" spans="1:43" ht="56.25" x14ac:dyDescent="0.2">
      <c r="A94" s="357">
        <v>19</v>
      </c>
      <c r="B94" s="344" t="s">
        <v>163</v>
      </c>
      <c r="C94" s="345" t="s">
        <v>814</v>
      </c>
      <c r="D94" s="419" t="s">
        <v>387</v>
      </c>
      <c r="E94" s="419" t="s">
        <v>389</v>
      </c>
      <c r="F94" s="347"/>
      <c r="G94" s="347"/>
      <c r="H94" s="420">
        <v>8193</v>
      </c>
      <c r="I94" s="421">
        <v>344.4</v>
      </c>
      <c r="J94" s="421">
        <f t="shared" ref="J94:J95" si="13">I94*1.1</f>
        <v>378.84000000000003</v>
      </c>
      <c r="K94" s="422"/>
      <c r="L94" s="422"/>
      <c r="M94" s="359" t="s">
        <v>125</v>
      </c>
      <c r="N94" s="321" t="s">
        <v>109</v>
      </c>
      <c r="O94" s="322" t="s">
        <v>285</v>
      </c>
      <c r="P94" s="322" t="s">
        <v>431</v>
      </c>
      <c r="Q94" s="322" t="s">
        <v>727</v>
      </c>
      <c r="R94" s="404"/>
      <c r="S94" s="404"/>
      <c r="U94" s="75"/>
      <c r="V94" s="75"/>
      <c r="W94" s="75"/>
      <c r="X94" s="75"/>
      <c r="AB94" s="13"/>
      <c r="AC94" s="128"/>
      <c r="AD94" s="128"/>
      <c r="AE94" s="243"/>
      <c r="AF94" s="243"/>
      <c r="AG94" s="241"/>
      <c r="AH94" s="241"/>
      <c r="AI94" s="133"/>
      <c r="AJ94" s="107"/>
      <c r="AK94" s="107"/>
      <c r="AL94" s="113"/>
      <c r="AM94" s="113"/>
      <c r="AN94" s="108"/>
      <c r="AO94" s="124"/>
      <c r="AP94" s="116"/>
      <c r="AQ94" s="116"/>
    </row>
    <row r="95" spans="1:43" ht="67.5" x14ac:dyDescent="0.2">
      <c r="A95" s="8" t="s">
        <v>155</v>
      </c>
      <c r="B95" s="14" t="s">
        <v>164</v>
      </c>
      <c r="C95" s="14" t="s">
        <v>815</v>
      </c>
      <c r="D95" s="17" t="s">
        <v>388</v>
      </c>
      <c r="E95" s="17" t="s">
        <v>390</v>
      </c>
      <c r="F95" s="18"/>
      <c r="G95" s="18"/>
      <c r="H95" s="84">
        <v>8194</v>
      </c>
      <c r="I95" s="313">
        <v>63.4</v>
      </c>
      <c r="J95" s="313">
        <f t="shared" si="13"/>
        <v>69.740000000000009</v>
      </c>
      <c r="K95" s="57"/>
      <c r="L95" s="57"/>
      <c r="M95" s="65" t="s">
        <v>125</v>
      </c>
      <c r="N95" s="66" t="s">
        <v>109</v>
      </c>
      <c r="O95" s="70" t="s">
        <v>285</v>
      </c>
      <c r="P95" s="70" t="s">
        <v>416</v>
      </c>
      <c r="Q95" s="70" t="s">
        <v>416</v>
      </c>
      <c r="R95" s="404"/>
      <c r="S95" s="404"/>
      <c r="U95" s="75"/>
      <c r="V95" s="75"/>
      <c r="W95" s="75"/>
      <c r="X95" s="75"/>
      <c r="AB95" s="13"/>
      <c r="AC95" s="128"/>
      <c r="AD95" s="128"/>
      <c r="AE95" s="243"/>
      <c r="AF95" s="243"/>
      <c r="AG95" s="241"/>
      <c r="AH95" s="241"/>
      <c r="AI95" s="133"/>
      <c r="AJ95" s="107"/>
      <c r="AK95" s="107"/>
      <c r="AL95" s="113"/>
      <c r="AM95" s="113"/>
      <c r="AN95" s="108"/>
      <c r="AO95" s="124"/>
      <c r="AP95" s="116"/>
      <c r="AQ95" s="98"/>
    </row>
    <row r="96" spans="1:43" ht="56.25" x14ac:dyDescent="0.2">
      <c r="A96" s="44">
        <v>20</v>
      </c>
      <c r="B96" s="162" t="s">
        <v>342</v>
      </c>
      <c r="C96" s="162" t="s">
        <v>816</v>
      </c>
      <c r="D96" s="67"/>
      <c r="E96" s="67"/>
      <c r="F96" s="67" t="s">
        <v>391</v>
      </c>
      <c r="G96" s="67" t="s">
        <v>392</v>
      </c>
      <c r="H96" s="85">
        <v>8195</v>
      </c>
      <c r="I96" s="56"/>
      <c r="J96" s="56"/>
      <c r="K96" s="64">
        <v>344.4</v>
      </c>
      <c r="L96" s="64">
        <f t="shared" ref="L96:L97" si="14">K96*1.1</f>
        <v>378.84000000000003</v>
      </c>
      <c r="M96" s="45" t="s">
        <v>125</v>
      </c>
      <c r="N96" s="25" t="s">
        <v>134</v>
      </c>
      <c r="O96" s="71" t="s">
        <v>285</v>
      </c>
      <c r="P96" s="71" t="s">
        <v>431</v>
      </c>
      <c r="Q96" s="71" t="s">
        <v>727</v>
      </c>
      <c r="R96" s="405"/>
      <c r="S96" s="405"/>
      <c r="U96" s="75"/>
      <c r="V96" s="75"/>
      <c r="W96" s="75"/>
      <c r="X96" s="75"/>
      <c r="AB96" s="13"/>
      <c r="AC96" s="12"/>
      <c r="AD96" s="12"/>
      <c r="AE96" s="241"/>
      <c r="AF96" s="241"/>
      <c r="AG96" s="241"/>
      <c r="AH96" s="241"/>
      <c r="AI96" s="123"/>
      <c r="AJ96" s="114"/>
      <c r="AK96" s="114"/>
      <c r="AL96" s="107"/>
      <c r="AM96" s="107"/>
      <c r="AN96" s="108"/>
      <c r="AO96" s="124"/>
      <c r="AP96" s="116"/>
      <c r="AQ96" s="116"/>
    </row>
    <row r="97" spans="1:43" ht="67.5" x14ac:dyDescent="0.2">
      <c r="A97" s="44" t="s">
        <v>156</v>
      </c>
      <c r="B97" s="162" t="s">
        <v>165</v>
      </c>
      <c r="C97" s="162" t="s">
        <v>815</v>
      </c>
      <c r="D97" s="67"/>
      <c r="E97" s="67"/>
      <c r="F97" s="67" t="s">
        <v>619</v>
      </c>
      <c r="G97" s="67" t="s">
        <v>620</v>
      </c>
      <c r="H97" s="85">
        <v>8196</v>
      </c>
      <c r="I97" s="56"/>
      <c r="J97" s="56"/>
      <c r="K97" s="64">
        <v>63.4</v>
      </c>
      <c r="L97" s="64">
        <f t="shared" si="14"/>
        <v>69.740000000000009</v>
      </c>
      <c r="M97" s="45" t="s">
        <v>125</v>
      </c>
      <c r="N97" s="25" t="s">
        <v>417</v>
      </c>
      <c r="O97" s="71" t="s">
        <v>285</v>
      </c>
      <c r="P97" s="71" t="s">
        <v>416</v>
      </c>
      <c r="Q97" s="71" t="s">
        <v>416</v>
      </c>
      <c r="R97" s="405"/>
      <c r="S97" s="405"/>
      <c r="U97" s="75"/>
      <c r="V97" s="75"/>
      <c r="W97" s="75"/>
      <c r="X97" s="75"/>
      <c r="AB97" s="13"/>
      <c r="AC97" s="12"/>
      <c r="AD97" s="12"/>
      <c r="AE97" s="241"/>
      <c r="AF97" s="241"/>
      <c r="AG97" s="241"/>
      <c r="AH97" s="241"/>
      <c r="AI97" s="123"/>
      <c r="AJ97" s="114"/>
      <c r="AK97" s="114"/>
      <c r="AL97" s="107"/>
      <c r="AM97" s="107"/>
      <c r="AN97" s="108"/>
      <c r="AO97" s="124"/>
      <c r="AP97" s="116"/>
      <c r="AQ97" s="98"/>
    </row>
    <row r="98" spans="1:43" ht="56.25" x14ac:dyDescent="0.2">
      <c r="A98" s="8">
        <v>21</v>
      </c>
      <c r="B98" s="160" t="s">
        <v>166</v>
      </c>
      <c r="C98" s="160" t="s">
        <v>817</v>
      </c>
      <c r="D98" s="17" t="s">
        <v>393</v>
      </c>
      <c r="E98" s="17" t="s">
        <v>394</v>
      </c>
      <c r="F98" s="18"/>
      <c r="G98" s="18"/>
      <c r="H98" s="84">
        <v>8197</v>
      </c>
      <c r="I98" s="313">
        <v>421.8</v>
      </c>
      <c r="J98" s="313">
        <f t="shared" ref="J98:J99" si="15">I98*1.1</f>
        <v>463.98000000000008</v>
      </c>
      <c r="K98" s="57"/>
      <c r="L98" s="57"/>
      <c r="M98" s="65" t="s">
        <v>125</v>
      </c>
      <c r="N98" s="66" t="s">
        <v>109</v>
      </c>
      <c r="O98" s="70" t="s">
        <v>285</v>
      </c>
      <c r="P98" s="70" t="s">
        <v>431</v>
      </c>
      <c r="Q98" s="70" t="s">
        <v>727</v>
      </c>
      <c r="R98" s="404"/>
      <c r="S98" s="404"/>
      <c r="U98" s="75"/>
      <c r="V98" s="75"/>
      <c r="W98" s="75"/>
      <c r="X98" s="75"/>
      <c r="AB98" s="13"/>
      <c r="AC98" s="128"/>
      <c r="AD98" s="128"/>
      <c r="AE98" s="243"/>
      <c r="AF98" s="243"/>
      <c r="AG98" s="241"/>
      <c r="AH98" s="241"/>
      <c r="AI98" s="133"/>
      <c r="AJ98" s="107"/>
      <c r="AK98" s="107"/>
      <c r="AL98" s="113"/>
      <c r="AM98" s="113"/>
      <c r="AN98" s="108"/>
      <c r="AO98" s="124"/>
      <c r="AP98" s="116"/>
      <c r="AQ98" s="116"/>
    </row>
    <row r="99" spans="1:43" ht="78.75" x14ac:dyDescent="0.2">
      <c r="A99" s="8" t="s">
        <v>157</v>
      </c>
      <c r="B99" s="160" t="s">
        <v>167</v>
      </c>
      <c r="C99" s="160" t="s">
        <v>818</v>
      </c>
      <c r="D99" s="17" t="s">
        <v>395</v>
      </c>
      <c r="E99" s="17" t="s">
        <v>396</v>
      </c>
      <c r="F99" s="18"/>
      <c r="G99" s="18"/>
      <c r="H99" s="84">
        <v>8198</v>
      </c>
      <c r="I99" s="313">
        <v>63.4</v>
      </c>
      <c r="J99" s="313">
        <f t="shared" si="15"/>
        <v>69.740000000000009</v>
      </c>
      <c r="K99" s="57"/>
      <c r="L99" s="57"/>
      <c r="M99" s="65" t="s">
        <v>125</v>
      </c>
      <c r="N99" s="66" t="s">
        <v>109</v>
      </c>
      <c r="O99" s="70" t="s">
        <v>285</v>
      </c>
      <c r="P99" s="70" t="s">
        <v>416</v>
      </c>
      <c r="Q99" s="70" t="s">
        <v>416</v>
      </c>
      <c r="R99" s="404"/>
      <c r="S99" s="404"/>
      <c r="U99" s="75"/>
      <c r="V99" s="75"/>
      <c r="W99" s="75"/>
      <c r="X99" s="75"/>
      <c r="AB99" s="13"/>
      <c r="AC99" s="128"/>
      <c r="AD99" s="128"/>
      <c r="AE99" s="243"/>
      <c r="AF99" s="243"/>
      <c r="AG99" s="241"/>
      <c r="AH99" s="241"/>
      <c r="AI99" s="133"/>
      <c r="AJ99" s="107"/>
      <c r="AK99" s="107"/>
      <c r="AL99" s="113"/>
      <c r="AM99" s="113"/>
      <c r="AN99" s="108"/>
      <c r="AO99" s="124"/>
      <c r="AP99" s="116"/>
      <c r="AQ99" s="98"/>
    </row>
    <row r="100" spans="1:43" ht="56.25" x14ac:dyDescent="0.2">
      <c r="A100" s="44">
        <v>22</v>
      </c>
      <c r="B100" s="162" t="s">
        <v>168</v>
      </c>
      <c r="C100" s="162" t="s">
        <v>817</v>
      </c>
      <c r="D100" s="23"/>
      <c r="E100" s="23"/>
      <c r="F100" s="67" t="s">
        <v>397</v>
      </c>
      <c r="G100" s="67" t="s">
        <v>398</v>
      </c>
      <c r="H100" s="85">
        <v>8199</v>
      </c>
      <c r="I100" s="56"/>
      <c r="J100" s="56"/>
      <c r="K100" s="64">
        <v>421.8</v>
      </c>
      <c r="L100" s="64">
        <f t="shared" ref="L100:L101" si="16">K100*1.1</f>
        <v>463.98000000000008</v>
      </c>
      <c r="M100" s="45" t="s">
        <v>125</v>
      </c>
      <c r="N100" s="25" t="s">
        <v>134</v>
      </c>
      <c r="O100" s="71" t="s">
        <v>285</v>
      </c>
      <c r="P100" s="71" t="s">
        <v>431</v>
      </c>
      <c r="Q100" s="71" t="s">
        <v>727</v>
      </c>
      <c r="R100" s="405"/>
      <c r="S100" s="405"/>
      <c r="U100" s="75"/>
      <c r="V100" s="75"/>
      <c r="W100" s="75"/>
      <c r="X100" s="75"/>
      <c r="AB100" s="13"/>
      <c r="AC100" s="12"/>
      <c r="AD100" s="12"/>
      <c r="AE100" s="241"/>
      <c r="AF100" s="241"/>
      <c r="AG100" s="241"/>
      <c r="AH100" s="241"/>
      <c r="AI100" s="123"/>
      <c r="AJ100" s="114"/>
      <c r="AK100" s="114"/>
      <c r="AL100" s="107"/>
      <c r="AM100" s="107"/>
      <c r="AN100" s="108"/>
      <c r="AO100" s="124"/>
      <c r="AP100" s="116"/>
      <c r="AQ100" s="116"/>
    </row>
    <row r="101" spans="1:43" ht="67.5" x14ac:dyDescent="0.2">
      <c r="A101" s="44" t="s">
        <v>158</v>
      </c>
      <c r="B101" s="162" t="s">
        <v>169</v>
      </c>
      <c r="C101" s="162" t="s">
        <v>819</v>
      </c>
      <c r="D101" s="23"/>
      <c r="E101" s="23"/>
      <c r="F101" s="67" t="s">
        <v>621</v>
      </c>
      <c r="G101" s="67" t="s">
        <v>622</v>
      </c>
      <c r="H101" s="85">
        <v>8200</v>
      </c>
      <c r="I101" s="56"/>
      <c r="J101" s="56"/>
      <c r="K101" s="64">
        <v>63.4</v>
      </c>
      <c r="L101" s="64">
        <f t="shared" si="16"/>
        <v>69.740000000000009</v>
      </c>
      <c r="M101" s="45" t="s">
        <v>125</v>
      </c>
      <c r="N101" s="25" t="s">
        <v>417</v>
      </c>
      <c r="O101" s="71" t="s">
        <v>285</v>
      </c>
      <c r="P101" s="71" t="s">
        <v>416</v>
      </c>
      <c r="Q101" s="71" t="s">
        <v>416</v>
      </c>
      <c r="R101" s="405"/>
      <c r="S101" s="405"/>
      <c r="U101" s="75"/>
      <c r="V101" s="75"/>
      <c r="W101" s="75"/>
      <c r="X101" s="75"/>
      <c r="AB101" s="13"/>
      <c r="AC101" s="12"/>
      <c r="AD101" s="12"/>
      <c r="AE101" s="241"/>
      <c r="AF101" s="241"/>
      <c r="AG101" s="241"/>
      <c r="AH101" s="241"/>
      <c r="AI101" s="123"/>
      <c r="AJ101" s="114"/>
      <c r="AK101" s="114"/>
      <c r="AL101" s="107"/>
      <c r="AM101" s="107"/>
      <c r="AN101" s="108"/>
      <c r="AO101" s="124"/>
      <c r="AP101" s="116"/>
      <c r="AQ101" s="98"/>
    </row>
    <row r="102" spans="1:43" ht="56.25" x14ac:dyDescent="0.2">
      <c r="A102" s="8">
        <v>23</v>
      </c>
      <c r="B102" s="160" t="s">
        <v>170</v>
      </c>
      <c r="C102" s="160" t="s">
        <v>820</v>
      </c>
      <c r="D102" s="17" t="s">
        <v>399</v>
      </c>
      <c r="E102" s="17" t="s">
        <v>400</v>
      </c>
      <c r="F102" s="170"/>
      <c r="G102" s="170"/>
      <c r="H102" s="84">
        <v>8201</v>
      </c>
      <c r="I102" s="313">
        <v>530.20000000000005</v>
      </c>
      <c r="J102" s="313">
        <f t="shared" ref="J102:J103" si="17">I102*1.1</f>
        <v>583.22000000000014</v>
      </c>
      <c r="K102" s="57"/>
      <c r="L102" s="57"/>
      <c r="M102" s="65" t="s">
        <v>125</v>
      </c>
      <c r="N102" s="66" t="s">
        <v>109</v>
      </c>
      <c r="O102" s="70" t="s">
        <v>285</v>
      </c>
      <c r="P102" s="70" t="s">
        <v>431</v>
      </c>
      <c r="Q102" s="70" t="s">
        <v>727</v>
      </c>
      <c r="R102" s="404"/>
      <c r="S102" s="404"/>
      <c r="U102" s="75"/>
      <c r="V102" s="75"/>
      <c r="W102" s="75"/>
      <c r="X102" s="75"/>
      <c r="AB102" s="13"/>
      <c r="AC102" s="128"/>
      <c r="AD102" s="128"/>
      <c r="AE102" s="243"/>
      <c r="AF102" s="243"/>
      <c r="AG102" s="241"/>
      <c r="AH102" s="241"/>
      <c r="AI102" s="133"/>
      <c r="AJ102" s="107"/>
      <c r="AK102" s="107"/>
      <c r="AL102" s="113"/>
      <c r="AM102" s="113"/>
      <c r="AN102" s="108"/>
      <c r="AO102" s="124"/>
      <c r="AP102" s="116"/>
      <c r="AQ102" s="116"/>
    </row>
    <row r="103" spans="1:43" ht="67.5" x14ac:dyDescent="0.2">
      <c r="A103" s="8" t="s">
        <v>159</v>
      </c>
      <c r="B103" s="160" t="s">
        <v>171</v>
      </c>
      <c r="C103" s="160" t="s">
        <v>821</v>
      </c>
      <c r="D103" s="17" t="s">
        <v>401</v>
      </c>
      <c r="E103" s="17" t="s">
        <v>402</v>
      </c>
      <c r="F103" s="170"/>
      <c r="G103" s="170"/>
      <c r="H103" s="84">
        <v>8202</v>
      </c>
      <c r="I103" s="313">
        <v>63.4</v>
      </c>
      <c r="J103" s="313">
        <f t="shared" si="17"/>
        <v>69.740000000000009</v>
      </c>
      <c r="K103" s="57"/>
      <c r="L103" s="57"/>
      <c r="M103" s="65" t="s">
        <v>125</v>
      </c>
      <c r="N103" s="66" t="s">
        <v>109</v>
      </c>
      <c r="O103" s="70" t="s">
        <v>285</v>
      </c>
      <c r="P103" s="70" t="s">
        <v>416</v>
      </c>
      <c r="Q103" s="70" t="s">
        <v>416</v>
      </c>
      <c r="R103" s="404"/>
      <c r="S103" s="404"/>
      <c r="U103" s="75"/>
      <c r="V103" s="75"/>
      <c r="W103" s="75"/>
      <c r="X103" s="75"/>
      <c r="AB103" s="13"/>
      <c r="AC103" s="128"/>
      <c r="AD103" s="128"/>
      <c r="AE103" s="243"/>
      <c r="AF103" s="243"/>
      <c r="AG103" s="241"/>
      <c r="AH103" s="241"/>
      <c r="AI103" s="133"/>
      <c r="AJ103" s="107"/>
      <c r="AK103" s="107"/>
      <c r="AL103" s="113"/>
      <c r="AM103" s="113"/>
      <c r="AN103" s="108"/>
      <c r="AO103" s="124"/>
      <c r="AP103" s="116"/>
      <c r="AQ103" s="98"/>
    </row>
    <row r="104" spans="1:43" ht="56.25" x14ac:dyDescent="0.2">
      <c r="A104" s="44">
        <v>24</v>
      </c>
      <c r="B104" s="162" t="s">
        <v>172</v>
      </c>
      <c r="C104" s="162" t="s">
        <v>820</v>
      </c>
      <c r="D104" s="67"/>
      <c r="E104" s="67"/>
      <c r="F104" s="67" t="s">
        <v>403</v>
      </c>
      <c r="G104" s="67" t="s">
        <v>404</v>
      </c>
      <c r="H104" s="85">
        <v>8203</v>
      </c>
      <c r="I104" s="56"/>
      <c r="J104" s="56"/>
      <c r="K104" s="64">
        <v>530.20000000000005</v>
      </c>
      <c r="L104" s="64">
        <f t="shared" ref="L104:L105" si="18">K104*1.1</f>
        <v>583.22000000000014</v>
      </c>
      <c r="M104" s="45" t="s">
        <v>125</v>
      </c>
      <c r="N104" s="25" t="s">
        <v>134</v>
      </c>
      <c r="O104" s="71" t="s">
        <v>285</v>
      </c>
      <c r="P104" s="71" t="s">
        <v>431</v>
      </c>
      <c r="Q104" s="71" t="s">
        <v>727</v>
      </c>
      <c r="R104" s="405"/>
      <c r="S104" s="405"/>
      <c r="U104" s="75"/>
      <c r="V104" s="75"/>
      <c r="W104" s="75"/>
      <c r="X104" s="75"/>
      <c r="AB104" s="13"/>
      <c r="AC104" s="12"/>
      <c r="AD104" s="12"/>
      <c r="AE104" s="241"/>
      <c r="AF104" s="241"/>
      <c r="AG104" s="241"/>
      <c r="AH104" s="241"/>
      <c r="AI104" s="123"/>
      <c r="AJ104" s="114"/>
      <c r="AK104" s="114"/>
      <c r="AL104" s="107"/>
      <c r="AM104" s="107"/>
      <c r="AN104" s="108"/>
      <c r="AO104" s="124"/>
      <c r="AP104" s="116"/>
      <c r="AQ104" s="116"/>
    </row>
    <row r="105" spans="1:43" ht="67.5" x14ac:dyDescent="0.2">
      <c r="A105" s="44" t="s">
        <v>160</v>
      </c>
      <c r="B105" s="162" t="s">
        <v>173</v>
      </c>
      <c r="C105" s="162" t="s">
        <v>822</v>
      </c>
      <c r="D105" s="67"/>
      <c r="E105" s="67"/>
      <c r="F105" s="67" t="s">
        <v>623</v>
      </c>
      <c r="G105" s="67" t="s">
        <v>624</v>
      </c>
      <c r="H105" s="85">
        <v>8204</v>
      </c>
      <c r="I105" s="56"/>
      <c r="J105" s="56"/>
      <c r="K105" s="64">
        <v>63.4</v>
      </c>
      <c r="L105" s="64">
        <f t="shared" si="18"/>
        <v>69.740000000000009</v>
      </c>
      <c r="M105" s="45" t="s">
        <v>125</v>
      </c>
      <c r="N105" s="25" t="s">
        <v>417</v>
      </c>
      <c r="O105" s="71" t="s">
        <v>285</v>
      </c>
      <c r="P105" s="71" t="s">
        <v>416</v>
      </c>
      <c r="Q105" s="71" t="s">
        <v>416</v>
      </c>
      <c r="R105" s="405"/>
      <c r="S105" s="405"/>
      <c r="U105" s="75"/>
      <c r="V105" s="75"/>
      <c r="W105" s="75"/>
      <c r="X105" s="75"/>
      <c r="AB105" s="13"/>
      <c r="AC105" s="12"/>
      <c r="AD105" s="12"/>
      <c r="AE105" s="241"/>
      <c r="AF105" s="241"/>
      <c r="AG105" s="241"/>
      <c r="AH105" s="241"/>
      <c r="AI105" s="123"/>
      <c r="AJ105" s="114"/>
      <c r="AK105" s="114"/>
      <c r="AL105" s="107"/>
      <c r="AM105" s="107"/>
      <c r="AN105" s="108"/>
      <c r="AO105" s="124"/>
      <c r="AP105" s="116"/>
      <c r="AQ105" s="98"/>
    </row>
    <row r="106" spans="1:43" ht="45" x14ac:dyDescent="0.2">
      <c r="A106" s="8">
        <v>25</v>
      </c>
      <c r="B106" s="160" t="s">
        <v>174</v>
      </c>
      <c r="C106" s="160" t="s">
        <v>823</v>
      </c>
      <c r="D106" s="17" t="s">
        <v>405</v>
      </c>
      <c r="E106" s="17" t="s">
        <v>406</v>
      </c>
      <c r="F106" s="170"/>
      <c r="G106" s="170"/>
      <c r="H106" s="84">
        <v>8205</v>
      </c>
      <c r="I106" s="313">
        <v>2519.1</v>
      </c>
      <c r="J106" s="313">
        <f t="shared" ref="J106:J107" si="19">I106*1.1</f>
        <v>2771.01</v>
      </c>
      <c r="K106" s="57"/>
      <c r="L106" s="57"/>
      <c r="M106" s="65" t="s">
        <v>125</v>
      </c>
      <c r="N106" s="66" t="s">
        <v>109</v>
      </c>
      <c r="O106" s="70" t="s">
        <v>285</v>
      </c>
      <c r="P106" s="70" t="s">
        <v>431</v>
      </c>
      <c r="Q106" s="70" t="s">
        <v>727</v>
      </c>
      <c r="R106" s="404"/>
      <c r="S106" s="404"/>
      <c r="U106" s="75"/>
      <c r="V106" s="75"/>
      <c r="W106" s="75"/>
      <c r="X106" s="75"/>
      <c r="AB106" s="13"/>
      <c r="AC106" s="128"/>
      <c r="AD106" s="128"/>
      <c r="AE106" s="243"/>
      <c r="AF106" s="243"/>
      <c r="AG106" s="241"/>
      <c r="AH106" s="241"/>
      <c r="AI106" s="133"/>
      <c r="AJ106" s="107"/>
      <c r="AK106" s="107"/>
      <c r="AL106" s="113"/>
      <c r="AM106" s="113"/>
      <c r="AN106" s="108"/>
      <c r="AO106" s="124"/>
      <c r="AP106" s="116"/>
      <c r="AQ106" s="116"/>
    </row>
    <row r="107" spans="1:43" ht="67.5" x14ac:dyDescent="0.2">
      <c r="A107" s="8" t="s">
        <v>161</v>
      </c>
      <c r="B107" s="160" t="s">
        <v>175</v>
      </c>
      <c r="C107" s="160" t="s">
        <v>822</v>
      </c>
      <c r="D107" s="17" t="s">
        <v>407</v>
      </c>
      <c r="E107" s="17" t="s">
        <v>408</v>
      </c>
      <c r="F107" s="170"/>
      <c r="G107" s="170"/>
      <c r="H107" s="84">
        <v>8206</v>
      </c>
      <c r="I107" s="313">
        <v>121.3</v>
      </c>
      <c r="J107" s="313">
        <f t="shared" si="19"/>
        <v>133.43</v>
      </c>
      <c r="K107" s="57"/>
      <c r="L107" s="57"/>
      <c r="M107" s="65" t="s">
        <v>125</v>
      </c>
      <c r="N107" s="66" t="s">
        <v>109</v>
      </c>
      <c r="O107" s="70" t="s">
        <v>285</v>
      </c>
      <c r="P107" s="70" t="s">
        <v>416</v>
      </c>
      <c r="Q107" s="70" t="s">
        <v>416</v>
      </c>
      <c r="R107" s="404"/>
      <c r="S107" s="404"/>
      <c r="U107" s="75"/>
      <c r="V107" s="75"/>
      <c r="W107" s="75"/>
      <c r="X107" s="75"/>
      <c r="AB107" s="13"/>
      <c r="AC107" s="128"/>
      <c r="AD107" s="128"/>
      <c r="AE107" s="243"/>
      <c r="AF107" s="243"/>
      <c r="AG107" s="241"/>
      <c r="AH107" s="241"/>
      <c r="AI107" s="133"/>
      <c r="AJ107" s="107"/>
      <c r="AK107" s="107"/>
      <c r="AL107" s="113"/>
      <c r="AM107" s="113"/>
      <c r="AN107" s="108"/>
      <c r="AO107" s="124"/>
      <c r="AP107" s="116"/>
      <c r="AQ107" s="98"/>
    </row>
    <row r="108" spans="1:43" ht="45" x14ac:dyDescent="0.2">
      <c r="A108" s="44">
        <v>26</v>
      </c>
      <c r="B108" s="162" t="s">
        <v>176</v>
      </c>
      <c r="C108" s="162" t="s">
        <v>823</v>
      </c>
      <c r="D108" s="67"/>
      <c r="E108" s="67"/>
      <c r="F108" s="67" t="s">
        <v>409</v>
      </c>
      <c r="G108" s="67" t="s">
        <v>410</v>
      </c>
      <c r="H108" s="85">
        <v>8207</v>
      </c>
      <c r="I108" s="56"/>
      <c r="J108" s="56"/>
      <c r="K108" s="64">
        <v>2519.1</v>
      </c>
      <c r="L108" s="64">
        <f t="shared" ref="L108:L136" si="20">K108*1.1</f>
        <v>2771.01</v>
      </c>
      <c r="M108" s="45" t="s">
        <v>125</v>
      </c>
      <c r="N108" s="25" t="s">
        <v>134</v>
      </c>
      <c r="O108" s="71" t="s">
        <v>285</v>
      </c>
      <c r="P108" s="71" t="s">
        <v>431</v>
      </c>
      <c r="Q108" s="71" t="s">
        <v>727</v>
      </c>
      <c r="R108" s="405"/>
      <c r="S108" s="405"/>
      <c r="U108" s="75"/>
      <c r="V108" s="75"/>
      <c r="W108" s="75"/>
      <c r="X108" s="75"/>
      <c r="AB108" s="13"/>
      <c r="AC108" s="12"/>
      <c r="AD108" s="12"/>
      <c r="AE108" s="241"/>
      <c r="AF108" s="241"/>
      <c r="AG108" s="241"/>
      <c r="AH108" s="241"/>
      <c r="AI108" s="123"/>
      <c r="AJ108" s="114"/>
      <c r="AK108" s="114"/>
      <c r="AL108" s="107"/>
      <c r="AM108" s="107"/>
      <c r="AN108" s="108"/>
      <c r="AO108" s="124"/>
      <c r="AP108" s="116"/>
      <c r="AQ108" s="116"/>
    </row>
    <row r="109" spans="1:43" ht="67.5" x14ac:dyDescent="0.2">
      <c r="A109" s="424" t="s">
        <v>162</v>
      </c>
      <c r="B109" s="425" t="s">
        <v>177</v>
      </c>
      <c r="C109" s="425" t="s">
        <v>824</v>
      </c>
      <c r="D109" s="426"/>
      <c r="E109" s="426"/>
      <c r="F109" s="426" t="s">
        <v>625</v>
      </c>
      <c r="G109" s="426" t="s">
        <v>626</v>
      </c>
      <c r="H109" s="427">
        <v>8208</v>
      </c>
      <c r="I109" s="428"/>
      <c r="J109" s="428"/>
      <c r="K109" s="429">
        <v>121.3</v>
      </c>
      <c r="L109" s="429">
        <f t="shared" si="20"/>
        <v>133.43</v>
      </c>
      <c r="M109" s="430" t="s">
        <v>125</v>
      </c>
      <c r="N109" s="431" t="s">
        <v>417</v>
      </c>
      <c r="O109" s="432" t="s">
        <v>285</v>
      </c>
      <c r="P109" s="432" t="s">
        <v>416</v>
      </c>
      <c r="Q109" s="432" t="s">
        <v>416</v>
      </c>
      <c r="R109" s="405"/>
      <c r="S109" s="405"/>
      <c r="U109" s="75"/>
      <c r="V109" s="75"/>
      <c r="W109" s="75"/>
      <c r="X109" s="75"/>
      <c r="AB109" s="13"/>
      <c r="AC109" s="12"/>
      <c r="AD109" s="12"/>
      <c r="AE109" s="241"/>
      <c r="AF109" s="241"/>
      <c r="AG109" s="241"/>
      <c r="AH109" s="241"/>
      <c r="AI109" s="123"/>
      <c r="AJ109" s="114"/>
      <c r="AK109" s="114"/>
      <c r="AL109" s="107"/>
      <c r="AM109" s="107"/>
      <c r="AN109" s="108"/>
      <c r="AO109" s="124"/>
      <c r="AP109" s="116"/>
      <c r="AQ109" s="98"/>
    </row>
    <row r="110" spans="1:43" s="118" customFormat="1" x14ac:dyDescent="0.2">
      <c r="A110" s="46"/>
      <c r="B110" s="47" t="s">
        <v>154</v>
      </c>
      <c r="C110" s="48"/>
      <c r="D110" s="49"/>
      <c r="E110" s="49"/>
      <c r="F110" s="49"/>
      <c r="G110" s="49"/>
      <c r="H110" s="83"/>
      <c r="I110" s="50"/>
      <c r="J110" s="50"/>
      <c r="K110" s="50"/>
      <c r="L110" s="50"/>
      <c r="M110" s="51"/>
      <c r="N110" s="51"/>
      <c r="O110" s="51"/>
      <c r="P110" s="51"/>
      <c r="Q110" s="423"/>
      <c r="R110" s="402"/>
      <c r="S110" s="402"/>
      <c r="U110" s="75"/>
      <c r="V110" s="75"/>
      <c r="W110" s="75"/>
      <c r="X110" s="75"/>
      <c r="AB110" s="241"/>
      <c r="AC110" s="125"/>
      <c r="AD110" s="126"/>
      <c r="AE110" s="241"/>
      <c r="AF110" s="241"/>
      <c r="AG110" s="241"/>
      <c r="AH110" s="241"/>
      <c r="AI110" s="123"/>
      <c r="AJ110" s="112"/>
      <c r="AK110" s="112"/>
      <c r="AL110" s="112"/>
      <c r="AM110" s="112"/>
      <c r="AN110" s="127"/>
      <c r="AO110" s="127"/>
      <c r="AP110" s="127"/>
      <c r="AQ110" s="124"/>
    </row>
    <row r="111" spans="1:43" ht="67.5" x14ac:dyDescent="0.2">
      <c r="A111" s="433">
        <v>140</v>
      </c>
      <c r="B111" s="434" t="s">
        <v>308</v>
      </c>
      <c r="C111" s="434" t="s">
        <v>775</v>
      </c>
      <c r="D111" s="435" t="s">
        <v>260</v>
      </c>
      <c r="E111" s="435" t="s">
        <v>261</v>
      </c>
      <c r="F111" s="435" t="s">
        <v>264</v>
      </c>
      <c r="G111" s="435" t="s">
        <v>265</v>
      </c>
      <c r="H111" s="436">
        <v>8172</v>
      </c>
      <c r="I111" s="437">
        <v>344.4</v>
      </c>
      <c r="J111" s="437">
        <f t="shared" ref="J111:J136" si="21">I111*1.1</f>
        <v>378.84000000000003</v>
      </c>
      <c r="K111" s="437">
        <v>344.4</v>
      </c>
      <c r="L111" s="437">
        <f t="shared" si="20"/>
        <v>378.84000000000003</v>
      </c>
      <c r="M111" s="438" t="s">
        <v>125</v>
      </c>
      <c r="N111" s="439" t="s">
        <v>629</v>
      </c>
      <c r="O111" s="440" t="s">
        <v>285</v>
      </c>
      <c r="P111" s="440" t="s">
        <v>431</v>
      </c>
      <c r="Q111" s="440" t="s">
        <v>728</v>
      </c>
      <c r="R111" s="405"/>
      <c r="S111" s="405"/>
      <c r="U111" s="75"/>
      <c r="V111" s="75"/>
      <c r="W111" s="75"/>
      <c r="X111" s="75"/>
      <c r="AB111" s="13"/>
      <c r="AC111" s="12"/>
      <c r="AD111" s="12"/>
      <c r="AE111" s="241"/>
      <c r="AF111" s="241"/>
      <c r="AG111" s="241"/>
      <c r="AH111" s="241"/>
      <c r="AI111" s="123"/>
      <c r="AJ111" s="107"/>
      <c r="AK111" s="107"/>
      <c r="AL111" s="107"/>
      <c r="AM111" s="107"/>
      <c r="AN111" s="108"/>
      <c r="AO111" s="124"/>
      <c r="AP111" s="116"/>
      <c r="AQ111" s="116"/>
    </row>
    <row r="112" spans="1:43" ht="67.5" x14ac:dyDescent="0.2">
      <c r="A112" s="44">
        <v>141</v>
      </c>
      <c r="B112" s="172" t="s">
        <v>309</v>
      </c>
      <c r="C112" s="171" t="s">
        <v>776</v>
      </c>
      <c r="D112" s="72" t="s">
        <v>359</v>
      </c>
      <c r="E112" s="72" t="s">
        <v>360</v>
      </c>
      <c r="F112" s="67" t="s">
        <v>361</v>
      </c>
      <c r="G112" s="67" t="s">
        <v>362</v>
      </c>
      <c r="H112" s="86">
        <v>8173</v>
      </c>
      <c r="I112" s="64">
        <v>344.4</v>
      </c>
      <c r="J112" s="64">
        <f t="shared" si="21"/>
        <v>378.84000000000003</v>
      </c>
      <c r="K112" s="64">
        <v>344.4</v>
      </c>
      <c r="L112" s="64">
        <f t="shared" si="20"/>
        <v>378.84000000000003</v>
      </c>
      <c r="M112" s="45" t="s">
        <v>125</v>
      </c>
      <c r="N112" s="25" t="s">
        <v>629</v>
      </c>
      <c r="O112" s="71" t="s">
        <v>285</v>
      </c>
      <c r="P112" s="71" t="s">
        <v>431</v>
      </c>
      <c r="Q112" s="71" t="s">
        <v>728</v>
      </c>
      <c r="R112" s="405"/>
      <c r="S112" s="405"/>
      <c r="U112" s="75"/>
      <c r="V112" s="75"/>
      <c r="W112" s="75"/>
      <c r="X112" s="75"/>
      <c r="AB112" s="13"/>
      <c r="AC112" s="12"/>
      <c r="AD112" s="12"/>
      <c r="AE112" s="241"/>
      <c r="AF112" s="241"/>
      <c r="AG112" s="241"/>
      <c r="AH112" s="241"/>
      <c r="AI112" s="123"/>
      <c r="AJ112" s="107"/>
      <c r="AK112" s="107"/>
      <c r="AL112" s="107"/>
      <c r="AM112" s="107"/>
      <c r="AN112" s="156"/>
      <c r="AO112" s="124"/>
      <c r="AP112" s="167"/>
      <c r="AQ112" s="167"/>
    </row>
    <row r="113" spans="1:43" ht="67.5" x14ac:dyDescent="0.2">
      <c r="A113" s="44">
        <v>142</v>
      </c>
      <c r="B113" s="172" t="s">
        <v>310</v>
      </c>
      <c r="C113" s="171" t="s">
        <v>777</v>
      </c>
      <c r="D113" s="72" t="s">
        <v>343</v>
      </c>
      <c r="E113" s="72" t="s">
        <v>344</v>
      </c>
      <c r="F113" s="67" t="s">
        <v>345</v>
      </c>
      <c r="G113" s="67" t="s">
        <v>346</v>
      </c>
      <c r="H113" s="86">
        <v>8174</v>
      </c>
      <c r="I113" s="64">
        <v>421.8</v>
      </c>
      <c r="J113" s="64">
        <f t="shared" si="21"/>
        <v>463.98000000000008</v>
      </c>
      <c r="K113" s="64">
        <v>421.8</v>
      </c>
      <c r="L113" s="64">
        <f t="shared" si="20"/>
        <v>463.98000000000008</v>
      </c>
      <c r="M113" s="45" t="s">
        <v>125</v>
      </c>
      <c r="N113" s="25" t="s">
        <v>629</v>
      </c>
      <c r="O113" s="71" t="s">
        <v>285</v>
      </c>
      <c r="P113" s="71" t="s">
        <v>431</v>
      </c>
      <c r="Q113" s="71" t="s">
        <v>728</v>
      </c>
      <c r="R113" s="405"/>
      <c r="S113" s="405"/>
      <c r="U113" s="75"/>
      <c r="V113" s="75"/>
      <c r="W113" s="75"/>
      <c r="X113" s="75"/>
      <c r="AB113" s="13"/>
      <c r="AC113" s="12"/>
      <c r="AD113" s="12"/>
      <c r="AE113" s="241"/>
      <c r="AF113" s="241"/>
      <c r="AG113" s="241"/>
      <c r="AH113" s="241"/>
      <c r="AI113" s="123"/>
      <c r="AJ113" s="107"/>
      <c r="AK113" s="107"/>
      <c r="AL113" s="107"/>
      <c r="AM113" s="107"/>
      <c r="AN113" s="156"/>
      <c r="AO113" s="124"/>
      <c r="AP113" s="167"/>
      <c r="AQ113" s="167"/>
    </row>
    <row r="114" spans="1:43" ht="67.5" x14ac:dyDescent="0.2">
      <c r="A114" s="44">
        <v>143</v>
      </c>
      <c r="B114" s="172" t="s">
        <v>311</v>
      </c>
      <c r="C114" s="171" t="s">
        <v>778</v>
      </c>
      <c r="D114" s="72" t="s">
        <v>363</v>
      </c>
      <c r="E114" s="72" t="s">
        <v>364</v>
      </c>
      <c r="F114" s="67" t="s">
        <v>365</v>
      </c>
      <c r="G114" s="67" t="s">
        <v>366</v>
      </c>
      <c r="H114" s="86">
        <v>8175</v>
      </c>
      <c r="I114" s="64">
        <v>421.8</v>
      </c>
      <c r="J114" s="64">
        <f t="shared" si="21"/>
        <v>463.98000000000008</v>
      </c>
      <c r="K114" s="64">
        <v>421.8</v>
      </c>
      <c r="L114" s="64">
        <f t="shared" si="20"/>
        <v>463.98000000000008</v>
      </c>
      <c r="M114" s="45" t="s">
        <v>125</v>
      </c>
      <c r="N114" s="25" t="s">
        <v>629</v>
      </c>
      <c r="O114" s="71" t="s">
        <v>285</v>
      </c>
      <c r="P114" s="71" t="s">
        <v>431</v>
      </c>
      <c r="Q114" s="71" t="s">
        <v>728</v>
      </c>
      <c r="R114" s="405"/>
      <c r="S114" s="405"/>
      <c r="U114" s="75"/>
      <c r="V114" s="75"/>
      <c r="W114" s="75"/>
      <c r="X114" s="75"/>
      <c r="AB114" s="13"/>
      <c r="AC114" s="12"/>
      <c r="AD114" s="12"/>
      <c r="AE114" s="241"/>
      <c r="AF114" s="241"/>
      <c r="AG114" s="241"/>
      <c r="AH114" s="241"/>
      <c r="AI114" s="123"/>
      <c r="AJ114" s="107"/>
      <c r="AK114" s="107"/>
      <c r="AL114" s="107"/>
      <c r="AM114" s="107"/>
      <c r="AN114" s="156"/>
      <c r="AO114" s="124"/>
      <c r="AP114" s="167"/>
      <c r="AQ114" s="167"/>
    </row>
    <row r="115" spans="1:43" ht="67.5" x14ac:dyDescent="0.2">
      <c r="A115" s="44">
        <v>144</v>
      </c>
      <c r="B115" s="172" t="s">
        <v>312</v>
      </c>
      <c r="C115" s="171" t="s">
        <v>779</v>
      </c>
      <c r="D115" s="72" t="s">
        <v>268</v>
      </c>
      <c r="E115" s="72" t="s">
        <v>269</v>
      </c>
      <c r="F115" s="67" t="s">
        <v>270</v>
      </c>
      <c r="G115" s="67" t="s">
        <v>271</v>
      </c>
      <c r="H115" s="86">
        <v>8176</v>
      </c>
      <c r="I115" s="64">
        <v>530.20000000000005</v>
      </c>
      <c r="J115" s="64">
        <f t="shared" si="21"/>
        <v>583.22000000000014</v>
      </c>
      <c r="K115" s="64">
        <v>530.20000000000005</v>
      </c>
      <c r="L115" s="64">
        <f t="shared" si="20"/>
        <v>583.22000000000014</v>
      </c>
      <c r="M115" s="45" t="s">
        <v>125</v>
      </c>
      <c r="N115" s="25" t="s">
        <v>629</v>
      </c>
      <c r="O115" s="71" t="s">
        <v>285</v>
      </c>
      <c r="P115" s="71" t="s">
        <v>431</v>
      </c>
      <c r="Q115" s="71" t="s">
        <v>728</v>
      </c>
      <c r="R115" s="405"/>
      <c r="S115" s="405"/>
      <c r="U115" s="75"/>
      <c r="V115" s="75"/>
      <c r="W115" s="75"/>
      <c r="X115" s="75"/>
      <c r="AB115" s="13"/>
      <c r="AC115" s="12"/>
      <c r="AD115" s="12"/>
      <c r="AE115" s="241"/>
      <c r="AF115" s="241"/>
      <c r="AG115" s="241"/>
      <c r="AH115" s="241"/>
      <c r="AI115" s="123"/>
      <c r="AJ115" s="107"/>
      <c r="AK115" s="107"/>
      <c r="AL115" s="107"/>
      <c r="AM115" s="107"/>
      <c r="AN115" s="156"/>
      <c r="AO115" s="124"/>
      <c r="AP115" s="167"/>
      <c r="AQ115" s="167"/>
    </row>
    <row r="116" spans="1:43" ht="67.5" x14ac:dyDescent="0.2">
      <c r="A116" s="44">
        <v>145</v>
      </c>
      <c r="B116" s="172" t="s">
        <v>313</v>
      </c>
      <c r="C116" s="171" t="s">
        <v>780</v>
      </c>
      <c r="D116" s="72" t="s">
        <v>367</v>
      </c>
      <c r="E116" s="72" t="s">
        <v>368</v>
      </c>
      <c r="F116" s="67" t="s">
        <v>369</v>
      </c>
      <c r="G116" s="67" t="s">
        <v>370</v>
      </c>
      <c r="H116" s="86">
        <v>8177</v>
      </c>
      <c r="I116" s="64">
        <v>530.20000000000005</v>
      </c>
      <c r="J116" s="64">
        <f t="shared" si="21"/>
        <v>583.22000000000014</v>
      </c>
      <c r="K116" s="64">
        <v>530.20000000000005</v>
      </c>
      <c r="L116" s="64">
        <f t="shared" si="20"/>
        <v>583.22000000000014</v>
      </c>
      <c r="M116" s="45" t="s">
        <v>125</v>
      </c>
      <c r="N116" s="25" t="s">
        <v>629</v>
      </c>
      <c r="O116" s="71" t="s">
        <v>285</v>
      </c>
      <c r="P116" s="71" t="s">
        <v>431</v>
      </c>
      <c r="Q116" s="71" t="s">
        <v>728</v>
      </c>
      <c r="R116" s="405"/>
      <c r="S116" s="405"/>
      <c r="U116" s="75"/>
      <c r="V116" s="75"/>
      <c r="W116" s="75"/>
      <c r="X116" s="75"/>
      <c r="AB116" s="13"/>
      <c r="AC116" s="12"/>
      <c r="AD116" s="12"/>
      <c r="AE116" s="241"/>
      <c r="AF116" s="241"/>
      <c r="AG116" s="241"/>
      <c r="AH116" s="241"/>
      <c r="AI116" s="123"/>
      <c r="AJ116" s="107"/>
      <c r="AK116" s="107"/>
      <c r="AL116" s="107"/>
      <c r="AM116" s="107"/>
      <c r="AN116" s="156"/>
      <c r="AO116" s="124"/>
      <c r="AP116" s="167"/>
      <c r="AQ116" s="167"/>
    </row>
    <row r="117" spans="1:43" ht="56.25" x14ac:dyDescent="0.2">
      <c r="A117" s="44">
        <v>146</v>
      </c>
      <c r="B117" s="173" t="s">
        <v>314</v>
      </c>
      <c r="C117" s="171" t="s">
        <v>825</v>
      </c>
      <c r="D117" s="72" t="s">
        <v>272</v>
      </c>
      <c r="E117" s="72" t="s">
        <v>273</v>
      </c>
      <c r="F117" s="67" t="s">
        <v>274</v>
      </c>
      <c r="G117" s="67" t="s">
        <v>275</v>
      </c>
      <c r="H117" s="86">
        <v>8178</v>
      </c>
      <c r="I117" s="64">
        <v>2519.1</v>
      </c>
      <c r="J117" s="64">
        <f t="shared" si="21"/>
        <v>2771.01</v>
      </c>
      <c r="K117" s="64">
        <v>2519.1</v>
      </c>
      <c r="L117" s="64">
        <f t="shared" si="20"/>
        <v>2771.01</v>
      </c>
      <c r="M117" s="45" t="s">
        <v>125</v>
      </c>
      <c r="N117" s="25" t="s">
        <v>629</v>
      </c>
      <c r="O117" s="71" t="s">
        <v>285</v>
      </c>
      <c r="P117" s="71" t="s">
        <v>431</v>
      </c>
      <c r="Q117" s="71" t="s">
        <v>728</v>
      </c>
      <c r="R117" s="405"/>
      <c r="S117" s="405"/>
      <c r="U117" s="75"/>
      <c r="V117" s="75"/>
      <c r="W117" s="75"/>
      <c r="X117" s="75"/>
      <c r="AB117" s="13"/>
      <c r="AC117" s="12"/>
      <c r="AD117" s="12"/>
      <c r="AE117" s="241"/>
      <c r="AF117" s="241"/>
      <c r="AG117" s="241"/>
      <c r="AH117" s="241"/>
      <c r="AI117" s="123"/>
      <c r="AJ117" s="107"/>
      <c r="AK117" s="107"/>
      <c r="AL117" s="107"/>
      <c r="AM117" s="107"/>
      <c r="AN117" s="156"/>
      <c r="AO117" s="124"/>
      <c r="AP117" s="167"/>
      <c r="AQ117" s="167"/>
    </row>
    <row r="118" spans="1:43" ht="67.5" x14ac:dyDescent="0.2">
      <c r="A118" s="44">
        <v>147</v>
      </c>
      <c r="B118" s="173" t="s">
        <v>315</v>
      </c>
      <c r="C118" s="171" t="s">
        <v>781</v>
      </c>
      <c r="D118" s="74" t="s">
        <v>371</v>
      </c>
      <c r="E118" s="74" t="s">
        <v>372</v>
      </c>
      <c r="F118" s="67" t="s">
        <v>373</v>
      </c>
      <c r="G118" s="67" t="s">
        <v>374</v>
      </c>
      <c r="H118" s="86">
        <v>8179</v>
      </c>
      <c r="I118" s="64">
        <v>2519.1</v>
      </c>
      <c r="J118" s="64">
        <f t="shared" si="21"/>
        <v>2771.01</v>
      </c>
      <c r="K118" s="64">
        <v>2519.1</v>
      </c>
      <c r="L118" s="64">
        <f t="shared" si="20"/>
        <v>2771.01</v>
      </c>
      <c r="M118" s="45" t="s">
        <v>125</v>
      </c>
      <c r="N118" s="25" t="s">
        <v>629</v>
      </c>
      <c r="O118" s="71" t="s">
        <v>285</v>
      </c>
      <c r="P118" s="71" t="s">
        <v>431</v>
      </c>
      <c r="Q118" s="71" t="s">
        <v>728</v>
      </c>
      <c r="R118" s="405"/>
      <c r="S118" s="405"/>
      <c r="U118" s="75"/>
      <c r="V118" s="75"/>
      <c r="W118" s="75"/>
      <c r="X118" s="75"/>
      <c r="AB118" s="13"/>
      <c r="AC118" s="12"/>
      <c r="AD118" s="12"/>
      <c r="AE118" s="241"/>
      <c r="AF118" s="241"/>
      <c r="AG118" s="241"/>
      <c r="AH118" s="241"/>
      <c r="AI118" s="123"/>
      <c r="AJ118" s="107"/>
      <c r="AK118" s="107"/>
      <c r="AL118" s="107"/>
      <c r="AM118" s="107"/>
      <c r="AN118" s="156"/>
      <c r="AO118" s="124"/>
      <c r="AP118" s="167"/>
      <c r="AQ118" s="167"/>
    </row>
    <row r="119" spans="1:43" ht="56.25" x14ac:dyDescent="0.2">
      <c r="A119" s="44">
        <v>148</v>
      </c>
      <c r="B119" s="172" t="s">
        <v>316</v>
      </c>
      <c r="C119" s="171" t="s">
        <v>826</v>
      </c>
      <c r="D119" s="72" t="s">
        <v>347</v>
      </c>
      <c r="E119" s="72" t="s">
        <v>348</v>
      </c>
      <c r="F119" s="67" t="s">
        <v>349</v>
      </c>
      <c r="G119" s="67" t="s">
        <v>350</v>
      </c>
      <c r="H119" s="86">
        <v>8180</v>
      </c>
      <c r="I119" s="64">
        <v>344.4</v>
      </c>
      <c r="J119" s="64">
        <f t="shared" si="21"/>
        <v>378.84000000000003</v>
      </c>
      <c r="K119" s="64">
        <v>344.4</v>
      </c>
      <c r="L119" s="64">
        <f t="shared" si="20"/>
        <v>378.84000000000003</v>
      </c>
      <c r="M119" s="45" t="s">
        <v>125</v>
      </c>
      <c r="N119" s="25" t="s">
        <v>629</v>
      </c>
      <c r="O119" s="71" t="s">
        <v>285</v>
      </c>
      <c r="P119" s="71" t="s">
        <v>431</v>
      </c>
      <c r="Q119" s="71" t="s">
        <v>728</v>
      </c>
      <c r="R119" s="405"/>
      <c r="S119" s="405"/>
      <c r="U119" s="75"/>
      <c r="V119" s="75"/>
      <c r="W119" s="75"/>
      <c r="X119" s="75"/>
      <c r="AB119" s="13"/>
      <c r="AC119" s="12"/>
      <c r="AD119" s="12"/>
      <c r="AE119" s="241"/>
      <c r="AF119" s="241"/>
      <c r="AG119" s="241"/>
      <c r="AH119" s="241"/>
      <c r="AI119" s="123"/>
      <c r="AJ119" s="107"/>
      <c r="AK119" s="107"/>
      <c r="AL119" s="107"/>
      <c r="AM119" s="107"/>
      <c r="AN119" s="156"/>
      <c r="AO119" s="124"/>
      <c r="AP119" s="167"/>
      <c r="AQ119" s="167"/>
    </row>
    <row r="120" spans="1:43" ht="56.25" x14ac:dyDescent="0.2">
      <c r="A120" s="44">
        <v>149</v>
      </c>
      <c r="B120" s="172" t="s">
        <v>317</v>
      </c>
      <c r="C120" s="171" t="s">
        <v>827</v>
      </c>
      <c r="D120" s="72" t="s">
        <v>351</v>
      </c>
      <c r="E120" s="72" t="s">
        <v>352</v>
      </c>
      <c r="F120" s="67" t="s">
        <v>353</v>
      </c>
      <c r="G120" s="67" t="s">
        <v>354</v>
      </c>
      <c r="H120" s="86">
        <v>8181</v>
      </c>
      <c r="I120" s="64">
        <v>530.20000000000005</v>
      </c>
      <c r="J120" s="64">
        <f t="shared" si="21"/>
        <v>583.22000000000014</v>
      </c>
      <c r="K120" s="64">
        <v>530.20000000000005</v>
      </c>
      <c r="L120" s="64">
        <f t="shared" si="20"/>
        <v>583.22000000000014</v>
      </c>
      <c r="M120" s="45" t="s">
        <v>125</v>
      </c>
      <c r="N120" s="25" t="s">
        <v>629</v>
      </c>
      <c r="O120" s="71" t="s">
        <v>285</v>
      </c>
      <c r="P120" s="71" t="s">
        <v>431</v>
      </c>
      <c r="Q120" s="71" t="s">
        <v>728</v>
      </c>
      <c r="R120" s="405"/>
      <c r="S120" s="405"/>
      <c r="U120" s="75"/>
      <c r="V120" s="75"/>
      <c r="W120" s="75"/>
      <c r="X120" s="75"/>
      <c r="AB120" s="13"/>
      <c r="AC120" s="12"/>
      <c r="AD120" s="12"/>
      <c r="AE120" s="241"/>
      <c r="AF120" s="241"/>
      <c r="AG120" s="241"/>
      <c r="AH120" s="241"/>
      <c r="AI120" s="123"/>
      <c r="AJ120" s="107"/>
      <c r="AK120" s="107"/>
      <c r="AL120" s="107"/>
      <c r="AM120" s="107"/>
      <c r="AN120" s="156"/>
      <c r="AO120" s="124"/>
      <c r="AP120" s="167"/>
      <c r="AQ120" s="167"/>
    </row>
    <row r="121" spans="1:43" ht="56.25" x14ac:dyDescent="0.2">
      <c r="A121" s="44">
        <v>150</v>
      </c>
      <c r="B121" s="174" t="s">
        <v>318</v>
      </c>
      <c r="C121" s="171" t="s">
        <v>828</v>
      </c>
      <c r="D121" s="72" t="s">
        <v>355</v>
      </c>
      <c r="E121" s="72" t="s">
        <v>356</v>
      </c>
      <c r="F121" s="67" t="s">
        <v>357</v>
      </c>
      <c r="G121" s="67" t="s">
        <v>358</v>
      </c>
      <c r="H121" s="86">
        <v>8182</v>
      </c>
      <c r="I121" s="64">
        <v>2519.1</v>
      </c>
      <c r="J121" s="64">
        <f t="shared" si="21"/>
        <v>2771.01</v>
      </c>
      <c r="K121" s="64">
        <v>2519.1</v>
      </c>
      <c r="L121" s="64">
        <f t="shared" si="20"/>
        <v>2771.01</v>
      </c>
      <c r="M121" s="45" t="s">
        <v>125</v>
      </c>
      <c r="N121" s="25" t="s">
        <v>629</v>
      </c>
      <c r="O121" s="71" t="s">
        <v>285</v>
      </c>
      <c r="P121" s="71" t="s">
        <v>431</v>
      </c>
      <c r="Q121" s="71" t="s">
        <v>728</v>
      </c>
      <c r="R121" s="405"/>
      <c r="S121" s="405"/>
      <c r="U121" s="75"/>
      <c r="V121" s="75"/>
      <c r="W121" s="75"/>
      <c r="X121" s="75"/>
      <c r="AB121" s="13"/>
      <c r="AC121" s="12"/>
      <c r="AD121" s="12"/>
      <c r="AE121" s="241"/>
      <c r="AF121" s="241"/>
      <c r="AG121" s="241"/>
      <c r="AH121" s="241"/>
      <c r="AI121" s="123"/>
      <c r="AJ121" s="107"/>
      <c r="AK121" s="107"/>
      <c r="AL121" s="107"/>
      <c r="AM121" s="107"/>
      <c r="AN121" s="156"/>
      <c r="AO121" s="124"/>
      <c r="AP121" s="167"/>
      <c r="AQ121" s="167"/>
    </row>
    <row r="122" spans="1:43" ht="56.25" x14ac:dyDescent="0.2">
      <c r="A122" s="44">
        <v>151</v>
      </c>
      <c r="B122" s="172" t="s">
        <v>319</v>
      </c>
      <c r="C122" s="171" t="s">
        <v>829</v>
      </c>
      <c r="D122" s="72" t="s">
        <v>276</v>
      </c>
      <c r="E122" s="72" t="s">
        <v>277</v>
      </c>
      <c r="F122" s="67" t="s">
        <v>278</v>
      </c>
      <c r="G122" s="67" t="s">
        <v>279</v>
      </c>
      <c r="H122" s="86">
        <v>8183</v>
      </c>
      <c r="I122" s="64">
        <v>344.4</v>
      </c>
      <c r="J122" s="64">
        <f t="shared" si="21"/>
        <v>378.84000000000003</v>
      </c>
      <c r="K122" s="64">
        <v>344.4</v>
      </c>
      <c r="L122" s="64">
        <f t="shared" si="20"/>
        <v>378.84000000000003</v>
      </c>
      <c r="M122" s="45" t="s">
        <v>125</v>
      </c>
      <c r="N122" s="25" t="s">
        <v>629</v>
      </c>
      <c r="O122" s="71" t="s">
        <v>285</v>
      </c>
      <c r="P122" s="71" t="s">
        <v>431</v>
      </c>
      <c r="Q122" s="71" t="s">
        <v>728</v>
      </c>
      <c r="R122" s="405"/>
      <c r="S122" s="405"/>
      <c r="U122" s="75"/>
      <c r="V122" s="75"/>
      <c r="W122" s="75"/>
      <c r="X122" s="75"/>
      <c r="AB122" s="13"/>
      <c r="AC122" s="12"/>
      <c r="AD122" s="12"/>
      <c r="AE122" s="241"/>
      <c r="AF122" s="241"/>
      <c r="AG122" s="241"/>
      <c r="AH122" s="241"/>
      <c r="AI122" s="123"/>
      <c r="AJ122" s="107"/>
      <c r="AK122" s="107"/>
      <c r="AL122" s="107"/>
      <c r="AM122" s="107"/>
      <c r="AN122" s="156"/>
      <c r="AO122" s="124"/>
      <c r="AP122" s="167"/>
      <c r="AQ122" s="167"/>
    </row>
    <row r="123" spans="1:43" ht="56.25" x14ac:dyDescent="0.2">
      <c r="A123" s="44">
        <v>152</v>
      </c>
      <c r="B123" s="172" t="s">
        <v>320</v>
      </c>
      <c r="C123" s="171" t="s">
        <v>830</v>
      </c>
      <c r="D123" s="72" t="s">
        <v>280</v>
      </c>
      <c r="E123" s="72" t="s">
        <v>281</v>
      </c>
      <c r="F123" s="67" t="s">
        <v>282</v>
      </c>
      <c r="G123" s="67" t="s">
        <v>283</v>
      </c>
      <c r="H123" s="86">
        <v>8184</v>
      </c>
      <c r="I123" s="64">
        <v>530.20000000000005</v>
      </c>
      <c r="J123" s="64">
        <f t="shared" si="21"/>
        <v>583.22000000000014</v>
      </c>
      <c r="K123" s="64">
        <v>530.20000000000005</v>
      </c>
      <c r="L123" s="64">
        <f t="shared" si="20"/>
        <v>583.22000000000014</v>
      </c>
      <c r="M123" s="45" t="s">
        <v>125</v>
      </c>
      <c r="N123" s="25" t="s">
        <v>629</v>
      </c>
      <c r="O123" s="71" t="s">
        <v>285</v>
      </c>
      <c r="P123" s="71" t="s">
        <v>431</v>
      </c>
      <c r="Q123" s="71" t="s">
        <v>728</v>
      </c>
      <c r="R123" s="405"/>
      <c r="S123" s="405"/>
      <c r="U123" s="75"/>
      <c r="V123" s="75"/>
      <c r="W123" s="75"/>
      <c r="X123" s="75"/>
      <c r="AB123" s="13"/>
      <c r="AC123" s="12"/>
      <c r="AD123" s="12"/>
      <c r="AE123" s="241"/>
      <c r="AF123" s="241"/>
      <c r="AG123" s="241"/>
      <c r="AH123" s="241"/>
      <c r="AI123" s="123"/>
      <c r="AJ123" s="107"/>
      <c r="AK123" s="107"/>
      <c r="AL123" s="107"/>
      <c r="AM123" s="107"/>
      <c r="AN123" s="156"/>
      <c r="AO123" s="124"/>
      <c r="AP123" s="167"/>
      <c r="AQ123" s="167"/>
    </row>
    <row r="124" spans="1:43" ht="56.25" x14ac:dyDescent="0.2">
      <c r="A124" s="44">
        <v>153</v>
      </c>
      <c r="B124" s="174" t="s">
        <v>321</v>
      </c>
      <c r="C124" s="171" t="s">
        <v>831</v>
      </c>
      <c r="D124" s="72" t="s">
        <v>290</v>
      </c>
      <c r="E124" s="72" t="s">
        <v>291</v>
      </c>
      <c r="F124" s="67" t="s">
        <v>292</v>
      </c>
      <c r="G124" s="67" t="s">
        <v>293</v>
      </c>
      <c r="H124" s="86">
        <v>8185</v>
      </c>
      <c r="I124" s="64">
        <v>2519.1</v>
      </c>
      <c r="J124" s="64">
        <f t="shared" si="21"/>
        <v>2771.01</v>
      </c>
      <c r="K124" s="64">
        <v>2519.1</v>
      </c>
      <c r="L124" s="64">
        <f t="shared" si="20"/>
        <v>2771.01</v>
      </c>
      <c r="M124" s="45" t="s">
        <v>125</v>
      </c>
      <c r="N124" s="25" t="s">
        <v>629</v>
      </c>
      <c r="O124" s="71" t="s">
        <v>285</v>
      </c>
      <c r="P124" s="71" t="s">
        <v>431</v>
      </c>
      <c r="Q124" s="71" t="s">
        <v>728</v>
      </c>
      <c r="R124" s="405"/>
      <c r="S124" s="405"/>
      <c r="U124" s="75"/>
      <c r="V124" s="75"/>
      <c r="W124" s="75"/>
      <c r="X124" s="75"/>
      <c r="AB124" s="13"/>
      <c r="AC124" s="12"/>
      <c r="AD124" s="12"/>
      <c r="AE124" s="241"/>
      <c r="AF124" s="241"/>
      <c r="AG124" s="241"/>
      <c r="AH124" s="241"/>
      <c r="AI124" s="123"/>
      <c r="AJ124" s="107"/>
      <c r="AK124" s="107"/>
      <c r="AL124" s="107"/>
      <c r="AM124" s="107"/>
      <c r="AN124" s="156"/>
      <c r="AO124" s="124"/>
      <c r="AP124" s="167"/>
      <c r="AQ124" s="167"/>
    </row>
    <row r="125" spans="1:43" ht="56.25" x14ac:dyDescent="0.2">
      <c r="A125" s="44">
        <v>154</v>
      </c>
      <c r="B125" s="172" t="s">
        <v>322</v>
      </c>
      <c r="C125" s="171" t="s">
        <v>832</v>
      </c>
      <c r="D125" s="72" t="s">
        <v>375</v>
      </c>
      <c r="E125" s="72" t="s">
        <v>376</v>
      </c>
      <c r="F125" s="67" t="s">
        <v>377</v>
      </c>
      <c r="G125" s="67" t="s">
        <v>378</v>
      </c>
      <c r="H125" s="86">
        <v>8186</v>
      </c>
      <c r="I125" s="64">
        <v>344.4</v>
      </c>
      <c r="J125" s="64">
        <f t="shared" si="21"/>
        <v>378.84000000000003</v>
      </c>
      <c r="K125" s="64">
        <v>344.4</v>
      </c>
      <c r="L125" s="64">
        <f t="shared" si="20"/>
        <v>378.84000000000003</v>
      </c>
      <c r="M125" s="45" t="s">
        <v>125</v>
      </c>
      <c r="N125" s="25" t="s">
        <v>629</v>
      </c>
      <c r="O125" s="71" t="s">
        <v>285</v>
      </c>
      <c r="P125" s="71" t="s">
        <v>431</v>
      </c>
      <c r="Q125" s="71" t="s">
        <v>728</v>
      </c>
      <c r="R125" s="405"/>
      <c r="S125" s="405"/>
      <c r="U125" s="75"/>
      <c r="V125" s="75"/>
      <c r="W125" s="75"/>
      <c r="X125" s="75"/>
      <c r="AB125" s="13"/>
      <c r="AC125" s="12"/>
      <c r="AD125" s="12"/>
      <c r="AE125" s="241"/>
      <c r="AF125" s="241"/>
      <c r="AG125" s="241"/>
      <c r="AH125" s="241"/>
      <c r="AI125" s="123"/>
      <c r="AJ125" s="107"/>
      <c r="AK125" s="107"/>
      <c r="AL125" s="107"/>
      <c r="AM125" s="107"/>
      <c r="AN125" s="156"/>
      <c r="AO125" s="124"/>
      <c r="AP125" s="167"/>
      <c r="AQ125" s="167"/>
    </row>
    <row r="126" spans="1:43" ht="56.25" x14ac:dyDescent="0.2">
      <c r="A126" s="44">
        <v>155</v>
      </c>
      <c r="B126" s="172" t="s">
        <v>323</v>
      </c>
      <c r="C126" s="171" t="s">
        <v>833</v>
      </c>
      <c r="D126" s="72" t="s">
        <v>379</v>
      </c>
      <c r="E126" s="72" t="s">
        <v>380</v>
      </c>
      <c r="F126" s="67" t="s">
        <v>381</v>
      </c>
      <c r="G126" s="67" t="s">
        <v>382</v>
      </c>
      <c r="H126" s="86">
        <v>8187</v>
      </c>
      <c r="I126" s="64">
        <v>530.20000000000005</v>
      </c>
      <c r="J126" s="64">
        <f t="shared" si="21"/>
        <v>583.22000000000014</v>
      </c>
      <c r="K126" s="64">
        <v>530.20000000000005</v>
      </c>
      <c r="L126" s="64">
        <f t="shared" si="20"/>
        <v>583.22000000000014</v>
      </c>
      <c r="M126" s="45" t="s">
        <v>125</v>
      </c>
      <c r="N126" s="25" t="s">
        <v>629</v>
      </c>
      <c r="O126" s="71" t="s">
        <v>285</v>
      </c>
      <c r="P126" s="71" t="s">
        <v>431</v>
      </c>
      <c r="Q126" s="71" t="s">
        <v>728</v>
      </c>
      <c r="R126" s="405"/>
      <c r="S126" s="405"/>
      <c r="U126" s="75"/>
      <c r="V126" s="75"/>
      <c r="W126" s="75"/>
      <c r="X126" s="75"/>
      <c r="AB126" s="13"/>
      <c r="AC126" s="12"/>
      <c r="AD126" s="12"/>
      <c r="AE126" s="241"/>
      <c r="AF126" s="241"/>
      <c r="AG126" s="241"/>
      <c r="AH126" s="241"/>
      <c r="AI126" s="123"/>
      <c r="AJ126" s="107"/>
      <c r="AK126" s="107"/>
      <c r="AL126" s="107"/>
      <c r="AM126" s="107"/>
      <c r="AN126" s="156"/>
      <c r="AO126" s="124"/>
      <c r="AP126" s="167"/>
      <c r="AQ126" s="167"/>
    </row>
    <row r="127" spans="1:43" ht="56.25" x14ac:dyDescent="0.2">
      <c r="A127" s="44">
        <v>156</v>
      </c>
      <c r="B127" s="174" t="s">
        <v>324</v>
      </c>
      <c r="C127" s="171" t="s">
        <v>834</v>
      </c>
      <c r="D127" s="72" t="s">
        <v>383</v>
      </c>
      <c r="E127" s="72" t="s">
        <v>384</v>
      </c>
      <c r="F127" s="67" t="s">
        <v>385</v>
      </c>
      <c r="G127" s="67" t="s">
        <v>386</v>
      </c>
      <c r="H127" s="86">
        <v>8188</v>
      </c>
      <c r="I127" s="64">
        <v>2519.1</v>
      </c>
      <c r="J127" s="64">
        <f t="shared" si="21"/>
        <v>2771.01</v>
      </c>
      <c r="K127" s="64">
        <v>2519.1</v>
      </c>
      <c r="L127" s="64">
        <f t="shared" si="20"/>
        <v>2771.01</v>
      </c>
      <c r="M127" s="45" t="s">
        <v>125</v>
      </c>
      <c r="N127" s="25" t="s">
        <v>629</v>
      </c>
      <c r="O127" s="71" t="s">
        <v>285</v>
      </c>
      <c r="P127" s="71" t="s">
        <v>431</v>
      </c>
      <c r="Q127" s="71" t="s">
        <v>728</v>
      </c>
      <c r="R127" s="405"/>
      <c r="S127" s="405"/>
      <c r="U127" s="75"/>
      <c r="V127" s="75"/>
      <c r="W127" s="75"/>
      <c r="X127" s="75"/>
      <c r="AB127" s="13"/>
      <c r="AC127" s="12"/>
      <c r="AD127" s="12"/>
      <c r="AE127" s="241"/>
      <c r="AF127" s="241"/>
      <c r="AG127" s="241"/>
      <c r="AH127" s="241"/>
      <c r="AI127" s="123"/>
      <c r="AJ127" s="107"/>
      <c r="AK127" s="107"/>
      <c r="AL127" s="107"/>
      <c r="AM127" s="107"/>
      <c r="AN127" s="156"/>
      <c r="AO127" s="124"/>
      <c r="AP127" s="167"/>
      <c r="AQ127" s="167"/>
    </row>
    <row r="128" spans="1:43" ht="67.5" x14ac:dyDescent="0.2">
      <c r="A128" s="44" t="s">
        <v>183</v>
      </c>
      <c r="B128" s="174" t="s">
        <v>325</v>
      </c>
      <c r="C128" s="171" t="s">
        <v>835</v>
      </c>
      <c r="D128" s="72" t="s">
        <v>262</v>
      </c>
      <c r="E128" s="72" t="s">
        <v>263</v>
      </c>
      <c r="F128" s="67" t="s">
        <v>266</v>
      </c>
      <c r="G128" s="67" t="s">
        <v>267</v>
      </c>
      <c r="H128" s="86">
        <v>8189</v>
      </c>
      <c r="I128" s="64">
        <v>63.4</v>
      </c>
      <c r="J128" s="64">
        <f t="shared" si="21"/>
        <v>69.740000000000009</v>
      </c>
      <c r="K128" s="64">
        <v>63.4</v>
      </c>
      <c r="L128" s="64">
        <f t="shared" si="20"/>
        <v>69.740000000000009</v>
      </c>
      <c r="M128" s="45" t="s">
        <v>125</v>
      </c>
      <c r="N128" s="25" t="s">
        <v>630</v>
      </c>
      <c r="O128" s="71" t="s">
        <v>285</v>
      </c>
      <c r="P128" s="71" t="s">
        <v>416</v>
      </c>
      <c r="Q128" s="71" t="s">
        <v>416</v>
      </c>
      <c r="R128" s="405"/>
      <c r="S128" s="405"/>
      <c r="U128" s="75"/>
      <c r="V128" s="75"/>
      <c r="W128" s="75"/>
      <c r="X128" s="75"/>
      <c r="AB128" s="13"/>
      <c r="AC128" s="12"/>
      <c r="AD128" s="12"/>
      <c r="AE128" s="241"/>
      <c r="AF128" s="241"/>
      <c r="AG128" s="241"/>
      <c r="AH128" s="241"/>
      <c r="AI128" s="123"/>
      <c r="AJ128" s="107"/>
      <c r="AK128" s="107"/>
      <c r="AL128" s="107"/>
      <c r="AM128" s="107"/>
      <c r="AN128" s="156"/>
      <c r="AO128" s="124"/>
      <c r="AP128" s="167"/>
      <c r="AQ128" s="167"/>
    </row>
    <row r="129" spans="1:43" ht="67.5" x14ac:dyDescent="0.2">
      <c r="A129" s="44" t="s">
        <v>184</v>
      </c>
      <c r="B129" s="174" t="s">
        <v>326</v>
      </c>
      <c r="C129" s="171" t="s">
        <v>836</v>
      </c>
      <c r="D129" s="72" t="s">
        <v>327</v>
      </c>
      <c r="E129" s="72" t="s">
        <v>328</v>
      </c>
      <c r="F129" s="67" t="s">
        <v>329</v>
      </c>
      <c r="G129" s="67" t="s">
        <v>330</v>
      </c>
      <c r="H129" s="86">
        <v>8190</v>
      </c>
      <c r="I129" s="64">
        <v>63.4</v>
      </c>
      <c r="J129" s="64">
        <f t="shared" si="21"/>
        <v>69.740000000000009</v>
      </c>
      <c r="K129" s="64">
        <v>63.4</v>
      </c>
      <c r="L129" s="64">
        <f t="shared" si="20"/>
        <v>69.740000000000009</v>
      </c>
      <c r="M129" s="45" t="s">
        <v>125</v>
      </c>
      <c r="N129" s="25" t="s">
        <v>630</v>
      </c>
      <c r="O129" s="71" t="s">
        <v>285</v>
      </c>
      <c r="P129" s="71" t="s">
        <v>416</v>
      </c>
      <c r="Q129" s="71" t="s">
        <v>416</v>
      </c>
      <c r="R129" s="405"/>
      <c r="S129" s="405"/>
      <c r="U129" s="75"/>
      <c r="V129" s="75"/>
      <c r="W129" s="75"/>
      <c r="X129" s="75"/>
      <c r="AB129" s="13"/>
      <c r="AC129" s="12"/>
      <c r="AD129" s="12"/>
      <c r="AE129" s="241"/>
      <c r="AF129" s="241"/>
      <c r="AG129" s="241"/>
      <c r="AH129" s="241"/>
      <c r="AI129" s="123"/>
      <c r="AJ129" s="107"/>
      <c r="AK129" s="107"/>
      <c r="AL129" s="107"/>
      <c r="AM129" s="107"/>
      <c r="AN129" s="156"/>
      <c r="AO129" s="124"/>
      <c r="AP129" s="167"/>
      <c r="AQ129" s="167"/>
    </row>
    <row r="130" spans="1:43" ht="67.5" x14ac:dyDescent="0.2">
      <c r="A130" s="44" t="s">
        <v>185</v>
      </c>
      <c r="B130" s="174" t="s">
        <v>331</v>
      </c>
      <c r="C130" s="171" t="s">
        <v>837</v>
      </c>
      <c r="D130" s="72" t="s">
        <v>332</v>
      </c>
      <c r="E130" s="72" t="s">
        <v>333</v>
      </c>
      <c r="F130" s="67" t="s">
        <v>334</v>
      </c>
      <c r="G130" s="67" t="s">
        <v>335</v>
      </c>
      <c r="H130" s="86">
        <v>8191</v>
      </c>
      <c r="I130" s="64">
        <v>63.4</v>
      </c>
      <c r="J130" s="64">
        <f t="shared" si="21"/>
        <v>69.740000000000009</v>
      </c>
      <c r="K130" s="64">
        <v>63.4</v>
      </c>
      <c r="L130" s="64">
        <f t="shared" si="20"/>
        <v>69.740000000000009</v>
      </c>
      <c r="M130" s="45" t="s">
        <v>125</v>
      </c>
      <c r="N130" s="25" t="s">
        <v>630</v>
      </c>
      <c r="O130" s="71" t="s">
        <v>285</v>
      </c>
      <c r="P130" s="71" t="s">
        <v>416</v>
      </c>
      <c r="Q130" s="71" t="s">
        <v>416</v>
      </c>
      <c r="R130" s="405"/>
      <c r="S130" s="405"/>
      <c r="U130" s="75"/>
      <c r="V130" s="75"/>
      <c r="W130" s="75"/>
      <c r="X130" s="75"/>
      <c r="AB130" s="13"/>
      <c r="AC130" s="12"/>
      <c r="AD130" s="12"/>
      <c r="AE130" s="241"/>
      <c r="AF130" s="241"/>
      <c r="AG130" s="241"/>
      <c r="AH130" s="241"/>
      <c r="AI130" s="123"/>
      <c r="AJ130" s="107"/>
      <c r="AK130" s="107"/>
      <c r="AL130" s="107"/>
      <c r="AM130" s="107"/>
      <c r="AN130" s="156"/>
      <c r="AO130" s="124"/>
      <c r="AP130" s="167"/>
      <c r="AQ130" s="167"/>
    </row>
    <row r="131" spans="1:43" ht="67.5" x14ac:dyDescent="0.2">
      <c r="A131" s="424" t="s">
        <v>186</v>
      </c>
      <c r="B131" s="441" t="s">
        <v>336</v>
      </c>
      <c r="C131" s="442" t="s">
        <v>838</v>
      </c>
      <c r="D131" s="443" t="s">
        <v>337</v>
      </c>
      <c r="E131" s="443" t="s">
        <v>338</v>
      </c>
      <c r="F131" s="426" t="s">
        <v>339</v>
      </c>
      <c r="G131" s="426" t="s">
        <v>340</v>
      </c>
      <c r="H131" s="444">
        <v>8192</v>
      </c>
      <c r="I131" s="429">
        <v>121.3</v>
      </c>
      <c r="J131" s="429">
        <f t="shared" si="21"/>
        <v>133.43</v>
      </c>
      <c r="K131" s="429">
        <v>121.3</v>
      </c>
      <c r="L131" s="429">
        <f t="shared" si="20"/>
        <v>133.43</v>
      </c>
      <c r="M131" s="430" t="s">
        <v>125</v>
      </c>
      <c r="N131" s="431" t="s">
        <v>630</v>
      </c>
      <c r="O131" s="432" t="s">
        <v>285</v>
      </c>
      <c r="P131" s="432" t="s">
        <v>416</v>
      </c>
      <c r="Q131" s="432" t="s">
        <v>416</v>
      </c>
      <c r="R131" s="405"/>
      <c r="S131" s="405"/>
      <c r="U131" s="75"/>
      <c r="V131" s="75"/>
      <c r="W131" s="75"/>
      <c r="X131" s="75"/>
      <c r="AB131" s="13"/>
      <c r="AC131" s="12"/>
      <c r="AD131" s="12"/>
      <c r="AE131" s="241"/>
      <c r="AF131" s="241"/>
      <c r="AG131" s="241"/>
      <c r="AH131" s="241"/>
      <c r="AI131" s="123"/>
      <c r="AJ131" s="107"/>
      <c r="AK131" s="107"/>
      <c r="AL131" s="107"/>
      <c r="AM131" s="107"/>
      <c r="AN131" s="156"/>
      <c r="AO131" s="124"/>
      <c r="AP131" s="167"/>
      <c r="AQ131" s="167"/>
    </row>
    <row r="132" spans="1:43" x14ac:dyDescent="0.2">
      <c r="A132" s="46"/>
      <c r="B132" s="47" t="s">
        <v>178</v>
      </c>
      <c r="C132" s="48"/>
      <c r="D132" s="49"/>
      <c r="E132" s="49"/>
      <c r="F132" s="49"/>
      <c r="G132" s="49"/>
      <c r="H132" s="83"/>
      <c r="I132" s="50"/>
      <c r="J132" s="50"/>
      <c r="K132" s="50"/>
      <c r="L132" s="50"/>
      <c r="M132" s="51"/>
      <c r="N132" s="51"/>
      <c r="O132" s="51"/>
      <c r="P132" s="51"/>
      <c r="Q132" s="423"/>
      <c r="R132" s="402"/>
      <c r="S132" s="402"/>
      <c r="U132" s="75"/>
      <c r="V132" s="75"/>
      <c r="W132" s="75"/>
      <c r="X132" s="75"/>
      <c r="AB132" s="241"/>
      <c r="AC132" s="125"/>
      <c r="AD132" s="126"/>
      <c r="AE132" s="241"/>
      <c r="AF132" s="241"/>
      <c r="AG132" s="241"/>
      <c r="AH132" s="241"/>
      <c r="AI132" s="123"/>
      <c r="AJ132" s="112"/>
      <c r="AK132" s="112"/>
      <c r="AL132" s="112"/>
      <c r="AM132" s="112"/>
      <c r="AN132" s="127"/>
      <c r="AO132" s="127"/>
      <c r="AP132" s="127"/>
      <c r="AQ132" s="124"/>
    </row>
    <row r="133" spans="1:43" ht="67.5" x14ac:dyDescent="0.2">
      <c r="A133" s="334">
        <v>74</v>
      </c>
      <c r="B133" s="445" t="s">
        <v>547</v>
      </c>
      <c r="C133" s="445" t="s">
        <v>782</v>
      </c>
      <c r="D133" s="446" t="s">
        <v>187</v>
      </c>
      <c r="E133" s="446" t="s">
        <v>188</v>
      </c>
      <c r="F133" s="446" t="s">
        <v>189</v>
      </c>
      <c r="G133" s="446" t="s">
        <v>190</v>
      </c>
      <c r="H133" s="447">
        <v>8080</v>
      </c>
      <c r="I133" s="339">
        <v>39.1</v>
      </c>
      <c r="J133" s="339">
        <f t="shared" si="21"/>
        <v>43.010000000000005</v>
      </c>
      <c r="K133" s="339">
        <v>39.1</v>
      </c>
      <c r="L133" s="339">
        <f t="shared" si="20"/>
        <v>43.010000000000005</v>
      </c>
      <c r="M133" s="448" t="s">
        <v>126</v>
      </c>
      <c r="N133" s="341" t="s">
        <v>133</v>
      </c>
      <c r="O133" s="342" t="s">
        <v>285</v>
      </c>
      <c r="P133" s="342" t="s">
        <v>414</v>
      </c>
      <c r="Q133" s="342" t="s">
        <v>618</v>
      </c>
      <c r="R133" s="400"/>
      <c r="S133" s="400"/>
      <c r="U133" s="75"/>
      <c r="V133" s="75"/>
      <c r="W133" s="75"/>
      <c r="X133" s="75"/>
      <c r="AB133" s="13"/>
      <c r="AC133" s="12"/>
      <c r="AD133" s="12"/>
      <c r="AE133" s="241"/>
      <c r="AF133" s="241"/>
      <c r="AG133" s="241"/>
      <c r="AH133" s="241"/>
      <c r="AI133" s="123"/>
      <c r="AJ133" s="106"/>
      <c r="AK133" s="106"/>
      <c r="AL133" s="106"/>
      <c r="AM133" s="106"/>
      <c r="AN133" s="108"/>
      <c r="AO133" s="124"/>
      <c r="AP133" s="116"/>
      <c r="AQ133" s="98"/>
    </row>
    <row r="134" spans="1:43" ht="60.75" customHeight="1" x14ac:dyDescent="0.2">
      <c r="A134" s="31" t="s">
        <v>179</v>
      </c>
      <c r="B134" s="163" t="s">
        <v>181</v>
      </c>
      <c r="C134" s="163" t="s">
        <v>783</v>
      </c>
      <c r="D134" s="53" t="s">
        <v>191</v>
      </c>
      <c r="E134" s="53" t="s">
        <v>192</v>
      </c>
      <c r="F134" s="53" t="s">
        <v>193</v>
      </c>
      <c r="G134" s="53" t="s">
        <v>194</v>
      </c>
      <c r="H134" s="301">
        <v>8078</v>
      </c>
      <c r="I134" s="59">
        <v>39.1</v>
      </c>
      <c r="J134" s="59">
        <f t="shared" si="21"/>
        <v>43.010000000000005</v>
      </c>
      <c r="K134" s="59">
        <v>39.1</v>
      </c>
      <c r="L134" s="59">
        <f t="shared" si="20"/>
        <v>43.010000000000005</v>
      </c>
      <c r="M134" s="52" t="s">
        <v>126</v>
      </c>
      <c r="N134" s="36" t="s">
        <v>418</v>
      </c>
      <c r="O134" s="54" t="s">
        <v>285</v>
      </c>
      <c r="P134" s="54" t="s">
        <v>416</v>
      </c>
      <c r="Q134" s="54" t="s">
        <v>416</v>
      </c>
      <c r="R134" s="400"/>
      <c r="S134" s="400"/>
      <c r="U134" s="75"/>
      <c r="V134" s="75"/>
      <c r="W134" s="75"/>
      <c r="X134" s="75"/>
      <c r="AB134" s="13"/>
      <c r="AC134" s="12"/>
      <c r="AD134" s="12"/>
      <c r="AE134" s="241"/>
      <c r="AF134" s="241"/>
      <c r="AG134" s="241"/>
      <c r="AH134" s="241"/>
      <c r="AI134" s="123"/>
      <c r="AJ134" s="106"/>
      <c r="AK134" s="106"/>
      <c r="AL134" s="106"/>
      <c r="AM134" s="106"/>
      <c r="AN134" s="108"/>
      <c r="AO134" s="124"/>
      <c r="AP134" s="116"/>
      <c r="AQ134" s="98"/>
    </row>
    <row r="135" spans="1:43" ht="90" x14ac:dyDescent="0.2">
      <c r="A135" s="31">
        <v>75</v>
      </c>
      <c r="B135" s="163" t="s">
        <v>548</v>
      </c>
      <c r="C135" s="163" t="s">
        <v>784</v>
      </c>
      <c r="D135" s="54" t="s">
        <v>195</v>
      </c>
      <c r="E135" s="54" t="s">
        <v>196</v>
      </c>
      <c r="F135" s="54" t="s">
        <v>197</v>
      </c>
      <c r="G135" s="54" t="s">
        <v>198</v>
      </c>
      <c r="H135" s="87">
        <v>8081</v>
      </c>
      <c r="I135" s="59">
        <v>18.100000000000001</v>
      </c>
      <c r="J135" s="59">
        <f t="shared" si="21"/>
        <v>19.910000000000004</v>
      </c>
      <c r="K135" s="59">
        <v>18.100000000000001</v>
      </c>
      <c r="L135" s="59">
        <f t="shared" si="20"/>
        <v>19.910000000000004</v>
      </c>
      <c r="M135" s="52" t="s">
        <v>126</v>
      </c>
      <c r="N135" s="36" t="s">
        <v>133</v>
      </c>
      <c r="O135" s="54" t="s">
        <v>285</v>
      </c>
      <c r="P135" s="54" t="s">
        <v>414</v>
      </c>
      <c r="Q135" s="54" t="s">
        <v>729</v>
      </c>
      <c r="R135" s="400"/>
      <c r="S135" s="400"/>
      <c r="U135" s="75"/>
      <c r="V135" s="75"/>
      <c r="W135" s="75"/>
      <c r="X135" s="75"/>
      <c r="AB135" s="13"/>
      <c r="AC135" s="12"/>
      <c r="AD135" s="12"/>
      <c r="AE135" s="242"/>
      <c r="AF135" s="242"/>
      <c r="AG135" s="242"/>
      <c r="AH135" s="242"/>
      <c r="AI135" s="131"/>
      <c r="AJ135" s="106"/>
      <c r="AK135" s="106"/>
      <c r="AL135" s="106"/>
      <c r="AM135" s="106"/>
      <c r="AN135" s="108"/>
      <c r="AO135" s="124"/>
      <c r="AP135" s="116"/>
      <c r="AQ135" s="98"/>
    </row>
    <row r="136" spans="1:43" ht="45" x14ac:dyDescent="0.2">
      <c r="A136" s="31" t="s">
        <v>180</v>
      </c>
      <c r="B136" s="163" t="s">
        <v>182</v>
      </c>
      <c r="C136" s="163" t="s">
        <v>785</v>
      </c>
      <c r="D136" s="53" t="s">
        <v>199</v>
      </c>
      <c r="E136" s="53" t="s">
        <v>200</v>
      </c>
      <c r="F136" s="53" t="s">
        <v>201</v>
      </c>
      <c r="G136" s="53" t="s">
        <v>202</v>
      </c>
      <c r="H136" s="301">
        <v>8079</v>
      </c>
      <c r="I136" s="59">
        <v>18.100000000000001</v>
      </c>
      <c r="J136" s="59">
        <f t="shared" si="21"/>
        <v>19.910000000000004</v>
      </c>
      <c r="K136" s="59">
        <v>18.100000000000001</v>
      </c>
      <c r="L136" s="59">
        <f t="shared" si="20"/>
        <v>19.910000000000004</v>
      </c>
      <c r="M136" s="52" t="s">
        <v>126</v>
      </c>
      <c r="N136" s="36" t="s">
        <v>418</v>
      </c>
      <c r="O136" s="54" t="s">
        <v>285</v>
      </c>
      <c r="P136" s="54" t="s">
        <v>416</v>
      </c>
      <c r="Q136" s="54" t="s">
        <v>416</v>
      </c>
      <c r="R136" s="400"/>
      <c r="S136" s="400"/>
      <c r="U136" s="75"/>
      <c r="V136" s="75"/>
      <c r="W136" s="75"/>
      <c r="X136" s="75"/>
      <c r="AB136" s="13"/>
      <c r="AC136" s="12"/>
      <c r="AD136" s="12"/>
      <c r="AE136" s="241"/>
      <c r="AF136" s="241"/>
      <c r="AG136" s="241"/>
      <c r="AH136" s="241"/>
      <c r="AI136" s="123"/>
      <c r="AJ136" s="106"/>
      <c r="AK136" s="106"/>
      <c r="AL136" s="106"/>
      <c r="AM136" s="106"/>
      <c r="AN136" s="108"/>
      <c r="AO136" s="124"/>
      <c r="AP136" s="116"/>
      <c r="AQ136" s="98"/>
    </row>
    <row r="137" spans="1:43" ht="81.75" customHeight="1" x14ac:dyDescent="0.2">
      <c r="A137" s="8">
        <v>76</v>
      </c>
      <c r="B137" s="159" t="s">
        <v>549</v>
      </c>
      <c r="C137" s="159" t="s">
        <v>786</v>
      </c>
      <c r="D137" s="260" t="s">
        <v>203</v>
      </c>
      <c r="E137" s="260" t="s">
        <v>204</v>
      </c>
      <c r="F137" s="260" t="s">
        <v>205</v>
      </c>
      <c r="G137" s="260" t="s">
        <v>206</v>
      </c>
      <c r="H137" s="79">
        <v>8082</v>
      </c>
      <c r="I137" s="480" t="s">
        <v>29</v>
      </c>
      <c r="J137" s="480"/>
      <c r="K137" s="480" t="s">
        <v>29</v>
      </c>
      <c r="L137" s="480"/>
      <c r="M137" s="65" t="s">
        <v>126</v>
      </c>
      <c r="N137" s="66" t="s">
        <v>110</v>
      </c>
      <c r="O137" s="70" t="s">
        <v>285</v>
      </c>
      <c r="P137" s="70" t="s">
        <v>414</v>
      </c>
      <c r="Q137" s="70" t="s">
        <v>730</v>
      </c>
      <c r="R137" s="401"/>
      <c r="S137" s="401"/>
      <c r="U137" s="75"/>
      <c r="V137" s="75"/>
      <c r="W137" s="75"/>
      <c r="X137" s="75"/>
      <c r="AB137" s="13"/>
      <c r="AC137" s="12"/>
      <c r="AD137" s="12"/>
      <c r="AE137" s="241"/>
      <c r="AF137" s="241"/>
      <c r="AG137" s="241"/>
      <c r="AH137" s="241"/>
      <c r="AI137" s="123"/>
      <c r="AJ137" s="500"/>
      <c r="AK137" s="500"/>
      <c r="AL137" s="500"/>
      <c r="AM137" s="500"/>
      <c r="AN137" s="108"/>
      <c r="AO137" s="124"/>
      <c r="AP137" s="116"/>
      <c r="AQ137" s="98"/>
    </row>
    <row r="138" spans="1:43" ht="78.75" customHeight="1" x14ac:dyDescent="0.2">
      <c r="A138" s="8">
        <v>77</v>
      </c>
      <c r="B138" s="159" t="s">
        <v>550</v>
      </c>
      <c r="C138" s="159" t="s">
        <v>787</v>
      </c>
      <c r="D138" s="260" t="s">
        <v>207</v>
      </c>
      <c r="E138" s="260" t="s">
        <v>208</v>
      </c>
      <c r="F138" s="260" t="s">
        <v>209</v>
      </c>
      <c r="G138" s="260" t="s">
        <v>210</v>
      </c>
      <c r="H138" s="79">
        <v>8083</v>
      </c>
      <c r="I138" s="480" t="s">
        <v>29</v>
      </c>
      <c r="J138" s="480"/>
      <c r="K138" s="480" t="s">
        <v>29</v>
      </c>
      <c r="L138" s="480"/>
      <c r="M138" s="65" t="s">
        <v>126</v>
      </c>
      <c r="N138" s="66" t="s">
        <v>110</v>
      </c>
      <c r="O138" s="70" t="s">
        <v>285</v>
      </c>
      <c r="P138" s="70" t="s">
        <v>415</v>
      </c>
      <c r="Q138" s="70" t="s">
        <v>731</v>
      </c>
      <c r="R138" s="401"/>
      <c r="S138" s="401"/>
      <c r="U138" s="75"/>
      <c r="V138" s="75"/>
      <c r="W138" s="75"/>
      <c r="X138" s="75"/>
      <c r="AB138" s="13"/>
      <c r="AC138" s="12"/>
      <c r="AD138" s="12"/>
      <c r="AE138" s="241"/>
      <c r="AF138" s="241"/>
      <c r="AG138" s="241"/>
      <c r="AH138" s="241"/>
      <c r="AI138" s="123"/>
      <c r="AJ138" s="500"/>
      <c r="AK138" s="500"/>
      <c r="AL138" s="500"/>
      <c r="AM138" s="500"/>
      <c r="AN138" s="108"/>
      <c r="AO138" s="124"/>
      <c r="AP138" s="116"/>
      <c r="AQ138" s="98"/>
    </row>
    <row r="139" spans="1:43" ht="56.25" x14ac:dyDescent="0.2">
      <c r="A139" s="8">
        <v>78</v>
      </c>
      <c r="B139" s="159" t="s">
        <v>551</v>
      </c>
      <c r="C139" s="159" t="s">
        <v>788</v>
      </c>
      <c r="D139" s="260" t="s">
        <v>211</v>
      </c>
      <c r="E139" s="260" t="s">
        <v>212</v>
      </c>
      <c r="F139" s="260" t="s">
        <v>213</v>
      </c>
      <c r="G139" s="260" t="s">
        <v>214</v>
      </c>
      <c r="H139" s="79">
        <v>8084</v>
      </c>
      <c r="I139" s="480" t="s">
        <v>29</v>
      </c>
      <c r="J139" s="480"/>
      <c r="K139" s="480" t="s">
        <v>29</v>
      </c>
      <c r="L139" s="480"/>
      <c r="M139" s="65" t="s">
        <v>126</v>
      </c>
      <c r="N139" s="66" t="s">
        <v>110</v>
      </c>
      <c r="O139" s="70" t="s">
        <v>285</v>
      </c>
      <c r="P139" s="70" t="s">
        <v>414</v>
      </c>
      <c r="Q139" s="70" t="s">
        <v>732</v>
      </c>
      <c r="R139" s="401"/>
      <c r="S139" s="401"/>
      <c r="U139" s="75"/>
      <c r="V139" s="75"/>
      <c r="W139" s="75"/>
      <c r="X139" s="75"/>
      <c r="AB139" s="13"/>
      <c r="AC139" s="12"/>
      <c r="AD139" s="12"/>
      <c r="AE139" s="241"/>
      <c r="AF139" s="241"/>
      <c r="AG139" s="241"/>
      <c r="AH139" s="241"/>
      <c r="AI139" s="123"/>
      <c r="AJ139" s="500"/>
      <c r="AK139" s="500"/>
      <c r="AL139" s="500"/>
      <c r="AM139" s="500"/>
      <c r="AN139" s="108"/>
      <c r="AO139" s="124"/>
      <c r="AP139" s="116"/>
      <c r="AQ139" s="98"/>
    </row>
    <row r="140" spans="1:43" ht="191.25" x14ac:dyDescent="0.2">
      <c r="A140" s="8">
        <v>79</v>
      </c>
      <c r="B140" s="159" t="s">
        <v>552</v>
      </c>
      <c r="C140" s="159" t="s">
        <v>789</v>
      </c>
      <c r="D140" s="479" t="s">
        <v>28</v>
      </c>
      <c r="E140" s="479"/>
      <c r="F140" s="479"/>
      <c r="G140" s="479"/>
      <c r="H140" s="79">
        <v>8085</v>
      </c>
      <c r="I140" s="480" t="s">
        <v>29</v>
      </c>
      <c r="J140" s="480"/>
      <c r="K140" s="480" t="s">
        <v>29</v>
      </c>
      <c r="L140" s="480"/>
      <c r="M140" s="65" t="s">
        <v>126</v>
      </c>
      <c r="N140" s="66" t="s">
        <v>110</v>
      </c>
      <c r="O140" s="70" t="s">
        <v>284</v>
      </c>
      <c r="P140" s="70" t="s">
        <v>431</v>
      </c>
      <c r="Q140" s="70" t="s">
        <v>416</v>
      </c>
      <c r="R140" s="401"/>
      <c r="S140" s="401"/>
      <c r="U140" s="75"/>
      <c r="V140" s="75"/>
      <c r="W140" s="75"/>
      <c r="X140" s="75"/>
      <c r="AB140" s="13"/>
      <c r="AC140" s="12"/>
      <c r="AD140" s="12"/>
      <c r="AE140" s="247"/>
      <c r="AF140" s="247"/>
      <c r="AG140" s="247"/>
      <c r="AH140" s="247"/>
      <c r="AI140" s="123"/>
      <c r="AJ140" s="500"/>
      <c r="AK140" s="500"/>
      <c r="AL140" s="500"/>
      <c r="AM140" s="500"/>
      <c r="AN140" s="108"/>
      <c r="AO140" s="124"/>
      <c r="AP140" s="116"/>
      <c r="AQ140" s="116"/>
    </row>
    <row r="141" spans="1:43" ht="67.5" x14ac:dyDescent="0.2">
      <c r="A141" s="8">
        <v>80</v>
      </c>
      <c r="B141" s="159" t="s">
        <v>553</v>
      </c>
      <c r="C141" s="159" t="s">
        <v>790</v>
      </c>
      <c r="D141" s="55" t="s">
        <v>215</v>
      </c>
      <c r="E141" s="55" t="s">
        <v>216</v>
      </c>
      <c r="F141" s="55" t="s">
        <v>217</v>
      </c>
      <c r="G141" s="55" t="s">
        <v>218</v>
      </c>
      <c r="H141" s="88">
        <v>8086</v>
      </c>
      <c r="I141" s="480" t="s">
        <v>29</v>
      </c>
      <c r="J141" s="480"/>
      <c r="K141" s="480" t="s">
        <v>29</v>
      </c>
      <c r="L141" s="480"/>
      <c r="M141" s="65" t="s">
        <v>126</v>
      </c>
      <c r="N141" s="66" t="s">
        <v>110</v>
      </c>
      <c r="O141" s="70" t="s">
        <v>285</v>
      </c>
      <c r="P141" s="70" t="s">
        <v>415</v>
      </c>
      <c r="Q141" s="70" t="s">
        <v>733</v>
      </c>
      <c r="R141" s="401"/>
      <c r="S141" s="401"/>
      <c r="U141" s="75"/>
      <c r="V141" s="75"/>
      <c r="W141" s="75"/>
      <c r="X141" s="75"/>
      <c r="AB141" s="13"/>
      <c r="AC141" s="12"/>
      <c r="AD141" s="12"/>
      <c r="AE141" s="135"/>
      <c r="AF141" s="135"/>
      <c r="AG141" s="135"/>
      <c r="AH141" s="135"/>
      <c r="AI141" s="136"/>
      <c r="AJ141" s="500"/>
      <c r="AK141" s="500"/>
      <c r="AL141" s="500"/>
      <c r="AM141" s="500"/>
      <c r="AN141" s="108"/>
      <c r="AO141" s="124"/>
      <c r="AP141" s="116"/>
      <c r="AQ141" s="98"/>
    </row>
    <row r="142" spans="1:43" ht="56.25" x14ac:dyDescent="0.2">
      <c r="A142" s="8">
        <v>81</v>
      </c>
      <c r="B142" s="159" t="s">
        <v>554</v>
      </c>
      <c r="C142" s="159" t="s">
        <v>791</v>
      </c>
      <c r="D142" s="260" t="s">
        <v>219</v>
      </c>
      <c r="E142" s="260" t="s">
        <v>220</v>
      </c>
      <c r="F142" s="260" t="s">
        <v>221</v>
      </c>
      <c r="G142" s="260" t="s">
        <v>222</v>
      </c>
      <c r="H142" s="79">
        <v>8087</v>
      </c>
      <c r="I142" s="480" t="s">
        <v>29</v>
      </c>
      <c r="J142" s="480"/>
      <c r="K142" s="480" t="s">
        <v>29</v>
      </c>
      <c r="L142" s="480"/>
      <c r="M142" s="65" t="s">
        <v>126</v>
      </c>
      <c r="N142" s="66" t="s">
        <v>110</v>
      </c>
      <c r="O142" s="70" t="s">
        <v>285</v>
      </c>
      <c r="P142" s="70" t="s">
        <v>415</v>
      </c>
      <c r="Q142" s="70" t="s">
        <v>734</v>
      </c>
      <c r="R142" s="401"/>
      <c r="S142" s="401"/>
      <c r="U142" s="75"/>
      <c r="V142" s="75"/>
      <c r="W142" s="75"/>
      <c r="X142" s="75"/>
      <c r="AB142" s="13"/>
      <c r="AC142" s="12"/>
      <c r="AD142" s="12"/>
      <c r="AE142" s="241"/>
      <c r="AF142" s="241"/>
      <c r="AG142" s="241"/>
      <c r="AH142" s="241"/>
      <c r="AI142" s="123"/>
      <c r="AJ142" s="500"/>
      <c r="AK142" s="500"/>
      <c r="AL142" s="500"/>
      <c r="AM142" s="500"/>
      <c r="AN142" s="108"/>
      <c r="AO142" s="124"/>
      <c r="AP142" s="116"/>
      <c r="AQ142" s="98"/>
    </row>
    <row r="143" spans="1:43" ht="56.25" x14ac:dyDescent="0.2">
      <c r="A143" s="8">
        <v>82</v>
      </c>
      <c r="B143" s="159" t="s">
        <v>555</v>
      </c>
      <c r="C143" s="159" t="s">
        <v>839</v>
      </c>
      <c r="D143" s="260" t="s">
        <v>286</v>
      </c>
      <c r="E143" s="260" t="s">
        <v>287</v>
      </c>
      <c r="F143" s="260" t="s">
        <v>288</v>
      </c>
      <c r="G143" s="260" t="s">
        <v>289</v>
      </c>
      <c r="H143" s="79">
        <v>8088</v>
      </c>
      <c r="I143" s="480" t="s">
        <v>29</v>
      </c>
      <c r="J143" s="480"/>
      <c r="K143" s="480" t="s">
        <v>29</v>
      </c>
      <c r="L143" s="480"/>
      <c r="M143" s="65" t="s">
        <v>126</v>
      </c>
      <c r="N143" s="66" t="s">
        <v>110</v>
      </c>
      <c r="O143" s="70" t="s">
        <v>285</v>
      </c>
      <c r="P143" s="70" t="s">
        <v>415</v>
      </c>
      <c r="Q143" s="70" t="s">
        <v>735</v>
      </c>
      <c r="R143" s="401"/>
      <c r="S143" s="401"/>
      <c r="U143" s="75"/>
      <c r="V143" s="75"/>
      <c r="W143" s="75"/>
      <c r="X143" s="75"/>
      <c r="AB143" s="13"/>
      <c r="AC143" s="12"/>
      <c r="AD143" s="12"/>
      <c r="AE143" s="241"/>
      <c r="AF143" s="241"/>
      <c r="AG143" s="241"/>
      <c r="AH143" s="241"/>
      <c r="AI143" s="123"/>
      <c r="AJ143" s="500"/>
      <c r="AK143" s="500"/>
      <c r="AL143" s="500"/>
      <c r="AM143" s="500"/>
      <c r="AN143" s="108"/>
      <c r="AO143" s="124"/>
      <c r="AP143" s="116"/>
      <c r="AQ143" s="98"/>
    </row>
    <row r="144" spans="1:43" ht="33.75" x14ac:dyDescent="0.2">
      <c r="A144" s="8">
        <v>83</v>
      </c>
      <c r="B144" s="159" t="s">
        <v>556</v>
      </c>
      <c r="C144" s="159" t="s">
        <v>557</v>
      </c>
      <c r="D144" s="260" t="s">
        <v>223</v>
      </c>
      <c r="E144" s="260" t="s">
        <v>224</v>
      </c>
      <c r="F144" s="260" t="s">
        <v>225</v>
      </c>
      <c r="G144" s="260" t="s">
        <v>226</v>
      </c>
      <c r="H144" s="79">
        <v>8089</v>
      </c>
      <c r="I144" s="480" t="s">
        <v>29</v>
      </c>
      <c r="J144" s="480"/>
      <c r="K144" s="480" t="s">
        <v>29</v>
      </c>
      <c r="L144" s="480"/>
      <c r="M144" s="65" t="s">
        <v>126</v>
      </c>
      <c r="N144" s="66" t="s">
        <v>110</v>
      </c>
      <c r="O144" s="70" t="s">
        <v>285</v>
      </c>
      <c r="P144" s="70" t="s">
        <v>414</v>
      </c>
      <c r="Q144" s="70" t="s">
        <v>840</v>
      </c>
      <c r="R144" s="401"/>
      <c r="S144" s="401"/>
      <c r="U144" s="75"/>
      <c r="V144" s="75"/>
      <c r="W144" s="75"/>
      <c r="X144" s="75"/>
      <c r="AB144" s="13"/>
      <c r="AC144" s="12"/>
      <c r="AD144" s="12"/>
      <c r="AE144" s="241"/>
      <c r="AF144" s="241"/>
      <c r="AG144" s="241"/>
      <c r="AH144" s="241"/>
      <c r="AI144" s="123"/>
      <c r="AJ144" s="500"/>
      <c r="AK144" s="500"/>
      <c r="AL144" s="500"/>
      <c r="AM144" s="500"/>
      <c r="AN144" s="108"/>
      <c r="AO144" s="124"/>
      <c r="AP144" s="116"/>
      <c r="AQ144" s="98"/>
    </row>
    <row r="145" spans="1:43" ht="112.5" x14ac:dyDescent="0.2">
      <c r="A145" s="8">
        <v>84</v>
      </c>
      <c r="B145" s="159" t="s">
        <v>558</v>
      </c>
      <c r="C145" s="159" t="s">
        <v>792</v>
      </c>
      <c r="D145" s="260" t="s">
        <v>227</v>
      </c>
      <c r="E145" s="260" t="s">
        <v>228</v>
      </c>
      <c r="F145" s="260" t="s">
        <v>229</v>
      </c>
      <c r="G145" s="260" t="s">
        <v>230</v>
      </c>
      <c r="H145" s="79">
        <v>8090</v>
      </c>
      <c r="I145" s="480" t="s">
        <v>29</v>
      </c>
      <c r="J145" s="480"/>
      <c r="K145" s="480" t="s">
        <v>29</v>
      </c>
      <c r="L145" s="480"/>
      <c r="M145" s="65" t="s">
        <v>126</v>
      </c>
      <c r="N145" s="66" t="s">
        <v>110</v>
      </c>
      <c r="O145" s="70" t="s">
        <v>285</v>
      </c>
      <c r="P145" s="70" t="s">
        <v>414</v>
      </c>
      <c r="Q145" s="70" t="s">
        <v>736</v>
      </c>
      <c r="R145" s="401"/>
      <c r="S145" s="401"/>
      <c r="U145" s="75"/>
      <c r="V145" s="75"/>
      <c r="W145" s="75"/>
      <c r="X145" s="75"/>
      <c r="AB145" s="13"/>
      <c r="AC145" s="12"/>
      <c r="AD145" s="12"/>
      <c r="AE145" s="241"/>
      <c r="AF145" s="241"/>
      <c r="AG145" s="241"/>
      <c r="AH145" s="241"/>
      <c r="AI145" s="123"/>
      <c r="AJ145" s="500"/>
      <c r="AK145" s="500"/>
      <c r="AL145" s="500"/>
      <c r="AM145" s="500"/>
      <c r="AN145" s="108"/>
      <c r="AO145" s="124"/>
      <c r="AP145" s="116"/>
      <c r="AQ145" s="98"/>
    </row>
    <row r="146" spans="1:43" ht="56.25" x14ac:dyDescent="0.2">
      <c r="A146" s="8">
        <v>85</v>
      </c>
      <c r="B146" s="159" t="s">
        <v>559</v>
      </c>
      <c r="C146" s="159" t="s">
        <v>793</v>
      </c>
      <c r="D146" s="260" t="s">
        <v>231</v>
      </c>
      <c r="E146" s="260" t="s">
        <v>232</v>
      </c>
      <c r="F146" s="260" t="s">
        <v>233</v>
      </c>
      <c r="G146" s="260" t="s">
        <v>234</v>
      </c>
      <c r="H146" s="79">
        <v>8091</v>
      </c>
      <c r="I146" s="480" t="s">
        <v>29</v>
      </c>
      <c r="J146" s="480"/>
      <c r="K146" s="480" t="s">
        <v>29</v>
      </c>
      <c r="L146" s="480"/>
      <c r="M146" s="65" t="s">
        <v>126</v>
      </c>
      <c r="N146" s="66" t="s">
        <v>110</v>
      </c>
      <c r="O146" s="70" t="s">
        <v>285</v>
      </c>
      <c r="P146" s="70" t="s">
        <v>414</v>
      </c>
      <c r="Q146" s="70" t="s">
        <v>737</v>
      </c>
      <c r="R146" s="401"/>
      <c r="S146" s="401"/>
      <c r="U146" s="75"/>
      <c r="V146" s="75"/>
      <c r="W146" s="75"/>
      <c r="X146" s="75"/>
      <c r="AB146" s="13"/>
      <c r="AC146" s="12"/>
      <c r="AD146" s="12"/>
      <c r="AE146" s="241"/>
      <c r="AF146" s="241"/>
      <c r="AG146" s="241"/>
      <c r="AH146" s="241"/>
      <c r="AI146" s="123"/>
      <c r="AJ146" s="500"/>
      <c r="AK146" s="500"/>
      <c r="AL146" s="500"/>
      <c r="AM146" s="500"/>
      <c r="AN146" s="108"/>
      <c r="AO146" s="124"/>
      <c r="AP146" s="116"/>
      <c r="AQ146" s="98"/>
    </row>
    <row r="147" spans="1:43" ht="67.5" x14ac:dyDescent="0.2">
      <c r="A147" s="8">
        <v>86</v>
      </c>
      <c r="B147" s="159" t="s">
        <v>560</v>
      </c>
      <c r="C147" s="159" t="s">
        <v>794</v>
      </c>
      <c r="D147" s="260" t="s">
        <v>235</v>
      </c>
      <c r="E147" s="260" t="s">
        <v>236</v>
      </c>
      <c r="F147" s="260" t="s">
        <v>237</v>
      </c>
      <c r="G147" s="260" t="s">
        <v>238</v>
      </c>
      <c r="H147" s="79">
        <v>8092</v>
      </c>
      <c r="I147" s="480" t="s">
        <v>29</v>
      </c>
      <c r="J147" s="480"/>
      <c r="K147" s="480" t="s">
        <v>29</v>
      </c>
      <c r="L147" s="480"/>
      <c r="M147" s="65" t="s">
        <v>126</v>
      </c>
      <c r="N147" s="66" t="s">
        <v>110</v>
      </c>
      <c r="O147" s="70" t="s">
        <v>285</v>
      </c>
      <c r="P147" s="70" t="s">
        <v>415</v>
      </c>
      <c r="Q147" s="70" t="s">
        <v>738</v>
      </c>
      <c r="R147" s="401"/>
      <c r="S147" s="401"/>
      <c r="U147" s="75"/>
      <c r="V147" s="75"/>
      <c r="W147" s="75"/>
      <c r="X147" s="75"/>
      <c r="AB147" s="13"/>
      <c r="AC147" s="12"/>
      <c r="AD147" s="12"/>
      <c r="AE147" s="241"/>
      <c r="AF147" s="241"/>
      <c r="AG147" s="241"/>
      <c r="AH147" s="241"/>
      <c r="AI147" s="123"/>
      <c r="AJ147" s="500"/>
      <c r="AK147" s="500"/>
      <c r="AL147" s="500"/>
      <c r="AM147" s="500"/>
      <c r="AN147" s="108"/>
      <c r="AO147" s="124"/>
      <c r="AP147" s="116"/>
      <c r="AQ147" s="98"/>
    </row>
    <row r="148" spans="1:43" ht="33.75" x14ac:dyDescent="0.2">
      <c r="A148" s="8">
        <v>87</v>
      </c>
      <c r="B148" s="159" t="s">
        <v>561</v>
      </c>
      <c r="C148" s="159" t="s">
        <v>562</v>
      </c>
      <c r="D148" s="55" t="s">
        <v>239</v>
      </c>
      <c r="E148" s="55" t="s">
        <v>240</v>
      </c>
      <c r="F148" s="55" t="s">
        <v>241</v>
      </c>
      <c r="G148" s="55" t="s">
        <v>242</v>
      </c>
      <c r="H148" s="88">
        <v>8093</v>
      </c>
      <c r="I148" s="480" t="s">
        <v>29</v>
      </c>
      <c r="J148" s="480"/>
      <c r="K148" s="480" t="s">
        <v>29</v>
      </c>
      <c r="L148" s="480"/>
      <c r="M148" s="65" t="s">
        <v>126</v>
      </c>
      <c r="N148" s="66" t="s">
        <v>110</v>
      </c>
      <c r="O148" s="70" t="s">
        <v>285</v>
      </c>
      <c r="P148" s="70" t="s">
        <v>415</v>
      </c>
      <c r="Q148" s="70" t="s">
        <v>739</v>
      </c>
      <c r="R148" s="401"/>
      <c r="S148" s="401"/>
      <c r="U148" s="75"/>
      <c r="V148" s="75"/>
      <c r="W148" s="75"/>
      <c r="X148" s="75"/>
      <c r="AB148" s="13"/>
      <c r="AC148" s="12"/>
      <c r="AD148" s="12"/>
      <c r="AE148" s="135"/>
      <c r="AF148" s="135"/>
      <c r="AG148" s="135"/>
      <c r="AH148" s="135"/>
      <c r="AI148" s="136"/>
      <c r="AJ148" s="500"/>
      <c r="AK148" s="500"/>
      <c r="AL148" s="500"/>
      <c r="AM148" s="500"/>
      <c r="AN148" s="108"/>
      <c r="AO148" s="124"/>
      <c r="AP148" s="116"/>
      <c r="AQ148" s="98"/>
    </row>
    <row r="149" spans="1:43" ht="40.5" customHeight="1" x14ac:dyDescent="0.2">
      <c r="A149" s="352">
        <v>88</v>
      </c>
      <c r="B149" s="353" t="s">
        <v>563</v>
      </c>
      <c r="C149" s="353" t="s">
        <v>564</v>
      </c>
      <c r="D149" s="354" t="s">
        <v>243</v>
      </c>
      <c r="E149" s="354" t="s">
        <v>244</v>
      </c>
      <c r="F149" s="354" t="s">
        <v>245</v>
      </c>
      <c r="G149" s="354" t="s">
        <v>246</v>
      </c>
      <c r="H149" s="355">
        <v>8094</v>
      </c>
      <c r="I149" s="485" t="s">
        <v>29</v>
      </c>
      <c r="J149" s="485"/>
      <c r="K149" s="485" t="s">
        <v>29</v>
      </c>
      <c r="L149" s="485"/>
      <c r="M149" s="356" t="s">
        <v>126</v>
      </c>
      <c r="N149" s="330" t="s">
        <v>110</v>
      </c>
      <c r="O149" s="331" t="s">
        <v>285</v>
      </c>
      <c r="P149" s="331" t="s">
        <v>414</v>
      </c>
      <c r="Q149" s="331" t="s">
        <v>740</v>
      </c>
      <c r="R149" s="401"/>
      <c r="S149" s="401"/>
      <c r="U149" s="75"/>
      <c r="V149" s="75"/>
      <c r="W149" s="75"/>
      <c r="X149" s="75"/>
      <c r="AB149" s="13"/>
      <c r="AC149" s="12"/>
      <c r="AD149" s="12"/>
      <c r="AE149" s="241"/>
      <c r="AF149" s="241"/>
      <c r="AG149" s="241"/>
      <c r="AH149" s="241"/>
      <c r="AI149" s="123"/>
      <c r="AJ149" s="500"/>
      <c r="AK149" s="500"/>
      <c r="AL149" s="500"/>
      <c r="AM149" s="500"/>
      <c r="AN149" s="108"/>
      <c r="AO149" s="124"/>
      <c r="AP149" s="116"/>
      <c r="AQ149" s="98"/>
    </row>
    <row r="150" spans="1:43" s="118" customFormat="1" x14ac:dyDescent="0.2">
      <c r="A150" s="26"/>
      <c r="B150" s="27" t="s">
        <v>255</v>
      </c>
      <c r="C150" s="28"/>
      <c r="D150" s="29"/>
      <c r="E150" s="29"/>
      <c r="F150" s="29"/>
      <c r="G150" s="29"/>
      <c r="H150" s="78"/>
      <c r="I150" s="30"/>
      <c r="J150" s="30"/>
      <c r="K150" s="29"/>
      <c r="L150" s="29"/>
      <c r="M150" s="324"/>
      <c r="N150" s="324"/>
      <c r="O150" s="324"/>
      <c r="P150" s="324"/>
      <c r="Q150" s="325"/>
      <c r="R150" s="402"/>
      <c r="S150" s="402"/>
      <c r="U150" s="75"/>
      <c r="V150" s="75"/>
      <c r="W150" s="75"/>
      <c r="X150" s="75"/>
      <c r="AB150" s="241"/>
      <c r="AC150" s="125"/>
      <c r="AD150" s="126"/>
      <c r="AE150" s="241"/>
      <c r="AF150" s="241"/>
      <c r="AG150" s="241"/>
      <c r="AH150" s="241"/>
      <c r="AI150" s="123"/>
      <c r="AJ150" s="112"/>
      <c r="AK150" s="112"/>
      <c r="AL150" s="112"/>
      <c r="AM150" s="112"/>
      <c r="AN150" s="127"/>
      <c r="AO150" s="127"/>
      <c r="AP150" s="127"/>
      <c r="AQ150" s="124"/>
    </row>
    <row r="151" spans="1:43" ht="22.5" x14ac:dyDescent="0.2">
      <c r="A151" s="357">
        <v>89</v>
      </c>
      <c r="B151" s="358" t="s">
        <v>565</v>
      </c>
      <c r="C151" s="358" t="s">
        <v>566</v>
      </c>
      <c r="D151" s="502" t="s">
        <v>28</v>
      </c>
      <c r="E151" s="502"/>
      <c r="F151" s="502"/>
      <c r="G151" s="502"/>
      <c r="H151" s="318">
        <v>8100</v>
      </c>
      <c r="I151" s="496" t="s">
        <v>29</v>
      </c>
      <c r="J151" s="497"/>
      <c r="K151" s="496" t="s">
        <v>29</v>
      </c>
      <c r="L151" s="497"/>
      <c r="M151" s="359" t="s">
        <v>126</v>
      </c>
      <c r="N151" s="321" t="s">
        <v>110</v>
      </c>
      <c r="O151" s="322" t="s">
        <v>416</v>
      </c>
      <c r="P151" s="322" t="s">
        <v>414</v>
      </c>
      <c r="Q151" s="322" t="s">
        <v>416</v>
      </c>
      <c r="R151" s="401"/>
      <c r="S151" s="401"/>
      <c r="U151" s="75"/>
      <c r="V151" s="75"/>
      <c r="W151" s="75"/>
      <c r="X151" s="75"/>
      <c r="AB151" s="13"/>
      <c r="AC151" s="12"/>
      <c r="AD151" s="12"/>
      <c r="AE151" s="124"/>
      <c r="AF151" s="124"/>
      <c r="AG151" s="124"/>
      <c r="AH151" s="124"/>
      <c r="AI151" s="123"/>
      <c r="AJ151" s="500"/>
      <c r="AK151" s="500"/>
      <c r="AL151" s="500"/>
      <c r="AM151" s="500"/>
      <c r="AN151" s="108"/>
      <c r="AO151" s="124"/>
      <c r="AP151" s="116"/>
      <c r="AQ151" s="98"/>
    </row>
    <row r="152" spans="1:43" ht="33.75" x14ac:dyDescent="0.2">
      <c r="A152" s="8">
        <v>90</v>
      </c>
      <c r="B152" s="159" t="s">
        <v>567</v>
      </c>
      <c r="C152" s="159" t="s">
        <v>568</v>
      </c>
      <c r="D152" s="481" t="s">
        <v>28</v>
      </c>
      <c r="E152" s="481"/>
      <c r="F152" s="481"/>
      <c r="G152" s="481"/>
      <c r="H152" s="79">
        <v>8101</v>
      </c>
      <c r="I152" s="495" t="s">
        <v>29</v>
      </c>
      <c r="J152" s="480"/>
      <c r="K152" s="495" t="s">
        <v>29</v>
      </c>
      <c r="L152" s="480"/>
      <c r="M152" s="65" t="s">
        <v>126</v>
      </c>
      <c r="N152" s="66" t="s">
        <v>110</v>
      </c>
      <c r="O152" s="70" t="s">
        <v>284</v>
      </c>
      <c r="P152" s="70" t="s">
        <v>414</v>
      </c>
      <c r="Q152" s="70" t="s">
        <v>416</v>
      </c>
      <c r="R152" s="401"/>
      <c r="S152" s="401"/>
      <c r="U152" s="75"/>
      <c r="V152" s="75"/>
      <c r="W152" s="75"/>
      <c r="X152" s="75"/>
      <c r="AB152" s="13"/>
      <c r="AC152" s="12"/>
      <c r="AD152" s="12"/>
      <c r="AE152" s="124"/>
      <c r="AF152" s="124"/>
      <c r="AG152" s="124"/>
      <c r="AH152" s="124"/>
      <c r="AI152" s="123"/>
      <c r="AJ152" s="500"/>
      <c r="AK152" s="500"/>
      <c r="AL152" s="500"/>
      <c r="AM152" s="500"/>
      <c r="AN152" s="108"/>
      <c r="AO152" s="124"/>
      <c r="AP152" s="116"/>
      <c r="AQ152" s="98"/>
    </row>
    <row r="153" spans="1:43" ht="67.5" x14ac:dyDescent="0.2">
      <c r="A153" s="8">
        <v>91</v>
      </c>
      <c r="B153" s="159" t="s">
        <v>569</v>
      </c>
      <c r="C153" s="159" t="s">
        <v>570</v>
      </c>
      <c r="D153" s="260" t="s">
        <v>432</v>
      </c>
      <c r="E153" s="260" t="s">
        <v>433</v>
      </c>
      <c r="F153" s="260" t="s">
        <v>434</v>
      </c>
      <c r="G153" s="260" t="s">
        <v>435</v>
      </c>
      <c r="H153" s="88">
        <v>8102</v>
      </c>
      <c r="I153" s="495" t="s">
        <v>29</v>
      </c>
      <c r="J153" s="480"/>
      <c r="K153" s="495" t="s">
        <v>29</v>
      </c>
      <c r="L153" s="480"/>
      <c r="M153" s="65" t="s">
        <v>126</v>
      </c>
      <c r="N153" s="66" t="s">
        <v>110</v>
      </c>
      <c r="O153" s="70" t="s">
        <v>284</v>
      </c>
      <c r="P153" s="70" t="s">
        <v>415</v>
      </c>
      <c r="Q153" s="70" t="s">
        <v>416</v>
      </c>
      <c r="R153" s="410"/>
      <c r="S153" s="401"/>
      <c r="U153" s="75"/>
      <c r="V153" s="75"/>
      <c r="W153" s="75"/>
      <c r="X153" s="75"/>
      <c r="AB153" s="13"/>
      <c r="AC153" s="12"/>
      <c r="AD153" s="12"/>
      <c r="AE153" s="98"/>
      <c r="AF153" s="98"/>
      <c r="AG153" s="98"/>
      <c r="AH153" s="98"/>
      <c r="AI153" s="136"/>
      <c r="AJ153" s="500"/>
      <c r="AK153" s="500"/>
      <c r="AL153" s="500"/>
      <c r="AM153" s="500"/>
      <c r="AN153" s="108"/>
      <c r="AO153" s="124"/>
      <c r="AP153" s="116"/>
      <c r="AQ153" s="98"/>
    </row>
    <row r="154" spans="1:43" ht="165" customHeight="1" x14ac:dyDescent="0.2">
      <c r="A154" s="8" t="s">
        <v>647</v>
      </c>
      <c r="B154" s="159" t="s">
        <v>796</v>
      </c>
      <c r="C154" s="159" t="s">
        <v>795</v>
      </c>
      <c r="D154" s="260" t="s">
        <v>256</v>
      </c>
      <c r="E154" s="260" t="s">
        <v>257</v>
      </c>
      <c r="F154" s="260" t="s">
        <v>258</v>
      </c>
      <c r="G154" s="260" t="s">
        <v>259</v>
      </c>
      <c r="H154" s="79">
        <v>8103</v>
      </c>
      <c r="I154" s="495" t="s">
        <v>29</v>
      </c>
      <c r="J154" s="495"/>
      <c r="K154" s="495" t="s">
        <v>29</v>
      </c>
      <c r="L154" s="495"/>
      <c r="M154" s="65" t="s">
        <v>126</v>
      </c>
      <c r="N154" s="66" t="s">
        <v>110</v>
      </c>
      <c r="O154" s="70" t="s">
        <v>431</v>
      </c>
      <c r="P154" s="70" t="s">
        <v>431</v>
      </c>
      <c r="Q154" s="311" t="s">
        <v>431</v>
      </c>
      <c r="R154" s="410"/>
      <c r="S154" s="401"/>
      <c r="U154" s="75"/>
      <c r="V154" s="75"/>
      <c r="W154" s="75"/>
      <c r="X154" s="75"/>
      <c r="AB154" s="13"/>
      <c r="AC154" s="12"/>
      <c r="AD154" s="12"/>
      <c r="AE154" s="98"/>
      <c r="AF154" s="98"/>
      <c r="AG154" s="98"/>
      <c r="AH154" s="98"/>
      <c r="AI154" s="123"/>
      <c r="AJ154" s="500"/>
      <c r="AK154" s="500"/>
      <c r="AL154" s="500"/>
      <c r="AM154" s="500"/>
      <c r="AN154" s="108"/>
      <c r="AO154" s="124"/>
      <c r="AP154" s="116"/>
      <c r="AQ154" s="116"/>
    </row>
    <row r="155" spans="1:43" ht="102" customHeight="1" x14ac:dyDescent="0.2">
      <c r="A155" s="8" t="s">
        <v>750</v>
      </c>
      <c r="B155" s="159" t="s">
        <v>723</v>
      </c>
      <c r="C155" s="159" t="s">
        <v>741</v>
      </c>
      <c r="D155" s="260" t="s">
        <v>742</v>
      </c>
      <c r="E155" s="260" t="s">
        <v>743</v>
      </c>
      <c r="F155" s="260" t="s">
        <v>744</v>
      </c>
      <c r="G155" s="260" t="s">
        <v>745</v>
      </c>
      <c r="H155" s="79">
        <v>8113</v>
      </c>
      <c r="I155" s="495" t="s">
        <v>29</v>
      </c>
      <c r="J155" s="495"/>
      <c r="K155" s="495" t="s">
        <v>29</v>
      </c>
      <c r="L155" s="495"/>
      <c r="M155" s="65" t="s">
        <v>126</v>
      </c>
      <c r="N155" s="66" t="s">
        <v>110</v>
      </c>
      <c r="O155" s="70" t="s">
        <v>431</v>
      </c>
      <c r="P155" s="70" t="s">
        <v>431</v>
      </c>
      <c r="Q155" s="311" t="s">
        <v>431</v>
      </c>
      <c r="R155" s="403"/>
      <c r="S155" s="403"/>
      <c r="U155" s="75"/>
      <c r="V155" s="75"/>
      <c r="W155" s="75"/>
      <c r="X155" s="75"/>
      <c r="AB155" s="13"/>
      <c r="AC155" s="12"/>
      <c r="AD155" s="12"/>
      <c r="AE155" s="166"/>
      <c r="AF155" s="166"/>
      <c r="AG155" s="166"/>
      <c r="AH155" s="166"/>
      <c r="AI155" s="123"/>
      <c r="AJ155" s="165"/>
      <c r="AK155" s="165"/>
      <c r="AL155" s="165"/>
      <c r="AM155" s="165"/>
      <c r="AN155" s="156"/>
      <c r="AO155" s="124"/>
      <c r="AP155" s="167"/>
      <c r="AQ155" s="167"/>
    </row>
    <row r="156" spans="1:43" ht="33.75" x14ac:dyDescent="0.2">
      <c r="A156" s="8">
        <v>93</v>
      </c>
      <c r="B156" s="159" t="s">
        <v>571</v>
      </c>
      <c r="C156" s="159" t="s">
        <v>572</v>
      </c>
      <c r="D156" s="481" t="s">
        <v>28</v>
      </c>
      <c r="E156" s="481"/>
      <c r="F156" s="481"/>
      <c r="G156" s="481"/>
      <c r="H156" s="79">
        <v>8108</v>
      </c>
      <c r="I156" s="495" t="s">
        <v>29</v>
      </c>
      <c r="J156" s="480"/>
      <c r="K156" s="495" t="s">
        <v>29</v>
      </c>
      <c r="L156" s="480"/>
      <c r="M156" s="65" t="s">
        <v>126</v>
      </c>
      <c r="N156" s="66" t="s">
        <v>110</v>
      </c>
      <c r="O156" s="70" t="s">
        <v>284</v>
      </c>
      <c r="P156" s="70" t="s">
        <v>414</v>
      </c>
      <c r="Q156" s="70" t="s">
        <v>416</v>
      </c>
      <c r="R156" s="410"/>
      <c r="S156" s="401"/>
      <c r="U156" s="75"/>
      <c r="V156" s="75"/>
      <c r="W156" s="75"/>
      <c r="X156" s="75"/>
      <c r="AB156" s="13"/>
      <c r="AC156" s="12"/>
      <c r="AD156" s="12"/>
      <c r="AE156" s="503"/>
      <c r="AF156" s="503"/>
      <c r="AG156" s="503"/>
      <c r="AH156" s="503"/>
      <c r="AI156" s="123"/>
      <c r="AJ156" s="500"/>
      <c r="AK156" s="500"/>
      <c r="AL156" s="500"/>
      <c r="AM156" s="500"/>
      <c r="AN156" s="108"/>
      <c r="AO156" s="124"/>
      <c r="AP156" s="116"/>
      <c r="AQ156" s="98"/>
    </row>
    <row r="157" spans="1:43" ht="22.5" x14ac:dyDescent="0.2">
      <c r="A157" s="8">
        <v>94</v>
      </c>
      <c r="B157" s="159" t="s">
        <v>573</v>
      </c>
      <c r="C157" s="159" t="s">
        <v>574</v>
      </c>
      <c r="D157" s="481" t="s">
        <v>28</v>
      </c>
      <c r="E157" s="481"/>
      <c r="F157" s="481"/>
      <c r="G157" s="481"/>
      <c r="H157" s="79">
        <v>8109</v>
      </c>
      <c r="I157" s="495" t="s">
        <v>29</v>
      </c>
      <c r="J157" s="480"/>
      <c r="K157" s="495" t="s">
        <v>29</v>
      </c>
      <c r="L157" s="480"/>
      <c r="M157" s="65" t="s">
        <v>126</v>
      </c>
      <c r="N157" s="66" t="s">
        <v>110</v>
      </c>
      <c r="O157" s="70" t="s">
        <v>284</v>
      </c>
      <c r="P157" s="70" t="s">
        <v>414</v>
      </c>
      <c r="Q157" s="70" t="s">
        <v>416</v>
      </c>
      <c r="R157" s="410"/>
      <c r="S157" s="401"/>
      <c r="U157" s="75"/>
      <c r="V157" s="75"/>
      <c r="W157" s="75"/>
      <c r="X157" s="75"/>
      <c r="AB157" s="13"/>
      <c r="AC157" s="12"/>
      <c r="AD157" s="12"/>
      <c r="AE157" s="503"/>
      <c r="AF157" s="503"/>
      <c r="AG157" s="503"/>
      <c r="AH157" s="503"/>
      <c r="AI157" s="123"/>
      <c r="AJ157" s="500"/>
      <c r="AK157" s="500"/>
      <c r="AL157" s="500"/>
      <c r="AM157" s="500"/>
      <c r="AN157" s="108"/>
      <c r="AO157" s="124"/>
      <c r="AP157" s="116"/>
      <c r="AQ157" s="98"/>
    </row>
    <row r="158" spans="1:43" x14ac:dyDescent="0.2">
      <c r="A158" s="8">
        <v>95</v>
      </c>
      <c r="B158" s="159" t="s">
        <v>575</v>
      </c>
      <c r="C158" s="159" t="s">
        <v>576</v>
      </c>
      <c r="D158" s="481" t="s">
        <v>28</v>
      </c>
      <c r="E158" s="481"/>
      <c r="F158" s="481"/>
      <c r="G158" s="481"/>
      <c r="H158" s="88">
        <v>8110</v>
      </c>
      <c r="I158" s="495" t="s">
        <v>29</v>
      </c>
      <c r="J158" s="480"/>
      <c r="K158" s="495" t="s">
        <v>29</v>
      </c>
      <c r="L158" s="480"/>
      <c r="M158" s="65" t="s">
        <v>126</v>
      </c>
      <c r="N158" s="66" t="s">
        <v>110</v>
      </c>
      <c r="O158" s="70" t="s">
        <v>284</v>
      </c>
      <c r="P158" s="70" t="s">
        <v>414</v>
      </c>
      <c r="Q158" s="70" t="s">
        <v>416</v>
      </c>
      <c r="R158" s="410"/>
      <c r="S158" s="401"/>
      <c r="U158" s="75"/>
      <c r="V158" s="75"/>
      <c r="W158" s="75"/>
      <c r="X158" s="75"/>
      <c r="AB158" s="13"/>
      <c r="AC158" s="12"/>
      <c r="AD158" s="12"/>
      <c r="AE158" s="503"/>
      <c r="AF158" s="503"/>
      <c r="AG158" s="503"/>
      <c r="AH158" s="503"/>
      <c r="AI158" s="136"/>
      <c r="AJ158" s="500"/>
      <c r="AK158" s="500"/>
      <c r="AL158" s="500"/>
      <c r="AM158" s="500"/>
      <c r="AN158" s="108"/>
      <c r="AO158" s="124"/>
      <c r="AP158" s="116"/>
      <c r="AQ158" s="98"/>
    </row>
    <row r="159" spans="1:43" ht="33.75" x14ac:dyDescent="0.2">
      <c r="A159" s="8">
        <v>96</v>
      </c>
      <c r="B159" s="159" t="s">
        <v>577</v>
      </c>
      <c r="C159" s="159" t="s">
        <v>578</v>
      </c>
      <c r="D159" s="481" t="s">
        <v>28</v>
      </c>
      <c r="E159" s="481"/>
      <c r="F159" s="481"/>
      <c r="G159" s="481"/>
      <c r="H159" s="79">
        <v>8111</v>
      </c>
      <c r="I159" s="495" t="s">
        <v>29</v>
      </c>
      <c r="J159" s="480"/>
      <c r="K159" s="495" t="s">
        <v>29</v>
      </c>
      <c r="L159" s="480"/>
      <c r="M159" s="65" t="s">
        <v>126</v>
      </c>
      <c r="N159" s="66" t="s">
        <v>110</v>
      </c>
      <c r="O159" s="70" t="s">
        <v>284</v>
      </c>
      <c r="P159" s="70" t="s">
        <v>414</v>
      </c>
      <c r="Q159" s="70" t="s">
        <v>416</v>
      </c>
      <c r="R159" s="410"/>
      <c r="S159" s="401"/>
      <c r="U159" s="75"/>
      <c r="V159" s="75"/>
      <c r="W159" s="75"/>
      <c r="X159" s="75"/>
      <c r="AB159" s="13"/>
      <c r="AC159" s="12"/>
      <c r="AD159" s="12"/>
      <c r="AE159" s="503"/>
      <c r="AF159" s="503"/>
      <c r="AG159" s="503"/>
      <c r="AH159" s="503"/>
      <c r="AI159" s="123"/>
      <c r="AJ159" s="500"/>
      <c r="AK159" s="500"/>
      <c r="AL159" s="500"/>
      <c r="AM159" s="500"/>
      <c r="AN159" s="108"/>
      <c r="AO159" s="124"/>
      <c r="AP159" s="116"/>
      <c r="AQ159" s="98"/>
    </row>
    <row r="160" spans="1:43" ht="45" x14ac:dyDescent="0.2">
      <c r="A160" s="352">
        <v>97</v>
      </c>
      <c r="B160" s="353" t="s">
        <v>579</v>
      </c>
      <c r="C160" s="353" t="s">
        <v>580</v>
      </c>
      <c r="D160" s="501" t="s">
        <v>28</v>
      </c>
      <c r="E160" s="501"/>
      <c r="F160" s="501"/>
      <c r="G160" s="501"/>
      <c r="H160" s="355">
        <v>8112</v>
      </c>
      <c r="I160" s="499" t="s">
        <v>29</v>
      </c>
      <c r="J160" s="485"/>
      <c r="K160" s="499" t="s">
        <v>29</v>
      </c>
      <c r="L160" s="485"/>
      <c r="M160" s="356" t="s">
        <v>126</v>
      </c>
      <c r="N160" s="330" t="s">
        <v>110</v>
      </c>
      <c r="O160" s="331" t="s">
        <v>284</v>
      </c>
      <c r="P160" s="331" t="s">
        <v>414</v>
      </c>
      <c r="Q160" s="331" t="s">
        <v>416</v>
      </c>
      <c r="R160" s="410"/>
      <c r="S160" s="401"/>
      <c r="U160" s="75"/>
      <c r="V160" s="75"/>
      <c r="W160" s="75"/>
      <c r="X160" s="75"/>
      <c r="AB160" s="13"/>
      <c r="AC160" s="12"/>
      <c r="AD160" s="12"/>
      <c r="AE160" s="503"/>
      <c r="AF160" s="503"/>
      <c r="AG160" s="503"/>
      <c r="AH160" s="503"/>
      <c r="AI160" s="123"/>
      <c r="AJ160" s="500"/>
      <c r="AK160" s="500"/>
      <c r="AL160" s="500"/>
      <c r="AM160" s="500"/>
      <c r="AN160" s="108"/>
      <c r="AO160" s="124"/>
      <c r="AP160" s="116"/>
      <c r="AQ160" s="98"/>
    </row>
    <row r="161" spans="1:43" s="118" customFormat="1" x14ac:dyDescent="0.2">
      <c r="A161" s="26"/>
      <c r="B161" s="27" t="s">
        <v>84</v>
      </c>
      <c r="C161" s="28"/>
      <c r="D161" s="29"/>
      <c r="E161" s="29"/>
      <c r="F161" s="29"/>
      <c r="G161" s="29"/>
      <c r="H161" s="78"/>
      <c r="I161" s="30"/>
      <c r="J161" s="30"/>
      <c r="K161" s="29"/>
      <c r="L161" s="29"/>
      <c r="M161" s="324"/>
      <c r="N161" s="324"/>
      <c r="O161" s="324"/>
      <c r="P161" s="324"/>
      <c r="Q161" s="325"/>
      <c r="R161" s="402"/>
      <c r="S161" s="402"/>
      <c r="U161" s="75"/>
      <c r="V161" s="75"/>
      <c r="W161" s="75"/>
      <c r="X161" s="75"/>
      <c r="AB161" s="98"/>
      <c r="AC161" s="125"/>
      <c r="AD161" s="126"/>
      <c r="AE161" s="98"/>
      <c r="AF161" s="98"/>
      <c r="AG161" s="98"/>
      <c r="AH161" s="98"/>
      <c r="AI161" s="123"/>
      <c r="AJ161" s="112"/>
      <c r="AK161" s="112"/>
      <c r="AL161" s="112"/>
      <c r="AM161" s="112"/>
      <c r="AN161" s="127"/>
      <c r="AO161" s="127"/>
      <c r="AP161" s="127"/>
      <c r="AQ161" s="124"/>
    </row>
    <row r="162" spans="1:43" ht="22.5" x14ac:dyDescent="0.2">
      <c r="A162" s="449">
        <v>98</v>
      </c>
      <c r="B162" s="450" t="s">
        <v>581</v>
      </c>
      <c r="C162" s="450" t="s">
        <v>582</v>
      </c>
      <c r="D162" s="498" t="s">
        <v>28</v>
      </c>
      <c r="E162" s="498"/>
      <c r="F162" s="498"/>
      <c r="G162" s="498"/>
      <c r="H162" s="451">
        <v>8138</v>
      </c>
      <c r="I162" s="483" t="s">
        <v>29</v>
      </c>
      <c r="J162" s="483"/>
      <c r="K162" s="483" t="s">
        <v>29</v>
      </c>
      <c r="L162" s="483"/>
      <c r="M162" s="452" t="s">
        <v>126</v>
      </c>
      <c r="N162" s="453" t="s">
        <v>110</v>
      </c>
      <c r="O162" s="454" t="s">
        <v>284</v>
      </c>
      <c r="P162" s="454" t="s">
        <v>415</v>
      </c>
      <c r="Q162" s="454" t="s">
        <v>416</v>
      </c>
      <c r="R162" s="410"/>
      <c r="S162" s="401"/>
      <c r="U162" s="75"/>
      <c r="V162" s="75"/>
      <c r="W162" s="75"/>
      <c r="X162" s="75"/>
      <c r="AB162" s="13"/>
      <c r="AC162" s="12"/>
      <c r="AD162" s="12"/>
      <c r="AE162" s="503"/>
      <c r="AF162" s="503"/>
      <c r="AG162" s="503"/>
      <c r="AH162" s="503"/>
      <c r="AI162" s="131"/>
      <c r="AJ162" s="500"/>
      <c r="AK162" s="500"/>
      <c r="AL162" s="500"/>
      <c r="AM162" s="500"/>
      <c r="AN162" s="108"/>
      <c r="AO162" s="124"/>
      <c r="AP162" s="116"/>
      <c r="AQ162" s="98"/>
    </row>
    <row r="163" spans="1:43" s="118" customFormat="1" ht="15.75" x14ac:dyDescent="0.2">
      <c r="A163" s="465" t="s">
        <v>85</v>
      </c>
      <c r="B163" s="465"/>
      <c r="C163" s="161"/>
      <c r="D163" s="19"/>
      <c r="E163" s="19"/>
      <c r="F163" s="19"/>
      <c r="G163" s="19"/>
      <c r="H163" s="89"/>
      <c r="I163" s="20"/>
      <c r="J163" s="20"/>
      <c r="K163" s="20"/>
      <c r="L163" s="20"/>
      <c r="M163" s="21"/>
      <c r="N163" s="21"/>
      <c r="O163" s="21"/>
      <c r="P163" s="21"/>
      <c r="Q163" s="456"/>
      <c r="R163" s="406"/>
      <c r="S163" s="406"/>
      <c r="U163" s="75"/>
      <c r="V163" s="75"/>
      <c r="W163" s="75"/>
      <c r="X163" s="75"/>
      <c r="AB163" s="137"/>
      <c r="AC163" s="138"/>
      <c r="AD163" s="139"/>
      <c r="AE163" s="137"/>
      <c r="AF163" s="137"/>
      <c r="AG163" s="137"/>
      <c r="AH163" s="137"/>
      <c r="AI163" s="140"/>
      <c r="AJ163" s="115"/>
      <c r="AK163" s="115"/>
      <c r="AL163" s="115"/>
      <c r="AM163" s="115"/>
      <c r="AN163" s="141"/>
      <c r="AO163" s="141"/>
      <c r="AP163" s="141"/>
      <c r="AQ163" s="142"/>
    </row>
    <row r="164" spans="1:43" ht="22.5" x14ac:dyDescent="0.2">
      <c r="A164" s="357">
        <v>100</v>
      </c>
      <c r="B164" s="345" t="s">
        <v>119</v>
      </c>
      <c r="C164" s="358" t="s">
        <v>130</v>
      </c>
      <c r="D164" s="493" t="s">
        <v>123</v>
      </c>
      <c r="E164" s="493"/>
      <c r="F164" s="493"/>
      <c r="G164" s="493"/>
      <c r="H164" s="318">
        <v>8120</v>
      </c>
      <c r="I164" s="455">
        <v>0.11210000000000001</v>
      </c>
      <c r="J164" s="455">
        <f t="shared" ref="J164:J170" si="22">I164*1.1</f>
        <v>0.12331000000000002</v>
      </c>
      <c r="K164" s="455">
        <f t="shared" ref="K164:L169" si="23">I164</f>
        <v>0.11210000000000001</v>
      </c>
      <c r="L164" s="455">
        <f t="shared" si="23"/>
        <v>0.12331000000000002</v>
      </c>
      <c r="M164" s="359" t="s">
        <v>127</v>
      </c>
      <c r="N164" s="321" t="s">
        <v>132</v>
      </c>
      <c r="O164" s="322" t="s">
        <v>341</v>
      </c>
      <c r="P164" s="323" t="s">
        <v>416</v>
      </c>
      <c r="Q164" s="351" t="s">
        <v>416</v>
      </c>
      <c r="R164" s="407"/>
      <c r="S164" s="407"/>
      <c r="U164" s="75"/>
      <c r="V164" s="75"/>
      <c r="W164" s="75"/>
      <c r="X164" s="75"/>
      <c r="AB164" s="13"/>
      <c r="AC164" s="128"/>
      <c r="AD164" s="12"/>
      <c r="AE164" s="504"/>
      <c r="AF164" s="504"/>
      <c r="AG164" s="504"/>
      <c r="AH164" s="504"/>
      <c r="AI164" s="123"/>
      <c r="AJ164" s="109"/>
      <c r="AK164" s="109"/>
      <c r="AL164" s="109"/>
      <c r="AM164" s="109"/>
      <c r="AN164" s="108"/>
      <c r="AO164" s="124"/>
      <c r="AP164" s="116"/>
      <c r="AQ164" s="98"/>
    </row>
    <row r="165" spans="1:43" ht="90" x14ac:dyDescent="0.2">
      <c r="A165" s="8">
        <v>101</v>
      </c>
      <c r="B165" s="160" t="s">
        <v>120</v>
      </c>
      <c r="C165" s="159" t="s">
        <v>148</v>
      </c>
      <c r="D165" s="479" t="s">
        <v>124</v>
      </c>
      <c r="E165" s="479"/>
      <c r="F165" s="479"/>
      <c r="G165" s="479"/>
      <c r="H165" s="79">
        <v>8121</v>
      </c>
      <c r="I165" s="62">
        <v>3.1280000000000002E-2</v>
      </c>
      <c r="J165" s="62">
        <f t="shared" si="22"/>
        <v>3.4408000000000008E-2</v>
      </c>
      <c r="K165" s="62">
        <f t="shared" si="23"/>
        <v>3.1280000000000002E-2</v>
      </c>
      <c r="L165" s="62">
        <f t="shared" si="23"/>
        <v>3.4408000000000008E-2</v>
      </c>
      <c r="M165" s="65" t="s">
        <v>127</v>
      </c>
      <c r="N165" s="66" t="s">
        <v>132</v>
      </c>
      <c r="O165" s="70" t="s">
        <v>341</v>
      </c>
      <c r="P165" s="260" t="s">
        <v>416</v>
      </c>
      <c r="Q165" s="309" t="s">
        <v>416</v>
      </c>
      <c r="R165" s="407"/>
      <c r="S165" s="407"/>
      <c r="U165" s="75"/>
      <c r="V165" s="75"/>
      <c r="W165" s="75"/>
      <c r="X165" s="75"/>
      <c r="AB165" s="13"/>
      <c r="AC165" s="128"/>
      <c r="AD165" s="12"/>
      <c r="AE165" s="504"/>
      <c r="AF165" s="504"/>
      <c r="AG165" s="504"/>
      <c r="AH165" s="504"/>
      <c r="AI165" s="123"/>
      <c r="AJ165" s="109"/>
      <c r="AK165" s="109"/>
      <c r="AL165" s="109"/>
      <c r="AM165" s="109"/>
      <c r="AN165" s="108"/>
      <c r="AO165" s="124"/>
      <c r="AP165" s="116"/>
      <c r="AQ165" s="98"/>
    </row>
    <row r="166" spans="1:43" ht="22.5" x14ac:dyDescent="0.2">
      <c r="A166" s="8">
        <v>102</v>
      </c>
      <c r="B166" s="159" t="s">
        <v>121</v>
      </c>
      <c r="C166" s="159" t="s">
        <v>129</v>
      </c>
      <c r="D166" s="482" t="s">
        <v>123</v>
      </c>
      <c r="E166" s="482"/>
      <c r="F166" s="482"/>
      <c r="G166" s="482"/>
      <c r="H166" s="80">
        <v>8122</v>
      </c>
      <c r="I166" s="62">
        <v>4.1209999999999997E-2</v>
      </c>
      <c r="J166" s="62">
        <f t="shared" si="22"/>
        <v>4.5331000000000003E-2</v>
      </c>
      <c r="K166" s="62">
        <f t="shared" si="23"/>
        <v>4.1209999999999997E-2</v>
      </c>
      <c r="L166" s="62">
        <f t="shared" si="23"/>
        <v>4.5331000000000003E-2</v>
      </c>
      <c r="M166" s="65" t="s">
        <v>127</v>
      </c>
      <c r="N166" s="66" t="s">
        <v>131</v>
      </c>
      <c r="O166" s="70" t="s">
        <v>341</v>
      </c>
      <c r="P166" s="260" t="s">
        <v>416</v>
      </c>
      <c r="Q166" s="309" t="s">
        <v>416</v>
      </c>
      <c r="R166" s="407"/>
      <c r="S166" s="407"/>
      <c r="U166" s="75"/>
      <c r="V166" s="75"/>
      <c r="W166" s="75"/>
      <c r="X166" s="75"/>
      <c r="AB166" s="13"/>
      <c r="AC166" s="12"/>
      <c r="AD166" s="12"/>
      <c r="AE166" s="504"/>
      <c r="AF166" s="504"/>
      <c r="AG166" s="504"/>
      <c r="AH166" s="504"/>
      <c r="AI166" s="123"/>
      <c r="AJ166" s="109"/>
      <c r="AK166" s="109"/>
      <c r="AL166" s="109"/>
      <c r="AM166" s="109"/>
      <c r="AN166" s="108"/>
      <c r="AO166" s="124"/>
      <c r="AP166" s="116"/>
      <c r="AQ166" s="98"/>
    </row>
    <row r="167" spans="1:43" ht="90" x14ac:dyDescent="0.2">
      <c r="A167" s="8">
        <v>103</v>
      </c>
      <c r="B167" s="159" t="s">
        <v>122</v>
      </c>
      <c r="C167" s="159" t="s">
        <v>149</v>
      </c>
      <c r="D167" s="482" t="s">
        <v>124</v>
      </c>
      <c r="E167" s="482"/>
      <c r="F167" s="482"/>
      <c r="G167" s="482"/>
      <c r="H167" s="80">
        <v>8123</v>
      </c>
      <c r="I167" s="62">
        <v>1.15E-2</v>
      </c>
      <c r="J167" s="62">
        <f t="shared" si="22"/>
        <v>1.2650000000000002E-2</v>
      </c>
      <c r="K167" s="62">
        <f t="shared" si="23"/>
        <v>1.15E-2</v>
      </c>
      <c r="L167" s="62">
        <f t="shared" si="23"/>
        <v>1.2650000000000002E-2</v>
      </c>
      <c r="M167" s="65" t="s">
        <v>127</v>
      </c>
      <c r="N167" s="66" t="s">
        <v>131</v>
      </c>
      <c r="O167" s="70" t="s">
        <v>341</v>
      </c>
      <c r="P167" s="260" t="s">
        <v>416</v>
      </c>
      <c r="Q167" s="309" t="s">
        <v>416</v>
      </c>
      <c r="R167" s="407"/>
      <c r="S167" s="407"/>
      <c r="U167" s="75"/>
      <c r="V167" s="75"/>
      <c r="W167" s="75"/>
      <c r="X167" s="75"/>
      <c r="AB167" s="13"/>
      <c r="AC167" s="12"/>
      <c r="AD167" s="12"/>
      <c r="AE167" s="504"/>
      <c r="AF167" s="504"/>
      <c r="AG167" s="504"/>
      <c r="AH167" s="504"/>
      <c r="AI167" s="123"/>
      <c r="AJ167" s="109"/>
      <c r="AK167" s="109"/>
      <c r="AL167" s="109"/>
      <c r="AM167" s="109"/>
      <c r="AN167" s="108"/>
      <c r="AO167" s="124"/>
      <c r="AP167" s="116"/>
      <c r="AQ167" s="98"/>
    </row>
    <row r="168" spans="1:43" ht="45" x14ac:dyDescent="0.2">
      <c r="A168" s="8">
        <v>104</v>
      </c>
      <c r="B168" s="160" t="s">
        <v>151</v>
      </c>
      <c r="C168" s="159" t="s">
        <v>606</v>
      </c>
      <c r="D168" s="482" t="s">
        <v>123</v>
      </c>
      <c r="E168" s="482"/>
      <c r="F168" s="482"/>
      <c r="G168" s="482"/>
      <c r="H168" s="80">
        <v>8124</v>
      </c>
      <c r="I168" s="62">
        <v>2.7869999999999999E-2</v>
      </c>
      <c r="J168" s="62">
        <f t="shared" si="22"/>
        <v>3.0657E-2</v>
      </c>
      <c r="K168" s="62">
        <f t="shared" si="23"/>
        <v>2.7869999999999999E-2</v>
      </c>
      <c r="L168" s="62">
        <f t="shared" si="23"/>
        <v>3.0657E-2</v>
      </c>
      <c r="M168" s="65" t="s">
        <v>127</v>
      </c>
      <c r="N168" s="66" t="s">
        <v>131</v>
      </c>
      <c r="O168" s="70" t="s">
        <v>341</v>
      </c>
      <c r="P168" s="260" t="s">
        <v>416</v>
      </c>
      <c r="Q168" s="309" t="s">
        <v>416</v>
      </c>
      <c r="R168" s="407"/>
      <c r="S168" s="407"/>
      <c r="U168" s="75"/>
      <c r="V168" s="75"/>
      <c r="W168" s="75"/>
      <c r="X168" s="75"/>
      <c r="AB168" s="13"/>
      <c r="AC168" s="128"/>
      <c r="AD168" s="12"/>
      <c r="AE168" s="504"/>
      <c r="AF168" s="504"/>
      <c r="AG168" s="504"/>
      <c r="AH168" s="504"/>
      <c r="AI168" s="123"/>
      <c r="AJ168" s="109"/>
      <c r="AK168" s="109"/>
      <c r="AL168" s="109"/>
      <c r="AM168" s="109"/>
      <c r="AN168" s="108"/>
      <c r="AO168" s="124"/>
      <c r="AP168" s="116"/>
      <c r="AQ168" s="98"/>
    </row>
    <row r="169" spans="1:43" ht="101.25" x14ac:dyDescent="0.2">
      <c r="A169" s="8">
        <v>105</v>
      </c>
      <c r="B169" s="160" t="s">
        <v>152</v>
      </c>
      <c r="C169" s="159" t="s">
        <v>607</v>
      </c>
      <c r="D169" s="482" t="s">
        <v>124</v>
      </c>
      <c r="E169" s="482"/>
      <c r="F169" s="482"/>
      <c r="G169" s="482"/>
      <c r="H169" s="80">
        <v>8125</v>
      </c>
      <c r="I169" s="62">
        <v>7.7799999999999996E-3</v>
      </c>
      <c r="J169" s="62">
        <f t="shared" si="22"/>
        <v>8.5579999999999996E-3</v>
      </c>
      <c r="K169" s="62">
        <f t="shared" si="23"/>
        <v>7.7799999999999996E-3</v>
      </c>
      <c r="L169" s="62">
        <f t="shared" si="23"/>
        <v>8.5579999999999996E-3</v>
      </c>
      <c r="M169" s="65" t="s">
        <v>127</v>
      </c>
      <c r="N169" s="66" t="s">
        <v>131</v>
      </c>
      <c r="O169" s="70" t="s">
        <v>341</v>
      </c>
      <c r="P169" s="260" t="s">
        <v>416</v>
      </c>
      <c r="Q169" s="309" t="s">
        <v>416</v>
      </c>
      <c r="R169" s="407"/>
      <c r="S169" s="407"/>
      <c r="U169" s="75"/>
      <c r="V169" s="75"/>
      <c r="W169" s="75"/>
      <c r="X169" s="75"/>
      <c r="AB169" s="13"/>
      <c r="AC169" s="128"/>
      <c r="AD169" s="12"/>
      <c r="AE169" s="504"/>
      <c r="AF169" s="504"/>
      <c r="AG169" s="504"/>
      <c r="AH169" s="504"/>
      <c r="AI169" s="123"/>
      <c r="AJ169" s="109"/>
      <c r="AK169" s="109"/>
      <c r="AL169" s="109"/>
      <c r="AM169" s="109"/>
      <c r="AN169" s="108"/>
      <c r="AO169" s="124"/>
      <c r="AP169" s="116"/>
      <c r="AQ169" s="98"/>
    </row>
    <row r="170" spans="1:43" ht="33.75" x14ac:dyDescent="0.2">
      <c r="A170" s="8" t="s">
        <v>300</v>
      </c>
      <c r="B170" s="164" t="s">
        <v>301</v>
      </c>
      <c r="C170" s="159" t="s">
        <v>797</v>
      </c>
      <c r="D170" s="17" t="s">
        <v>302</v>
      </c>
      <c r="E170" s="17" t="s">
        <v>307</v>
      </c>
      <c r="F170" s="18"/>
      <c r="G170" s="18"/>
      <c r="H170" s="84">
        <v>8095</v>
      </c>
      <c r="I170" s="305">
        <v>54.66</v>
      </c>
      <c r="J170" s="305">
        <f t="shared" si="22"/>
        <v>60.125999999999998</v>
      </c>
      <c r="K170" s="306"/>
      <c r="L170" s="57"/>
      <c r="M170" s="65" t="s">
        <v>127</v>
      </c>
      <c r="N170" s="66" t="s">
        <v>109</v>
      </c>
      <c r="O170" s="70" t="s">
        <v>285</v>
      </c>
      <c r="P170" s="260" t="s">
        <v>416</v>
      </c>
      <c r="Q170" s="309" t="s">
        <v>416</v>
      </c>
      <c r="R170" s="404"/>
      <c r="S170" s="404"/>
      <c r="U170" s="75"/>
      <c r="V170" s="75"/>
      <c r="W170" s="75"/>
      <c r="X170" s="75"/>
      <c r="AB170" s="13"/>
      <c r="AC170" s="134"/>
      <c r="AD170" s="12"/>
      <c r="AE170" s="130"/>
      <c r="AF170" s="130"/>
      <c r="AG170" s="98"/>
      <c r="AH170" s="98"/>
      <c r="AI170" s="133"/>
      <c r="AJ170" s="106"/>
      <c r="AK170" s="106"/>
      <c r="AL170" s="113"/>
      <c r="AM170" s="113"/>
      <c r="AN170" s="108"/>
      <c r="AO170" s="124"/>
      <c r="AP170" s="116"/>
      <c r="AQ170" s="98"/>
    </row>
    <row r="171" spans="1:43" ht="33.75" x14ac:dyDescent="0.2">
      <c r="A171" s="352" t="s">
        <v>303</v>
      </c>
      <c r="B171" s="457" t="s">
        <v>304</v>
      </c>
      <c r="C171" s="353" t="s">
        <v>797</v>
      </c>
      <c r="D171" s="458"/>
      <c r="E171" s="458"/>
      <c r="F171" s="354" t="s">
        <v>305</v>
      </c>
      <c r="G171" s="354" t="s">
        <v>306</v>
      </c>
      <c r="H171" s="459">
        <v>8096</v>
      </c>
      <c r="I171" s="460"/>
      <c r="J171" s="460"/>
      <c r="K171" s="461">
        <v>218.65</v>
      </c>
      <c r="L171" s="462">
        <f>K171*1.1</f>
        <v>240.51500000000001</v>
      </c>
      <c r="M171" s="356" t="s">
        <v>127</v>
      </c>
      <c r="N171" s="330" t="s">
        <v>109</v>
      </c>
      <c r="O171" s="331" t="s">
        <v>285</v>
      </c>
      <c r="P171" s="354" t="s">
        <v>416</v>
      </c>
      <c r="Q171" s="333" t="s">
        <v>416</v>
      </c>
      <c r="R171" s="400"/>
      <c r="S171" s="400"/>
      <c r="U171" s="75"/>
      <c r="V171" s="75"/>
      <c r="W171" s="75"/>
      <c r="X171" s="75"/>
      <c r="AB171" s="13"/>
      <c r="AC171" s="134"/>
      <c r="AD171" s="12"/>
      <c r="AE171" s="98"/>
      <c r="AF171" s="98"/>
      <c r="AG171" s="98"/>
      <c r="AH171" s="98"/>
      <c r="AI171" s="133"/>
      <c r="AJ171" s="106"/>
      <c r="AK171" s="106"/>
      <c r="AL171" s="106"/>
      <c r="AM171" s="106"/>
      <c r="AN171" s="108"/>
      <c r="AO171" s="124"/>
      <c r="AP171" s="116"/>
      <c r="AQ171" s="98"/>
    </row>
    <row r="172" spans="1:43" s="118" customFormat="1" ht="15.75" x14ac:dyDescent="0.2">
      <c r="A172" s="465" t="s">
        <v>84</v>
      </c>
      <c r="B172" s="465"/>
      <c r="C172" s="161"/>
      <c r="D172" s="19"/>
      <c r="E172" s="19"/>
      <c r="F172" s="19"/>
      <c r="G172" s="19"/>
      <c r="H172" s="89"/>
      <c r="I172" s="20"/>
      <c r="J172" s="20"/>
      <c r="K172" s="20"/>
      <c r="L172" s="20"/>
      <c r="M172" s="21"/>
      <c r="N172" s="21"/>
      <c r="O172" s="21"/>
      <c r="P172" s="21"/>
      <c r="Q172" s="456"/>
      <c r="R172" s="406"/>
      <c r="S172" s="406"/>
      <c r="U172" s="75"/>
      <c r="V172" s="75"/>
      <c r="W172" s="75"/>
      <c r="X172" s="75"/>
      <c r="AB172" s="137"/>
      <c r="AC172" s="138"/>
      <c r="AD172" s="139"/>
      <c r="AE172" s="137"/>
      <c r="AF172" s="137"/>
      <c r="AG172" s="137"/>
      <c r="AH172" s="137"/>
      <c r="AI172" s="140"/>
      <c r="AJ172" s="115"/>
      <c r="AK172" s="115"/>
      <c r="AL172" s="115"/>
      <c r="AM172" s="115"/>
      <c r="AN172" s="141"/>
      <c r="AO172" s="141"/>
      <c r="AP172" s="141"/>
      <c r="AQ172" s="142"/>
    </row>
    <row r="173" spans="1:43" ht="45" x14ac:dyDescent="0.2">
      <c r="A173" s="316">
        <v>130</v>
      </c>
      <c r="B173" s="345" t="s">
        <v>86</v>
      </c>
      <c r="C173" s="358" t="s">
        <v>424</v>
      </c>
      <c r="D173" s="493" t="s">
        <v>111</v>
      </c>
      <c r="E173" s="493"/>
      <c r="F173" s="493"/>
      <c r="G173" s="493"/>
      <c r="H173" s="318">
        <v>8130</v>
      </c>
      <c r="I173" s="463">
        <v>1.1557999999999999</v>
      </c>
      <c r="J173" s="464">
        <f t="shared" ref="J173:J180" si="24">I173*1.1</f>
        <v>1.27138</v>
      </c>
      <c r="K173" s="464">
        <f t="shared" ref="K173:L180" si="25">I173</f>
        <v>1.1557999999999999</v>
      </c>
      <c r="L173" s="464">
        <f t="shared" si="25"/>
        <v>1.27138</v>
      </c>
      <c r="M173" s="359" t="s">
        <v>128</v>
      </c>
      <c r="N173" s="321" t="s">
        <v>583</v>
      </c>
      <c r="O173" s="322" t="s">
        <v>341</v>
      </c>
      <c r="P173" s="323" t="s">
        <v>416</v>
      </c>
      <c r="Q173" s="351" t="s">
        <v>416</v>
      </c>
      <c r="R173" s="408"/>
      <c r="S173" s="408"/>
      <c r="U173" s="75"/>
      <c r="V173" s="75"/>
      <c r="W173" s="75"/>
      <c r="X173" s="75"/>
      <c r="AB173" s="13"/>
      <c r="AC173" s="128"/>
      <c r="AD173" s="12"/>
      <c r="AE173" s="504"/>
      <c r="AF173" s="504"/>
      <c r="AG173" s="504"/>
      <c r="AH173" s="504"/>
      <c r="AI173" s="123"/>
      <c r="AJ173" s="110"/>
      <c r="AK173" s="110"/>
      <c r="AL173" s="110"/>
      <c r="AM173" s="110"/>
      <c r="AN173" s="108"/>
      <c r="AO173" s="124"/>
      <c r="AP173" s="116"/>
      <c r="AQ173" s="98"/>
    </row>
    <row r="174" spans="1:43" ht="45" x14ac:dyDescent="0.2">
      <c r="A174" s="8">
        <v>131</v>
      </c>
      <c r="B174" s="159" t="s">
        <v>87</v>
      </c>
      <c r="C174" s="159" t="s">
        <v>425</v>
      </c>
      <c r="D174" s="479" t="s">
        <v>112</v>
      </c>
      <c r="E174" s="479"/>
      <c r="F174" s="479"/>
      <c r="G174" s="479"/>
      <c r="H174" s="79">
        <v>8131</v>
      </c>
      <c r="I174" s="303">
        <v>0.68859999999999999</v>
      </c>
      <c r="J174" s="63">
        <f t="shared" si="24"/>
        <v>0.75746000000000002</v>
      </c>
      <c r="K174" s="63">
        <f t="shared" si="25"/>
        <v>0.68859999999999999</v>
      </c>
      <c r="L174" s="63">
        <f t="shared" si="25"/>
        <v>0.75746000000000002</v>
      </c>
      <c r="M174" s="65" t="s">
        <v>128</v>
      </c>
      <c r="N174" s="66" t="s">
        <v>583</v>
      </c>
      <c r="O174" s="70" t="s">
        <v>341</v>
      </c>
      <c r="P174" s="260" t="s">
        <v>416</v>
      </c>
      <c r="Q174" s="309" t="s">
        <v>416</v>
      </c>
      <c r="R174" s="408"/>
      <c r="S174" s="408"/>
      <c r="U174" s="75"/>
      <c r="V174" s="75"/>
      <c r="W174" s="75"/>
      <c r="X174" s="75"/>
      <c r="AB174" s="13"/>
      <c r="AC174" s="12"/>
      <c r="AD174" s="12"/>
      <c r="AE174" s="504"/>
      <c r="AF174" s="504"/>
      <c r="AG174" s="504"/>
      <c r="AH174" s="504"/>
      <c r="AI174" s="123"/>
      <c r="AJ174" s="110"/>
      <c r="AK174" s="110"/>
      <c r="AL174" s="110"/>
      <c r="AM174" s="110"/>
      <c r="AN174" s="108"/>
      <c r="AO174" s="124"/>
      <c r="AP174" s="116"/>
      <c r="AQ174" s="98"/>
    </row>
    <row r="175" spans="1:43" ht="45" x14ac:dyDescent="0.2">
      <c r="A175" s="4">
        <v>132</v>
      </c>
      <c r="B175" s="160" t="s">
        <v>88</v>
      </c>
      <c r="C175" s="159" t="s">
        <v>423</v>
      </c>
      <c r="D175" s="479" t="s">
        <v>113</v>
      </c>
      <c r="E175" s="479"/>
      <c r="F175" s="479"/>
      <c r="G175" s="479"/>
      <c r="H175" s="79">
        <v>8132</v>
      </c>
      <c r="I175" s="303">
        <v>0.4667</v>
      </c>
      <c r="J175" s="63">
        <f t="shared" si="24"/>
        <v>0.51336999999999999</v>
      </c>
      <c r="K175" s="63">
        <f t="shared" si="25"/>
        <v>0.4667</v>
      </c>
      <c r="L175" s="63">
        <f t="shared" si="25"/>
        <v>0.51336999999999999</v>
      </c>
      <c r="M175" s="65" t="s">
        <v>128</v>
      </c>
      <c r="N175" s="66" t="s">
        <v>583</v>
      </c>
      <c r="O175" s="70" t="s">
        <v>341</v>
      </c>
      <c r="P175" s="260" t="s">
        <v>416</v>
      </c>
      <c r="Q175" s="309" t="s">
        <v>416</v>
      </c>
      <c r="R175" s="408"/>
      <c r="S175" s="408"/>
      <c r="U175" s="75"/>
      <c r="V175" s="75"/>
      <c r="W175" s="75"/>
      <c r="X175" s="75"/>
      <c r="AB175" s="13"/>
      <c r="AC175" s="128"/>
      <c r="AD175" s="12"/>
      <c r="AE175" s="504"/>
      <c r="AF175" s="504"/>
      <c r="AG175" s="504"/>
      <c r="AH175" s="504"/>
      <c r="AI175" s="123"/>
      <c r="AJ175" s="110"/>
      <c r="AK175" s="110"/>
      <c r="AL175" s="110"/>
      <c r="AM175" s="110"/>
      <c r="AN175" s="108"/>
      <c r="AO175" s="124"/>
      <c r="AP175" s="116"/>
      <c r="AQ175" s="98"/>
    </row>
    <row r="176" spans="1:43" ht="45" x14ac:dyDescent="0.2">
      <c r="A176" s="8">
        <v>133</v>
      </c>
      <c r="B176" s="159" t="s">
        <v>89</v>
      </c>
      <c r="C176" s="159" t="s">
        <v>426</v>
      </c>
      <c r="D176" s="479" t="s">
        <v>114</v>
      </c>
      <c r="E176" s="479"/>
      <c r="F176" s="479"/>
      <c r="G176" s="479"/>
      <c r="H176" s="79">
        <v>8133</v>
      </c>
      <c r="I176" s="303">
        <v>0.30570000000000003</v>
      </c>
      <c r="J176" s="63">
        <f t="shared" si="24"/>
        <v>0.33627000000000007</v>
      </c>
      <c r="K176" s="63">
        <f t="shared" si="25"/>
        <v>0.30570000000000003</v>
      </c>
      <c r="L176" s="63">
        <f t="shared" si="25"/>
        <v>0.33627000000000007</v>
      </c>
      <c r="M176" s="65" t="s">
        <v>128</v>
      </c>
      <c r="N176" s="66" t="s">
        <v>583</v>
      </c>
      <c r="O176" s="70" t="s">
        <v>341</v>
      </c>
      <c r="P176" s="260" t="s">
        <v>416</v>
      </c>
      <c r="Q176" s="309" t="s">
        <v>416</v>
      </c>
      <c r="R176" s="408"/>
      <c r="S176" s="408"/>
      <c r="U176" s="75"/>
      <c r="V176" s="75"/>
      <c r="W176" s="75"/>
      <c r="X176" s="75"/>
      <c r="AB176" s="13"/>
      <c r="AC176" s="12"/>
      <c r="AD176" s="12"/>
      <c r="AE176" s="504"/>
      <c r="AF176" s="504"/>
      <c r="AG176" s="504"/>
      <c r="AH176" s="504"/>
      <c r="AI176" s="123"/>
      <c r="AJ176" s="110"/>
      <c r="AK176" s="110"/>
      <c r="AL176" s="110"/>
      <c r="AM176" s="110"/>
      <c r="AN176" s="108"/>
      <c r="AO176" s="124"/>
      <c r="AP176" s="116"/>
      <c r="AQ176" s="98"/>
    </row>
    <row r="177" spans="1:43" ht="33.75" x14ac:dyDescent="0.2">
      <c r="A177" s="4">
        <v>134</v>
      </c>
      <c r="B177" s="160" t="s">
        <v>419</v>
      </c>
      <c r="C177" s="159" t="s">
        <v>427</v>
      </c>
      <c r="D177" s="479" t="s">
        <v>115</v>
      </c>
      <c r="E177" s="479"/>
      <c r="F177" s="479"/>
      <c r="G177" s="479"/>
      <c r="H177" s="79">
        <v>8134</v>
      </c>
      <c r="I177" s="304">
        <v>1459</v>
      </c>
      <c r="J177" s="73">
        <f t="shared" si="24"/>
        <v>1604.9</v>
      </c>
      <c r="K177" s="73">
        <f t="shared" si="25"/>
        <v>1459</v>
      </c>
      <c r="L177" s="73">
        <f t="shared" si="25"/>
        <v>1604.9</v>
      </c>
      <c r="M177" s="65" t="s">
        <v>128</v>
      </c>
      <c r="N177" s="66" t="s">
        <v>150</v>
      </c>
      <c r="O177" s="70" t="s">
        <v>285</v>
      </c>
      <c r="P177" s="260" t="s">
        <v>416</v>
      </c>
      <c r="Q177" s="309" t="s">
        <v>416</v>
      </c>
      <c r="R177" s="409"/>
      <c r="S177" s="409"/>
      <c r="U177" s="75"/>
      <c r="V177" s="75"/>
      <c r="W177" s="75"/>
      <c r="X177" s="75"/>
      <c r="AB177" s="13"/>
      <c r="AC177" s="128"/>
      <c r="AD177" s="12"/>
      <c r="AE177" s="504"/>
      <c r="AF177" s="504"/>
      <c r="AG177" s="504"/>
      <c r="AH177" s="504"/>
      <c r="AI177" s="123"/>
      <c r="AJ177" s="111"/>
      <c r="AK177" s="111"/>
      <c r="AL177" s="111"/>
      <c r="AM177" s="111"/>
      <c r="AN177" s="108"/>
      <c r="AO177" s="124"/>
      <c r="AP177" s="116"/>
      <c r="AQ177" s="98"/>
    </row>
    <row r="178" spans="1:43" ht="33.75" x14ac:dyDescent="0.2">
      <c r="A178" s="8">
        <v>135</v>
      </c>
      <c r="B178" s="159" t="s">
        <v>420</v>
      </c>
      <c r="C178" s="159" t="s">
        <v>428</v>
      </c>
      <c r="D178" s="479" t="s">
        <v>116</v>
      </c>
      <c r="E178" s="479"/>
      <c r="F178" s="479"/>
      <c r="G178" s="479"/>
      <c r="H178" s="79">
        <v>8135</v>
      </c>
      <c r="I178" s="304">
        <v>882</v>
      </c>
      <c r="J178" s="73">
        <f t="shared" si="24"/>
        <v>970.2</v>
      </c>
      <c r="K178" s="73">
        <f t="shared" si="25"/>
        <v>882</v>
      </c>
      <c r="L178" s="73">
        <f t="shared" si="25"/>
        <v>970.2</v>
      </c>
      <c r="M178" s="65" t="s">
        <v>128</v>
      </c>
      <c r="N178" s="66" t="s">
        <v>150</v>
      </c>
      <c r="O178" s="70" t="s">
        <v>285</v>
      </c>
      <c r="P178" s="260" t="s">
        <v>416</v>
      </c>
      <c r="Q178" s="309" t="s">
        <v>416</v>
      </c>
      <c r="R178" s="409"/>
      <c r="S178" s="409"/>
      <c r="U178" s="75"/>
      <c r="V178" s="75"/>
      <c r="W178" s="75"/>
      <c r="X178" s="75"/>
      <c r="AB178" s="13"/>
      <c r="AC178" s="12"/>
      <c r="AD178" s="12"/>
      <c r="AE178" s="504"/>
      <c r="AF178" s="504"/>
      <c r="AG178" s="504"/>
      <c r="AH178" s="504"/>
      <c r="AI178" s="123"/>
      <c r="AJ178" s="111"/>
      <c r="AK178" s="111"/>
      <c r="AL178" s="111"/>
      <c r="AM178" s="111"/>
      <c r="AN178" s="108"/>
      <c r="AO178" s="124"/>
      <c r="AP178" s="116"/>
      <c r="AQ178" s="98"/>
    </row>
    <row r="179" spans="1:43" ht="33.75" x14ac:dyDescent="0.2">
      <c r="A179" s="4">
        <v>136</v>
      </c>
      <c r="B179" s="160" t="s">
        <v>421</v>
      </c>
      <c r="C179" s="159" t="s">
        <v>429</v>
      </c>
      <c r="D179" s="479" t="s">
        <v>117</v>
      </c>
      <c r="E179" s="479"/>
      <c r="F179" s="479"/>
      <c r="G179" s="479"/>
      <c r="H179" s="79">
        <v>8136</v>
      </c>
      <c r="I179" s="304">
        <v>241</v>
      </c>
      <c r="J179" s="73">
        <f t="shared" si="24"/>
        <v>265.10000000000002</v>
      </c>
      <c r="K179" s="73">
        <f t="shared" si="25"/>
        <v>241</v>
      </c>
      <c r="L179" s="73">
        <f t="shared" si="25"/>
        <v>265.10000000000002</v>
      </c>
      <c r="M179" s="65" t="s">
        <v>128</v>
      </c>
      <c r="N179" s="66" t="s">
        <v>150</v>
      </c>
      <c r="O179" s="70" t="s">
        <v>285</v>
      </c>
      <c r="P179" s="260" t="s">
        <v>416</v>
      </c>
      <c r="Q179" s="309" t="s">
        <v>416</v>
      </c>
      <c r="R179" s="409"/>
      <c r="S179" s="409"/>
      <c r="U179" s="75"/>
      <c r="V179" s="75"/>
      <c r="W179" s="75"/>
      <c r="X179" s="75"/>
      <c r="AB179" s="13"/>
      <c r="AC179" s="128"/>
      <c r="AD179" s="12"/>
      <c r="AE179" s="504"/>
      <c r="AF179" s="504"/>
      <c r="AG179" s="504"/>
      <c r="AH179" s="504"/>
      <c r="AI179" s="123"/>
      <c r="AJ179" s="111"/>
      <c r="AK179" s="111"/>
      <c r="AL179" s="111"/>
      <c r="AM179" s="111"/>
      <c r="AN179" s="108"/>
      <c r="AO179" s="124"/>
      <c r="AP179" s="116"/>
      <c r="AQ179" s="98"/>
    </row>
    <row r="180" spans="1:43" ht="33.75" x14ac:dyDescent="0.2">
      <c r="A180" s="8">
        <v>137</v>
      </c>
      <c r="B180" s="159" t="s">
        <v>422</v>
      </c>
      <c r="C180" s="159" t="s">
        <v>430</v>
      </c>
      <c r="D180" s="479" t="s">
        <v>118</v>
      </c>
      <c r="E180" s="479"/>
      <c r="F180" s="479"/>
      <c r="G180" s="479"/>
      <c r="H180" s="79">
        <v>8137</v>
      </c>
      <c r="I180" s="304">
        <v>205</v>
      </c>
      <c r="J180" s="73">
        <f t="shared" si="24"/>
        <v>225.50000000000003</v>
      </c>
      <c r="K180" s="73">
        <f t="shared" si="25"/>
        <v>205</v>
      </c>
      <c r="L180" s="73">
        <f t="shared" si="25"/>
        <v>225.50000000000003</v>
      </c>
      <c r="M180" s="65" t="s">
        <v>128</v>
      </c>
      <c r="N180" s="66" t="s">
        <v>150</v>
      </c>
      <c r="O180" s="70" t="s">
        <v>285</v>
      </c>
      <c r="P180" s="260" t="s">
        <v>416</v>
      </c>
      <c r="Q180" s="309" t="s">
        <v>416</v>
      </c>
      <c r="R180" s="409"/>
      <c r="S180" s="409"/>
      <c r="U180" s="75"/>
      <c r="V180" s="75"/>
      <c r="W180" s="75"/>
      <c r="X180" s="75"/>
      <c r="Y180" s="75"/>
      <c r="AB180" s="13"/>
      <c r="AC180" s="12"/>
      <c r="AD180" s="12"/>
      <c r="AE180" s="504"/>
      <c r="AF180" s="504"/>
      <c r="AG180" s="504"/>
      <c r="AH180" s="504"/>
      <c r="AI180" s="123"/>
      <c r="AJ180" s="111"/>
      <c r="AK180" s="111"/>
      <c r="AL180" s="111"/>
      <c r="AM180" s="111"/>
      <c r="AN180" s="108"/>
      <c r="AO180" s="124"/>
      <c r="AP180" s="116"/>
      <c r="AQ180" s="98"/>
    </row>
    <row r="181" spans="1:43" x14ac:dyDescent="0.2">
      <c r="A181" s="382"/>
      <c r="B181" s="383"/>
      <c r="C181" s="384"/>
      <c r="D181" s="385"/>
      <c r="E181" s="385"/>
      <c r="F181" s="385"/>
      <c r="G181" s="385"/>
      <c r="H181" s="386"/>
      <c r="I181" s="387"/>
      <c r="J181" s="387"/>
      <c r="K181" s="387"/>
      <c r="L181" s="387"/>
      <c r="M181" s="388"/>
      <c r="N181" s="389"/>
      <c r="O181" s="390"/>
      <c r="P181" s="391"/>
      <c r="Q181" s="391"/>
      <c r="R181" s="367"/>
      <c r="S181" s="367"/>
    </row>
    <row r="182" spans="1:43" x14ac:dyDescent="0.2">
      <c r="A182" s="369"/>
      <c r="B182" s="366"/>
      <c r="C182" s="366"/>
      <c r="D182" s="366"/>
      <c r="E182" s="366"/>
      <c r="F182" s="366"/>
      <c r="G182" s="366"/>
      <c r="H182" s="392"/>
      <c r="I182" s="369"/>
      <c r="J182" s="369"/>
      <c r="K182" s="366"/>
      <c r="L182" s="366"/>
      <c r="M182" s="393"/>
      <c r="N182" s="361"/>
      <c r="O182" s="362"/>
      <c r="P182" s="363"/>
      <c r="Q182" s="363"/>
      <c r="R182" s="367"/>
      <c r="S182" s="367"/>
    </row>
    <row r="183" spans="1:43" x14ac:dyDescent="0.2">
      <c r="A183" s="369"/>
      <c r="B183" s="394" t="s">
        <v>754</v>
      </c>
      <c r="C183" s="147"/>
      <c r="D183" s="147"/>
      <c r="E183" s="147"/>
      <c r="F183" s="147"/>
      <c r="G183" s="147"/>
      <c r="H183" s="148"/>
      <c r="I183" s="369"/>
      <c r="J183" s="369"/>
      <c r="K183" s="366"/>
      <c r="L183" s="366"/>
      <c r="M183" s="393"/>
      <c r="N183" s="361"/>
      <c r="O183" s="362"/>
      <c r="P183" s="363"/>
      <c r="Q183" s="363"/>
      <c r="R183" s="367"/>
      <c r="S183" s="367"/>
    </row>
    <row r="184" spans="1:43" x14ac:dyDescent="0.2">
      <c r="A184" s="369"/>
      <c r="B184" s="395" t="s">
        <v>687</v>
      </c>
      <c r="C184" s="395"/>
      <c r="D184" s="478" t="s">
        <v>412</v>
      </c>
      <c r="E184" s="478"/>
      <c r="F184" s="478"/>
      <c r="G184" s="478"/>
      <c r="H184" s="396">
        <v>8150</v>
      </c>
      <c r="I184" s="369"/>
      <c r="J184" s="369"/>
      <c r="K184" s="366"/>
      <c r="L184" s="366"/>
      <c r="M184" s="393"/>
      <c r="N184" s="361"/>
      <c r="O184" s="362"/>
      <c r="P184" s="363"/>
      <c r="Q184" s="363"/>
      <c r="R184" s="367"/>
      <c r="S184" s="367"/>
    </row>
    <row r="185" spans="1:43" x14ac:dyDescent="0.2">
      <c r="A185" s="369"/>
      <c r="B185" s="395" t="s">
        <v>755</v>
      </c>
      <c r="C185" s="395"/>
      <c r="D185" s="478" t="s">
        <v>628</v>
      </c>
      <c r="E185" s="478"/>
      <c r="F185" s="478"/>
      <c r="G185" s="478"/>
      <c r="H185" s="396">
        <v>8152</v>
      </c>
      <c r="I185" s="369"/>
      <c r="J185" s="369"/>
      <c r="K185" s="366"/>
      <c r="L185" s="366"/>
      <c r="M185" s="393"/>
      <c r="N185" s="361"/>
      <c r="O185" s="362"/>
      <c r="P185" s="363"/>
      <c r="Q185" s="363"/>
      <c r="R185" s="367"/>
      <c r="S185" s="367"/>
    </row>
    <row r="186" spans="1:43" x14ac:dyDescent="0.2">
      <c r="A186" s="369"/>
      <c r="B186" s="395" t="s">
        <v>254</v>
      </c>
      <c r="C186" s="395"/>
      <c r="D186" s="395"/>
      <c r="E186" s="395"/>
      <c r="F186" s="395"/>
      <c r="G186" s="395"/>
      <c r="H186" s="396">
        <v>8151</v>
      </c>
      <c r="I186" s="369"/>
      <c r="J186" s="369"/>
      <c r="K186" s="366"/>
      <c r="L186" s="366"/>
      <c r="M186" s="393"/>
      <c r="N186" s="361"/>
      <c r="O186" s="362"/>
      <c r="P186" s="363"/>
      <c r="Q186" s="363"/>
      <c r="R186" s="367"/>
      <c r="S186" s="367"/>
    </row>
    <row r="187" spans="1:43" x14ac:dyDescent="0.2">
      <c r="A187" s="369"/>
      <c r="B187" s="397" t="s">
        <v>756</v>
      </c>
      <c r="C187" s="395"/>
      <c r="D187" s="395"/>
      <c r="E187" s="395"/>
      <c r="F187" s="395"/>
      <c r="G187" s="395"/>
      <c r="H187" s="396">
        <v>3200</v>
      </c>
      <c r="I187" s="369"/>
      <c r="J187" s="369"/>
      <c r="K187" s="366"/>
      <c r="L187" s="366"/>
      <c r="M187" s="393"/>
      <c r="N187" s="361"/>
      <c r="O187" s="362"/>
      <c r="P187" s="363"/>
      <c r="Q187" s="363"/>
      <c r="R187" s="367"/>
      <c r="S187" s="367"/>
    </row>
    <row r="188" spans="1:43" x14ac:dyDescent="0.2">
      <c r="A188" s="369"/>
      <c r="B188" s="147"/>
      <c r="C188" s="147"/>
      <c r="D188" s="147"/>
      <c r="E188" s="147"/>
      <c r="F188" s="147"/>
      <c r="G188" s="147"/>
      <c r="H188" s="148"/>
      <c r="I188" s="369"/>
      <c r="J188" s="369"/>
      <c r="K188" s="366"/>
      <c r="L188" s="366"/>
      <c r="M188" s="393"/>
      <c r="N188" s="361"/>
      <c r="O188" s="362"/>
      <c r="P188" s="363"/>
      <c r="Q188" s="363"/>
      <c r="R188" s="367"/>
      <c r="S188" s="367"/>
    </row>
    <row r="189" spans="1:43" x14ac:dyDescent="0.2">
      <c r="A189" s="369"/>
      <c r="B189" s="366"/>
      <c r="C189" s="366"/>
      <c r="D189" s="366"/>
      <c r="E189" s="366"/>
      <c r="F189" s="366"/>
      <c r="G189" s="366"/>
      <c r="H189" s="392"/>
      <c r="I189" s="369"/>
      <c r="J189" s="369"/>
      <c r="K189" s="366"/>
      <c r="L189" s="366"/>
      <c r="M189" s="393"/>
      <c r="N189" s="361"/>
      <c r="O189" s="362"/>
      <c r="P189" s="363"/>
      <c r="Q189" s="363"/>
      <c r="R189" s="367"/>
      <c r="S189" s="367"/>
    </row>
    <row r="190" spans="1:43" x14ac:dyDescent="0.2">
      <c r="A190" s="369"/>
      <c r="B190" s="366"/>
      <c r="C190" s="366"/>
      <c r="D190" s="366"/>
      <c r="E190" s="366"/>
      <c r="F190" s="366"/>
      <c r="G190" s="366"/>
      <c r="H190" s="392"/>
      <c r="I190" s="369"/>
      <c r="J190" s="369"/>
      <c r="K190" s="366"/>
      <c r="L190" s="366"/>
      <c r="M190" s="393"/>
      <c r="N190" s="361"/>
      <c r="O190" s="362"/>
      <c r="P190" s="363"/>
      <c r="Q190" s="363"/>
      <c r="R190" s="367"/>
      <c r="S190" s="367"/>
    </row>
    <row r="191" spans="1:43" x14ac:dyDescent="0.2">
      <c r="A191" s="369"/>
      <c r="B191" s="366"/>
      <c r="C191" s="366"/>
      <c r="D191" s="366"/>
      <c r="E191" s="366"/>
      <c r="F191" s="366"/>
      <c r="G191" s="366"/>
      <c r="H191" s="392"/>
      <c r="I191" s="369"/>
      <c r="J191" s="369"/>
      <c r="K191" s="366"/>
      <c r="L191" s="366"/>
      <c r="M191" s="393"/>
      <c r="N191" s="361"/>
      <c r="O191" s="362"/>
      <c r="P191" s="363"/>
      <c r="Q191" s="363"/>
      <c r="R191" s="367"/>
    </row>
    <row r="192" spans="1:43" x14ac:dyDescent="0.2">
      <c r="A192" s="369"/>
      <c r="B192" s="366"/>
      <c r="C192" s="366"/>
      <c r="D192" s="366"/>
      <c r="E192" s="366"/>
      <c r="F192" s="366"/>
      <c r="G192" s="366"/>
      <c r="H192" s="392"/>
      <c r="I192" s="369"/>
      <c r="J192" s="369"/>
      <c r="K192" s="366"/>
      <c r="L192" s="366"/>
      <c r="M192" s="393"/>
      <c r="N192" s="361"/>
      <c r="O192" s="362"/>
      <c r="P192" s="363"/>
      <c r="Q192" s="363"/>
      <c r="R192" s="367"/>
    </row>
  </sheetData>
  <autoFilter ref="A12:Q180">
    <filterColumn colId="3" showButton="0"/>
    <filterColumn colId="4" showButton="0"/>
    <filterColumn colId="5" showButton="0"/>
    <filterColumn colId="8" showButton="0"/>
    <filterColumn colId="10" showButton="0"/>
  </autoFilter>
  <customSheetViews>
    <customSheetView guid="{FB458C62-3D77-4EB6-93BC-1C1381A8DB8D}" scale="80" fitToPage="1" hiddenRows="1" showRuler="0" topLeftCell="A17">
      <selection activeCell="I40" sqref="I40"/>
      <rowBreaks count="2" manualBreakCount="2">
        <brk id="44" max="12" man="1"/>
        <brk id="67" max="12" man="1"/>
      </rowBreaks>
      <pageMargins left="0.28000000000000003" right="0.16" top="0.56999999999999995" bottom="0.96" header="0.5" footer="0.5"/>
      <pageSetup paperSize="8" scale="61" fitToHeight="2" orientation="portrait" horizontalDpi="300" verticalDpi="300" r:id="rId1"/>
      <headerFooter alignWithMargins="0"/>
    </customSheetView>
  </customSheetViews>
  <mergeCells count="337">
    <mergeCell ref="A12:A13"/>
    <mergeCell ref="B12:B13"/>
    <mergeCell ref="C12:C13"/>
    <mergeCell ref="H12:H13"/>
    <mergeCell ref="K12:L12"/>
    <mergeCell ref="M12:M13"/>
    <mergeCell ref="N12:N13"/>
    <mergeCell ref="P12:P13"/>
    <mergeCell ref="Q12:Q13"/>
    <mergeCell ref="BH13:BH15"/>
    <mergeCell ref="AB7:AC7"/>
    <mergeCell ref="AE7:AF7"/>
    <mergeCell ref="AS13:AS15"/>
    <mergeCell ref="AT13:AT15"/>
    <mergeCell ref="AU13:AU15"/>
    <mergeCell ref="AV13:AY13"/>
    <mergeCell ref="AZ13:AZ15"/>
    <mergeCell ref="BA13:BB13"/>
    <mergeCell ref="BC13:BD13"/>
    <mergeCell ref="BE13:BE15"/>
    <mergeCell ref="BF13:BF15"/>
    <mergeCell ref="AJ13:AK13"/>
    <mergeCell ref="AL13:AM13"/>
    <mergeCell ref="AN13:AN15"/>
    <mergeCell ref="AO13:AO15"/>
    <mergeCell ref="AQ13:AQ15"/>
    <mergeCell ref="AL162:AM162"/>
    <mergeCell ref="AE164:AH164"/>
    <mergeCell ref="AE165:AH165"/>
    <mergeCell ref="AE166:AH166"/>
    <mergeCell ref="AE179:AH179"/>
    <mergeCell ref="AE180:AH180"/>
    <mergeCell ref="AE167:AH167"/>
    <mergeCell ref="AE168:AH168"/>
    <mergeCell ref="AE169:AH169"/>
    <mergeCell ref="AE173:AH173"/>
    <mergeCell ref="AE174:AH174"/>
    <mergeCell ref="AE175:AH175"/>
    <mergeCell ref="AE176:AH176"/>
    <mergeCell ref="AE177:AH177"/>
    <mergeCell ref="AE178:AH178"/>
    <mergeCell ref="AE162:AH162"/>
    <mergeCell ref="AJ162:AK162"/>
    <mergeCell ref="AE158:AH158"/>
    <mergeCell ref="AJ158:AK158"/>
    <mergeCell ref="AL158:AM158"/>
    <mergeCell ref="AE159:AH159"/>
    <mergeCell ref="AJ159:AK159"/>
    <mergeCell ref="AL159:AM159"/>
    <mergeCell ref="AE160:AH160"/>
    <mergeCell ref="AJ160:AK160"/>
    <mergeCell ref="AL160:AM160"/>
    <mergeCell ref="AJ153:AK153"/>
    <mergeCell ref="AL153:AM153"/>
    <mergeCell ref="AJ154:AK154"/>
    <mergeCell ref="AL154:AM154"/>
    <mergeCell ref="AE156:AH156"/>
    <mergeCell ref="AJ156:AK156"/>
    <mergeCell ref="AL156:AM156"/>
    <mergeCell ref="AJ151:AK151"/>
    <mergeCell ref="AL157:AM157"/>
    <mergeCell ref="AE157:AH157"/>
    <mergeCell ref="AJ157:AK157"/>
    <mergeCell ref="AJ147:AK147"/>
    <mergeCell ref="AL147:AM147"/>
    <mergeCell ref="AJ148:AK148"/>
    <mergeCell ref="AL148:AM148"/>
    <mergeCell ref="AJ149:AK149"/>
    <mergeCell ref="AL149:AM149"/>
    <mergeCell ref="AJ145:AK145"/>
    <mergeCell ref="AL151:AM151"/>
    <mergeCell ref="AJ152:AK152"/>
    <mergeCell ref="AL152:AM152"/>
    <mergeCell ref="AJ142:AK142"/>
    <mergeCell ref="AL142:AM142"/>
    <mergeCell ref="AJ143:AK143"/>
    <mergeCell ref="AL143:AM143"/>
    <mergeCell ref="AJ144:AK144"/>
    <mergeCell ref="AL144:AM144"/>
    <mergeCell ref="AL145:AM145"/>
    <mergeCell ref="AJ146:AK146"/>
    <mergeCell ref="AL146:AM146"/>
    <mergeCell ref="AL91:AM91"/>
    <mergeCell ref="AJ137:AK137"/>
    <mergeCell ref="AL137:AM137"/>
    <mergeCell ref="AJ138:AK138"/>
    <mergeCell ref="AL138:AM138"/>
    <mergeCell ref="AJ139:AK139"/>
    <mergeCell ref="AL139:AM139"/>
    <mergeCell ref="AL140:AM140"/>
    <mergeCell ref="AJ141:AK141"/>
    <mergeCell ref="AL141:AM141"/>
    <mergeCell ref="AL78:AM78"/>
    <mergeCell ref="AJ85:AK85"/>
    <mergeCell ref="AL85:AM85"/>
    <mergeCell ref="AJ87:AK87"/>
    <mergeCell ref="AL87:AM87"/>
    <mergeCell ref="AJ88:AK88"/>
    <mergeCell ref="AL88:AM88"/>
    <mergeCell ref="AL89:AM89"/>
    <mergeCell ref="AL90:AM90"/>
    <mergeCell ref="AL72:AM72"/>
    <mergeCell ref="AL73:AM73"/>
    <mergeCell ref="AJ74:AK74"/>
    <mergeCell ref="AL74:AM74"/>
    <mergeCell ref="AJ75:AK75"/>
    <mergeCell ref="AL75:AM75"/>
    <mergeCell ref="AL76:AM76"/>
    <mergeCell ref="AJ77:AK77"/>
    <mergeCell ref="AL77:AM77"/>
    <mergeCell ref="AL44:AM44"/>
    <mergeCell ref="AJ45:AK45"/>
    <mergeCell ref="AL45:AM45"/>
    <mergeCell ref="AL46:AM46"/>
    <mergeCell ref="AJ69:AK69"/>
    <mergeCell ref="AL69:AM69"/>
    <mergeCell ref="AL70:AM70"/>
    <mergeCell ref="AJ71:AK71"/>
    <mergeCell ref="AL71:AM71"/>
    <mergeCell ref="AL22:AM22"/>
    <mergeCell ref="AJ23:AK23"/>
    <mergeCell ref="AL23:AM23"/>
    <mergeCell ref="AJ24:AK24"/>
    <mergeCell ref="AL24:AM24"/>
    <mergeCell ref="AJ25:AK25"/>
    <mergeCell ref="AL25:AM25"/>
    <mergeCell ref="AL42:AM42"/>
    <mergeCell ref="AJ43:AK43"/>
    <mergeCell ref="AL43:AM43"/>
    <mergeCell ref="AL31:AM31"/>
    <mergeCell ref="AL26:AM26"/>
    <mergeCell ref="AL27:AM27"/>
    <mergeCell ref="AL28:AM28"/>
    <mergeCell ref="AL29:AM29"/>
    <mergeCell ref="AL30:AM30"/>
    <mergeCell ref="AJ21:AK21"/>
    <mergeCell ref="AJ26:AK26"/>
    <mergeCell ref="AJ31:AK31"/>
    <mergeCell ref="AJ46:AK46"/>
    <mergeCell ref="AJ73:AK73"/>
    <mergeCell ref="AJ78:AK78"/>
    <mergeCell ref="AJ90:AK90"/>
    <mergeCell ref="AJ140:AK140"/>
    <mergeCell ref="AJ42:AK42"/>
    <mergeCell ref="AJ70:AK70"/>
    <mergeCell ref="AJ76:AK76"/>
    <mergeCell ref="AJ89:AK89"/>
    <mergeCell ref="AJ27:AK27"/>
    <mergeCell ref="AJ28:AK28"/>
    <mergeCell ref="AJ29:AK29"/>
    <mergeCell ref="AJ30:AK30"/>
    <mergeCell ref="AJ44:AK44"/>
    <mergeCell ref="AJ72:AK72"/>
    <mergeCell ref="AJ91:AK91"/>
    <mergeCell ref="AL21:AM21"/>
    <mergeCell ref="AJ22:AK22"/>
    <mergeCell ref="D179:G179"/>
    <mergeCell ref="I149:J149"/>
    <mergeCell ref="I148:J148"/>
    <mergeCell ref="I158:J158"/>
    <mergeCell ref="I160:J160"/>
    <mergeCell ref="D160:G160"/>
    <mergeCell ref="K151:L151"/>
    <mergeCell ref="I152:J152"/>
    <mergeCell ref="K152:L152"/>
    <mergeCell ref="I156:J156"/>
    <mergeCell ref="K156:L156"/>
    <mergeCell ref="K159:L159"/>
    <mergeCell ref="D151:G151"/>
    <mergeCell ref="D152:G152"/>
    <mergeCell ref="I153:J153"/>
    <mergeCell ref="K153:L153"/>
    <mergeCell ref="I154:J154"/>
    <mergeCell ref="K154:L154"/>
    <mergeCell ref="D156:G156"/>
    <mergeCell ref="D157:G157"/>
    <mergeCell ref="D158:G158"/>
    <mergeCell ref="I162:J162"/>
    <mergeCell ref="D162:G162"/>
    <mergeCell ref="D159:G159"/>
    <mergeCell ref="K91:L91"/>
    <mergeCell ref="K157:L157"/>
    <mergeCell ref="K158:L158"/>
    <mergeCell ref="K160:L160"/>
    <mergeCell ref="I159:J159"/>
    <mergeCell ref="K137:L137"/>
    <mergeCell ref="K138:L138"/>
    <mergeCell ref="K139:L139"/>
    <mergeCell ref="K140:L140"/>
    <mergeCell ref="K141:L141"/>
    <mergeCell ref="K149:L149"/>
    <mergeCell ref="I155:J155"/>
    <mergeCell ref="K155:L155"/>
    <mergeCell ref="I141:J141"/>
    <mergeCell ref="K70:L70"/>
    <mergeCell ref="K85:L85"/>
    <mergeCell ref="K87:L87"/>
    <mergeCell ref="K88:L88"/>
    <mergeCell ref="D180:G180"/>
    <mergeCell ref="D88:G88"/>
    <mergeCell ref="D166:G166"/>
    <mergeCell ref="D167:G167"/>
    <mergeCell ref="D168:G168"/>
    <mergeCell ref="D169:G169"/>
    <mergeCell ref="D164:G164"/>
    <mergeCell ref="D165:G165"/>
    <mergeCell ref="I151:J151"/>
    <mergeCell ref="I157:J157"/>
    <mergeCell ref="D91:G91"/>
    <mergeCell ref="I91:J91"/>
    <mergeCell ref="D173:G173"/>
    <mergeCell ref="D174:G174"/>
    <mergeCell ref="D175:G175"/>
    <mergeCell ref="D176:G176"/>
    <mergeCell ref="D177:G177"/>
    <mergeCell ref="D178:G178"/>
    <mergeCell ref="I137:J137"/>
    <mergeCell ref="I138:J138"/>
    <mergeCell ref="K73:L73"/>
    <mergeCell ref="K74:L74"/>
    <mergeCell ref="D87:G87"/>
    <mergeCell ref="I87:J87"/>
    <mergeCell ref="I88:J88"/>
    <mergeCell ref="D86:G86"/>
    <mergeCell ref="D71:G71"/>
    <mergeCell ref="D76:G76"/>
    <mergeCell ref="D77:G77"/>
    <mergeCell ref="I71:J71"/>
    <mergeCell ref="I76:J76"/>
    <mergeCell ref="I75:J75"/>
    <mergeCell ref="I72:J72"/>
    <mergeCell ref="I77:J77"/>
    <mergeCell ref="I79:J79"/>
    <mergeCell ref="K79:L79"/>
    <mergeCell ref="I25:J25"/>
    <mergeCell ref="D16:G16"/>
    <mergeCell ref="D17:G17"/>
    <mergeCell ref="I28:J28"/>
    <mergeCell ref="I70:J70"/>
    <mergeCell ref="I74:J74"/>
    <mergeCell ref="I73:J73"/>
    <mergeCell ref="D70:G70"/>
    <mergeCell ref="D24:G24"/>
    <mergeCell ref="I24:J24"/>
    <mergeCell ref="B7:G7"/>
    <mergeCell ref="D21:G21"/>
    <mergeCell ref="I21:J21"/>
    <mergeCell ref="K21:L21"/>
    <mergeCell ref="D22:G22"/>
    <mergeCell ref="I22:J22"/>
    <mergeCell ref="K22:L22"/>
    <mergeCell ref="D23:G23"/>
    <mergeCell ref="I23:J23"/>
    <mergeCell ref="K23:L23"/>
    <mergeCell ref="L10:N10"/>
    <mergeCell ref="D18:G18"/>
    <mergeCell ref="D19:G19"/>
    <mergeCell ref="D20:G20"/>
    <mergeCell ref="B8:G8"/>
    <mergeCell ref="B9:G9"/>
    <mergeCell ref="B10:G10"/>
    <mergeCell ref="J8:N8"/>
    <mergeCell ref="J9:N9"/>
    <mergeCell ref="I12:J12"/>
    <mergeCell ref="D12:G12"/>
    <mergeCell ref="K42:L42"/>
    <mergeCell ref="K29:L29"/>
    <mergeCell ref="K30:L30"/>
    <mergeCell ref="D42:G42"/>
    <mergeCell ref="K26:L26"/>
    <mergeCell ref="D44:G44"/>
    <mergeCell ref="I44:J44"/>
    <mergeCell ref="K24:L24"/>
    <mergeCell ref="K25:L25"/>
    <mergeCell ref="K27:L27"/>
    <mergeCell ref="I42:J42"/>
    <mergeCell ref="D43:G43"/>
    <mergeCell ref="I43:J43"/>
    <mergeCell ref="K28:L28"/>
    <mergeCell ref="D26:G26"/>
    <mergeCell ref="I26:J26"/>
    <mergeCell ref="D29:G29"/>
    <mergeCell ref="I29:J29"/>
    <mergeCell ref="D30:G30"/>
    <mergeCell ref="I30:J30"/>
    <mergeCell ref="D28:G28"/>
    <mergeCell ref="D27:G27"/>
    <mergeCell ref="I27:J27"/>
    <mergeCell ref="D25:G25"/>
    <mergeCell ref="K90:L90"/>
    <mergeCell ref="K162:L162"/>
    <mergeCell ref="D45:G45"/>
    <mergeCell ref="D31:G31"/>
    <mergeCell ref="I31:J31"/>
    <mergeCell ref="D46:G46"/>
    <mergeCell ref="I46:J46"/>
    <mergeCell ref="I69:J69"/>
    <mergeCell ref="K44:L44"/>
    <mergeCell ref="I45:J45"/>
    <mergeCell ref="I142:J142"/>
    <mergeCell ref="K142:L142"/>
    <mergeCell ref="K89:L89"/>
    <mergeCell ref="K45:L45"/>
    <mergeCell ref="K46:L46"/>
    <mergeCell ref="K69:L69"/>
    <mergeCell ref="K31:L31"/>
    <mergeCell ref="K78:L78"/>
    <mergeCell ref="K75:L75"/>
    <mergeCell ref="K76:L76"/>
    <mergeCell ref="K71:L71"/>
    <mergeCell ref="K72:L72"/>
    <mergeCell ref="K77:L77"/>
    <mergeCell ref="K43:L43"/>
    <mergeCell ref="D184:G184"/>
    <mergeCell ref="D185:G185"/>
    <mergeCell ref="D140:G140"/>
    <mergeCell ref="I147:J147"/>
    <mergeCell ref="K147:L147"/>
    <mergeCell ref="K148:L148"/>
    <mergeCell ref="D85:G85"/>
    <mergeCell ref="D78:G78"/>
    <mergeCell ref="I78:J78"/>
    <mergeCell ref="I85:J85"/>
    <mergeCell ref="D89:G89"/>
    <mergeCell ref="I143:J143"/>
    <mergeCell ref="K143:L143"/>
    <mergeCell ref="I144:J144"/>
    <mergeCell ref="K144:L144"/>
    <mergeCell ref="I145:J145"/>
    <mergeCell ref="K145:L145"/>
    <mergeCell ref="I146:J146"/>
    <mergeCell ref="K146:L146"/>
    <mergeCell ref="I89:J89"/>
    <mergeCell ref="D90:G90"/>
    <mergeCell ref="I90:J90"/>
    <mergeCell ref="I139:J139"/>
    <mergeCell ref="I140:J140"/>
  </mergeCells>
  <phoneticPr fontId="6" type="noConversion"/>
  <pageMargins left="0.28000000000000003" right="0.16" top="0.56999999999999995" bottom="0.96" header="0.5" footer="0.5"/>
  <pageSetup paperSize="8" scale="20" fitToHeight="2" orientation="portrait" horizontalDpi="300" verticalDpi="300" r:id="rId2"/>
  <headerFooter alignWithMargins="0"/>
  <rowBreaks count="2" manualBreakCount="2">
    <brk id="45" max="16" man="1"/>
    <brk id="68" max="16" man="1"/>
  </rowBreaks>
  <ignoredErrors>
    <ignoredError sqref="K16" formula="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65"/>
  <sheetViews>
    <sheetView zoomScale="80" zoomScaleNormal="80" workbookViewId="0"/>
  </sheetViews>
  <sheetFormatPr defaultRowHeight="12.75" x14ac:dyDescent="0.2"/>
  <cols>
    <col min="1" max="1" width="9.140625" style="104"/>
    <col min="2" max="2" width="6.42578125" style="96" hidden="1" customWidth="1"/>
    <col min="3" max="3" width="5.85546875" style="96" hidden="1" customWidth="1"/>
    <col min="4" max="4" width="7.85546875" style="96" hidden="1" customWidth="1"/>
    <col min="5" max="5" width="38.7109375" style="91" customWidth="1"/>
    <col min="6" max="6" width="75.28515625" style="91" customWidth="1"/>
    <col min="7" max="9" width="13.28515625" style="102" customWidth="1"/>
    <col min="10" max="10" width="13.28515625" style="91" customWidth="1"/>
    <col min="11" max="14" width="13.28515625" style="104" customWidth="1"/>
    <col min="15" max="17" width="13.28515625" style="102" customWidth="1"/>
    <col min="18" max="18" width="13.28515625" style="91" customWidth="1"/>
    <col min="19" max="20" width="9.140625" style="91"/>
    <col min="21" max="21" width="0" style="91" hidden="1" customWidth="1"/>
    <col min="22" max="16384" width="9.140625" style="91"/>
  </cols>
  <sheetData>
    <row r="1" spans="1:21" x14ac:dyDescent="0.2">
      <c r="G1" s="99">
        <v>4</v>
      </c>
      <c r="H1" s="99">
        <v>5</v>
      </c>
      <c r="I1" s="99">
        <v>6</v>
      </c>
      <c r="J1" s="99">
        <v>7</v>
      </c>
      <c r="K1" s="99"/>
      <c r="L1" s="99"/>
      <c r="M1" s="99"/>
      <c r="N1" s="99"/>
    </row>
    <row r="3" spans="1:21" ht="18" x14ac:dyDescent="0.2">
      <c r="E3" s="90" t="s">
        <v>439</v>
      </c>
      <c r="J3" s="92"/>
      <c r="K3" s="103"/>
      <c r="L3" s="103"/>
      <c r="M3" s="103"/>
      <c r="N3" s="103"/>
      <c r="O3" s="103"/>
      <c r="P3" s="103"/>
      <c r="Q3" s="103"/>
      <c r="R3" s="92"/>
    </row>
    <row r="4" spans="1:21" ht="18" x14ac:dyDescent="0.2">
      <c r="E4" s="93" t="s">
        <v>442</v>
      </c>
    </row>
    <row r="7" spans="1:21" ht="16.5" x14ac:dyDescent="0.25">
      <c r="E7" s="94"/>
    </row>
    <row r="8" spans="1:21" x14ac:dyDescent="0.2">
      <c r="A8" s="197"/>
      <c r="D8" s="183"/>
      <c r="E8" s="515" t="s">
        <v>440</v>
      </c>
      <c r="F8" s="516" t="s">
        <v>441</v>
      </c>
      <c r="G8" s="517" t="s">
        <v>3</v>
      </c>
      <c r="H8" s="516"/>
      <c r="I8" s="516"/>
      <c r="J8" s="516"/>
      <c r="K8" s="516"/>
      <c r="L8" s="516"/>
      <c r="M8" s="516"/>
      <c r="N8" s="516"/>
      <c r="O8" s="516"/>
      <c r="P8" s="516"/>
      <c r="Q8" s="516"/>
      <c r="R8" s="518"/>
    </row>
    <row r="9" spans="1:21" ht="12.75" customHeight="1" x14ac:dyDescent="0.2">
      <c r="A9" s="197"/>
      <c r="D9" s="183"/>
      <c r="E9" s="515"/>
      <c r="F9" s="516"/>
      <c r="G9" s="512" t="s">
        <v>446</v>
      </c>
      <c r="H9" s="513"/>
      <c r="I9" s="513"/>
      <c r="J9" s="513"/>
      <c r="K9" s="513"/>
      <c r="L9" s="513"/>
      <c r="M9" s="513"/>
      <c r="N9" s="514"/>
      <c r="O9" s="512" t="s">
        <v>653</v>
      </c>
      <c r="P9" s="513"/>
      <c r="Q9" s="513"/>
      <c r="R9" s="513"/>
    </row>
    <row r="10" spans="1:21" s="104" customFormat="1" ht="12.75" customHeight="1" x14ac:dyDescent="0.2">
      <c r="A10" s="197"/>
      <c r="B10" s="256"/>
      <c r="C10" s="257"/>
      <c r="D10" s="258"/>
      <c r="E10" s="515"/>
      <c r="F10" s="516"/>
      <c r="G10" s="512" t="s">
        <v>649</v>
      </c>
      <c r="H10" s="513"/>
      <c r="I10" s="513"/>
      <c r="J10" s="513"/>
      <c r="K10" s="512" t="s">
        <v>650</v>
      </c>
      <c r="L10" s="513"/>
      <c r="M10" s="513"/>
      <c r="N10" s="514"/>
      <c r="O10" s="519" t="s">
        <v>651</v>
      </c>
      <c r="P10" s="520"/>
      <c r="Q10" s="520"/>
      <c r="R10" s="520"/>
    </row>
    <row r="11" spans="1:21" x14ac:dyDescent="0.2">
      <c r="A11" s="252"/>
      <c r="B11" s="97">
        <v>1</v>
      </c>
      <c r="C11" s="97"/>
      <c r="D11" s="249"/>
      <c r="E11" s="521" t="s">
        <v>443</v>
      </c>
      <c r="F11" s="268" t="str">
        <f>VLOOKUP(B11,'ACS Price List'!$A$12:$P$180,2,FALSE)</f>
        <v>Application fee - Basic or standard connection</v>
      </c>
      <c r="G11" s="269" t="str">
        <f>IF(VLOOKUP($B11,'ACS Price List'!$A$12:$P$180,G$1,FALSE)=0,"",VLOOKUP($B11,'ACS Price List'!$A$12:$P$180,G$1,FALSE))</f>
        <v>APFSAC</v>
      </c>
      <c r="H11" s="269" t="str">
        <f>IF(VLOOKUP($B11,'ACS Price List'!$A$12:$P$180,H$1,FALSE)=0,"",VLOOKUP($B11,'ACS Price List'!$A$12:$P$180,H$1,FALSE))</f>
        <v/>
      </c>
      <c r="I11" s="269"/>
      <c r="J11" s="270"/>
      <c r="K11" s="271" t="str">
        <f>IFERROR(IF(VLOOKUP($C11,'ACS Price List'!$A$12:$P$180,G$1,FALSE)=0,"",VLOOKUP($C11,'ACS Price List'!$A$12:$P$180,G$1,FALSE)),"")</f>
        <v/>
      </c>
      <c r="L11" s="271" t="str">
        <f>IFERROR(IF(VLOOKUP($C11,'ACS Price List'!$A$12:$P$180,H$1,FALSE)=0,"",VLOOKUP($C11,'ACS Price List'!$A$12:$P$180,H$1,FALSE)),"")</f>
        <v/>
      </c>
      <c r="M11" s="271"/>
      <c r="N11" s="272"/>
      <c r="O11" s="273" t="str">
        <f>IFERROR(IF(VLOOKUP($D11,'ACS Price List'!$A$12:$P$180,G$1,FALSE)=0,"",VLOOKUP($D11,'ACS Price List'!$A$12:$P$180,G$1,FALSE)),"")</f>
        <v/>
      </c>
      <c r="P11" s="273" t="str">
        <f>IFERROR(IF(VLOOKUP($D11,'ACS Price List'!$A$12:$P$180,H$1,FALSE)=0,"",VLOOKUP($D11,'ACS Price List'!$A$12:$P$180,H$1,FALSE)),"")</f>
        <v/>
      </c>
      <c r="Q11" s="273"/>
      <c r="R11" s="274"/>
      <c r="U11" s="91">
        <f>COUNTA(G11:G45,H16:H23,K16:K18,L16:L18,O16:P23,O25:P45,H25:H45)</f>
        <v>128</v>
      </c>
    </row>
    <row r="12" spans="1:21" x14ac:dyDescent="0.2">
      <c r="A12" s="252"/>
      <c r="B12" s="97">
        <v>2</v>
      </c>
      <c r="C12" s="97"/>
      <c r="D12" s="249"/>
      <c r="E12" s="521"/>
      <c r="F12" s="275" t="str">
        <f>VLOOKUP(B12,'ACS Price List'!$A$12:$P$180,2,FALSE)</f>
        <v>Application fee - Basic or standard connection - Micro-embedded generators</v>
      </c>
      <c r="G12" s="271" t="str">
        <f>IF(VLOOKUP($B12,'ACS Price List'!$A$12:$P$180,G$1,FALSE)=0,"",VLOOKUP($B12,'ACS Price List'!$A$12:$P$180,G$1,FALSE))</f>
        <v>APFMEG</v>
      </c>
      <c r="H12" s="271" t="str">
        <f>IF(VLOOKUP($B12,'ACS Price List'!$A$12:$P$180,H$1,FALSE)=0,"",VLOOKUP($B12,'ACS Price List'!$A$12:$P$180,H$1,FALSE))</f>
        <v/>
      </c>
      <c r="I12" s="271"/>
      <c r="J12" s="272"/>
      <c r="K12" s="271" t="str">
        <f>IFERROR(IF(VLOOKUP($C12,'ACS Price List'!$A$12:$P$180,G$1,FALSE)=0,"",VLOOKUP($C12,'ACS Price List'!$A$12:$P$180,G$1,FALSE)),"")</f>
        <v/>
      </c>
      <c r="L12" s="271" t="str">
        <f>IFERROR(IF(VLOOKUP($C12,'ACS Price List'!$A$12:$P$180,H$1,FALSE)=0,"",VLOOKUP($C12,'ACS Price List'!$A$12:$P$180,H$1,FALSE)),"")</f>
        <v/>
      </c>
      <c r="M12" s="271"/>
      <c r="N12" s="272"/>
      <c r="O12" s="271" t="str">
        <f>IFERROR(IF(VLOOKUP($D12,'ACS Price List'!$A$12:$P$180,G$1,FALSE)=0,"",VLOOKUP($D12,'ACS Price List'!$A$12:$P$180,G$1,FALSE)),"")</f>
        <v/>
      </c>
      <c r="P12" s="271" t="str">
        <f>IFERROR(IF(VLOOKUP($D12,'ACS Price List'!$A$12:$P$180,H$1,FALSE)=0,"",VLOOKUP($D12,'ACS Price List'!$A$12:$P$180,H$1,FALSE)),"")</f>
        <v/>
      </c>
      <c r="Q12" s="271"/>
      <c r="R12" s="276"/>
    </row>
    <row r="13" spans="1:21" ht="24" x14ac:dyDescent="0.2">
      <c r="A13" s="252"/>
      <c r="B13" s="97">
        <v>3</v>
      </c>
      <c r="C13" s="97"/>
      <c r="D13" s="249"/>
      <c r="E13" s="521"/>
      <c r="F13" s="275" t="str">
        <f>VLOOKUP(B13,'ACS Price List'!$A$12:$P$180,2,FALSE)</f>
        <v>Application fee - Basic or standard connection - Micro-embedded generators - Technical assessment required</v>
      </c>
      <c r="G13" s="271" t="str">
        <f>IF(VLOOKUP($B13,'ACS Price List'!$A$12:$P$180,G$1,FALSE)=0,"",VLOOKUP($B13,'ACS Price List'!$A$12:$P$180,G$1,FALSE))</f>
        <v>APFMTA</v>
      </c>
      <c r="H13" s="271" t="str">
        <f>IF(VLOOKUP($B13,'ACS Price List'!$A$12:$P$180,H$1,FALSE)=0,"",VLOOKUP($B13,'ACS Price List'!$A$12:$P$180,H$1,FALSE))</f>
        <v/>
      </c>
      <c r="I13" s="271"/>
      <c r="J13" s="272"/>
      <c r="K13" s="271" t="str">
        <f>IFERROR(IF(VLOOKUP($C13,'ACS Price List'!$A$12:$P$180,G$1,FALSE)=0,"",VLOOKUP($C13,'ACS Price List'!$A$12:$P$180,G$1,FALSE)),"")</f>
        <v/>
      </c>
      <c r="L13" s="271" t="str">
        <f>IFERROR(IF(VLOOKUP($C13,'ACS Price List'!$A$12:$P$180,H$1,FALSE)=0,"",VLOOKUP($C13,'ACS Price List'!$A$12:$P$180,H$1,FALSE)),"")</f>
        <v/>
      </c>
      <c r="M13" s="271"/>
      <c r="N13" s="272"/>
      <c r="O13" s="271" t="str">
        <f>IFERROR(IF(VLOOKUP($D13,'ACS Price List'!$A$12:$P$180,G$1,FALSE)=0,"",VLOOKUP($D13,'ACS Price List'!$A$12:$P$180,G$1,FALSE)),"")</f>
        <v/>
      </c>
      <c r="P13" s="271" t="str">
        <f>IFERROR(IF(VLOOKUP($D13,'ACS Price List'!$A$12:$P$180,H$1,FALSE)=0,"",VLOOKUP($D13,'ACS Price List'!$A$12:$P$180,H$1,FALSE)),"")</f>
        <v/>
      </c>
      <c r="Q13" s="271"/>
      <c r="R13" s="276"/>
    </row>
    <row r="14" spans="1:21" x14ac:dyDescent="0.2">
      <c r="A14" s="252"/>
      <c r="B14" s="97">
        <v>4</v>
      </c>
      <c r="C14" s="97"/>
      <c r="D14" s="249"/>
      <c r="E14" s="521"/>
      <c r="F14" s="275" t="str">
        <f>VLOOKUP(B14,'ACS Price List'!$A$12:$P$180,2,FALSE)</f>
        <v>Application fee - Real estate development connection</v>
      </c>
      <c r="G14" s="271" t="str">
        <f>IF(VLOOKUP($B14,'ACS Price List'!$A$12:$P$180,G$1,FALSE)=0,"",VLOOKUP($B14,'ACS Price List'!$A$12:$P$180,G$1,FALSE))</f>
        <v>APFRED</v>
      </c>
      <c r="H14" s="271" t="str">
        <f>IF(VLOOKUP($B14,'ACS Price List'!$A$12:$P$180,H$1,FALSE)=0,"",VLOOKUP($B14,'ACS Price List'!$A$12:$P$180,H$1,FALSE))</f>
        <v/>
      </c>
      <c r="I14" s="271"/>
      <c r="J14" s="272"/>
      <c r="K14" s="271" t="str">
        <f>IFERROR(IF(VLOOKUP($C14,'ACS Price List'!$A$12:$P$180,G$1,FALSE)=0,"",VLOOKUP($C14,'ACS Price List'!$A$12:$P$180,G$1,FALSE)),"")</f>
        <v/>
      </c>
      <c r="L14" s="271" t="str">
        <f>IFERROR(IF(VLOOKUP($C14,'ACS Price List'!$A$12:$P$180,H$1,FALSE)=0,"",VLOOKUP($C14,'ACS Price List'!$A$12:$P$180,H$1,FALSE)),"")</f>
        <v/>
      </c>
      <c r="M14" s="271"/>
      <c r="N14" s="272"/>
      <c r="O14" s="271" t="str">
        <f>IFERROR(IF(VLOOKUP($D14,'ACS Price List'!$A$12:$P$180,G$1,FALSE)=0,"",VLOOKUP($D14,'ACS Price List'!$A$12:$P$180,G$1,FALSE)),"")</f>
        <v/>
      </c>
      <c r="P14" s="271" t="str">
        <f>IFERROR(IF(VLOOKUP($D14,'ACS Price List'!$A$12:$P$180,H$1,FALSE)=0,"",VLOOKUP($D14,'ACS Price List'!$A$12:$P$180,H$1,FALSE)),"")</f>
        <v/>
      </c>
      <c r="Q14" s="271"/>
      <c r="R14" s="276"/>
    </row>
    <row r="15" spans="1:21" x14ac:dyDescent="0.2">
      <c r="A15" s="252"/>
      <c r="B15" s="97">
        <v>5</v>
      </c>
      <c r="C15" s="97"/>
      <c r="D15" s="249"/>
      <c r="E15" s="521"/>
      <c r="F15" s="275" t="str">
        <f>VLOOKUP(B15,'ACS Price List'!$A$12:$P$180,2,FALSE)</f>
        <v>Protection and Power Quality assessment prior to connection</v>
      </c>
      <c r="G15" s="271" t="str">
        <f>IF(VLOOKUP($B15,'ACS Price List'!$A$12:$P$180,G$1,FALSE)=0,"",VLOOKUP($B15,'ACS Price List'!$A$12:$P$180,G$1,FALSE))</f>
        <v>PPQA</v>
      </c>
      <c r="H15" s="271" t="str">
        <f>IF(VLOOKUP($B15,'ACS Price List'!$A$12:$P$180,H$1,FALSE)=0,"",VLOOKUP($B15,'ACS Price List'!$A$12:$P$180,H$1,FALSE))</f>
        <v/>
      </c>
      <c r="I15" s="271"/>
      <c r="J15" s="272"/>
      <c r="K15" s="271" t="str">
        <f>IFERROR(IF(VLOOKUP($C15,'ACS Price List'!$A$12:$P$180,G$1,FALSE)=0,"",VLOOKUP($C15,'ACS Price List'!$A$12:$P$180,G$1,FALSE)),"")</f>
        <v/>
      </c>
      <c r="L15" s="271" t="str">
        <f>IFERROR(IF(VLOOKUP($C15,'ACS Price List'!$A$12:$P$180,H$1,FALSE)=0,"",VLOOKUP($C15,'ACS Price List'!$A$12:$P$180,H$1,FALSE)),"")</f>
        <v/>
      </c>
      <c r="M15" s="271"/>
      <c r="N15" s="272"/>
      <c r="O15" s="271" t="str">
        <f>IFERROR(IF(VLOOKUP($D15,'ACS Price List'!$A$12:$P$180,G$1,FALSE)=0,"",VLOOKUP($D15,'ACS Price List'!$A$12:$P$180,G$1,FALSE)),"")</f>
        <v/>
      </c>
      <c r="P15" s="271" t="str">
        <f>IFERROR(IF(VLOOKUP($D15,'ACS Price List'!$A$12:$P$180,H$1,FALSE)=0,"",VLOOKUP($D15,'ACS Price List'!$A$12:$P$180,H$1,FALSE)),"")</f>
        <v/>
      </c>
      <c r="Q15" s="271"/>
      <c r="R15" s="276"/>
    </row>
    <row r="16" spans="1:21" ht="24" x14ac:dyDescent="0.2">
      <c r="A16" s="252"/>
      <c r="B16" s="97">
        <v>6</v>
      </c>
      <c r="C16" s="97" t="s">
        <v>612</v>
      </c>
      <c r="D16" s="250" t="s">
        <v>46</v>
      </c>
      <c r="E16" s="521"/>
      <c r="F16" s="275" t="str">
        <f>VLOOKUP(B16,'ACS Price List'!$A$12:$P$180,2,FALSE)</f>
        <v>Temporary connection, not in permanent position - single phase metered - urban/short rural feeders</v>
      </c>
      <c r="G16" s="271" t="str">
        <f>IF(VLOOKUP($B16,'ACS Price List'!$A$12:$P$180,G$1,FALSE)=0,"",VLOOKUP($B16,'ACS Price List'!$A$12:$P$180,G$1,FALSE))</f>
        <v>TBSSPU</v>
      </c>
      <c r="H16" s="271" t="str">
        <f>IF(VLOOKUP($B16,'ACS Price List'!$A$12:$P$180,H$1,FALSE)=0,"",VLOOKUP($B16,'ACS Price List'!$A$12:$P$180,H$1,FALSE))</f>
        <v>TBSSPS</v>
      </c>
      <c r="I16" s="271"/>
      <c r="J16" s="272"/>
      <c r="K16" s="271" t="str">
        <f>IFERROR(IF(VLOOKUP($C16,'ACS Price List'!$A$12:$P$180,G$1,FALSE)=0,"",VLOOKUP($C16,'ACS Price List'!$A$12:$P$180,G$1,FALSE)),"")</f>
        <v>MTBSU</v>
      </c>
      <c r="L16" s="271" t="str">
        <f>IFERROR(IF(VLOOKUP($C16,'ACS Price List'!$A$12:$P$180,H$1,FALSE)=0,"",VLOOKUP($C16,'ACS Price List'!$A$12:$P$180,H$1,FALSE)),"")</f>
        <v>MTBSS</v>
      </c>
      <c r="M16" s="271"/>
      <c r="N16" s="272"/>
      <c r="O16" s="271" t="str">
        <f>IFERROR(IF(VLOOKUP($D16,'ACS Price List'!$A$12:$P$180,G$1,FALSE)=0,"",VLOOKUP($D16,'ACS Price List'!$A$12:$P$180,G$1,FALSE)),"")</f>
        <v>CFTBSSPU</v>
      </c>
      <c r="P16" s="271" t="str">
        <f>IFERROR(IF(VLOOKUP($D16,'ACS Price List'!$A$12:$P$180,H$1,FALSE)=0,"",VLOOKUP($D16,'ACS Price List'!$A$12:$P$180,H$1,FALSE)),"")</f>
        <v>CFTBSSPS</v>
      </c>
      <c r="Q16" s="271"/>
      <c r="R16" s="276"/>
    </row>
    <row r="17" spans="1:18" ht="24" x14ac:dyDescent="0.2">
      <c r="A17" s="252"/>
      <c r="B17" s="97">
        <v>8</v>
      </c>
      <c r="C17" s="97" t="s">
        <v>612</v>
      </c>
      <c r="D17" s="250" t="s">
        <v>52</v>
      </c>
      <c r="E17" s="521"/>
      <c r="F17" s="275" t="str">
        <f>VLOOKUP(B17,'ACS Price List'!$A$12:$P$180,2,FALSE)</f>
        <v>Temporary connection, not in permanent position - multi phase metered - urban/short rural feeders</v>
      </c>
      <c r="G17" s="271" t="str">
        <f>IF(VLOOKUP($B17,'ACS Price List'!$A$12:$P$180,G$1,FALSE)=0,"",VLOOKUP($B17,'ACS Price List'!$A$12:$P$180,G$1,FALSE))</f>
        <v>TBSMPU</v>
      </c>
      <c r="H17" s="271" t="str">
        <f>IF(VLOOKUP($B17,'ACS Price List'!$A$12:$P$180,H$1,FALSE)=0,"",VLOOKUP($B17,'ACS Price List'!$A$12:$P$180,H$1,FALSE))</f>
        <v>TBSMPS</v>
      </c>
      <c r="I17" s="271"/>
      <c r="J17" s="272"/>
      <c r="K17" s="271" t="str">
        <f>IFERROR(IF(VLOOKUP($C17,'ACS Price List'!$A$12:$P$180,G$1,FALSE)=0,"",VLOOKUP($C17,'ACS Price List'!$A$12:$P$180,G$1,FALSE)),"")</f>
        <v>MTBSU</v>
      </c>
      <c r="L17" s="271" t="str">
        <f>IFERROR(IF(VLOOKUP($C17,'ACS Price List'!$A$12:$P$180,H$1,FALSE)=0,"",VLOOKUP($C17,'ACS Price List'!$A$12:$P$180,H$1,FALSE)),"")</f>
        <v>MTBSS</v>
      </c>
      <c r="M17" s="271"/>
      <c r="N17" s="272"/>
      <c r="O17" s="271" t="str">
        <f>IFERROR(IF(VLOOKUP($D17,'ACS Price List'!$A$12:$P$180,G$1,FALSE)=0,"",VLOOKUP($D17,'ACS Price List'!$A$12:$P$180,G$1,FALSE)),"")</f>
        <v>CFTBSMPU</v>
      </c>
      <c r="P17" s="271" t="str">
        <f>IFERROR(IF(VLOOKUP($D17,'ACS Price List'!$A$12:$P$180,H$1,FALSE)=0,"",VLOOKUP($D17,'ACS Price List'!$A$12:$P$180,H$1,FALSE)),"")</f>
        <v>CFTBSMPS</v>
      </c>
      <c r="Q17" s="271"/>
      <c r="R17" s="276"/>
    </row>
    <row r="18" spans="1:18" x14ac:dyDescent="0.2">
      <c r="A18" s="252"/>
      <c r="B18" s="97">
        <v>10</v>
      </c>
      <c r="C18" s="97" t="s">
        <v>613</v>
      </c>
      <c r="D18" s="250" t="s">
        <v>59</v>
      </c>
      <c r="E18" s="521"/>
      <c r="F18" s="275" t="str">
        <f>VLOOKUP(B18,'ACS Price List'!$A$12:$P$180,2,FALSE)</f>
        <v>Supply abolishment during business hours - urban/short rural feeders</v>
      </c>
      <c r="G18" s="271" t="str">
        <f>IF(VLOOKUP($B18,'ACS Price List'!$A$12:$P$180,G$1,FALSE)=0,"",VLOOKUP($B18,'ACS Price List'!$A$12:$P$180,G$1,FALSE))</f>
        <v>SUPABOLU</v>
      </c>
      <c r="H18" s="271" t="str">
        <f>IF(VLOOKUP($B18,'ACS Price List'!$A$12:$P$180,H$1,FALSE)=0,"",VLOOKUP($B18,'ACS Price List'!$A$12:$P$180,H$1,FALSE))</f>
        <v>SUPABOLS</v>
      </c>
      <c r="I18" s="271"/>
      <c r="J18" s="272"/>
      <c r="K18" s="271" t="str">
        <f>IFERROR(IF(VLOOKUP($C18,'ACS Price List'!$A$12:$P$180,G$1,FALSE)=0,"",VLOOKUP($C18,'ACS Price List'!$A$12:$P$180,G$1,FALSE)),"")</f>
        <v>MSUPABOLU</v>
      </c>
      <c r="L18" s="271" t="str">
        <f>IFERROR(IF(VLOOKUP($C18,'ACS Price List'!$A$12:$P$180,H$1,FALSE)=0,"",VLOOKUP($C18,'ACS Price List'!$A$12:$P$180,H$1,FALSE)),"")</f>
        <v>MSUPABOLS</v>
      </c>
      <c r="M18" s="271"/>
      <c r="N18" s="272"/>
      <c r="O18" s="271" t="str">
        <f>IFERROR(IF(VLOOKUP($D18,'ACS Price List'!$A$12:$P$180,G$1,FALSE)=0,"",VLOOKUP($D18,'ACS Price List'!$A$12:$P$180,G$1,FALSE)),"")</f>
        <v>CFSUPABOLU</v>
      </c>
      <c r="P18" s="271" t="str">
        <f>IFERROR(IF(VLOOKUP($D18,'ACS Price List'!$A$12:$P$180,H$1,FALSE)=0,"",VLOOKUP($D18,'ACS Price List'!$A$12:$P$180,H$1,FALSE)),"")</f>
        <v>CFSUPABOLS</v>
      </c>
      <c r="Q18" s="271"/>
      <c r="R18" s="276"/>
    </row>
    <row r="19" spans="1:18" x14ac:dyDescent="0.2">
      <c r="A19" s="252"/>
      <c r="B19" s="97">
        <v>12</v>
      </c>
      <c r="C19" s="97"/>
      <c r="D19" s="250" t="s">
        <v>65</v>
      </c>
      <c r="E19" s="521"/>
      <c r="F19" s="275" t="str">
        <f>VLOOKUP(B19,'ACS Price List'!$A$12:$P$180,2,FALSE)</f>
        <v>De-energisation during business hours - urban/short rural feeders</v>
      </c>
      <c r="G19" s="271" t="str">
        <f>IF(VLOOKUP($B19,'ACS Price List'!$A$12:$P$180,G$1,FALSE)=0,"",VLOOKUP($B19,'ACS Price List'!$A$12:$P$180,G$1,FALSE))</f>
        <v>DEENBHU</v>
      </c>
      <c r="H19" s="271" t="str">
        <f>IF(VLOOKUP($B19,'ACS Price List'!$A$12:$P$180,H$1,FALSE)=0,"",VLOOKUP($B19,'ACS Price List'!$A$12:$P$180,H$1,FALSE))</f>
        <v>DEENBHS</v>
      </c>
      <c r="I19" s="271"/>
      <c r="J19" s="272"/>
      <c r="K19" s="271" t="str">
        <f>IFERROR(IF(VLOOKUP($C19,'ACS Price List'!$A$12:$P$180,G$1,FALSE)=0,"",VLOOKUP($C19,'ACS Price List'!$A$12:$P$180,G$1,FALSE)),"")</f>
        <v/>
      </c>
      <c r="L19" s="271" t="str">
        <f>IFERROR(IF(VLOOKUP($C19,'ACS Price List'!$A$12:$P$180,H$1,FALSE)=0,"",VLOOKUP($C19,'ACS Price List'!$A$12:$P$180,H$1,FALSE)),"")</f>
        <v/>
      </c>
      <c r="M19" s="271"/>
      <c r="N19" s="272"/>
      <c r="O19" s="271" t="str">
        <f>IFERROR(IF(VLOOKUP($D19,'ACS Price List'!$A$12:$P$180,G$1,FALSE)=0,"",VLOOKUP($D19,'ACS Price List'!$A$12:$P$180,G$1,FALSE)),"")</f>
        <v>CFDEENBHU</v>
      </c>
      <c r="P19" s="271" t="str">
        <f>IFERROR(IF(VLOOKUP($D19,'ACS Price List'!$A$12:$P$180,H$1,FALSE)=0,"",VLOOKUP($D19,'ACS Price List'!$A$12:$P$180,H$1,FALSE)),"")</f>
        <v>CFDEENBHS</v>
      </c>
      <c r="Q19" s="271"/>
      <c r="R19" s="276"/>
    </row>
    <row r="20" spans="1:18" x14ac:dyDescent="0.2">
      <c r="A20" s="252"/>
      <c r="B20" s="97">
        <v>14</v>
      </c>
      <c r="C20" s="97"/>
      <c r="D20" s="250" t="s">
        <v>71</v>
      </c>
      <c r="E20" s="521"/>
      <c r="F20" s="275" t="str">
        <f>VLOOKUP(B20,'ACS Price List'!$A$12:$P$180,2,FALSE)</f>
        <v>Re-energisation during business hours - urban/short rural feeders</v>
      </c>
      <c r="G20" s="271" t="str">
        <f>IF(VLOOKUP($B20,'ACS Price List'!$A$12:$P$180,G$1,FALSE)=0,"",VLOOKUP($B20,'ACS Price List'!$A$12:$P$180,G$1,FALSE))</f>
        <v>REENBHU</v>
      </c>
      <c r="H20" s="271" t="str">
        <f>IF(VLOOKUP($B20,'ACS Price List'!$A$12:$P$180,H$1,FALSE)=0,"",VLOOKUP($B20,'ACS Price List'!$A$12:$P$180,H$1,FALSE))</f>
        <v>REENBHS</v>
      </c>
      <c r="I20" s="271"/>
      <c r="J20" s="272"/>
      <c r="K20" s="271" t="str">
        <f>IFERROR(IF(VLOOKUP($C20,'ACS Price List'!$A$12:$P$180,G$1,FALSE)=0,"",VLOOKUP($C20,'ACS Price List'!$A$12:$P$180,G$1,FALSE)),"")</f>
        <v/>
      </c>
      <c r="L20" s="271" t="str">
        <f>IFERROR(IF(VLOOKUP($C20,'ACS Price List'!$A$12:$P$180,H$1,FALSE)=0,"",VLOOKUP($C20,'ACS Price List'!$A$12:$P$180,H$1,FALSE)),"")</f>
        <v/>
      </c>
      <c r="M20" s="271"/>
      <c r="N20" s="272"/>
      <c r="O20" s="271" t="str">
        <f>IFERROR(IF(VLOOKUP($D20,'ACS Price List'!$A$12:$P$180,G$1,FALSE)=0,"",VLOOKUP($D20,'ACS Price List'!$A$12:$P$180,G$1,FALSE)),"")</f>
        <v>CFREENBHU</v>
      </c>
      <c r="P20" s="271" t="str">
        <f>IFERROR(IF(VLOOKUP($D20,'ACS Price List'!$A$12:$P$180,H$1,FALSE)=0,"",VLOOKUP($D20,'ACS Price List'!$A$12:$P$180,H$1,FALSE)),"")</f>
        <v>CFREENBHS</v>
      </c>
      <c r="Q20" s="271"/>
      <c r="R20" s="276"/>
    </row>
    <row r="21" spans="1:18" s="104" customFormat="1" ht="24" x14ac:dyDescent="0.2">
      <c r="A21" s="252"/>
      <c r="B21" s="97" t="s">
        <v>646</v>
      </c>
      <c r="C21" s="97"/>
      <c r="D21" s="250" t="s">
        <v>71</v>
      </c>
      <c r="E21" s="521"/>
      <c r="F21" s="275" t="str">
        <f>VLOOKUP(B21,'ACS Price List'!$A$12:$P$180,2,FALSE)</f>
        <v xml:space="preserve">Visual examination during business hours for remote re-energisation - urban/short rural feeders </v>
      </c>
      <c r="G21" s="271" t="str">
        <f>IF(VLOOKUP($B21,'ACS Price List'!$A$12:$P$180,G$1,FALSE)=0,"",VLOOKUP($B21,'ACS Price List'!$A$12:$P$180,G$1,FALSE))</f>
        <v>VEREENBHU</v>
      </c>
      <c r="H21" s="271" t="str">
        <f>IF(VLOOKUP($B21,'ACS Price List'!$A$12:$P$180,H$1,FALSE)=0,"",VLOOKUP($B21,'ACS Price List'!$A$12:$P$180,H$1,FALSE))</f>
        <v>VEREENBHS</v>
      </c>
      <c r="I21" s="271"/>
      <c r="J21" s="272"/>
      <c r="K21" s="271" t="str">
        <f>IFERROR(IF(VLOOKUP($C21,'ACS Price List'!$A$12:$P$180,G$1,FALSE)=0,"",VLOOKUP($C21,'ACS Price List'!$A$12:$P$180,G$1,FALSE)),"")</f>
        <v/>
      </c>
      <c r="L21" s="271" t="str">
        <f>IFERROR(IF(VLOOKUP($C21,'ACS Price List'!$A$12:$P$180,H$1,FALSE)=0,"",VLOOKUP($C21,'ACS Price List'!$A$12:$P$180,H$1,FALSE)),"")</f>
        <v/>
      </c>
      <c r="M21" s="271"/>
      <c r="N21" s="272"/>
      <c r="O21" s="271" t="str">
        <f>IFERROR(IF(VLOOKUP($D21,'ACS Price List'!$A$12:$P$180,G$1,FALSE)=0,"",VLOOKUP($D21,'ACS Price List'!$A$12:$P$180,G$1,FALSE)),"")</f>
        <v>CFREENBHU</v>
      </c>
      <c r="P21" s="271" t="str">
        <f>IFERROR(IF(VLOOKUP($D21,'ACS Price List'!$A$12:$P$180,H$1,FALSE)=0,"",VLOOKUP($D21,'ACS Price List'!$A$12:$P$180,H$1,FALSE)),"")</f>
        <v>CFREENBHS</v>
      </c>
      <c r="Q21" s="271"/>
      <c r="R21" s="276"/>
    </row>
    <row r="22" spans="1:18" ht="24" x14ac:dyDescent="0.2">
      <c r="A22" s="252"/>
      <c r="B22" s="97">
        <v>16</v>
      </c>
      <c r="C22" s="97"/>
      <c r="D22" s="250" t="s">
        <v>77</v>
      </c>
      <c r="E22" s="521"/>
      <c r="F22" s="275" t="str">
        <f>VLOOKUP(B22,'ACS Price List'!$A$12:$P$180,2,FALSE)</f>
        <v>Re-energisation during business hours - after de-energisation for debt - urban/short rural feeders</v>
      </c>
      <c r="G22" s="271" t="str">
        <f>IF(VLOOKUP($B22,'ACS Price List'!$A$12:$P$180,G$1,FALSE)=0,"",VLOOKUP($B22,'ACS Price List'!$A$12:$P$180,G$1,FALSE))</f>
        <v>REDDBHU</v>
      </c>
      <c r="H22" s="271" t="str">
        <f>IF(VLOOKUP($B22,'ACS Price List'!$A$12:$P$180,H$1,FALSE)=0,"",VLOOKUP($B22,'ACS Price List'!$A$12:$P$180,H$1,FALSE))</f>
        <v>REDDBHS</v>
      </c>
      <c r="I22" s="271"/>
      <c r="J22" s="272"/>
      <c r="K22" s="271" t="str">
        <f>IFERROR(IF(VLOOKUP($C22,'ACS Price List'!$A$12:$P$180,G$1,FALSE)=0,"",VLOOKUP($C22,'ACS Price List'!$A$12:$P$180,G$1,FALSE)),"")</f>
        <v/>
      </c>
      <c r="L22" s="271" t="str">
        <f>IFERROR(IF(VLOOKUP($C22,'ACS Price List'!$A$12:$P$180,H$1,FALSE)=0,"",VLOOKUP($C22,'ACS Price List'!$A$12:$P$180,H$1,FALSE)),"")</f>
        <v/>
      </c>
      <c r="M22" s="271"/>
      <c r="N22" s="272"/>
      <c r="O22" s="271" t="str">
        <f>IFERROR(IF(VLOOKUP($D22,'ACS Price List'!$A$12:$P$180,G$1,FALSE)=0,"",VLOOKUP($D22,'ACS Price List'!$A$12:$P$180,G$1,FALSE)),"")</f>
        <v>CFREDDBHU</v>
      </c>
      <c r="P22" s="271" t="str">
        <f>IFERROR(IF(VLOOKUP($D22,'ACS Price List'!$A$12:$P$180,H$1,FALSE)=0,"",VLOOKUP($D22,'ACS Price List'!$A$12:$P$180,H$1,FALSE)),"")</f>
        <v>CFREDDBHS</v>
      </c>
      <c r="Q22" s="271"/>
      <c r="R22" s="276"/>
    </row>
    <row r="23" spans="1:18" s="104" customFormat="1" ht="24" x14ac:dyDescent="0.2">
      <c r="A23" s="252"/>
      <c r="B23" s="97" t="s">
        <v>644</v>
      </c>
      <c r="C23" s="97"/>
      <c r="D23" s="250" t="s">
        <v>77</v>
      </c>
      <c r="E23" s="521"/>
      <c r="F23" s="275" t="str">
        <f>VLOOKUP(B23,'ACS Price List'!$A$12:$P$180,2,FALSE)</f>
        <v xml:space="preserve">Visual examination during business hours for remote re-energisation - after de-energisation for debt - urban/short rural feeders </v>
      </c>
      <c r="G23" s="271" t="str">
        <f>IF(VLOOKUP($B23,'ACS Price List'!$A$12:$P$180,G$1,FALSE)=0,"",VLOOKUP($B23,'ACS Price List'!$A$12:$P$180,G$1,FALSE))</f>
        <v>VEREDDBHU</v>
      </c>
      <c r="H23" s="271" t="str">
        <f>IF(VLOOKUP($B23,'ACS Price List'!$A$12:$P$180,H$1,FALSE)=0,"",VLOOKUP($B23,'ACS Price List'!$A$12:$P$180,H$1,FALSE))</f>
        <v>VEREDDBHS</v>
      </c>
      <c r="I23" s="271"/>
      <c r="J23" s="272"/>
      <c r="K23" s="271" t="str">
        <f>IFERROR(IF(VLOOKUP($C23,'ACS Price List'!$A$12:$P$180,G$1,FALSE)=0,"",VLOOKUP($C23,'ACS Price List'!$A$12:$P$180,G$1,FALSE)),"")</f>
        <v/>
      </c>
      <c r="L23" s="271" t="str">
        <f>IFERROR(IF(VLOOKUP($C23,'ACS Price List'!$A$12:$P$180,H$1,FALSE)=0,"",VLOOKUP($C23,'ACS Price List'!$A$12:$P$180,H$1,FALSE)),"")</f>
        <v/>
      </c>
      <c r="M23" s="271"/>
      <c r="N23" s="272"/>
      <c r="O23" s="271" t="str">
        <f>IFERROR(IF(VLOOKUP($D23,'ACS Price List'!$A$12:$P$180,G$1,FALSE)=0,"",VLOOKUP($D23,'ACS Price List'!$A$12:$P$180,G$1,FALSE)),"")</f>
        <v>CFREDDBHU</v>
      </c>
      <c r="P23" s="271" t="str">
        <f>IFERROR(IF(VLOOKUP($D23,'ACS Price List'!$A$12:$P$180,H$1,FALSE)=0,"",VLOOKUP($D23,'ACS Price List'!$A$12:$P$180,H$1,FALSE)),"")</f>
        <v>CFREDDBHS</v>
      </c>
      <c r="Q23" s="271"/>
      <c r="R23" s="276"/>
    </row>
    <row r="24" spans="1:18" x14ac:dyDescent="0.2">
      <c r="A24" s="252"/>
      <c r="B24" s="97">
        <v>18</v>
      </c>
      <c r="C24" s="97"/>
      <c r="D24" s="251"/>
      <c r="E24" s="521"/>
      <c r="F24" s="275" t="str">
        <f>VLOOKUP(B24,'ACS Price List'!$A$12:$P$180,2,FALSE)</f>
        <v>Accreditation of alternative service providers - real estate developments</v>
      </c>
      <c r="G24" s="271" t="str">
        <f>IF(VLOOKUP($B24,'ACS Price List'!$A$12:$P$180,G$1,FALSE)=0,"",VLOOKUP($B24,'ACS Price List'!$A$12:$P$180,G$1,FALSE))</f>
        <v>ASPRED</v>
      </c>
      <c r="H24" s="271" t="str">
        <f>IF(VLOOKUP($B24,'ACS Price List'!$A$12:$P$180,H$1,FALSE)=0,"",VLOOKUP($B24,'ACS Price List'!$A$12:$P$180,H$1,FALSE))</f>
        <v/>
      </c>
      <c r="I24" s="271"/>
      <c r="J24" s="272"/>
      <c r="K24" s="271" t="str">
        <f>IFERROR(IF(VLOOKUP($C24,'ACS Price List'!$A$12:$P$180,G$1,FALSE)=0,"",VLOOKUP($C24,'ACS Price List'!$A$12:$P$180,G$1,FALSE)),"")</f>
        <v/>
      </c>
      <c r="L24" s="271" t="str">
        <f>IFERROR(IF(VLOOKUP($C24,'ACS Price List'!$A$12:$P$180,H$1,FALSE)=0,"",VLOOKUP($C24,'ACS Price List'!$A$12:$P$180,H$1,FALSE)),"")</f>
        <v/>
      </c>
      <c r="M24" s="271"/>
      <c r="N24" s="272"/>
      <c r="O24" s="271" t="str">
        <f>IFERROR(IF(VLOOKUP($D24,'ACS Price List'!$A$12:$P$180,G$1,FALSE)=0,"",VLOOKUP($D24,'ACS Price List'!$A$12:$P$180,G$1,FALSE)),"")</f>
        <v/>
      </c>
      <c r="P24" s="271" t="str">
        <f>IFERROR(IF(VLOOKUP($D24,'ACS Price List'!$A$12:$P$180,H$1,FALSE)=0,"",VLOOKUP($D24,'ACS Price List'!$A$12:$P$180,H$1,FALSE)),"")</f>
        <v/>
      </c>
      <c r="Q24" s="271"/>
      <c r="R24" s="276"/>
    </row>
    <row r="25" spans="1:18" x14ac:dyDescent="0.2">
      <c r="A25" s="252"/>
      <c r="B25" s="97">
        <v>19</v>
      </c>
      <c r="C25" s="97"/>
      <c r="D25" s="250" t="s">
        <v>155</v>
      </c>
      <c r="E25" s="521"/>
      <c r="F25" s="275" t="str">
        <f>VLOOKUP(B25,'ACS Price List'!$A$12:$P$180,2,FALSE)</f>
        <v>Install replacement meter (Type 5 and 6) – Single phase – urban/short rural feeder</v>
      </c>
      <c r="G25" s="271" t="str">
        <f>IF(VLOOKUP($B25,'ACS Price List'!$A$12:$P$180,G$1,FALSE)=0,"",VLOOKUP($B25,'ACS Price List'!$A$12:$P$180,G$1,FALSE))</f>
        <v>MSNGLU</v>
      </c>
      <c r="H25" s="271" t="str">
        <f>IF(VLOOKUP($B25,'ACS Price List'!$A$12:$P$180,H$1,FALSE)=0,"",VLOOKUP($B25,'ACS Price List'!$A$12:$P$180,H$1,FALSE))</f>
        <v>MSNGLS</v>
      </c>
      <c r="I25" s="271"/>
      <c r="J25" s="272"/>
      <c r="K25" s="271" t="str">
        <f>IFERROR(IF(VLOOKUP($C25,'ACS Price List'!$A$12:$P$180,G$1,FALSE)=0,"",VLOOKUP($C25,'ACS Price List'!$A$12:$P$180,G$1,FALSE)),"")</f>
        <v/>
      </c>
      <c r="L25" s="271" t="str">
        <f>IFERROR(IF(VLOOKUP($C25,'ACS Price List'!$A$12:$P$180,H$1,FALSE)=0,"",VLOOKUP($C25,'ACS Price List'!$A$12:$P$180,H$1,FALSE)),"")</f>
        <v/>
      </c>
      <c r="M25" s="271"/>
      <c r="N25" s="272"/>
      <c r="O25" s="271" t="str">
        <f>IFERROR(IF(VLOOKUP($D25,'ACS Price List'!$A$12:$P$180,G$1,FALSE)=0,"",VLOOKUP($D25,'ACS Price List'!$A$12:$P$180,G$1,FALSE)),"")</f>
        <v>CFMSNGLU</v>
      </c>
      <c r="P25" s="271" t="str">
        <f>IFERROR(IF(VLOOKUP($D25,'ACS Price List'!$A$12:$P$180,H$1,FALSE)=0,"",VLOOKUP($D25,'ACS Price List'!$A$12:$P$180,H$1,FALSE)),"")</f>
        <v>CFMSNGLS</v>
      </c>
      <c r="Q25" s="271"/>
      <c r="R25" s="276"/>
    </row>
    <row r="26" spans="1:18" x14ac:dyDescent="0.2">
      <c r="A26" s="252"/>
      <c r="B26" s="97">
        <v>21</v>
      </c>
      <c r="C26" s="97"/>
      <c r="D26" s="250" t="s">
        <v>157</v>
      </c>
      <c r="E26" s="521"/>
      <c r="F26" s="275" t="str">
        <f>VLOOKUP(B26,'ACS Price List'!$A$12:$P$180,2,FALSE)</f>
        <v>Install replacement meter (Type 5 and 6) – Dual element – urban/short rural feeder</v>
      </c>
      <c r="G26" s="271" t="str">
        <f>IF(VLOOKUP($B26,'ACS Price List'!$A$12:$P$180,G$1,FALSE)=0,"",VLOOKUP($B26,'ACS Price List'!$A$12:$P$180,G$1,FALSE))</f>
        <v>MDUALU</v>
      </c>
      <c r="H26" s="271" t="str">
        <f>IF(VLOOKUP($B26,'ACS Price List'!$A$12:$P$180,H$1,FALSE)=0,"",VLOOKUP($B26,'ACS Price List'!$A$12:$P$180,H$1,FALSE))</f>
        <v>MDUALS</v>
      </c>
      <c r="I26" s="271"/>
      <c r="J26" s="272"/>
      <c r="K26" s="271" t="str">
        <f>IFERROR(IF(VLOOKUP($C26,'ACS Price List'!$A$12:$P$180,G$1,FALSE)=0,"",VLOOKUP($C26,'ACS Price List'!$A$12:$P$180,G$1,FALSE)),"")</f>
        <v/>
      </c>
      <c r="L26" s="271" t="str">
        <f>IFERROR(IF(VLOOKUP($C26,'ACS Price List'!$A$12:$P$180,H$1,FALSE)=0,"",VLOOKUP($C26,'ACS Price List'!$A$12:$P$180,H$1,FALSE)),"")</f>
        <v/>
      </c>
      <c r="M26" s="271"/>
      <c r="N26" s="272"/>
      <c r="O26" s="271" t="str">
        <f>IFERROR(IF(VLOOKUP($D26,'ACS Price List'!$A$12:$P$180,G$1,FALSE)=0,"",VLOOKUP($D26,'ACS Price List'!$A$12:$P$180,G$1,FALSE)),"")</f>
        <v>CFMDUALU</v>
      </c>
      <c r="P26" s="271" t="str">
        <f>IFERROR(IF(VLOOKUP($D26,'ACS Price List'!$A$12:$P$180,H$1,FALSE)=0,"",VLOOKUP($D26,'ACS Price List'!$A$12:$P$180,H$1,FALSE)),"")</f>
        <v>CFMDUALS</v>
      </c>
      <c r="Q26" s="271"/>
      <c r="R26" s="276"/>
    </row>
    <row r="27" spans="1:18" x14ac:dyDescent="0.2">
      <c r="A27" s="252"/>
      <c r="B27" s="97">
        <v>23</v>
      </c>
      <c r="C27" s="97"/>
      <c r="D27" s="250" t="s">
        <v>159</v>
      </c>
      <c r="E27" s="521"/>
      <c r="F27" s="275" t="str">
        <f>VLOOKUP(B27,'ACS Price List'!$A$12:$P$180,2,FALSE)</f>
        <v>Install replacement meter (Type 5 and 6) – Polyphase – urban/short rural feeder</v>
      </c>
      <c r="G27" s="271" t="str">
        <f>IF(VLOOKUP($B27,'ACS Price List'!$A$12:$P$180,G$1,FALSE)=0,"",VLOOKUP($B27,'ACS Price List'!$A$12:$P$180,G$1,FALSE))</f>
        <v>MTHREU</v>
      </c>
      <c r="H27" s="271" t="str">
        <f>IF(VLOOKUP($B27,'ACS Price List'!$A$12:$P$180,H$1,FALSE)=0,"",VLOOKUP($B27,'ACS Price List'!$A$12:$P$180,H$1,FALSE))</f>
        <v>MTHRES</v>
      </c>
      <c r="I27" s="271"/>
      <c r="J27" s="272"/>
      <c r="K27" s="271" t="str">
        <f>IFERROR(IF(VLOOKUP($C27,'ACS Price List'!$A$12:$P$180,G$1,FALSE)=0,"",VLOOKUP($C27,'ACS Price List'!$A$12:$P$180,G$1,FALSE)),"")</f>
        <v/>
      </c>
      <c r="L27" s="271" t="str">
        <f>IFERROR(IF(VLOOKUP($C27,'ACS Price List'!$A$12:$P$180,H$1,FALSE)=0,"",VLOOKUP($C27,'ACS Price List'!$A$12:$P$180,H$1,FALSE)),"")</f>
        <v/>
      </c>
      <c r="M27" s="271"/>
      <c r="N27" s="272"/>
      <c r="O27" s="271" t="str">
        <f>IFERROR(IF(VLOOKUP($D27,'ACS Price List'!$A$12:$P$180,G$1,FALSE)=0,"",VLOOKUP($D27,'ACS Price List'!$A$12:$P$180,G$1,FALSE)),"")</f>
        <v>CFMTHREU</v>
      </c>
      <c r="P27" s="271" t="str">
        <f>IFERROR(IF(VLOOKUP($D27,'ACS Price List'!$A$12:$P$180,H$1,FALSE)=0,"",VLOOKUP($D27,'ACS Price List'!$A$12:$P$180,H$1,FALSE)),"")</f>
        <v>CFMTHRES</v>
      </c>
      <c r="Q27" s="271"/>
      <c r="R27" s="276"/>
    </row>
    <row r="28" spans="1:18" x14ac:dyDescent="0.2">
      <c r="A28" s="252"/>
      <c r="B28" s="97">
        <v>25</v>
      </c>
      <c r="C28" s="97"/>
      <c r="D28" s="250" t="s">
        <v>161</v>
      </c>
      <c r="E28" s="521"/>
      <c r="F28" s="275" t="str">
        <f>VLOOKUP(B28,'ACS Price List'!$A$12:$P$180,2,FALSE)</f>
        <v>Install replacement meter (CT) – urban/short rural feeder</v>
      </c>
      <c r="G28" s="271" t="str">
        <f>IF(VLOOKUP($B28,'ACS Price List'!$A$12:$P$180,G$1,FALSE)=0,"",VLOOKUP($B28,'ACS Price List'!$A$12:$P$180,G$1,FALSE))</f>
        <v>MCTU</v>
      </c>
      <c r="H28" s="271" t="str">
        <f>IF(VLOOKUP($B28,'ACS Price List'!$A$12:$P$180,H$1,FALSE)=0,"",VLOOKUP($B28,'ACS Price List'!$A$12:$P$180,H$1,FALSE))</f>
        <v>MCTS</v>
      </c>
      <c r="I28" s="271"/>
      <c r="J28" s="272"/>
      <c r="K28" s="271" t="str">
        <f>IFERROR(IF(VLOOKUP($C28,'ACS Price List'!$A$12:$P$180,G$1,FALSE)=0,"",VLOOKUP($C28,'ACS Price List'!$A$12:$P$180,G$1,FALSE)),"")</f>
        <v/>
      </c>
      <c r="L28" s="271" t="str">
        <f>IFERROR(IF(VLOOKUP($C28,'ACS Price List'!$A$12:$P$180,H$1,FALSE)=0,"",VLOOKUP($C28,'ACS Price List'!$A$12:$P$180,H$1,FALSE)),"")</f>
        <v/>
      </c>
      <c r="M28" s="271"/>
      <c r="N28" s="272"/>
      <c r="O28" s="271" t="str">
        <f>IFERROR(IF(VLOOKUP($D28,'ACS Price List'!$A$12:$P$180,G$1,FALSE)=0,"",VLOOKUP($D28,'ACS Price List'!$A$12:$P$180,G$1,FALSE)),"")</f>
        <v>CFMCTU</v>
      </c>
      <c r="P28" s="271" t="str">
        <f>IFERROR(IF(VLOOKUP($D28,'ACS Price List'!$A$12:$P$180,H$1,FALSE)=0,"",VLOOKUP($D28,'ACS Price List'!$A$12:$P$180,H$1,FALSE)),"")</f>
        <v>CFMCTS</v>
      </c>
      <c r="Q28" s="271"/>
      <c r="R28" s="276"/>
    </row>
    <row r="29" spans="1:18" s="102" customFormat="1" x14ac:dyDescent="0.2">
      <c r="A29" s="252"/>
      <c r="B29" s="97">
        <v>140</v>
      </c>
      <c r="C29" s="97"/>
      <c r="D29" s="250" t="s">
        <v>183</v>
      </c>
      <c r="E29" s="521"/>
      <c r="F29" s="275" t="str">
        <f>VLOOKUP(B29,'ACS Price List'!$A$12:$P$180,2,FALSE)</f>
        <v xml:space="preserve">Install new meter (Type 5 and 6) –  Single phase – Primary </v>
      </c>
      <c r="G29" s="271" t="str">
        <f>IF(VLOOKUP($B29,'ACS Price List'!$A$12:$P$180,G$1,FALSE)=0,"",VLOOKUP($B29,'ACS Price List'!$A$12:$P$180,G$1,FALSE))</f>
        <v>NMSPU</v>
      </c>
      <c r="H29" s="271" t="str">
        <f>IF(VLOOKUP($B29,'ACS Price List'!$A$12:$P$180,H$1,FALSE)=0,"",VLOOKUP($B29,'ACS Price List'!$A$12:$P$180,H$1,FALSE))</f>
        <v>NMSPS</v>
      </c>
      <c r="I29" s="271"/>
      <c r="J29" s="272"/>
      <c r="K29" s="271" t="str">
        <f>IFERROR(IF(VLOOKUP($C29,'ACS Price List'!$A$12:$P$180,G$1,FALSE)=0,"",VLOOKUP($C29,'ACS Price List'!$A$12:$P$180,G$1,FALSE)),"")</f>
        <v/>
      </c>
      <c r="L29" s="271" t="str">
        <f>IFERROR(IF(VLOOKUP($C29,'ACS Price List'!$A$12:$P$180,H$1,FALSE)=0,"",VLOOKUP($C29,'ACS Price List'!$A$12:$P$180,H$1,FALSE)),"")</f>
        <v/>
      </c>
      <c r="M29" s="271"/>
      <c r="N29" s="272"/>
      <c r="O29" s="271" t="str">
        <f>IFERROR(IF(VLOOKUP($D29,'ACS Price List'!$A$12:$P$180,G$1,FALSE)=0,"",VLOOKUP($D29,'ACS Price List'!$A$12:$P$180,G$1,FALSE)),"")</f>
        <v>CFNMSPU</v>
      </c>
      <c r="P29" s="271" t="str">
        <f>IFERROR(IF(VLOOKUP($D29,'ACS Price List'!$A$12:$P$180,H$1,FALSE)=0,"",VLOOKUP($D29,'ACS Price List'!$A$12:$P$180,H$1,FALSE)),"")</f>
        <v>CFNMSPS</v>
      </c>
      <c r="Q29" s="271"/>
      <c r="R29" s="276"/>
    </row>
    <row r="30" spans="1:18" s="102" customFormat="1" x14ac:dyDescent="0.2">
      <c r="A30" s="252"/>
      <c r="B30" s="97">
        <v>141</v>
      </c>
      <c r="C30" s="97"/>
      <c r="D30" s="250" t="s">
        <v>183</v>
      </c>
      <c r="E30" s="521"/>
      <c r="F30" s="275" t="str">
        <f>VLOOKUP(B30,'ACS Price List'!$A$12:$P$180,2,FALSE)</f>
        <v>Install new meter (Type 5 and 6) – Single phase –  Primary plus embedded generation</v>
      </c>
      <c r="G30" s="271" t="str">
        <f>IF(VLOOKUP($B30,'ACS Price List'!$A$12:$P$180,G$1,FALSE)=0,"",VLOOKUP($B30,'ACS Price List'!$A$12:$P$180,G$1,FALSE))</f>
        <v>NMSPEGU</v>
      </c>
      <c r="H30" s="271" t="str">
        <f>IF(VLOOKUP($B30,'ACS Price List'!$A$12:$P$180,H$1,FALSE)=0,"",VLOOKUP($B30,'ACS Price List'!$A$12:$P$180,H$1,FALSE))</f>
        <v>NMSPEGS</v>
      </c>
      <c r="I30" s="271"/>
      <c r="J30" s="272"/>
      <c r="K30" s="271" t="str">
        <f>IFERROR(IF(VLOOKUP($C30,'ACS Price List'!$A$12:$P$180,G$1,FALSE)=0,"",VLOOKUP($C30,'ACS Price List'!$A$12:$P$180,G$1,FALSE)),"")</f>
        <v/>
      </c>
      <c r="L30" s="271" t="str">
        <f>IFERROR(IF(VLOOKUP($C30,'ACS Price List'!$A$12:$P$180,H$1,FALSE)=0,"",VLOOKUP($C30,'ACS Price List'!$A$12:$P$180,H$1,FALSE)),"")</f>
        <v/>
      </c>
      <c r="M30" s="271"/>
      <c r="N30" s="272"/>
      <c r="O30" s="271" t="str">
        <f>IFERROR(IF(VLOOKUP($D30,'ACS Price List'!$A$12:$P$180,G$1,FALSE)=0,"",VLOOKUP($D30,'ACS Price List'!$A$12:$P$180,G$1,FALSE)),"")</f>
        <v>CFNMSPU</v>
      </c>
      <c r="P30" s="271" t="str">
        <f>IFERROR(IF(VLOOKUP($D30,'ACS Price List'!$A$12:$P$180,H$1,FALSE)=0,"",VLOOKUP($D30,'ACS Price List'!$A$12:$P$180,H$1,FALSE)),"")</f>
        <v>CFNMSPS</v>
      </c>
      <c r="Q30" s="271"/>
      <c r="R30" s="276"/>
    </row>
    <row r="31" spans="1:18" s="102" customFormat="1" x14ac:dyDescent="0.2">
      <c r="A31" s="252"/>
      <c r="B31" s="97">
        <v>142</v>
      </c>
      <c r="C31" s="97"/>
      <c r="D31" s="250" t="s">
        <v>184</v>
      </c>
      <c r="E31" s="521"/>
      <c r="F31" s="275" t="str">
        <f>VLOOKUP(B31,'ACS Price List'!$A$12:$P$180,2,FALSE)</f>
        <v>Install new meter (Type 5 and 6) – Dual element – Primary plus controlled load</v>
      </c>
      <c r="G31" s="271" t="str">
        <f>IF(VLOOKUP($B31,'ACS Price List'!$A$12:$P$180,G$1,FALSE)=0,"",VLOOKUP($B31,'ACS Price List'!$A$12:$P$180,G$1,FALSE))</f>
        <v>NMDPCLU</v>
      </c>
      <c r="H31" s="271" t="str">
        <f>IF(VLOOKUP($B31,'ACS Price List'!$A$12:$P$180,H$1,FALSE)=0,"",VLOOKUP($B31,'ACS Price List'!$A$12:$P$180,H$1,FALSE))</f>
        <v>NMDPCLS</v>
      </c>
      <c r="I31" s="271"/>
      <c r="J31" s="272"/>
      <c r="K31" s="271" t="str">
        <f>IFERROR(IF(VLOOKUP($C31,'ACS Price List'!$A$12:$P$180,G$1,FALSE)=0,"",VLOOKUP($C31,'ACS Price List'!$A$12:$P$180,G$1,FALSE)),"")</f>
        <v/>
      </c>
      <c r="L31" s="271" t="str">
        <f>IFERROR(IF(VLOOKUP($C31,'ACS Price List'!$A$12:$P$180,H$1,FALSE)=0,"",VLOOKUP($C31,'ACS Price List'!$A$12:$P$180,H$1,FALSE)),"")</f>
        <v/>
      </c>
      <c r="M31" s="271"/>
      <c r="N31" s="272"/>
      <c r="O31" s="271" t="str">
        <f>IFERROR(IF(VLOOKUP($D31,'ACS Price List'!$A$12:$P$180,G$1,FALSE)=0,"",VLOOKUP($D31,'ACS Price List'!$A$12:$P$180,G$1,FALSE)),"")</f>
        <v>CFNMDUALU</v>
      </c>
      <c r="P31" s="271" t="str">
        <f>IFERROR(IF(VLOOKUP($D31,'ACS Price List'!$A$12:$P$180,H$1,FALSE)=0,"",VLOOKUP($D31,'ACS Price List'!$A$12:$P$180,H$1,FALSE)),"")</f>
        <v>CFNMDUALS</v>
      </c>
      <c r="Q31" s="271"/>
      <c r="R31" s="276"/>
    </row>
    <row r="32" spans="1:18" s="102" customFormat="1" ht="24" x14ac:dyDescent="0.2">
      <c r="A32" s="252"/>
      <c r="B32" s="97">
        <v>143</v>
      </c>
      <c r="C32" s="97"/>
      <c r="D32" s="250" t="s">
        <v>184</v>
      </c>
      <c r="E32" s="521"/>
      <c r="F32" s="275" t="str">
        <f>VLOOKUP(B32,'ACS Price List'!$A$12:$P$180,2,FALSE)</f>
        <v>Install new meter (Type 5 and 6) – Dual element – Primary plus controlled load plus embedded generation</v>
      </c>
      <c r="G32" s="271" t="str">
        <f>IF(VLOOKUP($B32,'ACS Price List'!$A$12:$P$180,G$1,FALSE)=0,"",VLOOKUP($B32,'ACS Price List'!$A$12:$P$180,G$1,FALSE))</f>
        <v>NMDPCLEGU</v>
      </c>
      <c r="H32" s="271" t="str">
        <f>IF(VLOOKUP($B32,'ACS Price List'!$A$12:$P$180,H$1,FALSE)=0,"",VLOOKUP($B32,'ACS Price List'!$A$12:$P$180,H$1,FALSE))</f>
        <v>NMDPCLEGS</v>
      </c>
      <c r="I32" s="271"/>
      <c r="J32" s="272"/>
      <c r="K32" s="271" t="str">
        <f>IFERROR(IF(VLOOKUP($C32,'ACS Price List'!$A$12:$P$180,G$1,FALSE)=0,"",VLOOKUP($C32,'ACS Price List'!$A$12:$P$180,G$1,FALSE)),"")</f>
        <v/>
      </c>
      <c r="L32" s="271" t="str">
        <f>IFERROR(IF(VLOOKUP($C32,'ACS Price List'!$A$12:$P$180,H$1,FALSE)=0,"",VLOOKUP($C32,'ACS Price List'!$A$12:$P$180,H$1,FALSE)),"")</f>
        <v/>
      </c>
      <c r="M32" s="271"/>
      <c r="N32" s="272"/>
      <c r="O32" s="271" t="str">
        <f>IFERROR(IF(VLOOKUP($D32,'ACS Price List'!$A$12:$P$180,G$1,FALSE)=0,"",VLOOKUP($D32,'ACS Price List'!$A$12:$P$180,G$1,FALSE)),"")</f>
        <v>CFNMDUALU</v>
      </c>
      <c r="P32" s="271" t="str">
        <f>IFERROR(IF(VLOOKUP($D32,'ACS Price List'!$A$12:$P$180,H$1,FALSE)=0,"",VLOOKUP($D32,'ACS Price List'!$A$12:$P$180,H$1,FALSE)),"")</f>
        <v>CFNMDUALS</v>
      </c>
      <c r="Q32" s="271"/>
      <c r="R32" s="276"/>
    </row>
    <row r="33" spans="1:21" s="102" customFormat="1" x14ac:dyDescent="0.2">
      <c r="A33" s="252"/>
      <c r="B33" s="97">
        <v>144</v>
      </c>
      <c r="C33" s="97"/>
      <c r="D33" s="250" t="s">
        <v>185</v>
      </c>
      <c r="E33" s="521"/>
      <c r="F33" s="275" t="str">
        <f>VLOOKUP(B33,'ACS Price List'!$A$12:$P$180,2,FALSE)</f>
        <v>Install new meter (Type 5 and 6) – Polyphase – Primary</v>
      </c>
      <c r="G33" s="271" t="str">
        <f>IF(VLOOKUP($B33,'ACS Price List'!$A$12:$P$180,G$1,FALSE)=0,"",VLOOKUP($B33,'ACS Price List'!$A$12:$P$180,G$1,FALSE))</f>
        <v>NMPPU</v>
      </c>
      <c r="H33" s="271" t="str">
        <f>IF(VLOOKUP($B33,'ACS Price List'!$A$12:$P$180,H$1,FALSE)=0,"",VLOOKUP($B33,'ACS Price List'!$A$12:$P$180,H$1,FALSE))</f>
        <v>NMPPS</v>
      </c>
      <c r="I33" s="271"/>
      <c r="J33" s="272"/>
      <c r="K33" s="271" t="str">
        <f>IFERROR(IF(VLOOKUP($C33,'ACS Price List'!$A$12:$P$180,G$1,FALSE)=0,"",VLOOKUP($C33,'ACS Price List'!$A$12:$P$180,G$1,FALSE)),"")</f>
        <v/>
      </c>
      <c r="L33" s="271" t="str">
        <f>IFERROR(IF(VLOOKUP($C33,'ACS Price List'!$A$12:$P$180,H$1,FALSE)=0,"",VLOOKUP($C33,'ACS Price List'!$A$12:$P$180,H$1,FALSE)),"")</f>
        <v/>
      </c>
      <c r="M33" s="271"/>
      <c r="N33" s="272"/>
      <c r="O33" s="271" t="str">
        <f>IFERROR(IF(VLOOKUP($D33,'ACS Price List'!$A$12:$P$180,G$1,FALSE)=0,"",VLOOKUP($D33,'ACS Price List'!$A$12:$P$180,G$1,FALSE)),"")</f>
        <v>CFNMTHREU</v>
      </c>
      <c r="P33" s="271" t="str">
        <f>IFERROR(IF(VLOOKUP($D33,'ACS Price List'!$A$12:$P$180,H$1,FALSE)=0,"",VLOOKUP($D33,'ACS Price List'!$A$12:$P$180,H$1,FALSE)),"")</f>
        <v>CFNMTHRES</v>
      </c>
      <c r="Q33" s="271"/>
      <c r="R33" s="276"/>
    </row>
    <row r="34" spans="1:21" s="102" customFormat="1" x14ac:dyDescent="0.2">
      <c r="A34" s="252"/>
      <c r="B34" s="97">
        <v>145</v>
      </c>
      <c r="C34" s="97"/>
      <c r="D34" s="250" t="s">
        <v>185</v>
      </c>
      <c r="E34" s="521"/>
      <c r="F34" s="275" t="str">
        <f>VLOOKUP(B34,'ACS Price List'!$A$12:$P$180,2,FALSE)</f>
        <v>Install new meter (Type 5 and 6) – Polyphase – Primary plus embedded generation</v>
      </c>
      <c r="G34" s="271" t="str">
        <f>IF(VLOOKUP($B34,'ACS Price List'!$A$12:$P$180,G$1,FALSE)=0,"",VLOOKUP($B34,'ACS Price List'!$A$12:$P$180,G$1,FALSE))</f>
        <v>NMPPEGU</v>
      </c>
      <c r="H34" s="271" t="str">
        <f>IF(VLOOKUP($B34,'ACS Price List'!$A$12:$P$180,H$1,FALSE)=0,"",VLOOKUP($B34,'ACS Price List'!$A$12:$P$180,H$1,FALSE))</f>
        <v>NMPPEGS</v>
      </c>
      <c r="I34" s="271"/>
      <c r="J34" s="272"/>
      <c r="K34" s="271" t="str">
        <f>IFERROR(IF(VLOOKUP($C34,'ACS Price List'!$A$12:$P$180,G$1,FALSE)=0,"",VLOOKUP($C34,'ACS Price List'!$A$12:$P$180,G$1,FALSE)),"")</f>
        <v/>
      </c>
      <c r="L34" s="271" t="str">
        <f>IFERROR(IF(VLOOKUP($C34,'ACS Price List'!$A$12:$P$180,H$1,FALSE)=0,"",VLOOKUP($C34,'ACS Price List'!$A$12:$P$180,H$1,FALSE)),"")</f>
        <v/>
      </c>
      <c r="M34" s="271"/>
      <c r="N34" s="272"/>
      <c r="O34" s="271" t="str">
        <f>IFERROR(IF(VLOOKUP($D34,'ACS Price List'!$A$12:$P$180,G$1,FALSE)=0,"",VLOOKUP($D34,'ACS Price List'!$A$12:$P$180,G$1,FALSE)),"")</f>
        <v>CFNMTHREU</v>
      </c>
      <c r="P34" s="271" t="str">
        <f>IFERROR(IF(VLOOKUP($D34,'ACS Price List'!$A$12:$P$180,H$1,FALSE)=0,"",VLOOKUP($D34,'ACS Price List'!$A$12:$P$180,H$1,FALSE)),"")</f>
        <v>CFNMTHRES</v>
      </c>
      <c r="Q34" s="271"/>
      <c r="R34" s="276"/>
    </row>
    <row r="35" spans="1:21" s="102" customFormat="1" x14ac:dyDescent="0.2">
      <c r="A35" s="252"/>
      <c r="B35" s="97">
        <v>146</v>
      </c>
      <c r="C35" s="97"/>
      <c r="D35" s="250" t="s">
        <v>186</v>
      </c>
      <c r="E35" s="521"/>
      <c r="F35" s="275" t="str">
        <f>VLOOKUP(B35,'ACS Price List'!$A$12:$P$180,2,FALSE)</f>
        <v>Install new meter (CT) – Primary</v>
      </c>
      <c r="G35" s="271" t="str">
        <f>IF(VLOOKUP($B35,'ACS Price List'!$A$12:$P$180,G$1,FALSE)=0,"",VLOOKUP($B35,'ACS Price List'!$A$12:$P$180,G$1,FALSE))</f>
        <v>NMCTPU</v>
      </c>
      <c r="H35" s="271" t="str">
        <f>IF(VLOOKUP($B35,'ACS Price List'!$A$12:$P$180,H$1,FALSE)=0,"",VLOOKUP($B35,'ACS Price List'!$A$12:$P$180,H$1,FALSE))</f>
        <v>NMCTPS</v>
      </c>
      <c r="I35" s="271"/>
      <c r="J35" s="272"/>
      <c r="K35" s="271" t="str">
        <f>IFERROR(IF(VLOOKUP($C35,'ACS Price List'!$A$12:$P$180,G$1,FALSE)=0,"",VLOOKUP($C35,'ACS Price List'!$A$12:$P$180,G$1,FALSE)),"")</f>
        <v/>
      </c>
      <c r="L35" s="271" t="str">
        <f>IFERROR(IF(VLOOKUP($C35,'ACS Price List'!$A$12:$P$180,H$1,FALSE)=0,"",VLOOKUP($C35,'ACS Price List'!$A$12:$P$180,H$1,FALSE)),"")</f>
        <v/>
      </c>
      <c r="M35" s="271"/>
      <c r="N35" s="272"/>
      <c r="O35" s="271" t="str">
        <f>IFERROR(IF(VLOOKUP($D35,'ACS Price List'!$A$12:$P$180,G$1,FALSE)=0,"",VLOOKUP($D35,'ACS Price List'!$A$12:$P$180,G$1,FALSE)),"")</f>
        <v>CFNMCTU</v>
      </c>
      <c r="P35" s="271" t="str">
        <f>IFERROR(IF(VLOOKUP($D35,'ACS Price List'!$A$12:$P$180,H$1,FALSE)=0,"",VLOOKUP($D35,'ACS Price List'!$A$12:$P$180,H$1,FALSE)),"")</f>
        <v>CFNMCTS</v>
      </c>
      <c r="Q35" s="271"/>
      <c r="R35" s="276"/>
    </row>
    <row r="36" spans="1:21" s="102" customFormat="1" x14ac:dyDescent="0.2">
      <c r="A36" s="252"/>
      <c r="B36" s="97">
        <v>147</v>
      </c>
      <c r="C36" s="97"/>
      <c r="D36" s="250" t="s">
        <v>186</v>
      </c>
      <c r="E36" s="521"/>
      <c r="F36" s="275" t="str">
        <f>VLOOKUP(B36,'ACS Price List'!$A$12:$P$180,2,FALSE)</f>
        <v>Install new meter (CT) – Primary plus embedded generation</v>
      </c>
      <c r="G36" s="271" t="str">
        <f>IF(VLOOKUP($B36,'ACS Price List'!$A$12:$P$180,G$1,FALSE)=0,"",VLOOKUP($B36,'ACS Price List'!$A$12:$P$180,G$1,FALSE))</f>
        <v>NMCTPEGU</v>
      </c>
      <c r="H36" s="271" t="str">
        <f>IF(VLOOKUP($B36,'ACS Price List'!$A$12:$P$180,H$1,FALSE)=0,"",VLOOKUP($B36,'ACS Price List'!$A$12:$P$180,H$1,FALSE))</f>
        <v>NMCTPEGS</v>
      </c>
      <c r="I36" s="271"/>
      <c r="J36" s="272"/>
      <c r="K36" s="271" t="str">
        <f>IFERROR(IF(VLOOKUP($C36,'ACS Price List'!$A$12:$P$180,G$1,FALSE)=0,"",VLOOKUP($C36,'ACS Price List'!$A$12:$P$180,G$1,FALSE)),"")</f>
        <v/>
      </c>
      <c r="L36" s="271" t="str">
        <f>IFERROR(IF(VLOOKUP($C36,'ACS Price List'!$A$12:$P$180,H$1,FALSE)=0,"",VLOOKUP($C36,'ACS Price List'!$A$12:$P$180,H$1,FALSE)),"")</f>
        <v/>
      </c>
      <c r="M36" s="271"/>
      <c r="N36" s="272"/>
      <c r="O36" s="271" t="str">
        <f>IFERROR(IF(VLOOKUP($D36,'ACS Price List'!$A$12:$P$180,G$1,FALSE)=0,"",VLOOKUP($D36,'ACS Price List'!$A$12:$P$180,G$1,FALSE)),"")</f>
        <v>CFNMCTU</v>
      </c>
      <c r="P36" s="271" t="str">
        <f>IFERROR(IF(VLOOKUP($D36,'ACS Price List'!$A$12:$P$180,H$1,FALSE)=0,"",VLOOKUP($D36,'ACS Price List'!$A$12:$P$180,H$1,FALSE)),"")</f>
        <v>CFNMCTS</v>
      </c>
      <c r="Q36" s="271"/>
      <c r="R36" s="276"/>
    </row>
    <row r="37" spans="1:21" s="102" customFormat="1" x14ac:dyDescent="0.2">
      <c r="A37" s="252"/>
      <c r="B37" s="97">
        <v>148</v>
      </c>
      <c r="C37" s="97"/>
      <c r="D37" s="250" t="s">
        <v>183</v>
      </c>
      <c r="E37" s="521"/>
      <c r="F37" s="275" t="str">
        <f>VLOOKUP(B37,'ACS Price List'!$A$12:$P$180,2,FALSE)</f>
        <v xml:space="preserve">Install additional single phase meter for controlled load purposes </v>
      </c>
      <c r="G37" s="271" t="str">
        <f>IF(VLOOKUP($B37,'ACS Price List'!$A$12:$P$180,G$1,FALSE)=0,"",VLOOKUP($B37,'ACS Price List'!$A$12:$P$180,G$1,FALSE))</f>
        <v>ADSPCLU</v>
      </c>
      <c r="H37" s="271" t="str">
        <f>IF(VLOOKUP($B37,'ACS Price List'!$A$12:$P$180,H$1,FALSE)=0,"",VLOOKUP($B37,'ACS Price List'!$A$12:$P$180,H$1,FALSE))</f>
        <v>ADSPCLS</v>
      </c>
      <c r="I37" s="271"/>
      <c r="J37" s="272"/>
      <c r="K37" s="271" t="str">
        <f>IFERROR(IF(VLOOKUP($C37,'ACS Price List'!$A$12:$P$180,G$1,FALSE)=0,"",VLOOKUP($C37,'ACS Price List'!$A$12:$P$180,G$1,FALSE)),"")</f>
        <v/>
      </c>
      <c r="L37" s="271" t="str">
        <f>IFERROR(IF(VLOOKUP($C37,'ACS Price List'!$A$12:$P$180,H$1,FALSE)=0,"",VLOOKUP($C37,'ACS Price List'!$A$12:$P$180,H$1,FALSE)),"")</f>
        <v/>
      </c>
      <c r="M37" s="271"/>
      <c r="N37" s="272"/>
      <c r="O37" s="271" t="str">
        <f>IFERROR(IF(VLOOKUP($D37,'ACS Price List'!$A$12:$P$180,G$1,FALSE)=0,"",VLOOKUP($D37,'ACS Price List'!$A$12:$P$180,G$1,FALSE)),"")</f>
        <v>CFNMSPU</v>
      </c>
      <c r="P37" s="271" t="str">
        <f>IFERROR(IF(VLOOKUP($D37,'ACS Price List'!$A$12:$P$180,H$1,FALSE)=0,"",VLOOKUP($D37,'ACS Price List'!$A$12:$P$180,H$1,FALSE)),"")</f>
        <v>CFNMSPS</v>
      </c>
      <c r="Q37" s="271"/>
      <c r="R37" s="276"/>
    </row>
    <row r="38" spans="1:21" s="102" customFormat="1" x14ac:dyDescent="0.2">
      <c r="A38" s="252"/>
      <c r="B38" s="97">
        <v>149</v>
      </c>
      <c r="C38" s="97"/>
      <c r="D38" s="250" t="s">
        <v>185</v>
      </c>
      <c r="E38" s="521"/>
      <c r="F38" s="275" t="str">
        <f>VLOOKUP(B38,'ACS Price List'!$A$12:$P$180,2,FALSE)</f>
        <v xml:space="preserve">Install additional polyphase meter for controlled load purposes </v>
      </c>
      <c r="G38" s="271" t="str">
        <f>IF(VLOOKUP($B38,'ACS Price List'!$A$12:$P$180,G$1,FALSE)=0,"",VLOOKUP($B38,'ACS Price List'!$A$12:$P$180,G$1,FALSE))</f>
        <v>ADPPCLU</v>
      </c>
      <c r="H38" s="271" t="str">
        <f>IF(VLOOKUP($B38,'ACS Price List'!$A$12:$P$180,H$1,FALSE)=0,"",VLOOKUP($B38,'ACS Price List'!$A$12:$P$180,H$1,FALSE))</f>
        <v>ADPPCLS</v>
      </c>
      <c r="I38" s="271"/>
      <c r="J38" s="272"/>
      <c r="K38" s="271" t="str">
        <f>IFERROR(IF(VLOOKUP($C38,'ACS Price List'!$A$12:$P$180,G$1,FALSE)=0,"",VLOOKUP($C38,'ACS Price List'!$A$12:$P$180,G$1,FALSE)),"")</f>
        <v/>
      </c>
      <c r="L38" s="271" t="str">
        <f>IFERROR(IF(VLOOKUP($C38,'ACS Price List'!$A$12:$P$180,H$1,FALSE)=0,"",VLOOKUP($C38,'ACS Price List'!$A$12:$P$180,H$1,FALSE)),"")</f>
        <v/>
      </c>
      <c r="M38" s="271"/>
      <c r="N38" s="272"/>
      <c r="O38" s="271" t="str">
        <f>IFERROR(IF(VLOOKUP($D38,'ACS Price List'!$A$12:$P$180,G$1,FALSE)=0,"",VLOOKUP($D38,'ACS Price List'!$A$12:$P$180,G$1,FALSE)),"")</f>
        <v>CFNMTHREU</v>
      </c>
      <c r="P38" s="271" t="str">
        <f>IFERROR(IF(VLOOKUP($D38,'ACS Price List'!$A$12:$P$180,H$1,FALSE)=0,"",VLOOKUP($D38,'ACS Price List'!$A$12:$P$180,H$1,FALSE)),"")</f>
        <v>CFNMTHRES</v>
      </c>
      <c r="Q38" s="271"/>
      <c r="R38" s="276"/>
    </row>
    <row r="39" spans="1:21" s="102" customFormat="1" x14ac:dyDescent="0.2">
      <c r="A39" s="252"/>
      <c r="B39" s="97">
        <v>150</v>
      </c>
      <c r="C39" s="97"/>
      <c r="D39" s="250" t="s">
        <v>186</v>
      </c>
      <c r="E39" s="521"/>
      <c r="F39" s="275" t="str">
        <f>VLOOKUP(B39,'ACS Price List'!$A$12:$P$180,2,FALSE)</f>
        <v xml:space="preserve">Install additional meter (CT) for controlled load purposes </v>
      </c>
      <c r="G39" s="271" t="str">
        <f>IF(VLOOKUP($B39,'ACS Price List'!$A$12:$P$180,G$1,FALSE)=0,"",VLOOKUP($B39,'ACS Price List'!$A$12:$P$180,G$1,FALSE))</f>
        <v>ADCTCLU</v>
      </c>
      <c r="H39" s="271" t="str">
        <f>IF(VLOOKUP($B39,'ACS Price List'!$A$12:$P$180,H$1,FALSE)=0,"",VLOOKUP($B39,'ACS Price List'!$A$12:$P$180,H$1,FALSE))</f>
        <v>ADCTCLS</v>
      </c>
      <c r="I39" s="271"/>
      <c r="J39" s="272"/>
      <c r="K39" s="271" t="str">
        <f>IFERROR(IF(VLOOKUP($C39,'ACS Price List'!$A$12:$P$180,G$1,FALSE)=0,"",VLOOKUP($C39,'ACS Price List'!$A$12:$P$180,G$1,FALSE)),"")</f>
        <v/>
      </c>
      <c r="L39" s="271" t="str">
        <f>IFERROR(IF(VLOOKUP($C39,'ACS Price List'!$A$12:$P$180,H$1,FALSE)=0,"",VLOOKUP($C39,'ACS Price List'!$A$12:$P$180,H$1,FALSE)),"")</f>
        <v/>
      </c>
      <c r="M39" s="271"/>
      <c r="N39" s="272"/>
      <c r="O39" s="271" t="str">
        <f>IFERROR(IF(VLOOKUP($D39,'ACS Price List'!$A$12:$P$180,G$1,FALSE)=0,"",VLOOKUP($D39,'ACS Price List'!$A$12:$P$180,G$1,FALSE)),"")</f>
        <v>CFNMCTU</v>
      </c>
      <c r="P39" s="271" t="str">
        <f>IFERROR(IF(VLOOKUP($D39,'ACS Price List'!$A$12:$P$180,H$1,FALSE)=0,"",VLOOKUP($D39,'ACS Price List'!$A$12:$P$180,H$1,FALSE)),"")</f>
        <v>CFNMCTS</v>
      </c>
      <c r="Q39" s="271"/>
      <c r="R39" s="276"/>
    </row>
    <row r="40" spans="1:21" s="102" customFormat="1" ht="24" x14ac:dyDescent="0.2">
      <c r="A40" s="252"/>
      <c r="B40" s="97">
        <v>151</v>
      </c>
      <c r="C40" s="97"/>
      <c r="D40" s="250" t="s">
        <v>183</v>
      </c>
      <c r="E40" s="521"/>
      <c r="F40" s="275" t="str">
        <f>VLOOKUP(B40,'ACS Price List'!$A$12:$P$180,2,FALSE)</f>
        <v xml:space="preserve">Install additional single phase meter to accommodate additional tariffs other than controlled load </v>
      </c>
      <c r="G40" s="271" t="str">
        <f>IF(VLOOKUP($B40,'ACS Price List'!$A$12:$P$180,G$1,FALSE)=0,"",VLOOKUP($B40,'ACS Price List'!$A$12:$P$180,G$1,FALSE))</f>
        <v>ADSPATU</v>
      </c>
      <c r="H40" s="271" t="str">
        <f>IF(VLOOKUP($B40,'ACS Price List'!$A$12:$P$180,H$1,FALSE)=0,"",VLOOKUP($B40,'ACS Price List'!$A$12:$P$180,H$1,FALSE))</f>
        <v>ADSPATS</v>
      </c>
      <c r="I40" s="271"/>
      <c r="J40" s="272"/>
      <c r="K40" s="271" t="str">
        <f>IFERROR(IF(VLOOKUP($C40,'ACS Price List'!$A$12:$P$180,G$1,FALSE)=0,"",VLOOKUP($C40,'ACS Price List'!$A$12:$P$180,G$1,FALSE)),"")</f>
        <v/>
      </c>
      <c r="L40" s="271" t="str">
        <f>IFERROR(IF(VLOOKUP($C40,'ACS Price List'!$A$12:$P$180,H$1,FALSE)=0,"",VLOOKUP($C40,'ACS Price List'!$A$12:$P$180,H$1,FALSE)),"")</f>
        <v/>
      </c>
      <c r="M40" s="271"/>
      <c r="N40" s="272"/>
      <c r="O40" s="271" t="str">
        <f>IFERROR(IF(VLOOKUP($D40,'ACS Price List'!$A$12:$P$180,G$1,FALSE)=0,"",VLOOKUP($D40,'ACS Price List'!$A$12:$P$180,G$1,FALSE)),"")</f>
        <v>CFNMSPU</v>
      </c>
      <c r="P40" s="271" t="str">
        <f>IFERROR(IF(VLOOKUP($D40,'ACS Price List'!$A$12:$P$180,H$1,FALSE)=0,"",VLOOKUP($D40,'ACS Price List'!$A$12:$P$180,H$1,FALSE)),"")</f>
        <v>CFNMSPS</v>
      </c>
      <c r="Q40" s="271"/>
      <c r="R40" s="276"/>
    </row>
    <row r="41" spans="1:21" s="102" customFormat="1" ht="24" x14ac:dyDescent="0.2">
      <c r="A41" s="252"/>
      <c r="B41" s="97">
        <v>152</v>
      </c>
      <c r="C41" s="97"/>
      <c r="D41" s="250" t="s">
        <v>185</v>
      </c>
      <c r="E41" s="521"/>
      <c r="F41" s="275" t="str">
        <f>VLOOKUP(B41,'ACS Price List'!$A$12:$P$180,2,FALSE)</f>
        <v xml:space="preserve">Install additional polyphase meter to accommodate additional tariffs other than controlled load </v>
      </c>
      <c r="G41" s="271" t="str">
        <f>IF(VLOOKUP($B41,'ACS Price List'!$A$12:$P$180,G$1,FALSE)=0,"",VLOOKUP($B41,'ACS Price List'!$A$12:$P$180,G$1,FALSE))</f>
        <v>ADPPATU</v>
      </c>
      <c r="H41" s="271" t="str">
        <f>IF(VLOOKUP($B41,'ACS Price List'!$A$12:$P$180,H$1,FALSE)=0,"",VLOOKUP($B41,'ACS Price List'!$A$12:$P$180,H$1,FALSE))</f>
        <v>ADPPATS</v>
      </c>
      <c r="I41" s="271"/>
      <c r="J41" s="272"/>
      <c r="K41" s="271" t="str">
        <f>IFERROR(IF(VLOOKUP($C41,'ACS Price List'!$A$12:$P$180,G$1,FALSE)=0,"",VLOOKUP($C41,'ACS Price List'!$A$12:$P$180,G$1,FALSE)),"")</f>
        <v/>
      </c>
      <c r="L41" s="271" t="str">
        <f>IFERROR(IF(VLOOKUP($C41,'ACS Price List'!$A$12:$P$180,H$1,FALSE)=0,"",VLOOKUP($C41,'ACS Price List'!$A$12:$P$180,H$1,FALSE)),"")</f>
        <v/>
      </c>
      <c r="M41" s="271"/>
      <c r="N41" s="272"/>
      <c r="O41" s="271" t="str">
        <f>IFERROR(IF(VLOOKUP($D41,'ACS Price List'!$A$12:$P$180,G$1,FALSE)=0,"",VLOOKUP($D41,'ACS Price List'!$A$12:$P$180,G$1,FALSE)),"")</f>
        <v>CFNMTHREU</v>
      </c>
      <c r="P41" s="271" t="str">
        <f>IFERROR(IF(VLOOKUP($D41,'ACS Price List'!$A$12:$P$180,H$1,FALSE)=0,"",VLOOKUP($D41,'ACS Price List'!$A$12:$P$180,H$1,FALSE)),"")</f>
        <v>CFNMTHRES</v>
      </c>
      <c r="Q41" s="271"/>
      <c r="R41" s="276"/>
    </row>
    <row r="42" spans="1:21" s="102" customFormat="1" x14ac:dyDescent="0.2">
      <c r="A42" s="252"/>
      <c r="B42" s="97">
        <v>153</v>
      </c>
      <c r="C42" s="97"/>
      <c r="D42" s="250" t="s">
        <v>186</v>
      </c>
      <c r="E42" s="521"/>
      <c r="F42" s="275" t="str">
        <f>VLOOKUP(B42,'ACS Price List'!$A$12:$P$180,2,FALSE)</f>
        <v xml:space="preserve">Install additional meter (CT) to accommodate additional tariffs other than controlled load </v>
      </c>
      <c r="G42" s="271" t="str">
        <f>IF(VLOOKUP($B42,'ACS Price List'!$A$12:$P$180,G$1,FALSE)=0,"",VLOOKUP($B42,'ACS Price List'!$A$12:$P$180,G$1,FALSE))</f>
        <v>ADCTATU</v>
      </c>
      <c r="H42" s="271" t="str">
        <f>IF(VLOOKUP($B42,'ACS Price List'!$A$12:$P$180,H$1,FALSE)=0,"",VLOOKUP($B42,'ACS Price List'!$A$12:$P$180,H$1,FALSE))</f>
        <v>ADCTATS</v>
      </c>
      <c r="I42" s="271"/>
      <c r="J42" s="272"/>
      <c r="K42" s="271" t="str">
        <f>IFERROR(IF(VLOOKUP($C42,'ACS Price List'!$A$12:$P$180,G$1,FALSE)=0,"",VLOOKUP($C42,'ACS Price List'!$A$12:$P$180,G$1,FALSE)),"")</f>
        <v/>
      </c>
      <c r="L42" s="271" t="str">
        <f>IFERROR(IF(VLOOKUP($C42,'ACS Price List'!$A$12:$P$180,H$1,FALSE)=0,"",VLOOKUP($C42,'ACS Price List'!$A$12:$P$180,H$1,FALSE)),"")</f>
        <v/>
      </c>
      <c r="M42" s="271"/>
      <c r="N42" s="272"/>
      <c r="O42" s="271" t="str">
        <f>IFERROR(IF(VLOOKUP($D42,'ACS Price List'!$A$12:$P$180,G$1,FALSE)=0,"",VLOOKUP($D42,'ACS Price List'!$A$12:$P$180,G$1,FALSE)),"")</f>
        <v>CFNMCTU</v>
      </c>
      <c r="P42" s="271" t="str">
        <f>IFERROR(IF(VLOOKUP($D42,'ACS Price List'!$A$12:$P$180,H$1,FALSE)=0,"",VLOOKUP($D42,'ACS Price List'!$A$12:$P$180,H$1,FALSE)),"")</f>
        <v>CFNMCTS</v>
      </c>
      <c r="Q42" s="271"/>
      <c r="R42" s="276"/>
    </row>
    <row r="43" spans="1:21" s="102" customFormat="1" x14ac:dyDescent="0.2">
      <c r="A43" s="252"/>
      <c r="B43" s="97">
        <v>154</v>
      </c>
      <c r="C43" s="97"/>
      <c r="D43" s="250" t="s">
        <v>183</v>
      </c>
      <c r="E43" s="521"/>
      <c r="F43" s="275" t="str">
        <f>VLOOKUP(B43,'ACS Price List'!$A$12:$P$180,2,FALSE)</f>
        <v xml:space="preserve">Install new single phase meter to accommodate embedded generation installation </v>
      </c>
      <c r="G43" s="271" t="str">
        <f>IF(VLOOKUP($B43,'ACS Price List'!$A$12:$P$180,G$1,FALSE)=0,"",VLOOKUP($B43,'ACS Price List'!$A$12:$P$180,G$1,FALSE))</f>
        <v>NSPAEGU</v>
      </c>
      <c r="H43" s="271" t="str">
        <f>IF(VLOOKUP($B43,'ACS Price List'!$A$12:$P$180,H$1,FALSE)=0,"",VLOOKUP($B43,'ACS Price List'!$A$12:$P$180,H$1,FALSE))</f>
        <v>NSPAEGS</v>
      </c>
      <c r="I43" s="271"/>
      <c r="J43" s="272"/>
      <c r="K43" s="271" t="str">
        <f>IFERROR(IF(VLOOKUP($C43,'ACS Price List'!$A$12:$P$180,G$1,FALSE)=0,"",VLOOKUP($C43,'ACS Price List'!$A$12:$P$180,G$1,FALSE)),"")</f>
        <v/>
      </c>
      <c r="L43" s="271" t="str">
        <f>IFERROR(IF(VLOOKUP($C43,'ACS Price List'!$A$12:$P$180,H$1,FALSE)=0,"",VLOOKUP($C43,'ACS Price List'!$A$12:$P$180,H$1,FALSE)),"")</f>
        <v/>
      </c>
      <c r="M43" s="271"/>
      <c r="N43" s="272"/>
      <c r="O43" s="271" t="str">
        <f>IFERROR(IF(VLOOKUP($D43,'ACS Price List'!$A$12:$P$180,G$1,FALSE)=0,"",VLOOKUP($D43,'ACS Price List'!$A$12:$P$180,G$1,FALSE)),"")</f>
        <v>CFNMSPU</v>
      </c>
      <c r="P43" s="271" t="str">
        <f>IFERROR(IF(VLOOKUP($D43,'ACS Price List'!$A$12:$P$180,H$1,FALSE)=0,"",VLOOKUP($D43,'ACS Price List'!$A$12:$P$180,H$1,FALSE)),"")</f>
        <v>CFNMSPS</v>
      </c>
      <c r="Q43" s="271"/>
      <c r="R43" s="276"/>
    </row>
    <row r="44" spans="1:21" x14ac:dyDescent="0.2">
      <c r="A44" s="252"/>
      <c r="B44" s="97">
        <v>155</v>
      </c>
      <c r="C44" s="97"/>
      <c r="D44" s="250" t="s">
        <v>185</v>
      </c>
      <c r="E44" s="521"/>
      <c r="F44" s="275" t="str">
        <f>VLOOKUP(B44,'ACS Price List'!$A$12:$P$180,2,FALSE)</f>
        <v xml:space="preserve">Install new polyphase meter to accommodate embedded generation installation </v>
      </c>
      <c r="G44" s="271" t="str">
        <f>IF(VLOOKUP($B44,'ACS Price List'!$A$12:$P$180,G$1,FALSE)=0,"",VLOOKUP($B44,'ACS Price List'!$A$12:$P$180,G$1,FALSE))</f>
        <v>NPPAEGU</v>
      </c>
      <c r="H44" s="271" t="str">
        <f>IF(VLOOKUP($B44,'ACS Price List'!$A$12:$P$180,H$1,FALSE)=0,"",VLOOKUP($B44,'ACS Price List'!$A$12:$P$180,H$1,FALSE))</f>
        <v>NPPAEGS</v>
      </c>
      <c r="I44" s="271"/>
      <c r="J44" s="272"/>
      <c r="K44" s="271" t="str">
        <f>IFERROR(IF(VLOOKUP($C44,'ACS Price List'!$A$12:$P$180,G$1,FALSE)=0,"",VLOOKUP($C44,'ACS Price List'!$A$12:$P$180,G$1,FALSE)),"")</f>
        <v/>
      </c>
      <c r="L44" s="271" t="str">
        <f>IFERROR(IF(VLOOKUP($C44,'ACS Price List'!$A$12:$P$180,H$1,FALSE)=0,"",VLOOKUP($C44,'ACS Price List'!$A$12:$P$180,H$1,FALSE)),"")</f>
        <v/>
      </c>
      <c r="M44" s="271"/>
      <c r="N44" s="272"/>
      <c r="O44" s="271" t="str">
        <f>IFERROR(IF(VLOOKUP($D44,'ACS Price List'!$A$12:$P$180,G$1,FALSE)=0,"",VLOOKUP($D44,'ACS Price List'!$A$12:$P$180,G$1,FALSE)),"")</f>
        <v>CFNMTHREU</v>
      </c>
      <c r="P44" s="271" t="str">
        <f>IFERROR(IF(VLOOKUP($D44,'ACS Price List'!$A$12:$P$180,H$1,FALSE)=0,"",VLOOKUP($D44,'ACS Price List'!$A$12:$P$180,H$1,FALSE)),"")</f>
        <v>CFNMTHRES</v>
      </c>
      <c r="Q44" s="271"/>
      <c r="R44" s="276"/>
    </row>
    <row r="45" spans="1:21" x14ac:dyDescent="0.2">
      <c r="A45" s="252"/>
      <c r="B45" s="97">
        <v>156</v>
      </c>
      <c r="C45" s="97"/>
      <c r="D45" s="250" t="s">
        <v>186</v>
      </c>
      <c r="E45" s="522"/>
      <c r="F45" s="277" t="str">
        <f>VLOOKUP(B45,'ACS Price List'!$A$12:$P$180,2,FALSE)</f>
        <v xml:space="preserve">Install new meter (CT) to accommodate embedded generation installation </v>
      </c>
      <c r="G45" s="278" t="str">
        <f>IF(VLOOKUP($B45,'ACS Price List'!$A$12:$P$180,G$1,FALSE)=0,"",VLOOKUP($B45,'ACS Price List'!$A$12:$P$180,G$1,FALSE))</f>
        <v>NCTAEGU</v>
      </c>
      <c r="H45" s="278" t="str">
        <f>IF(VLOOKUP($B45,'ACS Price List'!$A$12:$P$180,H$1,FALSE)=0,"",VLOOKUP($B45,'ACS Price List'!$A$12:$P$180,H$1,FALSE))</f>
        <v>NCTAEGS</v>
      </c>
      <c r="I45" s="278"/>
      <c r="J45" s="279"/>
      <c r="K45" s="280" t="str">
        <f>IFERROR(IF(VLOOKUP($C45,'ACS Price List'!$A$12:$P$180,G$1,FALSE)=0,"",VLOOKUP($C45,'ACS Price List'!$A$12:$P$180,G$1,FALSE)),"")</f>
        <v/>
      </c>
      <c r="L45" s="280" t="str">
        <f>IFERROR(IF(VLOOKUP($C45,'ACS Price List'!$A$12:$P$180,H$1,FALSE)=0,"",VLOOKUP($C45,'ACS Price List'!$A$12:$P$180,H$1,FALSE)),"")</f>
        <v/>
      </c>
      <c r="M45" s="271"/>
      <c r="N45" s="279"/>
      <c r="O45" s="271" t="str">
        <f>IFERROR(IF(VLOOKUP($D45,'ACS Price List'!$A$12:$P$180,G$1,FALSE)=0,"",VLOOKUP($D45,'ACS Price List'!$A$12:$P$180,G$1,FALSE)),"")</f>
        <v>CFNMCTU</v>
      </c>
      <c r="P45" s="271" t="str">
        <f>IFERROR(IF(VLOOKUP($D45,'ACS Price List'!$A$12:$P$180,H$1,FALSE)=0,"",VLOOKUP($D45,'ACS Price List'!$A$12:$P$180,H$1,FALSE)),"")</f>
        <v>CFNMCTS</v>
      </c>
      <c r="Q45" s="271"/>
      <c r="R45" s="276"/>
    </row>
    <row r="46" spans="1:21" x14ac:dyDescent="0.2">
      <c r="A46" s="252"/>
      <c r="B46" s="97">
        <v>1</v>
      </c>
      <c r="C46" s="97"/>
      <c r="D46" s="250"/>
      <c r="E46" s="523" t="s">
        <v>444</v>
      </c>
      <c r="F46" s="281" t="str">
        <f>VLOOKUP(B46,'ACS Price List'!$A$12:$P$180,2,FALSE)</f>
        <v>Application fee - Basic or standard connection</v>
      </c>
      <c r="G46" s="273" t="str">
        <f>IF(VLOOKUP($B46,'ACS Price List'!$A$12:$P$180,G$1,FALSE)=0,"",VLOOKUP($B46,'ACS Price List'!$A$12:$P$180,G$1,FALSE))</f>
        <v>APFSAC</v>
      </c>
      <c r="H46" s="273" t="str">
        <f>IF(VLOOKUP($B46,'ACS Price List'!$A$12:$P$180,J$1,FALSE)=0,"",VLOOKUP($B46,'ACS Price List'!$A$12:$P$180,J$1,FALSE))</f>
        <v/>
      </c>
      <c r="I46" s="273"/>
      <c r="J46" s="282"/>
      <c r="K46" s="273" t="str">
        <f>IFERROR(IF(VLOOKUP($C46,'ACS Price List'!$A$12:$P$180,I$1,FALSE)=0,"",VLOOKUP($C46,'ACS Price List'!$A$12:$P$180,I$1,FALSE)),"")</f>
        <v/>
      </c>
      <c r="L46" s="273" t="str">
        <f>IFERROR(IF(VLOOKUP($C46,'ACS Price List'!$A$12:$P$180,J$1,FALSE)=0,"",VLOOKUP($C46,'ACS Price List'!$A$12:$P$180,J$1,FALSE)),"")</f>
        <v/>
      </c>
      <c r="M46" s="283"/>
      <c r="N46" s="282"/>
      <c r="O46" s="283"/>
      <c r="P46" s="283"/>
      <c r="Q46" s="283"/>
      <c r="R46" s="284"/>
      <c r="U46" s="91">
        <f>COUNTA(G46:G80,H51:H58,H60:H80,K51:K53,L51:L53,O51:O58,P51:P58,O60:O80,P60:P80)</f>
        <v>128</v>
      </c>
    </row>
    <row r="47" spans="1:21" x14ac:dyDescent="0.2">
      <c r="A47" s="252"/>
      <c r="B47" s="97">
        <v>2</v>
      </c>
      <c r="C47" s="97"/>
      <c r="D47" s="250"/>
      <c r="E47" s="521"/>
      <c r="F47" s="275" t="str">
        <f>VLOOKUP(B47,'ACS Price List'!$A$12:$P$180,2,FALSE)</f>
        <v>Application fee - Basic or standard connection - Micro-embedded generators</v>
      </c>
      <c r="G47" s="273" t="str">
        <f>IF(VLOOKUP($B47,'ACS Price List'!$A$12:$P$180,G$1,FALSE)=0,"",VLOOKUP($B47,'ACS Price List'!$A$12:$P$180,G$1,FALSE))</f>
        <v>APFMEG</v>
      </c>
      <c r="H47" s="273" t="str">
        <f>IF(VLOOKUP($B47,'ACS Price List'!$A$12:$P$180,J$1,FALSE)=0,"",VLOOKUP($B47,'ACS Price List'!$A$12:$P$180,J$1,FALSE))</f>
        <v/>
      </c>
      <c r="I47" s="273"/>
      <c r="J47" s="285"/>
      <c r="K47" s="271" t="str">
        <f>IFERROR(IF(VLOOKUP($C47,'ACS Price List'!$A$12:$P$180,I$1,FALSE)=0,"",VLOOKUP($C47,'ACS Price List'!$A$12:$P$180,I$1,FALSE)),"")</f>
        <v/>
      </c>
      <c r="L47" s="271" t="str">
        <f>IFERROR(IF(VLOOKUP($C47,'ACS Price List'!$A$12:$P$180,J$1,FALSE)=0,"",VLOOKUP($C47,'ACS Price List'!$A$12:$P$180,J$1,FALSE)),"")</f>
        <v/>
      </c>
      <c r="M47" s="273"/>
      <c r="N47" s="285"/>
      <c r="O47" s="273"/>
      <c r="P47" s="273"/>
      <c r="Q47" s="273"/>
      <c r="R47" s="274"/>
    </row>
    <row r="48" spans="1:21" ht="24" x14ac:dyDescent="0.2">
      <c r="A48" s="252"/>
      <c r="B48" s="97">
        <v>3</v>
      </c>
      <c r="C48" s="97"/>
      <c r="D48" s="250"/>
      <c r="E48" s="521"/>
      <c r="F48" s="268" t="str">
        <f>VLOOKUP(B48,'ACS Price List'!$A$12:$P$180,2,FALSE)</f>
        <v>Application fee - Basic or standard connection - Micro-embedded generators - Technical assessment required</v>
      </c>
      <c r="G48" s="273" t="str">
        <f>IF(VLOOKUP($B48,'ACS Price List'!$A$12:$P$180,G$1,FALSE)=0,"",VLOOKUP($B48,'ACS Price List'!$A$12:$P$180,G$1,FALSE))</f>
        <v>APFMTA</v>
      </c>
      <c r="H48" s="273" t="str">
        <f>IF(VLOOKUP($B48,'ACS Price List'!$A$12:$P$180,J$1,FALSE)=0,"",VLOOKUP($B48,'ACS Price List'!$A$12:$P$180,J$1,FALSE))</f>
        <v/>
      </c>
      <c r="I48" s="273"/>
      <c r="J48" s="285"/>
      <c r="K48" s="271" t="str">
        <f>IFERROR(IF(VLOOKUP($C48,'ACS Price List'!$A$12:$P$180,I$1,FALSE)=0,"",VLOOKUP($C48,'ACS Price List'!$A$12:$P$180,I$1,FALSE)),"")</f>
        <v/>
      </c>
      <c r="L48" s="271" t="str">
        <f>IFERROR(IF(VLOOKUP($C48,'ACS Price List'!$A$12:$P$180,J$1,FALSE)=0,"",VLOOKUP($C48,'ACS Price List'!$A$12:$P$180,J$1,FALSE)),"")</f>
        <v/>
      </c>
      <c r="M48" s="273"/>
      <c r="N48" s="285"/>
      <c r="O48" s="273"/>
      <c r="P48" s="273"/>
      <c r="Q48" s="273"/>
      <c r="R48" s="274"/>
    </row>
    <row r="49" spans="1:18" x14ac:dyDescent="0.2">
      <c r="A49" s="252"/>
      <c r="B49" s="97">
        <v>4</v>
      </c>
      <c r="C49" s="97"/>
      <c r="D49" s="250"/>
      <c r="E49" s="521"/>
      <c r="F49" s="268" t="str">
        <f>VLOOKUP(B49,'ACS Price List'!$A$12:$P$180,2,FALSE)</f>
        <v>Application fee - Real estate development connection</v>
      </c>
      <c r="G49" s="273" t="str">
        <f>IF(VLOOKUP($B49,'ACS Price List'!$A$12:$P$180,G$1,FALSE)=0,"",VLOOKUP($B49,'ACS Price List'!$A$12:$P$180,G$1,FALSE))</f>
        <v>APFRED</v>
      </c>
      <c r="H49" s="273" t="str">
        <f>IF(VLOOKUP($B49,'ACS Price List'!$A$12:$P$180,J$1,FALSE)=0,"",VLOOKUP($B49,'ACS Price List'!$A$12:$P$180,J$1,FALSE))</f>
        <v/>
      </c>
      <c r="I49" s="273"/>
      <c r="J49" s="285"/>
      <c r="K49" s="271" t="str">
        <f>IFERROR(IF(VLOOKUP($C49,'ACS Price List'!$A$12:$P$180,I$1,FALSE)=0,"",VLOOKUP($C49,'ACS Price List'!$A$12:$P$180,I$1,FALSE)),"")</f>
        <v/>
      </c>
      <c r="L49" s="271" t="str">
        <f>IFERROR(IF(VLOOKUP($C49,'ACS Price List'!$A$12:$P$180,J$1,FALSE)=0,"",VLOOKUP($C49,'ACS Price List'!$A$12:$P$180,J$1,FALSE)),"")</f>
        <v/>
      </c>
      <c r="M49" s="273"/>
      <c r="N49" s="285"/>
      <c r="O49" s="273"/>
      <c r="P49" s="273"/>
      <c r="Q49" s="273"/>
      <c r="R49" s="274"/>
    </row>
    <row r="50" spans="1:18" x14ac:dyDescent="0.2">
      <c r="A50" s="252"/>
      <c r="B50" s="97">
        <v>5</v>
      </c>
      <c r="C50" s="97"/>
      <c r="D50" s="250"/>
      <c r="E50" s="521"/>
      <c r="F50" s="268" t="str">
        <f>VLOOKUP(B50,'ACS Price List'!$A$12:$P$180,2,FALSE)</f>
        <v>Protection and Power Quality assessment prior to connection</v>
      </c>
      <c r="G50" s="273" t="str">
        <f>IF(VLOOKUP($B50,'ACS Price List'!$A$12:$P$180,G$1,FALSE)=0,"",VLOOKUP($B50,'ACS Price List'!$A$12:$P$180,G$1,FALSE))</f>
        <v>PPQA</v>
      </c>
      <c r="H50" s="273" t="str">
        <f>IF(VLOOKUP($B50,'ACS Price List'!$A$12:$P$180,J$1,FALSE)=0,"",VLOOKUP($B50,'ACS Price List'!$A$12:$P$180,J$1,FALSE))</f>
        <v/>
      </c>
      <c r="I50" s="273"/>
      <c r="J50" s="285"/>
      <c r="K50" s="271" t="str">
        <f>IFERROR(IF(VLOOKUP($C50,'ACS Price List'!$A$12:$P$180,I$1,FALSE)=0,"",VLOOKUP($C50,'ACS Price List'!$A$12:$P$180,I$1,FALSE)),"")</f>
        <v/>
      </c>
      <c r="L50" s="271" t="str">
        <f>IFERROR(IF(VLOOKUP($C50,'ACS Price List'!$A$12:$P$180,J$1,FALSE)=0,"",VLOOKUP($C50,'ACS Price List'!$A$12:$P$180,J$1,FALSE)),"")</f>
        <v/>
      </c>
      <c r="M50" s="273"/>
      <c r="N50" s="285"/>
      <c r="O50" s="273"/>
      <c r="P50" s="273"/>
      <c r="Q50" s="273"/>
      <c r="R50" s="274"/>
    </row>
    <row r="51" spans="1:18" ht="24" x14ac:dyDescent="0.2">
      <c r="A51" s="252"/>
      <c r="B51" s="97">
        <v>7</v>
      </c>
      <c r="C51" s="97" t="s">
        <v>612</v>
      </c>
      <c r="D51" s="250" t="s">
        <v>49</v>
      </c>
      <c r="E51" s="521"/>
      <c r="F51" s="268" t="str">
        <f>VLOOKUP(B51,'ACS Price List'!$A$12:$P$180,2,FALSE)</f>
        <v>Temporary connection, not in permanent position - single phase metered - long rural/isolated feeders</v>
      </c>
      <c r="G51" s="273" t="str">
        <f>IF(VLOOKUP($B51,'ACS Price List'!$A$12:$P$180,I$1,FALSE)=0,"",VLOOKUP($B51,'ACS Price List'!$A$12:$P$180,I$1,FALSE))</f>
        <v>TBSSPL</v>
      </c>
      <c r="H51" s="273" t="str">
        <f>IF(VLOOKUP($B51,'ACS Price List'!$A$12:$P$180,J$1,FALSE)=0,"",VLOOKUP($B51,'ACS Price List'!$A$12:$P$180,J$1,FALSE))</f>
        <v>TBSSPI</v>
      </c>
      <c r="I51" s="273"/>
      <c r="J51" s="285"/>
      <c r="K51" s="271" t="str">
        <f>IFERROR(IF(VLOOKUP($C51,'ACS Price List'!$A$12:$P$180,I$1,FALSE)=0,"",VLOOKUP($C51,'ACS Price List'!$A$12:$P$180,I$1,FALSE)),"")</f>
        <v>MTBSL</v>
      </c>
      <c r="L51" s="271" t="str">
        <f>IFERROR(IF(VLOOKUP($C51,'ACS Price List'!$A$12:$P$180,J$1,FALSE)=0,"",VLOOKUP($C51,'ACS Price List'!$A$12:$P$180,J$1,FALSE)),"")</f>
        <v>MTBSI</v>
      </c>
      <c r="M51" s="273"/>
      <c r="N51" s="285"/>
      <c r="O51" s="273" t="str">
        <f>IFERROR(IF(VLOOKUP($D51,'ACS Price List'!$A$12:$P$180,I$1,FALSE)=0,"",VLOOKUP($D51,'ACS Price List'!$A$12:$P$180,I$1,FALSE)),"")</f>
        <v>CFTBSSPL</v>
      </c>
      <c r="P51" s="273" t="str">
        <f>IFERROR(IF(VLOOKUP($D51,'ACS Price List'!$A$12:$P$180,J$1,FALSE)=0,"",VLOOKUP($D51,'ACS Price List'!$A$12:$P$180,J$1,FALSE)),"")</f>
        <v>CFTBSSPI</v>
      </c>
      <c r="Q51" s="273"/>
      <c r="R51" s="274"/>
    </row>
    <row r="52" spans="1:18" ht="24" x14ac:dyDescent="0.2">
      <c r="A52" s="252"/>
      <c r="B52" s="97">
        <v>9</v>
      </c>
      <c r="C52" s="97" t="s">
        <v>612</v>
      </c>
      <c r="D52" s="250" t="s">
        <v>55</v>
      </c>
      <c r="E52" s="521"/>
      <c r="F52" s="268" t="str">
        <f>VLOOKUP(B52,'ACS Price List'!$A$12:$P$180,2,FALSE)</f>
        <v>Temporary connection, not in permanent position - multi phase metered - long rural/isolated feeders</v>
      </c>
      <c r="G52" s="273" t="str">
        <f>IF(VLOOKUP($B52,'ACS Price List'!$A$12:$P$180,I$1,FALSE)=0,"",VLOOKUP($B52,'ACS Price List'!$A$12:$P$180,I$1,FALSE))</f>
        <v>TBSMPL</v>
      </c>
      <c r="H52" s="273" t="str">
        <f>IF(VLOOKUP($B52,'ACS Price List'!$A$12:$P$180,J$1,FALSE)=0,"",VLOOKUP($B52,'ACS Price List'!$A$12:$P$180,J$1,FALSE))</f>
        <v>TBSMPI</v>
      </c>
      <c r="I52" s="273"/>
      <c r="J52" s="285"/>
      <c r="K52" s="271" t="str">
        <f>IFERROR(IF(VLOOKUP($C52,'ACS Price List'!$A$12:$P$180,I$1,FALSE)=0,"",VLOOKUP($C52,'ACS Price List'!$A$12:$P$180,I$1,FALSE)),"")</f>
        <v>MTBSL</v>
      </c>
      <c r="L52" s="271" t="str">
        <f>IFERROR(IF(VLOOKUP($C52,'ACS Price List'!$A$12:$P$180,J$1,FALSE)=0,"",VLOOKUP($C52,'ACS Price List'!$A$12:$P$180,J$1,FALSE)),"")</f>
        <v>MTBSI</v>
      </c>
      <c r="M52" s="273"/>
      <c r="N52" s="285"/>
      <c r="O52" s="273" t="str">
        <f>IFERROR(IF(VLOOKUP($D52,'ACS Price List'!$A$12:$P$180,I$1,FALSE)=0,"",VLOOKUP($D52,'ACS Price List'!$A$12:$P$180,I$1,FALSE)),"")</f>
        <v>CFTBSMPL</v>
      </c>
      <c r="P52" s="273" t="str">
        <f>IFERROR(IF(VLOOKUP($D52,'ACS Price List'!$A$12:$P$180,J$1,FALSE)=0,"",VLOOKUP($D52,'ACS Price List'!$A$12:$P$180,J$1,FALSE)),"")</f>
        <v>CFTBSMPI</v>
      </c>
      <c r="Q52" s="273"/>
      <c r="R52" s="274"/>
    </row>
    <row r="53" spans="1:18" x14ac:dyDescent="0.2">
      <c r="A53" s="252"/>
      <c r="B53" s="97">
        <v>11</v>
      </c>
      <c r="C53" s="97" t="s">
        <v>613</v>
      </c>
      <c r="D53" s="250" t="s">
        <v>62</v>
      </c>
      <c r="E53" s="521"/>
      <c r="F53" s="268" t="str">
        <f>VLOOKUP(B53,'ACS Price List'!$A$12:$P$180,2,FALSE)</f>
        <v>Supply abolishment during business hours - long rural/isolated feeders</v>
      </c>
      <c r="G53" s="273" t="str">
        <f>IF(VLOOKUP($B53,'ACS Price List'!$A$12:$P$180,I$1,FALSE)=0,"",VLOOKUP($B53,'ACS Price List'!$A$12:$P$180,I$1,FALSE))</f>
        <v>SUPABOLL</v>
      </c>
      <c r="H53" s="273" t="str">
        <f>IF(VLOOKUP($B53,'ACS Price List'!$A$12:$P$180,J$1,FALSE)=0,"",VLOOKUP($B53,'ACS Price List'!$A$12:$P$180,J$1,FALSE))</f>
        <v>SUPABOLI</v>
      </c>
      <c r="I53" s="273"/>
      <c r="J53" s="285"/>
      <c r="K53" s="271" t="str">
        <f>IFERROR(IF(VLOOKUP($C53,'ACS Price List'!$A$12:$P$180,I$1,FALSE)=0,"",VLOOKUP($C53,'ACS Price List'!$A$12:$P$180,I$1,FALSE)),"")</f>
        <v>MSUPABOLL</v>
      </c>
      <c r="L53" s="271" t="str">
        <f>IFERROR(IF(VLOOKUP($C53,'ACS Price List'!$A$12:$P$180,J$1,FALSE)=0,"",VLOOKUP($C53,'ACS Price List'!$A$12:$P$180,J$1,FALSE)),"")</f>
        <v>MSUPABOLI</v>
      </c>
      <c r="M53" s="273"/>
      <c r="N53" s="285"/>
      <c r="O53" s="273" t="str">
        <f>IFERROR(IF(VLOOKUP($D53,'ACS Price List'!$A$12:$P$180,I$1,FALSE)=0,"",VLOOKUP($D53,'ACS Price List'!$A$12:$P$180,I$1,FALSE)),"")</f>
        <v>CFSUPABOLL</v>
      </c>
      <c r="P53" s="273" t="str">
        <f>IFERROR(IF(VLOOKUP($D53,'ACS Price List'!$A$12:$P$180,J$1,FALSE)=0,"",VLOOKUP($D53,'ACS Price List'!$A$12:$P$180,J$1,FALSE)),"")</f>
        <v>CFSUPABOLI</v>
      </c>
      <c r="Q53" s="273"/>
      <c r="R53" s="274"/>
    </row>
    <row r="54" spans="1:18" x14ac:dyDescent="0.2">
      <c r="A54" s="252"/>
      <c r="B54" s="97">
        <v>13</v>
      </c>
      <c r="C54" s="97"/>
      <c r="D54" s="250" t="s">
        <v>68</v>
      </c>
      <c r="E54" s="521"/>
      <c r="F54" s="268" t="str">
        <f>VLOOKUP(B54,'ACS Price List'!$A$12:$P$180,2,FALSE)</f>
        <v>De-energisation during business hours - long rural/isolated feeders</v>
      </c>
      <c r="G54" s="273" t="str">
        <f>IF(VLOOKUP($B54,'ACS Price List'!$A$12:$P$180,I$1,FALSE)=0,"",VLOOKUP($B54,'ACS Price List'!$A$12:$P$180,I$1,FALSE))</f>
        <v>DEENBHL</v>
      </c>
      <c r="H54" s="273" t="str">
        <f>IF(VLOOKUP($B54,'ACS Price List'!$A$12:$P$180,J$1,FALSE)=0,"",VLOOKUP($B54,'ACS Price List'!$A$12:$P$180,J$1,FALSE))</f>
        <v>DEENBHI</v>
      </c>
      <c r="I54" s="273"/>
      <c r="J54" s="285"/>
      <c r="K54" s="271" t="str">
        <f>IFERROR(IF(VLOOKUP($C54,'ACS Price List'!$A$12:$P$180,I$1,FALSE)=0,"",VLOOKUP($C54,'ACS Price List'!$A$12:$P$180,I$1,FALSE)),"")</f>
        <v/>
      </c>
      <c r="L54" s="271" t="str">
        <f>IFERROR(IF(VLOOKUP($C54,'ACS Price List'!$A$12:$P$180,J$1,FALSE)=0,"",VLOOKUP($C54,'ACS Price List'!$A$12:$P$180,J$1,FALSE)),"")</f>
        <v/>
      </c>
      <c r="M54" s="273"/>
      <c r="N54" s="285"/>
      <c r="O54" s="273" t="str">
        <f>IFERROR(IF(VLOOKUP($D54,'ACS Price List'!$A$12:$P$180,I$1,FALSE)=0,"",VLOOKUP($D54,'ACS Price List'!$A$12:$P$180,I$1,FALSE)),"")</f>
        <v>CFDEENBHL</v>
      </c>
      <c r="P54" s="273" t="str">
        <f>IFERROR(IF(VLOOKUP($D54,'ACS Price List'!$A$12:$P$180,J$1,FALSE)=0,"",VLOOKUP($D54,'ACS Price List'!$A$12:$P$180,J$1,FALSE)),"")</f>
        <v>CFDEENBHI</v>
      </c>
      <c r="Q54" s="273"/>
      <c r="R54" s="274"/>
    </row>
    <row r="55" spans="1:18" x14ac:dyDescent="0.2">
      <c r="A55" s="252"/>
      <c r="B55" s="97">
        <v>15</v>
      </c>
      <c r="C55" s="97"/>
      <c r="D55" s="250" t="s">
        <v>74</v>
      </c>
      <c r="E55" s="521"/>
      <c r="F55" s="268" t="str">
        <f>VLOOKUP(B55,'ACS Price List'!$A$12:$P$180,2,FALSE)</f>
        <v>Re-energisation during business hours - long rural/isolated feeders</v>
      </c>
      <c r="G55" s="273" t="str">
        <f>IF(VLOOKUP($B55,'ACS Price List'!$A$12:$P$180,I$1,FALSE)=0,"",VLOOKUP($B55,'ACS Price List'!$A$12:$P$180,I$1,FALSE))</f>
        <v>REENBHL</v>
      </c>
      <c r="H55" s="273" t="str">
        <f>IF(VLOOKUP($B55,'ACS Price List'!$A$12:$P$180,J$1,FALSE)=0,"",VLOOKUP($B55,'ACS Price List'!$A$12:$P$180,J$1,FALSE))</f>
        <v>REENBHI</v>
      </c>
      <c r="I55" s="273"/>
      <c r="J55" s="285"/>
      <c r="K55" s="271" t="str">
        <f>IFERROR(IF(VLOOKUP($C55,'ACS Price List'!$A$12:$P$180,I$1,FALSE)=0,"",VLOOKUP($C55,'ACS Price List'!$A$12:$P$180,I$1,FALSE)),"")</f>
        <v/>
      </c>
      <c r="L55" s="271" t="str">
        <f>IFERROR(IF(VLOOKUP($C55,'ACS Price List'!$A$12:$P$180,J$1,FALSE)=0,"",VLOOKUP($C55,'ACS Price List'!$A$12:$P$180,J$1,FALSE)),"")</f>
        <v/>
      </c>
      <c r="M55" s="273"/>
      <c r="N55" s="285"/>
      <c r="O55" s="273" t="str">
        <f>IFERROR(IF(VLOOKUP($D55,'ACS Price List'!$A$12:$P$180,I$1,FALSE)=0,"",VLOOKUP($D55,'ACS Price List'!$A$12:$P$180,I$1,FALSE)),"")</f>
        <v>CFREENBHL</v>
      </c>
      <c r="P55" s="273" t="str">
        <f>IFERROR(IF(VLOOKUP($D55,'ACS Price List'!$A$12:$P$180,J$1,FALSE)=0,"",VLOOKUP($D55,'ACS Price List'!$A$12:$P$180,J$1,FALSE)),"")</f>
        <v>CFREENBHI</v>
      </c>
      <c r="Q55" s="273"/>
      <c r="R55" s="274"/>
    </row>
    <row r="56" spans="1:18" s="104" customFormat="1" ht="24" x14ac:dyDescent="0.2">
      <c r="A56" s="252"/>
      <c r="B56" s="97" t="s">
        <v>645</v>
      </c>
      <c r="C56" s="97"/>
      <c r="D56" s="250" t="s">
        <v>74</v>
      </c>
      <c r="E56" s="521"/>
      <c r="F56" s="268" t="str">
        <f>VLOOKUP(B56,'ACS Price List'!$A$12:$P$180,2,FALSE)</f>
        <v xml:space="preserve">Visual examination during business hours for remote re-energisation - long rural/isolated feeders </v>
      </c>
      <c r="G56" s="273" t="str">
        <f>IF(VLOOKUP($B56,'ACS Price List'!$A$12:$P$180,I$1,FALSE)=0,"",VLOOKUP($B56,'ACS Price List'!$A$12:$P$180,I$1,FALSE))</f>
        <v>VEREENBHL</v>
      </c>
      <c r="H56" s="273" t="str">
        <f>IF(VLOOKUP($B56,'ACS Price List'!$A$12:$P$180,J$1,FALSE)=0,"",VLOOKUP($B56,'ACS Price List'!$A$12:$P$180,J$1,FALSE))</f>
        <v>VEREENBHI</v>
      </c>
      <c r="I56" s="273"/>
      <c r="J56" s="285"/>
      <c r="K56" s="271" t="str">
        <f>IFERROR(IF(VLOOKUP($C56,'ACS Price List'!$A$12:$P$180,I$1,FALSE)=0,"",VLOOKUP($C56,'ACS Price List'!$A$12:$P$180,I$1,FALSE)),"")</f>
        <v/>
      </c>
      <c r="L56" s="271" t="str">
        <f>IFERROR(IF(VLOOKUP($C56,'ACS Price List'!$A$12:$P$180,J$1,FALSE)=0,"",VLOOKUP($C56,'ACS Price List'!$A$12:$P$180,J$1,FALSE)),"")</f>
        <v/>
      </c>
      <c r="M56" s="273"/>
      <c r="N56" s="285"/>
      <c r="O56" s="273" t="str">
        <f>IFERROR(IF(VLOOKUP($D56,'ACS Price List'!$A$12:$P$180,I$1,FALSE)=0,"",VLOOKUP($D56,'ACS Price List'!$A$12:$P$180,I$1,FALSE)),"")</f>
        <v>CFREENBHL</v>
      </c>
      <c r="P56" s="273" t="str">
        <f>IFERROR(IF(VLOOKUP($D56,'ACS Price List'!$A$12:$P$180,J$1,FALSE)=0,"",VLOOKUP($D56,'ACS Price List'!$A$12:$P$180,J$1,FALSE)),"")</f>
        <v>CFREENBHI</v>
      </c>
      <c r="Q56" s="273"/>
      <c r="R56" s="274"/>
    </row>
    <row r="57" spans="1:18" ht="24" x14ac:dyDescent="0.2">
      <c r="A57" s="252"/>
      <c r="B57" s="97">
        <v>17</v>
      </c>
      <c r="C57" s="97"/>
      <c r="D57" s="250" t="s">
        <v>80</v>
      </c>
      <c r="E57" s="521"/>
      <c r="F57" s="268" t="str">
        <f>VLOOKUP(B57,'ACS Price List'!$A$12:$P$180,2,FALSE)</f>
        <v>Re-energisation during business hours - after de-energisation for debt - long rural/isolated feeders</v>
      </c>
      <c r="G57" s="273" t="str">
        <f>IF(VLOOKUP($B57,'ACS Price List'!$A$12:$P$180,I$1,FALSE)=0,"",VLOOKUP($B57,'ACS Price List'!$A$12:$P$180,I$1,FALSE))</f>
        <v>REDDBHL</v>
      </c>
      <c r="H57" s="273" t="str">
        <f>IF(VLOOKUP($B57,'ACS Price List'!$A$12:$P$180,J$1,FALSE)=0,"",VLOOKUP($B57,'ACS Price List'!$A$12:$P$180,J$1,FALSE))</f>
        <v>REDDBHI</v>
      </c>
      <c r="I57" s="273"/>
      <c r="J57" s="285"/>
      <c r="K57" s="271" t="str">
        <f>IFERROR(IF(VLOOKUP($C57,'ACS Price List'!$A$12:$P$180,I$1,FALSE)=0,"",VLOOKUP($C57,'ACS Price List'!$A$12:$P$180,I$1,FALSE)),"")</f>
        <v/>
      </c>
      <c r="L57" s="271" t="str">
        <f>IFERROR(IF(VLOOKUP($C57,'ACS Price List'!$A$12:$P$180,J$1,FALSE)=0,"",VLOOKUP($C57,'ACS Price List'!$A$12:$P$180,J$1,FALSE)),"")</f>
        <v/>
      </c>
      <c r="M57" s="273"/>
      <c r="N57" s="285"/>
      <c r="O57" s="273" t="str">
        <f>IFERROR(IF(VLOOKUP($D57,'ACS Price List'!$A$12:$P$180,I$1,FALSE)=0,"",VLOOKUP($D57,'ACS Price List'!$A$12:$P$180,I$1,FALSE)),"")</f>
        <v>CFREDDBHL</v>
      </c>
      <c r="P57" s="273" t="str">
        <f>IFERROR(IF(VLOOKUP($D57,'ACS Price List'!$A$12:$P$180,J$1,FALSE)=0,"",VLOOKUP($D57,'ACS Price List'!$A$12:$P$180,J$1,FALSE)),"")</f>
        <v>CFREDDBHI</v>
      </c>
      <c r="Q57" s="273"/>
      <c r="R57" s="274"/>
    </row>
    <row r="58" spans="1:18" s="104" customFormat="1" ht="24" x14ac:dyDescent="0.2">
      <c r="A58" s="252"/>
      <c r="B58" s="97" t="s">
        <v>643</v>
      </c>
      <c r="C58" s="97"/>
      <c r="D58" s="250" t="s">
        <v>80</v>
      </c>
      <c r="E58" s="521"/>
      <c r="F58" s="268" t="str">
        <f>VLOOKUP(B58,'ACS Price List'!$A$12:$P$180,2,FALSE)</f>
        <v xml:space="preserve">Visual examination during business hours for remote re-energisation - after de-energisation for debt - long rural/isolated feeders </v>
      </c>
      <c r="G58" s="273" t="str">
        <f>IF(VLOOKUP($B58,'ACS Price List'!$A$12:$P$180,I$1,FALSE)=0,"",VLOOKUP($B58,'ACS Price List'!$A$12:$P$180,I$1,FALSE))</f>
        <v>VEREDDBHL</v>
      </c>
      <c r="H58" s="273" t="str">
        <f>IF(VLOOKUP($B58,'ACS Price List'!$A$12:$P$180,J$1,FALSE)=0,"",VLOOKUP($B58,'ACS Price List'!$A$12:$P$180,J$1,FALSE))</f>
        <v>VEREDDBHI</v>
      </c>
      <c r="I58" s="273"/>
      <c r="J58" s="285"/>
      <c r="K58" s="271" t="str">
        <f>IFERROR(IF(VLOOKUP($C58,'ACS Price List'!$A$12:$P$180,I$1,FALSE)=0,"",VLOOKUP($C58,'ACS Price List'!$A$12:$P$180,I$1,FALSE)),"")</f>
        <v/>
      </c>
      <c r="L58" s="271" t="str">
        <f>IFERROR(IF(VLOOKUP($C58,'ACS Price List'!$A$12:$P$180,J$1,FALSE)=0,"",VLOOKUP($C58,'ACS Price List'!$A$12:$P$180,J$1,FALSE)),"")</f>
        <v/>
      </c>
      <c r="M58" s="273"/>
      <c r="N58" s="285"/>
      <c r="O58" s="273" t="str">
        <f>IFERROR(IF(VLOOKUP($D58,'ACS Price List'!$A$12:$P$180,I$1,FALSE)=0,"",VLOOKUP($D58,'ACS Price List'!$A$12:$P$180,I$1,FALSE)),"")</f>
        <v>CFREDDBHL</v>
      </c>
      <c r="P58" s="273" t="str">
        <f>IFERROR(IF(VLOOKUP($D58,'ACS Price List'!$A$12:$P$180,J$1,FALSE)=0,"",VLOOKUP($D58,'ACS Price List'!$A$12:$P$180,J$1,FALSE)),"")</f>
        <v>CFREDDBHI</v>
      </c>
      <c r="Q58" s="273"/>
      <c r="R58" s="274"/>
    </row>
    <row r="59" spans="1:18" x14ac:dyDescent="0.2">
      <c r="A59" s="252"/>
      <c r="B59" s="97">
        <v>18</v>
      </c>
      <c r="C59" s="97"/>
      <c r="D59" s="250"/>
      <c r="E59" s="521"/>
      <c r="F59" s="268" t="str">
        <f>VLOOKUP(B59,'ACS Price List'!$A$12:$P$180,2,FALSE)</f>
        <v>Accreditation of alternative service providers - real estate developments</v>
      </c>
      <c r="G59" s="273" t="str">
        <f>IF(VLOOKUP($B59,'ACS Price List'!$A$12:$P$180,G$1,FALSE)=0,"",VLOOKUP($B59,'ACS Price List'!$A$12:$P$180,G$1,FALSE))</f>
        <v>ASPRED</v>
      </c>
      <c r="H59" s="273" t="str">
        <f>IF(VLOOKUP($B59,'ACS Price List'!$A$12:$P$180,J$1,FALSE)=0,"",VLOOKUP($B59,'ACS Price List'!$A$12:$P$180,J$1,FALSE))</f>
        <v/>
      </c>
      <c r="I59" s="273"/>
      <c r="J59" s="285"/>
      <c r="K59" s="271" t="str">
        <f>IFERROR(IF(VLOOKUP($C59,'ACS Price List'!$A$12:$P$180,I$1,FALSE)=0,"",VLOOKUP($C59,'ACS Price List'!$A$12:$P$180,I$1,FALSE)),"")</f>
        <v/>
      </c>
      <c r="L59" s="271" t="str">
        <f>IFERROR(IF(VLOOKUP($C59,'ACS Price List'!$A$12:$P$180,J$1,FALSE)=0,"",VLOOKUP($C59,'ACS Price List'!$A$12:$P$180,J$1,FALSE)),"")</f>
        <v/>
      </c>
      <c r="M59" s="273"/>
      <c r="N59" s="285"/>
      <c r="O59" s="273" t="str">
        <f>IFERROR(IF(VLOOKUP($D59,'ACS Price List'!$A$12:$P$180,I$1,FALSE)=0,"",VLOOKUP($D59,'ACS Price List'!$A$12:$P$180,I$1,FALSE)),"")</f>
        <v/>
      </c>
      <c r="P59" s="273" t="str">
        <f>IFERROR(IF(VLOOKUP($D59,'ACS Price List'!$A$12:$P$180,J$1,FALSE)=0,"",VLOOKUP($D59,'ACS Price List'!$A$12:$P$180,J$1,FALSE)),"")</f>
        <v/>
      </c>
      <c r="Q59" s="273"/>
      <c r="R59" s="274"/>
    </row>
    <row r="60" spans="1:18" x14ac:dyDescent="0.2">
      <c r="A60" s="252"/>
      <c r="B60" s="97">
        <v>20</v>
      </c>
      <c r="C60" s="97"/>
      <c r="D60" s="250" t="s">
        <v>156</v>
      </c>
      <c r="E60" s="521"/>
      <c r="F60" s="275" t="str">
        <f>VLOOKUP(B60,'ACS Price List'!$A$12:$P$180,2,FALSE)</f>
        <v>Install replacement meter (Type 5 and 6) – Single phase – long rural/isolated feeder</v>
      </c>
      <c r="G60" s="271" t="str">
        <f>IF(VLOOKUP($B60,'ACS Price List'!$A$12:$P$180,I$1,FALSE)=0,"",VLOOKUP($B60,'ACS Price List'!$A$12:$P$180,I$1,FALSE))</f>
        <v>MSNGLL</v>
      </c>
      <c r="H60" s="271" t="str">
        <f>IF(VLOOKUP($B60,'ACS Price List'!$A$12:$P$180,J$1,FALSE)=0,"",VLOOKUP($B60,'ACS Price List'!$A$12:$P$180,J$1,FALSE))</f>
        <v>MSNGLI</v>
      </c>
      <c r="I60" s="271"/>
      <c r="J60" s="272"/>
      <c r="K60" s="271" t="str">
        <f>IFERROR(IF(VLOOKUP($C60,'ACS Price List'!$A$12:$P$180,I$1,FALSE)=0,"",VLOOKUP($C60,'ACS Price List'!$A$12:$P$180,I$1,FALSE)),"")</f>
        <v/>
      </c>
      <c r="L60" s="271" t="str">
        <f>IFERROR(IF(VLOOKUP($C60,'ACS Price List'!$A$12:$P$180,J$1,FALSE)=0,"",VLOOKUP($C60,'ACS Price List'!$A$12:$P$180,J$1,FALSE)),"")</f>
        <v/>
      </c>
      <c r="M60" s="271"/>
      <c r="N60" s="272"/>
      <c r="O60" s="273" t="str">
        <f>IFERROR(IF(VLOOKUP($D60,'ACS Price List'!$A$12:$P$180,I$1,FALSE)=0,"",VLOOKUP($D60,'ACS Price List'!$A$12:$P$180,I$1,FALSE)),"")</f>
        <v>CFMSNGLL</v>
      </c>
      <c r="P60" s="273" t="str">
        <f>IFERROR(IF(VLOOKUP($D60,'ACS Price List'!$A$12:$P$180,J$1,FALSE)=0,"",VLOOKUP($D60,'ACS Price List'!$A$12:$P$180,J$1,FALSE)),"")</f>
        <v>CFMSNGLI</v>
      </c>
      <c r="Q60" s="271"/>
      <c r="R60" s="276"/>
    </row>
    <row r="61" spans="1:18" x14ac:dyDescent="0.2">
      <c r="A61" s="252"/>
      <c r="B61" s="97">
        <v>22</v>
      </c>
      <c r="C61" s="97"/>
      <c r="D61" s="250" t="s">
        <v>158</v>
      </c>
      <c r="E61" s="521"/>
      <c r="F61" s="275" t="str">
        <f>VLOOKUP(B61,'ACS Price List'!$A$12:$P$180,2,FALSE)</f>
        <v>Install replacement meter (Type 5 and 6) –  Dual element – long rural/isolated feeder</v>
      </c>
      <c r="G61" s="271" t="str">
        <f>IF(VLOOKUP($B61,'ACS Price List'!$A$12:$P$180,I$1,FALSE)=0,"",VLOOKUP($B61,'ACS Price List'!$A$12:$P$180,I$1,FALSE))</f>
        <v>MDUALL</v>
      </c>
      <c r="H61" s="271" t="str">
        <f>IF(VLOOKUP($B61,'ACS Price List'!$A$12:$P$180,J$1,FALSE)=0,"",VLOOKUP($B61,'ACS Price List'!$A$12:$P$180,J$1,FALSE))</f>
        <v>MDUALI</v>
      </c>
      <c r="I61" s="271"/>
      <c r="J61" s="272"/>
      <c r="K61" s="271" t="str">
        <f>IFERROR(IF(VLOOKUP($C61,'ACS Price List'!$A$12:$P$180,I$1,FALSE)=0,"",VLOOKUP($C61,'ACS Price List'!$A$12:$P$180,I$1,FALSE)),"")</f>
        <v/>
      </c>
      <c r="L61" s="271" t="str">
        <f>IFERROR(IF(VLOOKUP($C61,'ACS Price List'!$A$12:$P$180,J$1,FALSE)=0,"",VLOOKUP($C61,'ACS Price List'!$A$12:$P$180,J$1,FALSE)),"")</f>
        <v/>
      </c>
      <c r="M61" s="271"/>
      <c r="N61" s="272"/>
      <c r="O61" s="273" t="str">
        <f>IFERROR(IF(VLOOKUP($D61,'ACS Price List'!$A$12:$P$180,I$1,FALSE)=0,"",VLOOKUP($D61,'ACS Price List'!$A$12:$P$180,I$1,FALSE)),"")</f>
        <v>CFMDUALL</v>
      </c>
      <c r="P61" s="273" t="str">
        <f>IFERROR(IF(VLOOKUP($D61,'ACS Price List'!$A$12:$P$180,J$1,FALSE)=0,"",VLOOKUP($D61,'ACS Price List'!$A$12:$P$180,J$1,FALSE)),"")</f>
        <v>CFMDUALI</v>
      </c>
      <c r="Q61" s="271"/>
      <c r="R61" s="276"/>
    </row>
    <row r="62" spans="1:18" s="101" customFormat="1" x14ac:dyDescent="0.2">
      <c r="A62" s="252"/>
      <c r="B62" s="97">
        <v>24</v>
      </c>
      <c r="C62" s="97"/>
      <c r="D62" s="250" t="s">
        <v>160</v>
      </c>
      <c r="E62" s="521"/>
      <c r="F62" s="286" t="str">
        <f>VLOOKUP(B62,'ACS Price List'!$A$12:$P$180,2,FALSE)</f>
        <v>Install replacement meter (Type 5 and 6) –  Polyphase – long rural/isolated feeder</v>
      </c>
      <c r="G62" s="287" t="str">
        <f>IF(VLOOKUP($B62,'ACS Price List'!$A$12:$P$180,I$1,FALSE)=0,"",VLOOKUP($B62,'ACS Price List'!$A$12:$P$180,I$1,FALSE))</f>
        <v>MTHREL</v>
      </c>
      <c r="H62" s="287" t="str">
        <f>IF(VLOOKUP($B62,'ACS Price List'!$A$12:$P$180,J$1,FALSE)=0,"",VLOOKUP($B62,'ACS Price List'!$A$12:$P$180,J$1,FALSE))</f>
        <v>MTHREI</v>
      </c>
      <c r="I62" s="287"/>
      <c r="J62" s="288"/>
      <c r="K62" s="271" t="str">
        <f>IFERROR(IF(VLOOKUP($C62,'ACS Price List'!$A$12:$P$180,I$1,FALSE)=0,"",VLOOKUP($C62,'ACS Price List'!$A$12:$P$180,I$1,FALSE)),"")</f>
        <v/>
      </c>
      <c r="L62" s="271" t="str">
        <f>IFERROR(IF(VLOOKUP($C62,'ACS Price List'!$A$12:$P$180,J$1,FALSE)=0,"",VLOOKUP($C62,'ACS Price List'!$A$12:$P$180,J$1,FALSE)),"")</f>
        <v/>
      </c>
      <c r="M62" s="287"/>
      <c r="N62" s="288"/>
      <c r="O62" s="273" t="str">
        <f>IFERROR(IF(VLOOKUP($D62,'ACS Price List'!$A$12:$P$180,I$1,FALSE)=0,"",VLOOKUP($D62,'ACS Price List'!$A$12:$P$180,I$1,FALSE)),"")</f>
        <v>CFMTHREL</v>
      </c>
      <c r="P62" s="273" t="str">
        <f>IFERROR(IF(VLOOKUP($D62,'ACS Price List'!$A$12:$P$180,J$1,FALSE)=0,"",VLOOKUP($D62,'ACS Price List'!$A$12:$P$180,J$1,FALSE)),"")</f>
        <v>CFMTHREI</v>
      </c>
      <c r="Q62" s="287"/>
      <c r="R62" s="289"/>
    </row>
    <row r="63" spans="1:18" s="101" customFormat="1" x14ac:dyDescent="0.2">
      <c r="A63" s="252"/>
      <c r="B63" s="97">
        <v>26</v>
      </c>
      <c r="C63" s="97"/>
      <c r="D63" s="250" t="s">
        <v>162</v>
      </c>
      <c r="E63" s="521"/>
      <c r="F63" s="286" t="str">
        <f>VLOOKUP(B63,'ACS Price List'!$A$12:$P$180,2,FALSE)</f>
        <v xml:space="preserve">Install replacement meter (CT) – long rural/isolated feeder </v>
      </c>
      <c r="G63" s="287" t="str">
        <f>IF(VLOOKUP($B63,'ACS Price List'!$A$12:$P$180,I$1,FALSE)=0,"",VLOOKUP($B63,'ACS Price List'!$A$12:$P$180,I$1,FALSE))</f>
        <v>MCTL</v>
      </c>
      <c r="H63" s="287" t="str">
        <f>IF(VLOOKUP($B63,'ACS Price List'!$A$12:$P$180,J$1,FALSE)=0,"",VLOOKUP($B63,'ACS Price List'!$A$12:$P$180,J$1,FALSE))</f>
        <v>MCTI</v>
      </c>
      <c r="I63" s="287"/>
      <c r="J63" s="288"/>
      <c r="K63" s="271" t="str">
        <f>IFERROR(IF(VLOOKUP($C63,'ACS Price List'!$A$12:$P$180,I$1,FALSE)=0,"",VLOOKUP($C63,'ACS Price List'!$A$12:$P$180,I$1,FALSE)),"")</f>
        <v/>
      </c>
      <c r="L63" s="271" t="str">
        <f>IFERROR(IF(VLOOKUP($C63,'ACS Price List'!$A$12:$P$180,J$1,FALSE)=0,"",VLOOKUP($C63,'ACS Price List'!$A$12:$P$180,J$1,FALSE)),"")</f>
        <v/>
      </c>
      <c r="M63" s="287"/>
      <c r="N63" s="288"/>
      <c r="O63" s="273" t="str">
        <f>IFERROR(IF(VLOOKUP($D63,'ACS Price List'!$A$12:$P$180,I$1,FALSE)=0,"",VLOOKUP($D63,'ACS Price List'!$A$12:$P$180,I$1,FALSE)),"")</f>
        <v>CFMCTL</v>
      </c>
      <c r="P63" s="273" t="str">
        <f>IFERROR(IF(VLOOKUP($D63,'ACS Price List'!$A$12:$P$180,J$1,FALSE)=0,"",VLOOKUP($D63,'ACS Price List'!$A$12:$P$180,J$1,FALSE)),"")</f>
        <v>CFMCTI</v>
      </c>
      <c r="Q63" s="287"/>
      <c r="R63" s="289"/>
    </row>
    <row r="64" spans="1:18" s="102" customFormat="1" x14ac:dyDescent="0.2">
      <c r="A64" s="252"/>
      <c r="B64" s="97">
        <v>140</v>
      </c>
      <c r="C64" s="97"/>
      <c r="D64" s="250" t="s">
        <v>183</v>
      </c>
      <c r="E64" s="521"/>
      <c r="F64" s="286" t="str">
        <f>VLOOKUP(B64,'ACS Price List'!$A$12:$P$180,2,FALSE)</f>
        <v xml:space="preserve">Install new meter (Type 5 and 6) –  Single phase – Primary </v>
      </c>
      <c r="G64" s="287" t="str">
        <f>IF(VLOOKUP($B64,'ACS Price List'!$A$12:$P$180,I$1,FALSE)=0,"",VLOOKUP($B64,'ACS Price List'!$A$12:$P$180,I$1,FALSE))</f>
        <v>NMSPL</v>
      </c>
      <c r="H64" s="287" t="str">
        <f>IF(VLOOKUP($B64,'ACS Price List'!$A$12:$P$180,J$1,FALSE)=0,"",VLOOKUP($B64,'ACS Price List'!$A$12:$P$180,J$1,FALSE))</f>
        <v>NMSPI</v>
      </c>
      <c r="I64" s="287"/>
      <c r="J64" s="288"/>
      <c r="K64" s="271" t="str">
        <f>IFERROR(IF(VLOOKUP($C64,'ACS Price List'!$A$12:$P$180,I$1,FALSE)=0,"",VLOOKUP($C64,'ACS Price List'!$A$12:$P$180,I$1,FALSE)),"")</f>
        <v/>
      </c>
      <c r="L64" s="271" t="str">
        <f>IFERROR(IF(VLOOKUP($C64,'ACS Price List'!$A$12:$P$180,J$1,FALSE)=0,"",VLOOKUP($C64,'ACS Price List'!$A$12:$P$180,J$1,FALSE)),"")</f>
        <v/>
      </c>
      <c r="M64" s="287"/>
      <c r="N64" s="288"/>
      <c r="O64" s="273" t="str">
        <f>IFERROR(IF(VLOOKUP($D64,'ACS Price List'!$A$12:$P$180,I$1,FALSE)=0,"",VLOOKUP($D64,'ACS Price List'!$A$12:$P$180,I$1,FALSE)),"")</f>
        <v>CFNMSPL</v>
      </c>
      <c r="P64" s="273" t="str">
        <f>IFERROR(IF(VLOOKUP($D64,'ACS Price List'!$A$12:$P$180,J$1,FALSE)=0,"",VLOOKUP($D64,'ACS Price List'!$A$12:$P$180,J$1,FALSE)),"")</f>
        <v>CFNMSPI</v>
      </c>
      <c r="Q64" s="287"/>
      <c r="R64" s="289"/>
    </row>
    <row r="65" spans="1:18" s="102" customFormat="1" x14ac:dyDescent="0.2">
      <c r="A65" s="252"/>
      <c r="B65" s="97">
        <v>141</v>
      </c>
      <c r="C65" s="97"/>
      <c r="D65" s="250" t="s">
        <v>183</v>
      </c>
      <c r="E65" s="521"/>
      <c r="F65" s="286" t="str">
        <f>VLOOKUP(B65,'ACS Price List'!$A$12:$P$180,2,FALSE)</f>
        <v>Install new meter (Type 5 and 6) – Single phase –  Primary plus embedded generation</v>
      </c>
      <c r="G65" s="287" t="str">
        <f>IF(VLOOKUP($B65,'ACS Price List'!$A$12:$P$180,I$1,FALSE)=0,"",VLOOKUP($B65,'ACS Price List'!$A$12:$P$180,I$1,FALSE))</f>
        <v>NMSPEGL</v>
      </c>
      <c r="H65" s="287" t="str">
        <f>IF(VLOOKUP($B65,'ACS Price List'!$A$12:$P$180,J$1,FALSE)=0,"",VLOOKUP($B65,'ACS Price List'!$A$12:$P$180,J$1,FALSE))</f>
        <v>NMSPEGI</v>
      </c>
      <c r="I65" s="287"/>
      <c r="J65" s="288"/>
      <c r="K65" s="271" t="str">
        <f>IFERROR(IF(VLOOKUP($C65,'ACS Price List'!$A$12:$P$180,I$1,FALSE)=0,"",VLOOKUP($C65,'ACS Price List'!$A$12:$P$180,I$1,FALSE)),"")</f>
        <v/>
      </c>
      <c r="L65" s="271" t="str">
        <f>IFERROR(IF(VLOOKUP($C65,'ACS Price List'!$A$12:$P$180,J$1,FALSE)=0,"",VLOOKUP($C65,'ACS Price List'!$A$12:$P$180,J$1,FALSE)),"")</f>
        <v/>
      </c>
      <c r="M65" s="287"/>
      <c r="N65" s="288"/>
      <c r="O65" s="273" t="str">
        <f>IFERROR(IF(VLOOKUP($D65,'ACS Price List'!$A$12:$P$180,I$1,FALSE)=0,"",VLOOKUP($D65,'ACS Price List'!$A$12:$P$180,I$1,FALSE)),"")</f>
        <v>CFNMSPL</v>
      </c>
      <c r="P65" s="273" t="str">
        <f>IFERROR(IF(VLOOKUP($D65,'ACS Price List'!$A$12:$P$180,J$1,FALSE)=0,"",VLOOKUP($D65,'ACS Price List'!$A$12:$P$180,J$1,FALSE)),"")</f>
        <v>CFNMSPI</v>
      </c>
      <c r="Q65" s="287"/>
      <c r="R65" s="289"/>
    </row>
    <row r="66" spans="1:18" s="102" customFormat="1" x14ac:dyDescent="0.2">
      <c r="A66" s="252"/>
      <c r="B66" s="97">
        <v>142</v>
      </c>
      <c r="C66" s="97"/>
      <c r="D66" s="250" t="s">
        <v>184</v>
      </c>
      <c r="E66" s="521"/>
      <c r="F66" s="286" t="str">
        <f>VLOOKUP(B66,'ACS Price List'!$A$12:$P$180,2,FALSE)</f>
        <v>Install new meter (Type 5 and 6) – Dual element – Primary plus controlled load</v>
      </c>
      <c r="G66" s="287" t="str">
        <f>IF(VLOOKUP($B66,'ACS Price List'!$A$12:$P$180,I$1,FALSE)=0,"",VLOOKUP($B66,'ACS Price List'!$A$12:$P$180,I$1,FALSE))</f>
        <v>NMDPCLL</v>
      </c>
      <c r="H66" s="287" t="str">
        <f>IF(VLOOKUP($B66,'ACS Price List'!$A$12:$P$180,J$1,FALSE)=0,"",VLOOKUP($B66,'ACS Price List'!$A$12:$P$180,J$1,FALSE))</f>
        <v>NMDPCLI</v>
      </c>
      <c r="I66" s="287"/>
      <c r="J66" s="288"/>
      <c r="K66" s="271" t="str">
        <f>IFERROR(IF(VLOOKUP($C66,'ACS Price List'!$A$12:$P$180,I$1,FALSE)=0,"",VLOOKUP($C66,'ACS Price List'!$A$12:$P$180,I$1,FALSE)),"")</f>
        <v/>
      </c>
      <c r="L66" s="271" t="str">
        <f>IFERROR(IF(VLOOKUP($C66,'ACS Price List'!$A$12:$P$180,J$1,FALSE)=0,"",VLOOKUP($C66,'ACS Price List'!$A$12:$P$180,J$1,FALSE)),"")</f>
        <v/>
      </c>
      <c r="M66" s="287"/>
      <c r="N66" s="288"/>
      <c r="O66" s="273" t="str">
        <f>IFERROR(IF(VLOOKUP($D66,'ACS Price List'!$A$12:$P$180,I$1,FALSE)=0,"",VLOOKUP($D66,'ACS Price List'!$A$12:$P$180,I$1,FALSE)),"")</f>
        <v>CFNMDUALL</v>
      </c>
      <c r="P66" s="273" t="str">
        <f>IFERROR(IF(VLOOKUP($D66,'ACS Price List'!$A$12:$P$180,J$1,FALSE)=0,"",VLOOKUP($D66,'ACS Price List'!$A$12:$P$180,J$1,FALSE)),"")</f>
        <v>CFNMDUALI</v>
      </c>
      <c r="Q66" s="287"/>
      <c r="R66" s="289"/>
    </row>
    <row r="67" spans="1:18" s="102" customFormat="1" ht="24" x14ac:dyDescent="0.2">
      <c r="A67" s="252"/>
      <c r="B67" s="97">
        <v>143</v>
      </c>
      <c r="C67" s="97"/>
      <c r="D67" s="250" t="s">
        <v>184</v>
      </c>
      <c r="E67" s="521"/>
      <c r="F67" s="286" t="str">
        <f>VLOOKUP(B67,'ACS Price List'!$A$12:$P$180,2,FALSE)</f>
        <v>Install new meter (Type 5 and 6) – Dual element – Primary plus controlled load plus embedded generation</v>
      </c>
      <c r="G67" s="287" t="str">
        <f>IF(VLOOKUP($B67,'ACS Price List'!$A$12:$P$180,I$1,FALSE)=0,"",VLOOKUP($B67,'ACS Price List'!$A$12:$P$180,I$1,FALSE))</f>
        <v>NMDPCLEGL</v>
      </c>
      <c r="H67" s="287" t="str">
        <f>IF(VLOOKUP($B67,'ACS Price List'!$A$12:$P$180,J$1,FALSE)=0,"",VLOOKUP($B67,'ACS Price List'!$A$12:$P$180,J$1,FALSE))</f>
        <v>NMDPCLEGI</v>
      </c>
      <c r="I67" s="287"/>
      <c r="J67" s="288"/>
      <c r="K67" s="271" t="str">
        <f>IFERROR(IF(VLOOKUP($C67,'ACS Price List'!$A$12:$P$180,I$1,FALSE)=0,"",VLOOKUP($C67,'ACS Price List'!$A$12:$P$180,I$1,FALSE)),"")</f>
        <v/>
      </c>
      <c r="L67" s="271" t="str">
        <f>IFERROR(IF(VLOOKUP($C67,'ACS Price List'!$A$12:$P$180,J$1,FALSE)=0,"",VLOOKUP($C67,'ACS Price List'!$A$12:$P$180,J$1,FALSE)),"")</f>
        <v/>
      </c>
      <c r="M67" s="287"/>
      <c r="N67" s="288"/>
      <c r="O67" s="273" t="str">
        <f>IFERROR(IF(VLOOKUP($D67,'ACS Price List'!$A$12:$P$180,I$1,FALSE)=0,"",VLOOKUP($D67,'ACS Price List'!$A$12:$P$180,I$1,FALSE)),"")</f>
        <v>CFNMDUALL</v>
      </c>
      <c r="P67" s="273" t="str">
        <f>IFERROR(IF(VLOOKUP($D67,'ACS Price List'!$A$12:$P$180,J$1,FALSE)=0,"",VLOOKUP($D67,'ACS Price List'!$A$12:$P$180,J$1,FALSE)),"")</f>
        <v>CFNMDUALI</v>
      </c>
      <c r="Q67" s="287"/>
      <c r="R67" s="289"/>
    </row>
    <row r="68" spans="1:18" s="102" customFormat="1" x14ac:dyDescent="0.2">
      <c r="A68" s="252"/>
      <c r="B68" s="97">
        <v>144</v>
      </c>
      <c r="C68" s="97"/>
      <c r="D68" s="250" t="s">
        <v>185</v>
      </c>
      <c r="E68" s="521"/>
      <c r="F68" s="286" t="str">
        <f>VLOOKUP(B68,'ACS Price List'!$A$12:$P$180,2,FALSE)</f>
        <v>Install new meter (Type 5 and 6) – Polyphase – Primary</v>
      </c>
      <c r="G68" s="287" t="str">
        <f>IF(VLOOKUP($B68,'ACS Price List'!$A$12:$P$180,I$1,FALSE)=0,"",VLOOKUP($B68,'ACS Price List'!$A$12:$P$180,I$1,FALSE))</f>
        <v>NMPPL</v>
      </c>
      <c r="H68" s="287" t="str">
        <f>IF(VLOOKUP($B68,'ACS Price List'!$A$12:$P$180,J$1,FALSE)=0,"",VLOOKUP($B68,'ACS Price List'!$A$12:$P$180,J$1,FALSE))</f>
        <v>NMPPI</v>
      </c>
      <c r="I68" s="287"/>
      <c r="J68" s="288"/>
      <c r="K68" s="271" t="str">
        <f>IFERROR(IF(VLOOKUP($C68,'ACS Price List'!$A$12:$P$180,I$1,FALSE)=0,"",VLOOKUP($C68,'ACS Price List'!$A$12:$P$180,I$1,FALSE)),"")</f>
        <v/>
      </c>
      <c r="L68" s="271" t="str">
        <f>IFERROR(IF(VLOOKUP($C68,'ACS Price List'!$A$12:$P$180,J$1,FALSE)=0,"",VLOOKUP($C68,'ACS Price List'!$A$12:$P$180,J$1,FALSE)),"")</f>
        <v/>
      </c>
      <c r="M68" s="287"/>
      <c r="N68" s="288"/>
      <c r="O68" s="273" t="str">
        <f>IFERROR(IF(VLOOKUP($D68,'ACS Price List'!$A$12:$P$180,I$1,FALSE)=0,"",VLOOKUP($D68,'ACS Price List'!$A$12:$P$180,I$1,FALSE)),"")</f>
        <v>CFNMTHREL</v>
      </c>
      <c r="P68" s="273" t="str">
        <f>IFERROR(IF(VLOOKUP($D68,'ACS Price List'!$A$12:$P$180,J$1,FALSE)=0,"",VLOOKUP($D68,'ACS Price List'!$A$12:$P$180,J$1,FALSE)),"")</f>
        <v>CFNMTHREI</v>
      </c>
      <c r="Q68" s="287"/>
      <c r="R68" s="289"/>
    </row>
    <row r="69" spans="1:18" s="102" customFormat="1" x14ac:dyDescent="0.2">
      <c r="A69" s="252"/>
      <c r="B69" s="97">
        <v>145</v>
      </c>
      <c r="C69" s="97"/>
      <c r="D69" s="250" t="s">
        <v>185</v>
      </c>
      <c r="E69" s="521"/>
      <c r="F69" s="286" t="str">
        <f>VLOOKUP(B69,'ACS Price List'!$A$12:$P$180,2,FALSE)</f>
        <v>Install new meter (Type 5 and 6) – Polyphase – Primary plus embedded generation</v>
      </c>
      <c r="G69" s="287" t="str">
        <f>IF(VLOOKUP($B69,'ACS Price List'!$A$12:$P$180,I$1,FALSE)=0,"",VLOOKUP($B69,'ACS Price List'!$A$12:$P$180,I$1,FALSE))</f>
        <v>NMPPEGL</v>
      </c>
      <c r="H69" s="287" t="str">
        <f>IF(VLOOKUP($B69,'ACS Price List'!$A$12:$P$180,J$1,FALSE)=0,"",VLOOKUP($B69,'ACS Price List'!$A$12:$P$180,J$1,FALSE))</f>
        <v>NMPPEGI</v>
      </c>
      <c r="I69" s="287"/>
      <c r="J69" s="288"/>
      <c r="K69" s="271" t="str">
        <f>IFERROR(IF(VLOOKUP($C69,'ACS Price List'!$A$12:$P$180,I$1,FALSE)=0,"",VLOOKUP($C69,'ACS Price List'!$A$12:$P$180,I$1,FALSE)),"")</f>
        <v/>
      </c>
      <c r="L69" s="271" t="str">
        <f>IFERROR(IF(VLOOKUP($C69,'ACS Price List'!$A$12:$P$180,J$1,FALSE)=0,"",VLOOKUP($C69,'ACS Price List'!$A$12:$P$180,J$1,FALSE)),"")</f>
        <v/>
      </c>
      <c r="M69" s="287"/>
      <c r="N69" s="288"/>
      <c r="O69" s="273" t="str">
        <f>IFERROR(IF(VLOOKUP($D69,'ACS Price List'!$A$12:$P$180,I$1,FALSE)=0,"",VLOOKUP($D69,'ACS Price List'!$A$12:$P$180,I$1,FALSE)),"")</f>
        <v>CFNMTHREL</v>
      </c>
      <c r="P69" s="273" t="str">
        <f>IFERROR(IF(VLOOKUP($D69,'ACS Price List'!$A$12:$P$180,J$1,FALSE)=0,"",VLOOKUP($D69,'ACS Price List'!$A$12:$P$180,J$1,FALSE)),"")</f>
        <v>CFNMTHREI</v>
      </c>
      <c r="Q69" s="287"/>
      <c r="R69" s="289"/>
    </row>
    <row r="70" spans="1:18" s="102" customFormat="1" x14ac:dyDescent="0.2">
      <c r="A70" s="252"/>
      <c r="B70" s="97">
        <v>146</v>
      </c>
      <c r="C70" s="97"/>
      <c r="D70" s="250" t="s">
        <v>186</v>
      </c>
      <c r="E70" s="521"/>
      <c r="F70" s="286" t="str">
        <f>VLOOKUP(B70,'ACS Price List'!$A$12:$P$180,2,FALSE)</f>
        <v>Install new meter (CT) – Primary</v>
      </c>
      <c r="G70" s="287" t="str">
        <f>IF(VLOOKUP($B70,'ACS Price List'!$A$12:$P$180,I$1,FALSE)=0,"",VLOOKUP($B70,'ACS Price List'!$A$12:$P$180,I$1,FALSE))</f>
        <v>NMCTPL</v>
      </c>
      <c r="H70" s="287" t="str">
        <f>IF(VLOOKUP($B70,'ACS Price List'!$A$12:$P$180,J$1,FALSE)=0,"",VLOOKUP($B70,'ACS Price List'!$A$12:$P$180,J$1,FALSE))</f>
        <v>NMCTPI</v>
      </c>
      <c r="I70" s="287"/>
      <c r="J70" s="288"/>
      <c r="K70" s="271" t="str">
        <f>IFERROR(IF(VLOOKUP($C70,'ACS Price List'!$A$12:$P$180,I$1,FALSE)=0,"",VLOOKUP($C70,'ACS Price List'!$A$12:$P$180,I$1,FALSE)),"")</f>
        <v/>
      </c>
      <c r="L70" s="271" t="str">
        <f>IFERROR(IF(VLOOKUP($C70,'ACS Price List'!$A$12:$P$180,J$1,FALSE)=0,"",VLOOKUP($C70,'ACS Price List'!$A$12:$P$180,J$1,FALSE)),"")</f>
        <v/>
      </c>
      <c r="M70" s="287"/>
      <c r="N70" s="288"/>
      <c r="O70" s="273" t="str">
        <f>IFERROR(IF(VLOOKUP($D70,'ACS Price List'!$A$12:$P$180,I$1,FALSE)=0,"",VLOOKUP($D70,'ACS Price List'!$A$12:$P$180,I$1,FALSE)),"")</f>
        <v>CFNMCTL</v>
      </c>
      <c r="P70" s="273" t="str">
        <f>IFERROR(IF(VLOOKUP($D70,'ACS Price List'!$A$12:$P$180,J$1,FALSE)=0,"",VLOOKUP($D70,'ACS Price List'!$A$12:$P$180,J$1,FALSE)),"")</f>
        <v>CFNMCTI</v>
      </c>
      <c r="Q70" s="287"/>
      <c r="R70" s="289"/>
    </row>
    <row r="71" spans="1:18" s="102" customFormat="1" x14ac:dyDescent="0.2">
      <c r="A71" s="252"/>
      <c r="B71" s="97">
        <v>147</v>
      </c>
      <c r="C71" s="97"/>
      <c r="D71" s="250" t="s">
        <v>186</v>
      </c>
      <c r="E71" s="521"/>
      <c r="F71" s="286" t="str">
        <f>VLOOKUP(B71,'ACS Price List'!$A$12:$P$180,2,FALSE)</f>
        <v>Install new meter (CT) – Primary plus embedded generation</v>
      </c>
      <c r="G71" s="287" t="str">
        <f>IF(VLOOKUP($B71,'ACS Price List'!$A$12:$P$180,I$1,FALSE)=0,"",VLOOKUP($B71,'ACS Price List'!$A$12:$P$180,I$1,FALSE))</f>
        <v>NMCTPEGL</v>
      </c>
      <c r="H71" s="287" t="str">
        <f>IF(VLOOKUP($B71,'ACS Price List'!$A$12:$P$180,J$1,FALSE)=0,"",VLOOKUP($B71,'ACS Price List'!$A$12:$P$180,J$1,FALSE))</f>
        <v>NMCTPEGI</v>
      </c>
      <c r="I71" s="287"/>
      <c r="J71" s="288"/>
      <c r="K71" s="271" t="str">
        <f>IFERROR(IF(VLOOKUP($C71,'ACS Price List'!$A$12:$P$180,I$1,FALSE)=0,"",VLOOKUP($C71,'ACS Price List'!$A$12:$P$180,I$1,FALSE)),"")</f>
        <v/>
      </c>
      <c r="L71" s="271" t="str">
        <f>IFERROR(IF(VLOOKUP($C71,'ACS Price List'!$A$12:$P$180,J$1,FALSE)=0,"",VLOOKUP($C71,'ACS Price List'!$A$12:$P$180,J$1,FALSE)),"")</f>
        <v/>
      </c>
      <c r="M71" s="287"/>
      <c r="N71" s="288"/>
      <c r="O71" s="273" t="str">
        <f>IFERROR(IF(VLOOKUP($D71,'ACS Price List'!$A$12:$P$180,I$1,FALSE)=0,"",VLOOKUP($D71,'ACS Price List'!$A$12:$P$180,I$1,FALSE)),"")</f>
        <v>CFNMCTL</v>
      </c>
      <c r="P71" s="273" t="str">
        <f>IFERROR(IF(VLOOKUP($D71,'ACS Price List'!$A$12:$P$180,J$1,FALSE)=0,"",VLOOKUP($D71,'ACS Price List'!$A$12:$P$180,J$1,FALSE)),"")</f>
        <v>CFNMCTI</v>
      </c>
      <c r="Q71" s="287"/>
      <c r="R71" s="289"/>
    </row>
    <row r="72" spans="1:18" s="102" customFormat="1" x14ac:dyDescent="0.2">
      <c r="A72" s="252"/>
      <c r="B72" s="97">
        <v>148</v>
      </c>
      <c r="C72" s="97"/>
      <c r="D72" s="250" t="s">
        <v>183</v>
      </c>
      <c r="E72" s="521"/>
      <c r="F72" s="286" t="str">
        <f>VLOOKUP(B72,'ACS Price List'!$A$12:$P$180,2,FALSE)</f>
        <v xml:space="preserve">Install additional single phase meter for controlled load purposes </v>
      </c>
      <c r="G72" s="287" t="str">
        <f>IF(VLOOKUP($B72,'ACS Price List'!$A$12:$P$180,I$1,FALSE)=0,"",VLOOKUP($B72,'ACS Price List'!$A$12:$P$180,I$1,FALSE))</f>
        <v>ADSPCLL</v>
      </c>
      <c r="H72" s="287" t="str">
        <f>IF(VLOOKUP($B72,'ACS Price List'!$A$12:$P$180,J$1,FALSE)=0,"",VLOOKUP($B72,'ACS Price List'!$A$12:$P$180,J$1,FALSE))</f>
        <v>ADSPCLI</v>
      </c>
      <c r="I72" s="287"/>
      <c r="J72" s="288"/>
      <c r="K72" s="271" t="str">
        <f>IFERROR(IF(VLOOKUP($C72,'ACS Price List'!$A$12:$P$180,I$1,FALSE)=0,"",VLOOKUP($C72,'ACS Price List'!$A$12:$P$180,I$1,FALSE)),"")</f>
        <v/>
      </c>
      <c r="L72" s="271" t="str">
        <f>IFERROR(IF(VLOOKUP($C72,'ACS Price List'!$A$12:$P$180,J$1,FALSE)=0,"",VLOOKUP($C72,'ACS Price List'!$A$12:$P$180,J$1,FALSE)),"")</f>
        <v/>
      </c>
      <c r="M72" s="287"/>
      <c r="N72" s="288"/>
      <c r="O72" s="273" t="str">
        <f>IFERROR(IF(VLOOKUP($D72,'ACS Price List'!$A$12:$P$180,I$1,FALSE)=0,"",VLOOKUP($D72,'ACS Price List'!$A$12:$P$180,I$1,FALSE)),"")</f>
        <v>CFNMSPL</v>
      </c>
      <c r="P72" s="273" t="str">
        <f>IFERROR(IF(VLOOKUP($D72,'ACS Price List'!$A$12:$P$180,J$1,FALSE)=0,"",VLOOKUP($D72,'ACS Price List'!$A$12:$P$180,J$1,FALSE)),"")</f>
        <v>CFNMSPI</v>
      </c>
      <c r="Q72" s="287"/>
      <c r="R72" s="289"/>
    </row>
    <row r="73" spans="1:18" s="102" customFormat="1" x14ac:dyDescent="0.2">
      <c r="A73" s="252"/>
      <c r="B73" s="97">
        <v>149</v>
      </c>
      <c r="C73" s="97"/>
      <c r="D73" s="250" t="s">
        <v>185</v>
      </c>
      <c r="E73" s="521"/>
      <c r="F73" s="286" t="str">
        <f>VLOOKUP(B73,'ACS Price List'!$A$12:$P$180,2,FALSE)</f>
        <v xml:space="preserve">Install additional polyphase meter for controlled load purposes </v>
      </c>
      <c r="G73" s="287" t="str">
        <f>IF(VLOOKUP($B73,'ACS Price List'!$A$12:$P$180,I$1,FALSE)=0,"",VLOOKUP($B73,'ACS Price List'!$A$12:$P$180,I$1,FALSE))</f>
        <v>ADPPCLL</v>
      </c>
      <c r="H73" s="287" t="str">
        <f>IF(VLOOKUP($B73,'ACS Price List'!$A$12:$P$180,J$1,FALSE)=0,"",VLOOKUP($B73,'ACS Price List'!$A$12:$P$180,J$1,FALSE))</f>
        <v>ADPPCLI</v>
      </c>
      <c r="I73" s="287"/>
      <c r="J73" s="288"/>
      <c r="K73" s="271" t="str">
        <f>IFERROR(IF(VLOOKUP($C73,'ACS Price List'!$A$12:$P$180,I$1,FALSE)=0,"",VLOOKUP($C73,'ACS Price List'!$A$12:$P$180,I$1,FALSE)),"")</f>
        <v/>
      </c>
      <c r="L73" s="271" t="str">
        <f>IFERROR(IF(VLOOKUP($C73,'ACS Price List'!$A$12:$P$180,J$1,FALSE)=0,"",VLOOKUP($C73,'ACS Price List'!$A$12:$P$180,J$1,FALSE)),"")</f>
        <v/>
      </c>
      <c r="M73" s="287"/>
      <c r="N73" s="288"/>
      <c r="O73" s="273" t="str">
        <f>IFERROR(IF(VLOOKUP($D73,'ACS Price List'!$A$12:$P$180,I$1,FALSE)=0,"",VLOOKUP($D73,'ACS Price List'!$A$12:$P$180,I$1,FALSE)),"")</f>
        <v>CFNMTHREL</v>
      </c>
      <c r="P73" s="273" t="str">
        <f>IFERROR(IF(VLOOKUP($D73,'ACS Price List'!$A$12:$P$180,J$1,FALSE)=0,"",VLOOKUP($D73,'ACS Price List'!$A$12:$P$180,J$1,FALSE)),"")</f>
        <v>CFNMTHREI</v>
      </c>
      <c r="Q73" s="287"/>
      <c r="R73" s="289"/>
    </row>
    <row r="74" spans="1:18" s="102" customFormat="1" x14ac:dyDescent="0.2">
      <c r="A74" s="252"/>
      <c r="B74" s="97">
        <v>150</v>
      </c>
      <c r="C74" s="97"/>
      <c r="D74" s="250" t="s">
        <v>186</v>
      </c>
      <c r="E74" s="521"/>
      <c r="F74" s="286" t="str">
        <f>VLOOKUP(B74,'ACS Price List'!$A$12:$P$180,2,FALSE)</f>
        <v xml:space="preserve">Install additional meter (CT) for controlled load purposes </v>
      </c>
      <c r="G74" s="287" t="str">
        <f>IF(VLOOKUP($B74,'ACS Price List'!$A$12:$P$180,I$1,FALSE)=0,"",VLOOKUP($B74,'ACS Price List'!$A$12:$P$180,I$1,FALSE))</f>
        <v>ADCTCLL</v>
      </c>
      <c r="H74" s="287" t="str">
        <f>IF(VLOOKUP($B74,'ACS Price List'!$A$12:$P$180,J$1,FALSE)=0,"",VLOOKUP($B74,'ACS Price List'!$A$12:$P$180,J$1,FALSE))</f>
        <v>ADCTCLI</v>
      </c>
      <c r="I74" s="287"/>
      <c r="J74" s="288"/>
      <c r="K74" s="271" t="str">
        <f>IFERROR(IF(VLOOKUP($C74,'ACS Price List'!$A$12:$P$180,I$1,FALSE)=0,"",VLOOKUP($C74,'ACS Price List'!$A$12:$P$180,I$1,FALSE)),"")</f>
        <v/>
      </c>
      <c r="L74" s="271" t="str">
        <f>IFERROR(IF(VLOOKUP($C74,'ACS Price List'!$A$12:$P$180,J$1,FALSE)=0,"",VLOOKUP($C74,'ACS Price List'!$A$12:$P$180,J$1,FALSE)),"")</f>
        <v/>
      </c>
      <c r="M74" s="287"/>
      <c r="N74" s="288"/>
      <c r="O74" s="273" t="str">
        <f>IFERROR(IF(VLOOKUP($D74,'ACS Price List'!$A$12:$P$180,I$1,FALSE)=0,"",VLOOKUP($D74,'ACS Price List'!$A$12:$P$180,I$1,FALSE)),"")</f>
        <v>CFNMCTL</v>
      </c>
      <c r="P74" s="273" t="str">
        <f>IFERROR(IF(VLOOKUP($D74,'ACS Price List'!$A$12:$P$180,J$1,FALSE)=0,"",VLOOKUP($D74,'ACS Price List'!$A$12:$P$180,J$1,FALSE)),"")</f>
        <v>CFNMCTI</v>
      </c>
      <c r="Q74" s="287"/>
      <c r="R74" s="289"/>
    </row>
    <row r="75" spans="1:18" s="102" customFormat="1" ht="24" x14ac:dyDescent="0.2">
      <c r="A75" s="252"/>
      <c r="B75" s="97">
        <v>151</v>
      </c>
      <c r="C75" s="97"/>
      <c r="D75" s="250" t="s">
        <v>183</v>
      </c>
      <c r="E75" s="521"/>
      <c r="F75" s="286" t="str">
        <f>VLOOKUP(B75,'ACS Price List'!$A$12:$P$180,2,FALSE)</f>
        <v xml:space="preserve">Install additional single phase meter to accommodate additional tariffs other than controlled load </v>
      </c>
      <c r="G75" s="287" t="str">
        <f>IF(VLOOKUP($B75,'ACS Price List'!$A$12:$P$180,I$1,FALSE)=0,"",VLOOKUP($B75,'ACS Price List'!$A$12:$P$180,I$1,FALSE))</f>
        <v>ADSPATL</v>
      </c>
      <c r="H75" s="287" t="str">
        <f>IF(VLOOKUP($B75,'ACS Price List'!$A$12:$P$180,J$1,FALSE)=0,"",VLOOKUP($B75,'ACS Price List'!$A$12:$P$180,J$1,FALSE))</f>
        <v>ADSPATI</v>
      </c>
      <c r="I75" s="287"/>
      <c r="J75" s="288"/>
      <c r="K75" s="271" t="str">
        <f>IFERROR(IF(VLOOKUP($C75,'ACS Price List'!$A$12:$P$180,I$1,FALSE)=0,"",VLOOKUP($C75,'ACS Price List'!$A$12:$P$180,I$1,FALSE)),"")</f>
        <v/>
      </c>
      <c r="L75" s="271" t="str">
        <f>IFERROR(IF(VLOOKUP($C75,'ACS Price List'!$A$12:$P$180,J$1,FALSE)=0,"",VLOOKUP($C75,'ACS Price List'!$A$12:$P$180,J$1,FALSE)),"")</f>
        <v/>
      </c>
      <c r="M75" s="287"/>
      <c r="N75" s="288"/>
      <c r="O75" s="273" t="str">
        <f>IFERROR(IF(VLOOKUP($D75,'ACS Price List'!$A$12:$P$180,I$1,FALSE)=0,"",VLOOKUP($D75,'ACS Price List'!$A$12:$P$180,I$1,FALSE)),"")</f>
        <v>CFNMSPL</v>
      </c>
      <c r="P75" s="273" t="str">
        <f>IFERROR(IF(VLOOKUP($D75,'ACS Price List'!$A$12:$P$180,J$1,FALSE)=0,"",VLOOKUP($D75,'ACS Price List'!$A$12:$P$180,J$1,FALSE)),"")</f>
        <v>CFNMSPI</v>
      </c>
      <c r="Q75" s="287"/>
      <c r="R75" s="289"/>
    </row>
    <row r="76" spans="1:18" s="102" customFormat="1" ht="24" x14ac:dyDescent="0.2">
      <c r="A76" s="252"/>
      <c r="B76" s="97">
        <v>152</v>
      </c>
      <c r="C76" s="97"/>
      <c r="D76" s="250" t="s">
        <v>185</v>
      </c>
      <c r="E76" s="521"/>
      <c r="F76" s="286" t="str">
        <f>VLOOKUP(B76,'ACS Price List'!$A$12:$P$180,2,FALSE)</f>
        <v xml:space="preserve">Install additional polyphase meter to accommodate additional tariffs other than controlled load </v>
      </c>
      <c r="G76" s="287" t="str">
        <f>IF(VLOOKUP($B76,'ACS Price List'!$A$12:$P$180,I$1,FALSE)=0,"",VLOOKUP($B76,'ACS Price List'!$A$12:$P$180,I$1,FALSE))</f>
        <v>ADPPATL</v>
      </c>
      <c r="H76" s="287" t="str">
        <f>IF(VLOOKUP($B76,'ACS Price List'!$A$12:$P$180,J$1,FALSE)=0,"",VLOOKUP($B76,'ACS Price List'!$A$12:$P$180,J$1,FALSE))</f>
        <v>ADPPATI</v>
      </c>
      <c r="I76" s="287"/>
      <c r="J76" s="288"/>
      <c r="K76" s="271" t="str">
        <f>IFERROR(IF(VLOOKUP($C76,'ACS Price List'!$A$12:$P$180,I$1,FALSE)=0,"",VLOOKUP($C76,'ACS Price List'!$A$12:$P$180,I$1,FALSE)),"")</f>
        <v/>
      </c>
      <c r="L76" s="271" t="str">
        <f>IFERROR(IF(VLOOKUP($C76,'ACS Price List'!$A$12:$P$180,J$1,FALSE)=0,"",VLOOKUP($C76,'ACS Price List'!$A$12:$P$180,J$1,FALSE)),"")</f>
        <v/>
      </c>
      <c r="M76" s="287"/>
      <c r="N76" s="288"/>
      <c r="O76" s="273" t="str">
        <f>IFERROR(IF(VLOOKUP($D76,'ACS Price List'!$A$12:$P$180,I$1,FALSE)=0,"",VLOOKUP($D76,'ACS Price List'!$A$12:$P$180,I$1,FALSE)),"")</f>
        <v>CFNMTHREL</v>
      </c>
      <c r="P76" s="273" t="str">
        <f>IFERROR(IF(VLOOKUP($D76,'ACS Price List'!$A$12:$P$180,J$1,FALSE)=0,"",VLOOKUP($D76,'ACS Price List'!$A$12:$P$180,J$1,FALSE)),"")</f>
        <v>CFNMTHREI</v>
      </c>
      <c r="Q76" s="287"/>
      <c r="R76" s="289"/>
    </row>
    <row r="77" spans="1:18" s="102" customFormat="1" x14ac:dyDescent="0.2">
      <c r="A77" s="252"/>
      <c r="B77" s="97">
        <v>153</v>
      </c>
      <c r="C77" s="97"/>
      <c r="D77" s="250" t="s">
        <v>186</v>
      </c>
      <c r="E77" s="521"/>
      <c r="F77" s="286" t="str">
        <f>VLOOKUP(B77,'ACS Price List'!$A$12:$P$180,2,FALSE)</f>
        <v xml:space="preserve">Install additional meter (CT) to accommodate additional tariffs other than controlled load </v>
      </c>
      <c r="G77" s="287" t="str">
        <f>IF(VLOOKUP($B77,'ACS Price List'!$A$12:$P$180,I$1,FALSE)=0,"",VLOOKUP($B77,'ACS Price List'!$A$12:$P$180,I$1,FALSE))</f>
        <v>ADCTATL</v>
      </c>
      <c r="H77" s="287" t="str">
        <f>IF(VLOOKUP($B77,'ACS Price List'!$A$12:$P$180,J$1,FALSE)=0,"",VLOOKUP($B77,'ACS Price List'!$A$12:$P$180,J$1,FALSE))</f>
        <v>ADCTATI</v>
      </c>
      <c r="I77" s="287"/>
      <c r="J77" s="288"/>
      <c r="K77" s="271" t="str">
        <f>IFERROR(IF(VLOOKUP($C77,'ACS Price List'!$A$12:$P$180,I$1,FALSE)=0,"",VLOOKUP($C77,'ACS Price List'!$A$12:$P$180,I$1,FALSE)),"")</f>
        <v/>
      </c>
      <c r="L77" s="271" t="str">
        <f>IFERROR(IF(VLOOKUP($C77,'ACS Price List'!$A$12:$P$180,J$1,FALSE)=0,"",VLOOKUP($C77,'ACS Price List'!$A$12:$P$180,J$1,FALSE)),"")</f>
        <v/>
      </c>
      <c r="M77" s="287"/>
      <c r="N77" s="288"/>
      <c r="O77" s="273" t="str">
        <f>IFERROR(IF(VLOOKUP($D77,'ACS Price List'!$A$12:$P$180,I$1,FALSE)=0,"",VLOOKUP($D77,'ACS Price List'!$A$12:$P$180,I$1,FALSE)),"")</f>
        <v>CFNMCTL</v>
      </c>
      <c r="P77" s="273" t="str">
        <f>IFERROR(IF(VLOOKUP($D77,'ACS Price List'!$A$12:$P$180,J$1,FALSE)=0,"",VLOOKUP($D77,'ACS Price List'!$A$12:$P$180,J$1,FALSE)),"")</f>
        <v>CFNMCTI</v>
      </c>
      <c r="Q77" s="287"/>
      <c r="R77" s="289"/>
    </row>
    <row r="78" spans="1:18" s="102" customFormat="1" x14ac:dyDescent="0.2">
      <c r="A78" s="252"/>
      <c r="B78" s="97">
        <v>154</v>
      </c>
      <c r="C78" s="97"/>
      <c r="D78" s="250" t="s">
        <v>183</v>
      </c>
      <c r="E78" s="521"/>
      <c r="F78" s="286" t="str">
        <f>VLOOKUP(B78,'ACS Price List'!$A$12:$P$180,2,FALSE)</f>
        <v xml:space="preserve">Install new single phase meter to accommodate embedded generation installation </v>
      </c>
      <c r="G78" s="287" t="str">
        <f>IF(VLOOKUP($B78,'ACS Price List'!$A$12:$P$180,I$1,FALSE)=0,"",VLOOKUP($B78,'ACS Price List'!$A$12:$P$180,I$1,FALSE))</f>
        <v>NSPAEGL</v>
      </c>
      <c r="H78" s="287" t="str">
        <f>IF(VLOOKUP($B78,'ACS Price List'!$A$12:$P$180,J$1,FALSE)=0,"",VLOOKUP($B78,'ACS Price List'!$A$12:$P$180,J$1,FALSE))</f>
        <v>NSPAEGI</v>
      </c>
      <c r="I78" s="287"/>
      <c r="J78" s="288"/>
      <c r="K78" s="271" t="str">
        <f>IFERROR(IF(VLOOKUP($C78,'ACS Price List'!$A$12:$P$180,I$1,FALSE)=0,"",VLOOKUP($C78,'ACS Price List'!$A$12:$P$180,I$1,FALSE)),"")</f>
        <v/>
      </c>
      <c r="L78" s="271" t="str">
        <f>IFERROR(IF(VLOOKUP($C78,'ACS Price List'!$A$12:$P$180,J$1,FALSE)=0,"",VLOOKUP($C78,'ACS Price List'!$A$12:$P$180,J$1,FALSE)),"")</f>
        <v/>
      </c>
      <c r="M78" s="287"/>
      <c r="N78" s="288"/>
      <c r="O78" s="273" t="str">
        <f>IFERROR(IF(VLOOKUP($D78,'ACS Price List'!$A$12:$P$180,I$1,FALSE)=0,"",VLOOKUP($D78,'ACS Price List'!$A$12:$P$180,I$1,FALSE)),"")</f>
        <v>CFNMSPL</v>
      </c>
      <c r="P78" s="273" t="str">
        <f>IFERROR(IF(VLOOKUP($D78,'ACS Price List'!$A$12:$P$180,J$1,FALSE)=0,"",VLOOKUP($D78,'ACS Price List'!$A$12:$P$180,J$1,FALSE)),"")</f>
        <v>CFNMSPI</v>
      </c>
      <c r="Q78" s="287"/>
      <c r="R78" s="289"/>
    </row>
    <row r="79" spans="1:18" s="101" customFormat="1" x14ac:dyDescent="0.2">
      <c r="A79" s="252"/>
      <c r="B79" s="97">
        <v>155</v>
      </c>
      <c r="C79" s="97"/>
      <c r="D79" s="250" t="s">
        <v>185</v>
      </c>
      <c r="E79" s="521"/>
      <c r="F79" s="286" t="str">
        <f>VLOOKUP(B79,'ACS Price List'!$A$12:$P$180,2,FALSE)</f>
        <v xml:space="preserve">Install new polyphase meter to accommodate embedded generation installation </v>
      </c>
      <c r="G79" s="287" t="str">
        <f>IF(VLOOKUP($B79,'ACS Price List'!$A$12:$P$180,I$1,FALSE)=0,"",VLOOKUP($B79,'ACS Price List'!$A$12:$P$180,I$1,FALSE))</f>
        <v>NPPAEGL</v>
      </c>
      <c r="H79" s="287" t="str">
        <f>IF(VLOOKUP($B79,'ACS Price List'!$A$12:$P$180,J$1,FALSE)=0,"",VLOOKUP($B79,'ACS Price List'!$A$12:$P$180,J$1,FALSE))</f>
        <v>NPPAEGI</v>
      </c>
      <c r="I79" s="287"/>
      <c r="J79" s="288"/>
      <c r="K79" s="271" t="str">
        <f>IFERROR(IF(VLOOKUP($C79,'ACS Price List'!$A$12:$P$180,I$1,FALSE)=0,"",VLOOKUP($C79,'ACS Price List'!$A$12:$P$180,I$1,FALSE)),"")</f>
        <v/>
      </c>
      <c r="L79" s="271" t="str">
        <f>IFERROR(IF(VLOOKUP($C79,'ACS Price List'!$A$12:$P$180,J$1,FALSE)=0,"",VLOOKUP($C79,'ACS Price List'!$A$12:$P$180,J$1,FALSE)),"")</f>
        <v/>
      </c>
      <c r="M79" s="287"/>
      <c r="N79" s="288"/>
      <c r="O79" s="273" t="str">
        <f>IFERROR(IF(VLOOKUP($D79,'ACS Price List'!$A$12:$P$180,I$1,FALSE)=0,"",VLOOKUP($D79,'ACS Price List'!$A$12:$P$180,I$1,FALSE)),"")</f>
        <v>CFNMTHREL</v>
      </c>
      <c r="P79" s="273" t="str">
        <f>IFERROR(IF(VLOOKUP($D79,'ACS Price List'!$A$12:$P$180,J$1,FALSE)=0,"",VLOOKUP($D79,'ACS Price List'!$A$12:$P$180,J$1,FALSE)),"")</f>
        <v>CFNMTHREI</v>
      </c>
      <c r="Q79" s="287"/>
      <c r="R79" s="289"/>
    </row>
    <row r="80" spans="1:18" s="101" customFormat="1" x14ac:dyDescent="0.2">
      <c r="A80" s="252"/>
      <c r="B80" s="97">
        <v>156</v>
      </c>
      <c r="C80" s="97"/>
      <c r="D80" s="250" t="s">
        <v>186</v>
      </c>
      <c r="E80" s="522"/>
      <c r="F80" s="277" t="str">
        <f>VLOOKUP(B80,'ACS Price List'!$A$12:$P$180,2,FALSE)</f>
        <v xml:space="preserve">Install new meter (CT) to accommodate embedded generation installation </v>
      </c>
      <c r="G80" s="287" t="str">
        <f>IF(VLOOKUP($B80,'ACS Price List'!$A$12:$P$180,I$1,FALSE)=0,"",VLOOKUP($B80,'ACS Price List'!$A$12:$P$180,I$1,FALSE))</f>
        <v>NCTAEGL</v>
      </c>
      <c r="H80" s="287" t="str">
        <f>IF(VLOOKUP($B80,'ACS Price List'!$A$12:$P$180,J$1,FALSE)=0,"",VLOOKUP($B80,'ACS Price List'!$A$12:$P$180,J$1,FALSE))</f>
        <v>NCTAEGI</v>
      </c>
      <c r="I80" s="287"/>
      <c r="J80" s="279"/>
      <c r="K80" s="280" t="str">
        <f>IFERROR(IF(VLOOKUP($C80,'ACS Price List'!$A$12:$P$180,I$1,FALSE)=0,"",VLOOKUP($C80,'ACS Price List'!$A$12:$P$180,I$1,FALSE)),"")</f>
        <v/>
      </c>
      <c r="L80" s="271" t="str">
        <f>IFERROR(IF(VLOOKUP($C80,'ACS Price List'!$A$12:$P$180,J$1,FALSE)=0,"",VLOOKUP($C80,'ACS Price List'!$A$12:$P$180,J$1,FALSE)),"")</f>
        <v/>
      </c>
      <c r="M80" s="287"/>
      <c r="N80" s="279"/>
      <c r="O80" s="273" t="str">
        <f>IFERROR(IF(VLOOKUP($D80,'ACS Price List'!$A$12:$P$180,I$1,FALSE)=0,"",VLOOKUP($D80,'ACS Price List'!$A$12:$P$180,I$1,FALSE)),"")</f>
        <v>CFNMCTL</v>
      </c>
      <c r="P80" s="273" t="str">
        <f>IFERROR(IF(VLOOKUP($D80,'ACS Price List'!$A$12:$P$180,J$1,FALSE)=0,"",VLOOKUP($D80,'ACS Price List'!$A$12:$P$180,J$1,FALSE)),"")</f>
        <v>CFNMCTI</v>
      </c>
      <c r="Q80" s="287"/>
      <c r="R80" s="289"/>
    </row>
    <row r="81" spans="1:21" x14ac:dyDescent="0.2">
      <c r="A81" s="252"/>
      <c r="B81" s="97">
        <v>40</v>
      </c>
      <c r="C81" s="97"/>
      <c r="D81" s="251"/>
      <c r="E81" s="523" t="s">
        <v>445</v>
      </c>
      <c r="F81" s="282" t="str">
        <f>VLOOKUP(B81,'ACS Price List'!$A$12:$P$180,2,FALSE)</f>
        <v xml:space="preserve">Application fee - Negotiated connection </v>
      </c>
      <c r="G81" s="283" t="str">
        <f>IF(VLOOKUP($B81,'ACS Price List'!$A$12:$P$180,G$1,FALSE)=0,"",VLOOKUP($B81,'ACS Price List'!$A$12:$P$180,G$1,FALSE))</f>
        <v>As Quoted</v>
      </c>
      <c r="H81" s="283" t="str">
        <f>IF(VLOOKUP($B81,'ACS Price List'!$A$12:$P$180,H$1,FALSE)=0,"",VLOOKUP($B81,'ACS Price List'!$A$12:$P$180,H$1,FALSE))</f>
        <v/>
      </c>
      <c r="I81" s="283" t="str">
        <f>IF(VLOOKUP($B81,'ACS Price List'!$A$12:$P$180,I$1,FALSE)=0,"",VLOOKUP($B81,'ACS Price List'!$A$12:$P$180,I$1,FALSE))</f>
        <v/>
      </c>
      <c r="J81" s="282" t="str">
        <f>IF(VLOOKUP($B81,'ACS Price List'!$A$12:$P$180,J$1,FALSE)=0,"",VLOOKUP($B81,'ACS Price List'!$A$12:$P$180,J$1,FALSE))</f>
        <v/>
      </c>
      <c r="K81" s="290" t="str">
        <f>IF(C81="163-M","GENM or applicable Metering Service product code**","")</f>
        <v/>
      </c>
      <c r="L81" s="283"/>
      <c r="M81" s="283"/>
      <c r="N81" s="282"/>
      <c r="O81" s="283" t="s">
        <v>447</v>
      </c>
      <c r="P81" s="291" t="s">
        <v>654</v>
      </c>
      <c r="Q81" s="283" t="str">
        <f>IFERROR(IF(VLOOKUP($D81,'ACS Price List'!$A$12:$P$180,I$1,FALSE)=0,"",VLOOKUP($D81,'ACS Price List'!$A$12:$P$180,I$1,FALSE)),"")</f>
        <v/>
      </c>
      <c r="R81" s="284" t="str">
        <f>IFERROR(IF(VLOOKUP($D81,'ACS Price List'!$A$12:$P$180,J$1,FALSE)=0,"",VLOOKUP($D81,'ACS Price List'!$A$12:$P$180,J$1,FALSE)),"")</f>
        <v/>
      </c>
      <c r="U81" s="91">
        <f>COUNTA(G81:G141,H97:J97,H100:J103,,H107:J109,H116:J120,H122:J130,H133:J135,O107:R109,O116:R117)</f>
        <v>157</v>
      </c>
    </row>
    <row r="82" spans="1:21" x14ac:dyDescent="0.2">
      <c r="A82" s="252"/>
      <c r="B82" s="97">
        <v>41</v>
      </c>
      <c r="C82" s="97"/>
      <c r="D82" s="251"/>
      <c r="E82" s="521"/>
      <c r="F82" s="272" t="str">
        <f>VLOOKUP(B82,'ACS Price List'!$A$12:$P$180,2,FALSE)</f>
        <v>Application fee - Negotiated connection - Micro-embedded generators</v>
      </c>
      <c r="G82" s="271" t="str">
        <f>IF(VLOOKUP($B82,'ACS Price List'!$A$12:$P$180,G$1,FALSE)=0,"",VLOOKUP($B82,'ACS Price List'!$A$12:$P$180,G$1,FALSE))</f>
        <v>As Quoted</v>
      </c>
      <c r="H82" s="271" t="str">
        <f>IF(VLOOKUP($B82,'ACS Price List'!$A$12:$P$180,H$1,FALSE)=0,"",VLOOKUP($B82,'ACS Price List'!$A$12:$P$180,H$1,FALSE))</f>
        <v/>
      </c>
      <c r="I82" s="271" t="str">
        <f>IF(VLOOKUP($B82,'ACS Price List'!$A$12:$P$180,I$1,FALSE)=0,"",VLOOKUP($B82,'ACS Price List'!$A$12:$P$180,I$1,FALSE))</f>
        <v/>
      </c>
      <c r="J82" s="272" t="str">
        <f>IF(VLOOKUP($B82,'ACS Price List'!$A$12:$P$180,J$1,FALSE)=0,"",VLOOKUP($B82,'ACS Price List'!$A$12:$P$180,J$1,FALSE))</f>
        <v/>
      </c>
      <c r="K82" s="292" t="str">
        <f t="shared" ref="K82:K141" si="0">IF(C82="163-M","GENM or applicable Metering Service product code**","")</f>
        <v/>
      </c>
      <c r="L82" s="271"/>
      <c r="M82" s="271"/>
      <c r="N82" s="272"/>
      <c r="O82" s="271" t="s">
        <v>447</v>
      </c>
      <c r="P82" s="271" t="s">
        <v>654</v>
      </c>
      <c r="Q82" s="271" t="str">
        <f>IFERROR(IF(VLOOKUP($D82,'ACS Price List'!$A$12:$P$180,I$1,FALSE)=0,"",VLOOKUP($D82,'ACS Price List'!$A$12:$P$180,I$1,FALSE)),"")</f>
        <v/>
      </c>
      <c r="R82" s="276" t="str">
        <f>IFERROR(IF(VLOOKUP($D82,'ACS Price List'!$A$12:$P$180,J$1,FALSE)=0,"",VLOOKUP($D82,'ACS Price List'!$A$12:$P$180,J$1,FALSE)),"")</f>
        <v/>
      </c>
    </row>
    <row r="83" spans="1:21" s="102" customFormat="1" x14ac:dyDescent="0.2">
      <c r="A83" s="252"/>
      <c r="B83" s="97">
        <v>42</v>
      </c>
      <c r="C83" s="97"/>
      <c r="D83" s="251"/>
      <c r="E83" s="521"/>
      <c r="F83" s="272" t="str">
        <f>VLOOKUP(B83,'ACS Price List'!$A$12:$P$180,2,FALSE)</f>
        <v>Application fee - Negotiated - Major customer connection</v>
      </c>
      <c r="G83" s="271" t="str">
        <f>IF(VLOOKUP($B83,'ACS Price List'!$A$12:$P$180,G$1,FALSE)=0,"",VLOOKUP($B83,'ACS Price List'!$A$12:$P$180,G$1,FALSE))</f>
        <v>As Quoted</v>
      </c>
      <c r="H83" s="271" t="str">
        <f>IF(VLOOKUP($B83,'ACS Price List'!$A$12:$P$180,H$1,FALSE)=0,"",VLOOKUP($B83,'ACS Price List'!$A$12:$P$180,H$1,FALSE))</f>
        <v/>
      </c>
      <c r="I83" s="271" t="str">
        <f>IF(VLOOKUP($B83,'ACS Price List'!$A$12:$P$180,I$1,FALSE)=0,"",VLOOKUP($B83,'ACS Price List'!$A$12:$P$180,I$1,FALSE))</f>
        <v/>
      </c>
      <c r="J83" s="272" t="str">
        <f>IF(VLOOKUP($B83,'ACS Price List'!$A$12:$P$180,J$1,FALSE)=0,"",VLOOKUP($B83,'ACS Price List'!$A$12:$P$180,J$1,FALSE))</f>
        <v/>
      </c>
      <c r="K83" s="292" t="str">
        <f t="shared" si="0"/>
        <v/>
      </c>
      <c r="L83" s="271"/>
      <c r="M83" s="271"/>
      <c r="N83" s="272"/>
      <c r="O83" s="271" t="s">
        <v>447</v>
      </c>
      <c r="P83" s="271" t="s">
        <v>654</v>
      </c>
      <c r="Q83" s="271" t="str">
        <f>IFERROR(IF(VLOOKUP($D83,'ACS Price List'!$A$12:$P$180,I$1,FALSE)=0,"",VLOOKUP($D83,'ACS Price List'!$A$12:$P$180,I$1,FALSE)),"")</f>
        <v/>
      </c>
      <c r="R83" s="276" t="str">
        <f>IFERROR(IF(VLOOKUP($D83,'ACS Price List'!$A$12:$P$180,J$1,FALSE)=0,"",VLOOKUP($D83,'ACS Price List'!$A$12:$P$180,J$1,FALSE)),"")</f>
        <v/>
      </c>
    </row>
    <row r="84" spans="1:21" s="102" customFormat="1" x14ac:dyDescent="0.2">
      <c r="A84" s="252"/>
      <c r="B84" s="97">
        <v>43</v>
      </c>
      <c r="C84" s="97"/>
      <c r="D84" s="251"/>
      <c r="E84" s="521"/>
      <c r="F84" s="272" t="str">
        <f>VLOOKUP(B84,'ACS Price List'!$A$12:$P$180,2,FALSE)</f>
        <v>Carrying out planning studies and analysis relating to connection applications</v>
      </c>
      <c r="G84" s="271" t="str">
        <f>IF(VLOOKUP($B84,'ACS Price List'!$A$12:$P$180,G$1,FALSE)=0,"",VLOOKUP($B84,'ACS Price List'!$A$12:$P$180,G$1,FALSE))</f>
        <v>As Quoted</v>
      </c>
      <c r="H84" s="271" t="str">
        <f>IF(VLOOKUP($B84,'ACS Price List'!$A$12:$P$180,H$1,FALSE)=0,"",VLOOKUP($B84,'ACS Price List'!$A$12:$P$180,H$1,FALSE))</f>
        <v/>
      </c>
      <c r="I84" s="271" t="str">
        <f>IF(VLOOKUP($B84,'ACS Price List'!$A$12:$P$180,I$1,FALSE)=0,"",VLOOKUP($B84,'ACS Price List'!$A$12:$P$180,I$1,FALSE))</f>
        <v/>
      </c>
      <c r="J84" s="272" t="str">
        <f>IF(VLOOKUP($B84,'ACS Price List'!$A$12:$P$180,J$1,FALSE)=0,"",VLOOKUP($B84,'ACS Price List'!$A$12:$P$180,J$1,FALSE))</f>
        <v/>
      </c>
      <c r="K84" s="292" t="str">
        <f t="shared" si="0"/>
        <v/>
      </c>
      <c r="L84" s="271"/>
      <c r="M84" s="271"/>
      <c r="N84" s="272"/>
      <c r="O84" s="271" t="s">
        <v>447</v>
      </c>
      <c r="P84" s="271" t="s">
        <v>654</v>
      </c>
      <c r="Q84" s="271" t="str">
        <f>IFERROR(IF(VLOOKUP($D84,'ACS Price List'!$A$12:$P$180,I$1,FALSE)=0,"",VLOOKUP($D84,'ACS Price List'!$A$12:$P$180,I$1,FALSE)),"")</f>
        <v/>
      </c>
      <c r="R84" s="276" t="str">
        <f>IFERROR(IF(VLOOKUP($D84,'ACS Price List'!$A$12:$P$180,J$1,FALSE)=0,"",VLOOKUP($D84,'ACS Price List'!$A$12:$P$180,J$1,FALSE)),"")</f>
        <v/>
      </c>
    </row>
    <row r="85" spans="1:21" s="102" customFormat="1" ht="24" x14ac:dyDescent="0.2">
      <c r="A85" s="252"/>
      <c r="B85" s="97">
        <v>44</v>
      </c>
      <c r="C85" s="97"/>
      <c r="D85" s="251"/>
      <c r="E85" s="521"/>
      <c r="F85" s="272" t="str">
        <f>VLOOKUP(B85,'ACS Price List'!$A$12:$P$180,2,FALSE)</f>
        <v>Feasibility and concept scoping, including planning and design, for major customer connections</v>
      </c>
      <c r="G85" s="271" t="str">
        <f>IF(VLOOKUP($B85,'ACS Price List'!$A$12:$P$180,G$1,FALSE)=0,"",VLOOKUP($B85,'ACS Price List'!$A$12:$P$180,G$1,FALSE))</f>
        <v>As Quoted</v>
      </c>
      <c r="H85" s="271" t="str">
        <f>IF(VLOOKUP($B85,'ACS Price List'!$A$12:$P$180,H$1,FALSE)=0,"",VLOOKUP($B85,'ACS Price List'!$A$12:$P$180,H$1,FALSE))</f>
        <v/>
      </c>
      <c r="I85" s="271" t="str">
        <f>IF(VLOOKUP($B85,'ACS Price List'!$A$12:$P$180,I$1,FALSE)=0,"",VLOOKUP($B85,'ACS Price List'!$A$12:$P$180,I$1,FALSE))</f>
        <v/>
      </c>
      <c r="J85" s="272" t="str">
        <f>IF(VLOOKUP($B85,'ACS Price List'!$A$12:$P$180,J$1,FALSE)=0,"",VLOOKUP($B85,'ACS Price List'!$A$12:$P$180,J$1,FALSE))</f>
        <v/>
      </c>
      <c r="K85" s="292" t="str">
        <f t="shared" si="0"/>
        <v/>
      </c>
      <c r="L85" s="271"/>
      <c r="M85" s="271"/>
      <c r="N85" s="272"/>
      <c r="O85" s="271" t="s">
        <v>447</v>
      </c>
      <c r="P85" s="271" t="s">
        <v>654</v>
      </c>
      <c r="Q85" s="271" t="str">
        <f>IFERROR(IF(VLOOKUP($D85,'ACS Price List'!$A$12:$P$180,I$1,FALSE)=0,"",VLOOKUP($D85,'ACS Price List'!$A$12:$P$180,I$1,FALSE)),"")</f>
        <v/>
      </c>
      <c r="R85" s="276" t="str">
        <f>IFERROR(IF(VLOOKUP($D85,'ACS Price List'!$A$12:$P$180,J$1,FALSE)=0,"",VLOOKUP($D85,'ACS Price List'!$A$12:$P$180,J$1,FALSE)),"")</f>
        <v/>
      </c>
    </row>
    <row r="86" spans="1:21" s="102" customFormat="1" x14ac:dyDescent="0.2">
      <c r="A86" s="252"/>
      <c r="B86" s="97">
        <v>45</v>
      </c>
      <c r="C86" s="97"/>
      <c r="D86" s="251"/>
      <c r="E86" s="521"/>
      <c r="F86" s="272" t="str">
        <f>VLOOKUP(B86,'ACS Price List'!$A$12:$P$180,2,FALSE)</f>
        <v>Tender process</v>
      </c>
      <c r="G86" s="271" t="str">
        <f>IF(VLOOKUP($B86,'ACS Price List'!$A$12:$P$180,G$1,FALSE)=0,"",VLOOKUP($B86,'ACS Price List'!$A$12:$P$180,G$1,FALSE))</f>
        <v>As Quoted</v>
      </c>
      <c r="H86" s="271" t="str">
        <f>IF(VLOOKUP($B86,'ACS Price List'!$A$12:$P$180,H$1,FALSE)=0,"",VLOOKUP($B86,'ACS Price List'!$A$12:$P$180,H$1,FALSE))</f>
        <v/>
      </c>
      <c r="I86" s="271" t="str">
        <f>IF(VLOOKUP($B86,'ACS Price List'!$A$12:$P$180,I$1,FALSE)=0,"",VLOOKUP($B86,'ACS Price List'!$A$12:$P$180,I$1,FALSE))</f>
        <v/>
      </c>
      <c r="J86" s="272" t="str">
        <f>IF(VLOOKUP($B86,'ACS Price List'!$A$12:$P$180,J$1,FALSE)=0,"",VLOOKUP($B86,'ACS Price List'!$A$12:$P$180,J$1,FALSE))</f>
        <v/>
      </c>
      <c r="K86" s="292" t="str">
        <f t="shared" si="0"/>
        <v/>
      </c>
      <c r="L86" s="271"/>
      <c r="M86" s="271"/>
      <c r="N86" s="272"/>
      <c r="O86" s="271" t="s">
        <v>447</v>
      </c>
      <c r="P86" s="271" t="s">
        <v>654</v>
      </c>
      <c r="Q86" s="271" t="str">
        <f>IFERROR(IF(VLOOKUP($D86,'ACS Price List'!$A$12:$P$180,I$1,FALSE)=0,"",VLOOKUP($D86,'ACS Price List'!$A$12:$P$180,I$1,FALSE)),"")</f>
        <v/>
      </c>
      <c r="R86" s="276" t="str">
        <f>IFERROR(IF(VLOOKUP($D86,'ACS Price List'!$A$12:$P$180,J$1,FALSE)=0,"",VLOOKUP($D86,'ACS Price List'!$A$12:$P$180,J$1,FALSE)),"")</f>
        <v/>
      </c>
    </row>
    <row r="87" spans="1:21" s="102" customFormat="1" x14ac:dyDescent="0.2">
      <c r="A87" s="252"/>
      <c r="B87" s="97">
        <v>46</v>
      </c>
      <c r="C87" s="97"/>
      <c r="D87" s="251"/>
      <c r="E87" s="521"/>
      <c r="F87" s="272" t="str">
        <f>VLOOKUP(B87,'ACS Price List'!$A$12:$P$180,2,FALSE)</f>
        <v>Pre-connection site inspection</v>
      </c>
      <c r="G87" s="271" t="str">
        <f>IF(VLOOKUP($B87,'ACS Price List'!$A$12:$P$180,G$1,FALSE)=0,"",VLOOKUP($B87,'ACS Price List'!$A$12:$P$180,G$1,FALSE))</f>
        <v>As Quoted</v>
      </c>
      <c r="H87" s="271" t="str">
        <f>IF(VLOOKUP($B87,'ACS Price List'!$A$12:$P$180,H$1,FALSE)=0,"",VLOOKUP($B87,'ACS Price List'!$A$12:$P$180,H$1,FALSE))</f>
        <v/>
      </c>
      <c r="I87" s="271" t="str">
        <f>IF(VLOOKUP($B87,'ACS Price List'!$A$12:$P$180,I$1,FALSE)=0,"",VLOOKUP($B87,'ACS Price List'!$A$12:$P$180,I$1,FALSE))</f>
        <v/>
      </c>
      <c r="J87" s="272" t="str">
        <f>IF(VLOOKUP($B87,'ACS Price List'!$A$12:$P$180,J$1,FALSE)=0,"",VLOOKUP($B87,'ACS Price List'!$A$12:$P$180,J$1,FALSE))</f>
        <v/>
      </c>
      <c r="K87" s="292" t="str">
        <f t="shared" si="0"/>
        <v/>
      </c>
      <c r="L87" s="271"/>
      <c r="M87" s="271"/>
      <c r="N87" s="272"/>
      <c r="O87" s="271" t="s">
        <v>447</v>
      </c>
      <c r="P87" s="271" t="s">
        <v>654</v>
      </c>
      <c r="Q87" s="271" t="str">
        <f>IFERROR(IF(VLOOKUP($D87,'ACS Price List'!$A$12:$P$180,I$1,FALSE)=0,"",VLOOKUP($D87,'ACS Price List'!$A$12:$P$180,I$1,FALSE)),"")</f>
        <v/>
      </c>
      <c r="R87" s="276" t="str">
        <f>IFERROR(IF(VLOOKUP($D87,'ACS Price List'!$A$12:$P$180,J$1,FALSE)=0,"",VLOOKUP($D87,'ACS Price List'!$A$12:$P$180,J$1,FALSE)),"")</f>
        <v/>
      </c>
    </row>
    <row r="88" spans="1:21" s="102" customFormat="1" x14ac:dyDescent="0.2">
      <c r="A88" s="252"/>
      <c r="B88" s="97">
        <v>47</v>
      </c>
      <c r="C88" s="97"/>
      <c r="D88" s="251"/>
      <c r="E88" s="521"/>
      <c r="F88" s="272" t="str">
        <f>VLOOKUP(B88,'ACS Price List'!$A$12:$P$180,2,FALSE)</f>
        <v>Provision of site-specific connection information and advice</v>
      </c>
      <c r="G88" s="271" t="str">
        <f>IF(VLOOKUP($B88,'ACS Price List'!$A$12:$P$180,G$1,FALSE)=0,"",VLOOKUP($B88,'ACS Price List'!$A$12:$P$180,G$1,FALSE))</f>
        <v>As Quoted</v>
      </c>
      <c r="H88" s="271" t="str">
        <f>IF(VLOOKUP($B88,'ACS Price List'!$A$12:$P$180,H$1,FALSE)=0,"",VLOOKUP($B88,'ACS Price List'!$A$12:$P$180,H$1,FALSE))</f>
        <v/>
      </c>
      <c r="I88" s="271" t="str">
        <f>IF(VLOOKUP($B88,'ACS Price List'!$A$12:$P$180,I$1,FALSE)=0,"",VLOOKUP($B88,'ACS Price List'!$A$12:$P$180,I$1,FALSE))</f>
        <v/>
      </c>
      <c r="J88" s="272" t="str">
        <f>IF(VLOOKUP($B88,'ACS Price List'!$A$12:$P$180,J$1,FALSE)=0,"",VLOOKUP($B88,'ACS Price List'!$A$12:$P$180,J$1,FALSE))</f>
        <v/>
      </c>
      <c r="K88" s="292" t="str">
        <f t="shared" si="0"/>
        <v/>
      </c>
      <c r="L88" s="271"/>
      <c r="M88" s="271"/>
      <c r="N88" s="272"/>
      <c r="O88" s="271" t="s">
        <v>447</v>
      </c>
      <c r="P88" s="271" t="s">
        <v>654</v>
      </c>
      <c r="Q88" s="271" t="str">
        <f>IFERROR(IF(VLOOKUP($D88,'ACS Price List'!$A$12:$P$180,I$1,FALSE)=0,"",VLOOKUP($D88,'ACS Price List'!$A$12:$P$180,I$1,FALSE)),"")</f>
        <v/>
      </c>
      <c r="R88" s="276" t="str">
        <f>IFERROR(IF(VLOOKUP($D88,'ACS Price List'!$A$12:$P$180,J$1,FALSE)=0,"",VLOOKUP($D88,'ACS Price List'!$A$12:$P$180,J$1,FALSE)),"")</f>
        <v/>
      </c>
    </row>
    <row r="89" spans="1:21" s="102" customFormat="1" ht="24" x14ac:dyDescent="0.2">
      <c r="A89" s="252"/>
      <c r="B89" s="97">
        <v>48</v>
      </c>
      <c r="C89" s="97"/>
      <c r="D89" s="251"/>
      <c r="E89" s="521"/>
      <c r="F89" s="272" t="str">
        <f>VLOOKUP(B89,'ACS Price List'!$A$12:$P$180,2,FALSE)</f>
        <v>Preparation of preliminary designs and planning reports for major customer connections, including project scopes and estimates</v>
      </c>
      <c r="G89" s="271" t="str">
        <f>IF(VLOOKUP($B89,'ACS Price List'!$A$12:$P$180,G$1,FALSE)=0,"",VLOOKUP($B89,'ACS Price List'!$A$12:$P$180,G$1,FALSE))</f>
        <v>As Quoted</v>
      </c>
      <c r="H89" s="271" t="str">
        <f>IF(VLOOKUP($B89,'ACS Price List'!$A$12:$P$180,H$1,FALSE)=0,"",VLOOKUP($B89,'ACS Price List'!$A$12:$P$180,H$1,FALSE))</f>
        <v/>
      </c>
      <c r="I89" s="271" t="str">
        <f>IF(VLOOKUP($B89,'ACS Price List'!$A$12:$P$180,I$1,FALSE)=0,"",VLOOKUP($B89,'ACS Price List'!$A$12:$P$180,I$1,FALSE))</f>
        <v/>
      </c>
      <c r="J89" s="272" t="str">
        <f>IF(VLOOKUP($B89,'ACS Price List'!$A$12:$P$180,J$1,FALSE)=0,"",VLOOKUP($B89,'ACS Price List'!$A$12:$P$180,J$1,FALSE))</f>
        <v/>
      </c>
      <c r="K89" s="292" t="str">
        <f t="shared" si="0"/>
        <v/>
      </c>
      <c r="L89" s="271"/>
      <c r="M89" s="271"/>
      <c r="N89" s="272"/>
      <c r="O89" s="271" t="s">
        <v>447</v>
      </c>
      <c r="P89" s="271" t="s">
        <v>654</v>
      </c>
      <c r="Q89" s="271" t="str">
        <f>IFERROR(IF(VLOOKUP($D89,'ACS Price List'!$A$12:$P$180,I$1,FALSE)=0,"",VLOOKUP($D89,'ACS Price List'!$A$12:$P$180,I$1,FALSE)),"")</f>
        <v/>
      </c>
      <c r="R89" s="276" t="str">
        <f>IFERROR(IF(VLOOKUP($D89,'ACS Price List'!$A$12:$P$180,J$1,FALSE)=0,"",VLOOKUP($D89,'ACS Price List'!$A$12:$P$180,J$1,FALSE)),"")</f>
        <v/>
      </c>
    </row>
    <row r="90" spans="1:21" s="102" customFormat="1" x14ac:dyDescent="0.2">
      <c r="A90" s="252"/>
      <c r="B90" s="97">
        <v>49</v>
      </c>
      <c r="C90" s="97"/>
      <c r="D90" s="251"/>
      <c r="E90" s="521"/>
      <c r="F90" s="272" t="str">
        <f>VLOOKUP(B90,'ACS Price List'!$A$12:$P$180,2,FALSE)</f>
        <v>Customer build, own and operate consultation services</v>
      </c>
      <c r="G90" s="271" t="str">
        <f>IF(VLOOKUP($B90,'ACS Price List'!$A$12:$P$180,G$1,FALSE)=0,"",VLOOKUP($B90,'ACS Price List'!$A$12:$P$180,G$1,FALSE))</f>
        <v>As Quoted</v>
      </c>
      <c r="H90" s="271" t="str">
        <f>IF(VLOOKUP($B90,'ACS Price List'!$A$12:$P$180,H$1,FALSE)=0,"",VLOOKUP($B90,'ACS Price List'!$A$12:$P$180,H$1,FALSE))</f>
        <v/>
      </c>
      <c r="I90" s="271" t="str">
        <f>IF(VLOOKUP($B90,'ACS Price List'!$A$12:$P$180,I$1,FALSE)=0,"",VLOOKUP($B90,'ACS Price List'!$A$12:$P$180,I$1,FALSE))</f>
        <v/>
      </c>
      <c r="J90" s="272" t="str">
        <f>IF(VLOOKUP($B90,'ACS Price List'!$A$12:$P$180,J$1,FALSE)=0,"",VLOOKUP($B90,'ACS Price List'!$A$12:$P$180,J$1,FALSE))</f>
        <v/>
      </c>
      <c r="K90" s="292" t="str">
        <f t="shared" si="0"/>
        <v/>
      </c>
      <c r="L90" s="271"/>
      <c r="M90" s="271"/>
      <c r="N90" s="272"/>
      <c r="O90" s="271" t="s">
        <v>447</v>
      </c>
      <c r="P90" s="271" t="s">
        <v>654</v>
      </c>
      <c r="Q90" s="271" t="str">
        <f>IFERROR(IF(VLOOKUP($D90,'ACS Price List'!$A$12:$P$180,I$1,FALSE)=0,"",VLOOKUP($D90,'ACS Price List'!$A$12:$P$180,I$1,FALSE)),"")</f>
        <v/>
      </c>
      <c r="R90" s="276" t="str">
        <f>IFERROR(IF(VLOOKUP($D90,'ACS Price List'!$A$12:$P$180,J$1,FALSE)=0,"",VLOOKUP($D90,'ACS Price List'!$A$12:$P$180,J$1,FALSE)),"")</f>
        <v/>
      </c>
    </row>
    <row r="91" spans="1:21" s="102" customFormat="1" x14ac:dyDescent="0.2">
      <c r="A91" s="252"/>
      <c r="B91" s="97">
        <v>50</v>
      </c>
      <c r="C91" s="97"/>
      <c r="D91" s="251"/>
      <c r="E91" s="521"/>
      <c r="F91" s="272" t="str">
        <f>VLOOKUP(B91,'ACS Price List'!$A$12:$P$180,2,FALSE)</f>
        <v>Detailed enquiry response fee - embedded generation</v>
      </c>
      <c r="G91" s="271" t="str">
        <f>IF(VLOOKUP($B91,'ACS Price List'!$A$12:$P$180,G$1,FALSE)=0,"",VLOOKUP($B91,'ACS Price List'!$A$12:$P$180,G$1,FALSE))</f>
        <v>As Quoted</v>
      </c>
      <c r="H91" s="271" t="str">
        <f>IF(VLOOKUP($B91,'ACS Price List'!$A$12:$P$180,H$1,FALSE)=0,"",VLOOKUP($B91,'ACS Price List'!$A$12:$P$180,H$1,FALSE))</f>
        <v/>
      </c>
      <c r="I91" s="271" t="str">
        <f>IF(VLOOKUP($B91,'ACS Price List'!$A$12:$P$180,I$1,FALSE)=0,"",VLOOKUP($B91,'ACS Price List'!$A$12:$P$180,I$1,FALSE))</f>
        <v/>
      </c>
      <c r="J91" s="272" t="str">
        <f>IF(VLOOKUP($B91,'ACS Price List'!$A$12:$P$180,J$1,FALSE)=0,"",VLOOKUP($B91,'ACS Price List'!$A$12:$P$180,J$1,FALSE))</f>
        <v/>
      </c>
      <c r="K91" s="292" t="str">
        <f t="shared" si="0"/>
        <v/>
      </c>
      <c r="L91" s="271"/>
      <c r="M91" s="271"/>
      <c r="N91" s="272"/>
      <c r="O91" s="271" t="s">
        <v>447</v>
      </c>
      <c r="P91" s="271" t="s">
        <v>654</v>
      </c>
      <c r="Q91" s="271" t="str">
        <f>IFERROR(IF(VLOOKUP($D91,'ACS Price List'!$A$12:$P$180,I$1,FALSE)=0,"",VLOOKUP($D91,'ACS Price List'!$A$12:$P$180,I$1,FALSE)),"")</f>
        <v/>
      </c>
      <c r="R91" s="276" t="str">
        <f>IFERROR(IF(VLOOKUP($D91,'ACS Price List'!$A$12:$P$180,J$1,FALSE)=0,"",VLOOKUP($D91,'ACS Price List'!$A$12:$P$180,J$1,FALSE)),"")</f>
        <v/>
      </c>
    </row>
    <row r="92" spans="1:21" s="102" customFormat="1" x14ac:dyDescent="0.2">
      <c r="A92" s="252"/>
      <c r="B92" s="97">
        <v>51</v>
      </c>
      <c r="C92" s="97"/>
      <c r="D92" s="251"/>
      <c r="E92" s="521"/>
      <c r="F92" s="272" t="str">
        <f>VLOOKUP(B92,'ACS Price List'!$A$12:$P$180,2,FALSE)</f>
        <v>Design and construction of connection assets for major customers</v>
      </c>
      <c r="G92" s="271" t="str">
        <f>IF(VLOOKUP($B92,'ACS Price List'!$A$12:$P$180,G$1,FALSE)=0,"",VLOOKUP($B92,'ACS Price List'!$A$12:$P$180,G$1,FALSE))</f>
        <v>As Quoted</v>
      </c>
      <c r="H92" s="271" t="str">
        <f>IF(VLOOKUP($B92,'ACS Price List'!$A$12:$P$180,H$1,FALSE)=0,"",VLOOKUP($B92,'ACS Price List'!$A$12:$P$180,H$1,FALSE))</f>
        <v/>
      </c>
      <c r="I92" s="271" t="str">
        <f>IF(VLOOKUP($B92,'ACS Price List'!$A$12:$P$180,I$1,FALSE)=0,"",VLOOKUP($B92,'ACS Price List'!$A$12:$P$180,I$1,FALSE))</f>
        <v/>
      </c>
      <c r="J92" s="272" t="str">
        <f>IF(VLOOKUP($B92,'ACS Price List'!$A$12:$P$180,J$1,FALSE)=0,"",VLOOKUP($B92,'ACS Price List'!$A$12:$P$180,J$1,FALSE))</f>
        <v/>
      </c>
      <c r="K92" s="292" t="str">
        <f t="shared" si="0"/>
        <v/>
      </c>
      <c r="L92" s="271"/>
      <c r="M92" s="271"/>
      <c r="N92" s="272"/>
      <c r="O92" s="271" t="s">
        <v>447</v>
      </c>
      <c r="P92" s="271" t="s">
        <v>654</v>
      </c>
      <c r="Q92" s="271" t="str">
        <f>IFERROR(IF(VLOOKUP($D92,'ACS Price List'!$A$12:$P$180,I$1,FALSE)=0,"",VLOOKUP($D92,'ACS Price List'!$A$12:$P$180,I$1,FALSE)),"")</f>
        <v/>
      </c>
      <c r="R92" s="276" t="str">
        <f>IFERROR(IF(VLOOKUP($D92,'ACS Price List'!$A$12:$P$180,J$1,FALSE)=0,"",VLOOKUP($D92,'ACS Price List'!$A$12:$P$180,J$1,FALSE)),"")</f>
        <v/>
      </c>
    </row>
    <row r="93" spans="1:21" s="102" customFormat="1" x14ac:dyDescent="0.2">
      <c r="A93" s="252"/>
      <c r="B93" s="97">
        <v>52</v>
      </c>
      <c r="C93" s="97"/>
      <c r="D93" s="251"/>
      <c r="E93" s="521"/>
      <c r="F93" s="272" t="str">
        <f>VLOOKUP(B93,'ACS Price List'!$A$12:$P$180,2,FALSE)</f>
        <v>Commissioning and energisation of major customer connections</v>
      </c>
      <c r="G93" s="271" t="str">
        <f>IF(VLOOKUP($B93,'ACS Price List'!$A$12:$P$180,G$1,FALSE)=0,"",VLOOKUP($B93,'ACS Price List'!$A$12:$P$180,G$1,FALSE))</f>
        <v>As Quoted</v>
      </c>
      <c r="H93" s="271" t="str">
        <f>IF(VLOOKUP($B93,'ACS Price List'!$A$12:$P$180,H$1,FALSE)=0,"",VLOOKUP($B93,'ACS Price List'!$A$12:$P$180,H$1,FALSE))</f>
        <v/>
      </c>
      <c r="I93" s="271" t="str">
        <f>IF(VLOOKUP($B93,'ACS Price List'!$A$12:$P$180,I$1,FALSE)=0,"",VLOOKUP($B93,'ACS Price List'!$A$12:$P$180,I$1,FALSE))</f>
        <v/>
      </c>
      <c r="J93" s="272" t="str">
        <f>IF(VLOOKUP($B93,'ACS Price List'!$A$12:$P$180,J$1,FALSE)=0,"",VLOOKUP($B93,'ACS Price List'!$A$12:$P$180,J$1,FALSE))</f>
        <v/>
      </c>
      <c r="K93" s="292" t="str">
        <f t="shared" si="0"/>
        <v/>
      </c>
      <c r="L93" s="271"/>
      <c r="M93" s="271"/>
      <c r="N93" s="272"/>
      <c r="O93" s="271" t="s">
        <v>447</v>
      </c>
      <c r="P93" s="271" t="s">
        <v>654</v>
      </c>
      <c r="Q93" s="271" t="str">
        <f>IFERROR(IF(VLOOKUP($D93,'ACS Price List'!$A$12:$P$180,I$1,FALSE)=0,"",VLOOKUP($D93,'ACS Price List'!$A$12:$P$180,I$1,FALSE)),"")</f>
        <v/>
      </c>
      <c r="R93" s="276" t="str">
        <f>IFERROR(IF(VLOOKUP($D93,'ACS Price List'!$A$12:$P$180,J$1,FALSE)=0,"",VLOOKUP($D93,'ACS Price List'!$A$12:$P$180,J$1,FALSE)),"")</f>
        <v/>
      </c>
    </row>
    <row r="94" spans="1:21" s="102" customFormat="1" x14ac:dyDescent="0.2">
      <c r="A94" s="252"/>
      <c r="B94" s="97">
        <v>53</v>
      </c>
      <c r="C94" s="97"/>
      <c r="D94" s="251"/>
      <c r="E94" s="521"/>
      <c r="F94" s="272" t="str">
        <f>VLOOKUP(B94,'ACS Price List'!$A$12:$P$180,2,FALSE)</f>
        <v>Design and construction for real estate developments</v>
      </c>
      <c r="G94" s="271" t="str">
        <f>IF(VLOOKUP($B94,'ACS Price List'!$A$12:$P$180,G$1,FALSE)=0,"",VLOOKUP($B94,'ACS Price List'!$A$12:$P$180,G$1,FALSE))</f>
        <v>As Quoted</v>
      </c>
      <c r="H94" s="271" t="str">
        <f>IF(VLOOKUP($B94,'ACS Price List'!$A$12:$P$180,H$1,FALSE)=0,"",VLOOKUP($B94,'ACS Price List'!$A$12:$P$180,H$1,FALSE))</f>
        <v/>
      </c>
      <c r="I94" s="271" t="str">
        <f>IF(VLOOKUP($B94,'ACS Price List'!$A$12:$P$180,I$1,FALSE)=0,"",VLOOKUP($B94,'ACS Price List'!$A$12:$P$180,I$1,FALSE))</f>
        <v/>
      </c>
      <c r="J94" s="272" t="str">
        <f>IF(VLOOKUP($B94,'ACS Price List'!$A$12:$P$180,J$1,FALSE)=0,"",VLOOKUP($B94,'ACS Price List'!$A$12:$P$180,J$1,FALSE))</f>
        <v/>
      </c>
      <c r="K94" s="292" t="str">
        <f t="shared" si="0"/>
        <v/>
      </c>
      <c r="L94" s="271"/>
      <c r="M94" s="271"/>
      <c r="N94" s="272"/>
      <c r="O94" s="271" t="s">
        <v>447</v>
      </c>
      <c r="P94" s="271" t="s">
        <v>654</v>
      </c>
      <c r="Q94" s="271" t="str">
        <f>IFERROR(IF(VLOOKUP($D94,'ACS Price List'!$A$12:$P$180,I$1,FALSE)=0,"",VLOOKUP($D94,'ACS Price List'!$A$12:$P$180,I$1,FALSE)),"")</f>
        <v/>
      </c>
      <c r="R94" s="276" t="str">
        <f>IFERROR(IF(VLOOKUP($D94,'ACS Price List'!$A$12:$P$180,J$1,FALSE)=0,"",VLOOKUP($D94,'ACS Price List'!$A$12:$P$180,J$1,FALSE)),"")</f>
        <v/>
      </c>
    </row>
    <row r="95" spans="1:21" s="102" customFormat="1" x14ac:dyDescent="0.2">
      <c r="A95" s="252"/>
      <c r="B95" s="97">
        <v>54</v>
      </c>
      <c r="C95" s="97"/>
      <c r="D95" s="251"/>
      <c r="E95" s="521"/>
      <c r="F95" s="272" t="str">
        <f>VLOOKUP(B95,'ACS Price List'!$A$12:$P$180,2,FALSE)</f>
        <v>Commissioning and energisation of real estate development connections</v>
      </c>
      <c r="G95" s="271" t="str">
        <f>IF(VLOOKUP($B95,'ACS Price List'!$A$12:$P$180,G$1,FALSE)=0,"",VLOOKUP($B95,'ACS Price List'!$A$12:$P$180,G$1,FALSE))</f>
        <v>As Quoted</v>
      </c>
      <c r="H95" s="271" t="str">
        <f>IF(VLOOKUP($B95,'ACS Price List'!$A$12:$P$180,H$1,FALSE)=0,"",VLOOKUP($B95,'ACS Price List'!$A$12:$P$180,H$1,FALSE))</f>
        <v/>
      </c>
      <c r="I95" s="271" t="str">
        <f>IF(VLOOKUP($B95,'ACS Price List'!$A$12:$P$180,I$1,FALSE)=0,"",VLOOKUP($B95,'ACS Price List'!$A$12:$P$180,I$1,FALSE))</f>
        <v/>
      </c>
      <c r="J95" s="272" t="str">
        <f>IF(VLOOKUP($B95,'ACS Price List'!$A$12:$P$180,J$1,FALSE)=0,"",VLOOKUP($B95,'ACS Price List'!$A$12:$P$180,J$1,FALSE))</f>
        <v/>
      </c>
      <c r="K95" s="292" t="str">
        <f t="shared" si="0"/>
        <v/>
      </c>
      <c r="L95" s="271"/>
      <c r="M95" s="271"/>
      <c r="N95" s="272"/>
      <c r="O95" s="271" t="s">
        <v>447</v>
      </c>
      <c r="P95" s="271" t="s">
        <v>654</v>
      </c>
      <c r="Q95" s="271" t="str">
        <f>IFERROR(IF(VLOOKUP($D95,'ACS Price List'!$A$12:$P$180,I$1,FALSE)=0,"",VLOOKUP($D95,'ACS Price List'!$A$12:$P$180,I$1,FALSE)),"")</f>
        <v/>
      </c>
      <c r="R95" s="276" t="str">
        <f>IFERROR(IF(VLOOKUP($D95,'ACS Price List'!$A$12:$P$180,J$1,FALSE)=0,"",VLOOKUP($D95,'ACS Price List'!$A$12:$P$180,J$1,FALSE)),"")</f>
        <v/>
      </c>
    </row>
    <row r="96" spans="1:21" s="102" customFormat="1" x14ac:dyDescent="0.2">
      <c r="A96" s="252"/>
      <c r="B96" s="97">
        <v>55</v>
      </c>
      <c r="C96" s="97"/>
      <c r="D96" s="251"/>
      <c r="E96" s="521"/>
      <c r="F96" s="272" t="str">
        <f>VLOOKUP(B96,'ACS Price List'!$A$12:$P$180,2,FALSE)</f>
        <v>Removal of network constraint for embedded generator</v>
      </c>
      <c r="G96" s="271" t="str">
        <f>IF(VLOOKUP($B96,'ACS Price List'!$A$12:$P$180,G$1,FALSE)=0,"",VLOOKUP($B96,'ACS Price List'!$A$12:$P$180,G$1,FALSE))</f>
        <v>As Quoted</v>
      </c>
      <c r="H96" s="271" t="str">
        <f>IF(VLOOKUP($B96,'ACS Price List'!$A$12:$P$180,H$1,FALSE)=0,"",VLOOKUP($B96,'ACS Price List'!$A$12:$P$180,H$1,FALSE))</f>
        <v/>
      </c>
      <c r="I96" s="271" t="str">
        <f>IF(VLOOKUP($B96,'ACS Price List'!$A$12:$P$180,I$1,FALSE)=0,"",VLOOKUP($B96,'ACS Price List'!$A$12:$P$180,I$1,FALSE))</f>
        <v/>
      </c>
      <c r="J96" s="272" t="str">
        <f>IF(VLOOKUP($B96,'ACS Price List'!$A$12:$P$180,J$1,FALSE)=0,"",VLOOKUP($B96,'ACS Price List'!$A$12:$P$180,J$1,FALSE))</f>
        <v/>
      </c>
      <c r="K96" s="292" t="str">
        <f t="shared" si="0"/>
        <v/>
      </c>
      <c r="L96" s="271"/>
      <c r="M96" s="271"/>
      <c r="N96" s="272"/>
      <c r="O96" s="271" t="s">
        <v>447</v>
      </c>
      <c r="P96" s="271" t="s">
        <v>654</v>
      </c>
      <c r="Q96" s="271" t="str">
        <f>IFERROR(IF(VLOOKUP($D96,'ACS Price List'!$A$12:$P$180,I$1,FALSE)=0,"",VLOOKUP($D96,'ACS Price List'!$A$12:$P$180,I$1,FALSE)),"")</f>
        <v/>
      </c>
      <c r="R96" s="276" t="str">
        <f>IFERROR(IF(VLOOKUP($D96,'ACS Price List'!$A$12:$P$180,J$1,FALSE)=0,"",VLOOKUP($D96,'ACS Price List'!$A$12:$P$180,J$1,FALSE)),"")</f>
        <v/>
      </c>
    </row>
    <row r="97" spans="1:18" s="102" customFormat="1" x14ac:dyDescent="0.2">
      <c r="A97" s="252"/>
      <c r="B97" s="97">
        <v>56</v>
      </c>
      <c r="C97" s="97" t="s">
        <v>614</v>
      </c>
      <c r="D97" s="251"/>
      <c r="E97" s="521"/>
      <c r="F97" s="272" t="str">
        <f>VLOOKUP(B97,'ACS Price List'!$A$12:$P$180,2,FALSE)</f>
        <v>Move point of attachment - single/multi phase</v>
      </c>
      <c r="G97" s="271" t="str">
        <f>IF(VLOOKUP($B97,'ACS Price List'!$A$12:$P$180,G$1,FALSE)=0,"",VLOOKUP($B97,'ACS Price List'!$A$12:$P$180,G$1,FALSE))</f>
        <v>MPOAU</v>
      </c>
      <c r="H97" s="271" t="str">
        <f>IF(VLOOKUP($B97,'ACS Price List'!$A$12:$P$180,H$1,FALSE)=0,"",VLOOKUP($B97,'ACS Price List'!$A$12:$P$180,H$1,FALSE))</f>
        <v>MPOAS</v>
      </c>
      <c r="I97" s="271" t="str">
        <f>IF(VLOOKUP($B97,'ACS Price List'!$A$12:$P$180,I$1,FALSE)=0,"",VLOOKUP($B97,'ACS Price List'!$A$12:$P$180,I$1,FALSE))</f>
        <v>MPOAL</v>
      </c>
      <c r="J97" s="272" t="str">
        <f>IF(VLOOKUP($B97,'ACS Price List'!$A$12:$P$180,J$1,FALSE)=0,"",VLOOKUP($B97,'ACS Price List'!$A$12:$P$180,J$1,FALSE))</f>
        <v>MPOAI</v>
      </c>
      <c r="K97" s="292" t="str">
        <f t="shared" ref="K97:K106" si="1">IF(C97="163-M","GENM series or applicable Metering Service product code**","")</f>
        <v>GENM series or applicable Metering Service product code**</v>
      </c>
      <c r="L97" s="271"/>
      <c r="M97" s="271"/>
      <c r="N97" s="272"/>
      <c r="O97" s="271" t="s">
        <v>447</v>
      </c>
      <c r="P97" s="271" t="s">
        <v>654</v>
      </c>
      <c r="Q97" s="271" t="str">
        <f>IFERROR(IF(VLOOKUP($D97,'ACS Price List'!$A$12:$P$180,I$1,FALSE)=0,"",VLOOKUP($D97,'ACS Price List'!$A$12:$P$180,I$1,FALSE)),"")</f>
        <v/>
      </c>
      <c r="R97" s="276" t="str">
        <f>IFERROR(IF(VLOOKUP($D97,'ACS Price List'!$A$12:$P$180,J$1,FALSE)=0,"",VLOOKUP($D97,'ACS Price List'!$A$12:$P$180,J$1,FALSE)),"")</f>
        <v/>
      </c>
    </row>
    <row r="98" spans="1:18" s="102" customFormat="1" x14ac:dyDescent="0.2">
      <c r="A98" s="252"/>
      <c r="B98" s="97">
        <v>57</v>
      </c>
      <c r="C98" s="97" t="s">
        <v>614</v>
      </c>
      <c r="D98" s="251"/>
      <c r="E98" s="521"/>
      <c r="F98" s="272" t="str">
        <f>VLOOKUP(B98,'ACS Price List'!$A$12:$P$180,2,FALSE)</f>
        <v>Re-arrange connection assets at customer's request</v>
      </c>
      <c r="G98" s="271" t="str">
        <f>IF(VLOOKUP($B98,'ACS Price List'!$A$12:$P$180,G$1,FALSE)=0,"",VLOOKUP($B98,'ACS Price List'!$A$12:$P$180,G$1,FALSE))</f>
        <v>As Quoted</v>
      </c>
      <c r="H98" s="271" t="str">
        <f>IF(VLOOKUP($B98,'ACS Price List'!$A$12:$P$180,H$1,FALSE)=0,"",VLOOKUP($B98,'ACS Price List'!$A$12:$P$180,H$1,FALSE))</f>
        <v/>
      </c>
      <c r="I98" s="271" t="str">
        <f>IF(VLOOKUP($B98,'ACS Price List'!$A$12:$P$180,I$1,FALSE)=0,"",VLOOKUP($B98,'ACS Price List'!$A$12:$P$180,I$1,FALSE))</f>
        <v/>
      </c>
      <c r="J98" s="272" t="str">
        <f>IF(VLOOKUP($B98,'ACS Price List'!$A$12:$P$180,J$1,FALSE)=0,"",VLOOKUP($B98,'ACS Price List'!$A$12:$P$180,J$1,FALSE))</f>
        <v/>
      </c>
      <c r="K98" s="292" t="str">
        <f t="shared" si="1"/>
        <v>GENM series or applicable Metering Service product code**</v>
      </c>
      <c r="L98" s="271"/>
      <c r="M98" s="271"/>
      <c r="N98" s="272"/>
      <c r="O98" s="271" t="s">
        <v>447</v>
      </c>
      <c r="P98" s="271" t="s">
        <v>654</v>
      </c>
      <c r="Q98" s="271" t="str">
        <f>IFERROR(IF(VLOOKUP($D98,'ACS Price List'!$A$12:$P$180,I$1,FALSE)=0,"",VLOOKUP($D98,'ACS Price List'!$A$12:$P$180,I$1,FALSE)),"")</f>
        <v/>
      </c>
      <c r="R98" s="276" t="str">
        <f>IFERROR(IF(VLOOKUP($D98,'ACS Price List'!$A$12:$P$180,J$1,FALSE)=0,"",VLOOKUP($D98,'ACS Price List'!$A$12:$P$180,J$1,FALSE)),"")</f>
        <v/>
      </c>
    </row>
    <row r="99" spans="1:18" s="102" customFormat="1" x14ac:dyDescent="0.2">
      <c r="A99" s="252"/>
      <c r="B99" s="97">
        <v>58</v>
      </c>
      <c r="C99" s="97" t="s">
        <v>614</v>
      </c>
      <c r="D99" s="251"/>
      <c r="E99" s="521"/>
      <c r="F99" s="272" t="str">
        <f>VLOOKUP(B99,'ACS Price List'!$A$12:$P$180,2,FALSE)</f>
        <v>Protection and Power Quality assessment after connection</v>
      </c>
      <c r="G99" s="271" t="str">
        <f>IF(VLOOKUP($B99,'ACS Price List'!$A$12:$P$180,G$1,FALSE)=0,"",VLOOKUP($B99,'ACS Price List'!$A$12:$P$180,G$1,FALSE))</f>
        <v>As Quoted</v>
      </c>
      <c r="H99" s="271" t="str">
        <f>IF(VLOOKUP($B99,'ACS Price List'!$A$12:$P$180,H$1,FALSE)=0,"",VLOOKUP($B99,'ACS Price List'!$A$12:$P$180,H$1,FALSE))</f>
        <v/>
      </c>
      <c r="I99" s="271" t="str">
        <f>IF(VLOOKUP($B99,'ACS Price List'!$A$12:$P$180,I$1,FALSE)=0,"",VLOOKUP($B99,'ACS Price List'!$A$12:$P$180,I$1,FALSE))</f>
        <v/>
      </c>
      <c r="J99" s="272" t="str">
        <f>IF(VLOOKUP($B99,'ACS Price List'!$A$12:$P$180,J$1,FALSE)=0,"",VLOOKUP($B99,'ACS Price List'!$A$12:$P$180,J$1,FALSE))</f>
        <v/>
      </c>
      <c r="K99" s="292" t="str">
        <f t="shared" si="1"/>
        <v>GENM series or applicable Metering Service product code**</v>
      </c>
      <c r="L99" s="271"/>
      <c r="M99" s="271"/>
      <c r="N99" s="272"/>
      <c r="O99" s="271" t="s">
        <v>447</v>
      </c>
      <c r="P99" s="271" t="s">
        <v>654</v>
      </c>
      <c r="Q99" s="271" t="str">
        <f>IFERROR(IF(VLOOKUP($D99,'ACS Price List'!$A$12:$P$180,I$1,FALSE)=0,"",VLOOKUP($D99,'ACS Price List'!$A$12:$P$180,I$1,FALSE)),"")</f>
        <v/>
      </c>
      <c r="R99" s="276" t="str">
        <f>IFERROR(IF(VLOOKUP($D99,'ACS Price List'!$A$12:$P$180,J$1,FALSE)=0,"",VLOOKUP($D99,'ACS Price List'!$A$12:$P$180,J$1,FALSE)),"")</f>
        <v/>
      </c>
    </row>
    <row r="100" spans="1:18" s="102" customFormat="1" x14ac:dyDescent="0.2">
      <c r="A100" s="252"/>
      <c r="B100" s="97">
        <v>59</v>
      </c>
      <c r="C100" s="97" t="s">
        <v>614</v>
      </c>
      <c r="D100" s="251"/>
      <c r="E100" s="521"/>
      <c r="F100" s="272" t="str">
        <f>VLOOKUP(B100,'ACS Price List'!$A$12:$P$180,2,FALSE)</f>
        <v>Temporary de-energisation - no dismantling</v>
      </c>
      <c r="G100" s="271" t="str">
        <f>IF(VLOOKUP($B100,'ACS Price List'!$A$12:$P$180,G$1,FALSE)=0,"",VLOOKUP($B100,'ACS Price List'!$A$12:$P$180,G$1,FALSE))</f>
        <v>TEMPDEENU</v>
      </c>
      <c r="H100" s="271" t="str">
        <f>IF(VLOOKUP($B100,'ACS Price List'!$A$12:$P$180,H$1,FALSE)=0,"",VLOOKUP($B100,'ACS Price List'!$A$12:$P$180,H$1,FALSE))</f>
        <v>TEMPDEENS</v>
      </c>
      <c r="I100" s="271" t="str">
        <f>IF(VLOOKUP($B100,'ACS Price List'!$A$12:$P$180,I$1,FALSE)=0,"",VLOOKUP($B100,'ACS Price List'!$A$12:$P$180,I$1,FALSE))</f>
        <v>TEMPDEENL</v>
      </c>
      <c r="J100" s="272" t="str">
        <f>IF(VLOOKUP($B100,'ACS Price List'!$A$12:$P$180,J$1,FALSE)=0,"",VLOOKUP($B100,'ACS Price List'!$A$12:$P$180,J$1,FALSE))</f>
        <v>TEMPDEENI</v>
      </c>
      <c r="K100" s="292" t="str">
        <f t="shared" si="1"/>
        <v>GENM series or applicable Metering Service product code**</v>
      </c>
      <c r="L100" s="271"/>
      <c r="M100" s="271"/>
      <c r="N100" s="272"/>
      <c r="O100" s="271" t="s">
        <v>447</v>
      </c>
      <c r="P100" s="271" t="s">
        <v>654</v>
      </c>
      <c r="Q100" s="271" t="str">
        <f>IFERROR(IF(VLOOKUP($D100,'ACS Price List'!$A$12:$P$180,I$1,FALSE)=0,"",VLOOKUP($D100,'ACS Price List'!$A$12:$P$180,I$1,FALSE)),"")</f>
        <v/>
      </c>
      <c r="R100" s="276" t="str">
        <f>IFERROR(IF(VLOOKUP($D100,'ACS Price List'!$A$12:$P$180,J$1,FALSE)=0,"",VLOOKUP($D100,'ACS Price List'!$A$12:$P$180,J$1,FALSE)),"")</f>
        <v/>
      </c>
    </row>
    <row r="101" spans="1:18" s="102" customFormat="1" x14ac:dyDescent="0.2">
      <c r="A101" s="252"/>
      <c r="B101" s="97">
        <v>60</v>
      </c>
      <c r="C101" s="97" t="s">
        <v>614</v>
      </c>
      <c r="D101" s="251"/>
      <c r="E101" s="521"/>
      <c r="F101" s="272" t="str">
        <f>VLOOKUP(B101,'ACS Price List'!$A$12:$P$180,2,FALSE)</f>
        <v>LV Service line drop and replace - physical dismantling</v>
      </c>
      <c r="G101" s="271" t="str">
        <f>IF(VLOOKUP($B101,'ACS Price List'!$A$12:$P$180,G$1,FALSE)=0,"",VLOOKUP($B101,'ACS Price List'!$A$12:$P$180,G$1,FALSE))</f>
        <v>LVSLDU</v>
      </c>
      <c r="H101" s="271" t="str">
        <f>IF(VLOOKUP($B101,'ACS Price List'!$A$12:$P$180,H$1,FALSE)=0,"",VLOOKUP($B101,'ACS Price List'!$A$12:$P$180,H$1,FALSE))</f>
        <v>LVSLDS</v>
      </c>
      <c r="I101" s="271" t="str">
        <f>IF(VLOOKUP($B101,'ACS Price List'!$A$12:$P$180,I$1,FALSE)=0,"",VLOOKUP($B101,'ACS Price List'!$A$12:$P$180,I$1,FALSE))</f>
        <v>LVSLDL</v>
      </c>
      <c r="J101" s="272" t="str">
        <f>IF(VLOOKUP($B101,'ACS Price List'!$A$12:$P$180,J$1,FALSE)=0,"",VLOOKUP($B101,'ACS Price List'!$A$12:$P$180,J$1,FALSE))</f>
        <v>LVSLDI</v>
      </c>
      <c r="K101" s="292" t="str">
        <f t="shared" si="1"/>
        <v>GENM series or applicable Metering Service product code**</v>
      </c>
      <c r="L101" s="271"/>
      <c r="M101" s="271"/>
      <c r="N101" s="272"/>
      <c r="O101" s="271" t="s">
        <v>447</v>
      </c>
      <c r="P101" s="271" t="s">
        <v>654</v>
      </c>
      <c r="Q101" s="271" t="str">
        <f>IFERROR(IF(VLOOKUP($D101,'ACS Price List'!$A$12:$P$180,I$1,FALSE)=0,"",VLOOKUP($D101,'ACS Price List'!$A$12:$P$180,I$1,FALSE)),"")</f>
        <v/>
      </c>
      <c r="R101" s="276" t="str">
        <f>IFERROR(IF(VLOOKUP($D101,'ACS Price List'!$A$12:$P$180,J$1,FALSE)=0,"",VLOOKUP($D101,'ACS Price List'!$A$12:$P$180,J$1,FALSE)),"")</f>
        <v/>
      </c>
    </row>
    <row r="102" spans="1:18" s="102" customFormat="1" x14ac:dyDescent="0.2">
      <c r="A102" s="252"/>
      <c r="B102" s="97">
        <v>61</v>
      </c>
      <c r="C102" s="97" t="s">
        <v>614</v>
      </c>
      <c r="D102" s="251"/>
      <c r="E102" s="521"/>
      <c r="F102" s="272" t="str">
        <f>VLOOKUP(B102,'ACS Price List'!$A$12:$P$180,2,FALSE)</f>
        <v>HV Service line drop and replace</v>
      </c>
      <c r="G102" s="271" t="str">
        <f>IF(VLOOKUP($B102,'ACS Price List'!$A$12:$P$180,G$1,FALSE)=0,"",VLOOKUP($B102,'ACS Price List'!$A$12:$P$180,G$1,FALSE))</f>
        <v>HVSLDU</v>
      </c>
      <c r="H102" s="271" t="str">
        <f>IF(VLOOKUP($B102,'ACS Price List'!$A$12:$P$180,H$1,FALSE)=0,"",VLOOKUP($B102,'ACS Price List'!$A$12:$P$180,H$1,FALSE))</f>
        <v>HVSLDS</v>
      </c>
      <c r="I102" s="271" t="str">
        <f>IF(VLOOKUP($B102,'ACS Price List'!$A$12:$P$180,I$1,FALSE)=0,"",VLOOKUP($B102,'ACS Price List'!$A$12:$P$180,I$1,FALSE))</f>
        <v>HVSLDL</v>
      </c>
      <c r="J102" s="272" t="str">
        <f>IF(VLOOKUP($B102,'ACS Price List'!$A$12:$P$180,J$1,FALSE)=0,"",VLOOKUP($B102,'ACS Price List'!$A$12:$P$180,J$1,FALSE))</f>
        <v>HVSLDI</v>
      </c>
      <c r="K102" s="292" t="str">
        <f t="shared" si="1"/>
        <v>GENM series or applicable Metering Service product code**</v>
      </c>
      <c r="L102" s="271"/>
      <c r="M102" s="271"/>
      <c r="N102" s="272"/>
      <c r="O102" s="271" t="s">
        <v>447</v>
      </c>
      <c r="P102" s="271" t="s">
        <v>654</v>
      </c>
      <c r="Q102" s="271" t="str">
        <f>IFERROR(IF(VLOOKUP($D102,'ACS Price List'!$A$12:$P$180,I$1,FALSE)=0,"",VLOOKUP($D102,'ACS Price List'!$A$12:$P$180,I$1,FALSE)),"")</f>
        <v/>
      </c>
      <c r="R102" s="276" t="str">
        <f>IFERROR(IF(VLOOKUP($D102,'ACS Price List'!$A$12:$P$180,J$1,FALSE)=0,"",VLOOKUP($D102,'ACS Price List'!$A$12:$P$180,J$1,FALSE)),"")</f>
        <v/>
      </c>
    </row>
    <row r="103" spans="1:18" s="102" customFormat="1" x14ac:dyDescent="0.2">
      <c r="A103" s="252"/>
      <c r="B103" s="97">
        <v>62</v>
      </c>
      <c r="C103" s="97" t="s">
        <v>614</v>
      </c>
      <c r="D103" s="251"/>
      <c r="E103" s="521"/>
      <c r="F103" s="272" t="str">
        <f>VLOOKUP(B103,'ACS Price List'!$A$12:$P$180,2,FALSE)</f>
        <v>Supply enhancement</v>
      </c>
      <c r="G103" s="271" t="str">
        <f>IF(VLOOKUP($B103,'ACS Price List'!$A$12:$P$180,G$1,FALSE)=0,"",VLOOKUP($B103,'ACS Price List'!$A$12:$P$180,G$1,FALSE))</f>
        <v>SUPENHU</v>
      </c>
      <c r="H103" s="271" t="str">
        <f>IF(VLOOKUP($B103,'ACS Price List'!$A$12:$P$180,H$1,FALSE)=0,"",VLOOKUP($B103,'ACS Price List'!$A$12:$P$180,H$1,FALSE))</f>
        <v>SUPENHS</v>
      </c>
      <c r="I103" s="271" t="str">
        <f>IF(VLOOKUP($B103,'ACS Price List'!$A$12:$P$180,I$1,FALSE)=0,"",VLOOKUP($B103,'ACS Price List'!$A$12:$P$180,I$1,FALSE))</f>
        <v>SUPENHL</v>
      </c>
      <c r="J103" s="272" t="str">
        <f>IF(VLOOKUP($B103,'ACS Price List'!$A$12:$P$180,J$1,FALSE)=0,"",VLOOKUP($B103,'ACS Price List'!$A$12:$P$180,J$1,FALSE))</f>
        <v>SUPENHI</v>
      </c>
      <c r="K103" s="292" t="str">
        <f t="shared" si="1"/>
        <v>GENM series or applicable Metering Service product code**</v>
      </c>
      <c r="L103" s="271"/>
      <c r="M103" s="271"/>
      <c r="N103" s="272"/>
      <c r="O103" s="271" t="s">
        <v>447</v>
      </c>
      <c r="P103" s="271" t="s">
        <v>654</v>
      </c>
      <c r="Q103" s="271" t="str">
        <f>IFERROR(IF(VLOOKUP($D103,'ACS Price List'!$A$12:$P$180,I$1,FALSE)=0,"",VLOOKUP($D103,'ACS Price List'!$A$12:$P$180,I$1,FALSE)),"")</f>
        <v/>
      </c>
      <c r="R103" s="276" t="str">
        <f>IFERROR(IF(VLOOKUP($D103,'ACS Price List'!$A$12:$P$180,J$1,FALSE)=0,"",VLOOKUP($D103,'ACS Price List'!$A$12:$P$180,J$1,FALSE)),"")</f>
        <v/>
      </c>
    </row>
    <row r="104" spans="1:18" s="102" customFormat="1" x14ac:dyDescent="0.2">
      <c r="A104" s="252"/>
      <c r="B104" s="97">
        <v>63</v>
      </c>
      <c r="C104" s="97" t="s">
        <v>614</v>
      </c>
      <c r="D104" s="251"/>
      <c r="E104" s="521"/>
      <c r="F104" s="272" t="str">
        <f>VLOOKUP(B104,'ACS Price List'!$A$12:$P$180,2,FALSE)</f>
        <v>Provision of connection services above minimum requirements</v>
      </c>
      <c r="G104" s="271" t="str">
        <f>IF(VLOOKUP($B104,'ACS Price List'!$A$12:$P$180,G$1,FALSE)=0,"",VLOOKUP($B104,'ACS Price List'!$A$12:$P$180,G$1,FALSE))</f>
        <v>As Quoted</v>
      </c>
      <c r="H104" s="271" t="str">
        <f>IF(VLOOKUP($B104,'ACS Price List'!$A$12:$P$180,H$1,FALSE)=0,"",VLOOKUP($B104,'ACS Price List'!$A$12:$P$180,H$1,FALSE))</f>
        <v/>
      </c>
      <c r="I104" s="271" t="str">
        <f>IF(VLOOKUP($B104,'ACS Price List'!$A$12:$P$180,I$1,FALSE)=0,"",VLOOKUP($B104,'ACS Price List'!$A$12:$P$180,I$1,FALSE))</f>
        <v/>
      </c>
      <c r="J104" s="272" t="str">
        <f>IF(VLOOKUP($B104,'ACS Price List'!$A$12:$P$180,J$1,FALSE)=0,"",VLOOKUP($B104,'ACS Price List'!$A$12:$P$180,J$1,FALSE))</f>
        <v/>
      </c>
      <c r="K104" s="292" t="str">
        <f t="shared" si="1"/>
        <v>GENM series or applicable Metering Service product code**</v>
      </c>
      <c r="L104" s="271"/>
      <c r="M104" s="271"/>
      <c r="N104" s="272"/>
      <c r="O104" s="271" t="s">
        <v>447</v>
      </c>
      <c r="P104" s="271" t="s">
        <v>654</v>
      </c>
      <c r="Q104" s="271" t="str">
        <f>IFERROR(IF(VLOOKUP($D104,'ACS Price List'!$A$12:$P$180,I$1,FALSE)=0,"",VLOOKUP($D104,'ACS Price List'!$A$12:$P$180,I$1,FALSE)),"")</f>
        <v/>
      </c>
      <c r="R104" s="276" t="str">
        <f>IFERROR(IF(VLOOKUP($D104,'ACS Price List'!$A$12:$P$180,J$1,FALSE)=0,"",VLOOKUP($D104,'ACS Price List'!$A$12:$P$180,J$1,FALSE)),"")</f>
        <v/>
      </c>
    </row>
    <row r="105" spans="1:18" s="102" customFormat="1" x14ac:dyDescent="0.2">
      <c r="A105" s="252"/>
      <c r="B105" s="97">
        <v>64</v>
      </c>
      <c r="C105" s="97" t="s">
        <v>614</v>
      </c>
      <c r="D105" s="251"/>
      <c r="E105" s="521"/>
      <c r="F105" s="272" t="str">
        <f>VLOOKUP(B105,'ACS Price List'!$A$12:$P$180,2,FALSE)</f>
        <v>Upgrade from overhead to underground service</v>
      </c>
      <c r="G105" s="271" t="str">
        <f>IF(VLOOKUP($B105,'ACS Price List'!$A$12:$P$180,G$1,FALSE)=0,"",VLOOKUP($B105,'ACS Price List'!$A$12:$P$180,G$1,FALSE))</f>
        <v>As Quoted</v>
      </c>
      <c r="H105" s="271" t="str">
        <f>IF(VLOOKUP($B105,'ACS Price List'!$A$12:$P$180,H$1,FALSE)=0,"",VLOOKUP($B105,'ACS Price List'!$A$12:$P$180,H$1,FALSE))</f>
        <v/>
      </c>
      <c r="I105" s="271" t="str">
        <f>IF(VLOOKUP($B105,'ACS Price List'!$A$12:$P$180,I$1,FALSE)=0,"",VLOOKUP($B105,'ACS Price List'!$A$12:$P$180,I$1,FALSE))</f>
        <v/>
      </c>
      <c r="J105" s="272" t="str">
        <f>IF(VLOOKUP($B105,'ACS Price List'!$A$12:$P$180,J$1,FALSE)=0,"",VLOOKUP($B105,'ACS Price List'!$A$12:$P$180,J$1,FALSE))</f>
        <v/>
      </c>
      <c r="K105" s="292" t="str">
        <f t="shared" si="1"/>
        <v>GENM series or applicable Metering Service product code**</v>
      </c>
      <c r="L105" s="271"/>
      <c r="M105" s="271"/>
      <c r="N105" s="272"/>
      <c r="O105" s="271" t="s">
        <v>447</v>
      </c>
      <c r="P105" s="271" t="s">
        <v>654</v>
      </c>
      <c r="Q105" s="271" t="str">
        <f>IFERROR(IF(VLOOKUP($D105,'ACS Price List'!$A$12:$P$180,I$1,FALSE)=0,"",VLOOKUP($D105,'ACS Price List'!$A$12:$P$180,I$1,FALSE)),"")</f>
        <v/>
      </c>
      <c r="R105" s="276" t="str">
        <f>IFERROR(IF(VLOOKUP($D105,'ACS Price List'!$A$12:$P$180,J$1,FALSE)=0,"",VLOOKUP($D105,'ACS Price List'!$A$12:$P$180,J$1,FALSE)),"")</f>
        <v/>
      </c>
    </row>
    <row r="106" spans="1:18" s="102" customFormat="1" x14ac:dyDescent="0.2">
      <c r="A106" s="252"/>
      <c r="B106" s="97">
        <v>65</v>
      </c>
      <c r="C106" s="97" t="s">
        <v>614</v>
      </c>
      <c r="D106" s="251"/>
      <c r="E106" s="521"/>
      <c r="F106" s="272" t="str">
        <f>VLOOKUP(B106,'ACS Price List'!$A$12:$P$180,2,FALSE)</f>
        <v>Rectification of illegal connections or damage to overhead or underground service cables</v>
      </c>
      <c r="G106" s="271" t="str">
        <f>IF(VLOOKUP($B106,'ACS Price List'!$A$12:$P$180,G$1,FALSE)=0,"",VLOOKUP($B106,'ACS Price List'!$A$12:$P$180,G$1,FALSE))</f>
        <v>As Quoted</v>
      </c>
      <c r="H106" s="271" t="str">
        <f>IF(VLOOKUP($B106,'ACS Price List'!$A$12:$P$180,H$1,FALSE)=0,"",VLOOKUP($B106,'ACS Price List'!$A$12:$P$180,H$1,FALSE))</f>
        <v/>
      </c>
      <c r="I106" s="271" t="str">
        <f>IF(VLOOKUP($B106,'ACS Price List'!$A$12:$P$180,I$1,FALSE)=0,"",VLOOKUP($B106,'ACS Price List'!$A$12:$P$180,I$1,FALSE))</f>
        <v/>
      </c>
      <c r="J106" s="272" t="str">
        <f>IF(VLOOKUP($B106,'ACS Price List'!$A$12:$P$180,J$1,FALSE)=0,"",VLOOKUP($B106,'ACS Price List'!$A$12:$P$180,J$1,FALSE))</f>
        <v/>
      </c>
      <c r="K106" s="292" t="str">
        <f t="shared" si="1"/>
        <v>GENM series or applicable Metering Service product code**</v>
      </c>
      <c r="L106" s="271"/>
      <c r="M106" s="271"/>
      <c r="N106" s="272"/>
      <c r="O106" s="271" t="s">
        <v>447</v>
      </c>
      <c r="P106" s="271" t="s">
        <v>654</v>
      </c>
      <c r="Q106" s="271" t="str">
        <f>IFERROR(IF(VLOOKUP($D106,'ACS Price List'!$A$12:$P$180,I$1,FALSE)=0,"",VLOOKUP($D106,'ACS Price List'!$A$12:$P$180,I$1,FALSE)),"")</f>
        <v/>
      </c>
      <c r="R106" s="276" t="str">
        <f>IFERROR(IF(VLOOKUP($D106,'ACS Price List'!$A$12:$P$180,J$1,FALSE)=0,"",VLOOKUP($D106,'ACS Price List'!$A$12:$P$180,J$1,FALSE)),"")</f>
        <v/>
      </c>
    </row>
    <row r="107" spans="1:18" s="102" customFormat="1" x14ac:dyDescent="0.2">
      <c r="A107" s="252"/>
      <c r="B107" s="97">
        <v>66</v>
      </c>
      <c r="C107" s="97"/>
      <c r="D107" s="250" t="s">
        <v>137</v>
      </c>
      <c r="E107" s="521"/>
      <c r="F107" s="272" t="str">
        <f>VLOOKUP(B107,'ACS Price List'!$A$12:$P$180,2,FALSE)</f>
        <v>De-energisation after business hours</v>
      </c>
      <c r="G107" s="271" t="str">
        <f>IF(VLOOKUP($B107,'ACS Price List'!$A$12:$P$180,G$1,FALSE)=0,"",VLOOKUP($B107,'ACS Price List'!$A$12:$P$180,G$1,FALSE))</f>
        <v>DEENAHU</v>
      </c>
      <c r="H107" s="271" t="str">
        <f>IF(VLOOKUP($B107,'ACS Price List'!$A$12:$P$180,H$1,FALSE)=0,"",VLOOKUP($B107,'ACS Price List'!$A$12:$P$180,H$1,FALSE))</f>
        <v>DEENAHS</v>
      </c>
      <c r="I107" s="271" t="str">
        <f>IF(VLOOKUP($B107,'ACS Price List'!$A$12:$P$180,I$1,FALSE)=0,"",VLOOKUP($B107,'ACS Price List'!$A$12:$P$180,I$1,FALSE))</f>
        <v>DEENAHL</v>
      </c>
      <c r="J107" s="272" t="str">
        <f>IF(VLOOKUP($B107,'ACS Price List'!$A$12:$P$180,J$1,FALSE)=0,"",VLOOKUP($B107,'ACS Price List'!$A$12:$P$180,J$1,FALSE))</f>
        <v>DEENAHI</v>
      </c>
      <c r="K107" s="292" t="str">
        <f t="shared" si="0"/>
        <v/>
      </c>
      <c r="L107" s="271"/>
      <c r="M107" s="271"/>
      <c r="N107" s="272"/>
      <c r="O107" s="271" t="str">
        <f>IFERROR(IF(VLOOKUP($D107,'ACS Price List'!$A$12:$P$180,G$1,FALSE)=0,"",VLOOKUP($D107,'ACS Price List'!$A$12:$P$180,G$1,FALSE)),"")</f>
        <v>CFDEENAHU</v>
      </c>
      <c r="P107" s="271" t="str">
        <f>IFERROR(IF(VLOOKUP($D107,'ACS Price List'!$A$12:$P$180,H$1,FALSE)=0,"",VLOOKUP($D107,'ACS Price List'!$A$12:$P$180,H$1,FALSE)),"")</f>
        <v>CFDEENAHS</v>
      </c>
      <c r="Q107" s="271" t="str">
        <f>IFERROR(IF(VLOOKUP($D107,'ACS Price List'!$A$12:$P$180,I$1,FALSE)=0,"",VLOOKUP($D107,'ACS Price List'!$A$12:$P$180,I$1,FALSE)),"")</f>
        <v>CFDEENAHL</v>
      </c>
      <c r="R107" s="276" t="str">
        <f>IFERROR(IF(VLOOKUP($D107,'ACS Price List'!$A$12:$P$180,J$1,FALSE)=0,"",VLOOKUP($D107,'ACS Price List'!$A$12:$P$180,J$1,FALSE)),"")</f>
        <v>CFDEENAHI</v>
      </c>
    </row>
    <row r="108" spans="1:18" s="102" customFormat="1" x14ac:dyDescent="0.2">
      <c r="A108" s="252"/>
      <c r="B108" s="97">
        <v>67</v>
      </c>
      <c r="C108" s="97"/>
      <c r="D108" s="250" t="s">
        <v>142</v>
      </c>
      <c r="E108" s="521"/>
      <c r="F108" s="272" t="str">
        <f>VLOOKUP(B108,'ACS Price List'!$A$12:$P$180,2,FALSE)</f>
        <v>Re-energisation after business hours</v>
      </c>
      <c r="G108" s="271" t="str">
        <f>IF(VLOOKUP($B108,'ACS Price List'!$A$12:$P$180,G$1,FALSE)=0,"",VLOOKUP($B108,'ACS Price List'!$A$12:$P$180,G$1,FALSE))</f>
        <v>REENAHU</v>
      </c>
      <c r="H108" s="271" t="str">
        <f>IF(VLOOKUP($B108,'ACS Price List'!$A$12:$P$180,H$1,FALSE)=0,"",VLOOKUP($B108,'ACS Price List'!$A$12:$P$180,H$1,FALSE))</f>
        <v>REENAHS</v>
      </c>
      <c r="I108" s="271" t="str">
        <f>IF(VLOOKUP($B108,'ACS Price List'!$A$12:$P$180,I$1,FALSE)=0,"",VLOOKUP($B108,'ACS Price List'!$A$12:$P$180,I$1,FALSE))</f>
        <v>REENAHL</v>
      </c>
      <c r="J108" s="272" t="str">
        <f>IF(VLOOKUP($B108,'ACS Price List'!$A$12:$P$180,J$1,FALSE)=0,"",VLOOKUP($B108,'ACS Price List'!$A$12:$P$180,J$1,FALSE))</f>
        <v>REENAHI</v>
      </c>
      <c r="K108" s="292" t="str">
        <f t="shared" si="0"/>
        <v/>
      </c>
      <c r="L108" s="271"/>
      <c r="M108" s="271"/>
      <c r="N108" s="272"/>
      <c r="O108" s="271" t="str">
        <f>IFERROR(IF(VLOOKUP($D108,'ACS Price List'!$A$12:$P$180,G$1,FALSE)=0,"",VLOOKUP($D108,'ACS Price List'!$A$12:$P$180,G$1,FALSE)),"")</f>
        <v>CFREENAHU</v>
      </c>
      <c r="P108" s="271" t="str">
        <f>IFERROR(IF(VLOOKUP($D108,'ACS Price List'!$A$12:$P$180,H$1,FALSE)=0,"",VLOOKUP($D108,'ACS Price List'!$A$12:$P$180,H$1,FALSE)),"")</f>
        <v>CFREENAHS</v>
      </c>
      <c r="Q108" s="271" t="str">
        <f>IFERROR(IF(VLOOKUP($D108,'ACS Price List'!$A$12:$P$180,I$1,FALSE)=0,"",VLOOKUP($D108,'ACS Price List'!$A$12:$P$180,I$1,FALSE)),"")</f>
        <v>CFREENAHL</v>
      </c>
      <c r="R108" s="276" t="str">
        <f>IFERROR(IF(VLOOKUP($D108,'ACS Price List'!$A$12:$P$180,J$1,FALSE)=0,"",VLOOKUP($D108,'ACS Price List'!$A$12:$P$180,J$1,FALSE)),"")</f>
        <v>CFREENAHI</v>
      </c>
    </row>
    <row r="109" spans="1:18" s="104" customFormat="1" x14ac:dyDescent="0.2">
      <c r="A109" s="252"/>
      <c r="B109" s="97" t="s">
        <v>655</v>
      </c>
      <c r="C109" s="97"/>
      <c r="D109" s="250" t="s">
        <v>142</v>
      </c>
      <c r="E109" s="521"/>
      <c r="F109" s="272" t="str">
        <f>VLOOKUP(B109,'ACS Price List'!$A$12:$P$180,2,FALSE)</f>
        <v xml:space="preserve">Visual examination after business hours for remote re-energisation </v>
      </c>
      <c r="G109" s="271" t="str">
        <f>IF(VLOOKUP($B109,'ACS Price List'!$A$12:$P$180,G$1,FALSE)=0,"",VLOOKUP($B109,'ACS Price List'!$A$12:$P$180,G$1,FALSE))</f>
        <v>VEREENAHU</v>
      </c>
      <c r="H109" s="271" t="str">
        <f>IF(VLOOKUP($B109,'ACS Price List'!$A$12:$P$180,H$1,FALSE)=0,"",VLOOKUP($B109,'ACS Price List'!$A$12:$P$180,H$1,FALSE))</f>
        <v>VEREENAHS</v>
      </c>
      <c r="I109" s="271" t="str">
        <f>IF(VLOOKUP($B109,'ACS Price List'!$A$12:$P$180,I$1,FALSE)=0,"",VLOOKUP($B109,'ACS Price List'!$A$12:$P$180,I$1,FALSE))</f>
        <v>VEREENAHL</v>
      </c>
      <c r="J109" s="272" t="str">
        <f>IF(VLOOKUP($B109,'ACS Price List'!$A$12:$P$180,J$1,FALSE)=0,"",VLOOKUP($B109,'ACS Price List'!$A$12:$P$180,J$1,FALSE))</f>
        <v>VEREENAHI</v>
      </c>
      <c r="K109" s="292" t="str">
        <f t="shared" si="0"/>
        <v/>
      </c>
      <c r="L109" s="271"/>
      <c r="M109" s="271"/>
      <c r="N109" s="272"/>
      <c r="O109" s="271" t="str">
        <f>IFERROR(IF(VLOOKUP($D109,'ACS Price List'!$A$12:$P$180,G$1,FALSE)=0,"",VLOOKUP($D109,'ACS Price List'!$A$12:$P$180,G$1,FALSE)),"")</f>
        <v>CFREENAHU</v>
      </c>
      <c r="P109" s="271" t="str">
        <f>IFERROR(IF(VLOOKUP($D109,'ACS Price List'!$A$12:$P$180,H$1,FALSE)=0,"",VLOOKUP($D109,'ACS Price List'!$A$12:$P$180,H$1,FALSE)),"")</f>
        <v>CFREENAHS</v>
      </c>
      <c r="Q109" s="271" t="str">
        <f>IFERROR(IF(VLOOKUP($D109,'ACS Price List'!$A$12:$P$180,I$1,FALSE)=0,"",VLOOKUP($D109,'ACS Price List'!$A$12:$P$180,I$1,FALSE)),"")</f>
        <v>CFREENAHL</v>
      </c>
      <c r="R109" s="276" t="str">
        <f>IFERROR(IF(VLOOKUP($D109,'ACS Price List'!$A$12:$P$180,J$1,FALSE)=0,"",VLOOKUP($D109,'ACS Price List'!$A$12:$P$180,J$1,FALSE)),"")</f>
        <v>CFREENAHI</v>
      </c>
    </row>
    <row r="110" spans="1:18" s="102" customFormat="1" x14ac:dyDescent="0.2">
      <c r="A110" s="252"/>
      <c r="B110" s="97">
        <v>68</v>
      </c>
      <c r="C110" s="97"/>
      <c r="D110" s="251"/>
      <c r="E110" s="521"/>
      <c r="F110" s="272" t="str">
        <f>VLOOKUP(B110,'ACS Price List'!$A$12:$P$180,2,FALSE)</f>
        <v>Accreditation of alternative service providers - major customer connections</v>
      </c>
      <c r="G110" s="271" t="str">
        <f>IF(VLOOKUP($B110,'ACS Price List'!$A$12:$P$180,G$1,FALSE)=0,"",VLOOKUP($B110,'ACS Price List'!$A$12:$P$180,G$1,FALSE))</f>
        <v>As Quoted</v>
      </c>
      <c r="H110" s="271" t="str">
        <f>IF(VLOOKUP($B110,'ACS Price List'!$A$12:$P$180,H$1,FALSE)=0,"",VLOOKUP($B110,'ACS Price List'!$A$12:$P$180,H$1,FALSE))</f>
        <v/>
      </c>
      <c r="I110" s="271" t="str">
        <f>IF(VLOOKUP($B110,'ACS Price List'!$A$12:$P$180,I$1,FALSE)=0,"",VLOOKUP($B110,'ACS Price List'!$A$12:$P$180,I$1,FALSE))</f>
        <v/>
      </c>
      <c r="J110" s="272" t="str">
        <f>IF(VLOOKUP($B110,'ACS Price List'!$A$12:$P$180,J$1,FALSE)=0,"",VLOOKUP($B110,'ACS Price List'!$A$12:$P$180,J$1,FALSE))</f>
        <v/>
      </c>
      <c r="K110" s="292" t="str">
        <f t="shared" si="0"/>
        <v/>
      </c>
      <c r="L110" s="271"/>
      <c r="M110" s="271"/>
      <c r="N110" s="272"/>
      <c r="O110" s="271" t="s">
        <v>447</v>
      </c>
      <c r="P110" s="271" t="s">
        <v>654</v>
      </c>
      <c r="Q110" s="271" t="str">
        <f>IFERROR(IF(VLOOKUP($D110,'ACS Price List'!$A$12:$P$180,I$1,FALSE)=0,"",VLOOKUP($D110,'ACS Price List'!$A$12:$P$180,I$1,FALSE)),"")</f>
        <v/>
      </c>
      <c r="R110" s="276" t="str">
        <f>IFERROR(IF(VLOOKUP($D110,'ACS Price List'!$A$12:$P$180,J$1,FALSE)=0,"",VLOOKUP($D110,'ACS Price List'!$A$12:$P$180,J$1,FALSE)),"")</f>
        <v/>
      </c>
    </row>
    <row r="111" spans="1:18" s="102" customFormat="1" x14ac:dyDescent="0.2">
      <c r="A111" s="252"/>
      <c r="B111" s="97">
        <v>69</v>
      </c>
      <c r="C111" s="97"/>
      <c r="D111" s="251"/>
      <c r="E111" s="521"/>
      <c r="F111" s="272" t="str">
        <f>VLOOKUP(B111,'ACS Price List'!$A$12:$P$180,2,FALSE)</f>
        <v>Approval of third party design - major customer connections</v>
      </c>
      <c r="G111" s="271" t="str">
        <f>IF(VLOOKUP($B111,'ACS Price List'!$A$12:$P$180,G$1,FALSE)=0,"",VLOOKUP($B111,'ACS Price List'!$A$12:$P$180,G$1,FALSE))</f>
        <v>As Quoted</v>
      </c>
      <c r="H111" s="271" t="str">
        <f>IF(VLOOKUP($B111,'ACS Price List'!$A$12:$P$180,H$1,FALSE)=0,"",VLOOKUP($B111,'ACS Price List'!$A$12:$P$180,H$1,FALSE))</f>
        <v/>
      </c>
      <c r="I111" s="271" t="str">
        <f>IF(VLOOKUP($B111,'ACS Price List'!$A$12:$P$180,I$1,FALSE)=0,"",VLOOKUP($B111,'ACS Price List'!$A$12:$P$180,I$1,FALSE))</f>
        <v/>
      </c>
      <c r="J111" s="272" t="str">
        <f>IF(VLOOKUP($B111,'ACS Price List'!$A$12:$P$180,J$1,FALSE)=0,"",VLOOKUP($B111,'ACS Price List'!$A$12:$P$180,J$1,FALSE))</f>
        <v/>
      </c>
      <c r="K111" s="292" t="str">
        <f t="shared" si="0"/>
        <v/>
      </c>
      <c r="L111" s="271"/>
      <c r="M111" s="271"/>
      <c r="N111" s="272"/>
      <c r="O111" s="271" t="s">
        <v>447</v>
      </c>
      <c r="P111" s="271" t="s">
        <v>654</v>
      </c>
      <c r="Q111" s="271" t="str">
        <f>IFERROR(IF(VLOOKUP($D111,'ACS Price List'!$A$12:$P$180,I$1,FALSE)=0,"",VLOOKUP($D111,'ACS Price List'!$A$12:$P$180,I$1,FALSE)),"")</f>
        <v/>
      </c>
      <c r="R111" s="276" t="str">
        <f>IFERROR(IF(VLOOKUP($D111,'ACS Price List'!$A$12:$P$180,J$1,FALSE)=0,"",VLOOKUP($D111,'ACS Price List'!$A$12:$P$180,J$1,FALSE)),"")</f>
        <v/>
      </c>
    </row>
    <row r="112" spans="1:18" s="102" customFormat="1" x14ac:dyDescent="0.2">
      <c r="A112" s="252"/>
      <c r="B112" s="97">
        <v>70</v>
      </c>
      <c r="C112" s="97"/>
      <c r="D112" s="251"/>
      <c r="E112" s="521"/>
      <c r="F112" s="272" t="str">
        <f>VLOOKUP(B112,'ACS Price List'!$A$12:$P$180,2,FALSE)</f>
        <v>Approval of third party design - real estate developments</v>
      </c>
      <c r="G112" s="271" t="str">
        <f>IF(VLOOKUP($B112,'ACS Price List'!$A$12:$P$180,G$1,FALSE)=0,"",VLOOKUP($B112,'ACS Price List'!$A$12:$P$180,G$1,FALSE))</f>
        <v>As Quoted</v>
      </c>
      <c r="H112" s="271" t="str">
        <f>IF(VLOOKUP($B112,'ACS Price List'!$A$12:$P$180,H$1,FALSE)=0,"",VLOOKUP($B112,'ACS Price List'!$A$12:$P$180,H$1,FALSE))</f>
        <v/>
      </c>
      <c r="I112" s="271" t="str">
        <f>IF(VLOOKUP($B112,'ACS Price List'!$A$12:$P$180,I$1,FALSE)=0,"",VLOOKUP($B112,'ACS Price List'!$A$12:$P$180,I$1,FALSE))</f>
        <v/>
      </c>
      <c r="J112" s="272" t="str">
        <f>IF(VLOOKUP($B112,'ACS Price List'!$A$12:$P$180,J$1,FALSE)=0,"",VLOOKUP($B112,'ACS Price List'!$A$12:$P$180,J$1,FALSE))</f>
        <v/>
      </c>
      <c r="K112" s="292" t="str">
        <f t="shared" si="0"/>
        <v/>
      </c>
      <c r="L112" s="271"/>
      <c r="M112" s="271"/>
      <c r="N112" s="272"/>
      <c r="O112" s="271" t="s">
        <v>447</v>
      </c>
      <c r="P112" s="271" t="s">
        <v>654</v>
      </c>
      <c r="Q112" s="271" t="str">
        <f>IFERROR(IF(VLOOKUP($D112,'ACS Price List'!$A$12:$P$180,I$1,FALSE)=0,"",VLOOKUP($D112,'ACS Price List'!$A$12:$P$180,I$1,FALSE)),"")</f>
        <v/>
      </c>
      <c r="R112" s="276" t="str">
        <f>IFERROR(IF(VLOOKUP($D112,'ACS Price List'!$A$12:$P$180,J$1,FALSE)=0,"",VLOOKUP($D112,'ACS Price List'!$A$12:$P$180,J$1,FALSE)),"")</f>
        <v/>
      </c>
    </row>
    <row r="113" spans="1:18" s="102" customFormat="1" x14ac:dyDescent="0.2">
      <c r="A113" s="252"/>
      <c r="B113" s="97">
        <v>71</v>
      </c>
      <c r="C113" s="97"/>
      <c r="D113" s="251"/>
      <c r="E113" s="521"/>
      <c r="F113" s="272" t="str">
        <f>VLOOKUP(B113,'ACS Price List'!$A$12:$P$180,2,FALSE)</f>
        <v>Construction audit - major customer connections</v>
      </c>
      <c r="G113" s="271" t="str">
        <f>IF(VLOOKUP($B113,'ACS Price List'!$A$12:$P$180,G$1,FALSE)=0,"",VLOOKUP($B113,'ACS Price List'!$A$12:$P$180,G$1,FALSE))</f>
        <v>As Quoted</v>
      </c>
      <c r="H113" s="271" t="str">
        <f>IF(VLOOKUP($B113,'ACS Price List'!$A$12:$P$180,H$1,FALSE)=0,"",VLOOKUP($B113,'ACS Price List'!$A$12:$P$180,H$1,FALSE))</f>
        <v/>
      </c>
      <c r="I113" s="271" t="str">
        <f>IF(VLOOKUP($B113,'ACS Price List'!$A$12:$P$180,I$1,FALSE)=0,"",VLOOKUP($B113,'ACS Price List'!$A$12:$P$180,I$1,FALSE))</f>
        <v/>
      </c>
      <c r="J113" s="272" t="str">
        <f>IF(VLOOKUP($B113,'ACS Price List'!$A$12:$P$180,J$1,FALSE)=0,"",VLOOKUP($B113,'ACS Price List'!$A$12:$P$180,J$1,FALSE))</f>
        <v/>
      </c>
      <c r="K113" s="292" t="str">
        <f t="shared" si="0"/>
        <v/>
      </c>
      <c r="L113" s="271"/>
      <c r="M113" s="271"/>
      <c r="N113" s="272"/>
      <c r="O113" s="271" t="s">
        <v>447</v>
      </c>
      <c r="P113" s="271" t="s">
        <v>654</v>
      </c>
      <c r="Q113" s="271" t="str">
        <f>IFERROR(IF(VLOOKUP($D113,'ACS Price List'!$A$12:$P$180,I$1,FALSE)=0,"",VLOOKUP($D113,'ACS Price List'!$A$12:$P$180,I$1,FALSE)),"")</f>
        <v/>
      </c>
      <c r="R113" s="276" t="str">
        <f>IFERROR(IF(VLOOKUP($D113,'ACS Price List'!$A$12:$P$180,J$1,FALSE)=0,"",VLOOKUP($D113,'ACS Price List'!$A$12:$P$180,J$1,FALSE)),"")</f>
        <v/>
      </c>
    </row>
    <row r="114" spans="1:18" s="102" customFormat="1" x14ac:dyDescent="0.2">
      <c r="A114" s="252"/>
      <c r="B114" s="97">
        <v>72</v>
      </c>
      <c r="C114" s="97"/>
      <c r="D114" s="251"/>
      <c r="E114" s="521"/>
      <c r="F114" s="272" t="str">
        <f>VLOOKUP(B114,'ACS Price List'!$A$12:$P$180,2,FALSE)</f>
        <v>Construction audit - real estate developments</v>
      </c>
      <c r="G114" s="271" t="str">
        <f>IF(VLOOKUP($B114,'ACS Price List'!$A$12:$P$180,G$1,FALSE)=0,"",VLOOKUP($B114,'ACS Price List'!$A$12:$P$180,G$1,FALSE))</f>
        <v>As Quoted</v>
      </c>
      <c r="H114" s="271" t="str">
        <f>IF(VLOOKUP($B114,'ACS Price List'!$A$12:$P$180,H$1,FALSE)=0,"",VLOOKUP($B114,'ACS Price List'!$A$12:$P$180,H$1,FALSE))</f>
        <v/>
      </c>
      <c r="I114" s="271" t="str">
        <f>IF(VLOOKUP($B114,'ACS Price List'!$A$12:$P$180,I$1,FALSE)=0,"",VLOOKUP($B114,'ACS Price List'!$A$12:$P$180,I$1,FALSE))</f>
        <v/>
      </c>
      <c r="J114" s="272" t="str">
        <f>IF(VLOOKUP($B114,'ACS Price List'!$A$12:$P$180,J$1,FALSE)=0,"",VLOOKUP($B114,'ACS Price List'!$A$12:$P$180,J$1,FALSE))</f>
        <v/>
      </c>
      <c r="K114" s="292" t="str">
        <f t="shared" si="0"/>
        <v/>
      </c>
      <c r="L114" s="271"/>
      <c r="M114" s="271"/>
      <c r="N114" s="272"/>
      <c r="O114" s="271" t="s">
        <v>447</v>
      </c>
      <c r="P114" s="271" t="s">
        <v>654</v>
      </c>
      <c r="Q114" s="271" t="str">
        <f>IFERROR(IF(VLOOKUP($D114,'ACS Price List'!$A$12:$P$180,I$1,FALSE)=0,"",VLOOKUP($D114,'ACS Price List'!$A$12:$P$180,I$1,FALSE)),"")</f>
        <v/>
      </c>
      <c r="R114" s="276" t="str">
        <f>IFERROR(IF(VLOOKUP($D114,'ACS Price List'!$A$12:$P$180,J$1,FALSE)=0,"",VLOOKUP($D114,'ACS Price List'!$A$12:$P$180,J$1,FALSE)),"")</f>
        <v/>
      </c>
    </row>
    <row r="115" spans="1:18" s="102" customFormat="1" x14ac:dyDescent="0.2">
      <c r="A115" s="252"/>
      <c r="B115" s="97">
        <v>73</v>
      </c>
      <c r="C115" s="97"/>
      <c r="D115" s="251"/>
      <c r="E115" s="521"/>
      <c r="F115" s="272" t="str">
        <f>VLOOKUP(B115,'ACS Price List'!$A$12:$P$180,2,FALSE)</f>
        <v>Approval of third party materials</v>
      </c>
      <c r="G115" s="271" t="str">
        <f>IF(VLOOKUP($B115,'ACS Price List'!$A$12:$P$180,G$1,FALSE)=0,"",VLOOKUP($B115,'ACS Price List'!$A$12:$P$180,G$1,FALSE))</f>
        <v>As Quoted</v>
      </c>
      <c r="H115" s="271" t="str">
        <f>IF(VLOOKUP($B115,'ACS Price List'!$A$12:$P$180,H$1,FALSE)=0,"",VLOOKUP($B115,'ACS Price List'!$A$12:$P$180,H$1,FALSE))</f>
        <v/>
      </c>
      <c r="I115" s="271" t="str">
        <f>IF(VLOOKUP($B115,'ACS Price List'!$A$12:$P$180,I$1,FALSE)=0,"",VLOOKUP($B115,'ACS Price List'!$A$12:$P$180,I$1,FALSE))</f>
        <v/>
      </c>
      <c r="J115" s="272" t="str">
        <f>IF(VLOOKUP($B115,'ACS Price List'!$A$12:$P$180,J$1,FALSE)=0,"",VLOOKUP($B115,'ACS Price List'!$A$12:$P$180,J$1,FALSE))</f>
        <v/>
      </c>
      <c r="K115" s="292" t="str">
        <f t="shared" si="0"/>
        <v/>
      </c>
      <c r="L115" s="271"/>
      <c r="M115" s="271"/>
      <c r="N115" s="272"/>
      <c r="O115" s="271" t="s">
        <v>447</v>
      </c>
      <c r="P115" s="271" t="s">
        <v>654</v>
      </c>
      <c r="Q115" s="271" t="str">
        <f>IFERROR(IF(VLOOKUP($D115,'ACS Price List'!$A$12:$P$180,I$1,FALSE)=0,"",VLOOKUP($D115,'ACS Price List'!$A$12:$P$180,I$1,FALSE)),"")</f>
        <v/>
      </c>
      <c r="R115" s="276" t="str">
        <f>IFERROR(IF(VLOOKUP($D115,'ACS Price List'!$A$12:$P$180,J$1,FALSE)=0,"",VLOOKUP($D115,'ACS Price List'!$A$12:$P$180,J$1,FALSE)),"")</f>
        <v/>
      </c>
    </row>
    <row r="116" spans="1:18" s="102" customFormat="1" x14ac:dyDescent="0.2">
      <c r="A116" s="252"/>
      <c r="B116" s="97">
        <v>74</v>
      </c>
      <c r="C116" s="97"/>
      <c r="D116" s="250" t="s">
        <v>179</v>
      </c>
      <c r="E116" s="521"/>
      <c r="F116" s="272" t="str">
        <f>VLOOKUP(B116,'ACS Price List'!$A$12:$P$180,2,FALSE)</f>
        <v>Special meter read</v>
      </c>
      <c r="G116" s="271" t="str">
        <f>IF(VLOOKUP($B116,'ACS Price List'!$A$12:$P$180,G$1,FALSE)=0,"",VLOOKUP($B116,'ACS Price List'!$A$12:$P$180,G$1,FALSE))</f>
        <v>SPMTRRDU</v>
      </c>
      <c r="H116" s="271" t="str">
        <f>IF(VLOOKUP($B116,'ACS Price List'!$A$12:$P$180,H$1,FALSE)=0,"",VLOOKUP($B116,'ACS Price List'!$A$12:$P$180,H$1,FALSE))</f>
        <v>SPMTRRDS</v>
      </c>
      <c r="I116" s="271" t="str">
        <f>IF(VLOOKUP($B116,'ACS Price List'!$A$12:$P$180,I$1,FALSE)=0,"",VLOOKUP($B116,'ACS Price List'!$A$12:$P$180,I$1,FALSE))</f>
        <v>SPMTRRDL</v>
      </c>
      <c r="J116" s="272" t="str">
        <f>IF(VLOOKUP($B116,'ACS Price List'!$A$12:$P$180,J$1,FALSE)=0,"",VLOOKUP($B116,'ACS Price List'!$A$12:$P$180,J$1,FALSE))</f>
        <v>SPMTRRDI</v>
      </c>
      <c r="K116" s="292" t="str">
        <f t="shared" si="0"/>
        <v/>
      </c>
      <c r="L116" s="271"/>
      <c r="M116" s="271"/>
      <c r="N116" s="272"/>
      <c r="O116" s="271" t="str">
        <f>IFERROR(IF(VLOOKUP($D116,'ACS Price List'!$A$12:$P$180,G$1,FALSE)=0,"",VLOOKUP($D116,'ACS Price List'!$A$12:$P$180,G$1,FALSE)),"")</f>
        <v>CFSPMTRRDU</v>
      </c>
      <c r="P116" s="271" t="str">
        <f>IFERROR(IF(VLOOKUP($D116,'ACS Price List'!$A$12:$P$180,H$1,FALSE)=0,"",VLOOKUP($D116,'ACS Price List'!$A$12:$P$180,H$1,FALSE)),"")</f>
        <v>CFSPMTRRDS</v>
      </c>
      <c r="Q116" s="271" t="str">
        <f>IFERROR(IF(VLOOKUP($D116,'ACS Price List'!$A$12:$P$180,I$1,FALSE)=0,"",VLOOKUP($D116,'ACS Price List'!$A$12:$P$180,I$1,FALSE)),"")</f>
        <v>CFSPMTRRDL</v>
      </c>
      <c r="R116" s="276" t="str">
        <f>IFERROR(IF(VLOOKUP($D116,'ACS Price List'!$A$12:$P$180,J$1,FALSE)=0,"",VLOOKUP($D116,'ACS Price List'!$A$12:$P$180,J$1,FALSE)),"")</f>
        <v>CFSPMTRRDI</v>
      </c>
    </row>
    <row r="117" spans="1:18" s="102" customFormat="1" x14ac:dyDescent="0.2">
      <c r="A117" s="252"/>
      <c r="B117" s="97">
        <v>75</v>
      </c>
      <c r="C117" s="97"/>
      <c r="D117" s="250" t="s">
        <v>180</v>
      </c>
      <c r="E117" s="521"/>
      <c r="F117" s="272" t="str">
        <f>VLOOKUP(B117,'ACS Price List'!$A$12:$P$180,2,FALSE)</f>
        <v>Meter test</v>
      </c>
      <c r="G117" s="271" t="str">
        <f>IF(VLOOKUP($B117,'ACS Price List'!$A$12:$P$180,G$1,FALSE)=0,"",VLOOKUP($B117,'ACS Price List'!$A$12:$P$180,G$1,FALSE))</f>
        <v>MTRTESTU</v>
      </c>
      <c r="H117" s="271" t="str">
        <f>IF(VLOOKUP($B117,'ACS Price List'!$A$12:$P$180,H$1,FALSE)=0,"",VLOOKUP($B117,'ACS Price List'!$A$12:$P$180,H$1,FALSE))</f>
        <v>MTRTESTS</v>
      </c>
      <c r="I117" s="271" t="str">
        <f>IF(VLOOKUP($B117,'ACS Price List'!$A$12:$P$180,I$1,FALSE)=0,"",VLOOKUP($B117,'ACS Price List'!$A$12:$P$180,I$1,FALSE))</f>
        <v>MTRTESTL</v>
      </c>
      <c r="J117" s="272" t="str">
        <f>IF(VLOOKUP($B117,'ACS Price List'!$A$12:$P$180,J$1,FALSE)=0,"",VLOOKUP($B117,'ACS Price List'!$A$12:$P$180,J$1,FALSE))</f>
        <v>MTRTESTI</v>
      </c>
      <c r="K117" s="292" t="str">
        <f t="shared" si="0"/>
        <v/>
      </c>
      <c r="L117" s="271"/>
      <c r="M117" s="271"/>
      <c r="N117" s="272"/>
      <c r="O117" s="271" t="str">
        <f>IFERROR(IF(VLOOKUP($D117,'ACS Price List'!$A$12:$P$180,G$1,FALSE)=0,"",VLOOKUP($D117,'ACS Price List'!$A$12:$P$180,G$1,FALSE)),"")</f>
        <v>CFMTRTESTU</v>
      </c>
      <c r="P117" s="271" t="str">
        <f>IFERROR(IF(VLOOKUP($D117,'ACS Price List'!$A$12:$P$180,H$1,FALSE)=0,"",VLOOKUP($D117,'ACS Price List'!$A$12:$P$180,H$1,FALSE)),"")</f>
        <v>CFMTRTESTS</v>
      </c>
      <c r="Q117" s="271" t="str">
        <f>IFERROR(IF(VLOOKUP($D117,'ACS Price List'!$A$12:$P$180,I$1,FALSE)=0,"",VLOOKUP($D117,'ACS Price List'!$A$12:$P$180,I$1,FALSE)),"")</f>
        <v>CFMTRTESTL</v>
      </c>
      <c r="R117" s="276" t="str">
        <f>IFERROR(IF(VLOOKUP($D117,'ACS Price List'!$A$12:$P$180,J$1,FALSE)=0,"",VLOOKUP($D117,'ACS Price List'!$A$12:$P$180,J$1,FALSE)),"")</f>
        <v>CFMTRTESTI</v>
      </c>
    </row>
    <row r="118" spans="1:18" s="102" customFormat="1" x14ac:dyDescent="0.2">
      <c r="A118" s="252"/>
      <c r="B118" s="97">
        <v>76</v>
      </c>
      <c r="C118" s="97"/>
      <c r="D118" s="251"/>
      <c r="E118" s="521"/>
      <c r="F118" s="272" t="str">
        <f>VLOOKUP(B118,'ACS Price List'!$A$12:$P$180,2,FALSE)</f>
        <v>Meter inspection and investigation on request</v>
      </c>
      <c r="G118" s="271" t="str">
        <f>IF(VLOOKUP($B118,'ACS Price List'!$A$12:$P$180,G$1,FALSE)=0,"",VLOOKUP($B118,'ACS Price List'!$A$12:$P$180,G$1,FALSE))</f>
        <v>MTRINSPU</v>
      </c>
      <c r="H118" s="271" t="str">
        <f>IF(VLOOKUP($B118,'ACS Price List'!$A$12:$P$180,H$1,FALSE)=0,"",VLOOKUP($B118,'ACS Price List'!$A$12:$P$180,H$1,FALSE))</f>
        <v>MTRINSPS</v>
      </c>
      <c r="I118" s="271" t="str">
        <f>IF(VLOOKUP($B118,'ACS Price List'!$A$12:$P$180,I$1,FALSE)=0,"",VLOOKUP($B118,'ACS Price List'!$A$12:$P$180,I$1,FALSE))</f>
        <v>MTRINSPL</v>
      </c>
      <c r="J118" s="272" t="str">
        <f>IF(VLOOKUP($B118,'ACS Price List'!$A$12:$P$180,J$1,FALSE)=0,"",VLOOKUP($B118,'ACS Price List'!$A$12:$P$180,J$1,FALSE))</f>
        <v>MTRINSPI</v>
      </c>
      <c r="K118" s="292" t="str">
        <f t="shared" si="0"/>
        <v/>
      </c>
      <c r="L118" s="271"/>
      <c r="M118" s="271"/>
      <c r="N118" s="272"/>
      <c r="O118" s="271" t="s">
        <v>447</v>
      </c>
      <c r="P118" s="271" t="s">
        <v>654</v>
      </c>
      <c r="Q118" s="271" t="str">
        <f>IFERROR(IF(VLOOKUP($D118,'ACS Price List'!$A$12:$P$180,I$1,FALSE)=0,"",VLOOKUP($D118,'ACS Price List'!$A$12:$P$180,I$1,FALSE)),"")</f>
        <v/>
      </c>
      <c r="R118" s="276" t="str">
        <f>IFERROR(IF(VLOOKUP($D118,'ACS Price List'!$A$12:$P$180,J$1,FALSE)=0,"",VLOOKUP($D118,'ACS Price List'!$A$12:$P$180,J$1,FALSE)),"")</f>
        <v/>
      </c>
    </row>
    <row r="119" spans="1:18" s="102" customFormat="1" x14ac:dyDescent="0.2">
      <c r="A119" s="252"/>
      <c r="B119" s="97">
        <v>77</v>
      </c>
      <c r="C119" s="97"/>
      <c r="D119" s="251"/>
      <c r="E119" s="521"/>
      <c r="F119" s="272" t="str">
        <f>VLOOKUP(B119,'ACS Price List'!$A$12:$P$180,2,FALSE)</f>
        <v>Metering alteration</v>
      </c>
      <c r="G119" s="271" t="str">
        <f>IF(VLOOKUP($B119,'ACS Price List'!$A$12:$P$180,G$1,FALSE)=0,"",VLOOKUP($B119,'ACS Price List'!$A$12:$P$180,G$1,FALSE))</f>
        <v>MOVEMTRU</v>
      </c>
      <c r="H119" s="271" t="str">
        <f>IF(VLOOKUP($B119,'ACS Price List'!$A$12:$P$180,H$1,FALSE)=0,"",VLOOKUP($B119,'ACS Price List'!$A$12:$P$180,H$1,FALSE))</f>
        <v>MOVEMTRS</v>
      </c>
      <c r="I119" s="271" t="str">
        <f>IF(VLOOKUP($B119,'ACS Price List'!$A$12:$P$180,I$1,FALSE)=0,"",VLOOKUP($B119,'ACS Price List'!$A$12:$P$180,I$1,FALSE))</f>
        <v>MOVEMTRL</v>
      </c>
      <c r="J119" s="272" t="str">
        <f>IF(VLOOKUP($B119,'ACS Price List'!$A$12:$P$180,J$1,FALSE)=0,"",VLOOKUP($B119,'ACS Price List'!$A$12:$P$180,J$1,FALSE))</f>
        <v>MOVEMTRI</v>
      </c>
      <c r="K119" s="292" t="str">
        <f t="shared" si="0"/>
        <v/>
      </c>
      <c r="L119" s="271"/>
      <c r="M119" s="271"/>
      <c r="N119" s="272"/>
      <c r="O119" s="271" t="s">
        <v>447</v>
      </c>
      <c r="P119" s="271" t="s">
        <v>654</v>
      </c>
      <c r="Q119" s="271" t="str">
        <f>IFERROR(IF(VLOOKUP($D119,'ACS Price List'!$A$12:$P$180,I$1,FALSE)=0,"",VLOOKUP($D119,'ACS Price List'!$A$12:$P$180,I$1,FALSE)),"")</f>
        <v/>
      </c>
      <c r="R119" s="276" t="str">
        <f>IFERROR(IF(VLOOKUP($D119,'ACS Price List'!$A$12:$P$180,J$1,FALSE)=0,"",VLOOKUP($D119,'ACS Price List'!$A$12:$P$180,J$1,FALSE)),"")</f>
        <v/>
      </c>
    </row>
    <row r="120" spans="1:18" s="102" customFormat="1" x14ac:dyDescent="0.2">
      <c r="A120" s="252"/>
      <c r="B120" s="97">
        <v>78</v>
      </c>
      <c r="C120" s="97"/>
      <c r="D120" s="251"/>
      <c r="E120" s="521"/>
      <c r="F120" s="272" t="str">
        <f>VLOOKUP(B120,'ACS Price List'!$A$12:$P$180,2,FALSE)</f>
        <v>Exchange meter</v>
      </c>
      <c r="G120" s="271" t="str">
        <f>IF(VLOOKUP($B120,'ACS Price List'!$A$12:$P$180,G$1,FALSE)=0,"",VLOOKUP($B120,'ACS Price List'!$A$12:$P$180,G$1,FALSE))</f>
        <v>MTRREPU</v>
      </c>
      <c r="H120" s="271" t="str">
        <f>IF(VLOOKUP($B120,'ACS Price List'!$A$12:$P$180,H$1,FALSE)=0,"",VLOOKUP($B120,'ACS Price List'!$A$12:$P$180,H$1,FALSE))</f>
        <v>MTRREPS</v>
      </c>
      <c r="I120" s="271" t="str">
        <f>IF(VLOOKUP($B120,'ACS Price List'!$A$12:$P$180,I$1,FALSE)=0,"",VLOOKUP($B120,'ACS Price List'!$A$12:$P$180,I$1,FALSE))</f>
        <v>MTRREPL</v>
      </c>
      <c r="J120" s="272" t="str">
        <f>IF(VLOOKUP($B120,'ACS Price List'!$A$12:$P$180,J$1,FALSE)=0,"",VLOOKUP($B120,'ACS Price List'!$A$12:$P$180,J$1,FALSE))</f>
        <v>MTRREPI</v>
      </c>
      <c r="K120" s="292" t="str">
        <f t="shared" si="0"/>
        <v/>
      </c>
      <c r="L120" s="271"/>
      <c r="M120" s="271"/>
      <c r="N120" s="272"/>
      <c r="O120" s="271" t="s">
        <v>447</v>
      </c>
      <c r="P120" s="271" t="s">
        <v>654</v>
      </c>
      <c r="Q120" s="271" t="str">
        <f>IFERROR(IF(VLOOKUP($D120,'ACS Price List'!$A$12:$P$180,I$1,FALSE)=0,"",VLOOKUP($D120,'ACS Price List'!$A$12:$P$180,I$1,FALSE)),"")</f>
        <v/>
      </c>
      <c r="R120" s="276" t="str">
        <f>IFERROR(IF(VLOOKUP($D120,'ACS Price List'!$A$12:$P$180,J$1,FALSE)=0,"",VLOOKUP($D120,'ACS Price List'!$A$12:$P$180,J$1,FALSE)),"")</f>
        <v/>
      </c>
    </row>
    <row r="121" spans="1:18" s="102" customFormat="1" x14ac:dyDescent="0.2">
      <c r="A121" s="252"/>
      <c r="B121" s="97">
        <v>79</v>
      </c>
      <c r="C121" s="97"/>
      <c r="D121" s="251"/>
      <c r="E121" s="521"/>
      <c r="F121" s="272" t="str">
        <f>VLOOKUP(B121,'ACS Price List'!$A$12:$P$180,2,FALSE)</f>
        <v>Type 5 to 7 non-standard metering services</v>
      </c>
      <c r="G121" s="271" t="str">
        <f>IF(VLOOKUP($B121,'ACS Price List'!$A$12:$P$180,G$1,FALSE)=0,"",VLOOKUP($B121,'ACS Price List'!$A$12:$P$180,G$1,FALSE))</f>
        <v>As Quoted</v>
      </c>
      <c r="H121" s="271" t="str">
        <f>IF(VLOOKUP($B121,'ACS Price List'!$A$12:$P$180,H$1,FALSE)=0,"",VLOOKUP($B121,'ACS Price List'!$A$12:$P$180,H$1,FALSE))</f>
        <v/>
      </c>
      <c r="I121" s="271" t="str">
        <f>IF(VLOOKUP($B121,'ACS Price List'!$A$12:$P$180,I$1,FALSE)=0,"",VLOOKUP($B121,'ACS Price List'!$A$12:$P$180,I$1,FALSE))</f>
        <v/>
      </c>
      <c r="J121" s="272" t="str">
        <f>IF(VLOOKUP($B121,'ACS Price List'!$A$12:$P$180,J$1,FALSE)=0,"",VLOOKUP($B121,'ACS Price List'!$A$12:$P$180,J$1,FALSE))</f>
        <v/>
      </c>
      <c r="K121" s="292" t="str">
        <f t="shared" si="0"/>
        <v/>
      </c>
      <c r="L121" s="271"/>
      <c r="M121" s="271"/>
      <c r="N121" s="272"/>
      <c r="O121" s="271" t="s">
        <v>447</v>
      </c>
      <c r="P121" s="271" t="s">
        <v>654</v>
      </c>
      <c r="Q121" s="271" t="str">
        <f>IFERROR(IF(VLOOKUP($D121,'ACS Price List'!$A$12:$P$180,I$1,FALSE)=0,"",VLOOKUP($D121,'ACS Price List'!$A$12:$P$180,I$1,FALSE)),"")</f>
        <v/>
      </c>
      <c r="R121" s="276" t="str">
        <f>IFERROR(IF(VLOOKUP($D121,'ACS Price List'!$A$12:$P$180,J$1,FALSE)=0,"",VLOOKUP($D121,'ACS Price List'!$A$12:$P$180,J$1,FALSE)),"")</f>
        <v/>
      </c>
    </row>
    <row r="122" spans="1:18" s="102" customFormat="1" x14ac:dyDescent="0.2">
      <c r="A122" s="252"/>
      <c r="B122" s="97">
        <v>80</v>
      </c>
      <c r="C122" s="97"/>
      <c r="D122" s="251"/>
      <c r="E122" s="521"/>
      <c r="F122" s="272" t="str">
        <f>VLOOKUP(B122,'ACS Price List'!$A$12:$P$180,2,FALSE)</f>
        <v>Removal of a meter (Type 5 &amp; 6)</v>
      </c>
      <c r="G122" s="271" t="str">
        <f>IF(VLOOKUP($B122,'ACS Price List'!$A$12:$P$180,G$1,FALSE)=0,"",VLOOKUP($B122,'ACS Price List'!$A$12:$P$180,G$1,FALSE))</f>
        <v>RMMTRU</v>
      </c>
      <c r="H122" s="271" t="str">
        <f>IF(VLOOKUP($B122,'ACS Price List'!$A$12:$P$180,H$1,FALSE)=0,"",VLOOKUP($B122,'ACS Price List'!$A$12:$P$180,H$1,FALSE))</f>
        <v>RMMTRS</v>
      </c>
      <c r="I122" s="271" t="str">
        <f>IF(VLOOKUP($B122,'ACS Price List'!$A$12:$P$180,I$1,FALSE)=0,"",VLOOKUP($B122,'ACS Price List'!$A$12:$P$180,I$1,FALSE))</f>
        <v>RMMTRL</v>
      </c>
      <c r="J122" s="272" t="str">
        <f>IF(VLOOKUP($B122,'ACS Price List'!$A$12:$P$180,J$1,FALSE)=0,"",VLOOKUP($B122,'ACS Price List'!$A$12:$P$180,J$1,FALSE))</f>
        <v>RMMTRI</v>
      </c>
      <c r="K122" s="292" t="str">
        <f t="shared" si="0"/>
        <v/>
      </c>
      <c r="L122" s="271"/>
      <c r="M122" s="271"/>
      <c r="N122" s="272"/>
      <c r="O122" s="271" t="s">
        <v>447</v>
      </c>
      <c r="P122" s="271" t="s">
        <v>654</v>
      </c>
      <c r="Q122" s="271" t="str">
        <f>IFERROR(IF(VLOOKUP($D122,'ACS Price List'!$A$12:$P$180,I$1,FALSE)=0,"",VLOOKUP($D122,'ACS Price List'!$A$12:$P$180,I$1,FALSE)),"")</f>
        <v/>
      </c>
      <c r="R122" s="276" t="str">
        <f>IFERROR(IF(VLOOKUP($D122,'ACS Price List'!$A$12:$P$180,J$1,FALSE)=0,"",VLOOKUP($D122,'ACS Price List'!$A$12:$P$180,J$1,FALSE)),"")</f>
        <v/>
      </c>
    </row>
    <row r="123" spans="1:18" s="102" customFormat="1" x14ac:dyDescent="0.2">
      <c r="A123" s="252"/>
      <c r="B123" s="97">
        <v>81</v>
      </c>
      <c r="C123" s="97"/>
      <c r="D123" s="251"/>
      <c r="E123" s="521"/>
      <c r="F123" s="272" t="str">
        <f>VLOOKUP(B123,'ACS Price List'!$A$12:$P$180,2,FALSE)</f>
        <v>Meter re-seal</v>
      </c>
      <c r="G123" s="271" t="str">
        <f>IF(VLOOKUP($B123,'ACS Price List'!$A$12:$P$180,G$1,FALSE)=0,"",VLOOKUP($B123,'ACS Price List'!$A$12:$P$180,G$1,FALSE))</f>
        <v>MTRSEALU</v>
      </c>
      <c r="H123" s="271" t="str">
        <f>IF(VLOOKUP($B123,'ACS Price List'!$A$12:$P$180,H$1,FALSE)=0,"",VLOOKUP($B123,'ACS Price List'!$A$12:$P$180,H$1,FALSE))</f>
        <v>MTRSEALS</v>
      </c>
      <c r="I123" s="271" t="str">
        <f>IF(VLOOKUP($B123,'ACS Price List'!$A$12:$P$180,I$1,FALSE)=0,"",VLOOKUP($B123,'ACS Price List'!$A$12:$P$180,I$1,FALSE))</f>
        <v>MTRSEALL</v>
      </c>
      <c r="J123" s="272" t="str">
        <f>IF(VLOOKUP($B123,'ACS Price List'!$A$12:$P$180,J$1,FALSE)=0,"",VLOOKUP($B123,'ACS Price List'!$A$12:$P$180,J$1,FALSE))</f>
        <v>MTRSEALI</v>
      </c>
      <c r="K123" s="292" t="str">
        <f t="shared" si="0"/>
        <v/>
      </c>
      <c r="L123" s="271"/>
      <c r="M123" s="271"/>
      <c r="N123" s="272"/>
      <c r="O123" s="271" t="s">
        <v>447</v>
      </c>
      <c r="P123" s="271" t="s">
        <v>654</v>
      </c>
      <c r="Q123" s="271" t="str">
        <f>IFERROR(IF(VLOOKUP($D123,'ACS Price List'!$A$12:$P$180,I$1,FALSE)=0,"",VLOOKUP($D123,'ACS Price List'!$A$12:$P$180,I$1,FALSE)),"")</f>
        <v/>
      </c>
      <c r="R123" s="276" t="str">
        <f>IFERROR(IF(VLOOKUP($D123,'ACS Price List'!$A$12:$P$180,J$1,FALSE)=0,"",VLOOKUP($D123,'ACS Price List'!$A$12:$P$180,J$1,FALSE)),"")</f>
        <v/>
      </c>
    </row>
    <row r="124" spans="1:18" s="102" customFormat="1" x14ac:dyDescent="0.2">
      <c r="A124" s="252"/>
      <c r="B124" s="97">
        <v>82</v>
      </c>
      <c r="C124" s="97"/>
      <c r="D124" s="251"/>
      <c r="E124" s="521"/>
      <c r="F124" s="272" t="str">
        <f>VLOOKUP(B124,'ACS Price List'!$A$12:$P$180,2,FALSE)</f>
        <v>Install new or replacement meter - after hours</v>
      </c>
      <c r="G124" s="271" t="str">
        <f>IF(VLOOKUP($B124,'ACS Price List'!$A$12:$P$180,G$1,FALSE)=0,"",VLOOKUP($B124,'ACS Price List'!$A$12:$P$180,G$1,FALSE))</f>
        <v>NRMAHU</v>
      </c>
      <c r="H124" s="271" t="str">
        <f>IF(VLOOKUP($B124,'ACS Price List'!$A$12:$P$180,H$1,FALSE)=0,"",VLOOKUP($B124,'ACS Price List'!$A$12:$P$180,H$1,FALSE))</f>
        <v>NRMAHS</v>
      </c>
      <c r="I124" s="271" t="str">
        <f>IF(VLOOKUP($B124,'ACS Price List'!$A$12:$P$180,I$1,FALSE)=0,"",VLOOKUP($B124,'ACS Price List'!$A$12:$P$180,I$1,FALSE))</f>
        <v>NRMAHL</v>
      </c>
      <c r="J124" s="272" t="str">
        <f>IF(VLOOKUP($B124,'ACS Price List'!$A$12:$P$180,J$1,FALSE)=0,"",VLOOKUP($B124,'ACS Price List'!$A$12:$P$180,J$1,FALSE))</f>
        <v>NRMAHI</v>
      </c>
      <c r="K124" s="292" t="str">
        <f t="shared" si="0"/>
        <v/>
      </c>
      <c r="L124" s="271"/>
      <c r="M124" s="271"/>
      <c r="N124" s="272"/>
      <c r="O124" s="271" t="s">
        <v>447</v>
      </c>
      <c r="P124" s="271" t="s">
        <v>654</v>
      </c>
      <c r="Q124" s="271" t="str">
        <f>IFERROR(IF(VLOOKUP($D124,'ACS Price List'!$A$12:$P$180,I$1,FALSE)=0,"",VLOOKUP($D124,'ACS Price List'!$A$12:$P$180,I$1,FALSE)),"")</f>
        <v/>
      </c>
      <c r="R124" s="276" t="str">
        <f>IFERROR(IF(VLOOKUP($D124,'ACS Price List'!$A$12:$P$180,J$1,FALSE)=0,"",VLOOKUP($D124,'ACS Price List'!$A$12:$P$180,J$1,FALSE)),"")</f>
        <v/>
      </c>
    </row>
    <row r="125" spans="1:18" s="102" customFormat="1" x14ac:dyDescent="0.2">
      <c r="A125" s="252"/>
      <c r="B125" s="97">
        <v>83</v>
      </c>
      <c r="C125" s="97"/>
      <c r="D125" s="251"/>
      <c r="E125" s="521"/>
      <c r="F125" s="272" t="str">
        <f>VLOOKUP(B125,'ACS Price List'!$A$12:$P$180,2,FALSE)</f>
        <v>Change time switch</v>
      </c>
      <c r="G125" s="271" t="str">
        <f>IF(VLOOKUP($B125,'ACS Price List'!$A$12:$P$180,G$1,FALSE)=0,"",VLOOKUP($B125,'ACS Price List'!$A$12:$P$180,G$1,FALSE))</f>
        <v>CHTSRAU</v>
      </c>
      <c r="H125" s="271" t="str">
        <f>IF(VLOOKUP($B125,'ACS Price List'!$A$12:$P$180,H$1,FALSE)=0,"",VLOOKUP($B125,'ACS Price List'!$A$12:$P$180,H$1,FALSE))</f>
        <v>CHTSRAS</v>
      </c>
      <c r="I125" s="271" t="str">
        <f>IF(VLOOKUP($B125,'ACS Price List'!$A$12:$P$180,I$1,FALSE)=0,"",VLOOKUP($B125,'ACS Price List'!$A$12:$P$180,I$1,FALSE))</f>
        <v>CHTSRAL</v>
      </c>
      <c r="J125" s="272" t="str">
        <f>IF(VLOOKUP($B125,'ACS Price List'!$A$12:$P$180,J$1,FALSE)=0,"",VLOOKUP($B125,'ACS Price List'!$A$12:$P$180,J$1,FALSE))</f>
        <v>CHTSRAI</v>
      </c>
      <c r="K125" s="292" t="str">
        <f t="shared" si="0"/>
        <v/>
      </c>
      <c r="L125" s="271"/>
      <c r="M125" s="271"/>
      <c r="N125" s="272"/>
      <c r="O125" s="271" t="s">
        <v>447</v>
      </c>
      <c r="P125" s="271" t="s">
        <v>654</v>
      </c>
      <c r="Q125" s="271" t="str">
        <f>IFERROR(IF(VLOOKUP($D125,'ACS Price List'!$A$12:$P$180,I$1,FALSE)=0,"",VLOOKUP($D125,'ACS Price List'!$A$12:$P$180,I$1,FALSE)),"")</f>
        <v/>
      </c>
      <c r="R125" s="276" t="str">
        <f>IFERROR(IF(VLOOKUP($D125,'ACS Price List'!$A$12:$P$180,J$1,FALSE)=0,"",VLOOKUP($D125,'ACS Price List'!$A$12:$P$180,J$1,FALSE)),"")</f>
        <v/>
      </c>
    </row>
    <row r="126" spans="1:18" s="102" customFormat="1" x14ac:dyDescent="0.2">
      <c r="A126" s="252"/>
      <c r="B126" s="97">
        <v>84</v>
      </c>
      <c r="C126" s="97"/>
      <c r="D126" s="251"/>
      <c r="E126" s="521"/>
      <c r="F126" s="272" t="str">
        <f>VLOOKUP(B126,'ACS Price List'!$A$12:$P$180,2,FALSE)</f>
        <v>Change tariff</v>
      </c>
      <c r="G126" s="271" t="str">
        <f>IF(VLOOKUP($B126,'ACS Price List'!$A$12:$P$180,G$1,FALSE)=0,"",VLOOKUP($B126,'ACS Price List'!$A$12:$P$180,G$1,FALSE))</f>
        <v>CHTARIFU</v>
      </c>
      <c r="H126" s="271" t="str">
        <f>IF(VLOOKUP($B126,'ACS Price List'!$A$12:$P$180,H$1,FALSE)=0,"",VLOOKUP($B126,'ACS Price List'!$A$12:$P$180,H$1,FALSE))</f>
        <v>CHTARIFS</v>
      </c>
      <c r="I126" s="271" t="str">
        <f>IF(VLOOKUP($B126,'ACS Price List'!$A$12:$P$180,I$1,FALSE)=0,"",VLOOKUP($B126,'ACS Price List'!$A$12:$P$180,I$1,FALSE))</f>
        <v>CHTARIFL</v>
      </c>
      <c r="J126" s="272" t="str">
        <f>IF(VLOOKUP($B126,'ACS Price List'!$A$12:$P$180,J$1,FALSE)=0,"",VLOOKUP($B126,'ACS Price List'!$A$12:$P$180,J$1,FALSE))</f>
        <v>CHTARIFI</v>
      </c>
      <c r="K126" s="292" t="str">
        <f t="shared" si="0"/>
        <v/>
      </c>
      <c r="L126" s="271"/>
      <c r="M126" s="271"/>
      <c r="N126" s="272"/>
      <c r="O126" s="271" t="s">
        <v>447</v>
      </c>
      <c r="P126" s="271" t="s">
        <v>654</v>
      </c>
      <c r="Q126" s="271" t="str">
        <f>IFERROR(IF(VLOOKUP($D126,'ACS Price List'!$A$12:$P$180,I$1,FALSE)=0,"",VLOOKUP($D126,'ACS Price List'!$A$12:$P$180,I$1,FALSE)),"")</f>
        <v/>
      </c>
      <c r="R126" s="276" t="str">
        <f>IFERROR(IF(VLOOKUP($D126,'ACS Price List'!$A$12:$P$180,J$1,FALSE)=0,"",VLOOKUP($D126,'ACS Price List'!$A$12:$P$180,J$1,FALSE)),"")</f>
        <v/>
      </c>
    </row>
    <row r="127" spans="1:18" s="102" customFormat="1" x14ac:dyDescent="0.2">
      <c r="A127" s="252"/>
      <c r="B127" s="97">
        <v>85</v>
      </c>
      <c r="C127" s="97"/>
      <c r="D127" s="251"/>
      <c r="E127" s="521"/>
      <c r="F127" s="272" t="str">
        <f>VLOOKUP(B127,'ACS Price List'!$A$12:$P$180,2,FALSE)</f>
        <v>Reprogram card meters</v>
      </c>
      <c r="G127" s="271" t="str">
        <f>IF(VLOOKUP($B127,'ACS Price List'!$A$12:$P$180,G$1,FALSE)=0,"",VLOOKUP($B127,'ACS Price List'!$A$12:$P$180,G$1,FALSE))</f>
        <v>PRCDMTRU</v>
      </c>
      <c r="H127" s="271" t="str">
        <f>IF(VLOOKUP($B127,'ACS Price List'!$A$12:$P$180,H$1,FALSE)=0,"",VLOOKUP($B127,'ACS Price List'!$A$12:$P$180,H$1,FALSE))</f>
        <v>PRCDMTRS</v>
      </c>
      <c r="I127" s="271" t="str">
        <f>IF(VLOOKUP($B127,'ACS Price List'!$A$12:$P$180,I$1,FALSE)=0,"",VLOOKUP($B127,'ACS Price List'!$A$12:$P$180,I$1,FALSE))</f>
        <v>PRCDMTRL</v>
      </c>
      <c r="J127" s="272" t="str">
        <f>IF(VLOOKUP($B127,'ACS Price List'!$A$12:$P$180,J$1,FALSE)=0,"",VLOOKUP($B127,'ACS Price List'!$A$12:$P$180,J$1,FALSE))</f>
        <v>PRCDMTRI</v>
      </c>
      <c r="K127" s="292" t="str">
        <f t="shared" si="0"/>
        <v/>
      </c>
      <c r="L127" s="271"/>
      <c r="M127" s="271"/>
      <c r="N127" s="272"/>
      <c r="O127" s="271" t="s">
        <v>447</v>
      </c>
      <c r="P127" s="271" t="s">
        <v>654</v>
      </c>
      <c r="Q127" s="271" t="str">
        <f>IFERROR(IF(VLOOKUP($D127,'ACS Price List'!$A$12:$P$180,I$1,FALSE)=0,"",VLOOKUP($D127,'ACS Price List'!$A$12:$P$180,I$1,FALSE)),"")</f>
        <v/>
      </c>
      <c r="R127" s="276" t="str">
        <f>IFERROR(IF(VLOOKUP($D127,'ACS Price List'!$A$12:$P$180,J$1,FALSE)=0,"",VLOOKUP($D127,'ACS Price List'!$A$12:$P$180,J$1,FALSE)),"")</f>
        <v/>
      </c>
    </row>
    <row r="128" spans="1:18" s="102" customFormat="1" x14ac:dyDescent="0.2">
      <c r="A128" s="252"/>
      <c r="B128" s="97">
        <v>86</v>
      </c>
      <c r="C128" s="97"/>
      <c r="D128" s="251"/>
      <c r="E128" s="521"/>
      <c r="F128" s="272" t="str">
        <f>VLOOKUP(B128,'ACS Price List'!$A$12:$P$180,2,FALSE)</f>
        <v>Install metering related load control</v>
      </c>
      <c r="G128" s="271" t="str">
        <f>IF(VLOOKUP($B128,'ACS Price List'!$A$12:$P$180,G$1,FALSE)=0,"",VLOOKUP($B128,'ACS Price List'!$A$12:$P$180,G$1,FALSE))</f>
        <v>INMTRLDCU</v>
      </c>
      <c r="H128" s="271" t="str">
        <f>IF(VLOOKUP($B128,'ACS Price List'!$A$12:$P$180,H$1,FALSE)=0,"",VLOOKUP($B128,'ACS Price List'!$A$12:$P$180,H$1,FALSE))</f>
        <v>INMTRLDCS</v>
      </c>
      <c r="I128" s="271" t="str">
        <f>IF(VLOOKUP($B128,'ACS Price List'!$A$12:$P$180,I$1,FALSE)=0,"",VLOOKUP($B128,'ACS Price List'!$A$12:$P$180,I$1,FALSE))</f>
        <v>INMTRLDCL</v>
      </c>
      <c r="J128" s="272" t="str">
        <f>IF(VLOOKUP($B128,'ACS Price List'!$A$12:$P$180,J$1,FALSE)=0,"",VLOOKUP($B128,'ACS Price List'!$A$12:$P$180,J$1,FALSE))</f>
        <v>INMTRLDCI</v>
      </c>
      <c r="K128" s="292" t="str">
        <f t="shared" si="0"/>
        <v/>
      </c>
      <c r="L128" s="271"/>
      <c r="M128" s="271"/>
      <c r="N128" s="272"/>
      <c r="O128" s="271" t="s">
        <v>447</v>
      </c>
      <c r="P128" s="271" t="s">
        <v>654</v>
      </c>
      <c r="Q128" s="271" t="str">
        <f>IFERROR(IF(VLOOKUP($D128,'ACS Price List'!$A$12:$P$180,I$1,FALSE)=0,"",VLOOKUP($D128,'ACS Price List'!$A$12:$P$180,I$1,FALSE)),"")</f>
        <v/>
      </c>
      <c r="R128" s="276" t="str">
        <f>IFERROR(IF(VLOOKUP($D128,'ACS Price List'!$A$12:$P$180,J$1,FALSE)=0,"",VLOOKUP($D128,'ACS Price List'!$A$12:$P$180,J$1,FALSE)),"")</f>
        <v/>
      </c>
    </row>
    <row r="129" spans="1:21" s="102" customFormat="1" x14ac:dyDescent="0.2">
      <c r="A129" s="252"/>
      <c r="B129" s="97">
        <v>87</v>
      </c>
      <c r="C129" s="97"/>
      <c r="D129" s="251"/>
      <c r="E129" s="521"/>
      <c r="F129" s="272" t="str">
        <f>VLOOKUP(B129,'ACS Price List'!$A$12:$P$180,2,FALSE)</f>
        <v>Removal of load control device</v>
      </c>
      <c r="G129" s="271" t="str">
        <f>IF(VLOOKUP($B129,'ACS Price List'!$A$12:$P$180,G$1,FALSE)=0,"",VLOOKUP($B129,'ACS Price List'!$A$12:$P$180,G$1,FALSE))</f>
        <v>RMLDCRLU</v>
      </c>
      <c r="H129" s="271" t="str">
        <f>IF(VLOOKUP($B129,'ACS Price List'!$A$12:$P$180,H$1,FALSE)=0,"",VLOOKUP($B129,'ACS Price List'!$A$12:$P$180,H$1,FALSE))</f>
        <v>RMLDCRLS</v>
      </c>
      <c r="I129" s="271" t="str">
        <f>IF(VLOOKUP($B129,'ACS Price List'!$A$12:$P$180,I$1,FALSE)=0,"",VLOOKUP($B129,'ACS Price List'!$A$12:$P$180,I$1,FALSE))</f>
        <v>RMLDCRLL</v>
      </c>
      <c r="J129" s="272" t="str">
        <f>IF(VLOOKUP($B129,'ACS Price List'!$A$12:$P$180,J$1,FALSE)=0,"",VLOOKUP($B129,'ACS Price List'!$A$12:$P$180,J$1,FALSE))</f>
        <v>RMLDCRLI</v>
      </c>
      <c r="K129" s="292" t="str">
        <f t="shared" si="0"/>
        <v/>
      </c>
      <c r="L129" s="271"/>
      <c r="M129" s="271"/>
      <c r="N129" s="272"/>
      <c r="O129" s="271" t="s">
        <v>447</v>
      </c>
      <c r="P129" s="271" t="s">
        <v>654</v>
      </c>
      <c r="Q129" s="271" t="str">
        <f>IFERROR(IF(VLOOKUP($D129,'ACS Price List'!$A$12:$P$180,I$1,FALSE)=0,"",VLOOKUP($D129,'ACS Price List'!$A$12:$P$180,I$1,FALSE)),"")</f>
        <v/>
      </c>
      <c r="R129" s="276" t="str">
        <f>IFERROR(IF(VLOOKUP($D129,'ACS Price List'!$A$12:$P$180,J$1,FALSE)=0,"",VLOOKUP($D129,'ACS Price List'!$A$12:$P$180,J$1,FALSE)),"")</f>
        <v/>
      </c>
    </row>
    <row r="130" spans="1:21" s="102" customFormat="1" x14ac:dyDescent="0.2">
      <c r="A130" s="252"/>
      <c r="B130" s="97">
        <v>88</v>
      </c>
      <c r="C130" s="97"/>
      <c r="D130" s="251"/>
      <c r="E130" s="521"/>
      <c r="F130" s="272" t="str">
        <f>VLOOKUP(B130,'ACS Price List'!$A$12:$P$180,2,FALSE)</f>
        <v>Change load control relay channel</v>
      </c>
      <c r="G130" s="271" t="str">
        <f>IF(VLOOKUP($B130,'ACS Price List'!$A$12:$P$180,G$1,FALSE)=0,"",VLOOKUP($B130,'ACS Price List'!$A$12:$P$180,G$1,FALSE))</f>
        <v>CHLDCRCU</v>
      </c>
      <c r="H130" s="271" t="str">
        <f>IF(VLOOKUP($B130,'ACS Price List'!$A$12:$P$180,H$1,FALSE)=0,"",VLOOKUP($B130,'ACS Price List'!$A$12:$P$180,H$1,FALSE))</f>
        <v>CHLDCRCS</v>
      </c>
      <c r="I130" s="271" t="str">
        <f>IF(VLOOKUP($B130,'ACS Price List'!$A$12:$P$180,I$1,FALSE)=0,"",VLOOKUP($B130,'ACS Price List'!$A$12:$P$180,I$1,FALSE))</f>
        <v>CHLDCRCL</v>
      </c>
      <c r="J130" s="272" t="str">
        <f>IF(VLOOKUP($B130,'ACS Price List'!$A$12:$P$180,J$1,FALSE)=0,"",VLOOKUP($B130,'ACS Price List'!$A$12:$P$180,J$1,FALSE))</f>
        <v>CHLDCRCI</v>
      </c>
      <c r="K130" s="292" t="str">
        <f t="shared" si="0"/>
        <v/>
      </c>
      <c r="L130" s="271"/>
      <c r="M130" s="271"/>
      <c r="N130" s="272"/>
      <c r="O130" s="271" t="s">
        <v>447</v>
      </c>
      <c r="P130" s="271" t="s">
        <v>654</v>
      </c>
      <c r="Q130" s="271" t="str">
        <f>IFERROR(IF(VLOOKUP($D130,'ACS Price List'!$A$12:$P$180,I$1,FALSE)=0,"",VLOOKUP($D130,'ACS Price List'!$A$12:$P$180,I$1,FALSE)),"")</f>
        <v/>
      </c>
      <c r="R130" s="276" t="str">
        <f>IFERROR(IF(VLOOKUP($D130,'ACS Price List'!$A$12:$P$180,J$1,FALSE)=0,"",VLOOKUP($D130,'ACS Price List'!$A$12:$P$180,J$1,FALSE)),"")</f>
        <v/>
      </c>
    </row>
    <row r="131" spans="1:21" s="102" customFormat="1" x14ac:dyDescent="0.2">
      <c r="A131" s="252"/>
      <c r="B131" s="97">
        <v>89</v>
      </c>
      <c r="C131" s="97"/>
      <c r="D131" s="251"/>
      <c r="E131" s="521"/>
      <c r="F131" s="272" t="str">
        <f>VLOOKUP(B131,'ACS Price List'!$A$12:$P$180,2,FALSE)</f>
        <v>Services provided in relation to a Retailer of Last Resort (ROLR) event</v>
      </c>
      <c r="G131" s="271" t="str">
        <f>IF(VLOOKUP($B131,'ACS Price List'!$A$12:$P$180,G$1,FALSE)=0,"",VLOOKUP($B131,'ACS Price List'!$A$12:$P$180,G$1,FALSE))</f>
        <v>As Quoted</v>
      </c>
      <c r="H131" s="271" t="str">
        <f>IF(VLOOKUP($B131,'ACS Price List'!$A$12:$P$180,H$1,FALSE)=0,"",VLOOKUP($B131,'ACS Price List'!$A$12:$P$180,H$1,FALSE))</f>
        <v/>
      </c>
      <c r="I131" s="271" t="str">
        <f>IF(VLOOKUP($B131,'ACS Price List'!$A$12:$P$180,I$1,FALSE)=0,"",VLOOKUP($B131,'ACS Price List'!$A$12:$P$180,I$1,FALSE))</f>
        <v/>
      </c>
      <c r="J131" s="272" t="str">
        <f>IF(VLOOKUP($B131,'ACS Price List'!$A$12:$P$180,J$1,FALSE)=0,"",VLOOKUP($B131,'ACS Price List'!$A$12:$P$180,J$1,FALSE))</f>
        <v/>
      </c>
      <c r="K131" s="292" t="str">
        <f t="shared" si="0"/>
        <v/>
      </c>
      <c r="L131" s="271"/>
      <c r="M131" s="271"/>
      <c r="N131" s="272"/>
      <c r="O131" s="271" t="s">
        <v>447</v>
      </c>
      <c r="P131" s="271" t="s">
        <v>654</v>
      </c>
      <c r="Q131" s="271" t="str">
        <f>IFERROR(IF(VLOOKUP($D131,'ACS Price List'!$A$12:$P$180,I$1,FALSE)=0,"",VLOOKUP($D131,'ACS Price List'!$A$12:$P$180,I$1,FALSE)),"")</f>
        <v/>
      </c>
      <c r="R131" s="276" t="str">
        <f>IFERROR(IF(VLOOKUP($D131,'ACS Price List'!$A$12:$P$180,J$1,FALSE)=0,"",VLOOKUP($D131,'ACS Price List'!$A$12:$P$180,J$1,FALSE)),"")</f>
        <v/>
      </c>
    </row>
    <row r="132" spans="1:21" s="102" customFormat="1" x14ac:dyDescent="0.2">
      <c r="A132" s="252"/>
      <c r="B132" s="97">
        <v>90</v>
      </c>
      <c r="C132" s="97"/>
      <c r="D132" s="251"/>
      <c r="E132" s="521"/>
      <c r="F132" s="272" t="str">
        <f>VLOOKUP(B132,'ACS Price List'!$A$12:$P$180,2,FALSE)</f>
        <v>Non-standard network data requests</v>
      </c>
      <c r="G132" s="271" t="str">
        <f>IF(VLOOKUP($B132,'ACS Price List'!$A$12:$P$180,G$1,FALSE)=0,"",VLOOKUP($B132,'ACS Price List'!$A$12:$P$180,G$1,FALSE))</f>
        <v>As Quoted</v>
      </c>
      <c r="H132" s="271" t="str">
        <f>IF(VLOOKUP($B132,'ACS Price List'!$A$12:$P$180,H$1,FALSE)=0,"",VLOOKUP($B132,'ACS Price List'!$A$12:$P$180,H$1,FALSE))</f>
        <v/>
      </c>
      <c r="I132" s="271" t="str">
        <f>IF(VLOOKUP($B132,'ACS Price List'!$A$12:$P$180,I$1,FALSE)=0,"",VLOOKUP($B132,'ACS Price List'!$A$12:$P$180,I$1,FALSE))</f>
        <v/>
      </c>
      <c r="J132" s="272" t="str">
        <f>IF(VLOOKUP($B132,'ACS Price List'!$A$12:$P$180,J$1,FALSE)=0,"",VLOOKUP($B132,'ACS Price List'!$A$12:$P$180,J$1,FALSE))</f>
        <v/>
      </c>
      <c r="K132" s="292" t="str">
        <f t="shared" si="0"/>
        <v/>
      </c>
      <c r="L132" s="271"/>
      <c r="M132" s="271"/>
      <c r="N132" s="272"/>
      <c r="O132" s="271" t="s">
        <v>447</v>
      </c>
      <c r="P132" s="271" t="s">
        <v>654</v>
      </c>
      <c r="Q132" s="271" t="str">
        <f>IFERROR(IF(VLOOKUP($D132,'ACS Price List'!$A$12:$P$180,I$1,FALSE)=0,"",VLOOKUP($D132,'ACS Price List'!$A$12:$P$180,I$1,FALSE)),"")</f>
        <v/>
      </c>
      <c r="R132" s="276" t="str">
        <f>IFERROR(IF(VLOOKUP($D132,'ACS Price List'!$A$12:$P$180,J$1,FALSE)=0,"",VLOOKUP($D132,'ACS Price List'!$A$12:$P$180,J$1,FALSE)),"")</f>
        <v/>
      </c>
    </row>
    <row r="133" spans="1:21" s="102" customFormat="1" x14ac:dyDescent="0.2">
      <c r="A133" s="252"/>
      <c r="B133" s="97">
        <v>91</v>
      </c>
      <c r="C133" s="97"/>
      <c r="D133" s="251"/>
      <c r="E133" s="521"/>
      <c r="F133" s="272" t="str">
        <f>VLOOKUP(B133,'ACS Price List'!$A$12:$P$180,2,FALSE)</f>
        <v>Provision of services for approved unmetered supplies</v>
      </c>
      <c r="G133" s="271" t="str">
        <f>IF(VLOOKUP($B133,'ACS Price List'!$A$12:$P$180,G$1,FALSE)=0,"",VLOOKUP($B133,'ACS Price List'!$A$12:$P$180,G$1,FALSE))</f>
        <v>UNMTRSVCU</v>
      </c>
      <c r="H133" s="271" t="str">
        <f>IF(VLOOKUP($B133,'ACS Price List'!$A$12:$P$180,H$1,FALSE)=0,"",VLOOKUP($B133,'ACS Price List'!$A$12:$P$180,H$1,FALSE))</f>
        <v>UNMTRSVCS</v>
      </c>
      <c r="I133" s="271" t="str">
        <f>IF(VLOOKUP($B133,'ACS Price List'!$A$12:$P$180,I$1,FALSE)=0,"",VLOOKUP($B133,'ACS Price List'!$A$12:$P$180,I$1,FALSE))</f>
        <v>UNMTRSVCL</v>
      </c>
      <c r="J133" s="272" t="str">
        <f>IF(VLOOKUP($B133,'ACS Price List'!$A$12:$P$180,J$1,FALSE)=0,"",VLOOKUP($B133,'ACS Price List'!$A$12:$P$180,J$1,FALSE))</f>
        <v>UNMTRSVCI</v>
      </c>
      <c r="K133" s="292" t="str">
        <f t="shared" si="0"/>
        <v/>
      </c>
      <c r="L133" s="271"/>
      <c r="M133" s="271"/>
      <c r="N133" s="272"/>
      <c r="O133" s="271" t="s">
        <v>447</v>
      </c>
      <c r="P133" s="271" t="s">
        <v>654</v>
      </c>
      <c r="Q133" s="271" t="str">
        <f>IFERROR(IF(VLOOKUP($D133,'ACS Price List'!$A$12:$P$180,I$1,FALSE)=0,"",VLOOKUP($D133,'ACS Price List'!$A$12:$P$180,I$1,FALSE)),"")</f>
        <v/>
      </c>
      <c r="R133" s="276" t="str">
        <f>IFERROR(IF(VLOOKUP($D133,'ACS Price List'!$A$12:$P$180,J$1,FALSE)=0,"",VLOOKUP($D133,'ACS Price List'!$A$12:$P$180,J$1,FALSE)),"")</f>
        <v/>
      </c>
    </row>
    <row r="134" spans="1:21" s="102" customFormat="1" x14ac:dyDescent="0.2">
      <c r="A134" s="252"/>
      <c r="B134" s="97" t="s">
        <v>647</v>
      </c>
      <c r="C134" s="97"/>
      <c r="D134" s="251"/>
      <c r="E134" s="521"/>
      <c r="F134" s="272" t="str">
        <f>VLOOKUP(B134,'ACS Price List'!$A$12:$P$180,2,FALSE)</f>
        <v>Customer ,retailer or third party requested appointments</v>
      </c>
      <c r="G134" s="271" t="str">
        <f>IF(VLOOKUP($B134,'ACS Price List'!$A$12:$P$180,G$1,FALSE)=0,"",VLOOKUP($B134,'ACS Price List'!$A$12:$P$180,G$1,FALSE))</f>
        <v>CUSTAPTU</v>
      </c>
      <c r="H134" s="271" t="str">
        <f>IF(VLOOKUP($B134,'ACS Price List'!$A$12:$P$180,H$1,FALSE)=0,"",VLOOKUP($B134,'ACS Price List'!$A$12:$P$180,H$1,FALSE))</f>
        <v>CUSTAPTS</v>
      </c>
      <c r="I134" s="271" t="str">
        <f>IF(VLOOKUP($B134,'ACS Price List'!$A$12:$P$180,I$1,FALSE)=0,"",VLOOKUP($B134,'ACS Price List'!$A$12:$P$180,I$1,FALSE))</f>
        <v>CUSTAPTL</v>
      </c>
      <c r="J134" s="272" t="str">
        <f>IF(VLOOKUP($B134,'ACS Price List'!$A$12:$P$180,J$1,FALSE)=0,"",VLOOKUP($B134,'ACS Price List'!$A$12:$P$180,J$1,FALSE))</f>
        <v>CUSTAPTI</v>
      </c>
      <c r="K134" s="292" t="str">
        <f t="shared" si="0"/>
        <v/>
      </c>
      <c r="L134" s="271"/>
      <c r="M134" s="271"/>
      <c r="N134" s="272"/>
      <c r="O134" s="271" t="s">
        <v>447</v>
      </c>
      <c r="P134" s="271" t="s">
        <v>654</v>
      </c>
      <c r="Q134" s="271" t="str">
        <f>IFERROR(IF(VLOOKUP($D134,'ACS Price List'!$A$12:$P$180,I$1,FALSE)=0,"",VLOOKUP($D134,'ACS Price List'!$A$12:$P$180,I$1,FALSE)),"")</f>
        <v/>
      </c>
      <c r="R134" s="276" t="str">
        <f>IFERROR(IF(VLOOKUP($D134,'ACS Price List'!$A$12:$P$180,J$1,FALSE)=0,"",VLOOKUP($D134,'ACS Price List'!$A$12:$P$180,J$1,FALSE)),"")</f>
        <v/>
      </c>
    </row>
    <row r="135" spans="1:21" s="104" customFormat="1" x14ac:dyDescent="0.2">
      <c r="A135" s="252"/>
      <c r="B135" s="97" t="s">
        <v>750</v>
      </c>
      <c r="C135" s="97"/>
      <c r="D135" s="251"/>
      <c r="E135" s="521"/>
      <c r="F135" s="272" t="str">
        <f>VLOOKUP(B135,'ACS Price List'!$A$12:$P$180,2,FALSE)</f>
        <v>Metering Co-ordinator requested appointments</v>
      </c>
      <c r="G135" s="271" t="str">
        <f>IF(VLOOKUP($B135,'ACS Price List'!$A$12:$P$180,G$1,FALSE)=0,"",VLOOKUP($B135,'ACS Price List'!$A$12:$P$180,G$1,FALSE))</f>
        <v>MCAPTU</v>
      </c>
      <c r="H135" s="271" t="str">
        <f>IF(VLOOKUP($B135,'ACS Price List'!$A$12:$P$180,H$1,FALSE)=0,"",VLOOKUP($B135,'ACS Price List'!$A$12:$P$180,H$1,FALSE))</f>
        <v>MCAPTS</v>
      </c>
      <c r="I135" s="271" t="str">
        <f>IF(VLOOKUP($B135,'ACS Price List'!$A$12:$P$180,I$1,FALSE)=0,"",VLOOKUP($B135,'ACS Price List'!$A$12:$P$180,I$1,FALSE))</f>
        <v>MCAPTL</v>
      </c>
      <c r="J135" s="272" t="str">
        <f>IF(VLOOKUP($B135,'ACS Price List'!$A$12:$P$180,J$1,FALSE)=0,"",VLOOKUP($B135,'ACS Price List'!$A$12:$P$180,J$1,FALSE))</f>
        <v>MCAPTI</v>
      </c>
      <c r="K135" s="292" t="str">
        <f t="shared" si="0"/>
        <v/>
      </c>
      <c r="L135" s="271"/>
      <c r="M135" s="271"/>
      <c r="N135" s="272"/>
      <c r="O135" s="271" t="s">
        <v>447</v>
      </c>
      <c r="P135" s="271" t="s">
        <v>654</v>
      </c>
      <c r="Q135" s="271" t="str">
        <f>IFERROR(IF(VLOOKUP($D135,'ACS Price List'!$A$12:$P$180,I$1,FALSE)=0,"",VLOOKUP($D135,'ACS Price List'!$A$12:$P$180,I$1,FALSE)),"")</f>
        <v/>
      </c>
      <c r="R135" s="276" t="str">
        <f>IFERROR(IF(VLOOKUP($D135,'ACS Price List'!$A$12:$P$180,J$1,FALSE)=0,"",VLOOKUP($D135,'ACS Price List'!$A$12:$P$180,J$1,FALSE)),"")</f>
        <v/>
      </c>
    </row>
    <row r="136" spans="1:21" s="102" customFormat="1" x14ac:dyDescent="0.2">
      <c r="A136" s="252"/>
      <c r="B136" s="97">
        <v>93</v>
      </c>
      <c r="C136" s="97"/>
      <c r="D136" s="251"/>
      <c r="E136" s="521"/>
      <c r="F136" s="272" t="str">
        <f>VLOOKUP(B136,'ACS Price List'!$A$12:$P$180,2,FALSE)</f>
        <v>Removal/rearrangement of network assets</v>
      </c>
      <c r="G136" s="271" t="str">
        <f>IF(VLOOKUP($B136,'ACS Price List'!$A$12:$P$180,G$1,FALSE)=0,"",VLOOKUP($B136,'ACS Price List'!$A$12:$P$180,G$1,FALSE))</f>
        <v>As Quoted</v>
      </c>
      <c r="H136" s="271" t="str">
        <f>IF(VLOOKUP($B136,'ACS Price List'!$A$12:$P$180,H$1,FALSE)=0,"",VLOOKUP($B136,'ACS Price List'!$A$12:$P$180,H$1,FALSE))</f>
        <v/>
      </c>
      <c r="I136" s="271" t="str">
        <f>IF(VLOOKUP($B136,'ACS Price List'!$A$12:$P$180,I$1,FALSE)=0,"",VLOOKUP($B136,'ACS Price List'!$A$12:$P$180,I$1,FALSE))</f>
        <v/>
      </c>
      <c r="J136" s="272" t="str">
        <f>IF(VLOOKUP($B136,'ACS Price List'!$A$12:$P$180,J$1,FALSE)=0,"",VLOOKUP($B136,'ACS Price List'!$A$12:$P$180,J$1,FALSE))</f>
        <v/>
      </c>
      <c r="K136" s="292" t="str">
        <f t="shared" si="0"/>
        <v/>
      </c>
      <c r="L136" s="271"/>
      <c r="M136" s="271"/>
      <c r="N136" s="272"/>
      <c r="O136" s="271" t="s">
        <v>447</v>
      </c>
      <c r="P136" s="271" t="s">
        <v>654</v>
      </c>
      <c r="Q136" s="271" t="str">
        <f>IFERROR(IF(VLOOKUP($D136,'ACS Price List'!$A$12:$P$180,I$1,FALSE)=0,"",VLOOKUP($D136,'ACS Price List'!$A$12:$P$180,I$1,FALSE)),"")</f>
        <v/>
      </c>
      <c r="R136" s="276" t="str">
        <f>IFERROR(IF(VLOOKUP($D136,'ACS Price List'!$A$12:$P$180,J$1,FALSE)=0,"",VLOOKUP($D136,'ACS Price List'!$A$12:$P$180,J$1,FALSE)),"")</f>
        <v/>
      </c>
    </row>
    <row r="137" spans="1:21" s="102" customFormat="1" x14ac:dyDescent="0.2">
      <c r="A137" s="252"/>
      <c r="B137" s="97">
        <v>94</v>
      </c>
      <c r="C137" s="97"/>
      <c r="D137" s="251"/>
      <c r="E137" s="521"/>
      <c r="F137" s="272" t="str">
        <f>VLOOKUP(B137,'ACS Price List'!$A$12:$P$180,2,FALSE)</f>
        <v>Aerial markers</v>
      </c>
      <c r="G137" s="271" t="str">
        <f>IF(VLOOKUP($B137,'ACS Price List'!$A$12:$P$180,G$1,FALSE)=0,"",VLOOKUP($B137,'ACS Price List'!$A$12:$P$180,G$1,FALSE))</f>
        <v>As Quoted</v>
      </c>
      <c r="H137" s="271" t="str">
        <f>IF(VLOOKUP($B137,'ACS Price List'!$A$12:$P$180,H$1,FALSE)=0,"",VLOOKUP($B137,'ACS Price List'!$A$12:$P$180,H$1,FALSE))</f>
        <v/>
      </c>
      <c r="I137" s="271" t="str">
        <f>IF(VLOOKUP($B137,'ACS Price List'!$A$12:$P$180,I$1,FALSE)=0,"",VLOOKUP($B137,'ACS Price List'!$A$12:$P$180,I$1,FALSE))</f>
        <v/>
      </c>
      <c r="J137" s="272" t="str">
        <f>IF(VLOOKUP($B137,'ACS Price List'!$A$12:$P$180,J$1,FALSE)=0,"",VLOOKUP($B137,'ACS Price List'!$A$12:$P$180,J$1,FALSE))</f>
        <v/>
      </c>
      <c r="K137" s="292" t="str">
        <f t="shared" si="0"/>
        <v/>
      </c>
      <c r="L137" s="271"/>
      <c r="M137" s="271"/>
      <c r="N137" s="272"/>
      <c r="O137" s="271" t="s">
        <v>447</v>
      </c>
      <c r="P137" s="271" t="s">
        <v>654</v>
      </c>
      <c r="Q137" s="271" t="str">
        <f>IFERROR(IF(VLOOKUP($D137,'ACS Price List'!$A$12:$P$180,I$1,FALSE)=0,"",VLOOKUP($D137,'ACS Price List'!$A$12:$P$180,I$1,FALSE)),"")</f>
        <v/>
      </c>
      <c r="R137" s="276" t="str">
        <f>IFERROR(IF(VLOOKUP($D137,'ACS Price List'!$A$12:$P$180,J$1,FALSE)=0,"",VLOOKUP($D137,'ACS Price List'!$A$12:$P$180,J$1,FALSE)),"")</f>
        <v/>
      </c>
    </row>
    <row r="138" spans="1:21" s="102" customFormat="1" x14ac:dyDescent="0.2">
      <c r="A138" s="252"/>
      <c r="B138" s="97">
        <v>95</v>
      </c>
      <c r="C138" s="97"/>
      <c r="D138" s="251"/>
      <c r="E138" s="521"/>
      <c r="F138" s="272" t="str">
        <f>VLOOKUP(B138,'ACS Price List'!$A$12:$P$180,2,FALSE)</f>
        <v>Tiger tails</v>
      </c>
      <c r="G138" s="271" t="str">
        <f>IF(VLOOKUP($B138,'ACS Price List'!$A$12:$P$180,G$1,FALSE)=0,"",VLOOKUP($B138,'ACS Price List'!$A$12:$P$180,G$1,FALSE))</f>
        <v>As Quoted</v>
      </c>
      <c r="H138" s="271" t="str">
        <f>IF(VLOOKUP($B138,'ACS Price List'!$A$12:$P$180,H$1,FALSE)=0,"",VLOOKUP($B138,'ACS Price List'!$A$12:$P$180,H$1,FALSE))</f>
        <v/>
      </c>
      <c r="I138" s="271" t="str">
        <f>IF(VLOOKUP($B138,'ACS Price List'!$A$12:$P$180,I$1,FALSE)=0,"",VLOOKUP($B138,'ACS Price List'!$A$12:$P$180,I$1,FALSE))</f>
        <v/>
      </c>
      <c r="J138" s="272" t="str">
        <f>IF(VLOOKUP($B138,'ACS Price List'!$A$12:$P$180,J$1,FALSE)=0,"",VLOOKUP($B138,'ACS Price List'!$A$12:$P$180,J$1,FALSE))</f>
        <v/>
      </c>
      <c r="K138" s="292" t="str">
        <f t="shared" si="0"/>
        <v/>
      </c>
      <c r="L138" s="271"/>
      <c r="M138" s="271"/>
      <c r="N138" s="272"/>
      <c r="O138" s="271" t="s">
        <v>447</v>
      </c>
      <c r="P138" s="271" t="s">
        <v>654</v>
      </c>
      <c r="Q138" s="271" t="str">
        <f>IFERROR(IF(VLOOKUP($D138,'ACS Price List'!$A$12:$P$180,I$1,FALSE)=0,"",VLOOKUP($D138,'ACS Price List'!$A$12:$P$180,I$1,FALSE)),"")</f>
        <v/>
      </c>
      <c r="R138" s="276" t="str">
        <f>IFERROR(IF(VLOOKUP($D138,'ACS Price List'!$A$12:$P$180,J$1,FALSE)=0,"",VLOOKUP($D138,'ACS Price List'!$A$12:$P$180,J$1,FALSE)),"")</f>
        <v/>
      </c>
    </row>
    <row r="139" spans="1:21" s="102" customFormat="1" x14ac:dyDescent="0.2">
      <c r="A139" s="252"/>
      <c r="B139" s="97">
        <v>96</v>
      </c>
      <c r="C139" s="97"/>
      <c r="D139" s="251"/>
      <c r="E139" s="521"/>
      <c r="F139" s="272" t="str">
        <f>VLOOKUP(B139,'ACS Price List'!$A$12:$P$180,2,FALSE)</f>
        <v>Assessment for Non-Exporting embedded generator applications</v>
      </c>
      <c r="G139" s="271" t="str">
        <f>IF(VLOOKUP($B139,'ACS Price List'!$A$12:$P$180,G$1,FALSE)=0,"",VLOOKUP($B139,'ACS Price List'!$A$12:$P$180,G$1,FALSE))</f>
        <v>As Quoted</v>
      </c>
      <c r="H139" s="271" t="str">
        <f>IF(VLOOKUP($B139,'ACS Price List'!$A$12:$P$180,H$1,FALSE)=0,"",VLOOKUP($B139,'ACS Price List'!$A$12:$P$180,H$1,FALSE))</f>
        <v/>
      </c>
      <c r="I139" s="271" t="str">
        <f>IF(VLOOKUP($B139,'ACS Price List'!$A$12:$P$180,I$1,FALSE)=0,"",VLOOKUP($B139,'ACS Price List'!$A$12:$P$180,I$1,FALSE))</f>
        <v/>
      </c>
      <c r="J139" s="272" t="str">
        <f>IF(VLOOKUP($B139,'ACS Price List'!$A$12:$P$180,J$1,FALSE)=0,"",VLOOKUP($B139,'ACS Price List'!$A$12:$P$180,J$1,FALSE))</f>
        <v/>
      </c>
      <c r="K139" s="292" t="str">
        <f t="shared" si="0"/>
        <v/>
      </c>
      <c r="L139" s="271"/>
      <c r="M139" s="271"/>
      <c r="N139" s="272"/>
      <c r="O139" s="271" t="s">
        <v>447</v>
      </c>
      <c r="P139" s="271" t="s">
        <v>654</v>
      </c>
      <c r="Q139" s="271" t="str">
        <f>IFERROR(IF(VLOOKUP($D139,'ACS Price List'!$A$12:$P$180,I$1,FALSE)=0,"",VLOOKUP($D139,'ACS Price List'!$A$12:$P$180,I$1,FALSE)),"")</f>
        <v/>
      </c>
      <c r="R139" s="276" t="str">
        <f>IFERROR(IF(VLOOKUP($D139,'ACS Price List'!$A$12:$P$180,J$1,FALSE)=0,"",VLOOKUP($D139,'ACS Price List'!$A$12:$P$180,J$1,FALSE)),"")</f>
        <v/>
      </c>
    </row>
    <row r="140" spans="1:21" s="102" customFormat="1" x14ac:dyDescent="0.2">
      <c r="A140" s="252"/>
      <c r="B140" s="97">
        <v>97</v>
      </c>
      <c r="C140" s="97"/>
      <c r="D140" s="251"/>
      <c r="E140" s="521"/>
      <c r="F140" s="272" t="str">
        <f>VLOOKUP(B140,'ACS Price List'!$A$12:$P$180,2,FALSE)</f>
        <v>Witness testing</v>
      </c>
      <c r="G140" s="271" t="str">
        <f>IF(VLOOKUP($B140,'ACS Price List'!$A$12:$P$180,G$1,FALSE)=0,"",VLOOKUP($B140,'ACS Price List'!$A$12:$P$180,G$1,FALSE))</f>
        <v>As Quoted</v>
      </c>
      <c r="H140" s="271" t="str">
        <f>IF(VLOOKUP($B140,'ACS Price List'!$A$12:$P$180,H$1,FALSE)=0,"",VLOOKUP($B140,'ACS Price List'!$A$12:$P$180,H$1,FALSE))</f>
        <v/>
      </c>
      <c r="I140" s="271" t="str">
        <f>IF(VLOOKUP($B140,'ACS Price List'!$A$12:$P$180,I$1,FALSE)=0,"",VLOOKUP($B140,'ACS Price List'!$A$12:$P$180,I$1,FALSE))</f>
        <v/>
      </c>
      <c r="J140" s="272" t="str">
        <f>IF(VLOOKUP($B140,'ACS Price List'!$A$12:$P$180,J$1,FALSE)=0,"",VLOOKUP($B140,'ACS Price List'!$A$12:$P$180,J$1,FALSE))</f>
        <v/>
      </c>
      <c r="K140" s="292" t="str">
        <f t="shared" si="0"/>
        <v/>
      </c>
      <c r="L140" s="271"/>
      <c r="M140" s="271"/>
      <c r="N140" s="272"/>
      <c r="O140" s="271" t="s">
        <v>447</v>
      </c>
      <c r="P140" s="271" t="s">
        <v>654</v>
      </c>
      <c r="Q140" s="271" t="str">
        <f>IFERROR(IF(VLOOKUP($D140,'ACS Price List'!$A$12:$P$180,I$1,FALSE)=0,"",VLOOKUP($D140,'ACS Price List'!$A$12:$P$180,I$1,FALSE)),"")</f>
        <v/>
      </c>
      <c r="R140" s="276" t="str">
        <f>IFERROR(IF(VLOOKUP($D140,'ACS Price List'!$A$12:$P$180,J$1,FALSE)=0,"",VLOOKUP($D140,'ACS Price List'!$A$12:$P$180,J$1,FALSE)),"")</f>
        <v/>
      </c>
    </row>
    <row r="141" spans="1:21" s="102" customFormat="1" x14ac:dyDescent="0.2">
      <c r="A141" s="252"/>
      <c r="B141" s="97">
        <v>98</v>
      </c>
      <c r="C141" s="97"/>
      <c r="D141" s="251"/>
      <c r="E141" s="522"/>
      <c r="F141" s="279" t="str">
        <f>VLOOKUP(B141,'ACS Price List'!$A$12:$P$180,2,FALSE)</f>
        <v>Removal/rearrangement of public lighting assets</v>
      </c>
      <c r="G141" s="278" t="str">
        <f>IF(VLOOKUP($B141,'ACS Price List'!$A$12:$P$180,G$1,FALSE)=0,"",VLOOKUP($B141,'ACS Price List'!$A$12:$P$180,G$1,FALSE))</f>
        <v>As Quoted</v>
      </c>
      <c r="H141" s="278" t="str">
        <f>IF(VLOOKUP($B141,'ACS Price List'!$A$12:$P$180,H$1,FALSE)=0,"",VLOOKUP($B141,'ACS Price List'!$A$12:$P$180,H$1,FALSE))</f>
        <v/>
      </c>
      <c r="I141" s="278" t="str">
        <f>IF(VLOOKUP($B141,'ACS Price List'!$A$12:$P$180,I$1,FALSE)=0,"",VLOOKUP($B141,'ACS Price List'!$A$12:$P$180,I$1,FALSE))</f>
        <v/>
      </c>
      <c r="J141" s="279" t="str">
        <f>IF(VLOOKUP($B141,'ACS Price List'!$A$12:$P$180,J$1,FALSE)=0,"",VLOOKUP($B141,'ACS Price List'!$A$12:$P$180,J$1,FALSE))</f>
        <v/>
      </c>
      <c r="K141" s="293" t="str">
        <f t="shared" si="0"/>
        <v/>
      </c>
      <c r="L141" s="278"/>
      <c r="M141" s="278"/>
      <c r="N141" s="279"/>
      <c r="O141" s="278" t="s">
        <v>447</v>
      </c>
      <c r="P141" s="271" t="s">
        <v>654</v>
      </c>
      <c r="Q141" s="271" t="str">
        <f>IFERROR(IF(VLOOKUP($D141,'ACS Price List'!$A$12:$P$180,I$1,FALSE)=0,"",VLOOKUP($D141,'ACS Price List'!$A$12:$P$180,I$1,FALSE)),"")</f>
        <v/>
      </c>
      <c r="R141" s="276" t="str">
        <f>IFERROR(IF(VLOOKUP($D141,'ACS Price List'!$A$12:$P$180,J$1,FALSE)=0,"",VLOOKUP($D141,'ACS Price List'!$A$12:$P$180,J$1,FALSE)),"")</f>
        <v/>
      </c>
    </row>
    <row r="142" spans="1:21" x14ac:dyDescent="0.2">
      <c r="A142" s="252"/>
      <c r="B142" s="97">
        <v>100</v>
      </c>
      <c r="C142" s="97"/>
      <c r="D142" s="251"/>
      <c r="E142" s="523" t="s">
        <v>85</v>
      </c>
      <c r="F142" s="281" t="str">
        <f>VLOOKUP(B142,'ACS Price List'!$A$12:$P$180,2,FALSE)</f>
        <v>Primary service - Non-capital</v>
      </c>
      <c r="G142" s="273" t="str">
        <f>IF(VLOOKUP($B142,'ACS Price List'!$A$12:$P$180,G$1,FALSE)=0,"",VLOOKUP($B142,'ACS Price List'!$A$12:$P$180,G$1,FALSE))</f>
        <v>ACSMNCC</v>
      </c>
      <c r="H142" s="273" t="str">
        <f>IF(VLOOKUP($B142,'ACS Price List'!$A$12:$P$180,H$1,FALSE)=0,"",VLOOKUP($B142,'ACS Price List'!$A$12:$P$180,H$1,FALSE))</f>
        <v/>
      </c>
      <c r="I142" s="273" t="str">
        <f>IF(VLOOKUP($B142,'ACS Price List'!$A$12:$P$180,I$1,FALSE)=0,"",VLOOKUP($B142,'ACS Price List'!$A$12:$P$180,I$1,FALSE))</f>
        <v/>
      </c>
      <c r="J142" s="282" t="str">
        <f>IF(VLOOKUP($B142,'ACS Price List'!$A$12:$P$180,J$1,FALSE)=0,"",VLOOKUP($B142,'ACS Price List'!$A$12:$P$180,J$1,FALSE))</f>
        <v/>
      </c>
      <c r="K142" s="273"/>
      <c r="L142" s="273"/>
      <c r="M142" s="273"/>
      <c r="N142" s="282"/>
      <c r="O142" s="273"/>
      <c r="P142" s="283"/>
      <c r="Q142" s="283"/>
      <c r="R142" s="284"/>
      <c r="U142" s="91">
        <f>COUNTA(G142:G147,O148:P148,Q149:R149)</f>
        <v>10</v>
      </c>
    </row>
    <row r="143" spans="1:21" x14ac:dyDescent="0.2">
      <c r="A143" s="252"/>
      <c r="B143" s="97">
        <v>101</v>
      </c>
      <c r="C143" s="97"/>
      <c r="D143" s="251"/>
      <c r="E143" s="521"/>
      <c r="F143" s="275" t="str">
        <f>VLOOKUP(B143,'ACS Price List'!$A$12:$P$180,2,FALSE)</f>
        <v>Primary service - Capital</v>
      </c>
      <c r="G143" s="271" t="str">
        <f>IF(VLOOKUP($B143,'ACS Price List'!$A$12:$P$180,G$1,FALSE)=0,"",VLOOKUP($B143,'ACS Price List'!$A$12:$P$180,G$1,FALSE))</f>
        <v>ACSMCC</v>
      </c>
      <c r="H143" s="271" t="str">
        <f>IF(VLOOKUP($B143,'ACS Price List'!$A$12:$P$180,H$1,FALSE)=0,"",VLOOKUP($B143,'ACS Price List'!$A$12:$P$180,H$1,FALSE))</f>
        <v/>
      </c>
      <c r="I143" s="271" t="str">
        <f>IF(VLOOKUP($B143,'ACS Price List'!$A$12:$P$180,I$1,FALSE)=0,"",VLOOKUP($B143,'ACS Price List'!$A$12:$P$180,I$1,FALSE))</f>
        <v/>
      </c>
      <c r="J143" s="272" t="str">
        <f>IF(VLOOKUP($B143,'ACS Price List'!$A$12:$P$180,J$1,FALSE)=0,"",VLOOKUP($B143,'ACS Price List'!$A$12:$P$180,J$1,FALSE))</f>
        <v/>
      </c>
      <c r="K143" s="271"/>
      <c r="L143" s="271"/>
      <c r="M143" s="271"/>
      <c r="N143" s="272"/>
      <c r="O143" s="271"/>
      <c r="P143" s="271"/>
      <c r="Q143" s="271"/>
      <c r="R143" s="276"/>
    </row>
    <row r="144" spans="1:21" x14ac:dyDescent="0.2">
      <c r="A144" s="252"/>
      <c r="B144" s="97">
        <v>102</v>
      </c>
      <c r="C144" s="97"/>
      <c r="D144" s="251"/>
      <c r="E144" s="521"/>
      <c r="F144" s="275" t="str">
        <f>VLOOKUP(B144,'ACS Price List'!$A$12:$P$180,2,FALSE)</f>
        <v>Controlled load - Non-capital</v>
      </c>
      <c r="G144" s="271" t="str">
        <f>IF(VLOOKUP($B144,'ACS Price List'!$A$12:$P$180,G$1,FALSE)=0,"",VLOOKUP($B144,'ACS Price List'!$A$12:$P$180,G$1,FALSE))</f>
        <v>ACSMNCC</v>
      </c>
      <c r="H144" s="271" t="str">
        <f>IF(VLOOKUP($B144,'ACS Price List'!$A$12:$P$180,H$1,FALSE)=0,"",VLOOKUP($B144,'ACS Price List'!$A$12:$P$180,H$1,FALSE))</f>
        <v/>
      </c>
      <c r="I144" s="271" t="str">
        <f>IF(VLOOKUP($B144,'ACS Price List'!$A$12:$P$180,I$1,FALSE)=0,"",VLOOKUP($B144,'ACS Price List'!$A$12:$P$180,I$1,FALSE))</f>
        <v/>
      </c>
      <c r="J144" s="272" t="str">
        <f>IF(VLOOKUP($B144,'ACS Price List'!$A$12:$P$180,J$1,FALSE)=0,"",VLOOKUP($B144,'ACS Price List'!$A$12:$P$180,J$1,FALSE))</f>
        <v/>
      </c>
      <c r="K144" s="272"/>
      <c r="L144" s="272"/>
      <c r="M144" s="272"/>
      <c r="N144" s="272"/>
      <c r="O144" s="294"/>
      <c r="P144" s="294"/>
      <c r="Q144" s="294"/>
      <c r="R144" s="295"/>
    </row>
    <row r="145" spans="1:21" x14ac:dyDescent="0.2">
      <c r="A145" s="252"/>
      <c r="B145" s="97">
        <v>103</v>
      </c>
      <c r="C145" s="97"/>
      <c r="D145" s="251"/>
      <c r="E145" s="521"/>
      <c r="F145" s="275" t="str">
        <f>VLOOKUP(B145,'ACS Price List'!$A$12:$P$180,2,FALSE)</f>
        <v>Controlled load - Capital</v>
      </c>
      <c r="G145" s="271" t="str">
        <f>IF(VLOOKUP($B145,'ACS Price List'!$A$12:$P$180,G$1,FALSE)=0,"",VLOOKUP($B145,'ACS Price List'!$A$12:$P$180,G$1,FALSE))</f>
        <v>ACSMCC</v>
      </c>
      <c r="H145" s="271" t="str">
        <f>IF(VLOOKUP($B145,'ACS Price List'!$A$12:$P$180,H$1,FALSE)=0,"",VLOOKUP($B145,'ACS Price List'!$A$12:$P$180,H$1,FALSE))</f>
        <v/>
      </c>
      <c r="I145" s="271" t="str">
        <f>IF(VLOOKUP($B145,'ACS Price List'!$A$12:$P$180,I$1,FALSE)=0,"",VLOOKUP($B145,'ACS Price List'!$A$12:$P$180,I$1,FALSE))</f>
        <v/>
      </c>
      <c r="J145" s="272" t="str">
        <f>IF(VLOOKUP($B145,'ACS Price List'!$A$12:$P$180,J$1,FALSE)=0,"",VLOOKUP($B145,'ACS Price List'!$A$12:$P$180,J$1,FALSE))</f>
        <v/>
      </c>
      <c r="K145" s="273"/>
      <c r="L145" s="273"/>
      <c r="M145" s="273"/>
      <c r="N145" s="285"/>
      <c r="O145" s="273"/>
      <c r="P145" s="273"/>
      <c r="Q145" s="273"/>
      <c r="R145" s="274"/>
    </row>
    <row r="146" spans="1:21" x14ac:dyDescent="0.2">
      <c r="A146" s="252"/>
      <c r="B146" s="97">
        <v>104</v>
      </c>
      <c r="C146" s="97"/>
      <c r="D146" s="251"/>
      <c r="E146" s="521"/>
      <c r="F146" s="275" t="str">
        <f>VLOOKUP(B146,'ACS Price List'!$A$12:$P$180,2,FALSE)</f>
        <v>Embedded generation - Non-capital</v>
      </c>
      <c r="G146" s="271" t="str">
        <f>IF(VLOOKUP($B146,'ACS Price List'!$A$12:$P$180,G$1,FALSE)=0,"",VLOOKUP($B146,'ACS Price List'!$A$12:$P$180,G$1,FALSE))</f>
        <v>ACSMNCC</v>
      </c>
      <c r="H146" s="271" t="str">
        <f>IF(VLOOKUP($B146,'ACS Price List'!$A$12:$P$180,H$1,FALSE)=0,"",VLOOKUP($B146,'ACS Price List'!$A$12:$P$180,H$1,FALSE))</f>
        <v/>
      </c>
      <c r="I146" s="271" t="str">
        <f>IF(VLOOKUP($B146,'ACS Price List'!$A$12:$P$180,I$1,FALSE)=0,"",VLOOKUP($B146,'ACS Price List'!$A$12:$P$180,I$1,FALSE))</f>
        <v/>
      </c>
      <c r="J146" s="272" t="str">
        <f>IF(VLOOKUP($B146,'ACS Price List'!$A$12:$P$180,J$1,FALSE)=0,"",VLOOKUP($B146,'ACS Price List'!$A$12:$P$180,J$1,FALSE))</f>
        <v/>
      </c>
      <c r="K146" s="271"/>
      <c r="L146" s="271"/>
      <c r="M146" s="271"/>
      <c r="N146" s="272"/>
      <c r="O146" s="271"/>
      <c r="P146" s="271"/>
      <c r="Q146" s="271"/>
      <c r="R146" s="276"/>
    </row>
    <row r="147" spans="1:21" x14ac:dyDescent="0.2">
      <c r="A147" s="252"/>
      <c r="B147" s="97">
        <v>105</v>
      </c>
      <c r="C147" s="97"/>
      <c r="D147" s="251"/>
      <c r="E147" s="521"/>
      <c r="F147" s="275" t="str">
        <f>VLOOKUP(B147,'ACS Price List'!$A$12:$P$180,2,FALSE)</f>
        <v>Embedded generation - Capital</v>
      </c>
      <c r="G147" s="271" t="str">
        <f>IF(VLOOKUP($B147,'ACS Price List'!$A$12:$P$180,G$1,FALSE)=0,"",VLOOKUP($B147,'ACS Price List'!$A$12:$P$180,G$1,FALSE))</f>
        <v>ACSMCC</v>
      </c>
      <c r="H147" s="271" t="str">
        <f>IF(VLOOKUP($B147,'ACS Price List'!$A$12:$P$180,H$1,FALSE)=0,"",VLOOKUP($B147,'ACS Price List'!$A$12:$P$180,H$1,FALSE))</f>
        <v/>
      </c>
      <c r="I147" s="271" t="str">
        <f>IF(VLOOKUP($B147,'ACS Price List'!$A$12:$P$180,I$1,FALSE)=0,"",VLOOKUP($B147,'ACS Price List'!$A$12:$P$180,I$1,FALSE))</f>
        <v/>
      </c>
      <c r="J147" s="272" t="str">
        <f>IF(VLOOKUP($B147,'ACS Price List'!$A$12:$P$180,J$1,FALSE)=0,"",VLOOKUP($B147,'ACS Price List'!$A$12:$P$180,J$1,FALSE))</f>
        <v/>
      </c>
      <c r="K147" s="287"/>
      <c r="L147" s="287"/>
      <c r="M147" s="287"/>
      <c r="N147" s="288"/>
      <c r="O147" s="294"/>
      <c r="P147" s="294"/>
      <c r="Q147" s="294"/>
      <c r="R147" s="295"/>
    </row>
    <row r="148" spans="1:21" x14ac:dyDescent="0.2">
      <c r="A148" s="252"/>
      <c r="B148" s="97" t="s">
        <v>300</v>
      </c>
      <c r="C148" s="97"/>
      <c r="D148" s="251"/>
      <c r="E148" s="521"/>
      <c r="F148" s="275" t="str">
        <f>VLOOKUP(B148,'ACS Price List'!$A$12:$P$180,2,FALSE)</f>
        <v>Call out fee for Final Meter Read – urban/short rural feeder</v>
      </c>
      <c r="G148" s="271"/>
      <c r="H148" s="271"/>
      <c r="I148" s="271"/>
      <c r="J148" s="272"/>
      <c r="K148" s="271"/>
      <c r="L148" s="271"/>
      <c r="M148" s="271"/>
      <c r="N148" s="272"/>
      <c r="O148" s="271" t="str">
        <f>IF(VLOOKUP($B148,'ACS Price List'!$A$12:$P$180,G$1,FALSE)=0,"",VLOOKUP($B148,'ACS Price List'!$A$12:$P$180,G$1,FALSE))</f>
        <v>CFFMTRRDU</v>
      </c>
      <c r="P148" s="271" t="str">
        <f>IF(VLOOKUP($B148,'ACS Price List'!$A$12:$P$180,H$1,FALSE)=0,"",VLOOKUP($B148,'ACS Price List'!$A$12:$P$180,H$1,FALSE))</f>
        <v>CFFMTRRDS</v>
      </c>
      <c r="Q148" s="271" t="str">
        <f>IF(VLOOKUP($B148,'ACS Price List'!$A$12:$P$180,I$1,FALSE)=0,"",VLOOKUP($B148,'ACS Price List'!$A$12:$P$180,I$1,FALSE))</f>
        <v/>
      </c>
      <c r="R148" s="276" t="str">
        <f>IF(VLOOKUP($B148,'ACS Price List'!$A$12:$P$180,J$1,FALSE)=0,"",VLOOKUP($B148,'ACS Price List'!$A$12:$P$180,J$1,FALSE))</f>
        <v/>
      </c>
    </row>
    <row r="149" spans="1:21" x14ac:dyDescent="0.2">
      <c r="A149" s="252"/>
      <c r="B149" s="97" t="s">
        <v>303</v>
      </c>
      <c r="C149" s="97"/>
      <c r="D149" s="251"/>
      <c r="E149" s="521"/>
      <c r="F149" s="275" t="str">
        <f>VLOOKUP(B149,'ACS Price List'!$A$12:$P$180,2,FALSE)</f>
        <v>Call out fee for Final Meter Read – long rural/isolated feeder</v>
      </c>
      <c r="G149" s="271"/>
      <c r="H149" s="271"/>
      <c r="I149" s="271"/>
      <c r="J149" s="272"/>
      <c r="K149" s="271"/>
      <c r="L149" s="271"/>
      <c r="M149" s="271"/>
      <c r="N149" s="272"/>
      <c r="O149" s="271" t="str">
        <f>IF(VLOOKUP($B149,'ACS Price List'!$A$12:$P$180,G$1,FALSE)=0,"",VLOOKUP($B149,'ACS Price List'!$A$12:$P$180,G$1,FALSE))</f>
        <v/>
      </c>
      <c r="P149" s="271" t="str">
        <f>IF(VLOOKUP($B149,'ACS Price List'!$A$12:$P$180,H$1,FALSE)=0,"",VLOOKUP($B149,'ACS Price List'!$A$12:$P$180,H$1,FALSE))</f>
        <v/>
      </c>
      <c r="Q149" s="271" t="str">
        <f>IF(VLOOKUP($B149,'ACS Price List'!$A$12:$P$180,I$1,FALSE)=0,"",VLOOKUP($B149,'ACS Price List'!$A$12:$P$180,I$1,FALSE))</f>
        <v>CFFMTRRDL</v>
      </c>
      <c r="R149" s="276" t="str">
        <f>IF(VLOOKUP($B149,'ACS Price List'!$A$12:$P$180,J$1,FALSE)=0,"",VLOOKUP($B149,'ACS Price List'!$A$12:$P$180,J$1,FALSE))</f>
        <v>CFFMTRRDI</v>
      </c>
    </row>
    <row r="150" spans="1:21" x14ac:dyDescent="0.2">
      <c r="A150" s="252"/>
      <c r="B150" s="97">
        <v>130</v>
      </c>
      <c r="C150" s="97"/>
      <c r="D150" s="251"/>
      <c r="E150" s="523" t="s">
        <v>84</v>
      </c>
      <c r="F150" s="281" t="str">
        <f>VLOOKUP(B150,'ACS Price List'!$A$12:$P$180,2,FALSE)</f>
        <v>EO&amp;O - Major</v>
      </c>
      <c r="G150" s="283" t="str">
        <f>IF(VLOOKUP($B150,'ACS Price List'!$A$12:$P$180,G$1,FALSE)=0,"",VLOOKUP($B150,'ACS Price List'!$A$12:$P$180,G$1,FALSE))</f>
        <v>ACSEOOMA</v>
      </c>
      <c r="H150" s="283" t="str">
        <f>IF(VLOOKUP($B150,'ACS Price List'!$A$12:$P$180,H$1,FALSE)=0,"",VLOOKUP($B150,'ACS Price List'!$A$12:$P$180,H$1,FALSE))</f>
        <v/>
      </c>
      <c r="I150" s="283" t="str">
        <f>IF(VLOOKUP($B150,'ACS Price List'!$A$12:$P$180,I$1,FALSE)=0,"",VLOOKUP($B150,'ACS Price List'!$A$12:$P$180,I$1,FALSE))</f>
        <v/>
      </c>
      <c r="J150" s="282" t="str">
        <f>IF(VLOOKUP($B150,'ACS Price List'!$A$12:$P$180,J$1,FALSE)=0,"",VLOOKUP($B150,'ACS Price List'!$A$12:$P$180,J$1,FALSE))</f>
        <v/>
      </c>
      <c r="K150" s="283"/>
      <c r="L150" s="283"/>
      <c r="M150" s="283"/>
      <c r="N150" s="282"/>
      <c r="O150" s="283"/>
      <c r="P150" s="283"/>
      <c r="Q150" s="283"/>
      <c r="R150" s="284"/>
      <c r="U150" s="91">
        <f>COUNTA(G150:G157)</f>
        <v>8</v>
      </c>
    </row>
    <row r="151" spans="1:21" x14ac:dyDescent="0.2">
      <c r="A151" s="252"/>
      <c r="B151" s="97">
        <v>131</v>
      </c>
      <c r="C151" s="97"/>
      <c r="D151" s="251"/>
      <c r="E151" s="521"/>
      <c r="F151" s="275" t="str">
        <f>VLOOKUP(B151,'ACS Price List'!$A$12:$P$180,2,FALSE)</f>
        <v>EO&amp;O - Minor</v>
      </c>
      <c r="G151" s="271" t="str">
        <f>IF(VLOOKUP($B151,'ACS Price List'!$A$12:$P$180,G$1,FALSE)=0,"",VLOOKUP($B151,'ACS Price List'!$A$12:$P$180,G$1,FALSE))</f>
        <v>ACSEOOMI</v>
      </c>
      <c r="H151" s="271" t="str">
        <f>IF(VLOOKUP($B151,'ACS Price List'!$A$12:$P$180,H$1,FALSE)=0,"",VLOOKUP($B151,'ACS Price List'!$A$12:$P$180,H$1,FALSE))</f>
        <v/>
      </c>
      <c r="I151" s="271" t="str">
        <f>IF(VLOOKUP($B151,'ACS Price List'!$A$12:$P$180,I$1,FALSE)=0,"",VLOOKUP($B151,'ACS Price List'!$A$12:$P$180,I$1,FALSE))</f>
        <v/>
      </c>
      <c r="J151" s="272" t="str">
        <f>IF(VLOOKUP($B151,'ACS Price List'!$A$12:$P$180,J$1,FALSE)=0,"",VLOOKUP($B151,'ACS Price List'!$A$12:$P$180,J$1,FALSE))</f>
        <v/>
      </c>
      <c r="K151" s="271"/>
      <c r="L151" s="271"/>
      <c r="M151" s="271"/>
      <c r="N151" s="272"/>
      <c r="O151" s="271"/>
      <c r="P151" s="271"/>
      <c r="Q151" s="271"/>
      <c r="R151" s="276"/>
    </row>
    <row r="152" spans="1:21" x14ac:dyDescent="0.2">
      <c r="A152" s="252"/>
      <c r="B152" s="97">
        <v>132</v>
      </c>
      <c r="C152" s="97"/>
      <c r="D152" s="251"/>
      <c r="E152" s="521"/>
      <c r="F152" s="275" t="str">
        <f>VLOOKUP(B152,'ACS Price List'!$A$12:$P$180,2,FALSE)</f>
        <v>G&amp;EO - Major</v>
      </c>
      <c r="G152" s="271" t="str">
        <f>IF(VLOOKUP($B152,'ACS Price List'!$A$12:$P$180,G$1,FALSE)=0,"",VLOOKUP($B152,'ACS Price List'!$A$12:$P$180,G$1,FALSE))</f>
        <v>ACSGEOMA</v>
      </c>
      <c r="H152" s="271" t="str">
        <f>IF(VLOOKUP($B152,'ACS Price List'!$A$12:$P$180,H$1,FALSE)=0,"",VLOOKUP($B152,'ACS Price List'!$A$12:$P$180,H$1,FALSE))</f>
        <v/>
      </c>
      <c r="I152" s="271" t="str">
        <f>IF(VLOOKUP($B152,'ACS Price List'!$A$12:$P$180,I$1,FALSE)=0,"",VLOOKUP($B152,'ACS Price List'!$A$12:$P$180,I$1,FALSE))</f>
        <v/>
      </c>
      <c r="J152" s="272" t="str">
        <f>IF(VLOOKUP($B152,'ACS Price List'!$A$12:$P$180,J$1,FALSE)=0,"",VLOOKUP($B152,'ACS Price List'!$A$12:$P$180,J$1,FALSE))</f>
        <v/>
      </c>
      <c r="K152" s="272"/>
      <c r="L152" s="272"/>
      <c r="M152" s="272"/>
      <c r="N152" s="272"/>
      <c r="O152" s="294"/>
      <c r="P152" s="294"/>
      <c r="Q152" s="294"/>
      <c r="R152" s="295"/>
    </row>
    <row r="153" spans="1:21" x14ac:dyDescent="0.2">
      <c r="A153" s="252"/>
      <c r="B153" s="97">
        <v>133</v>
      </c>
      <c r="C153" s="97"/>
      <c r="D153" s="251"/>
      <c r="E153" s="521"/>
      <c r="F153" s="275" t="str">
        <f>VLOOKUP(B153,'ACS Price List'!$A$12:$P$180,2,FALSE)</f>
        <v>G&amp;EO - Minor</v>
      </c>
      <c r="G153" s="271" t="str">
        <f>IF(VLOOKUP($B153,'ACS Price List'!$A$12:$P$180,G$1,FALSE)=0,"",VLOOKUP($B153,'ACS Price List'!$A$12:$P$180,G$1,FALSE))</f>
        <v>ACSGEOMI</v>
      </c>
      <c r="H153" s="271" t="str">
        <f>IF(VLOOKUP($B153,'ACS Price List'!$A$12:$P$180,H$1,FALSE)=0,"",VLOOKUP($B153,'ACS Price List'!$A$12:$P$180,H$1,FALSE))</f>
        <v/>
      </c>
      <c r="I153" s="271" t="str">
        <f>IF(VLOOKUP($B153,'ACS Price List'!$A$12:$P$180,I$1,FALSE)=0,"",VLOOKUP($B153,'ACS Price List'!$A$12:$P$180,I$1,FALSE))</f>
        <v/>
      </c>
      <c r="J153" s="272" t="str">
        <f>IF(VLOOKUP($B153,'ACS Price List'!$A$12:$P$180,J$1,FALSE)=0,"",VLOOKUP($B153,'ACS Price List'!$A$12:$P$180,J$1,FALSE))</f>
        <v/>
      </c>
      <c r="K153" s="273"/>
      <c r="L153" s="273"/>
      <c r="M153" s="273"/>
      <c r="N153" s="285"/>
      <c r="O153" s="273"/>
      <c r="P153" s="273"/>
      <c r="Q153" s="273"/>
      <c r="R153" s="274"/>
    </row>
    <row r="154" spans="1:21" x14ac:dyDescent="0.2">
      <c r="A154" s="252"/>
      <c r="B154" s="97">
        <v>134</v>
      </c>
      <c r="C154" s="97"/>
      <c r="D154" s="251"/>
      <c r="E154" s="521"/>
      <c r="F154" s="275" t="str">
        <f>VLOOKUP(B154,'ACS Price List'!$A$12:$P$180,2,FALSE)</f>
        <v>EO&amp;O - Major - Exit Fee</v>
      </c>
      <c r="G154" s="271" t="str">
        <f>IF(VLOOKUP($B154,'ACS Price List'!$A$12:$P$180,G$1,FALSE)=0,"",VLOOKUP($B154,'ACS Price List'!$A$12:$P$180,G$1,FALSE))</f>
        <v>EOOMAEXT</v>
      </c>
      <c r="H154" s="271" t="str">
        <f>IF(VLOOKUP($B154,'ACS Price List'!$A$12:$P$180,H$1,FALSE)=0,"",VLOOKUP($B154,'ACS Price List'!$A$12:$P$180,H$1,FALSE))</f>
        <v/>
      </c>
      <c r="I154" s="271" t="str">
        <f>IF(VLOOKUP($B154,'ACS Price List'!$A$12:$P$180,I$1,FALSE)=0,"",VLOOKUP($B154,'ACS Price List'!$A$12:$P$180,I$1,FALSE))</f>
        <v/>
      </c>
      <c r="J154" s="272" t="str">
        <f>IF(VLOOKUP($B154,'ACS Price List'!$A$12:$P$180,J$1,FALSE)=0,"",VLOOKUP($B154,'ACS Price List'!$A$12:$P$180,J$1,FALSE))</f>
        <v/>
      </c>
      <c r="K154" s="271"/>
      <c r="L154" s="271"/>
      <c r="M154" s="271"/>
      <c r="N154" s="272"/>
      <c r="O154" s="271"/>
      <c r="P154" s="271"/>
      <c r="Q154" s="271"/>
      <c r="R154" s="276"/>
    </row>
    <row r="155" spans="1:21" x14ac:dyDescent="0.2">
      <c r="A155" s="252"/>
      <c r="B155" s="97">
        <v>135</v>
      </c>
      <c r="C155" s="97"/>
      <c r="D155" s="251"/>
      <c r="E155" s="521"/>
      <c r="F155" s="275" t="str">
        <f>VLOOKUP(B155,'ACS Price List'!$A$12:$P$180,2,FALSE)</f>
        <v>EO&amp;O - Minor - Exit Fee</v>
      </c>
      <c r="G155" s="271" t="str">
        <f>IF(VLOOKUP($B155,'ACS Price List'!$A$12:$P$180,G$1,FALSE)=0,"",VLOOKUP($B155,'ACS Price List'!$A$12:$P$180,G$1,FALSE))</f>
        <v>EOOMIEXT</v>
      </c>
      <c r="H155" s="271" t="str">
        <f>IF(VLOOKUP($B155,'ACS Price List'!$A$12:$P$180,H$1,FALSE)=0,"",VLOOKUP($B155,'ACS Price List'!$A$12:$P$180,H$1,FALSE))</f>
        <v/>
      </c>
      <c r="I155" s="271" t="str">
        <f>IF(VLOOKUP($B155,'ACS Price List'!$A$12:$P$180,I$1,FALSE)=0,"",VLOOKUP($B155,'ACS Price List'!$A$12:$P$180,I$1,FALSE))</f>
        <v/>
      </c>
      <c r="J155" s="272" t="str">
        <f>IF(VLOOKUP($B155,'ACS Price List'!$A$12:$P$180,J$1,FALSE)=0,"",VLOOKUP($B155,'ACS Price List'!$A$12:$P$180,J$1,FALSE))</f>
        <v/>
      </c>
      <c r="K155" s="272"/>
      <c r="L155" s="272"/>
      <c r="M155" s="272"/>
      <c r="N155" s="272"/>
      <c r="O155" s="294"/>
      <c r="P155" s="294"/>
      <c r="Q155" s="294"/>
      <c r="R155" s="295"/>
    </row>
    <row r="156" spans="1:21" x14ac:dyDescent="0.2">
      <c r="A156" s="252"/>
      <c r="B156" s="97">
        <v>136</v>
      </c>
      <c r="C156" s="97"/>
      <c r="D156" s="251"/>
      <c r="E156" s="521"/>
      <c r="F156" s="275" t="str">
        <f>VLOOKUP(B156,'ACS Price List'!$A$12:$P$180,2,FALSE)</f>
        <v>G&amp;EO - Major - Exit Fee</v>
      </c>
      <c r="G156" s="271" t="str">
        <f>IF(VLOOKUP($B156,'ACS Price List'!$A$12:$P$180,G$1,FALSE)=0,"",VLOOKUP($B156,'ACS Price List'!$A$12:$P$180,G$1,FALSE))</f>
        <v>GEOMAEXT</v>
      </c>
      <c r="H156" s="271" t="str">
        <f>IF(VLOOKUP($B156,'ACS Price List'!$A$12:$P$180,H$1,FALSE)=0,"",VLOOKUP($B156,'ACS Price List'!$A$12:$P$180,H$1,FALSE))</f>
        <v/>
      </c>
      <c r="I156" s="271" t="str">
        <f>IF(VLOOKUP($B156,'ACS Price List'!$A$12:$P$180,I$1,FALSE)=0,"",VLOOKUP($B156,'ACS Price List'!$A$12:$P$180,I$1,FALSE))</f>
        <v/>
      </c>
      <c r="J156" s="272" t="str">
        <f>IF(VLOOKUP($B156,'ACS Price List'!$A$12:$P$180,J$1,FALSE)=0,"",VLOOKUP($B156,'ACS Price List'!$A$12:$P$180,J$1,FALSE))</f>
        <v/>
      </c>
      <c r="K156" s="273"/>
      <c r="L156" s="273"/>
      <c r="M156" s="273"/>
      <c r="N156" s="285"/>
      <c r="O156" s="273"/>
      <c r="P156" s="273"/>
      <c r="Q156" s="273"/>
      <c r="R156" s="274"/>
    </row>
    <row r="157" spans="1:21" x14ac:dyDescent="0.2">
      <c r="A157" s="252"/>
      <c r="B157" s="253">
        <v>137</v>
      </c>
      <c r="C157" s="254"/>
      <c r="D157" s="255"/>
      <c r="E157" s="522"/>
      <c r="F157" s="277" t="str">
        <f>VLOOKUP(B157,'ACS Price List'!$A$12:$P$180,2,FALSE)</f>
        <v>G&amp;EO - Minor - Exit Fee</v>
      </c>
      <c r="G157" s="278" t="str">
        <f>IF(VLOOKUP($B157,'ACS Price List'!$A$12:$P$180,G$1,FALSE)=0,"",VLOOKUP($B157,'ACS Price List'!$A$12:$P$180,G$1,FALSE))</f>
        <v>GEOMIEXT</v>
      </c>
      <c r="H157" s="278" t="str">
        <f>IF(VLOOKUP($B157,'ACS Price List'!$A$12:$P$180,H$1,FALSE)=0,"",VLOOKUP($B157,'ACS Price List'!$A$12:$P$180,H$1,FALSE))</f>
        <v/>
      </c>
      <c r="I157" s="278" t="str">
        <f>IF(VLOOKUP($B157,'ACS Price List'!$A$12:$P$180,I$1,FALSE)=0,"",VLOOKUP($B157,'ACS Price List'!$A$12:$P$180,I$1,FALSE))</f>
        <v/>
      </c>
      <c r="J157" s="279" t="str">
        <f>IF(VLOOKUP($B157,'ACS Price List'!$A$12:$P$180,J$1,FALSE)=0,"",VLOOKUP($B157,'ACS Price List'!$A$12:$P$180,J$1,FALSE))</f>
        <v/>
      </c>
      <c r="K157" s="278"/>
      <c r="L157" s="278"/>
      <c r="M157" s="278"/>
      <c r="N157" s="279"/>
      <c r="O157" s="278"/>
      <c r="P157" s="278"/>
      <c r="Q157" s="278"/>
      <c r="R157" s="296"/>
      <c r="S157" s="187"/>
    </row>
    <row r="158" spans="1:21" x14ac:dyDescent="0.2">
      <c r="A158" s="197"/>
    </row>
    <row r="160" spans="1:21" x14ac:dyDescent="0.2">
      <c r="E160" s="95" t="s">
        <v>448</v>
      </c>
      <c r="F160" s="95" t="s">
        <v>652</v>
      </c>
      <c r="U160" s="91">
        <f>COUNTA(F160:F161,F163)</f>
        <v>3</v>
      </c>
    </row>
    <row r="161" spans="6:21" x14ac:dyDescent="0.2">
      <c r="F161" s="95" t="s">
        <v>841</v>
      </c>
    </row>
    <row r="163" spans="6:21" x14ac:dyDescent="0.2">
      <c r="F163" s="95" t="s">
        <v>753</v>
      </c>
    </row>
    <row r="165" spans="6:21" x14ac:dyDescent="0.2">
      <c r="U165" s="91">
        <f>SUM(U11:U160)</f>
        <v>434</v>
      </c>
    </row>
  </sheetData>
  <mergeCells count="13">
    <mergeCell ref="E11:E45"/>
    <mergeCell ref="E46:E80"/>
    <mergeCell ref="E81:E141"/>
    <mergeCell ref="E142:E149"/>
    <mergeCell ref="E150:E157"/>
    <mergeCell ref="G10:J10"/>
    <mergeCell ref="K10:N10"/>
    <mergeCell ref="G9:N9"/>
    <mergeCell ref="E8:E10"/>
    <mergeCell ref="F8:F10"/>
    <mergeCell ref="G8:R8"/>
    <mergeCell ref="O9:R9"/>
    <mergeCell ref="O10:R10"/>
  </mergeCells>
  <pageMargins left="0.70866141732283472" right="0.70866141732283472" top="0.74803149606299213" bottom="0.74803149606299213" header="0.31496062992125984" footer="0.31496062992125984"/>
  <pageSetup paperSize="9" scale="52" fitToHeight="0" orientation="landscape" r:id="rId1"/>
  <headerFooter>
    <oddHeader>&amp;A</oddHeader>
    <oddFooter>&amp;L2017-18 Network Tariff Tables&amp;C&amp;P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363"/>
  <sheetViews>
    <sheetView zoomScale="80" zoomScaleNormal="80" workbookViewId="0">
      <pane xSplit="2" ySplit="10" topLeftCell="C11" activePane="bottomRight" state="frozen"/>
      <selection pane="topRight" activeCell="B1" sqref="B1"/>
      <selection pane="bottomLeft" activeCell="A10" sqref="A10"/>
      <selection pane="bottomRight" activeCell="C11" sqref="C11"/>
    </sheetView>
  </sheetViews>
  <sheetFormatPr defaultRowHeight="12.75" x14ac:dyDescent="0.2"/>
  <cols>
    <col min="1" max="1" width="1.85546875" style="145" customWidth="1"/>
    <col min="2" max="2" width="0" style="145" hidden="1" customWidth="1"/>
    <col min="3" max="3" width="13.85546875" style="145" customWidth="1"/>
    <col min="4" max="4" width="10" style="188" customWidth="1"/>
    <col min="5" max="5" width="94" style="145" bestFit="1" customWidth="1"/>
    <col min="6" max="6" width="15.7109375" style="190" customWidth="1"/>
    <col min="7" max="7" width="18.42578125" style="190" customWidth="1"/>
    <col min="8" max="8" width="22" style="195" bestFit="1" customWidth="1"/>
    <col min="9" max="9" width="23.28515625" style="195" customWidth="1"/>
    <col min="10" max="10" width="22" style="195" hidden="1" customWidth="1"/>
    <col min="11" max="11" width="19" style="190" hidden="1" customWidth="1"/>
    <col min="12" max="12" width="19" style="145" hidden="1" customWidth="1"/>
    <col min="13" max="13" width="19" style="145" customWidth="1"/>
    <col min="14" max="14" width="0" style="145" hidden="1" customWidth="1"/>
    <col min="15" max="15" width="13.140625" style="145" customWidth="1"/>
    <col min="16" max="16" width="76" style="145" customWidth="1"/>
    <col min="17" max="17" width="12.85546875" style="145" customWidth="1"/>
    <col min="18" max="18" width="34.42578125" style="145" customWidth="1"/>
    <col min="19" max="19" width="17.28515625" style="145" customWidth="1"/>
    <col min="20" max="20" width="18.140625" style="145" customWidth="1"/>
    <col min="21" max="16384" width="9.140625" style="145"/>
  </cols>
  <sheetData>
    <row r="2" spans="2:20" x14ac:dyDescent="0.2">
      <c r="J2" s="182" t="s">
        <v>752</v>
      </c>
      <c r="K2" s="145">
        <f>COUNTA('ACS Price List'!D16:G180)+COUNTA('ACS Tariff classes &amp; tariffs'!F160,'ACS Tariff classes &amp; tariffs'!F161)</f>
        <v>362</v>
      </c>
    </row>
    <row r="3" spans="2:20" ht="18" x14ac:dyDescent="0.2">
      <c r="D3" s="189" t="s">
        <v>593</v>
      </c>
      <c r="J3" s="182" t="s">
        <v>751</v>
      </c>
      <c r="K3" s="145">
        <f>COUNTA(C11:C558,O11:O45)</f>
        <v>362</v>
      </c>
      <c r="L3" s="192" t="str">
        <f>IF(K3=K2,"OK","CHECK")</f>
        <v>OK</v>
      </c>
      <c r="M3" s="192"/>
    </row>
    <row r="4" spans="2:20" ht="18" x14ac:dyDescent="0.2">
      <c r="D4" s="185" t="s">
        <v>594</v>
      </c>
    </row>
    <row r="5" spans="2:20" x14ac:dyDescent="0.2">
      <c r="H5" s="314"/>
      <c r="I5" s="194" t="s">
        <v>800</v>
      </c>
      <c r="J5" s="184"/>
    </row>
    <row r="6" spans="2:20" x14ac:dyDescent="0.2">
      <c r="D6" s="209"/>
      <c r="E6" s="147"/>
      <c r="F6" s="146"/>
      <c r="G6" s="146"/>
      <c r="H6" s="182"/>
      <c r="O6" s="153"/>
    </row>
    <row r="7" spans="2:20" x14ac:dyDescent="0.2">
      <c r="F7" s="238"/>
      <c r="H7" s="182"/>
    </row>
    <row r="8" spans="2:20" x14ac:dyDescent="0.2">
      <c r="C8" s="180" t="s">
        <v>703</v>
      </c>
      <c r="H8" s="182"/>
      <c r="I8" s="198"/>
      <c r="J8" s="198"/>
      <c r="O8" s="180" t="s">
        <v>704</v>
      </c>
      <c r="S8" s="146"/>
      <c r="T8" s="181"/>
    </row>
    <row r="9" spans="2:20" x14ac:dyDescent="0.2">
      <c r="C9" s="180"/>
      <c r="H9" s="182"/>
      <c r="I9" s="198"/>
      <c r="J9" s="198"/>
      <c r="O9" s="180"/>
      <c r="S9" s="146"/>
      <c r="T9" s="181"/>
    </row>
    <row r="10" spans="2:20" ht="34.5" customHeight="1" x14ac:dyDescent="0.2">
      <c r="B10" s="238" t="s">
        <v>721</v>
      </c>
      <c r="C10" s="152" t="s">
        <v>587</v>
      </c>
      <c r="D10" s="191" t="s">
        <v>588</v>
      </c>
      <c r="E10" s="152" t="s">
        <v>441</v>
      </c>
      <c r="F10" s="240" t="s">
        <v>247</v>
      </c>
      <c r="G10" s="240" t="s">
        <v>705</v>
      </c>
      <c r="H10" s="208" t="s">
        <v>661</v>
      </c>
      <c r="I10" s="208" t="s">
        <v>662</v>
      </c>
      <c r="J10" s="196"/>
      <c r="O10" s="152" t="s">
        <v>587</v>
      </c>
      <c r="P10" s="152" t="s">
        <v>441</v>
      </c>
      <c r="Q10" s="240" t="s">
        <v>247</v>
      </c>
      <c r="R10" s="240" t="s">
        <v>705</v>
      </c>
      <c r="S10" s="179" t="s">
        <v>717</v>
      </c>
      <c r="T10" s="179" t="s">
        <v>718</v>
      </c>
    </row>
    <row r="11" spans="2:20" x14ac:dyDescent="0.2">
      <c r="B11" s="97">
        <v>1</v>
      </c>
      <c r="C11" s="105" t="s">
        <v>294</v>
      </c>
      <c r="D11" s="201" t="s">
        <v>416</v>
      </c>
      <c r="E11" s="105" t="s">
        <v>449</v>
      </c>
      <c r="F11" s="200">
        <f>VLOOKUP(B11,'ACS Price List'!$16:$180,8,FALSE)</f>
        <v>8000</v>
      </c>
      <c r="G11" s="200" t="s">
        <v>714</v>
      </c>
      <c r="H11" s="206">
        <v>888.4</v>
      </c>
      <c r="I11" s="206">
        <f>IFERROR(IF(D11="LR",VLOOKUP(B11,'ACS Price List'!$16:$180,11,FALSE),IF(D11="IS",VLOOKUP(B11,'ACS Price List'!$16:$180,11,FALSE),VLOOKUP(B11,'ACS Price List'!$16:$180,9,FALSE))),"POA")</f>
        <v>888.4</v>
      </c>
      <c r="J11" s="204"/>
      <c r="K11" s="192" t="str">
        <f>IFERROR(IF(I11="POA","OK",IF(I11-H11=0,"OK","CHANGE")),"CHECK")</f>
        <v>OK</v>
      </c>
      <c r="N11" s="238">
        <v>100</v>
      </c>
      <c r="O11" s="105" t="s">
        <v>123</v>
      </c>
      <c r="P11" s="105" t="s">
        <v>706</v>
      </c>
      <c r="Q11" s="200">
        <f>VLOOKUP(N11,'ACS Price List'!$16:$180,8,FALSE)</f>
        <v>8120</v>
      </c>
      <c r="R11" s="200" t="s">
        <v>715</v>
      </c>
      <c r="S11" s="105"/>
      <c r="T11" s="193">
        <f>VLOOKUP(N11,'ACS Price List'!$16:$180,9,FALSE)</f>
        <v>0.11210000000000001</v>
      </c>
    </row>
    <row r="12" spans="2:20" x14ac:dyDescent="0.2">
      <c r="B12" s="97">
        <v>2</v>
      </c>
      <c r="C12" s="105" t="s">
        <v>295</v>
      </c>
      <c r="D12" s="201" t="s">
        <v>416</v>
      </c>
      <c r="E12" s="105" t="s">
        <v>451</v>
      </c>
      <c r="F12" s="200">
        <f>VLOOKUP(B12,'ACS Price List'!$16:$180,8,FALSE)</f>
        <v>8001</v>
      </c>
      <c r="G12" s="200" t="s">
        <v>714</v>
      </c>
      <c r="H12" s="205">
        <v>48.6</v>
      </c>
      <c r="I12" s="206">
        <f>IFERROR(IF(D12="LR",VLOOKUP(B12,'ACS Price List'!$16:$180,11,FALSE),IF(D12="IS",VLOOKUP(B12,'ACS Price List'!$16:$180,11,FALSE),VLOOKUP(B12,'ACS Price List'!$16:$180,9,FALSE))),"POA")</f>
        <v>48.6</v>
      </c>
      <c r="J12" s="204"/>
      <c r="K12" s="192" t="str">
        <f t="shared" ref="K12:K75" si="0">IFERROR(IF(I12="POA","OK",IF(I12-H12=0,"OK","CHANGE")),"CHECK")</f>
        <v>OK</v>
      </c>
      <c r="N12" s="238">
        <v>101</v>
      </c>
      <c r="O12" s="105" t="s">
        <v>124</v>
      </c>
      <c r="P12" s="105" t="s">
        <v>719</v>
      </c>
      <c r="Q12" s="200">
        <f>VLOOKUP(N12,'ACS Price List'!$16:$180,8,FALSE)</f>
        <v>8121</v>
      </c>
      <c r="R12" s="200" t="s">
        <v>715</v>
      </c>
      <c r="S12" s="105"/>
      <c r="T12" s="193">
        <f>VLOOKUP(N12,'ACS Price List'!$16:$180,9,FALSE)</f>
        <v>3.1280000000000002E-2</v>
      </c>
    </row>
    <row r="13" spans="2:20" x14ac:dyDescent="0.2">
      <c r="B13" s="97">
        <v>3</v>
      </c>
      <c r="C13" s="105" t="s">
        <v>296</v>
      </c>
      <c r="D13" s="201" t="s">
        <v>416</v>
      </c>
      <c r="E13" s="105" t="s">
        <v>453</v>
      </c>
      <c r="F13" s="200">
        <f>VLOOKUP(B13,'ACS Price List'!$16:$180,8,FALSE)</f>
        <v>8002</v>
      </c>
      <c r="G13" s="200" t="s">
        <v>714</v>
      </c>
      <c r="H13" s="206">
        <v>220.7</v>
      </c>
      <c r="I13" s="206">
        <f>IFERROR(IF(D13="LR",VLOOKUP(B13,'ACS Price List'!$16:$180,11,FALSE),IF(D13="IS",VLOOKUP(B13,'ACS Price List'!$16:$180,11,FALSE),VLOOKUP(B13,'ACS Price List'!$16:$180,9,FALSE))),"POA")</f>
        <v>220.7</v>
      </c>
      <c r="J13" s="204"/>
      <c r="K13" s="192" t="str">
        <f t="shared" si="0"/>
        <v>OK</v>
      </c>
      <c r="N13" s="238">
        <v>102</v>
      </c>
      <c r="O13" s="105" t="s">
        <v>123</v>
      </c>
      <c r="P13" s="105" t="s">
        <v>707</v>
      </c>
      <c r="Q13" s="200">
        <f>VLOOKUP(N13,'ACS Price List'!$16:$180,8,FALSE)</f>
        <v>8122</v>
      </c>
      <c r="R13" s="200" t="s">
        <v>715</v>
      </c>
      <c r="S13" s="105"/>
      <c r="T13" s="193">
        <f>VLOOKUP(N13,'ACS Price List'!$16:$180,9,FALSE)</f>
        <v>4.1209999999999997E-2</v>
      </c>
    </row>
    <row r="14" spans="2:20" x14ac:dyDescent="0.2">
      <c r="B14" s="97">
        <v>4</v>
      </c>
      <c r="C14" s="105" t="s">
        <v>297</v>
      </c>
      <c r="D14" s="201" t="s">
        <v>416</v>
      </c>
      <c r="E14" s="105" t="s">
        <v>455</v>
      </c>
      <c r="F14" s="200">
        <f>VLOOKUP(B14,'ACS Price List'!$16:$180,8,FALSE)</f>
        <v>8003</v>
      </c>
      <c r="G14" s="200" t="s">
        <v>714</v>
      </c>
      <c r="H14" s="206">
        <v>930.2</v>
      </c>
      <c r="I14" s="206">
        <f>IFERROR(IF(D14="LR",VLOOKUP(B14,'ACS Price List'!$16:$180,11,FALSE),IF(D14="IS",VLOOKUP(B14,'ACS Price List'!$16:$180,11,FALSE),VLOOKUP(B14,'ACS Price List'!$16:$180,9,FALSE))),"POA")</f>
        <v>930.2</v>
      </c>
      <c r="J14" s="204"/>
      <c r="K14" s="192" t="str">
        <f t="shared" si="0"/>
        <v>OK</v>
      </c>
      <c r="N14" s="238">
        <v>103</v>
      </c>
      <c r="O14" s="105" t="s">
        <v>124</v>
      </c>
      <c r="P14" s="105" t="s">
        <v>708</v>
      </c>
      <c r="Q14" s="200">
        <f>VLOOKUP(N14,'ACS Price List'!$16:$180,8,FALSE)</f>
        <v>8123</v>
      </c>
      <c r="R14" s="200" t="s">
        <v>715</v>
      </c>
      <c r="S14" s="105"/>
      <c r="T14" s="193">
        <f>VLOOKUP(N14,'ACS Price List'!$16:$180,9,FALSE)</f>
        <v>1.15E-2</v>
      </c>
    </row>
    <row r="15" spans="2:20" x14ac:dyDescent="0.2">
      <c r="B15" s="97">
        <v>5</v>
      </c>
      <c r="C15" s="105" t="s">
        <v>298</v>
      </c>
      <c r="D15" s="201" t="s">
        <v>416</v>
      </c>
      <c r="E15" s="105" t="s">
        <v>457</v>
      </c>
      <c r="F15" s="200">
        <f>VLOOKUP(B15,'ACS Price List'!$16:$180,8,FALSE)</f>
        <v>8004</v>
      </c>
      <c r="G15" s="200" t="s">
        <v>714</v>
      </c>
      <c r="H15" s="206">
        <v>1376.7</v>
      </c>
      <c r="I15" s="206">
        <f>IFERROR(IF(D15="LR",VLOOKUP(B15,'ACS Price List'!$16:$180,11,FALSE),IF(D15="IS",VLOOKUP(B15,'ACS Price List'!$16:$180,11,FALSE),VLOOKUP(B15,'ACS Price List'!$16:$180,9,FALSE))),"POA")</f>
        <v>1376.7</v>
      </c>
      <c r="J15" s="204"/>
      <c r="K15" s="192" t="str">
        <f t="shared" si="0"/>
        <v>OK</v>
      </c>
      <c r="N15" s="238">
        <v>104</v>
      </c>
      <c r="O15" s="105" t="s">
        <v>123</v>
      </c>
      <c r="P15" s="105" t="s">
        <v>709</v>
      </c>
      <c r="Q15" s="200">
        <f>VLOOKUP(N15,'ACS Price List'!$16:$180,8,FALSE)</f>
        <v>8124</v>
      </c>
      <c r="R15" s="200" t="s">
        <v>715</v>
      </c>
      <c r="S15" s="105"/>
      <c r="T15" s="193">
        <f>VLOOKUP(N15,'ACS Price List'!$16:$180,9,FALSE)</f>
        <v>2.7869999999999999E-2</v>
      </c>
    </row>
    <row r="16" spans="2:20" x14ac:dyDescent="0.2">
      <c r="B16" s="97">
        <v>6</v>
      </c>
      <c r="C16" s="105" t="s">
        <v>8</v>
      </c>
      <c r="D16" s="201" t="s">
        <v>590</v>
      </c>
      <c r="E16" s="105" t="s">
        <v>459</v>
      </c>
      <c r="F16" s="200">
        <f>VLOOKUP(B16,'ACS Price List'!$16:$180,8,FALSE)</f>
        <v>8020</v>
      </c>
      <c r="G16" s="200" t="s">
        <v>714</v>
      </c>
      <c r="H16" s="206">
        <v>412.7</v>
      </c>
      <c r="I16" s="203">
        <f>IFERROR(IF(D16="LR",VLOOKUP(B16,'ACS Price List'!$16:$180,11,FALSE),IF(D16="IS",VLOOKUP(B16,'ACS Price List'!$16:$180,11,FALSE),VLOOKUP(B16,'ACS Price List'!$16:$180,9,FALSE))),"POA")</f>
        <v>330.2</v>
      </c>
      <c r="J16" s="186"/>
      <c r="K16" s="192" t="str">
        <f t="shared" si="0"/>
        <v>CHANGE</v>
      </c>
      <c r="N16" s="238">
        <v>105</v>
      </c>
      <c r="O16" s="239" t="s">
        <v>124</v>
      </c>
      <c r="P16" s="239" t="s">
        <v>710</v>
      </c>
      <c r="Q16" s="200">
        <f>VLOOKUP(N16,'ACS Price List'!$16:$180,8,FALSE)</f>
        <v>8125</v>
      </c>
      <c r="R16" s="200" t="s">
        <v>715</v>
      </c>
      <c r="T16" s="193">
        <f>VLOOKUP(N16,'ACS Price List'!$16:$180,9,FALSE)</f>
        <v>7.7799999999999996E-3</v>
      </c>
    </row>
    <row r="17" spans="2:20" x14ac:dyDescent="0.2">
      <c r="B17" s="97">
        <v>8</v>
      </c>
      <c r="C17" s="105" t="s">
        <v>12</v>
      </c>
      <c r="D17" s="201" t="s">
        <v>590</v>
      </c>
      <c r="E17" s="105" t="s">
        <v>463</v>
      </c>
      <c r="F17" s="200">
        <f>VLOOKUP(B17,'ACS Price List'!$16:$180,8,FALSE)</f>
        <v>8024</v>
      </c>
      <c r="G17" s="200" t="s">
        <v>714</v>
      </c>
      <c r="H17" s="206">
        <v>412.7</v>
      </c>
      <c r="I17" s="203">
        <f>IFERROR(IF(D17="LR",VLOOKUP(B17,'ACS Price List'!$16:$180,11,FALSE),IF(D17="IS",VLOOKUP(B17,'ACS Price List'!$16:$180,11,FALSE),VLOOKUP(B17,'ACS Price List'!$16:$180,9,FALSE))),"POA")</f>
        <v>330.2</v>
      </c>
      <c r="J17" s="204"/>
      <c r="K17" s="192" t="str">
        <f t="shared" si="0"/>
        <v>CHANGE</v>
      </c>
      <c r="N17" s="238">
        <v>130</v>
      </c>
      <c r="O17" s="105" t="s">
        <v>111</v>
      </c>
      <c r="P17" s="105" t="s">
        <v>711</v>
      </c>
      <c r="Q17" s="200">
        <f>VLOOKUP(N17,'ACS Price List'!$16:$180,8,FALSE)</f>
        <v>8130</v>
      </c>
      <c r="R17" s="200" t="s">
        <v>716</v>
      </c>
      <c r="S17" s="105"/>
      <c r="T17" s="193">
        <f>VLOOKUP(N17,'ACS Price List'!$16:$180,9,FALSE)</f>
        <v>1.1557999999999999</v>
      </c>
    </row>
    <row r="18" spans="2:20" x14ac:dyDescent="0.2">
      <c r="B18" s="97">
        <v>10</v>
      </c>
      <c r="C18" s="105" t="s">
        <v>30</v>
      </c>
      <c r="D18" s="201" t="s">
        <v>590</v>
      </c>
      <c r="E18" s="105" t="s">
        <v>467</v>
      </c>
      <c r="F18" s="200">
        <f>VLOOKUP(B18,'ACS Price List'!$16:$180,8,FALSE)</f>
        <v>8040</v>
      </c>
      <c r="G18" s="200" t="s">
        <v>714</v>
      </c>
      <c r="H18" s="206">
        <v>350.9</v>
      </c>
      <c r="I18" s="203">
        <f>IFERROR(IF(D18="LR",VLOOKUP(B18,'ACS Price List'!$16:$180,11,FALSE),IF(D18="IS",VLOOKUP(B18,'ACS Price List'!$16:$180,11,FALSE),VLOOKUP(B18,'ACS Price List'!$16:$180,9,FALSE))),"POA")</f>
        <v>292.39999999999998</v>
      </c>
      <c r="J18" s="186"/>
      <c r="K18" s="192" t="str">
        <f t="shared" si="0"/>
        <v>CHANGE</v>
      </c>
      <c r="N18" s="238">
        <v>131</v>
      </c>
      <c r="O18" s="105" t="s">
        <v>112</v>
      </c>
      <c r="P18" s="105" t="s">
        <v>720</v>
      </c>
      <c r="Q18" s="200">
        <f>VLOOKUP(N18,'ACS Price List'!$16:$180,8,FALSE)</f>
        <v>8131</v>
      </c>
      <c r="R18" s="200" t="s">
        <v>716</v>
      </c>
      <c r="S18" s="105"/>
      <c r="T18" s="193">
        <f>VLOOKUP(N18,'ACS Price List'!$16:$180,9,FALSE)</f>
        <v>0.68859999999999999</v>
      </c>
    </row>
    <row r="19" spans="2:20" x14ac:dyDescent="0.2">
      <c r="B19" s="97">
        <v>12</v>
      </c>
      <c r="C19" s="105" t="s">
        <v>24</v>
      </c>
      <c r="D19" s="201" t="s">
        <v>590</v>
      </c>
      <c r="E19" s="105" t="s">
        <v>471</v>
      </c>
      <c r="F19" s="200">
        <f>VLOOKUP(B19,'ACS Price List'!$16:$180,8,FALSE)</f>
        <v>8044</v>
      </c>
      <c r="G19" s="200" t="s">
        <v>714</v>
      </c>
      <c r="H19" s="206">
        <v>0</v>
      </c>
      <c r="I19" s="206">
        <f>IFERROR(IF(D19="LR",VLOOKUP(B19,'ACS Price List'!$16:$180,11,FALSE),IF(D19="IS",VLOOKUP(B19,'ACS Price List'!$16:$180,11,FALSE),VLOOKUP(B19,'ACS Price List'!$16:$180,9,FALSE))),"POA")</f>
        <v>0</v>
      </c>
      <c r="J19" s="204"/>
      <c r="K19" s="192" t="str">
        <f t="shared" si="0"/>
        <v>OK</v>
      </c>
      <c r="N19" s="238">
        <v>132</v>
      </c>
      <c r="O19" s="105" t="s">
        <v>113</v>
      </c>
      <c r="P19" s="105" t="s">
        <v>712</v>
      </c>
      <c r="Q19" s="200">
        <f>VLOOKUP(N19,'ACS Price List'!$16:$180,8,FALSE)</f>
        <v>8132</v>
      </c>
      <c r="R19" s="200" t="s">
        <v>716</v>
      </c>
      <c r="S19" s="105"/>
      <c r="T19" s="193">
        <f>VLOOKUP(N19,'ACS Price List'!$16:$180,9,FALSE)</f>
        <v>0.4667</v>
      </c>
    </row>
    <row r="20" spans="2:20" x14ac:dyDescent="0.2">
      <c r="B20" s="97">
        <v>14</v>
      </c>
      <c r="C20" s="105" t="s">
        <v>16</v>
      </c>
      <c r="D20" s="201" t="s">
        <v>590</v>
      </c>
      <c r="E20" s="105" t="s">
        <v>476</v>
      </c>
      <c r="F20" s="200">
        <f>VLOOKUP(B20,'ACS Price List'!$16:$180,8,FALSE)</f>
        <v>8048</v>
      </c>
      <c r="G20" s="200" t="s">
        <v>714</v>
      </c>
      <c r="H20" s="206">
        <v>0</v>
      </c>
      <c r="I20" s="206">
        <f>IFERROR(IF(D20="LR",VLOOKUP(B20,'ACS Price List'!$16:$180,11,FALSE),IF(D20="IS",VLOOKUP(B20,'ACS Price List'!$16:$180,11,FALSE),VLOOKUP(B20,'ACS Price List'!$16:$180,9,FALSE))),"POA")</f>
        <v>0</v>
      </c>
      <c r="J20" s="204"/>
      <c r="K20" s="192" t="str">
        <f t="shared" si="0"/>
        <v>OK</v>
      </c>
      <c r="N20" s="238">
        <v>133</v>
      </c>
      <c r="O20" s="105" t="s">
        <v>114</v>
      </c>
      <c r="P20" s="105" t="s">
        <v>713</v>
      </c>
      <c r="Q20" s="200">
        <f>VLOOKUP(N20,'ACS Price List'!$16:$180,8,FALSE)</f>
        <v>8133</v>
      </c>
      <c r="R20" s="200" t="s">
        <v>716</v>
      </c>
      <c r="S20" s="105"/>
      <c r="T20" s="193">
        <f>VLOOKUP(N20,'ACS Price List'!$16:$180,9,FALSE)</f>
        <v>0.30570000000000003</v>
      </c>
    </row>
    <row r="21" spans="2:20" x14ac:dyDescent="0.2">
      <c r="B21" s="97" t="s">
        <v>646</v>
      </c>
      <c r="C21" s="105" t="s">
        <v>635</v>
      </c>
      <c r="D21" s="201" t="s">
        <v>590</v>
      </c>
      <c r="E21" s="105" t="s">
        <v>631</v>
      </c>
      <c r="F21" s="200">
        <f>VLOOKUP(B21,'ACS Price List'!$16:$180,8,FALSE)</f>
        <v>2050</v>
      </c>
      <c r="G21" s="200" t="s">
        <v>714</v>
      </c>
      <c r="H21" s="206"/>
      <c r="I21" s="203">
        <f>IFERROR(IF(D21="LR",VLOOKUP(B21,'ACS Price List'!$16:$180,11,FALSE),IF(D21="IS",VLOOKUP(B21,'ACS Price List'!$16:$180,11,FALSE),VLOOKUP(B21,'ACS Price List'!$16:$180,9,FALSE))),"POA")</f>
        <v>0</v>
      </c>
      <c r="J21" s="204"/>
      <c r="K21" s="192" t="str">
        <f t="shared" si="0"/>
        <v>OK</v>
      </c>
    </row>
    <row r="22" spans="2:20" x14ac:dyDescent="0.2">
      <c r="B22" s="97">
        <v>16</v>
      </c>
      <c r="C22" s="105" t="s">
        <v>20</v>
      </c>
      <c r="D22" s="201" t="s">
        <v>590</v>
      </c>
      <c r="E22" s="105" t="s">
        <v>481</v>
      </c>
      <c r="F22" s="200">
        <f>VLOOKUP(B22,'ACS Price List'!$16:$180,8,FALSE)</f>
        <v>8052</v>
      </c>
      <c r="G22" s="200" t="s">
        <v>714</v>
      </c>
      <c r="H22" s="206">
        <v>45.5</v>
      </c>
      <c r="I22" s="206">
        <f>IFERROR(IF(D22="LR",VLOOKUP(B22,'ACS Price List'!$16:$180,11,FALSE),IF(D22="IS",VLOOKUP(B22,'ACS Price List'!$16:$180,11,FALSE),VLOOKUP(B22,'ACS Price List'!$16:$180,9,FALSE))),"POA")</f>
        <v>45.5</v>
      </c>
      <c r="J22" s="204"/>
      <c r="K22" s="192" t="str">
        <f t="shared" si="0"/>
        <v>OK</v>
      </c>
    </row>
    <row r="23" spans="2:20" ht="24" x14ac:dyDescent="0.2">
      <c r="B23" s="97" t="s">
        <v>644</v>
      </c>
      <c r="C23" s="105" t="s">
        <v>639</v>
      </c>
      <c r="D23" s="201" t="s">
        <v>590</v>
      </c>
      <c r="E23" s="105" t="s">
        <v>633</v>
      </c>
      <c r="F23" s="200">
        <f>VLOOKUP(B23,'ACS Price List'!$16:$180,8,FALSE)</f>
        <v>2052</v>
      </c>
      <c r="G23" s="200" t="s">
        <v>714</v>
      </c>
      <c r="H23" s="206"/>
      <c r="I23" s="203">
        <f>IFERROR(IF(D23="LR",VLOOKUP(B23,'ACS Price List'!$16:$180,11,FALSE),IF(D23="IS",VLOOKUP(B23,'ACS Price List'!$16:$180,11,FALSE),VLOOKUP(B23,'ACS Price List'!$16:$180,9,FALSE))),"POA")</f>
        <v>45.5</v>
      </c>
      <c r="J23" s="186"/>
      <c r="K23" s="192" t="str">
        <f t="shared" si="0"/>
        <v>CHANGE</v>
      </c>
    </row>
    <row r="24" spans="2:20" x14ac:dyDescent="0.2">
      <c r="B24" s="97">
        <v>18</v>
      </c>
      <c r="C24" s="105" t="s">
        <v>299</v>
      </c>
      <c r="D24" s="201" t="s">
        <v>416</v>
      </c>
      <c r="E24" s="105" t="s">
        <v>485</v>
      </c>
      <c r="F24" s="200">
        <f>VLOOKUP(B24,'ACS Price List'!$16:$180,8,FALSE)</f>
        <v>8069</v>
      </c>
      <c r="G24" s="200" t="s">
        <v>714</v>
      </c>
      <c r="H24" s="206">
        <v>903.5</v>
      </c>
      <c r="I24" s="206">
        <f>IFERROR(IF(D24="LR",VLOOKUP(B24,'ACS Price List'!$16:$180,11,FALSE),IF(D24="IS",VLOOKUP(B24,'ACS Price List'!$16:$180,11,FALSE),VLOOKUP(B24,'ACS Price List'!$16:$180,9,FALSE))),"POA")</f>
        <v>903.5</v>
      </c>
      <c r="J24" s="204"/>
      <c r="K24" s="192" t="str">
        <f t="shared" si="0"/>
        <v>OK</v>
      </c>
    </row>
    <row r="25" spans="2:20" x14ac:dyDescent="0.2">
      <c r="B25" s="97">
        <v>19</v>
      </c>
      <c r="C25" s="105" t="s">
        <v>387</v>
      </c>
      <c r="D25" s="201" t="s">
        <v>590</v>
      </c>
      <c r="E25" s="105" t="s">
        <v>163</v>
      </c>
      <c r="F25" s="200">
        <f>VLOOKUP(B25,'ACS Price List'!$16:$180,8,FALSE)</f>
        <v>8193</v>
      </c>
      <c r="G25" s="200" t="s">
        <v>714</v>
      </c>
      <c r="H25" s="206">
        <v>344.4</v>
      </c>
      <c r="I25" s="206">
        <f>IFERROR(IF(D25="LR",VLOOKUP(B25,'ACS Price List'!$16:$180,11,FALSE),IF(D25="IS",VLOOKUP(B25,'ACS Price List'!$16:$180,11,FALSE),VLOOKUP(B25,'ACS Price List'!$16:$180,9,FALSE))),"POA")</f>
        <v>344.4</v>
      </c>
      <c r="J25" s="204"/>
      <c r="K25" s="192" t="str">
        <f t="shared" si="0"/>
        <v>OK</v>
      </c>
    </row>
    <row r="26" spans="2:20" x14ac:dyDescent="0.2">
      <c r="B26" s="97">
        <v>21</v>
      </c>
      <c r="C26" s="105" t="s">
        <v>393</v>
      </c>
      <c r="D26" s="201" t="s">
        <v>590</v>
      </c>
      <c r="E26" s="105" t="s">
        <v>166</v>
      </c>
      <c r="F26" s="200">
        <f>VLOOKUP(B26,'ACS Price List'!$16:$180,8,FALSE)</f>
        <v>8197</v>
      </c>
      <c r="G26" s="200" t="s">
        <v>714</v>
      </c>
      <c r="H26" s="206">
        <v>421.8</v>
      </c>
      <c r="I26" s="206">
        <f>IFERROR(IF(D26="LR",VLOOKUP(B26,'ACS Price List'!$16:$180,11,FALSE),IF(D26="IS",VLOOKUP(B26,'ACS Price List'!$16:$180,11,FALSE),VLOOKUP(B26,'ACS Price List'!$16:$180,9,FALSE))),"POA")</f>
        <v>421.8</v>
      </c>
      <c r="J26" s="204"/>
      <c r="K26" s="192" t="str">
        <f t="shared" si="0"/>
        <v>OK</v>
      </c>
    </row>
    <row r="27" spans="2:20" x14ac:dyDescent="0.2">
      <c r="B27" s="97">
        <v>23</v>
      </c>
      <c r="C27" s="105" t="s">
        <v>399</v>
      </c>
      <c r="D27" s="201" t="s">
        <v>590</v>
      </c>
      <c r="E27" s="105" t="s">
        <v>170</v>
      </c>
      <c r="F27" s="200">
        <f>VLOOKUP(B27,'ACS Price List'!$16:$180,8,FALSE)</f>
        <v>8201</v>
      </c>
      <c r="G27" s="200" t="s">
        <v>714</v>
      </c>
      <c r="H27" s="206">
        <v>530.20000000000005</v>
      </c>
      <c r="I27" s="206">
        <f>IFERROR(IF(D27="LR",VLOOKUP(B27,'ACS Price List'!$16:$180,11,FALSE),IF(D27="IS",VLOOKUP(B27,'ACS Price List'!$16:$180,11,FALSE),VLOOKUP(B27,'ACS Price List'!$16:$180,9,FALSE))),"POA")</f>
        <v>530.20000000000005</v>
      </c>
      <c r="J27" s="204"/>
      <c r="K27" s="192" t="str">
        <f t="shared" si="0"/>
        <v>OK</v>
      </c>
    </row>
    <row r="28" spans="2:20" x14ac:dyDescent="0.2">
      <c r="B28" s="97">
        <v>25</v>
      </c>
      <c r="C28" s="105" t="s">
        <v>405</v>
      </c>
      <c r="D28" s="201" t="s">
        <v>590</v>
      </c>
      <c r="E28" s="105" t="s">
        <v>174</v>
      </c>
      <c r="F28" s="200">
        <f>VLOOKUP(B28,'ACS Price List'!$16:$180,8,FALSE)</f>
        <v>8205</v>
      </c>
      <c r="G28" s="200" t="s">
        <v>714</v>
      </c>
      <c r="H28" s="206">
        <v>2519.1</v>
      </c>
      <c r="I28" s="206">
        <f>IFERROR(IF(D28="LR",VLOOKUP(B28,'ACS Price List'!$16:$180,11,FALSE),IF(D28="IS",VLOOKUP(B28,'ACS Price List'!$16:$180,11,FALSE),VLOOKUP(B28,'ACS Price List'!$16:$180,9,FALSE))),"POA")</f>
        <v>2519.1</v>
      </c>
      <c r="J28" s="204"/>
      <c r="K28" s="192" t="str">
        <f t="shared" si="0"/>
        <v>OK</v>
      </c>
    </row>
    <row r="29" spans="2:20" x14ac:dyDescent="0.2">
      <c r="B29" s="97">
        <v>140</v>
      </c>
      <c r="C29" s="105" t="s">
        <v>260</v>
      </c>
      <c r="D29" s="201" t="s">
        <v>590</v>
      </c>
      <c r="E29" s="105" t="s">
        <v>308</v>
      </c>
      <c r="F29" s="200">
        <f>VLOOKUP(B29,'ACS Price List'!$16:$180,8,FALSE)</f>
        <v>8172</v>
      </c>
      <c r="G29" s="200" t="s">
        <v>714</v>
      </c>
      <c r="H29" s="206">
        <v>344.4</v>
      </c>
      <c r="I29" s="206">
        <f>IFERROR(IF(D29="LR",VLOOKUP(B29,'ACS Price List'!$16:$180,11,FALSE),IF(D29="IS",VLOOKUP(B29,'ACS Price List'!$16:$180,11,FALSE),VLOOKUP(B29,'ACS Price List'!$16:$180,9,FALSE))),"POA")</f>
        <v>344.4</v>
      </c>
      <c r="J29" s="204"/>
      <c r="K29" s="192" t="str">
        <f t="shared" si="0"/>
        <v>OK</v>
      </c>
    </row>
    <row r="30" spans="2:20" x14ac:dyDescent="0.2">
      <c r="B30" s="97">
        <v>141</v>
      </c>
      <c r="C30" s="105" t="s">
        <v>359</v>
      </c>
      <c r="D30" s="201" t="s">
        <v>590</v>
      </c>
      <c r="E30" s="105" t="s">
        <v>309</v>
      </c>
      <c r="F30" s="200">
        <f>VLOOKUP(B30,'ACS Price List'!$16:$180,8,FALSE)</f>
        <v>8173</v>
      </c>
      <c r="G30" s="200" t="s">
        <v>714</v>
      </c>
      <c r="H30" s="206">
        <v>344.4</v>
      </c>
      <c r="I30" s="206">
        <f>IFERROR(IF(D30="LR",VLOOKUP(B30,'ACS Price List'!$16:$180,11,FALSE),IF(D30="IS",VLOOKUP(B30,'ACS Price List'!$16:$180,11,FALSE),VLOOKUP(B30,'ACS Price List'!$16:$180,9,FALSE))),"POA")</f>
        <v>344.4</v>
      </c>
      <c r="J30" s="204"/>
      <c r="K30" s="192" t="str">
        <f t="shared" si="0"/>
        <v>OK</v>
      </c>
    </row>
    <row r="31" spans="2:20" x14ac:dyDescent="0.2">
      <c r="B31" s="97">
        <v>142</v>
      </c>
      <c r="C31" s="105" t="s">
        <v>343</v>
      </c>
      <c r="D31" s="201" t="s">
        <v>590</v>
      </c>
      <c r="E31" s="105" t="s">
        <v>310</v>
      </c>
      <c r="F31" s="200">
        <f>VLOOKUP(B31,'ACS Price List'!$16:$180,8,FALSE)</f>
        <v>8174</v>
      </c>
      <c r="G31" s="200" t="s">
        <v>714</v>
      </c>
      <c r="H31" s="206">
        <v>421.8</v>
      </c>
      <c r="I31" s="206">
        <f>IFERROR(IF(D31="LR",VLOOKUP(B31,'ACS Price List'!$16:$180,11,FALSE),IF(D31="IS",VLOOKUP(B31,'ACS Price List'!$16:$180,11,FALSE),VLOOKUP(B31,'ACS Price List'!$16:$180,9,FALSE))),"POA")</f>
        <v>421.8</v>
      </c>
      <c r="J31" s="204"/>
      <c r="K31" s="192" t="str">
        <f t="shared" si="0"/>
        <v>OK</v>
      </c>
    </row>
    <row r="32" spans="2:20" x14ac:dyDescent="0.2">
      <c r="B32" s="97">
        <v>143</v>
      </c>
      <c r="C32" s="105" t="s">
        <v>363</v>
      </c>
      <c r="D32" s="201" t="s">
        <v>590</v>
      </c>
      <c r="E32" s="105" t="s">
        <v>311</v>
      </c>
      <c r="F32" s="200">
        <f>VLOOKUP(B32,'ACS Price List'!$16:$180,8,FALSE)</f>
        <v>8175</v>
      </c>
      <c r="G32" s="200" t="s">
        <v>714</v>
      </c>
      <c r="H32" s="206">
        <v>421.8</v>
      </c>
      <c r="I32" s="206">
        <f>IFERROR(IF(D32="LR",VLOOKUP(B32,'ACS Price List'!$16:$180,11,FALSE),IF(D32="IS",VLOOKUP(B32,'ACS Price List'!$16:$180,11,FALSE),VLOOKUP(B32,'ACS Price List'!$16:$180,9,FALSE))),"POA")</f>
        <v>421.8</v>
      </c>
      <c r="J32" s="204"/>
      <c r="K32" s="192" t="str">
        <f t="shared" si="0"/>
        <v>OK</v>
      </c>
    </row>
    <row r="33" spans="2:11" x14ac:dyDescent="0.2">
      <c r="B33" s="97">
        <v>144</v>
      </c>
      <c r="C33" s="105" t="s">
        <v>268</v>
      </c>
      <c r="D33" s="201" t="s">
        <v>590</v>
      </c>
      <c r="E33" s="105" t="s">
        <v>312</v>
      </c>
      <c r="F33" s="200">
        <f>VLOOKUP(B33,'ACS Price List'!$16:$180,8,FALSE)</f>
        <v>8176</v>
      </c>
      <c r="G33" s="200" t="s">
        <v>714</v>
      </c>
      <c r="H33" s="206">
        <v>530.20000000000005</v>
      </c>
      <c r="I33" s="206">
        <f>IFERROR(IF(D33="LR",VLOOKUP(B33,'ACS Price List'!$16:$180,11,FALSE),IF(D33="IS",VLOOKUP(B33,'ACS Price List'!$16:$180,11,FALSE),VLOOKUP(B33,'ACS Price List'!$16:$180,9,FALSE))),"POA")</f>
        <v>530.20000000000005</v>
      </c>
      <c r="J33" s="204"/>
      <c r="K33" s="192" t="str">
        <f t="shared" si="0"/>
        <v>OK</v>
      </c>
    </row>
    <row r="34" spans="2:11" x14ac:dyDescent="0.2">
      <c r="B34" s="97">
        <v>145</v>
      </c>
      <c r="C34" s="105" t="s">
        <v>367</v>
      </c>
      <c r="D34" s="201" t="s">
        <v>590</v>
      </c>
      <c r="E34" s="105" t="s">
        <v>313</v>
      </c>
      <c r="F34" s="200">
        <f>VLOOKUP(B34,'ACS Price List'!$16:$180,8,FALSE)</f>
        <v>8177</v>
      </c>
      <c r="G34" s="200" t="s">
        <v>714</v>
      </c>
      <c r="H34" s="206">
        <v>530.20000000000005</v>
      </c>
      <c r="I34" s="206">
        <f>IFERROR(IF(D34="LR",VLOOKUP(B34,'ACS Price List'!$16:$180,11,FALSE),IF(D34="IS",VLOOKUP(B34,'ACS Price List'!$16:$180,11,FALSE),VLOOKUP(B34,'ACS Price List'!$16:$180,9,FALSE))),"POA")</f>
        <v>530.20000000000005</v>
      </c>
      <c r="J34" s="204"/>
      <c r="K34" s="192" t="str">
        <f t="shared" si="0"/>
        <v>OK</v>
      </c>
    </row>
    <row r="35" spans="2:11" x14ac:dyDescent="0.2">
      <c r="B35" s="97">
        <v>146</v>
      </c>
      <c r="C35" s="105" t="s">
        <v>272</v>
      </c>
      <c r="D35" s="201" t="s">
        <v>590</v>
      </c>
      <c r="E35" s="105" t="s">
        <v>314</v>
      </c>
      <c r="F35" s="200">
        <f>VLOOKUP(B35,'ACS Price List'!$16:$180,8,FALSE)</f>
        <v>8178</v>
      </c>
      <c r="G35" s="200" t="s">
        <v>714</v>
      </c>
      <c r="H35" s="206">
        <v>2519.1</v>
      </c>
      <c r="I35" s="206">
        <f>IFERROR(IF(D35="LR",VLOOKUP(B35,'ACS Price List'!$16:$180,11,FALSE),IF(D35="IS",VLOOKUP(B35,'ACS Price List'!$16:$180,11,FALSE),VLOOKUP(B35,'ACS Price List'!$16:$180,9,FALSE))),"POA")</f>
        <v>2519.1</v>
      </c>
      <c r="J35" s="204"/>
      <c r="K35" s="192" t="str">
        <f t="shared" si="0"/>
        <v>OK</v>
      </c>
    </row>
    <row r="36" spans="2:11" x14ac:dyDescent="0.2">
      <c r="B36" s="97">
        <v>147</v>
      </c>
      <c r="C36" s="105" t="s">
        <v>371</v>
      </c>
      <c r="D36" s="201" t="s">
        <v>590</v>
      </c>
      <c r="E36" s="105" t="s">
        <v>315</v>
      </c>
      <c r="F36" s="200">
        <f>VLOOKUP(B36,'ACS Price List'!$16:$180,8,FALSE)</f>
        <v>8179</v>
      </c>
      <c r="G36" s="200" t="s">
        <v>714</v>
      </c>
      <c r="H36" s="206">
        <v>2519.1</v>
      </c>
      <c r="I36" s="206">
        <f>IFERROR(IF(D36="LR",VLOOKUP(B36,'ACS Price List'!$16:$180,11,FALSE),IF(D36="IS",VLOOKUP(B36,'ACS Price List'!$16:$180,11,FALSE),VLOOKUP(B36,'ACS Price List'!$16:$180,9,FALSE))),"POA")</f>
        <v>2519.1</v>
      </c>
      <c r="J36" s="204"/>
      <c r="K36" s="192" t="str">
        <f t="shared" si="0"/>
        <v>OK</v>
      </c>
    </row>
    <row r="37" spans="2:11" x14ac:dyDescent="0.2">
      <c r="B37" s="97">
        <v>148</v>
      </c>
      <c r="C37" s="105" t="s">
        <v>347</v>
      </c>
      <c r="D37" s="201" t="s">
        <v>590</v>
      </c>
      <c r="E37" s="105" t="s">
        <v>316</v>
      </c>
      <c r="F37" s="200">
        <f>VLOOKUP(B37,'ACS Price List'!$16:$180,8,FALSE)</f>
        <v>8180</v>
      </c>
      <c r="G37" s="200" t="s">
        <v>714</v>
      </c>
      <c r="H37" s="206">
        <v>344.4</v>
      </c>
      <c r="I37" s="206">
        <f>IFERROR(IF(D37="LR",VLOOKUP(B37,'ACS Price List'!$16:$180,11,FALSE),IF(D37="IS",VLOOKUP(B37,'ACS Price List'!$16:$180,11,FALSE),VLOOKUP(B37,'ACS Price List'!$16:$180,9,FALSE))),"POA")</f>
        <v>344.4</v>
      </c>
      <c r="J37" s="204"/>
      <c r="K37" s="192" t="str">
        <f t="shared" si="0"/>
        <v>OK</v>
      </c>
    </row>
    <row r="38" spans="2:11" x14ac:dyDescent="0.2">
      <c r="B38" s="97">
        <v>149</v>
      </c>
      <c r="C38" s="105" t="s">
        <v>351</v>
      </c>
      <c r="D38" s="201" t="s">
        <v>590</v>
      </c>
      <c r="E38" s="105" t="s">
        <v>317</v>
      </c>
      <c r="F38" s="200">
        <f>VLOOKUP(B38,'ACS Price List'!$16:$180,8,FALSE)</f>
        <v>8181</v>
      </c>
      <c r="G38" s="200" t="s">
        <v>714</v>
      </c>
      <c r="H38" s="206">
        <v>530.20000000000005</v>
      </c>
      <c r="I38" s="206">
        <f>IFERROR(IF(D38="LR",VLOOKUP(B38,'ACS Price List'!$16:$180,11,FALSE),IF(D38="IS",VLOOKUP(B38,'ACS Price List'!$16:$180,11,FALSE),VLOOKUP(B38,'ACS Price List'!$16:$180,9,FALSE))),"POA")</f>
        <v>530.20000000000005</v>
      </c>
      <c r="J38" s="204"/>
      <c r="K38" s="192" t="str">
        <f t="shared" si="0"/>
        <v>OK</v>
      </c>
    </row>
    <row r="39" spans="2:11" x14ac:dyDescent="0.2">
      <c r="B39" s="97">
        <v>150</v>
      </c>
      <c r="C39" s="105" t="s">
        <v>355</v>
      </c>
      <c r="D39" s="201" t="s">
        <v>590</v>
      </c>
      <c r="E39" s="105" t="s">
        <v>318</v>
      </c>
      <c r="F39" s="200">
        <f>VLOOKUP(B39,'ACS Price List'!$16:$180,8,FALSE)</f>
        <v>8182</v>
      </c>
      <c r="G39" s="200" t="s">
        <v>714</v>
      </c>
      <c r="H39" s="206">
        <v>2519.1</v>
      </c>
      <c r="I39" s="206">
        <f>IFERROR(IF(D39="LR",VLOOKUP(B39,'ACS Price List'!$16:$180,11,FALSE),IF(D39="IS",VLOOKUP(B39,'ACS Price List'!$16:$180,11,FALSE),VLOOKUP(B39,'ACS Price List'!$16:$180,9,FALSE))),"POA")</f>
        <v>2519.1</v>
      </c>
      <c r="J39" s="204"/>
      <c r="K39" s="192" t="str">
        <f t="shared" si="0"/>
        <v>OK</v>
      </c>
    </row>
    <row r="40" spans="2:11" x14ac:dyDescent="0.2">
      <c r="B40" s="97">
        <v>151</v>
      </c>
      <c r="C40" s="105" t="s">
        <v>276</v>
      </c>
      <c r="D40" s="201" t="s">
        <v>590</v>
      </c>
      <c r="E40" s="105" t="s">
        <v>319</v>
      </c>
      <c r="F40" s="200">
        <f>VLOOKUP(B40,'ACS Price List'!$16:$180,8,FALSE)</f>
        <v>8183</v>
      </c>
      <c r="G40" s="200" t="s">
        <v>714</v>
      </c>
      <c r="H40" s="206">
        <v>344.4</v>
      </c>
      <c r="I40" s="206">
        <f>IFERROR(IF(D40="LR",VLOOKUP(B40,'ACS Price List'!$16:$180,11,FALSE),IF(D40="IS",VLOOKUP(B40,'ACS Price List'!$16:$180,11,FALSE),VLOOKUP(B40,'ACS Price List'!$16:$180,9,FALSE))),"POA")</f>
        <v>344.4</v>
      </c>
      <c r="J40" s="204"/>
      <c r="K40" s="192" t="str">
        <f t="shared" si="0"/>
        <v>OK</v>
      </c>
    </row>
    <row r="41" spans="2:11" x14ac:dyDescent="0.2">
      <c r="B41" s="97">
        <v>152</v>
      </c>
      <c r="C41" s="105" t="s">
        <v>280</v>
      </c>
      <c r="D41" s="201" t="s">
        <v>590</v>
      </c>
      <c r="E41" s="105" t="s">
        <v>320</v>
      </c>
      <c r="F41" s="200">
        <f>VLOOKUP(B41,'ACS Price List'!$16:$180,8,FALSE)</f>
        <v>8184</v>
      </c>
      <c r="G41" s="200" t="s">
        <v>714</v>
      </c>
      <c r="H41" s="206">
        <v>530.20000000000005</v>
      </c>
      <c r="I41" s="206">
        <f>IFERROR(IF(D41="LR",VLOOKUP(B41,'ACS Price List'!$16:$180,11,FALSE),IF(D41="IS",VLOOKUP(B41,'ACS Price List'!$16:$180,11,FALSE),VLOOKUP(B41,'ACS Price List'!$16:$180,9,FALSE))),"POA")</f>
        <v>530.20000000000005</v>
      </c>
      <c r="J41" s="204"/>
      <c r="K41" s="192" t="str">
        <f t="shared" si="0"/>
        <v>OK</v>
      </c>
    </row>
    <row r="42" spans="2:11" x14ac:dyDescent="0.2">
      <c r="B42" s="97">
        <v>153</v>
      </c>
      <c r="C42" s="105" t="s">
        <v>290</v>
      </c>
      <c r="D42" s="201" t="s">
        <v>590</v>
      </c>
      <c r="E42" s="105" t="s">
        <v>321</v>
      </c>
      <c r="F42" s="200">
        <f>VLOOKUP(B42,'ACS Price List'!$16:$180,8,FALSE)</f>
        <v>8185</v>
      </c>
      <c r="G42" s="200" t="s">
        <v>714</v>
      </c>
      <c r="H42" s="206">
        <v>2519.1</v>
      </c>
      <c r="I42" s="206">
        <f>IFERROR(IF(D42="LR",VLOOKUP(B42,'ACS Price List'!$16:$180,11,FALSE),IF(D42="IS",VLOOKUP(B42,'ACS Price List'!$16:$180,11,FALSE),VLOOKUP(B42,'ACS Price List'!$16:$180,9,FALSE))),"POA")</f>
        <v>2519.1</v>
      </c>
      <c r="J42" s="204"/>
      <c r="K42" s="192" t="str">
        <f t="shared" si="0"/>
        <v>OK</v>
      </c>
    </row>
    <row r="43" spans="2:11" x14ac:dyDescent="0.2">
      <c r="B43" s="97">
        <v>154</v>
      </c>
      <c r="C43" s="105" t="s">
        <v>375</v>
      </c>
      <c r="D43" s="201" t="s">
        <v>590</v>
      </c>
      <c r="E43" s="105" t="s">
        <v>322</v>
      </c>
      <c r="F43" s="200">
        <f>VLOOKUP(B43,'ACS Price List'!$16:$180,8,FALSE)</f>
        <v>8186</v>
      </c>
      <c r="G43" s="200" t="s">
        <v>714</v>
      </c>
      <c r="H43" s="206">
        <v>344.4</v>
      </c>
      <c r="I43" s="206">
        <f>IFERROR(IF(D43="LR",VLOOKUP(B43,'ACS Price List'!$16:$180,11,FALSE),IF(D43="IS",VLOOKUP(B43,'ACS Price List'!$16:$180,11,FALSE),VLOOKUP(B43,'ACS Price List'!$16:$180,9,FALSE))),"POA")</f>
        <v>344.4</v>
      </c>
      <c r="J43" s="204"/>
      <c r="K43" s="192" t="str">
        <f t="shared" si="0"/>
        <v>OK</v>
      </c>
    </row>
    <row r="44" spans="2:11" x14ac:dyDescent="0.2">
      <c r="B44" s="97">
        <v>155</v>
      </c>
      <c r="C44" s="105" t="s">
        <v>379</v>
      </c>
      <c r="D44" s="201" t="s">
        <v>590</v>
      </c>
      <c r="E44" s="105" t="s">
        <v>323</v>
      </c>
      <c r="F44" s="200">
        <f>VLOOKUP(B44,'ACS Price List'!$16:$180,8,FALSE)</f>
        <v>8187</v>
      </c>
      <c r="G44" s="200" t="s">
        <v>714</v>
      </c>
      <c r="H44" s="206">
        <v>530.20000000000005</v>
      </c>
      <c r="I44" s="206">
        <f>IFERROR(IF(D44="LR",VLOOKUP(B44,'ACS Price List'!$16:$180,11,FALSE),IF(D44="IS",VLOOKUP(B44,'ACS Price List'!$16:$180,11,FALSE),VLOOKUP(B44,'ACS Price List'!$16:$180,9,FALSE))),"POA")</f>
        <v>530.20000000000005</v>
      </c>
      <c r="J44" s="204"/>
      <c r="K44" s="192" t="str">
        <f t="shared" si="0"/>
        <v>OK</v>
      </c>
    </row>
    <row r="45" spans="2:11" x14ac:dyDescent="0.2">
      <c r="B45" s="97">
        <v>156</v>
      </c>
      <c r="C45" s="105" t="s">
        <v>383</v>
      </c>
      <c r="D45" s="201" t="s">
        <v>590</v>
      </c>
      <c r="E45" s="105" t="s">
        <v>324</v>
      </c>
      <c r="F45" s="200">
        <f>VLOOKUP(B45,'ACS Price List'!$16:$180,8,FALSE)</f>
        <v>8188</v>
      </c>
      <c r="G45" s="200" t="s">
        <v>714</v>
      </c>
      <c r="H45" s="206">
        <v>2519.1</v>
      </c>
      <c r="I45" s="206">
        <f>IFERROR(IF(D45="LR",VLOOKUP(B45,'ACS Price List'!$16:$180,11,FALSE),IF(D45="IS",VLOOKUP(B45,'ACS Price List'!$16:$180,11,FALSE),VLOOKUP(B45,'ACS Price List'!$16:$180,9,FALSE))),"POA")</f>
        <v>2519.1</v>
      </c>
      <c r="J45" s="204"/>
      <c r="K45" s="192" t="str">
        <f t="shared" si="0"/>
        <v>OK</v>
      </c>
    </row>
    <row r="46" spans="2:11" x14ac:dyDescent="0.2">
      <c r="B46" s="97">
        <v>6</v>
      </c>
      <c r="C46" s="105" t="s">
        <v>9</v>
      </c>
      <c r="D46" s="201" t="s">
        <v>589</v>
      </c>
      <c r="E46" s="105" t="s">
        <v>459</v>
      </c>
      <c r="F46" s="200">
        <f>VLOOKUP(B46,'ACS Price List'!$16:$180,8,FALSE)</f>
        <v>8020</v>
      </c>
      <c r="G46" s="200" t="s">
        <v>714</v>
      </c>
      <c r="H46" s="206">
        <v>412.7</v>
      </c>
      <c r="I46" s="203">
        <f>IFERROR(IF(D46="LR",VLOOKUP(B46,'ACS Price List'!$16:$180,11,FALSE),IF(D46="IS",VLOOKUP(B46,'ACS Price List'!$16:$180,11,FALSE),VLOOKUP(B46,'ACS Price List'!$16:$180,9,FALSE))),"POA")</f>
        <v>330.2</v>
      </c>
      <c r="J46" s="186"/>
      <c r="K46" s="192" t="str">
        <f t="shared" si="0"/>
        <v>CHANGE</v>
      </c>
    </row>
    <row r="47" spans="2:11" x14ac:dyDescent="0.2">
      <c r="B47" s="97">
        <v>8</v>
      </c>
      <c r="C47" s="105" t="s">
        <v>13</v>
      </c>
      <c r="D47" s="201" t="s">
        <v>589</v>
      </c>
      <c r="E47" s="105" t="s">
        <v>463</v>
      </c>
      <c r="F47" s="200">
        <f>VLOOKUP(B47,'ACS Price List'!$16:$180,8,FALSE)</f>
        <v>8024</v>
      </c>
      <c r="G47" s="200" t="s">
        <v>714</v>
      </c>
      <c r="H47" s="206">
        <v>412.7</v>
      </c>
      <c r="I47" s="203">
        <f>IFERROR(IF(D47="LR",VLOOKUP(B47,'ACS Price List'!$16:$180,11,FALSE),IF(D47="IS",VLOOKUP(B47,'ACS Price List'!$16:$180,11,FALSE),VLOOKUP(B47,'ACS Price List'!$16:$180,9,FALSE))),"POA")</f>
        <v>330.2</v>
      </c>
      <c r="J47" s="204"/>
      <c r="K47" s="192" t="str">
        <f t="shared" si="0"/>
        <v>CHANGE</v>
      </c>
    </row>
    <row r="48" spans="2:11" x14ac:dyDescent="0.2">
      <c r="B48" s="97">
        <v>10</v>
      </c>
      <c r="C48" s="105" t="s">
        <v>31</v>
      </c>
      <c r="D48" s="201" t="s">
        <v>589</v>
      </c>
      <c r="E48" s="105" t="s">
        <v>467</v>
      </c>
      <c r="F48" s="200">
        <f>VLOOKUP(B48,'ACS Price List'!$16:$180,8,FALSE)</f>
        <v>8040</v>
      </c>
      <c r="G48" s="200" t="s">
        <v>714</v>
      </c>
      <c r="H48" s="206">
        <v>350.9</v>
      </c>
      <c r="I48" s="203">
        <f>IFERROR(IF(D48="LR",VLOOKUP(B48,'ACS Price List'!$16:$180,11,FALSE),IF(D48="IS",VLOOKUP(B48,'ACS Price List'!$16:$180,11,FALSE),VLOOKUP(B48,'ACS Price List'!$16:$180,9,FALSE))),"POA")</f>
        <v>292.39999999999998</v>
      </c>
      <c r="J48" s="186"/>
      <c r="K48" s="192" t="str">
        <f t="shared" si="0"/>
        <v>CHANGE</v>
      </c>
    </row>
    <row r="49" spans="2:11" x14ac:dyDescent="0.2">
      <c r="B49" s="97">
        <v>12</v>
      </c>
      <c r="C49" s="105" t="s">
        <v>25</v>
      </c>
      <c r="D49" s="201" t="s">
        <v>589</v>
      </c>
      <c r="E49" s="105" t="s">
        <v>471</v>
      </c>
      <c r="F49" s="200">
        <f>VLOOKUP(B49,'ACS Price List'!$16:$180,8,FALSE)</f>
        <v>8044</v>
      </c>
      <c r="G49" s="200" t="s">
        <v>714</v>
      </c>
      <c r="H49" s="206">
        <v>0</v>
      </c>
      <c r="I49" s="206">
        <f>IFERROR(IF(D49="LR",VLOOKUP(B49,'ACS Price List'!$16:$180,11,FALSE),IF(D49="IS",VLOOKUP(B49,'ACS Price List'!$16:$180,11,FALSE),VLOOKUP(B49,'ACS Price List'!$16:$180,9,FALSE))),"POA")</f>
        <v>0</v>
      </c>
      <c r="J49" s="204"/>
      <c r="K49" s="192" t="str">
        <f t="shared" si="0"/>
        <v>OK</v>
      </c>
    </row>
    <row r="50" spans="2:11" x14ac:dyDescent="0.2">
      <c r="B50" s="97">
        <v>14</v>
      </c>
      <c r="C50" s="105" t="s">
        <v>17</v>
      </c>
      <c r="D50" s="201" t="s">
        <v>589</v>
      </c>
      <c r="E50" s="105" t="s">
        <v>476</v>
      </c>
      <c r="F50" s="200">
        <f>VLOOKUP(B50,'ACS Price List'!$16:$180,8,FALSE)</f>
        <v>8048</v>
      </c>
      <c r="G50" s="200" t="s">
        <v>714</v>
      </c>
      <c r="H50" s="206">
        <v>0</v>
      </c>
      <c r="I50" s="206">
        <f>IFERROR(IF(D50="LR",VLOOKUP(B50,'ACS Price List'!$16:$180,11,FALSE),IF(D50="IS",VLOOKUP(B50,'ACS Price List'!$16:$180,11,FALSE),VLOOKUP(B50,'ACS Price List'!$16:$180,9,FALSE))),"POA")</f>
        <v>0</v>
      </c>
      <c r="J50" s="204"/>
      <c r="K50" s="192" t="str">
        <f t="shared" si="0"/>
        <v>OK</v>
      </c>
    </row>
    <row r="51" spans="2:11" x14ac:dyDescent="0.2">
      <c r="B51" s="97" t="s">
        <v>646</v>
      </c>
      <c r="C51" s="105" t="s">
        <v>636</v>
      </c>
      <c r="D51" s="201" t="s">
        <v>589</v>
      </c>
      <c r="E51" s="105" t="s">
        <v>631</v>
      </c>
      <c r="F51" s="200">
        <f>VLOOKUP(B51,'ACS Price List'!$16:$180,8,FALSE)</f>
        <v>2050</v>
      </c>
      <c r="G51" s="200" t="s">
        <v>714</v>
      </c>
      <c r="H51" s="206"/>
      <c r="I51" s="203">
        <f>IFERROR(IF(D51="LR",VLOOKUP(B51,'ACS Price List'!$16:$180,11,FALSE),IF(D51="IS",VLOOKUP(B51,'ACS Price List'!$16:$180,11,FALSE),VLOOKUP(B51,'ACS Price List'!$16:$180,9,FALSE))),"POA")</f>
        <v>0</v>
      </c>
      <c r="J51" s="204"/>
      <c r="K51" s="192" t="str">
        <f t="shared" si="0"/>
        <v>OK</v>
      </c>
    </row>
    <row r="52" spans="2:11" x14ac:dyDescent="0.2">
      <c r="B52" s="97">
        <v>16</v>
      </c>
      <c r="C52" s="105" t="s">
        <v>21</v>
      </c>
      <c r="D52" s="201" t="s">
        <v>589</v>
      </c>
      <c r="E52" s="105" t="s">
        <v>481</v>
      </c>
      <c r="F52" s="200">
        <f>VLOOKUP(B52,'ACS Price List'!$16:$180,8,FALSE)</f>
        <v>8052</v>
      </c>
      <c r="G52" s="200" t="s">
        <v>714</v>
      </c>
      <c r="H52" s="206">
        <v>45.5</v>
      </c>
      <c r="I52" s="206">
        <f>IFERROR(IF(D52="LR",VLOOKUP(B52,'ACS Price List'!$16:$180,11,FALSE),IF(D52="IS",VLOOKUP(B52,'ACS Price List'!$16:$180,11,FALSE),VLOOKUP(B52,'ACS Price List'!$16:$180,9,FALSE))),"POA")</f>
        <v>45.5</v>
      </c>
      <c r="J52" s="204"/>
      <c r="K52" s="192" t="str">
        <f t="shared" si="0"/>
        <v>OK</v>
      </c>
    </row>
    <row r="53" spans="2:11" ht="24" x14ac:dyDescent="0.2">
      <c r="B53" s="97" t="s">
        <v>644</v>
      </c>
      <c r="C53" s="105" t="s">
        <v>640</v>
      </c>
      <c r="D53" s="201" t="s">
        <v>589</v>
      </c>
      <c r="E53" s="105" t="s">
        <v>633</v>
      </c>
      <c r="F53" s="200">
        <f>VLOOKUP(B53,'ACS Price List'!$16:$180,8,FALSE)</f>
        <v>2052</v>
      </c>
      <c r="G53" s="200" t="s">
        <v>714</v>
      </c>
      <c r="H53" s="206"/>
      <c r="I53" s="203">
        <f>IFERROR(IF(D53="LR",VLOOKUP(B53,'ACS Price List'!$16:$180,11,FALSE),IF(D53="IS",VLOOKUP(B53,'ACS Price List'!$16:$180,11,FALSE),VLOOKUP(B53,'ACS Price List'!$16:$180,9,FALSE))),"POA")</f>
        <v>45.5</v>
      </c>
      <c r="J53" s="186"/>
      <c r="K53" s="192" t="str">
        <f t="shared" si="0"/>
        <v>CHANGE</v>
      </c>
    </row>
    <row r="54" spans="2:11" x14ac:dyDescent="0.2">
      <c r="B54" s="97">
        <v>19</v>
      </c>
      <c r="C54" s="105" t="s">
        <v>389</v>
      </c>
      <c r="D54" s="201" t="s">
        <v>589</v>
      </c>
      <c r="E54" s="105" t="s">
        <v>163</v>
      </c>
      <c r="F54" s="200">
        <f>VLOOKUP(B54,'ACS Price List'!$16:$180,8,FALSE)</f>
        <v>8193</v>
      </c>
      <c r="G54" s="200" t="s">
        <v>714</v>
      </c>
      <c r="H54" s="206">
        <v>344.4</v>
      </c>
      <c r="I54" s="206">
        <f>IFERROR(IF(D54="LR",VLOOKUP(B54,'ACS Price List'!$16:$180,11,FALSE),IF(D54="IS",VLOOKUP(B54,'ACS Price List'!$16:$180,11,FALSE),VLOOKUP(B54,'ACS Price List'!$16:$180,9,FALSE))),"POA")</f>
        <v>344.4</v>
      </c>
      <c r="J54" s="204"/>
      <c r="K54" s="192" t="str">
        <f t="shared" si="0"/>
        <v>OK</v>
      </c>
    </row>
    <row r="55" spans="2:11" x14ac:dyDescent="0.2">
      <c r="B55" s="97">
        <v>21</v>
      </c>
      <c r="C55" s="105" t="s">
        <v>394</v>
      </c>
      <c r="D55" s="201" t="s">
        <v>589</v>
      </c>
      <c r="E55" s="105" t="s">
        <v>166</v>
      </c>
      <c r="F55" s="200">
        <f>VLOOKUP(B55,'ACS Price List'!$16:$180,8,FALSE)</f>
        <v>8197</v>
      </c>
      <c r="G55" s="200" t="s">
        <v>714</v>
      </c>
      <c r="H55" s="206">
        <v>421.8</v>
      </c>
      <c r="I55" s="206">
        <f>IFERROR(IF(D55="LR",VLOOKUP(B55,'ACS Price List'!$16:$180,11,FALSE),IF(D55="IS",VLOOKUP(B55,'ACS Price List'!$16:$180,11,FALSE),VLOOKUP(B55,'ACS Price List'!$16:$180,9,FALSE))),"POA")</f>
        <v>421.8</v>
      </c>
      <c r="J55" s="204"/>
      <c r="K55" s="192" t="str">
        <f t="shared" si="0"/>
        <v>OK</v>
      </c>
    </row>
    <row r="56" spans="2:11" x14ac:dyDescent="0.2">
      <c r="B56" s="97">
        <v>23</v>
      </c>
      <c r="C56" s="105" t="s">
        <v>400</v>
      </c>
      <c r="D56" s="201" t="s">
        <v>589</v>
      </c>
      <c r="E56" s="105" t="s">
        <v>170</v>
      </c>
      <c r="F56" s="200">
        <f>VLOOKUP(B56,'ACS Price List'!$16:$180,8,FALSE)</f>
        <v>8201</v>
      </c>
      <c r="G56" s="200" t="s">
        <v>714</v>
      </c>
      <c r="H56" s="206">
        <v>530.20000000000005</v>
      </c>
      <c r="I56" s="206">
        <f>IFERROR(IF(D56="LR",VLOOKUP(B56,'ACS Price List'!$16:$180,11,FALSE),IF(D56="IS",VLOOKUP(B56,'ACS Price List'!$16:$180,11,FALSE),VLOOKUP(B56,'ACS Price List'!$16:$180,9,FALSE))),"POA")</f>
        <v>530.20000000000005</v>
      </c>
      <c r="J56" s="204"/>
      <c r="K56" s="192" t="str">
        <f t="shared" si="0"/>
        <v>OK</v>
      </c>
    </row>
    <row r="57" spans="2:11" x14ac:dyDescent="0.2">
      <c r="B57" s="97">
        <v>25</v>
      </c>
      <c r="C57" s="105" t="s">
        <v>406</v>
      </c>
      <c r="D57" s="201" t="s">
        <v>589</v>
      </c>
      <c r="E57" s="105" t="s">
        <v>174</v>
      </c>
      <c r="F57" s="200">
        <f>VLOOKUP(B57,'ACS Price List'!$16:$180,8,FALSE)</f>
        <v>8205</v>
      </c>
      <c r="G57" s="200" t="s">
        <v>714</v>
      </c>
      <c r="H57" s="206">
        <v>2519.1</v>
      </c>
      <c r="I57" s="206">
        <f>IFERROR(IF(D57="LR",VLOOKUP(B57,'ACS Price List'!$16:$180,11,FALSE),IF(D57="IS",VLOOKUP(B57,'ACS Price List'!$16:$180,11,FALSE),VLOOKUP(B57,'ACS Price List'!$16:$180,9,FALSE))),"POA")</f>
        <v>2519.1</v>
      </c>
      <c r="J57" s="204"/>
      <c r="K57" s="192" t="str">
        <f t="shared" si="0"/>
        <v>OK</v>
      </c>
    </row>
    <row r="58" spans="2:11" x14ac:dyDescent="0.2">
      <c r="B58" s="97">
        <v>140</v>
      </c>
      <c r="C58" s="105" t="s">
        <v>261</v>
      </c>
      <c r="D58" s="201" t="s">
        <v>589</v>
      </c>
      <c r="E58" s="105" t="s">
        <v>308</v>
      </c>
      <c r="F58" s="200">
        <f>VLOOKUP(B58,'ACS Price List'!$16:$180,8,FALSE)</f>
        <v>8172</v>
      </c>
      <c r="G58" s="200" t="s">
        <v>714</v>
      </c>
      <c r="H58" s="206">
        <v>344.4</v>
      </c>
      <c r="I58" s="206">
        <f>IFERROR(IF(D58="LR",VLOOKUP(B58,'ACS Price List'!$16:$180,11,FALSE),IF(D58="IS",VLOOKUP(B58,'ACS Price List'!$16:$180,11,FALSE),VLOOKUP(B58,'ACS Price List'!$16:$180,9,FALSE))),"POA")</f>
        <v>344.4</v>
      </c>
      <c r="J58" s="204"/>
      <c r="K58" s="192" t="str">
        <f t="shared" si="0"/>
        <v>OK</v>
      </c>
    </row>
    <row r="59" spans="2:11" x14ac:dyDescent="0.2">
      <c r="B59" s="97">
        <v>141</v>
      </c>
      <c r="C59" s="105" t="s">
        <v>360</v>
      </c>
      <c r="D59" s="201" t="s">
        <v>589</v>
      </c>
      <c r="E59" s="105" t="s">
        <v>309</v>
      </c>
      <c r="F59" s="200">
        <f>VLOOKUP(B59,'ACS Price List'!$16:$180,8,FALSE)</f>
        <v>8173</v>
      </c>
      <c r="G59" s="200" t="s">
        <v>714</v>
      </c>
      <c r="H59" s="206">
        <v>344.4</v>
      </c>
      <c r="I59" s="206">
        <f>IFERROR(IF(D59="LR",VLOOKUP(B59,'ACS Price List'!$16:$180,11,FALSE),IF(D59="IS",VLOOKUP(B59,'ACS Price List'!$16:$180,11,FALSE),VLOOKUP(B59,'ACS Price List'!$16:$180,9,FALSE))),"POA")</f>
        <v>344.4</v>
      </c>
      <c r="J59" s="204"/>
      <c r="K59" s="192" t="str">
        <f t="shared" si="0"/>
        <v>OK</v>
      </c>
    </row>
    <row r="60" spans="2:11" x14ac:dyDescent="0.2">
      <c r="B60" s="97">
        <v>142</v>
      </c>
      <c r="C60" s="105" t="s">
        <v>344</v>
      </c>
      <c r="D60" s="201" t="s">
        <v>589</v>
      </c>
      <c r="E60" s="105" t="s">
        <v>310</v>
      </c>
      <c r="F60" s="200">
        <f>VLOOKUP(B60,'ACS Price List'!$16:$180,8,FALSE)</f>
        <v>8174</v>
      </c>
      <c r="G60" s="200" t="s">
        <v>714</v>
      </c>
      <c r="H60" s="206">
        <v>421.8</v>
      </c>
      <c r="I60" s="206">
        <f>IFERROR(IF(D60="LR",VLOOKUP(B60,'ACS Price List'!$16:$180,11,FALSE),IF(D60="IS",VLOOKUP(B60,'ACS Price List'!$16:$180,11,FALSE),VLOOKUP(B60,'ACS Price List'!$16:$180,9,FALSE))),"POA")</f>
        <v>421.8</v>
      </c>
      <c r="J60" s="204"/>
      <c r="K60" s="192" t="str">
        <f t="shared" si="0"/>
        <v>OK</v>
      </c>
    </row>
    <row r="61" spans="2:11" x14ac:dyDescent="0.2">
      <c r="B61" s="97">
        <v>143</v>
      </c>
      <c r="C61" s="105" t="s">
        <v>364</v>
      </c>
      <c r="D61" s="201" t="s">
        <v>589</v>
      </c>
      <c r="E61" s="105" t="s">
        <v>311</v>
      </c>
      <c r="F61" s="200">
        <f>VLOOKUP(B61,'ACS Price List'!$16:$180,8,FALSE)</f>
        <v>8175</v>
      </c>
      <c r="G61" s="200" t="s">
        <v>714</v>
      </c>
      <c r="H61" s="206">
        <v>421.8</v>
      </c>
      <c r="I61" s="206">
        <f>IFERROR(IF(D61="LR",VLOOKUP(B61,'ACS Price List'!$16:$180,11,FALSE),IF(D61="IS",VLOOKUP(B61,'ACS Price List'!$16:$180,11,FALSE),VLOOKUP(B61,'ACS Price List'!$16:$180,9,FALSE))),"POA")</f>
        <v>421.8</v>
      </c>
      <c r="J61" s="204"/>
      <c r="K61" s="192" t="str">
        <f t="shared" si="0"/>
        <v>OK</v>
      </c>
    </row>
    <row r="62" spans="2:11" x14ac:dyDescent="0.2">
      <c r="B62" s="97">
        <v>144</v>
      </c>
      <c r="C62" s="105" t="s">
        <v>269</v>
      </c>
      <c r="D62" s="201" t="s">
        <v>589</v>
      </c>
      <c r="E62" s="105" t="s">
        <v>312</v>
      </c>
      <c r="F62" s="200">
        <f>VLOOKUP(B62,'ACS Price List'!$16:$180,8,FALSE)</f>
        <v>8176</v>
      </c>
      <c r="G62" s="200" t="s">
        <v>714</v>
      </c>
      <c r="H62" s="206">
        <v>530.20000000000005</v>
      </c>
      <c r="I62" s="206">
        <f>IFERROR(IF(D62="LR",VLOOKUP(B62,'ACS Price List'!$16:$180,11,FALSE),IF(D62="IS",VLOOKUP(B62,'ACS Price List'!$16:$180,11,FALSE),VLOOKUP(B62,'ACS Price List'!$16:$180,9,FALSE))),"POA")</f>
        <v>530.20000000000005</v>
      </c>
      <c r="J62" s="204"/>
      <c r="K62" s="192" t="str">
        <f t="shared" si="0"/>
        <v>OK</v>
      </c>
    </row>
    <row r="63" spans="2:11" x14ac:dyDescent="0.2">
      <c r="B63" s="97">
        <v>145</v>
      </c>
      <c r="C63" s="105" t="s">
        <v>368</v>
      </c>
      <c r="D63" s="201" t="s">
        <v>589</v>
      </c>
      <c r="E63" s="105" t="s">
        <v>313</v>
      </c>
      <c r="F63" s="200">
        <f>VLOOKUP(B63,'ACS Price List'!$16:$180,8,FALSE)</f>
        <v>8177</v>
      </c>
      <c r="G63" s="200" t="s">
        <v>714</v>
      </c>
      <c r="H63" s="206">
        <v>530.20000000000005</v>
      </c>
      <c r="I63" s="206">
        <f>IFERROR(IF(D63="LR",VLOOKUP(B63,'ACS Price List'!$16:$180,11,FALSE),IF(D63="IS",VLOOKUP(B63,'ACS Price List'!$16:$180,11,FALSE),VLOOKUP(B63,'ACS Price List'!$16:$180,9,FALSE))),"POA")</f>
        <v>530.20000000000005</v>
      </c>
      <c r="J63" s="204"/>
      <c r="K63" s="192" t="str">
        <f t="shared" si="0"/>
        <v>OK</v>
      </c>
    </row>
    <row r="64" spans="2:11" x14ac:dyDescent="0.2">
      <c r="B64" s="97">
        <v>146</v>
      </c>
      <c r="C64" s="105" t="s">
        <v>273</v>
      </c>
      <c r="D64" s="201" t="s">
        <v>589</v>
      </c>
      <c r="E64" s="105" t="s">
        <v>314</v>
      </c>
      <c r="F64" s="200">
        <f>VLOOKUP(B64,'ACS Price List'!$16:$180,8,FALSE)</f>
        <v>8178</v>
      </c>
      <c r="G64" s="200" t="s">
        <v>714</v>
      </c>
      <c r="H64" s="206">
        <v>2519.1</v>
      </c>
      <c r="I64" s="206">
        <f>IFERROR(IF(D64="LR",VLOOKUP(B64,'ACS Price List'!$16:$180,11,FALSE),IF(D64="IS",VLOOKUP(B64,'ACS Price List'!$16:$180,11,FALSE),VLOOKUP(B64,'ACS Price List'!$16:$180,9,FALSE))),"POA")</f>
        <v>2519.1</v>
      </c>
      <c r="J64" s="204"/>
      <c r="K64" s="192" t="str">
        <f t="shared" si="0"/>
        <v>OK</v>
      </c>
    </row>
    <row r="65" spans="2:11" x14ac:dyDescent="0.2">
      <c r="B65" s="97">
        <v>147</v>
      </c>
      <c r="C65" s="105" t="s">
        <v>372</v>
      </c>
      <c r="D65" s="201" t="s">
        <v>589</v>
      </c>
      <c r="E65" s="105" t="s">
        <v>315</v>
      </c>
      <c r="F65" s="200">
        <f>VLOOKUP(B65,'ACS Price List'!$16:$180,8,FALSE)</f>
        <v>8179</v>
      </c>
      <c r="G65" s="200" t="s">
        <v>714</v>
      </c>
      <c r="H65" s="206">
        <v>2519.1</v>
      </c>
      <c r="I65" s="206">
        <f>IFERROR(IF(D65="LR",VLOOKUP(B65,'ACS Price List'!$16:$180,11,FALSE),IF(D65="IS",VLOOKUP(B65,'ACS Price List'!$16:$180,11,FALSE),VLOOKUP(B65,'ACS Price List'!$16:$180,9,FALSE))),"POA")</f>
        <v>2519.1</v>
      </c>
      <c r="J65" s="204"/>
      <c r="K65" s="192" t="str">
        <f t="shared" si="0"/>
        <v>OK</v>
      </c>
    </row>
    <row r="66" spans="2:11" x14ac:dyDescent="0.2">
      <c r="B66" s="97">
        <v>148</v>
      </c>
      <c r="C66" s="105" t="s">
        <v>348</v>
      </c>
      <c r="D66" s="201" t="s">
        <v>589</v>
      </c>
      <c r="E66" s="105" t="s">
        <v>316</v>
      </c>
      <c r="F66" s="200">
        <f>VLOOKUP(B66,'ACS Price List'!$16:$180,8,FALSE)</f>
        <v>8180</v>
      </c>
      <c r="G66" s="200" t="s">
        <v>714</v>
      </c>
      <c r="H66" s="206">
        <v>344.4</v>
      </c>
      <c r="I66" s="206">
        <f>IFERROR(IF(D66="LR",VLOOKUP(B66,'ACS Price List'!$16:$180,11,FALSE),IF(D66="IS",VLOOKUP(B66,'ACS Price List'!$16:$180,11,FALSE),VLOOKUP(B66,'ACS Price List'!$16:$180,9,FALSE))),"POA")</f>
        <v>344.4</v>
      </c>
      <c r="J66" s="204"/>
      <c r="K66" s="192" t="str">
        <f t="shared" si="0"/>
        <v>OK</v>
      </c>
    </row>
    <row r="67" spans="2:11" x14ac:dyDescent="0.2">
      <c r="B67" s="97">
        <v>149</v>
      </c>
      <c r="C67" s="105" t="s">
        <v>352</v>
      </c>
      <c r="D67" s="201" t="s">
        <v>589</v>
      </c>
      <c r="E67" s="105" t="s">
        <v>317</v>
      </c>
      <c r="F67" s="200">
        <f>VLOOKUP(B67,'ACS Price List'!$16:$180,8,FALSE)</f>
        <v>8181</v>
      </c>
      <c r="G67" s="200" t="s">
        <v>714</v>
      </c>
      <c r="H67" s="206">
        <v>530.20000000000005</v>
      </c>
      <c r="I67" s="206">
        <f>IFERROR(IF(D67="LR",VLOOKUP(B67,'ACS Price List'!$16:$180,11,FALSE),IF(D67="IS",VLOOKUP(B67,'ACS Price List'!$16:$180,11,FALSE),VLOOKUP(B67,'ACS Price List'!$16:$180,9,FALSE))),"POA")</f>
        <v>530.20000000000005</v>
      </c>
      <c r="J67" s="204"/>
      <c r="K67" s="192" t="str">
        <f t="shared" si="0"/>
        <v>OK</v>
      </c>
    </row>
    <row r="68" spans="2:11" x14ac:dyDescent="0.2">
      <c r="B68" s="97">
        <v>150</v>
      </c>
      <c r="C68" s="105" t="s">
        <v>356</v>
      </c>
      <c r="D68" s="201" t="s">
        <v>589</v>
      </c>
      <c r="E68" s="105" t="s">
        <v>318</v>
      </c>
      <c r="F68" s="200">
        <f>VLOOKUP(B68,'ACS Price List'!$16:$180,8,FALSE)</f>
        <v>8182</v>
      </c>
      <c r="G68" s="200" t="s">
        <v>714</v>
      </c>
      <c r="H68" s="206">
        <v>2519.1</v>
      </c>
      <c r="I68" s="206">
        <f>IFERROR(IF(D68="LR",VLOOKUP(B68,'ACS Price List'!$16:$180,11,FALSE),IF(D68="IS",VLOOKUP(B68,'ACS Price List'!$16:$180,11,FALSE),VLOOKUP(B68,'ACS Price List'!$16:$180,9,FALSE))),"POA")</f>
        <v>2519.1</v>
      </c>
      <c r="J68" s="204"/>
      <c r="K68" s="192" t="str">
        <f t="shared" si="0"/>
        <v>OK</v>
      </c>
    </row>
    <row r="69" spans="2:11" x14ac:dyDescent="0.2">
      <c r="B69" s="97">
        <v>151</v>
      </c>
      <c r="C69" s="105" t="s">
        <v>277</v>
      </c>
      <c r="D69" s="201" t="s">
        <v>589</v>
      </c>
      <c r="E69" s="105" t="s">
        <v>319</v>
      </c>
      <c r="F69" s="200">
        <f>VLOOKUP(B69,'ACS Price List'!$16:$180,8,FALSE)</f>
        <v>8183</v>
      </c>
      <c r="G69" s="200" t="s">
        <v>714</v>
      </c>
      <c r="H69" s="206">
        <v>344.4</v>
      </c>
      <c r="I69" s="206">
        <f>IFERROR(IF(D69="LR",VLOOKUP(B69,'ACS Price List'!$16:$180,11,FALSE),IF(D69="IS",VLOOKUP(B69,'ACS Price List'!$16:$180,11,FALSE),VLOOKUP(B69,'ACS Price List'!$16:$180,9,FALSE))),"POA")</f>
        <v>344.4</v>
      </c>
      <c r="J69" s="204"/>
      <c r="K69" s="192" t="str">
        <f t="shared" si="0"/>
        <v>OK</v>
      </c>
    </row>
    <row r="70" spans="2:11" x14ac:dyDescent="0.2">
      <c r="B70" s="97">
        <v>152</v>
      </c>
      <c r="C70" s="105" t="s">
        <v>281</v>
      </c>
      <c r="D70" s="201" t="s">
        <v>589</v>
      </c>
      <c r="E70" s="105" t="s">
        <v>320</v>
      </c>
      <c r="F70" s="200">
        <f>VLOOKUP(B70,'ACS Price List'!$16:$180,8,FALSE)</f>
        <v>8184</v>
      </c>
      <c r="G70" s="200" t="s">
        <v>714</v>
      </c>
      <c r="H70" s="206">
        <v>530.20000000000005</v>
      </c>
      <c r="I70" s="206">
        <f>IFERROR(IF(D70="LR",VLOOKUP(B70,'ACS Price List'!$16:$180,11,FALSE),IF(D70="IS",VLOOKUP(B70,'ACS Price List'!$16:$180,11,FALSE),VLOOKUP(B70,'ACS Price List'!$16:$180,9,FALSE))),"POA")</f>
        <v>530.20000000000005</v>
      </c>
      <c r="J70" s="204"/>
      <c r="K70" s="192" t="str">
        <f t="shared" si="0"/>
        <v>OK</v>
      </c>
    </row>
    <row r="71" spans="2:11" x14ac:dyDescent="0.2">
      <c r="B71" s="97">
        <v>153</v>
      </c>
      <c r="C71" s="105" t="s">
        <v>291</v>
      </c>
      <c r="D71" s="201" t="s">
        <v>589</v>
      </c>
      <c r="E71" s="105" t="s">
        <v>321</v>
      </c>
      <c r="F71" s="200">
        <f>VLOOKUP(B71,'ACS Price List'!$16:$180,8,FALSE)</f>
        <v>8185</v>
      </c>
      <c r="G71" s="200" t="s">
        <v>714</v>
      </c>
      <c r="H71" s="206">
        <v>2519.1</v>
      </c>
      <c r="I71" s="206">
        <f>IFERROR(IF(D71="LR",VLOOKUP(B71,'ACS Price List'!$16:$180,11,FALSE),IF(D71="IS",VLOOKUP(B71,'ACS Price List'!$16:$180,11,FALSE),VLOOKUP(B71,'ACS Price List'!$16:$180,9,FALSE))),"POA")</f>
        <v>2519.1</v>
      </c>
      <c r="J71" s="204"/>
      <c r="K71" s="192" t="str">
        <f t="shared" si="0"/>
        <v>OK</v>
      </c>
    </row>
    <row r="72" spans="2:11" x14ac:dyDescent="0.2">
      <c r="B72" s="97">
        <v>154</v>
      </c>
      <c r="C72" s="105" t="s">
        <v>376</v>
      </c>
      <c r="D72" s="201" t="s">
        <v>589</v>
      </c>
      <c r="E72" s="105" t="s">
        <v>322</v>
      </c>
      <c r="F72" s="200">
        <f>VLOOKUP(B72,'ACS Price List'!$16:$180,8,FALSE)</f>
        <v>8186</v>
      </c>
      <c r="G72" s="200" t="s">
        <v>714</v>
      </c>
      <c r="H72" s="206">
        <v>344.4</v>
      </c>
      <c r="I72" s="206">
        <f>IFERROR(IF(D72="LR",VLOOKUP(B72,'ACS Price List'!$16:$180,11,FALSE),IF(D72="IS",VLOOKUP(B72,'ACS Price List'!$16:$180,11,FALSE),VLOOKUP(B72,'ACS Price List'!$16:$180,9,FALSE))),"POA")</f>
        <v>344.4</v>
      </c>
      <c r="J72" s="204"/>
      <c r="K72" s="192" t="str">
        <f t="shared" si="0"/>
        <v>OK</v>
      </c>
    </row>
    <row r="73" spans="2:11" x14ac:dyDescent="0.2">
      <c r="B73" s="97">
        <v>155</v>
      </c>
      <c r="C73" s="105" t="s">
        <v>380</v>
      </c>
      <c r="D73" s="201" t="s">
        <v>589</v>
      </c>
      <c r="E73" s="105" t="s">
        <v>323</v>
      </c>
      <c r="F73" s="200">
        <f>VLOOKUP(B73,'ACS Price List'!$16:$180,8,FALSE)</f>
        <v>8187</v>
      </c>
      <c r="G73" s="200" t="s">
        <v>714</v>
      </c>
      <c r="H73" s="206">
        <v>530.20000000000005</v>
      </c>
      <c r="I73" s="206">
        <f>IFERROR(IF(D73="LR",VLOOKUP(B73,'ACS Price List'!$16:$180,11,FALSE),IF(D73="IS",VLOOKUP(B73,'ACS Price List'!$16:$180,11,FALSE),VLOOKUP(B73,'ACS Price List'!$16:$180,9,FALSE))),"POA")</f>
        <v>530.20000000000005</v>
      </c>
      <c r="J73" s="204"/>
      <c r="K73" s="192" t="str">
        <f t="shared" si="0"/>
        <v>OK</v>
      </c>
    </row>
    <row r="74" spans="2:11" x14ac:dyDescent="0.2">
      <c r="B74" s="97">
        <v>156</v>
      </c>
      <c r="C74" s="105" t="s">
        <v>384</v>
      </c>
      <c r="D74" s="201" t="s">
        <v>589</v>
      </c>
      <c r="E74" s="105" t="s">
        <v>324</v>
      </c>
      <c r="F74" s="200">
        <f>VLOOKUP(B74,'ACS Price List'!$16:$180,8,FALSE)</f>
        <v>8188</v>
      </c>
      <c r="G74" s="200" t="s">
        <v>714</v>
      </c>
      <c r="H74" s="206">
        <v>2519.1</v>
      </c>
      <c r="I74" s="206">
        <f>IFERROR(IF(D74="LR",VLOOKUP(B74,'ACS Price List'!$16:$180,11,FALSE),IF(D74="IS",VLOOKUP(B74,'ACS Price List'!$16:$180,11,FALSE),VLOOKUP(B74,'ACS Price List'!$16:$180,9,FALSE))),"POA")</f>
        <v>2519.1</v>
      </c>
      <c r="J74" s="204"/>
      <c r="K74" s="192" t="str">
        <f t="shared" si="0"/>
        <v>OK</v>
      </c>
    </row>
    <row r="75" spans="2:11" x14ac:dyDescent="0.2">
      <c r="B75" s="210">
        <v>7</v>
      </c>
      <c r="C75" s="105" t="s">
        <v>10</v>
      </c>
      <c r="D75" s="201" t="s">
        <v>591</v>
      </c>
      <c r="E75" s="105" t="s">
        <v>461</v>
      </c>
      <c r="F75" s="200">
        <f>VLOOKUP(B75,'ACS Price List'!$16:$180,8,FALSE)</f>
        <v>8022</v>
      </c>
      <c r="G75" s="200" t="s">
        <v>714</v>
      </c>
      <c r="H75" s="206">
        <v>412.7</v>
      </c>
      <c r="I75" s="203">
        <f>IFERROR(IF(D75="LR",VLOOKUP(B75,'ACS Price List'!$16:$180,11,FALSE),IF(D75="IS",VLOOKUP(B75,'ACS Price List'!$16:$180,11,FALSE),VLOOKUP(B75,'ACS Price List'!$16:$180,9,FALSE))),"POA")</f>
        <v>330.2</v>
      </c>
      <c r="J75" s="186"/>
      <c r="K75" s="192" t="str">
        <f t="shared" si="0"/>
        <v>CHANGE</v>
      </c>
    </row>
    <row r="76" spans="2:11" x14ac:dyDescent="0.2">
      <c r="B76" s="210">
        <v>9</v>
      </c>
      <c r="C76" s="105" t="s">
        <v>14</v>
      </c>
      <c r="D76" s="201" t="s">
        <v>591</v>
      </c>
      <c r="E76" s="105" t="s">
        <v>465</v>
      </c>
      <c r="F76" s="200">
        <f>VLOOKUP(B76,'ACS Price List'!$16:$180,8,FALSE)</f>
        <v>8026</v>
      </c>
      <c r="G76" s="200" t="s">
        <v>714</v>
      </c>
      <c r="H76" s="206">
        <v>412.7</v>
      </c>
      <c r="I76" s="203">
        <f>IFERROR(IF(D76="LR",VLOOKUP(B76,'ACS Price List'!$16:$180,11,FALSE),IF(D76="IS",VLOOKUP(B76,'ACS Price List'!$16:$180,11,FALSE),VLOOKUP(B76,'ACS Price List'!$16:$180,9,FALSE))),"POA")</f>
        <v>330.2</v>
      </c>
      <c r="J76" s="204"/>
      <c r="K76" s="192" t="str">
        <f t="shared" ref="K76:K139" si="1">IFERROR(IF(I76="POA","OK",IF(I76-H76=0,"OK","CHANGE")),"CHECK")</f>
        <v>CHANGE</v>
      </c>
    </row>
    <row r="77" spans="2:11" x14ac:dyDescent="0.2">
      <c r="B77" s="210">
        <v>11</v>
      </c>
      <c r="C77" s="105" t="s">
        <v>32</v>
      </c>
      <c r="D77" s="201" t="s">
        <v>591</v>
      </c>
      <c r="E77" s="105" t="s">
        <v>469</v>
      </c>
      <c r="F77" s="200">
        <f>VLOOKUP(B77,'ACS Price List'!$16:$180,8,FALSE)</f>
        <v>8042</v>
      </c>
      <c r="G77" s="200" t="s">
        <v>714</v>
      </c>
      <c r="H77" s="206">
        <v>350.9</v>
      </c>
      <c r="I77" s="203">
        <f>IFERROR(IF(D77="LR",VLOOKUP(B77,'ACS Price List'!$16:$180,11,FALSE),IF(D77="IS",VLOOKUP(B77,'ACS Price List'!$16:$180,11,FALSE),VLOOKUP(B77,'ACS Price List'!$16:$180,9,FALSE))),"POA")</f>
        <v>292.39999999999998</v>
      </c>
      <c r="J77" s="186"/>
      <c r="K77" s="192" t="str">
        <f t="shared" si="1"/>
        <v>CHANGE</v>
      </c>
    </row>
    <row r="78" spans="2:11" x14ac:dyDescent="0.2">
      <c r="B78" s="210">
        <v>13</v>
      </c>
      <c r="C78" s="105" t="s">
        <v>26</v>
      </c>
      <c r="D78" s="201" t="s">
        <v>591</v>
      </c>
      <c r="E78" s="105" t="s">
        <v>474</v>
      </c>
      <c r="F78" s="200">
        <f>VLOOKUP(B78,'ACS Price List'!$16:$180,8,FALSE)</f>
        <v>8046</v>
      </c>
      <c r="G78" s="200" t="s">
        <v>714</v>
      </c>
      <c r="H78" s="206">
        <v>0</v>
      </c>
      <c r="I78" s="206">
        <f>IFERROR(IF(D78="LR",VLOOKUP(B78,'ACS Price List'!$16:$180,11,FALSE),IF(D78="IS",VLOOKUP(B78,'ACS Price List'!$16:$180,11,FALSE),VLOOKUP(B78,'ACS Price List'!$16:$180,9,FALSE))),"POA")</f>
        <v>0</v>
      </c>
      <c r="J78" s="204"/>
      <c r="K78" s="192" t="str">
        <f t="shared" si="1"/>
        <v>OK</v>
      </c>
    </row>
    <row r="79" spans="2:11" x14ac:dyDescent="0.2">
      <c r="B79" s="210">
        <v>15</v>
      </c>
      <c r="C79" s="105" t="s">
        <v>18</v>
      </c>
      <c r="D79" s="201" t="s">
        <v>591</v>
      </c>
      <c r="E79" s="105" t="s">
        <v>479</v>
      </c>
      <c r="F79" s="200">
        <f>VLOOKUP(B79,'ACS Price List'!$16:$180,8,FALSE)</f>
        <v>8050</v>
      </c>
      <c r="G79" s="200" t="s">
        <v>714</v>
      </c>
      <c r="H79" s="206">
        <v>0</v>
      </c>
      <c r="I79" s="206">
        <f>IFERROR(IF(D79="LR",VLOOKUP(B79,'ACS Price List'!$16:$180,11,FALSE),IF(D79="IS",VLOOKUP(B79,'ACS Price List'!$16:$180,11,FALSE),VLOOKUP(B79,'ACS Price List'!$16:$180,9,FALSE))),"POA")</f>
        <v>0</v>
      </c>
      <c r="J79" s="204"/>
      <c r="K79" s="192" t="str">
        <f t="shared" si="1"/>
        <v>OK</v>
      </c>
    </row>
    <row r="80" spans="2:11" x14ac:dyDescent="0.2">
      <c r="B80" s="210" t="s">
        <v>645</v>
      </c>
      <c r="C80" s="105" t="s">
        <v>637</v>
      </c>
      <c r="D80" s="201" t="s">
        <v>591</v>
      </c>
      <c r="E80" s="105" t="s">
        <v>632</v>
      </c>
      <c r="F80" s="200">
        <f>VLOOKUP(B80,'ACS Price List'!$16:$180,8,FALSE)</f>
        <v>2051</v>
      </c>
      <c r="G80" s="200" t="s">
        <v>714</v>
      </c>
      <c r="H80" s="206"/>
      <c r="I80" s="203">
        <f>IFERROR(IF(D80="LR",VLOOKUP(B80,'ACS Price List'!$16:$180,11,FALSE),IF(D80="IS",VLOOKUP(B80,'ACS Price List'!$16:$180,11,FALSE),VLOOKUP(B80,'ACS Price List'!$16:$180,9,FALSE))),"POA")</f>
        <v>0</v>
      </c>
      <c r="J80" s="204"/>
      <c r="K80" s="192" t="str">
        <f t="shared" si="1"/>
        <v>OK</v>
      </c>
    </row>
    <row r="81" spans="2:11" x14ac:dyDescent="0.2">
      <c r="B81" s="210">
        <v>17</v>
      </c>
      <c r="C81" s="105" t="s">
        <v>22</v>
      </c>
      <c r="D81" s="201" t="s">
        <v>591</v>
      </c>
      <c r="E81" s="105" t="s">
        <v>483</v>
      </c>
      <c r="F81" s="200">
        <f>VLOOKUP(B81,'ACS Price List'!$16:$180,8,FALSE)</f>
        <v>8054</v>
      </c>
      <c r="G81" s="200" t="s">
        <v>714</v>
      </c>
      <c r="H81" s="206">
        <v>45.5</v>
      </c>
      <c r="I81" s="206">
        <f>IFERROR(IF(D81="LR",VLOOKUP(B81,'ACS Price List'!$16:$180,11,FALSE),IF(D81="IS",VLOOKUP(B81,'ACS Price List'!$16:$180,11,FALSE),VLOOKUP(B81,'ACS Price List'!$16:$180,9,FALSE))),"POA")</f>
        <v>45.5</v>
      </c>
      <c r="J81" s="204"/>
      <c r="K81" s="192" t="str">
        <f t="shared" si="1"/>
        <v>OK</v>
      </c>
    </row>
    <row r="82" spans="2:11" ht="24" x14ac:dyDescent="0.2">
      <c r="B82" s="210" t="s">
        <v>643</v>
      </c>
      <c r="C82" s="105" t="s">
        <v>641</v>
      </c>
      <c r="D82" s="201" t="s">
        <v>591</v>
      </c>
      <c r="E82" s="105" t="s">
        <v>634</v>
      </c>
      <c r="F82" s="200">
        <f>VLOOKUP(B82,'ACS Price List'!$16:$180,8,FALSE)</f>
        <v>2053</v>
      </c>
      <c r="G82" s="200" t="s">
        <v>714</v>
      </c>
      <c r="H82" s="206"/>
      <c r="I82" s="203">
        <f>IFERROR(IF(D82="LR",VLOOKUP(B82,'ACS Price List'!$16:$180,11,FALSE),IF(D82="IS",VLOOKUP(B82,'ACS Price List'!$16:$180,11,FALSE),VLOOKUP(B82,'ACS Price List'!$16:$180,9,FALSE))),"POA")</f>
        <v>45.5</v>
      </c>
      <c r="J82" s="186"/>
      <c r="K82" s="192" t="str">
        <f t="shared" si="1"/>
        <v>CHANGE</v>
      </c>
    </row>
    <row r="83" spans="2:11" x14ac:dyDescent="0.2">
      <c r="B83" s="211">
        <v>20</v>
      </c>
      <c r="C83" s="105" t="s">
        <v>391</v>
      </c>
      <c r="D83" s="201" t="s">
        <v>591</v>
      </c>
      <c r="E83" s="105" t="s">
        <v>342</v>
      </c>
      <c r="F83" s="200">
        <f>VLOOKUP(B83,'ACS Price List'!$16:$180,8,FALSE)</f>
        <v>8195</v>
      </c>
      <c r="G83" s="200" t="s">
        <v>714</v>
      </c>
      <c r="H83" s="206">
        <v>344.4</v>
      </c>
      <c r="I83" s="206">
        <f>IFERROR(IF(D83="LR",VLOOKUP(B83,'ACS Price List'!$16:$180,11,FALSE),IF(D83="IS",VLOOKUP(B83,'ACS Price List'!$16:$180,11,FALSE),VLOOKUP(B83,'ACS Price List'!$16:$180,9,FALSE))),"POA")</f>
        <v>344.4</v>
      </c>
      <c r="J83" s="204"/>
      <c r="K83" s="192" t="str">
        <f t="shared" si="1"/>
        <v>OK</v>
      </c>
    </row>
    <row r="84" spans="2:11" x14ac:dyDescent="0.2">
      <c r="B84" s="211">
        <v>22</v>
      </c>
      <c r="C84" s="105" t="s">
        <v>397</v>
      </c>
      <c r="D84" s="201" t="s">
        <v>591</v>
      </c>
      <c r="E84" s="105" t="s">
        <v>168</v>
      </c>
      <c r="F84" s="200">
        <f>VLOOKUP(B84,'ACS Price List'!$16:$180,8,FALSE)</f>
        <v>8199</v>
      </c>
      <c r="G84" s="200" t="s">
        <v>714</v>
      </c>
      <c r="H84" s="206">
        <v>421.8</v>
      </c>
      <c r="I84" s="206">
        <f>IFERROR(IF(D84="LR",VLOOKUP(B84,'ACS Price List'!$16:$180,11,FALSE),IF(D84="IS",VLOOKUP(B84,'ACS Price List'!$16:$180,11,FALSE),VLOOKUP(B84,'ACS Price List'!$16:$180,9,FALSE))),"POA")</f>
        <v>421.8</v>
      </c>
      <c r="J84" s="204"/>
      <c r="K84" s="192" t="str">
        <f t="shared" si="1"/>
        <v>OK</v>
      </c>
    </row>
    <row r="85" spans="2:11" x14ac:dyDescent="0.2">
      <c r="B85" s="211">
        <v>24</v>
      </c>
      <c r="C85" s="105" t="s">
        <v>403</v>
      </c>
      <c r="D85" s="201" t="s">
        <v>591</v>
      </c>
      <c r="E85" s="105" t="s">
        <v>172</v>
      </c>
      <c r="F85" s="200">
        <f>VLOOKUP(B85,'ACS Price List'!$16:$180,8,FALSE)</f>
        <v>8203</v>
      </c>
      <c r="G85" s="200" t="s">
        <v>714</v>
      </c>
      <c r="H85" s="206">
        <v>530.20000000000005</v>
      </c>
      <c r="I85" s="206">
        <f>IFERROR(IF(D85="LR",VLOOKUP(B85,'ACS Price List'!$16:$180,11,FALSE),IF(D85="IS",VLOOKUP(B85,'ACS Price List'!$16:$180,11,FALSE),VLOOKUP(B85,'ACS Price List'!$16:$180,9,FALSE))),"POA")</f>
        <v>530.20000000000005</v>
      </c>
      <c r="J85" s="204"/>
      <c r="K85" s="192" t="str">
        <f t="shared" si="1"/>
        <v>OK</v>
      </c>
    </row>
    <row r="86" spans="2:11" x14ac:dyDescent="0.2">
      <c r="B86" s="211">
        <v>26</v>
      </c>
      <c r="C86" s="105" t="s">
        <v>409</v>
      </c>
      <c r="D86" s="201" t="s">
        <v>591</v>
      </c>
      <c r="E86" s="105" t="s">
        <v>176</v>
      </c>
      <c r="F86" s="200">
        <f>VLOOKUP(B86,'ACS Price List'!$16:$180,8,FALSE)</f>
        <v>8207</v>
      </c>
      <c r="G86" s="200" t="s">
        <v>714</v>
      </c>
      <c r="H86" s="206">
        <v>2519.1</v>
      </c>
      <c r="I86" s="206">
        <f>IFERROR(IF(D86="LR",VLOOKUP(B86,'ACS Price List'!$16:$180,11,FALSE),IF(D86="IS",VLOOKUP(B86,'ACS Price List'!$16:$180,11,FALSE),VLOOKUP(B86,'ACS Price List'!$16:$180,9,FALSE))),"POA")</f>
        <v>2519.1</v>
      </c>
      <c r="J86" s="204"/>
      <c r="K86" s="192" t="str">
        <f t="shared" si="1"/>
        <v>OK</v>
      </c>
    </row>
    <row r="87" spans="2:11" x14ac:dyDescent="0.2">
      <c r="B87" s="211">
        <v>140</v>
      </c>
      <c r="C87" s="105" t="s">
        <v>264</v>
      </c>
      <c r="D87" s="201" t="s">
        <v>591</v>
      </c>
      <c r="E87" s="105" t="s">
        <v>308</v>
      </c>
      <c r="F87" s="200">
        <f>VLOOKUP(B87,'ACS Price List'!$16:$180,8,FALSE)</f>
        <v>8172</v>
      </c>
      <c r="G87" s="200" t="s">
        <v>714</v>
      </c>
      <c r="H87" s="206">
        <v>344.4</v>
      </c>
      <c r="I87" s="206">
        <f>IFERROR(IF(D87="LR",VLOOKUP(B87,'ACS Price List'!$16:$180,11,FALSE),IF(D87="IS",VLOOKUP(B87,'ACS Price List'!$16:$180,11,FALSE),VLOOKUP(B87,'ACS Price List'!$16:$180,9,FALSE))),"POA")</f>
        <v>344.4</v>
      </c>
      <c r="J87" s="204"/>
      <c r="K87" s="192" t="str">
        <f t="shared" si="1"/>
        <v>OK</v>
      </c>
    </row>
    <row r="88" spans="2:11" x14ac:dyDescent="0.2">
      <c r="B88" s="211">
        <v>141</v>
      </c>
      <c r="C88" s="105" t="s">
        <v>361</v>
      </c>
      <c r="D88" s="201" t="s">
        <v>591</v>
      </c>
      <c r="E88" s="105" t="s">
        <v>309</v>
      </c>
      <c r="F88" s="200">
        <f>VLOOKUP(B88,'ACS Price List'!$16:$180,8,FALSE)</f>
        <v>8173</v>
      </c>
      <c r="G88" s="200" t="s">
        <v>714</v>
      </c>
      <c r="H88" s="206">
        <v>344.4</v>
      </c>
      <c r="I88" s="206">
        <f>IFERROR(IF(D88="LR",VLOOKUP(B88,'ACS Price List'!$16:$180,11,FALSE),IF(D88="IS",VLOOKUP(B88,'ACS Price List'!$16:$180,11,FALSE),VLOOKUP(B88,'ACS Price List'!$16:$180,9,FALSE))),"POA")</f>
        <v>344.4</v>
      </c>
      <c r="J88" s="204"/>
      <c r="K88" s="192" t="str">
        <f t="shared" si="1"/>
        <v>OK</v>
      </c>
    </row>
    <row r="89" spans="2:11" x14ac:dyDescent="0.2">
      <c r="B89" s="211">
        <v>142</v>
      </c>
      <c r="C89" s="105" t="s">
        <v>345</v>
      </c>
      <c r="D89" s="201" t="s">
        <v>591</v>
      </c>
      <c r="E89" s="105" t="s">
        <v>310</v>
      </c>
      <c r="F89" s="200">
        <f>VLOOKUP(B89,'ACS Price List'!$16:$180,8,FALSE)</f>
        <v>8174</v>
      </c>
      <c r="G89" s="200" t="s">
        <v>714</v>
      </c>
      <c r="H89" s="206">
        <v>421.8</v>
      </c>
      <c r="I89" s="206">
        <f>IFERROR(IF(D89="LR",VLOOKUP(B89,'ACS Price List'!$16:$180,11,FALSE),IF(D89="IS",VLOOKUP(B89,'ACS Price List'!$16:$180,11,FALSE),VLOOKUP(B89,'ACS Price List'!$16:$180,9,FALSE))),"POA")</f>
        <v>421.8</v>
      </c>
      <c r="J89" s="204"/>
      <c r="K89" s="192" t="str">
        <f t="shared" si="1"/>
        <v>OK</v>
      </c>
    </row>
    <row r="90" spans="2:11" x14ac:dyDescent="0.2">
      <c r="B90" s="211">
        <v>143</v>
      </c>
      <c r="C90" s="105" t="s">
        <v>365</v>
      </c>
      <c r="D90" s="201" t="s">
        <v>591</v>
      </c>
      <c r="E90" s="105" t="s">
        <v>311</v>
      </c>
      <c r="F90" s="200">
        <f>VLOOKUP(B90,'ACS Price List'!$16:$180,8,FALSE)</f>
        <v>8175</v>
      </c>
      <c r="G90" s="200" t="s">
        <v>714</v>
      </c>
      <c r="H90" s="206">
        <v>421.8</v>
      </c>
      <c r="I90" s="206">
        <f>IFERROR(IF(D90="LR",VLOOKUP(B90,'ACS Price List'!$16:$180,11,FALSE),IF(D90="IS",VLOOKUP(B90,'ACS Price List'!$16:$180,11,FALSE),VLOOKUP(B90,'ACS Price List'!$16:$180,9,FALSE))),"POA")</f>
        <v>421.8</v>
      </c>
      <c r="J90" s="204"/>
      <c r="K90" s="192" t="str">
        <f t="shared" si="1"/>
        <v>OK</v>
      </c>
    </row>
    <row r="91" spans="2:11" x14ac:dyDescent="0.2">
      <c r="B91" s="211">
        <v>144</v>
      </c>
      <c r="C91" s="105" t="s">
        <v>270</v>
      </c>
      <c r="D91" s="201" t="s">
        <v>591</v>
      </c>
      <c r="E91" s="105" t="s">
        <v>312</v>
      </c>
      <c r="F91" s="200">
        <f>VLOOKUP(B91,'ACS Price List'!$16:$180,8,FALSE)</f>
        <v>8176</v>
      </c>
      <c r="G91" s="200" t="s">
        <v>714</v>
      </c>
      <c r="H91" s="206">
        <v>530.20000000000005</v>
      </c>
      <c r="I91" s="206">
        <f>IFERROR(IF(D91="LR",VLOOKUP(B91,'ACS Price List'!$16:$180,11,FALSE),IF(D91="IS",VLOOKUP(B91,'ACS Price List'!$16:$180,11,FALSE),VLOOKUP(B91,'ACS Price List'!$16:$180,9,FALSE))),"POA")</f>
        <v>530.20000000000005</v>
      </c>
      <c r="J91" s="204"/>
      <c r="K91" s="192" t="str">
        <f t="shared" si="1"/>
        <v>OK</v>
      </c>
    </row>
    <row r="92" spans="2:11" x14ac:dyDescent="0.2">
      <c r="B92" s="211">
        <v>145</v>
      </c>
      <c r="C92" s="105" t="s">
        <v>369</v>
      </c>
      <c r="D92" s="201" t="s">
        <v>591</v>
      </c>
      <c r="E92" s="105" t="s">
        <v>313</v>
      </c>
      <c r="F92" s="200">
        <f>VLOOKUP(B92,'ACS Price List'!$16:$180,8,FALSE)</f>
        <v>8177</v>
      </c>
      <c r="G92" s="200" t="s">
        <v>714</v>
      </c>
      <c r="H92" s="206">
        <v>530.20000000000005</v>
      </c>
      <c r="I92" s="206">
        <f>IFERROR(IF(D92="LR",VLOOKUP(B92,'ACS Price List'!$16:$180,11,FALSE),IF(D92="IS",VLOOKUP(B92,'ACS Price List'!$16:$180,11,FALSE),VLOOKUP(B92,'ACS Price List'!$16:$180,9,FALSE))),"POA")</f>
        <v>530.20000000000005</v>
      </c>
      <c r="J92" s="204"/>
      <c r="K92" s="192" t="str">
        <f t="shared" si="1"/>
        <v>OK</v>
      </c>
    </row>
    <row r="93" spans="2:11" x14ac:dyDescent="0.2">
      <c r="B93" s="211">
        <v>146</v>
      </c>
      <c r="C93" s="105" t="s">
        <v>274</v>
      </c>
      <c r="D93" s="201" t="s">
        <v>591</v>
      </c>
      <c r="E93" s="105" t="s">
        <v>314</v>
      </c>
      <c r="F93" s="200">
        <f>VLOOKUP(B93,'ACS Price List'!$16:$180,8,FALSE)</f>
        <v>8178</v>
      </c>
      <c r="G93" s="200" t="s">
        <v>714</v>
      </c>
      <c r="H93" s="206">
        <v>2519.1</v>
      </c>
      <c r="I93" s="206">
        <f>IFERROR(IF(D93="LR",VLOOKUP(B93,'ACS Price List'!$16:$180,11,FALSE),IF(D93="IS",VLOOKUP(B93,'ACS Price List'!$16:$180,11,FALSE),VLOOKUP(B93,'ACS Price List'!$16:$180,9,FALSE))),"POA")</f>
        <v>2519.1</v>
      </c>
      <c r="J93" s="204"/>
      <c r="K93" s="192" t="str">
        <f t="shared" si="1"/>
        <v>OK</v>
      </c>
    </row>
    <row r="94" spans="2:11" x14ac:dyDescent="0.2">
      <c r="B94" s="211">
        <v>147</v>
      </c>
      <c r="C94" s="105" t="s">
        <v>373</v>
      </c>
      <c r="D94" s="201" t="s">
        <v>591</v>
      </c>
      <c r="E94" s="105" t="s">
        <v>315</v>
      </c>
      <c r="F94" s="200">
        <f>VLOOKUP(B94,'ACS Price List'!$16:$180,8,FALSE)</f>
        <v>8179</v>
      </c>
      <c r="G94" s="200" t="s">
        <v>714</v>
      </c>
      <c r="H94" s="206">
        <v>2519.1</v>
      </c>
      <c r="I94" s="206">
        <f>IFERROR(IF(D94="LR",VLOOKUP(B94,'ACS Price List'!$16:$180,11,FALSE),IF(D94="IS",VLOOKUP(B94,'ACS Price List'!$16:$180,11,FALSE),VLOOKUP(B94,'ACS Price List'!$16:$180,9,FALSE))),"POA")</f>
        <v>2519.1</v>
      </c>
      <c r="J94" s="204"/>
      <c r="K94" s="192" t="str">
        <f t="shared" si="1"/>
        <v>OK</v>
      </c>
    </row>
    <row r="95" spans="2:11" x14ac:dyDescent="0.2">
      <c r="B95" s="211">
        <v>148</v>
      </c>
      <c r="C95" s="105" t="s">
        <v>349</v>
      </c>
      <c r="D95" s="201" t="s">
        <v>591</v>
      </c>
      <c r="E95" s="105" t="s">
        <v>316</v>
      </c>
      <c r="F95" s="200">
        <f>VLOOKUP(B95,'ACS Price List'!$16:$180,8,FALSE)</f>
        <v>8180</v>
      </c>
      <c r="G95" s="200" t="s">
        <v>714</v>
      </c>
      <c r="H95" s="206">
        <v>344.4</v>
      </c>
      <c r="I95" s="206">
        <f>IFERROR(IF(D95="LR",VLOOKUP(B95,'ACS Price List'!$16:$180,11,FALSE),IF(D95="IS",VLOOKUP(B95,'ACS Price List'!$16:$180,11,FALSE),VLOOKUP(B95,'ACS Price List'!$16:$180,9,FALSE))),"POA")</f>
        <v>344.4</v>
      </c>
      <c r="J95" s="204"/>
      <c r="K95" s="192" t="str">
        <f t="shared" si="1"/>
        <v>OK</v>
      </c>
    </row>
    <row r="96" spans="2:11" x14ac:dyDescent="0.2">
      <c r="B96" s="211">
        <v>149</v>
      </c>
      <c r="C96" s="105" t="s">
        <v>353</v>
      </c>
      <c r="D96" s="201" t="s">
        <v>591</v>
      </c>
      <c r="E96" s="105" t="s">
        <v>317</v>
      </c>
      <c r="F96" s="200">
        <f>VLOOKUP(B96,'ACS Price List'!$16:$180,8,FALSE)</f>
        <v>8181</v>
      </c>
      <c r="G96" s="200" t="s">
        <v>714</v>
      </c>
      <c r="H96" s="206">
        <v>530.20000000000005</v>
      </c>
      <c r="I96" s="206">
        <f>IFERROR(IF(D96="LR",VLOOKUP(B96,'ACS Price List'!$16:$180,11,FALSE),IF(D96="IS",VLOOKUP(B96,'ACS Price List'!$16:$180,11,FALSE),VLOOKUP(B96,'ACS Price List'!$16:$180,9,FALSE))),"POA")</f>
        <v>530.20000000000005</v>
      </c>
      <c r="J96" s="204"/>
      <c r="K96" s="192" t="str">
        <f t="shared" si="1"/>
        <v>OK</v>
      </c>
    </row>
    <row r="97" spans="2:11" x14ac:dyDescent="0.2">
      <c r="B97" s="211">
        <v>150</v>
      </c>
      <c r="C97" s="105" t="s">
        <v>357</v>
      </c>
      <c r="D97" s="201" t="s">
        <v>591</v>
      </c>
      <c r="E97" s="105" t="s">
        <v>318</v>
      </c>
      <c r="F97" s="200">
        <f>VLOOKUP(B97,'ACS Price List'!$16:$180,8,FALSE)</f>
        <v>8182</v>
      </c>
      <c r="G97" s="200" t="s">
        <v>714</v>
      </c>
      <c r="H97" s="206">
        <v>2519.1</v>
      </c>
      <c r="I97" s="206">
        <f>IFERROR(IF(D97="LR",VLOOKUP(B97,'ACS Price List'!$16:$180,11,FALSE),IF(D97="IS",VLOOKUP(B97,'ACS Price List'!$16:$180,11,FALSE),VLOOKUP(B97,'ACS Price List'!$16:$180,9,FALSE))),"POA")</f>
        <v>2519.1</v>
      </c>
      <c r="J97" s="204"/>
      <c r="K97" s="192" t="str">
        <f t="shared" si="1"/>
        <v>OK</v>
      </c>
    </row>
    <row r="98" spans="2:11" x14ac:dyDescent="0.2">
      <c r="B98" s="211">
        <v>151</v>
      </c>
      <c r="C98" s="105" t="s">
        <v>278</v>
      </c>
      <c r="D98" s="201" t="s">
        <v>591</v>
      </c>
      <c r="E98" s="105" t="s">
        <v>319</v>
      </c>
      <c r="F98" s="200">
        <f>VLOOKUP(B98,'ACS Price List'!$16:$180,8,FALSE)</f>
        <v>8183</v>
      </c>
      <c r="G98" s="200" t="s">
        <v>714</v>
      </c>
      <c r="H98" s="206">
        <v>344.4</v>
      </c>
      <c r="I98" s="206">
        <f>IFERROR(IF(D98="LR",VLOOKUP(B98,'ACS Price List'!$16:$180,11,FALSE),IF(D98="IS",VLOOKUP(B98,'ACS Price List'!$16:$180,11,FALSE),VLOOKUP(B98,'ACS Price List'!$16:$180,9,FALSE))),"POA")</f>
        <v>344.4</v>
      </c>
      <c r="J98" s="204"/>
      <c r="K98" s="192" t="str">
        <f t="shared" si="1"/>
        <v>OK</v>
      </c>
    </row>
    <row r="99" spans="2:11" x14ac:dyDescent="0.2">
      <c r="B99" s="211">
        <v>152</v>
      </c>
      <c r="C99" s="105" t="s">
        <v>282</v>
      </c>
      <c r="D99" s="201" t="s">
        <v>591</v>
      </c>
      <c r="E99" s="105" t="s">
        <v>320</v>
      </c>
      <c r="F99" s="200">
        <f>VLOOKUP(B99,'ACS Price List'!$16:$180,8,FALSE)</f>
        <v>8184</v>
      </c>
      <c r="G99" s="200" t="s">
        <v>714</v>
      </c>
      <c r="H99" s="206">
        <v>530.20000000000005</v>
      </c>
      <c r="I99" s="206">
        <f>IFERROR(IF(D99="LR",VLOOKUP(B99,'ACS Price List'!$16:$180,11,FALSE),IF(D99="IS",VLOOKUP(B99,'ACS Price List'!$16:$180,11,FALSE),VLOOKUP(B99,'ACS Price List'!$16:$180,9,FALSE))),"POA")</f>
        <v>530.20000000000005</v>
      </c>
      <c r="J99" s="204"/>
      <c r="K99" s="192" t="str">
        <f t="shared" si="1"/>
        <v>OK</v>
      </c>
    </row>
    <row r="100" spans="2:11" x14ac:dyDescent="0.2">
      <c r="B100" s="211">
        <v>153</v>
      </c>
      <c r="C100" s="105" t="s">
        <v>292</v>
      </c>
      <c r="D100" s="201" t="s">
        <v>591</v>
      </c>
      <c r="E100" s="105" t="s">
        <v>321</v>
      </c>
      <c r="F100" s="200">
        <f>VLOOKUP(B100,'ACS Price List'!$16:$180,8,FALSE)</f>
        <v>8185</v>
      </c>
      <c r="G100" s="200" t="s">
        <v>714</v>
      </c>
      <c r="H100" s="206">
        <v>2519.1</v>
      </c>
      <c r="I100" s="206">
        <f>IFERROR(IF(D100="LR",VLOOKUP(B100,'ACS Price List'!$16:$180,11,FALSE),IF(D100="IS",VLOOKUP(B100,'ACS Price List'!$16:$180,11,FALSE),VLOOKUP(B100,'ACS Price List'!$16:$180,9,FALSE))),"POA")</f>
        <v>2519.1</v>
      </c>
      <c r="J100" s="204"/>
      <c r="K100" s="192" t="str">
        <f t="shared" si="1"/>
        <v>OK</v>
      </c>
    </row>
    <row r="101" spans="2:11" x14ac:dyDescent="0.2">
      <c r="B101" s="211">
        <v>154</v>
      </c>
      <c r="C101" s="105" t="s">
        <v>377</v>
      </c>
      <c r="D101" s="201" t="s">
        <v>591</v>
      </c>
      <c r="E101" s="105" t="s">
        <v>322</v>
      </c>
      <c r="F101" s="200">
        <f>VLOOKUP(B101,'ACS Price List'!$16:$180,8,FALSE)</f>
        <v>8186</v>
      </c>
      <c r="G101" s="200" t="s">
        <v>714</v>
      </c>
      <c r="H101" s="206">
        <v>344.4</v>
      </c>
      <c r="I101" s="206">
        <f>IFERROR(IF(D101="LR",VLOOKUP(B101,'ACS Price List'!$16:$180,11,FALSE),IF(D101="IS",VLOOKUP(B101,'ACS Price List'!$16:$180,11,FALSE),VLOOKUP(B101,'ACS Price List'!$16:$180,9,FALSE))),"POA")</f>
        <v>344.4</v>
      </c>
      <c r="J101" s="204"/>
      <c r="K101" s="192" t="str">
        <f t="shared" si="1"/>
        <v>OK</v>
      </c>
    </row>
    <row r="102" spans="2:11" x14ac:dyDescent="0.2">
      <c r="B102" s="211">
        <v>155</v>
      </c>
      <c r="C102" s="105" t="s">
        <v>381</v>
      </c>
      <c r="D102" s="201" t="s">
        <v>591</v>
      </c>
      <c r="E102" s="105" t="s">
        <v>323</v>
      </c>
      <c r="F102" s="200">
        <f>VLOOKUP(B102,'ACS Price List'!$16:$180,8,FALSE)</f>
        <v>8187</v>
      </c>
      <c r="G102" s="200" t="s">
        <v>714</v>
      </c>
      <c r="H102" s="206">
        <v>530.20000000000005</v>
      </c>
      <c r="I102" s="206">
        <f>IFERROR(IF(D102="LR",VLOOKUP(B102,'ACS Price List'!$16:$180,11,FALSE),IF(D102="IS",VLOOKUP(B102,'ACS Price List'!$16:$180,11,FALSE),VLOOKUP(B102,'ACS Price List'!$16:$180,9,FALSE))),"POA")</f>
        <v>530.20000000000005</v>
      </c>
      <c r="J102" s="204"/>
      <c r="K102" s="192" t="str">
        <f t="shared" si="1"/>
        <v>OK</v>
      </c>
    </row>
    <row r="103" spans="2:11" x14ac:dyDescent="0.2">
      <c r="B103" s="211">
        <v>156</v>
      </c>
      <c r="C103" s="105" t="s">
        <v>385</v>
      </c>
      <c r="D103" s="201" t="s">
        <v>591</v>
      </c>
      <c r="E103" s="105" t="s">
        <v>324</v>
      </c>
      <c r="F103" s="200">
        <f>VLOOKUP(B103,'ACS Price List'!$16:$180,8,FALSE)</f>
        <v>8188</v>
      </c>
      <c r="G103" s="200" t="s">
        <v>714</v>
      </c>
      <c r="H103" s="206">
        <v>2519.1</v>
      </c>
      <c r="I103" s="206">
        <f>IFERROR(IF(D103="LR",VLOOKUP(B103,'ACS Price List'!$16:$180,11,FALSE),IF(D103="IS",VLOOKUP(B103,'ACS Price List'!$16:$180,11,FALSE),VLOOKUP(B103,'ACS Price List'!$16:$180,9,FALSE))),"POA")</f>
        <v>2519.1</v>
      </c>
      <c r="J103" s="204"/>
      <c r="K103" s="192" t="str">
        <f t="shared" si="1"/>
        <v>OK</v>
      </c>
    </row>
    <row r="104" spans="2:11" x14ac:dyDescent="0.2">
      <c r="B104" s="211">
        <v>7</v>
      </c>
      <c r="C104" s="105" t="s">
        <v>11</v>
      </c>
      <c r="D104" s="201" t="s">
        <v>592</v>
      </c>
      <c r="E104" s="105" t="s">
        <v>461</v>
      </c>
      <c r="F104" s="200">
        <f>VLOOKUP(B104,'ACS Price List'!$16:$180,8,FALSE)</f>
        <v>8022</v>
      </c>
      <c r="G104" s="200" t="s">
        <v>714</v>
      </c>
      <c r="H104" s="206">
        <v>412.7</v>
      </c>
      <c r="I104" s="203">
        <f>IFERROR(IF(D104="LR",VLOOKUP(B104,'ACS Price List'!$16:$180,11,FALSE),IF(D104="IS",VLOOKUP(B104,'ACS Price List'!$16:$180,11,FALSE),VLOOKUP(B104,'ACS Price List'!$16:$180,9,FALSE))),"POA")</f>
        <v>330.2</v>
      </c>
      <c r="J104" s="186"/>
      <c r="K104" s="192" t="str">
        <f t="shared" si="1"/>
        <v>CHANGE</v>
      </c>
    </row>
    <row r="105" spans="2:11" x14ac:dyDescent="0.2">
      <c r="B105" s="211">
        <v>9</v>
      </c>
      <c r="C105" s="105" t="s">
        <v>15</v>
      </c>
      <c r="D105" s="201" t="s">
        <v>592</v>
      </c>
      <c r="E105" s="105" t="s">
        <v>465</v>
      </c>
      <c r="F105" s="200">
        <f>VLOOKUP(B105,'ACS Price List'!$16:$180,8,FALSE)</f>
        <v>8026</v>
      </c>
      <c r="G105" s="200" t="s">
        <v>714</v>
      </c>
      <c r="H105" s="206">
        <v>412.7</v>
      </c>
      <c r="I105" s="203">
        <f>IFERROR(IF(D105="LR",VLOOKUP(B105,'ACS Price List'!$16:$180,11,FALSE),IF(D105="IS",VLOOKUP(B105,'ACS Price List'!$16:$180,11,FALSE),VLOOKUP(B105,'ACS Price List'!$16:$180,9,FALSE))),"POA")</f>
        <v>330.2</v>
      </c>
      <c r="J105" s="204"/>
      <c r="K105" s="192" t="str">
        <f t="shared" si="1"/>
        <v>CHANGE</v>
      </c>
    </row>
    <row r="106" spans="2:11" x14ac:dyDescent="0.2">
      <c r="B106" s="211">
        <v>11</v>
      </c>
      <c r="C106" s="105" t="s">
        <v>33</v>
      </c>
      <c r="D106" s="201" t="s">
        <v>592</v>
      </c>
      <c r="E106" s="105" t="s">
        <v>469</v>
      </c>
      <c r="F106" s="200">
        <f>VLOOKUP(B106,'ACS Price List'!$16:$180,8,FALSE)</f>
        <v>8042</v>
      </c>
      <c r="G106" s="200" t="s">
        <v>714</v>
      </c>
      <c r="H106" s="206">
        <v>350.9</v>
      </c>
      <c r="I106" s="203">
        <f>IFERROR(IF(D106="LR",VLOOKUP(B106,'ACS Price List'!$16:$180,11,FALSE),IF(D106="IS",VLOOKUP(B106,'ACS Price List'!$16:$180,11,FALSE),VLOOKUP(B106,'ACS Price List'!$16:$180,9,FALSE))),"POA")</f>
        <v>292.39999999999998</v>
      </c>
      <c r="J106" s="186"/>
      <c r="K106" s="192" t="str">
        <f t="shared" si="1"/>
        <v>CHANGE</v>
      </c>
    </row>
    <row r="107" spans="2:11" x14ac:dyDescent="0.2">
      <c r="B107" s="211">
        <v>13</v>
      </c>
      <c r="C107" s="105" t="s">
        <v>27</v>
      </c>
      <c r="D107" s="201" t="s">
        <v>592</v>
      </c>
      <c r="E107" s="105" t="s">
        <v>474</v>
      </c>
      <c r="F107" s="200">
        <f>VLOOKUP(B107,'ACS Price List'!$16:$180,8,FALSE)</f>
        <v>8046</v>
      </c>
      <c r="G107" s="200" t="s">
        <v>714</v>
      </c>
      <c r="H107" s="206">
        <v>0</v>
      </c>
      <c r="I107" s="206">
        <f>IFERROR(IF(D107="LR",VLOOKUP(B107,'ACS Price List'!$16:$180,11,FALSE),IF(D107="IS",VLOOKUP(B107,'ACS Price List'!$16:$180,11,FALSE),VLOOKUP(B107,'ACS Price List'!$16:$180,9,FALSE))),"POA")</f>
        <v>0</v>
      </c>
      <c r="J107" s="204"/>
      <c r="K107" s="192" t="str">
        <f t="shared" si="1"/>
        <v>OK</v>
      </c>
    </row>
    <row r="108" spans="2:11" x14ac:dyDescent="0.2">
      <c r="B108" s="211">
        <v>15</v>
      </c>
      <c r="C108" s="105" t="s">
        <v>19</v>
      </c>
      <c r="D108" s="201" t="s">
        <v>592</v>
      </c>
      <c r="E108" s="105" t="s">
        <v>479</v>
      </c>
      <c r="F108" s="200">
        <f>VLOOKUP(B108,'ACS Price List'!$16:$180,8,FALSE)</f>
        <v>8050</v>
      </c>
      <c r="G108" s="200" t="s">
        <v>714</v>
      </c>
      <c r="H108" s="206">
        <v>0</v>
      </c>
      <c r="I108" s="206">
        <f>IFERROR(IF(D108="LR",VLOOKUP(B108,'ACS Price List'!$16:$180,11,FALSE),IF(D108="IS",VLOOKUP(B108,'ACS Price List'!$16:$180,11,FALSE),VLOOKUP(B108,'ACS Price List'!$16:$180,9,FALSE))),"POA")</f>
        <v>0</v>
      </c>
      <c r="J108" s="204"/>
      <c r="K108" s="192" t="str">
        <f t="shared" si="1"/>
        <v>OK</v>
      </c>
    </row>
    <row r="109" spans="2:11" ht="16.5" customHeight="1" x14ac:dyDescent="0.2">
      <c r="B109" s="211" t="s">
        <v>645</v>
      </c>
      <c r="C109" s="105" t="s">
        <v>638</v>
      </c>
      <c r="D109" s="201" t="s">
        <v>592</v>
      </c>
      <c r="E109" s="105" t="s">
        <v>632</v>
      </c>
      <c r="F109" s="200">
        <f>VLOOKUP(B109,'ACS Price List'!$16:$180,8,FALSE)</f>
        <v>2051</v>
      </c>
      <c r="G109" s="200" t="s">
        <v>714</v>
      </c>
      <c r="H109" s="206"/>
      <c r="I109" s="203">
        <f>IFERROR(IF(D109="LR",VLOOKUP(B109,'ACS Price List'!$16:$180,11,FALSE),IF(D109="IS",VLOOKUP(B109,'ACS Price List'!$16:$180,11,FALSE),VLOOKUP(B109,'ACS Price List'!$16:$180,9,FALSE))),"POA")</f>
        <v>0</v>
      </c>
      <c r="J109" s="204"/>
      <c r="K109" s="192" t="str">
        <f t="shared" si="1"/>
        <v>OK</v>
      </c>
    </row>
    <row r="110" spans="2:11" x14ac:dyDescent="0.2">
      <c r="B110" s="211">
        <v>17</v>
      </c>
      <c r="C110" s="105" t="s">
        <v>23</v>
      </c>
      <c r="D110" s="201" t="s">
        <v>592</v>
      </c>
      <c r="E110" s="105" t="s">
        <v>483</v>
      </c>
      <c r="F110" s="200">
        <f>VLOOKUP(B110,'ACS Price List'!$16:$180,8,FALSE)</f>
        <v>8054</v>
      </c>
      <c r="G110" s="200" t="s">
        <v>714</v>
      </c>
      <c r="H110" s="206">
        <v>45.5</v>
      </c>
      <c r="I110" s="206">
        <f>IFERROR(IF(D110="LR",VLOOKUP(B110,'ACS Price List'!$16:$180,11,FALSE),IF(D110="IS",VLOOKUP(B110,'ACS Price List'!$16:$180,11,FALSE),VLOOKUP(B110,'ACS Price List'!$16:$180,9,FALSE))),"POA")</f>
        <v>45.5</v>
      </c>
      <c r="J110" s="204"/>
      <c r="K110" s="192" t="str">
        <f t="shared" si="1"/>
        <v>OK</v>
      </c>
    </row>
    <row r="111" spans="2:11" ht="24" x14ac:dyDescent="0.2">
      <c r="B111" s="211" t="s">
        <v>643</v>
      </c>
      <c r="C111" s="105" t="s">
        <v>642</v>
      </c>
      <c r="D111" s="201" t="s">
        <v>592</v>
      </c>
      <c r="E111" s="105" t="s">
        <v>634</v>
      </c>
      <c r="F111" s="200">
        <f>VLOOKUP(B111,'ACS Price List'!$16:$180,8,FALSE)</f>
        <v>2053</v>
      </c>
      <c r="G111" s="200" t="s">
        <v>714</v>
      </c>
      <c r="H111" s="206"/>
      <c r="I111" s="203">
        <f>IFERROR(IF(D111="LR",VLOOKUP(B111,'ACS Price List'!$16:$180,11,FALSE),IF(D111="IS",VLOOKUP(B111,'ACS Price List'!$16:$180,11,FALSE),VLOOKUP(B111,'ACS Price List'!$16:$180,9,FALSE))),"POA")</f>
        <v>45.5</v>
      </c>
      <c r="J111" s="186"/>
      <c r="K111" s="192" t="str">
        <f t="shared" si="1"/>
        <v>CHANGE</v>
      </c>
    </row>
    <row r="112" spans="2:11" x14ac:dyDescent="0.2">
      <c r="B112" s="211">
        <v>20</v>
      </c>
      <c r="C112" s="105" t="s">
        <v>392</v>
      </c>
      <c r="D112" s="201" t="s">
        <v>592</v>
      </c>
      <c r="E112" s="105" t="s">
        <v>342</v>
      </c>
      <c r="F112" s="200">
        <f>VLOOKUP(B112,'ACS Price List'!$16:$180,8,FALSE)</f>
        <v>8195</v>
      </c>
      <c r="G112" s="200" t="s">
        <v>714</v>
      </c>
      <c r="H112" s="206">
        <v>344.4</v>
      </c>
      <c r="I112" s="206">
        <f>IFERROR(IF(D112="LR",VLOOKUP(B112,'ACS Price List'!$16:$180,11,FALSE),IF(D112="IS",VLOOKUP(B112,'ACS Price List'!$16:$180,11,FALSE),VLOOKUP(B112,'ACS Price List'!$16:$180,9,FALSE))),"POA")</f>
        <v>344.4</v>
      </c>
      <c r="J112" s="204"/>
      <c r="K112" s="192" t="str">
        <f t="shared" si="1"/>
        <v>OK</v>
      </c>
    </row>
    <row r="113" spans="2:11" x14ac:dyDescent="0.2">
      <c r="B113" s="211">
        <v>22</v>
      </c>
      <c r="C113" s="105" t="s">
        <v>398</v>
      </c>
      <c r="D113" s="201" t="s">
        <v>592</v>
      </c>
      <c r="E113" s="105" t="s">
        <v>168</v>
      </c>
      <c r="F113" s="200">
        <f>VLOOKUP(B113,'ACS Price List'!$16:$180,8,FALSE)</f>
        <v>8199</v>
      </c>
      <c r="G113" s="200" t="s">
        <v>714</v>
      </c>
      <c r="H113" s="206">
        <v>421.8</v>
      </c>
      <c r="I113" s="206">
        <f>IFERROR(IF(D113="LR",VLOOKUP(B113,'ACS Price List'!$16:$180,11,FALSE),IF(D113="IS",VLOOKUP(B113,'ACS Price List'!$16:$180,11,FALSE),VLOOKUP(B113,'ACS Price List'!$16:$180,9,FALSE))),"POA")</f>
        <v>421.8</v>
      </c>
      <c r="J113" s="204"/>
      <c r="K113" s="192" t="str">
        <f t="shared" si="1"/>
        <v>OK</v>
      </c>
    </row>
    <row r="114" spans="2:11" x14ac:dyDescent="0.2">
      <c r="B114" s="211">
        <v>24</v>
      </c>
      <c r="C114" s="105" t="s">
        <v>404</v>
      </c>
      <c r="D114" s="201" t="s">
        <v>592</v>
      </c>
      <c r="E114" s="105" t="s">
        <v>172</v>
      </c>
      <c r="F114" s="200">
        <f>VLOOKUP(B114,'ACS Price List'!$16:$180,8,FALSE)</f>
        <v>8203</v>
      </c>
      <c r="G114" s="200" t="s">
        <v>714</v>
      </c>
      <c r="H114" s="206">
        <v>530.20000000000005</v>
      </c>
      <c r="I114" s="206">
        <f>IFERROR(IF(D114="LR",VLOOKUP(B114,'ACS Price List'!$16:$180,11,FALSE),IF(D114="IS",VLOOKUP(B114,'ACS Price List'!$16:$180,11,FALSE),VLOOKUP(B114,'ACS Price List'!$16:$180,9,FALSE))),"POA")</f>
        <v>530.20000000000005</v>
      </c>
      <c r="J114" s="204"/>
      <c r="K114" s="192" t="str">
        <f t="shared" si="1"/>
        <v>OK</v>
      </c>
    </row>
    <row r="115" spans="2:11" x14ac:dyDescent="0.2">
      <c r="B115" s="211">
        <v>26</v>
      </c>
      <c r="C115" s="105" t="s">
        <v>410</v>
      </c>
      <c r="D115" s="201" t="s">
        <v>592</v>
      </c>
      <c r="E115" s="105" t="s">
        <v>176</v>
      </c>
      <c r="F115" s="200">
        <f>VLOOKUP(B115,'ACS Price List'!$16:$180,8,FALSE)</f>
        <v>8207</v>
      </c>
      <c r="G115" s="200" t="s">
        <v>714</v>
      </c>
      <c r="H115" s="206">
        <v>2519.1</v>
      </c>
      <c r="I115" s="206">
        <f>IFERROR(IF(D115="LR",VLOOKUP(B115,'ACS Price List'!$16:$180,11,FALSE),IF(D115="IS",VLOOKUP(B115,'ACS Price List'!$16:$180,11,FALSE),VLOOKUP(B115,'ACS Price List'!$16:$180,9,FALSE))),"POA")</f>
        <v>2519.1</v>
      </c>
      <c r="J115" s="204"/>
      <c r="K115" s="192" t="str">
        <f t="shared" si="1"/>
        <v>OK</v>
      </c>
    </row>
    <row r="116" spans="2:11" x14ac:dyDescent="0.2">
      <c r="B116" s="211">
        <v>140</v>
      </c>
      <c r="C116" s="105" t="s">
        <v>265</v>
      </c>
      <c r="D116" s="201" t="s">
        <v>592</v>
      </c>
      <c r="E116" s="105" t="s">
        <v>308</v>
      </c>
      <c r="F116" s="200">
        <f>VLOOKUP(B116,'ACS Price List'!$16:$180,8,FALSE)</f>
        <v>8172</v>
      </c>
      <c r="G116" s="200" t="s">
        <v>714</v>
      </c>
      <c r="H116" s="206">
        <v>344.4</v>
      </c>
      <c r="I116" s="206">
        <f>IFERROR(IF(D116="LR",VLOOKUP(B116,'ACS Price List'!$16:$180,11,FALSE),IF(D116="IS",VLOOKUP(B116,'ACS Price List'!$16:$180,11,FALSE),VLOOKUP(B116,'ACS Price List'!$16:$180,9,FALSE))),"POA")</f>
        <v>344.4</v>
      </c>
      <c r="J116" s="204"/>
      <c r="K116" s="192" t="str">
        <f t="shared" si="1"/>
        <v>OK</v>
      </c>
    </row>
    <row r="117" spans="2:11" x14ac:dyDescent="0.2">
      <c r="B117" s="211">
        <v>141</v>
      </c>
      <c r="C117" s="105" t="s">
        <v>362</v>
      </c>
      <c r="D117" s="201" t="s">
        <v>592</v>
      </c>
      <c r="E117" s="105" t="s">
        <v>309</v>
      </c>
      <c r="F117" s="200">
        <f>VLOOKUP(B117,'ACS Price List'!$16:$180,8,FALSE)</f>
        <v>8173</v>
      </c>
      <c r="G117" s="200" t="s">
        <v>714</v>
      </c>
      <c r="H117" s="206">
        <v>344.4</v>
      </c>
      <c r="I117" s="206">
        <f>IFERROR(IF(D117="LR",VLOOKUP(B117,'ACS Price List'!$16:$180,11,FALSE),IF(D117="IS",VLOOKUP(B117,'ACS Price List'!$16:$180,11,FALSE),VLOOKUP(B117,'ACS Price List'!$16:$180,9,FALSE))),"POA")</f>
        <v>344.4</v>
      </c>
      <c r="J117" s="204"/>
      <c r="K117" s="192" t="str">
        <f t="shared" si="1"/>
        <v>OK</v>
      </c>
    </row>
    <row r="118" spans="2:11" x14ac:dyDescent="0.2">
      <c r="B118" s="211">
        <v>142</v>
      </c>
      <c r="C118" s="105" t="s">
        <v>346</v>
      </c>
      <c r="D118" s="201" t="s">
        <v>592</v>
      </c>
      <c r="E118" s="105" t="s">
        <v>310</v>
      </c>
      <c r="F118" s="200">
        <f>VLOOKUP(B118,'ACS Price List'!$16:$180,8,FALSE)</f>
        <v>8174</v>
      </c>
      <c r="G118" s="200" t="s">
        <v>714</v>
      </c>
      <c r="H118" s="206">
        <v>421.8</v>
      </c>
      <c r="I118" s="206">
        <f>IFERROR(IF(D118="LR",VLOOKUP(B118,'ACS Price List'!$16:$180,11,FALSE),IF(D118="IS",VLOOKUP(B118,'ACS Price List'!$16:$180,11,FALSE),VLOOKUP(B118,'ACS Price List'!$16:$180,9,FALSE))),"POA")</f>
        <v>421.8</v>
      </c>
      <c r="J118" s="204"/>
      <c r="K118" s="192" t="str">
        <f t="shared" si="1"/>
        <v>OK</v>
      </c>
    </row>
    <row r="119" spans="2:11" x14ac:dyDescent="0.2">
      <c r="B119" s="211">
        <v>143</v>
      </c>
      <c r="C119" s="105" t="s">
        <v>366</v>
      </c>
      <c r="D119" s="201" t="s">
        <v>592</v>
      </c>
      <c r="E119" s="105" t="s">
        <v>311</v>
      </c>
      <c r="F119" s="200">
        <f>VLOOKUP(B119,'ACS Price List'!$16:$180,8,FALSE)</f>
        <v>8175</v>
      </c>
      <c r="G119" s="200" t="s">
        <v>714</v>
      </c>
      <c r="H119" s="206">
        <v>421.8</v>
      </c>
      <c r="I119" s="206">
        <f>IFERROR(IF(D119="LR",VLOOKUP(B119,'ACS Price List'!$16:$180,11,FALSE),IF(D119="IS",VLOOKUP(B119,'ACS Price List'!$16:$180,11,FALSE),VLOOKUP(B119,'ACS Price List'!$16:$180,9,FALSE))),"POA")</f>
        <v>421.8</v>
      </c>
      <c r="J119" s="204"/>
      <c r="K119" s="192" t="str">
        <f t="shared" si="1"/>
        <v>OK</v>
      </c>
    </row>
    <row r="120" spans="2:11" x14ac:dyDescent="0.2">
      <c r="B120" s="211">
        <v>144</v>
      </c>
      <c r="C120" s="105" t="s">
        <v>271</v>
      </c>
      <c r="D120" s="201" t="s">
        <v>592</v>
      </c>
      <c r="E120" s="105" t="s">
        <v>312</v>
      </c>
      <c r="F120" s="200">
        <f>VLOOKUP(B120,'ACS Price List'!$16:$180,8,FALSE)</f>
        <v>8176</v>
      </c>
      <c r="G120" s="200" t="s">
        <v>714</v>
      </c>
      <c r="H120" s="206">
        <v>530.20000000000005</v>
      </c>
      <c r="I120" s="206">
        <f>IFERROR(IF(D120="LR",VLOOKUP(B120,'ACS Price List'!$16:$180,11,FALSE),IF(D120="IS",VLOOKUP(B120,'ACS Price List'!$16:$180,11,FALSE),VLOOKUP(B120,'ACS Price List'!$16:$180,9,FALSE))),"POA")</f>
        <v>530.20000000000005</v>
      </c>
      <c r="J120" s="204"/>
      <c r="K120" s="192" t="str">
        <f t="shared" si="1"/>
        <v>OK</v>
      </c>
    </row>
    <row r="121" spans="2:11" x14ac:dyDescent="0.2">
      <c r="B121" s="211">
        <v>145</v>
      </c>
      <c r="C121" s="105" t="s">
        <v>370</v>
      </c>
      <c r="D121" s="201" t="s">
        <v>592</v>
      </c>
      <c r="E121" s="105" t="s">
        <v>313</v>
      </c>
      <c r="F121" s="200">
        <f>VLOOKUP(B121,'ACS Price List'!$16:$180,8,FALSE)</f>
        <v>8177</v>
      </c>
      <c r="G121" s="200" t="s">
        <v>714</v>
      </c>
      <c r="H121" s="206">
        <v>530.20000000000005</v>
      </c>
      <c r="I121" s="206">
        <f>IFERROR(IF(D121="LR",VLOOKUP(B121,'ACS Price List'!$16:$180,11,FALSE),IF(D121="IS",VLOOKUP(B121,'ACS Price List'!$16:$180,11,FALSE),VLOOKUP(B121,'ACS Price List'!$16:$180,9,FALSE))),"POA")</f>
        <v>530.20000000000005</v>
      </c>
      <c r="J121" s="204"/>
      <c r="K121" s="192" t="str">
        <f t="shared" si="1"/>
        <v>OK</v>
      </c>
    </row>
    <row r="122" spans="2:11" x14ac:dyDescent="0.2">
      <c r="B122" s="211">
        <v>146</v>
      </c>
      <c r="C122" s="105" t="s">
        <v>275</v>
      </c>
      <c r="D122" s="201" t="s">
        <v>592</v>
      </c>
      <c r="E122" s="105" t="s">
        <v>314</v>
      </c>
      <c r="F122" s="200">
        <f>VLOOKUP(B122,'ACS Price List'!$16:$180,8,FALSE)</f>
        <v>8178</v>
      </c>
      <c r="G122" s="200" t="s">
        <v>714</v>
      </c>
      <c r="H122" s="206">
        <v>2519.1</v>
      </c>
      <c r="I122" s="206">
        <f>IFERROR(IF(D122="LR",VLOOKUP(B122,'ACS Price List'!$16:$180,11,FALSE),IF(D122="IS",VLOOKUP(B122,'ACS Price List'!$16:$180,11,FALSE),VLOOKUP(B122,'ACS Price List'!$16:$180,9,FALSE))),"POA")</f>
        <v>2519.1</v>
      </c>
      <c r="J122" s="204"/>
      <c r="K122" s="192" t="str">
        <f t="shared" si="1"/>
        <v>OK</v>
      </c>
    </row>
    <row r="123" spans="2:11" x14ac:dyDescent="0.2">
      <c r="B123" s="211">
        <v>147</v>
      </c>
      <c r="C123" s="105" t="s">
        <v>374</v>
      </c>
      <c r="D123" s="201" t="s">
        <v>592</v>
      </c>
      <c r="E123" s="105" t="s">
        <v>315</v>
      </c>
      <c r="F123" s="200">
        <f>VLOOKUP(B123,'ACS Price List'!$16:$180,8,FALSE)</f>
        <v>8179</v>
      </c>
      <c r="G123" s="200" t="s">
        <v>714</v>
      </c>
      <c r="H123" s="206">
        <v>2519.1</v>
      </c>
      <c r="I123" s="206">
        <f>IFERROR(IF(D123="LR",VLOOKUP(B123,'ACS Price List'!$16:$180,11,FALSE),IF(D123="IS",VLOOKUP(B123,'ACS Price List'!$16:$180,11,FALSE),VLOOKUP(B123,'ACS Price List'!$16:$180,9,FALSE))),"POA")</f>
        <v>2519.1</v>
      </c>
      <c r="J123" s="204"/>
      <c r="K123" s="192" t="str">
        <f t="shared" si="1"/>
        <v>OK</v>
      </c>
    </row>
    <row r="124" spans="2:11" x14ac:dyDescent="0.2">
      <c r="B124" s="211">
        <v>148</v>
      </c>
      <c r="C124" s="105" t="s">
        <v>350</v>
      </c>
      <c r="D124" s="201" t="s">
        <v>592</v>
      </c>
      <c r="E124" s="105" t="s">
        <v>316</v>
      </c>
      <c r="F124" s="200">
        <f>VLOOKUP(B124,'ACS Price List'!$16:$180,8,FALSE)</f>
        <v>8180</v>
      </c>
      <c r="G124" s="200" t="s">
        <v>714</v>
      </c>
      <c r="H124" s="206">
        <v>344.4</v>
      </c>
      <c r="I124" s="206">
        <f>IFERROR(IF(D124="LR",VLOOKUP(B124,'ACS Price List'!$16:$180,11,FALSE),IF(D124="IS",VLOOKUP(B124,'ACS Price List'!$16:$180,11,FALSE),VLOOKUP(B124,'ACS Price List'!$16:$180,9,FALSE))),"POA")</f>
        <v>344.4</v>
      </c>
      <c r="J124" s="204"/>
      <c r="K124" s="192" t="str">
        <f t="shared" si="1"/>
        <v>OK</v>
      </c>
    </row>
    <row r="125" spans="2:11" x14ac:dyDescent="0.2">
      <c r="B125" s="211">
        <v>149</v>
      </c>
      <c r="C125" s="105" t="s">
        <v>354</v>
      </c>
      <c r="D125" s="201" t="s">
        <v>592</v>
      </c>
      <c r="E125" s="105" t="s">
        <v>317</v>
      </c>
      <c r="F125" s="200">
        <f>VLOOKUP(B125,'ACS Price List'!$16:$180,8,FALSE)</f>
        <v>8181</v>
      </c>
      <c r="G125" s="200" t="s">
        <v>714</v>
      </c>
      <c r="H125" s="206">
        <v>530.20000000000005</v>
      </c>
      <c r="I125" s="206">
        <f>IFERROR(IF(D125="LR",VLOOKUP(B125,'ACS Price List'!$16:$180,11,FALSE),IF(D125="IS",VLOOKUP(B125,'ACS Price List'!$16:$180,11,FALSE),VLOOKUP(B125,'ACS Price List'!$16:$180,9,FALSE))),"POA")</f>
        <v>530.20000000000005</v>
      </c>
      <c r="J125" s="204"/>
      <c r="K125" s="192" t="str">
        <f t="shared" si="1"/>
        <v>OK</v>
      </c>
    </row>
    <row r="126" spans="2:11" x14ac:dyDescent="0.2">
      <c r="B126" s="211">
        <v>150</v>
      </c>
      <c r="C126" s="105" t="s">
        <v>358</v>
      </c>
      <c r="D126" s="201" t="s">
        <v>592</v>
      </c>
      <c r="E126" s="105" t="s">
        <v>318</v>
      </c>
      <c r="F126" s="200">
        <f>VLOOKUP(B126,'ACS Price List'!$16:$180,8,FALSE)</f>
        <v>8182</v>
      </c>
      <c r="G126" s="200" t="s">
        <v>714</v>
      </c>
      <c r="H126" s="206">
        <v>2519.1</v>
      </c>
      <c r="I126" s="206">
        <f>IFERROR(IF(D126="LR",VLOOKUP(B126,'ACS Price List'!$16:$180,11,FALSE),IF(D126="IS",VLOOKUP(B126,'ACS Price List'!$16:$180,11,FALSE),VLOOKUP(B126,'ACS Price List'!$16:$180,9,FALSE))),"POA")</f>
        <v>2519.1</v>
      </c>
      <c r="J126" s="204"/>
      <c r="K126" s="192" t="str">
        <f t="shared" si="1"/>
        <v>OK</v>
      </c>
    </row>
    <row r="127" spans="2:11" x14ac:dyDescent="0.2">
      <c r="B127" s="211">
        <v>151</v>
      </c>
      <c r="C127" s="105" t="s">
        <v>279</v>
      </c>
      <c r="D127" s="201" t="s">
        <v>592</v>
      </c>
      <c r="E127" s="105" t="s">
        <v>319</v>
      </c>
      <c r="F127" s="200">
        <f>VLOOKUP(B127,'ACS Price List'!$16:$180,8,FALSE)</f>
        <v>8183</v>
      </c>
      <c r="G127" s="200" t="s">
        <v>714</v>
      </c>
      <c r="H127" s="206">
        <v>344.4</v>
      </c>
      <c r="I127" s="206">
        <f>IFERROR(IF(D127="LR",VLOOKUP(B127,'ACS Price List'!$16:$180,11,FALSE),IF(D127="IS",VLOOKUP(B127,'ACS Price List'!$16:$180,11,FALSE),VLOOKUP(B127,'ACS Price List'!$16:$180,9,FALSE))),"POA")</f>
        <v>344.4</v>
      </c>
      <c r="J127" s="204"/>
      <c r="K127" s="192" t="str">
        <f t="shared" si="1"/>
        <v>OK</v>
      </c>
    </row>
    <row r="128" spans="2:11" x14ac:dyDescent="0.2">
      <c r="B128" s="211">
        <v>152</v>
      </c>
      <c r="C128" s="105" t="s">
        <v>283</v>
      </c>
      <c r="D128" s="201" t="s">
        <v>592</v>
      </c>
      <c r="E128" s="105" t="s">
        <v>320</v>
      </c>
      <c r="F128" s="200">
        <f>VLOOKUP(B128,'ACS Price List'!$16:$180,8,FALSE)</f>
        <v>8184</v>
      </c>
      <c r="G128" s="200" t="s">
        <v>714</v>
      </c>
      <c r="H128" s="206">
        <v>530.20000000000005</v>
      </c>
      <c r="I128" s="206">
        <f>IFERROR(IF(D128="LR",VLOOKUP(B128,'ACS Price List'!$16:$180,11,FALSE),IF(D128="IS",VLOOKUP(B128,'ACS Price List'!$16:$180,11,FALSE),VLOOKUP(B128,'ACS Price List'!$16:$180,9,FALSE))),"POA")</f>
        <v>530.20000000000005</v>
      </c>
      <c r="J128" s="204"/>
      <c r="K128" s="192" t="str">
        <f t="shared" si="1"/>
        <v>OK</v>
      </c>
    </row>
    <row r="129" spans="2:11" x14ac:dyDescent="0.2">
      <c r="B129" s="211">
        <v>153</v>
      </c>
      <c r="C129" s="105" t="s">
        <v>293</v>
      </c>
      <c r="D129" s="201" t="s">
        <v>592</v>
      </c>
      <c r="E129" s="105" t="s">
        <v>321</v>
      </c>
      <c r="F129" s="200">
        <f>VLOOKUP(B129,'ACS Price List'!$16:$180,8,FALSE)</f>
        <v>8185</v>
      </c>
      <c r="G129" s="200" t="s">
        <v>714</v>
      </c>
      <c r="H129" s="206">
        <v>2519.1</v>
      </c>
      <c r="I129" s="206">
        <f>IFERROR(IF(D129="LR",VLOOKUP(B129,'ACS Price List'!$16:$180,11,FALSE),IF(D129="IS",VLOOKUP(B129,'ACS Price List'!$16:$180,11,FALSE),VLOOKUP(B129,'ACS Price List'!$16:$180,9,FALSE))),"POA")</f>
        <v>2519.1</v>
      </c>
      <c r="J129" s="204"/>
      <c r="K129" s="192" t="str">
        <f t="shared" si="1"/>
        <v>OK</v>
      </c>
    </row>
    <row r="130" spans="2:11" x14ac:dyDescent="0.2">
      <c r="B130" s="211">
        <v>154</v>
      </c>
      <c r="C130" s="105" t="s">
        <v>378</v>
      </c>
      <c r="D130" s="201" t="s">
        <v>592</v>
      </c>
      <c r="E130" s="105" t="s">
        <v>322</v>
      </c>
      <c r="F130" s="200">
        <f>VLOOKUP(B130,'ACS Price List'!$16:$180,8,FALSE)</f>
        <v>8186</v>
      </c>
      <c r="G130" s="200" t="s">
        <v>714</v>
      </c>
      <c r="H130" s="206">
        <v>344.4</v>
      </c>
      <c r="I130" s="206">
        <f>IFERROR(IF(D130="LR",VLOOKUP(B130,'ACS Price List'!$16:$180,11,FALSE),IF(D130="IS",VLOOKUP(B130,'ACS Price List'!$16:$180,11,FALSE),VLOOKUP(B130,'ACS Price List'!$16:$180,9,FALSE))),"POA")</f>
        <v>344.4</v>
      </c>
      <c r="J130" s="204"/>
      <c r="K130" s="192" t="str">
        <f t="shared" si="1"/>
        <v>OK</v>
      </c>
    </row>
    <row r="131" spans="2:11" x14ac:dyDescent="0.2">
      <c r="B131" s="211">
        <v>155</v>
      </c>
      <c r="C131" s="105" t="s">
        <v>382</v>
      </c>
      <c r="D131" s="201" t="s">
        <v>592</v>
      </c>
      <c r="E131" s="105" t="s">
        <v>323</v>
      </c>
      <c r="F131" s="200">
        <f>VLOOKUP(B131,'ACS Price List'!$16:$180,8,FALSE)</f>
        <v>8187</v>
      </c>
      <c r="G131" s="200" t="s">
        <v>714</v>
      </c>
      <c r="H131" s="206">
        <v>530.20000000000005</v>
      </c>
      <c r="I131" s="206">
        <f>IFERROR(IF(D131="LR",VLOOKUP(B131,'ACS Price List'!$16:$180,11,FALSE),IF(D131="IS",VLOOKUP(B131,'ACS Price List'!$16:$180,11,FALSE),VLOOKUP(B131,'ACS Price List'!$16:$180,9,FALSE))),"POA")</f>
        <v>530.20000000000005</v>
      </c>
      <c r="J131" s="204"/>
      <c r="K131" s="192" t="str">
        <f t="shared" si="1"/>
        <v>OK</v>
      </c>
    </row>
    <row r="132" spans="2:11" x14ac:dyDescent="0.2">
      <c r="B132" s="211">
        <v>156</v>
      </c>
      <c r="C132" s="105" t="s">
        <v>386</v>
      </c>
      <c r="D132" s="201" t="s">
        <v>592</v>
      </c>
      <c r="E132" s="105" t="s">
        <v>324</v>
      </c>
      <c r="F132" s="200">
        <f>VLOOKUP(B132,'ACS Price List'!$16:$180,8,FALSE)</f>
        <v>8188</v>
      </c>
      <c r="G132" s="200" t="s">
        <v>714</v>
      </c>
      <c r="H132" s="206">
        <v>2519.1</v>
      </c>
      <c r="I132" s="206">
        <f>IFERROR(IF(D132="LR",VLOOKUP(B132,'ACS Price List'!$16:$180,11,FALSE),IF(D132="IS",VLOOKUP(B132,'ACS Price List'!$16:$180,11,FALSE),VLOOKUP(B132,'ACS Price List'!$16:$180,9,FALSE))),"POA")</f>
        <v>2519.1</v>
      </c>
      <c r="J132" s="204"/>
      <c r="K132" s="192" t="str">
        <f t="shared" si="1"/>
        <v>OK</v>
      </c>
    </row>
    <row r="133" spans="2:11" ht="24" x14ac:dyDescent="0.2">
      <c r="B133" s="211" t="s">
        <v>612</v>
      </c>
      <c r="C133" s="105" t="s">
        <v>598</v>
      </c>
      <c r="D133" s="201" t="s">
        <v>590</v>
      </c>
      <c r="E133" s="105" t="s">
        <v>701</v>
      </c>
      <c r="F133" s="200">
        <f>VLOOKUP(B133,'ACS Price List'!$16:$180,8,FALSE)</f>
        <v>8033</v>
      </c>
      <c r="G133" s="200" t="s">
        <v>714</v>
      </c>
      <c r="H133" s="206"/>
      <c r="I133" s="203">
        <f>IFERROR(IF(D133="LR",VLOOKUP(B133,'ACS Price List'!$16:$180,11,FALSE),IF(D133="IS",VLOOKUP(B133,'ACS Price List'!$16:$180,11,FALSE),VLOOKUP(B133,'ACS Price List'!$16:$180,9,FALSE))),"POA")</f>
        <v>82.5</v>
      </c>
      <c r="J133" s="186"/>
      <c r="K133" s="192" t="str">
        <f t="shared" si="1"/>
        <v>CHANGE</v>
      </c>
    </row>
    <row r="134" spans="2:11" ht="24" x14ac:dyDescent="0.2">
      <c r="B134" s="211" t="s">
        <v>612</v>
      </c>
      <c r="C134" s="105" t="s">
        <v>599</v>
      </c>
      <c r="D134" s="201" t="s">
        <v>589</v>
      </c>
      <c r="E134" s="105" t="s">
        <v>701</v>
      </c>
      <c r="F134" s="200">
        <f>VLOOKUP(B134,'ACS Price List'!$16:$180,8,FALSE)</f>
        <v>8033</v>
      </c>
      <c r="G134" s="200" t="s">
        <v>714</v>
      </c>
      <c r="H134" s="206"/>
      <c r="I134" s="203">
        <f>IFERROR(IF(D134="LR",VLOOKUP(B134,'ACS Price List'!$16:$180,11,FALSE),IF(D134="IS",VLOOKUP(B134,'ACS Price List'!$16:$180,11,FALSE),VLOOKUP(B134,'ACS Price List'!$16:$180,9,FALSE))),"POA")</f>
        <v>82.5</v>
      </c>
      <c r="J134" s="186"/>
      <c r="K134" s="192" t="str">
        <f t="shared" si="1"/>
        <v>CHANGE</v>
      </c>
    </row>
    <row r="135" spans="2:11" ht="24" x14ac:dyDescent="0.2">
      <c r="B135" s="211" t="s">
        <v>612</v>
      </c>
      <c r="C135" s="105" t="s">
        <v>600</v>
      </c>
      <c r="D135" s="201" t="s">
        <v>591</v>
      </c>
      <c r="E135" s="105" t="s">
        <v>702</v>
      </c>
      <c r="F135" s="200">
        <f>VLOOKUP(B135,'ACS Price List'!$16:$180,8,FALSE)</f>
        <v>8033</v>
      </c>
      <c r="G135" s="200" t="s">
        <v>714</v>
      </c>
      <c r="H135" s="206"/>
      <c r="I135" s="203">
        <f>IFERROR(IF(D135="LR",VLOOKUP(B135,'ACS Price List'!$16:$180,11,FALSE),IF(D135="IS",VLOOKUP(B135,'ACS Price List'!$16:$180,11,FALSE),VLOOKUP(B135,'ACS Price List'!$16:$180,9,FALSE))),"POA")</f>
        <v>82.5</v>
      </c>
      <c r="J135" s="186"/>
      <c r="K135" s="192" t="str">
        <f t="shared" si="1"/>
        <v>CHANGE</v>
      </c>
    </row>
    <row r="136" spans="2:11" ht="24" x14ac:dyDescent="0.2">
      <c r="B136" s="211" t="s">
        <v>612</v>
      </c>
      <c r="C136" s="105" t="s">
        <v>601</v>
      </c>
      <c r="D136" s="201" t="s">
        <v>592</v>
      </c>
      <c r="E136" s="105" t="s">
        <v>702</v>
      </c>
      <c r="F136" s="200">
        <f>VLOOKUP(B136,'ACS Price List'!$16:$180,8,FALSE)</f>
        <v>8033</v>
      </c>
      <c r="G136" s="200" t="s">
        <v>714</v>
      </c>
      <c r="H136" s="206"/>
      <c r="I136" s="203">
        <f>IFERROR(IF(D136="LR",VLOOKUP(B136,'ACS Price List'!$16:$180,11,FALSE),IF(D136="IS",VLOOKUP(B136,'ACS Price List'!$16:$180,11,FALSE),VLOOKUP(B136,'ACS Price List'!$16:$180,9,FALSE))),"POA")</f>
        <v>82.5</v>
      </c>
      <c r="J136" s="186"/>
      <c r="K136" s="192" t="str">
        <f t="shared" si="1"/>
        <v>CHANGE</v>
      </c>
    </row>
    <row r="137" spans="2:11" ht="16.5" customHeight="1" x14ac:dyDescent="0.2">
      <c r="B137" s="211" t="s">
        <v>613</v>
      </c>
      <c r="C137" s="105" t="s">
        <v>602</v>
      </c>
      <c r="D137" s="201" t="s">
        <v>590</v>
      </c>
      <c r="E137" s="105" t="s">
        <v>664</v>
      </c>
      <c r="F137" s="200">
        <f>VLOOKUP(B137,'ACS Price List'!$16:$180,8,FALSE)</f>
        <v>8039</v>
      </c>
      <c r="G137" s="200" t="s">
        <v>714</v>
      </c>
      <c r="H137" s="206"/>
      <c r="I137" s="203">
        <f>IFERROR(IF(D137="LR",VLOOKUP(B137,'ACS Price List'!$16:$180,11,FALSE),IF(D137="IS",VLOOKUP(B137,'ACS Price List'!$16:$180,11,FALSE),VLOOKUP(B137,'ACS Price List'!$16:$180,9,FALSE))),"POA")</f>
        <v>58.4</v>
      </c>
      <c r="J137" s="186"/>
      <c r="K137" s="192" t="str">
        <f t="shared" si="1"/>
        <v>CHANGE</v>
      </c>
    </row>
    <row r="138" spans="2:11" x14ac:dyDescent="0.2">
      <c r="B138" s="211" t="s">
        <v>613</v>
      </c>
      <c r="C138" s="105" t="s">
        <v>603</v>
      </c>
      <c r="D138" s="201" t="s">
        <v>589</v>
      </c>
      <c r="E138" s="105" t="s">
        <v>664</v>
      </c>
      <c r="F138" s="200">
        <f>VLOOKUP(B138,'ACS Price List'!$16:$180,8,FALSE)</f>
        <v>8039</v>
      </c>
      <c r="G138" s="200" t="s">
        <v>714</v>
      </c>
      <c r="H138" s="206"/>
      <c r="I138" s="203">
        <f>IFERROR(IF(D138="LR",VLOOKUP(B138,'ACS Price List'!$16:$180,11,FALSE),IF(D138="IS",VLOOKUP(B138,'ACS Price List'!$16:$180,11,FALSE),VLOOKUP(B138,'ACS Price List'!$16:$180,9,FALSE))),"POA")</f>
        <v>58.4</v>
      </c>
      <c r="J138" s="186"/>
      <c r="K138" s="192" t="str">
        <f t="shared" si="1"/>
        <v>CHANGE</v>
      </c>
    </row>
    <row r="139" spans="2:11" x14ac:dyDescent="0.2">
      <c r="B139" s="211" t="s">
        <v>613</v>
      </c>
      <c r="C139" s="105" t="s">
        <v>605</v>
      </c>
      <c r="D139" s="201" t="s">
        <v>592</v>
      </c>
      <c r="E139" s="105" t="s">
        <v>665</v>
      </c>
      <c r="F139" s="200">
        <f>VLOOKUP(B139,'ACS Price List'!$16:$180,8,FALSE)</f>
        <v>8039</v>
      </c>
      <c r="G139" s="200" t="s">
        <v>714</v>
      </c>
      <c r="H139" s="206"/>
      <c r="I139" s="203">
        <f>IFERROR(IF(D139="LR",VLOOKUP(B139,'ACS Price List'!$16:$180,11,FALSE),IF(D139="IS",VLOOKUP(B139,'ACS Price List'!$16:$180,11,FALSE),VLOOKUP(B139,'ACS Price List'!$16:$180,9,FALSE))),"POA")</f>
        <v>58.4</v>
      </c>
      <c r="J139" s="186"/>
      <c r="K139" s="192" t="str">
        <f t="shared" si="1"/>
        <v>CHANGE</v>
      </c>
    </row>
    <row r="140" spans="2:11" x14ac:dyDescent="0.2">
      <c r="B140" s="211" t="s">
        <v>613</v>
      </c>
      <c r="C140" s="105" t="s">
        <v>604</v>
      </c>
      <c r="D140" s="201" t="s">
        <v>591</v>
      </c>
      <c r="E140" s="105" t="s">
        <v>665</v>
      </c>
      <c r="F140" s="200">
        <f>VLOOKUP(B140,'ACS Price List'!$16:$180,8,FALSE)</f>
        <v>8039</v>
      </c>
      <c r="G140" s="200" t="s">
        <v>714</v>
      </c>
      <c r="H140" s="206"/>
      <c r="I140" s="203">
        <f>IFERROR(IF(D140="LR",VLOOKUP(B140,'ACS Price List'!$16:$180,11,FALSE),IF(D140="IS",VLOOKUP(B140,'ACS Price List'!$16:$180,11,FALSE),VLOOKUP(B140,'ACS Price List'!$16:$180,9,FALSE))),"POA")</f>
        <v>58.4</v>
      </c>
      <c r="J140" s="186"/>
      <c r="K140" s="192" t="str">
        <f t="shared" ref="K140:K203" si="2">IFERROR(IF(I140="POA","OK",IF(I140-H140=0,"OK","CHANGE")),"CHECK")</f>
        <v>CHANGE</v>
      </c>
    </row>
    <row r="141" spans="2:11" x14ac:dyDescent="0.2">
      <c r="B141" s="212" t="s">
        <v>46</v>
      </c>
      <c r="C141" s="105" t="s">
        <v>47</v>
      </c>
      <c r="D141" s="201" t="s">
        <v>590</v>
      </c>
      <c r="E141" s="105" t="s">
        <v>666</v>
      </c>
      <c r="F141" s="200">
        <f>VLOOKUP(B141,'ACS Price List'!$16:$180,8,FALSE)</f>
        <v>8021</v>
      </c>
      <c r="G141" s="200" t="s">
        <v>714</v>
      </c>
      <c r="H141" s="206">
        <v>116.9</v>
      </c>
      <c r="I141" s="206">
        <f>IFERROR(IF(D141="LR",VLOOKUP(B141,'ACS Price List'!$16:$180,11,FALSE),IF(D141="IS",VLOOKUP(B141,'ACS Price List'!$16:$180,11,FALSE),VLOOKUP(B141,'ACS Price List'!$16:$180,9,FALSE))),"POA")</f>
        <v>116.9</v>
      </c>
      <c r="J141" s="204"/>
      <c r="K141" s="192" t="str">
        <f t="shared" si="2"/>
        <v>OK</v>
      </c>
    </row>
    <row r="142" spans="2:11" x14ac:dyDescent="0.2">
      <c r="B142" s="212" t="s">
        <v>52</v>
      </c>
      <c r="C142" s="105" t="s">
        <v>53</v>
      </c>
      <c r="D142" s="201" t="s">
        <v>590</v>
      </c>
      <c r="E142" s="105" t="s">
        <v>667</v>
      </c>
      <c r="F142" s="200">
        <f>VLOOKUP(B142,'ACS Price List'!$16:$180,8,FALSE)</f>
        <v>8025</v>
      </c>
      <c r="G142" s="200" t="s">
        <v>714</v>
      </c>
      <c r="H142" s="206">
        <v>116.9</v>
      </c>
      <c r="I142" s="206">
        <f>IFERROR(IF(D142="LR",VLOOKUP(B142,'ACS Price List'!$16:$180,11,FALSE),IF(D142="IS",VLOOKUP(B142,'ACS Price List'!$16:$180,11,FALSE),VLOOKUP(B142,'ACS Price List'!$16:$180,9,FALSE))),"POA")</f>
        <v>116.9</v>
      </c>
      <c r="J142" s="204"/>
      <c r="K142" s="192" t="str">
        <f t="shared" si="2"/>
        <v>OK</v>
      </c>
    </row>
    <row r="143" spans="2:11" x14ac:dyDescent="0.2">
      <c r="B143" s="212" t="s">
        <v>59</v>
      </c>
      <c r="C143" s="105" t="s">
        <v>60</v>
      </c>
      <c r="D143" s="201" t="s">
        <v>590</v>
      </c>
      <c r="E143" s="105" t="s">
        <v>668</v>
      </c>
      <c r="F143" s="200">
        <f>VLOOKUP(B143,'ACS Price List'!$16:$180,8,FALSE)</f>
        <v>8041</v>
      </c>
      <c r="G143" s="200" t="s">
        <v>714</v>
      </c>
      <c r="H143" s="206">
        <v>116.9</v>
      </c>
      <c r="I143" s="206">
        <f>IFERROR(IF(D143="LR",VLOOKUP(B143,'ACS Price List'!$16:$180,11,FALSE),IF(D143="IS",VLOOKUP(B143,'ACS Price List'!$16:$180,11,FALSE),VLOOKUP(B143,'ACS Price List'!$16:$180,9,FALSE))),"POA")</f>
        <v>116.9</v>
      </c>
      <c r="J143" s="204"/>
      <c r="K143" s="192" t="str">
        <f t="shared" si="2"/>
        <v>OK</v>
      </c>
    </row>
    <row r="144" spans="2:11" x14ac:dyDescent="0.2">
      <c r="B144" s="212" t="s">
        <v>65</v>
      </c>
      <c r="C144" s="105" t="s">
        <v>66</v>
      </c>
      <c r="D144" s="201" t="s">
        <v>590</v>
      </c>
      <c r="E144" s="105" t="s">
        <v>669</v>
      </c>
      <c r="F144" s="200">
        <f>VLOOKUP(B144,'ACS Price List'!$16:$180,8,FALSE)</f>
        <v>8045</v>
      </c>
      <c r="G144" s="200" t="s">
        <v>714</v>
      </c>
      <c r="H144" s="206">
        <v>0</v>
      </c>
      <c r="I144" s="206">
        <f>IFERROR(IF(D144="LR",VLOOKUP(B144,'ACS Price List'!$16:$180,11,FALSE),IF(D144="IS",VLOOKUP(B144,'ACS Price List'!$16:$180,11,FALSE),VLOOKUP(B144,'ACS Price List'!$16:$180,9,FALSE))),"POA")</f>
        <v>0</v>
      </c>
      <c r="J144" s="204"/>
      <c r="K144" s="192" t="str">
        <f t="shared" si="2"/>
        <v>OK</v>
      </c>
    </row>
    <row r="145" spans="2:11" x14ac:dyDescent="0.2">
      <c r="B145" s="212" t="s">
        <v>71</v>
      </c>
      <c r="C145" s="105" t="s">
        <v>72</v>
      </c>
      <c r="D145" s="201" t="s">
        <v>590</v>
      </c>
      <c r="E145" s="105" t="s">
        <v>670</v>
      </c>
      <c r="F145" s="200">
        <f>VLOOKUP(B145,'ACS Price List'!$16:$180,8,FALSE)</f>
        <v>8049</v>
      </c>
      <c r="G145" s="200" t="s">
        <v>714</v>
      </c>
      <c r="H145" s="206">
        <v>0</v>
      </c>
      <c r="I145" s="206">
        <f>IFERROR(IF(D145="LR",VLOOKUP(B145,'ACS Price List'!$16:$180,11,FALSE),IF(D145="IS",VLOOKUP(B145,'ACS Price List'!$16:$180,11,FALSE),VLOOKUP(B145,'ACS Price List'!$16:$180,9,FALSE))),"POA")</f>
        <v>0</v>
      </c>
      <c r="J145" s="204"/>
      <c r="K145" s="192" t="str">
        <f t="shared" si="2"/>
        <v>OK</v>
      </c>
    </row>
    <row r="146" spans="2:11" x14ac:dyDescent="0.2">
      <c r="B146" s="213" t="s">
        <v>77</v>
      </c>
      <c r="C146" s="105" t="s">
        <v>78</v>
      </c>
      <c r="D146" s="201" t="s">
        <v>590</v>
      </c>
      <c r="E146" s="105" t="s">
        <v>671</v>
      </c>
      <c r="F146" s="200">
        <f>VLOOKUP(B146,'ACS Price List'!$16:$180,8,FALSE)</f>
        <v>8053</v>
      </c>
      <c r="G146" s="200" t="s">
        <v>714</v>
      </c>
      <c r="H146" s="206">
        <v>38.9</v>
      </c>
      <c r="I146" s="206">
        <f>IFERROR(IF(D146="LR",VLOOKUP(B146,'ACS Price List'!$16:$180,11,FALSE),IF(D146="IS",VLOOKUP(B146,'ACS Price List'!$16:$180,11,FALSE),VLOOKUP(B146,'ACS Price List'!$16:$180,9,FALSE))),"POA")</f>
        <v>38.9</v>
      </c>
      <c r="J146" s="204"/>
      <c r="K146" s="192" t="str">
        <f t="shared" si="2"/>
        <v>OK</v>
      </c>
    </row>
    <row r="147" spans="2:11" x14ac:dyDescent="0.2">
      <c r="B147" s="214" t="s">
        <v>155</v>
      </c>
      <c r="C147" s="105" t="s">
        <v>388</v>
      </c>
      <c r="D147" s="201" t="s">
        <v>590</v>
      </c>
      <c r="E147" s="105" t="s">
        <v>672</v>
      </c>
      <c r="F147" s="200">
        <f>VLOOKUP(B147,'ACS Price List'!$16:$180,8,FALSE)</f>
        <v>8194</v>
      </c>
      <c r="G147" s="200" t="s">
        <v>714</v>
      </c>
      <c r="H147" s="206">
        <v>63.4</v>
      </c>
      <c r="I147" s="206">
        <f>IFERROR(IF(D147="LR",VLOOKUP(B147,'ACS Price List'!$16:$180,11,FALSE),IF(D147="IS",VLOOKUP(B147,'ACS Price List'!$16:$180,11,FALSE),VLOOKUP(B147,'ACS Price List'!$16:$180,9,FALSE))),"POA")</f>
        <v>63.4</v>
      </c>
      <c r="J147" s="204"/>
      <c r="K147" s="192" t="str">
        <f t="shared" si="2"/>
        <v>OK</v>
      </c>
    </row>
    <row r="148" spans="2:11" x14ac:dyDescent="0.2">
      <c r="B148" s="214" t="s">
        <v>157</v>
      </c>
      <c r="C148" s="105" t="s">
        <v>395</v>
      </c>
      <c r="D148" s="201" t="s">
        <v>590</v>
      </c>
      <c r="E148" s="105" t="s">
        <v>673</v>
      </c>
      <c r="F148" s="200">
        <f>VLOOKUP(B148,'ACS Price List'!$16:$180,8,FALSE)</f>
        <v>8198</v>
      </c>
      <c r="G148" s="200" t="s">
        <v>714</v>
      </c>
      <c r="H148" s="206">
        <v>63.4</v>
      </c>
      <c r="I148" s="206">
        <f>IFERROR(IF(D148="LR",VLOOKUP(B148,'ACS Price List'!$16:$180,11,FALSE),IF(D148="IS",VLOOKUP(B148,'ACS Price List'!$16:$180,11,FALSE),VLOOKUP(B148,'ACS Price List'!$16:$180,9,FALSE))),"POA")</f>
        <v>63.4</v>
      </c>
      <c r="J148" s="204"/>
      <c r="K148" s="192" t="str">
        <f t="shared" si="2"/>
        <v>OK</v>
      </c>
    </row>
    <row r="149" spans="2:11" x14ac:dyDescent="0.2">
      <c r="B149" s="214" t="s">
        <v>159</v>
      </c>
      <c r="C149" s="105" t="s">
        <v>401</v>
      </c>
      <c r="D149" s="201" t="s">
        <v>590</v>
      </c>
      <c r="E149" s="105" t="s">
        <v>674</v>
      </c>
      <c r="F149" s="200">
        <f>VLOOKUP(B149,'ACS Price List'!$16:$180,8,FALSE)</f>
        <v>8202</v>
      </c>
      <c r="G149" s="200" t="s">
        <v>714</v>
      </c>
      <c r="H149" s="206">
        <v>63.4</v>
      </c>
      <c r="I149" s="206">
        <f>IFERROR(IF(D149="LR",VLOOKUP(B149,'ACS Price List'!$16:$180,11,FALSE),IF(D149="IS",VLOOKUP(B149,'ACS Price List'!$16:$180,11,FALSE),VLOOKUP(B149,'ACS Price List'!$16:$180,9,FALSE))),"POA")</f>
        <v>63.4</v>
      </c>
      <c r="J149" s="204"/>
      <c r="K149" s="192" t="str">
        <f t="shared" si="2"/>
        <v>OK</v>
      </c>
    </row>
    <row r="150" spans="2:11" x14ac:dyDescent="0.2">
      <c r="B150" s="214" t="s">
        <v>161</v>
      </c>
      <c r="C150" s="105" t="s">
        <v>407</v>
      </c>
      <c r="D150" s="201" t="s">
        <v>590</v>
      </c>
      <c r="E150" s="105" t="s">
        <v>675</v>
      </c>
      <c r="F150" s="200">
        <f>VLOOKUP(B150,'ACS Price List'!$16:$180,8,FALSE)</f>
        <v>8206</v>
      </c>
      <c r="G150" s="200" t="s">
        <v>714</v>
      </c>
      <c r="H150" s="206">
        <v>121.3</v>
      </c>
      <c r="I150" s="206">
        <f>IFERROR(IF(D150="LR",VLOOKUP(B150,'ACS Price List'!$16:$180,11,FALSE),IF(D150="IS",VLOOKUP(B150,'ACS Price List'!$16:$180,11,FALSE),VLOOKUP(B150,'ACS Price List'!$16:$180,9,FALSE))),"POA")</f>
        <v>121.3</v>
      </c>
      <c r="J150" s="204"/>
      <c r="K150" s="192" t="str">
        <f t="shared" si="2"/>
        <v>OK</v>
      </c>
    </row>
    <row r="151" spans="2:11" x14ac:dyDescent="0.2">
      <c r="B151" s="215" t="s">
        <v>183</v>
      </c>
      <c r="C151" s="105" t="s">
        <v>262</v>
      </c>
      <c r="D151" s="201" t="s">
        <v>590</v>
      </c>
      <c r="E151" s="105" t="s">
        <v>676</v>
      </c>
      <c r="F151" s="200">
        <f>VLOOKUP(B151,'ACS Price List'!$16:$180,8,FALSE)</f>
        <v>8189</v>
      </c>
      <c r="G151" s="200" t="s">
        <v>714</v>
      </c>
      <c r="H151" s="206">
        <v>63.4</v>
      </c>
      <c r="I151" s="206">
        <f>IFERROR(IF(D151="LR",VLOOKUP(B151,'ACS Price List'!$16:$180,11,FALSE),IF(D151="IS",VLOOKUP(B151,'ACS Price List'!$16:$180,11,FALSE),VLOOKUP(B151,'ACS Price List'!$16:$180,9,FALSE))),"POA")</f>
        <v>63.4</v>
      </c>
      <c r="J151" s="204"/>
      <c r="K151" s="192" t="str">
        <f t="shared" si="2"/>
        <v>OK</v>
      </c>
    </row>
    <row r="152" spans="2:11" x14ac:dyDescent="0.2">
      <c r="B152" s="216" t="s">
        <v>184</v>
      </c>
      <c r="C152" s="105" t="s">
        <v>327</v>
      </c>
      <c r="D152" s="201" t="s">
        <v>590</v>
      </c>
      <c r="E152" s="105" t="s">
        <v>696</v>
      </c>
      <c r="F152" s="200">
        <f>VLOOKUP(B152,'ACS Price List'!$16:$180,8,FALSE)</f>
        <v>8190</v>
      </c>
      <c r="G152" s="200" t="s">
        <v>714</v>
      </c>
      <c r="H152" s="206">
        <v>63.4</v>
      </c>
      <c r="I152" s="206">
        <f>IFERROR(IF(D152="LR",VLOOKUP(B152,'ACS Price List'!$16:$180,11,FALSE),IF(D152="IS",VLOOKUP(B152,'ACS Price List'!$16:$180,11,FALSE),VLOOKUP(B152,'ACS Price List'!$16:$180,9,FALSE))),"POA")</f>
        <v>63.4</v>
      </c>
      <c r="J152" s="204"/>
      <c r="K152" s="192" t="str">
        <f t="shared" si="2"/>
        <v>OK</v>
      </c>
    </row>
    <row r="153" spans="2:11" x14ac:dyDescent="0.2">
      <c r="B153" s="217" t="s">
        <v>185</v>
      </c>
      <c r="C153" s="105" t="s">
        <v>332</v>
      </c>
      <c r="D153" s="201" t="s">
        <v>590</v>
      </c>
      <c r="E153" s="105" t="s">
        <v>700</v>
      </c>
      <c r="F153" s="200">
        <f>VLOOKUP(B153,'ACS Price List'!$16:$180,8,FALSE)</f>
        <v>8191</v>
      </c>
      <c r="G153" s="200" t="s">
        <v>714</v>
      </c>
      <c r="H153" s="206">
        <v>63.4</v>
      </c>
      <c r="I153" s="206">
        <f>IFERROR(IF(D153="LR",VLOOKUP(B153,'ACS Price List'!$16:$180,11,FALSE),IF(D153="IS",VLOOKUP(B153,'ACS Price List'!$16:$180,11,FALSE),VLOOKUP(B153,'ACS Price List'!$16:$180,9,FALSE))),"POA")</f>
        <v>63.4</v>
      </c>
      <c r="J153" s="204"/>
      <c r="K153" s="192" t="str">
        <f t="shared" si="2"/>
        <v>OK</v>
      </c>
    </row>
    <row r="154" spans="2:11" x14ac:dyDescent="0.2">
      <c r="B154" s="218" t="s">
        <v>186</v>
      </c>
      <c r="C154" s="105" t="s">
        <v>337</v>
      </c>
      <c r="D154" s="201" t="s">
        <v>590</v>
      </c>
      <c r="E154" s="105" t="s">
        <v>694</v>
      </c>
      <c r="F154" s="200">
        <f>VLOOKUP(B154,'ACS Price List'!$16:$180,8,FALSE)</f>
        <v>8192</v>
      </c>
      <c r="G154" s="200" t="s">
        <v>714</v>
      </c>
      <c r="H154" s="206">
        <v>121.3</v>
      </c>
      <c r="I154" s="206">
        <f>IFERROR(IF(D154="LR",VLOOKUP(B154,'ACS Price List'!$16:$180,11,FALSE),IF(D154="IS",VLOOKUP(B154,'ACS Price List'!$16:$180,11,FALSE),VLOOKUP(B154,'ACS Price List'!$16:$180,9,FALSE))),"POA")</f>
        <v>121.3</v>
      </c>
      <c r="J154" s="204"/>
      <c r="K154" s="192" t="str">
        <f t="shared" si="2"/>
        <v>OK</v>
      </c>
    </row>
    <row r="155" spans="2:11" x14ac:dyDescent="0.2">
      <c r="B155" s="218" t="s">
        <v>46</v>
      </c>
      <c r="C155" s="105" t="s">
        <v>48</v>
      </c>
      <c r="D155" s="201" t="s">
        <v>589</v>
      </c>
      <c r="E155" s="105" t="s">
        <v>666</v>
      </c>
      <c r="F155" s="200">
        <f>VLOOKUP(B155,'ACS Price List'!$16:$180,8,FALSE)</f>
        <v>8021</v>
      </c>
      <c r="G155" s="200" t="s">
        <v>714</v>
      </c>
      <c r="H155" s="206">
        <v>116.9</v>
      </c>
      <c r="I155" s="206">
        <f>IFERROR(IF(D155="LR",VLOOKUP(B155,'ACS Price List'!$16:$180,11,FALSE),IF(D155="IS",VLOOKUP(B155,'ACS Price List'!$16:$180,11,FALSE),VLOOKUP(B155,'ACS Price List'!$16:$180,9,FALSE))),"POA")</f>
        <v>116.9</v>
      </c>
      <c r="J155" s="204"/>
      <c r="K155" s="192" t="str">
        <f t="shared" si="2"/>
        <v>OK</v>
      </c>
    </row>
    <row r="156" spans="2:11" x14ac:dyDescent="0.2">
      <c r="B156" s="218" t="s">
        <v>52</v>
      </c>
      <c r="C156" s="105" t="s">
        <v>54</v>
      </c>
      <c r="D156" s="201" t="s">
        <v>589</v>
      </c>
      <c r="E156" s="105" t="s">
        <v>667</v>
      </c>
      <c r="F156" s="200">
        <f>VLOOKUP(B156,'ACS Price List'!$16:$180,8,FALSE)</f>
        <v>8025</v>
      </c>
      <c r="G156" s="200" t="s">
        <v>714</v>
      </c>
      <c r="H156" s="206">
        <v>116.9</v>
      </c>
      <c r="I156" s="206">
        <f>IFERROR(IF(D156="LR",VLOOKUP(B156,'ACS Price List'!$16:$180,11,FALSE),IF(D156="IS",VLOOKUP(B156,'ACS Price List'!$16:$180,11,FALSE),VLOOKUP(B156,'ACS Price List'!$16:$180,9,FALSE))),"POA")</f>
        <v>116.9</v>
      </c>
      <c r="J156" s="204"/>
      <c r="K156" s="192" t="str">
        <f t="shared" si="2"/>
        <v>OK</v>
      </c>
    </row>
    <row r="157" spans="2:11" x14ac:dyDescent="0.2">
      <c r="B157" s="218" t="s">
        <v>59</v>
      </c>
      <c r="C157" s="105" t="s">
        <v>61</v>
      </c>
      <c r="D157" s="201" t="s">
        <v>589</v>
      </c>
      <c r="E157" s="105" t="s">
        <v>668</v>
      </c>
      <c r="F157" s="200">
        <f>VLOOKUP(B157,'ACS Price List'!$16:$180,8,FALSE)</f>
        <v>8041</v>
      </c>
      <c r="G157" s="200" t="s">
        <v>714</v>
      </c>
      <c r="H157" s="206">
        <v>116.9</v>
      </c>
      <c r="I157" s="206">
        <f>IFERROR(IF(D157="LR",VLOOKUP(B157,'ACS Price List'!$16:$180,11,FALSE),IF(D157="IS",VLOOKUP(B157,'ACS Price List'!$16:$180,11,FALSE),VLOOKUP(B157,'ACS Price List'!$16:$180,9,FALSE))),"POA")</f>
        <v>116.9</v>
      </c>
      <c r="J157" s="204"/>
      <c r="K157" s="192" t="str">
        <f t="shared" si="2"/>
        <v>OK</v>
      </c>
    </row>
    <row r="158" spans="2:11" x14ac:dyDescent="0.2">
      <c r="B158" s="218" t="s">
        <v>65</v>
      </c>
      <c r="C158" s="105" t="s">
        <v>67</v>
      </c>
      <c r="D158" s="201" t="s">
        <v>589</v>
      </c>
      <c r="E158" s="105" t="s">
        <v>669</v>
      </c>
      <c r="F158" s="200">
        <f>VLOOKUP(B158,'ACS Price List'!$16:$180,8,FALSE)</f>
        <v>8045</v>
      </c>
      <c r="G158" s="200" t="s">
        <v>714</v>
      </c>
      <c r="H158" s="206">
        <v>0</v>
      </c>
      <c r="I158" s="206">
        <f>IFERROR(IF(D158="LR",VLOOKUP(B158,'ACS Price List'!$16:$180,11,FALSE),IF(D158="IS",VLOOKUP(B158,'ACS Price List'!$16:$180,11,FALSE),VLOOKUP(B158,'ACS Price List'!$16:$180,9,FALSE))),"POA")</f>
        <v>0</v>
      </c>
      <c r="J158" s="204"/>
      <c r="K158" s="192" t="str">
        <f t="shared" si="2"/>
        <v>OK</v>
      </c>
    </row>
    <row r="159" spans="2:11" x14ac:dyDescent="0.2">
      <c r="B159" s="218" t="s">
        <v>71</v>
      </c>
      <c r="C159" s="105" t="s">
        <v>73</v>
      </c>
      <c r="D159" s="201" t="s">
        <v>589</v>
      </c>
      <c r="E159" s="105" t="s">
        <v>670</v>
      </c>
      <c r="F159" s="200">
        <f>VLOOKUP(B159,'ACS Price List'!$16:$180,8,FALSE)</f>
        <v>8049</v>
      </c>
      <c r="G159" s="200" t="s">
        <v>714</v>
      </c>
      <c r="H159" s="206">
        <v>0</v>
      </c>
      <c r="I159" s="206">
        <f>IFERROR(IF(D159="LR",VLOOKUP(B159,'ACS Price List'!$16:$180,11,FALSE),IF(D159="IS",VLOOKUP(B159,'ACS Price List'!$16:$180,11,FALSE),VLOOKUP(B159,'ACS Price List'!$16:$180,9,FALSE))),"POA")</f>
        <v>0</v>
      </c>
      <c r="J159" s="204"/>
      <c r="K159" s="192" t="str">
        <f t="shared" si="2"/>
        <v>OK</v>
      </c>
    </row>
    <row r="160" spans="2:11" x14ac:dyDescent="0.2">
      <c r="B160" s="218" t="s">
        <v>77</v>
      </c>
      <c r="C160" s="105" t="s">
        <v>79</v>
      </c>
      <c r="D160" s="201" t="s">
        <v>589</v>
      </c>
      <c r="E160" s="105" t="s">
        <v>671</v>
      </c>
      <c r="F160" s="200">
        <f>VLOOKUP(B160,'ACS Price List'!$16:$180,8,FALSE)</f>
        <v>8053</v>
      </c>
      <c r="G160" s="200" t="s">
        <v>714</v>
      </c>
      <c r="H160" s="206">
        <v>38.9</v>
      </c>
      <c r="I160" s="206">
        <f>IFERROR(IF(D160="LR",VLOOKUP(B160,'ACS Price List'!$16:$180,11,FALSE),IF(D160="IS",VLOOKUP(B160,'ACS Price List'!$16:$180,11,FALSE),VLOOKUP(B160,'ACS Price List'!$16:$180,9,FALSE))),"POA")</f>
        <v>38.9</v>
      </c>
      <c r="J160" s="204"/>
      <c r="K160" s="192" t="str">
        <f t="shared" si="2"/>
        <v>OK</v>
      </c>
    </row>
    <row r="161" spans="2:11" x14ac:dyDescent="0.2">
      <c r="B161" s="218" t="s">
        <v>155</v>
      </c>
      <c r="C161" s="105" t="s">
        <v>390</v>
      </c>
      <c r="D161" s="201" t="s">
        <v>589</v>
      </c>
      <c r="E161" s="105" t="s">
        <v>672</v>
      </c>
      <c r="F161" s="200">
        <f>VLOOKUP(B161,'ACS Price List'!$16:$180,8,FALSE)</f>
        <v>8194</v>
      </c>
      <c r="G161" s="200" t="s">
        <v>714</v>
      </c>
      <c r="H161" s="206">
        <v>63.4</v>
      </c>
      <c r="I161" s="206">
        <f>IFERROR(IF(D161="LR",VLOOKUP(B161,'ACS Price List'!$16:$180,11,FALSE),IF(D161="IS",VLOOKUP(B161,'ACS Price List'!$16:$180,11,FALSE),VLOOKUP(B161,'ACS Price List'!$16:$180,9,FALSE))),"POA")</f>
        <v>63.4</v>
      </c>
      <c r="J161" s="204"/>
      <c r="K161" s="192" t="str">
        <f t="shared" si="2"/>
        <v>OK</v>
      </c>
    </row>
    <row r="162" spans="2:11" x14ac:dyDescent="0.2">
      <c r="B162" s="218" t="s">
        <v>157</v>
      </c>
      <c r="C162" s="105" t="s">
        <v>396</v>
      </c>
      <c r="D162" s="201" t="s">
        <v>589</v>
      </c>
      <c r="E162" s="105" t="s">
        <v>673</v>
      </c>
      <c r="F162" s="200">
        <f>VLOOKUP(B162,'ACS Price List'!$16:$180,8,FALSE)</f>
        <v>8198</v>
      </c>
      <c r="G162" s="200" t="s">
        <v>714</v>
      </c>
      <c r="H162" s="206">
        <v>63.4</v>
      </c>
      <c r="I162" s="206">
        <f>IFERROR(IF(D162="LR",VLOOKUP(B162,'ACS Price List'!$16:$180,11,FALSE),IF(D162="IS",VLOOKUP(B162,'ACS Price List'!$16:$180,11,FALSE),VLOOKUP(B162,'ACS Price List'!$16:$180,9,FALSE))),"POA")</f>
        <v>63.4</v>
      </c>
      <c r="J162" s="204"/>
      <c r="K162" s="192" t="str">
        <f t="shared" si="2"/>
        <v>OK</v>
      </c>
    </row>
    <row r="163" spans="2:11" x14ac:dyDescent="0.2">
      <c r="B163" s="218" t="s">
        <v>159</v>
      </c>
      <c r="C163" s="105" t="s">
        <v>402</v>
      </c>
      <c r="D163" s="201" t="s">
        <v>589</v>
      </c>
      <c r="E163" s="105" t="s">
        <v>674</v>
      </c>
      <c r="F163" s="200">
        <f>VLOOKUP(B163,'ACS Price List'!$16:$180,8,FALSE)</f>
        <v>8202</v>
      </c>
      <c r="G163" s="200" t="s">
        <v>714</v>
      </c>
      <c r="H163" s="206">
        <v>63.4</v>
      </c>
      <c r="I163" s="206">
        <f>IFERROR(IF(D163="LR",VLOOKUP(B163,'ACS Price List'!$16:$180,11,FALSE),IF(D163="IS",VLOOKUP(B163,'ACS Price List'!$16:$180,11,FALSE),VLOOKUP(B163,'ACS Price List'!$16:$180,9,FALSE))),"POA")</f>
        <v>63.4</v>
      </c>
      <c r="J163" s="204"/>
      <c r="K163" s="192" t="str">
        <f t="shared" si="2"/>
        <v>OK</v>
      </c>
    </row>
    <row r="164" spans="2:11" x14ac:dyDescent="0.2">
      <c r="B164" s="218" t="s">
        <v>161</v>
      </c>
      <c r="C164" s="105" t="s">
        <v>408</v>
      </c>
      <c r="D164" s="201" t="s">
        <v>589</v>
      </c>
      <c r="E164" s="105" t="s">
        <v>675</v>
      </c>
      <c r="F164" s="200">
        <f>VLOOKUP(B164,'ACS Price List'!$16:$180,8,FALSE)</f>
        <v>8206</v>
      </c>
      <c r="G164" s="200" t="s">
        <v>714</v>
      </c>
      <c r="H164" s="206">
        <v>121.3</v>
      </c>
      <c r="I164" s="206">
        <f>IFERROR(IF(D164="LR",VLOOKUP(B164,'ACS Price List'!$16:$180,11,FALSE),IF(D164="IS",VLOOKUP(B164,'ACS Price List'!$16:$180,11,FALSE),VLOOKUP(B164,'ACS Price List'!$16:$180,9,FALSE))),"POA")</f>
        <v>121.3</v>
      </c>
      <c r="J164" s="204"/>
      <c r="K164" s="192" t="str">
        <f t="shared" si="2"/>
        <v>OK</v>
      </c>
    </row>
    <row r="165" spans="2:11" x14ac:dyDescent="0.2">
      <c r="B165" s="218" t="s">
        <v>183</v>
      </c>
      <c r="C165" s="105" t="s">
        <v>263</v>
      </c>
      <c r="D165" s="201" t="s">
        <v>589</v>
      </c>
      <c r="E165" s="105" t="s">
        <v>698</v>
      </c>
      <c r="F165" s="200">
        <f>VLOOKUP(B165,'ACS Price List'!$16:$180,8,FALSE)</f>
        <v>8189</v>
      </c>
      <c r="G165" s="200" t="s">
        <v>714</v>
      </c>
      <c r="H165" s="206">
        <v>63.4</v>
      </c>
      <c r="I165" s="206">
        <f>IFERROR(IF(D165="LR",VLOOKUP(B165,'ACS Price List'!$16:$180,11,FALSE),IF(D165="IS",VLOOKUP(B165,'ACS Price List'!$16:$180,11,FALSE),VLOOKUP(B165,'ACS Price List'!$16:$180,9,FALSE))),"POA")</f>
        <v>63.4</v>
      </c>
      <c r="J165" s="204"/>
      <c r="K165" s="192" t="str">
        <f t="shared" si="2"/>
        <v>OK</v>
      </c>
    </row>
    <row r="166" spans="2:11" x14ac:dyDescent="0.2">
      <c r="B166" s="218" t="s">
        <v>184</v>
      </c>
      <c r="C166" s="105" t="s">
        <v>328</v>
      </c>
      <c r="D166" s="201" t="s">
        <v>589</v>
      </c>
      <c r="E166" s="105" t="s">
        <v>695</v>
      </c>
      <c r="F166" s="200">
        <f>VLOOKUP(B166,'ACS Price List'!$16:$180,8,FALSE)</f>
        <v>8190</v>
      </c>
      <c r="G166" s="200" t="s">
        <v>714</v>
      </c>
      <c r="H166" s="206">
        <v>63.4</v>
      </c>
      <c r="I166" s="206">
        <f>IFERROR(IF(D166="LR",VLOOKUP(B166,'ACS Price List'!$16:$180,11,FALSE),IF(D166="IS",VLOOKUP(B166,'ACS Price List'!$16:$180,11,FALSE),VLOOKUP(B166,'ACS Price List'!$16:$180,9,FALSE))),"POA")</f>
        <v>63.4</v>
      </c>
      <c r="J166" s="204"/>
      <c r="K166" s="192" t="str">
        <f t="shared" si="2"/>
        <v>OK</v>
      </c>
    </row>
    <row r="167" spans="2:11" x14ac:dyDescent="0.2">
      <c r="B167" s="218" t="s">
        <v>185</v>
      </c>
      <c r="C167" s="105" t="s">
        <v>333</v>
      </c>
      <c r="D167" s="201" t="s">
        <v>589</v>
      </c>
      <c r="E167" s="105" t="s">
        <v>700</v>
      </c>
      <c r="F167" s="200">
        <f>VLOOKUP(B167,'ACS Price List'!$16:$180,8,FALSE)</f>
        <v>8191</v>
      </c>
      <c r="G167" s="200" t="s">
        <v>714</v>
      </c>
      <c r="H167" s="206">
        <v>63.4</v>
      </c>
      <c r="I167" s="206">
        <f>IFERROR(IF(D167="LR",VLOOKUP(B167,'ACS Price List'!$16:$180,11,FALSE),IF(D167="IS",VLOOKUP(B167,'ACS Price List'!$16:$180,11,FALSE),VLOOKUP(B167,'ACS Price List'!$16:$180,9,FALSE))),"POA")</f>
        <v>63.4</v>
      </c>
      <c r="J167" s="204"/>
      <c r="K167" s="192" t="str">
        <f t="shared" si="2"/>
        <v>OK</v>
      </c>
    </row>
    <row r="168" spans="2:11" x14ac:dyDescent="0.2">
      <c r="B168" s="218" t="s">
        <v>186</v>
      </c>
      <c r="C168" s="105" t="s">
        <v>338</v>
      </c>
      <c r="D168" s="201" t="s">
        <v>589</v>
      </c>
      <c r="E168" s="105" t="s">
        <v>693</v>
      </c>
      <c r="F168" s="200">
        <f>VLOOKUP(B168,'ACS Price List'!$16:$180,8,FALSE)</f>
        <v>8192</v>
      </c>
      <c r="G168" s="200" t="s">
        <v>714</v>
      </c>
      <c r="H168" s="206">
        <v>121.3</v>
      </c>
      <c r="I168" s="206">
        <f>IFERROR(IF(D168="LR",VLOOKUP(B168,'ACS Price List'!$16:$180,11,FALSE),IF(D168="IS",VLOOKUP(B168,'ACS Price List'!$16:$180,11,FALSE),VLOOKUP(B168,'ACS Price List'!$16:$180,9,FALSE))),"POA")</f>
        <v>121.3</v>
      </c>
      <c r="J168" s="204"/>
      <c r="K168" s="192" t="str">
        <f t="shared" si="2"/>
        <v>OK</v>
      </c>
    </row>
    <row r="169" spans="2:11" x14ac:dyDescent="0.2">
      <c r="B169" s="218" t="s">
        <v>46</v>
      </c>
      <c r="C169" s="105" t="s">
        <v>50</v>
      </c>
      <c r="D169" s="201" t="s">
        <v>591</v>
      </c>
      <c r="E169" s="105" t="s">
        <v>677</v>
      </c>
      <c r="F169" s="200">
        <f>VLOOKUP(B169,'ACS Price List'!$16:$180,8,FALSE)</f>
        <v>8021</v>
      </c>
      <c r="G169" s="200" t="s">
        <v>714</v>
      </c>
      <c r="H169" s="206">
        <v>0</v>
      </c>
      <c r="I169" s="206">
        <f>IFERROR(IF(D169="LR",VLOOKUP(B169,'ACS Price List'!$16:$180,11,FALSE),IF(D169="IS",VLOOKUP(B169,'ACS Price List'!$16:$180,11,FALSE),VLOOKUP(B169,'ACS Price List'!$16:$180,9,FALSE))),"POA")</f>
        <v>0</v>
      </c>
      <c r="J169" s="204"/>
      <c r="K169" s="192" t="str">
        <f t="shared" si="2"/>
        <v>OK</v>
      </c>
    </row>
    <row r="170" spans="2:11" x14ac:dyDescent="0.2">
      <c r="B170" s="218" t="s">
        <v>52</v>
      </c>
      <c r="C170" s="105" t="s">
        <v>56</v>
      </c>
      <c r="D170" s="201" t="s">
        <v>591</v>
      </c>
      <c r="E170" s="105" t="s">
        <v>678</v>
      </c>
      <c r="F170" s="200">
        <f>VLOOKUP(B170,'ACS Price List'!$16:$180,8,FALSE)</f>
        <v>8025</v>
      </c>
      <c r="G170" s="200" t="s">
        <v>714</v>
      </c>
      <c r="H170" s="206">
        <v>0</v>
      </c>
      <c r="I170" s="206">
        <f>IFERROR(IF(D170="LR",VLOOKUP(B170,'ACS Price List'!$16:$180,11,FALSE),IF(D170="IS",VLOOKUP(B170,'ACS Price List'!$16:$180,11,FALSE),VLOOKUP(B170,'ACS Price List'!$16:$180,9,FALSE))),"POA")</f>
        <v>0</v>
      </c>
      <c r="J170" s="204"/>
      <c r="K170" s="192" t="str">
        <f t="shared" si="2"/>
        <v>OK</v>
      </c>
    </row>
    <row r="171" spans="2:11" x14ac:dyDescent="0.2">
      <c r="B171" s="218" t="s">
        <v>59</v>
      </c>
      <c r="C171" s="105" t="s">
        <v>63</v>
      </c>
      <c r="D171" s="201" t="s">
        <v>591</v>
      </c>
      <c r="E171" s="105" t="s">
        <v>679</v>
      </c>
      <c r="F171" s="200">
        <f>VLOOKUP(B171,'ACS Price List'!$16:$180,8,FALSE)</f>
        <v>8041</v>
      </c>
      <c r="G171" s="200" t="s">
        <v>714</v>
      </c>
      <c r="H171" s="206">
        <v>0</v>
      </c>
      <c r="I171" s="206">
        <f>IFERROR(IF(D171="LR",VLOOKUP(B171,'ACS Price List'!$16:$180,11,FALSE),IF(D171="IS",VLOOKUP(B171,'ACS Price List'!$16:$180,11,FALSE),VLOOKUP(B171,'ACS Price List'!$16:$180,9,FALSE))),"POA")</f>
        <v>0</v>
      </c>
      <c r="J171" s="204"/>
      <c r="K171" s="192" t="str">
        <f t="shared" si="2"/>
        <v>OK</v>
      </c>
    </row>
    <row r="172" spans="2:11" x14ac:dyDescent="0.2">
      <c r="B172" s="218" t="s">
        <v>65</v>
      </c>
      <c r="C172" s="105" t="s">
        <v>69</v>
      </c>
      <c r="D172" s="201" t="s">
        <v>591</v>
      </c>
      <c r="E172" s="105" t="s">
        <v>680</v>
      </c>
      <c r="F172" s="200">
        <f>VLOOKUP(B172,'ACS Price List'!$16:$180,8,FALSE)</f>
        <v>8045</v>
      </c>
      <c r="G172" s="200" t="s">
        <v>714</v>
      </c>
      <c r="H172" s="206">
        <v>0</v>
      </c>
      <c r="I172" s="206">
        <f>IFERROR(IF(D172="LR",VLOOKUP(B172,'ACS Price List'!$16:$180,11,FALSE),IF(D172="IS",VLOOKUP(B172,'ACS Price List'!$16:$180,11,FALSE),VLOOKUP(B172,'ACS Price List'!$16:$180,9,FALSE))),"POA")</f>
        <v>0</v>
      </c>
      <c r="J172" s="204"/>
      <c r="K172" s="192" t="str">
        <f t="shared" si="2"/>
        <v>OK</v>
      </c>
    </row>
    <row r="173" spans="2:11" x14ac:dyDescent="0.2">
      <c r="B173" s="218" t="s">
        <v>71</v>
      </c>
      <c r="C173" s="105" t="s">
        <v>75</v>
      </c>
      <c r="D173" s="201" t="s">
        <v>591</v>
      </c>
      <c r="E173" s="105" t="s">
        <v>681</v>
      </c>
      <c r="F173" s="200">
        <f>VLOOKUP(B173,'ACS Price List'!$16:$180,8,FALSE)</f>
        <v>8049</v>
      </c>
      <c r="G173" s="200" t="s">
        <v>714</v>
      </c>
      <c r="H173" s="206">
        <v>0</v>
      </c>
      <c r="I173" s="206">
        <f>IFERROR(IF(D173="LR",VLOOKUP(B173,'ACS Price List'!$16:$180,11,FALSE),IF(D173="IS",VLOOKUP(B173,'ACS Price List'!$16:$180,11,FALSE),VLOOKUP(B173,'ACS Price List'!$16:$180,9,FALSE))),"POA")</f>
        <v>0</v>
      </c>
      <c r="J173" s="204"/>
      <c r="K173" s="192" t="str">
        <f t="shared" si="2"/>
        <v>OK</v>
      </c>
    </row>
    <row r="174" spans="2:11" x14ac:dyDescent="0.2">
      <c r="B174" s="218" t="s">
        <v>80</v>
      </c>
      <c r="C174" s="105" t="s">
        <v>81</v>
      </c>
      <c r="D174" s="201" t="s">
        <v>591</v>
      </c>
      <c r="E174" s="105" t="s">
        <v>682</v>
      </c>
      <c r="F174" s="200">
        <f>VLOOKUP(B174,'ACS Price List'!$16:$180,8,FALSE)</f>
        <v>8055</v>
      </c>
      <c r="G174" s="200" t="s">
        <v>714</v>
      </c>
      <c r="H174" s="206">
        <v>45.5</v>
      </c>
      <c r="I174" s="206">
        <f>IFERROR(IF(D174="LR",VLOOKUP(B174,'ACS Price List'!$16:$180,11,FALSE),IF(D174="IS",VLOOKUP(B174,'ACS Price List'!$16:$180,11,FALSE),VLOOKUP(B174,'ACS Price List'!$16:$180,9,FALSE))),"POA")</f>
        <v>45.5</v>
      </c>
      <c r="J174" s="204"/>
      <c r="K174" s="192" t="str">
        <f t="shared" si="2"/>
        <v>OK</v>
      </c>
    </row>
    <row r="175" spans="2:11" x14ac:dyDescent="0.2">
      <c r="B175" s="218" t="s">
        <v>155</v>
      </c>
      <c r="C175" s="105" t="s">
        <v>619</v>
      </c>
      <c r="D175" s="201" t="s">
        <v>591</v>
      </c>
      <c r="E175" s="105" t="s">
        <v>683</v>
      </c>
      <c r="F175" s="200">
        <f>VLOOKUP(B175,'ACS Price List'!$16:$180,8,FALSE)</f>
        <v>8194</v>
      </c>
      <c r="G175" s="200" t="s">
        <v>714</v>
      </c>
      <c r="H175" s="206">
        <v>0</v>
      </c>
      <c r="I175" s="206">
        <f>IFERROR(IF(D175="LR",VLOOKUP(B175,'ACS Price List'!$16:$180,11,FALSE),IF(D175="IS",VLOOKUP(B175,'ACS Price List'!$16:$180,11,FALSE),VLOOKUP(B175,'ACS Price List'!$16:$180,9,FALSE))),"POA")</f>
        <v>0</v>
      </c>
      <c r="J175" s="204"/>
      <c r="K175" s="192" t="str">
        <f t="shared" si="2"/>
        <v>OK</v>
      </c>
    </row>
    <row r="176" spans="2:11" x14ac:dyDescent="0.2">
      <c r="B176" s="218" t="s">
        <v>157</v>
      </c>
      <c r="C176" s="105" t="s">
        <v>621</v>
      </c>
      <c r="D176" s="201" t="s">
        <v>591</v>
      </c>
      <c r="E176" s="105" t="s">
        <v>684</v>
      </c>
      <c r="F176" s="200">
        <f>VLOOKUP(B176,'ACS Price List'!$16:$180,8,FALSE)</f>
        <v>8198</v>
      </c>
      <c r="G176" s="200" t="s">
        <v>714</v>
      </c>
      <c r="H176" s="206">
        <v>0</v>
      </c>
      <c r="I176" s="206">
        <f>IFERROR(IF(D176="LR",VLOOKUP(B176,'ACS Price List'!$16:$180,11,FALSE),IF(D176="IS",VLOOKUP(B176,'ACS Price List'!$16:$180,11,FALSE),VLOOKUP(B176,'ACS Price List'!$16:$180,9,FALSE))),"POA")</f>
        <v>0</v>
      </c>
      <c r="J176" s="204"/>
      <c r="K176" s="192" t="str">
        <f t="shared" si="2"/>
        <v>OK</v>
      </c>
    </row>
    <row r="177" spans="2:11" x14ac:dyDescent="0.2">
      <c r="B177" s="218" t="s">
        <v>159</v>
      </c>
      <c r="C177" s="105" t="s">
        <v>623</v>
      </c>
      <c r="D177" s="201" t="s">
        <v>591</v>
      </c>
      <c r="E177" s="105" t="s">
        <v>685</v>
      </c>
      <c r="F177" s="200">
        <f>VLOOKUP(B177,'ACS Price List'!$16:$180,8,FALSE)</f>
        <v>8202</v>
      </c>
      <c r="G177" s="200" t="s">
        <v>714</v>
      </c>
      <c r="H177" s="206">
        <v>0</v>
      </c>
      <c r="I177" s="206">
        <f>IFERROR(IF(D177="LR",VLOOKUP(B177,'ACS Price List'!$16:$180,11,FALSE),IF(D177="IS",VLOOKUP(B177,'ACS Price List'!$16:$180,11,FALSE),VLOOKUP(B177,'ACS Price List'!$16:$180,9,FALSE))),"POA")</f>
        <v>0</v>
      </c>
      <c r="J177" s="204"/>
      <c r="K177" s="192" t="str">
        <f t="shared" si="2"/>
        <v>OK</v>
      </c>
    </row>
    <row r="178" spans="2:11" x14ac:dyDescent="0.2">
      <c r="B178" s="218" t="s">
        <v>161</v>
      </c>
      <c r="C178" s="105" t="s">
        <v>625</v>
      </c>
      <c r="D178" s="201" t="s">
        <v>591</v>
      </c>
      <c r="E178" s="105" t="s">
        <v>686</v>
      </c>
      <c r="F178" s="200">
        <f>VLOOKUP(B178,'ACS Price List'!$16:$180,8,FALSE)</f>
        <v>8206</v>
      </c>
      <c r="G178" s="200" t="s">
        <v>714</v>
      </c>
      <c r="H178" s="206">
        <v>0</v>
      </c>
      <c r="I178" s="206">
        <f>IFERROR(IF(D178="LR",VLOOKUP(B178,'ACS Price List'!$16:$180,11,FALSE),IF(D178="IS",VLOOKUP(B178,'ACS Price List'!$16:$180,11,FALSE),VLOOKUP(B178,'ACS Price List'!$16:$180,9,FALSE))),"POA")</f>
        <v>0</v>
      </c>
      <c r="J178" s="204"/>
      <c r="K178" s="192" t="str">
        <f t="shared" si="2"/>
        <v>OK</v>
      </c>
    </row>
    <row r="179" spans="2:11" x14ac:dyDescent="0.2">
      <c r="B179" s="218" t="s">
        <v>183</v>
      </c>
      <c r="C179" s="105" t="s">
        <v>266</v>
      </c>
      <c r="D179" s="201" t="s">
        <v>591</v>
      </c>
      <c r="E179" s="105" t="s">
        <v>697</v>
      </c>
      <c r="F179" s="200">
        <f>VLOOKUP(B179,'ACS Price List'!$16:$180,8,FALSE)</f>
        <v>8189</v>
      </c>
      <c r="G179" s="200" t="s">
        <v>714</v>
      </c>
      <c r="H179" s="206">
        <v>63.4</v>
      </c>
      <c r="I179" s="206">
        <f>IFERROR(IF(D179="LR",VLOOKUP(B179,'ACS Price List'!$16:$180,11,FALSE),IF(D179="IS",VLOOKUP(B179,'ACS Price List'!$16:$180,11,FALSE),VLOOKUP(B179,'ACS Price List'!$16:$180,9,FALSE))),"POA")</f>
        <v>63.4</v>
      </c>
      <c r="J179" s="204"/>
      <c r="K179" s="192" t="str">
        <f t="shared" si="2"/>
        <v>OK</v>
      </c>
    </row>
    <row r="180" spans="2:11" x14ac:dyDescent="0.2">
      <c r="B180" s="218" t="s">
        <v>184</v>
      </c>
      <c r="C180" s="105" t="s">
        <v>329</v>
      </c>
      <c r="D180" s="201" t="s">
        <v>591</v>
      </c>
      <c r="E180" s="105" t="s">
        <v>695</v>
      </c>
      <c r="F180" s="200">
        <f>VLOOKUP(B180,'ACS Price List'!$16:$180,8,FALSE)</f>
        <v>8190</v>
      </c>
      <c r="G180" s="200" t="s">
        <v>714</v>
      </c>
      <c r="H180" s="206">
        <v>63.4</v>
      </c>
      <c r="I180" s="206">
        <f>IFERROR(IF(D180="LR",VLOOKUP(B180,'ACS Price List'!$16:$180,11,FALSE),IF(D180="IS",VLOOKUP(B180,'ACS Price List'!$16:$180,11,FALSE),VLOOKUP(B180,'ACS Price List'!$16:$180,9,FALSE))),"POA")</f>
        <v>63.4</v>
      </c>
      <c r="J180" s="204"/>
      <c r="K180" s="192" t="str">
        <f t="shared" si="2"/>
        <v>OK</v>
      </c>
    </row>
    <row r="181" spans="2:11" x14ac:dyDescent="0.2">
      <c r="B181" s="218" t="s">
        <v>185</v>
      </c>
      <c r="C181" s="105" t="s">
        <v>334</v>
      </c>
      <c r="D181" s="201" t="s">
        <v>591</v>
      </c>
      <c r="E181" s="105" t="s">
        <v>699</v>
      </c>
      <c r="F181" s="200">
        <f>VLOOKUP(B181,'ACS Price List'!$16:$180,8,FALSE)</f>
        <v>8191</v>
      </c>
      <c r="G181" s="200" t="s">
        <v>714</v>
      </c>
      <c r="H181" s="206">
        <v>63.4</v>
      </c>
      <c r="I181" s="206">
        <f>IFERROR(IF(D181="LR",VLOOKUP(B181,'ACS Price List'!$16:$180,11,FALSE),IF(D181="IS",VLOOKUP(B181,'ACS Price List'!$16:$180,11,FALSE),VLOOKUP(B181,'ACS Price List'!$16:$180,9,FALSE))),"POA")</f>
        <v>63.4</v>
      </c>
      <c r="J181" s="204"/>
      <c r="K181" s="192" t="str">
        <f t="shared" si="2"/>
        <v>OK</v>
      </c>
    </row>
    <row r="182" spans="2:11" x14ac:dyDescent="0.2">
      <c r="B182" s="218" t="s">
        <v>186</v>
      </c>
      <c r="C182" s="105" t="s">
        <v>339</v>
      </c>
      <c r="D182" s="201" t="s">
        <v>591</v>
      </c>
      <c r="E182" s="105" t="s">
        <v>693</v>
      </c>
      <c r="F182" s="200">
        <f>VLOOKUP(B182,'ACS Price List'!$16:$180,8,FALSE)</f>
        <v>8192</v>
      </c>
      <c r="G182" s="200" t="s">
        <v>714</v>
      </c>
      <c r="H182" s="206">
        <v>121.3</v>
      </c>
      <c r="I182" s="206">
        <f>IFERROR(IF(D182="LR",VLOOKUP(B182,'ACS Price List'!$16:$180,11,FALSE),IF(D182="IS",VLOOKUP(B182,'ACS Price List'!$16:$180,11,FALSE),VLOOKUP(B182,'ACS Price List'!$16:$180,9,FALSE))),"POA")</f>
        <v>121.3</v>
      </c>
      <c r="J182" s="204"/>
      <c r="K182" s="192" t="str">
        <f t="shared" si="2"/>
        <v>OK</v>
      </c>
    </row>
    <row r="183" spans="2:11" x14ac:dyDescent="0.2">
      <c r="B183" s="218" t="s">
        <v>46</v>
      </c>
      <c r="C183" s="105" t="s">
        <v>51</v>
      </c>
      <c r="D183" s="201" t="s">
        <v>592</v>
      </c>
      <c r="E183" s="105" t="s">
        <v>677</v>
      </c>
      <c r="F183" s="200">
        <f>VLOOKUP(B183,'ACS Price List'!$16:$180,8,FALSE)</f>
        <v>8021</v>
      </c>
      <c r="G183" s="200" t="s">
        <v>714</v>
      </c>
      <c r="H183" s="206">
        <v>0</v>
      </c>
      <c r="I183" s="206">
        <f>IFERROR(IF(D183="LR",VLOOKUP(B183,'ACS Price List'!$16:$180,11,FALSE),IF(D183="IS",VLOOKUP(B183,'ACS Price List'!$16:$180,11,FALSE),VLOOKUP(B183,'ACS Price List'!$16:$180,9,FALSE))),"POA")</f>
        <v>0</v>
      </c>
      <c r="J183" s="204"/>
      <c r="K183" s="192" t="str">
        <f t="shared" si="2"/>
        <v>OK</v>
      </c>
    </row>
    <row r="184" spans="2:11" x14ac:dyDescent="0.2">
      <c r="B184" s="218" t="s">
        <v>52</v>
      </c>
      <c r="C184" s="105" t="s">
        <v>57</v>
      </c>
      <c r="D184" s="201" t="s">
        <v>592</v>
      </c>
      <c r="E184" s="105" t="s">
        <v>678</v>
      </c>
      <c r="F184" s="200">
        <f>VLOOKUP(B184,'ACS Price List'!$16:$180,8,FALSE)</f>
        <v>8025</v>
      </c>
      <c r="G184" s="200" t="s">
        <v>714</v>
      </c>
      <c r="H184" s="206">
        <v>0</v>
      </c>
      <c r="I184" s="206">
        <f>IFERROR(IF(D184="LR",VLOOKUP(B184,'ACS Price List'!$16:$180,11,FALSE),IF(D184="IS",VLOOKUP(B184,'ACS Price List'!$16:$180,11,FALSE),VLOOKUP(B184,'ACS Price List'!$16:$180,9,FALSE))),"POA")</f>
        <v>0</v>
      </c>
      <c r="J184" s="204"/>
      <c r="K184" s="192" t="str">
        <f t="shared" si="2"/>
        <v>OK</v>
      </c>
    </row>
    <row r="185" spans="2:11" x14ac:dyDescent="0.2">
      <c r="B185" s="218" t="s">
        <v>59</v>
      </c>
      <c r="C185" s="105" t="s">
        <v>64</v>
      </c>
      <c r="D185" s="201" t="s">
        <v>592</v>
      </c>
      <c r="E185" s="105" t="s">
        <v>679</v>
      </c>
      <c r="F185" s="200">
        <f>VLOOKUP(B185,'ACS Price List'!$16:$180,8,FALSE)</f>
        <v>8041</v>
      </c>
      <c r="G185" s="200" t="s">
        <v>714</v>
      </c>
      <c r="H185" s="206">
        <v>0</v>
      </c>
      <c r="I185" s="206">
        <f>IFERROR(IF(D185="LR",VLOOKUP(B185,'ACS Price List'!$16:$180,11,FALSE),IF(D185="IS",VLOOKUP(B185,'ACS Price List'!$16:$180,11,FALSE),VLOOKUP(B185,'ACS Price List'!$16:$180,9,FALSE))),"POA")</f>
        <v>0</v>
      </c>
      <c r="J185" s="204"/>
      <c r="K185" s="192" t="str">
        <f t="shared" si="2"/>
        <v>OK</v>
      </c>
    </row>
    <row r="186" spans="2:11" x14ac:dyDescent="0.2">
      <c r="B186" s="218" t="s">
        <v>65</v>
      </c>
      <c r="C186" s="105" t="s">
        <v>70</v>
      </c>
      <c r="D186" s="201" t="s">
        <v>592</v>
      </c>
      <c r="E186" s="105" t="s">
        <v>680</v>
      </c>
      <c r="F186" s="200">
        <f>VLOOKUP(B186,'ACS Price List'!$16:$180,8,FALSE)</f>
        <v>8045</v>
      </c>
      <c r="G186" s="200" t="s">
        <v>714</v>
      </c>
      <c r="H186" s="206">
        <v>0</v>
      </c>
      <c r="I186" s="206">
        <f>IFERROR(IF(D186="LR",VLOOKUP(B186,'ACS Price List'!$16:$180,11,FALSE),IF(D186="IS",VLOOKUP(B186,'ACS Price List'!$16:$180,11,FALSE),VLOOKUP(B186,'ACS Price List'!$16:$180,9,FALSE))),"POA")</f>
        <v>0</v>
      </c>
      <c r="J186" s="204"/>
      <c r="K186" s="192" t="str">
        <f t="shared" si="2"/>
        <v>OK</v>
      </c>
    </row>
    <row r="187" spans="2:11" x14ac:dyDescent="0.2">
      <c r="B187" s="218" t="s">
        <v>71</v>
      </c>
      <c r="C187" s="105" t="s">
        <v>76</v>
      </c>
      <c r="D187" s="201" t="s">
        <v>592</v>
      </c>
      <c r="E187" s="105" t="s">
        <v>681</v>
      </c>
      <c r="F187" s="200">
        <f>VLOOKUP(B187,'ACS Price List'!$16:$180,8,FALSE)</f>
        <v>8049</v>
      </c>
      <c r="G187" s="200" t="s">
        <v>714</v>
      </c>
      <c r="H187" s="206">
        <v>0</v>
      </c>
      <c r="I187" s="206">
        <f>IFERROR(IF(D187="LR",VLOOKUP(B187,'ACS Price List'!$16:$180,11,FALSE),IF(D187="IS",VLOOKUP(B187,'ACS Price List'!$16:$180,11,FALSE),VLOOKUP(B187,'ACS Price List'!$16:$180,9,FALSE))),"POA")</f>
        <v>0</v>
      </c>
      <c r="J187" s="204"/>
      <c r="K187" s="192" t="str">
        <f t="shared" si="2"/>
        <v>OK</v>
      </c>
    </row>
    <row r="188" spans="2:11" x14ac:dyDescent="0.2">
      <c r="B188" s="218" t="s">
        <v>80</v>
      </c>
      <c r="C188" s="105" t="s">
        <v>82</v>
      </c>
      <c r="D188" s="201" t="s">
        <v>592</v>
      </c>
      <c r="E188" s="105" t="s">
        <v>682</v>
      </c>
      <c r="F188" s="200">
        <f>VLOOKUP(B188,'ACS Price List'!$16:$180,8,FALSE)</f>
        <v>8055</v>
      </c>
      <c r="G188" s="200" t="s">
        <v>714</v>
      </c>
      <c r="H188" s="206">
        <v>45.5</v>
      </c>
      <c r="I188" s="206">
        <f>IFERROR(IF(D188="LR",VLOOKUP(B188,'ACS Price List'!$16:$180,11,FALSE),IF(D188="IS",VLOOKUP(B188,'ACS Price List'!$16:$180,11,FALSE),VLOOKUP(B188,'ACS Price List'!$16:$180,9,FALSE))),"POA")</f>
        <v>45.5</v>
      </c>
      <c r="J188" s="204"/>
      <c r="K188" s="192" t="str">
        <f t="shared" si="2"/>
        <v>OK</v>
      </c>
    </row>
    <row r="189" spans="2:11" x14ac:dyDescent="0.2">
      <c r="B189" s="218" t="s">
        <v>155</v>
      </c>
      <c r="C189" s="105" t="s">
        <v>620</v>
      </c>
      <c r="D189" s="201" t="s">
        <v>592</v>
      </c>
      <c r="E189" s="105" t="s">
        <v>683</v>
      </c>
      <c r="F189" s="200">
        <f>VLOOKUP(B189,'ACS Price List'!$16:$180,8,FALSE)</f>
        <v>8194</v>
      </c>
      <c r="G189" s="200" t="s">
        <v>714</v>
      </c>
      <c r="H189" s="206">
        <v>0</v>
      </c>
      <c r="I189" s="206">
        <f>IFERROR(IF(D189="LR",VLOOKUP(B189,'ACS Price List'!$16:$180,11,FALSE),IF(D189="IS",VLOOKUP(B189,'ACS Price List'!$16:$180,11,FALSE),VLOOKUP(B189,'ACS Price List'!$16:$180,9,FALSE))),"POA")</f>
        <v>0</v>
      </c>
      <c r="J189" s="204"/>
      <c r="K189" s="192" t="str">
        <f t="shared" si="2"/>
        <v>OK</v>
      </c>
    </row>
    <row r="190" spans="2:11" x14ac:dyDescent="0.2">
      <c r="B190" s="218" t="s">
        <v>157</v>
      </c>
      <c r="C190" s="105" t="s">
        <v>622</v>
      </c>
      <c r="D190" s="201" t="s">
        <v>592</v>
      </c>
      <c r="E190" s="105" t="s">
        <v>684</v>
      </c>
      <c r="F190" s="200">
        <f>VLOOKUP(B190,'ACS Price List'!$16:$180,8,FALSE)</f>
        <v>8198</v>
      </c>
      <c r="G190" s="200" t="s">
        <v>714</v>
      </c>
      <c r="H190" s="206">
        <v>0</v>
      </c>
      <c r="I190" s="206">
        <f>IFERROR(IF(D190="LR",VLOOKUP(B190,'ACS Price List'!$16:$180,11,FALSE),IF(D190="IS",VLOOKUP(B190,'ACS Price List'!$16:$180,11,FALSE),VLOOKUP(B190,'ACS Price List'!$16:$180,9,FALSE))),"POA")</f>
        <v>0</v>
      </c>
      <c r="J190" s="204"/>
      <c r="K190" s="192" t="str">
        <f t="shared" si="2"/>
        <v>OK</v>
      </c>
    </row>
    <row r="191" spans="2:11" x14ac:dyDescent="0.2">
      <c r="B191" s="218" t="s">
        <v>159</v>
      </c>
      <c r="C191" s="105" t="s">
        <v>624</v>
      </c>
      <c r="D191" s="201" t="s">
        <v>592</v>
      </c>
      <c r="E191" s="105" t="s">
        <v>685</v>
      </c>
      <c r="F191" s="200">
        <f>VLOOKUP(B191,'ACS Price List'!$16:$180,8,FALSE)</f>
        <v>8202</v>
      </c>
      <c r="G191" s="200" t="s">
        <v>714</v>
      </c>
      <c r="H191" s="206">
        <v>0</v>
      </c>
      <c r="I191" s="206">
        <f>IFERROR(IF(D191="LR",VLOOKUP(B191,'ACS Price List'!$16:$180,11,FALSE),IF(D191="IS",VLOOKUP(B191,'ACS Price List'!$16:$180,11,FALSE),VLOOKUP(B191,'ACS Price List'!$16:$180,9,FALSE))),"POA")</f>
        <v>0</v>
      </c>
      <c r="J191" s="204"/>
      <c r="K191" s="192" t="str">
        <f t="shared" si="2"/>
        <v>OK</v>
      </c>
    </row>
    <row r="192" spans="2:11" x14ac:dyDescent="0.2">
      <c r="B192" s="218" t="s">
        <v>161</v>
      </c>
      <c r="C192" s="105" t="s">
        <v>626</v>
      </c>
      <c r="D192" s="201" t="s">
        <v>592</v>
      </c>
      <c r="E192" s="105" t="s">
        <v>686</v>
      </c>
      <c r="F192" s="200">
        <f>VLOOKUP(B192,'ACS Price List'!$16:$180,8,FALSE)</f>
        <v>8206</v>
      </c>
      <c r="G192" s="200" t="s">
        <v>714</v>
      </c>
      <c r="H192" s="206">
        <v>0</v>
      </c>
      <c r="I192" s="206">
        <f>IFERROR(IF(D192="LR",VLOOKUP(B192,'ACS Price List'!$16:$180,11,FALSE),IF(D192="IS",VLOOKUP(B192,'ACS Price List'!$16:$180,11,FALSE),VLOOKUP(B192,'ACS Price List'!$16:$180,9,FALSE))),"POA")</f>
        <v>0</v>
      </c>
      <c r="J192" s="204"/>
      <c r="K192" s="192" t="str">
        <f t="shared" si="2"/>
        <v>OK</v>
      </c>
    </row>
    <row r="193" spans="2:11" x14ac:dyDescent="0.2">
      <c r="B193" s="218" t="s">
        <v>183</v>
      </c>
      <c r="C193" s="105" t="s">
        <v>267</v>
      </c>
      <c r="D193" s="201" t="s">
        <v>592</v>
      </c>
      <c r="E193" s="105" t="s">
        <v>697</v>
      </c>
      <c r="F193" s="200">
        <f>VLOOKUP(B193,'ACS Price List'!$16:$180,8,FALSE)</f>
        <v>8189</v>
      </c>
      <c r="G193" s="200" t="s">
        <v>714</v>
      </c>
      <c r="H193" s="206">
        <v>63.4</v>
      </c>
      <c r="I193" s="206">
        <f>IFERROR(IF(D193="LR",VLOOKUP(B193,'ACS Price List'!$16:$180,11,FALSE),IF(D193="IS",VLOOKUP(B193,'ACS Price List'!$16:$180,11,FALSE),VLOOKUP(B193,'ACS Price List'!$16:$180,9,FALSE))),"POA")</f>
        <v>63.4</v>
      </c>
      <c r="J193" s="204"/>
      <c r="K193" s="192" t="str">
        <f t="shared" si="2"/>
        <v>OK</v>
      </c>
    </row>
    <row r="194" spans="2:11" x14ac:dyDescent="0.2">
      <c r="B194" s="218" t="s">
        <v>184</v>
      </c>
      <c r="C194" s="105" t="s">
        <v>330</v>
      </c>
      <c r="D194" s="201" t="s">
        <v>592</v>
      </c>
      <c r="E194" s="105" t="s">
        <v>695</v>
      </c>
      <c r="F194" s="200">
        <f>VLOOKUP(B194,'ACS Price List'!$16:$180,8,FALSE)</f>
        <v>8190</v>
      </c>
      <c r="G194" s="200" t="s">
        <v>714</v>
      </c>
      <c r="H194" s="206">
        <v>63.4</v>
      </c>
      <c r="I194" s="206">
        <f>IFERROR(IF(D194="LR",VLOOKUP(B194,'ACS Price List'!$16:$180,11,FALSE),IF(D194="IS",VLOOKUP(B194,'ACS Price List'!$16:$180,11,FALSE),VLOOKUP(B194,'ACS Price List'!$16:$180,9,FALSE))),"POA")</f>
        <v>63.4</v>
      </c>
      <c r="J194" s="204"/>
      <c r="K194" s="192" t="str">
        <f t="shared" si="2"/>
        <v>OK</v>
      </c>
    </row>
    <row r="195" spans="2:11" x14ac:dyDescent="0.2">
      <c r="B195" s="218" t="s">
        <v>185</v>
      </c>
      <c r="C195" s="105" t="s">
        <v>335</v>
      </c>
      <c r="D195" s="201" t="s">
        <v>592</v>
      </c>
      <c r="E195" s="105" t="s">
        <v>699</v>
      </c>
      <c r="F195" s="200">
        <f>VLOOKUP(B195,'ACS Price List'!$16:$180,8,FALSE)</f>
        <v>8191</v>
      </c>
      <c r="G195" s="200" t="s">
        <v>714</v>
      </c>
      <c r="H195" s="206">
        <v>63.4</v>
      </c>
      <c r="I195" s="206">
        <f>IFERROR(IF(D195="LR",VLOOKUP(B195,'ACS Price List'!$16:$180,11,FALSE),IF(D195="IS",VLOOKUP(B195,'ACS Price List'!$16:$180,11,FALSE),VLOOKUP(B195,'ACS Price List'!$16:$180,9,FALSE))),"POA")</f>
        <v>63.4</v>
      </c>
      <c r="J195" s="204"/>
      <c r="K195" s="192" t="str">
        <f t="shared" si="2"/>
        <v>OK</v>
      </c>
    </row>
    <row r="196" spans="2:11" x14ac:dyDescent="0.2">
      <c r="B196" s="218" t="s">
        <v>186</v>
      </c>
      <c r="C196" s="105" t="s">
        <v>340</v>
      </c>
      <c r="D196" s="201" t="s">
        <v>592</v>
      </c>
      <c r="E196" s="105" t="s">
        <v>693</v>
      </c>
      <c r="F196" s="200">
        <f>VLOOKUP(B196,'ACS Price List'!$16:$180,8,FALSE)</f>
        <v>8192</v>
      </c>
      <c r="G196" s="200" t="s">
        <v>714</v>
      </c>
      <c r="H196" s="206">
        <v>121.3</v>
      </c>
      <c r="I196" s="206">
        <f>IFERROR(IF(D196="LR",VLOOKUP(B196,'ACS Price List'!$16:$180,11,FALSE),IF(D196="IS",VLOOKUP(B196,'ACS Price List'!$16:$180,11,FALSE),VLOOKUP(B196,'ACS Price List'!$16:$180,9,FALSE))),"POA")</f>
        <v>121.3</v>
      </c>
      <c r="J196" s="204"/>
      <c r="K196" s="192" t="str">
        <f t="shared" si="2"/>
        <v>OK</v>
      </c>
    </row>
    <row r="197" spans="2:11" x14ac:dyDescent="0.2">
      <c r="B197" s="219">
        <v>40</v>
      </c>
      <c r="C197" s="105" t="s">
        <v>28</v>
      </c>
      <c r="D197" s="201" t="s">
        <v>416</v>
      </c>
      <c r="E197" s="105" t="s">
        <v>487</v>
      </c>
      <c r="F197" s="200">
        <f>VLOOKUP(B197,'ACS Price List'!$16:$180,8,FALSE)</f>
        <v>8005</v>
      </c>
      <c r="G197" s="200" t="s">
        <v>714</v>
      </c>
      <c r="H197" s="206" t="s">
        <v>29</v>
      </c>
      <c r="I197" s="206" t="str">
        <f>IFERROR(IF(D197="LR",VLOOKUP(B197,'ACS Price List'!$16:$180,11,FALSE),IF(D197="IS",VLOOKUP(B197,'ACS Price List'!$16:$180,11,FALSE),VLOOKUP(B197,'ACS Price List'!$16:$180,9,FALSE))),"POA")</f>
        <v>POA</v>
      </c>
      <c r="J197" s="204"/>
      <c r="K197" s="192" t="str">
        <f t="shared" si="2"/>
        <v>OK</v>
      </c>
    </row>
    <row r="198" spans="2:11" x14ac:dyDescent="0.2">
      <c r="B198" s="219">
        <v>41</v>
      </c>
      <c r="C198" s="105" t="s">
        <v>28</v>
      </c>
      <c r="D198" s="201" t="s">
        <v>416</v>
      </c>
      <c r="E198" s="105" t="s">
        <v>489</v>
      </c>
      <c r="F198" s="200">
        <f>VLOOKUP(B198,'ACS Price List'!$16:$180,8,FALSE)</f>
        <v>8006</v>
      </c>
      <c r="G198" s="200" t="s">
        <v>714</v>
      </c>
      <c r="H198" s="206" t="s">
        <v>29</v>
      </c>
      <c r="I198" s="206" t="str">
        <f>IFERROR(IF(D198="LR",VLOOKUP(B198,'ACS Price List'!$16:$180,11,FALSE),IF(D198="IS",VLOOKUP(B198,'ACS Price List'!$16:$180,11,FALSE),VLOOKUP(B198,'ACS Price List'!$16:$180,9,FALSE))),"POA")</f>
        <v>POA</v>
      </c>
      <c r="J198" s="204"/>
      <c r="K198" s="192" t="str">
        <f t="shared" si="2"/>
        <v>OK</v>
      </c>
    </row>
    <row r="199" spans="2:11" x14ac:dyDescent="0.2">
      <c r="B199" s="219">
        <v>42</v>
      </c>
      <c r="C199" s="105" t="s">
        <v>28</v>
      </c>
      <c r="D199" s="201" t="s">
        <v>416</v>
      </c>
      <c r="E199" s="105" t="s">
        <v>491</v>
      </c>
      <c r="F199" s="200">
        <f>VLOOKUP(B199,'ACS Price List'!$16:$180,8,FALSE)</f>
        <v>8007</v>
      </c>
      <c r="G199" s="200" t="s">
        <v>714</v>
      </c>
      <c r="H199" s="206" t="s">
        <v>29</v>
      </c>
      <c r="I199" s="206" t="str">
        <f>IFERROR(IF(D199="LR",VLOOKUP(B199,'ACS Price List'!$16:$180,11,FALSE),IF(D199="IS",VLOOKUP(B199,'ACS Price List'!$16:$180,11,FALSE),VLOOKUP(B199,'ACS Price List'!$16:$180,9,FALSE))),"POA")</f>
        <v>POA</v>
      </c>
      <c r="J199" s="204"/>
      <c r="K199" s="192" t="str">
        <f t="shared" si="2"/>
        <v>OK</v>
      </c>
    </row>
    <row r="200" spans="2:11" x14ac:dyDescent="0.2">
      <c r="B200" s="219">
        <v>43</v>
      </c>
      <c r="C200" s="105" t="s">
        <v>28</v>
      </c>
      <c r="D200" s="201" t="s">
        <v>416</v>
      </c>
      <c r="E200" s="105" t="s">
        <v>493</v>
      </c>
      <c r="F200" s="200">
        <f>VLOOKUP(B200,'ACS Price List'!$16:$180,8,FALSE)</f>
        <v>8008</v>
      </c>
      <c r="G200" s="200" t="s">
        <v>714</v>
      </c>
      <c r="H200" s="206" t="s">
        <v>29</v>
      </c>
      <c r="I200" s="206" t="str">
        <f>IFERROR(IF(D200="LR",VLOOKUP(B200,'ACS Price List'!$16:$180,11,FALSE),IF(D200="IS",VLOOKUP(B200,'ACS Price List'!$16:$180,11,FALSE),VLOOKUP(B200,'ACS Price List'!$16:$180,9,FALSE))),"POA")</f>
        <v>POA</v>
      </c>
      <c r="J200" s="204"/>
      <c r="K200" s="192" t="str">
        <f t="shared" si="2"/>
        <v>OK</v>
      </c>
    </row>
    <row r="201" spans="2:11" x14ac:dyDescent="0.2">
      <c r="B201" s="219">
        <v>44</v>
      </c>
      <c r="C201" s="105" t="s">
        <v>28</v>
      </c>
      <c r="D201" s="201" t="s">
        <v>416</v>
      </c>
      <c r="E201" s="105" t="s">
        <v>495</v>
      </c>
      <c r="F201" s="200">
        <f>VLOOKUP(B201,'ACS Price List'!$16:$180,8,FALSE)</f>
        <v>8009</v>
      </c>
      <c r="G201" s="200" t="s">
        <v>714</v>
      </c>
      <c r="H201" s="206" t="s">
        <v>29</v>
      </c>
      <c r="I201" s="206" t="str">
        <f>IFERROR(IF(D201="LR",VLOOKUP(B201,'ACS Price List'!$16:$180,11,FALSE),IF(D201="IS",VLOOKUP(B201,'ACS Price List'!$16:$180,11,FALSE),VLOOKUP(B201,'ACS Price List'!$16:$180,9,FALSE))),"POA")</f>
        <v>POA</v>
      </c>
      <c r="J201" s="204"/>
      <c r="K201" s="192" t="str">
        <f t="shared" si="2"/>
        <v>OK</v>
      </c>
    </row>
    <row r="202" spans="2:11" x14ac:dyDescent="0.2">
      <c r="B202" s="219">
        <v>45</v>
      </c>
      <c r="C202" s="105" t="s">
        <v>28</v>
      </c>
      <c r="D202" s="201" t="s">
        <v>416</v>
      </c>
      <c r="E202" s="105" t="s">
        <v>497</v>
      </c>
      <c r="F202" s="200">
        <f>VLOOKUP(B202,'ACS Price List'!$16:$180,8,FALSE)</f>
        <v>8010</v>
      </c>
      <c r="G202" s="200" t="s">
        <v>714</v>
      </c>
      <c r="H202" s="206" t="s">
        <v>29</v>
      </c>
      <c r="I202" s="206" t="str">
        <f>IFERROR(IF(D202="LR",VLOOKUP(B202,'ACS Price List'!$16:$180,11,FALSE),IF(D202="IS",VLOOKUP(B202,'ACS Price List'!$16:$180,11,FALSE),VLOOKUP(B202,'ACS Price List'!$16:$180,9,FALSE))),"POA")</f>
        <v>POA</v>
      </c>
      <c r="J202" s="204"/>
      <c r="K202" s="192" t="str">
        <f t="shared" si="2"/>
        <v>OK</v>
      </c>
    </row>
    <row r="203" spans="2:11" x14ac:dyDescent="0.2">
      <c r="B203" s="219">
        <v>46</v>
      </c>
      <c r="C203" s="105" t="s">
        <v>28</v>
      </c>
      <c r="D203" s="201" t="s">
        <v>416</v>
      </c>
      <c r="E203" s="105" t="s">
        <v>499</v>
      </c>
      <c r="F203" s="200">
        <f>VLOOKUP(B203,'ACS Price List'!$16:$180,8,FALSE)</f>
        <v>8011</v>
      </c>
      <c r="G203" s="200" t="s">
        <v>714</v>
      </c>
      <c r="H203" s="206" t="s">
        <v>29</v>
      </c>
      <c r="I203" s="206" t="str">
        <f>IFERROR(IF(D203="LR",VLOOKUP(B203,'ACS Price List'!$16:$180,11,FALSE),IF(D203="IS",VLOOKUP(B203,'ACS Price List'!$16:$180,11,FALSE),VLOOKUP(B203,'ACS Price List'!$16:$180,9,FALSE))),"POA")</f>
        <v>POA</v>
      </c>
      <c r="J203" s="204"/>
      <c r="K203" s="192" t="str">
        <f t="shared" si="2"/>
        <v>OK</v>
      </c>
    </row>
    <row r="204" spans="2:11" x14ac:dyDescent="0.2">
      <c r="B204" s="219">
        <v>47</v>
      </c>
      <c r="C204" s="105" t="s">
        <v>28</v>
      </c>
      <c r="D204" s="201" t="s">
        <v>416</v>
      </c>
      <c r="E204" s="105" t="s">
        <v>501</v>
      </c>
      <c r="F204" s="200">
        <f>VLOOKUP(B204,'ACS Price List'!$16:$180,8,FALSE)</f>
        <v>8012</v>
      </c>
      <c r="G204" s="200" t="s">
        <v>714</v>
      </c>
      <c r="H204" s="206" t="s">
        <v>29</v>
      </c>
      <c r="I204" s="206" t="str">
        <f>IFERROR(IF(D204="LR",VLOOKUP(B204,'ACS Price List'!$16:$180,11,FALSE),IF(D204="IS",VLOOKUP(B204,'ACS Price List'!$16:$180,11,FALSE),VLOOKUP(B204,'ACS Price List'!$16:$180,9,FALSE))),"POA")</f>
        <v>POA</v>
      </c>
      <c r="J204" s="204"/>
      <c r="K204" s="192" t="str">
        <f t="shared" ref="K204:K267" si="3">IFERROR(IF(I204="POA","OK",IF(I204-H204=0,"OK","CHANGE")),"CHECK")</f>
        <v>OK</v>
      </c>
    </row>
    <row r="205" spans="2:11" ht="24" x14ac:dyDescent="0.2">
      <c r="B205" s="219">
        <v>48</v>
      </c>
      <c r="C205" s="105" t="s">
        <v>28</v>
      </c>
      <c r="D205" s="201" t="s">
        <v>416</v>
      </c>
      <c r="E205" s="105" t="s">
        <v>503</v>
      </c>
      <c r="F205" s="200">
        <f>VLOOKUP(B205,'ACS Price List'!$16:$180,8,FALSE)</f>
        <v>8013</v>
      </c>
      <c r="G205" s="200" t="s">
        <v>714</v>
      </c>
      <c r="H205" s="206" t="s">
        <v>29</v>
      </c>
      <c r="I205" s="206" t="str">
        <f>IFERROR(IF(D205="LR",VLOOKUP(B205,'ACS Price List'!$16:$180,11,FALSE),IF(D205="IS",VLOOKUP(B205,'ACS Price List'!$16:$180,11,FALSE),VLOOKUP(B205,'ACS Price List'!$16:$180,9,FALSE))),"POA")</f>
        <v>POA</v>
      </c>
      <c r="J205" s="204"/>
      <c r="K205" s="192" t="str">
        <f t="shared" si="3"/>
        <v>OK</v>
      </c>
    </row>
    <row r="206" spans="2:11" x14ac:dyDescent="0.2">
      <c r="B206" s="219">
        <v>49</v>
      </c>
      <c r="C206" s="105" t="s">
        <v>28</v>
      </c>
      <c r="D206" s="201" t="s">
        <v>416</v>
      </c>
      <c r="E206" s="105" t="s">
        <v>505</v>
      </c>
      <c r="F206" s="200">
        <f>VLOOKUP(B206,'ACS Price List'!$16:$180,8,FALSE)</f>
        <v>8014</v>
      </c>
      <c r="G206" s="200" t="s">
        <v>714</v>
      </c>
      <c r="H206" s="206" t="s">
        <v>29</v>
      </c>
      <c r="I206" s="206" t="str">
        <f>IFERROR(IF(D206="LR",VLOOKUP(B206,'ACS Price List'!$16:$180,11,FALSE),IF(D206="IS",VLOOKUP(B206,'ACS Price List'!$16:$180,11,FALSE),VLOOKUP(B206,'ACS Price List'!$16:$180,9,FALSE))),"POA")</f>
        <v>POA</v>
      </c>
      <c r="J206" s="204"/>
      <c r="K206" s="192" t="str">
        <f t="shared" si="3"/>
        <v>OK</v>
      </c>
    </row>
    <row r="207" spans="2:11" x14ac:dyDescent="0.2">
      <c r="B207" s="219">
        <v>50</v>
      </c>
      <c r="C207" s="105" t="s">
        <v>28</v>
      </c>
      <c r="D207" s="201" t="s">
        <v>416</v>
      </c>
      <c r="E207" s="105" t="s">
        <v>507</v>
      </c>
      <c r="F207" s="200">
        <f>VLOOKUP(B207,'ACS Price List'!$16:$180,8,FALSE)</f>
        <v>8015</v>
      </c>
      <c r="G207" s="200" t="s">
        <v>714</v>
      </c>
      <c r="H207" s="206" t="s">
        <v>29</v>
      </c>
      <c r="I207" s="206" t="str">
        <f>IFERROR(IF(D207="LR",VLOOKUP(B207,'ACS Price List'!$16:$180,11,FALSE),IF(D207="IS",VLOOKUP(B207,'ACS Price List'!$16:$180,11,FALSE),VLOOKUP(B207,'ACS Price List'!$16:$180,9,FALSE))),"POA")</f>
        <v>POA</v>
      </c>
      <c r="J207" s="204"/>
      <c r="K207" s="192" t="str">
        <f t="shared" si="3"/>
        <v>OK</v>
      </c>
    </row>
    <row r="208" spans="2:11" x14ac:dyDescent="0.2">
      <c r="B208" s="219">
        <v>51</v>
      </c>
      <c r="C208" s="105" t="s">
        <v>28</v>
      </c>
      <c r="D208" s="201" t="s">
        <v>416</v>
      </c>
      <c r="E208" s="105" t="s">
        <v>509</v>
      </c>
      <c r="F208" s="200">
        <f>VLOOKUP(B208,'ACS Price List'!$16:$180,8,FALSE)</f>
        <v>8028</v>
      </c>
      <c r="G208" s="200" t="s">
        <v>714</v>
      </c>
      <c r="H208" s="206" t="s">
        <v>29</v>
      </c>
      <c r="I208" s="206" t="str">
        <f>IFERROR(IF(D208="LR",VLOOKUP(B208,'ACS Price List'!$16:$180,11,FALSE),IF(D208="IS",VLOOKUP(B208,'ACS Price List'!$16:$180,11,FALSE),VLOOKUP(B208,'ACS Price List'!$16:$180,9,FALSE))),"POA")</f>
        <v>POA</v>
      </c>
      <c r="J208" s="204"/>
      <c r="K208" s="192" t="str">
        <f t="shared" si="3"/>
        <v>OK</v>
      </c>
    </row>
    <row r="209" spans="2:11" x14ac:dyDescent="0.2">
      <c r="B209" s="219">
        <v>52</v>
      </c>
      <c r="C209" s="105" t="s">
        <v>28</v>
      </c>
      <c r="D209" s="201" t="s">
        <v>416</v>
      </c>
      <c r="E209" s="105" t="s">
        <v>511</v>
      </c>
      <c r="F209" s="200">
        <f>VLOOKUP(B209,'ACS Price List'!$16:$180,8,FALSE)</f>
        <v>8029</v>
      </c>
      <c r="G209" s="200" t="s">
        <v>714</v>
      </c>
      <c r="H209" s="206" t="s">
        <v>29</v>
      </c>
      <c r="I209" s="206" t="str">
        <f>IFERROR(IF(D209="LR",VLOOKUP(B209,'ACS Price List'!$16:$180,11,FALSE),IF(D209="IS",VLOOKUP(B209,'ACS Price List'!$16:$180,11,FALSE),VLOOKUP(B209,'ACS Price List'!$16:$180,9,FALSE))),"POA")</f>
        <v>POA</v>
      </c>
      <c r="J209" s="204"/>
      <c r="K209" s="192" t="str">
        <f t="shared" si="3"/>
        <v>OK</v>
      </c>
    </row>
    <row r="210" spans="2:11" x14ac:dyDescent="0.2">
      <c r="B210" s="219">
        <v>53</v>
      </c>
      <c r="C210" s="105" t="s">
        <v>28</v>
      </c>
      <c r="D210" s="201" t="s">
        <v>416</v>
      </c>
      <c r="E210" s="105" t="s">
        <v>513</v>
      </c>
      <c r="F210" s="200">
        <f>VLOOKUP(B210,'ACS Price List'!$16:$180,8,FALSE)</f>
        <v>8030</v>
      </c>
      <c r="G210" s="200" t="s">
        <v>714</v>
      </c>
      <c r="H210" s="206" t="s">
        <v>29</v>
      </c>
      <c r="I210" s="206" t="str">
        <f>IFERROR(IF(D210="LR",VLOOKUP(B210,'ACS Price List'!$16:$180,11,FALSE),IF(D210="IS",VLOOKUP(B210,'ACS Price List'!$16:$180,11,FALSE),VLOOKUP(B210,'ACS Price List'!$16:$180,9,FALSE))),"POA")</f>
        <v>POA</v>
      </c>
      <c r="J210" s="204"/>
      <c r="K210" s="192" t="str">
        <f t="shared" si="3"/>
        <v>OK</v>
      </c>
    </row>
    <row r="211" spans="2:11" x14ac:dyDescent="0.2">
      <c r="B211" s="219">
        <v>54</v>
      </c>
      <c r="C211" s="105" t="s">
        <v>28</v>
      </c>
      <c r="D211" s="201" t="s">
        <v>416</v>
      </c>
      <c r="E211" s="105" t="s">
        <v>515</v>
      </c>
      <c r="F211" s="200">
        <f>VLOOKUP(B211,'ACS Price List'!$16:$180,8,FALSE)</f>
        <v>8031</v>
      </c>
      <c r="G211" s="200" t="s">
        <v>714</v>
      </c>
      <c r="H211" s="206" t="s">
        <v>29</v>
      </c>
      <c r="I211" s="206" t="str">
        <f>IFERROR(IF(D211="LR",VLOOKUP(B211,'ACS Price List'!$16:$180,11,FALSE),IF(D211="IS",VLOOKUP(B211,'ACS Price List'!$16:$180,11,FALSE),VLOOKUP(B211,'ACS Price List'!$16:$180,9,FALSE))),"POA")</f>
        <v>POA</v>
      </c>
      <c r="J211" s="204"/>
      <c r="K211" s="192" t="str">
        <f t="shared" si="3"/>
        <v>OK</v>
      </c>
    </row>
    <row r="212" spans="2:11" x14ac:dyDescent="0.2">
      <c r="B212" s="219">
        <v>55</v>
      </c>
      <c r="C212" s="105" t="s">
        <v>28</v>
      </c>
      <c r="D212" s="201" t="s">
        <v>416</v>
      </c>
      <c r="E212" s="105" t="s">
        <v>517</v>
      </c>
      <c r="F212" s="200">
        <f>VLOOKUP(B212,'ACS Price List'!$16:$180,8,FALSE)</f>
        <v>8032</v>
      </c>
      <c r="G212" s="200" t="s">
        <v>714</v>
      </c>
      <c r="H212" s="206" t="s">
        <v>29</v>
      </c>
      <c r="I212" s="206" t="str">
        <f>IFERROR(IF(D212="LR",VLOOKUP(B212,'ACS Price List'!$16:$180,11,FALSE),IF(D212="IS",VLOOKUP(B212,'ACS Price List'!$16:$180,11,FALSE),VLOOKUP(B212,'ACS Price List'!$16:$180,9,FALSE))),"POA")</f>
        <v>POA</v>
      </c>
      <c r="J212" s="204"/>
      <c r="K212" s="192" t="str">
        <f t="shared" si="3"/>
        <v>OK</v>
      </c>
    </row>
    <row r="213" spans="2:11" x14ac:dyDescent="0.2">
      <c r="B213" s="220">
        <v>56</v>
      </c>
      <c r="C213" s="105" t="s">
        <v>90</v>
      </c>
      <c r="D213" s="201" t="s">
        <v>590</v>
      </c>
      <c r="E213" s="105" t="s">
        <v>519</v>
      </c>
      <c r="F213" s="200">
        <f>VLOOKUP(B213,'ACS Price List'!$16:$180,8,FALSE)</f>
        <v>8056</v>
      </c>
      <c r="G213" s="200" t="s">
        <v>714</v>
      </c>
      <c r="H213" s="206" t="s">
        <v>29</v>
      </c>
      <c r="I213" s="206" t="str">
        <f>IFERROR(IF(D213="LR",VLOOKUP(B213,'ACS Price List'!$16:$180,11,FALSE),IF(D213="IS",VLOOKUP(B213,'ACS Price List'!$16:$180,11,FALSE),VLOOKUP(B213,'ACS Price List'!$16:$180,9,FALSE))),"POA")</f>
        <v>POA</v>
      </c>
      <c r="J213" s="204"/>
      <c r="K213" s="192" t="str">
        <f t="shared" si="3"/>
        <v>OK</v>
      </c>
    </row>
    <row r="214" spans="2:11" x14ac:dyDescent="0.2">
      <c r="B214" s="221">
        <v>57</v>
      </c>
      <c r="C214" s="105" t="s">
        <v>28</v>
      </c>
      <c r="D214" s="201" t="s">
        <v>416</v>
      </c>
      <c r="E214" s="105" t="s">
        <v>520</v>
      </c>
      <c r="F214" s="200">
        <f>VLOOKUP(B214,'ACS Price List'!$16:$180,8,FALSE)</f>
        <v>8057</v>
      </c>
      <c r="G214" s="200" t="s">
        <v>714</v>
      </c>
      <c r="H214" s="206" t="s">
        <v>29</v>
      </c>
      <c r="I214" s="206" t="str">
        <f>IFERROR(IF(D214="LR",VLOOKUP(B214,'ACS Price List'!$16:$180,11,FALSE),IF(D214="IS",VLOOKUP(B214,'ACS Price List'!$16:$180,11,FALSE),VLOOKUP(B214,'ACS Price List'!$16:$180,9,FALSE))),"POA")</f>
        <v>POA</v>
      </c>
      <c r="J214" s="204"/>
      <c r="K214" s="192" t="str">
        <f t="shared" si="3"/>
        <v>OK</v>
      </c>
    </row>
    <row r="215" spans="2:11" x14ac:dyDescent="0.2">
      <c r="B215" s="221">
        <v>58</v>
      </c>
      <c r="C215" s="105" t="s">
        <v>28</v>
      </c>
      <c r="D215" s="201" t="s">
        <v>416</v>
      </c>
      <c r="E215" s="105" t="s">
        <v>521</v>
      </c>
      <c r="F215" s="200">
        <f>VLOOKUP(B215,'ACS Price List'!$16:$180,8,FALSE)</f>
        <v>8058</v>
      </c>
      <c r="G215" s="200" t="s">
        <v>714</v>
      </c>
      <c r="H215" s="206" t="s">
        <v>29</v>
      </c>
      <c r="I215" s="206" t="str">
        <f>IFERROR(IF(D215="LR",VLOOKUP(B215,'ACS Price List'!$16:$180,11,FALSE),IF(D215="IS",VLOOKUP(B215,'ACS Price List'!$16:$180,11,FALSE),VLOOKUP(B215,'ACS Price List'!$16:$180,9,FALSE))),"POA")</f>
        <v>POA</v>
      </c>
      <c r="J215" s="204"/>
      <c r="K215" s="192" t="str">
        <f t="shared" si="3"/>
        <v>OK</v>
      </c>
    </row>
    <row r="216" spans="2:11" x14ac:dyDescent="0.2">
      <c r="B216" s="221">
        <v>59</v>
      </c>
      <c r="C216" s="105" t="s">
        <v>94</v>
      </c>
      <c r="D216" s="201" t="s">
        <v>590</v>
      </c>
      <c r="E216" s="105" t="s">
        <v>523</v>
      </c>
      <c r="F216" s="200">
        <f>VLOOKUP(B216,'ACS Price List'!$16:$180,8,FALSE)</f>
        <v>8059</v>
      </c>
      <c r="G216" s="200" t="s">
        <v>714</v>
      </c>
      <c r="H216" s="206" t="s">
        <v>29</v>
      </c>
      <c r="I216" s="206" t="str">
        <f>IFERROR(IF(D216="LR",VLOOKUP(B216,'ACS Price List'!$16:$180,11,FALSE),IF(D216="IS",VLOOKUP(B216,'ACS Price List'!$16:$180,11,FALSE),VLOOKUP(B216,'ACS Price List'!$16:$180,9,FALSE))),"POA")</f>
        <v>POA</v>
      </c>
      <c r="J216" s="204"/>
      <c r="K216" s="192" t="str">
        <f t="shared" si="3"/>
        <v>OK</v>
      </c>
    </row>
    <row r="217" spans="2:11" x14ac:dyDescent="0.2">
      <c r="B217" s="221">
        <v>60</v>
      </c>
      <c r="C217" s="105" t="s">
        <v>98</v>
      </c>
      <c r="D217" s="201" t="s">
        <v>590</v>
      </c>
      <c r="E217" s="105" t="s">
        <v>525</v>
      </c>
      <c r="F217" s="200">
        <f>VLOOKUP(B217,'ACS Price List'!$16:$180,8,FALSE)</f>
        <v>8060</v>
      </c>
      <c r="G217" s="200" t="s">
        <v>714</v>
      </c>
      <c r="H217" s="206" t="s">
        <v>29</v>
      </c>
      <c r="I217" s="206" t="str">
        <f>IFERROR(IF(D217="LR",VLOOKUP(B217,'ACS Price List'!$16:$180,11,FALSE),IF(D217="IS",VLOOKUP(B217,'ACS Price List'!$16:$180,11,FALSE),VLOOKUP(B217,'ACS Price List'!$16:$180,9,FALSE))),"POA")</f>
        <v>POA</v>
      </c>
      <c r="J217" s="204"/>
      <c r="K217" s="192" t="str">
        <f t="shared" si="3"/>
        <v>OK</v>
      </c>
    </row>
    <row r="218" spans="2:11" x14ac:dyDescent="0.2">
      <c r="B218" s="221">
        <v>61</v>
      </c>
      <c r="C218" s="105" t="s">
        <v>101</v>
      </c>
      <c r="D218" s="201" t="s">
        <v>590</v>
      </c>
      <c r="E218" s="105" t="s">
        <v>527</v>
      </c>
      <c r="F218" s="200">
        <f>VLOOKUP(B218,'ACS Price List'!$16:$180,8,FALSE)</f>
        <v>8061</v>
      </c>
      <c r="G218" s="200" t="s">
        <v>714</v>
      </c>
      <c r="H218" s="206" t="s">
        <v>29</v>
      </c>
      <c r="I218" s="206" t="str">
        <f>IFERROR(IF(D218="LR",VLOOKUP(B218,'ACS Price List'!$16:$180,11,FALSE),IF(D218="IS",VLOOKUP(B218,'ACS Price List'!$16:$180,11,FALSE),VLOOKUP(B218,'ACS Price List'!$16:$180,9,FALSE))),"POA")</f>
        <v>POA</v>
      </c>
      <c r="J218" s="204"/>
      <c r="K218" s="192" t="str">
        <f t="shared" si="3"/>
        <v>OK</v>
      </c>
    </row>
    <row r="219" spans="2:11" x14ac:dyDescent="0.2">
      <c r="B219" s="221">
        <v>62</v>
      </c>
      <c r="C219" s="105" t="s">
        <v>105</v>
      </c>
      <c r="D219" s="201" t="s">
        <v>590</v>
      </c>
      <c r="E219" s="105" t="s">
        <v>529</v>
      </c>
      <c r="F219" s="200">
        <f>VLOOKUP(B219,'ACS Price List'!$16:$180,8,FALSE)</f>
        <v>8062</v>
      </c>
      <c r="G219" s="200" t="s">
        <v>714</v>
      </c>
      <c r="H219" s="206" t="s">
        <v>29</v>
      </c>
      <c r="I219" s="206" t="str">
        <f>IFERROR(IF(D219="LR",VLOOKUP(B219,'ACS Price List'!$16:$180,11,FALSE),IF(D219="IS",VLOOKUP(B219,'ACS Price List'!$16:$180,11,FALSE),VLOOKUP(B219,'ACS Price List'!$16:$180,9,FALSE))),"POA")</f>
        <v>POA</v>
      </c>
      <c r="J219" s="204"/>
      <c r="K219" s="192" t="str">
        <f t="shared" si="3"/>
        <v>OK</v>
      </c>
    </row>
    <row r="220" spans="2:11" x14ac:dyDescent="0.2">
      <c r="B220" s="221">
        <v>63</v>
      </c>
      <c r="C220" s="105" t="s">
        <v>28</v>
      </c>
      <c r="D220" s="201" t="s">
        <v>416</v>
      </c>
      <c r="E220" s="105" t="s">
        <v>530</v>
      </c>
      <c r="F220" s="200">
        <f>VLOOKUP(B220,'ACS Price List'!$16:$180,8,FALSE)</f>
        <v>8063</v>
      </c>
      <c r="G220" s="200" t="s">
        <v>714</v>
      </c>
      <c r="H220" s="206" t="s">
        <v>29</v>
      </c>
      <c r="I220" s="206" t="str">
        <f>IFERROR(IF(D220="LR",VLOOKUP(B220,'ACS Price List'!$16:$180,11,FALSE),IF(D220="IS",VLOOKUP(B220,'ACS Price List'!$16:$180,11,FALSE),VLOOKUP(B220,'ACS Price List'!$16:$180,9,FALSE))),"POA")</f>
        <v>POA</v>
      </c>
      <c r="J220" s="204"/>
      <c r="K220" s="192" t="str">
        <f t="shared" si="3"/>
        <v>OK</v>
      </c>
    </row>
    <row r="221" spans="2:11" x14ac:dyDescent="0.2">
      <c r="B221" s="221">
        <v>64</v>
      </c>
      <c r="C221" s="105" t="s">
        <v>28</v>
      </c>
      <c r="D221" s="201" t="s">
        <v>416</v>
      </c>
      <c r="E221" s="105" t="s">
        <v>531</v>
      </c>
      <c r="F221" s="200">
        <f>VLOOKUP(B221,'ACS Price List'!$16:$180,8,FALSE)</f>
        <v>8064</v>
      </c>
      <c r="G221" s="200" t="s">
        <v>714</v>
      </c>
      <c r="H221" s="206" t="s">
        <v>29</v>
      </c>
      <c r="I221" s="206" t="str">
        <f>IFERROR(IF(D221="LR",VLOOKUP(B221,'ACS Price List'!$16:$180,11,FALSE),IF(D221="IS",VLOOKUP(B221,'ACS Price List'!$16:$180,11,FALSE),VLOOKUP(B221,'ACS Price List'!$16:$180,9,FALSE))),"POA")</f>
        <v>POA</v>
      </c>
      <c r="J221" s="204"/>
      <c r="K221" s="192" t="str">
        <f t="shared" si="3"/>
        <v>OK</v>
      </c>
    </row>
    <row r="222" spans="2:11" x14ac:dyDescent="0.2">
      <c r="B222" s="221">
        <v>65</v>
      </c>
      <c r="C222" s="105" t="s">
        <v>28</v>
      </c>
      <c r="D222" s="201" t="s">
        <v>416</v>
      </c>
      <c r="E222" s="105" t="s">
        <v>532</v>
      </c>
      <c r="F222" s="200">
        <f>VLOOKUP(B222,'ACS Price List'!$16:$180,8,FALSE)</f>
        <v>8065</v>
      </c>
      <c r="G222" s="200" t="s">
        <v>714</v>
      </c>
      <c r="H222" s="206" t="s">
        <v>29</v>
      </c>
      <c r="I222" s="206" t="str">
        <f>IFERROR(IF(D222="LR",VLOOKUP(B222,'ACS Price List'!$16:$180,11,FALSE),IF(D222="IS",VLOOKUP(B222,'ACS Price List'!$16:$180,11,FALSE),VLOOKUP(B222,'ACS Price List'!$16:$180,9,FALSE))),"POA")</f>
        <v>POA</v>
      </c>
      <c r="J222" s="204"/>
      <c r="K222" s="192" t="str">
        <f t="shared" si="3"/>
        <v>OK</v>
      </c>
    </row>
    <row r="223" spans="2:11" x14ac:dyDescent="0.2">
      <c r="B223" s="221">
        <v>66</v>
      </c>
      <c r="C223" s="105" t="s">
        <v>38</v>
      </c>
      <c r="D223" s="201" t="s">
        <v>590</v>
      </c>
      <c r="E223" s="105" t="s">
        <v>533</v>
      </c>
      <c r="F223" s="200">
        <f>VLOOKUP(B223,'ACS Price List'!$16:$180,8,FALSE)</f>
        <v>8066</v>
      </c>
      <c r="G223" s="200" t="s">
        <v>714</v>
      </c>
      <c r="H223" s="206">
        <v>0</v>
      </c>
      <c r="I223" s="206">
        <f>IFERROR(IF(D223="LR",VLOOKUP(B223,'ACS Price List'!$16:$180,11,FALSE),IF(D223="IS",VLOOKUP(B223,'ACS Price List'!$16:$180,11,FALSE),VLOOKUP(B223,'ACS Price List'!$16:$180,9,FALSE))),"POA")</f>
        <v>0</v>
      </c>
      <c r="J223" s="204"/>
      <c r="K223" s="192" t="str">
        <f t="shared" si="3"/>
        <v>OK</v>
      </c>
    </row>
    <row r="224" spans="2:11" x14ac:dyDescent="0.2">
      <c r="B224" s="221">
        <v>67</v>
      </c>
      <c r="C224" s="105" t="s">
        <v>34</v>
      </c>
      <c r="D224" s="201" t="s">
        <v>590</v>
      </c>
      <c r="E224" s="105" t="s">
        <v>534</v>
      </c>
      <c r="F224" s="200">
        <f>VLOOKUP(B224,'ACS Price List'!$16:$180,8,FALSE)</f>
        <v>8067</v>
      </c>
      <c r="G224" s="200" t="s">
        <v>714</v>
      </c>
      <c r="H224" s="206">
        <v>109.9</v>
      </c>
      <c r="I224" s="206">
        <f>IFERROR(IF(D224="LR",VLOOKUP(B224,'ACS Price List'!$16:$180,11,FALSE),IF(D224="IS",VLOOKUP(B224,'ACS Price List'!$16:$180,11,FALSE),VLOOKUP(B224,'ACS Price List'!$16:$180,9,FALSE))),"POA")</f>
        <v>109.9</v>
      </c>
      <c r="J224" s="204"/>
      <c r="K224" s="192" t="str">
        <f t="shared" si="3"/>
        <v>OK</v>
      </c>
    </row>
    <row r="225" spans="2:11" x14ac:dyDescent="0.2">
      <c r="B225" s="222" t="s">
        <v>655</v>
      </c>
      <c r="C225" s="105" t="s">
        <v>657</v>
      </c>
      <c r="D225" s="201" t="s">
        <v>590</v>
      </c>
      <c r="E225" s="105" t="s">
        <v>656</v>
      </c>
      <c r="F225" s="200">
        <f>VLOOKUP(B225,'ACS Price List'!$16:$180,8,FALSE)</f>
        <v>8254</v>
      </c>
      <c r="G225" s="200" t="s">
        <v>714</v>
      </c>
      <c r="H225" s="206"/>
      <c r="I225" s="203">
        <f>IFERROR(IF(D225="LR",VLOOKUP(B225,'ACS Price List'!$16:$180,11,FALSE),IF(D225="IS",VLOOKUP(B225,'ACS Price List'!$16:$180,11,FALSE),VLOOKUP(B225,'ACS Price List'!$16:$180,9,FALSE))),"POA")</f>
        <v>109.9</v>
      </c>
      <c r="J225" s="186"/>
      <c r="K225" s="192" t="str">
        <f t="shared" si="3"/>
        <v>CHANGE</v>
      </c>
    </row>
    <row r="226" spans="2:11" x14ac:dyDescent="0.2">
      <c r="B226" s="223">
        <v>68</v>
      </c>
      <c r="C226" s="105" t="s">
        <v>28</v>
      </c>
      <c r="D226" s="201" t="s">
        <v>416</v>
      </c>
      <c r="E226" s="105" t="s">
        <v>535</v>
      </c>
      <c r="F226" s="200">
        <f>VLOOKUP(B226,'ACS Price List'!$16:$180,8,FALSE)</f>
        <v>8068</v>
      </c>
      <c r="G226" s="200" t="s">
        <v>714</v>
      </c>
      <c r="H226" s="206" t="s">
        <v>29</v>
      </c>
      <c r="I226" s="206" t="str">
        <f>IFERROR(IF(D226="LR",VLOOKUP(B226,'ACS Price List'!$16:$180,11,FALSE),IF(D226="IS",VLOOKUP(B226,'ACS Price List'!$16:$180,11,FALSE),VLOOKUP(B226,'ACS Price List'!$16:$180,9,FALSE))),"POA")</f>
        <v>POA</v>
      </c>
      <c r="J226" s="204"/>
      <c r="K226" s="192" t="str">
        <f t="shared" si="3"/>
        <v>OK</v>
      </c>
    </row>
    <row r="227" spans="2:11" x14ac:dyDescent="0.2">
      <c r="B227" s="223">
        <v>69</v>
      </c>
      <c r="C227" s="105" t="s">
        <v>28</v>
      </c>
      <c r="D227" s="201" t="s">
        <v>416</v>
      </c>
      <c r="E227" s="105" t="s">
        <v>537</v>
      </c>
      <c r="F227" s="200">
        <f>VLOOKUP(B227,'ACS Price List'!$16:$180,8,FALSE)</f>
        <v>8070</v>
      </c>
      <c r="G227" s="200" t="s">
        <v>714</v>
      </c>
      <c r="H227" s="206" t="s">
        <v>29</v>
      </c>
      <c r="I227" s="206" t="str">
        <f>IFERROR(IF(D227="LR",VLOOKUP(B227,'ACS Price List'!$16:$180,11,FALSE),IF(D227="IS",VLOOKUP(B227,'ACS Price List'!$16:$180,11,FALSE),VLOOKUP(B227,'ACS Price List'!$16:$180,9,FALSE))),"POA")</f>
        <v>POA</v>
      </c>
      <c r="J227" s="204"/>
      <c r="K227" s="192" t="str">
        <f t="shared" si="3"/>
        <v>OK</v>
      </c>
    </row>
    <row r="228" spans="2:11" x14ac:dyDescent="0.2">
      <c r="B228" s="223">
        <v>70</v>
      </c>
      <c r="C228" s="105" t="s">
        <v>28</v>
      </c>
      <c r="D228" s="201" t="s">
        <v>416</v>
      </c>
      <c r="E228" s="105" t="s">
        <v>539</v>
      </c>
      <c r="F228" s="200">
        <f>VLOOKUP(B228,'ACS Price List'!$16:$180,8,FALSE)</f>
        <v>8071</v>
      </c>
      <c r="G228" s="200" t="s">
        <v>714</v>
      </c>
      <c r="H228" s="206" t="s">
        <v>29</v>
      </c>
      <c r="I228" s="206" t="str">
        <f>IFERROR(IF(D228="LR",VLOOKUP(B228,'ACS Price List'!$16:$180,11,FALSE),IF(D228="IS",VLOOKUP(B228,'ACS Price List'!$16:$180,11,FALSE),VLOOKUP(B228,'ACS Price List'!$16:$180,9,FALSE))),"POA")</f>
        <v>POA</v>
      </c>
      <c r="J228" s="204"/>
      <c r="K228" s="192" t="str">
        <f t="shared" si="3"/>
        <v>OK</v>
      </c>
    </row>
    <row r="229" spans="2:11" x14ac:dyDescent="0.2">
      <c r="B229" s="223">
        <v>71</v>
      </c>
      <c r="C229" s="105" t="s">
        <v>28</v>
      </c>
      <c r="D229" s="201" t="s">
        <v>416</v>
      </c>
      <c r="E229" s="105" t="s">
        <v>541</v>
      </c>
      <c r="F229" s="200">
        <f>VLOOKUP(B229,'ACS Price List'!$16:$180,8,FALSE)</f>
        <v>8072</v>
      </c>
      <c r="G229" s="200" t="s">
        <v>714</v>
      </c>
      <c r="H229" s="206" t="s">
        <v>29</v>
      </c>
      <c r="I229" s="206" t="str">
        <f>IFERROR(IF(D229="LR",VLOOKUP(B229,'ACS Price List'!$16:$180,11,FALSE),IF(D229="IS",VLOOKUP(B229,'ACS Price List'!$16:$180,11,FALSE),VLOOKUP(B229,'ACS Price List'!$16:$180,9,FALSE))),"POA")</f>
        <v>POA</v>
      </c>
      <c r="J229" s="204"/>
      <c r="K229" s="192" t="str">
        <f t="shared" si="3"/>
        <v>OK</v>
      </c>
    </row>
    <row r="230" spans="2:11" x14ac:dyDescent="0.2">
      <c r="B230" s="223">
        <v>72</v>
      </c>
      <c r="C230" s="105" t="s">
        <v>28</v>
      </c>
      <c r="D230" s="201" t="s">
        <v>416</v>
      </c>
      <c r="E230" s="105" t="s">
        <v>543</v>
      </c>
      <c r="F230" s="200">
        <f>VLOOKUP(B230,'ACS Price List'!$16:$180,8,FALSE)</f>
        <v>8073</v>
      </c>
      <c r="G230" s="200" t="s">
        <v>714</v>
      </c>
      <c r="H230" s="206" t="s">
        <v>29</v>
      </c>
      <c r="I230" s="206" t="str">
        <f>IFERROR(IF(D230="LR",VLOOKUP(B230,'ACS Price List'!$16:$180,11,FALSE),IF(D230="IS",VLOOKUP(B230,'ACS Price List'!$16:$180,11,FALSE),VLOOKUP(B230,'ACS Price List'!$16:$180,9,FALSE))),"POA")</f>
        <v>POA</v>
      </c>
      <c r="J230" s="204"/>
      <c r="K230" s="192" t="str">
        <f t="shared" si="3"/>
        <v>OK</v>
      </c>
    </row>
    <row r="231" spans="2:11" x14ac:dyDescent="0.2">
      <c r="B231" s="223">
        <v>73</v>
      </c>
      <c r="C231" s="105" t="s">
        <v>28</v>
      </c>
      <c r="D231" s="201" t="s">
        <v>416</v>
      </c>
      <c r="E231" s="105" t="s">
        <v>545</v>
      </c>
      <c r="F231" s="200">
        <f>VLOOKUP(B231,'ACS Price List'!$16:$180,8,FALSE)</f>
        <v>8074</v>
      </c>
      <c r="G231" s="200" t="s">
        <v>714</v>
      </c>
      <c r="H231" s="206" t="s">
        <v>29</v>
      </c>
      <c r="I231" s="206" t="str">
        <f>IFERROR(IF(D231="LR",VLOOKUP(B231,'ACS Price List'!$16:$180,11,FALSE),IF(D231="IS",VLOOKUP(B231,'ACS Price List'!$16:$180,11,FALSE),VLOOKUP(B231,'ACS Price List'!$16:$180,9,FALSE))),"POA")</f>
        <v>POA</v>
      </c>
      <c r="J231" s="204"/>
      <c r="K231" s="192" t="str">
        <f t="shared" si="3"/>
        <v>OK</v>
      </c>
    </row>
    <row r="232" spans="2:11" x14ac:dyDescent="0.2">
      <c r="B232" s="223">
        <v>74</v>
      </c>
      <c r="C232" s="105" t="s">
        <v>187</v>
      </c>
      <c r="D232" s="201" t="s">
        <v>590</v>
      </c>
      <c r="E232" s="105" t="s">
        <v>547</v>
      </c>
      <c r="F232" s="200">
        <f>VLOOKUP(B232,'ACS Price List'!$16:$180,8,FALSE)</f>
        <v>8080</v>
      </c>
      <c r="G232" s="200" t="s">
        <v>714</v>
      </c>
      <c r="H232" s="206">
        <v>39.1</v>
      </c>
      <c r="I232" s="206">
        <f>IFERROR(IF(D232="LR",VLOOKUP(B232,'ACS Price List'!$16:$180,11,FALSE),IF(D232="IS",VLOOKUP(B232,'ACS Price List'!$16:$180,11,FALSE),VLOOKUP(B232,'ACS Price List'!$16:$180,9,FALSE))),"POA")</f>
        <v>39.1</v>
      </c>
      <c r="J232" s="204"/>
      <c r="K232" s="192" t="str">
        <f t="shared" si="3"/>
        <v>OK</v>
      </c>
    </row>
    <row r="233" spans="2:11" x14ac:dyDescent="0.2">
      <c r="B233" s="223">
        <v>75</v>
      </c>
      <c r="C233" s="105" t="s">
        <v>195</v>
      </c>
      <c r="D233" s="201" t="s">
        <v>590</v>
      </c>
      <c r="E233" s="105" t="s">
        <v>548</v>
      </c>
      <c r="F233" s="200">
        <f>VLOOKUP(B233,'ACS Price List'!$16:$180,8,FALSE)</f>
        <v>8081</v>
      </c>
      <c r="G233" s="200" t="s">
        <v>714</v>
      </c>
      <c r="H233" s="206">
        <v>18.100000000000001</v>
      </c>
      <c r="I233" s="206">
        <f>IFERROR(IF(D233="LR",VLOOKUP(B233,'ACS Price List'!$16:$180,11,FALSE),IF(D233="IS",VLOOKUP(B233,'ACS Price List'!$16:$180,11,FALSE),VLOOKUP(B233,'ACS Price List'!$16:$180,9,FALSE))),"POA")</f>
        <v>18.100000000000001</v>
      </c>
      <c r="J233" s="204"/>
      <c r="K233" s="192" t="str">
        <f t="shared" si="3"/>
        <v>OK</v>
      </c>
    </row>
    <row r="234" spans="2:11" x14ac:dyDescent="0.2">
      <c r="B234" s="223">
        <v>76</v>
      </c>
      <c r="C234" s="105" t="s">
        <v>203</v>
      </c>
      <c r="D234" s="201" t="s">
        <v>590</v>
      </c>
      <c r="E234" s="105" t="s">
        <v>549</v>
      </c>
      <c r="F234" s="200">
        <f>VLOOKUP(B234,'ACS Price List'!$16:$180,8,FALSE)</f>
        <v>8082</v>
      </c>
      <c r="G234" s="200" t="s">
        <v>714</v>
      </c>
      <c r="H234" s="206" t="s">
        <v>29</v>
      </c>
      <c r="I234" s="206" t="str">
        <f>IFERROR(IF(D234="LR",VLOOKUP(B234,'ACS Price List'!$16:$180,11,FALSE),IF(D234="IS",VLOOKUP(B234,'ACS Price List'!$16:$180,11,FALSE),VLOOKUP(B234,'ACS Price List'!$16:$180,9,FALSE))),"POA")</f>
        <v>POA</v>
      </c>
      <c r="J234" s="204"/>
      <c r="K234" s="192" t="str">
        <f t="shared" si="3"/>
        <v>OK</v>
      </c>
    </row>
    <row r="235" spans="2:11" x14ac:dyDescent="0.2">
      <c r="B235" s="223">
        <v>77</v>
      </c>
      <c r="C235" s="105" t="s">
        <v>207</v>
      </c>
      <c r="D235" s="201" t="s">
        <v>590</v>
      </c>
      <c r="E235" s="105" t="s">
        <v>550</v>
      </c>
      <c r="F235" s="200">
        <f>VLOOKUP(B235,'ACS Price List'!$16:$180,8,FALSE)</f>
        <v>8083</v>
      </c>
      <c r="G235" s="200" t="s">
        <v>714</v>
      </c>
      <c r="H235" s="206" t="s">
        <v>29</v>
      </c>
      <c r="I235" s="206" t="str">
        <f>IFERROR(IF(D235="LR",VLOOKUP(B235,'ACS Price List'!$16:$180,11,FALSE),IF(D235="IS",VLOOKUP(B235,'ACS Price List'!$16:$180,11,FALSE),VLOOKUP(B235,'ACS Price List'!$16:$180,9,FALSE))),"POA")</f>
        <v>POA</v>
      </c>
      <c r="J235" s="204"/>
      <c r="K235" s="192" t="str">
        <f t="shared" si="3"/>
        <v>OK</v>
      </c>
    </row>
    <row r="236" spans="2:11" x14ac:dyDescent="0.2">
      <c r="B236" s="223">
        <v>78</v>
      </c>
      <c r="C236" s="105" t="s">
        <v>211</v>
      </c>
      <c r="D236" s="201" t="s">
        <v>590</v>
      </c>
      <c r="E236" s="105" t="s">
        <v>551</v>
      </c>
      <c r="F236" s="200">
        <f>VLOOKUP(B236,'ACS Price List'!$16:$180,8,FALSE)</f>
        <v>8084</v>
      </c>
      <c r="G236" s="200" t="s">
        <v>714</v>
      </c>
      <c r="H236" s="206" t="s">
        <v>29</v>
      </c>
      <c r="I236" s="206" t="str">
        <f>IFERROR(IF(D236="LR",VLOOKUP(B236,'ACS Price List'!$16:$180,11,FALSE),IF(D236="IS",VLOOKUP(B236,'ACS Price List'!$16:$180,11,FALSE),VLOOKUP(B236,'ACS Price List'!$16:$180,9,FALSE))),"POA")</f>
        <v>POA</v>
      </c>
      <c r="J236" s="204"/>
      <c r="K236" s="192" t="str">
        <f t="shared" si="3"/>
        <v>OK</v>
      </c>
    </row>
    <row r="237" spans="2:11" x14ac:dyDescent="0.2">
      <c r="B237" s="223">
        <v>79</v>
      </c>
      <c r="C237" s="105" t="s">
        <v>28</v>
      </c>
      <c r="D237" s="201" t="s">
        <v>416</v>
      </c>
      <c r="E237" s="105" t="s">
        <v>552</v>
      </c>
      <c r="F237" s="200">
        <f>VLOOKUP(B237,'ACS Price List'!$16:$180,8,FALSE)</f>
        <v>8085</v>
      </c>
      <c r="G237" s="200" t="s">
        <v>714</v>
      </c>
      <c r="H237" s="206" t="s">
        <v>29</v>
      </c>
      <c r="I237" s="206" t="str">
        <f>IFERROR(IF(D237="LR",VLOOKUP(B237,'ACS Price List'!$16:$180,11,FALSE),IF(D237="IS",VLOOKUP(B237,'ACS Price List'!$16:$180,11,FALSE),VLOOKUP(B237,'ACS Price List'!$16:$180,9,FALSE))),"POA")</f>
        <v>POA</v>
      </c>
      <c r="J237" s="204"/>
      <c r="K237" s="192" t="str">
        <f t="shared" si="3"/>
        <v>OK</v>
      </c>
    </row>
    <row r="238" spans="2:11" x14ac:dyDescent="0.2">
      <c r="B238" s="223">
        <v>80</v>
      </c>
      <c r="C238" s="105" t="s">
        <v>215</v>
      </c>
      <c r="D238" s="201" t="s">
        <v>590</v>
      </c>
      <c r="E238" s="105" t="s">
        <v>553</v>
      </c>
      <c r="F238" s="200">
        <f>VLOOKUP(B238,'ACS Price List'!$16:$180,8,FALSE)</f>
        <v>8086</v>
      </c>
      <c r="G238" s="200" t="s">
        <v>714</v>
      </c>
      <c r="H238" s="206" t="s">
        <v>29</v>
      </c>
      <c r="I238" s="206" t="str">
        <f>IFERROR(IF(D238="LR",VLOOKUP(B238,'ACS Price List'!$16:$180,11,FALSE),IF(D238="IS",VLOOKUP(B238,'ACS Price List'!$16:$180,11,FALSE),VLOOKUP(B238,'ACS Price List'!$16:$180,9,FALSE))),"POA")</f>
        <v>POA</v>
      </c>
      <c r="J238" s="204"/>
      <c r="K238" s="192" t="str">
        <f t="shared" si="3"/>
        <v>OK</v>
      </c>
    </row>
    <row r="239" spans="2:11" x14ac:dyDescent="0.2">
      <c r="B239" s="223">
        <v>81</v>
      </c>
      <c r="C239" s="105" t="s">
        <v>219</v>
      </c>
      <c r="D239" s="201" t="s">
        <v>590</v>
      </c>
      <c r="E239" s="105" t="s">
        <v>554</v>
      </c>
      <c r="F239" s="200">
        <f>VLOOKUP(B239,'ACS Price List'!$16:$180,8,FALSE)</f>
        <v>8087</v>
      </c>
      <c r="G239" s="200" t="s">
        <v>714</v>
      </c>
      <c r="H239" s="206" t="s">
        <v>29</v>
      </c>
      <c r="I239" s="206" t="str">
        <f>IFERROR(IF(D239="LR",VLOOKUP(B239,'ACS Price List'!$16:$180,11,FALSE),IF(D239="IS",VLOOKUP(B239,'ACS Price List'!$16:$180,11,FALSE),VLOOKUP(B239,'ACS Price List'!$16:$180,9,FALSE))),"POA")</f>
        <v>POA</v>
      </c>
      <c r="J239" s="204"/>
      <c r="K239" s="192" t="str">
        <f t="shared" si="3"/>
        <v>OK</v>
      </c>
    </row>
    <row r="240" spans="2:11" x14ac:dyDescent="0.2">
      <c r="B240" s="223">
        <v>82</v>
      </c>
      <c r="C240" s="105" t="s">
        <v>286</v>
      </c>
      <c r="D240" s="201" t="s">
        <v>590</v>
      </c>
      <c r="E240" s="105" t="s">
        <v>555</v>
      </c>
      <c r="F240" s="200">
        <f>VLOOKUP(B240,'ACS Price List'!$16:$180,8,FALSE)</f>
        <v>8088</v>
      </c>
      <c r="G240" s="200" t="s">
        <v>714</v>
      </c>
      <c r="H240" s="206" t="s">
        <v>29</v>
      </c>
      <c r="I240" s="206" t="str">
        <f>IFERROR(IF(D240="LR",VLOOKUP(B240,'ACS Price List'!$16:$180,11,FALSE),IF(D240="IS",VLOOKUP(B240,'ACS Price List'!$16:$180,11,FALSE),VLOOKUP(B240,'ACS Price List'!$16:$180,9,FALSE))),"POA")</f>
        <v>POA</v>
      </c>
      <c r="J240" s="204"/>
      <c r="K240" s="192" t="str">
        <f t="shared" si="3"/>
        <v>OK</v>
      </c>
    </row>
    <row r="241" spans="2:11" x14ac:dyDescent="0.2">
      <c r="B241" s="223">
        <v>83</v>
      </c>
      <c r="C241" s="105" t="s">
        <v>223</v>
      </c>
      <c r="D241" s="201" t="s">
        <v>590</v>
      </c>
      <c r="E241" s="105" t="s">
        <v>556</v>
      </c>
      <c r="F241" s="200">
        <f>VLOOKUP(B241,'ACS Price List'!$16:$180,8,FALSE)</f>
        <v>8089</v>
      </c>
      <c r="G241" s="200" t="s">
        <v>714</v>
      </c>
      <c r="H241" s="206" t="s">
        <v>29</v>
      </c>
      <c r="I241" s="206" t="str">
        <f>IFERROR(IF(D241="LR",VLOOKUP(B241,'ACS Price List'!$16:$180,11,FALSE),IF(D241="IS",VLOOKUP(B241,'ACS Price List'!$16:$180,11,FALSE),VLOOKUP(B241,'ACS Price List'!$16:$180,9,FALSE))),"POA")</f>
        <v>POA</v>
      </c>
      <c r="J241" s="204"/>
      <c r="K241" s="192" t="str">
        <f t="shared" si="3"/>
        <v>OK</v>
      </c>
    </row>
    <row r="242" spans="2:11" x14ac:dyDescent="0.2">
      <c r="B242" s="223">
        <v>84</v>
      </c>
      <c r="C242" s="105" t="s">
        <v>227</v>
      </c>
      <c r="D242" s="201" t="s">
        <v>590</v>
      </c>
      <c r="E242" s="105" t="s">
        <v>558</v>
      </c>
      <c r="F242" s="200">
        <f>VLOOKUP(B242,'ACS Price List'!$16:$180,8,FALSE)</f>
        <v>8090</v>
      </c>
      <c r="G242" s="200" t="s">
        <v>714</v>
      </c>
      <c r="H242" s="206" t="s">
        <v>29</v>
      </c>
      <c r="I242" s="206" t="str">
        <f>IFERROR(IF(D242="LR",VLOOKUP(B242,'ACS Price List'!$16:$180,11,FALSE),IF(D242="IS",VLOOKUP(B242,'ACS Price List'!$16:$180,11,FALSE),VLOOKUP(B242,'ACS Price List'!$16:$180,9,FALSE))),"POA")</f>
        <v>POA</v>
      </c>
      <c r="J242" s="204"/>
      <c r="K242" s="192" t="str">
        <f t="shared" si="3"/>
        <v>OK</v>
      </c>
    </row>
    <row r="243" spans="2:11" x14ac:dyDescent="0.2">
      <c r="B243" s="223">
        <v>85</v>
      </c>
      <c r="C243" s="105" t="s">
        <v>231</v>
      </c>
      <c r="D243" s="201" t="s">
        <v>590</v>
      </c>
      <c r="E243" s="105" t="s">
        <v>559</v>
      </c>
      <c r="F243" s="200">
        <f>VLOOKUP(B243,'ACS Price List'!$16:$180,8,FALSE)</f>
        <v>8091</v>
      </c>
      <c r="G243" s="200" t="s">
        <v>714</v>
      </c>
      <c r="H243" s="206" t="s">
        <v>29</v>
      </c>
      <c r="I243" s="206" t="str">
        <f>IFERROR(IF(D243="LR",VLOOKUP(B243,'ACS Price List'!$16:$180,11,FALSE),IF(D243="IS",VLOOKUP(B243,'ACS Price List'!$16:$180,11,FALSE),VLOOKUP(B243,'ACS Price List'!$16:$180,9,FALSE))),"POA")</f>
        <v>POA</v>
      </c>
      <c r="J243" s="204"/>
      <c r="K243" s="192" t="str">
        <f t="shared" si="3"/>
        <v>OK</v>
      </c>
    </row>
    <row r="244" spans="2:11" x14ac:dyDescent="0.2">
      <c r="B244" s="223">
        <v>86</v>
      </c>
      <c r="C244" s="105" t="s">
        <v>235</v>
      </c>
      <c r="D244" s="201" t="s">
        <v>590</v>
      </c>
      <c r="E244" s="105" t="s">
        <v>560</v>
      </c>
      <c r="F244" s="200">
        <f>VLOOKUP(B244,'ACS Price List'!$16:$180,8,FALSE)</f>
        <v>8092</v>
      </c>
      <c r="G244" s="200" t="s">
        <v>714</v>
      </c>
      <c r="H244" s="206" t="s">
        <v>29</v>
      </c>
      <c r="I244" s="206" t="str">
        <f>IFERROR(IF(D244="LR",VLOOKUP(B244,'ACS Price List'!$16:$180,11,FALSE),IF(D244="IS",VLOOKUP(B244,'ACS Price List'!$16:$180,11,FALSE),VLOOKUP(B244,'ACS Price List'!$16:$180,9,FALSE))),"POA")</f>
        <v>POA</v>
      </c>
      <c r="J244" s="204"/>
      <c r="K244" s="192" t="str">
        <f t="shared" si="3"/>
        <v>OK</v>
      </c>
    </row>
    <row r="245" spans="2:11" x14ac:dyDescent="0.2">
      <c r="B245" s="223">
        <v>87</v>
      </c>
      <c r="C245" s="105" t="s">
        <v>239</v>
      </c>
      <c r="D245" s="201" t="s">
        <v>590</v>
      </c>
      <c r="E245" s="105" t="s">
        <v>561</v>
      </c>
      <c r="F245" s="200">
        <f>VLOOKUP(B245,'ACS Price List'!$16:$180,8,FALSE)</f>
        <v>8093</v>
      </c>
      <c r="G245" s="200" t="s">
        <v>714</v>
      </c>
      <c r="H245" s="206" t="s">
        <v>29</v>
      </c>
      <c r="I245" s="206" t="str">
        <f>IFERROR(IF(D245="LR",VLOOKUP(B245,'ACS Price List'!$16:$180,11,FALSE),IF(D245="IS",VLOOKUP(B245,'ACS Price List'!$16:$180,11,FALSE),VLOOKUP(B245,'ACS Price List'!$16:$180,9,FALSE))),"POA")</f>
        <v>POA</v>
      </c>
      <c r="J245" s="204"/>
      <c r="K245" s="192" t="str">
        <f t="shared" si="3"/>
        <v>OK</v>
      </c>
    </row>
    <row r="246" spans="2:11" x14ac:dyDescent="0.2">
      <c r="B246" s="223">
        <v>88</v>
      </c>
      <c r="C246" s="105" t="s">
        <v>243</v>
      </c>
      <c r="D246" s="201" t="s">
        <v>590</v>
      </c>
      <c r="E246" s="105" t="s">
        <v>563</v>
      </c>
      <c r="F246" s="200">
        <f>VLOOKUP(B246,'ACS Price List'!$16:$180,8,FALSE)</f>
        <v>8094</v>
      </c>
      <c r="G246" s="200" t="s">
        <v>714</v>
      </c>
      <c r="H246" s="206" t="s">
        <v>29</v>
      </c>
      <c r="I246" s="206" t="str">
        <f>IFERROR(IF(D246="LR",VLOOKUP(B246,'ACS Price List'!$16:$180,11,FALSE),IF(D246="IS",VLOOKUP(B246,'ACS Price List'!$16:$180,11,FALSE),VLOOKUP(B246,'ACS Price List'!$16:$180,9,FALSE))),"POA")</f>
        <v>POA</v>
      </c>
      <c r="J246" s="204"/>
      <c r="K246" s="192" t="str">
        <f t="shared" si="3"/>
        <v>OK</v>
      </c>
    </row>
    <row r="247" spans="2:11" x14ac:dyDescent="0.2">
      <c r="B247" s="223">
        <v>89</v>
      </c>
      <c r="C247" s="105" t="s">
        <v>28</v>
      </c>
      <c r="D247" s="201" t="s">
        <v>416</v>
      </c>
      <c r="E247" s="105" t="s">
        <v>565</v>
      </c>
      <c r="F247" s="200">
        <f>VLOOKUP(B247,'ACS Price List'!$16:$180,8,FALSE)</f>
        <v>8100</v>
      </c>
      <c r="G247" s="200" t="s">
        <v>714</v>
      </c>
      <c r="H247" s="206" t="s">
        <v>29</v>
      </c>
      <c r="I247" s="206" t="str">
        <f>IFERROR(IF(D247="LR",VLOOKUP(B247,'ACS Price List'!$16:$180,11,FALSE),IF(D247="IS",VLOOKUP(B247,'ACS Price List'!$16:$180,11,FALSE),VLOOKUP(B247,'ACS Price List'!$16:$180,9,FALSE))),"POA")</f>
        <v>POA</v>
      </c>
      <c r="J247" s="204"/>
      <c r="K247" s="192" t="str">
        <f t="shared" si="3"/>
        <v>OK</v>
      </c>
    </row>
    <row r="248" spans="2:11" x14ac:dyDescent="0.2">
      <c r="B248" s="223">
        <v>90</v>
      </c>
      <c r="C248" s="105" t="s">
        <v>28</v>
      </c>
      <c r="D248" s="201" t="s">
        <v>416</v>
      </c>
      <c r="E248" s="105" t="s">
        <v>567</v>
      </c>
      <c r="F248" s="200">
        <f>VLOOKUP(B248,'ACS Price List'!$16:$180,8,FALSE)</f>
        <v>8101</v>
      </c>
      <c r="G248" s="200" t="s">
        <v>714</v>
      </c>
      <c r="H248" s="206" t="s">
        <v>29</v>
      </c>
      <c r="I248" s="206" t="str">
        <f>IFERROR(IF(D248="LR",VLOOKUP(B248,'ACS Price List'!$16:$180,11,FALSE),IF(D248="IS",VLOOKUP(B248,'ACS Price List'!$16:$180,11,FALSE),VLOOKUP(B248,'ACS Price List'!$16:$180,9,FALSE))),"POA")</f>
        <v>POA</v>
      </c>
      <c r="J248" s="204"/>
      <c r="K248" s="192" t="str">
        <f t="shared" si="3"/>
        <v>OK</v>
      </c>
    </row>
    <row r="249" spans="2:11" x14ac:dyDescent="0.2">
      <c r="B249" s="223">
        <v>91</v>
      </c>
      <c r="C249" s="105" t="s">
        <v>432</v>
      </c>
      <c r="D249" s="201" t="s">
        <v>590</v>
      </c>
      <c r="E249" s="105" t="s">
        <v>569</v>
      </c>
      <c r="F249" s="200">
        <f>VLOOKUP(B249,'ACS Price List'!$16:$180,8,FALSE)</f>
        <v>8102</v>
      </c>
      <c r="G249" s="200" t="s">
        <v>714</v>
      </c>
      <c r="H249" s="206" t="s">
        <v>29</v>
      </c>
      <c r="I249" s="206" t="str">
        <f>IFERROR(IF(D249="LR",VLOOKUP(B249,'ACS Price List'!$16:$180,11,FALSE),IF(D249="IS",VLOOKUP(B249,'ACS Price List'!$16:$180,11,FALSE),VLOOKUP(B249,'ACS Price List'!$16:$180,9,FALSE))),"POA")</f>
        <v>POA</v>
      </c>
      <c r="J249" s="204"/>
      <c r="K249" s="192" t="str">
        <f t="shared" si="3"/>
        <v>OK</v>
      </c>
    </row>
    <row r="250" spans="2:11" x14ac:dyDescent="0.2">
      <c r="B250" s="223" t="s">
        <v>647</v>
      </c>
      <c r="C250" s="105" t="s">
        <v>256</v>
      </c>
      <c r="D250" s="201" t="s">
        <v>590</v>
      </c>
      <c r="E250" s="105" t="s">
        <v>663</v>
      </c>
      <c r="F250" s="200">
        <f>VLOOKUP(B250,'ACS Price List'!$16:$180,8,FALSE)</f>
        <v>8103</v>
      </c>
      <c r="G250" s="200" t="s">
        <v>714</v>
      </c>
      <c r="H250" s="206" t="s">
        <v>29</v>
      </c>
      <c r="I250" s="206" t="str">
        <f>IFERROR(IF(D250="LR",VLOOKUP(B250,'ACS Price List'!$16:$180,11,FALSE),IF(D250="IS",VLOOKUP(B250,'ACS Price List'!$16:$180,11,FALSE),VLOOKUP(B250,'ACS Price List'!$16:$180,9,FALSE))),"POA")</f>
        <v>POA</v>
      </c>
      <c r="J250" s="204"/>
      <c r="K250" s="192" t="str">
        <f t="shared" si="3"/>
        <v>OK</v>
      </c>
    </row>
    <row r="251" spans="2:11" x14ac:dyDescent="0.2">
      <c r="B251" s="223" t="s">
        <v>750</v>
      </c>
      <c r="C251" s="105" t="s">
        <v>742</v>
      </c>
      <c r="D251" s="201" t="s">
        <v>590</v>
      </c>
      <c r="E251" s="105" t="s">
        <v>723</v>
      </c>
      <c r="F251" s="200">
        <f>VLOOKUP(B251,'ACS Price List'!$16:$180,8,FALSE)</f>
        <v>8113</v>
      </c>
      <c r="G251" s="200" t="s">
        <v>714</v>
      </c>
      <c r="H251" s="206" t="s">
        <v>29</v>
      </c>
      <c r="I251" s="206" t="str">
        <f>IFERROR(IF(D251="LR",VLOOKUP(B251,'ACS Price List'!$16:$180,11,FALSE),IF(D251="IS",VLOOKUP(B251,'ACS Price List'!$16:$180,11,FALSE),VLOOKUP(B251,'ACS Price List'!$16:$180,9,FALSE))),"POA")</f>
        <v>POA</v>
      </c>
      <c r="J251" s="204"/>
      <c r="K251" s="192" t="str">
        <f t="shared" si="3"/>
        <v>OK</v>
      </c>
    </row>
    <row r="252" spans="2:11" x14ac:dyDescent="0.2">
      <c r="B252" s="223">
        <v>93</v>
      </c>
      <c r="C252" s="105" t="s">
        <v>28</v>
      </c>
      <c r="D252" s="201" t="s">
        <v>416</v>
      </c>
      <c r="E252" s="105" t="s">
        <v>571</v>
      </c>
      <c r="F252" s="200">
        <f>VLOOKUP(B252,'ACS Price List'!$16:$180,8,FALSE)</f>
        <v>8108</v>
      </c>
      <c r="G252" s="200" t="s">
        <v>714</v>
      </c>
      <c r="H252" s="206" t="s">
        <v>29</v>
      </c>
      <c r="I252" s="206" t="str">
        <f>IFERROR(IF(D252="LR",VLOOKUP(B252,'ACS Price List'!$16:$180,11,FALSE),IF(D252="IS",VLOOKUP(B252,'ACS Price List'!$16:$180,11,FALSE),VLOOKUP(B252,'ACS Price List'!$16:$180,9,FALSE))),"POA")</f>
        <v>POA</v>
      </c>
      <c r="J252" s="204"/>
      <c r="K252" s="192" t="str">
        <f t="shared" si="3"/>
        <v>OK</v>
      </c>
    </row>
    <row r="253" spans="2:11" x14ac:dyDescent="0.2">
      <c r="B253" s="223">
        <v>94</v>
      </c>
      <c r="C253" s="105" t="s">
        <v>28</v>
      </c>
      <c r="D253" s="201" t="s">
        <v>416</v>
      </c>
      <c r="E253" s="105" t="s">
        <v>573</v>
      </c>
      <c r="F253" s="200">
        <f>VLOOKUP(B253,'ACS Price List'!$16:$180,8,FALSE)</f>
        <v>8109</v>
      </c>
      <c r="G253" s="200" t="s">
        <v>714</v>
      </c>
      <c r="H253" s="206" t="s">
        <v>29</v>
      </c>
      <c r="I253" s="206" t="str">
        <f>IFERROR(IF(D253="LR",VLOOKUP(B253,'ACS Price List'!$16:$180,11,FALSE),IF(D253="IS",VLOOKUP(B253,'ACS Price List'!$16:$180,11,FALSE),VLOOKUP(B253,'ACS Price List'!$16:$180,9,FALSE))),"POA")</f>
        <v>POA</v>
      </c>
      <c r="J253" s="204"/>
      <c r="K253" s="192" t="str">
        <f t="shared" si="3"/>
        <v>OK</v>
      </c>
    </row>
    <row r="254" spans="2:11" x14ac:dyDescent="0.2">
      <c r="B254" s="223">
        <v>95</v>
      </c>
      <c r="C254" s="105" t="s">
        <v>28</v>
      </c>
      <c r="D254" s="201" t="s">
        <v>416</v>
      </c>
      <c r="E254" s="105" t="s">
        <v>575</v>
      </c>
      <c r="F254" s="200">
        <f>VLOOKUP(B254,'ACS Price List'!$16:$180,8,FALSE)</f>
        <v>8110</v>
      </c>
      <c r="G254" s="200" t="s">
        <v>714</v>
      </c>
      <c r="H254" s="206" t="s">
        <v>29</v>
      </c>
      <c r="I254" s="206" t="str">
        <f>IFERROR(IF(D254="LR",VLOOKUP(B254,'ACS Price List'!$16:$180,11,FALSE),IF(D254="IS",VLOOKUP(B254,'ACS Price List'!$16:$180,11,FALSE),VLOOKUP(B254,'ACS Price List'!$16:$180,9,FALSE))),"POA")</f>
        <v>POA</v>
      </c>
      <c r="J254" s="204"/>
      <c r="K254" s="192" t="str">
        <f t="shared" si="3"/>
        <v>OK</v>
      </c>
    </row>
    <row r="255" spans="2:11" x14ac:dyDescent="0.2">
      <c r="B255" s="223">
        <v>96</v>
      </c>
      <c r="C255" s="105" t="s">
        <v>28</v>
      </c>
      <c r="D255" s="201" t="s">
        <v>416</v>
      </c>
      <c r="E255" s="105" t="s">
        <v>577</v>
      </c>
      <c r="F255" s="200">
        <f>VLOOKUP(B255,'ACS Price List'!$16:$180,8,FALSE)</f>
        <v>8111</v>
      </c>
      <c r="G255" s="200" t="s">
        <v>714</v>
      </c>
      <c r="H255" s="206" t="s">
        <v>29</v>
      </c>
      <c r="I255" s="206" t="str">
        <f>IFERROR(IF(D255="LR",VLOOKUP(B255,'ACS Price List'!$16:$180,11,FALSE),IF(D255="IS",VLOOKUP(B255,'ACS Price List'!$16:$180,11,FALSE),VLOOKUP(B255,'ACS Price List'!$16:$180,9,FALSE))),"POA")</f>
        <v>POA</v>
      </c>
      <c r="J255" s="204"/>
      <c r="K255" s="192" t="str">
        <f t="shared" si="3"/>
        <v>OK</v>
      </c>
    </row>
    <row r="256" spans="2:11" x14ac:dyDescent="0.2">
      <c r="B256" s="223">
        <v>97</v>
      </c>
      <c r="C256" s="105" t="s">
        <v>28</v>
      </c>
      <c r="D256" s="201" t="s">
        <v>416</v>
      </c>
      <c r="E256" s="105" t="s">
        <v>579</v>
      </c>
      <c r="F256" s="200">
        <f>VLOOKUP(B256,'ACS Price List'!$16:$180,8,FALSE)</f>
        <v>8112</v>
      </c>
      <c r="G256" s="200" t="s">
        <v>714</v>
      </c>
      <c r="H256" s="206" t="s">
        <v>29</v>
      </c>
      <c r="I256" s="206" t="str">
        <f>IFERROR(IF(D256="LR",VLOOKUP(B256,'ACS Price List'!$16:$180,11,FALSE),IF(D256="IS",VLOOKUP(B256,'ACS Price List'!$16:$180,11,FALSE),VLOOKUP(B256,'ACS Price List'!$16:$180,9,FALSE))),"POA")</f>
        <v>POA</v>
      </c>
      <c r="J256" s="204"/>
      <c r="K256" s="192" t="str">
        <f t="shared" si="3"/>
        <v>OK</v>
      </c>
    </row>
    <row r="257" spans="2:11" x14ac:dyDescent="0.2">
      <c r="B257" s="223">
        <v>98</v>
      </c>
      <c r="C257" s="105" t="s">
        <v>28</v>
      </c>
      <c r="D257" s="201" t="s">
        <v>416</v>
      </c>
      <c r="E257" s="105" t="s">
        <v>581</v>
      </c>
      <c r="F257" s="200">
        <f>VLOOKUP(B257,'ACS Price List'!$16:$180,8,FALSE)</f>
        <v>8138</v>
      </c>
      <c r="G257" s="200" t="s">
        <v>714</v>
      </c>
      <c r="H257" s="206" t="s">
        <v>29</v>
      </c>
      <c r="I257" s="206" t="str">
        <f>IFERROR(IF(D257="LR",VLOOKUP(B257,'ACS Price List'!$16:$180,11,FALSE),IF(D257="IS",VLOOKUP(B257,'ACS Price List'!$16:$180,11,FALSE),VLOOKUP(B257,'ACS Price List'!$16:$180,9,FALSE))),"POA")</f>
        <v>POA</v>
      </c>
      <c r="J257" s="204"/>
      <c r="K257" s="192" t="str">
        <f t="shared" si="3"/>
        <v>OK</v>
      </c>
    </row>
    <row r="258" spans="2:11" x14ac:dyDescent="0.2">
      <c r="B258" s="220">
        <v>56</v>
      </c>
      <c r="C258" s="105" t="s">
        <v>91</v>
      </c>
      <c r="D258" s="201" t="s">
        <v>589</v>
      </c>
      <c r="E258" s="105" t="s">
        <v>519</v>
      </c>
      <c r="F258" s="200">
        <f>VLOOKUP(B258,'ACS Price List'!$16:$180,8,FALSE)</f>
        <v>8056</v>
      </c>
      <c r="G258" s="200" t="s">
        <v>714</v>
      </c>
      <c r="H258" s="206" t="s">
        <v>29</v>
      </c>
      <c r="I258" s="206" t="str">
        <f>IFERROR(IF(D258="LR",VLOOKUP(B258,'ACS Price List'!$16:$180,11,FALSE),IF(D258="IS",VLOOKUP(B258,'ACS Price List'!$16:$180,11,FALSE),VLOOKUP(B258,'ACS Price List'!$16:$180,9,FALSE))),"POA")</f>
        <v>POA</v>
      </c>
      <c r="J258" s="204"/>
      <c r="K258" s="192" t="str">
        <f t="shared" si="3"/>
        <v>OK</v>
      </c>
    </row>
    <row r="259" spans="2:11" x14ac:dyDescent="0.2">
      <c r="B259" s="223">
        <v>59</v>
      </c>
      <c r="C259" s="105" t="s">
        <v>95</v>
      </c>
      <c r="D259" s="201" t="s">
        <v>589</v>
      </c>
      <c r="E259" s="105" t="s">
        <v>523</v>
      </c>
      <c r="F259" s="200">
        <f>VLOOKUP(B259,'ACS Price List'!$16:$180,8,FALSE)</f>
        <v>8059</v>
      </c>
      <c r="G259" s="200" t="s">
        <v>714</v>
      </c>
      <c r="H259" s="206" t="s">
        <v>29</v>
      </c>
      <c r="I259" s="206" t="str">
        <f>IFERROR(IF(D259="LR",VLOOKUP(B259,'ACS Price List'!$16:$180,11,FALSE),IF(D259="IS",VLOOKUP(B259,'ACS Price List'!$16:$180,11,FALSE),VLOOKUP(B259,'ACS Price List'!$16:$180,9,FALSE))),"POA")</f>
        <v>POA</v>
      </c>
      <c r="J259" s="204"/>
      <c r="K259" s="192" t="str">
        <f t="shared" si="3"/>
        <v>OK</v>
      </c>
    </row>
    <row r="260" spans="2:11" x14ac:dyDescent="0.2">
      <c r="B260" s="223">
        <v>60</v>
      </c>
      <c r="C260" s="105" t="s">
        <v>99</v>
      </c>
      <c r="D260" s="201" t="s">
        <v>589</v>
      </c>
      <c r="E260" s="105" t="s">
        <v>525</v>
      </c>
      <c r="F260" s="200">
        <f>VLOOKUP(B260,'ACS Price List'!$16:$180,8,FALSE)</f>
        <v>8060</v>
      </c>
      <c r="G260" s="200" t="s">
        <v>714</v>
      </c>
      <c r="H260" s="206" t="s">
        <v>29</v>
      </c>
      <c r="I260" s="206" t="str">
        <f>IFERROR(IF(D260="LR",VLOOKUP(B260,'ACS Price List'!$16:$180,11,FALSE),IF(D260="IS",VLOOKUP(B260,'ACS Price List'!$16:$180,11,FALSE),VLOOKUP(B260,'ACS Price List'!$16:$180,9,FALSE))),"POA")</f>
        <v>POA</v>
      </c>
      <c r="J260" s="204"/>
      <c r="K260" s="192" t="str">
        <f t="shared" si="3"/>
        <v>OK</v>
      </c>
    </row>
    <row r="261" spans="2:11" x14ac:dyDescent="0.2">
      <c r="B261" s="223">
        <v>61</v>
      </c>
      <c r="C261" s="105" t="s">
        <v>102</v>
      </c>
      <c r="D261" s="201" t="s">
        <v>589</v>
      </c>
      <c r="E261" s="105" t="s">
        <v>527</v>
      </c>
      <c r="F261" s="200">
        <f>VLOOKUP(B261,'ACS Price List'!$16:$180,8,FALSE)</f>
        <v>8061</v>
      </c>
      <c r="G261" s="200" t="s">
        <v>714</v>
      </c>
      <c r="H261" s="206" t="s">
        <v>29</v>
      </c>
      <c r="I261" s="206" t="str">
        <f>IFERROR(IF(D261="LR",VLOOKUP(B261,'ACS Price List'!$16:$180,11,FALSE),IF(D261="IS",VLOOKUP(B261,'ACS Price List'!$16:$180,11,FALSE),VLOOKUP(B261,'ACS Price List'!$16:$180,9,FALSE))),"POA")</f>
        <v>POA</v>
      </c>
      <c r="J261" s="204"/>
      <c r="K261" s="192" t="str">
        <f t="shared" si="3"/>
        <v>OK</v>
      </c>
    </row>
    <row r="262" spans="2:11" x14ac:dyDescent="0.2">
      <c r="B262" s="223">
        <v>62</v>
      </c>
      <c r="C262" s="105" t="s">
        <v>106</v>
      </c>
      <c r="D262" s="201" t="s">
        <v>589</v>
      </c>
      <c r="E262" s="105" t="s">
        <v>529</v>
      </c>
      <c r="F262" s="200">
        <f>VLOOKUP(B262,'ACS Price List'!$16:$180,8,FALSE)</f>
        <v>8062</v>
      </c>
      <c r="G262" s="200" t="s">
        <v>714</v>
      </c>
      <c r="H262" s="206" t="s">
        <v>29</v>
      </c>
      <c r="I262" s="206" t="str">
        <f>IFERROR(IF(D262="LR",VLOOKUP(B262,'ACS Price List'!$16:$180,11,FALSE),IF(D262="IS",VLOOKUP(B262,'ACS Price List'!$16:$180,11,FALSE),VLOOKUP(B262,'ACS Price List'!$16:$180,9,FALSE))),"POA")</f>
        <v>POA</v>
      </c>
      <c r="J262" s="204"/>
      <c r="K262" s="192" t="str">
        <f t="shared" si="3"/>
        <v>OK</v>
      </c>
    </row>
    <row r="263" spans="2:11" x14ac:dyDescent="0.2">
      <c r="B263" s="223">
        <v>66</v>
      </c>
      <c r="C263" s="105" t="s">
        <v>39</v>
      </c>
      <c r="D263" s="201" t="s">
        <v>589</v>
      </c>
      <c r="E263" s="105" t="s">
        <v>533</v>
      </c>
      <c r="F263" s="200">
        <f>VLOOKUP(B263,'ACS Price List'!$16:$180,8,FALSE)</f>
        <v>8066</v>
      </c>
      <c r="G263" s="200" t="s">
        <v>714</v>
      </c>
      <c r="H263" s="206">
        <v>0</v>
      </c>
      <c r="I263" s="206">
        <f>IFERROR(IF(D263="LR",VLOOKUP(B263,'ACS Price List'!$16:$180,11,FALSE),IF(D263="IS",VLOOKUP(B263,'ACS Price List'!$16:$180,11,FALSE),VLOOKUP(B263,'ACS Price List'!$16:$180,9,FALSE))),"POA")</f>
        <v>0</v>
      </c>
      <c r="J263" s="204"/>
      <c r="K263" s="192" t="str">
        <f t="shared" si="3"/>
        <v>OK</v>
      </c>
    </row>
    <row r="264" spans="2:11" x14ac:dyDescent="0.2">
      <c r="B264" s="223">
        <v>67</v>
      </c>
      <c r="C264" s="105" t="s">
        <v>35</v>
      </c>
      <c r="D264" s="201" t="s">
        <v>589</v>
      </c>
      <c r="E264" s="105" t="s">
        <v>534</v>
      </c>
      <c r="F264" s="200">
        <f>VLOOKUP(B264,'ACS Price List'!$16:$180,8,FALSE)</f>
        <v>8067</v>
      </c>
      <c r="G264" s="200" t="s">
        <v>714</v>
      </c>
      <c r="H264" s="206">
        <v>109.9</v>
      </c>
      <c r="I264" s="206">
        <f>IFERROR(IF(D264="LR",VLOOKUP(B264,'ACS Price List'!$16:$180,11,FALSE),IF(D264="IS",VLOOKUP(B264,'ACS Price List'!$16:$180,11,FALSE),VLOOKUP(B264,'ACS Price List'!$16:$180,9,FALSE))),"POA")</f>
        <v>109.9</v>
      </c>
      <c r="J264" s="204"/>
      <c r="K264" s="192" t="str">
        <f t="shared" si="3"/>
        <v>OK</v>
      </c>
    </row>
    <row r="265" spans="2:11" x14ac:dyDescent="0.2">
      <c r="B265" s="223" t="s">
        <v>655</v>
      </c>
      <c r="C265" s="105" t="s">
        <v>658</v>
      </c>
      <c r="D265" s="201" t="s">
        <v>589</v>
      </c>
      <c r="E265" s="105" t="s">
        <v>656</v>
      </c>
      <c r="F265" s="200">
        <f>VLOOKUP(B265,'ACS Price List'!$16:$180,8,FALSE)</f>
        <v>8254</v>
      </c>
      <c r="G265" s="200" t="s">
        <v>714</v>
      </c>
      <c r="H265" s="206"/>
      <c r="I265" s="203">
        <f>IFERROR(IF(D265="LR",VLOOKUP(B265,'ACS Price List'!$16:$180,11,FALSE),IF(D265="IS",VLOOKUP(B265,'ACS Price List'!$16:$180,11,FALSE),VLOOKUP(B265,'ACS Price List'!$16:$180,9,FALSE))),"POA")</f>
        <v>109.9</v>
      </c>
      <c r="J265" s="186"/>
      <c r="K265" s="192" t="str">
        <f t="shared" si="3"/>
        <v>CHANGE</v>
      </c>
    </row>
    <row r="266" spans="2:11" x14ac:dyDescent="0.2">
      <c r="B266" s="224">
        <v>74</v>
      </c>
      <c r="C266" s="105" t="s">
        <v>188</v>
      </c>
      <c r="D266" s="201" t="s">
        <v>589</v>
      </c>
      <c r="E266" s="105" t="s">
        <v>547</v>
      </c>
      <c r="F266" s="200">
        <f>VLOOKUP(B266,'ACS Price List'!$16:$180,8,FALSE)</f>
        <v>8080</v>
      </c>
      <c r="G266" s="200" t="s">
        <v>714</v>
      </c>
      <c r="H266" s="206">
        <v>39.1</v>
      </c>
      <c r="I266" s="206">
        <f>IFERROR(IF(D266="LR",VLOOKUP(B266,'ACS Price List'!$16:$180,11,FALSE),IF(D266="IS",VLOOKUP(B266,'ACS Price List'!$16:$180,11,FALSE),VLOOKUP(B266,'ACS Price List'!$16:$180,9,FALSE))),"POA")</f>
        <v>39.1</v>
      </c>
      <c r="J266" s="204"/>
      <c r="K266" s="192" t="str">
        <f t="shared" si="3"/>
        <v>OK</v>
      </c>
    </row>
    <row r="267" spans="2:11" x14ac:dyDescent="0.2">
      <c r="B267" s="224">
        <v>75</v>
      </c>
      <c r="C267" s="105" t="s">
        <v>196</v>
      </c>
      <c r="D267" s="201" t="s">
        <v>589</v>
      </c>
      <c r="E267" s="105" t="s">
        <v>548</v>
      </c>
      <c r="F267" s="200">
        <f>VLOOKUP(B267,'ACS Price List'!$16:$180,8,FALSE)</f>
        <v>8081</v>
      </c>
      <c r="G267" s="200" t="s">
        <v>714</v>
      </c>
      <c r="H267" s="206">
        <v>18.100000000000001</v>
      </c>
      <c r="I267" s="206">
        <f>IFERROR(IF(D267="LR",VLOOKUP(B267,'ACS Price List'!$16:$180,11,FALSE),IF(D267="IS",VLOOKUP(B267,'ACS Price List'!$16:$180,11,FALSE),VLOOKUP(B267,'ACS Price List'!$16:$180,9,FALSE))),"POA")</f>
        <v>18.100000000000001</v>
      </c>
      <c r="J267" s="204"/>
      <c r="K267" s="192" t="str">
        <f t="shared" si="3"/>
        <v>OK</v>
      </c>
    </row>
    <row r="268" spans="2:11" x14ac:dyDescent="0.2">
      <c r="B268" s="224">
        <v>76</v>
      </c>
      <c r="C268" s="105" t="s">
        <v>204</v>
      </c>
      <c r="D268" s="201" t="s">
        <v>589</v>
      </c>
      <c r="E268" s="105" t="s">
        <v>549</v>
      </c>
      <c r="F268" s="200">
        <f>VLOOKUP(B268,'ACS Price List'!$16:$180,8,FALSE)</f>
        <v>8082</v>
      </c>
      <c r="G268" s="200" t="s">
        <v>714</v>
      </c>
      <c r="H268" s="206" t="s">
        <v>29</v>
      </c>
      <c r="I268" s="206" t="str">
        <f>IFERROR(IF(D268="LR",VLOOKUP(B268,'ACS Price List'!$16:$180,11,FALSE),IF(D268="IS",VLOOKUP(B268,'ACS Price List'!$16:$180,11,FALSE),VLOOKUP(B268,'ACS Price List'!$16:$180,9,FALSE))),"POA")</f>
        <v>POA</v>
      </c>
      <c r="J268" s="204"/>
      <c r="K268" s="192" t="str">
        <f t="shared" ref="K268:K331" si="4">IFERROR(IF(I268="POA","OK",IF(I268-H268=0,"OK","CHANGE")),"CHECK")</f>
        <v>OK</v>
      </c>
    </row>
    <row r="269" spans="2:11" x14ac:dyDescent="0.2">
      <c r="B269" s="224">
        <v>77</v>
      </c>
      <c r="C269" s="105" t="s">
        <v>208</v>
      </c>
      <c r="D269" s="201" t="s">
        <v>589</v>
      </c>
      <c r="E269" s="105" t="s">
        <v>550</v>
      </c>
      <c r="F269" s="200">
        <f>VLOOKUP(B269,'ACS Price List'!$16:$180,8,FALSE)</f>
        <v>8083</v>
      </c>
      <c r="G269" s="200" t="s">
        <v>714</v>
      </c>
      <c r="H269" s="206" t="s">
        <v>29</v>
      </c>
      <c r="I269" s="206" t="str">
        <f>IFERROR(IF(D269="LR",VLOOKUP(B269,'ACS Price List'!$16:$180,11,FALSE),IF(D269="IS",VLOOKUP(B269,'ACS Price List'!$16:$180,11,FALSE),VLOOKUP(B269,'ACS Price List'!$16:$180,9,FALSE))),"POA")</f>
        <v>POA</v>
      </c>
      <c r="J269" s="204"/>
      <c r="K269" s="192" t="str">
        <f t="shared" si="4"/>
        <v>OK</v>
      </c>
    </row>
    <row r="270" spans="2:11" x14ac:dyDescent="0.2">
      <c r="B270" s="224">
        <v>78</v>
      </c>
      <c r="C270" s="105" t="s">
        <v>212</v>
      </c>
      <c r="D270" s="201" t="s">
        <v>589</v>
      </c>
      <c r="E270" s="105" t="s">
        <v>551</v>
      </c>
      <c r="F270" s="200">
        <f>VLOOKUP(B270,'ACS Price List'!$16:$180,8,FALSE)</f>
        <v>8084</v>
      </c>
      <c r="G270" s="200" t="s">
        <v>714</v>
      </c>
      <c r="H270" s="206" t="s">
        <v>29</v>
      </c>
      <c r="I270" s="206" t="str">
        <f>IFERROR(IF(D270="LR",VLOOKUP(B270,'ACS Price List'!$16:$180,11,FALSE),IF(D270="IS",VLOOKUP(B270,'ACS Price List'!$16:$180,11,FALSE),VLOOKUP(B270,'ACS Price List'!$16:$180,9,FALSE))),"POA")</f>
        <v>POA</v>
      </c>
      <c r="J270" s="204"/>
      <c r="K270" s="192" t="str">
        <f t="shared" si="4"/>
        <v>OK</v>
      </c>
    </row>
    <row r="271" spans="2:11" x14ac:dyDescent="0.2">
      <c r="B271" s="225">
        <v>80</v>
      </c>
      <c r="C271" s="105" t="s">
        <v>216</v>
      </c>
      <c r="D271" s="201" t="s">
        <v>589</v>
      </c>
      <c r="E271" s="105" t="s">
        <v>553</v>
      </c>
      <c r="F271" s="200">
        <f>VLOOKUP(B271,'ACS Price List'!$16:$180,8,FALSE)</f>
        <v>8086</v>
      </c>
      <c r="G271" s="200" t="s">
        <v>714</v>
      </c>
      <c r="H271" s="206" t="s">
        <v>29</v>
      </c>
      <c r="I271" s="206" t="str">
        <f>IFERROR(IF(D271="LR",VLOOKUP(B271,'ACS Price List'!$16:$180,11,FALSE),IF(D271="IS",VLOOKUP(B271,'ACS Price List'!$16:$180,11,FALSE),VLOOKUP(B271,'ACS Price List'!$16:$180,9,FALSE))),"POA")</f>
        <v>POA</v>
      </c>
      <c r="J271" s="204"/>
      <c r="K271" s="192" t="str">
        <f t="shared" si="4"/>
        <v>OK</v>
      </c>
    </row>
    <row r="272" spans="2:11" x14ac:dyDescent="0.2">
      <c r="B272" s="225">
        <v>81</v>
      </c>
      <c r="C272" s="105" t="s">
        <v>220</v>
      </c>
      <c r="D272" s="201" t="s">
        <v>589</v>
      </c>
      <c r="E272" s="105" t="s">
        <v>554</v>
      </c>
      <c r="F272" s="200">
        <f>VLOOKUP(B272,'ACS Price List'!$16:$180,8,FALSE)</f>
        <v>8087</v>
      </c>
      <c r="G272" s="200" t="s">
        <v>714</v>
      </c>
      <c r="H272" s="206" t="s">
        <v>29</v>
      </c>
      <c r="I272" s="206" t="str">
        <f>IFERROR(IF(D272="LR",VLOOKUP(B272,'ACS Price List'!$16:$180,11,FALSE),IF(D272="IS",VLOOKUP(B272,'ACS Price List'!$16:$180,11,FALSE),VLOOKUP(B272,'ACS Price List'!$16:$180,9,FALSE))),"POA")</f>
        <v>POA</v>
      </c>
      <c r="J272" s="204"/>
      <c r="K272" s="192" t="str">
        <f t="shared" si="4"/>
        <v>OK</v>
      </c>
    </row>
    <row r="273" spans="2:11" x14ac:dyDescent="0.2">
      <c r="B273" s="225">
        <v>82</v>
      </c>
      <c r="C273" s="105" t="s">
        <v>287</v>
      </c>
      <c r="D273" s="201" t="s">
        <v>589</v>
      </c>
      <c r="E273" s="105" t="s">
        <v>555</v>
      </c>
      <c r="F273" s="200">
        <f>VLOOKUP(B273,'ACS Price List'!$16:$180,8,FALSE)</f>
        <v>8088</v>
      </c>
      <c r="G273" s="200" t="s">
        <v>714</v>
      </c>
      <c r="H273" s="206" t="s">
        <v>29</v>
      </c>
      <c r="I273" s="206" t="str">
        <f>IFERROR(IF(D273="LR",VLOOKUP(B273,'ACS Price List'!$16:$180,11,FALSE),IF(D273="IS",VLOOKUP(B273,'ACS Price List'!$16:$180,11,FALSE),VLOOKUP(B273,'ACS Price List'!$16:$180,9,FALSE))),"POA")</f>
        <v>POA</v>
      </c>
      <c r="J273" s="204"/>
      <c r="K273" s="192" t="str">
        <f t="shared" si="4"/>
        <v>OK</v>
      </c>
    </row>
    <row r="274" spans="2:11" x14ac:dyDescent="0.2">
      <c r="B274" s="225">
        <v>83</v>
      </c>
      <c r="C274" s="105" t="s">
        <v>224</v>
      </c>
      <c r="D274" s="201" t="s">
        <v>589</v>
      </c>
      <c r="E274" s="105" t="s">
        <v>556</v>
      </c>
      <c r="F274" s="200">
        <f>VLOOKUP(B274,'ACS Price List'!$16:$180,8,FALSE)</f>
        <v>8089</v>
      </c>
      <c r="G274" s="200" t="s">
        <v>714</v>
      </c>
      <c r="H274" s="206" t="s">
        <v>29</v>
      </c>
      <c r="I274" s="206" t="str">
        <f>IFERROR(IF(D274="LR",VLOOKUP(B274,'ACS Price List'!$16:$180,11,FALSE),IF(D274="IS",VLOOKUP(B274,'ACS Price List'!$16:$180,11,FALSE),VLOOKUP(B274,'ACS Price List'!$16:$180,9,FALSE))),"POA")</f>
        <v>POA</v>
      </c>
      <c r="J274" s="204"/>
      <c r="K274" s="192" t="str">
        <f t="shared" si="4"/>
        <v>OK</v>
      </c>
    </row>
    <row r="275" spans="2:11" x14ac:dyDescent="0.2">
      <c r="B275" s="225">
        <v>84</v>
      </c>
      <c r="C275" s="105" t="s">
        <v>228</v>
      </c>
      <c r="D275" s="201" t="s">
        <v>589</v>
      </c>
      <c r="E275" s="105" t="s">
        <v>558</v>
      </c>
      <c r="F275" s="200">
        <f>VLOOKUP(B275,'ACS Price List'!$16:$180,8,FALSE)</f>
        <v>8090</v>
      </c>
      <c r="G275" s="200" t="s">
        <v>714</v>
      </c>
      <c r="H275" s="206" t="s">
        <v>29</v>
      </c>
      <c r="I275" s="206" t="str">
        <f>IFERROR(IF(D275="LR",VLOOKUP(B275,'ACS Price List'!$16:$180,11,FALSE),IF(D275="IS",VLOOKUP(B275,'ACS Price List'!$16:$180,11,FALSE),VLOOKUP(B275,'ACS Price List'!$16:$180,9,FALSE))),"POA")</f>
        <v>POA</v>
      </c>
      <c r="J275" s="204"/>
      <c r="K275" s="192" t="str">
        <f t="shared" si="4"/>
        <v>OK</v>
      </c>
    </row>
    <row r="276" spans="2:11" x14ac:dyDescent="0.2">
      <c r="B276" s="225">
        <v>85</v>
      </c>
      <c r="C276" s="105" t="s">
        <v>232</v>
      </c>
      <c r="D276" s="201" t="s">
        <v>589</v>
      </c>
      <c r="E276" s="105" t="s">
        <v>559</v>
      </c>
      <c r="F276" s="200">
        <f>VLOOKUP(B276,'ACS Price List'!$16:$180,8,FALSE)</f>
        <v>8091</v>
      </c>
      <c r="G276" s="200" t="s">
        <v>714</v>
      </c>
      <c r="H276" s="206" t="s">
        <v>29</v>
      </c>
      <c r="I276" s="206" t="str">
        <f>IFERROR(IF(D276="LR",VLOOKUP(B276,'ACS Price List'!$16:$180,11,FALSE),IF(D276="IS",VLOOKUP(B276,'ACS Price List'!$16:$180,11,FALSE),VLOOKUP(B276,'ACS Price List'!$16:$180,9,FALSE))),"POA")</f>
        <v>POA</v>
      </c>
      <c r="J276" s="204"/>
      <c r="K276" s="192" t="str">
        <f t="shared" si="4"/>
        <v>OK</v>
      </c>
    </row>
    <row r="277" spans="2:11" x14ac:dyDescent="0.2">
      <c r="B277" s="225">
        <v>86</v>
      </c>
      <c r="C277" s="105" t="s">
        <v>236</v>
      </c>
      <c r="D277" s="201" t="s">
        <v>589</v>
      </c>
      <c r="E277" s="105" t="s">
        <v>560</v>
      </c>
      <c r="F277" s="200">
        <f>VLOOKUP(B277,'ACS Price List'!$16:$180,8,FALSE)</f>
        <v>8092</v>
      </c>
      <c r="G277" s="200" t="s">
        <v>714</v>
      </c>
      <c r="H277" s="206" t="s">
        <v>29</v>
      </c>
      <c r="I277" s="206" t="str">
        <f>IFERROR(IF(D277="LR",VLOOKUP(B277,'ACS Price List'!$16:$180,11,FALSE),IF(D277="IS",VLOOKUP(B277,'ACS Price List'!$16:$180,11,FALSE),VLOOKUP(B277,'ACS Price List'!$16:$180,9,FALSE))),"POA")</f>
        <v>POA</v>
      </c>
      <c r="J277" s="204"/>
      <c r="K277" s="192" t="str">
        <f t="shared" si="4"/>
        <v>OK</v>
      </c>
    </row>
    <row r="278" spans="2:11" x14ac:dyDescent="0.2">
      <c r="B278" s="225">
        <v>87</v>
      </c>
      <c r="C278" s="105" t="s">
        <v>240</v>
      </c>
      <c r="D278" s="201" t="s">
        <v>589</v>
      </c>
      <c r="E278" s="105" t="s">
        <v>561</v>
      </c>
      <c r="F278" s="200">
        <f>VLOOKUP(B278,'ACS Price List'!$16:$180,8,FALSE)</f>
        <v>8093</v>
      </c>
      <c r="G278" s="200" t="s">
        <v>714</v>
      </c>
      <c r="H278" s="206" t="s">
        <v>29</v>
      </c>
      <c r="I278" s="206" t="str">
        <f>IFERROR(IF(D278="LR",VLOOKUP(B278,'ACS Price List'!$16:$180,11,FALSE),IF(D278="IS",VLOOKUP(B278,'ACS Price List'!$16:$180,11,FALSE),VLOOKUP(B278,'ACS Price List'!$16:$180,9,FALSE))),"POA")</f>
        <v>POA</v>
      </c>
      <c r="J278" s="204"/>
      <c r="K278" s="192" t="str">
        <f t="shared" si="4"/>
        <v>OK</v>
      </c>
    </row>
    <row r="279" spans="2:11" x14ac:dyDescent="0.2">
      <c r="B279" s="225">
        <v>88</v>
      </c>
      <c r="C279" s="105" t="s">
        <v>244</v>
      </c>
      <c r="D279" s="201" t="s">
        <v>589</v>
      </c>
      <c r="E279" s="105" t="s">
        <v>563</v>
      </c>
      <c r="F279" s="200">
        <f>VLOOKUP(B279,'ACS Price List'!$16:$180,8,FALSE)</f>
        <v>8094</v>
      </c>
      <c r="G279" s="200" t="s">
        <v>714</v>
      </c>
      <c r="H279" s="206" t="s">
        <v>29</v>
      </c>
      <c r="I279" s="206" t="str">
        <f>IFERROR(IF(D279="LR",VLOOKUP(B279,'ACS Price List'!$16:$180,11,FALSE),IF(D279="IS",VLOOKUP(B279,'ACS Price List'!$16:$180,11,FALSE),VLOOKUP(B279,'ACS Price List'!$16:$180,9,FALSE))),"POA")</f>
        <v>POA</v>
      </c>
      <c r="J279" s="204"/>
      <c r="K279" s="192" t="str">
        <f t="shared" si="4"/>
        <v>OK</v>
      </c>
    </row>
    <row r="280" spans="2:11" x14ac:dyDescent="0.2">
      <c r="B280" s="226">
        <v>91</v>
      </c>
      <c r="C280" s="105" t="s">
        <v>433</v>
      </c>
      <c r="D280" s="201" t="s">
        <v>589</v>
      </c>
      <c r="E280" s="105" t="s">
        <v>569</v>
      </c>
      <c r="F280" s="200">
        <f>VLOOKUP(B280,'ACS Price List'!$16:$180,8,FALSE)</f>
        <v>8102</v>
      </c>
      <c r="G280" s="200" t="s">
        <v>714</v>
      </c>
      <c r="H280" s="206" t="s">
        <v>29</v>
      </c>
      <c r="I280" s="206" t="str">
        <f>IFERROR(IF(D280="LR",VLOOKUP(B280,'ACS Price List'!$16:$180,11,FALSE),IF(D280="IS",VLOOKUP(B280,'ACS Price List'!$16:$180,11,FALSE),VLOOKUP(B280,'ACS Price List'!$16:$180,9,FALSE))),"POA")</f>
        <v>POA</v>
      </c>
      <c r="J280" s="204"/>
      <c r="K280" s="192" t="str">
        <f t="shared" si="4"/>
        <v>OK</v>
      </c>
    </row>
    <row r="281" spans="2:11" x14ac:dyDescent="0.2">
      <c r="B281" s="227" t="s">
        <v>647</v>
      </c>
      <c r="C281" s="105" t="s">
        <v>257</v>
      </c>
      <c r="D281" s="201" t="s">
        <v>589</v>
      </c>
      <c r="E281" s="105" t="s">
        <v>663</v>
      </c>
      <c r="F281" s="200">
        <f>VLOOKUP(B281,'ACS Price List'!$16:$180,8,FALSE)</f>
        <v>8103</v>
      </c>
      <c r="G281" s="200" t="s">
        <v>714</v>
      </c>
      <c r="H281" s="206" t="s">
        <v>29</v>
      </c>
      <c r="I281" s="206" t="str">
        <f>IFERROR(IF(D281="LR",VLOOKUP(B281,'ACS Price List'!$16:$180,11,FALSE),IF(D281="IS",VLOOKUP(B281,'ACS Price List'!$16:$180,11,FALSE),VLOOKUP(B281,'ACS Price List'!$16:$180,9,FALSE))),"POA")</f>
        <v>POA</v>
      </c>
      <c r="J281" s="204"/>
      <c r="K281" s="192" t="str">
        <f t="shared" si="4"/>
        <v>OK</v>
      </c>
    </row>
    <row r="282" spans="2:11" x14ac:dyDescent="0.2">
      <c r="B282" s="238" t="s">
        <v>750</v>
      </c>
      <c r="C282" s="105" t="s">
        <v>743</v>
      </c>
      <c r="D282" s="201" t="s">
        <v>589</v>
      </c>
      <c r="E282" s="239" t="s">
        <v>723</v>
      </c>
      <c r="F282" s="200">
        <f>VLOOKUP(B282,'ACS Price List'!$16:$180,8,FALSE)</f>
        <v>8113</v>
      </c>
      <c r="G282" s="200" t="s">
        <v>714</v>
      </c>
      <c r="H282" s="206" t="s">
        <v>29</v>
      </c>
      <c r="I282" s="206" t="str">
        <f>IFERROR(IF(D282="LR",VLOOKUP(B282,'ACS Price List'!$16:$180,11,FALSE),IF(D282="IS",VLOOKUP(B282,'ACS Price List'!$16:$180,11,FALSE),VLOOKUP(B282,'ACS Price List'!$16:$180,9,FALSE))),"POA")</f>
        <v>POA</v>
      </c>
      <c r="J282" s="204"/>
      <c r="K282" s="192" t="str">
        <f t="shared" si="4"/>
        <v>OK</v>
      </c>
    </row>
    <row r="283" spans="2:11" x14ac:dyDescent="0.2">
      <c r="B283" s="227">
        <v>56</v>
      </c>
      <c r="C283" s="105" t="s">
        <v>92</v>
      </c>
      <c r="D283" s="201" t="s">
        <v>591</v>
      </c>
      <c r="E283" s="105" t="s">
        <v>519</v>
      </c>
      <c r="F283" s="200">
        <f>VLOOKUP(B283,'ACS Price List'!$16:$180,8,FALSE)</f>
        <v>8056</v>
      </c>
      <c r="G283" s="200" t="s">
        <v>714</v>
      </c>
      <c r="H283" s="206" t="s">
        <v>29</v>
      </c>
      <c r="I283" s="206" t="str">
        <f>IFERROR(IF(D283="LR",VLOOKUP(B283,'ACS Price List'!$16:$180,11,FALSE),IF(D283="IS",VLOOKUP(B283,'ACS Price List'!$16:$180,11,FALSE),VLOOKUP(B283,'ACS Price List'!$16:$180,9,FALSE))),"POA")</f>
        <v>POA</v>
      </c>
      <c r="J283" s="204"/>
      <c r="K283" s="192" t="str">
        <f t="shared" si="4"/>
        <v>OK</v>
      </c>
    </row>
    <row r="284" spans="2:11" x14ac:dyDescent="0.2">
      <c r="B284" s="227">
        <v>59</v>
      </c>
      <c r="C284" s="105" t="s">
        <v>96</v>
      </c>
      <c r="D284" s="201" t="s">
        <v>591</v>
      </c>
      <c r="E284" s="105" t="s">
        <v>523</v>
      </c>
      <c r="F284" s="200">
        <f>VLOOKUP(B284,'ACS Price List'!$16:$180,8,FALSE)</f>
        <v>8059</v>
      </c>
      <c r="G284" s="200" t="s">
        <v>714</v>
      </c>
      <c r="H284" s="206" t="s">
        <v>29</v>
      </c>
      <c r="I284" s="206" t="str">
        <f>IFERROR(IF(D284="LR",VLOOKUP(B284,'ACS Price List'!$16:$180,11,FALSE),IF(D284="IS",VLOOKUP(B284,'ACS Price List'!$16:$180,11,FALSE),VLOOKUP(B284,'ACS Price List'!$16:$180,9,FALSE))),"POA")</f>
        <v>POA</v>
      </c>
      <c r="J284" s="204"/>
      <c r="K284" s="192" t="str">
        <f t="shared" si="4"/>
        <v>OK</v>
      </c>
    </row>
    <row r="285" spans="2:11" x14ac:dyDescent="0.2">
      <c r="B285" s="227">
        <v>60</v>
      </c>
      <c r="C285" s="105" t="s">
        <v>100</v>
      </c>
      <c r="D285" s="201" t="s">
        <v>591</v>
      </c>
      <c r="E285" s="105" t="s">
        <v>525</v>
      </c>
      <c r="F285" s="200">
        <f>VLOOKUP(B285,'ACS Price List'!$16:$180,8,FALSE)</f>
        <v>8060</v>
      </c>
      <c r="G285" s="200" t="s">
        <v>714</v>
      </c>
      <c r="H285" s="206" t="s">
        <v>29</v>
      </c>
      <c r="I285" s="206" t="str">
        <f>IFERROR(IF(D285="LR",VLOOKUP(B285,'ACS Price List'!$16:$180,11,FALSE),IF(D285="IS",VLOOKUP(B285,'ACS Price List'!$16:$180,11,FALSE),VLOOKUP(B285,'ACS Price List'!$16:$180,9,FALSE))),"POA")</f>
        <v>POA</v>
      </c>
      <c r="J285" s="204"/>
      <c r="K285" s="192" t="str">
        <f t="shared" si="4"/>
        <v>OK</v>
      </c>
    </row>
    <row r="286" spans="2:11" x14ac:dyDescent="0.2">
      <c r="B286" s="227">
        <v>61</v>
      </c>
      <c r="C286" s="105" t="s">
        <v>103</v>
      </c>
      <c r="D286" s="201" t="s">
        <v>591</v>
      </c>
      <c r="E286" s="105" t="s">
        <v>527</v>
      </c>
      <c r="F286" s="200">
        <f>VLOOKUP(B286,'ACS Price List'!$16:$180,8,FALSE)</f>
        <v>8061</v>
      </c>
      <c r="G286" s="200" t="s">
        <v>714</v>
      </c>
      <c r="H286" s="206" t="s">
        <v>29</v>
      </c>
      <c r="I286" s="206" t="str">
        <f>IFERROR(IF(D286="LR",VLOOKUP(B286,'ACS Price List'!$16:$180,11,FALSE),IF(D286="IS",VLOOKUP(B286,'ACS Price List'!$16:$180,11,FALSE),VLOOKUP(B286,'ACS Price List'!$16:$180,9,FALSE))),"POA")</f>
        <v>POA</v>
      </c>
      <c r="J286" s="204"/>
      <c r="K286" s="192" t="str">
        <f t="shared" si="4"/>
        <v>OK</v>
      </c>
    </row>
    <row r="287" spans="2:11" x14ac:dyDescent="0.2">
      <c r="B287" s="227">
        <v>62</v>
      </c>
      <c r="C287" s="105" t="s">
        <v>107</v>
      </c>
      <c r="D287" s="201" t="s">
        <v>591</v>
      </c>
      <c r="E287" s="105" t="s">
        <v>529</v>
      </c>
      <c r="F287" s="200">
        <f>VLOOKUP(B287,'ACS Price List'!$16:$180,8,FALSE)</f>
        <v>8062</v>
      </c>
      <c r="G287" s="200" t="s">
        <v>714</v>
      </c>
      <c r="H287" s="206" t="s">
        <v>29</v>
      </c>
      <c r="I287" s="206" t="str">
        <f>IFERROR(IF(D287="LR",VLOOKUP(B287,'ACS Price List'!$16:$180,11,FALSE),IF(D287="IS",VLOOKUP(B287,'ACS Price List'!$16:$180,11,FALSE),VLOOKUP(B287,'ACS Price List'!$16:$180,9,FALSE))),"POA")</f>
        <v>POA</v>
      </c>
      <c r="J287" s="204"/>
      <c r="K287" s="192" t="str">
        <f t="shared" si="4"/>
        <v>OK</v>
      </c>
    </row>
    <row r="288" spans="2:11" x14ac:dyDescent="0.2">
      <c r="B288" s="227">
        <v>66</v>
      </c>
      <c r="C288" s="105" t="s">
        <v>40</v>
      </c>
      <c r="D288" s="201" t="s">
        <v>591</v>
      </c>
      <c r="E288" s="105" t="s">
        <v>533</v>
      </c>
      <c r="F288" s="200">
        <f>VLOOKUP(B288,'ACS Price List'!$16:$180,8,FALSE)</f>
        <v>8066</v>
      </c>
      <c r="G288" s="200" t="s">
        <v>714</v>
      </c>
      <c r="H288" s="206">
        <v>0</v>
      </c>
      <c r="I288" s="206">
        <f>IFERROR(IF(D288="LR",VLOOKUP(B288,'ACS Price List'!$16:$180,11,FALSE),IF(D288="IS",VLOOKUP(B288,'ACS Price List'!$16:$180,11,FALSE),VLOOKUP(B288,'ACS Price List'!$16:$180,9,FALSE))),"POA")</f>
        <v>0</v>
      </c>
      <c r="J288" s="204"/>
      <c r="K288" s="192" t="str">
        <f t="shared" si="4"/>
        <v>OK</v>
      </c>
    </row>
    <row r="289" spans="2:11" x14ac:dyDescent="0.2">
      <c r="B289" s="227">
        <v>67</v>
      </c>
      <c r="C289" s="105" t="s">
        <v>36</v>
      </c>
      <c r="D289" s="201" t="s">
        <v>591</v>
      </c>
      <c r="E289" s="105" t="s">
        <v>534</v>
      </c>
      <c r="F289" s="200">
        <f>VLOOKUP(B289,'ACS Price List'!$16:$180,8,FALSE)</f>
        <v>8067</v>
      </c>
      <c r="G289" s="200" t="s">
        <v>714</v>
      </c>
      <c r="H289" s="206">
        <v>109.9</v>
      </c>
      <c r="I289" s="206">
        <f>IFERROR(IF(D289="LR",VLOOKUP(B289,'ACS Price List'!$16:$180,11,FALSE),IF(D289="IS",VLOOKUP(B289,'ACS Price List'!$16:$180,11,FALSE),VLOOKUP(B289,'ACS Price List'!$16:$180,9,FALSE))),"POA")</f>
        <v>109.9</v>
      </c>
      <c r="J289" s="204"/>
      <c r="K289" s="192" t="str">
        <f t="shared" si="4"/>
        <v>OK</v>
      </c>
    </row>
    <row r="290" spans="2:11" x14ac:dyDescent="0.2">
      <c r="B290" s="227" t="s">
        <v>655</v>
      </c>
      <c r="C290" s="105" t="s">
        <v>659</v>
      </c>
      <c r="D290" s="201" t="s">
        <v>591</v>
      </c>
      <c r="E290" s="105" t="s">
        <v>656</v>
      </c>
      <c r="F290" s="200">
        <f>VLOOKUP(B290,'ACS Price List'!$16:$180,8,FALSE)</f>
        <v>8254</v>
      </c>
      <c r="G290" s="200" t="s">
        <v>714</v>
      </c>
      <c r="H290" s="206"/>
      <c r="I290" s="203">
        <f>IFERROR(IF(D290="LR",VLOOKUP(B290,'ACS Price List'!$16:$180,11,FALSE),IF(D290="IS",VLOOKUP(B290,'ACS Price List'!$16:$180,11,FALSE),VLOOKUP(B290,'ACS Price List'!$16:$180,9,FALSE))),"POA")</f>
        <v>109.9</v>
      </c>
      <c r="J290" s="186"/>
      <c r="K290" s="192" t="str">
        <f t="shared" si="4"/>
        <v>CHANGE</v>
      </c>
    </row>
    <row r="291" spans="2:11" x14ac:dyDescent="0.2">
      <c r="B291" s="227">
        <v>74</v>
      </c>
      <c r="C291" s="105" t="s">
        <v>189</v>
      </c>
      <c r="D291" s="201" t="s">
        <v>591</v>
      </c>
      <c r="E291" s="105" t="s">
        <v>547</v>
      </c>
      <c r="F291" s="200">
        <f>VLOOKUP(B291,'ACS Price List'!$16:$180,8,FALSE)</f>
        <v>8080</v>
      </c>
      <c r="G291" s="200" t="s">
        <v>714</v>
      </c>
      <c r="H291" s="206">
        <v>39.1</v>
      </c>
      <c r="I291" s="206">
        <f>IFERROR(IF(D291="LR",VLOOKUP(B291,'ACS Price List'!$16:$180,11,FALSE),IF(D291="IS",VLOOKUP(B291,'ACS Price List'!$16:$180,11,FALSE),VLOOKUP(B291,'ACS Price List'!$16:$180,9,FALSE))),"POA")</f>
        <v>39.1</v>
      </c>
      <c r="J291" s="204"/>
      <c r="K291" s="192" t="str">
        <f t="shared" si="4"/>
        <v>OK</v>
      </c>
    </row>
    <row r="292" spans="2:11" x14ac:dyDescent="0.2">
      <c r="B292" s="227">
        <v>75</v>
      </c>
      <c r="C292" s="105" t="s">
        <v>197</v>
      </c>
      <c r="D292" s="201" t="s">
        <v>591</v>
      </c>
      <c r="E292" s="105" t="s">
        <v>548</v>
      </c>
      <c r="F292" s="200">
        <f>VLOOKUP(B292,'ACS Price List'!$16:$180,8,FALSE)</f>
        <v>8081</v>
      </c>
      <c r="G292" s="200" t="s">
        <v>714</v>
      </c>
      <c r="H292" s="206">
        <v>18.100000000000001</v>
      </c>
      <c r="I292" s="206">
        <f>IFERROR(IF(D292="LR",VLOOKUP(B292,'ACS Price List'!$16:$180,11,FALSE),IF(D292="IS",VLOOKUP(B292,'ACS Price List'!$16:$180,11,FALSE),VLOOKUP(B292,'ACS Price List'!$16:$180,9,FALSE))),"POA")</f>
        <v>18.100000000000001</v>
      </c>
      <c r="J292" s="204"/>
      <c r="K292" s="192" t="str">
        <f t="shared" si="4"/>
        <v>OK</v>
      </c>
    </row>
    <row r="293" spans="2:11" x14ac:dyDescent="0.2">
      <c r="B293" s="227">
        <v>76</v>
      </c>
      <c r="C293" s="105" t="s">
        <v>205</v>
      </c>
      <c r="D293" s="201" t="s">
        <v>591</v>
      </c>
      <c r="E293" s="105" t="s">
        <v>549</v>
      </c>
      <c r="F293" s="200">
        <f>VLOOKUP(B293,'ACS Price List'!$16:$180,8,FALSE)</f>
        <v>8082</v>
      </c>
      <c r="G293" s="200" t="s">
        <v>714</v>
      </c>
      <c r="H293" s="206" t="s">
        <v>29</v>
      </c>
      <c r="I293" s="206" t="str">
        <f>IFERROR(IF(D293="LR",VLOOKUP(B293,'ACS Price List'!$16:$180,11,FALSE),IF(D293="IS",VLOOKUP(B293,'ACS Price List'!$16:$180,11,FALSE),VLOOKUP(B293,'ACS Price List'!$16:$180,9,FALSE))),"POA")</f>
        <v>POA</v>
      </c>
      <c r="J293" s="204"/>
      <c r="K293" s="192" t="str">
        <f t="shared" si="4"/>
        <v>OK</v>
      </c>
    </row>
    <row r="294" spans="2:11" x14ac:dyDescent="0.2">
      <c r="B294" s="227">
        <v>77</v>
      </c>
      <c r="C294" s="105" t="s">
        <v>209</v>
      </c>
      <c r="D294" s="201" t="s">
        <v>591</v>
      </c>
      <c r="E294" s="105" t="s">
        <v>550</v>
      </c>
      <c r="F294" s="200">
        <f>VLOOKUP(B294,'ACS Price List'!$16:$180,8,FALSE)</f>
        <v>8083</v>
      </c>
      <c r="G294" s="200" t="s">
        <v>714</v>
      </c>
      <c r="H294" s="206" t="s">
        <v>29</v>
      </c>
      <c r="I294" s="206" t="str">
        <f>IFERROR(IF(D294="LR",VLOOKUP(B294,'ACS Price List'!$16:$180,11,FALSE),IF(D294="IS",VLOOKUP(B294,'ACS Price List'!$16:$180,11,FALSE),VLOOKUP(B294,'ACS Price List'!$16:$180,9,FALSE))),"POA")</f>
        <v>POA</v>
      </c>
      <c r="J294" s="204"/>
      <c r="K294" s="192" t="str">
        <f t="shared" si="4"/>
        <v>OK</v>
      </c>
    </row>
    <row r="295" spans="2:11" x14ac:dyDescent="0.2">
      <c r="B295" s="227">
        <v>78</v>
      </c>
      <c r="C295" s="105" t="s">
        <v>213</v>
      </c>
      <c r="D295" s="201" t="s">
        <v>591</v>
      </c>
      <c r="E295" s="105" t="s">
        <v>551</v>
      </c>
      <c r="F295" s="200">
        <f>VLOOKUP(B295,'ACS Price List'!$16:$180,8,FALSE)</f>
        <v>8084</v>
      </c>
      <c r="G295" s="200" t="s">
        <v>714</v>
      </c>
      <c r="H295" s="206" t="s">
        <v>29</v>
      </c>
      <c r="I295" s="206" t="str">
        <f>IFERROR(IF(D295="LR",VLOOKUP(B295,'ACS Price List'!$16:$180,11,FALSE),IF(D295="IS",VLOOKUP(B295,'ACS Price List'!$16:$180,11,FALSE),VLOOKUP(B295,'ACS Price List'!$16:$180,9,FALSE))),"POA")</f>
        <v>POA</v>
      </c>
      <c r="J295" s="204"/>
      <c r="K295" s="192" t="str">
        <f t="shared" si="4"/>
        <v>OK</v>
      </c>
    </row>
    <row r="296" spans="2:11" x14ac:dyDescent="0.2">
      <c r="B296" s="227">
        <v>80</v>
      </c>
      <c r="C296" s="105" t="s">
        <v>217</v>
      </c>
      <c r="D296" s="201" t="s">
        <v>591</v>
      </c>
      <c r="E296" s="105" t="s">
        <v>553</v>
      </c>
      <c r="F296" s="200">
        <f>VLOOKUP(B296,'ACS Price List'!$16:$180,8,FALSE)</f>
        <v>8086</v>
      </c>
      <c r="G296" s="200" t="s">
        <v>714</v>
      </c>
      <c r="H296" s="206" t="s">
        <v>29</v>
      </c>
      <c r="I296" s="206" t="str">
        <f>IFERROR(IF(D296="LR",VLOOKUP(B296,'ACS Price List'!$16:$180,11,FALSE),IF(D296="IS",VLOOKUP(B296,'ACS Price List'!$16:$180,11,FALSE),VLOOKUP(B296,'ACS Price List'!$16:$180,9,FALSE))),"POA")</f>
        <v>POA</v>
      </c>
      <c r="J296" s="204"/>
      <c r="K296" s="192" t="str">
        <f t="shared" si="4"/>
        <v>OK</v>
      </c>
    </row>
    <row r="297" spans="2:11" x14ac:dyDescent="0.2">
      <c r="B297" s="227">
        <v>81</v>
      </c>
      <c r="C297" s="105" t="s">
        <v>221</v>
      </c>
      <c r="D297" s="201" t="s">
        <v>591</v>
      </c>
      <c r="E297" s="105" t="s">
        <v>554</v>
      </c>
      <c r="F297" s="200">
        <f>VLOOKUP(B297,'ACS Price List'!$16:$180,8,FALSE)</f>
        <v>8087</v>
      </c>
      <c r="G297" s="200" t="s">
        <v>714</v>
      </c>
      <c r="H297" s="206" t="s">
        <v>29</v>
      </c>
      <c r="I297" s="206" t="str">
        <f>IFERROR(IF(D297="LR",VLOOKUP(B297,'ACS Price List'!$16:$180,11,FALSE),IF(D297="IS",VLOOKUP(B297,'ACS Price List'!$16:$180,11,FALSE),VLOOKUP(B297,'ACS Price List'!$16:$180,9,FALSE))),"POA")</f>
        <v>POA</v>
      </c>
      <c r="J297" s="204"/>
      <c r="K297" s="192" t="str">
        <f t="shared" si="4"/>
        <v>OK</v>
      </c>
    </row>
    <row r="298" spans="2:11" x14ac:dyDescent="0.2">
      <c r="B298" s="227">
        <v>82</v>
      </c>
      <c r="C298" s="105" t="s">
        <v>288</v>
      </c>
      <c r="D298" s="201" t="s">
        <v>591</v>
      </c>
      <c r="E298" s="105" t="s">
        <v>555</v>
      </c>
      <c r="F298" s="200">
        <f>VLOOKUP(B298,'ACS Price List'!$16:$180,8,FALSE)</f>
        <v>8088</v>
      </c>
      <c r="G298" s="200" t="s">
        <v>714</v>
      </c>
      <c r="H298" s="206" t="s">
        <v>29</v>
      </c>
      <c r="I298" s="206" t="str">
        <f>IFERROR(IF(D298="LR",VLOOKUP(B298,'ACS Price List'!$16:$180,11,FALSE),IF(D298="IS",VLOOKUP(B298,'ACS Price List'!$16:$180,11,FALSE),VLOOKUP(B298,'ACS Price List'!$16:$180,9,FALSE))),"POA")</f>
        <v>POA</v>
      </c>
      <c r="J298" s="204"/>
      <c r="K298" s="192" t="str">
        <f t="shared" si="4"/>
        <v>OK</v>
      </c>
    </row>
    <row r="299" spans="2:11" x14ac:dyDescent="0.2">
      <c r="B299" s="227">
        <v>83</v>
      </c>
      <c r="C299" s="105" t="s">
        <v>225</v>
      </c>
      <c r="D299" s="201" t="s">
        <v>591</v>
      </c>
      <c r="E299" s="105" t="s">
        <v>556</v>
      </c>
      <c r="F299" s="200">
        <f>VLOOKUP(B299,'ACS Price List'!$16:$180,8,FALSE)</f>
        <v>8089</v>
      </c>
      <c r="G299" s="200" t="s">
        <v>714</v>
      </c>
      <c r="H299" s="206" t="s">
        <v>29</v>
      </c>
      <c r="I299" s="206" t="str">
        <f>IFERROR(IF(D299="LR",VLOOKUP(B299,'ACS Price List'!$16:$180,11,FALSE),IF(D299="IS",VLOOKUP(B299,'ACS Price List'!$16:$180,11,FALSE),VLOOKUP(B299,'ACS Price List'!$16:$180,9,FALSE))),"POA")</f>
        <v>POA</v>
      </c>
      <c r="J299" s="204"/>
      <c r="K299" s="192" t="str">
        <f t="shared" si="4"/>
        <v>OK</v>
      </c>
    </row>
    <row r="300" spans="2:11" x14ac:dyDescent="0.2">
      <c r="B300" s="227">
        <v>84</v>
      </c>
      <c r="C300" s="105" t="s">
        <v>229</v>
      </c>
      <c r="D300" s="201" t="s">
        <v>591</v>
      </c>
      <c r="E300" s="105" t="s">
        <v>558</v>
      </c>
      <c r="F300" s="200">
        <f>VLOOKUP(B300,'ACS Price List'!$16:$180,8,FALSE)</f>
        <v>8090</v>
      </c>
      <c r="G300" s="200" t="s">
        <v>714</v>
      </c>
      <c r="H300" s="206" t="s">
        <v>29</v>
      </c>
      <c r="I300" s="206" t="str">
        <f>IFERROR(IF(D300="LR",VLOOKUP(B300,'ACS Price List'!$16:$180,11,FALSE),IF(D300="IS",VLOOKUP(B300,'ACS Price List'!$16:$180,11,FALSE),VLOOKUP(B300,'ACS Price List'!$16:$180,9,FALSE))),"POA")</f>
        <v>POA</v>
      </c>
      <c r="J300" s="204"/>
      <c r="K300" s="192" t="str">
        <f t="shared" si="4"/>
        <v>OK</v>
      </c>
    </row>
    <row r="301" spans="2:11" x14ac:dyDescent="0.2">
      <c r="B301" s="227">
        <v>85</v>
      </c>
      <c r="C301" s="105" t="s">
        <v>233</v>
      </c>
      <c r="D301" s="201" t="s">
        <v>591</v>
      </c>
      <c r="E301" s="105" t="s">
        <v>559</v>
      </c>
      <c r="F301" s="200">
        <f>VLOOKUP(B301,'ACS Price List'!$16:$180,8,FALSE)</f>
        <v>8091</v>
      </c>
      <c r="G301" s="200" t="s">
        <v>714</v>
      </c>
      <c r="H301" s="206" t="s">
        <v>29</v>
      </c>
      <c r="I301" s="206" t="str">
        <f>IFERROR(IF(D301="LR",VLOOKUP(B301,'ACS Price List'!$16:$180,11,FALSE),IF(D301="IS",VLOOKUP(B301,'ACS Price List'!$16:$180,11,FALSE),VLOOKUP(B301,'ACS Price List'!$16:$180,9,FALSE))),"POA")</f>
        <v>POA</v>
      </c>
      <c r="J301" s="204"/>
      <c r="K301" s="192" t="str">
        <f t="shared" si="4"/>
        <v>OK</v>
      </c>
    </row>
    <row r="302" spans="2:11" x14ac:dyDescent="0.2">
      <c r="B302" s="227">
        <v>86</v>
      </c>
      <c r="C302" s="105" t="s">
        <v>237</v>
      </c>
      <c r="D302" s="201" t="s">
        <v>591</v>
      </c>
      <c r="E302" s="105" t="s">
        <v>560</v>
      </c>
      <c r="F302" s="200">
        <f>VLOOKUP(B302,'ACS Price List'!$16:$180,8,FALSE)</f>
        <v>8092</v>
      </c>
      <c r="G302" s="200" t="s">
        <v>714</v>
      </c>
      <c r="H302" s="206" t="s">
        <v>29</v>
      </c>
      <c r="I302" s="206" t="str">
        <f>IFERROR(IF(D302="LR",VLOOKUP(B302,'ACS Price List'!$16:$180,11,FALSE),IF(D302="IS",VLOOKUP(B302,'ACS Price List'!$16:$180,11,FALSE),VLOOKUP(B302,'ACS Price List'!$16:$180,9,FALSE))),"POA")</f>
        <v>POA</v>
      </c>
      <c r="J302" s="204"/>
      <c r="K302" s="192" t="str">
        <f t="shared" si="4"/>
        <v>OK</v>
      </c>
    </row>
    <row r="303" spans="2:11" x14ac:dyDescent="0.2">
      <c r="B303" s="227">
        <v>87</v>
      </c>
      <c r="C303" s="105" t="s">
        <v>241</v>
      </c>
      <c r="D303" s="201" t="s">
        <v>591</v>
      </c>
      <c r="E303" s="105" t="s">
        <v>561</v>
      </c>
      <c r="F303" s="200">
        <f>VLOOKUP(B303,'ACS Price List'!$16:$180,8,FALSE)</f>
        <v>8093</v>
      </c>
      <c r="G303" s="200" t="s">
        <v>714</v>
      </c>
      <c r="H303" s="206" t="s">
        <v>29</v>
      </c>
      <c r="I303" s="206" t="str">
        <f>IFERROR(IF(D303="LR",VLOOKUP(B303,'ACS Price List'!$16:$180,11,FALSE),IF(D303="IS",VLOOKUP(B303,'ACS Price List'!$16:$180,11,FALSE),VLOOKUP(B303,'ACS Price List'!$16:$180,9,FALSE))),"POA")</f>
        <v>POA</v>
      </c>
      <c r="J303" s="204"/>
      <c r="K303" s="192" t="str">
        <f t="shared" si="4"/>
        <v>OK</v>
      </c>
    </row>
    <row r="304" spans="2:11" x14ac:dyDescent="0.2">
      <c r="B304" s="227">
        <v>88</v>
      </c>
      <c r="C304" s="105" t="s">
        <v>245</v>
      </c>
      <c r="D304" s="201" t="s">
        <v>591</v>
      </c>
      <c r="E304" s="105" t="s">
        <v>563</v>
      </c>
      <c r="F304" s="200">
        <f>VLOOKUP(B304,'ACS Price List'!$16:$180,8,FALSE)</f>
        <v>8094</v>
      </c>
      <c r="G304" s="200" t="s">
        <v>714</v>
      </c>
      <c r="H304" s="206" t="s">
        <v>29</v>
      </c>
      <c r="I304" s="206" t="str">
        <f>IFERROR(IF(D304="LR",VLOOKUP(B304,'ACS Price List'!$16:$180,11,FALSE),IF(D304="IS",VLOOKUP(B304,'ACS Price List'!$16:$180,11,FALSE),VLOOKUP(B304,'ACS Price List'!$16:$180,9,FALSE))),"POA")</f>
        <v>POA</v>
      </c>
      <c r="J304" s="204"/>
      <c r="K304" s="192" t="str">
        <f t="shared" si="4"/>
        <v>OK</v>
      </c>
    </row>
    <row r="305" spans="2:11" x14ac:dyDescent="0.2">
      <c r="B305" s="227">
        <v>91</v>
      </c>
      <c r="C305" s="105" t="s">
        <v>434</v>
      </c>
      <c r="D305" s="201" t="s">
        <v>591</v>
      </c>
      <c r="E305" s="105" t="s">
        <v>569</v>
      </c>
      <c r="F305" s="200">
        <f>VLOOKUP(B305,'ACS Price List'!$16:$180,8,FALSE)</f>
        <v>8102</v>
      </c>
      <c r="G305" s="200" t="s">
        <v>714</v>
      </c>
      <c r="H305" s="206" t="s">
        <v>29</v>
      </c>
      <c r="I305" s="206" t="str">
        <f>IFERROR(IF(D305="LR",VLOOKUP(B305,'ACS Price List'!$16:$180,11,FALSE),IF(D305="IS",VLOOKUP(B305,'ACS Price List'!$16:$180,11,FALSE),VLOOKUP(B305,'ACS Price List'!$16:$180,9,FALSE))),"POA")</f>
        <v>POA</v>
      </c>
      <c r="J305" s="204"/>
      <c r="K305" s="192" t="str">
        <f t="shared" si="4"/>
        <v>OK</v>
      </c>
    </row>
    <row r="306" spans="2:11" x14ac:dyDescent="0.2">
      <c r="B306" s="227" t="s">
        <v>647</v>
      </c>
      <c r="C306" s="105" t="s">
        <v>258</v>
      </c>
      <c r="D306" s="201" t="s">
        <v>591</v>
      </c>
      <c r="E306" s="105" t="s">
        <v>663</v>
      </c>
      <c r="F306" s="200">
        <f>VLOOKUP(B306,'ACS Price List'!$16:$180,8,FALSE)</f>
        <v>8103</v>
      </c>
      <c r="G306" s="200" t="s">
        <v>714</v>
      </c>
      <c r="H306" s="206" t="s">
        <v>29</v>
      </c>
      <c r="I306" s="206" t="str">
        <f>IFERROR(IF(D306="LR",VLOOKUP(B306,'ACS Price List'!$16:$180,11,FALSE),IF(D306="IS",VLOOKUP(B306,'ACS Price List'!$16:$180,11,FALSE),VLOOKUP(B306,'ACS Price List'!$16:$180,9,FALSE))),"POA")</f>
        <v>POA</v>
      </c>
      <c r="J306" s="204"/>
      <c r="K306" s="192" t="str">
        <f t="shared" si="4"/>
        <v>OK</v>
      </c>
    </row>
    <row r="307" spans="2:11" x14ac:dyDescent="0.2">
      <c r="B307" s="227" t="s">
        <v>750</v>
      </c>
      <c r="C307" s="105" t="s">
        <v>744</v>
      </c>
      <c r="D307" s="201" t="s">
        <v>591</v>
      </c>
      <c r="E307" s="239" t="s">
        <v>723</v>
      </c>
      <c r="F307" s="200">
        <f>VLOOKUP(B307,'ACS Price List'!$16:$180,8,FALSE)</f>
        <v>8113</v>
      </c>
      <c r="G307" s="200" t="s">
        <v>714</v>
      </c>
      <c r="H307" s="206" t="s">
        <v>29</v>
      </c>
      <c r="I307" s="206" t="str">
        <f>IFERROR(IF(D307="LR",VLOOKUP(B307,'ACS Price List'!$16:$180,11,FALSE),IF(D307="IS",VLOOKUP(B307,'ACS Price List'!$16:$180,11,FALSE),VLOOKUP(B307,'ACS Price List'!$16:$180,9,FALSE))),"POA")</f>
        <v>POA</v>
      </c>
      <c r="J307" s="204"/>
      <c r="K307" s="192" t="str">
        <f t="shared" si="4"/>
        <v>OK</v>
      </c>
    </row>
    <row r="308" spans="2:11" x14ac:dyDescent="0.2">
      <c r="B308" s="227">
        <v>56</v>
      </c>
      <c r="C308" s="105" t="s">
        <v>93</v>
      </c>
      <c r="D308" s="201" t="s">
        <v>592</v>
      </c>
      <c r="E308" s="105" t="s">
        <v>519</v>
      </c>
      <c r="F308" s="200">
        <f>VLOOKUP(B308,'ACS Price List'!$16:$180,8,FALSE)</f>
        <v>8056</v>
      </c>
      <c r="G308" s="200" t="s">
        <v>714</v>
      </c>
      <c r="H308" s="206" t="s">
        <v>29</v>
      </c>
      <c r="I308" s="206" t="str">
        <f>IFERROR(IF(D308="LR",VLOOKUP(B308,'ACS Price List'!$16:$180,11,FALSE),IF(D308="IS",VLOOKUP(B308,'ACS Price List'!$16:$180,11,FALSE),VLOOKUP(B308,'ACS Price List'!$16:$180,9,FALSE))),"POA")</f>
        <v>POA</v>
      </c>
      <c r="J308" s="204"/>
      <c r="K308" s="192" t="str">
        <f t="shared" si="4"/>
        <v>OK</v>
      </c>
    </row>
    <row r="309" spans="2:11" x14ac:dyDescent="0.2">
      <c r="B309" s="227">
        <v>59</v>
      </c>
      <c r="C309" s="105" t="s">
        <v>97</v>
      </c>
      <c r="D309" s="201" t="s">
        <v>592</v>
      </c>
      <c r="E309" s="105" t="s">
        <v>523</v>
      </c>
      <c r="F309" s="200">
        <f>VLOOKUP(B309,'ACS Price List'!$16:$180,8,FALSE)</f>
        <v>8059</v>
      </c>
      <c r="G309" s="200" t="s">
        <v>714</v>
      </c>
      <c r="H309" s="206" t="s">
        <v>29</v>
      </c>
      <c r="I309" s="206" t="str">
        <f>IFERROR(IF(D309="LR",VLOOKUP(B309,'ACS Price List'!$16:$180,11,FALSE),IF(D309="IS",VLOOKUP(B309,'ACS Price List'!$16:$180,11,FALSE),VLOOKUP(B309,'ACS Price List'!$16:$180,9,FALSE))),"POA")</f>
        <v>POA</v>
      </c>
      <c r="J309" s="204"/>
      <c r="K309" s="192" t="str">
        <f t="shared" si="4"/>
        <v>OK</v>
      </c>
    </row>
    <row r="310" spans="2:11" x14ac:dyDescent="0.2">
      <c r="B310" s="227">
        <v>60</v>
      </c>
      <c r="C310" s="105" t="s">
        <v>136</v>
      </c>
      <c r="D310" s="201" t="s">
        <v>592</v>
      </c>
      <c r="E310" s="105" t="s">
        <v>525</v>
      </c>
      <c r="F310" s="200">
        <f>VLOOKUP(B310,'ACS Price List'!$16:$180,8,FALSE)</f>
        <v>8060</v>
      </c>
      <c r="G310" s="200" t="s">
        <v>714</v>
      </c>
      <c r="H310" s="206" t="s">
        <v>29</v>
      </c>
      <c r="I310" s="206" t="str">
        <f>IFERROR(IF(D310="LR",VLOOKUP(B310,'ACS Price List'!$16:$180,11,FALSE),IF(D310="IS",VLOOKUP(B310,'ACS Price List'!$16:$180,11,FALSE),VLOOKUP(B310,'ACS Price List'!$16:$180,9,FALSE))),"POA")</f>
        <v>POA</v>
      </c>
      <c r="J310" s="204"/>
      <c r="K310" s="192" t="str">
        <f t="shared" si="4"/>
        <v>OK</v>
      </c>
    </row>
    <row r="311" spans="2:11" x14ac:dyDescent="0.2">
      <c r="B311" s="227">
        <v>61</v>
      </c>
      <c r="C311" s="105" t="s">
        <v>104</v>
      </c>
      <c r="D311" s="201" t="s">
        <v>592</v>
      </c>
      <c r="E311" s="105" t="s">
        <v>527</v>
      </c>
      <c r="F311" s="200">
        <f>VLOOKUP(B311,'ACS Price List'!$16:$180,8,FALSE)</f>
        <v>8061</v>
      </c>
      <c r="G311" s="200" t="s">
        <v>714</v>
      </c>
      <c r="H311" s="206" t="s">
        <v>29</v>
      </c>
      <c r="I311" s="206" t="str">
        <f>IFERROR(IF(D311="LR",VLOOKUP(B311,'ACS Price List'!$16:$180,11,FALSE),IF(D311="IS",VLOOKUP(B311,'ACS Price List'!$16:$180,11,FALSE),VLOOKUP(B311,'ACS Price List'!$16:$180,9,FALSE))),"POA")</f>
        <v>POA</v>
      </c>
      <c r="J311" s="204"/>
      <c r="K311" s="192" t="str">
        <f t="shared" si="4"/>
        <v>OK</v>
      </c>
    </row>
    <row r="312" spans="2:11" x14ac:dyDescent="0.2">
      <c r="B312" s="227">
        <v>62</v>
      </c>
      <c r="C312" s="105" t="s">
        <v>108</v>
      </c>
      <c r="D312" s="201" t="s">
        <v>592</v>
      </c>
      <c r="E312" s="105" t="s">
        <v>529</v>
      </c>
      <c r="F312" s="200">
        <f>VLOOKUP(B312,'ACS Price List'!$16:$180,8,FALSE)</f>
        <v>8062</v>
      </c>
      <c r="G312" s="200" t="s">
        <v>714</v>
      </c>
      <c r="H312" s="206" t="s">
        <v>29</v>
      </c>
      <c r="I312" s="206" t="str">
        <f>IFERROR(IF(D312="LR",VLOOKUP(B312,'ACS Price List'!$16:$180,11,FALSE),IF(D312="IS",VLOOKUP(B312,'ACS Price List'!$16:$180,11,FALSE),VLOOKUP(B312,'ACS Price List'!$16:$180,9,FALSE))),"POA")</f>
        <v>POA</v>
      </c>
      <c r="J312" s="204"/>
      <c r="K312" s="192" t="str">
        <f t="shared" si="4"/>
        <v>OK</v>
      </c>
    </row>
    <row r="313" spans="2:11" x14ac:dyDescent="0.2">
      <c r="B313" s="227">
        <v>66</v>
      </c>
      <c r="C313" s="105" t="s">
        <v>41</v>
      </c>
      <c r="D313" s="201" t="s">
        <v>592</v>
      </c>
      <c r="E313" s="105" t="s">
        <v>533</v>
      </c>
      <c r="F313" s="200">
        <f>VLOOKUP(B313,'ACS Price List'!$16:$180,8,FALSE)</f>
        <v>8066</v>
      </c>
      <c r="G313" s="200" t="s">
        <v>714</v>
      </c>
      <c r="H313" s="206">
        <v>0</v>
      </c>
      <c r="I313" s="206">
        <f>IFERROR(IF(D313="LR",VLOOKUP(B313,'ACS Price List'!$16:$180,11,FALSE),IF(D313="IS",VLOOKUP(B313,'ACS Price List'!$16:$180,11,FALSE),VLOOKUP(B313,'ACS Price List'!$16:$180,9,FALSE))),"POA")</f>
        <v>0</v>
      </c>
      <c r="J313" s="204"/>
      <c r="K313" s="192" t="str">
        <f t="shared" si="4"/>
        <v>OK</v>
      </c>
    </row>
    <row r="314" spans="2:11" x14ac:dyDescent="0.2">
      <c r="B314" s="227">
        <v>67</v>
      </c>
      <c r="C314" s="105" t="s">
        <v>37</v>
      </c>
      <c r="D314" s="201" t="s">
        <v>592</v>
      </c>
      <c r="E314" s="105" t="s">
        <v>534</v>
      </c>
      <c r="F314" s="200">
        <f>VLOOKUP(B314,'ACS Price List'!$16:$180,8,FALSE)</f>
        <v>8067</v>
      </c>
      <c r="G314" s="200" t="s">
        <v>714</v>
      </c>
      <c r="H314" s="206">
        <v>109.9</v>
      </c>
      <c r="I314" s="206">
        <f>IFERROR(IF(D314="LR",VLOOKUP(B314,'ACS Price List'!$16:$180,11,FALSE),IF(D314="IS",VLOOKUP(B314,'ACS Price List'!$16:$180,11,FALSE),VLOOKUP(B314,'ACS Price List'!$16:$180,9,FALSE))),"POA")</f>
        <v>109.9</v>
      </c>
      <c r="J314" s="204"/>
      <c r="K314" s="192" t="str">
        <f t="shared" si="4"/>
        <v>OK</v>
      </c>
    </row>
    <row r="315" spans="2:11" x14ac:dyDescent="0.2">
      <c r="B315" s="227" t="s">
        <v>655</v>
      </c>
      <c r="C315" s="105" t="s">
        <v>660</v>
      </c>
      <c r="D315" s="201" t="s">
        <v>592</v>
      </c>
      <c r="E315" s="105" t="s">
        <v>656</v>
      </c>
      <c r="F315" s="200">
        <f>VLOOKUP(B315,'ACS Price List'!$16:$180,8,FALSE)</f>
        <v>8254</v>
      </c>
      <c r="G315" s="200" t="s">
        <v>714</v>
      </c>
      <c r="H315" s="206"/>
      <c r="I315" s="203">
        <f>IFERROR(IF(D315="LR",VLOOKUP(B315,'ACS Price List'!$16:$180,11,FALSE),IF(D315="IS",VLOOKUP(B315,'ACS Price List'!$16:$180,11,FALSE),VLOOKUP(B315,'ACS Price List'!$16:$180,9,FALSE))),"POA")</f>
        <v>109.9</v>
      </c>
      <c r="J315" s="186"/>
      <c r="K315" s="192" t="str">
        <f t="shared" si="4"/>
        <v>CHANGE</v>
      </c>
    </row>
    <row r="316" spans="2:11" x14ac:dyDescent="0.2">
      <c r="B316" s="227">
        <v>74</v>
      </c>
      <c r="C316" s="105" t="s">
        <v>190</v>
      </c>
      <c r="D316" s="201" t="s">
        <v>592</v>
      </c>
      <c r="E316" s="105" t="s">
        <v>547</v>
      </c>
      <c r="F316" s="200">
        <f>VLOOKUP(B316,'ACS Price List'!$16:$180,8,FALSE)</f>
        <v>8080</v>
      </c>
      <c r="G316" s="200" t="s">
        <v>714</v>
      </c>
      <c r="H316" s="206">
        <v>39.1</v>
      </c>
      <c r="I316" s="206">
        <f>IFERROR(IF(D316="LR",VLOOKUP(B316,'ACS Price List'!$16:$180,11,FALSE),IF(D316="IS",VLOOKUP(B316,'ACS Price List'!$16:$180,11,FALSE),VLOOKUP(B316,'ACS Price List'!$16:$180,9,FALSE))),"POA")</f>
        <v>39.1</v>
      </c>
      <c r="J316" s="204"/>
      <c r="K316" s="192" t="str">
        <f t="shared" si="4"/>
        <v>OK</v>
      </c>
    </row>
    <row r="317" spans="2:11" x14ac:dyDescent="0.2">
      <c r="B317" s="227">
        <v>75</v>
      </c>
      <c r="C317" s="105" t="s">
        <v>198</v>
      </c>
      <c r="D317" s="201" t="s">
        <v>592</v>
      </c>
      <c r="E317" s="105" t="s">
        <v>548</v>
      </c>
      <c r="F317" s="200">
        <f>VLOOKUP(B317,'ACS Price List'!$16:$180,8,FALSE)</f>
        <v>8081</v>
      </c>
      <c r="G317" s="200" t="s">
        <v>714</v>
      </c>
      <c r="H317" s="206">
        <v>18.100000000000001</v>
      </c>
      <c r="I317" s="206">
        <f>IFERROR(IF(D317="LR",VLOOKUP(B317,'ACS Price List'!$16:$180,11,FALSE),IF(D317="IS",VLOOKUP(B317,'ACS Price List'!$16:$180,11,FALSE),VLOOKUP(B317,'ACS Price List'!$16:$180,9,FALSE))),"POA")</f>
        <v>18.100000000000001</v>
      </c>
      <c r="J317" s="204"/>
      <c r="K317" s="192" t="str">
        <f t="shared" si="4"/>
        <v>OK</v>
      </c>
    </row>
    <row r="318" spans="2:11" x14ac:dyDescent="0.2">
      <c r="B318" s="227">
        <v>76</v>
      </c>
      <c r="C318" s="105" t="s">
        <v>206</v>
      </c>
      <c r="D318" s="201" t="s">
        <v>592</v>
      </c>
      <c r="E318" s="105" t="s">
        <v>549</v>
      </c>
      <c r="F318" s="200">
        <f>VLOOKUP(B318,'ACS Price List'!$16:$180,8,FALSE)</f>
        <v>8082</v>
      </c>
      <c r="G318" s="200" t="s">
        <v>714</v>
      </c>
      <c r="H318" s="206" t="s">
        <v>29</v>
      </c>
      <c r="I318" s="206" t="str">
        <f>IFERROR(IF(D318="LR",VLOOKUP(B318,'ACS Price List'!$16:$180,11,FALSE),IF(D318="IS",VLOOKUP(B318,'ACS Price List'!$16:$180,11,FALSE),VLOOKUP(B318,'ACS Price List'!$16:$180,9,FALSE))),"POA")</f>
        <v>POA</v>
      </c>
      <c r="J318" s="204"/>
      <c r="K318" s="192" t="str">
        <f t="shared" si="4"/>
        <v>OK</v>
      </c>
    </row>
    <row r="319" spans="2:11" x14ac:dyDescent="0.2">
      <c r="B319" s="227">
        <v>77</v>
      </c>
      <c r="C319" s="105" t="s">
        <v>210</v>
      </c>
      <c r="D319" s="201" t="s">
        <v>592</v>
      </c>
      <c r="E319" s="105" t="s">
        <v>550</v>
      </c>
      <c r="F319" s="200">
        <f>VLOOKUP(B319,'ACS Price List'!$16:$180,8,FALSE)</f>
        <v>8083</v>
      </c>
      <c r="G319" s="200" t="s">
        <v>714</v>
      </c>
      <c r="H319" s="206" t="s">
        <v>29</v>
      </c>
      <c r="I319" s="206" t="str">
        <f>IFERROR(IF(D319="LR",VLOOKUP(B319,'ACS Price List'!$16:$180,11,FALSE),IF(D319="IS",VLOOKUP(B319,'ACS Price List'!$16:$180,11,FALSE),VLOOKUP(B319,'ACS Price List'!$16:$180,9,FALSE))),"POA")</f>
        <v>POA</v>
      </c>
      <c r="J319" s="204"/>
      <c r="K319" s="192" t="str">
        <f t="shared" si="4"/>
        <v>OK</v>
      </c>
    </row>
    <row r="320" spans="2:11" x14ac:dyDescent="0.2">
      <c r="B320" s="227">
        <v>78</v>
      </c>
      <c r="C320" s="105" t="s">
        <v>214</v>
      </c>
      <c r="D320" s="201" t="s">
        <v>592</v>
      </c>
      <c r="E320" s="105" t="s">
        <v>551</v>
      </c>
      <c r="F320" s="200">
        <f>VLOOKUP(B320,'ACS Price List'!$16:$180,8,FALSE)</f>
        <v>8084</v>
      </c>
      <c r="G320" s="200" t="s">
        <v>714</v>
      </c>
      <c r="H320" s="206" t="s">
        <v>29</v>
      </c>
      <c r="I320" s="206" t="str">
        <f>IFERROR(IF(D320="LR",VLOOKUP(B320,'ACS Price List'!$16:$180,11,FALSE),IF(D320="IS",VLOOKUP(B320,'ACS Price List'!$16:$180,11,FALSE),VLOOKUP(B320,'ACS Price List'!$16:$180,9,FALSE))),"POA")</f>
        <v>POA</v>
      </c>
      <c r="J320" s="204"/>
      <c r="K320" s="192" t="str">
        <f t="shared" si="4"/>
        <v>OK</v>
      </c>
    </row>
    <row r="321" spans="2:11" x14ac:dyDescent="0.2">
      <c r="B321" s="227">
        <v>80</v>
      </c>
      <c r="C321" s="105" t="s">
        <v>218</v>
      </c>
      <c r="D321" s="201" t="s">
        <v>592</v>
      </c>
      <c r="E321" s="105" t="s">
        <v>553</v>
      </c>
      <c r="F321" s="200">
        <f>VLOOKUP(B321,'ACS Price List'!$16:$180,8,FALSE)</f>
        <v>8086</v>
      </c>
      <c r="G321" s="200" t="s">
        <v>714</v>
      </c>
      <c r="H321" s="206" t="s">
        <v>29</v>
      </c>
      <c r="I321" s="206" t="str">
        <f>IFERROR(IF(D321="LR",VLOOKUP(B321,'ACS Price List'!$16:$180,11,FALSE),IF(D321="IS",VLOOKUP(B321,'ACS Price List'!$16:$180,11,FALSE),VLOOKUP(B321,'ACS Price List'!$16:$180,9,FALSE))),"POA")</f>
        <v>POA</v>
      </c>
      <c r="J321" s="204"/>
      <c r="K321" s="192" t="str">
        <f t="shared" si="4"/>
        <v>OK</v>
      </c>
    </row>
    <row r="322" spans="2:11" x14ac:dyDescent="0.2">
      <c r="B322" s="227">
        <v>81</v>
      </c>
      <c r="C322" s="105" t="s">
        <v>222</v>
      </c>
      <c r="D322" s="201" t="s">
        <v>592</v>
      </c>
      <c r="E322" s="105" t="s">
        <v>554</v>
      </c>
      <c r="F322" s="200">
        <f>VLOOKUP(B322,'ACS Price List'!$16:$180,8,FALSE)</f>
        <v>8087</v>
      </c>
      <c r="G322" s="200" t="s">
        <v>714</v>
      </c>
      <c r="H322" s="206" t="s">
        <v>29</v>
      </c>
      <c r="I322" s="206" t="str">
        <f>IFERROR(IF(D322="LR",VLOOKUP(B322,'ACS Price List'!$16:$180,11,FALSE),IF(D322="IS",VLOOKUP(B322,'ACS Price List'!$16:$180,11,FALSE),VLOOKUP(B322,'ACS Price List'!$16:$180,9,FALSE))),"POA")</f>
        <v>POA</v>
      </c>
      <c r="J322" s="204"/>
      <c r="K322" s="192" t="str">
        <f t="shared" si="4"/>
        <v>OK</v>
      </c>
    </row>
    <row r="323" spans="2:11" x14ac:dyDescent="0.2">
      <c r="B323" s="227">
        <v>82</v>
      </c>
      <c r="C323" s="105" t="s">
        <v>289</v>
      </c>
      <c r="D323" s="201" t="s">
        <v>592</v>
      </c>
      <c r="E323" s="105" t="s">
        <v>555</v>
      </c>
      <c r="F323" s="200">
        <f>VLOOKUP(B323,'ACS Price List'!$16:$180,8,FALSE)</f>
        <v>8088</v>
      </c>
      <c r="G323" s="200" t="s">
        <v>714</v>
      </c>
      <c r="H323" s="206" t="s">
        <v>29</v>
      </c>
      <c r="I323" s="206" t="str">
        <f>IFERROR(IF(D323="LR",VLOOKUP(B323,'ACS Price List'!$16:$180,11,FALSE),IF(D323="IS",VLOOKUP(B323,'ACS Price List'!$16:$180,11,FALSE),VLOOKUP(B323,'ACS Price List'!$16:$180,9,FALSE))),"POA")</f>
        <v>POA</v>
      </c>
      <c r="J323" s="204"/>
      <c r="K323" s="192" t="str">
        <f t="shared" si="4"/>
        <v>OK</v>
      </c>
    </row>
    <row r="324" spans="2:11" x14ac:dyDescent="0.2">
      <c r="B324" s="227">
        <v>83</v>
      </c>
      <c r="C324" s="105" t="s">
        <v>226</v>
      </c>
      <c r="D324" s="201" t="s">
        <v>592</v>
      </c>
      <c r="E324" s="105" t="s">
        <v>556</v>
      </c>
      <c r="F324" s="200">
        <f>VLOOKUP(B324,'ACS Price List'!$16:$180,8,FALSE)</f>
        <v>8089</v>
      </c>
      <c r="G324" s="200" t="s">
        <v>714</v>
      </c>
      <c r="H324" s="206" t="s">
        <v>29</v>
      </c>
      <c r="I324" s="206" t="str">
        <f>IFERROR(IF(D324="LR",VLOOKUP(B324,'ACS Price List'!$16:$180,11,FALSE),IF(D324="IS",VLOOKUP(B324,'ACS Price List'!$16:$180,11,FALSE),VLOOKUP(B324,'ACS Price List'!$16:$180,9,FALSE))),"POA")</f>
        <v>POA</v>
      </c>
      <c r="J324" s="204"/>
      <c r="K324" s="192" t="str">
        <f t="shared" si="4"/>
        <v>OK</v>
      </c>
    </row>
    <row r="325" spans="2:11" x14ac:dyDescent="0.2">
      <c r="B325" s="227">
        <v>84</v>
      </c>
      <c r="C325" s="105" t="s">
        <v>230</v>
      </c>
      <c r="D325" s="201" t="s">
        <v>592</v>
      </c>
      <c r="E325" s="105" t="s">
        <v>558</v>
      </c>
      <c r="F325" s="200">
        <f>VLOOKUP(B325,'ACS Price List'!$16:$180,8,FALSE)</f>
        <v>8090</v>
      </c>
      <c r="G325" s="200" t="s">
        <v>714</v>
      </c>
      <c r="H325" s="206" t="s">
        <v>29</v>
      </c>
      <c r="I325" s="206" t="str">
        <f>IFERROR(IF(D325="LR",VLOOKUP(B325,'ACS Price List'!$16:$180,11,FALSE),IF(D325="IS",VLOOKUP(B325,'ACS Price List'!$16:$180,11,FALSE),VLOOKUP(B325,'ACS Price List'!$16:$180,9,FALSE))),"POA")</f>
        <v>POA</v>
      </c>
      <c r="J325" s="204"/>
      <c r="K325" s="192" t="str">
        <f t="shared" si="4"/>
        <v>OK</v>
      </c>
    </row>
    <row r="326" spans="2:11" x14ac:dyDescent="0.2">
      <c r="B326" s="227">
        <v>85</v>
      </c>
      <c r="C326" s="105" t="s">
        <v>234</v>
      </c>
      <c r="D326" s="201" t="s">
        <v>592</v>
      </c>
      <c r="E326" s="105" t="s">
        <v>559</v>
      </c>
      <c r="F326" s="200">
        <f>VLOOKUP(B326,'ACS Price List'!$16:$180,8,FALSE)</f>
        <v>8091</v>
      </c>
      <c r="G326" s="200" t="s">
        <v>714</v>
      </c>
      <c r="H326" s="206" t="s">
        <v>29</v>
      </c>
      <c r="I326" s="206" t="str">
        <f>IFERROR(IF(D326="LR",VLOOKUP(B326,'ACS Price List'!$16:$180,11,FALSE),IF(D326="IS",VLOOKUP(B326,'ACS Price List'!$16:$180,11,FALSE),VLOOKUP(B326,'ACS Price List'!$16:$180,9,FALSE))),"POA")</f>
        <v>POA</v>
      </c>
      <c r="J326" s="204"/>
      <c r="K326" s="192" t="str">
        <f t="shared" si="4"/>
        <v>OK</v>
      </c>
    </row>
    <row r="327" spans="2:11" x14ac:dyDescent="0.2">
      <c r="B327" s="227">
        <v>86</v>
      </c>
      <c r="C327" s="105" t="s">
        <v>238</v>
      </c>
      <c r="D327" s="201" t="s">
        <v>592</v>
      </c>
      <c r="E327" s="105" t="s">
        <v>560</v>
      </c>
      <c r="F327" s="200">
        <f>VLOOKUP(B327,'ACS Price List'!$16:$180,8,FALSE)</f>
        <v>8092</v>
      </c>
      <c r="G327" s="200" t="s">
        <v>714</v>
      </c>
      <c r="H327" s="206" t="s">
        <v>29</v>
      </c>
      <c r="I327" s="206" t="str">
        <f>IFERROR(IF(D327="LR",VLOOKUP(B327,'ACS Price List'!$16:$180,11,FALSE),IF(D327="IS",VLOOKUP(B327,'ACS Price List'!$16:$180,11,FALSE),VLOOKUP(B327,'ACS Price List'!$16:$180,9,FALSE))),"POA")</f>
        <v>POA</v>
      </c>
      <c r="J327" s="204"/>
      <c r="K327" s="192" t="str">
        <f t="shared" si="4"/>
        <v>OK</v>
      </c>
    </row>
    <row r="328" spans="2:11" x14ac:dyDescent="0.2">
      <c r="B328" s="227">
        <v>87</v>
      </c>
      <c r="C328" s="105" t="s">
        <v>242</v>
      </c>
      <c r="D328" s="201" t="s">
        <v>592</v>
      </c>
      <c r="E328" s="105" t="s">
        <v>561</v>
      </c>
      <c r="F328" s="200">
        <f>VLOOKUP(B328,'ACS Price List'!$16:$180,8,FALSE)</f>
        <v>8093</v>
      </c>
      <c r="G328" s="200" t="s">
        <v>714</v>
      </c>
      <c r="H328" s="206" t="s">
        <v>29</v>
      </c>
      <c r="I328" s="206" t="str">
        <f>IFERROR(IF(D328="LR",VLOOKUP(B328,'ACS Price List'!$16:$180,11,FALSE),IF(D328="IS",VLOOKUP(B328,'ACS Price List'!$16:$180,11,FALSE),VLOOKUP(B328,'ACS Price List'!$16:$180,9,FALSE))),"POA")</f>
        <v>POA</v>
      </c>
      <c r="J328" s="204"/>
      <c r="K328" s="192" t="str">
        <f t="shared" si="4"/>
        <v>OK</v>
      </c>
    </row>
    <row r="329" spans="2:11" x14ac:dyDescent="0.2">
      <c r="B329" s="227">
        <v>88</v>
      </c>
      <c r="C329" s="105" t="s">
        <v>246</v>
      </c>
      <c r="D329" s="201" t="s">
        <v>592</v>
      </c>
      <c r="E329" s="105" t="s">
        <v>563</v>
      </c>
      <c r="F329" s="200">
        <f>VLOOKUP(B329,'ACS Price List'!$16:$180,8,FALSE)</f>
        <v>8094</v>
      </c>
      <c r="G329" s="200" t="s">
        <v>714</v>
      </c>
      <c r="H329" s="206" t="s">
        <v>29</v>
      </c>
      <c r="I329" s="206" t="str">
        <f>IFERROR(IF(D329="LR",VLOOKUP(B329,'ACS Price List'!$16:$180,11,FALSE),IF(D329="IS",VLOOKUP(B329,'ACS Price List'!$16:$180,11,FALSE),VLOOKUP(B329,'ACS Price List'!$16:$180,9,FALSE))),"POA")</f>
        <v>POA</v>
      </c>
      <c r="J329" s="204"/>
      <c r="K329" s="192" t="str">
        <f t="shared" si="4"/>
        <v>OK</v>
      </c>
    </row>
    <row r="330" spans="2:11" x14ac:dyDescent="0.2">
      <c r="B330" s="227">
        <v>91</v>
      </c>
      <c r="C330" s="105" t="s">
        <v>435</v>
      </c>
      <c r="D330" s="201" t="s">
        <v>592</v>
      </c>
      <c r="E330" s="105" t="s">
        <v>569</v>
      </c>
      <c r="F330" s="200">
        <f>VLOOKUP(B330,'ACS Price List'!$16:$180,8,FALSE)</f>
        <v>8102</v>
      </c>
      <c r="G330" s="200" t="s">
        <v>714</v>
      </c>
      <c r="H330" s="206" t="s">
        <v>29</v>
      </c>
      <c r="I330" s="206" t="str">
        <f>IFERROR(IF(D330="LR",VLOOKUP(B330,'ACS Price List'!$16:$180,11,FALSE),IF(D330="IS",VLOOKUP(B330,'ACS Price List'!$16:$180,11,FALSE),VLOOKUP(B330,'ACS Price List'!$16:$180,9,FALSE))),"POA")</f>
        <v>POA</v>
      </c>
      <c r="J330" s="204"/>
      <c r="K330" s="192" t="str">
        <f t="shared" si="4"/>
        <v>OK</v>
      </c>
    </row>
    <row r="331" spans="2:11" x14ac:dyDescent="0.2">
      <c r="B331" s="227" t="s">
        <v>647</v>
      </c>
      <c r="C331" s="105" t="s">
        <v>259</v>
      </c>
      <c r="D331" s="201" t="s">
        <v>592</v>
      </c>
      <c r="E331" s="105" t="s">
        <v>663</v>
      </c>
      <c r="F331" s="200">
        <f>VLOOKUP(B331,'ACS Price List'!$16:$180,8,FALSE)</f>
        <v>8103</v>
      </c>
      <c r="G331" s="200" t="s">
        <v>714</v>
      </c>
      <c r="H331" s="206" t="s">
        <v>29</v>
      </c>
      <c r="I331" s="206" t="str">
        <f>IFERROR(IF(D331="LR",VLOOKUP(B331,'ACS Price List'!$16:$180,11,FALSE),IF(D331="IS",VLOOKUP(B331,'ACS Price List'!$16:$180,11,FALSE),VLOOKUP(B331,'ACS Price List'!$16:$180,9,FALSE))),"POA")</f>
        <v>POA</v>
      </c>
      <c r="J331" s="204"/>
      <c r="K331" s="192" t="str">
        <f t="shared" si="4"/>
        <v>OK</v>
      </c>
    </row>
    <row r="332" spans="2:11" x14ac:dyDescent="0.2">
      <c r="B332" s="227" t="s">
        <v>750</v>
      </c>
      <c r="C332" s="105" t="s">
        <v>745</v>
      </c>
      <c r="D332" s="201" t="s">
        <v>592</v>
      </c>
      <c r="E332" s="239" t="s">
        <v>723</v>
      </c>
      <c r="F332" s="200">
        <f>VLOOKUP(B332,'ACS Price List'!$16:$180,8,FALSE)</f>
        <v>8113</v>
      </c>
      <c r="G332" s="200" t="s">
        <v>714</v>
      </c>
      <c r="H332" s="206" t="s">
        <v>29</v>
      </c>
      <c r="I332" s="206" t="str">
        <f>IFERROR(IF(D332="LR",VLOOKUP(B332,'ACS Price List'!$16:$180,11,FALSE),IF(D332="IS",VLOOKUP(B332,'ACS Price List'!$16:$180,11,FALSE),VLOOKUP(B332,'ACS Price List'!$16:$180,9,FALSE))),"POA")</f>
        <v>POA</v>
      </c>
      <c r="J332" s="204"/>
      <c r="K332" s="192" t="str">
        <f t="shared" ref="K332:K362" si="5">IFERROR(IF(I332="POA","OK",IF(I332-H332=0,"OK","CHANGE")),"CHECK")</f>
        <v>OK</v>
      </c>
    </row>
    <row r="333" spans="2:11" ht="24" x14ac:dyDescent="0.2">
      <c r="B333" s="238" t="s">
        <v>614</v>
      </c>
      <c r="C333" s="105" t="s">
        <v>746</v>
      </c>
      <c r="D333" s="201" t="s">
        <v>590</v>
      </c>
      <c r="E333" s="105" t="s">
        <v>688</v>
      </c>
      <c r="F333" s="200">
        <f>VLOOKUP(B333,'ACS Price List'!$16:$180,8,FALSE)</f>
        <v>8077</v>
      </c>
      <c r="G333" s="200" t="s">
        <v>714</v>
      </c>
      <c r="H333" s="206"/>
      <c r="I333" s="203" t="str">
        <f>IFERROR(IF(D333="LR",VLOOKUP(B333,'ACS Price List'!$16:$180,11,FALSE),IF(D333="IS",VLOOKUP(B333,'ACS Price List'!$16:$180,11,FALSE),VLOOKUP(B333,'ACS Price List'!$16:$180,9,FALSE))),"POA")</f>
        <v>POA</v>
      </c>
      <c r="J333" s="204"/>
      <c r="K333" s="192" t="str">
        <f t="shared" si="5"/>
        <v>OK</v>
      </c>
    </row>
    <row r="334" spans="2:11" ht="24" x14ac:dyDescent="0.2">
      <c r="B334" s="238" t="s">
        <v>614</v>
      </c>
      <c r="C334" s="239" t="s">
        <v>747</v>
      </c>
      <c r="D334" s="201" t="s">
        <v>589</v>
      </c>
      <c r="E334" s="239" t="s">
        <v>688</v>
      </c>
      <c r="F334" s="200">
        <f>VLOOKUP(B334,'ACS Price List'!$16:$180,8,FALSE)</f>
        <v>8077</v>
      </c>
      <c r="G334" s="200" t="s">
        <v>714</v>
      </c>
      <c r="H334" s="206"/>
      <c r="I334" s="203" t="str">
        <f>IFERROR(IF(D334="LR",VLOOKUP(B334,'ACS Price List'!$16:$180,11,FALSE),IF(D334="IS",VLOOKUP(B334,'ACS Price List'!$16:$180,11,FALSE),VLOOKUP(B334,'ACS Price List'!$16:$180,9,FALSE))),"POA")</f>
        <v>POA</v>
      </c>
      <c r="J334" s="204"/>
      <c r="K334" s="192" t="str">
        <f t="shared" si="5"/>
        <v>OK</v>
      </c>
    </row>
    <row r="335" spans="2:11" ht="24" x14ac:dyDescent="0.2">
      <c r="B335" s="238" t="s">
        <v>614</v>
      </c>
      <c r="C335" s="239" t="s">
        <v>748</v>
      </c>
      <c r="D335" s="201" t="s">
        <v>591</v>
      </c>
      <c r="E335" s="239" t="s">
        <v>688</v>
      </c>
      <c r="F335" s="200">
        <f>VLOOKUP(B335,'ACS Price List'!$16:$180,8,FALSE)</f>
        <v>8077</v>
      </c>
      <c r="G335" s="200" t="s">
        <v>714</v>
      </c>
      <c r="H335" s="206"/>
      <c r="I335" s="203" t="str">
        <f>IFERROR(IF(D335="LR",VLOOKUP(B335,'ACS Price List'!$16:$180,11,FALSE),IF(D335="IS",VLOOKUP(B335,'ACS Price List'!$16:$180,11,FALSE),VLOOKUP(B335,'ACS Price List'!$16:$180,9,FALSE))),"POA")</f>
        <v>POA</v>
      </c>
      <c r="J335" s="204"/>
      <c r="K335" s="192" t="str">
        <f t="shared" si="5"/>
        <v>OK</v>
      </c>
    </row>
    <row r="336" spans="2:11" ht="24" x14ac:dyDescent="0.2">
      <c r="B336" s="238" t="s">
        <v>614</v>
      </c>
      <c r="C336" s="239" t="s">
        <v>749</v>
      </c>
      <c r="D336" s="201" t="s">
        <v>592</v>
      </c>
      <c r="E336" s="239" t="s">
        <v>688</v>
      </c>
      <c r="F336" s="200">
        <f>VLOOKUP(B336,'ACS Price List'!$16:$180,8,FALSE)</f>
        <v>8077</v>
      </c>
      <c r="G336" s="200" t="s">
        <v>714</v>
      </c>
      <c r="H336" s="206"/>
      <c r="I336" s="203" t="str">
        <f>IFERROR(IF(D336="LR",VLOOKUP(B336,'ACS Price List'!$16:$180,11,FALSE),IF(D336="IS",VLOOKUP(B336,'ACS Price List'!$16:$180,11,FALSE),VLOOKUP(B336,'ACS Price List'!$16:$180,9,FALSE))),"POA")</f>
        <v>POA</v>
      </c>
      <c r="J336" s="204"/>
      <c r="K336" s="192" t="str">
        <f t="shared" si="5"/>
        <v>OK</v>
      </c>
    </row>
    <row r="337" spans="2:11" x14ac:dyDescent="0.2">
      <c r="C337" s="105" t="s">
        <v>412</v>
      </c>
      <c r="D337" s="201" t="s">
        <v>416</v>
      </c>
      <c r="E337" s="105" t="s">
        <v>687</v>
      </c>
      <c r="F337" s="199">
        <f>'ACS Price List'!H184</f>
        <v>8150</v>
      </c>
      <c r="G337" s="200" t="s">
        <v>714</v>
      </c>
      <c r="H337" s="206" t="s">
        <v>29</v>
      </c>
      <c r="I337" s="206" t="str">
        <f>IFERROR(IF(D337="LR",VLOOKUP(B337,'ACS Price List'!$16:$180,11,FALSE),IF(D337="IS",VLOOKUP(B337,'ACS Price List'!$16:$180,11,FALSE),VLOOKUP(B337,'ACS Price List'!$16:$180,9,FALSE))),"POA")</f>
        <v>POA</v>
      </c>
      <c r="J337" s="204"/>
      <c r="K337" s="192" t="str">
        <f t="shared" si="5"/>
        <v>OK</v>
      </c>
    </row>
    <row r="338" spans="2:11" x14ac:dyDescent="0.2">
      <c r="B338" s="228"/>
      <c r="C338" s="105" t="s">
        <v>628</v>
      </c>
      <c r="D338" s="201" t="s">
        <v>416</v>
      </c>
      <c r="E338" s="105" t="s">
        <v>627</v>
      </c>
      <c r="F338" s="199">
        <f>'ACS Price List'!H185</f>
        <v>8152</v>
      </c>
      <c r="G338" s="200" t="s">
        <v>714</v>
      </c>
      <c r="H338" s="206"/>
      <c r="I338" s="203" t="str">
        <f>IFERROR(IF(D338="LR",VLOOKUP(B338,'ACS Price List'!$16:$180,11,FALSE),IF(D338="IS",VLOOKUP(B338,'ACS Price List'!$16:$180,11,FALSE),VLOOKUP(B338,'ACS Price List'!$16:$180,9,FALSE))),"POA")</f>
        <v>POA</v>
      </c>
      <c r="J338" s="204"/>
      <c r="K338" s="192" t="str">
        <f t="shared" si="5"/>
        <v>OK</v>
      </c>
    </row>
    <row r="339" spans="2:11" x14ac:dyDescent="0.2">
      <c r="B339" s="229" t="s">
        <v>137</v>
      </c>
      <c r="C339" s="105" t="s">
        <v>138</v>
      </c>
      <c r="D339" s="201" t="s">
        <v>590</v>
      </c>
      <c r="E339" s="105" t="s">
        <v>689</v>
      </c>
      <c r="F339" s="200">
        <f>VLOOKUP(B339,'ACS Price List'!$16:$180,8,FALSE)</f>
        <v>8075</v>
      </c>
      <c r="G339" s="200" t="s">
        <v>714</v>
      </c>
      <c r="H339" s="206">
        <v>0</v>
      </c>
      <c r="I339" s="206">
        <f>IFERROR(IF(D339="LR",VLOOKUP(B339,'ACS Price List'!$16:$180,11,FALSE),IF(D339="IS",VLOOKUP(B339,'ACS Price List'!$16:$180,11,FALSE),VLOOKUP(B339,'ACS Price List'!$16:$180,9,FALSE))),"POA")</f>
        <v>0</v>
      </c>
      <c r="J339" s="204"/>
      <c r="K339" s="192" t="str">
        <f t="shared" si="5"/>
        <v>OK</v>
      </c>
    </row>
    <row r="340" spans="2:11" x14ac:dyDescent="0.2">
      <c r="B340" s="229" t="s">
        <v>142</v>
      </c>
      <c r="C340" s="105" t="s">
        <v>143</v>
      </c>
      <c r="D340" s="201" t="s">
        <v>590</v>
      </c>
      <c r="E340" s="105" t="s">
        <v>690</v>
      </c>
      <c r="F340" s="200">
        <f>VLOOKUP(B340,'ACS Price List'!$16:$180,8,FALSE)</f>
        <v>8076</v>
      </c>
      <c r="G340" s="200" t="s">
        <v>714</v>
      </c>
      <c r="H340" s="206">
        <v>58.4</v>
      </c>
      <c r="I340" s="206">
        <f>IFERROR(IF(D340="LR",VLOOKUP(B340,'ACS Price List'!$16:$180,11,FALSE),IF(D340="IS",VLOOKUP(B340,'ACS Price List'!$16:$180,11,FALSE),VLOOKUP(B340,'ACS Price List'!$16:$180,9,FALSE))),"POA")</f>
        <v>58.4</v>
      </c>
      <c r="J340" s="204"/>
      <c r="K340" s="192" t="str">
        <f t="shared" si="5"/>
        <v>OK</v>
      </c>
    </row>
    <row r="341" spans="2:11" x14ac:dyDescent="0.2">
      <c r="B341" s="230" t="s">
        <v>137</v>
      </c>
      <c r="C341" s="105" t="s">
        <v>139</v>
      </c>
      <c r="D341" s="201" t="s">
        <v>589</v>
      </c>
      <c r="E341" s="105" t="s">
        <v>689</v>
      </c>
      <c r="F341" s="200">
        <f>VLOOKUP(B341,'ACS Price List'!$16:$180,8,FALSE)</f>
        <v>8075</v>
      </c>
      <c r="G341" s="200" t="s">
        <v>714</v>
      </c>
      <c r="H341" s="206">
        <v>0</v>
      </c>
      <c r="I341" s="206">
        <f>IFERROR(IF(D341="LR",VLOOKUP(B341,'ACS Price List'!$16:$180,11,FALSE),IF(D341="IS",VLOOKUP(B341,'ACS Price List'!$16:$180,11,FALSE),VLOOKUP(B341,'ACS Price List'!$16:$180,9,FALSE))),"POA")</f>
        <v>0</v>
      </c>
      <c r="J341" s="204"/>
      <c r="K341" s="192" t="str">
        <f t="shared" si="5"/>
        <v>OK</v>
      </c>
    </row>
    <row r="342" spans="2:11" x14ac:dyDescent="0.2">
      <c r="B342" s="230" t="s">
        <v>142</v>
      </c>
      <c r="C342" s="105" t="s">
        <v>144</v>
      </c>
      <c r="D342" s="201" t="s">
        <v>589</v>
      </c>
      <c r="E342" s="105" t="s">
        <v>690</v>
      </c>
      <c r="F342" s="200">
        <f>VLOOKUP(B342,'ACS Price List'!$16:$180,8,FALSE)</f>
        <v>8076</v>
      </c>
      <c r="G342" s="200" t="s">
        <v>714</v>
      </c>
      <c r="H342" s="206">
        <v>58.4</v>
      </c>
      <c r="I342" s="206">
        <f>IFERROR(IF(D342="LR",VLOOKUP(B342,'ACS Price List'!$16:$180,11,FALSE),IF(D342="IS",VLOOKUP(B342,'ACS Price List'!$16:$180,11,FALSE),VLOOKUP(B342,'ACS Price List'!$16:$180,9,FALSE))),"POA")</f>
        <v>58.4</v>
      </c>
      <c r="J342" s="204"/>
      <c r="K342" s="192" t="str">
        <f t="shared" si="5"/>
        <v>OK</v>
      </c>
    </row>
    <row r="343" spans="2:11" x14ac:dyDescent="0.2">
      <c r="B343" s="231" t="s">
        <v>137</v>
      </c>
      <c r="C343" s="105" t="s">
        <v>140</v>
      </c>
      <c r="D343" s="201" t="s">
        <v>591</v>
      </c>
      <c r="E343" s="105" t="s">
        <v>689</v>
      </c>
      <c r="F343" s="200">
        <f>VLOOKUP(B343,'ACS Price List'!$16:$180,8,FALSE)</f>
        <v>8075</v>
      </c>
      <c r="G343" s="200" t="s">
        <v>714</v>
      </c>
      <c r="H343" s="206">
        <v>0</v>
      </c>
      <c r="I343" s="206">
        <f>IFERROR(IF(D343="LR",VLOOKUP(B343,'ACS Price List'!$16:$180,11,FALSE),IF(D343="IS",VLOOKUP(B343,'ACS Price List'!$16:$180,11,FALSE),VLOOKUP(B343,'ACS Price List'!$16:$180,9,FALSE))),"POA")</f>
        <v>0</v>
      </c>
      <c r="J343" s="204"/>
      <c r="K343" s="192" t="str">
        <f t="shared" si="5"/>
        <v>OK</v>
      </c>
    </row>
    <row r="344" spans="2:11" x14ac:dyDescent="0.2">
      <c r="B344" s="231" t="s">
        <v>142</v>
      </c>
      <c r="C344" s="105" t="s">
        <v>145</v>
      </c>
      <c r="D344" s="201" t="s">
        <v>591</v>
      </c>
      <c r="E344" s="105" t="s">
        <v>690</v>
      </c>
      <c r="F344" s="200">
        <f>VLOOKUP(B344,'ACS Price List'!$16:$180,8,FALSE)</f>
        <v>8076</v>
      </c>
      <c r="G344" s="200" t="s">
        <v>714</v>
      </c>
      <c r="H344" s="206">
        <v>58.4</v>
      </c>
      <c r="I344" s="206">
        <f>IFERROR(IF(D344="LR",VLOOKUP(B344,'ACS Price List'!$16:$180,11,FALSE),IF(D344="IS",VLOOKUP(B344,'ACS Price List'!$16:$180,11,FALSE),VLOOKUP(B344,'ACS Price List'!$16:$180,9,FALSE))),"POA")</f>
        <v>58.4</v>
      </c>
      <c r="J344" s="204"/>
      <c r="K344" s="192" t="str">
        <f t="shared" si="5"/>
        <v>OK</v>
      </c>
    </row>
    <row r="345" spans="2:11" x14ac:dyDescent="0.2">
      <c r="B345" s="232" t="s">
        <v>137</v>
      </c>
      <c r="C345" s="105" t="s">
        <v>141</v>
      </c>
      <c r="D345" s="201" t="s">
        <v>592</v>
      </c>
      <c r="E345" s="105" t="s">
        <v>689</v>
      </c>
      <c r="F345" s="200">
        <f>VLOOKUP(B345,'ACS Price List'!$16:$180,8,FALSE)</f>
        <v>8075</v>
      </c>
      <c r="G345" s="200" t="s">
        <v>714</v>
      </c>
      <c r="H345" s="206">
        <v>0</v>
      </c>
      <c r="I345" s="206">
        <f>IFERROR(IF(D345="LR",VLOOKUP(B345,'ACS Price List'!$16:$180,11,FALSE),IF(D345="IS",VLOOKUP(B345,'ACS Price List'!$16:$180,11,FALSE),VLOOKUP(B345,'ACS Price List'!$16:$180,9,FALSE))),"POA")</f>
        <v>0</v>
      </c>
      <c r="J345" s="204"/>
      <c r="K345" s="192" t="str">
        <f t="shared" si="5"/>
        <v>OK</v>
      </c>
    </row>
    <row r="346" spans="2:11" x14ac:dyDescent="0.2">
      <c r="B346" s="232" t="s">
        <v>142</v>
      </c>
      <c r="C346" s="105" t="s">
        <v>146</v>
      </c>
      <c r="D346" s="201" t="s">
        <v>592</v>
      </c>
      <c r="E346" s="105" t="s">
        <v>690</v>
      </c>
      <c r="F346" s="200">
        <f>VLOOKUP(B346,'ACS Price List'!$16:$180,8,FALSE)</f>
        <v>8076</v>
      </c>
      <c r="G346" s="200" t="s">
        <v>714</v>
      </c>
      <c r="H346" s="206">
        <v>58.4</v>
      </c>
      <c r="I346" s="206">
        <f>IFERROR(IF(D346="LR",VLOOKUP(B346,'ACS Price List'!$16:$180,11,FALSE),IF(D346="IS",VLOOKUP(B346,'ACS Price List'!$16:$180,11,FALSE),VLOOKUP(B346,'ACS Price List'!$16:$180,9,FALSE))),"POA")</f>
        <v>58.4</v>
      </c>
      <c r="J346" s="204"/>
      <c r="K346" s="192" t="str">
        <f t="shared" si="5"/>
        <v>OK</v>
      </c>
    </row>
    <row r="347" spans="2:11" x14ac:dyDescent="0.2">
      <c r="B347" s="233" t="s">
        <v>179</v>
      </c>
      <c r="C347" s="105" t="s">
        <v>191</v>
      </c>
      <c r="D347" s="201" t="s">
        <v>590</v>
      </c>
      <c r="E347" s="105" t="s">
        <v>691</v>
      </c>
      <c r="F347" s="200">
        <f>VLOOKUP(B347,'ACS Price List'!$16:$180,8,FALSE)</f>
        <v>8078</v>
      </c>
      <c r="G347" s="200" t="s">
        <v>714</v>
      </c>
      <c r="H347" s="206">
        <v>39.1</v>
      </c>
      <c r="I347" s="206">
        <f>IFERROR(IF(D347="LR",VLOOKUP(B347,'ACS Price List'!$16:$180,11,FALSE),IF(D347="IS",VLOOKUP(B347,'ACS Price List'!$16:$180,11,FALSE),VLOOKUP(B347,'ACS Price List'!$16:$180,9,FALSE))),"POA")</f>
        <v>39.1</v>
      </c>
      <c r="J347" s="204"/>
      <c r="K347" s="192" t="str">
        <f t="shared" si="5"/>
        <v>OK</v>
      </c>
    </row>
    <row r="348" spans="2:11" x14ac:dyDescent="0.2">
      <c r="B348" s="233" t="s">
        <v>180</v>
      </c>
      <c r="C348" s="105" t="s">
        <v>199</v>
      </c>
      <c r="D348" s="201" t="s">
        <v>590</v>
      </c>
      <c r="E348" s="105" t="s">
        <v>692</v>
      </c>
      <c r="F348" s="200">
        <f>VLOOKUP(B348,'ACS Price List'!$16:$180,8,FALSE)</f>
        <v>8079</v>
      </c>
      <c r="G348" s="200" t="s">
        <v>714</v>
      </c>
      <c r="H348" s="206">
        <v>18.100000000000001</v>
      </c>
      <c r="I348" s="206">
        <f>IFERROR(IF(D348="LR",VLOOKUP(B348,'ACS Price List'!$16:$180,11,FALSE),IF(D348="IS",VLOOKUP(B348,'ACS Price List'!$16:$180,11,FALSE),VLOOKUP(B348,'ACS Price List'!$16:$180,9,FALSE))),"POA")</f>
        <v>18.100000000000001</v>
      </c>
      <c r="J348" s="204"/>
      <c r="K348" s="192" t="str">
        <f t="shared" si="5"/>
        <v>OK</v>
      </c>
    </row>
    <row r="349" spans="2:11" x14ac:dyDescent="0.2">
      <c r="B349" s="234" t="s">
        <v>179</v>
      </c>
      <c r="C349" s="105" t="s">
        <v>192</v>
      </c>
      <c r="D349" s="201" t="s">
        <v>589</v>
      </c>
      <c r="E349" s="105" t="s">
        <v>691</v>
      </c>
      <c r="F349" s="200">
        <f>VLOOKUP(B349,'ACS Price List'!$16:$180,8,FALSE)</f>
        <v>8078</v>
      </c>
      <c r="G349" s="200" t="s">
        <v>714</v>
      </c>
      <c r="H349" s="206">
        <v>39.1</v>
      </c>
      <c r="I349" s="206">
        <f>IFERROR(IF(D349="LR",VLOOKUP(B349,'ACS Price List'!$16:$180,11,FALSE),IF(D349="IS",VLOOKUP(B349,'ACS Price List'!$16:$180,11,FALSE),VLOOKUP(B349,'ACS Price List'!$16:$180,9,FALSE))),"POA")</f>
        <v>39.1</v>
      </c>
      <c r="J349" s="204"/>
      <c r="K349" s="192" t="str">
        <f t="shared" si="5"/>
        <v>OK</v>
      </c>
    </row>
    <row r="350" spans="2:11" x14ac:dyDescent="0.2">
      <c r="B350" s="234" t="s">
        <v>180</v>
      </c>
      <c r="C350" s="105" t="s">
        <v>200</v>
      </c>
      <c r="D350" s="201" t="s">
        <v>589</v>
      </c>
      <c r="E350" s="105" t="s">
        <v>692</v>
      </c>
      <c r="F350" s="200">
        <f>VLOOKUP(B350,'ACS Price List'!$16:$180,8,FALSE)</f>
        <v>8079</v>
      </c>
      <c r="G350" s="200" t="s">
        <v>714</v>
      </c>
      <c r="H350" s="206">
        <v>18.100000000000001</v>
      </c>
      <c r="I350" s="206">
        <f>IFERROR(IF(D350="LR",VLOOKUP(B350,'ACS Price List'!$16:$180,11,FALSE),IF(D350="IS",VLOOKUP(B350,'ACS Price List'!$16:$180,11,FALSE),VLOOKUP(B350,'ACS Price List'!$16:$180,9,FALSE))),"POA")</f>
        <v>18.100000000000001</v>
      </c>
      <c r="J350" s="204"/>
      <c r="K350" s="192" t="str">
        <f t="shared" si="5"/>
        <v>OK</v>
      </c>
    </row>
    <row r="351" spans="2:11" x14ac:dyDescent="0.2">
      <c r="B351" s="235" t="s">
        <v>179</v>
      </c>
      <c r="C351" s="105" t="s">
        <v>193</v>
      </c>
      <c r="D351" s="201" t="s">
        <v>591</v>
      </c>
      <c r="E351" s="105" t="s">
        <v>691</v>
      </c>
      <c r="F351" s="200">
        <f>VLOOKUP(B351,'ACS Price List'!$16:$180,8,FALSE)</f>
        <v>8078</v>
      </c>
      <c r="G351" s="200" t="s">
        <v>714</v>
      </c>
      <c r="H351" s="206">
        <v>39.1</v>
      </c>
      <c r="I351" s="206">
        <f>IFERROR(IF(D351="LR",VLOOKUP(B351,'ACS Price List'!$16:$180,11,FALSE),IF(D351="IS",VLOOKUP(B351,'ACS Price List'!$16:$180,11,FALSE),VLOOKUP(B351,'ACS Price List'!$16:$180,9,FALSE))),"POA")</f>
        <v>39.1</v>
      </c>
      <c r="J351" s="204"/>
      <c r="K351" s="192" t="str">
        <f t="shared" si="5"/>
        <v>OK</v>
      </c>
    </row>
    <row r="352" spans="2:11" x14ac:dyDescent="0.2">
      <c r="B352" s="235" t="s">
        <v>180</v>
      </c>
      <c r="C352" s="105" t="s">
        <v>201</v>
      </c>
      <c r="D352" s="201" t="s">
        <v>591</v>
      </c>
      <c r="E352" s="105" t="s">
        <v>692</v>
      </c>
      <c r="F352" s="200">
        <f>VLOOKUP(B352,'ACS Price List'!$16:$180,8,FALSE)</f>
        <v>8079</v>
      </c>
      <c r="G352" s="200" t="s">
        <v>714</v>
      </c>
      <c r="H352" s="206">
        <v>18.100000000000001</v>
      </c>
      <c r="I352" s="206">
        <f>IFERROR(IF(D352="LR",VLOOKUP(B352,'ACS Price List'!$16:$180,11,FALSE),IF(D352="IS",VLOOKUP(B352,'ACS Price List'!$16:$180,11,FALSE),VLOOKUP(B352,'ACS Price List'!$16:$180,9,FALSE))),"POA")</f>
        <v>18.100000000000001</v>
      </c>
      <c r="J352" s="204"/>
      <c r="K352" s="192" t="str">
        <f t="shared" si="5"/>
        <v>OK</v>
      </c>
    </row>
    <row r="353" spans="2:11" x14ac:dyDescent="0.2">
      <c r="B353" s="236" t="s">
        <v>179</v>
      </c>
      <c r="C353" s="105" t="s">
        <v>194</v>
      </c>
      <c r="D353" s="201" t="s">
        <v>592</v>
      </c>
      <c r="E353" s="105" t="s">
        <v>691</v>
      </c>
      <c r="F353" s="200">
        <f>VLOOKUP(B353,'ACS Price List'!$16:$180,8,FALSE)</f>
        <v>8078</v>
      </c>
      <c r="G353" s="200" t="s">
        <v>714</v>
      </c>
      <c r="H353" s="206">
        <v>39.1</v>
      </c>
      <c r="I353" s="206">
        <f>IFERROR(IF(D353="LR",VLOOKUP(B353,'ACS Price List'!$16:$180,11,FALSE),IF(D353="IS",VLOOKUP(B353,'ACS Price List'!$16:$180,11,FALSE),VLOOKUP(B353,'ACS Price List'!$16:$180,9,FALSE))),"POA")</f>
        <v>39.1</v>
      </c>
      <c r="J353" s="204"/>
      <c r="K353" s="192" t="str">
        <f t="shared" si="5"/>
        <v>OK</v>
      </c>
    </row>
    <row r="354" spans="2:11" x14ac:dyDescent="0.2">
      <c r="B354" s="236" t="s">
        <v>180</v>
      </c>
      <c r="C354" s="105" t="s">
        <v>202</v>
      </c>
      <c r="D354" s="201" t="s">
        <v>592</v>
      </c>
      <c r="E354" s="105" t="s">
        <v>692</v>
      </c>
      <c r="F354" s="200">
        <f>VLOOKUP(B354,'ACS Price List'!$16:$180,8,FALSE)</f>
        <v>8079</v>
      </c>
      <c r="G354" s="200" t="s">
        <v>714</v>
      </c>
      <c r="H354" s="206">
        <v>18.100000000000001</v>
      </c>
      <c r="I354" s="206">
        <f>IFERROR(IF(D354="LR",VLOOKUP(B354,'ACS Price List'!$16:$180,11,FALSE),IF(D354="IS",VLOOKUP(B354,'ACS Price List'!$16:$180,11,FALSE),VLOOKUP(B354,'ACS Price List'!$16:$180,9,FALSE))),"POA")</f>
        <v>18.100000000000001</v>
      </c>
      <c r="J354" s="204"/>
      <c r="K354" s="192" t="str">
        <f t="shared" si="5"/>
        <v>OK</v>
      </c>
    </row>
    <row r="355" spans="2:11" x14ac:dyDescent="0.2">
      <c r="B355" s="237" t="s">
        <v>300</v>
      </c>
      <c r="C355" s="105" t="s">
        <v>302</v>
      </c>
      <c r="D355" s="201" t="s">
        <v>590</v>
      </c>
      <c r="E355" s="105" t="s">
        <v>301</v>
      </c>
      <c r="F355" s="200">
        <f>VLOOKUP(B355,'ACS Price List'!$16:$180,8,FALSE)</f>
        <v>8095</v>
      </c>
      <c r="G355" s="200" t="s">
        <v>714</v>
      </c>
      <c r="H355" s="206">
        <v>54.66</v>
      </c>
      <c r="I355" s="206">
        <f>IFERROR(IF(D355="LR",VLOOKUP(B355,'ACS Price List'!$16:$180,11,FALSE),IF(D355="IS",VLOOKUP(B355,'ACS Price List'!$16:$180,11,FALSE),VLOOKUP(B355,'ACS Price List'!$16:$180,9,FALSE))),"POA")</f>
        <v>54.66</v>
      </c>
      <c r="J355" s="204"/>
      <c r="K355" s="192" t="str">
        <f t="shared" si="5"/>
        <v>OK</v>
      </c>
    </row>
    <row r="356" spans="2:11" x14ac:dyDescent="0.2">
      <c r="B356" s="237" t="s">
        <v>300</v>
      </c>
      <c r="C356" s="105" t="s">
        <v>307</v>
      </c>
      <c r="D356" s="201" t="s">
        <v>589</v>
      </c>
      <c r="E356" s="105" t="s">
        <v>301</v>
      </c>
      <c r="F356" s="200">
        <f>VLOOKUP(B356,'ACS Price List'!$16:$180,8,FALSE)</f>
        <v>8095</v>
      </c>
      <c r="G356" s="200" t="s">
        <v>714</v>
      </c>
      <c r="H356" s="206">
        <v>54.66</v>
      </c>
      <c r="I356" s="206">
        <f>IFERROR(IF(D356="LR",VLOOKUP(B356,'ACS Price List'!$16:$180,11,FALSE),IF(D356="IS",VLOOKUP(B356,'ACS Price List'!$16:$180,11,FALSE),VLOOKUP(B356,'ACS Price List'!$16:$180,9,FALSE))),"POA")</f>
        <v>54.66</v>
      </c>
      <c r="J356" s="204"/>
      <c r="K356" s="192" t="str">
        <f t="shared" si="5"/>
        <v>OK</v>
      </c>
    </row>
    <row r="357" spans="2:11" x14ac:dyDescent="0.2">
      <c r="B357" s="237" t="s">
        <v>303</v>
      </c>
      <c r="C357" s="105" t="s">
        <v>305</v>
      </c>
      <c r="D357" s="201" t="s">
        <v>591</v>
      </c>
      <c r="E357" s="105" t="s">
        <v>304</v>
      </c>
      <c r="F357" s="200">
        <f>VLOOKUP(B357,'ACS Price List'!$16:$180,8,FALSE)</f>
        <v>8096</v>
      </c>
      <c r="G357" s="200" t="s">
        <v>714</v>
      </c>
      <c r="H357" s="206">
        <v>218.65</v>
      </c>
      <c r="I357" s="206">
        <f>IFERROR(IF(D357="LR",VLOOKUP(B357,'ACS Price List'!$16:$180,11,FALSE),IF(D357="IS",VLOOKUP(B357,'ACS Price List'!$16:$180,11,FALSE),VLOOKUP(B357,'ACS Price List'!$16:$180,9,FALSE))),"POA")</f>
        <v>218.65</v>
      </c>
      <c r="J357" s="204"/>
      <c r="K357" s="192" t="str">
        <f t="shared" si="5"/>
        <v>OK</v>
      </c>
    </row>
    <row r="358" spans="2:11" x14ac:dyDescent="0.2">
      <c r="B358" s="237" t="s">
        <v>303</v>
      </c>
      <c r="C358" s="105" t="s">
        <v>306</v>
      </c>
      <c r="D358" s="201" t="s">
        <v>592</v>
      </c>
      <c r="E358" s="105" t="s">
        <v>304</v>
      </c>
      <c r="F358" s="200">
        <f>VLOOKUP(B358,'ACS Price List'!$16:$180,8,FALSE)</f>
        <v>8096</v>
      </c>
      <c r="G358" s="200" t="s">
        <v>714</v>
      </c>
      <c r="H358" s="206">
        <v>218.65</v>
      </c>
      <c r="I358" s="206">
        <f>IFERROR(IF(D358="LR",VLOOKUP(B358,'ACS Price List'!$16:$180,11,FALSE),IF(D358="IS",VLOOKUP(B358,'ACS Price List'!$16:$180,11,FALSE),VLOOKUP(B358,'ACS Price List'!$16:$180,9,FALSE))),"POA")</f>
        <v>218.65</v>
      </c>
      <c r="J358" s="204"/>
      <c r="K358" s="192" t="str">
        <f t="shared" si="5"/>
        <v>OK</v>
      </c>
    </row>
    <row r="359" spans="2:11" x14ac:dyDescent="0.2">
      <c r="B359" s="238">
        <v>134</v>
      </c>
      <c r="C359" s="105" t="s">
        <v>115</v>
      </c>
      <c r="D359" s="201" t="s">
        <v>416</v>
      </c>
      <c r="E359" s="105" t="s">
        <v>419</v>
      </c>
      <c r="F359" s="200">
        <f>VLOOKUP(B359,'ACS Price List'!$16:$180,8,FALSE)</f>
        <v>8134</v>
      </c>
      <c r="G359" s="200" t="s">
        <v>714</v>
      </c>
      <c r="H359" s="206">
        <v>1459</v>
      </c>
      <c r="I359" s="206">
        <f>IFERROR(IF(D359="LR",VLOOKUP(B359,'ACS Price List'!$16:$180,11,FALSE),IF(D359="IS",VLOOKUP(B359,'ACS Price List'!$16:$180,11,FALSE),VLOOKUP(B359,'ACS Price List'!$16:$180,9,FALSE))),"POA")</f>
        <v>1459</v>
      </c>
      <c r="J359" s="204"/>
      <c r="K359" s="192" t="str">
        <f t="shared" si="5"/>
        <v>OK</v>
      </c>
    </row>
    <row r="360" spans="2:11" x14ac:dyDescent="0.2">
      <c r="B360" s="238">
        <v>135</v>
      </c>
      <c r="C360" s="105" t="s">
        <v>116</v>
      </c>
      <c r="D360" s="201" t="s">
        <v>416</v>
      </c>
      <c r="E360" s="105" t="s">
        <v>420</v>
      </c>
      <c r="F360" s="200">
        <f>VLOOKUP(B360,'ACS Price List'!$16:$180,8,FALSE)</f>
        <v>8135</v>
      </c>
      <c r="G360" s="200" t="s">
        <v>714</v>
      </c>
      <c r="H360" s="206">
        <v>882</v>
      </c>
      <c r="I360" s="206">
        <f>IFERROR(IF(D360="LR",VLOOKUP(B360,'ACS Price List'!$16:$180,11,FALSE),IF(D360="IS",VLOOKUP(B360,'ACS Price List'!$16:$180,11,FALSE),VLOOKUP(B360,'ACS Price List'!$16:$180,9,FALSE))),"POA")</f>
        <v>882</v>
      </c>
      <c r="J360" s="204"/>
      <c r="K360" s="192" t="str">
        <f t="shared" si="5"/>
        <v>OK</v>
      </c>
    </row>
    <row r="361" spans="2:11" x14ac:dyDescent="0.2">
      <c r="B361" s="238">
        <v>136</v>
      </c>
      <c r="C361" s="105" t="s">
        <v>117</v>
      </c>
      <c r="D361" s="201" t="s">
        <v>416</v>
      </c>
      <c r="E361" s="105" t="s">
        <v>421</v>
      </c>
      <c r="F361" s="200">
        <f>VLOOKUP(B361,'ACS Price List'!$16:$180,8,FALSE)</f>
        <v>8136</v>
      </c>
      <c r="G361" s="200" t="s">
        <v>714</v>
      </c>
      <c r="H361" s="206">
        <v>241</v>
      </c>
      <c r="I361" s="206">
        <f>IFERROR(IF(D361="LR",VLOOKUP(B361,'ACS Price List'!$16:$180,11,FALSE),IF(D361="IS",VLOOKUP(B361,'ACS Price List'!$16:$180,11,FALSE),VLOOKUP(B361,'ACS Price List'!$16:$180,9,FALSE))),"POA")</f>
        <v>241</v>
      </c>
      <c r="J361" s="204"/>
      <c r="K361" s="192" t="str">
        <f t="shared" si="5"/>
        <v>OK</v>
      </c>
    </row>
    <row r="362" spans="2:11" x14ac:dyDescent="0.2">
      <c r="B362" s="238">
        <v>137</v>
      </c>
      <c r="C362" s="105" t="s">
        <v>118</v>
      </c>
      <c r="D362" s="201" t="s">
        <v>416</v>
      </c>
      <c r="E362" s="105" t="s">
        <v>422</v>
      </c>
      <c r="F362" s="200">
        <f>VLOOKUP(B362,'ACS Price List'!$16:$180,8,FALSE)</f>
        <v>8137</v>
      </c>
      <c r="G362" s="200" t="s">
        <v>714</v>
      </c>
      <c r="H362" s="206">
        <v>205</v>
      </c>
      <c r="I362" s="206">
        <f>IFERROR(IF(D362="LR",VLOOKUP(B362,'ACS Price List'!$16:$180,11,FALSE),IF(D362="IS",VLOOKUP(B362,'ACS Price List'!$16:$180,11,FALSE),VLOOKUP(B362,'ACS Price List'!$16:$180,9,FALSE))),"POA")</f>
        <v>205</v>
      </c>
      <c r="J362" s="204"/>
      <c r="K362" s="192" t="str">
        <f t="shared" si="5"/>
        <v>OK</v>
      </c>
    </row>
    <row r="363" spans="2:11" x14ac:dyDescent="0.2">
      <c r="C363" s="105"/>
      <c r="D363" s="201"/>
      <c r="E363" s="105"/>
      <c r="F363" s="200"/>
      <c r="G363" s="200"/>
      <c r="H363" s="207"/>
      <c r="I363" s="207"/>
      <c r="J363" s="202"/>
    </row>
  </sheetData>
  <autoFilter ref="B10:I362"/>
  <conditionalFormatting sqref="K11:K362">
    <cfRule type="cellIs" dxfId="7" priority="2" operator="equal">
      <formula>"change"</formula>
    </cfRule>
    <cfRule type="cellIs" dxfId="6" priority="7" operator="equal">
      <formula>"CHECK"</formula>
    </cfRule>
    <cfRule type="cellIs" dxfId="5" priority="8" operator="equal">
      <formula>"OK"</formula>
    </cfRule>
  </conditionalFormatting>
  <conditionalFormatting sqref="K12:K362">
    <cfRule type="cellIs" dxfId="4" priority="5" operator="equal">
      <formula>"CHECK"</formula>
    </cfRule>
    <cfRule type="cellIs" dxfId="3" priority="6" operator="equal">
      <formula>"OK"</formula>
    </cfRule>
  </conditionalFormatting>
  <conditionalFormatting sqref="L3:M3">
    <cfRule type="cellIs" dxfId="2" priority="1" operator="equal">
      <formula>"OK"</formula>
    </cfRule>
    <cfRule type="cellIs" dxfId="1" priority="3" operator="equal">
      <formula>"CHECK"</formula>
    </cfRule>
    <cfRule type="cellIs" dxfId="0" priority="4" operator="equal">
      <formula>"OK"</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ACS Price List</vt:lpstr>
      <vt:lpstr>ACS Tariff classes &amp; tariffs</vt:lpstr>
      <vt:lpstr>Rates by ProdCode</vt:lpstr>
      <vt:lpstr>'ACS Price List'!Print_Area</vt:lpstr>
      <vt:lpstr>'ACS Price List'!Print_Titles</vt:lpstr>
      <vt:lpstr>ProdCodes</vt:lpstr>
    </vt:vector>
  </TitlesOfParts>
  <Company>Ergon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2017-18 ACS Price List</dc:title>
  <dc:creator>Ergon Energy</dc:creator>
  <dc:description>Version 2.0 effective 1 December 2017</dc:description>
  <cp:lastModifiedBy>rworldon</cp:lastModifiedBy>
  <cp:lastPrinted>2017-10-16T04:55:44Z</cp:lastPrinted>
  <dcterms:created xsi:type="dcterms:W3CDTF">2009-05-29T06:42:49Z</dcterms:created>
  <dcterms:modified xsi:type="dcterms:W3CDTF">2017-11-21T05:45:30Z</dcterms:modified>
</cp:coreProperties>
</file>