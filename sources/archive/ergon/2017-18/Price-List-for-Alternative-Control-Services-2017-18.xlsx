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7875" yWindow="5475" windowWidth="20730" windowHeight="5505"/>
  </bookViews>
  <sheets>
    <sheet name="EECL Price List" sheetId="1" r:id="rId1"/>
    <sheet name="ACS Tariff classes &amp; tariffs" sheetId="3" r:id="rId2"/>
  </sheets>
  <externalReferences>
    <externalReference r:id="rId3"/>
  </externalReferences>
  <definedNames>
    <definedName name="_xlnm._FilterDatabase" localSheetId="0" hidden="1">'EECL Price List'!$A$12:$O$152</definedName>
    <definedName name="_Hlk318882101" localSheetId="1">'ACS Tariff classes &amp; tariffs'!#REF!</definedName>
    <definedName name="_Order1" hidden="1">0</definedName>
    <definedName name="anscount" hidden="1">1</definedName>
    <definedName name="current_pricing_year">'[1]Model builder'!$E$23</definedName>
    <definedName name="JS_final_round">[1]JS!$C$25:$L$34</definedName>
    <definedName name="JS_final_round_C">[1]JS!$C$24:$L$24</definedName>
    <definedName name="limcount" hidden="1">1</definedName>
    <definedName name="_xlnm.Print_Area" localSheetId="0">'EECL Price List'!$A$5:$N$173</definedName>
    <definedName name="_xlnm.Print_Titles" localSheetId="0">'EECL Price List'!$5:$13</definedName>
    <definedName name="sencount" hidden="1">1</definedName>
    <definedName name="Z_FB458C62_3D77_4EB6_93BC_1C1381A8DB8D_.wvu.PrintArea" localSheetId="0" hidden="1">'EECL Price List'!$A$5:$N$173</definedName>
    <definedName name="Z_FB458C62_3D77_4EB6_93BC_1C1381A8DB8D_.wvu.PrintTitles" localSheetId="0" hidden="1">'EECL Price List'!$5:$13</definedName>
    <definedName name="Z_FB458C62_3D77_4EB6_93BC_1C1381A8DB8D_.wvu.Rows" localSheetId="0" hidden="1">'EECL Price List'!$1:$2</definedName>
  </definedNames>
  <calcPr calcId="145621"/>
  <customWorkbookViews>
    <customWorkbookView name="ly002 - Personal View" guid="{FB458C62-3D77-4EB6-93BC-1C1381A8DB8D}" mergeInterval="0" personalView="1" maximized="1" windowWidth="1644" windowHeight="851" activeSheetId="1"/>
  </customWorkbookViews>
</workbook>
</file>

<file path=xl/calcChain.xml><?xml version="1.0" encoding="utf-8"?>
<calcChain xmlns="http://schemas.openxmlformats.org/spreadsheetml/2006/main">
  <c r="I150" i="3" l="1"/>
  <c r="H150" i="3"/>
  <c r="G150" i="3"/>
  <c r="F150" i="3"/>
  <c r="E150" i="3"/>
  <c r="I149" i="3"/>
  <c r="H149" i="3"/>
  <c r="G149" i="3"/>
  <c r="F149" i="3"/>
  <c r="E149" i="3"/>
  <c r="I148" i="3"/>
  <c r="H148" i="3"/>
  <c r="G148" i="3"/>
  <c r="F148" i="3"/>
  <c r="E148" i="3"/>
  <c r="I147" i="3"/>
  <c r="H147" i="3"/>
  <c r="G147" i="3"/>
  <c r="F147" i="3"/>
  <c r="E147" i="3"/>
  <c r="I146" i="3"/>
  <c r="H146" i="3"/>
  <c r="G146" i="3"/>
  <c r="F146" i="3"/>
  <c r="E146" i="3"/>
  <c r="I145" i="3"/>
  <c r="H145" i="3"/>
  <c r="G145" i="3"/>
  <c r="F145" i="3"/>
  <c r="E145" i="3"/>
  <c r="I144" i="3"/>
  <c r="H144" i="3"/>
  <c r="G144" i="3"/>
  <c r="F144" i="3"/>
  <c r="E144" i="3"/>
  <c r="I143" i="3"/>
  <c r="H143" i="3"/>
  <c r="G143" i="3"/>
  <c r="F143" i="3"/>
  <c r="E143" i="3"/>
  <c r="M142" i="3"/>
  <c r="L142" i="3"/>
  <c r="K142" i="3"/>
  <c r="J142" i="3"/>
  <c r="M141" i="3"/>
  <c r="L141" i="3"/>
  <c r="K141" i="3"/>
  <c r="J141" i="3"/>
  <c r="I140" i="3"/>
  <c r="H140" i="3"/>
  <c r="G140" i="3"/>
  <c r="F140" i="3"/>
  <c r="I139" i="3"/>
  <c r="H139" i="3"/>
  <c r="G139" i="3"/>
  <c r="F139" i="3"/>
  <c r="I138" i="3"/>
  <c r="H138" i="3"/>
  <c r="G138" i="3"/>
  <c r="F138" i="3"/>
  <c r="I137" i="3"/>
  <c r="H137" i="3"/>
  <c r="G137" i="3"/>
  <c r="F137" i="3"/>
  <c r="I136" i="3"/>
  <c r="H136" i="3"/>
  <c r="G136" i="3"/>
  <c r="F136" i="3"/>
  <c r="I135" i="3"/>
  <c r="H135" i="3"/>
  <c r="G135" i="3"/>
  <c r="F135" i="3"/>
  <c r="E142" i="3"/>
  <c r="E141" i="3"/>
  <c r="E140" i="3"/>
  <c r="E139" i="3"/>
  <c r="E138" i="3"/>
  <c r="E137" i="3"/>
  <c r="E136" i="3"/>
  <c r="E135" i="3"/>
  <c r="L76" i="3"/>
  <c r="M76" i="3"/>
  <c r="M134" i="3"/>
  <c r="L134" i="3"/>
  <c r="K134" i="3"/>
  <c r="M133" i="3"/>
  <c r="L133" i="3"/>
  <c r="K133" i="3"/>
  <c r="M132" i="3"/>
  <c r="L132" i="3"/>
  <c r="K132" i="3"/>
  <c r="M131" i="3"/>
  <c r="L131" i="3"/>
  <c r="K131" i="3"/>
  <c r="M130" i="3"/>
  <c r="L130" i="3"/>
  <c r="K130" i="3"/>
  <c r="M129" i="3"/>
  <c r="L129" i="3"/>
  <c r="K129" i="3"/>
  <c r="M128" i="3"/>
  <c r="L128" i="3"/>
  <c r="K128" i="3"/>
  <c r="M127" i="3"/>
  <c r="L127" i="3"/>
  <c r="K127" i="3"/>
  <c r="M126" i="3"/>
  <c r="L126" i="3"/>
  <c r="K126" i="3"/>
  <c r="M125" i="3"/>
  <c r="L125" i="3"/>
  <c r="K125" i="3"/>
  <c r="M124" i="3"/>
  <c r="L124" i="3"/>
  <c r="K124" i="3"/>
  <c r="M123" i="3"/>
  <c r="L123" i="3"/>
  <c r="K123" i="3"/>
  <c r="M122" i="3"/>
  <c r="L122" i="3"/>
  <c r="K122" i="3"/>
  <c r="M121" i="3"/>
  <c r="L121" i="3"/>
  <c r="K121" i="3"/>
  <c r="M120" i="3"/>
  <c r="L120" i="3"/>
  <c r="K120" i="3"/>
  <c r="M119" i="3"/>
  <c r="L119" i="3"/>
  <c r="K119" i="3"/>
  <c r="M118" i="3"/>
  <c r="L118" i="3"/>
  <c r="K118" i="3"/>
  <c r="M117" i="3"/>
  <c r="L117" i="3"/>
  <c r="K117" i="3"/>
  <c r="M116" i="3"/>
  <c r="L116" i="3"/>
  <c r="K116" i="3"/>
  <c r="M115" i="3"/>
  <c r="L115" i="3"/>
  <c r="K115" i="3"/>
  <c r="M114" i="3"/>
  <c r="L114" i="3"/>
  <c r="K114" i="3"/>
  <c r="M113" i="3"/>
  <c r="L113" i="3"/>
  <c r="K113" i="3"/>
  <c r="M112" i="3"/>
  <c r="L112" i="3"/>
  <c r="K112" i="3"/>
  <c r="M111" i="3"/>
  <c r="L111" i="3"/>
  <c r="K111" i="3"/>
  <c r="J111" i="3"/>
  <c r="M110" i="3"/>
  <c r="L110" i="3"/>
  <c r="K110" i="3"/>
  <c r="J110" i="3"/>
  <c r="M109" i="3"/>
  <c r="L109" i="3"/>
  <c r="K109" i="3"/>
  <c r="M108" i="3"/>
  <c r="L108" i="3"/>
  <c r="K108" i="3"/>
  <c r="M107" i="3"/>
  <c r="L107" i="3"/>
  <c r="K107" i="3"/>
  <c r="M106" i="3"/>
  <c r="L106" i="3"/>
  <c r="K106" i="3"/>
  <c r="M105" i="3"/>
  <c r="L105" i="3"/>
  <c r="K105" i="3"/>
  <c r="M104" i="3"/>
  <c r="L104" i="3"/>
  <c r="K104" i="3"/>
  <c r="M103" i="3"/>
  <c r="L103" i="3"/>
  <c r="K103" i="3"/>
  <c r="J103" i="3"/>
  <c r="M102" i="3"/>
  <c r="L102" i="3"/>
  <c r="K102" i="3"/>
  <c r="J102" i="3"/>
  <c r="M101" i="3"/>
  <c r="L101" i="3"/>
  <c r="K101" i="3"/>
  <c r="M100" i="3"/>
  <c r="L100" i="3"/>
  <c r="K100" i="3"/>
  <c r="M99" i="3"/>
  <c r="L99" i="3"/>
  <c r="K99" i="3"/>
  <c r="M98" i="3"/>
  <c r="L98" i="3"/>
  <c r="K98" i="3"/>
  <c r="M97" i="3"/>
  <c r="L97" i="3"/>
  <c r="K97" i="3"/>
  <c r="M96" i="3"/>
  <c r="L96" i="3"/>
  <c r="K96" i="3"/>
  <c r="M95" i="3"/>
  <c r="L95" i="3"/>
  <c r="K95" i="3"/>
  <c r="M94" i="3"/>
  <c r="L94" i="3"/>
  <c r="K94" i="3"/>
  <c r="M93" i="3"/>
  <c r="L93" i="3"/>
  <c r="K93" i="3"/>
  <c r="M92" i="3"/>
  <c r="L92" i="3"/>
  <c r="K92" i="3"/>
  <c r="M91" i="3"/>
  <c r="L91" i="3"/>
  <c r="K91" i="3"/>
  <c r="M90" i="3"/>
  <c r="L90" i="3"/>
  <c r="K90" i="3"/>
  <c r="M89" i="3"/>
  <c r="L89" i="3"/>
  <c r="K89" i="3"/>
  <c r="M88" i="3"/>
  <c r="L88" i="3"/>
  <c r="K88" i="3"/>
  <c r="M87" i="3"/>
  <c r="L87" i="3"/>
  <c r="K87" i="3"/>
  <c r="M86" i="3"/>
  <c r="L86" i="3"/>
  <c r="K86" i="3"/>
  <c r="M85" i="3"/>
  <c r="L85" i="3"/>
  <c r="K85" i="3"/>
  <c r="M84" i="3"/>
  <c r="L84" i="3"/>
  <c r="K84" i="3"/>
  <c r="M83" i="3"/>
  <c r="L83" i="3"/>
  <c r="K83" i="3"/>
  <c r="M82" i="3"/>
  <c r="L82" i="3"/>
  <c r="K82" i="3"/>
  <c r="M81" i="3"/>
  <c r="L81" i="3"/>
  <c r="K81" i="3"/>
  <c r="M80" i="3"/>
  <c r="L80" i="3"/>
  <c r="K80" i="3"/>
  <c r="M79" i="3"/>
  <c r="L79" i="3"/>
  <c r="K79" i="3"/>
  <c r="M78" i="3"/>
  <c r="L78" i="3"/>
  <c r="K78" i="3"/>
  <c r="M77" i="3"/>
  <c r="L77" i="3"/>
  <c r="K77" i="3"/>
  <c r="K75" i="3"/>
  <c r="J75" i="3"/>
  <c r="K74" i="3"/>
  <c r="J74" i="3"/>
  <c r="K73" i="3"/>
  <c r="J73" i="3"/>
  <c r="K72" i="3"/>
  <c r="J72" i="3"/>
  <c r="K71" i="3"/>
  <c r="J71" i="3"/>
  <c r="K70" i="3"/>
  <c r="J70" i="3"/>
  <c r="K69" i="3"/>
  <c r="J69" i="3"/>
  <c r="K68" i="3"/>
  <c r="J68" i="3"/>
  <c r="K67" i="3"/>
  <c r="J67" i="3"/>
  <c r="K66" i="3"/>
  <c r="J66" i="3"/>
  <c r="K65" i="3"/>
  <c r="J65" i="3"/>
  <c r="K64" i="3"/>
  <c r="J64" i="3"/>
  <c r="K63" i="3"/>
  <c r="J63" i="3"/>
  <c r="K62" i="3"/>
  <c r="J62" i="3"/>
  <c r="K61" i="3"/>
  <c r="J61" i="3"/>
  <c r="K60" i="3"/>
  <c r="J60" i="3"/>
  <c r="K59" i="3"/>
  <c r="J59" i="3"/>
  <c r="K58" i="3"/>
  <c r="J58" i="3"/>
  <c r="K57" i="3"/>
  <c r="J57" i="3"/>
  <c r="K56" i="3"/>
  <c r="J56" i="3"/>
  <c r="K55" i="3"/>
  <c r="J55" i="3"/>
  <c r="K53" i="3"/>
  <c r="J53" i="3"/>
  <c r="K52" i="3"/>
  <c r="J52" i="3"/>
  <c r="K51" i="3"/>
  <c r="J51" i="3"/>
  <c r="K50" i="3"/>
  <c r="J50" i="3"/>
  <c r="K49" i="3"/>
  <c r="J49" i="3"/>
  <c r="K48" i="3"/>
  <c r="J48" i="3"/>
  <c r="K42" i="3"/>
  <c r="J42" i="3"/>
  <c r="K41" i="3"/>
  <c r="J41" i="3"/>
  <c r="K40" i="3"/>
  <c r="J40" i="3"/>
  <c r="K39" i="3"/>
  <c r="J39" i="3"/>
  <c r="K38" i="3"/>
  <c r="J38" i="3"/>
  <c r="K37" i="3"/>
  <c r="J37" i="3"/>
  <c r="K36" i="3"/>
  <c r="J36" i="3"/>
  <c r="K35" i="3"/>
  <c r="J35" i="3"/>
  <c r="K34" i="3"/>
  <c r="J34" i="3"/>
  <c r="K33" i="3"/>
  <c r="J33" i="3"/>
  <c r="K32" i="3"/>
  <c r="J32" i="3"/>
  <c r="K31" i="3"/>
  <c r="J31" i="3"/>
  <c r="K30" i="3"/>
  <c r="J30" i="3"/>
  <c r="K29" i="3"/>
  <c r="J29" i="3"/>
  <c r="K28" i="3"/>
  <c r="J28" i="3"/>
  <c r="K27" i="3"/>
  <c r="J27" i="3"/>
  <c r="K26" i="3"/>
  <c r="J26" i="3"/>
  <c r="K25" i="3"/>
  <c r="J25" i="3"/>
  <c r="K24" i="3"/>
  <c r="J24" i="3"/>
  <c r="K23" i="3"/>
  <c r="J23" i="3"/>
  <c r="K22" i="3"/>
  <c r="J22" i="3"/>
  <c r="K21" i="3"/>
  <c r="J21" i="3"/>
  <c r="K20" i="3"/>
  <c r="J20" i="3"/>
  <c r="K19" i="3"/>
  <c r="J19" i="3"/>
  <c r="K18" i="3"/>
  <c r="J18" i="3"/>
  <c r="K17" i="3"/>
  <c r="J17" i="3"/>
  <c r="K16" i="3"/>
  <c r="J16" i="3"/>
  <c r="K15" i="3"/>
  <c r="J15" i="3"/>
  <c r="K14" i="3"/>
  <c r="J14" i="3"/>
  <c r="K13" i="3"/>
  <c r="J13" i="3"/>
  <c r="K12" i="3"/>
  <c r="J12" i="3"/>
  <c r="K11" i="3"/>
  <c r="J11" i="3"/>
  <c r="K10" i="3"/>
  <c r="J10"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3" i="3"/>
  <c r="H83" i="3"/>
  <c r="G83" i="3"/>
  <c r="F83" i="3"/>
  <c r="I82" i="3"/>
  <c r="H82" i="3"/>
  <c r="G82" i="3"/>
  <c r="F82" i="3"/>
  <c r="I81" i="3"/>
  <c r="H81" i="3"/>
  <c r="G81" i="3"/>
  <c r="F81" i="3"/>
  <c r="I80" i="3"/>
  <c r="H80" i="3"/>
  <c r="G80" i="3"/>
  <c r="F80" i="3"/>
  <c r="I79" i="3"/>
  <c r="H79" i="3"/>
  <c r="G79" i="3"/>
  <c r="F79" i="3"/>
  <c r="I78" i="3"/>
  <c r="H78" i="3"/>
  <c r="G78" i="3"/>
  <c r="F78" i="3"/>
  <c r="I77" i="3"/>
  <c r="H77" i="3"/>
  <c r="G77" i="3"/>
  <c r="F77" i="3"/>
  <c r="I76" i="3"/>
  <c r="H76" i="3"/>
  <c r="G76" i="3"/>
  <c r="F76" i="3"/>
  <c r="F54" i="3"/>
  <c r="F47" i="3"/>
  <c r="F46" i="3"/>
  <c r="F45" i="3"/>
  <c r="F44" i="3"/>
  <c r="F43" i="3"/>
  <c r="G75" i="3"/>
  <c r="F75" i="3"/>
  <c r="G74" i="3"/>
  <c r="F74" i="3"/>
  <c r="G73" i="3"/>
  <c r="F73" i="3"/>
  <c r="G72" i="3"/>
  <c r="F72" i="3"/>
  <c r="G71" i="3"/>
  <c r="F71" i="3"/>
  <c r="G70" i="3"/>
  <c r="F70" i="3"/>
  <c r="G69" i="3"/>
  <c r="F69" i="3"/>
  <c r="G68" i="3"/>
  <c r="F68" i="3"/>
  <c r="G67" i="3"/>
  <c r="F67" i="3"/>
  <c r="G66" i="3"/>
  <c r="F66" i="3"/>
  <c r="G65" i="3"/>
  <c r="F65" i="3"/>
  <c r="G64" i="3"/>
  <c r="F64" i="3"/>
  <c r="G63" i="3"/>
  <c r="F63" i="3"/>
  <c r="G62" i="3"/>
  <c r="F62" i="3"/>
  <c r="G61" i="3"/>
  <c r="F61" i="3"/>
  <c r="G60" i="3"/>
  <c r="F60" i="3"/>
  <c r="G59" i="3"/>
  <c r="F59" i="3"/>
  <c r="G58" i="3"/>
  <c r="F58" i="3"/>
  <c r="G57" i="3"/>
  <c r="F57" i="3"/>
  <c r="G56" i="3"/>
  <c r="F56" i="3"/>
  <c r="G55" i="3"/>
  <c r="F55" i="3"/>
  <c r="G54" i="3"/>
  <c r="G53" i="3"/>
  <c r="F53" i="3"/>
  <c r="G52" i="3"/>
  <c r="F52" i="3"/>
  <c r="G51" i="3"/>
  <c r="F51" i="3"/>
  <c r="G50" i="3"/>
  <c r="F50" i="3"/>
  <c r="G49" i="3"/>
  <c r="F49" i="3"/>
  <c r="G48" i="3"/>
  <c r="F48" i="3"/>
  <c r="G47" i="3"/>
  <c r="G46" i="3"/>
  <c r="G45" i="3"/>
  <c r="G44" i="3"/>
  <c r="G43" i="3"/>
  <c r="G42" i="3"/>
  <c r="F42" i="3"/>
  <c r="G41" i="3"/>
  <c r="F41" i="3"/>
  <c r="G40" i="3"/>
  <c r="F40" i="3"/>
  <c r="G39" i="3"/>
  <c r="F39" i="3"/>
  <c r="G38" i="3"/>
  <c r="F38" i="3"/>
  <c r="G37" i="3"/>
  <c r="F37" i="3"/>
  <c r="G36" i="3"/>
  <c r="F36" i="3"/>
  <c r="G35" i="3"/>
  <c r="F35" i="3"/>
  <c r="G34" i="3"/>
  <c r="F34" i="3"/>
  <c r="G33" i="3"/>
  <c r="F33" i="3"/>
  <c r="G32" i="3"/>
  <c r="F32" i="3"/>
  <c r="G31" i="3"/>
  <c r="F31" i="3"/>
  <c r="G30" i="3"/>
  <c r="F30" i="3"/>
  <c r="G29" i="3"/>
  <c r="F29" i="3"/>
  <c r="G28" i="3"/>
  <c r="F28" i="3"/>
  <c r="G27" i="3"/>
  <c r="F27" i="3"/>
  <c r="G26" i="3"/>
  <c r="F26" i="3"/>
  <c r="G25" i="3"/>
  <c r="F25" i="3"/>
  <c r="G24" i="3"/>
  <c r="F24" i="3"/>
  <c r="G23" i="3"/>
  <c r="F23" i="3"/>
  <c r="G22" i="3"/>
  <c r="F22" i="3"/>
  <c r="G21" i="3"/>
  <c r="F21" i="3"/>
  <c r="G20" i="3"/>
  <c r="F20" i="3"/>
  <c r="G19" i="3"/>
  <c r="F19" i="3"/>
  <c r="G18" i="3"/>
  <c r="F18" i="3"/>
  <c r="G17" i="3"/>
  <c r="F17" i="3"/>
  <c r="G16" i="3"/>
  <c r="F16" i="3"/>
  <c r="G15" i="3"/>
  <c r="F15" i="3"/>
  <c r="G14" i="3"/>
  <c r="F14" i="3"/>
  <c r="G13" i="3"/>
  <c r="F13" i="3"/>
  <c r="G12" i="3"/>
  <c r="F12" i="3"/>
  <c r="G11" i="3"/>
  <c r="F11" i="3"/>
  <c r="G10" i="3"/>
  <c r="F10" i="3"/>
  <c r="E75" i="3"/>
  <c r="E74" i="3"/>
  <c r="E73" i="3"/>
  <c r="E72" i="3"/>
  <c r="E71" i="3"/>
  <c r="E70" i="3"/>
  <c r="E69" i="3"/>
  <c r="E68" i="3"/>
  <c r="E67" i="3"/>
  <c r="E66" i="3"/>
  <c r="E65" i="3"/>
  <c r="E64" i="3"/>
  <c r="E63" i="3"/>
  <c r="E62" i="3"/>
  <c r="E61" i="3"/>
  <c r="E60" i="3"/>
  <c r="E59" i="3"/>
  <c r="E58" i="3"/>
  <c r="E57" i="3"/>
  <c r="E56" i="3"/>
  <c r="E55" i="3"/>
  <c r="E42" i="3"/>
  <c r="E41" i="3"/>
  <c r="E40" i="3"/>
  <c r="E39" i="3"/>
  <c r="E38" i="3"/>
  <c r="E37" i="3"/>
  <c r="E36" i="3"/>
  <c r="E35" i="3"/>
  <c r="E34" i="3"/>
  <c r="E33" i="3"/>
  <c r="E32" i="3"/>
  <c r="E31" i="3"/>
  <c r="E30" i="3"/>
  <c r="E29" i="3"/>
  <c r="E28" i="3"/>
  <c r="E27" i="3"/>
  <c r="E26" i="3"/>
  <c r="E25" i="3"/>
  <c r="E24" i="3"/>
  <c r="E23" i="3"/>
  <c r="E22" i="3"/>
  <c r="E118" i="3" l="1"/>
  <c r="E134" i="3" l="1"/>
  <c r="E133" i="3"/>
  <c r="E132" i="3"/>
  <c r="E131" i="3"/>
  <c r="E130" i="3"/>
  <c r="E129" i="3"/>
  <c r="E128" i="3"/>
  <c r="E127" i="3"/>
  <c r="E126" i="3"/>
  <c r="E125" i="3"/>
  <c r="E124" i="3"/>
  <c r="E123" i="3"/>
  <c r="E122" i="3"/>
  <c r="E121" i="3"/>
  <c r="E120" i="3"/>
  <c r="E119" i="3"/>
  <c r="E117" i="3"/>
  <c r="E116" i="3"/>
  <c r="E115" i="3"/>
  <c r="E114" i="3"/>
  <c r="E113" i="3"/>
  <c r="E112" i="3"/>
  <c r="E111" i="3"/>
  <c r="E110" i="3"/>
  <c r="E109" i="3"/>
  <c r="E108" i="3"/>
  <c r="E107" i="3"/>
  <c r="E106" i="3"/>
  <c r="E105" i="3"/>
  <c r="E104" i="3"/>
  <c r="E103" i="3"/>
  <c r="E102" i="3"/>
  <c r="E101" i="3"/>
  <c r="E100" i="3"/>
  <c r="E99" i="3"/>
  <c r="E98" i="3"/>
  <c r="E97" i="3"/>
  <c r="E96" i="3"/>
  <c r="E95" i="3"/>
  <c r="E94" i="3"/>
  <c r="E93" i="3"/>
  <c r="E92" i="3"/>
  <c r="E53" i="3"/>
  <c r="E20" i="3"/>
  <c r="E52" i="3"/>
  <c r="E19" i="3"/>
  <c r="E51" i="3"/>
  <c r="E18" i="3"/>
  <c r="E50" i="3"/>
  <c r="E17" i="3"/>
  <c r="E91" i="3"/>
  <c r="E90" i="3"/>
  <c r="E89" i="3"/>
  <c r="E88" i="3"/>
  <c r="E87" i="3"/>
  <c r="E49" i="3"/>
  <c r="E16" i="3"/>
  <c r="E48" i="3"/>
  <c r="E15" i="3"/>
  <c r="E86" i="3"/>
  <c r="E85" i="3"/>
  <c r="E84" i="3"/>
  <c r="E83" i="3"/>
  <c r="E82" i="3"/>
  <c r="E81" i="3"/>
  <c r="E80" i="3"/>
  <c r="E79" i="3"/>
  <c r="E78" i="3"/>
  <c r="E77" i="3"/>
  <c r="E76" i="3"/>
  <c r="E43" i="3" l="1"/>
  <c r="E10" i="3"/>
  <c r="E11" i="3"/>
  <c r="E44" i="3"/>
  <c r="E45" i="3"/>
  <c r="E12" i="3"/>
  <c r="E54" i="3"/>
  <c r="E21" i="3"/>
  <c r="E47" i="3"/>
  <c r="E14" i="3"/>
  <c r="E46" i="3"/>
  <c r="E13" i="3"/>
  <c r="L162" i="1"/>
  <c r="J161" i="1" l="1"/>
  <c r="J15" i="1" l="1"/>
  <c r="K16" i="1"/>
  <c r="J16" i="1"/>
  <c r="K77" i="1"/>
  <c r="J77" i="1"/>
  <c r="K18" i="1"/>
  <c r="J18" i="1"/>
  <c r="K19" i="1"/>
  <c r="J19" i="1"/>
  <c r="K17" i="1"/>
  <c r="J17" i="1"/>
  <c r="L17" i="1" l="1"/>
  <c r="L18" i="1"/>
  <c r="L16" i="1"/>
  <c r="L19" i="1"/>
  <c r="L77" i="1"/>
  <c r="L15" i="1"/>
  <c r="K159" i="1" l="1"/>
  <c r="K158" i="1"/>
  <c r="K155" i="1"/>
  <c r="K157" i="1"/>
  <c r="K160" i="1"/>
  <c r="K156" i="1"/>
  <c r="K15" i="1" l="1"/>
  <c r="J159" i="1" l="1"/>
  <c r="J157" i="1"/>
  <c r="J156" i="1"/>
  <c r="L159" i="1" l="1"/>
  <c r="L156" i="1"/>
  <c r="L157" i="1"/>
  <c r="J165" i="1"/>
  <c r="J169" i="1"/>
  <c r="J172" i="1"/>
  <c r="J168" i="1"/>
  <c r="J171" i="1"/>
  <c r="J167" i="1"/>
  <c r="J170" i="1"/>
  <c r="J166" i="1"/>
  <c r="K165" i="1"/>
  <c r="K172" i="1"/>
  <c r="K171" i="1"/>
  <c r="K170" i="1"/>
  <c r="K169" i="1"/>
  <c r="K168" i="1"/>
  <c r="K167" i="1"/>
  <c r="K166" i="1"/>
  <c r="J160" i="1"/>
  <c r="J158" i="1"/>
  <c r="L166" i="1" l="1"/>
  <c r="L158" i="1"/>
  <c r="L167" i="1"/>
  <c r="L169" i="1"/>
  <c r="L160" i="1"/>
  <c r="L171" i="1"/>
  <c r="L165" i="1"/>
  <c r="L168" i="1"/>
  <c r="L170" i="1"/>
  <c r="L172" i="1"/>
  <c r="J155" i="1"/>
  <c r="L155" i="1" l="1"/>
  <c r="L125" i="1" l="1"/>
  <c r="L73" i="1"/>
  <c r="J126" i="1"/>
  <c r="J124" i="1"/>
  <c r="J127" i="1"/>
  <c r="L72" i="1"/>
  <c r="L99" i="1"/>
  <c r="J33" i="1"/>
  <c r="J74" i="1"/>
  <c r="L95" i="1"/>
  <c r="L127" i="1"/>
  <c r="J72" i="1"/>
  <c r="L88" i="1"/>
  <c r="L124" i="1"/>
  <c r="L92" i="1"/>
  <c r="L96" i="1"/>
  <c r="J125" i="1"/>
  <c r="L74" i="1"/>
  <c r="J73" i="1"/>
  <c r="L100" i="1"/>
  <c r="L126" i="1"/>
  <c r="J54" i="1" l="1"/>
  <c r="L61" i="1"/>
  <c r="J47" i="1"/>
  <c r="L52" i="1"/>
  <c r="J36" i="1"/>
  <c r="L53" i="1"/>
  <c r="J37" i="1"/>
  <c r="L35" i="1"/>
  <c r="J98" i="1"/>
  <c r="J97" i="1"/>
  <c r="L39" i="1"/>
  <c r="J46" i="1"/>
  <c r="J93" i="1"/>
  <c r="J90" i="1"/>
  <c r="L38" i="1"/>
  <c r="J55" i="1"/>
  <c r="L34" i="1"/>
  <c r="J59" i="1"/>
  <c r="J50" i="1"/>
  <c r="L48" i="1"/>
  <c r="J32" i="1"/>
  <c r="J51" i="1"/>
  <c r="L91" i="1"/>
  <c r="L87" i="1"/>
  <c r="L60" i="1"/>
  <c r="L56" i="1"/>
  <c r="L49" i="1"/>
  <c r="J58" i="1"/>
  <c r="J85" i="1"/>
  <c r="L57" i="1"/>
  <c r="J89" i="1"/>
  <c r="J86" i="1"/>
  <c r="J94" i="1"/>
  <c r="L75" i="1" l="1"/>
  <c r="J75" i="1"/>
  <c r="J122" i="1" l="1"/>
  <c r="L104" i="1"/>
  <c r="L122" i="1"/>
  <c r="J104" i="1"/>
  <c r="L116" i="1"/>
  <c r="L120" i="1"/>
  <c r="L118" i="1"/>
  <c r="J114" i="1"/>
  <c r="L121" i="1"/>
  <c r="J116" i="1"/>
  <c r="J121" i="1"/>
  <c r="J120" i="1"/>
  <c r="J118" i="1"/>
  <c r="L114" i="1"/>
  <c r="J109" i="1" l="1"/>
  <c r="J113" i="1"/>
  <c r="J112" i="1"/>
  <c r="J105" i="1"/>
  <c r="J108" i="1"/>
  <c r="L111" i="1"/>
  <c r="L112" i="1"/>
  <c r="L115" i="1"/>
  <c r="L105" i="1"/>
  <c r="J117" i="1"/>
  <c r="J110" i="1"/>
  <c r="J103" i="1"/>
  <c r="J119" i="1"/>
  <c r="L107" i="1"/>
  <c r="J106" i="1"/>
  <c r="L108" i="1"/>
  <c r="J111" i="1"/>
  <c r="J115" i="1"/>
  <c r="L109" i="1"/>
  <c r="L113" i="1"/>
  <c r="L117" i="1"/>
  <c r="L110" i="1"/>
  <c r="L103" i="1"/>
  <c r="L119" i="1"/>
  <c r="J107" i="1"/>
  <c r="L106" i="1"/>
  <c r="L102" i="1" l="1"/>
  <c r="J102" i="1"/>
</calcChain>
</file>

<file path=xl/sharedStrings.xml><?xml version="1.0" encoding="utf-8"?>
<sst xmlns="http://schemas.openxmlformats.org/spreadsheetml/2006/main" count="1521" uniqueCount="675">
  <si>
    <t>Ergon Energy Corporation Limited</t>
  </si>
  <si>
    <t>Ref</t>
  </si>
  <si>
    <t>Service</t>
  </si>
  <si>
    <t>Product Codes</t>
  </si>
  <si>
    <t>Urban</t>
  </si>
  <si>
    <t>Isolated</t>
  </si>
  <si>
    <t>GST Excl</t>
  </si>
  <si>
    <t>GST Incl</t>
  </si>
  <si>
    <t>TBSSPU</t>
  </si>
  <si>
    <t>TBSSPS</t>
  </si>
  <si>
    <t>TBSSPL</t>
  </si>
  <si>
    <t>TBSSPI</t>
  </si>
  <si>
    <t>TBSMPU</t>
  </si>
  <si>
    <t>TBSMPS</t>
  </si>
  <si>
    <t>TBSMPL</t>
  </si>
  <si>
    <t>TBSMPI</t>
  </si>
  <si>
    <t>REENBHU</t>
  </si>
  <si>
    <t>REENBHS</t>
  </si>
  <si>
    <t>REENBHL</t>
  </si>
  <si>
    <t>REENBHI</t>
  </si>
  <si>
    <t>REDDBHU</t>
  </si>
  <si>
    <t>REDDBHS</t>
  </si>
  <si>
    <t>REDDBHL</t>
  </si>
  <si>
    <t>REDDBHI</t>
  </si>
  <si>
    <t>DEENBHU</t>
  </si>
  <si>
    <t>DEENBHS</t>
  </si>
  <si>
    <t>DEENBHL</t>
  </si>
  <si>
    <t>DEENBHI</t>
  </si>
  <si>
    <t>As Quoted</t>
  </si>
  <si>
    <t>POA</t>
  </si>
  <si>
    <t>SUPABOLU</t>
  </si>
  <si>
    <t>SUPABOLS</t>
  </si>
  <si>
    <t>SUPABOLL</t>
  </si>
  <si>
    <t>SUPABOLI</t>
  </si>
  <si>
    <t>REENAHU</t>
  </si>
  <si>
    <t>REENAHS</t>
  </si>
  <si>
    <t>REENAHL</t>
  </si>
  <si>
    <t>REENAHI</t>
  </si>
  <si>
    <t>DEENAHU</t>
  </si>
  <si>
    <t>DEENAHS</t>
  </si>
  <si>
    <t>DEENAHL</t>
  </si>
  <si>
    <t>DEENAHI</t>
  </si>
  <si>
    <t>Notes</t>
  </si>
  <si>
    <t>Key:</t>
  </si>
  <si>
    <t>Pre-Connection Services</t>
  </si>
  <si>
    <t>Connection Services</t>
  </si>
  <si>
    <t>6-CF</t>
  </si>
  <si>
    <t>CFTBSSPU</t>
  </si>
  <si>
    <t>CFTBSSPS</t>
  </si>
  <si>
    <t>7-CF</t>
  </si>
  <si>
    <t>CFTBSSPL</t>
  </si>
  <si>
    <t>CFTBSSPI</t>
  </si>
  <si>
    <t>8-CF</t>
  </si>
  <si>
    <t>CFTBSMPU</t>
  </si>
  <si>
    <t>CFTBSMPS</t>
  </si>
  <si>
    <t>9-CF</t>
  </si>
  <si>
    <t>CFTBSMPL</t>
  </si>
  <si>
    <t>CFTBSMPI</t>
  </si>
  <si>
    <t>Post Connection Services</t>
  </si>
  <si>
    <t>10-CF</t>
  </si>
  <si>
    <t>CFSUPABOLU</t>
  </si>
  <si>
    <t>CFSUPABOLS</t>
  </si>
  <si>
    <t>11-CF</t>
  </si>
  <si>
    <t>CFSUPABOLL</t>
  </si>
  <si>
    <t>CFSUPABOLI</t>
  </si>
  <si>
    <t>12-CF</t>
  </si>
  <si>
    <t>CFDEENBHU</t>
  </si>
  <si>
    <t>CFDEENBHS</t>
  </si>
  <si>
    <t>13-CF</t>
  </si>
  <si>
    <t>CFDEENBHL</t>
  </si>
  <si>
    <t>CFDEENBHI</t>
  </si>
  <si>
    <t>14-CF</t>
  </si>
  <si>
    <t>CFREENBHU</t>
  </si>
  <si>
    <t>CFREENBHS</t>
  </si>
  <si>
    <t>15-CF</t>
  </si>
  <si>
    <t>CFREENBHL</t>
  </si>
  <si>
    <t>CFREENBHI</t>
  </si>
  <si>
    <t>16-CF</t>
  </si>
  <si>
    <t>CFREDDBHU</t>
  </si>
  <si>
    <t>CFREDDBHS</t>
  </si>
  <si>
    <t>17-CF</t>
  </si>
  <si>
    <t>CFREDDBHL</t>
  </si>
  <si>
    <t>CFREDDBHI</t>
  </si>
  <si>
    <t>Metering Services</t>
  </si>
  <si>
    <t>Public Lighting Services</t>
  </si>
  <si>
    <t>Default Metering Services</t>
  </si>
  <si>
    <t>EO&amp;O - Major</t>
  </si>
  <si>
    <t>EO&amp;O - Minor</t>
  </si>
  <si>
    <t>G&amp;EO - Major</t>
  </si>
  <si>
    <t>G&amp;EO - Minor</t>
  </si>
  <si>
    <t>MPOAU</t>
  </si>
  <si>
    <t>MPOAS</t>
  </si>
  <si>
    <t>MPOAL</t>
  </si>
  <si>
    <t>MPOAI</t>
  </si>
  <si>
    <t>TEMPDEENU</t>
  </si>
  <si>
    <t>TEMPDEENS</t>
  </si>
  <si>
    <t>TEMPDEENL</t>
  </si>
  <si>
    <t>TEMPDEENI</t>
  </si>
  <si>
    <t>LVSLDU</t>
  </si>
  <si>
    <t>LVSLDS</t>
  </si>
  <si>
    <t>LVSLDL</t>
  </si>
  <si>
    <t>HVSLDU</t>
  </si>
  <si>
    <t>HVSLDS</t>
  </si>
  <si>
    <t>HVSLDL</t>
  </si>
  <si>
    <t>HVSLDI</t>
  </si>
  <si>
    <t>SUPENHU</t>
  </si>
  <si>
    <t>SUPENHS</t>
  </si>
  <si>
    <t>SUPENHL</t>
  </si>
  <si>
    <t>SUPENHI</t>
  </si>
  <si>
    <t>Fixed fee applies</t>
  </si>
  <si>
    <t>Price on application</t>
  </si>
  <si>
    <t>ACSEOOMA</t>
  </si>
  <si>
    <t>ACSEOOMI</t>
  </si>
  <si>
    <t>ACSGEOMA</t>
  </si>
  <si>
    <t>ACSGEOMI</t>
  </si>
  <si>
    <t>EOOMAEXT</t>
  </si>
  <si>
    <t>EOOMIEXT</t>
  </si>
  <si>
    <t>GEOMAEXT</t>
  </si>
  <si>
    <t>GEOMIEXT</t>
  </si>
  <si>
    <t>Primary service - Non-capital</t>
  </si>
  <si>
    <t>Primary service - Capital</t>
  </si>
  <si>
    <t>Controlled load - Non-capital</t>
  </si>
  <si>
    <t>Controlled load - Capital</t>
  </si>
  <si>
    <t>ACSMNCC</t>
  </si>
  <si>
    <t>ACSMCC</t>
  </si>
  <si>
    <t>Fee Based Service</t>
  </si>
  <si>
    <t>Quoted Service</t>
  </si>
  <si>
    <t>Default Metering Service</t>
  </si>
  <si>
    <t>Public Lighting Service</t>
  </si>
  <si>
    <t>A supplementary daily charge that recovers the operating cost of Type 5 and 6 meters.  Applies to each secondary controlled load.</t>
  </si>
  <si>
    <t>A daily charge that recovers the operating cost of Type 5 and 6 meters.  Applies to the primary metering service.</t>
  </si>
  <si>
    <t>Supplementary daily charge</t>
  </si>
  <si>
    <t>Daily charge</t>
  </si>
  <si>
    <r>
      <t xml:space="preserve">Fixed fee applies, capped to maximum specified in Schedule 8 of </t>
    </r>
    <r>
      <rPr>
        <i/>
        <sz val="8"/>
        <rFont val="Arial"/>
        <family val="2"/>
      </rPr>
      <t>Electricity Regulation 2006</t>
    </r>
  </si>
  <si>
    <r>
      <t xml:space="preserve">Fixed fee applies, capped to UR/SR price as per Schedule 8 of </t>
    </r>
    <r>
      <rPr>
        <i/>
        <sz val="8"/>
        <rFont val="Arial"/>
        <family val="2"/>
      </rPr>
      <t>Electricity Regulation 2006</t>
    </r>
  </si>
  <si>
    <r>
      <t>Fixed fee applies, capped to maximum specified in Schedule 8 of</t>
    </r>
    <r>
      <rPr>
        <i/>
        <sz val="8"/>
        <rFont val="Arial"/>
        <family val="2"/>
      </rPr>
      <t xml:space="preserve"> Electricity Regulation 2006</t>
    </r>
  </si>
  <si>
    <t>LVSLDI</t>
  </si>
  <si>
    <t>66-CF</t>
  </si>
  <si>
    <t>Call out fee for de-energisations after business hours</t>
  </si>
  <si>
    <t>CFDEENAHU</t>
  </si>
  <si>
    <t>CFDEENAHS</t>
  </si>
  <si>
    <t>CFDEENAHL</t>
  </si>
  <si>
    <t>CFDEENAHI</t>
  </si>
  <si>
    <t>67-CF</t>
  </si>
  <si>
    <t>Call out fee for re-energisations after business hours</t>
  </si>
  <si>
    <t>CFREENAHU</t>
  </si>
  <si>
    <t>CFREENAHS</t>
  </si>
  <si>
    <t>CFREENAHL</t>
  </si>
  <si>
    <t>CFREENAHI</t>
  </si>
  <si>
    <r>
      <t xml:space="preserve">These services are subject to an additional layer of price regulation at the jurisdictional level, through Schedule 8 of the </t>
    </r>
    <r>
      <rPr>
        <i/>
        <sz val="8"/>
        <rFont val="Arial"/>
        <family val="2"/>
      </rPr>
      <t>Electricity Regulation 2006</t>
    </r>
    <r>
      <rPr>
        <sz val="8"/>
        <rFont val="Arial"/>
        <family val="2"/>
      </rPr>
      <t xml:space="preserve">.  Even though the national economic regulator (the AER) has approved a higher price that EECL can charge for this service, the Queensland Government has stipulated a (lower) maximum price EECL is able to charge customers in EECL's supply area for these services. </t>
    </r>
  </si>
  <si>
    <t>A daily charge that recovers the capital cost of Type 5 and 6 meters installed before 1 July 2015.  Applies to the primary metering service.
This daily charge applies to customers with existing connections (before 1 July 2015) and new installations (on or after 1 July 2015).  It does not apply to meter replacements and additional meters required to accommodate additional tariffs other than controlled load.</t>
  </si>
  <si>
    <t>A supplementary daily charge that recovers the capital cost of Type 5 and 6 meters installed before 1 July 2015.  Applies to each secondary controlled load.
This daily charge applies to customers with existing connections (before 1 July 2015) and new installations (on or after 1 July 2015).  It does not apply to meter replacements and additional meters required to accommodate additional tariffs other than controlled load.</t>
  </si>
  <si>
    <t>Fixed fee applies, per light</t>
  </si>
  <si>
    <t>Travel time to perform a de-energisation after business hours requested by a retailer, and the service is unable to be performed due to customer/retailer fault.  Retailer requests de-energisation of the customer's premises after business hours:
- where the de-energisation can be performed (e.g. pole, pillar or meter)
- Main switch sticker.</t>
  </si>
  <si>
    <t>Travel time to perform a re-energisation after business hours requested by a retailer, and the service is unable to be performed due to customer/retailer fault. Retailer requests re-energisation of a customer's premises after business hours:
- after a physical disconnection and premises requires a visual examination
- following a main switch sticker
- where the customer has not paid their electricity account.</t>
  </si>
  <si>
    <t>Embedded generation - Non-capital</t>
  </si>
  <si>
    <t>Embedded generation - Capital</t>
  </si>
  <si>
    <t>Meter replacements</t>
  </si>
  <si>
    <t>New meter installations</t>
  </si>
  <si>
    <t>19-CF</t>
  </si>
  <si>
    <t>20-CF</t>
  </si>
  <si>
    <t>21-CF</t>
  </si>
  <si>
    <t>22-CF</t>
  </si>
  <si>
    <t>23-CF</t>
  </si>
  <si>
    <t>24-CF</t>
  </si>
  <si>
    <t>25-CF</t>
  </si>
  <si>
    <t>26-CF</t>
  </si>
  <si>
    <t>Install replacement meter (Type 5 and 6) – Single phase – urban/short rural feeder</t>
  </si>
  <si>
    <t>Call out fee for installation of a replacement meter (Type 5 and 6) – Single phase – urban/short rural feeder</t>
  </si>
  <si>
    <t>Call out fee for installation of a replacement meter (Type 5 and 6) – Single phase – long rural/isolated feeder</t>
  </si>
  <si>
    <t>Install replacement meter (Type 5 and 6) – Dual element – urban/short rural feeder</t>
  </si>
  <si>
    <t>Call out fee for installation of a replacement meter (Type 5 and 6) – Dual element – urban/short rural feeder</t>
  </si>
  <si>
    <t>Install replacement meter (Type 5 and 6) –  Dual element – long rural/isolated feeder</t>
  </si>
  <si>
    <t>Call out fee for installation of a replacement meter (Type 5 and 6) – Dual element – long rural/isolated feeder</t>
  </si>
  <si>
    <t>Install replacement meter (Type 5 and 6) – Polyphase – urban/short rural feeder</t>
  </si>
  <si>
    <t>Call out fee for installation of a replacement meter (Type 5 and 6) – Polyphase – urban/short rural feeder</t>
  </si>
  <si>
    <t>Install replacement meter (Type 5 and 6) –  Polyphase – long rural/isolated feeder</t>
  </si>
  <si>
    <t>Call out fee for installation of a replacement meter (Type 5 and 6) – Polyphase – long rural/isolated feeder</t>
  </si>
  <si>
    <t>Install replacement meter (CT) – urban/short rural feeder</t>
  </si>
  <si>
    <t>Call out fee for installation of a replacement meter (CT) – urban/short rural feeder</t>
  </si>
  <si>
    <t xml:space="preserve">Install replacement meter (CT) – long rural/isolated feeder </t>
  </si>
  <si>
    <t>Call out fee for installation of a replacement meter (CT) – long rural/isolated feeder</t>
  </si>
  <si>
    <t>Travel time to perform a fee based service requested by a retailer or customer, and the service is unable to be performed due to customer/retailer fault.  Install replacement meter (Type 5 and 6) – Single phase – urban/short rural feeder.</t>
  </si>
  <si>
    <t>Travel time to perform a fee based service requested by a retailer or customer, and the service is unable to be performed due to customer/retailer fault.  Install replacement meter (Type 5 and 6) – Single phase – long rural/isolated feeder.</t>
  </si>
  <si>
    <t>Travel time to perform a fee based service requested by a retailer or customer, and the service is unable to be performed due to customer/retailer fault.  Install replacement meter (Type 5 and 6) – Dual element – urban/short rural feeder.</t>
  </si>
  <si>
    <t>Travel time to perform a fee based service requested by a retailer or customer, and the service is unable to be performed due to customer/retailer fault.  Install replacement meter (Type 5 and 6) – Dual element – long rural/isolated feeder.</t>
  </si>
  <si>
    <t>Travel time to perform a fee based service requested by a retailer or customer, and the service is unable to be performed due to customer/retailer fault.  Install replacement meter (Type 5 and 6) – Polyphase – urban/short rural feeder.</t>
  </si>
  <si>
    <t>Travel time to perform a fee based service requested by a retailer or customer, and the service is unable to be performed due to customer/retailer fault.  Install replacement meter (Type 5 and 6) – Polyphase – long rural/isolated feeder.</t>
  </si>
  <si>
    <t>Travel time to perform a fee based service requested by a retailer or customer, and the service is unable to be performed due to customer/retailer fault.  Install replacement meter (CT) – urban/short rural feeder.</t>
  </si>
  <si>
    <t>Travel time to perform a fee based service requested by a retailer or customer, and the service is unable to be performed due to customer/retailer fault.  Install replacement meter (CT) – long rural/isolated feeder.</t>
  </si>
  <si>
    <t>Auxiliary metering services</t>
  </si>
  <si>
    <t>74-CF</t>
  </si>
  <si>
    <t>75-CF</t>
  </si>
  <si>
    <t>Call out fee for special meter read</t>
  </si>
  <si>
    <t>Travel time to perform a special meter read requested by a retailer, and the service is unable to be completed due to customer/retailer fault.  Off-cycle meter read, during business hours.  Does not include final meter reads</t>
  </si>
  <si>
    <t>Call out fee for meter test</t>
  </si>
  <si>
    <t>157-CF</t>
  </si>
  <si>
    <t>158-CF</t>
  </si>
  <si>
    <t>159-CF</t>
  </si>
  <si>
    <t>160-CF</t>
  </si>
  <si>
    <t>SPMTRRDU</t>
  </si>
  <si>
    <t>SPMTRRDS</t>
  </si>
  <si>
    <t>SPMTRRDL</t>
  </si>
  <si>
    <t>SPMTRRDI</t>
  </si>
  <si>
    <t>CFSPMTRRDU</t>
  </si>
  <si>
    <t>CFSPMTRRDS</t>
  </si>
  <si>
    <t>CFSPMTRRDL</t>
  </si>
  <si>
    <t>CFSPMTRRDI</t>
  </si>
  <si>
    <t>MTRTESTU</t>
  </si>
  <si>
    <t>MTRTESTS</t>
  </si>
  <si>
    <t>MTRTESTL</t>
  </si>
  <si>
    <t>MTRTESTI</t>
  </si>
  <si>
    <t>CFMTRTESTU</t>
  </si>
  <si>
    <t>CFMTRTESTS</t>
  </si>
  <si>
    <t>CFMTRTESTL</t>
  </si>
  <si>
    <t>CFMTRTESTI</t>
  </si>
  <si>
    <t>MTRINSPU</t>
  </si>
  <si>
    <t>MTRINSPS</t>
  </si>
  <si>
    <t>MTRINSPL</t>
  </si>
  <si>
    <t>MTRINSPI</t>
  </si>
  <si>
    <t>MOVEMTRU</t>
  </si>
  <si>
    <t>MOVEMTRS</t>
  </si>
  <si>
    <t>MOVEMTRL</t>
  </si>
  <si>
    <t>MOVEMTRI</t>
  </si>
  <si>
    <t>MTRREPU</t>
  </si>
  <si>
    <t>MTRREPS</t>
  </si>
  <si>
    <t>MTRREPL</t>
  </si>
  <si>
    <t>MTRREPI</t>
  </si>
  <si>
    <t>RMMTRU</t>
  </si>
  <si>
    <t>RMMTRS</t>
  </si>
  <si>
    <t>RMMTRL</t>
  </si>
  <si>
    <t>RMMTRI</t>
  </si>
  <si>
    <t>MTRSEALU</t>
  </si>
  <si>
    <t>MTRSEALS</t>
  </si>
  <si>
    <t>MTRSEALL</t>
  </si>
  <si>
    <t>MTRSEALI</t>
  </si>
  <si>
    <t>CHTSRAU</t>
  </si>
  <si>
    <t>CHTSRAS</t>
  </si>
  <si>
    <t>CHTSRAL</t>
  </si>
  <si>
    <t>CHTSRAI</t>
  </si>
  <si>
    <t>CHTARIFU</t>
  </si>
  <si>
    <t>CHTARIFS</t>
  </si>
  <si>
    <t>CHTARIFL</t>
  </si>
  <si>
    <t>CHTARIFI</t>
  </si>
  <si>
    <t>PRCDMTRU</t>
  </si>
  <si>
    <t>PRCDMTRS</t>
  </si>
  <si>
    <t>PRCDMTRL</t>
  </si>
  <si>
    <t>PRCDMTRI</t>
  </si>
  <si>
    <t>INMTRLDCU</t>
  </si>
  <si>
    <t>INMTRLDCS</t>
  </si>
  <si>
    <t>INMTRLDCL</t>
  </si>
  <si>
    <t>INMTRLDCI</t>
  </si>
  <si>
    <t>RMLDCRLU</t>
  </si>
  <si>
    <t>RMLDCRLS</t>
  </si>
  <si>
    <t>RMLDCRLL</t>
  </si>
  <si>
    <t>RMLDCRLI</t>
  </si>
  <si>
    <t>CHLDCRCU</t>
  </si>
  <si>
    <t>CHLDCRCS</t>
  </si>
  <si>
    <t>CHLDCRCL</t>
  </si>
  <si>
    <t>CHLDCRCI</t>
  </si>
  <si>
    <t>Installation and provision during business hours of a single phase replacement meter</t>
  </si>
  <si>
    <t>Installation and provision during business hours of a dual element replacement meter</t>
  </si>
  <si>
    <t>Installation and provision during business hours of a polyphase replacement meter</t>
  </si>
  <si>
    <t>Installation and provision during business hours of a CT replacement meter</t>
  </si>
  <si>
    <t>Installation and provision of a new single phase Type 5 or 6 meter. Applies where there is a primary metering service.</t>
  </si>
  <si>
    <t>Installation and provision of a new single phase Type 5 or 6 meter. Applies where there is a primary metering service plus embedded generation.</t>
  </si>
  <si>
    <t>Installation and provision of a new dual element Type 5 or 6 meter.  Applies where there is a primary metering service plus controlled load.</t>
  </si>
  <si>
    <t>Installation and provision of a new dual element Type 5 or 6 meter.  Applies where there is a primary metering service plus controlled load plus embedded generation.</t>
  </si>
  <si>
    <t>Installation and provision of a new polyphase Type 5 or 6 meter. Applies where there is a primary metering service.</t>
  </si>
  <si>
    <t>Installation and provision of a new polyphase Type 5 or 6 meter. Applies where there is a primary metering service plus embedded generation.</t>
  </si>
  <si>
    <t>Installation and provision of a new CT meter. Applies where there is a primary metering service.</t>
  </si>
  <si>
    <t>Installation and provision of an additional single phase Type 5 or 6 meter for controlled load purposes.</t>
  </si>
  <si>
    <t>Installation and provision of an additional polyphase Type 5 or 6 meter for controlled load purposes.</t>
  </si>
  <si>
    <t>Installation and provision of an additional single phase Type 5 or 6 meter to accommodate additional tariffs other than controlled load.</t>
  </si>
  <si>
    <t>Installation and provision of an additional polyphase Type 5 or 6 meter to accommodate additional tariffs other than controlled load.</t>
  </si>
  <si>
    <t>Ellipse Cost Code</t>
  </si>
  <si>
    <t>Short rural</t>
  </si>
  <si>
    <t>Long rural</t>
  </si>
  <si>
    <t>Urban/short rural feeder price</t>
  </si>
  <si>
    <t>Long rural/isolated feeder price</t>
  </si>
  <si>
    <t>AER classification</t>
  </si>
  <si>
    <t>Service description</t>
  </si>
  <si>
    <t>No Charge Product Code</t>
  </si>
  <si>
    <t xml:space="preserve">ACS Isolated Feeder </t>
  </si>
  <si>
    <t>Ancillary Network Services</t>
  </si>
  <si>
    <t>CUSTAPTU</t>
  </si>
  <si>
    <t>CUSTAPTS</t>
  </si>
  <si>
    <t>CUSTAPTL</t>
  </si>
  <si>
    <t>CUSTAPTI</t>
  </si>
  <si>
    <t>NMSPU</t>
  </si>
  <si>
    <t>NMSPS</t>
  </si>
  <si>
    <t>CFNMSPU</t>
  </si>
  <si>
    <t>CFNMSPS</t>
  </si>
  <si>
    <t>NMSPL</t>
  </si>
  <si>
    <t>NMSPI</t>
  </si>
  <si>
    <t>CFNMSPL</t>
  </si>
  <si>
    <t>CFNMSPI</t>
  </si>
  <si>
    <t>NMPPU</t>
  </si>
  <si>
    <t>NMPPS</t>
  </si>
  <si>
    <t>NMPPL</t>
  </si>
  <si>
    <t>NMPPI</t>
  </si>
  <si>
    <t>NMCTPU</t>
  </si>
  <si>
    <t>NMCTPS</t>
  </si>
  <si>
    <t>NMCTPL</t>
  </si>
  <si>
    <t>NMCTPI</t>
  </si>
  <si>
    <t>ADSPATU</t>
  </si>
  <si>
    <t>ADSPATS</t>
  </si>
  <si>
    <t>ADSPATL</t>
  </si>
  <si>
    <t>ADSPATI</t>
  </si>
  <si>
    <t>ADPPATU</t>
  </si>
  <si>
    <t>ADPPATS</t>
  </si>
  <si>
    <t>ADPPATL</t>
  </si>
  <si>
    <t>ADPPATI</t>
  </si>
  <si>
    <t>Customer</t>
  </si>
  <si>
    <t>B2B
Retailer only</t>
  </si>
  <si>
    <t>NRMAHU</t>
  </si>
  <si>
    <t>NRMAHS</t>
  </si>
  <si>
    <t>NRMAHL</t>
  </si>
  <si>
    <t>NRMAHI</t>
  </si>
  <si>
    <t>ADCTATU</t>
  </si>
  <si>
    <t>ADCTATS</t>
  </si>
  <si>
    <t>ADCTATL</t>
  </si>
  <si>
    <t>ADCTATI</t>
  </si>
  <si>
    <t>Generic Call Out Fee (quoted services only)</t>
  </si>
  <si>
    <t>Installation and provision of a new CT meter. Applies where there is a primary metering service plus embedded generation.</t>
  </si>
  <si>
    <t>Installation and provision of an additional meter (CT) for controlled load purposes.</t>
  </si>
  <si>
    <t>Installation and provision of an additional meter (CT) to accommodate additional tariffs other than controlled load.</t>
  </si>
  <si>
    <t xml:space="preserve">Installation and provision of a new single phase Type 5 or 6 meter to accommodate an embedded generation installation. </t>
  </si>
  <si>
    <t xml:space="preserve">Installation and provision of a new polyphase Type 5 or 6 meter to accommodate an embedded generation installation. </t>
  </si>
  <si>
    <t>Installation and provision of a new meter (CT) to accommodate an embedded generation installation.</t>
  </si>
  <si>
    <t>APFSAC</t>
  </si>
  <si>
    <t>APFMEG</t>
  </si>
  <si>
    <t>APFMTA</t>
  </si>
  <si>
    <t>APFRED</t>
  </si>
  <si>
    <t>PPQA</t>
  </si>
  <si>
    <t>ASPRED</t>
  </si>
  <si>
    <t>106-CF</t>
  </si>
  <si>
    <t>Call out fee for Final Meter Read – urban/short rural feeder</t>
  </si>
  <si>
    <t>CFFMTRRDU</t>
  </si>
  <si>
    <t>107-CF</t>
  </si>
  <si>
    <t>Call out fee for Final Meter Read – long rural/isolated feeder</t>
  </si>
  <si>
    <t>CFFMTRRDL</t>
  </si>
  <si>
    <t>CFFMTRRDI</t>
  </si>
  <si>
    <t>CFFMTRRDS</t>
  </si>
  <si>
    <t>Travel time to perform a Final Meter Read requested by a retailer or customer, and the service is unable to be performed due to customer/retailer fault – urban/short rural feeder.</t>
  </si>
  <si>
    <t>Travel time to perform a Final Meter Read requested by a retailer or customer, and the service is unable to be performed due to customer/retailer fault – long rural/isolated feeder.</t>
  </si>
  <si>
    <t xml:space="preserve">Install new meter (Type 5 and 6) –  Single phase – Primary </t>
  </si>
  <si>
    <t>Install new meter (Type 5 and 6) – Single phase –  Primary plus embedded generation</t>
  </si>
  <si>
    <t>Install new meter (Type 5 and 6) – Dual element – Primary plus controlled load</t>
  </si>
  <si>
    <t>Install new meter (Type 5 and 6) – Dual element – Primary plus controlled load plus embedded generation</t>
  </si>
  <si>
    <t>Install new meter (Type 5 and 6) – Polyphase – Primary</t>
  </si>
  <si>
    <t>Install new meter (Type 5 and 6) – Polyphase – Primary plus embedded generation</t>
  </si>
  <si>
    <t>Install new meter (CT) – Primary</t>
  </si>
  <si>
    <t>Install new meter (CT) – Primary plus embedded generation</t>
  </si>
  <si>
    <t xml:space="preserve">Install additional single phase meter for controlled load purposes </t>
  </si>
  <si>
    <t xml:space="preserve">Install additional polyphase meter for controlled load purposes </t>
  </si>
  <si>
    <t xml:space="preserve">Install additional meter (CT) for controlled load purposes </t>
  </si>
  <si>
    <t xml:space="preserve">Install additional single phase meter to accommodate additional tariffs other than controlled load </t>
  </si>
  <si>
    <t xml:space="preserve">Install additional polyphase meter to accommodate additional tariffs other than controlled load </t>
  </si>
  <si>
    <t xml:space="preserve">Install additional meter (CT) to accommodate additional tariffs other than controlled load </t>
  </si>
  <si>
    <t xml:space="preserve">Install new single phase meter to accommodate embedded generation installation </t>
  </si>
  <si>
    <t xml:space="preserve">Install new polyphase meter to accommodate embedded generation installation </t>
  </si>
  <si>
    <t xml:space="preserve">Install new meter (CT) to accommodate embedded generation installation </t>
  </si>
  <si>
    <t>Call out fee for install new meter (Type 5 and 6) - Single phase</t>
  </si>
  <si>
    <t>Call out fee for install new meter (Type 5 and 6) - Dual element</t>
  </si>
  <si>
    <t>CFNMDUALU</t>
  </si>
  <si>
    <t>CFNMDUALS</t>
  </si>
  <si>
    <t>CFNMDUALL</t>
  </si>
  <si>
    <t>CFNMDUALI</t>
  </si>
  <si>
    <t>Call out fee for install new meter (Type 5 and 6) - Polyphase</t>
  </si>
  <si>
    <t>CFNMTHREU</t>
  </si>
  <si>
    <t>CFNMTHRES</t>
  </si>
  <si>
    <t>CFNMTHREL</t>
  </si>
  <si>
    <t>CFNMTHREI</t>
  </si>
  <si>
    <t xml:space="preserve">Call out fee for install new meter (CT) </t>
  </si>
  <si>
    <t>Travel time to perform a fee based service requested by a retailer or customer, and the service is unable to be performed due to customer/retailer fault. Install new meter (CT).</t>
  </si>
  <si>
    <t>CFNMCTU</t>
  </si>
  <si>
    <t>CFNMCTS</t>
  </si>
  <si>
    <t>CFNMCTL</t>
  </si>
  <si>
    <t>CFNMCTI</t>
  </si>
  <si>
    <t>Travel time to perform a fee based service requested by a retailer or customer, and the service is unable to be performed due to customer/retailer fault. Install new meter (Type 5 and 6) - Single phase.</t>
  </si>
  <si>
    <t>Travel time to perform a fee based service requested by a retailer or customer, and the service is unable to be performed due to customer/retailer fault. Install new meter (Type 5 and 6) - Dual element.</t>
  </si>
  <si>
    <t>Travel time to perform a fee based service requested by a retailer or customer, and the service is unable to be performed due to customer/retailer fault. Install new meter (Type 5 and 6) - Polyphase.</t>
  </si>
  <si>
    <t>Network Tariff Component</t>
  </si>
  <si>
    <t>Install replacement meter (Type 5 and 6) – Single phase – long rural/isolated feeder</t>
  </si>
  <si>
    <t>NMDPCLU</t>
  </si>
  <si>
    <t>NMDPCLS</t>
  </si>
  <si>
    <t>NMDPCLL</t>
  </si>
  <si>
    <t>NMDPCLI</t>
  </si>
  <si>
    <t>ADSPCLU</t>
  </si>
  <si>
    <t>ADSPCLS</t>
  </si>
  <si>
    <t>ADSPCLL</t>
  </si>
  <si>
    <t>ADSPCLI</t>
  </si>
  <si>
    <t>ADPPCLU</t>
  </si>
  <si>
    <t>ADPPCLS</t>
  </si>
  <si>
    <t>ADPPCLL</t>
  </si>
  <si>
    <t>ADPPCLI</t>
  </si>
  <si>
    <t>ADCTCLU</t>
  </si>
  <si>
    <t>ADCTCLS</t>
  </si>
  <si>
    <t>ADCTCLL</t>
  </si>
  <si>
    <t>ADCTCLI</t>
  </si>
  <si>
    <t>NMSPEGU</t>
  </si>
  <si>
    <t>NMSPEGS</t>
  </si>
  <si>
    <t>NMSPEGL</t>
  </si>
  <si>
    <t>NMSPEGI</t>
  </si>
  <si>
    <t>NMDPCLEGU</t>
  </si>
  <si>
    <t>NMDPCLEGS</t>
  </si>
  <si>
    <t>NMDPCLEGL</t>
  </si>
  <si>
    <t>NMDPCLEGI</t>
  </si>
  <si>
    <t>NMPPEGU</t>
  </si>
  <si>
    <t>NMPPEGS</t>
  </si>
  <si>
    <t>NMPPEGL</t>
  </si>
  <si>
    <t>NMPPEGI</t>
  </si>
  <si>
    <t>NMCTPEGU</t>
  </si>
  <si>
    <t>NMCTPEGS</t>
  </si>
  <si>
    <t>NMCTPEGL</t>
  </si>
  <si>
    <t>NMCTPEGI</t>
  </si>
  <si>
    <t>NSPAEGU</t>
  </si>
  <si>
    <t>NSPAEGS</t>
  </si>
  <si>
    <t>NSPAEGL</t>
  </si>
  <si>
    <t>NSPAEGI</t>
  </si>
  <si>
    <t>NPPAEGU</t>
  </si>
  <si>
    <t>NPPAEGS</t>
  </si>
  <si>
    <t>NPPAEGL</t>
  </si>
  <si>
    <t>NPPAEGI</t>
  </si>
  <si>
    <t>NCTAEGU</t>
  </si>
  <si>
    <t>NCTAEGS</t>
  </si>
  <si>
    <t>NCTAEGL</t>
  </si>
  <si>
    <t>NCTAEGI</t>
  </si>
  <si>
    <t>MSNGLU</t>
  </si>
  <si>
    <t>CFMSNGLU</t>
  </si>
  <si>
    <t>MSNGLS</t>
  </si>
  <si>
    <t>CFMSNGLS</t>
  </si>
  <si>
    <t>MSNGLL</t>
  </si>
  <si>
    <t>MSNGLI</t>
  </si>
  <si>
    <t>CFMSNGLL</t>
  </si>
  <si>
    <t>CFMSNGLI</t>
  </si>
  <si>
    <t>MDUALU</t>
  </si>
  <si>
    <t>MDUALS</t>
  </si>
  <si>
    <t>CFMDUALU</t>
  </si>
  <si>
    <t>CFMDUALS</t>
  </si>
  <si>
    <t>MDUALL</t>
  </si>
  <si>
    <t>MDUALI</t>
  </si>
  <si>
    <t>CFMDUALL</t>
  </si>
  <si>
    <t>CFMDUALI</t>
  </si>
  <si>
    <t>MTHREU</t>
  </si>
  <si>
    <t>MTHRES</t>
  </si>
  <si>
    <t>CFMTHREU</t>
  </si>
  <si>
    <t>CFMTHRES</t>
  </si>
  <si>
    <t>MTHREL</t>
  </si>
  <si>
    <t>MTHREI</t>
  </si>
  <si>
    <t>CFMTHREL</t>
  </si>
  <si>
    <t>CFMTHREI</t>
  </si>
  <si>
    <t>MCTU</t>
  </si>
  <si>
    <t>MCTS</t>
  </si>
  <si>
    <t>CFMCTU</t>
  </si>
  <si>
    <t>CFMCTS</t>
  </si>
  <si>
    <t>MCTL</t>
  </si>
  <si>
    <t>MCTI</t>
  </si>
  <si>
    <t>CFMCTL</t>
  </si>
  <si>
    <t>CFMCTI</t>
  </si>
  <si>
    <r>
      <t xml:space="preserve">These services are subject to an additional layer of price regulation at the jurisdictional level, through Schedule 8 of the </t>
    </r>
    <r>
      <rPr>
        <i/>
        <sz val="8"/>
        <rFont val="Arial"/>
        <family val="2"/>
      </rPr>
      <t>Electricity Regulation 2006</t>
    </r>
    <r>
      <rPr>
        <sz val="8"/>
        <rFont val="Arial"/>
        <family val="2"/>
      </rPr>
      <t xml:space="preserve">.  Even though the national economic regulator (the AER) has approved a higher price that EECL can charge for this service, the Queensland Government has stipulated that long rural / isolated customers in EECL's supply area are only able to be charged for these services at the same rate as an urban / short rural customer. </t>
    </r>
  </si>
  <si>
    <t>GENCF</t>
  </si>
  <si>
    <t>Extra Product Codes and Ellipse Cost Codes -</t>
  </si>
  <si>
    <t>Form "A" Required</t>
  </si>
  <si>
    <t>No</t>
  </si>
  <si>
    <t>Yes</t>
  </si>
  <si>
    <t>N/A</t>
  </si>
  <si>
    <r>
      <t xml:space="preserve">Fixed fee applies, capped to UR/SR price (to be consistent with Schedule 8 of </t>
    </r>
    <r>
      <rPr>
        <i/>
        <sz val="8"/>
        <rFont val="Arial"/>
        <family val="2"/>
      </rPr>
      <t>Electricity Regulation 2006</t>
    </r>
    <r>
      <rPr>
        <sz val="8"/>
        <rFont val="Arial"/>
        <family val="2"/>
      </rPr>
      <t>)</t>
    </r>
  </si>
  <si>
    <r>
      <t xml:space="preserve">Fixed fee applies, capped to the maximum price of the associated service (to be consistent with Schedule 8 of </t>
    </r>
    <r>
      <rPr>
        <i/>
        <sz val="8"/>
        <rFont val="Arial"/>
        <family val="2"/>
      </rPr>
      <t>Electricity Regulation 2006)</t>
    </r>
  </si>
  <si>
    <t>EO&amp;O - Major - Exit Fee</t>
  </si>
  <si>
    <t>EO&amp;O - Minor - Exit Fee</t>
  </si>
  <si>
    <t>G&amp;EO - Major - Exit Fee</t>
  </si>
  <si>
    <t>G&amp;EO - Minor - Exit Fee</t>
  </si>
  <si>
    <t>A daily charge (per light) that recovers costs related to the maintenance of public lighting assets (including emerging public lighting technology) gifted to Ergon Energy and thereafter maintained and operated by Ergon Energy.  Major public lights only.</t>
  </si>
  <si>
    <t>A daily charge (per light) that recovers costs related to the provision, construction and maintenance of public lighting assets (including emerging public lighting technology) owned and operated by Ergon Energy.  Major public lights only.</t>
  </si>
  <si>
    <t>A daily charge (per light) that recovers costs related to the provision, construction and maintenance of public lighting assets (including emerging public lighting technology) owned and operated by Ergon Energy.  Minor public lights only.</t>
  </si>
  <si>
    <t>A daily charge (per light) that recovers costs related to the maintenance of public lighting assets (including emerging public lighting technology) gifted to Ergon Energy and thereafter maintained and operated by Ergon Energy.  Minor public lights only.</t>
  </si>
  <si>
    <t>Exit fee payable (per light) when a customer requests a public light owned and operated by Ergon Energy to be scrapped before the end of its useful operational life.  Major public lights only.</t>
  </si>
  <si>
    <t>Exit fee payable (per light) when a customer requests a public light owned and operated by Ergon Energy to be scrapped before the end of its useful operational life.  Minor public lights only.</t>
  </si>
  <si>
    <t>Exit fee payable (per light) when a customer requests a public light gifted to and operated by Ergon Energy to be scrapped before the end of its useful operational life.  Major public lights only.</t>
  </si>
  <si>
    <t>Exit fee payable (per light) when a customer requests a public light gifted to and operated by Ergon Energy to be scrapped before the end of its useful operational life.  Minor public lights only.</t>
  </si>
  <si>
    <t>Depends on activity requested</t>
  </si>
  <si>
    <t>Travel time to perform a meter test requested by a retailer, and the service is unable to be completed due to customer/retailer fault.  Customer requested meter accuracy testing of Ergon Energy whole current Type 5 and 6 meter.  Also includes meter tests by Ergon Energy for Ergon Energy meters attached to a CT or VT.
Only available where meter installed and operational.</t>
  </si>
  <si>
    <t>UNMTRSVCU</t>
  </si>
  <si>
    <t>UNMTRSVCS</t>
  </si>
  <si>
    <t>UNMTRSVCL</t>
  </si>
  <si>
    <t>UNMTRSVCI</t>
  </si>
  <si>
    <t>-</t>
  </si>
  <si>
    <t>2017-18 Price List for Alternative Control Services</t>
  </si>
  <si>
    <t>Release 0.0  - 1 July 2017</t>
  </si>
  <si>
    <r>
      <t xml:space="preserve">Fixed fee applies (to be consistent with Schedule 8 of </t>
    </r>
    <r>
      <rPr>
        <i/>
        <sz val="8"/>
        <rFont val="Arial"/>
        <family val="2"/>
      </rPr>
      <t>Electricity Regulation 2006</t>
    </r>
    <r>
      <rPr>
        <sz val="8"/>
        <rFont val="Arial"/>
        <family val="2"/>
      </rPr>
      <t>)</t>
    </r>
  </si>
  <si>
    <t>A supplementary daily charge that recovers the operating cost of Type 5 and 6 meters.  Applies to all types of embedded generating units with Type 5 or 6 meters (with the exception of embedded generating units that do not require the installation of a new meter or require reconfiguration of existing meter).</t>
  </si>
  <si>
    <t>A supplementary daily charge that recovers the capital cost of Type 5 and 6 meters installed before 1 July 2015.  Applies to all types of embedded generating units with Type 5 or 6 meters (with the exception of embedded generating units that do not require the installation of a new meter or require reconfiguration of existing meter).
This daily charge applies to customers with existing connections (before 1 July 2015) and new installations (on or after 1 July 2015).  It does not apply to meter replacements and additional meters required to accommodate additional tariffs other than controlled load.</t>
  </si>
  <si>
    <t xml:space="preserve">                      Ergon Energy Corporation Limited</t>
  </si>
  <si>
    <t>Tariff class</t>
  </si>
  <si>
    <t>Tariff</t>
  </si>
  <si>
    <t xml:space="preserve">                      2017-18 ACS tariffs by tariff class</t>
  </si>
  <si>
    <t>Fee based services (urban/short rural)</t>
  </si>
  <si>
    <t>Fee based services (long rural/isolated)</t>
  </si>
  <si>
    <t>Quoted Services</t>
  </si>
  <si>
    <t>Service undertaken</t>
  </si>
  <si>
    <t>No service undertaken due to customer/retailer fault 
(Call out fee)</t>
  </si>
  <si>
    <t>GENCF*</t>
  </si>
  <si>
    <t>Note:</t>
  </si>
  <si>
    <t>GENCF is a generic call out fee product code, which may be applied to certain Quoted Services.  Call outs may not be applicable for some quoted services.</t>
  </si>
  <si>
    <t>Release 1.1  - 1 July 2017</t>
  </si>
  <si>
    <t>Application fee - Basic or standard connection</t>
  </si>
  <si>
    <t>Services associated with assessing an application requesting a connection to be made (or altered) between Ergon Energy's network and the customer’s installation, and the preparation of a compliant basic or standard connection offer.  
Applies to small customers classified as a Standard Asset Customer (SAC), as per Ergon Energy's pricing proposal.</t>
  </si>
  <si>
    <t>Application fee - Basic or standard connection - Micro-embedded generators</t>
  </si>
  <si>
    <t>Services associated with assessing a micro-embedded generator application requesting a connection to be made (or altered) between Ergon Energy's network and the customer’s installation, and the preparation of a compliant basic or standard connection offer.
Applies to micro-embedded generators only (a subset of Standard Asset Customers, as per Ergon Energy's pricing proposal). No technical assessment required.</t>
  </si>
  <si>
    <t>Application fee - Basic or standard connection - Micro-embedded generators - Technical assessment required</t>
  </si>
  <si>
    <t>Services associated with assessing a micro-embedded generator application requesting a connection to be made (or altered) between Ergon Energy's network and the customer’s installation, and the preparation of a compliant basic or standard connection offer.
Applies to micro-embedded generators only (a subset of Standard Asset Customers, as per Ergon Energy's pricing proposal), where a technical assessment is required to be undertaken by Ergon Energy.</t>
  </si>
  <si>
    <t>Application fee - Real estate development connection</t>
  </si>
  <si>
    <t>Services associated with assessing an application requesting a connection to be made between Ergon Energy's network and a real estate developer's installation, and the preparation of a compliant connection offer. 
Includes works carried out by contractors and/or Ergon Energy.</t>
  </si>
  <si>
    <t>Protection and Power Quality assessment prior to connection</t>
  </si>
  <si>
    <t>Evaluation of application protection design for completeness against engineering connection standard. Study of Power Quality issues including Flicker, Harmonics and DC voltage injection.</t>
  </si>
  <si>
    <t>Temporary connection, not in permanent position - single phase metered - urban/short rural feeders</t>
  </si>
  <si>
    <t>Connection of a single phase supply to a meter location that is not permanent (i.e. short term supply)</t>
  </si>
  <si>
    <t>Call out fee for temporary connection, not in permanent position - single phase metered - urban/short rural feeders</t>
  </si>
  <si>
    <t>Travel time to perform a fee based service requested by a retailer or customer, and the service is unable to be performed due to customer/retailer fault.  Connection of a single phase supply to a meter location that is not permanent (i.e. short term supply)</t>
  </si>
  <si>
    <t>Temporary connection, not in permanent position - single phase metered - long rural/isolated feeders</t>
  </si>
  <si>
    <t>Call out fee for temporary connection, not in permanent position - single phase metered - long rural/isolated feeders</t>
  </si>
  <si>
    <t>Temporary connection, not in permanent position - multi phase metered - urban/short rural feeders</t>
  </si>
  <si>
    <t>Connection of a multi phase supply to a meter location that is not permanent (i.e. short term supply)</t>
  </si>
  <si>
    <t>Call out fee for temporary connection, not in permanent position - multi-phase metered - urban/short rural feeders</t>
  </si>
  <si>
    <t>Travel time to perform a fee based service requested by a retailer or customer, and the service is unable to be performed due to customer/retailer fault.  Connection of a multi-phase supply to a meter location that is not permanent (i.e. short term supply)</t>
  </si>
  <si>
    <t>Temporary connection, not in permanent position - multi phase metered - long rural/isolated feeders</t>
  </si>
  <si>
    <t>Call out fee for temporary connection, not in permanent position - multi-phase metered - long rural/isolated feeders</t>
  </si>
  <si>
    <t>Travel time to perform a fee based service requested by a retailer or customer, and the service is unable to be performed due to customer/retailer fault.   Connection of a multi-phase supply to a meter location that is not permanent (i.e. short term supply)</t>
  </si>
  <si>
    <t>Supply abolishment during business hours - urban/short rural feeders</t>
  </si>
  <si>
    <t>Decommissioning of a NMI and associated metering when present.  May be used where a property is to be demolished; supply is no longer required; an alternative connection point is to be used; or a redundant supply is to be removed</t>
  </si>
  <si>
    <t>Call out fee for supply abolishment during business hours - urban/short rural feeders</t>
  </si>
  <si>
    <t>Travel time to perform a fee based service requested by a retailer or customer, and the service is unable to be performed due to customer/retailer fault.  Decommissioning of a NMI and associated metering when present.  May be used where a property is to be demolished; supply is no longer required; an alternative connection point is to be used; or a redundant supply is to be removed</t>
  </si>
  <si>
    <t>Supply abolishment during business hours - long rural/isolated feeders</t>
  </si>
  <si>
    <t>Call out fee for supply abolishment during business hours - long rural/isolated feeders</t>
  </si>
  <si>
    <t>De-energisation during business hours - urban/short rural feeders</t>
  </si>
  <si>
    <t>Retailer requests de-energisation of the customer's premises during business hours:
- where the de-energisation can be performed (e.g. pole, pillar or meter)
- Main switch sticker</t>
  </si>
  <si>
    <t>Call out fee for de-energisation during business hours - urban/short rural feeders</t>
  </si>
  <si>
    <t>Travel time to perform a fee based service requested by a retailer or customer, and the service is unable to be performed due to customer/retailer fault.  Retailer requests de-energisation of the customer's premises during business hours:
- where the de-energisation can be performed (e.g. pole, pillar or meter)
- Main switch sticker</t>
  </si>
  <si>
    <t>De-energisation during business hours - long rural/isolated feeders</t>
  </si>
  <si>
    <t>Call out fee for de-energisation during business hours - long rural/isolated feeders</t>
  </si>
  <si>
    <t>Re-energisation during business hours - urban/short rural feeders</t>
  </si>
  <si>
    <t>Retailer requests re-energisation of customer's premises during business hours:
- after a physical disconnection and premises requires a visual examination
- following a main switch sticker</t>
  </si>
  <si>
    <t>Call out fee for re-energisation during business hours - urban/short rural feeders</t>
  </si>
  <si>
    <t>Travel time to perform a fee based service requested by a retailer or customer, and the service is unable to be performed due to customer/retailer fault.  Retailer requests re-energisation of customer's premises during business hours:
- after a physical disconnection and premises requires a visual examination
- following a main switch sticker</t>
  </si>
  <si>
    <t>Re-energisation during business hours - long rural/isolated feeders</t>
  </si>
  <si>
    <t>Call out fee for re-energisation during business hours - long rural/isolated feeders</t>
  </si>
  <si>
    <t>Re-energisation during business hours - after de-energisation for debt - urban/short rural feeders</t>
  </si>
  <si>
    <t>Retailer requests re-energisation of customer's premises during business hours where the customer has not paid their electricity account</t>
  </si>
  <si>
    <t>Call out fee for re-energisation during business hours - after de-energisation for debt - urban/short rural feeders</t>
  </si>
  <si>
    <t>Travel time to perform a fee based service requested by a retailer or customer, and the service is unable to be performed due to customer/retailer fault.  Retailer requests re-energisation of customer's premises during business hours where the customer has not paid their electricity account</t>
  </si>
  <si>
    <t>Re-energisation during business hours - after de-energisation for debt - long rural/isolated feeders</t>
  </si>
  <si>
    <t>Call out fee for re-energisation during business hours - after de-energisation for debt - long rural/isolated feeders</t>
  </si>
  <si>
    <t>Accreditation of alternative service providers - real estate developments</t>
  </si>
  <si>
    <t>Accreditation of service providers that meet competency criteria.
Applies to real estate developments.</t>
  </si>
  <si>
    <t xml:space="preserve">Application fee - Negotiated connection </t>
  </si>
  <si>
    <t>Services associated with assessing an application requesting a connection to be made (or altered) between Ergon Energy's network and the customer’s installation, and the costs associated with negotiating and preparing a negotiated connection offer.  
Applies to small customers classified as a Standard Asset Customer (SAC), as per Ergon Energy's pricing proposal, with the exception of micro-embedded generators.</t>
  </si>
  <si>
    <t>Application fee - Negotiated connection - Micro-embedded generators</t>
  </si>
  <si>
    <t>Services associated with assessing a micro-embedded generator application requesting a connection to be made (or altered) between Ergon Energy's network and the customer’s installation, and the costs associated with negotiating and preparing a negotiated connection offer.
Applies to micro-embedded generators only (a subset of SAC, as per Ergon Energy's pricing proposal).</t>
  </si>
  <si>
    <t>Application fee - Negotiated - Major customer connection</t>
  </si>
  <si>
    <t>Services associated with assessing a major customer connection application requesting a connection to be made (or altered) between Ergon Energy's network and the customer’s installation, and the costs associated with negotiating and preparing a compliant negotiated connection offer.
Applies to major customers classified as an Individually Calculated Customer (ICC), Connection Asset Customer (CAC) or Embedded Generator (EG), as per Ergon Energy's pricing proposal.</t>
  </si>
  <si>
    <t>Carrying out planning studies and analysis relating to connection applications</t>
  </si>
  <si>
    <t>Services associated with carrying out additional planning studies and analysis on the distribution system which are reasonably required to assess a small customer or real estate development connection application. Excludes planning studies and analysis that would otherwise be required for distributor purposes or for the efficient management of the shared network.
Applies to small customers classified as a Standard Asset Customer, as per Ergon Energy's pricing proposal (including micro-embedded generators), and real estate developers.</t>
  </si>
  <si>
    <t>Feasibility and concept scoping, including planning and design, for major customer connections</t>
  </si>
  <si>
    <t>Detailed design and advice for major customer connections for the selected (preferred) connection option. This includes shared network planning and design works incurred during the feasibility and concept scoping phases (i.e. before the connection offer has been accepted) (where applicable).</t>
  </si>
  <si>
    <t>Tender process</t>
  </si>
  <si>
    <t>Applies where Ergon Energy conducts a tender process on behalf of a connection applicant to procure connection services that can be provided by a third party, or where the connection applicant conducts a tender process and requires assistance from Ergon Energy</t>
  </si>
  <si>
    <t>Pre-connection site inspection</t>
  </si>
  <si>
    <t>Site inspection in order to determine nature of connection being sought</t>
  </si>
  <si>
    <t>Provision of site-specific connection information and advice</t>
  </si>
  <si>
    <t>Provision of site-specific connection advice, data and/or information on request (during the connection enquiry and/or connection application stage only).  For example:
- advice on project feasibility
- advice on whether augmentation would likely be required
- capacity information, including specific network capacity
- load profiles for load flow studies
- requests to review reports and designs prepared by external consultants, prior to lodgement of connection application
- additional or more detailed specification and design options.
Excludes information provided in planning reports/studies and project scopes.</t>
  </si>
  <si>
    <t>Preparation of preliminary designs and planning reports for major customer connections, including project scopes and estimates</t>
  </si>
  <si>
    <t xml:space="preserve">Initial specification and design outline for major customer connections.  Includes general evaluation and advice on asset ownership options, indicative estimates of viable connection options, and recommendation on the most suitable option.  </t>
  </si>
  <si>
    <t>Customer build, own and operate consultation services</t>
  </si>
  <si>
    <t>Provision of advice, design and specification on request to an applicant considering a build-own-operate asset ownership option for connection assets.</t>
  </si>
  <si>
    <t>Detailed enquiry response fee - embedded generation</t>
  </si>
  <si>
    <t xml:space="preserve">Costs associated with preparing a detailed enquiry response pursuant to Chapter 5 of the NER.
Applies to any embedded generation connection applicant that submits an enquiry under the connection process set out in Chapter 5 of the NER and seeks a detailed enquiry response.
</t>
  </si>
  <si>
    <t>Design and construction of connection assets for major customers</t>
  </si>
  <si>
    <t>Detailed design work and construction of connection assets after a connection offer has been made.
Applies to major customers classified as an Individually Calculated Customer (ICC), Connection Asset Customer (CAC) or Embedded Generator (EG) as per Ergon Energy's pricing proposal.</t>
  </si>
  <si>
    <t>Commissioning and energisation of major customer connections</t>
  </si>
  <si>
    <t>Includes:
- inspection and testing of connection assets prior to physical connection to the network
- physical connection and energisation of electricity equipment to allow conveyance of electricity
- administration services involved in reconciling the financials of a connection project, and processing and finalising network information and contracts in relation to a connection
- generation required (if any) to supply existing customers while equipment is de-energised to allow testing and commissioning
Applies to major customers classified as an Individually Calculated Customer (ICC), Connection Asset Customer (CAC) or Embedded Generator (EG) as per Ergon Energy's pricing proposal.</t>
  </si>
  <si>
    <t>Design and construction for real estate developments</t>
  </si>
  <si>
    <t>Detailed design work and construction for a real estate development connection after a connection offer has been made.
Includes work associated with augmentation to the shared network which is directly attributable to the establishment or alteration of the real estate development connection</t>
  </si>
  <si>
    <t>Commissioning and energisation of real estate development connections</t>
  </si>
  <si>
    <t>Includes:
- inspection and testing prior to physical connection to the network
- physical connection and energisation of electricity equipment to allow conveyance of electricity
- administration services involved in reconciling the financials of a connection project, and processing and finalising network information and contracts in relation to a connection
- generation required (if any) to supply existing customers while equipment is de-energised to allow testing and commissioning</t>
  </si>
  <si>
    <t>Removal of network constraint for embedded generator</t>
  </si>
  <si>
    <t>Augmenting the network to remove a constraint faced by an embedded generator</t>
  </si>
  <si>
    <t>Move point of attachment - single/multi phase</t>
  </si>
  <si>
    <t>De-energisation, followed by physical dismantling then reattachment of service and re-energisation</t>
  </si>
  <si>
    <t>Re-arrange connection assets at customer's request</t>
  </si>
  <si>
    <t>Removal, relocation or rearrangement of connection assets at customer request</t>
  </si>
  <si>
    <t>Protection and Power Quality assessment after connection</t>
  </si>
  <si>
    <t>Investigation into Power Quality issues including Flicker, Harmonics and DC voltage injection.</t>
  </si>
  <si>
    <t>Temporary de-energisation - no dismantling</t>
  </si>
  <si>
    <t>Temporary de-energisation and re-energisation of supply at the service fuse to allow customer or contractor to work close - no dismantling of service required (i.e. no service line drop).</t>
  </si>
  <si>
    <t>LV Service line drop and replace - physical dismantling</t>
  </si>
  <si>
    <t xml:space="preserve">Temporary de-energisation and re-energisation of supply to allow customer or contractor to work close - the service will be physically dismantled or disconnected (e.g. overhead service dropped). </t>
  </si>
  <si>
    <t>HV Service line drop and replace</t>
  </si>
  <si>
    <t>Temporary de-energisation and re-energisation of supply to allow customer or contractor to work close - Isolate and earth</t>
  </si>
  <si>
    <t>Supply enhancement</t>
  </si>
  <si>
    <t>For example, an upgrade from single phase to multi phase and/or increase capacity. Applies to underground and overhead service upgrades.</t>
  </si>
  <si>
    <t>Provision of connection services above minimum requirements</t>
  </si>
  <si>
    <t>Customer requests increase in reliability or quality of supply beyond the standard, and/or above minimum regulatory requirements (e.g. reserve feeder)</t>
  </si>
  <si>
    <t>Upgrade from overhead to underground service</t>
  </si>
  <si>
    <t>Requests to convert an existing overhead service to an underground service</t>
  </si>
  <si>
    <t>Rectification of illegal connections or damage to overhead or underground service cables</t>
  </si>
  <si>
    <t>Repair works to re-establish a safe and legal connection due to customer or third party action</t>
  </si>
  <si>
    <t>De-energisation after business hours</t>
  </si>
  <si>
    <t>Retailer requests de-energisation of the customer's premises after business hours:
- where the de-energisation can be performed (e.g. pole, pillar or meter).
- Main switch sticker</t>
  </si>
  <si>
    <t>Re-energisation after business hours</t>
  </si>
  <si>
    <t>Retailer requests re-energisation of a customer's premises after business hours:
- after a physical disconnection and premises requires a visual examination
- following a main switch sticker
- where the customer has not paid their electricity account</t>
  </si>
  <si>
    <t>Accreditation of alternative service providers - major customer connections</t>
  </si>
  <si>
    <t>Accreditation of service providers that meet competency criteria.
Applies to major customers classified as an Individually Calculated Customer (ICC), Connection Asset Customer (CAC) or Embedded Generator (EG) as per Ergon Energy's pricing proposal.</t>
  </si>
  <si>
    <t>Approval of third party design - major customer connections</t>
  </si>
  <si>
    <t>Review, inspection and auditing of design carried out by an alternative service provider prior to energisation.
Applies to major customers classified as an Individually Calculated Customer (ICC), Connection Asset Customer (CAC) or Embedded Generator (EG) as per Ergon Energy's pricing proposal.</t>
  </si>
  <si>
    <t>Approval of third party design - real estate developments</t>
  </si>
  <si>
    <t>Review, inspection and auditing of design carried out by an alternative service provider prior to energisation.
Applies to real estate developments.</t>
  </si>
  <si>
    <t>Construction audit - major customer connections</t>
  </si>
  <si>
    <t>Review, inspection and auditing of construction works carried out by an alternative service provider prior to energisation.
Applies to major customers classified as an Individually Calculated Customer (ICC), Connection Asset Customer (CAC) or Embedded Generator (EG) as per Ergon Energy's pricing proposal.</t>
  </si>
  <si>
    <t>Construction audit - real estate developments</t>
  </si>
  <si>
    <t>Review, inspection and auditing of construction works carried out by an alternative service provider prior to energisation.
Applies to real estate developments.</t>
  </si>
  <si>
    <t>Approval of third party materials</t>
  </si>
  <si>
    <t>Certification of non-approved materials (i.e. approval of non-approved materials to be used on Ergon Energy's network).</t>
  </si>
  <si>
    <t>Special meter read</t>
  </si>
  <si>
    <t>Off-cycle meter read, during business hours.  Does not include final meter reads which are included in Default Metering Services.</t>
  </si>
  <si>
    <t>Meter test</t>
  </si>
  <si>
    <t>Customer requested meter accuracy testing of Ergon Energy whole current Type 5 and 6 meter. Also includes meter tests by Ergon Energy for Ergon Energy meters attached to a CT or VT. 
Only available where meter installed and operational.</t>
  </si>
  <si>
    <t>Meter inspection and investigation on request</t>
  </si>
  <si>
    <t>A request to conduct a site review of the state of the customer's metering installation without physically testing the metering equipment.</t>
  </si>
  <si>
    <t>Metering alteration</t>
  </si>
  <si>
    <t>Meter is being relocated or meter wiring altered and requires Ergon Energy to visit site to verify the integrity of the metering equipment.</t>
  </si>
  <si>
    <t>Exchange meter</t>
  </si>
  <si>
    <t>Like for like meter exchange on request, unless not allowed by regulation</t>
  </si>
  <si>
    <t>Type 5 to 7 non-standard metering services</t>
  </si>
  <si>
    <t>Provision of Type 5 to 7 metering services above minimum requirements. For example:
- provision, installation and maintenance of meters above minimum requirements (i.e. installation of a non-standard meter above minimum regulatory requirements on request)
- provision of metering data above minimum requirements (such as urgent delivery, summarisation of metering data, historical metering data prior to the previous 2 years etc.)
- provision of time of use metering data (provision of half hourly data on request if available. Collection and processing of probe read data from accumulation read interval capable meters on a one off basis.)
- provision of energy pulsing output for a customer
- interface to building management system</t>
  </si>
  <si>
    <t>Removal of a meter (Type 5 &amp; 6)</t>
  </si>
  <si>
    <t>Removal of a meter on request when an existing Type 5 or 6 meter remains installed at the premises. Includes – remove meter and re-commission installation; no re-wiring required.</t>
  </si>
  <si>
    <t>Meter re-seal</t>
  </si>
  <si>
    <t>Where the customer has caused the meter to need re-sealing (e.g. by having electrical work done on site)</t>
  </si>
  <si>
    <t>Install new or replacement meter - after hours</t>
  </si>
  <si>
    <t>Installation and provision after hours of a Type 5 and 6 or CT meter on or after 1 July 2015.  All feeder types.</t>
  </si>
  <si>
    <t>Change time switch</t>
  </si>
  <si>
    <t>Change to time switch setting</t>
  </si>
  <si>
    <t>Change tariff</t>
  </si>
  <si>
    <t>Request to reprogram meter due to change in tariff (including adding or removing a tariff) and/or time of use setting (except for controlled load timing changes)</t>
  </si>
  <si>
    <t>Reprogram card meters</t>
  </si>
  <si>
    <t>Attend and reprogram card meters to reflect retail tariffs, outside scheduled visit</t>
  </si>
  <si>
    <t>Install metering related load control</t>
  </si>
  <si>
    <t>Installation of customer load control initiated and managed via the meter</t>
  </si>
  <si>
    <t>Removal of load control device</t>
  </si>
  <si>
    <t>Remove load control relay or time clock on request</t>
  </si>
  <si>
    <t>Change load control relay channel</t>
  </si>
  <si>
    <t>Change load control relay channel at retailer, customer or other third party request that is not part of initial load control installation, nor part of standard asset maintenance or replacement.</t>
  </si>
  <si>
    <t>Services provided in relation to a Retailer of Last Resort (ROLR) event</t>
  </si>
  <si>
    <t>Services Ergon Energy provides when a ROLR event occurs</t>
  </si>
  <si>
    <t>Non-standard network data requests</t>
  </si>
  <si>
    <t>Customer requests provision of electricity network data requiring customised investigation, analysis or technical input (e.g. requests for pole assess information and zone substation data)</t>
  </si>
  <si>
    <t>Provision of services for approved unmetered supplies</t>
  </si>
  <si>
    <t>Provision of services, other than standard connection, for approved unmetered equipment, public telephones, traffic lights and public BBQs.
Includes attendance on site to verify a load change, following a customer request to increase or decrease the load of a network connected unmetered supply device.</t>
  </si>
  <si>
    <t>Customer or retailer requested appointments</t>
  </si>
  <si>
    <t>Works initiated by a customer or retailer, which are not covered by another service and are not required for the efficient management of the network, or to satisfy distributor purposes or obligations.  Includes, but is not limited to:
- restoration of supply due to customer action
- re-test at customer's installation (i.e. customer has submitted Form A and the Retailer has issued a Service Order Request, but installation fails test and cannot be connected, requiring a re-test of the installation)
- safety observer
- tree trimming
- switching
- cable bundling
- checking pump size for tariff eligibility.</t>
  </si>
  <si>
    <t>Removal/rearrangement of network assets</t>
  </si>
  <si>
    <t>Removal, relocation or rearrangement of network assets (other than connection assets) at customer request, that would not otherwise have been required for the efficient management of the network.</t>
  </si>
  <si>
    <t>Aerial markers</t>
  </si>
  <si>
    <t>Installation of aerial markers (or Powerlink Hazard Identifiers) on service lines</t>
  </si>
  <si>
    <t>Tiger tails</t>
  </si>
  <si>
    <t>Installation of covers on service lines</t>
  </si>
  <si>
    <t>Assessment for Non-Exporting embedded generator applications</t>
  </si>
  <si>
    <t>Services associated with assessing a generator on a customer's installation which will not be exporting into the distribution system.  Includes costs associated with preparing a Consent Agreement.</t>
  </si>
  <si>
    <t>Witness testing</t>
  </si>
  <si>
    <t>Witnessing of testing carried out at the customer's installation by the connection applicant where reasonably required or requested (e.g. as the result of the introduction of a parallel generator on a customer's installation)</t>
  </si>
  <si>
    <t>Removal/rearrangement of public lighting assets</t>
  </si>
  <si>
    <t>Relocation, rearrangement and removal of existing public light assets and energy efficient retrofit</t>
  </si>
  <si>
    <t>Daily charge, per light</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</si>
</sst>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7" formatCode="&quot;$&quot;#,##0.00;\-&quot;$&quot;#,##0.00"/>
    <numFmt numFmtId="44" formatCode="_-&quot;$&quot;* #,##0.00_-;\-&quot;$&quot;* #,##0.00_-;_-&quot;$&quot;* &quot;-&quot;??_-;_-@_-"/>
    <numFmt numFmtId="43" formatCode="_-* #,##0.00_-;\-* #,##0.00_-;_-* &quot;-&quot;??_-;_-@_-"/>
    <numFmt numFmtId="164" formatCode="&quot;$&quot;#,##0.00000;\-&quot;$&quot;#,##0.00000"/>
    <numFmt numFmtId="165" formatCode="&quot;$&quot;#,##0.0000"/>
    <numFmt numFmtId="166" formatCode="&quot;$&quot;#,##0.00"/>
    <numFmt numFmtId="167" formatCode="_(* #,##0_);_(* \(#,##0\);_(* &quot;-&quot;_);_(@_)"/>
    <numFmt numFmtId="168" formatCode="_(* #,##0.00_);_(* \(#,##0.00\);_(* &quot;-&quot;??_);_(@_)"/>
    <numFmt numFmtId="169" formatCode="_(&quot;$&quot;* #,##0.00_);_(&quot;$&quot;* \(#,##0.00\);_(&quot;$&quot;* &quot;-&quot;??_);_(@_)"/>
    <numFmt numFmtId="170" formatCode="_(* #,##0_);_(* \(#,##0\);_(* &quot;-&quot;?_);_(@_)"/>
    <numFmt numFmtId="171" formatCode="&quot;$&quot;#,##0"/>
    <numFmt numFmtId="172" formatCode="&quot;$&quot;#,##0.0;\-&quot;$&quot;#,##0.0"/>
    <numFmt numFmtId="173" formatCode="0.0%"/>
    <numFmt numFmtId="174" formatCode="#,##0;\(#,##0\);\-"/>
    <numFmt numFmtId="175" formatCode="#,##0_);[Red]\(#,##0\);\-"/>
    <numFmt numFmtId="176" formatCode="&quot;$&quot;#,##0.0;[Red]\-&quot;$&quot;#,##0.0"/>
    <numFmt numFmtId="177" formatCode="_(&quot;$&quot;* #,##0_);_(&quot;$&quot;* \(#,##0\);_(&quot;$&quot;* &quot;-&quot;_);_(@_)"/>
    <numFmt numFmtId="178" formatCode="&quot;$&quot;#,##0_);[Red]\(&quot;$&quot;#,##0\)"/>
    <numFmt numFmtId="179" formatCode="#,##0;\(#,##0\)"/>
    <numFmt numFmtId="180" formatCode="#,##0_ ;\(#,##0\);\-\ "/>
  </numFmts>
  <fonts count="79" x14ac:knownFonts="1">
    <font>
      <sz val="10"/>
      <name val="Arial"/>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sz val="8"/>
      <name val="Arial"/>
      <family val="2"/>
    </font>
    <font>
      <b/>
      <sz val="10"/>
      <name val="Arial"/>
      <family val="2"/>
    </font>
    <font>
      <b/>
      <sz val="8"/>
      <name val="Arial"/>
      <family val="2"/>
    </font>
    <font>
      <sz val="8"/>
      <color indexed="8"/>
      <name val="Arial"/>
      <family val="2"/>
    </font>
    <font>
      <b/>
      <sz val="9"/>
      <name val="Arial"/>
      <family val="2"/>
    </font>
    <font>
      <sz val="9"/>
      <name val="Arial"/>
      <family val="2"/>
    </font>
    <font>
      <b/>
      <sz val="14"/>
      <color indexed="10"/>
      <name val="Arial"/>
      <family val="2"/>
    </font>
    <font>
      <b/>
      <sz val="16"/>
      <name val="Arial"/>
      <family val="2"/>
    </font>
    <font>
      <b/>
      <sz val="11"/>
      <color indexed="10"/>
      <name val="Arial"/>
      <family val="2"/>
    </font>
    <font>
      <b/>
      <i/>
      <sz val="11"/>
      <color theme="0"/>
      <name val="Arial"/>
      <family val="2"/>
    </font>
    <font>
      <b/>
      <sz val="10"/>
      <color theme="0"/>
      <name val="Arial"/>
      <family val="2"/>
    </font>
    <font>
      <sz val="8"/>
      <color theme="1"/>
      <name val="Arial"/>
      <family val="2"/>
    </font>
    <font>
      <sz val="8"/>
      <color theme="0"/>
      <name val="Arial"/>
      <family val="2"/>
    </font>
    <font>
      <b/>
      <sz val="8"/>
      <color theme="0"/>
      <name val="Arial"/>
      <family val="2"/>
    </font>
    <font>
      <sz val="10"/>
      <color theme="0"/>
      <name val="Arial"/>
      <family val="2"/>
    </font>
    <font>
      <i/>
      <sz val="8"/>
      <name val="Arial"/>
      <family val="2"/>
    </font>
    <font>
      <sz val="9"/>
      <color theme="1"/>
      <name val="Arial"/>
      <family val="2"/>
    </font>
    <font>
      <b/>
      <sz val="8"/>
      <color rgb="FFFF0000"/>
      <name val="Arial"/>
      <family val="2"/>
    </font>
    <font>
      <sz val="10"/>
      <color theme="1"/>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5"/>
      <color indexed="62"/>
      <name val="Calibri"/>
      <family val="2"/>
    </font>
    <font>
      <b/>
      <sz val="13"/>
      <color indexed="56"/>
      <name val="Calibri"/>
      <family val="2"/>
    </font>
    <font>
      <b/>
      <sz val="13"/>
      <color indexed="62"/>
      <name val="Calibri"/>
      <family val="2"/>
    </font>
    <font>
      <b/>
      <sz val="11"/>
      <color indexed="56"/>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1"/>
      <color indexed="8"/>
      <name val="Arial"/>
      <family val="2"/>
    </font>
    <font>
      <b/>
      <sz val="16"/>
      <color indexed="9"/>
      <name val="Arial"/>
      <family val="2"/>
    </font>
    <font>
      <b/>
      <sz val="12"/>
      <color theme="0"/>
      <name val="Calibri"/>
      <family val="2"/>
      <scheme val="minor"/>
    </font>
    <font>
      <b/>
      <sz val="18"/>
      <color indexed="56"/>
      <name val="Cambria"/>
      <family val="2"/>
    </font>
    <font>
      <b/>
      <sz val="18"/>
      <color indexed="62"/>
      <name val="Cambria"/>
      <family val="2"/>
    </font>
    <font>
      <b/>
      <sz val="11"/>
      <color indexed="8"/>
      <name val="Calibri"/>
      <family val="2"/>
    </font>
    <font>
      <sz val="11"/>
      <color indexed="10"/>
      <name val="Calibri"/>
      <family val="2"/>
    </font>
    <font>
      <i/>
      <sz val="10"/>
      <color rgb="FFFF0000"/>
      <name val="Arial"/>
      <family val="2"/>
    </font>
    <font>
      <b/>
      <sz val="11"/>
      <color theme="1"/>
      <name val="Arial"/>
      <family val="2"/>
    </font>
    <font>
      <b/>
      <sz val="14"/>
      <name val="Arial"/>
      <family val="2"/>
    </font>
    <font>
      <sz val="10"/>
      <color rgb="FFFF0000"/>
      <name val="Arial"/>
      <family val="2"/>
    </font>
    <font>
      <b/>
      <sz val="13"/>
      <name val="Arial"/>
      <family val="2"/>
    </font>
    <font>
      <b/>
      <sz val="9"/>
      <color rgb="FFFFFFFF"/>
      <name val="Arial"/>
      <family val="2"/>
    </font>
    <font>
      <sz val="9"/>
      <color rgb="FFFFFFFF"/>
      <name val="Arial"/>
      <family val="2"/>
    </font>
    <font>
      <sz val="9"/>
      <color rgb="FF000000"/>
      <name val="Arial"/>
      <family val="2"/>
    </font>
    <font>
      <sz val="11"/>
      <name val="Calibri"/>
      <family val="2"/>
      <scheme val="minor"/>
    </font>
    <font>
      <sz val="11"/>
      <name val="Calibri"/>
      <family val="2"/>
    </font>
    <font>
      <sz val="11"/>
      <color theme="1"/>
      <name val="Calibri"/>
      <family val="2"/>
    </font>
    <font>
      <i/>
      <sz val="11"/>
      <color theme="1"/>
      <name val="Calibri"/>
      <family val="2"/>
    </font>
    <font>
      <i/>
      <sz val="11"/>
      <color theme="9" tint="-0.249977111117893"/>
      <name val="Calibri"/>
      <family val="2"/>
      <scheme val="minor"/>
    </font>
    <font>
      <sz val="8"/>
      <color theme="0" tint="-0.1498764000366222"/>
      <name val="Arial"/>
      <family val="2"/>
    </font>
    <font>
      <b/>
      <sz val="14"/>
      <name val="Calibri"/>
      <family val="2"/>
    </font>
    <font>
      <b/>
      <sz val="12"/>
      <name val="Calibri"/>
      <family val="2"/>
    </font>
    <font>
      <b/>
      <i/>
      <sz val="11"/>
      <name val="Calibri"/>
      <family val="2"/>
    </font>
    <font>
      <sz val="8"/>
      <color theme="4" tint="-0.24994659260841701"/>
      <name val="Arial"/>
      <family val="2"/>
    </font>
    <font>
      <sz val="8"/>
      <color theme="9" tint="-0.24994659260841701"/>
      <name val="Arial"/>
      <family val="2"/>
    </font>
    <font>
      <i/>
      <sz val="8"/>
      <color indexed="10"/>
      <name val="Arial"/>
      <family val="2"/>
    </font>
    <font>
      <sz val="8"/>
      <color indexed="24"/>
      <name val="Arial"/>
      <family val="2"/>
    </font>
    <font>
      <b/>
      <sz val="15"/>
      <color theme="1" tint="0.34998626667073579"/>
      <name val="Calibri"/>
      <family val="2"/>
      <scheme val="minor"/>
    </font>
    <font>
      <b/>
      <sz val="16"/>
      <color rgb="FF00338D"/>
      <name val="Arial"/>
      <family val="2"/>
    </font>
    <font>
      <b/>
      <sz val="18"/>
      <color theme="1" tint="0.34998626667073579"/>
      <name val="Calibri"/>
      <family val="2"/>
      <scheme val="minor"/>
    </font>
    <font>
      <b/>
      <sz val="12"/>
      <color indexed="9"/>
      <name val="Arial"/>
      <family val="2"/>
    </font>
    <font>
      <i/>
      <sz val="11"/>
      <color theme="0" tint="-0.499984740745262"/>
      <name val="Calibri"/>
      <family val="2"/>
      <scheme val="minor"/>
    </font>
    <font>
      <sz val="10"/>
      <color theme="0" tint="-0.249977111117893"/>
      <name val="Arial"/>
      <family val="2"/>
    </font>
    <font>
      <sz val="8"/>
      <color theme="0" tint="-0.249977111117893"/>
      <name val="Arial"/>
      <family val="2"/>
    </font>
    <font>
      <sz val="9"/>
      <color theme="0" tint="-0.249977111117893"/>
      <name val="Arial"/>
      <family val="2"/>
    </font>
    <font>
      <b/>
      <u/>
      <sz val="10"/>
      <name val="Arial"/>
      <family val="2"/>
    </font>
  </fonts>
  <fills count="52">
    <fill>
      <patternFill patternType="none"/>
    </fill>
    <fill>
      <patternFill patternType="gray125"/>
    </fill>
    <fill>
      <patternFill patternType="solid">
        <fgColor theme="0"/>
        <bgColor indexed="64"/>
      </patternFill>
    </fill>
    <fill>
      <patternFill patternType="solid">
        <fgColor rgb="FF2C5697"/>
        <bgColor indexed="64"/>
      </patternFill>
    </fill>
    <fill>
      <patternFill patternType="solid">
        <fgColor rgb="FFA3DBE8"/>
        <bgColor indexed="64"/>
      </patternFill>
    </fill>
    <fill>
      <patternFill patternType="solid">
        <fgColor theme="0" tint="-0.14999847407452621"/>
        <bgColor indexed="64"/>
      </patternFill>
    </fill>
    <fill>
      <patternFill patternType="solid">
        <fgColor rgb="FFC2DEEA"/>
        <bgColor indexed="64"/>
      </patternFill>
    </fill>
    <fill>
      <patternFill patternType="solid">
        <fgColor rgb="FF5BC6E8"/>
        <bgColor indexed="64"/>
      </patternFill>
    </fill>
    <fill>
      <patternFill patternType="solid">
        <fgColor theme="0" tint="-0.249977111117893"/>
        <bgColor indexed="64"/>
      </patternFill>
    </fill>
    <fill>
      <patternFill patternType="solid">
        <fgColor theme="4" tint="0.59999389629810485"/>
        <bgColor indexed="65"/>
      </patternFill>
    </fill>
    <fill>
      <patternFill patternType="solid">
        <fgColor theme="0" tint="-0.499984740745262"/>
        <bgColor indexed="64"/>
      </patternFill>
    </fill>
    <fill>
      <patternFill patternType="solid">
        <fgColor indexed="31"/>
      </patternFill>
    </fill>
    <fill>
      <patternFill patternType="solid">
        <fgColor indexed="38"/>
      </patternFill>
    </fill>
    <fill>
      <patternFill patternType="solid">
        <fgColor indexed="45"/>
      </patternFill>
    </fill>
    <fill>
      <patternFill patternType="solid">
        <fgColor indexed="47"/>
      </patternFill>
    </fill>
    <fill>
      <patternFill patternType="solid">
        <fgColor indexed="42"/>
      </patternFill>
    </fill>
    <fill>
      <patternFill patternType="solid">
        <fgColor indexed="26"/>
      </patternFill>
    </fill>
    <fill>
      <patternFill patternType="solid">
        <fgColor indexed="46"/>
      </patternFill>
    </fill>
    <fill>
      <patternFill patternType="solid">
        <fgColor indexed="9"/>
      </patternFill>
    </fill>
    <fill>
      <patternFill patternType="solid">
        <fgColor indexed="27"/>
      </patternFill>
    </fill>
    <fill>
      <patternFill patternType="solid">
        <fgColor indexed="44"/>
      </patternFill>
    </fill>
    <fill>
      <patternFill patternType="solid">
        <fgColor indexed="29"/>
      </patternFill>
    </fill>
    <fill>
      <patternFill patternType="solid">
        <fgColor indexed="11"/>
      </patternFill>
    </fill>
    <fill>
      <patternFill patternType="solid">
        <fgColor indexed="43"/>
      </patternFill>
    </fill>
    <fill>
      <patternFill patternType="solid">
        <fgColor indexed="22"/>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22"/>
        <bgColor indexed="64"/>
      </patternFill>
    </fill>
    <fill>
      <patternFill patternType="solid">
        <fgColor indexed="55"/>
      </patternFill>
    </fill>
    <fill>
      <patternFill patternType="solid">
        <fgColor indexed="41"/>
        <bgColor indexed="64"/>
      </patternFill>
    </fill>
    <fill>
      <patternFill patternType="solid">
        <fgColor indexed="27"/>
        <bgColor indexed="64"/>
      </patternFill>
    </fill>
    <fill>
      <patternFill patternType="solid">
        <fgColor indexed="44"/>
        <bgColor indexed="64"/>
      </patternFill>
    </fill>
    <fill>
      <patternFill patternType="solid">
        <fgColor indexed="42"/>
        <bgColor indexed="64"/>
      </patternFill>
    </fill>
    <fill>
      <patternFill patternType="solid">
        <fgColor indexed="26"/>
        <bgColor indexed="64"/>
      </patternFill>
    </fill>
    <fill>
      <patternFill patternType="solid">
        <fgColor theme="4" tint="-0.499984740745262"/>
        <bgColor indexed="64"/>
      </patternFill>
    </fill>
    <fill>
      <patternFill patternType="solid">
        <fgColor theme="1"/>
        <bgColor indexed="64"/>
      </patternFill>
    </fill>
    <fill>
      <patternFill patternType="solid">
        <fgColor theme="7" tint="0.59999389629810485"/>
        <bgColor indexed="64"/>
      </patternFill>
    </fill>
    <fill>
      <patternFill patternType="solid">
        <fgColor rgb="FFDDEEFF"/>
        <bgColor indexed="64"/>
      </patternFill>
    </fill>
    <fill>
      <patternFill patternType="solid">
        <fgColor theme="4" tint="0.59996337778862885"/>
        <bgColor indexed="64"/>
      </patternFill>
    </fill>
    <fill>
      <patternFill patternType="solid">
        <fgColor rgb="FFE0E0E0"/>
        <bgColor indexed="64"/>
      </patternFill>
    </fill>
    <fill>
      <patternFill patternType="solid">
        <fgColor theme="0" tint="-0.34998626667073579"/>
        <bgColor indexed="64"/>
      </patternFill>
    </fill>
    <fill>
      <patternFill patternType="solid">
        <fgColor rgb="FFFFFF99"/>
        <bgColor auto="1"/>
      </patternFill>
    </fill>
    <fill>
      <patternFill patternType="solid">
        <fgColor theme="0" tint="-0.24994659260841701"/>
        <bgColor indexed="64"/>
      </patternFill>
    </fill>
    <fill>
      <patternFill patternType="solid">
        <fgColor rgb="FF00338D"/>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rgb="FF2C5697"/>
      </left>
      <right/>
      <top style="thin">
        <color rgb="FF2C5697"/>
      </top>
      <bottom style="thin">
        <color rgb="FF2C569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49"/>
      </bottom>
      <diagonal/>
    </border>
    <border>
      <left/>
      <right/>
      <top/>
      <bottom style="thick">
        <color indexed="22"/>
      </bottom>
      <diagonal/>
    </border>
    <border>
      <left/>
      <right/>
      <top/>
      <bottom style="thick">
        <color indexed="38"/>
      </bottom>
      <diagonal/>
    </border>
    <border>
      <left/>
      <right/>
      <top/>
      <bottom style="medium">
        <color indexed="30"/>
      </bottom>
      <diagonal/>
    </border>
    <border>
      <left/>
      <right/>
      <top/>
      <bottom style="medium">
        <color indexed="3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diagonal/>
    </border>
    <border>
      <left/>
      <right/>
      <top style="thin">
        <color rgb="FF2C5697"/>
      </top>
      <bottom/>
      <diagonal/>
    </border>
    <border>
      <left/>
      <right/>
      <top style="thin">
        <color theme="0" tint="-0.14996795556505021"/>
      </top>
      <bottom style="thin">
        <color theme="0" tint="-0.14996795556505021"/>
      </bottom>
      <diagonal/>
    </border>
    <border>
      <left/>
      <right/>
      <top style="thin">
        <color theme="0" tint="-0.14996795556505021"/>
      </top>
      <bottom style="thin">
        <color rgb="FF2C5697"/>
      </bottom>
      <diagonal/>
    </border>
    <border>
      <left/>
      <right/>
      <top style="thin">
        <color rgb="FF2C5697"/>
      </top>
      <bottom style="thin">
        <color theme="0" tint="-0.14996795556505021"/>
      </bottom>
      <diagonal/>
    </border>
    <border>
      <left/>
      <right/>
      <top style="thin">
        <color theme="0" tint="-0.14996795556505021"/>
      </top>
      <bottom style="thin">
        <color theme="0" tint="-0.14993743705557422"/>
      </bottom>
      <diagonal/>
    </border>
    <border>
      <left/>
      <right/>
      <top/>
      <bottom style="thin">
        <color theme="0" tint="-0.14996795556505021"/>
      </bottom>
      <diagonal/>
    </border>
    <border>
      <left/>
      <right/>
      <top/>
      <bottom style="thin">
        <color rgb="FF2C5697"/>
      </bottom>
      <diagonal/>
    </border>
    <border>
      <left style="hair">
        <color rgb="FFFF0000"/>
      </left>
      <right style="hair">
        <color rgb="FFFF0000"/>
      </right>
      <top style="hair">
        <color rgb="FFFF0000"/>
      </top>
      <bottom style="hair">
        <color rgb="FFFF0000"/>
      </bottom>
      <diagonal/>
    </border>
    <border>
      <left style="dotted">
        <color theme="4" tint="-0.24994659260841701"/>
      </left>
      <right style="dotted">
        <color theme="4" tint="-0.24994659260841701"/>
      </right>
      <top style="dotted">
        <color theme="4" tint="-0.24994659260841701"/>
      </top>
      <bottom style="dotted">
        <color theme="4" tint="-0.24994659260841701"/>
      </bottom>
      <diagonal/>
    </border>
    <border>
      <left style="thin">
        <color theme="0"/>
      </left>
      <right style="thin">
        <color theme="0"/>
      </right>
      <top style="thin">
        <color theme="0"/>
      </top>
      <bottom style="thin">
        <color theme="0"/>
      </bottom>
      <diagonal/>
    </border>
    <border>
      <left style="dotted">
        <color theme="9" tint="-0.24994659260841701"/>
      </left>
      <right style="dotted">
        <color theme="9" tint="-0.24994659260841701"/>
      </right>
      <top style="dotted">
        <color theme="9" tint="-0.24994659260841701"/>
      </top>
      <bottom style="dotted">
        <color theme="9" tint="-0.24994659260841701"/>
      </bottom>
      <diagonal/>
    </border>
    <border>
      <left style="dotted">
        <color indexed="23"/>
      </left>
      <right style="dotted">
        <color indexed="23"/>
      </right>
      <top style="dotted">
        <color indexed="23"/>
      </top>
      <bottom style="dotted">
        <color indexed="23"/>
      </bottom>
      <diagonal/>
    </border>
    <border>
      <left/>
      <right/>
      <top/>
      <bottom style="medium">
        <color theme="1" tint="0.34998626667073579"/>
      </bottom>
      <diagonal/>
    </border>
    <border>
      <left/>
      <right/>
      <top style="medium">
        <color indexed="63"/>
      </top>
      <bottom style="thin">
        <color indexed="63"/>
      </bottom>
      <diagonal/>
    </border>
    <border>
      <left/>
      <right/>
      <top style="medium">
        <color indexed="63"/>
      </top>
      <bottom style="double">
        <color indexed="63"/>
      </bottom>
      <diagonal/>
    </border>
    <border>
      <left style="thin">
        <color theme="0"/>
      </left>
      <right style="thin">
        <color theme="0"/>
      </right>
      <top style="thin">
        <color indexed="64"/>
      </top>
      <bottom style="thin">
        <color theme="0"/>
      </bottom>
      <diagonal/>
    </border>
    <border>
      <left style="thin">
        <color theme="0"/>
      </left>
      <right style="thin">
        <color theme="0"/>
      </right>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theme="0" tint="-0.14996795556505021"/>
      </top>
      <bottom/>
      <diagonal/>
    </border>
    <border>
      <left style="thin">
        <color theme="0"/>
      </left>
      <right/>
      <top/>
      <bottom/>
      <diagonal/>
    </border>
    <border>
      <left/>
      <right style="thin">
        <color indexed="64"/>
      </right>
      <top/>
      <bottom/>
      <diagonal/>
    </border>
    <border>
      <left/>
      <right style="thin">
        <color theme="0"/>
      </right>
      <top/>
      <bottom style="thin">
        <color indexed="64"/>
      </bottom>
      <diagonal/>
    </border>
    <border>
      <left/>
      <right style="thin">
        <color theme="0"/>
      </right>
      <top style="thin">
        <color indexed="64"/>
      </top>
      <bottom style="thin">
        <color theme="0"/>
      </bottom>
      <diagonal/>
    </border>
  </borders>
  <cellStyleXfs count="284">
    <xf numFmtId="0" fontId="0" fillId="0" borderId="0"/>
    <xf numFmtId="44" fontId="3" fillId="0" borderId="0" applyFont="0" applyFill="0" applyBorder="0" applyAlignment="0" applyProtection="0"/>
    <xf numFmtId="0" fontId="24" fillId="0" borderId="0"/>
    <xf numFmtId="0" fontId="3" fillId="0" borderId="0"/>
    <xf numFmtId="0" fontId="25" fillId="11"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12"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20" borderId="0" applyNumberFormat="0" applyBorder="0" applyAlignment="0" applyProtection="0"/>
    <xf numFmtId="0" fontId="25" fillId="12"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5" fillId="21" borderId="0" applyNumberFormat="0" applyBorder="0" applyAlignment="0" applyProtection="0"/>
    <xf numFmtId="0" fontId="25" fillId="14"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17" borderId="0" applyNumberFormat="0" applyBorder="0" applyAlignment="0" applyProtection="0"/>
    <xf numFmtId="0" fontId="25" fillId="24" borderId="0" applyNumberFormat="0" applyBorder="0" applyAlignment="0" applyProtection="0"/>
    <xf numFmtId="0" fontId="25" fillId="20" borderId="0" applyNumberFormat="0" applyBorder="0" applyAlignment="0" applyProtection="0"/>
    <xf numFmtId="0" fontId="25" fillId="12" borderId="0" applyNumberFormat="0" applyBorder="0" applyAlignment="0" applyProtection="0"/>
    <xf numFmtId="0" fontId="25" fillId="25" borderId="0" applyNumberFormat="0" applyBorder="0" applyAlignment="0" applyProtection="0"/>
    <xf numFmtId="0" fontId="25" fillId="14" borderId="0" applyNumberFormat="0" applyBorder="0" applyAlignment="0" applyProtection="0"/>
    <xf numFmtId="0" fontId="26" fillId="26" borderId="0" applyNumberFormat="0" applyBorder="0" applyAlignment="0" applyProtection="0"/>
    <xf numFmtId="0" fontId="26" fillId="12" borderId="0" applyNumberFormat="0" applyBorder="0" applyAlignment="0" applyProtection="0"/>
    <xf numFmtId="0" fontId="26" fillId="21" borderId="0" applyNumberFormat="0" applyBorder="0" applyAlignment="0" applyProtection="0"/>
    <xf numFmtId="0" fontId="26" fillId="14"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26" fillId="27" borderId="0" applyNumberFormat="0" applyBorder="0" applyAlignment="0" applyProtection="0"/>
    <xf numFmtId="0" fontId="26" fillId="24" borderId="0" applyNumberFormat="0" applyBorder="0" applyAlignment="0" applyProtection="0"/>
    <xf numFmtId="0" fontId="26" fillId="28" borderId="0" applyNumberFormat="0" applyBorder="0" applyAlignment="0" applyProtection="0"/>
    <xf numFmtId="0" fontId="26" fillId="12" borderId="0" applyNumberFormat="0" applyBorder="0" applyAlignment="0" applyProtection="0"/>
    <xf numFmtId="0" fontId="26" fillId="29" borderId="0" applyNumberFormat="0" applyBorder="0" applyAlignment="0" applyProtection="0"/>
    <xf numFmtId="0" fontId="26" fillId="14" borderId="0" applyNumberFormat="0" applyBorder="0" applyAlignment="0" applyProtection="0"/>
    <xf numFmtId="0" fontId="26" fillId="30" borderId="0" applyNumberFormat="0" applyBorder="0" applyAlignment="0" applyProtection="0"/>
    <xf numFmtId="0" fontId="26" fillId="28" borderId="0" applyNumberFormat="0" applyBorder="0" applyAlignment="0" applyProtection="0"/>
    <xf numFmtId="0" fontId="26" fillId="31"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27" borderId="0" applyNumberFormat="0" applyBorder="0" applyAlignment="0" applyProtection="0"/>
    <xf numFmtId="0" fontId="26" fillId="33"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167" fontId="3" fillId="35" borderId="0" applyNumberFormat="0" applyFont="0" applyBorder="0" applyAlignment="0">
      <alignment horizontal="right"/>
    </xf>
    <xf numFmtId="167" fontId="3" fillId="35" borderId="0" applyNumberFormat="0" applyFont="0" applyBorder="0" applyAlignment="0">
      <alignment horizontal="right"/>
    </xf>
    <xf numFmtId="0" fontId="22" fillId="0" borderId="9" applyNumberFormat="0">
      <alignment horizontal="left" vertical="center" wrapText="1"/>
    </xf>
    <xf numFmtId="0" fontId="28" fillId="24" borderId="10" applyNumberFormat="0" applyAlignment="0" applyProtection="0"/>
    <xf numFmtId="0" fontId="28" fillId="18" borderId="10" applyNumberFormat="0" applyAlignment="0" applyProtection="0"/>
    <xf numFmtId="0" fontId="29" fillId="36" borderId="11" applyNumberFormat="0" applyAlignment="0" applyProtection="0"/>
    <xf numFmtId="0" fontId="29" fillId="36" borderId="11" applyNumberFormat="0" applyAlignment="0" applyProtection="0"/>
    <xf numFmtId="168" fontId="2" fillId="0" borderId="0" applyFont="0" applyFill="0" applyBorder="0" applyAlignment="0" applyProtection="0"/>
    <xf numFmtId="168" fontId="3" fillId="0" borderId="0" applyFont="0" applyFill="0" applyBorder="0" applyAlignment="0" applyProtection="0"/>
    <xf numFmtId="168" fontId="2" fillId="0" borderId="0" applyFont="0" applyFill="0" applyBorder="0" applyAlignment="0" applyProtection="0"/>
    <xf numFmtId="43" fontId="2" fillId="0" borderId="0" applyFont="0" applyFill="0" applyBorder="0" applyAlignment="0" applyProtection="0"/>
    <xf numFmtId="168" fontId="25" fillId="0" borderId="0" applyFont="0" applyFill="0" applyBorder="0" applyAlignment="0" applyProtection="0"/>
    <xf numFmtId="168" fontId="3"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44" fontId="2" fillId="0" borderId="0" applyFont="0" applyFill="0" applyBorder="0" applyAlignment="0" applyProtection="0"/>
    <xf numFmtId="44" fontId="3" fillId="0" borderId="0" applyFont="0" applyFill="0" applyBorder="0" applyAlignment="0" applyProtection="0"/>
    <xf numFmtId="169" fontId="25" fillId="0" borderId="0" applyFont="0" applyFill="0" applyBorder="0" applyAlignment="0" applyProtection="0"/>
    <xf numFmtId="169" fontId="2" fillId="0" borderId="0" applyFont="0" applyFill="0" applyBorder="0" applyAlignment="0" applyProtection="0"/>
    <xf numFmtId="169" fontId="3"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2" fillId="0" borderId="12" applyNumberFormat="0" applyFill="0" applyAlignment="0" applyProtection="0"/>
    <xf numFmtId="0" fontId="33" fillId="0" borderId="13" applyNumberFormat="0" applyFill="0" applyAlignment="0" applyProtection="0"/>
    <xf numFmtId="0" fontId="34" fillId="0" borderId="14" applyNumberFormat="0" applyFill="0" applyAlignment="0" applyProtection="0"/>
    <xf numFmtId="0" fontId="35" fillId="0" borderId="15" applyNumberFormat="0" applyFill="0" applyAlignment="0" applyProtection="0"/>
    <xf numFmtId="0" fontId="36" fillId="0" borderId="16" applyNumberFormat="0" applyFill="0" applyAlignment="0" applyProtection="0"/>
    <xf numFmtId="0" fontId="37" fillId="0" borderId="17" applyNumberFormat="0" applyFill="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8" fillId="14" borderId="10" applyNumberFormat="0" applyAlignment="0" applyProtection="0"/>
    <xf numFmtId="0" fontId="38" fillId="14" borderId="10" applyNumberFormat="0" applyAlignment="0" applyProtection="0"/>
    <xf numFmtId="3" fontId="3" fillId="37" borderId="0" applyNumberFormat="0" applyFont="0" applyBorder="0" applyAlignment="0">
      <alignment horizontal="right"/>
      <protection locked="0"/>
    </xf>
    <xf numFmtId="167" fontId="3" fillId="38" borderId="0" applyFont="0" applyBorder="0" applyAlignment="0">
      <alignment horizontal="right"/>
      <protection locked="0"/>
    </xf>
    <xf numFmtId="167" fontId="3" fillId="38" borderId="0" applyFont="0" applyBorder="0" applyAlignment="0">
      <alignment horizontal="right"/>
      <protection locked="0"/>
    </xf>
    <xf numFmtId="167" fontId="3" fillId="38" borderId="0" applyFont="0" applyBorder="0" applyAlignment="0">
      <alignment horizontal="right"/>
      <protection locked="0"/>
    </xf>
    <xf numFmtId="167" fontId="3" fillId="39" borderId="0" applyFont="0" applyBorder="0" applyAlignment="0">
      <alignment horizontal="right"/>
      <protection locked="0"/>
    </xf>
    <xf numFmtId="170" fontId="3" fillId="40" borderId="0" applyFont="0" applyBorder="0">
      <alignment horizontal="right"/>
      <protection locked="0"/>
    </xf>
    <xf numFmtId="167" fontId="3" fillId="41" borderId="0" applyFont="0" applyBorder="0">
      <alignment horizontal="right"/>
      <protection locked="0"/>
    </xf>
    <xf numFmtId="0" fontId="39" fillId="0" borderId="18" applyNumberFormat="0" applyFill="0" applyAlignment="0" applyProtection="0"/>
    <xf numFmtId="0" fontId="39" fillId="0" borderId="18" applyNumberFormat="0" applyFill="0" applyAlignment="0" applyProtection="0"/>
    <xf numFmtId="0" fontId="40" fillId="23" borderId="0" applyNumberFormat="0" applyBorder="0" applyAlignment="0" applyProtection="0"/>
    <xf numFmtId="0" fontId="40" fillId="23" borderId="0" applyNumberFormat="0" applyBorder="0" applyAlignment="0" applyProtection="0"/>
    <xf numFmtId="0" fontId="3" fillId="0" borderId="0"/>
    <xf numFmtId="0" fontId="3" fillId="0" borderId="0" applyFill="0"/>
    <xf numFmtId="0" fontId="3" fillId="0" borderId="0"/>
    <xf numFmtId="0" fontId="3" fillId="0" borderId="0"/>
    <xf numFmtId="0" fontId="2" fillId="0" borderId="0"/>
    <xf numFmtId="0" fontId="3" fillId="0" borderId="0"/>
    <xf numFmtId="0" fontId="3" fillId="0" borderId="0"/>
    <xf numFmtId="0" fontId="2" fillId="0" borderId="0"/>
    <xf numFmtId="0" fontId="3" fillId="0" borderId="0"/>
    <xf numFmtId="0" fontId="3" fillId="0" borderId="0"/>
    <xf numFmtId="0" fontId="3"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16" borderId="19" applyNumberFormat="0" applyFont="0" applyAlignment="0" applyProtection="0"/>
    <xf numFmtId="0" fontId="3" fillId="16" borderId="19" applyNumberFormat="0" applyFont="0" applyAlignment="0" applyProtection="0"/>
    <xf numFmtId="0" fontId="41" fillId="24" borderId="20" applyNumberFormat="0" applyAlignment="0" applyProtection="0"/>
    <xf numFmtId="0" fontId="41" fillId="18" borderId="20" applyNumberFormat="0" applyAlignment="0" applyProtection="0"/>
    <xf numFmtId="0" fontId="3" fillId="0" borderId="0" applyBorder="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42" fillId="0" borderId="0" applyFont="0" applyFill="0" applyBorder="0" applyAlignment="0" applyProtection="0"/>
    <xf numFmtId="9" fontId="25" fillId="0" borderId="0" applyFont="0" applyFill="0" applyBorder="0" applyAlignment="0" applyProtection="0"/>
    <xf numFmtId="9" fontId="3" fillId="0" borderId="0" applyFont="0" applyFill="0" applyBorder="0" applyAlignment="0" applyProtection="0"/>
    <xf numFmtId="0" fontId="43" fillId="42" borderId="0"/>
    <xf numFmtId="0" fontId="3" fillId="0" borderId="0"/>
    <xf numFmtId="0" fontId="3" fillId="0" borderId="0"/>
    <xf numFmtId="0" fontId="3" fillId="0" borderId="0"/>
    <xf numFmtId="0" fontId="3" fillId="0" borderId="0"/>
    <xf numFmtId="0" fontId="43" fillId="10" borderId="0">
      <alignment horizontal="left" vertical="center"/>
      <protection locked="0"/>
    </xf>
    <xf numFmtId="0" fontId="44" fillId="43" borderId="0">
      <alignment vertical="center"/>
      <protection locked="0"/>
    </xf>
    <xf numFmtId="0" fontId="45" fillId="0" borderId="0" applyNumberFormat="0" applyFill="0" applyBorder="0" applyAlignment="0" applyProtection="0"/>
    <xf numFmtId="0" fontId="46" fillId="0" borderId="0" applyNumberFormat="0" applyFill="0" applyBorder="0" applyAlignment="0" applyProtection="0"/>
    <xf numFmtId="0" fontId="47" fillId="0" borderId="21" applyNumberFormat="0" applyFill="0" applyAlignment="0" applyProtection="0"/>
    <xf numFmtId="0" fontId="47" fillId="0" borderId="22" applyNumberFormat="0" applyFill="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3" fillId="0" borderId="0"/>
    <xf numFmtId="0" fontId="3" fillId="0" borderId="0"/>
    <xf numFmtId="0" fontId="25" fillId="11" borderId="0" applyNumberFormat="0" applyBorder="0" applyAlignment="0" applyProtection="0"/>
    <xf numFmtId="0" fontId="25" fillId="13" borderId="0" applyNumberFormat="0" applyBorder="0" applyAlignment="0" applyProtection="0"/>
    <xf numFmtId="0" fontId="25" fillId="15" borderId="0" applyNumberFormat="0" applyBorder="0" applyAlignment="0" applyProtection="0"/>
    <xf numFmtId="0" fontId="25" fillId="17" borderId="0" applyNumberFormat="0" applyBorder="0" applyAlignment="0" applyProtection="0"/>
    <xf numFmtId="0" fontId="25" fillId="1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17" borderId="0" applyNumberFormat="0" applyBorder="0" applyAlignment="0" applyProtection="0"/>
    <xf numFmtId="0" fontId="25" fillId="20" borderId="0" applyNumberFormat="0" applyBorder="0" applyAlignment="0" applyProtection="0"/>
    <xf numFmtId="0" fontId="25" fillId="25" borderId="0" applyNumberFormat="0" applyBorder="0" applyAlignment="0" applyProtection="0"/>
    <xf numFmtId="0" fontId="26" fillId="26" borderId="0" applyNumberFormat="0" applyBorder="0" applyAlignment="0" applyProtection="0"/>
    <xf numFmtId="0" fontId="26" fillId="21" borderId="0" applyNumberFormat="0" applyBorder="0" applyAlignment="0" applyProtection="0"/>
    <xf numFmtId="0" fontId="26" fillId="22" borderId="0" applyNumberFormat="0" applyBorder="0" applyAlignment="0" applyProtection="0"/>
    <xf numFmtId="0" fontId="26" fillId="27" borderId="0" applyNumberFormat="0" applyBorder="0" applyAlignment="0" applyProtection="0"/>
    <xf numFmtId="0" fontId="26" fillId="28" borderId="0" applyNumberFormat="0" applyBorder="0" applyAlignment="0" applyProtection="0"/>
    <xf numFmtId="0" fontId="26" fillId="29" borderId="0" applyNumberFormat="0" applyBorder="0" applyAlignment="0" applyProtection="0"/>
    <xf numFmtId="0" fontId="26" fillId="30" borderId="0" applyNumberFormat="0" applyBorder="0" applyAlignment="0" applyProtection="0"/>
    <xf numFmtId="0" fontId="26" fillId="27" borderId="0" applyNumberFormat="0" applyBorder="0" applyAlignment="0" applyProtection="0"/>
    <xf numFmtId="0" fontId="57" fillId="44" borderId="1">
      <alignment horizontal="right"/>
    </xf>
    <xf numFmtId="172" fontId="58" fillId="44" borderId="1">
      <alignment horizontal="right" vertical="top"/>
    </xf>
    <xf numFmtId="173" fontId="58" fillId="44" borderId="1">
      <alignment horizontal="right" vertical="top"/>
    </xf>
    <xf numFmtId="174" fontId="58" fillId="44" borderId="1">
      <alignment horizontal="right" vertical="top"/>
    </xf>
    <xf numFmtId="175" fontId="4" fillId="0" borderId="0" applyBorder="0">
      <alignment vertical="center"/>
    </xf>
    <xf numFmtId="175" fontId="8" fillId="0" borderId="0" applyFill="0" applyBorder="0">
      <alignment vertical="center"/>
    </xf>
    <xf numFmtId="0" fontId="59" fillId="45" borderId="0">
      <alignment horizontal="right" vertical="top"/>
    </xf>
    <xf numFmtId="176" fontId="58" fillId="45" borderId="0">
      <alignment horizontal="right" vertical="top"/>
    </xf>
    <xf numFmtId="173" fontId="59" fillId="45" borderId="0">
      <alignment horizontal="right" vertical="top"/>
    </xf>
    <xf numFmtId="174" fontId="58" fillId="45" borderId="0">
      <alignment horizontal="right" vertical="top"/>
    </xf>
    <xf numFmtId="0" fontId="28" fillId="24" borderId="10" applyNumberFormat="0" applyAlignment="0" applyProtection="0"/>
    <xf numFmtId="0" fontId="57" fillId="46" borderId="1">
      <alignment horizontal="center"/>
    </xf>
    <xf numFmtId="167" fontId="3" fillId="0" borderId="0" applyFont="0" applyFill="0" applyBorder="0" applyAlignment="0" applyProtection="0"/>
    <xf numFmtId="167" fontId="3" fillId="0" borderId="0" applyFont="0" applyFill="0" applyBorder="0" applyAlignment="0" applyProtection="0"/>
    <xf numFmtId="168" fontId="3" fillId="0" borderId="0" applyFont="0" applyFill="0" applyBorder="0" applyAlignment="0" applyProtection="0"/>
    <xf numFmtId="168" fontId="1" fillId="0" borderId="0" applyFont="0" applyFill="0" applyBorder="0" applyAlignment="0" applyProtection="0"/>
    <xf numFmtId="168" fontId="3" fillId="0" borderId="0" applyFont="0" applyFill="0" applyBorder="0" applyAlignment="0" applyProtection="0"/>
    <xf numFmtId="168" fontId="1"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25"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3"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8" fontId="3" fillId="0" borderId="0" applyFont="0" applyFill="0" applyBorder="0" applyAlignment="0" applyProtection="0"/>
    <xf numFmtId="178" fontId="3" fillId="0" borderId="0" applyFont="0" applyFill="0" applyBorder="0" applyAlignment="0" applyProtection="0"/>
    <xf numFmtId="178"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78" fontId="3" fillId="0" borderId="0" applyFont="0" applyFill="0" applyBorder="0" applyAlignment="0" applyProtection="0"/>
    <xf numFmtId="15" fontId="60" fillId="0" borderId="0">
      <alignment horizontal="right" vertical="top"/>
    </xf>
    <xf numFmtId="17" fontId="60" fillId="0" borderId="0">
      <alignment horizontal="right" vertical="top"/>
    </xf>
    <xf numFmtId="0" fontId="61" fillId="0" borderId="0">
      <alignment horizontal="left" vertical="top" indent="1"/>
    </xf>
    <xf numFmtId="0" fontId="57" fillId="47" borderId="1">
      <alignment horizontal="right"/>
    </xf>
    <xf numFmtId="172" fontId="58" fillId="47" borderId="1">
      <alignment horizontal="right" vertical="top"/>
    </xf>
    <xf numFmtId="173" fontId="58" fillId="47" borderId="1">
      <alignment horizontal="right" vertical="top"/>
    </xf>
    <xf numFmtId="174" fontId="58" fillId="47" borderId="1">
      <alignment horizontal="right" vertical="top"/>
    </xf>
    <xf numFmtId="0" fontId="58" fillId="0" borderId="0">
      <alignment horizontal="right" vertical="top"/>
    </xf>
    <xf numFmtId="172" fontId="59" fillId="0" borderId="0">
      <alignment vertical="top"/>
    </xf>
    <xf numFmtId="173" fontId="59" fillId="0" borderId="0">
      <alignment horizontal="right" vertical="top"/>
    </xf>
    <xf numFmtId="174" fontId="58" fillId="0" borderId="0">
      <alignment horizontal="right" vertical="top"/>
    </xf>
    <xf numFmtId="0" fontId="62" fillId="48" borderId="0" applyNumberFormat="0">
      <alignment horizontal="center" vertical="center"/>
    </xf>
    <xf numFmtId="0" fontId="32" fillId="0" borderId="12" applyNumberFormat="0" applyFill="0" applyAlignment="0" applyProtection="0"/>
    <xf numFmtId="0" fontId="34" fillId="0" borderId="14" applyNumberFormat="0" applyFill="0" applyAlignment="0" applyProtection="0"/>
    <xf numFmtId="0" fontId="36" fillId="0" borderId="16" applyNumberFormat="0" applyFill="0" applyAlignment="0" applyProtection="0"/>
    <xf numFmtId="0" fontId="36" fillId="0" borderId="0" applyNumberFormat="0" applyFill="0" applyBorder="0" applyAlignment="0" applyProtection="0"/>
    <xf numFmtId="0" fontId="63" fillId="0" borderId="0">
      <alignment horizontal="left" vertical="top"/>
    </xf>
    <xf numFmtId="0" fontId="64" fillId="0" borderId="0">
      <alignment horizontal="left" vertical="top"/>
    </xf>
    <xf numFmtId="0" fontId="65" fillId="0" borderId="0">
      <alignment horizontal="left" vertical="top"/>
    </xf>
    <xf numFmtId="175" fontId="23" fillId="0" borderId="32">
      <alignment vertical="center"/>
    </xf>
    <xf numFmtId="38" fontId="66" fillId="0" borderId="33">
      <alignment vertical="center"/>
      <protection locked="0"/>
    </xf>
    <xf numFmtId="175" fontId="4" fillId="49" borderId="34">
      <alignment vertical="center"/>
      <protection locked="0"/>
    </xf>
    <xf numFmtId="175" fontId="67" fillId="0" borderId="35">
      <alignment vertical="center"/>
      <protection locked="0"/>
    </xf>
    <xf numFmtId="0" fontId="68" fillId="0" borderId="0" applyNumberFormat="0">
      <alignment horizontal="left" vertical="top"/>
    </xf>
    <xf numFmtId="0" fontId="69" fillId="38" borderId="36" applyNumberFormat="0" applyFill="0" applyAlignment="0" applyProtection="0">
      <alignment vertical="center"/>
      <protection locked="0"/>
    </xf>
    <xf numFmtId="0" fontId="3" fillId="0" borderId="0"/>
    <xf numFmtId="0" fontId="1" fillId="0" borderId="0"/>
    <xf numFmtId="0" fontId="1" fillId="0" borderId="0"/>
    <xf numFmtId="0" fontId="1" fillId="0" borderId="0"/>
    <xf numFmtId="0" fontId="1" fillId="0" borderId="0"/>
    <xf numFmtId="0" fontId="41" fillId="24" borderId="20" applyNumberFormat="0" applyAlignment="0" applyProtection="0"/>
    <xf numFmtId="0" fontId="70" fillId="0" borderId="37">
      <alignment horizontal="left"/>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9" fontId="71" fillId="0" borderId="0">
      <alignment horizontal="left"/>
    </xf>
    <xf numFmtId="0" fontId="72" fillId="0" borderId="37">
      <alignment horizontal="left"/>
    </xf>
    <xf numFmtId="180" fontId="17" fillId="50" borderId="0" applyNumberFormat="0" applyBorder="0">
      <alignment wrapText="1"/>
    </xf>
    <xf numFmtId="180" fontId="73" fillId="51" borderId="0" applyNumberFormat="0">
      <alignment vertical="center"/>
    </xf>
    <xf numFmtId="0" fontId="45" fillId="0" borderId="0" applyNumberFormat="0" applyFill="0" applyBorder="0" applyAlignment="0" applyProtection="0"/>
    <xf numFmtId="175" fontId="8" fillId="0" borderId="38">
      <alignment vertical="center"/>
    </xf>
    <xf numFmtId="175" fontId="8" fillId="0" borderId="39">
      <alignment vertical="center"/>
    </xf>
    <xf numFmtId="175" fontId="8" fillId="0" borderId="5">
      <alignment vertical="center"/>
    </xf>
    <xf numFmtId="0" fontId="47" fillId="0" borderId="21" applyNumberFormat="0" applyFill="0" applyAlignment="0" applyProtection="0"/>
    <xf numFmtId="0" fontId="74" fillId="0" borderId="0">
      <alignment horizontal="center"/>
    </xf>
    <xf numFmtId="43"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169"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cellStyleXfs>
  <cellXfs count="344">
    <xf numFmtId="0" fontId="0" fillId="0" borderId="0" xfId="0"/>
    <xf numFmtId="0" fontId="5" fillId="0" borderId="0" xfId="0" applyFont="1" applyFill="1" applyAlignment="1">
      <alignment horizontal="center"/>
    </xf>
    <xf numFmtId="0" fontId="5" fillId="0" borderId="0" xfId="0" applyFont="1"/>
    <xf numFmtId="0" fontId="5" fillId="0" borderId="0" xfId="0" applyFont="1" applyFill="1"/>
    <xf numFmtId="0" fontId="5" fillId="0" borderId="0" xfId="0" applyFont="1" applyBorder="1"/>
    <xf numFmtId="0" fontId="5" fillId="0" borderId="0" xfId="0" applyFont="1" applyFill="1" applyBorder="1" applyAlignment="1">
      <alignment horizontal="center"/>
    </xf>
    <xf numFmtId="0" fontId="6" fillId="0" borderId="1" xfId="0" applyFont="1" applyFill="1" applyBorder="1" applyAlignment="1">
      <alignment horizontal="center" vertical="top"/>
    </xf>
    <xf numFmtId="0" fontId="11" fillId="0" borderId="0" xfId="0" applyFont="1" applyFill="1" applyAlignment="1">
      <alignment vertical="top" wrapText="1"/>
    </xf>
    <xf numFmtId="0" fontId="11" fillId="0" borderId="0" xfId="0" applyFont="1" applyFill="1" applyBorder="1" applyAlignment="1">
      <alignment vertical="top" wrapText="1"/>
    </xf>
    <xf numFmtId="0" fontId="12" fillId="0" borderId="0" xfId="0" applyFont="1" applyBorder="1"/>
    <xf numFmtId="0" fontId="5" fillId="0" borderId="0" xfId="0" applyFont="1" applyAlignment="1">
      <alignment vertical="top" wrapText="1"/>
    </xf>
    <xf numFmtId="0" fontId="5" fillId="0" borderId="0" xfId="0" applyFont="1" applyBorder="1" applyAlignment="1">
      <alignment vertical="top" wrapText="1"/>
    </xf>
    <xf numFmtId="0" fontId="5" fillId="0" borderId="0" xfId="0" applyFont="1" applyFill="1" applyBorder="1" applyAlignment="1">
      <alignment vertical="top" wrapText="1"/>
    </xf>
    <xf numFmtId="44" fontId="6" fillId="0" borderId="1" xfId="1" applyFont="1" applyFill="1" applyBorder="1" applyAlignment="1">
      <alignment horizontal="center" vertical="center" wrapText="1"/>
    </xf>
    <xf numFmtId="44" fontId="4" fillId="0" borderId="1" xfId="1" applyFont="1" applyFill="1" applyBorder="1" applyAlignment="1">
      <alignment horizontal="center" vertical="center" wrapText="1"/>
    </xf>
    <xf numFmtId="44" fontId="6" fillId="0" borderId="1" xfId="1" applyFont="1" applyFill="1" applyBorder="1" applyAlignment="1">
      <alignment horizontal="center" vertical="center" wrapText="1"/>
    </xf>
    <xf numFmtId="44" fontId="6" fillId="0" borderId="1" xfId="1" applyFont="1" applyFill="1" applyBorder="1" applyAlignment="1">
      <alignment horizontal="center" vertical="center" wrapText="1"/>
    </xf>
    <xf numFmtId="0" fontId="4" fillId="0" borderId="1" xfId="0" applyFont="1" applyFill="1" applyBorder="1" applyAlignment="1">
      <alignment horizontal="center" vertical="top"/>
    </xf>
    <xf numFmtId="0" fontId="4" fillId="0" borderId="1" xfId="0" applyFont="1" applyFill="1" applyBorder="1" applyAlignment="1">
      <alignment horizontal="left" vertical="top" wrapText="1"/>
    </xf>
    <xf numFmtId="0" fontId="6" fillId="0" borderId="1" xfId="0" applyFont="1" applyFill="1" applyBorder="1" applyAlignment="1">
      <alignment horizontal="left" vertical="top" wrapText="1"/>
    </xf>
    <xf numFmtId="0" fontId="6" fillId="0" borderId="1" xfId="0" applyFont="1" applyFill="1" applyBorder="1" applyAlignment="1">
      <alignment horizontal="left" vertical="top" wrapText="1" shrinkToFit="1"/>
    </xf>
    <xf numFmtId="0" fontId="6" fillId="0" borderId="1" xfId="0" applyFont="1" applyFill="1" applyBorder="1" applyAlignment="1">
      <alignment horizontal="center" vertical="center"/>
    </xf>
    <xf numFmtId="0" fontId="6" fillId="0" borderId="0" xfId="0" applyFont="1" applyFill="1" applyBorder="1" applyAlignment="1">
      <alignment horizontal="left" vertical="top" wrapText="1"/>
    </xf>
    <xf numFmtId="0" fontId="5" fillId="0" borderId="0" xfId="0" applyFont="1" applyAlignment="1">
      <alignment vertical="center"/>
    </xf>
    <xf numFmtId="0" fontId="5" fillId="0" borderId="0" xfId="0" applyFont="1" applyFill="1" applyAlignment="1">
      <alignment vertical="center"/>
    </xf>
    <xf numFmtId="0" fontId="4" fillId="0" borderId="1" xfId="0" applyFont="1" applyFill="1" applyBorder="1" applyAlignment="1">
      <alignment vertical="center" wrapText="1"/>
    </xf>
    <xf numFmtId="0" fontId="6" fillId="0" borderId="5" xfId="0" applyFont="1" applyFill="1" applyBorder="1" applyAlignment="1">
      <alignment horizontal="center" vertical="top"/>
    </xf>
    <xf numFmtId="0" fontId="9" fillId="0" borderId="5" xfId="0" applyFont="1" applyFill="1" applyBorder="1" applyAlignment="1">
      <alignment horizontal="left" vertical="center" wrapText="1"/>
    </xf>
    <xf numFmtId="49" fontId="6" fillId="0" borderId="5" xfId="0" applyNumberFormat="1" applyFont="1" applyFill="1" applyBorder="1" applyAlignment="1">
      <alignment horizontal="center" vertical="center" shrinkToFit="1"/>
    </xf>
    <xf numFmtId="44" fontId="6" fillId="0" borderId="5" xfId="1" applyFont="1" applyFill="1" applyBorder="1" applyAlignment="1">
      <alignment horizontal="center" vertical="center" wrapText="1"/>
    </xf>
    <xf numFmtId="0" fontId="6" fillId="0" borderId="5" xfId="0" applyFont="1" applyFill="1" applyBorder="1" applyAlignment="1">
      <alignment vertical="center" wrapText="1"/>
    </xf>
    <xf numFmtId="0" fontId="5" fillId="0" borderId="0" xfId="0" applyFont="1" applyFill="1" applyBorder="1"/>
    <xf numFmtId="0" fontId="4" fillId="0" borderId="0" xfId="0" applyFont="1" applyFill="1" applyBorder="1" applyAlignment="1">
      <alignment horizontal="left" vertical="top" wrapText="1"/>
    </xf>
    <xf numFmtId="0" fontId="6" fillId="0" borderId="0" xfId="0" applyFont="1" applyFill="1" applyBorder="1" applyAlignment="1">
      <alignment horizontal="center" vertical="center"/>
    </xf>
    <xf numFmtId="44" fontId="6" fillId="0" borderId="0" xfId="1" applyFont="1" applyFill="1" applyBorder="1" applyAlignment="1">
      <alignment horizontal="center" vertical="center"/>
    </xf>
    <xf numFmtId="44" fontId="6" fillId="0" borderId="0" xfId="1" applyFont="1" applyFill="1" applyBorder="1" applyAlignment="1">
      <alignment horizontal="center" vertical="center" wrapText="1"/>
    </xf>
    <xf numFmtId="0" fontId="4" fillId="0" borderId="0" xfId="0" applyFont="1" applyFill="1" applyBorder="1" applyAlignment="1">
      <alignment horizontal="center" vertical="top"/>
    </xf>
    <xf numFmtId="0" fontId="6" fillId="0" borderId="0" xfId="0" applyFont="1" applyFill="1" applyBorder="1" applyAlignment="1">
      <alignment vertical="center" wrapText="1"/>
    </xf>
    <xf numFmtId="0" fontId="4" fillId="0" borderId="1" xfId="0" applyFont="1" applyFill="1" applyBorder="1" applyAlignment="1">
      <alignment horizontal="left" vertical="top" wrapText="1" shrinkToFit="1"/>
    </xf>
    <xf numFmtId="44" fontId="6" fillId="2" borderId="1" xfId="1" applyFont="1" applyFill="1" applyBorder="1" applyAlignment="1">
      <alignment horizontal="center" vertical="center" wrapText="1"/>
    </xf>
    <xf numFmtId="44" fontId="17" fillId="2" borderId="1" xfId="0" applyNumberFormat="1" applyFont="1" applyFill="1" applyBorder="1" applyAlignment="1">
      <alignment horizontal="center" vertical="center"/>
    </xf>
    <xf numFmtId="0" fontId="6" fillId="0" borderId="1" xfId="0" applyFont="1" applyFill="1" applyBorder="1" applyAlignment="1">
      <alignment horizontal="center" vertical="center"/>
    </xf>
    <xf numFmtId="0" fontId="4" fillId="0" borderId="1" xfId="0" applyFont="1" applyFill="1" applyBorder="1" applyAlignment="1">
      <alignment horizontal="center" vertical="center"/>
    </xf>
    <xf numFmtId="44" fontId="17" fillId="0" borderId="1" xfId="0" applyNumberFormat="1" applyFont="1" applyFill="1" applyBorder="1" applyAlignment="1">
      <alignment horizontal="center" vertical="center"/>
    </xf>
    <xf numFmtId="0" fontId="6" fillId="5" borderId="1" xfId="0" applyFont="1" applyFill="1" applyBorder="1" applyAlignment="1">
      <alignment horizontal="center" vertical="center"/>
    </xf>
    <xf numFmtId="0" fontId="6" fillId="5" borderId="3" xfId="0" applyFont="1" applyFill="1" applyBorder="1" applyAlignment="1">
      <alignment horizontal="center" vertical="center"/>
    </xf>
    <xf numFmtId="0" fontId="4" fillId="0" borderId="2" xfId="0" applyFont="1" applyFill="1" applyBorder="1" applyAlignment="1">
      <alignment horizontal="left" vertical="top" wrapText="1"/>
    </xf>
    <xf numFmtId="44" fontId="6" fillId="0" borderId="2" xfId="1" applyFont="1" applyFill="1" applyBorder="1" applyAlignment="1">
      <alignment horizontal="center" vertical="center"/>
    </xf>
    <xf numFmtId="44" fontId="4" fillId="0" borderId="2" xfId="1" applyFont="1" applyFill="1" applyBorder="1" applyAlignment="1">
      <alignment horizontal="center" vertical="center" wrapText="1"/>
    </xf>
    <xf numFmtId="0" fontId="18" fillId="3" borderId="3" xfId="0" applyFont="1" applyFill="1" applyBorder="1" applyAlignment="1">
      <alignment horizontal="center" vertical="center"/>
    </xf>
    <xf numFmtId="0" fontId="16" fillId="3" borderId="2" xfId="0" applyFont="1" applyFill="1" applyBorder="1" applyAlignment="1">
      <alignment horizontal="left" vertical="center"/>
    </xf>
    <xf numFmtId="0" fontId="19" fillId="3" borderId="2" xfId="0" applyFont="1" applyFill="1" applyBorder="1" applyAlignment="1">
      <alignment horizontal="left" vertical="center"/>
    </xf>
    <xf numFmtId="0" fontId="18" fillId="3" borderId="2" xfId="0" applyFont="1" applyFill="1" applyBorder="1" applyAlignment="1">
      <alignment horizontal="center" vertical="center"/>
    </xf>
    <xf numFmtId="44" fontId="20" fillId="3" borderId="2" xfId="1" applyFont="1" applyFill="1" applyBorder="1" applyAlignment="1">
      <alignment horizontal="center" vertical="center"/>
    </xf>
    <xf numFmtId="44" fontId="20" fillId="3" borderId="2" xfId="1" applyFont="1" applyFill="1" applyBorder="1" applyAlignment="1">
      <alignment horizontal="center" vertical="center" wrapText="1"/>
    </xf>
    <xf numFmtId="0" fontId="18" fillId="3" borderId="4" xfId="0" applyFont="1" applyFill="1" applyBorder="1" applyAlignment="1">
      <alignment vertical="center" wrapText="1"/>
    </xf>
    <xf numFmtId="0" fontId="6" fillId="6" borderId="1" xfId="0" applyFont="1" applyFill="1" applyBorder="1" applyAlignment="1">
      <alignment horizontal="center" vertical="top"/>
    </xf>
    <xf numFmtId="0" fontId="4" fillId="6" borderId="1" xfId="0" applyFont="1" applyFill="1" applyBorder="1" applyAlignment="1">
      <alignment horizontal="left" vertical="top" wrapText="1"/>
    </xf>
    <xf numFmtId="0" fontId="6" fillId="6" borderId="1" xfId="0" applyFont="1" applyFill="1" applyBorder="1" applyAlignment="1">
      <alignment horizontal="center" vertical="center"/>
    </xf>
    <xf numFmtId="44" fontId="6" fillId="6" borderId="1" xfId="1" applyFont="1" applyFill="1" applyBorder="1" applyAlignment="1">
      <alignment horizontal="center" vertical="center" wrapText="1"/>
    </xf>
    <xf numFmtId="0" fontId="4" fillId="6" borderId="1" xfId="0" applyFont="1" applyFill="1" applyBorder="1" applyAlignment="1">
      <alignment vertical="center" wrapText="1"/>
    </xf>
    <xf numFmtId="0" fontId="6" fillId="7" borderId="3" xfId="0" applyFont="1" applyFill="1" applyBorder="1" applyAlignment="1">
      <alignment horizontal="center" vertical="center"/>
    </xf>
    <xf numFmtId="0" fontId="7" fillId="7" borderId="2" xfId="0" applyFont="1" applyFill="1" applyBorder="1" applyAlignment="1">
      <alignment horizontal="left" vertical="center"/>
    </xf>
    <xf numFmtId="0" fontId="5" fillId="7" borderId="2" xfId="0" applyFont="1" applyFill="1" applyBorder="1" applyAlignment="1">
      <alignment horizontal="left" vertical="center"/>
    </xf>
    <xf numFmtId="0" fontId="5" fillId="7" borderId="2" xfId="0" applyFont="1" applyFill="1" applyBorder="1" applyAlignment="1">
      <alignment vertical="center"/>
    </xf>
    <xf numFmtId="0" fontId="5" fillId="7" borderId="2" xfId="0" applyFont="1" applyFill="1" applyBorder="1" applyAlignment="1">
      <alignment horizontal="center" vertical="center"/>
    </xf>
    <xf numFmtId="0" fontId="5" fillId="7" borderId="0" xfId="0" applyFont="1" applyFill="1" applyBorder="1" applyAlignment="1">
      <alignment vertical="center" wrapText="1"/>
    </xf>
    <xf numFmtId="0" fontId="8" fillId="7" borderId="2" xfId="0" applyFont="1" applyFill="1" applyBorder="1" applyAlignment="1">
      <alignment horizontal="left" vertical="center"/>
    </xf>
    <xf numFmtId="0" fontId="6" fillId="7" borderId="2" xfId="0" applyFont="1" applyFill="1" applyBorder="1" applyAlignment="1">
      <alignment horizontal="center" vertical="center"/>
    </xf>
    <xf numFmtId="44" fontId="5" fillId="7" borderId="2" xfId="1" applyFont="1" applyFill="1" applyBorder="1" applyAlignment="1">
      <alignment horizontal="center" vertical="center"/>
    </xf>
    <xf numFmtId="44" fontId="5" fillId="7" borderId="2" xfId="1" applyFont="1" applyFill="1" applyBorder="1" applyAlignment="1">
      <alignment horizontal="center" vertical="center" wrapText="1"/>
    </xf>
    <xf numFmtId="0" fontId="6" fillId="4" borderId="1" xfId="0" applyFont="1" applyFill="1" applyBorder="1" applyAlignment="1">
      <alignment horizontal="center" vertical="top"/>
    </xf>
    <xf numFmtId="0" fontId="6"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6" fillId="4" borderId="1" xfId="0" applyFont="1" applyFill="1" applyBorder="1" applyAlignment="1">
      <alignment horizontal="center" vertical="center"/>
    </xf>
    <xf numFmtId="44" fontId="6" fillId="4" borderId="1" xfId="1" applyFont="1" applyFill="1" applyBorder="1" applyAlignment="1">
      <alignment horizontal="center" vertical="center" wrapText="1"/>
    </xf>
    <xf numFmtId="0" fontId="4" fillId="4" borderId="1" xfId="0" applyFont="1" applyFill="1" applyBorder="1" applyAlignment="1">
      <alignment vertical="center" wrapText="1"/>
    </xf>
    <xf numFmtId="44" fontId="17" fillId="4" borderId="1" xfId="0" applyNumberFormat="1" applyFont="1" applyFill="1" applyBorder="1" applyAlignment="1">
      <alignment horizontal="center" vertical="center" wrapText="1"/>
    </xf>
    <xf numFmtId="44" fontId="17" fillId="4" borderId="1" xfId="0" applyNumberFormat="1" applyFont="1" applyFill="1" applyBorder="1" applyAlignment="1">
      <alignment horizontal="center" vertical="center"/>
    </xf>
    <xf numFmtId="0" fontId="6" fillId="4" borderId="1" xfId="0" applyFont="1" applyFill="1" applyBorder="1" applyAlignment="1">
      <alignment horizontal="left" vertical="top" wrapText="1" shrinkToFit="1"/>
    </xf>
    <xf numFmtId="0" fontId="4" fillId="4" borderId="1" xfId="0" applyFont="1" applyFill="1" applyBorder="1" applyAlignment="1">
      <alignment horizontal="center" vertical="top"/>
    </xf>
    <xf numFmtId="0" fontId="6" fillId="6" borderId="1" xfId="0" applyFont="1" applyFill="1" applyBorder="1" applyAlignment="1">
      <alignment horizontal="left" vertical="top" wrapText="1" shrinkToFit="1"/>
    </xf>
    <xf numFmtId="0" fontId="5" fillId="6" borderId="1" xfId="0" applyFont="1" applyFill="1" applyBorder="1" applyAlignment="1">
      <alignment vertical="top" wrapText="1"/>
    </xf>
    <xf numFmtId="0" fontId="5" fillId="4" borderId="1" xfId="0" applyFont="1" applyFill="1" applyBorder="1" applyAlignment="1">
      <alignment vertical="top" wrapText="1"/>
    </xf>
    <xf numFmtId="0" fontId="6" fillId="0" borderId="2" xfId="0" applyFont="1" applyFill="1" applyBorder="1" applyAlignment="1">
      <alignment horizontal="center" vertical="center"/>
    </xf>
    <xf numFmtId="0" fontId="4" fillId="0" borderId="2" xfId="0" applyFont="1" applyFill="1" applyBorder="1" applyAlignment="1">
      <alignment horizontal="center" vertical="top"/>
    </xf>
    <xf numFmtId="0" fontId="6" fillId="0" borderId="2" xfId="0" applyFont="1" applyFill="1" applyBorder="1" applyAlignment="1">
      <alignment vertical="center" wrapText="1"/>
    </xf>
    <xf numFmtId="0" fontId="4" fillId="2" borderId="1" xfId="0" applyFont="1" applyFill="1" applyBorder="1" applyAlignment="1">
      <alignment horizontal="left" vertical="top" wrapText="1"/>
    </xf>
    <xf numFmtId="0" fontId="4" fillId="6" borderId="1" xfId="0" applyFont="1" applyFill="1" applyBorder="1" applyAlignment="1">
      <alignment horizontal="center" vertical="top"/>
    </xf>
    <xf numFmtId="44" fontId="4" fillId="6" borderId="1" xfId="1" applyFont="1" applyFill="1" applyBorder="1" applyAlignment="1">
      <alignment horizontal="center" vertical="center" wrapText="1"/>
    </xf>
    <xf numFmtId="0" fontId="6" fillId="8" borderId="3" xfId="0" applyFont="1" applyFill="1" applyBorder="1" applyAlignment="1">
      <alignment horizontal="center" vertical="center"/>
    </xf>
    <xf numFmtId="0" fontId="7" fillId="8" borderId="2" xfId="0" applyFont="1" applyFill="1" applyBorder="1" applyAlignment="1">
      <alignment horizontal="left" vertical="center"/>
    </xf>
    <xf numFmtId="0" fontId="8" fillId="8" borderId="2" xfId="0" applyFont="1" applyFill="1" applyBorder="1" applyAlignment="1">
      <alignment horizontal="left" vertical="center"/>
    </xf>
    <xf numFmtId="0" fontId="6" fillId="8" borderId="2" xfId="0" applyFont="1" applyFill="1" applyBorder="1" applyAlignment="1">
      <alignment horizontal="center" vertical="center"/>
    </xf>
    <xf numFmtId="44" fontId="5" fillId="8" borderId="2" xfId="1" applyFont="1" applyFill="1" applyBorder="1" applyAlignment="1">
      <alignment horizontal="center" vertical="center"/>
    </xf>
    <xf numFmtId="44" fontId="5" fillId="8" borderId="2" xfId="1" applyFont="1" applyFill="1" applyBorder="1" applyAlignment="1">
      <alignment horizontal="center" vertical="center" wrapText="1"/>
    </xf>
    <xf numFmtId="0" fontId="4" fillId="0" borderId="1" xfId="0" applyFont="1" applyFill="1" applyBorder="1" applyAlignment="1">
      <alignment horizontal="center" vertical="center"/>
    </xf>
    <xf numFmtId="44" fontId="4" fillId="4" borderId="1" xfId="1" applyFont="1" applyFill="1" applyBorder="1" applyAlignment="1">
      <alignment horizontal="center" vertical="center" wrapText="1"/>
    </xf>
    <xf numFmtId="0" fontId="4" fillId="0" borderId="3" xfId="0" applyFont="1" applyFill="1" applyBorder="1" applyAlignment="1">
      <alignment horizontal="center" vertical="top"/>
    </xf>
    <xf numFmtId="0" fontId="4" fillId="6" borderId="3" xfId="0" applyFont="1" applyFill="1" applyBorder="1" applyAlignment="1">
      <alignment horizontal="center" vertical="top"/>
    </xf>
    <xf numFmtId="0" fontId="6" fillId="4" borderId="3" xfId="0" applyFont="1" applyFill="1" applyBorder="1" applyAlignment="1">
      <alignment horizontal="center" vertical="top"/>
    </xf>
    <xf numFmtId="0" fontId="6" fillId="0" borderId="3" xfId="0" applyFont="1" applyFill="1" applyBorder="1" applyAlignment="1">
      <alignment horizontal="center" vertical="top"/>
    </xf>
    <xf numFmtId="0" fontId="4" fillId="0" borderId="4" xfId="0" applyFont="1" applyFill="1" applyBorder="1" applyAlignment="1">
      <alignment horizontal="left" vertical="top" wrapText="1"/>
    </xf>
    <xf numFmtId="0" fontId="4" fillId="6" borderId="4" xfId="0" applyFont="1" applyFill="1" applyBorder="1" applyAlignment="1">
      <alignment horizontal="left" vertical="top" wrapText="1"/>
    </xf>
    <xf numFmtId="0" fontId="4" fillId="4" borderId="4" xfId="0" applyFont="1" applyFill="1" applyBorder="1" applyAlignment="1">
      <alignment horizontal="left" vertical="top" wrapText="1"/>
    </xf>
    <xf numFmtId="0" fontId="4" fillId="2" borderId="4" xfId="0" applyFont="1" applyFill="1" applyBorder="1" applyAlignment="1">
      <alignment horizontal="left" vertical="top" wrapText="1"/>
    </xf>
    <xf numFmtId="0" fontId="7" fillId="8" borderId="1" xfId="0" applyFont="1" applyFill="1" applyBorder="1" applyAlignment="1">
      <alignment horizontal="left"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wrapText="1"/>
    </xf>
    <xf numFmtId="49" fontId="4" fillId="0" borderId="1" xfId="0" applyNumberFormat="1" applyFont="1" applyFill="1" applyBorder="1" applyAlignment="1">
      <alignment horizontal="center" vertical="center" wrapText="1" shrinkToFit="1"/>
    </xf>
    <xf numFmtId="0" fontId="15" fillId="3" borderId="1" xfId="0" applyFont="1" applyFill="1" applyBorder="1" applyAlignment="1">
      <alignment horizontal="center" vertical="center"/>
    </xf>
    <xf numFmtId="4" fontId="6" fillId="6" borderId="1" xfId="1" applyNumberFormat="1" applyFont="1" applyFill="1" applyBorder="1" applyAlignment="1">
      <alignment horizontal="center" vertical="center"/>
    </xf>
    <xf numFmtId="4" fontId="6" fillId="5" borderId="1" xfId="0" applyNumberFormat="1" applyFont="1" applyFill="1" applyBorder="1" applyAlignment="1">
      <alignment horizontal="center" vertical="center"/>
    </xf>
    <xf numFmtId="4" fontId="6" fillId="6" borderId="3" xfId="1" applyNumberFormat="1" applyFont="1" applyFill="1" applyBorder="1" applyAlignment="1">
      <alignment horizontal="center" vertical="center"/>
    </xf>
    <xf numFmtId="7" fontId="6" fillId="0" borderId="1" xfId="1" applyNumberFormat="1" applyFont="1" applyFill="1" applyBorder="1" applyAlignment="1">
      <alignment horizontal="center" vertical="center"/>
    </xf>
    <xf numFmtId="7" fontId="6" fillId="0" borderId="3" xfId="1" applyNumberFormat="1" applyFont="1" applyFill="1" applyBorder="1" applyAlignment="1">
      <alignment horizontal="center" vertical="center"/>
    </xf>
    <xf numFmtId="7" fontId="6" fillId="4" borderId="1" xfId="1" applyNumberFormat="1" applyFont="1" applyFill="1" applyBorder="1" applyAlignment="1">
      <alignment horizontal="center" vertical="center"/>
    </xf>
    <xf numFmtId="7" fontId="6" fillId="4" borderId="3" xfId="1" applyNumberFormat="1" applyFont="1" applyFill="1" applyBorder="1" applyAlignment="1">
      <alignment horizontal="center" vertical="center"/>
    </xf>
    <xf numFmtId="7" fontId="6" fillId="5" borderId="1" xfId="1" applyNumberFormat="1" applyFont="1" applyFill="1" applyBorder="1" applyAlignment="1">
      <alignment horizontal="center" vertical="center"/>
    </xf>
    <xf numFmtId="7" fontId="6" fillId="5" borderId="3" xfId="1" applyNumberFormat="1" applyFont="1" applyFill="1" applyBorder="1" applyAlignment="1">
      <alignment horizontal="center" vertical="center"/>
    </xf>
    <xf numFmtId="7" fontId="6" fillId="6" borderId="1" xfId="1" applyNumberFormat="1" applyFont="1" applyFill="1" applyBorder="1" applyAlignment="1">
      <alignment horizontal="center" vertical="center"/>
    </xf>
    <xf numFmtId="164" fontId="4" fillId="0" borderId="1" xfId="1" applyNumberFormat="1" applyFont="1" applyFill="1" applyBorder="1" applyAlignment="1">
      <alignment horizontal="center" vertical="center"/>
    </xf>
    <xf numFmtId="164" fontId="4" fillId="0" borderId="3" xfId="1" applyNumberFormat="1" applyFont="1" applyFill="1" applyBorder="1" applyAlignment="1">
      <alignment horizontal="center" vertical="center"/>
    </xf>
    <xf numFmtId="165" fontId="6" fillId="0" borderId="1" xfId="1" applyNumberFormat="1" applyFont="1" applyFill="1" applyBorder="1" applyAlignment="1">
      <alignment horizontal="center" vertical="center"/>
    </xf>
    <xf numFmtId="165" fontId="6" fillId="0" borderId="3" xfId="1" applyNumberFormat="1" applyFont="1" applyFill="1" applyBorder="1" applyAlignment="1">
      <alignment horizontal="center" vertical="center"/>
    </xf>
    <xf numFmtId="166" fontId="6" fillId="0" borderId="3" xfId="1" applyNumberFormat="1" applyFont="1" applyFill="1" applyBorder="1" applyAlignment="1">
      <alignment horizontal="center" vertical="center"/>
    </xf>
    <xf numFmtId="166" fontId="6" fillId="6" borderId="1" xfId="1" applyNumberFormat="1" applyFont="1" applyFill="1" applyBorder="1" applyAlignment="1">
      <alignment horizontal="center" vertical="center"/>
    </xf>
    <xf numFmtId="166" fontId="6" fillId="6" borderId="3" xfId="1" applyNumberFormat="1" applyFont="1" applyFill="1" applyBorder="1" applyAlignment="1">
      <alignment horizontal="center" vertical="center"/>
    </xf>
    <xf numFmtId="0" fontId="14" fillId="0" borderId="0" xfId="0" applyFont="1" applyBorder="1" applyAlignment="1">
      <alignment vertical="center" wrapText="1"/>
    </xf>
    <xf numFmtId="0" fontId="4" fillId="0" borderId="0" xfId="0" applyFont="1" applyFill="1" applyAlignment="1">
      <alignment horizontal="center"/>
    </xf>
    <xf numFmtId="0" fontId="4" fillId="0" borderId="0" xfId="0" applyFont="1"/>
    <xf numFmtId="0" fontId="4" fillId="0" borderId="0" xfId="0" applyFont="1" applyAlignment="1">
      <alignment vertical="top" wrapText="1"/>
    </xf>
    <xf numFmtId="0" fontId="4" fillId="0" borderId="0" xfId="0" applyFont="1" applyFill="1" applyAlignment="1">
      <alignment vertical="top" wrapText="1"/>
    </xf>
    <xf numFmtId="0" fontId="4" fillId="6" borderId="1" xfId="0" applyFont="1" applyFill="1" applyBorder="1" applyAlignment="1">
      <alignment horizontal="center" vertical="center"/>
    </xf>
    <xf numFmtId="44" fontId="4" fillId="0" borderId="1" xfId="1" applyFont="1" applyFill="1" applyBorder="1" applyAlignment="1">
      <alignment horizontal="center" vertical="center" wrapText="1"/>
    </xf>
    <xf numFmtId="0" fontId="4" fillId="0" borderId="1" xfId="0" applyFont="1" applyFill="1" applyBorder="1" applyAlignment="1">
      <alignment vertical="center" wrapText="1"/>
    </xf>
    <xf numFmtId="0" fontId="4" fillId="0" borderId="1" xfId="0" applyFont="1" applyFill="1" applyBorder="1" applyAlignment="1">
      <alignment horizontal="center" vertical="center"/>
    </xf>
    <xf numFmtId="44" fontId="4" fillId="0" borderId="1" xfId="1" applyFont="1" applyFill="1" applyBorder="1" applyAlignment="1">
      <alignment horizontal="center" vertical="center" wrapText="1"/>
    </xf>
    <xf numFmtId="0" fontId="4" fillId="0" borderId="1" xfId="0" applyFont="1" applyFill="1" applyBorder="1" applyAlignment="1">
      <alignment vertical="center" wrapText="1"/>
    </xf>
    <xf numFmtId="0" fontId="4" fillId="6" borderId="1" xfId="0" applyFont="1" applyFill="1" applyBorder="1" applyAlignment="1">
      <alignment horizontal="center" vertical="center"/>
    </xf>
    <xf numFmtId="0" fontId="11" fillId="0" borderId="0" xfId="0" applyFont="1" applyFill="1" applyAlignment="1">
      <alignment horizontal="center" vertical="top" wrapText="1"/>
    </xf>
    <xf numFmtId="0" fontId="11" fillId="0" borderId="0" xfId="0" applyFont="1" applyFill="1" applyBorder="1" applyAlignment="1">
      <alignment horizontal="center" vertical="top" wrapText="1"/>
    </xf>
    <xf numFmtId="0" fontId="0" fillId="0" borderId="0" xfId="0" applyAlignment="1">
      <alignment horizontal="center"/>
    </xf>
    <xf numFmtId="0" fontId="4" fillId="0" borderId="0" xfId="0" applyFont="1" applyFill="1" applyBorder="1" applyAlignment="1">
      <alignment horizontal="center" vertical="top" wrapText="1"/>
    </xf>
    <xf numFmtId="0" fontId="6" fillId="0" borderId="0" xfId="0" applyFont="1" applyFill="1" applyBorder="1" applyAlignment="1">
      <alignment horizontal="center" vertical="top" wrapText="1"/>
    </xf>
    <xf numFmtId="0" fontId="6" fillId="0" borderId="0" xfId="0" applyFont="1" applyFill="1" applyBorder="1" applyAlignment="1">
      <alignment horizontal="center" vertical="center" wrapText="1"/>
    </xf>
    <xf numFmtId="0" fontId="4" fillId="0" borderId="0" xfId="0" applyFont="1" applyFill="1" applyAlignment="1">
      <alignment horizontal="center" vertical="top" wrapText="1"/>
    </xf>
    <xf numFmtId="0" fontId="15" fillId="3"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17" fillId="2" borderId="1" xfId="0" applyFont="1" applyFill="1" applyBorder="1" applyAlignment="1">
      <alignment vertical="top" wrapText="1"/>
    </xf>
    <xf numFmtId="0" fontId="23" fillId="8" borderId="4" xfId="0" applyFont="1" applyFill="1" applyBorder="1" applyAlignment="1">
      <alignment vertical="center" wrapText="1"/>
    </xf>
    <xf numFmtId="0" fontId="4" fillId="0" borderId="1" xfId="0" applyFont="1" applyFill="1" applyBorder="1" applyAlignment="1">
      <alignment horizontal="center" vertical="center"/>
    </xf>
    <xf numFmtId="0" fontId="17" fillId="6" borderId="1" xfId="0" applyFont="1" applyFill="1" applyBorder="1" applyAlignment="1">
      <alignment vertical="top" wrapText="1"/>
    </xf>
    <xf numFmtId="44" fontId="17" fillId="6" borderId="1" xfId="0" applyNumberFormat="1" applyFont="1" applyFill="1" applyBorder="1" applyAlignment="1">
      <alignment horizontal="center" vertical="center"/>
    </xf>
    <xf numFmtId="0" fontId="4" fillId="6" borderId="1" xfId="0" applyFont="1" applyFill="1" applyBorder="1" applyAlignment="1">
      <alignment vertical="top" wrapText="1"/>
    </xf>
    <xf numFmtId="0" fontId="17" fillId="6" borderId="8" xfId="2" applyFont="1" applyFill="1" applyBorder="1" applyAlignment="1">
      <alignment vertical="top" wrapText="1"/>
    </xf>
    <xf numFmtId="0" fontId="4" fillId="8" borderId="4" xfId="0" applyFont="1" applyFill="1" applyBorder="1" applyAlignment="1">
      <alignment vertical="center" wrapText="1"/>
    </xf>
    <xf numFmtId="0" fontId="17" fillId="6" borderId="23" xfId="2" applyFont="1" applyFill="1" applyBorder="1" applyAlignment="1">
      <alignment vertical="top" wrapText="1"/>
    </xf>
    <xf numFmtId="171" fontId="6" fillId="0" borderId="1" xfId="1" applyNumberFormat="1" applyFont="1" applyFill="1" applyBorder="1" applyAlignment="1">
      <alignment horizontal="center" vertical="center"/>
    </xf>
    <xf numFmtId="171" fontId="6" fillId="0" borderId="3" xfId="1" applyNumberFormat="1" applyFont="1" applyFill="1" applyBorder="1" applyAlignment="1">
      <alignment horizontal="center" vertical="center"/>
    </xf>
    <xf numFmtId="44" fontId="4" fillId="6" borderId="1" xfId="0" applyNumberFormat="1" applyFont="1" applyFill="1" applyBorder="1" applyAlignment="1">
      <alignment horizontal="center" vertical="center"/>
    </xf>
    <xf numFmtId="0" fontId="5" fillId="0" borderId="0" xfId="0" applyFont="1" applyAlignment="1">
      <alignment horizontal="center" vertical="center"/>
    </xf>
    <xf numFmtId="0" fontId="7" fillId="0" borderId="0" xfId="0" applyFont="1" applyFill="1" applyAlignment="1">
      <alignment horizontal="center" vertical="center" wrapText="1"/>
    </xf>
    <xf numFmtId="0" fontId="3" fillId="0" borderId="0" xfId="0" applyFont="1" applyFill="1" applyAlignment="1">
      <alignment horizontal="center" vertical="center" wrapText="1"/>
    </xf>
    <xf numFmtId="0" fontId="3" fillId="0" borderId="0" xfId="0" applyFont="1" applyFill="1" applyAlignment="1">
      <alignment horizontal="center" vertical="center"/>
    </xf>
    <xf numFmtId="0" fontId="5" fillId="0" borderId="0" xfId="0" applyFont="1" applyFill="1" applyAlignment="1">
      <alignment horizontal="center" vertical="center"/>
    </xf>
    <xf numFmtId="0" fontId="5" fillId="0" borderId="0" xfId="0" applyFont="1" applyFill="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1" fontId="5" fillId="0" borderId="0" xfId="0" applyNumberFormat="1" applyFont="1"/>
    <xf numFmtId="1" fontId="5" fillId="0" borderId="0" xfId="0" applyNumberFormat="1" applyFont="1" applyBorder="1"/>
    <xf numFmtId="1" fontId="5" fillId="0" borderId="0" xfId="0" applyNumberFormat="1" applyFont="1" applyFill="1" applyBorder="1" applyAlignment="1">
      <alignment horizontal="center"/>
    </xf>
    <xf numFmtId="1" fontId="10" fillId="0" borderId="0" xfId="0" applyNumberFormat="1" applyFont="1" applyFill="1" applyBorder="1" applyAlignment="1">
      <alignment horizontal="right" vertical="top" wrapText="1"/>
    </xf>
    <xf numFmtId="1" fontId="14" fillId="0" borderId="0" xfId="0" applyNumberFormat="1" applyFont="1" applyBorder="1" applyAlignment="1">
      <alignment vertical="center" wrapText="1"/>
    </xf>
    <xf numFmtId="1" fontId="5" fillId="7" borderId="2" xfId="0" applyNumberFormat="1" applyFont="1" applyFill="1" applyBorder="1" applyAlignment="1">
      <alignment vertical="center"/>
    </xf>
    <xf numFmtId="1" fontId="4" fillId="0" borderId="1" xfId="0" applyNumberFormat="1" applyFont="1" applyFill="1" applyBorder="1" applyAlignment="1">
      <alignment horizontal="center" vertical="center"/>
    </xf>
    <xf numFmtId="1" fontId="6" fillId="0" borderId="1" xfId="0" applyNumberFormat="1" applyFont="1" applyFill="1" applyBorder="1" applyAlignment="1">
      <alignment horizontal="center" vertical="center"/>
    </xf>
    <xf numFmtId="1" fontId="6" fillId="7" borderId="2" xfId="0" applyNumberFormat="1" applyFont="1" applyFill="1" applyBorder="1" applyAlignment="1">
      <alignment horizontal="center" vertical="center"/>
    </xf>
    <xf numFmtId="1" fontId="6" fillId="4" borderId="1" xfId="0" applyNumberFormat="1" applyFont="1" applyFill="1" applyBorder="1" applyAlignment="1">
      <alignment horizontal="center" vertical="center"/>
    </xf>
    <xf numFmtId="1" fontId="6" fillId="0" borderId="3" xfId="0" applyNumberFormat="1" applyFont="1" applyFill="1" applyBorder="1" applyAlignment="1">
      <alignment horizontal="center" vertical="center"/>
    </xf>
    <xf numFmtId="1" fontId="6" fillId="6" borderId="1" xfId="0" applyNumberFormat="1" applyFont="1" applyFill="1" applyBorder="1" applyAlignment="1">
      <alignment horizontal="center" vertical="center"/>
    </xf>
    <xf numFmtId="1" fontId="4" fillId="0" borderId="4" xfId="0" applyNumberFormat="1" applyFont="1" applyFill="1" applyBorder="1" applyAlignment="1">
      <alignment horizontal="center" vertical="center" wrapText="1"/>
    </xf>
    <xf numFmtId="1" fontId="6" fillId="8" borderId="2" xfId="0" applyNumberFormat="1" applyFont="1" applyFill="1" applyBorder="1" applyAlignment="1">
      <alignment horizontal="center" vertical="center"/>
    </xf>
    <xf numFmtId="1" fontId="17" fillId="0" borderId="1" xfId="0" applyNumberFormat="1" applyFont="1" applyFill="1" applyBorder="1" applyAlignment="1">
      <alignment horizontal="center" vertical="center"/>
    </xf>
    <xf numFmtId="1" fontId="4" fillId="6" borderId="1" xfId="0" applyNumberFormat="1" applyFont="1" applyFill="1" applyBorder="1" applyAlignment="1">
      <alignment horizontal="center" vertical="center"/>
    </xf>
    <xf numFmtId="1" fontId="17" fillId="6" borderId="1" xfId="0" applyNumberFormat="1" applyFont="1" applyFill="1" applyBorder="1" applyAlignment="1">
      <alignment horizontal="center" vertical="center"/>
    </xf>
    <xf numFmtId="1" fontId="4" fillId="4" borderId="3" xfId="0" applyNumberFormat="1" applyFont="1" applyFill="1" applyBorder="1" applyAlignment="1">
      <alignment horizontal="center" vertical="center"/>
    </xf>
    <xf numFmtId="1" fontId="4" fillId="4" borderId="1" xfId="0" applyNumberFormat="1" applyFont="1" applyFill="1" applyBorder="1" applyAlignment="1">
      <alignment horizontal="center" vertical="center" wrapText="1"/>
    </xf>
    <xf numFmtId="1" fontId="4" fillId="0" borderId="4" xfId="0" applyNumberFormat="1" applyFont="1" applyFill="1" applyBorder="1" applyAlignment="1">
      <alignment horizontal="center" vertical="center"/>
    </xf>
    <xf numFmtId="1" fontId="4" fillId="0" borderId="1" xfId="0" applyNumberFormat="1" applyFont="1" applyFill="1" applyBorder="1" applyAlignment="1">
      <alignment horizontal="center" vertical="center" wrapText="1" shrinkToFit="1"/>
    </xf>
    <xf numFmtId="1" fontId="6" fillId="0" borderId="5" xfId="0" applyNumberFormat="1" applyFont="1" applyFill="1" applyBorder="1" applyAlignment="1">
      <alignment horizontal="center" vertical="center" shrinkToFit="1"/>
    </xf>
    <xf numFmtId="1" fontId="18" fillId="3" borderId="2" xfId="0" applyNumberFormat="1" applyFont="1" applyFill="1" applyBorder="1" applyAlignment="1">
      <alignment horizontal="center" vertical="center"/>
    </xf>
    <xf numFmtId="1" fontId="6" fillId="0" borderId="4" xfId="0" applyNumberFormat="1" applyFont="1" applyFill="1" applyBorder="1" applyAlignment="1">
      <alignment horizontal="center" vertical="center"/>
    </xf>
    <xf numFmtId="1" fontId="6" fillId="0" borderId="2" xfId="0" applyNumberFormat="1" applyFont="1" applyFill="1" applyBorder="1" applyAlignment="1">
      <alignment horizontal="center" vertical="center"/>
    </xf>
    <xf numFmtId="1" fontId="6" fillId="0" borderId="0" xfId="0" applyNumberFormat="1" applyFont="1" applyFill="1" applyBorder="1" applyAlignment="1">
      <alignment horizontal="center" vertical="center"/>
    </xf>
    <xf numFmtId="0" fontId="17" fillId="6" borderId="24" xfId="2" applyFont="1" applyFill="1" applyBorder="1" applyAlignment="1">
      <alignment vertical="top" wrapText="1"/>
    </xf>
    <xf numFmtId="0" fontId="17" fillId="6" borderId="1" xfId="2" applyFont="1" applyFill="1" applyBorder="1" applyAlignment="1">
      <alignment vertical="top" wrapText="1"/>
    </xf>
    <xf numFmtId="0" fontId="4" fillId="0" borderId="1" xfId="0" applyFont="1" applyFill="1" applyBorder="1" applyAlignment="1">
      <alignment horizontal="center" vertical="center"/>
    </xf>
    <xf numFmtId="0" fontId="49" fillId="0" borderId="0" xfId="0" applyFont="1" applyFill="1" applyBorder="1" applyAlignment="1">
      <alignment horizontal="center"/>
    </xf>
    <xf numFmtId="0" fontId="49" fillId="0" borderId="0" xfId="0" applyFont="1" applyBorder="1"/>
    <xf numFmtId="0" fontId="13" fillId="0" borderId="0" xfId="0" applyFont="1" applyBorder="1" applyAlignment="1">
      <alignment horizontal="center" vertical="center" wrapText="1"/>
    </xf>
    <xf numFmtId="0" fontId="8" fillId="0" borderId="0" xfId="0" applyFont="1" applyFill="1" applyBorder="1" applyAlignment="1">
      <alignment horizontal="left" vertical="top"/>
    </xf>
    <xf numFmtId="1" fontId="5" fillId="0" borderId="0" xfId="0" applyNumberFormat="1" applyFont="1" applyFill="1"/>
    <xf numFmtId="0" fontId="4" fillId="0" borderId="0" xfId="0" applyFont="1" applyFill="1"/>
    <xf numFmtId="1" fontId="4" fillId="0" borderId="0" xfId="0" applyNumberFormat="1" applyFont="1" applyFill="1" applyAlignment="1">
      <alignment horizontal="center"/>
    </xf>
    <xf numFmtId="0" fontId="4" fillId="0" borderId="0" xfId="0" applyFont="1" applyFill="1" applyAlignment="1">
      <alignment horizontal="left"/>
    </xf>
    <xf numFmtId="0" fontId="4" fillId="0" borderId="1" xfId="0" applyFont="1" applyFill="1" applyBorder="1" applyAlignment="1">
      <alignment horizontal="left" vertical="top" wrapText="1"/>
    </xf>
    <xf numFmtId="0" fontId="4" fillId="0" borderId="1" xfId="0" applyFont="1" applyFill="1" applyBorder="1" applyAlignment="1">
      <alignment horizontal="center" vertical="center"/>
    </xf>
    <xf numFmtId="0" fontId="51" fillId="2" borderId="0" xfId="158" applyFont="1" applyFill="1" applyBorder="1" applyAlignment="1" applyProtection="1">
      <alignment vertical="top"/>
    </xf>
    <xf numFmtId="0" fontId="3" fillId="2" borderId="0" xfId="159" applyFill="1"/>
    <xf numFmtId="0" fontId="52" fillId="2" borderId="0" xfId="159" applyFont="1" applyFill="1"/>
    <xf numFmtId="0" fontId="51" fillId="2" borderId="0" xfId="158" applyFont="1" applyFill="1" applyBorder="1" applyAlignment="1" applyProtection="1">
      <alignment vertical="center"/>
    </xf>
    <xf numFmtId="0" fontId="53" fillId="2" borderId="0" xfId="117" applyFont="1" applyFill="1" applyProtection="1"/>
    <xf numFmtId="0" fontId="56" fillId="2" borderId="26" xfId="159" applyFont="1" applyFill="1" applyBorder="1" applyAlignment="1">
      <alignment vertical="center" wrapText="1"/>
    </xf>
    <xf numFmtId="0" fontId="56" fillId="2" borderId="28" xfId="159" applyFont="1" applyFill="1" applyBorder="1" applyAlignment="1">
      <alignment vertical="center" wrapText="1"/>
    </xf>
    <xf numFmtId="0" fontId="56" fillId="2" borderId="29" xfId="159" applyFont="1" applyFill="1" applyBorder="1" applyAlignment="1">
      <alignment vertical="center" wrapText="1"/>
    </xf>
    <xf numFmtId="0" fontId="56" fillId="2" borderId="30" xfId="159" applyFont="1" applyFill="1" applyBorder="1" applyAlignment="1">
      <alignment vertical="center" wrapText="1"/>
    </xf>
    <xf numFmtId="0" fontId="11" fillId="2" borderId="0" xfId="159" applyFont="1" applyFill="1"/>
    <xf numFmtId="0" fontId="77" fillId="2" borderId="0" xfId="159" applyFont="1" applyFill="1" applyBorder="1"/>
    <xf numFmtId="0" fontId="75" fillId="2" borderId="0" xfId="159" applyFont="1" applyFill="1" applyBorder="1"/>
    <xf numFmtId="0" fontId="4" fillId="0" borderId="0" xfId="0" applyFont="1" applyFill="1" applyAlignment="1">
      <alignment horizontal="center" vertical="center"/>
    </xf>
    <xf numFmtId="0" fontId="76" fillId="2" borderId="0" xfId="115" applyFont="1" applyFill="1" applyBorder="1" applyAlignment="1">
      <alignment horizontal="center" vertical="top"/>
    </xf>
    <xf numFmtId="0" fontId="4" fillId="0" borderId="0" xfId="0" applyFont="1" applyFill="1" applyBorder="1" applyAlignment="1">
      <alignment horizontal="center" vertical="center"/>
    </xf>
    <xf numFmtId="0" fontId="75" fillId="2" borderId="0" xfId="159" applyFont="1" applyFill="1"/>
    <xf numFmtId="0" fontId="3" fillId="2" borderId="31" xfId="159" applyFill="1" applyBorder="1"/>
    <xf numFmtId="0" fontId="4" fillId="7" borderId="4" xfId="0" applyFont="1" applyFill="1" applyBorder="1" applyAlignment="1">
      <alignment vertical="center" wrapText="1"/>
    </xf>
    <xf numFmtId="0" fontId="4" fillId="0" borderId="1" xfId="0" applyFont="1" applyBorder="1" applyAlignment="1">
      <alignment horizontal="center" vertical="center"/>
    </xf>
    <xf numFmtId="0" fontId="4" fillId="7" borderId="4" xfId="0" applyFont="1" applyFill="1" applyBorder="1" applyAlignment="1">
      <alignment horizontal="center" vertical="center" wrapText="1"/>
    </xf>
    <xf numFmtId="0" fontId="56" fillId="2" borderId="45" xfId="159" applyFont="1" applyFill="1" applyBorder="1" applyAlignment="1">
      <alignment vertical="center" wrapText="1"/>
    </xf>
    <xf numFmtId="0" fontId="3" fillId="2" borderId="0" xfId="159" applyFill="1"/>
    <xf numFmtId="0" fontId="3" fillId="2" borderId="0" xfId="159" applyFill="1"/>
    <xf numFmtId="0" fontId="52" fillId="2" borderId="0" xfId="159" applyFont="1" applyFill="1"/>
    <xf numFmtId="0" fontId="56" fillId="2" borderId="26" xfId="159" applyFont="1" applyFill="1" applyBorder="1" applyAlignment="1">
      <alignment vertical="center" wrapText="1"/>
    </xf>
    <xf numFmtId="0" fontId="56" fillId="2" borderId="28" xfId="159" applyFont="1" applyFill="1" applyBorder="1" applyAlignment="1">
      <alignment vertical="center" wrapText="1"/>
    </xf>
    <xf numFmtId="0" fontId="56" fillId="2" borderId="29" xfId="159" applyFont="1" applyFill="1" applyBorder="1" applyAlignment="1">
      <alignment vertical="center" wrapText="1"/>
    </xf>
    <xf numFmtId="0" fontId="56" fillId="2" borderId="30" xfId="159" applyFont="1" applyFill="1" applyBorder="1" applyAlignment="1">
      <alignment vertical="center" wrapText="1"/>
    </xf>
    <xf numFmtId="0" fontId="56" fillId="2" borderId="28" xfId="159" applyFont="1" applyFill="1" applyBorder="1" applyAlignment="1">
      <alignment vertical="center"/>
    </xf>
    <xf numFmtId="0" fontId="56" fillId="2" borderId="28" xfId="159" applyFont="1" applyFill="1" applyBorder="1" applyAlignment="1">
      <alignment vertical="center" wrapText="1"/>
    </xf>
    <xf numFmtId="0" fontId="56" fillId="2" borderId="30" xfId="159" applyFont="1" applyFill="1" applyBorder="1" applyAlignment="1">
      <alignment vertical="center" wrapText="1"/>
    </xf>
    <xf numFmtId="0" fontId="56" fillId="2" borderId="26" xfId="159" applyFont="1" applyFill="1" applyBorder="1" applyAlignment="1">
      <alignment vertical="center" wrapText="1"/>
    </xf>
    <xf numFmtId="0" fontId="3" fillId="2" borderId="0" xfId="159" applyFill="1"/>
    <xf numFmtId="0" fontId="56" fillId="2" borderId="26" xfId="159" applyFont="1" applyFill="1" applyBorder="1" applyAlignment="1">
      <alignment vertical="center" wrapText="1"/>
    </xf>
    <xf numFmtId="0" fontId="56" fillId="2" borderId="27" xfId="159" applyFont="1" applyFill="1" applyBorder="1" applyAlignment="1">
      <alignment vertical="center" wrapText="1"/>
    </xf>
    <xf numFmtId="0" fontId="56" fillId="2" borderId="28" xfId="159" applyFont="1" applyFill="1" applyBorder="1" applyAlignment="1">
      <alignment vertical="center" wrapText="1"/>
    </xf>
    <xf numFmtId="0" fontId="56" fillId="2" borderId="30" xfId="159" applyFont="1" applyFill="1" applyBorder="1" applyAlignment="1">
      <alignment vertical="center" wrapText="1"/>
    </xf>
    <xf numFmtId="7" fontId="4" fillId="0" borderId="0" xfId="1" applyNumberFormat="1" applyFont="1" applyFill="1" applyBorder="1" applyAlignment="1">
      <alignment horizontal="center" vertical="center"/>
    </xf>
    <xf numFmtId="166" fontId="4" fillId="0" borderId="0" xfId="1" applyNumberFormat="1" applyFont="1" applyFill="1" applyBorder="1" applyAlignment="1">
      <alignment horizontal="center" vertical="center"/>
    </xf>
    <xf numFmtId="44" fontId="4" fillId="0" borderId="0" xfId="1" applyFont="1" applyFill="1" applyBorder="1" applyAlignment="1">
      <alignment horizontal="center" vertical="center" wrapText="1"/>
    </xf>
    <xf numFmtId="164" fontId="4" fillId="0" borderId="0" xfId="1" applyNumberFormat="1" applyFont="1" applyFill="1" applyBorder="1" applyAlignment="1">
      <alignment horizontal="center" vertical="center"/>
    </xf>
    <xf numFmtId="165" fontId="4" fillId="0" borderId="0" xfId="1" applyNumberFormat="1" applyFont="1" applyFill="1" applyBorder="1" applyAlignment="1">
      <alignment horizontal="center" vertical="center"/>
    </xf>
    <xf numFmtId="171" fontId="4" fillId="0" borderId="0" xfId="1" applyNumberFormat="1" applyFont="1" applyFill="1" applyBorder="1" applyAlignment="1">
      <alignment horizontal="center" vertical="center"/>
    </xf>
    <xf numFmtId="44" fontId="3" fillId="0" borderId="0" xfId="1" applyFont="1" applyFill="1" applyBorder="1" applyAlignment="1">
      <alignment horizontal="center" vertical="center"/>
    </xf>
    <xf numFmtId="4" fontId="4" fillId="0" borderId="0" xfId="0" applyNumberFormat="1" applyFont="1" applyFill="1" applyBorder="1" applyAlignment="1">
      <alignment horizontal="center" vertical="center"/>
    </xf>
    <xf numFmtId="4" fontId="4" fillId="0" borderId="0" xfId="1" applyNumberFormat="1" applyFont="1" applyFill="1" applyBorder="1" applyAlignment="1">
      <alignment horizontal="center" vertical="center"/>
    </xf>
    <xf numFmtId="44" fontId="20" fillId="0" borderId="0" xfId="1" applyFont="1" applyFill="1" applyBorder="1" applyAlignment="1">
      <alignment horizontal="center" vertical="center"/>
    </xf>
    <xf numFmtId="44" fontId="4" fillId="0" borderId="0" xfId="1" applyFont="1" applyFill="1" applyBorder="1" applyAlignment="1">
      <alignment horizontal="center" vertical="center"/>
    </xf>
    <xf numFmtId="0" fontId="4" fillId="0" borderId="0" xfId="0" applyFont="1" applyFill="1" applyBorder="1" applyAlignment="1">
      <alignment horizontal="center" vertical="center" wrapText="1"/>
    </xf>
    <xf numFmtId="0" fontId="78" fillId="0" borderId="0" xfId="0" applyFont="1" applyFill="1" applyBorder="1" applyAlignment="1">
      <alignment vertical="center"/>
    </xf>
    <xf numFmtId="0" fontId="5" fillId="0" borderId="0" xfId="0" applyFont="1" applyFill="1" applyBorder="1" applyAlignment="1">
      <alignment vertical="center"/>
    </xf>
    <xf numFmtId="0" fontId="7" fillId="0" borderId="0" xfId="0" applyFont="1" applyFill="1" applyBorder="1" applyAlignment="1">
      <alignment horizontal="center" vertical="center"/>
    </xf>
    <xf numFmtId="0" fontId="3" fillId="0" borderId="0" xfId="0" applyFont="1" applyFill="1" applyBorder="1" applyAlignment="1">
      <alignment vertical="center"/>
    </xf>
    <xf numFmtId="0" fontId="15" fillId="0" borderId="0" xfId="0" applyFont="1" applyFill="1" applyBorder="1" applyAlignment="1">
      <alignment horizontal="center" vertical="center" wrapText="1"/>
    </xf>
    <xf numFmtId="0" fontId="15" fillId="0" borderId="0" xfId="0" applyFont="1" applyFill="1" applyBorder="1" applyAlignment="1">
      <alignment horizontal="center" vertical="center"/>
    </xf>
    <xf numFmtId="1" fontId="4" fillId="0" borderId="0" xfId="0" applyNumberFormat="1" applyFont="1" applyFill="1" applyBorder="1" applyAlignment="1">
      <alignment horizontal="center" vertical="center"/>
    </xf>
    <xf numFmtId="0" fontId="4" fillId="0" borderId="0" xfId="0" applyFont="1" applyFill="1" applyBorder="1" applyAlignment="1">
      <alignment vertical="center" wrapText="1"/>
    </xf>
    <xf numFmtId="0" fontId="7" fillId="0" borderId="0" xfId="0" applyFont="1" applyFill="1" applyBorder="1" applyAlignment="1">
      <alignment horizontal="left" vertical="center"/>
    </xf>
    <xf numFmtId="0" fontId="8" fillId="0" borderId="0" xfId="0" applyFont="1" applyFill="1" applyBorder="1" applyAlignment="1">
      <alignment horizontal="left" vertical="center"/>
    </xf>
    <xf numFmtId="44" fontId="3" fillId="0" borderId="0" xfId="1" applyFont="1" applyFill="1" applyBorder="1" applyAlignment="1">
      <alignment horizontal="center" vertical="center" wrapText="1"/>
    </xf>
    <xf numFmtId="0" fontId="4" fillId="0" borderId="0" xfId="0" applyFont="1" applyFill="1" applyBorder="1" applyAlignment="1">
      <alignment horizontal="left" vertical="top" wrapText="1" shrinkToFit="1"/>
    </xf>
    <xf numFmtId="44" fontId="17" fillId="0" borderId="0" xfId="0" applyNumberFormat="1" applyFont="1" applyFill="1" applyBorder="1" applyAlignment="1">
      <alignment horizontal="center" vertical="center" wrapText="1"/>
    </xf>
    <xf numFmtId="44" fontId="17" fillId="0" borderId="0" xfId="0" applyNumberFormat="1" applyFont="1" applyFill="1" applyBorder="1" applyAlignment="1">
      <alignment horizontal="center" vertical="center"/>
    </xf>
    <xf numFmtId="1" fontId="4" fillId="0" borderId="0" xfId="0" applyNumberFormat="1" applyFont="1" applyFill="1" applyBorder="1" applyAlignment="1">
      <alignment horizontal="center" vertical="center" wrapText="1"/>
    </xf>
    <xf numFmtId="0" fontId="23" fillId="0" borderId="0" xfId="0" applyFont="1" applyFill="1" applyBorder="1" applyAlignment="1">
      <alignment vertical="center" wrapText="1"/>
    </xf>
    <xf numFmtId="1" fontId="17" fillId="0" borderId="0" xfId="0" applyNumberFormat="1" applyFont="1" applyFill="1" applyBorder="1" applyAlignment="1">
      <alignment horizontal="center" vertical="center"/>
    </xf>
    <xf numFmtId="0" fontId="17" fillId="0" borderId="0" xfId="0" applyFont="1" applyFill="1" applyBorder="1" applyAlignment="1">
      <alignment vertical="top" wrapText="1"/>
    </xf>
    <xf numFmtId="0" fontId="4" fillId="0" borderId="0" xfId="0" applyFont="1" applyFill="1" applyBorder="1" applyAlignment="1">
      <alignment vertical="top" wrapText="1"/>
    </xf>
    <xf numFmtId="44" fontId="4" fillId="0" borderId="0" xfId="0" applyNumberFormat="1" applyFont="1" applyFill="1" applyBorder="1" applyAlignment="1">
      <alignment horizontal="center" vertical="center"/>
    </xf>
    <xf numFmtId="0" fontId="17" fillId="0" borderId="0" xfId="2" applyFont="1" applyFill="1" applyBorder="1" applyAlignment="1">
      <alignment vertical="top" wrapText="1"/>
    </xf>
    <xf numFmtId="49" fontId="4" fillId="0" borderId="0" xfId="0" applyNumberFormat="1" applyFont="1" applyFill="1" applyBorder="1" applyAlignment="1">
      <alignment horizontal="center" vertical="center" wrapText="1" shrinkToFit="1"/>
    </xf>
    <xf numFmtId="1" fontId="4" fillId="0" borderId="0" xfId="0" applyNumberFormat="1" applyFont="1" applyFill="1" applyBorder="1" applyAlignment="1">
      <alignment horizontal="center" vertical="center" wrapText="1" shrinkToFit="1"/>
    </xf>
    <xf numFmtId="0" fontId="9" fillId="0" borderId="0" xfId="0" applyFont="1" applyFill="1" applyBorder="1" applyAlignment="1">
      <alignment horizontal="left" vertical="center" wrapText="1"/>
    </xf>
    <xf numFmtId="49" fontId="4" fillId="0" borderId="0" xfId="0" applyNumberFormat="1" applyFont="1" applyFill="1" applyBorder="1" applyAlignment="1">
      <alignment horizontal="center" vertical="center" shrinkToFit="1"/>
    </xf>
    <xf numFmtId="1" fontId="4" fillId="0" borderId="0" xfId="0" applyNumberFormat="1" applyFont="1" applyFill="1" applyBorder="1" applyAlignment="1">
      <alignment horizontal="center" vertical="center" shrinkToFit="1"/>
    </xf>
    <xf numFmtId="0" fontId="18" fillId="0" borderId="0" xfId="0" applyFont="1" applyFill="1" applyBorder="1" applyAlignment="1">
      <alignment horizontal="center" vertical="center"/>
    </xf>
    <xf numFmtId="0" fontId="16" fillId="0" borderId="0" xfId="0" applyFont="1" applyFill="1" applyBorder="1" applyAlignment="1">
      <alignment horizontal="left" vertical="center"/>
    </xf>
    <xf numFmtId="0" fontId="19" fillId="0" borderId="0" xfId="0" applyFont="1" applyFill="1" applyBorder="1" applyAlignment="1">
      <alignment horizontal="left" vertical="center"/>
    </xf>
    <xf numFmtId="1" fontId="18" fillId="0" borderId="0" xfId="0" applyNumberFormat="1" applyFont="1" applyFill="1" applyBorder="1" applyAlignment="1">
      <alignment horizontal="center" vertical="center"/>
    </xf>
    <xf numFmtId="44" fontId="20" fillId="0" borderId="0" xfId="1" applyFont="1" applyFill="1" applyBorder="1" applyAlignment="1">
      <alignment horizontal="center" vertical="center" wrapText="1"/>
    </xf>
    <xf numFmtId="0" fontId="18" fillId="0" borderId="0" xfId="0" applyFont="1" applyFill="1" applyBorder="1" applyAlignment="1">
      <alignment vertical="center" wrapText="1"/>
    </xf>
    <xf numFmtId="0" fontId="4" fillId="0" borderId="0" xfId="0" applyFont="1" applyFill="1" applyBorder="1"/>
    <xf numFmtId="0" fontId="15" fillId="0" borderId="0" xfId="0" applyFont="1" applyFill="1" applyBorder="1" applyAlignment="1">
      <alignment horizontal="center" vertical="center" wrapText="1"/>
    </xf>
    <xf numFmtId="0" fontId="3" fillId="0" borderId="0" xfId="0" applyFont="1" applyFill="1" applyBorder="1"/>
    <xf numFmtId="1" fontId="15" fillId="0" borderId="0" xfId="0" applyNumberFormat="1" applyFont="1" applyFill="1" applyBorder="1" applyAlignment="1">
      <alignment horizontal="center" vertical="center" wrapText="1"/>
    </xf>
    <xf numFmtId="0" fontId="15" fillId="0" borderId="0" xfId="0" applyFont="1" applyFill="1" applyBorder="1" applyAlignment="1">
      <alignment horizontal="center" vertical="top" wrapText="1"/>
    </xf>
    <xf numFmtId="0" fontId="4" fillId="0" borderId="0" xfId="0" applyFont="1" applyFill="1" applyBorder="1" applyAlignment="1">
      <alignment horizontal="center" vertical="center"/>
    </xf>
    <xf numFmtId="0" fontId="4" fillId="0" borderId="0" xfId="0" applyFont="1" applyFill="1" applyBorder="1" applyAlignment="1">
      <alignment horizontal="center" vertical="center" wrapText="1"/>
    </xf>
    <xf numFmtId="44" fontId="4" fillId="0" borderId="0" xfId="1" applyFont="1" applyFill="1" applyBorder="1" applyAlignment="1">
      <alignment horizontal="center" vertical="center"/>
    </xf>
    <xf numFmtId="44" fontId="17" fillId="0" borderId="0" xfId="0" applyNumberFormat="1" applyFont="1" applyFill="1" applyBorder="1" applyAlignment="1">
      <alignment horizontal="center" vertical="center"/>
    </xf>
    <xf numFmtId="0" fontId="4" fillId="0" borderId="3" xfId="0" applyFont="1" applyFill="1" applyBorder="1" applyAlignment="1">
      <alignment horizontal="center" vertical="center"/>
    </xf>
    <xf numFmtId="0" fontId="4" fillId="0" borderId="2" xfId="0" applyFont="1" applyFill="1" applyBorder="1" applyAlignment="1">
      <alignment horizontal="center" vertical="center"/>
    </xf>
    <xf numFmtId="0" fontId="4" fillId="0" borderId="4" xfId="0" applyFont="1" applyFill="1" applyBorder="1" applyAlignment="1">
      <alignment horizontal="center" vertical="center"/>
    </xf>
    <xf numFmtId="44" fontId="6" fillId="0" borderId="1" xfId="1" applyFont="1" applyFill="1" applyBorder="1" applyAlignment="1">
      <alignment horizontal="center" vertical="center"/>
    </xf>
    <xf numFmtId="44" fontId="4" fillId="0" borderId="1" xfId="1" applyFont="1" applyFill="1" applyBorder="1" applyAlignment="1">
      <alignment horizontal="center" vertical="center"/>
    </xf>
    <xf numFmtId="0" fontId="4" fillId="0" borderId="3"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4" xfId="0" applyFont="1" applyFill="1" applyBorder="1" applyAlignment="1">
      <alignment horizontal="center" vertical="center" wrapText="1"/>
    </xf>
    <xf numFmtId="44" fontId="4" fillId="0" borderId="3" xfId="1" applyFont="1" applyFill="1" applyBorder="1" applyAlignment="1">
      <alignment horizontal="center" vertical="center"/>
    </xf>
    <xf numFmtId="44" fontId="6" fillId="0" borderId="3" xfId="1" applyFont="1" applyFill="1" applyBorder="1" applyAlignment="1">
      <alignment horizontal="center" vertical="center"/>
    </xf>
    <xf numFmtId="0" fontId="6" fillId="0" borderId="1" xfId="0" applyFont="1" applyFill="1" applyBorder="1" applyAlignment="1">
      <alignment horizontal="center" vertical="center"/>
    </xf>
    <xf numFmtId="0" fontId="6" fillId="0" borderId="3" xfId="0" applyFont="1" applyFill="1" applyBorder="1" applyAlignment="1">
      <alignment horizontal="center" vertical="center"/>
    </xf>
    <xf numFmtId="0" fontId="6" fillId="0" borderId="2" xfId="0" applyFont="1" applyFill="1" applyBorder="1" applyAlignment="1">
      <alignment horizontal="center" vertical="center"/>
    </xf>
    <xf numFmtId="0" fontId="6" fillId="0" borderId="4" xfId="0" applyFont="1" applyFill="1" applyBorder="1" applyAlignment="1">
      <alignment horizontal="center" vertical="center"/>
    </xf>
    <xf numFmtId="44" fontId="17" fillId="0" borderId="3" xfId="0" applyNumberFormat="1" applyFont="1" applyFill="1" applyBorder="1" applyAlignment="1">
      <alignment horizontal="center" vertical="center"/>
    </xf>
    <xf numFmtId="44" fontId="17" fillId="0" borderId="2" xfId="0" applyNumberFormat="1" applyFont="1" applyFill="1" applyBorder="1" applyAlignment="1">
      <alignment horizontal="center" vertical="center"/>
    </xf>
    <xf numFmtId="44" fontId="17" fillId="0" borderId="4" xfId="0" applyNumberFormat="1" applyFont="1" applyFill="1" applyBorder="1" applyAlignment="1">
      <alignment horizontal="center" vertical="center"/>
    </xf>
    <xf numFmtId="0" fontId="15" fillId="3" borderId="1"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5" fillId="3" borderId="4" xfId="0" applyFont="1" applyFill="1" applyBorder="1" applyAlignment="1">
      <alignment horizontal="center" vertical="center" wrapText="1"/>
    </xf>
    <xf numFmtId="1" fontId="15" fillId="3" borderId="6" xfId="0" applyNumberFormat="1" applyFont="1" applyFill="1" applyBorder="1" applyAlignment="1">
      <alignment horizontal="center" vertical="center" wrapText="1"/>
    </xf>
    <xf numFmtId="1" fontId="15" fillId="3" borderId="7" xfId="0" applyNumberFormat="1" applyFont="1" applyFill="1" applyBorder="1" applyAlignment="1">
      <alignment horizontal="center" vertical="center" wrapText="1"/>
    </xf>
    <xf numFmtId="0" fontId="13" fillId="0" borderId="0" xfId="0" applyFont="1" applyBorder="1" applyAlignment="1">
      <alignment horizontal="center" vertical="center" wrapText="1"/>
    </xf>
    <xf numFmtId="0" fontId="4" fillId="0" borderId="1" xfId="0" applyFont="1" applyFill="1" applyBorder="1" applyAlignment="1">
      <alignment horizontal="center" vertical="center"/>
    </xf>
    <xf numFmtId="0" fontId="6" fillId="0" borderId="0" xfId="0" applyFont="1" applyFill="1" applyBorder="1" applyAlignment="1">
      <alignment horizontal="left" vertical="top" wrapText="1"/>
    </xf>
    <xf numFmtId="0" fontId="15" fillId="3" borderId="1" xfId="0" applyFont="1" applyFill="1" applyBorder="1" applyAlignment="1">
      <alignment horizontal="center" vertical="top" wrapText="1"/>
    </xf>
    <xf numFmtId="0" fontId="50" fillId="0" borderId="0" xfId="0" applyFont="1" applyBorder="1" applyAlignment="1">
      <alignment horizontal="center" vertical="center" wrapText="1"/>
    </xf>
    <xf numFmtId="0" fontId="14" fillId="0" borderId="0" xfId="0" applyFont="1" applyBorder="1" applyAlignment="1">
      <alignment horizontal="center" vertical="center" wrapText="1"/>
    </xf>
    <xf numFmtId="0" fontId="4" fillId="0" borderId="1" xfId="0" applyFont="1" applyFill="1" applyBorder="1" applyAlignment="1">
      <alignment horizontal="left" vertical="top" wrapText="1"/>
    </xf>
    <xf numFmtId="0" fontId="4" fillId="0" borderId="0" xfId="0" applyFont="1" applyFill="1" applyAlignment="1">
      <alignment horizontal="center" wrapText="1"/>
    </xf>
    <xf numFmtId="0" fontId="54" fillId="3" borderId="41" xfId="159" applyFont="1" applyFill="1" applyBorder="1" applyAlignment="1">
      <alignment horizontal="center" vertical="center" wrapText="1"/>
    </xf>
    <xf numFmtId="0" fontId="54" fillId="3" borderId="40" xfId="159" applyFont="1" applyFill="1" applyBorder="1" applyAlignment="1">
      <alignment horizontal="center" vertical="center" wrapText="1"/>
    </xf>
    <xf numFmtId="0" fontId="54" fillId="3" borderId="48" xfId="159" applyFont="1" applyFill="1" applyBorder="1" applyAlignment="1">
      <alignment horizontal="center" vertical="center" wrapText="1"/>
    </xf>
    <xf numFmtId="0" fontId="54" fillId="3" borderId="49" xfId="159" applyFont="1" applyFill="1" applyBorder="1" applyAlignment="1">
      <alignment horizontal="center" vertical="center" wrapText="1"/>
    </xf>
    <xf numFmtId="0" fontId="55" fillId="3" borderId="42" xfId="159" applyFont="1" applyFill="1" applyBorder="1" applyAlignment="1">
      <alignment horizontal="center" vertical="center" wrapText="1"/>
    </xf>
    <xf numFmtId="0" fontId="55" fillId="3" borderId="43" xfId="159" applyFont="1" applyFill="1" applyBorder="1" applyAlignment="1">
      <alignment horizontal="center" vertical="center" wrapText="1"/>
    </xf>
    <xf numFmtId="0" fontId="55" fillId="3" borderId="44" xfId="159" applyFont="1" applyFill="1" applyBorder="1" applyAlignment="1">
      <alignment horizontal="center" vertical="center" wrapText="1"/>
    </xf>
    <xf numFmtId="0" fontId="54" fillId="3" borderId="46" xfId="159" applyFont="1" applyFill="1" applyBorder="1" applyAlignment="1">
      <alignment horizontal="center" vertical="center" wrapText="1"/>
    </xf>
    <xf numFmtId="0" fontId="54" fillId="3" borderId="0" xfId="159" applyFont="1" applyFill="1" applyBorder="1" applyAlignment="1">
      <alignment horizontal="center" vertical="center" wrapText="1"/>
    </xf>
    <xf numFmtId="0" fontId="54" fillId="3" borderId="47" xfId="159" applyFont="1" applyFill="1" applyBorder="1" applyAlignment="1">
      <alignment horizontal="center" vertical="center" wrapText="1"/>
    </xf>
    <xf numFmtId="0" fontId="11" fillId="2" borderId="0" xfId="159" applyFont="1" applyFill="1" applyBorder="1" applyAlignment="1">
      <alignment vertical="center" wrapText="1"/>
    </xf>
    <xf numFmtId="0" fontId="11" fillId="2" borderId="31" xfId="159" applyFont="1" applyFill="1" applyBorder="1" applyAlignment="1">
      <alignment vertical="center" wrapText="1"/>
    </xf>
    <xf numFmtId="0" fontId="11" fillId="2" borderId="25" xfId="159" applyFont="1" applyFill="1" applyBorder="1" applyAlignment="1">
      <alignment vertical="center" wrapText="1"/>
    </xf>
  </cellXfs>
  <cellStyles count="284">
    <cellStyle name="20% - Accent1 2" xfId="4"/>
    <cellStyle name="20% - Accent1 3" xfId="5"/>
    <cellStyle name="20% - Accent1 4" xfId="160"/>
    <cellStyle name="20% - Accent2 2" xfId="6"/>
    <cellStyle name="20% - Accent2 3" xfId="7"/>
    <cellStyle name="20% - Accent2 4" xfId="161"/>
    <cellStyle name="20% - Accent3 2" xfId="8"/>
    <cellStyle name="20% - Accent3 2 2" xfId="9"/>
    <cellStyle name="20% - Accent3 3" xfId="10"/>
    <cellStyle name="20% - Accent3 4" xfId="162"/>
    <cellStyle name="20% - Accent4 2" xfId="11"/>
    <cellStyle name="20% - Accent4 3" xfId="12"/>
    <cellStyle name="20% - Accent4 4" xfId="163"/>
    <cellStyle name="20% - Accent5 2" xfId="13"/>
    <cellStyle name="20% - Accent5 3" xfId="14"/>
    <cellStyle name="20% - Accent5 4" xfId="164"/>
    <cellStyle name="20% - Accent6 2" xfId="15"/>
    <cellStyle name="20% - Accent6 3" xfId="16"/>
    <cellStyle name="40% - Accent1 2" xfId="17"/>
    <cellStyle name="40% - Accent1 3" xfId="18"/>
    <cellStyle name="40% - Accent1 4" xfId="19"/>
    <cellStyle name="40% - Accent1 4 2" xfId="20"/>
    <cellStyle name="40% - Accent1 4 2 2" xfId="165"/>
    <cellStyle name="40% - Accent1 4 3" xfId="166"/>
    <cellStyle name="40% - Accent1 4 4" xfId="167"/>
    <cellStyle name="40% - Accent1 5" xfId="168"/>
    <cellStyle name="40% - Accent2 2" xfId="21"/>
    <cellStyle name="40% - Accent2 3" xfId="22"/>
    <cellStyle name="40% - Accent2 4" xfId="169"/>
    <cellStyle name="40% - Accent3 2" xfId="23"/>
    <cellStyle name="40% - Accent3 3" xfId="24"/>
    <cellStyle name="40% - Accent3 4" xfId="170"/>
    <cellStyle name="40% - Accent4 2" xfId="25"/>
    <cellStyle name="40% - Accent4 3" xfId="26"/>
    <cellStyle name="40% - Accent4 4" xfId="171"/>
    <cellStyle name="40% - Accent5 2" xfId="27"/>
    <cellStyle name="40% - Accent5 3" xfId="28"/>
    <cellStyle name="40% - Accent5 4" xfId="172"/>
    <cellStyle name="40% - Accent6 2" xfId="29"/>
    <cellStyle name="40% - Accent6 3" xfId="30"/>
    <cellStyle name="40% - Accent6 4" xfId="173"/>
    <cellStyle name="60% - Accent1 2" xfId="31"/>
    <cellStyle name="60% - Accent1 3" xfId="32"/>
    <cellStyle name="60% - Accent1 4" xfId="174"/>
    <cellStyle name="60% - Accent2 2" xfId="33"/>
    <cellStyle name="60% - Accent2 3" xfId="34"/>
    <cellStyle name="60% - Accent2 4" xfId="175"/>
    <cellStyle name="60% - Accent3 2" xfId="35"/>
    <cellStyle name="60% - Accent3 3" xfId="36"/>
    <cellStyle name="60% - Accent3 4" xfId="176"/>
    <cellStyle name="60% - Accent4 2" xfId="37"/>
    <cellStyle name="60% - Accent4 3" xfId="38"/>
    <cellStyle name="60% - Accent4 4" xfId="177"/>
    <cellStyle name="60% - Accent5 2" xfId="39"/>
    <cellStyle name="60% - Accent5 3" xfId="40"/>
    <cellStyle name="60% - Accent5 4" xfId="178"/>
    <cellStyle name="60% - Accent6 2" xfId="41"/>
    <cellStyle name="60% - Accent6 3" xfId="42"/>
    <cellStyle name="60% - Accent6 4" xfId="179"/>
    <cellStyle name="Accent1 2" xfId="43"/>
    <cellStyle name="Accent1 3" xfId="44"/>
    <cellStyle name="Accent1 4" xfId="180"/>
    <cellStyle name="Accent2 2" xfId="45"/>
    <cellStyle name="Accent2 3" xfId="46"/>
    <cellStyle name="Accent3 2" xfId="47"/>
    <cellStyle name="Accent3 3" xfId="48"/>
    <cellStyle name="Accent4 2" xfId="49"/>
    <cellStyle name="Accent4 3" xfId="50"/>
    <cellStyle name="Accent4 4" xfId="181"/>
    <cellStyle name="Accent5 2" xfId="51"/>
    <cellStyle name="Accent5 3" xfId="52"/>
    <cellStyle name="Accent6 2" xfId="53"/>
    <cellStyle name="Accent6 3" xfId="54"/>
    <cellStyle name="Actual" xfId="182"/>
    <cellStyle name="ActualCurrency" xfId="183"/>
    <cellStyle name="ActualPercent" xfId="184"/>
    <cellStyle name="ActualValue" xfId="185"/>
    <cellStyle name="Bad 2" xfId="55"/>
    <cellStyle name="Bad 3" xfId="56"/>
    <cellStyle name="Blockout" xfId="57"/>
    <cellStyle name="Blockout 2" xfId="58"/>
    <cellStyle name="BLUE TABLE SHADED GREY" xfId="59"/>
    <cellStyle name="Calc 1" xfId="186"/>
    <cellStyle name="Calc 2" xfId="187"/>
    <cellStyle name="CalcRef" xfId="188"/>
    <cellStyle name="CalcRefCurrency" xfId="189"/>
    <cellStyle name="CalcRefPercent" xfId="190"/>
    <cellStyle name="CalcRefValue" xfId="191"/>
    <cellStyle name="Calculation 2" xfId="60"/>
    <cellStyle name="Calculation 3" xfId="61"/>
    <cellStyle name="Calculation 4" xfId="192"/>
    <cellStyle name="CaseSelection" xfId="193"/>
    <cellStyle name="Check Cell 2" xfId="62"/>
    <cellStyle name="Check Cell 3" xfId="63"/>
    <cellStyle name="Comma [0] 2" xfId="194"/>
    <cellStyle name="Comma [0] 3" xfId="195"/>
    <cellStyle name="Comma 10" xfId="196"/>
    <cellStyle name="Comma 12" xfId="197"/>
    <cellStyle name="Comma 2" xfId="64"/>
    <cellStyle name="Comma 2 2" xfId="65"/>
    <cellStyle name="Comma 2 2 2" xfId="198"/>
    <cellStyle name="Comma 2 3" xfId="66"/>
    <cellStyle name="Comma 2 3 2" xfId="199"/>
    <cellStyle name="Comma 2 4" xfId="67"/>
    <cellStyle name="Comma 2 4 2" xfId="270"/>
    <cellStyle name="Comma 2 5" xfId="200"/>
    <cellStyle name="Comma 2_Major Customer Project Data_15Nov2012" xfId="201"/>
    <cellStyle name="Comma 3" xfId="68"/>
    <cellStyle name="Comma 3 2" xfId="69"/>
    <cellStyle name="Comma 3 2 2" xfId="70"/>
    <cellStyle name="Comma 3 2 2 2" xfId="271"/>
    <cellStyle name="Comma 3 2 3" xfId="71"/>
    <cellStyle name="Comma 3 2 3 2" xfId="272"/>
    <cellStyle name="Comma 3 3" xfId="72"/>
    <cellStyle name="Comma 3 3 2" xfId="202"/>
    <cellStyle name="Comma 3 4" xfId="203"/>
    <cellStyle name="Comma 4" xfId="73"/>
    <cellStyle name="Comma 4 2" xfId="204"/>
    <cellStyle name="Comma 5" xfId="74"/>
    <cellStyle name="Comma 5 2" xfId="205"/>
    <cellStyle name="Comma 6" xfId="75"/>
    <cellStyle name="Comma 6 2" xfId="76"/>
    <cellStyle name="Comma 6 2 2" xfId="206"/>
    <cellStyle name="Comma 6 2 3" xfId="274"/>
    <cellStyle name="Comma 6 3" xfId="207"/>
    <cellStyle name="Comma 6 4" xfId="273"/>
    <cellStyle name="Comma 7" xfId="208"/>
    <cellStyle name="Comma 8" xfId="209"/>
    <cellStyle name="Comma 9" xfId="210"/>
    <cellStyle name="Currency" xfId="1" builtinId="4"/>
    <cellStyle name="Currency [0] 2" xfId="211"/>
    <cellStyle name="Currency [0] 3" xfId="212"/>
    <cellStyle name="Currency 10" xfId="213"/>
    <cellStyle name="Currency 11" xfId="214"/>
    <cellStyle name="Currency 12" xfId="215"/>
    <cellStyle name="Currency 2" xfId="77"/>
    <cellStyle name="Currency 2 2" xfId="78"/>
    <cellStyle name="Currency 2 2 2" xfId="79"/>
    <cellStyle name="Currency 2 3" xfId="80"/>
    <cellStyle name="Currency 2 4" xfId="81"/>
    <cellStyle name="Currency 2 4 2" xfId="275"/>
    <cellStyle name="Currency 3" xfId="82"/>
    <cellStyle name="Currency 3 2" xfId="216"/>
    <cellStyle name="Currency 4" xfId="83"/>
    <cellStyle name="Currency 4 2" xfId="84"/>
    <cellStyle name="Currency 4 2 2" xfId="276"/>
    <cellStyle name="Currency 5" xfId="85"/>
    <cellStyle name="Currency 5 2" xfId="217"/>
    <cellStyle name="Currency 6" xfId="86"/>
    <cellStyle name="Currency 6 2" xfId="87"/>
    <cellStyle name="Currency 6 2 2" xfId="218"/>
    <cellStyle name="Currency 6 3" xfId="219"/>
    <cellStyle name="Currency 7" xfId="88"/>
    <cellStyle name="Currency 7 2" xfId="89"/>
    <cellStyle name="Currency 7 2 2" xfId="220"/>
    <cellStyle name="Currency 7 2 3" xfId="278"/>
    <cellStyle name="Currency 7 3" xfId="221"/>
    <cellStyle name="Currency 7 4" xfId="277"/>
    <cellStyle name="Currency 8" xfId="222"/>
    <cellStyle name="Currency 9" xfId="223"/>
    <cellStyle name="DateD-MMM-YYYY" xfId="224"/>
    <cellStyle name="DateMMM-YY" xfId="225"/>
    <cellStyle name="ErrorCheck" xfId="226"/>
    <cellStyle name="Explanatory Text 2" xfId="90"/>
    <cellStyle name="Explanatory Text 3" xfId="91"/>
    <cellStyle name="Forecast" xfId="227"/>
    <cellStyle name="ForecastCurrency" xfId="228"/>
    <cellStyle name="ForecastPercent" xfId="229"/>
    <cellStyle name="ForecastValue" xfId="230"/>
    <cellStyle name="Generic" xfId="231"/>
    <cellStyle name="GenericCurrency" xfId="232"/>
    <cellStyle name="GenericPercent" xfId="233"/>
    <cellStyle name="GenericValue" xfId="234"/>
    <cellStyle name="Good 2" xfId="92"/>
    <cellStyle name="Good 3" xfId="93"/>
    <cellStyle name="Greyed out" xfId="235"/>
    <cellStyle name="Heading 1 2" xfId="94"/>
    <cellStyle name="Heading 1 3" xfId="95"/>
    <cellStyle name="Heading 1 4" xfId="236"/>
    <cellStyle name="Heading 2 2" xfId="96"/>
    <cellStyle name="Heading 2 3" xfId="97"/>
    <cellStyle name="Heading 2 4" xfId="237"/>
    <cellStyle name="Heading 3 2" xfId="98"/>
    <cellStyle name="Heading 3 3" xfId="99"/>
    <cellStyle name="Heading 3 4" xfId="238"/>
    <cellStyle name="Heading 4 2" xfId="100"/>
    <cellStyle name="Heading 4 3" xfId="101"/>
    <cellStyle name="Heading 4 4" xfId="239"/>
    <cellStyle name="Heading1" xfId="240"/>
    <cellStyle name="Heading2" xfId="241"/>
    <cellStyle name="Heading3" xfId="242"/>
    <cellStyle name="Inconsistant formula" xfId="243"/>
    <cellStyle name="Input - Macro Pasted" xfId="244"/>
    <cellStyle name="Input - Manual" xfId="245"/>
    <cellStyle name="Input - Manual Data Dump" xfId="246"/>
    <cellStyle name="Input 2" xfId="102"/>
    <cellStyle name="Input 3" xfId="103"/>
    <cellStyle name="Input1" xfId="104"/>
    <cellStyle name="Input1 2" xfId="105"/>
    <cellStyle name="Input1 3" xfId="106"/>
    <cellStyle name="Input1 4" xfId="107"/>
    <cellStyle name="Input1 5" xfId="108"/>
    <cellStyle name="Input2" xfId="109"/>
    <cellStyle name="Input3" xfId="110"/>
    <cellStyle name="Linked Cell 2" xfId="111"/>
    <cellStyle name="Linked Cell 3" xfId="112"/>
    <cellStyle name="Named Range Label" xfId="247"/>
    <cellStyle name="Named Range_BuildITHelp" xfId="248"/>
    <cellStyle name="Neutral 2" xfId="113"/>
    <cellStyle name="Neutral 3" xfId="114"/>
    <cellStyle name="Normal" xfId="0" builtinId="0"/>
    <cellStyle name="Normal 10" xfId="115"/>
    <cellStyle name="Normal 114" xfId="116"/>
    <cellStyle name="Normal 13" xfId="159"/>
    <cellStyle name="Normal 2" xfId="117"/>
    <cellStyle name="Normal 2 2" xfId="118"/>
    <cellStyle name="Normal 2 2 2" xfId="249"/>
    <cellStyle name="Normal 2 3" xfId="119"/>
    <cellStyle name="Normal 2 3 2" xfId="279"/>
    <cellStyle name="Normal 3" xfId="120"/>
    <cellStyle name="Normal 3 2" xfId="121"/>
    <cellStyle name="Normal 3 3" xfId="122"/>
    <cellStyle name="Normal 3 3 2" xfId="250"/>
    <cellStyle name="Normal 3 4" xfId="251"/>
    <cellStyle name="Normal 4" xfId="123"/>
    <cellStyle name="Normal 4 2" xfId="124"/>
    <cellStyle name="Normal 4 3" xfId="125"/>
    <cellStyle name="Normal 4 4" xfId="126"/>
    <cellStyle name="Normal 4 4 2" xfId="280"/>
    <cellStyle name="Normal 5" xfId="127"/>
    <cellStyle name="Normal 5 2" xfId="128"/>
    <cellStyle name="Normal 5 2 2" xfId="158"/>
    <cellStyle name="Normal 5 2 2 3 2 2" xfId="129"/>
    <cellStyle name="Normal 5 2 2 3 2 2 2" xfId="282"/>
    <cellStyle name="Normal 5 2 3" xfId="281"/>
    <cellStyle name="Normal 5 3" xfId="252"/>
    <cellStyle name="Normal 6" xfId="130"/>
    <cellStyle name="Normal 7" xfId="3"/>
    <cellStyle name="Normal 8" xfId="131"/>
    <cellStyle name="Normal 9" xfId="2"/>
    <cellStyle name="Normal 9 2" xfId="253"/>
    <cellStyle name="Note 2" xfId="132"/>
    <cellStyle name="Note 3" xfId="133"/>
    <cellStyle name="Output 2" xfId="134"/>
    <cellStyle name="Output 3" xfId="135"/>
    <cellStyle name="Output 4" xfId="254"/>
    <cellStyle name="PanelHeading" xfId="255"/>
    <cellStyle name="Pattern_SUMMARY (2)" xfId="136"/>
    <cellStyle name="Percent 2" xfId="137"/>
    <cellStyle name="Percent 2 2" xfId="138"/>
    <cellStyle name="Percent 2 2 2" xfId="139"/>
    <cellStyle name="Percent 2 2 2 2" xfId="283"/>
    <cellStyle name="Percent 2 3" xfId="140"/>
    <cellStyle name="Percent 2 3 2" xfId="256"/>
    <cellStyle name="Percent 2 4" xfId="257"/>
    <cellStyle name="Percent 3" xfId="141"/>
    <cellStyle name="Percent 3 2" xfId="142"/>
    <cellStyle name="Percent 4" xfId="143"/>
    <cellStyle name="Percent 5" xfId="144"/>
    <cellStyle name="Percent 6" xfId="258"/>
    <cellStyle name="Percent 7" xfId="259"/>
    <cellStyle name="SheetHeader1" xfId="145"/>
    <cellStyle name="SheetHeading" xfId="260"/>
    <cellStyle name="SheetlHeading" xfId="261"/>
    <cellStyle name="Style 1" xfId="146"/>
    <cellStyle name="Style 1 2" xfId="147"/>
    <cellStyle name="Style 1 3" xfId="148"/>
    <cellStyle name="Style 1 4" xfId="149"/>
    <cellStyle name="TableLvl2" xfId="150"/>
    <cellStyle name="TableLvl3" xfId="151"/>
    <cellStyle name="Title - grey" xfId="262"/>
    <cellStyle name="Title 1" xfId="263"/>
    <cellStyle name="Title 2" xfId="152"/>
    <cellStyle name="Title 3" xfId="153"/>
    <cellStyle name="Title 4" xfId="264"/>
    <cellStyle name="Total - General" xfId="265"/>
    <cellStyle name="Total - Grand" xfId="266"/>
    <cellStyle name="Total - Sub" xfId="267"/>
    <cellStyle name="Total 2" xfId="154"/>
    <cellStyle name="Total 3" xfId="155"/>
    <cellStyle name="Total 4" xfId="268"/>
    <cellStyle name="Units" xfId="269"/>
    <cellStyle name="Warning Text 2" xfId="156"/>
    <cellStyle name="Warning Text 3" xfId="157"/>
  </cellStyles>
  <dxfs count="0"/>
  <tableStyles count="0" defaultTableStyle="TableStyleMedium2" defaultPivotStyle="PivotStyleLight16"/>
  <colors>
    <mruColors>
      <color rgb="FF2C5697"/>
      <color rgb="FFC2DEEA"/>
      <color rgb="FF5BC6E8"/>
      <color rgb="FFA3DBE8"/>
      <color rgb="FFFFFF99"/>
      <color rgb="FFB1A0C7"/>
      <color rgb="FF00A1DE"/>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190501</xdr:colOff>
      <xdr:row>6</xdr:row>
      <xdr:rowOff>78442</xdr:rowOff>
    </xdr:from>
    <xdr:to>
      <xdr:col>1</xdr:col>
      <xdr:colOff>1456765</xdr:colOff>
      <xdr:row>9</xdr:row>
      <xdr:rowOff>33618</xdr:rowOff>
    </xdr:to>
    <xdr:pic>
      <xdr:nvPicPr>
        <xdr:cNvPr id="3" name="Picture 2"/>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582707" y="773207"/>
          <a:ext cx="1266264" cy="1613646"/>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47626</xdr:colOff>
      <xdr:row>0</xdr:row>
      <xdr:rowOff>0</xdr:rowOff>
    </xdr:from>
    <xdr:to>
      <xdr:col>3</xdr:col>
      <xdr:colOff>1028701</xdr:colOff>
      <xdr:row>6</xdr:row>
      <xdr:rowOff>213995</xdr:rowOff>
    </xdr:to>
    <xdr:pic>
      <xdr:nvPicPr>
        <xdr:cNvPr id="2" name="Picture 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638176" y="0"/>
          <a:ext cx="981075" cy="1159351"/>
        </a:xfrm>
        <a:prstGeom prst="rect">
          <a:avLst/>
        </a:prstGeom>
        <a:ln>
          <a:noFill/>
        </a:ln>
        <a:extLst>
          <a:ext uri="{53640926-AAD7-44D8-BBD7-CCE9431645EC}">
            <a14:shadowObscured xmlns:a14="http://schemas.microsoft.com/office/drawing/2010/main"/>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itservice.services.local/Group%20-%20Corporate%20Governance/Network%20Pricing/2016-17/Pricing/2.%20AER/16-04-05-FL%20DCOS%20New%20ARR%20allocation%20model%20v3.1.9.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page"/>
      <sheetName val="Disclaimer"/>
      <sheetName val="Colour legend &amp; notes"/>
      <sheetName val="&lt;-- Front matter"/>
      <sheetName val="TUOS SAC Large"/>
      <sheetName val="TUOS SAC Small"/>
      <sheetName val="TUOS CAC"/>
      <sheetName val="TUOS ICC"/>
      <sheetName val="Jurisdictional Charges"/>
      <sheetName val="DUOS SAC Small"/>
      <sheetName val="DUOS SAC Large"/>
      <sheetName val="DUOS CAC"/>
      <sheetName val="DUOS ICC"/>
      <sheetName val="A&amp;S all years"/>
      <sheetName val="&lt;&lt;-- Final results - Proj."/>
      <sheetName val="ICC Tariffs"/>
      <sheetName val="CAC Tariffs"/>
      <sheetName val="EG Tariffs"/>
      <sheetName val="CAC Tariff Rates"/>
      <sheetName val="SAC Large Tariff Rates"/>
      <sheetName val="SAC Small Tariff Rates"/>
      <sheetName val="SAC Unmetered Rates"/>
      <sheetName val="DLFs"/>
      <sheetName val="&lt;&lt;-- Final results - current yr"/>
      <sheetName val="Model builder"/>
      <sheetName val="Index lists"/>
      <sheetName val="Model log"/>
      <sheetName val="Input log"/>
      <sheetName val="DUOS inputs"/>
      <sheetName val="TUOS inputs"/>
      <sheetName val="&lt;-- Model builder"/>
      <sheetName val="Control panel"/>
      <sheetName val="Control - Pricing projection"/>
      <sheetName val="Control - TUOS, JS, and A&amp;S"/>
      <sheetName val="&lt;-- Controls"/>
      <sheetName val="Recon. rounded rates DUOS"/>
      <sheetName val="Allocation and recovery"/>
      <sheetName val="Inputs summary"/>
      <sheetName val="&lt;-- Summary"/>
      <sheetName val="Pr.Proj - TUOS - SACS Mt Isa"/>
      <sheetName val="Pr.Proj - TUOS - SACS"/>
      <sheetName val="Pr.Proj - TUOS - SACL"/>
      <sheetName val="Pr.Proj - TUOS - CAC"/>
      <sheetName val="Pr.Proj - TUOS - ICC"/>
      <sheetName val="&lt;-- Pr.Proj - TUOS"/>
      <sheetName val="TUOS status"/>
      <sheetName val="TUOS for CAW"/>
      <sheetName val="SAC TUOS Mt Isa"/>
      <sheetName val="SAC TUOS"/>
      <sheetName val="CAC TUOS"/>
      <sheetName val="ICC TUOS"/>
      <sheetName val="TUOS by TNI"/>
      <sheetName val="&lt;-- TUOS"/>
      <sheetName val="JS"/>
      <sheetName val="A&amp;S"/>
      <sheetName val="&lt;-- JS and A&amp;S costs"/>
      <sheetName val="Pr.Proj - Projected DUOS"/>
      <sheetName val="Pr.Proj - Summary"/>
      <sheetName val="Pr. Proj - Rate projection"/>
      <sheetName val="Pr. Proj - Extrapolation"/>
      <sheetName val="Pr. Proj. - CY values"/>
      <sheetName val="&lt;-- Pr.Proj - DUOS"/>
      <sheetName val="SAC Large rates and volumes"/>
      <sheetName val="SAC Small rates and volumes"/>
      <sheetName val="CAC rates and volumes"/>
      <sheetName val="EG rates and volumes"/>
      <sheetName val="ICC rates and volumes"/>
      <sheetName val="SAC allocations"/>
      <sheetName val="CAC allocations"/>
      <sheetName val="&lt;-- Rates and allocations"/>
      <sheetName val="Mixture model status"/>
      <sheetName val="Mixture model adjustment"/>
      <sheetName val="SAC prev year allocation"/>
      <sheetName val="CAC prev year allocation"/>
      <sheetName val="EG prev year allocation"/>
      <sheetName val="ICC prev year allocation"/>
      <sheetName val="Tariff volumes"/>
      <sheetName val="&lt;-- Mixture model"/>
      <sheetName val="Comm serv to ICC CAC SAC"/>
      <sheetName val="Admin other to CAC SAC"/>
      <sheetName val="Admin other to EG cust "/>
      <sheetName val="Admin other to ICC and EG Group"/>
      <sheetName val="Cust Stat Summary"/>
      <sheetName val="&lt;-- Admin, other, comm serv"/>
      <sheetName val="Table definitions"/>
      <sheetName val="Variable definitions"/>
      <sheetName val="&lt;-- Ancill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23">
          <cell r="E23" t="str">
            <v>2016-17</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ow r="24">
          <cell r="C24" t="str">
            <v>ID</v>
          </cell>
          <cell r="D24" t="str">
            <v>Tariff class</v>
          </cell>
          <cell r="E24" t="str">
            <v xml:space="preserve"> Tariff</v>
          </cell>
          <cell r="F24" t="str">
            <v>Charge</v>
          </cell>
          <cell r="G24" t="str">
            <v>Units</v>
          </cell>
          <cell r="H24" t="str">
            <v>2016-17</v>
          </cell>
          <cell r="I24" t="str">
            <v>2017-18</v>
          </cell>
          <cell r="J24" t="str">
            <v>2018-19</v>
          </cell>
          <cell r="K24" t="str">
            <v>2019-20</v>
          </cell>
          <cell r="L24" t="str">
            <v>2020-21</v>
          </cell>
        </row>
        <row r="25">
          <cell r="C25" t="str">
            <v>SAC small</v>
          </cell>
          <cell r="D25" t="str">
            <v>SAC Small Primary Tariffs</v>
          </cell>
          <cell r="E25" t="str">
            <v xml:space="preserve"> </v>
          </cell>
          <cell r="F25" t="str">
            <v>Fixed charge</v>
          </cell>
          <cell r="G25" t="str">
            <v>$/day</v>
          </cell>
          <cell r="H25">
            <v>0.16600000000000001</v>
          </cell>
          <cell r="I25">
            <v>0.17799999999999999</v>
          </cell>
          <cell r="J25">
            <v>0.153</v>
          </cell>
          <cell r="K25">
            <v>0.14599999999999999</v>
          </cell>
          <cell r="L25" t="e">
            <v>#VALUE!</v>
          </cell>
        </row>
        <row r="26">
          <cell r="C26" t="str">
            <v>SAC small</v>
          </cell>
          <cell r="D26" t="str">
            <v>SAC Small Primary Tariffs</v>
          </cell>
          <cell r="F26" t="str">
            <v>Volume charge</v>
          </cell>
          <cell r="G26" t="str">
            <v>$/kWh</v>
          </cell>
          <cell r="H26">
            <v>1.0120000000000001E-2</v>
          </cell>
          <cell r="I26">
            <v>1.108E-2</v>
          </cell>
          <cell r="J26">
            <v>9.75E-3</v>
          </cell>
          <cell r="K26">
            <v>9.4999999999999998E-3</v>
          </cell>
          <cell r="L26" t="e">
            <v>#VALUE!</v>
          </cell>
        </row>
        <row r="27">
          <cell r="C27" t="str">
            <v>SAC small controlled</v>
          </cell>
          <cell r="D27" t="str">
            <v>SAC Small Controlled Load Tariffs</v>
          </cell>
          <cell r="E27" t="str">
            <v xml:space="preserve"> </v>
          </cell>
          <cell r="F27" t="str">
            <v>Volume charge</v>
          </cell>
          <cell r="G27" t="str">
            <v>$/kWh</v>
          </cell>
          <cell r="H27">
            <v>1.0120000000000001E-2</v>
          </cell>
          <cell r="I27">
            <v>1.108E-2</v>
          </cell>
          <cell r="J27">
            <v>9.75E-3</v>
          </cell>
          <cell r="K27">
            <v>9.4999999999999998E-3</v>
          </cell>
          <cell r="L27" t="e">
            <v>#VALUE!</v>
          </cell>
        </row>
        <row r="28">
          <cell r="C28" t="str">
            <v>SAC small controlled</v>
          </cell>
          <cell r="D28" t="str">
            <v>SAC Small Controlled Load Tariffs</v>
          </cell>
        </row>
        <row r="29">
          <cell r="C29" t="str">
            <v>SAC large</v>
          </cell>
          <cell r="D29" t="str">
            <v>SAC Large</v>
          </cell>
          <cell r="E29" t="str">
            <v xml:space="preserve"> </v>
          </cell>
          <cell r="F29" t="str">
            <v>Fixed charge</v>
          </cell>
          <cell r="G29" t="str">
            <v>$/day</v>
          </cell>
          <cell r="H29">
            <v>0.89300000000000002</v>
          </cell>
          <cell r="I29">
            <v>0.97</v>
          </cell>
          <cell r="J29">
            <v>0.85</v>
          </cell>
          <cell r="K29">
            <v>0.82499999999999996</v>
          </cell>
          <cell r="L29" t="e">
            <v>#VALUE!</v>
          </cell>
        </row>
        <row r="30">
          <cell r="C30" t="str">
            <v>SAC large</v>
          </cell>
          <cell r="D30" t="str">
            <v>SAC Large</v>
          </cell>
          <cell r="F30" t="str">
            <v>Volume charge</v>
          </cell>
          <cell r="G30" t="str">
            <v>$/kWh</v>
          </cell>
          <cell r="H30">
            <v>1.31E-3</v>
          </cell>
          <cell r="I30">
            <v>1.4400000000000001E-3</v>
          </cell>
          <cell r="J30">
            <v>1.2600000000000001E-3</v>
          </cell>
          <cell r="K30">
            <v>1.2199999999999999E-3</v>
          </cell>
          <cell r="L30" t="e">
            <v>#VALUE!</v>
          </cell>
        </row>
        <row r="31">
          <cell r="C31" t="str">
            <v>CAC</v>
          </cell>
          <cell r="D31" t="str">
            <v>CAC</v>
          </cell>
          <cell r="E31" t="str">
            <v xml:space="preserve"> </v>
          </cell>
          <cell r="F31" t="str">
            <v>Fixed charge</v>
          </cell>
          <cell r="G31" t="str">
            <v>$/day</v>
          </cell>
          <cell r="H31">
            <v>16.751999999999999</v>
          </cell>
          <cell r="I31">
            <v>18.495000000000001</v>
          </cell>
          <cell r="J31">
            <v>16.236000000000001</v>
          </cell>
          <cell r="K31">
            <v>15.773</v>
          </cell>
          <cell r="L31" t="e">
            <v>#VALUE!</v>
          </cell>
        </row>
        <row r="32">
          <cell r="C32" t="str">
            <v>CAC</v>
          </cell>
          <cell r="D32" t="str">
            <v>CAC</v>
          </cell>
          <cell r="F32" t="str">
            <v>Volume charge</v>
          </cell>
          <cell r="G32" t="str">
            <v>$/kWh</v>
          </cell>
          <cell r="H32">
            <v>8.3000000000000001E-4</v>
          </cell>
          <cell r="I32">
            <v>8.9999999999999998E-4</v>
          </cell>
          <cell r="J32">
            <v>7.9000000000000001E-4</v>
          </cell>
          <cell r="K32">
            <v>7.6999999999999996E-4</v>
          </cell>
          <cell r="L32" t="e">
            <v>#VALUE!</v>
          </cell>
        </row>
        <row r="33">
          <cell r="C33" t="str">
            <v>ICC</v>
          </cell>
          <cell r="D33" t="str">
            <v>ICC</v>
          </cell>
          <cell r="E33" t="str">
            <v xml:space="preserve"> </v>
          </cell>
          <cell r="F33" t="str">
            <v>Fixed charge</v>
          </cell>
          <cell r="G33" t="str">
            <v>$/day</v>
          </cell>
          <cell r="H33">
            <v>134.11799999999999</v>
          </cell>
          <cell r="I33">
            <v>146.56800000000001</v>
          </cell>
          <cell r="J33">
            <v>128.53800000000001</v>
          </cell>
          <cell r="K33">
            <v>124.752</v>
          </cell>
          <cell r="L33" t="e">
            <v>#VALUE!</v>
          </cell>
        </row>
        <row r="34">
          <cell r="D34" t="str">
            <v>ICC</v>
          </cell>
        </row>
      </sheetData>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S178"/>
  <sheetViews>
    <sheetView showGridLines="0" tabSelected="1" topLeftCell="A4" zoomScale="80" zoomScaleNormal="80" workbookViewId="0">
      <selection activeCell="B8" sqref="B8:G8"/>
    </sheetView>
  </sheetViews>
  <sheetFormatPr defaultRowHeight="12.75" x14ac:dyDescent="0.2"/>
  <cols>
    <col min="1" max="1" width="5.85546875" style="1" bestFit="1" customWidth="1"/>
    <col min="2" max="2" width="33.85546875" style="2" customWidth="1"/>
    <col min="3" max="3" width="49.42578125" style="2" customWidth="1"/>
    <col min="4" max="7" width="11.7109375" style="2" customWidth="1"/>
    <col min="8" max="8" width="14.28515625" style="171" customWidth="1"/>
    <col min="9" max="10" width="10.7109375" style="1" customWidth="1"/>
    <col min="11" max="12" width="10.7109375" style="2" customWidth="1"/>
    <col min="13" max="13" width="19.140625" style="10" customWidth="1"/>
    <col min="14" max="14" width="33.28515625" style="7" customWidth="1"/>
    <col min="15" max="15" width="14.5703125" style="141" customWidth="1"/>
    <col min="16" max="16" width="12.5703125" style="169" customWidth="1"/>
    <col min="17" max="17" width="9.140625" style="163" customWidth="1"/>
    <col min="18" max="22" width="9.140625" style="2"/>
    <col min="23" max="31" width="9.140625" style="31"/>
    <col min="32" max="32" width="9.5703125" style="31" bestFit="1" customWidth="1"/>
    <col min="33" max="33" width="7.140625" style="31" customWidth="1"/>
    <col min="34" max="16384" width="9.140625" style="31"/>
  </cols>
  <sheetData>
    <row r="1" spans="1:71" ht="12.75" hidden="1" customHeight="1" x14ac:dyDescent="0.2">
      <c r="A1" s="5"/>
      <c r="B1" s="5"/>
      <c r="C1" s="5"/>
      <c r="D1" s="5"/>
      <c r="E1" s="5"/>
      <c r="F1" s="5"/>
      <c r="G1" s="5"/>
      <c r="H1" s="5"/>
      <c r="I1" s="5"/>
      <c r="J1" s="5"/>
      <c r="K1" s="5"/>
      <c r="L1" s="5"/>
      <c r="M1" s="5"/>
    </row>
    <row r="2" spans="1:71" hidden="1" x14ac:dyDescent="0.2">
      <c r="A2" s="5"/>
      <c r="B2" s="5"/>
      <c r="C2" s="5"/>
      <c r="D2" s="5"/>
      <c r="E2" s="5"/>
      <c r="F2" s="5"/>
      <c r="G2" s="5"/>
      <c r="H2" s="5"/>
      <c r="I2" s="5"/>
      <c r="J2" s="5"/>
      <c r="K2" s="5"/>
      <c r="L2" s="5"/>
      <c r="M2" s="5"/>
    </row>
    <row r="3" spans="1:71" hidden="1" x14ac:dyDescent="0.2">
      <c r="A3" s="5"/>
      <c r="B3" s="5"/>
      <c r="C3" s="5"/>
      <c r="D3" s="5"/>
      <c r="E3" s="5"/>
      <c r="F3" s="5"/>
      <c r="G3" s="5"/>
      <c r="H3" s="5"/>
      <c r="I3" s="5"/>
      <c r="J3" s="5"/>
      <c r="K3" s="5"/>
      <c r="L3" s="5"/>
      <c r="M3" s="5"/>
    </row>
    <row r="4" spans="1:71" x14ac:dyDescent="0.2">
      <c r="A4" s="5"/>
      <c r="B4" s="5"/>
      <c r="C4" s="5"/>
      <c r="D4" s="5"/>
      <c r="E4" s="5"/>
      <c r="F4" s="5"/>
      <c r="G4" s="5"/>
      <c r="H4" s="5"/>
      <c r="I4" s="5"/>
      <c r="J4" s="5"/>
      <c r="K4" s="5"/>
      <c r="L4" s="5"/>
      <c r="M4" s="5"/>
    </row>
    <row r="5" spans="1:71" x14ac:dyDescent="0.2">
      <c r="A5" s="5"/>
      <c r="B5" s="5"/>
      <c r="C5" s="5"/>
      <c r="D5" s="5"/>
      <c r="E5" s="5"/>
      <c r="F5" s="5"/>
      <c r="G5" s="5"/>
      <c r="H5" s="5"/>
      <c r="I5" s="5"/>
      <c r="J5" s="5"/>
      <c r="K5" s="5"/>
      <c r="L5" s="5"/>
      <c r="M5" s="5"/>
      <c r="N5" s="8"/>
      <c r="O5" s="142"/>
    </row>
    <row r="6" spans="1:71" x14ac:dyDescent="0.2">
      <c r="A6" s="5"/>
      <c r="D6" s="5"/>
      <c r="E6" s="4"/>
      <c r="F6" s="4"/>
      <c r="G6" s="5"/>
      <c r="H6" s="173"/>
      <c r="J6" s="4"/>
      <c r="K6" s="5"/>
      <c r="L6" s="4"/>
      <c r="M6" s="4"/>
      <c r="N6" s="5"/>
      <c r="O6" s="5"/>
    </row>
    <row r="7" spans="1:71" ht="36" customHeight="1" x14ac:dyDescent="0.2">
      <c r="A7" s="5"/>
      <c r="B7" s="323" t="s">
        <v>0</v>
      </c>
      <c r="C7" s="323"/>
      <c r="D7" s="323"/>
      <c r="E7" s="323"/>
      <c r="F7" s="323"/>
      <c r="G7" s="323"/>
      <c r="H7" s="202"/>
      <c r="I7" s="202"/>
      <c r="K7"/>
      <c r="L7"/>
      <c r="M7"/>
      <c r="N7"/>
      <c r="O7" s="143"/>
      <c r="AM7" s="293"/>
      <c r="AN7" s="293"/>
      <c r="AP7" s="293"/>
      <c r="AQ7" s="293"/>
    </row>
    <row r="8" spans="1:71" ht="46.5" customHeight="1" x14ac:dyDescent="0.2">
      <c r="A8" s="5"/>
      <c r="B8" s="323" t="s">
        <v>489</v>
      </c>
      <c r="C8" s="323"/>
      <c r="D8" s="323"/>
      <c r="E8" s="323"/>
      <c r="F8" s="323"/>
      <c r="G8" s="323"/>
      <c r="H8" s="174" t="s">
        <v>43</v>
      </c>
      <c r="I8" s="83"/>
      <c r="J8" s="329" t="s">
        <v>149</v>
      </c>
      <c r="K8" s="329"/>
      <c r="L8" s="329"/>
      <c r="M8" s="329"/>
      <c r="N8" s="329"/>
      <c r="O8" s="144"/>
      <c r="AA8" s="259"/>
      <c r="AF8" s="259"/>
      <c r="AM8" s="168"/>
      <c r="AN8" s="260"/>
      <c r="AP8" s="168"/>
      <c r="AQ8" s="260"/>
    </row>
    <row r="9" spans="1:71" ht="48" customHeight="1" x14ac:dyDescent="0.25">
      <c r="A9" s="9"/>
      <c r="B9" s="327" t="s">
        <v>506</v>
      </c>
      <c r="C9" s="327"/>
      <c r="D9" s="327" t="s">
        <v>490</v>
      </c>
      <c r="E9" s="327"/>
      <c r="F9" s="327" t="s">
        <v>490</v>
      </c>
      <c r="G9" s="327"/>
      <c r="H9" s="172"/>
      <c r="I9" s="82"/>
      <c r="J9" s="329" t="s">
        <v>461</v>
      </c>
      <c r="K9" s="329"/>
      <c r="L9" s="329"/>
      <c r="M9" s="329"/>
      <c r="N9" s="329"/>
      <c r="O9" s="144"/>
      <c r="AM9" s="168"/>
      <c r="AN9" s="260"/>
      <c r="AP9" s="168"/>
      <c r="AQ9" s="260"/>
    </row>
    <row r="10" spans="1:71" ht="18" x14ac:dyDescent="0.25">
      <c r="A10" s="9"/>
      <c r="B10" s="328"/>
      <c r="C10" s="328"/>
      <c r="D10" s="328"/>
      <c r="E10" s="328"/>
      <c r="F10" s="328"/>
      <c r="G10" s="328"/>
      <c r="H10" s="175"/>
      <c r="I10" s="129"/>
      <c r="J10" s="4"/>
      <c r="K10" s="12"/>
      <c r="L10" s="325"/>
      <c r="M10" s="325"/>
      <c r="N10" s="325"/>
      <c r="O10" s="145"/>
      <c r="AF10" s="261"/>
      <c r="AG10" s="261"/>
      <c r="AM10" s="262"/>
      <c r="AN10" s="260"/>
      <c r="AP10" s="262"/>
      <c r="AQ10" s="260"/>
    </row>
    <row r="11" spans="1:71" x14ac:dyDescent="0.2">
      <c r="A11" s="5"/>
      <c r="B11" s="4"/>
      <c r="C11" s="4"/>
      <c r="D11" s="4"/>
      <c r="E11" s="4"/>
      <c r="F11" s="4"/>
      <c r="G11" s="4"/>
      <c r="H11" s="172"/>
      <c r="I11" s="200"/>
      <c r="J11" s="200"/>
      <c r="K11" s="201"/>
      <c r="L11" s="201"/>
      <c r="M11" s="11"/>
      <c r="AF11" s="168"/>
      <c r="AG11" s="260"/>
    </row>
    <row r="12" spans="1:71" ht="33.75" customHeight="1" x14ac:dyDescent="0.2">
      <c r="A12" s="317" t="s">
        <v>1</v>
      </c>
      <c r="B12" s="317" t="s">
        <v>2</v>
      </c>
      <c r="C12" s="317" t="s">
        <v>281</v>
      </c>
      <c r="D12" s="318" t="s">
        <v>3</v>
      </c>
      <c r="E12" s="319"/>
      <c r="F12" s="319"/>
      <c r="G12" s="320"/>
      <c r="H12" s="321" t="s">
        <v>275</v>
      </c>
      <c r="I12" s="326" t="s">
        <v>278</v>
      </c>
      <c r="J12" s="326"/>
      <c r="K12" s="326" t="s">
        <v>279</v>
      </c>
      <c r="L12" s="326"/>
      <c r="M12" s="317" t="s">
        <v>280</v>
      </c>
      <c r="N12" s="317" t="s">
        <v>42</v>
      </c>
      <c r="O12" s="148" t="s">
        <v>314</v>
      </c>
      <c r="P12" s="317" t="s">
        <v>464</v>
      </c>
      <c r="Q12" s="164"/>
      <c r="AF12" s="168"/>
      <c r="AG12" s="260"/>
    </row>
    <row r="13" spans="1:71" s="260" customFormat="1" ht="24.75" customHeight="1" x14ac:dyDescent="0.2">
      <c r="A13" s="317"/>
      <c r="B13" s="317"/>
      <c r="C13" s="317"/>
      <c r="D13" s="111" t="s">
        <v>4</v>
      </c>
      <c r="E13" s="111" t="s">
        <v>276</v>
      </c>
      <c r="F13" s="111" t="s">
        <v>277</v>
      </c>
      <c r="G13" s="111" t="s">
        <v>5</v>
      </c>
      <c r="H13" s="322"/>
      <c r="I13" s="111" t="s">
        <v>6</v>
      </c>
      <c r="J13" s="111" t="s">
        <v>7</v>
      </c>
      <c r="K13" s="111" t="s">
        <v>6</v>
      </c>
      <c r="L13" s="111" t="s">
        <v>7</v>
      </c>
      <c r="M13" s="317"/>
      <c r="N13" s="317"/>
      <c r="O13" s="148" t="s">
        <v>313</v>
      </c>
      <c r="P13" s="317"/>
      <c r="Q13" s="163"/>
      <c r="R13" s="23"/>
      <c r="S13" s="23"/>
      <c r="T13" s="23"/>
      <c r="U13" s="23"/>
      <c r="V13" s="23"/>
      <c r="AF13" s="262"/>
      <c r="AM13" s="292"/>
      <c r="AN13" s="292"/>
      <c r="AO13" s="292"/>
      <c r="AP13" s="292"/>
      <c r="AQ13" s="292"/>
      <c r="AR13" s="292"/>
      <c r="AS13" s="292"/>
      <c r="AT13" s="294"/>
      <c r="AU13" s="295"/>
      <c r="AV13" s="295"/>
      <c r="AW13" s="295"/>
      <c r="AX13" s="295"/>
      <c r="AY13" s="292"/>
      <c r="AZ13" s="292"/>
      <c r="BA13" s="263"/>
      <c r="BB13" s="292"/>
      <c r="BD13" s="292"/>
      <c r="BE13" s="292"/>
      <c r="BF13" s="292"/>
      <c r="BG13" s="292"/>
      <c r="BH13" s="292"/>
      <c r="BI13" s="292"/>
      <c r="BJ13" s="292"/>
      <c r="BK13" s="294"/>
      <c r="BL13" s="295"/>
      <c r="BM13" s="295"/>
      <c r="BN13" s="295"/>
      <c r="BO13" s="295"/>
      <c r="BP13" s="292"/>
      <c r="BQ13" s="292"/>
      <c r="BR13" s="263"/>
      <c r="BS13" s="292"/>
    </row>
    <row r="14" spans="1:71" s="260" customFormat="1" ht="23.25" customHeight="1" x14ac:dyDescent="0.2">
      <c r="A14" s="61"/>
      <c r="B14" s="62" t="s">
        <v>44</v>
      </c>
      <c r="C14" s="63"/>
      <c r="D14" s="64"/>
      <c r="E14" s="64"/>
      <c r="F14" s="64"/>
      <c r="G14" s="64"/>
      <c r="H14" s="176"/>
      <c r="I14" s="65"/>
      <c r="J14" s="65"/>
      <c r="K14" s="64"/>
      <c r="L14" s="64"/>
      <c r="M14" s="66"/>
      <c r="N14" s="66"/>
      <c r="O14" s="66"/>
      <c r="P14" s="229"/>
      <c r="Q14" s="165"/>
      <c r="R14" s="24"/>
      <c r="S14" s="24"/>
      <c r="T14" s="24"/>
      <c r="U14" s="24"/>
      <c r="V14" s="24"/>
      <c r="AM14" s="292"/>
      <c r="AN14" s="292"/>
      <c r="AO14" s="292"/>
      <c r="AP14" s="264"/>
      <c r="AQ14" s="264"/>
      <c r="AR14" s="264"/>
      <c r="AS14" s="264"/>
      <c r="AT14" s="294"/>
      <c r="AU14" s="264"/>
      <c r="AV14" s="264"/>
      <c r="AW14" s="264"/>
      <c r="AX14" s="264"/>
      <c r="AY14" s="292"/>
      <c r="AZ14" s="292"/>
      <c r="BA14" s="263"/>
      <c r="BB14" s="292"/>
      <c r="BD14" s="292"/>
      <c r="BE14" s="292"/>
      <c r="BF14" s="292"/>
      <c r="BG14" s="264"/>
      <c r="BH14" s="264"/>
      <c r="BI14" s="264"/>
      <c r="BJ14" s="264"/>
      <c r="BK14" s="294"/>
      <c r="BL14" s="264"/>
      <c r="BM14" s="264"/>
      <c r="BN14" s="264"/>
      <c r="BO14" s="264"/>
      <c r="BP14" s="292"/>
      <c r="BQ14" s="292"/>
      <c r="BR14" s="263"/>
      <c r="BS14" s="292"/>
    </row>
    <row r="15" spans="1:71" ht="78.75" x14ac:dyDescent="0.2">
      <c r="A15" s="6">
        <v>1</v>
      </c>
      <c r="B15" s="18" t="s">
        <v>507</v>
      </c>
      <c r="C15" s="18" t="s">
        <v>508</v>
      </c>
      <c r="D15" s="300" t="s">
        <v>330</v>
      </c>
      <c r="E15" s="301"/>
      <c r="F15" s="301"/>
      <c r="G15" s="302"/>
      <c r="H15" s="177">
        <v>8000</v>
      </c>
      <c r="I15" s="115">
        <v>888.4</v>
      </c>
      <c r="J15" s="115">
        <f>I15*1.1</f>
        <v>977.24</v>
      </c>
      <c r="K15" s="115">
        <f t="shared" ref="K15" si="0">I15</f>
        <v>888.4</v>
      </c>
      <c r="L15" s="116">
        <f>J15</f>
        <v>977.24</v>
      </c>
      <c r="M15" s="16" t="s">
        <v>125</v>
      </c>
      <c r="N15" s="25" t="s">
        <v>109</v>
      </c>
      <c r="O15" s="149" t="s">
        <v>313</v>
      </c>
      <c r="P15" s="209" t="s">
        <v>465</v>
      </c>
      <c r="Q15" s="166"/>
      <c r="R15" s="3"/>
      <c r="S15" s="3"/>
      <c r="T15" s="3"/>
      <c r="U15" s="3"/>
      <c r="V15" s="3"/>
      <c r="AA15" s="247"/>
      <c r="AB15" s="247"/>
      <c r="AC15" s="247"/>
      <c r="AD15" s="247"/>
      <c r="AF15" s="168"/>
      <c r="AG15" s="168"/>
      <c r="AH15" s="168"/>
      <c r="AI15" s="168"/>
      <c r="AM15" s="36"/>
      <c r="AN15" s="32"/>
      <c r="AO15" s="32"/>
      <c r="AP15" s="296"/>
      <c r="AQ15" s="296"/>
      <c r="AR15" s="296"/>
      <c r="AS15" s="296"/>
      <c r="AT15" s="265"/>
      <c r="AU15" s="247"/>
      <c r="AV15" s="247"/>
      <c r="AW15" s="247"/>
      <c r="AX15" s="247"/>
      <c r="AY15" s="249"/>
      <c r="AZ15" s="266"/>
      <c r="BA15" s="258"/>
      <c r="BB15" s="224"/>
    </row>
    <row r="16" spans="1:71" ht="90" x14ac:dyDescent="0.2">
      <c r="A16" s="6">
        <v>2</v>
      </c>
      <c r="B16" s="18" t="s">
        <v>509</v>
      </c>
      <c r="C16" s="18" t="s">
        <v>510</v>
      </c>
      <c r="D16" s="300" t="s">
        <v>331</v>
      </c>
      <c r="E16" s="301"/>
      <c r="F16" s="301"/>
      <c r="G16" s="302"/>
      <c r="H16" s="178">
        <v>8001</v>
      </c>
      <c r="I16" s="115">
        <v>48.6</v>
      </c>
      <c r="J16" s="115">
        <f t="shared" ref="J16:J19" si="1">I16*1.1</f>
        <v>53.460000000000008</v>
      </c>
      <c r="K16" s="115">
        <f t="shared" ref="K16:K19" si="2">I16</f>
        <v>48.6</v>
      </c>
      <c r="L16" s="116">
        <f t="shared" ref="L16:L19" si="3">J16</f>
        <v>53.460000000000008</v>
      </c>
      <c r="M16" s="16" t="s">
        <v>125</v>
      </c>
      <c r="N16" s="25" t="s">
        <v>109</v>
      </c>
      <c r="O16" s="149" t="s">
        <v>313</v>
      </c>
      <c r="P16" s="209" t="s">
        <v>465</v>
      </c>
      <c r="Q16" s="3"/>
      <c r="R16" s="3"/>
      <c r="S16" s="3"/>
      <c r="T16" s="3"/>
      <c r="U16" s="3"/>
      <c r="V16" s="3"/>
      <c r="AA16" s="247"/>
      <c r="AB16" s="247"/>
      <c r="AC16" s="247"/>
      <c r="AD16" s="247"/>
      <c r="AF16" s="168"/>
      <c r="AG16" s="168"/>
      <c r="AH16" s="168"/>
      <c r="AI16" s="168"/>
      <c r="AM16" s="36"/>
      <c r="AN16" s="32"/>
      <c r="AO16" s="32"/>
      <c r="AP16" s="296"/>
      <c r="AQ16" s="296"/>
      <c r="AR16" s="296"/>
      <c r="AS16" s="296"/>
      <c r="AT16" s="265"/>
      <c r="AU16" s="247"/>
      <c r="AV16" s="247"/>
      <c r="AW16" s="247"/>
      <c r="AX16" s="247"/>
      <c r="AY16" s="249"/>
      <c r="AZ16" s="266"/>
      <c r="BA16" s="258"/>
      <c r="BB16" s="224"/>
    </row>
    <row r="17" spans="1:54" ht="90" x14ac:dyDescent="0.2">
      <c r="A17" s="6">
        <v>3</v>
      </c>
      <c r="B17" s="18" t="s">
        <v>511</v>
      </c>
      <c r="C17" s="18" t="s">
        <v>512</v>
      </c>
      <c r="D17" s="300" t="s">
        <v>332</v>
      </c>
      <c r="E17" s="301"/>
      <c r="F17" s="301"/>
      <c r="G17" s="302"/>
      <c r="H17" s="178">
        <v>8002</v>
      </c>
      <c r="I17" s="115">
        <v>220.7</v>
      </c>
      <c r="J17" s="115">
        <f t="shared" si="1"/>
        <v>242.77</v>
      </c>
      <c r="K17" s="115">
        <f t="shared" si="2"/>
        <v>220.7</v>
      </c>
      <c r="L17" s="116">
        <f t="shared" si="3"/>
        <v>242.77</v>
      </c>
      <c r="M17" s="16" t="s">
        <v>125</v>
      </c>
      <c r="N17" s="25" t="s">
        <v>109</v>
      </c>
      <c r="O17" s="149" t="s">
        <v>313</v>
      </c>
      <c r="P17" s="209" t="s">
        <v>465</v>
      </c>
      <c r="Q17" s="166"/>
      <c r="R17" s="3"/>
      <c r="S17" s="3"/>
      <c r="T17" s="3"/>
      <c r="U17" s="3"/>
      <c r="V17" s="3"/>
      <c r="AA17" s="247"/>
      <c r="AB17" s="247"/>
      <c r="AC17" s="247"/>
      <c r="AD17" s="247"/>
      <c r="AF17" s="168"/>
      <c r="AG17" s="168"/>
      <c r="AH17" s="168"/>
      <c r="AI17" s="168"/>
      <c r="AM17" s="36"/>
      <c r="AN17" s="32"/>
      <c r="AO17" s="32"/>
      <c r="AP17" s="296"/>
      <c r="AQ17" s="296"/>
      <c r="AR17" s="296"/>
      <c r="AS17" s="296"/>
      <c r="AT17" s="265"/>
      <c r="AU17" s="247"/>
      <c r="AV17" s="247"/>
      <c r="AW17" s="247"/>
      <c r="AX17" s="247"/>
      <c r="AY17" s="249"/>
      <c r="AZ17" s="266"/>
      <c r="BA17" s="258"/>
      <c r="BB17" s="224"/>
    </row>
    <row r="18" spans="1:54" ht="56.25" x14ac:dyDescent="0.2">
      <c r="A18" s="6">
        <v>4</v>
      </c>
      <c r="B18" s="18" t="s">
        <v>513</v>
      </c>
      <c r="C18" s="18" t="s">
        <v>514</v>
      </c>
      <c r="D18" s="300" t="s">
        <v>333</v>
      </c>
      <c r="E18" s="301"/>
      <c r="F18" s="301"/>
      <c r="G18" s="302"/>
      <c r="H18" s="177">
        <v>8003</v>
      </c>
      <c r="I18" s="115">
        <v>930.2</v>
      </c>
      <c r="J18" s="115">
        <f t="shared" si="1"/>
        <v>1023.2200000000001</v>
      </c>
      <c r="K18" s="115">
        <f t="shared" si="2"/>
        <v>930.2</v>
      </c>
      <c r="L18" s="116">
        <f t="shared" si="3"/>
        <v>1023.2200000000001</v>
      </c>
      <c r="M18" s="16" t="s">
        <v>125</v>
      </c>
      <c r="N18" s="25" t="s">
        <v>109</v>
      </c>
      <c r="O18" s="149" t="s">
        <v>313</v>
      </c>
      <c r="P18" s="209" t="s">
        <v>465</v>
      </c>
      <c r="Q18" s="166"/>
      <c r="R18" s="3"/>
      <c r="S18" s="3"/>
      <c r="T18" s="3"/>
      <c r="U18" s="3"/>
      <c r="V18" s="3"/>
      <c r="AA18" s="247"/>
      <c r="AB18" s="247"/>
      <c r="AC18" s="247"/>
      <c r="AD18" s="247"/>
      <c r="AF18" s="168"/>
      <c r="AG18" s="168"/>
      <c r="AH18" s="168"/>
      <c r="AI18" s="168"/>
      <c r="AM18" s="36"/>
      <c r="AN18" s="32"/>
      <c r="AO18" s="32"/>
      <c r="AP18" s="296"/>
      <c r="AQ18" s="296"/>
      <c r="AR18" s="296"/>
      <c r="AS18" s="296"/>
      <c r="AT18" s="265"/>
      <c r="AU18" s="247"/>
      <c r="AV18" s="247"/>
      <c r="AW18" s="247"/>
      <c r="AX18" s="247"/>
      <c r="AY18" s="249"/>
      <c r="AZ18" s="266"/>
      <c r="BA18" s="258"/>
      <c r="BB18" s="224"/>
    </row>
    <row r="19" spans="1:54" ht="33.75" x14ac:dyDescent="0.2">
      <c r="A19" s="6">
        <v>5</v>
      </c>
      <c r="B19" s="18" t="s">
        <v>515</v>
      </c>
      <c r="C19" s="18" t="s">
        <v>516</v>
      </c>
      <c r="D19" s="300" t="s">
        <v>334</v>
      </c>
      <c r="E19" s="301"/>
      <c r="F19" s="301"/>
      <c r="G19" s="302"/>
      <c r="H19" s="178">
        <v>8004</v>
      </c>
      <c r="I19" s="115">
        <v>1376.7</v>
      </c>
      <c r="J19" s="115">
        <f t="shared" si="1"/>
        <v>1514.3700000000001</v>
      </c>
      <c r="K19" s="115">
        <f t="shared" si="2"/>
        <v>1376.7</v>
      </c>
      <c r="L19" s="116">
        <f t="shared" si="3"/>
        <v>1514.3700000000001</v>
      </c>
      <c r="M19" s="16" t="s">
        <v>125</v>
      </c>
      <c r="N19" s="25" t="s">
        <v>109</v>
      </c>
      <c r="O19" s="149" t="s">
        <v>313</v>
      </c>
      <c r="P19" s="209" t="s">
        <v>465</v>
      </c>
      <c r="Q19" s="166"/>
      <c r="R19" s="3"/>
      <c r="S19" s="3"/>
      <c r="T19" s="3"/>
      <c r="U19" s="3"/>
      <c r="V19" s="3"/>
      <c r="AA19" s="247"/>
      <c r="AB19" s="247"/>
      <c r="AC19" s="247"/>
      <c r="AD19" s="247"/>
      <c r="AF19" s="168"/>
      <c r="AG19" s="168"/>
      <c r="AH19" s="168"/>
      <c r="AI19" s="168"/>
      <c r="AM19" s="36"/>
      <c r="AN19" s="32"/>
      <c r="AO19" s="32"/>
      <c r="AP19" s="296"/>
      <c r="AQ19" s="296"/>
      <c r="AR19" s="296"/>
      <c r="AS19" s="296"/>
      <c r="AT19" s="265"/>
      <c r="AU19" s="247"/>
      <c r="AV19" s="247"/>
      <c r="AW19" s="247"/>
      <c r="AX19" s="247"/>
      <c r="AY19" s="249"/>
      <c r="AZ19" s="266"/>
      <c r="BA19" s="258"/>
      <c r="BB19" s="224"/>
    </row>
    <row r="20" spans="1:54" ht="90" x14ac:dyDescent="0.2">
      <c r="A20" s="6">
        <v>40</v>
      </c>
      <c r="B20" s="19" t="s">
        <v>556</v>
      </c>
      <c r="C20" s="19" t="s">
        <v>557</v>
      </c>
      <c r="D20" s="324" t="s">
        <v>28</v>
      </c>
      <c r="E20" s="310"/>
      <c r="F20" s="310"/>
      <c r="G20" s="310"/>
      <c r="H20" s="178">
        <v>8005</v>
      </c>
      <c r="I20" s="303" t="s">
        <v>29</v>
      </c>
      <c r="J20" s="303"/>
      <c r="K20" s="303" t="s">
        <v>29</v>
      </c>
      <c r="L20" s="309"/>
      <c r="M20" s="16" t="s">
        <v>126</v>
      </c>
      <c r="N20" s="25" t="s">
        <v>110</v>
      </c>
      <c r="O20" s="149" t="s">
        <v>313</v>
      </c>
      <c r="P20" s="209" t="s">
        <v>465</v>
      </c>
      <c r="Q20" s="166"/>
      <c r="R20" s="3"/>
      <c r="S20" s="3"/>
      <c r="T20" s="3"/>
      <c r="U20" s="3"/>
      <c r="V20" s="3"/>
      <c r="AA20" s="298"/>
      <c r="AB20" s="298"/>
      <c r="AC20" s="298"/>
      <c r="AD20" s="298"/>
      <c r="AF20" s="168"/>
      <c r="AG20" s="168"/>
      <c r="AH20" s="168"/>
      <c r="AI20" s="168"/>
      <c r="AM20" s="36"/>
      <c r="AN20" s="32"/>
      <c r="AO20" s="32"/>
      <c r="AP20" s="296"/>
      <c r="AQ20" s="296"/>
      <c r="AR20" s="296"/>
      <c r="AS20" s="296"/>
      <c r="AT20" s="265"/>
      <c r="AU20" s="298"/>
      <c r="AV20" s="298"/>
      <c r="AW20" s="298"/>
      <c r="AX20" s="298"/>
      <c r="AY20" s="249"/>
      <c r="AZ20" s="266"/>
      <c r="BA20" s="258"/>
      <c r="BB20" s="224"/>
    </row>
    <row r="21" spans="1:54" ht="90" x14ac:dyDescent="0.2">
      <c r="A21" s="6">
        <v>41</v>
      </c>
      <c r="B21" s="19" t="s">
        <v>558</v>
      </c>
      <c r="C21" s="19" t="s">
        <v>559</v>
      </c>
      <c r="D21" s="310" t="s">
        <v>28</v>
      </c>
      <c r="E21" s="310"/>
      <c r="F21" s="310"/>
      <c r="G21" s="310"/>
      <c r="H21" s="178">
        <v>8006</v>
      </c>
      <c r="I21" s="303" t="s">
        <v>29</v>
      </c>
      <c r="J21" s="303"/>
      <c r="K21" s="303" t="s">
        <v>29</v>
      </c>
      <c r="L21" s="309"/>
      <c r="M21" s="16" t="s">
        <v>126</v>
      </c>
      <c r="N21" s="25" t="s">
        <v>110</v>
      </c>
      <c r="O21" s="149" t="s">
        <v>313</v>
      </c>
      <c r="P21" s="209" t="s">
        <v>465</v>
      </c>
      <c r="Q21" s="166"/>
      <c r="R21" s="3"/>
      <c r="S21" s="3"/>
      <c r="T21" s="3"/>
      <c r="U21" s="3"/>
      <c r="V21" s="3"/>
      <c r="AA21" s="298"/>
      <c r="AB21" s="298"/>
      <c r="AC21" s="298"/>
      <c r="AD21" s="298"/>
      <c r="AF21" s="168"/>
      <c r="AG21" s="168"/>
      <c r="AH21" s="168"/>
      <c r="AI21" s="168"/>
      <c r="AM21" s="36"/>
      <c r="AN21" s="32"/>
      <c r="AO21" s="32"/>
      <c r="AP21" s="296"/>
      <c r="AQ21" s="296"/>
      <c r="AR21" s="296"/>
      <c r="AS21" s="296"/>
      <c r="AT21" s="265"/>
      <c r="AU21" s="298"/>
      <c r="AV21" s="298"/>
      <c r="AW21" s="298"/>
      <c r="AX21" s="298"/>
      <c r="AY21" s="249"/>
      <c r="AZ21" s="266"/>
      <c r="BA21" s="258"/>
      <c r="BB21" s="224"/>
    </row>
    <row r="22" spans="1:54" ht="101.25" x14ac:dyDescent="0.2">
      <c r="A22" s="6">
        <v>42</v>
      </c>
      <c r="B22" s="19" t="s">
        <v>560</v>
      </c>
      <c r="C22" s="19" t="s">
        <v>561</v>
      </c>
      <c r="D22" s="310" t="s">
        <v>28</v>
      </c>
      <c r="E22" s="310"/>
      <c r="F22" s="310"/>
      <c r="G22" s="310"/>
      <c r="H22" s="178">
        <v>8007</v>
      </c>
      <c r="I22" s="303" t="s">
        <v>29</v>
      </c>
      <c r="J22" s="303"/>
      <c r="K22" s="303" t="s">
        <v>29</v>
      </c>
      <c r="L22" s="309"/>
      <c r="M22" s="15" t="s">
        <v>126</v>
      </c>
      <c r="N22" s="25" t="s">
        <v>110</v>
      </c>
      <c r="O22" s="149" t="s">
        <v>313</v>
      </c>
      <c r="P22" s="228" t="s">
        <v>465</v>
      </c>
      <c r="Q22" s="170"/>
      <c r="AA22" s="298"/>
      <c r="AB22" s="298"/>
      <c r="AC22" s="298"/>
      <c r="AD22" s="298"/>
      <c r="AF22" s="168"/>
      <c r="AG22" s="168"/>
      <c r="AH22" s="168"/>
      <c r="AI22" s="168"/>
      <c r="AM22" s="36"/>
      <c r="AN22" s="32"/>
      <c r="AO22" s="32"/>
      <c r="AP22" s="296"/>
      <c r="AQ22" s="296"/>
      <c r="AR22" s="296"/>
      <c r="AS22" s="296"/>
      <c r="AT22" s="265"/>
      <c r="AU22" s="298"/>
      <c r="AV22" s="298"/>
      <c r="AW22" s="298"/>
      <c r="AX22" s="298"/>
      <c r="AY22" s="249"/>
      <c r="AZ22" s="266"/>
      <c r="BA22" s="258"/>
      <c r="BB22" s="224"/>
    </row>
    <row r="23" spans="1:54" ht="112.5" x14ac:dyDescent="0.2">
      <c r="A23" s="6">
        <v>43</v>
      </c>
      <c r="B23" s="19" t="s">
        <v>562</v>
      </c>
      <c r="C23" s="19" t="s">
        <v>563</v>
      </c>
      <c r="D23" s="310" t="s">
        <v>28</v>
      </c>
      <c r="E23" s="310"/>
      <c r="F23" s="310"/>
      <c r="G23" s="310"/>
      <c r="H23" s="178">
        <v>8008</v>
      </c>
      <c r="I23" s="303" t="s">
        <v>29</v>
      </c>
      <c r="J23" s="303"/>
      <c r="K23" s="303" t="s">
        <v>29</v>
      </c>
      <c r="L23" s="309"/>
      <c r="M23" s="15" t="s">
        <v>126</v>
      </c>
      <c r="N23" s="25" t="s">
        <v>110</v>
      </c>
      <c r="O23" s="149" t="s">
        <v>313</v>
      </c>
      <c r="P23" s="228" t="s">
        <v>465</v>
      </c>
      <c r="Q23" s="170"/>
      <c r="AA23" s="298"/>
      <c r="AB23" s="298"/>
      <c r="AC23" s="298"/>
      <c r="AD23" s="298"/>
      <c r="AF23" s="168"/>
      <c r="AG23" s="168"/>
      <c r="AH23" s="168"/>
      <c r="AI23" s="168"/>
      <c r="AM23" s="36"/>
      <c r="AN23" s="32"/>
      <c r="AO23" s="32"/>
      <c r="AP23" s="296"/>
      <c r="AQ23" s="296"/>
      <c r="AR23" s="296"/>
      <c r="AS23" s="296"/>
      <c r="AT23" s="265"/>
      <c r="AU23" s="298"/>
      <c r="AV23" s="298"/>
      <c r="AW23" s="298"/>
      <c r="AX23" s="298"/>
      <c r="AY23" s="249"/>
      <c r="AZ23" s="266"/>
      <c r="BA23" s="258"/>
      <c r="BB23" s="224"/>
    </row>
    <row r="24" spans="1:54" ht="56.25" x14ac:dyDescent="0.2">
      <c r="A24" s="6">
        <v>44</v>
      </c>
      <c r="B24" s="19" t="s">
        <v>564</v>
      </c>
      <c r="C24" s="19" t="s">
        <v>565</v>
      </c>
      <c r="D24" s="310" t="s">
        <v>28</v>
      </c>
      <c r="E24" s="310"/>
      <c r="F24" s="310"/>
      <c r="G24" s="310"/>
      <c r="H24" s="178">
        <v>8009</v>
      </c>
      <c r="I24" s="303" t="s">
        <v>29</v>
      </c>
      <c r="J24" s="303"/>
      <c r="K24" s="303" t="s">
        <v>29</v>
      </c>
      <c r="L24" s="309"/>
      <c r="M24" s="15" t="s">
        <v>126</v>
      </c>
      <c r="N24" s="25" t="s">
        <v>110</v>
      </c>
      <c r="O24" s="149" t="s">
        <v>313</v>
      </c>
      <c r="P24" s="228" t="s">
        <v>465</v>
      </c>
      <c r="Q24" s="170"/>
      <c r="AA24" s="298"/>
      <c r="AB24" s="298"/>
      <c r="AC24" s="298"/>
      <c r="AD24" s="298"/>
      <c r="AF24" s="168"/>
      <c r="AG24" s="168"/>
      <c r="AH24" s="168"/>
      <c r="AI24" s="168"/>
      <c r="AM24" s="36"/>
      <c r="AN24" s="32"/>
      <c r="AO24" s="32"/>
      <c r="AP24" s="296"/>
      <c r="AQ24" s="296"/>
      <c r="AR24" s="296"/>
      <c r="AS24" s="296"/>
      <c r="AT24" s="265"/>
      <c r="AU24" s="298"/>
      <c r="AV24" s="298"/>
      <c r="AW24" s="298"/>
      <c r="AX24" s="298"/>
      <c r="AY24" s="249"/>
      <c r="AZ24" s="266"/>
      <c r="BA24" s="258"/>
      <c r="BB24" s="224"/>
    </row>
    <row r="25" spans="1:54" ht="56.25" x14ac:dyDescent="0.2">
      <c r="A25" s="6">
        <v>45</v>
      </c>
      <c r="B25" s="19" t="s">
        <v>566</v>
      </c>
      <c r="C25" s="19" t="s">
        <v>567</v>
      </c>
      <c r="D25" s="310" t="s">
        <v>28</v>
      </c>
      <c r="E25" s="310"/>
      <c r="F25" s="310"/>
      <c r="G25" s="310"/>
      <c r="H25" s="178">
        <v>8010</v>
      </c>
      <c r="I25" s="303" t="s">
        <v>29</v>
      </c>
      <c r="J25" s="303"/>
      <c r="K25" s="303" t="s">
        <v>29</v>
      </c>
      <c r="L25" s="309"/>
      <c r="M25" s="13" t="s">
        <v>126</v>
      </c>
      <c r="N25" s="25" t="s">
        <v>110</v>
      </c>
      <c r="O25" s="149" t="s">
        <v>313</v>
      </c>
      <c r="P25" s="228" t="s">
        <v>465</v>
      </c>
      <c r="Q25" s="170"/>
      <c r="AA25" s="298"/>
      <c r="AB25" s="298"/>
      <c r="AC25" s="298"/>
      <c r="AD25" s="298"/>
      <c r="AF25" s="168"/>
      <c r="AG25" s="168"/>
      <c r="AH25" s="168"/>
      <c r="AI25" s="168"/>
      <c r="AM25" s="36"/>
      <c r="AN25" s="32"/>
      <c r="AO25" s="32"/>
      <c r="AP25" s="296"/>
      <c r="AQ25" s="296"/>
      <c r="AR25" s="296"/>
      <c r="AS25" s="296"/>
      <c r="AT25" s="265"/>
      <c r="AU25" s="298"/>
      <c r="AV25" s="298"/>
      <c r="AW25" s="298"/>
      <c r="AX25" s="298"/>
      <c r="AY25" s="249"/>
      <c r="AZ25" s="266"/>
      <c r="BA25" s="258"/>
      <c r="BB25" s="224"/>
    </row>
    <row r="26" spans="1:54" ht="22.5" x14ac:dyDescent="0.2">
      <c r="A26" s="6">
        <v>46</v>
      </c>
      <c r="B26" s="19" t="s">
        <v>568</v>
      </c>
      <c r="C26" s="19" t="s">
        <v>569</v>
      </c>
      <c r="D26" s="310" t="s">
        <v>28</v>
      </c>
      <c r="E26" s="310"/>
      <c r="F26" s="310"/>
      <c r="G26" s="310"/>
      <c r="H26" s="178">
        <v>8011</v>
      </c>
      <c r="I26" s="303" t="s">
        <v>29</v>
      </c>
      <c r="J26" s="303"/>
      <c r="K26" s="303" t="s">
        <v>29</v>
      </c>
      <c r="L26" s="309"/>
      <c r="M26" s="15" t="s">
        <v>126</v>
      </c>
      <c r="N26" s="25" t="s">
        <v>110</v>
      </c>
      <c r="O26" s="149" t="s">
        <v>313</v>
      </c>
      <c r="P26" s="228" t="s">
        <v>465</v>
      </c>
      <c r="Q26" s="170"/>
      <c r="AA26" s="298"/>
      <c r="AB26" s="298"/>
      <c r="AC26" s="298"/>
      <c r="AD26" s="298"/>
      <c r="AF26" s="168"/>
      <c r="AG26" s="168"/>
      <c r="AH26" s="168"/>
      <c r="AI26" s="168"/>
      <c r="AM26" s="36"/>
      <c r="AN26" s="32"/>
      <c r="AO26" s="32"/>
      <c r="AP26" s="296"/>
      <c r="AQ26" s="296"/>
      <c r="AR26" s="296"/>
      <c r="AS26" s="296"/>
      <c r="AT26" s="265"/>
      <c r="AU26" s="298"/>
      <c r="AV26" s="298"/>
      <c r="AW26" s="298"/>
      <c r="AX26" s="298"/>
      <c r="AY26" s="249"/>
      <c r="AZ26" s="266"/>
      <c r="BA26" s="258"/>
      <c r="BB26" s="224"/>
    </row>
    <row r="27" spans="1:54" ht="135" x14ac:dyDescent="0.2">
      <c r="A27" s="6">
        <v>47</v>
      </c>
      <c r="B27" s="19" t="s">
        <v>570</v>
      </c>
      <c r="C27" s="19" t="s">
        <v>571</v>
      </c>
      <c r="D27" s="310" t="s">
        <v>28</v>
      </c>
      <c r="E27" s="310"/>
      <c r="F27" s="310"/>
      <c r="G27" s="310"/>
      <c r="H27" s="178">
        <v>8012</v>
      </c>
      <c r="I27" s="303" t="s">
        <v>29</v>
      </c>
      <c r="J27" s="303"/>
      <c r="K27" s="303" t="s">
        <v>29</v>
      </c>
      <c r="L27" s="309"/>
      <c r="M27" s="15" t="s">
        <v>126</v>
      </c>
      <c r="N27" s="25" t="s">
        <v>110</v>
      </c>
      <c r="O27" s="149" t="s">
        <v>313</v>
      </c>
      <c r="P27" s="228" t="s">
        <v>465</v>
      </c>
      <c r="Q27" s="170"/>
      <c r="AA27" s="298"/>
      <c r="AB27" s="298"/>
      <c r="AC27" s="298"/>
      <c r="AD27" s="298"/>
      <c r="AF27" s="168"/>
      <c r="AG27" s="168"/>
      <c r="AH27" s="168"/>
      <c r="AI27" s="168"/>
      <c r="AM27" s="36"/>
      <c r="AN27" s="32"/>
      <c r="AO27" s="32"/>
      <c r="AP27" s="296"/>
      <c r="AQ27" s="296"/>
      <c r="AR27" s="296"/>
      <c r="AS27" s="296"/>
      <c r="AT27" s="265"/>
      <c r="AU27" s="298"/>
      <c r="AV27" s="298"/>
      <c r="AW27" s="298"/>
      <c r="AX27" s="298"/>
      <c r="AY27" s="249"/>
      <c r="AZ27" s="266"/>
      <c r="BA27" s="258"/>
      <c r="BB27" s="224"/>
    </row>
    <row r="28" spans="1:54" ht="45" x14ac:dyDescent="0.2">
      <c r="A28" s="6">
        <v>48</v>
      </c>
      <c r="B28" s="19" t="s">
        <v>572</v>
      </c>
      <c r="C28" s="19" t="s">
        <v>573</v>
      </c>
      <c r="D28" s="310" t="s">
        <v>28</v>
      </c>
      <c r="E28" s="310"/>
      <c r="F28" s="310"/>
      <c r="G28" s="310"/>
      <c r="H28" s="178">
        <v>8013</v>
      </c>
      <c r="I28" s="303" t="s">
        <v>29</v>
      </c>
      <c r="J28" s="303"/>
      <c r="K28" s="303" t="s">
        <v>29</v>
      </c>
      <c r="L28" s="309"/>
      <c r="M28" s="15" t="s">
        <v>126</v>
      </c>
      <c r="N28" s="25" t="s">
        <v>110</v>
      </c>
      <c r="O28" s="149" t="s">
        <v>313</v>
      </c>
      <c r="P28" s="228" t="s">
        <v>465</v>
      </c>
      <c r="Q28" s="170"/>
      <c r="AA28" s="298"/>
      <c r="AB28" s="298"/>
      <c r="AC28" s="298"/>
      <c r="AD28" s="298"/>
      <c r="AF28" s="168"/>
      <c r="AG28" s="168"/>
      <c r="AH28" s="168"/>
      <c r="AI28" s="168"/>
      <c r="AM28" s="36"/>
      <c r="AN28" s="32"/>
      <c r="AO28" s="32"/>
      <c r="AP28" s="296"/>
      <c r="AQ28" s="296"/>
      <c r="AR28" s="296"/>
      <c r="AS28" s="296"/>
      <c r="AT28" s="265"/>
      <c r="AU28" s="298"/>
      <c r="AV28" s="298"/>
      <c r="AW28" s="298"/>
      <c r="AX28" s="298"/>
      <c r="AY28" s="249"/>
      <c r="AZ28" s="266"/>
      <c r="BA28" s="258"/>
      <c r="BB28" s="224"/>
    </row>
    <row r="29" spans="1:54" ht="33.75" x14ac:dyDescent="0.2">
      <c r="A29" s="6">
        <v>49</v>
      </c>
      <c r="B29" s="19" t="s">
        <v>574</v>
      </c>
      <c r="C29" s="19" t="s">
        <v>575</v>
      </c>
      <c r="D29" s="310" t="s">
        <v>28</v>
      </c>
      <c r="E29" s="310"/>
      <c r="F29" s="310"/>
      <c r="G29" s="310"/>
      <c r="H29" s="178">
        <v>8014</v>
      </c>
      <c r="I29" s="303" t="s">
        <v>29</v>
      </c>
      <c r="J29" s="303"/>
      <c r="K29" s="303" t="s">
        <v>29</v>
      </c>
      <c r="L29" s="309"/>
      <c r="M29" s="15" t="s">
        <v>126</v>
      </c>
      <c r="N29" s="25" t="s">
        <v>110</v>
      </c>
      <c r="O29" s="149" t="s">
        <v>313</v>
      </c>
      <c r="P29" s="228" t="s">
        <v>465</v>
      </c>
      <c r="Q29" s="170"/>
      <c r="AA29" s="298"/>
      <c r="AB29" s="298"/>
      <c r="AC29" s="298"/>
      <c r="AD29" s="298"/>
      <c r="AF29" s="168"/>
      <c r="AG29" s="168"/>
      <c r="AH29" s="168"/>
      <c r="AI29" s="168"/>
      <c r="AM29" s="36"/>
      <c r="AN29" s="32"/>
      <c r="AO29" s="32"/>
      <c r="AP29" s="296"/>
      <c r="AQ29" s="296"/>
      <c r="AR29" s="296"/>
      <c r="AS29" s="296"/>
      <c r="AT29" s="265"/>
      <c r="AU29" s="298"/>
      <c r="AV29" s="298"/>
      <c r="AW29" s="298"/>
      <c r="AX29" s="298"/>
      <c r="AY29" s="249"/>
      <c r="AZ29" s="266"/>
      <c r="BA29" s="258"/>
      <c r="BB29" s="224"/>
    </row>
    <row r="30" spans="1:54" ht="78.75" x14ac:dyDescent="0.2">
      <c r="A30" s="6">
        <v>50</v>
      </c>
      <c r="B30" s="19" t="s">
        <v>576</v>
      </c>
      <c r="C30" s="19" t="s">
        <v>577</v>
      </c>
      <c r="D30" s="310" t="s">
        <v>28</v>
      </c>
      <c r="E30" s="310"/>
      <c r="F30" s="310"/>
      <c r="G30" s="310"/>
      <c r="H30" s="178">
        <v>8015</v>
      </c>
      <c r="I30" s="303" t="s">
        <v>29</v>
      </c>
      <c r="J30" s="303"/>
      <c r="K30" s="303" t="s">
        <v>29</v>
      </c>
      <c r="L30" s="309"/>
      <c r="M30" s="15" t="s">
        <v>126</v>
      </c>
      <c r="N30" s="25" t="s">
        <v>110</v>
      </c>
      <c r="O30" s="149" t="s">
        <v>313</v>
      </c>
      <c r="P30" s="228" t="s">
        <v>465</v>
      </c>
      <c r="Q30" s="170"/>
      <c r="AA30" s="298"/>
      <c r="AB30" s="298"/>
      <c r="AC30" s="298"/>
      <c r="AD30" s="298"/>
      <c r="AF30" s="168"/>
      <c r="AG30" s="168"/>
      <c r="AH30" s="168"/>
      <c r="AI30" s="168"/>
      <c r="AM30" s="36"/>
      <c r="AN30" s="32"/>
      <c r="AO30" s="32"/>
      <c r="AP30" s="296"/>
      <c r="AQ30" s="296"/>
      <c r="AR30" s="296"/>
      <c r="AS30" s="296"/>
      <c r="AT30" s="265"/>
      <c r="AU30" s="298"/>
      <c r="AV30" s="298"/>
      <c r="AW30" s="298"/>
      <c r="AX30" s="298"/>
      <c r="AY30" s="249"/>
      <c r="AZ30" s="266"/>
      <c r="BA30" s="258"/>
      <c r="BB30" s="224"/>
    </row>
    <row r="31" spans="1:54" s="260" customFormat="1" x14ac:dyDescent="0.2">
      <c r="A31" s="61"/>
      <c r="B31" s="62" t="s">
        <v>45</v>
      </c>
      <c r="C31" s="67"/>
      <c r="D31" s="68"/>
      <c r="E31" s="68"/>
      <c r="F31" s="68"/>
      <c r="G31" s="68"/>
      <c r="H31" s="179"/>
      <c r="I31" s="69"/>
      <c r="J31" s="69"/>
      <c r="K31" s="69"/>
      <c r="L31" s="69"/>
      <c r="M31" s="70"/>
      <c r="N31" s="70"/>
      <c r="O31" s="70"/>
      <c r="P31" s="227"/>
      <c r="Q31" s="167"/>
      <c r="R31" s="24"/>
      <c r="S31" s="24"/>
      <c r="T31" s="24"/>
      <c r="U31" s="24"/>
      <c r="V31" s="24"/>
      <c r="AA31" s="253"/>
      <c r="AB31" s="253"/>
      <c r="AC31" s="253"/>
      <c r="AD31" s="253"/>
      <c r="AF31" s="168"/>
      <c r="AG31" s="168"/>
      <c r="AH31" s="168"/>
      <c r="AI31" s="168"/>
      <c r="AM31" s="224"/>
      <c r="AN31" s="267"/>
      <c r="AO31" s="268"/>
      <c r="AP31" s="224"/>
      <c r="AQ31" s="224"/>
      <c r="AR31" s="224"/>
      <c r="AS31" s="224"/>
      <c r="AT31" s="265"/>
      <c r="AU31" s="253"/>
      <c r="AV31" s="253"/>
      <c r="AW31" s="253"/>
      <c r="AX31" s="253"/>
      <c r="AY31" s="269"/>
      <c r="AZ31" s="269"/>
      <c r="BA31" s="269"/>
      <c r="BB31" s="266"/>
    </row>
    <row r="32" spans="1:54" ht="33.75" x14ac:dyDescent="0.2">
      <c r="A32" s="71">
        <v>6</v>
      </c>
      <c r="B32" s="72" t="s">
        <v>517</v>
      </c>
      <c r="C32" s="73" t="s">
        <v>518</v>
      </c>
      <c r="D32" s="74" t="s">
        <v>8</v>
      </c>
      <c r="E32" s="74" t="s">
        <v>9</v>
      </c>
      <c r="F32" s="74"/>
      <c r="G32" s="74"/>
      <c r="H32" s="180">
        <v>8020</v>
      </c>
      <c r="I32" s="117">
        <v>412.7</v>
      </c>
      <c r="J32" s="117">
        <f t="shared" ref="J32:J33" si="4">I32*1.1</f>
        <v>453.97</v>
      </c>
      <c r="K32" s="117"/>
      <c r="L32" s="118"/>
      <c r="M32" s="75" t="s">
        <v>125</v>
      </c>
      <c r="N32" s="76" t="s">
        <v>133</v>
      </c>
      <c r="O32" s="109" t="s">
        <v>314</v>
      </c>
      <c r="P32" s="209" t="s">
        <v>466</v>
      </c>
      <c r="Q32" s="166"/>
      <c r="R32" s="3"/>
      <c r="S32" s="3"/>
      <c r="T32" s="3"/>
      <c r="U32" s="3"/>
      <c r="V32" s="3"/>
      <c r="AA32" s="247"/>
      <c r="AB32" s="247"/>
      <c r="AC32" s="247"/>
      <c r="AD32" s="247"/>
      <c r="AF32" s="168"/>
      <c r="AG32" s="168"/>
      <c r="AH32" s="168"/>
      <c r="AI32" s="168"/>
      <c r="AM32" s="36"/>
      <c r="AN32" s="32"/>
      <c r="AO32" s="32"/>
      <c r="AP32" s="224"/>
      <c r="AQ32" s="224"/>
      <c r="AR32" s="224"/>
      <c r="AS32" s="224"/>
      <c r="AT32" s="265"/>
      <c r="AU32" s="247"/>
      <c r="AV32" s="247"/>
      <c r="AW32" s="247"/>
      <c r="AX32" s="247"/>
      <c r="AY32" s="249"/>
      <c r="AZ32" s="266"/>
      <c r="BA32" s="258"/>
      <c r="BB32" s="224"/>
    </row>
    <row r="33" spans="1:54" ht="45" x14ac:dyDescent="0.2">
      <c r="A33" s="17" t="s">
        <v>46</v>
      </c>
      <c r="B33" s="19" t="s">
        <v>519</v>
      </c>
      <c r="C33" s="19" t="s">
        <v>520</v>
      </c>
      <c r="D33" s="41" t="s">
        <v>47</v>
      </c>
      <c r="E33" s="41" t="s">
        <v>48</v>
      </c>
      <c r="F33" s="44"/>
      <c r="G33" s="44"/>
      <c r="H33" s="178">
        <v>8021</v>
      </c>
      <c r="I33" s="116">
        <v>116.9</v>
      </c>
      <c r="J33" s="116">
        <f t="shared" si="4"/>
        <v>128.59</v>
      </c>
      <c r="K33" s="119"/>
      <c r="L33" s="120"/>
      <c r="M33" s="15" t="s">
        <v>125</v>
      </c>
      <c r="N33" s="25" t="s">
        <v>109</v>
      </c>
      <c r="O33" s="149" t="s">
        <v>314</v>
      </c>
      <c r="P33" s="209" t="s">
        <v>467</v>
      </c>
      <c r="Q33" s="166"/>
      <c r="R33" s="3"/>
      <c r="S33" s="3"/>
      <c r="T33" s="3"/>
      <c r="U33" s="3"/>
      <c r="V33" s="3"/>
      <c r="AA33" s="247"/>
      <c r="AB33" s="247"/>
      <c r="AC33" s="247"/>
      <c r="AD33" s="247"/>
      <c r="AF33" s="168"/>
      <c r="AG33" s="168"/>
      <c r="AH33" s="168"/>
      <c r="AI33" s="168"/>
      <c r="AM33" s="36"/>
      <c r="AN33" s="32"/>
      <c r="AO33" s="32"/>
      <c r="AP33" s="224"/>
      <c r="AQ33" s="224"/>
      <c r="AR33" s="224"/>
      <c r="AS33" s="224"/>
      <c r="AT33" s="265"/>
      <c r="AU33" s="247"/>
      <c r="AV33" s="247"/>
      <c r="AW33" s="247"/>
      <c r="AX33" s="247"/>
      <c r="AY33" s="249"/>
      <c r="AZ33" s="266"/>
      <c r="BA33" s="258"/>
      <c r="BB33" s="224"/>
    </row>
    <row r="34" spans="1:54" ht="33.75" x14ac:dyDescent="0.2">
      <c r="A34" s="71">
        <v>7</v>
      </c>
      <c r="B34" s="72" t="s">
        <v>521</v>
      </c>
      <c r="C34" s="73" t="s">
        <v>518</v>
      </c>
      <c r="D34" s="74"/>
      <c r="E34" s="74"/>
      <c r="F34" s="74" t="s">
        <v>10</v>
      </c>
      <c r="G34" s="74" t="s">
        <v>11</v>
      </c>
      <c r="H34" s="180">
        <v>8022</v>
      </c>
      <c r="I34" s="117"/>
      <c r="J34" s="117"/>
      <c r="K34" s="117">
        <v>412.7</v>
      </c>
      <c r="L34" s="117">
        <f>K34*1.1</f>
        <v>453.97</v>
      </c>
      <c r="M34" s="75" t="s">
        <v>125</v>
      </c>
      <c r="N34" s="76" t="s">
        <v>133</v>
      </c>
      <c r="O34" s="109" t="s">
        <v>314</v>
      </c>
      <c r="P34" s="209" t="s">
        <v>466</v>
      </c>
      <c r="Q34" s="166"/>
      <c r="R34" s="3"/>
      <c r="S34" s="3"/>
      <c r="T34" s="3"/>
      <c r="U34" s="3"/>
      <c r="V34" s="3"/>
      <c r="AA34" s="247"/>
      <c r="AB34" s="247"/>
      <c r="AC34" s="247"/>
      <c r="AD34" s="247"/>
      <c r="AF34" s="168"/>
      <c r="AG34" s="168"/>
      <c r="AH34" s="168"/>
      <c r="AI34" s="168"/>
      <c r="AM34" s="36"/>
      <c r="AN34" s="32"/>
      <c r="AO34" s="32"/>
      <c r="AP34" s="224"/>
      <c r="AQ34" s="224"/>
      <c r="AR34" s="224"/>
      <c r="AS34" s="224"/>
      <c r="AT34" s="265"/>
      <c r="AU34" s="247"/>
      <c r="AV34" s="247"/>
      <c r="AW34" s="247"/>
      <c r="AX34" s="247"/>
      <c r="AY34" s="249"/>
      <c r="AZ34" s="266"/>
      <c r="BA34" s="258"/>
      <c r="BB34" s="224"/>
    </row>
    <row r="35" spans="1:54" ht="45" x14ac:dyDescent="0.2">
      <c r="A35" s="71" t="s">
        <v>49</v>
      </c>
      <c r="B35" s="72" t="s">
        <v>522</v>
      </c>
      <c r="C35" s="73" t="s">
        <v>520</v>
      </c>
      <c r="D35" s="74"/>
      <c r="E35" s="74"/>
      <c r="F35" s="74" t="s">
        <v>50</v>
      </c>
      <c r="G35" s="74" t="s">
        <v>51</v>
      </c>
      <c r="H35" s="180">
        <v>8023</v>
      </c>
      <c r="I35" s="117"/>
      <c r="J35" s="117"/>
      <c r="K35" s="117">
        <v>412.7</v>
      </c>
      <c r="L35" s="117">
        <f>K35*1.1</f>
        <v>453.97</v>
      </c>
      <c r="M35" s="75" t="s">
        <v>125</v>
      </c>
      <c r="N35" s="76" t="s">
        <v>469</v>
      </c>
      <c r="O35" s="109" t="s">
        <v>314</v>
      </c>
      <c r="P35" s="209" t="s">
        <v>467</v>
      </c>
      <c r="Q35" s="166"/>
      <c r="R35" s="3"/>
      <c r="S35" s="3"/>
      <c r="T35" s="3"/>
      <c r="U35" s="3"/>
      <c r="V35" s="3"/>
      <c r="AA35" s="247"/>
      <c r="AB35" s="247"/>
      <c r="AC35" s="247"/>
      <c r="AD35" s="247"/>
      <c r="AF35" s="168"/>
      <c r="AG35" s="168"/>
      <c r="AH35" s="168"/>
      <c r="AI35" s="168"/>
      <c r="AM35" s="36"/>
      <c r="AN35" s="32"/>
      <c r="AO35" s="32"/>
      <c r="AP35" s="224"/>
      <c r="AQ35" s="224"/>
      <c r="AR35" s="224"/>
      <c r="AS35" s="224"/>
      <c r="AT35" s="265"/>
      <c r="AU35" s="247"/>
      <c r="AV35" s="247"/>
      <c r="AW35" s="247"/>
      <c r="AX35" s="247"/>
      <c r="AY35" s="249"/>
      <c r="AZ35" s="266"/>
      <c r="BA35" s="258"/>
      <c r="BB35" s="224"/>
    </row>
    <row r="36" spans="1:54" ht="33.75" x14ac:dyDescent="0.2">
      <c r="A36" s="71">
        <v>8</v>
      </c>
      <c r="B36" s="72" t="s">
        <v>523</v>
      </c>
      <c r="C36" s="73" t="s">
        <v>524</v>
      </c>
      <c r="D36" s="74" t="s">
        <v>12</v>
      </c>
      <c r="E36" s="74" t="s">
        <v>13</v>
      </c>
      <c r="F36" s="74"/>
      <c r="G36" s="74"/>
      <c r="H36" s="180">
        <v>8024</v>
      </c>
      <c r="I36" s="117">
        <v>412.7</v>
      </c>
      <c r="J36" s="117">
        <f t="shared" ref="J36:J37" si="5">I36*1.1</f>
        <v>453.97</v>
      </c>
      <c r="K36" s="117"/>
      <c r="L36" s="118"/>
      <c r="M36" s="75" t="s">
        <v>125</v>
      </c>
      <c r="N36" s="76" t="s">
        <v>133</v>
      </c>
      <c r="O36" s="109" t="s">
        <v>314</v>
      </c>
      <c r="P36" s="209" t="s">
        <v>466</v>
      </c>
      <c r="Q36" s="166"/>
      <c r="R36" s="3"/>
      <c r="S36" s="3"/>
      <c r="T36" s="3"/>
      <c r="U36" s="3"/>
      <c r="V36" s="3"/>
      <c r="AA36" s="247"/>
      <c r="AB36" s="247"/>
      <c r="AC36" s="247"/>
      <c r="AD36" s="247"/>
      <c r="AF36" s="168"/>
      <c r="AG36" s="168"/>
      <c r="AH36" s="168"/>
      <c r="AI36" s="168"/>
      <c r="AM36" s="36"/>
      <c r="AN36" s="32"/>
      <c r="AO36" s="32"/>
      <c r="AP36" s="224"/>
      <c r="AQ36" s="224"/>
      <c r="AR36" s="224"/>
      <c r="AS36" s="224"/>
      <c r="AT36" s="265"/>
      <c r="AU36" s="247"/>
      <c r="AV36" s="247"/>
      <c r="AW36" s="247"/>
      <c r="AX36" s="247"/>
      <c r="AY36" s="249"/>
      <c r="AZ36" s="266"/>
      <c r="BA36" s="258"/>
      <c r="BB36" s="224"/>
    </row>
    <row r="37" spans="1:54" ht="45" x14ac:dyDescent="0.2">
      <c r="A37" s="17" t="s">
        <v>52</v>
      </c>
      <c r="B37" s="19" t="s">
        <v>525</v>
      </c>
      <c r="C37" s="19" t="s">
        <v>526</v>
      </c>
      <c r="D37" s="41" t="s">
        <v>53</v>
      </c>
      <c r="E37" s="41" t="s">
        <v>54</v>
      </c>
      <c r="F37" s="44"/>
      <c r="G37" s="44"/>
      <c r="H37" s="181">
        <v>8025</v>
      </c>
      <c r="I37" s="116">
        <v>116.9</v>
      </c>
      <c r="J37" s="116">
        <f t="shared" si="5"/>
        <v>128.59</v>
      </c>
      <c r="K37" s="119"/>
      <c r="L37" s="120"/>
      <c r="M37" s="15" t="s">
        <v>125</v>
      </c>
      <c r="N37" s="25" t="s">
        <v>109</v>
      </c>
      <c r="O37" s="149" t="s">
        <v>314</v>
      </c>
      <c r="P37" s="209" t="s">
        <v>467</v>
      </c>
      <c r="Q37" s="166"/>
      <c r="R37" s="3"/>
      <c r="S37" s="3"/>
      <c r="T37" s="3"/>
      <c r="U37" s="3"/>
      <c r="V37" s="3"/>
      <c r="AA37" s="247"/>
      <c r="AB37" s="247"/>
      <c r="AC37" s="247"/>
      <c r="AD37" s="247"/>
      <c r="AF37" s="168"/>
      <c r="AG37" s="168"/>
      <c r="AH37" s="168"/>
      <c r="AI37" s="168"/>
      <c r="AM37" s="36"/>
      <c r="AN37" s="32"/>
      <c r="AO37" s="32"/>
      <c r="AP37" s="224"/>
      <c r="AQ37" s="224"/>
      <c r="AR37" s="224"/>
      <c r="AS37" s="224"/>
      <c r="AT37" s="265"/>
      <c r="AU37" s="247"/>
      <c r="AV37" s="247"/>
      <c r="AW37" s="247"/>
      <c r="AX37" s="247"/>
      <c r="AY37" s="249"/>
      <c r="AZ37" s="266"/>
      <c r="BA37" s="258"/>
      <c r="BB37" s="224"/>
    </row>
    <row r="38" spans="1:54" ht="33.75" x14ac:dyDescent="0.2">
      <c r="A38" s="71">
        <v>9</v>
      </c>
      <c r="B38" s="72" t="s">
        <v>527</v>
      </c>
      <c r="C38" s="73" t="s">
        <v>524</v>
      </c>
      <c r="D38" s="74"/>
      <c r="E38" s="74"/>
      <c r="F38" s="74" t="s">
        <v>14</v>
      </c>
      <c r="G38" s="74" t="s">
        <v>15</v>
      </c>
      <c r="H38" s="180">
        <v>8026</v>
      </c>
      <c r="I38" s="117"/>
      <c r="J38" s="117"/>
      <c r="K38" s="117">
        <v>412.7</v>
      </c>
      <c r="L38" s="117">
        <f t="shared" ref="L38:L39" si="6">K38*1.1</f>
        <v>453.97</v>
      </c>
      <c r="M38" s="75" t="s">
        <v>125</v>
      </c>
      <c r="N38" s="76" t="s">
        <v>133</v>
      </c>
      <c r="O38" s="109" t="s">
        <v>314</v>
      </c>
      <c r="P38" s="209" t="s">
        <v>466</v>
      </c>
      <c r="Q38" s="166"/>
      <c r="R38" s="3"/>
      <c r="S38" s="3"/>
      <c r="T38" s="3"/>
      <c r="U38" s="3"/>
      <c r="V38" s="3"/>
      <c r="AA38" s="247"/>
      <c r="AB38" s="247"/>
      <c r="AC38" s="247"/>
      <c r="AD38" s="247"/>
      <c r="AF38" s="168"/>
      <c r="AG38" s="168"/>
      <c r="AH38" s="168"/>
      <c r="AI38" s="168"/>
      <c r="AM38" s="36"/>
      <c r="AN38" s="32"/>
      <c r="AO38" s="32"/>
      <c r="AP38" s="224"/>
      <c r="AQ38" s="224"/>
      <c r="AR38" s="224"/>
      <c r="AS38" s="224"/>
      <c r="AT38" s="265"/>
      <c r="AU38" s="247"/>
      <c r="AV38" s="247"/>
      <c r="AW38" s="247"/>
      <c r="AX38" s="247"/>
      <c r="AY38" s="249"/>
      <c r="AZ38" s="266"/>
      <c r="BA38" s="258"/>
      <c r="BB38" s="224"/>
    </row>
    <row r="39" spans="1:54" ht="45" x14ac:dyDescent="0.2">
      <c r="A39" s="71" t="s">
        <v>55</v>
      </c>
      <c r="B39" s="72" t="s">
        <v>528</v>
      </c>
      <c r="C39" s="73" t="s">
        <v>529</v>
      </c>
      <c r="D39" s="74"/>
      <c r="E39" s="74"/>
      <c r="F39" s="74" t="s">
        <v>56</v>
      </c>
      <c r="G39" s="74" t="s">
        <v>57</v>
      </c>
      <c r="H39" s="180">
        <v>8027</v>
      </c>
      <c r="I39" s="117"/>
      <c r="J39" s="117"/>
      <c r="K39" s="117">
        <v>412.7</v>
      </c>
      <c r="L39" s="117">
        <f t="shared" si="6"/>
        <v>453.97</v>
      </c>
      <c r="M39" s="75" t="s">
        <v>125</v>
      </c>
      <c r="N39" s="76" t="s">
        <v>469</v>
      </c>
      <c r="O39" s="109" t="s">
        <v>314</v>
      </c>
      <c r="P39" s="209" t="s">
        <v>467</v>
      </c>
      <c r="Q39" s="166"/>
      <c r="R39" s="3"/>
      <c r="S39" s="3"/>
      <c r="T39" s="3"/>
      <c r="U39" s="3"/>
      <c r="V39" s="3"/>
      <c r="AA39" s="247"/>
      <c r="AB39" s="247"/>
      <c r="AC39" s="247"/>
      <c r="AD39" s="247"/>
      <c r="AF39" s="168"/>
      <c r="AG39" s="168"/>
      <c r="AH39" s="168"/>
      <c r="AI39" s="168"/>
      <c r="AM39" s="36"/>
      <c r="AN39" s="32"/>
      <c r="AO39" s="32"/>
      <c r="AP39" s="224"/>
      <c r="AQ39" s="224"/>
      <c r="AR39" s="224"/>
      <c r="AS39" s="224"/>
      <c r="AT39" s="265"/>
      <c r="AU39" s="247"/>
      <c r="AV39" s="247"/>
      <c r="AW39" s="247"/>
      <c r="AX39" s="247"/>
      <c r="AY39" s="249"/>
      <c r="AZ39" s="266"/>
      <c r="BA39" s="258"/>
      <c r="BB39" s="224"/>
    </row>
    <row r="40" spans="1:54" ht="56.25" x14ac:dyDescent="0.2">
      <c r="A40" s="6">
        <v>51</v>
      </c>
      <c r="B40" s="19" t="s">
        <v>578</v>
      </c>
      <c r="C40" s="19" t="s">
        <v>579</v>
      </c>
      <c r="D40" s="310" t="s">
        <v>28</v>
      </c>
      <c r="E40" s="310"/>
      <c r="F40" s="310"/>
      <c r="G40" s="310"/>
      <c r="H40" s="178">
        <v>8028</v>
      </c>
      <c r="I40" s="303" t="s">
        <v>29</v>
      </c>
      <c r="J40" s="303"/>
      <c r="K40" s="303" t="s">
        <v>29</v>
      </c>
      <c r="L40" s="309"/>
      <c r="M40" s="15" t="s">
        <v>126</v>
      </c>
      <c r="N40" s="25" t="s">
        <v>110</v>
      </c>
      <c r="O40" s="149" t="s">
        <v>313</v>
      </c>
      <c r="P40" s="228" t="s">
        <v>465</v>
      </c>
      <c r="Q40" s="170"/>
      <c r="AA40" s="298"/>
      <c r="AB40" s="298"/>
      <c r="AC40" s="298"/>
      <c r="AD40" s="298"/>
      <c r="AF40" s="168"/>
      <c r="AG40" s="168"/>
      <c r="AH40" s="168"/>
      <c r="AI40" s="168"/>
      <c r="AM40" s="36"/>
      <c r="AN40" s="32"/>
      <c r="AO40" s="32"/>
      <c r="AP40" s="296"/>
      <c r="AQ40" s="296"/>
      <c r="AR40" s="296"/>
      <c r="AS40" s="296"/>
      <c r="AT40" s="265"/>
      <c r="AU40" s="298"/>
      <c r="AV40" s="298"/>
      <c r="AW40" s="298"/>
      <c r="AX40" s="298"/>
      <c r="AY40" s="249"/>
      <c r="AZ40" s="266"/>
      <c r="BA40" s="258"/>
      <c r="BB40" s="224"/>
    </row>
    <row r="41" spans="1:54" ht="157.5" x14ac:dyDescent="0.2">
      <c r="A41" s="6">
        <v>52</v>
      </c>
      <c r="B41" s="19" t="s">
        <v>580</v>
      </c>
      <c r="C41" s="19" t="s">
        <v>581</v>
      </c>
      <c r="D41" s="310" t="s">
        <v>28</v>
      </c>
      <c r="E41" s="310"/>
      <c r="F41" s="310"/>
      <c r="G41" s="310"/>
      <c r="H41" s="178">
        <v>8029</v>
      </c>
      <c r="I41" s="303" t="s">
        <v>29</v>
      </c>
      <c r="J41" s="303"/>
      <c r="K41" s="303" t="s">
        <v>29</v>
      </c>
      <c r="L41" s="309"/>
      <c r="M41" s="39" t="s">
        <v>126</v>
      </c>
      <c r="N41" s="25" t="s">
        <v>110</v>
      </c>
      <c r="O41" s="149" t="s">
        <v>313</v>
      </c>
      <c r="P41" s="228" t="s">
        <v>466</v>
      </c>
      <c r="Q41" s="170"/>
      <c r="AA41" s="298"/>
      <c r="AB41" s="298"/>
      <c r="AC41" s="298"/>
      <c r="AD41" s="298"/>
      <c r="AF41" s="168"/>
      <c r="AG41" s="168"/>
      <c r="AH41" s="168"/>
      <c r="AI41" s="168"/>
      <c r="AM41" s="36"/>
      <c r="AN41" s="32"/>
      <c r="AO41" s="32"/>
      <c r="AP41" s="296"/>
      <c r="AQ41" s="296"/>
      <c r="AR41" s="296"/>
      <c r="AS41" s="296"/>
      <c r="AT41" s="265"/>
      <c r="AU41" s="298"/>
      <c r="AV41" s="298"/>
      <c r="AW41" s="298"/>
      <c r="AX41" s="298"/>
      <c r="AY41" s="249"/>
      <c r="AZ41" s="266"/>
      <c r="BA41" s="258"/>
      <c r="BB41" s="224"/>
    </row>
    <row r="42" spans="1:54" ht="56.25" x14ac:dyDescent="0.2">
      <c r="A42" s="6">
        <v>53</v>
      </c>
      <c r="B42" s="19" t="s">
        <v>582</v>
      </c>
      <c r="C42" s="19" t="s">
        <v>583</v>
      </c>
      <c r="D42" s="310" t="s">
        <v>28</v>
      </c>
      <c r="E42" s="310"/>
      <c r="F42" s="310"/>
      <c r="G42" s="310"/>
      <c r="H42" s="178">
        <v>8030</v>
      </c>
      <c r="I42" s="303" t="s">
        <v>29</v>
      </c>
      <c r="J42" s="303"/>
      <c r="K42" s="303" t="s">
        <v>29</v>
      </c>
      <c r="L42" s="309"/>
      <c r="M42" s="39" t="s">
        <v>126</v>
      </c>
      <c r="N42" s="25" t="s">
        <v>110</v>
      </c>
      <c r="O42" s="149" t="s">
        <v>313</v>
      </c>
      <c r="P42" s="228" t="s">
        <v>465</v>
      </c>
      <c r="Q42" s="170"/>
      <c r="AA42" s="298"/>
      <c r="AB42" s="298"/>
      <c r="AC42" s="298"/>
      <c r="AD42" s="298"/>
      <c r="AF42" s="168"/>
      <c r="AG42" s="168"/>
      <c r="AH42" s="168"/>
      <c r="AI42" s="168"/>
      <c r="AM42" s="36"/>
      <c r="AN42" s="32"/>
      <c r="AO42" s="32"/>
      <c r="AP42" s="296"/>
      <c r="AQ42" s="296"/>
      <c r="AR42" s="296"/>
      <c r="AS42" s="296"/>
      <c r="AT42" s="265"/>
      <c r="AU42" s="298"/>
      <c r="AV42" s="298"/>
      <c r="AW42" s="298"/>
      <c r="AX42" s="298"/>
      <c r="AY42" s="249"/>
      <c r="AZ42" s="266"/>
      <c r="BA42" s="258"/>
      <c r="BB42" s="224"/>
    </row>
    <row r="43" spans="1:54" ht="101.25" x14ac:dyDescent="0.2">
      <c r="A43" s="6">
        <v>54</v>
      </c>
      <c r="B43" s="19" t="s">
        <v>584</v>
      </c>
      <c r="C43" s="19" t="s">
        <v>585</v>
      </c>
      <c r="D43" s="310" t="s">
        <v>28</v>
      </c>
      <c r="E43" s="310"/>
      <c r="F43" s="310"/>
      <c r="G43" s="310"/>
      <c r="H43" s="178">
        <v>8031</v>
      </c>
      <c r="I43" s="303" t="s">
        <v>29</v>
      </c>
      <c r="J43" s="303"/>
      <c r="K43" s="303" t="s">
        <v>29</v>
      </c>
      <c r="L43" s="309"/>
      <c r="M43" s="39" t="s">
        <v>126</v>
      </c>
      <c r="N43" s="25" t="s">
        <v>110</v>
      </c>
      <c r="O43" s="149" t="s">
        <v>313</v>
      </c>
      <c r="P43" s="228" t="s">
        <v>466</v>
      </c>
      <c r="Q43" s="170"/>
      <c r="AA43" s="298"/>
      <c r="AB43" s="298"/>
      <c r="AC43" s="298"/>
      <c r="AD43" s="298"/>
      <c r="AF43" s="168"/>
      <c r="AG43" s="168"/>
      <c r="AH43" s="168"/>
      <c r="AI43" s="168"/>
      <c r="AM43" s="36"/>
      <c r="AN43" s="32"/>
      <c r="AO43" s="32"/>
      <c r="AP43" s="296"/>
      <c r="AQ43" s="296"/>
      <c r="AR43" s="296"/>
      <c r="AS43" s="296"/>
      <c r="AT43" s="265"/>
      <c r="AU43" s="298"/>
      <c r="AV43" s="298"/>
      <c r="AW43" s="298"/>
      <c r="AX43" s="298"/>
      <c r="AY43" s="249"/>
      <c r="AZ43" s="266"/>
      <c r="BA43" s="258"/>
      <c r="BB43" s="224"/>
    </row>
    <row r="44" spans="1:54" ht="22.5" x14ac:dyDescent="0.2">
      <c r="A44" s="6">
        <v>55</v>
      </c>
      <c r="B44" s="19" t="s">
        <v>586</v>
      </c>
      <c r="C44" s="19" t="s">
        <v>587</v>
      </c>
      <c r="D44" s="310" t="s">
        <v>28</v>
      </c>
      <c r="E44" s="310"/>
      <c r="F44" s="310"/>
      <c r="G44" s="310"/>
      <c r="H44" s="178">
        <v>8032</v>
      </c>
      <c r="I44" s="303" t="s">
        <v>29</v>
      </c>
      <c r="J44" s="303"/>
      <c r="K44" s="303" t="s">
        <v>29</v>
      </c>
      <c r="L44" s="309"/>
      <c r="M44" s="39" t="s">
        <v>126</v>
      </c>
      <c r="N44" s="25" t="s">
        <v>110</v>
      </c>
      <c r="O44" s="149" t="s">
        <v>313</v>
      </c>
      <c r="P44" s="228" t="s">
        <v>465</v>
      </c>
      <c r="Q44" s="170"/>
      <c r="AA44" s="298"/>
      <c r="AB44" s="298"/>
      <c r="AC44" s="298"/>
      <c r="AD44" s="298"/>
      <c r="AF44" s="168"/>
      <c r="AG44" s="168"/>
      <c r="AH44" s="168"/>
      <c r="AI44" s="168"/>
      <c r="AM44" s="36"/>
      <c r="AN44" s="32"/>
      <c r="AO44" s="32"/>
      <c r="AP44" s="296"/>
      <c r="AQ44" s="296"/>
      <c r="AR44" s="296"/>
      <c r="AS44" s="296"/>
      <c r="AT44" s="265"/>
      <c r="AU44" s="298"/>
      <c r="AV44" s="298"/>
      <c r="AW44" s="298"/>
      <c r="AX44" s="298"/>
      <c r="AY44" s="249"/>
      <c r="AZ44" s="266"/>
      <c r="BA44" s="258"/>
      <c r="BB44" s="224"/>
    </row>
    <row r="45" spans="1:54" s="260" customFormat="1" x14ac:dyDescent="0.2">
      <c r="A45" s="61"/>
      <c r="B45" s="62" t="s">
        <v>58</v>
      </c>
      <c r="C45" s="67"/>
      <c r="D45" s="68"/>
      <c r="E45" s="68"/>
      <c r="F45" s="68"/>
      <c r="G45" s="68"/>
      <c r="H45" s="179"/>
      <c r="I45" s="69"/>
      <c r="J45" s="69"/>
      <c r="K45" s="69"/>
      <c r="L45" s="69"/>
      <c r="M45" s="70"/>
      <c r="N45" s="70"/>
      <c r="O45" s="70"/>
      <c r="P45" s="227"/>
      <c r="Q45" s="163"/>
      <c r="R45" s="23"/>
      <c r="S45" s="23"/>
      <c r="T45" s="23"/>
      <c r="U45" s="23"/>
      <c r="V45" s="23"/>
      <c r="AA45" s="253"/>
      <c r="AB45" s="253"/>
      <c r="AC45" s="253"/>
      <c r="AD45" s="253"/>
      <c r="AF45" s="168"/>
      <c r="AG45" s="168"/>
      <c r="AH45" s="168"/>
      <c r="AI45" s="168"/>
      <c r="AM45" s="224"/>
      <c r="AN45" s="267"/>
      <c r="AO45" s="268"/>
      <c r="AP45" s="224"/>
      <c r="AQ45" s="224"/>
      <c r="AR45" s="224"/>
      <c r="AS45" s="224"/>
      <c r="AT45" s="265"/>
      <c r="AU45" s="253"/>
      <c r="AV45" s="253"/>
      <c r="AW45" s="253"/>
      <c r="AX45" s="253"/>
      <c r="AY45" s="269"/>
      <c r="AZ45" s="269"/>
      <c r="BA45" s="269"/>
      <c r="BB45" s="266"/>
    </row>
    <row r="46" spans="1:54" ht="45" x14ac:dyDescent="0.2">
      <c r="A46" s="6">
        <v>10</v>
      </c>
      <c r="B46" s="20" t="s">
        <v>530</v>
      </c>
      <c r="C46" s="20" t="s">
        <v>531</v>
      </c>
      <c r="D46" s="21" t="s">
        <v>30</v>
      </c>
      <c r="E46" s="21" t="s">
        <v>31</v>
      </c>
      <c r="F46" s="44"/>
      <c r="G46" s="44"/>
      <c r="H46" s="181">
        <v>8040</v>
      </c>
      <c r="I46" s="116">
        <v>350.9</v>
      </c>
      <c r="J46" s="116">
        <f t="shared" ref="J46:J47" si="7">I46*1.1</f>
        <v>385.99</v>
      </c>
      <c r="K46" s="119"/>
      <c r="L46" s="120"/>
      <c r="M46" s="16" t="s">
        <v>125</v>
      </c>
      <c r="N46" s="25" t="s">
        <v>109</v>
      </c>
      <c r="O46" s="149" t="s">
        <v>314</v>
      </c>
      <c r="P46" s="209" t="s">
        <v>465</v>
      </c>
      <c r="Q46" s="166"/>
      <c r="R46" s="3"/>
      <c r="S46" s="3"/>
      <c r="T46" s="3"/>
      <c r="U46" s="3"/>
      <c r="V46" s="3"/>
      <c r="AA46" s="247"/>
      <c r="AB46" s="247"/>
      <c r="AC46" s="247"/>
      <c r="AD46" s="247"/>
      <c r="AF46" s="168"/>
      <c r="AG46" s="168"/>
      <c r="AH46" s="168"/>
      <c r="AI46" s="168"/>
      <c r="AM46" s="36"/>
      <c r="AN46" s="270"/>
      <c r="AO46" s="270"/>
      <c r="AP46" s="224"/>
      <c r="AQ46" s="224"/>
      <c r="AR46" s="224"/>
      <c r="AS46" s="224"/>
      <c r="AT46" s="265"/>
      <c r="AU46" s="247"/>
      <c r="AV46" s="247"/>
      <c r="AW46" s="247"/>
      <c r="AX46" s="247"/>
      <c r="AY46" s="249"/>
      <c r="AZ46" s="266"/>
      <c r="BA46" s="258"/>
      <c r="BB46" s="224"/>
    </row>
    <row r="47" spans="1:54" ht="67.5" x14ac:dyDescent="0.2">
      <c r="A47" s="17" t="s">
        <v>59</v>
      </c>
      <c r="B47" s="20" t="s">
        <v>532</v>
      </c>
      <c r="C47" s="20" t="s">
        <v>533</v>
      </c>
      <c r="D47" s="41" t="s">
        <v>60</v>
      </c>
      <c r="E47" s="41" t="s">
        <v>61</v>
      </c>
      <c r="F47" s="44"/>
      <c r="G47" s="45"/>
      <c r="H47" s="181">
        <v>8041</v>
      </c>
      <c r="I47" s="116">
        <v>116.9</v>
      </c>
      <c r="J47" s="116">
        <f t="shared" si="7"/>
        <v>128.59</v>
      </c>
      <c r="K47" s="119"/>
      <c r="L47" s="120"/>
      <c r="M47" s="15" t="s">
        <v>125</v>
      </c>
      <c r="N47" s="25" t="s">
        <v>109</v>
      </c>
      <c r="O47" s="149" t="s">
        <v>314</v>
      </c>
      <c r="P47" s="209" t="s">
        <v>467</v>
      </c>
      <c r="Q47" s="166"/>
      <c r="R47" s="3"/>
      <c r="S47" s="3"/>
      <c r="T47" s="3"/>
      <c r="U47" s="3"/>
      <c r="V47" s="3"/>
      <c r="AA47" s="247"/>
      <c r="AB47" s="247"/>
      <c r="AC47" s="247"/>
      <c r="AD47" s="247"/>
      <c r="AF47" s="168"/>
      <c r="AG47" s="168"/>
      <c r="AH47" s="168"/>
      <c r="AI47" s="168"/>
      <c r="AM47" s="36"/>
      <c r="AN47" s="270"/>
      <c r="AO47" s="270"/>
      <c r="AP47" s="224"/>
      <c r="AQ47" s="224"/>
      <c r="AR47" s="224"/>
      <c r="AS47" s="224"/>
      <c r="AT47" s="265"/>
      <c r="AU47" s="247"/>
      <c r="AV47" s="247"/>
      <c r="AW47" s="247"/>
      <c r="AX47" s="247"/>
      <c r="AY47" s="249"/>
      <c r="AZ47" s="266"/>
      <c r="BA47" s="258"/>
      <c r="BB47" s="224"/>
    </row>
    <row r="48" spans="1:54" ht="45" x14ac:dyDescent="0.2">
      <c r="A48" s="56">
        <v>11</v>
      </c>
      <c r="B48" s="81" t="s">
        <v>534</v>
      </c>
      <c r="C48" s="81" t="s">
        <v>531</v>
      </c>
      <c r="D48" s="58"/>
      <c r="E48" s="58"/>
      <c r="F48" s="58" t="s">
        <v>32</v>
      </c>
      <c r="G48" s="58" t="s">
        <v>33</v>
      </c>
      <c r="H48" s="182">
        <v>8042</v>
      </c>
      <c r="I48" s="121"/>
      <c r="J48" s="121"/>
      <c r="K48" s="121">
        <v>350.9</v>
      </c>
      <c r="L48" s="121">
        <f t="shared" ref="L48:L49" si="8">K48*1.1</f>
        <v>385.99</v>
      </c>
      <c r="M48" s="59" t="s">
        <v>125</v>
      </c>
      <c r="N48" s="60" t="s">
        <v>134</v>
      </c>
      <c r="O48" s="150" t="s">
        <v>314</v>
      </c>
      <c r="P48" s="209" t="s">
        <v>465</v>
      </c>
      <c r="Q48" s="166"/>
      <c r="R48" s="3"/>
      <c r="S48" s="3"/>
      <c r="T48" s="3"/>
      <c r="U48" s="3"/>
      <c r="V48" s="3"/>
      <c r="AA48" s="247"/>
      <c r="AB48" s="247"/>
      <c r="AC48" s="247"/>
      <c r="AD48" s="247"/>
      <c r="AF48" s="168"/>
      <c r="AG48" s="168"/>
      <c r="AH48" s="168"/>
      <c r="AI48" s="168"/>
      <c r="AM48" s="36"/>
      <c r="AN48" s="270"/>
      <c r="AO48" s="270"/>
      <c r="AP48" s="224"/>
      <c r="AQ48" s="224"/>
      <c r="AR48" s="224"/>
      <c r="AS48" s="224"/>
      <c r="AT48" s="265"/>
      <c r="AU48" s="247"/>
      <c r="AV48" s="247"/>
      <c r="AW48" s="247"/>
      <c r="AX48" s="247"/>
      <c r="AY48" s="249"/>
      <c r="AZ48" s="266"/>
      <c r="BA48" s="258"/>
      <c r="BB48" s="224"/>
    </row>
    <row r="49" spans="1:54" ht="67.5" x14ac:dyDescent="0.2">
      <c r="A49" s="56" t="s">
        <v>62</v>
      </c>
      <c r="B49" s="81" t="s">
        <v>535</v>
      </c>
      <c r="C49" s="81" t="s">
        <v>533</v>
      </c>
      <c r="D49" s="58"/>
      <c r="E49" s="58"/>
      <c r="F49" s="58" t="s">
        <v>63</v>
      </c>
      <c r="G49" s="58" t="s">
        <v>64</v>
      </c>
      <c r="H49" s="182">
        <v>8043</v>
      </c>
      <c r="I49" s="121"/>
      <c r="J49" s="121"/>
      <c r="K49" s="121">
        <v>116.9</v>
      </c>
      <c r="L49" s="121">
        <f t="shared" si="8"/>
        <v>128.59</v>
      </c>
      <c r="M49" s="59" t="s">
        <v>125</v>
      </c>
      <c r="N49" s="60" t="s">
        <v>468</v>
      </c>
      <c r="O49" s="150" t="s">
        <v>314</v>
      </c>
      <c r="P49" s="209" t="s">
        <v>467</v>
      </c>
      <c r="Q49" s="166"/>
      <c r="R49" s="3"/>
      <c r="S49" s="3"/>
      <c r="T49" s="3"/>
      <c r="U49" s="3"/>
      <c r="V49" s="3"/>
      <c r="AA49" s="247"/>
      <c r="AB49" s="247"/>
      <c r="AC49" s="247"/>
      <c r="AD49" s="247"/>
      <c r="AF49" s="168"/>
      <c r="AG49" s="168"/>
      <c r="AH49" s="168"/>
      <c r="AI49" s="168"/>
      <c r="AM49" s="36"/>
      <c r="AN49" s="270"/>
      <c r="AO49" s="270"/>
      <c r="AP49" s="224"/>
      <c r="AQ49" s="224"/>
      <c r="AR49" s="224"/>
      <c r="AS49" s="224"/>
      <c r="AT49" s="265"/>
      <c r="AU49" s="247"/>
      <c r="AV49" s="247"/>
      <c r="AW49" s="247"/>
      <c r="AX49" s="247"/>
      <c r="AY49" s="249"/>
      <c r="AZ49" s="266"/>
      <c r="BA49" s="258"/>
      <c r="BB49" s="224"/>
    </row>
    <row r="50" spans="1:54" ht="56.25" x14ac:dyDescent="0.2">
      <c r="A50" s="71">
        <v>12</v>
      </c>
      <c r="B50" s="79" t="s">
        <v>536</v>
      </c>
      <c r="C50" s="73" t="s">
        <v>537</v>
      </c>
      <c r="D50" s="74" t="s">
        <v>24</v>
      </c>
      <c r="E50" s="74" t="s">
        <v>25</v>
      </c>
      <c r="F50" s="74"/>
      <c r="G50" s="74"/>
      <c r="H50" s="180">
        <v>8044</v>
      </c>
      <c r="I50" s="118">
        <v>0</v>
      </c>
      <c r="J50" s="118">
        <f t="shared" ref="J50:J51" si="9">I50*1.1</f>
        <v>0</v>
      </c>
      <c r="K50" s="117"/>
      <c r="L50" s="118"/>
      <c r="M50" s="75" t="s">
        <v>125</v>
      </c>
      <c r="N50" s="76" t="s">
        <v>133</v>
      </c>
      <c r="O50" s="109" t="s">
        <v>314</v>
      </c>
      <c r="P50" s="209" t="s">
        <v>465</v>
      </c>
      <c r="Q50" s="166"/>
      <c r="R50" s="3"/>
      <c r="S50" s="3"/>
      <c r="T50" s="3"/>
      <c r="U50" s="3"/>
      <c r="V50" s="3"/>
      <c r="AA50" s="247"/>
      <c r="AB50" s="247"/>
      <c r="AC50" s="247"/>
      <c r="AD50" s="247"/>
      <c r="AF50" s="168"/>
      <c r="AG50" s="168"/>
      <c r="AH50" s="168"/>
      <c r="AI50" s="168"/>
      <c r="AM50" s="36"/>
      <c r="AN50" s="270"/>
      <c r="AO50" s="32"/>
      <c r="AP50" s="224"/>
      <c r="AQ50" s="224"/>
      <c r="AR50" s="224"/>
      <c r="AS50" s="224"/>
      <c r="AT50" s="265"/>
      <c r="AU50" s="247"/>
      <c r="AV50" s="247"/>
      <c r="AW50" s="247"/>
      <c r="AX50" s="247"/>
      <c r="AY50" s="249"/>
      <c r="AZ50" s="266"/>
      <c r="BA50" s="258"/>
      <c r="BB50" s="224"/>
    </row>
    <row r="51" spans="1:54" ht="78.75" x14ac:dyDescent="0.2">
      <c r="A51" s="71" t="s">
        <v>65</v>
      </c>
      <c r="B51" s="79" t="s">
        <v>538</v>
      </c>
      <c r="C51" s="73" t="s">
        <v>539</v>
      </c>
      <c r="D51" s="74" t="s">
        <v>66</v>
      </c>
      <c r="E51" s="74" t="s">
        <v>67</v>
      </c>
      <c r="F51" s="74"/>
      <c r="G51" s="74"/>
      <c r="H51" s="180">
        <v>8045</v>
      </c>
      <c r="I51" s="118">
        <v>0</v>
      </c>
      <c r="J51" s="118">
        <f t="shared" si="9"/>
        <v>0</v>
      </c>
      <c r="K51" s="117"/>
      <c r="L51" s="118"/>
      <c r="M51" s="75" t="s">
        <v>125</v>
      </c>
      <c r="N51" s="76" t="s">
        <v>469</v>
      </c>
      <c r="O51" s="109" t="s">
        <v>314</v>
      </c>
      <c r="P51" s="209" t="s">
        <v>467</v>
      </c>
      <c r="Q51" s="166"/>
      <c r="R51" s="3"/>
      <c r="S51" s="3"/>
      <c r="T51" s="3"/>
      <c r="U51" s="3"/>
      <c r="V51" s="3"/>
      <c r="AA51" s="247"/>
      <c r="AB51" s="247"/>
      <c r="AC51" s="247"/>
      <c r="AD51" s="247"/>
      <c r="AF51" s="168"/>
      <c r="AG51" s="168"/>
      <c r="AH51" s="168"/>
      <c r="AI51" s="168"/>
      <c r="AM51" s="36"/>
      <c r="AN51" s="270"/>
      <c r="AO51" s="32"/>
      <c r="AP51" s="224"/>
      <c r="AQ51" s="224"/>
      <c r="AR51" s="224"/>
      <c r="AS51" s="224"/>
      <c r="AT51" s="265"/>
      <c r="AU51" s="247"/>
      <c r="AV51" s="247"/>
      <c r="AW51" s="247"/>
      <c r="AX51" s="247"/>
      <c r="AY51" s="249"/>
      <c r="AZ51" s="266"/>
      <c r="BA51" s="258"/>
      <c r="BB51" s="224"/>
    </row>
    <row r="52" spans="1:54" ht="56.25" x14ac:dyDescent="0.2">
      <c r="A52" s="71">
        <v>13</v>
      </c>
      <c r="B52" s="79" t="s">
        <v>540</v>
      </c>
      <c r="C52" s="73" t="s">
        <v>537</v>
      </c>
      <c r="D52" s="74"/>
      <c r="E52" s="74"/>
      <c r="F52" s="74" t="s">
        <v>26</v>
      </c>
      <c r="G52" s="74" t="s">
        <v>27</v>
      </c>
      <c r="H52" s="180">
        <v>8046</v>
      </c>
      <c r="I52" s="117"/>
      <c r="J52" s="117"/>
      <c r="K52" s="118">
        <v>0</v>
      </c>
      <c r="L52" s="118">
        <f t="shared" ref="L52:L53" si="10">K52*1.1</f>
        <v>0</v>
      </c>
      <c r="M52" s="75" t="s">
        <v>125</v>
      </c>
      <c r="N52" s="76" t="s">
        <v>135</v>
      </c>
      <c r="O52" s="109" t="s">
        <v>314</v>
      </c>
      <c r="P52" s="209" t="s">
        <v>465</v>
      </c>
      <c r="Q52" s="166"/>
      <c r="R52" s="3"/>
      <c r="S52" s="3"/>
      <c r="T52" s="3"/>
      <c r="U52" s="3"/>
      <c r="V52" s="3"/>
      <c r="AA52" s="247"/>
      <c r="AB52" s="247"/>
      <c r="AC52" s="247"/>
      <c r="AD52" s="247"/>
      <c r="AF52" s="168"/>
      <c r="AG52" s="168"/>
      <c r="AH52" s="168"/>
      <c r="AI52" s="168"/>
      <c r="AM52" s="36"/>
      <c r="AN52" s="270"/>
      <c r="AO52" s="32"/>
      <c r="AP52" s="224"/>
      <c r="AQ52" s="224"/>
      <c r="AR52" s="224"/>
      <c r="AS52" s="224"/>
      <c r="AT52" s="265"/>
      <c r="AU52" s="247"/>
      <c r="AV52" s="247"/>
      <c r="AW52" s="247"/>
      <c r="AX52" s="247"/>
      <c r="AY52" s="249"/>
      <c r="AZ52" s="266"/>
      <c r="BA52" s="258"/>
      <c r="BB52" s="224"/>
    </row>
    <row r="53" spans="1:54" ht="78.75" x14ac:dyDescent="0.2">
      <c r="A53" s="71" t="s">
        <v>68</v>
      </c>
      <c r="B53" s="79" t="s">
        <v>541</v>
      </c>
      <c r="C53" s="73" t="s">
        <v>539</v>
      </c>
      <c r="D53" s="74"/>
      <c r="E53" s="74"/>
      <c r="F53" s="74" t="s">
        <v>69</v>
      </c>
      <c r="G53" s="74" t="s">
        <v>70</v>
      </c>
      <c r="H53" s="180">
        <v>8047</v>
      </c>
      <c r="I53" s="117"/>
      <c r="J53" s="117"/>
      <c r="K53" s="118">
        <v>0</v>
      </c>
      <c r="L53" s="118">
        <f t="shared" si="10"/>
        <v>0</v>
      </c>
      <c r="M53" s="75" t="s">
        <v>125</v>
      </c>
      <c r="N53" s="76" t="s">
        <v>469</v>
      </c>
      <c r="O53" s="109" t="s">
        <v>314</v>
      </c>
      <c r="P53" s="209" t="s">
        <v>467</v>
      </c>
      <c r="Q53" s="166"/>
      <c r="R53" s="3"/>
      <c r="S53" s="3"/>
      <c r="T53" s="3"/>
      <c r="U53" s="3"/>
      <c r="V53" s="3"/>
      <c r="AA53" s="247"/>
      <c r="AB53" s="247"/>
      <c r="AC53" s="247"/>
      <c r="AD53" s="247"/>
      <c r="AF53" s="168"/>
      <c r="AG53" s="168"/>
      <c r="AH53" s="168"/>
      <c r="AI53" s="168"/>
      <c r="AM53" s="36"/>
      <c r="AN53" s="270"/>
      <c r="AO53" s="32"/>
      <c r="AP53" s="224"/>
      <c r="AQ53" s="224"/>
      <c r="AR53" s="224"/>
      <c r="AS53" s="224"/>
      <c r="AT53" s="265"/>
      <c r="AU53" s="247"/>
      <c r="AV53" s="247"/>
      <c r="AW53" s="247"/>
      <c r="AX53" s="247"/>
      <c r="AY53" s="249"/>
      <c r="AZ53" s="266"/>
      <c r="BA53" s="258"/>
      <c r="BB53" s="224"/>
    </row>
    <row r="54" spans="1:54" ht="56.25" x14ac:dyDescent="0.2">
      <c r="A54" s="71">
        <v>14</v>
      </c>
      <c r="B54" s="79" t="s">
        <v>542</v>
      </c>
      <c r="C54" s="73" t="s">
        <v>543</v>
      </c>
      <c r="D54" s="74" t="s">
        <v>16</v>
      </c>
      <c r="E54" s="74" t="s">
        <v>17</v>
      </c>
      <c r="F54" s="74"/>
      <c r="G54" s="74"/>
      <c r="H54" s="180">
        <v>8048</v>
      </c>
      <c r="I54" s="118">
        <v>0</v>
      </c>
      <c r="J54" s="118">
        <f t="shared" ref="J54:J55" si="11">I54*1.1</f>
        <v>0</v>
      </c>
      <c r="K54" s="117"/>
      <c r="L54" s="118"/>
      <c r="M54" s="75" t="s">
        <v>125</v>
      </c>
      <c r="N54" s="76" t="s">
        <v>133</v>
      </c>
      <c r="O54" s="109" t="s">
        <v>314</v>
      </c>
      <c r="P54" s="209" t="s">
        <v>465</v>
      </c>
      <c r="Q54" s="166"/>
      <c r="R54" s="3"/>
      <c r="S54" s="3"/>
      <c r="T54" s="3"/>
      <c r="U54" s="3"/>
      <c r="V54" s="3"/>
      <c r="AA54" s="247"/>
      <c r="AB54" s="247"/>
      <c r="AC54" s="247"/>
      <c r="AD54" s="247"/>
      <c r="AF54" s="168"/>
      <c r="AG54" s="168"/>
      <c r="AH54" s="168"/>
      <c r="AI54" s="168"/>
      <c r="AM54" s="36"/>
      <c r="AN54" s="270"/>
      <c r="AO54" s="32"/>
      <c r="AP54" s="224"/>
      <c r="AQ54" s="224"/>
      <c r="AR54" s="224"/>
      <c r="AS54" s="224"/>
      <c r="AT54" s="265"/>
      <c r="AU54" s="247"/>
      <c r="AV54" s="247"/>
      <c r="AW54" s="247"/>
      <c r="AX54" s="247"/>
      <c r="AY54" s="249"/>
      <c r="AZ54" s="266"/>
      <c r="BA54" s="258"/>
      <c r="BB54" s="224"/>
    </row>
    <row r="55" spans="1:54" ht="78.75" x14ac:dyDescent="0.2">
      <c r="A55" s="71" t="s">
        <v>71</v>
      </c>
      <c r="B55" s="79" t="s">
        <v>544</v>
      </c>
      <c r="C55" s="73" t="s">
        <v>545</v>
      </c>
      <c r="D55" s="74" t="s">
        <v>72</v>
      </c>
      <c r="E55" s="74" t="s">
        <v>73</v>
      </c>
      <c r="F55" s="74"/>
      <c r="G55" s="74"/>
      <c r="H55" s="180">
        <v>8049</v>
      </c>
      <c r="I55" s="118">
        <v>0</v>
      </c>
      <c r="J55" s="118">
        <f t="shared" si="11"/>
        <v>0</v>
      </c>
      <c r="K55" s="117"/>
      <c r="L55" s="118"/>
      <c r="M55" s="75" t="s">
        <v>125</v>
      </c>
      <c r="N55" s="76" t="s">
        <v>469</v>
      </c>
      <c r="O55" s="109" t="s">
        <v>314</v>
      </c>
      <c r="P55" s="209" t="s">
        <v>467</v>
      </c>
      <c r="Q55" s="166"/>
      <c r="R55" s="3"/>
      <c r="S55" s="3"/>
      <c r="T55" s="3"/>
      <c r="U55" s="3"/>
      <c r="V55" s="3"/>
      <c r="AA55" s="247"/>
      <c r="AB55" s="247"/>
      <c r="AC55" s="247"/>
      <c r="AD55" s="247"/>
      <c r="AF55" s="168"/>
      <c r="AG55" s="168"/>
      <c r="AH55" s="168"/>
      <c r="AI55" s="168"/>
      <c r="AM55" s="36"/>
      <c r="AN55" s="270"/>
      <c r="AO55" s="32"/>
      <c r="AP55" s="224"/>
      <c r="AQ55" s="224"/>
      <c r="AR55" s="224"/>
      <c r="AS55" s="224"/>
      <c r="AT55" s="265"/>
      <c r="AU55" s="247"/>
      <c r="AV55" s="247"/>
      <c r="AW55" s="247"/>
      <c r="AX55" s="247"/>
      <c r="AY55" s="249"/>
      <c r="AZ55" s="266"/>
      <c r="BA55" s="258"/>
      <c r="BB55" s="224"/>
    </row>
    <row r="56" spans="1:54" ht="56.25" x14ac:dyDescent="0.2">
      <c r="A56" s="71">
        <v>15</v>
      </c>
      <c r="B56" s="79" t="s">
        <v>546</v>
      </c>
      <c r="C56" s="73" t="s">
        <v>543</v>
      </c>
      <c r="D56" s="74"/>
      <c r="E56" s="74"/>
      <c r="F56" s="74" t="s">
        <v>18</v>
      </c>
      <c r="G56" s="74" t="s">
        <v>19</v>
      </c>
      <c r="H56" s="180">
        <v>8050</v>
      </c>
      <c r="I56" s="117"/>
      <c r="J56" s="117"/>
      <c r="K56" s="118">
        <v>0</v>
      </c>
      <c r="L56" s="118">
        <f t="shared" ref="L56:L57" si="12">K56*1.1</f>
        <v>0</v>
      </c>
      <c r="M56" s="75" t="s">
        <v>125</v>
      </c>
      <c r="N56" s="76" t="s">
        <v>133</v>
      </c>
      <c r="O56" s="109" t="s">
        <v>314</v>
      </c>
      <c r="P56" s="209" t="s">
        <v>465</v>
      </c>
      <c r="Q56" s="166"/>
      <c r="R56" s="3"/>
      <c r="S56" s="3"/>
      <c r="T56" s="3"/>
      <c r="U56" s="3"/>
      <c r="V56" s="3"/>
      <c r="AA56" s="247"/>
      <c r="AB56" s="247"/>
      <c r="AC56" s="247"/>
      <c r="AD56" s="247"/>
      <c r="AF56" s="168"/>
      <c r="AG56" s="168"/>
      <c r="AH56" s="168"/>
      <c r="AI56" s="168"/>
      <c r="AM56" s="36"/>
      <c r="AN56" s="270"/>
      <c r="AO56" s="32"/>
      <c r="AP56" s="224"/>
      <c r="AQ56" s="224"/>
      <c r="AR56" s="224"/>
      <c r="AS56" s="224"/>
      <c r="AT56" s="265"/>
      <c r="AU56" s="247"/>
      <c r="AV56" s="247"/>
      <c r="AW56" s="247"/>
      <c r="AX56" s="247"/>
      <c r="AY56" s="249"/>
      <c r="AZ56" s="266"/>
      <c r="BA56" s="258"/>
      <c r="BB56" s="224"/>
    </row>
    <row r="57" spans="1:54" ht="78.75" x14ac:dyDescent="0.2">
      <c r="A57" s="71" t="s">
        <v>74</v>
      </c>
      <c r="B57" s="79" t="s">
        <v>547</v>
      </c>
      <c r="C57" s="73" t="s">
        <v>545</v>
      </c>
      <c r="D57" s="74"/>
      <c r="E57" s="74"/>
      <c r="F57" s="74" t="s">
        <v>75</v>
      </c>
      <c r="G57" s="74" t="s">
        <v>76</v>
      </c>
      <c r="H57" s="180">
        <v>8051</v>
      </c>
      <c r="I57" s="117"/>
      <c r="J57" s="117"/>
      <c r="K57" s="118">
        <v>0</v>
      </c>
      <c r="L57" s="118">
        <f t="shared" si="12"/>
        <v>0</v>
      </c>
      <c r="M57" s="75" t="s">
        <v>125</v>
      </c>
      <c r="N57" s="76" t="s">
        <v>469</v>
      </c>
      <c r="O57" s="109" t="s">
        <v>314</v>
      </c>
      <c r="P57" s="209" t="s">
        <v>467</v>
      </c>
      <c r="Q57" s="166"/>
      <c r="R57" s="3"/>
      <c r="S57" s="3"/>
      <c r="T57" s="3"/>
      <c r="U57" s="3"/>
      <c r="V57" s="3"/>
      <c r="AA57" s="247"/>
      <c r="AB57" s="247"/>
      <c r="AC57" s="247"/>
      <c r="AD57" s="247"/>
      <c r="AF57" s="168"/>
      <c r="AG57" s="168"/>
      <c r="AH57" s="168"/>
      <c r="AI57" s="168"/>
      <c r="AM57" s="36"/>
      <c r="AN57" s="270"/>
      <c r="AO57" s="32"/>
      <c r="AP57" s="224"/>
      <c r="AQ57" s="224"/>
      <c r="AR57" s="224"/>
      <c r="AS57" s="224"/>
      <c r="AT57" s="265"/>
      <c r="AU57" s="247"/>
      <c r="AV57" s="247"/>
      <c r="AW57" s="247"/>
      <c r="AX57" s="247"/>
      <c r="AY57" s="249"/>
      <c r="AZ57" s="266"/>
      <c r="BA57" s="258"/>
      <c r="BB57" s="224"/>
    </row>
    <row r="58" spans="1:54" ht="33.75" x14ac:dyDescent="0.2">
      <c r="A58" s="80">
        <v>16</v>
      </c>
      <c r="B58" s="79" t="s">
        <v>548</v>
      </c>
      <c r="C58" s="73" t="s">
        <v>549</v>
      </c>
      <c r="D58" s="77" t="s">
        <v>20</v>
      </c>
      <c r="E58" s="77" t="s">
        <v>21</v>
      </c>
      <c r="F58" s="74"/>
      <c r="G58" s="74"/>
      <c r="H58" s="180">
        <v>8052</v>
      </c>
      <c r="I58" s="118">
        <v>45.5</v>
      </c>
      <c r="J58" s="118">
        <f t="shared" ref="J58:J59" si="13">I58*1.1</f>
        <v>50.050000000000004</v>
      </c>
      <c r="K58" s="117"/>
      <c r="L58" s="118"/>
      <c r="M58" s="75" t="s">
        <v>125</v>
      </c>
      <c r="N58" s="76" t="s">
        <v>133</v>
      </c>
      <c r="O58" s="109" t="s">
        <v>314</v>
      </c>
      <c r="P58" s="209" t="s">
        <v>465</v>
      </c>
      <c r="Q58" s="166"/>
      <c r="R58" s="3"/>
      <c r="S58" s="3"/>
      <c r="T58" s="3"/>
      <c r="U58" s="3"/>
      <c r="V58" s="3"/>
      <c r="AA58" s="247"/>
      <c r="AB58" s="247"/>
      <c r="AC58" s="247"/>
      <c r="AD58" s="247"/>
      <c r="AF58" s="168"/>
      <c r="AG58" s="168"/>
      <c r="AH58" s="168"/>
      <c r="AI58" s="168"/>
      <c r="AM58" s="36"/>
      <c r="AN58" s="270"/>
      <c r="AO58" s="32"/>
      <c r="AP58" s="271"/>
      <c r="AQ58" s="271"/>
      <c r="AR58" s="224"/>
      <c r="AS58" s="224"/>
      <c r="AT58" s="265"/>
      <c r="AU58" s="247"/>
      <c r="AV58" s="247"/>
      <c r="AW58" s="247"/>
      <c r="AX58" s="247"/>
      <c r="AY58" s="249"/>
      <c r="AZ58" s="266"/>
      <c r="BA58" s="258"/>
      <c r="BB58" s="224"/>
    </row>
    <row r="59" spans="1:54" ht="56.25" x14ac:dyDescent="0.2">
      <c r="A59" s="17" t="s">
        <v>77</v>
      </c>
      <c r="B59" s="20" t="s">
        <v>550</v>
      </c>
      <c r="C59" s="20" t="s">
        <v>551</v>
      </c>
      <c r="D59" s="41" t="s">
        <v>78</v>
      </c>
      <c r="E59" s="41" t="s">
        <v>79</v>
      </c>
      <c r="F59" s="44"/>
      <c r="G59" s="45"/>
      <c r="H59" s="181">
        <v>8053</v>
      </c>
      <c r="I59" s="116">
        <v>38.9</v>
      </c>
      <c r="J59" s="116">
        <f t="shared" si="13"/>
        <v>42.79</v>
      </c>
      <c r="K59" s="119"/>
      <c r="L59" s="120"/>
      <c r="M59" s="15" t="s">
        <v>125</v>
      </c>
      <c r="N59" s="25" t="s">
        <v>109</v>
      </c>
      <c r="O59" s="149" t="s">
        <v>314</v>
      </c>
      <c r="P59" s="209" t="s">
        <v>467</v>
      </c>
      <c r="Q59" s="166"/>
      <c r="R59" s="3"/>
      <c r="S59" s="3"/>
      <c r="T59" s="3"/>
      <c r="U59" s="3"/>
      <c r="V59" s="3"/>
      <c r="AA59" s="247"/>
      <c r="AB59" s="247"/>
      <c r="AC59" s="247"/>
      <c r="AD59" s="247"/>
      <c r="AF59" s="168"/>
      <c r="AG59" s="168"/>
      <c r="AH59" s="168"/>
      <c r="AI59" s="168"/>
      <c r="AM59" s="36"/>
      <c r="AN59" s="270"/>
      <c r="AO59" s="270"/>
      <c r="AP59" s="224"/>
      <c r="AQ59" s="224"/>
      <c r="AR59" s="224"/>
      <c r="AS59" s="224"/>
      <c r="AT59" s="265"/>
      <c r="AU59" s="247"/>
      <c r="AV59" s="247"/>
      <c r="AW59" s="247"/>
      <c r="AX59" s="247"/>
      <c r="AY59" s="249"/>
      <c r="AZ59" s="266"/>
      <c r="BA59" s="258"/>
      <c r="BB59" s="224"/>
    </row>
    <row r="60" spans="1:54" ht="33.75" x14ac:dyDescent="0.2">
      <c r="A60" s="71">
        <v>17</v>
      </c>
      <c r="B60" s="79" t="s">
        <v>552</v>
      </c>
      <c r="C60" s="73" t="s">
        <v>549</v>
      </c>
      <c r="D60" s="74"/>
      <c r="E60" s="74"/>
      <c r="F60" s="74" t="s">
        <v>22</v>
      </c>
      <c r="G60" s="74" t="s">
        <v>23</v>
      </c>
      <c r="H60" s="180">
        <v>8054</v>
      </c>
      <c r="I60" s="117"/>
      <c r="J60" s="117"/>
      <c r="K60" s="118">
        <v>45.5</v>
      </c>
      <c r="L60" s="118">
        <f t="shared" ref="L60:L61" si="14">K60*1.1</f>
        <v>50.050000000000004</v>
      </c>
      <c r="M60" s="75" t="s">
        <v>125</v>
      </c>
      <c r="N60" s="76" t="s">
        <v>133</v>
      </c>
      <c r="O60" s="109" t="s">
        <v>314</v>
      </c>
      <c r="P60" s="209" t="s">
        <v>465</v>
      </c>
      <c r="Q60" s="166"/>
      <c r="R60" s="3"/>
      <c r="S60" s="3"/>
      <c r="T60" s="3"/>
      <c r="U60" s="3"/>
      <c r="V60" s="3"/>
      <c r="AA60" s="247"/>
      <c r="AB60" s="247"/>
      <c r="AC60" s="247"/>
      <c r="AD60" s="247"/>
      <c r="AF60" s="168"/>
      <c r="AG60" s="168"/>
      <c r="AH60" s="168"/>
      <c r="AI60" s="168"/>
      <c r="AM60" s="36"/>
      <c r="AN60" s="270"/>
      <c r="AO60" s="32"/>
      <c r="AP60" s="224"/>
      <c r="AQ60" s="224"/>
      <c r="AR60" s="224"/>
      <c r="AS60" s="224"/>
      <c r="AT60" s="265"/>
      <c r="AU60" s="247"/>
      <c r="AV60" s="247"/>
      <c r="AW60" s="247"/>
      <c r="AX60" s="247"/>
      <c r="AY60" s="249"/>
      <c r="AZ60" s="266"/>
      <c r="BA60" s="258"/>
      <c r="BB60" s="224"/>
    </row>
    <row r="61" spans="1:54" ht="56.25" x14ac:dyDescent="0.2">
      <c r="A61" s="71" t="s">
        <v>80</v>
      </c>
      <c r="B61" s="79" t="s">
        <v>553</v>
      </c>
      <c r="C61" s="73" t="s">
        <v>551</v>
      </c>
      <c r="D61" s="74"/>
      <c r="E61" s="74"/>
      <c r="F61" s="74" t="s">
        <v>81</v>
      </c>
      <c r="G61" s="74" t="s">
        <v>82</v>
      </c>
      <c r="H61" s="180">
        <v>8055</v>
      </c>
      <c r="I61" s="117"/>
      <c r="J61" s="117"/>
      <c r="K61" s="118">
        <v>45.5</v>
      </c>
      <c r="L61" s="118">
        <f t="shared" si="14"/>
        <v>50.050000000000004</v>
      </c>
      <c r="M61" s="75" t="s">
        <v>125</v>
      </c>
      <c r="N61" s="76" t="s">
        <v>469</v>
      </c>
      <c r="O61" s="109" t="s">
        <v>314</v>
      </c>
      <c r="P61" s="209" t="s">
        <v>467</v>
      </c>
      <c r="Q61" s="166"/>
      <c r="R61" s="3"/>
      <c r="S61" s="3"/>
      <c r="T61" s="3"/>
      <c r="U61" s="3"/>
      <c r="V61" s="3"/>
      <c r="AA61" s="247"/>
      <c r="AB61" s="247"/>
      <c r="AC61" s="247"/>
      <c r="AD61" s="247"/>
      <c r="AF61" s="168"/>
      <c r="AG61" s="168"/>
      <c r="AH61" s="168"/>
      <c r="AI61" s="168"/>
      <c r="AM61" s="36"/>
      <c r="AN61" s="270"/>
      <c r="AO61" s="32"/>
      <c r="AP61" s="224"/>
      <c r="AQ61" s="224"/>
      <c r="AR61" s="224"/>
      <c r="AS61" s="224"/>
      <c r="AT61" s="265"/>
      <c r="AU61" s="247"/>
      <c r="AV61" s="247"/>
      <c r="AW61" s="247"/>
      <c r="AX61" s="247"/>
      <c r="AY61" s="249"/>
      <c r="AZ61" s="266"/>
      <c r="BA61" s="258"/>
      <c r="BB61" s="224"/>
    </row>
    <row r="62" spans="1:54" ht="22.5" x14ac:dyDescent="0.2">
      <c r="A62" s="6">
        <v>56</v>
      </c>
      <c r="B62" s="19" t="s">
        <v>588</v>
      </c>
      <c r="C62" s="19" t="s">
        <v>589</v>
      </c>
      <c r="D62" s="40" t="s">
        <v>90</v>
      </c>
      <c r="E62" s="40" t="s">
        <v>91</v>
      </c>
      <c r="F62" s="40" t="s">
        <v>92</v>
      </c>
      <c r="G62" s="40" t="s">
        <v>93</v>
      </c>
      <c r="H62" s="178">
        <v>8056</v>
      </c>
      <c r="I62" s="303" t="s">
        <v>29</v>
      </c>
      <c r="J62" s="303"/>
      <c r="K62" s="303" t="s">
        <v>29</v>
      </c>
      <c r="L62" s="309"/>
      <c r="M62" s="15" t="s">
        <v>126</v>
      </c>
      <c r="N62" s="25" t="s">
        <v>110</v>
      </c>
      <c r="O62" s="149" t="s">
        <v>314</v>
      </c>
      <c r="P62" s="228" t="s">
        <v>466</v>
      </c>
      <c r="Q62" s="170"/>
      <c r="AA62" s="298"/>
      <c r="AB62" s="298"/>
      <c r="AC62" s="298"/>
      <c r="AD62" s="298"/>
      <c r="AF62" s="168"/>
      <c r="AG62" s="168"/>
      <c r="AH62" s="168"/>
      <c r="AI62" s="168"/>
      <c r="AM62" s="36"/>
      <c r="AN62" s="32"/>
      <c r="AO62" s="32"/>
      <c r="AP62" s="272"/>
      <c r="AQ62" s="272"/>
      <c r="AR62" s="272"/>
      <c r="AS62" s="272"/>
      <c r="AT62" s="265"/>
      <c r="AU62" s="298"/>
      <c r="AV62" s="298"/>
      <c r="AW62" s="298"/>
      <c r="AX62" s="298"/>
      <c r="AY62" s="249"/>
      <c r="AZ62" s="266"/>
      <c r="BA62" s="258"/>
      <c r="BB62" s="224"/>
    </row>
    <row r="63" spans="1:54" ht="22.5" x14ac:dyDescent="0.2">
      <c r="A63" s="6">
        <v>57</v>
      </c>
      <c r="B63" s="19" t="s">
        <v>590</v>
      </c>
      <c r="C63" s="19" t="s">
        <v>591</v>
      </c>
      <c r="D63" s="310" t="s">
        <v>28</v>
      </c>
      <c r="E63" s="310"/>
      <c r="F63" s="310"/>
      <c r="G63" s="310"/>
      <c r="H63" s="178">
        <v>8057</v>
      </c>
      <c r="I63" s="303" t="s">
        <v>29</v>
      </c>
      <c r="J63" s="303"/>
      <c r="K63" s="303" t="s">
        <v>29</v>
      </c>
      <c r="L63" s="309"/>
      <c r="M63" s="15" t="s">
        <v>126</v>
      </c>
      <c r="N63" s="25" t="s">
        <v>110</v>
      </c>
      <c r="O63" s="149" t="s">
        <v>313</v>
      </c>
      <c r="P63" s="228" t="s">
        <v>466</v>
      </c>
      <c r="Q63" s="170"/>
      <c r="AA63" s="298"/>
      <c r="AB63" s="298"/>
      <c r="AC63" s="298"/>
      <c r="AD63" s="298"/>
      <c r="AF63" s="168"/>
      <c r="AG63" s="168"/>
      <c r="AH63" s="168"/>
      <c r="AI63" s="168"/>
      <c r="AM63" s="36"/>
      <c r="AN63" s="32"/>
      <c r="AO63" s="32"/>
      <c r="AP63" s="296"/>
      <c r="AQ63" s="296"/>
      <c r="AR63" s="296"/>
      <c r="AS63" s="296"/>
      <c r="AT63" s="265"/>
      <c r="AU63" s="298"/>
      <c r="AV63" s="298"/>
      <c r="AW63" s="298"/>
      <c r="AX63" s="298"/>
      <c r="AY63" s="249"/>
      <c r="AZ63" s="266"/>
      <c r="BA63" s="258"/>
      <c r="BB63" s="224"/>
    </row>
    <row r="64" spans="1:54" ht="22.5" x14ac:dyDescent="0.2">
      <c r="A64" s="6">
        <v>58</v>
      </c>
      <c r="B64" s="19" t="s">
        <v>592</v>
      </c>
      <c r="C64" s="19" t="s">
        <v>593</v>
      </c>
      <c r="D64" s="310" t="s">
        <v>28</v>
      </c>
      <c r="E64" s="310"/>
      <c r="F64" s="310"/>
      <c r="G64" s="310"/>
      <c r="H64" s="178">
        <v>8058</v>
      </c>
      <c r="I64" s="303" t="s">
        <v>29</v>
      </c>
      <c r="J64" s="303"/>
      <c r="K64" s="303" t="s">
        <v>29</v>
      </c>
      <c r="L64" s="309"/>
      <c r="M64" s="15" t="s">
        <v>126</v>
      </c>
      <c r="N64" s="25" t="s">
        <v>110</v>
      </c>
      <c r="O64" s="149" t="s">
        <v>313</v>
      </c>
      <c r="P64" s="228" t="s">
        <v>465</v>
      </c>
      <c r="Q64" s="170"/>
      <c r="AA64" s="298"/>
      <c r="AB64" s="298"/>
      <c r="AC64" s="298"/>
      <c r="AD64" s="298"/>
      <c r="AF64" s="168"/>
      <c r="AG64" s="168"/>
      <c r="AH64" s="168"/>
      <c r="AI64" s="168"/>
      <c r="AM64" s="36"/>
      <c r="AN64" s="32"/>
      <c r="AO64" s="32"/>
      <c r="AP64" s="296"/>
      <c r="AQ64" s="296"/>
      <c r="AR64" s="296"/>
      <c r="AS64" s="296"/>
      <c r="AT64" s="265"/>
      <c r="AU64" s="298"/>
      <c r="AV64" s="298"/>
      <c r="AW64" s="298"/>
      <c r="AX64" s="298"/>
      <c r="AY64" s="249"/>
      <c r="AZ64" s="266"/>
      <c r="BA64" s="258"/>
      <c r="BB64" s="224"/>
    </row>
    <row r="65" spans="1:54" ht="33.75" x14ac:dyDescent="0.2">
      <c r="A65" s="6">
        <v>59</v>
      </c>
      <c r="B65" s="19" t="s">
        <v>594</v>
      </c>
      <c r="C65" s="19" t="s">
        <v>595</v>
      </c>
      <c r="D65" s="42" t="s">
        <v>94</v>
      </c>
      <c r="E65" s="42" t="s">
        <v>95</v>
      </c>
      <c r="F65" s="42" t="s">
        <v>96</v>
      </c>
      <c r="G65" s="42" t="s">
        <v>97</v>
      </c>
      <c r="H65" s="177">
        <v>8059</v>
      </c>
      <c r="I65" s="303" t="s">
        <v>29</v>
      </c>
      <c r="J65" s="303"/>
      <c r="K65" s="303" t="s">
        <v>29</v>
      </c>
      <c r="L65" s="309"/>
      <c r="M65" s="15" t="s">
        <v>126</v>
      </c>
      <c r="N65" s="25" t="s">
        <v>110</v>
      </c>
      <c r="O65" s="149" t="s">
        <v>314</v>
      </c>
      <c r="P65" s="228" t="s">
        <v>465</v>
      </c>
      <c r="Q65" s="170"/>
      <c r="AA65" s="298"/>
      <c r="AB65" s="298"/>
      <c r="AC65" s="298"/>
      <c r="AD65" s="298"/>
      <c r="AF65" s="168"/>
      <c r="AG65" s="168"/>
      <c r="AH65" s="168"/>
      <c r="AI65" s="168"/>
      <c r="AM65" s="36"/>
      <c r="AN65" s="32"/>
      <c r="AO65" s="32"/>
      <c r="AP65" s="224"/>
      <c r="AQ65" s="224"/>
      <c r="AR65" s="224"/>
      <c r="AS65" s="224"/>
      <c r="AT65" s="265"/>
      <c r="AU65" s="298"/>
      <c r="AV65" s="298"/>
      <c r="AW65" s="298"/>
      <c r="AX65" s="298"/>
      <c r="AY65" s="249"/>
      <c r="AZ65" s="266"/>
      <c r="BA65" s="258"/>
      <c r="BB65" s="224"/>
    </row>
    <row r="66" spans="1:54" ht="33.75" x14ac:dyDescent="0.2">
      <c r="A66" s="6">
        <v>60</v>
      </c>
      <c r="B66" s="19" t="s">
        <v>596</v>
      </c>
      <c r="C66" s="19" t="s">
        <v>597</v>
      </c>
      <c r="D66" s="42" t="s">
        <v>98</v>
      </c>
      <c r="E66" s="42" t="s">
        <v>99</v>
      </c>
      <c r="F66" s="42" t="s">
        <v>100</v>
      </c>
      <c r="G66" s="42" t="s">
        <v>136</v>
      </c>
      <c r="H66" s="177">
        <v>8060</v>
      </c>
      <c r="I66" s="303" t="s">
        <v>29</v>
      </c>
      <c r="J66" s="303"/>
      <c r="K66" s="303" t="s">
        <v>29</v>
      </c>
      <c r="L66" s="309"/>
      <c r="M66" s="15" t="s">
        <v>126</v>
      </c>
      <c r="N66" s="25" t="s">
        <v>110</v>
      </c>
      <c r="O66" s="149" t="s">
        <v>314</v>
      </c>
      <c r="P66" s="228" t="s">
        <v>465</v>
      </c>
      <c r="Q66" s="170"/>
      <c r="AA66" s="298"/>
      <c r="AB66" s="298"/>
      <c r="AC66" s="298"/>
      <c r="AD66" s="298"/>
      <c r="AF66" s="168"/>
      <c r="AG66" s="168"/>
      <c r="AH66" s="168"/>
      <c r="AI66" s="168"/>
      <c r="AM66" s="36"/>
      <c r="AN66" s="32"/>
      <c r="AO66" s="32"/>
      <c r="AP66" s="224"/>
      <c r="AQ66" s="224"/>
      <c r="AR66" s="224"/>
      <c r="AS66" s="224"/>
      <c r="AT66" s="265"/>
      <c r="AU66" s="298"/>
      <c r="AV66" s="298"/>
      <c r="AW66" s="298"/>
      <c r="AX66" s="298"/>
      <c r="AY66" s="249"/>
      <c r="AZ66" s="266"/>
      <c r="BA66" s="258"/>
      <c r="BB66" s="224"/>
    </row>
    <row r="67" spans="1:54" ht="22.5" x14ac:dyDescent="0.2">
      <c r="A67" s="6">
        <v>61</v>
      </c>
      <c r="B67" s="19" t="s">
        <v>598</v>
      </c>
      <c r="C67" s="19" t="s">
        <v>599</v>
      </c>
      <c r="D67" s="42" t="s">
        <v>101</v>
      </c>
      <c r="E67" s="42" t="s">
        <v>102</v>
      </c>
      <c r="F67" s="42" t="s">
        <v>103</v>
      </c>
      <c r="G67" s="42" t="s">
        <v>104</v>
      </c>
      <c r="H67" s="177">
        <v>8061</v>
      </c>
      <c r="I67" s="303" t="s">
        <v>29</v>
      </c>
      <c r="J67" s="303"/>
      <c r="K67" s="303" t="s">
        <v>29</v>
      </c>
      <c r="L67" s="309"/>
      <c r="M67" s="15" t="s">
        <v>126</v>
      </c>
      <c r="N67" s="25" t="s">
        <v>110</v>
      </c>
      <c r="O67" s="149" t="s">
        <v>314</v>
      </c>
      <c r="P67" s="228" t="s">
        <v>465</v>
      </c>
      <c r="Q67" s="170"/>
      <c r="AA67" s="298"/>
      <c r="AB67" s="298"/>
      <c r="AC67" s="298"/>
      <c r="AD67" s="298"/>
      <c r="AF67" s="168"/>
      <c r="AG67" s="168"/>
      <c r="AH67" s="168"/>
      <c r="AI67" s="168"/>
      <c r="AM67" s="36"/>
      <c r="AN67" s="32"/>
      <c r="AO67" s="32"/>
      <c r="AP67" s="224"/>
      <c r="AQ67" s="224"/>
      <c r="AR67" s="224"/>
      <c r="AS67" s="224"/>
      <c r="AT67" s="265"/>
      <c r="AU67" s="298"/>
      <c r="AV67" s="298"/>
      <c r="AW67" s="298"/>
      <c r="AX67" s="298"/>
      <c r="AY67" s="249"/>
      <c r="AZ67" s="266"/>
      <c r="BA67" s="258"/>
      <c r="BB67" s="224"/>
    </row>
    <row r="68" spans="1:54" ht="33.75" x14ac:dyDescent="0.2">
      <c r="A68" s="6">
        <v>62</v>
      </c>
      <c r="B68" s="19" t="s">
        <v>600</v>
      </c>
      <c r="C68" s="19" t="s">
        <v>601</v>
      </c>
      <c r="D68" s="42" t="s">
        <v>105</v>
      </c>
      <c r="E68" s="42" t="s">
        <v>106</v>
      </c>
      <c r="F68" s="42" t="s">
        <v>107</v>
      </c>
      <c r="G68" s="42" t="s">
        <v>108</v>
      </c>
      <c r="H68" s="177">
        <v>8062</v>
      </c>
      <c r="I68" s="303" t="s">
        <v>29</v>
      </c>
      <c r="J68" s="303"/>
      <c r="K68" s="303" t="s">
        <v>29</v>
      </c>
      <c r="L68" s="309"/>
      <c r="M68" s="15" t="s">
        <v>126</v>
      </c>
      <c r="N68" s="25" t="s">
        <v>110</v>
      </c>
      <c r="O68" s="149" t="s">
        <v>314</v>
      </c>
      <c r="P68" s="228" t="s">
        <v>466</v>
      </c>
      <c r="Q68" s="170"/>
      <c r="AA68" s="298"/>
      <c r="AB68" s="298"/>
      <c r="AC68" s="298"/>
      <c r="AD68" s="298"/>
      <c r="AF68" s="168"/>
      <c r="AG68" s="168"/>
      <c r="AH68" s="168"/>
      <c r="AI68" s="168"/>
      <c r="AM68" s="36"/>
      <c r="AN68" s="32"/>
      <c r="AO68" s="32"/>
      <c r="AP68" s="224"/>
      <c r="AQ68" s="224"/>
      <c r="AR68" s="224"/>
      <c r="AS68" s="224"/>
      <c r="AT68" s="265"/>
      <c r="AU68" s="298"/>
      <c r="AV68" s="298"/>
      <c r="AW68" s="298"/>
      <c r="AX68" s="298"/>
      <c r="AY68" s="249"/>
      <c r="AZ68" s="266"/>
      <c r="BA68" s="258"/>
      <c r="BB68" s="224"/>
    </row>
    <row r="69" spans="1:54" ht="33.75" x14ac:dyDescent="0.2">
      <c r="A69" s="6">
        <v>63</v>
      </c>
      <c r="B69" s="19" t="s">
        <v>602</v>
      </c>
      <c r="C69" s="19" t="s">
        <v>603</v>
      </c>
      <c r="D69" s="310" t="s">
        <v>28</v>
      </c>
      <c r="E69" s="310"/>
      <c r="F69" s="310"/>
      <c r="G69" s="310"/>
      <c r="H69" s="178">
        <v>8063</v>
      </c>
      <c r="I69" s="303" t="s">
        <v>29</v>
      </c>
      <c r="J69" s="303"/>
      <c r="K69" s="303" t="s">
        <v>29</v>
      </c>
      <c r="L69" s="309"/>
      <c r="M69" s="15" t="s">
        <v>126</v>
      </c>
      <c r="N69" s="25" t="s">
        <v>110</v>
      </c>
      <c r="O69" s="149" t="s">
        <v>313</v>
      </c>
      <c r="P69" s="228" t="s">
        <v>465</v>
      </c>
      <c r="Q69" s="170"/>
      <c r="AA69" s="298"/>
      <c r="AB69" s="298"/>
      <c r="AC69" s="298"/>
      <c r="AD69" s="298"/>
      <c r="AF69" s="168"/>
      <c r="AG69" s="168"/>
      <c r="AH69" s="168"/>
      <c r="AI69" s="168"/>
      <c r="AM69" s="36"/>
      <c r="AN69" s="32"/>
      <c r="AO69" s="32"/>
      <c r="AP69" s="296"/>
      <c r="AQ69" s="296"/>
      <c r="AR69" s="296"/>
      <c r="AS69" s="296"/>
      <c r="AT69" s="265"/>
      <c r="AU69" s="298"/>
      <c r="AV69" s="298"/>
      <c r="AW69" s="298"/>
      <c r="AX69" s="298"/>
      <c r="AY69" s="249"/>
      <c r="AZ69" s="266"/>
      <c r="BA69" s="258"/>
      <c r="BB69" s="224"/>
    </row>
    <row r="70" spans="1:54" ht="22.5" x14ac:dyDescent="0.2">
      <c r="A70" s="6">
        <v>64</v>
      </c>
      <c r="B70" s="19" t="s">
        <v>604</v>
      </c>
      <c r="C70" s="19" t="s">
        <v>605</v>
      </c>
      <c r="D70" s="310" t="s">
        <v>28</v>
      </c>
      <c r="E70" s="310"/>
      <c r="F70" s="310"/>
      <c r="G70" s="310"/>
      <c r="H70" s="178">
        <v>8064</v>
      </c>
      <c r="I70" s="303" t="s">
        <v>29</v>
      </c>
      <c r="J70" s="303"/>
      <c r="K70" s="303" t="s">
        <v>29</v>
      </c>
      <c r="L70" s="309"/>
      <c r="M70" s="15" t="s">
        <v>126</v>
      </c>
      <c r="N70" s="25" t="s">
        <v>110</v>
      </c>
      <c r="O70" s="149" t="s">
        <v>313</v>
      </c>
      <c r="P70" s="228" t="s">
        <v>466</v>
      </c>
      <c r="Q70" s="170"/>
      <c r="AA70" s="298"/>
      <c r="AB70" s="298"/>
      <c r="AC70" s="298"/>
      <c r="AD70" s="298"/>
      <c r="AF70" s="168"/>
      <c r="AG70" s="168"/>
      <c r="AH70" s="168"/>
      <c r="AI70" s="168"/>
      <c r="AM70" s="36"/>
      <c r="AN70" s="32"/>
      <c r="AO70" s="32"/>
      <c r="AP70" s="296"/>
      <c r="AQ70" s="296"/>
      <c r="AR70" s="296"/>
      <c r="AS70" s="296"/>
      <c r="AT70" s="265"/>
      <c r="AU70" s="298"/>
      <c r="AV70" s="298"/>
      <c r="AW70" s="298"/>
      <c r="AX70" s="298"/>
      <c r="AY70" s="249"/>
      <c r="AZ70" s="266"/>
      <c r="BA70" s="258"/>
      <c r="BB70" s="224"/>
    </row>
    <row r="71" spans="1:54" ht="22.5" x14ac:dyDescent="0.2">
      <c r="A71" s="6">
        <v>65</v>
      </c>
      <c r="B71" s="19" t="s">
        <v>606</v>
      </c>
      <c r="C71" s="19" t="s">
        <v>607</v>
      </c>
      <c r="D71" s="310" t="s">
        <v>28</v>
      </c>
      <c r="E71" s="310"/>
      <c r="F71" s="310"/>
      <c r="G71" s="310"/>
      <c r="H71" s="178">
        <v>8065</v>
      </c>
      <c r="I71" s="303" t="s">
        <v>29</v>
      </c>
      <c r="J71" s="303"/>
      <c r="K71" s="303" t="s">
        <v>29</v>
      </c>
      <c r="L71" s="309"/>
      <c r="M71" s="15" t="s">
        <v>126</v>
      </c>
      <c r="N71" s="25" t="s">
        <v>110</v>
      </c>
      <c r="O71" s="149" t="s">
        <v>313</v>
      </c>
      <c r="P71" s="228" t="s">
        <v>465</v>
      </c>
      <c r="Q71" s="170"/>
      <c r="AA71" s="298"/>
      <c r="AB71" s="298"/>
      <c r="AC71" s="298"/>
      <c r="AD71" s="298"/>
      <c r="AF71" s="168"/>
      <c r="AG71" s="168"/>
      <c r="AH71" s="168"/>
      <c r="AI71" s="168"/>
      <c r="AM71" s="36"/>
      <c r="AN71" s="32"/>
      <c r="AO71" s="32"/>
      <c r="AP71" s="296"/>
      <c r="AQ71" s="296"/>
      <c r="AR71" s="296"/>
      <c r="AS71" s="296"/>
      <c r="AT71" s="265"/>
      <c r="AU71" s="298"/>
      <c r="AV71" s="298"/>
      <c r="AW71" s="298"/>
      <c r="AX71" s="298"/>
      <c r="AY71" s="249"/>
      <c r="AZ71" s="266"/>
      <c r="BA71" s="258"/>
      <c r="BB71" s="224"/>
    </row>
    <row r="72" spans="1:54" ht="56.25" x14ac:dyDescent="0.2">
      <c r="A72" s="71">
        <v>66</v>
      </c>
      <c r="B72" s="72" t="s">
        <v>608</v>
      </c>
      <c r="C72" s="73" t="s">
        <v>609</v>
      </c>
      <c r="D72" s="77" t="s">
        <v>38</v>
      </c>
      <c r="E72" s="77" t="s">
        <v>39</v>
      </c>
      <c r="F72" s="77" t="s">
        <v>40</v>
      </c>
      <c r="G72" s="77" t="s">
        <v>41</v>
      </c>
      <c r="H72" s="180">
        <v>8066</v>
      </c>
      <c r="I72" s="118">
        <v>0</v>
      </c>
      <c r="J72" s="118">
        <f t="shared" ref="J72:J77" si="15">I72*1.1</f>
        <v>0</v>
      </c>
      <c r="K72" s="118">
        <v>0</v>
      </c>
      <c r="L72" s="118">
        <f t="shared" ref="L72:L75" si="16">K72*1.1</f>
        <v>0</v>
      </c>
      <c r="M72" s="75" t="s">
        <v>126</v>
      </c>
      <c r="N72" s="76" t="s">
        <v>133</v>
      </c>
      <c r="O72" s="109" t="s">
        <v>314</v>
      </c>
      <c r="P72" s="228" t="s">
        <v>465</v>
      </c>
      <c r="Q72" s="170"/>
      <c r="AA72" s="247"/>
      <c r="AB72" s="247"/>
      <c r="AC72" s="247"/>
      <c r="AD72" s="247"/>
      <c r="AF72" s="168"/>
      <c r="AG72" s="168"/>
      <c r="AH72" s="168"/>
      <c r="AI72" s="168"/>
      <c r="AM72" s="36"/>
      <c r="AN72" s="32"/>
      <c r="AO72" s="32"/>
      <c r="AP72" s="271"/>
      <c r="AQ72" s="271"/>
      <c r="AR72" s="271"/>
      <c r="AS72" s="271"/>
      <c r="AT72" s="265"/>
      <c r="AU72" s="247"/>
      <c r="AV72" s="247"/>
      <c r="AW72" s="247"/>
      <c r="AX72" s="247"/>
      <c r="AY72" s="249"/>
      <c r="AZ72" s="266"/>
      <c r="BA72" s="258"/>
      <c r="BB72" s="224"/>
    </row>
    <row r="73" spans="1:54" ht="78.75" x14ac:dyDescent="0.2">
      <c r="A73" s="71" t="s">
        <v>137</v>
      </c>
      <c r="B73" s="72" t="s">
        <v>138</v>
      </c>
      <c r="C73" s="73" t="s">
        <v>153</v>
      </c>
      <c r="D73" s="77" t="s">
        <v>139</v>
      </c>
      <c r="E73" s="77" t="s">
        <v>140</v>
      </c>
      <c r="F73" s="77" t="s">
        <v>141</v>
      </c>
      <c r="G73" s="77" t="s">
        <v>142</v>
      </c>
      <c r="H73" s="180">
        <v>8075</v>
      </c>
      <c r="I73" s="118">
        <v>0</v>
      </c>
      <c r="J73" s="118">
        <f t="shared" si="15"/>
        <v>0</v>
      </c>
      <c r="K73" s="118">
        <v>0</v>
      </c>
      <c r="L73" s="118">
        <f t="shared" si="16"/>
        <v>0</v>
      </c>
      <c r="M73" s="75" t="s">
        <v>126</v>
      </c>
      <c r="N73" s="76" t="s">
        <v>469</v>
      </c>
      <c r="O73" s="109" t="s">
        <v>314</v>
      </c>
      <c r="P73" s="228" t="s">
        <v>467</v>
      </c>
      <c r="Q73" s="170"/>
      <c r="AA73" s="247"/>
      <c r="AB73" s="247"/>
      <c r="AC73" s="247"/>
      <c r="AD73" s="247"/>
      <c r="AF73" s="168"/>
      <c r="AG73" s="168"/>
      <c r="AH73" s="168"/>
      <c r="AI73" s="168"/>
      <c r="AM73" s="36"/>
      <c r="AN73" s="32"/>
      <c r="AO73" s="32"/>
      <c r="AP73" s="271"/>
      <c r="AQ73" s="271"/>
      <c r="AR73" s="271"/>
      <c r="AS73" s="271"/>
      <c r="AT73" s="265"/>
      <c r="AU73" s="247"/>
      <c r="AV73" s="247"/>
      <c r="AW73" s="247"/>
      <c r="AX73" s="247"/>
      <c r="AY73" s="249"/>
      <c r="AZ73" s="266"/>
      <c r="BA73" s="258"/>
      <c r="BB73" s="224"/>
    </row>
    <row r="74" spans="1:54" ht="67.5" x14ac:dyDescent="0.2">
      <c r="A74" s="71">
        <v>67</v>
      </c>
      <c r="B74" s="72" t="s">
        <v>610</v>
      </c>
      <c r="C74" s="72" t="s">
        <v>611</v>
      </c>
      <c r="D74" s="78" t="s">
        <v>34</v>
      </c>
      <c r="E74" s="78" t="s">
        <v>35</v>
      </c>
      <c r="F74" s="78" t="s">
        <v>36</v>
      </c>
      <c r="G74" s="78" t="s">
        <v>37</v>
      </c>
      <c r="H74" s="180">
        <v>8067</v>
      </c>
      <c r="I74" s="118">
        <v>109.9</v>
      </c>
      <c r="J74" s="118">
        <f t="shared" si="15"/>
        <v>120.89000000000001</v>
      </c>
      <c r="K74" s="118">
        <v>109.9</v>
      </c>
      <c r="L74" s="118">
        <f t="shared" si="16"/>
        <v>120.89000000000001</v>
      </c>
      <c r="M74" s="75" t="s">
        <v>126</v>
      </c>
      <c r="N74" s="76" t="s">
        <v>133</v>
      </c>
      <c r="O74" s="109" t="s">
        <v>314</v>
      </c>
      <c r="P74" s="228" t="s">
        <v>465</v>
      </c>
      <c r="Q74" s="170"/>
      <c r="AA74" s="247"/>
      <c r="AB74" s="247"/>
      <c r="AC74" s="247"/>
      <c r="AD74" s="247"/>
      <c r="AF74" s="168"/>
      <c r="AG74" s="168"/>
      <c r="AH74" s="168"/>
      <c r="AI74" s="168"/>
      <c r="AM74" s="36"/>
      <c r="AN74" s="32"/>
      <c r="AO74" s="32"/>
      <c r="AP74" s="272"/>
      <c r="AQ74" s="272"/>
      <c r="AR74" s="272"/>
      <c r="AS74" s="272"/>
      <c r="AT74" s="265"/>
      <c r="AU74" s="247"/>
      <c r="AV74" s="247"/>
      <c r="AW74" s="247"/>
      <c r="AX74" s="247"/>
      <c r="AY74" s="249"/>
      <c r="AZ74" s="266"/>
      <c r="BA74" s="258"/>
      <c r="BB74" s="224"/>
    </row>
    <row r="75" spans="1:54" ht="90" x14ac:dyDescent="0.2">
      <c r="A75" s="71" t="s">
        <v>143</v>
      </c>
      <c r="B75" s="72" t="s">
        <v>144</v>
      </c>
      <c r="C75" s="72" t="s">
        <v>154</v>
      </c>
      <c r="D75" s="78" t="s">
        <v>145</v>
      </c>
      <c r="E75" s="78" t="s">
        <v>146</v>
      </c>
      <c r="F75" s="78" t="s">
        <v>147</v>
      </c>
      <c r="G75" s="78" t="s">
        <v>148</v>
      </c>
      <c r="H75" s="180">
        <v>8076</v>
      </c>
      <c r="I75" s="118">
        <v>58.4</v>
      </c>
      <c r="J75" s="118">
        <f t="shared" si="15"/>
        <v>64.240000000000009</v>
      </c>
      <c r="K75" s="118">
        <v>58.4</v>
      </c>
      <c r="L75" s="118">
        <f t="shared" si="16"/>
        <v>64.240000000000009</v>
      </c>
      <c r="M75" s="75" t="s">
        <v>126</v>
      </c>
      <c r="N75" s="76" t="s">
        <v>491</v>
      </c>
      <c r="O75" s="109" t="s">
        <v>314</v>
      </c>
      <c r="P75" s="228" t="s">
        <v>467</v>
      </c>
      <c r="Q75" s="170"/>
      <c r="AA75" s="247"/>
      <c r="AB75" s="247"/>
      <c r="AC75" s="247"/>
      <c r="AD75" s="247"/>
      <c r="AF75" s="168"/>
      <c r="AG75" s="168"/>
      <c r="AH75" s="168"/>
      <c r="AI75" s="168"/>
      <c r="AM75" s="36"/>
      <c r="AN75" s="32"/>
      <c r="AO75" s="32"/>
      <c r="AP75" s="272"/>
      <c r="AQ75" s="272"/>
      <c r="AR75" s="272"/>
      <c r="AS75" s="272"/>
      <c r="AT75" s="265"/>
      <c r="AU75" s="247"/>
      <c r="AV75" s="247"/>
      <c r="AW75" s="247"/>
      <c r="AX75" s="247"/>
      <c r="AY75" s="249"/>
      <c r="AZ75" s="266"/>
      <c r="BA75" s="258"/>
      <c r="BB75" s="224"/>
    </row>
    <row r="76" spans="1:54" ht="56.25" x14ac:dyDescent="0.2">
      <c r="A76" s="6">
        <v>68</v>
      </c>
      <c r="B76" s="20" t="s">
        <v>612</v>
      </c>
      <c r="C76" s="20" t="s">
        <v>613</v>
      </c>
      <c r="D76" s="305" t="s">
        <v>28</v>
      </c>
      <c r="E76" s="306"/>
      <c r="F76" s="306"/>
      <c r="G76" s="307"/>
      <c r="H76" s="183">
        <v>8068</v>
      </c>
      <c r="I76" s="303" t="s">
        <v>29</v>
      </c>
      <c r="J76" s="303"/>
      <c r="K76" s="303" t="s">
        <v>29</v>
      </c>
      <c r="L76" s="309"/>
      <c r="M76" s="39" t="s">
        <v>126</v>
      </c>
      <c r="N76" s="25" t="s">
        <v>110</v>
      </c>
      <c r="O76" s="149" t="s">
        <v>313</v>
      </c>
      <c r="P76" s="228" t="s">
        <v>465</v>
      </c>
      <c r="Q76" s="170"/>
      <c r="AA76" s="298"/>
      <c r="AB76" s="298"/>
      <c r="AC76" s="298"/>
      <c r="AD76" s="298"/>
      <c r="AF76" s="168"/>
      <c r="AG76" s="168"/>
      <c r="AH76" s="168"/>
      <c r="AI76" s="168"/>
      <c r="AM76" s="36"/>
      <c r="AN76" s="270"/>
      <c r="AO76" s="270"/>
      <c r="AP76" s="297"/>
      <c r="AQ76" s="297"/>
      <c r="AR76" s="297"/>
      <c r="AS76" s="297"/>
      <c r="AT76" s="273"/>
      <c r="AU76" s="298"/>
      <c r="AV76" s="298"/>
      <c r="AW76" s="298"/>
      <c r="AX76" s="298"/>
      <c r="AY76" s="249"/>
      <c r="AZ76" s="266"/>
      <c r="BA76" s="258"/>
      <c r="BB76" s="224"/>
    </row>
    <row r="77" spans="1:54" ht="33.75" x14ac:dyDescent="0.2">
      <c r="A77" s="6">
        <v>18</v>
      </c>
      <c r="B77" s="20" t="s">
        <v>554</v>
      </c>
      <c r="C77" s="20" t="s">
        <v>555</v>
      </c>
      <c r="D77" s="314" t="s">
        <v>335</v>
      </c>
      <c r="E77" s="315"/>
      <c r="F77" s="315"/>
      <c r="G77" s="316"/>
      <c r="H77" s="183">
        <v>8069</v>
      </c>
      <c r="I77" s="116">
        <v>903.5</v>
      </c>
      <c r="J77" s="116">
        <f t="shared" si="15"/>
        <v>993.85000000000014</v>
      </c>
      <c r="K77" s="115">
        <f t="shared" ref="K77" si="17">I77</f>
        <v>903.5</v>
      </c>
      <c r="L77" s="116">
        <f>J77</f>
        <v>993.85000000000014</v>
      </c>
      <c r="M77" s="39" t="s">
        <v>125</v>
      </c>
      <c r="N77" s="25" t="s">
        <v>109</v>
      </c>
      <c r="O77" s="149" t="s">
        <v>313</v>
      </c>
      <c r="P77" s="209" t="s">
        <v>465</v>
      </c>
      <c r="Q77" s="166"/>
      <c r="R77" s="3"/>
      <c r="S77" s="3"/>
      <c r="T77" s="3"/>
      <c r="U77" s="3"/>
      <c r="V77" s="3"/>
      <c r="AA77" s="247"/>
      <c r="AB77" s="247"/>
      <c r="AC77" s="247"/>
      <c r="AD77" s="247"/>
      <c r="AF77" s="168"/>
      <c r="AG77" s="168"/>
      <c r="AH77" s="168"/>
      <c r="AI77" s="168"/>
      <c r="AM77" s="36"/>
      <c r="AN77" s="270"/>
      <c r="AO77" s="270"/>
      <c r="AP77" s="299"/>
      <c r="AQ77" s="299"/>
      <c r="AR77" s="299"/>
      <c r="AS77" s="299"/>
      <c r="AT77" s="273"/>
      <c r="AU77" s="247"/>
      <c r="AV77" s="247"/>
      <c r="AW77" s="247"/>
      <c r="AX77" s="247"/>
      <c r="AY77" s="249"/>
      <c r="AZ77" s="266"/>
      <c r="BA77" s="258"/>
      <c r="BB77" s="224"/>
    </row>
    <row r="78" spans="1:54" ht="67.5" x14ac:dyDescent="0.2">
      <c r="A78" s="6">
        <v>69</v>
      </c>
      <c r="B78" s="19" t="s">
        <v>614</v>
      </c>
      <c r="C78" s="19" t="s">
        <v>615</v>
      </c>
      <c r="D78" s="310" t="s">
        <v>28</v>
      </c>
      <c r="E78" s="310"/>
      <c r="F78" s="310"/>
      <c r="G78" s="310"/>
      <c r="H78" s="178">
        <v>8070</v>
      </c>
      <c r="I78" s="303" t="s">
        <v>29</v>
      </c>
      <c r="J78" s="303"/>
      <c r="K78" s="303" t="s">
        <v>29</v>
      </c>
      <c r="L78" s="309"/>
      <c r="M78" s="39" t="s">
        <v>126</v>
      </c>
      <c r="N78" s="25" t="s">
        <v>110</v>
      </c>
      <c r="O78" s="149" t="s">
        <v>313</v>
      </c>
      <c r="P78" s="228" t="s">
        <v>465</v>
      </c>
      <c r="Q78" s="170"/>
      <c r="AA78" s="298"/>
      <c r="AB78" s="298"/>
      <c r="AC78" s="298"/>
      <c r="AD78" s="298"/>
      <c r="AF78" s="168"/>
      <c r="AG78" s="168"/>
      <c r="AH78" s="168"/>
      <c r="AI78" s="168"/>
      <c r="AM78" s="36"/>
      <c r="AN78" s="32"/>
      <c r="AO78" s="32"/>
      <c r="AP78" s="296"/>
      <c r="AQ78" s="296"/>
      <c r="AR78" s="296"/>
      <c r="AS78" s="296"/>
      <c r="AT78" s="265"/>
      <c r="AU78" s="298"/>
      <c r="AV78" s="298"/>
      <c r="AW78" s="298"/>
      <c r="AX78" s="298"/>
      <c r="AY78" s="249"/>
      <c r="AZ78" s="266"/>
      <c r="BA78" s="258"/>
      <c r="BB78" s="224"/>
    </row>
    <row r="79" spans="1:54" ht="45" x14ac:dyDescent="0.2">
      <c r="A79" s="6">
        <v>70</v>
      </c>
      <c r="B79" s="19" t="s">
        <v>616</v>
      </c>
      <c r="C79" s="19" t="s">
        <v>617</v>
      </c>
      <c r="D79" s="310" t="s">
        <v>28</v>
      </c>
      <c r="E79" s="310"/>
      <c r="F79" s="310"/>
      <c r="G79" s="310"/>
      <c r="H79" s="178">
        <v>8071</v>
      </c>
      <c r="I79" s="303" t="s">
        <v>29</v>
      </c>
      <c r="J79" s="303"/>
      <c r="K79" s="303" t="s">
        <v>29</v>
      </c>
      <c r="L79" s="309"/>
      <c r="M79" s="39" t="s">
        <v>126</v>
      </c>
      <c r="N79" s="25" t="s">
        <v>110</v>
      </c>
      <c r="O79" s="149" t="s">
        <v>313</v>
      </c>
      <c r="P79" s="228" t="s">
        <v>465</v>
      </c>
      <c r="Q79" s="170"/>
      <c r="AA79" s="298"/>
      <c r="AB79" s="298"/>
      <c r="AC79" s="298"/>
      <c r="AD79" s="298"/>
      <c r="AF79" s="168"/>
      <c r="AG79" s="168"/>
      <c r="AH79" s="168"/>
      <c r="AI79" s="168"/>
      <c r="AM79" s="36"/>
      <c r="AN79" s="32"/>
      <c r="AO79" s="32"/>
      <c r="AP79" s="296"/>
      <c r="AQ79" s="296"/>
      <c r="AR79" s="296"/>
      <c r="AS79" s="296"/>
      <c r="AT79" s="265"/>
      <c r="AU79" s="298"/>
      <c r="AV79" s="298"/>
      <c r="AW79" s="298"/>
      <c r="AX79" s="298"/>
      <c r="AY79" s="249"/>
      <c r="AZ79" s="266"/>
      <c r="BA79" s="258"/>
      <c r="BB79" s="224"/>
    </row>
    <row r="80" spans="1:54" ht="67.5" x14ac:dyDescent="0.2">
      <c r="A80" s="6">
        <v>71</v>
      </c>
      <c r="B80" s="19" t="s">
        <v>618</v>
      </c>
      <c r="C80" s="19" t="s">
        <v>619</v>
      </c>
      <c r="D80" s="310" t="s">
        <v>28</v>
      </c>
      <c r="E80" s="310"/>
      <c r="F80" s="310"/>
      <c r="G80" s="310"/>
      <c r="H80" s="178">
        <v>8072</v>
      </c>
      <c r="I80" s="303" t="s">
        <v>29</v>
      </c>
      <c r="J80" s="303"/>
      <c r="K80" s="303" t="s">
        <v>29</v>
      </c>
      <c r="L80" s="309"/>
      <c r="M80" s="39" t="s">
        <v>126</v>
      </c>
      <c r="N80" s="25" t="s">
        <v>110</v>
      </c>
      <c r="O80" s="149" t="s">
        <v>313</v>
      </c>
      <c r="P80" s="228" t="s">
        <v>465</v>
      </c>
      <c r="Q80" s="170"/>
      <c r="AA80" s="298"/>
      <c r="AB80" s="298"/>
      <c r="AC80" s="298"/>
      <c r="AD80" s="298"/>
      <c r="AF80" s="168"/>
      <c r="AG80" s="168"/>
      <c r="AH80" s="168"/>
      <c r="AI80" s="168"/>
      <c r="AM80" s="36"/>
      <c r="AN80" s="32"/>
      <c r="AO80" s="32"/>
      <c r="AP80" s="296"/>
      <c r="AQ80" s="296"/>
      <c r="AR80" s="296"/>
      <c r="AS80" s="296"/>
      <c r="AT80" s="265"/>
      <c r="AU80" s="298"/>
      <c r="AV80" s="298"/>
      <c r="AW80" s="298"/>
      <c r="AX80" s="298"/>
      <c r="AY80" s="249"/>
      <c r="AZ80" s="266"/>
      <c r="BA80" s="258"/>
      <c r="BB80" s="224"/>
    </row>
    <row r="81" spans="1:54" ht="45" x14ac:dyDescent="0.2">
      <c r="A81" s="6">
        <v>72</v>
      </c>
      <c r="B81" s="19" t="s">
        <v>620</v>
      </c>
      <c r="C81" s="19" t="s">
        <v>621</v>
      </c>
      <c r="D81" s="310" t="s">
        <v>28</v>
      </c>
      <c r="E81" s="310"/>
      <c r="F81" s="310"/>
      <c r="G81" s="310"/>
      <c r="H81" s="178">
        <v>8073</v>
      </c>
      <c r="I81" s="303" t="s">
        <v>29</v>
      </c>
      <c r="J81" s="303"/>
      <c r="K81" s="303" t="s">
        <v>29</v>
      </c>
      <c r="L81" s="309"/>
      <c r="M81" s="39" t="s">
        <v>126</v>
      </c>
      <c r="N81" s="25" t="s">
        <v>110</v>
      </c>
      <c r="O81" s="149" t="s">
        <v>313</v>
      </c>
      <c r="P81" s="228" t="s">
        <v>465</v>
      </c>
      <c r="Q81" s="170"/>
      <c r="AA81" s="298"/>
      <c r="AB81" s="298"/>
      <c r="AC81" s="298"/>
      <c r="AD81" s="298"/>
      <c r="AF81" s="168"/>
      <c r="AG81" s="168"/>
      <c r="AH81" s="168"/>
      <c r="AI81" s="168"/>
      <c r="AM81" s="36"/>
      <c r="AN81" s="32"/>
      <c r="AO81" s="32"/>
      <c r="AP81" s="296"/>
      <c r="AQ81" s="296"/>
      <c r="AR81" s="296"/>
      <c r="AS81" s="296"/>
      <c r="AT81" s="265"/>
      <c r="AU81" s="298"/>
      <c r="AV81" s="298"/>
      <c r="AW81" s="298"/>
      <c r="AX81" s="298"/>
      <c r="AY81" s="249"/>
      <c r="AZ81" s="266"/>
      <c r="BA81" s="258"/>
      <c r="BB81" s="224"/>
    </row>
    <row r="82" spans="1:54" ht="22.5" x14ac:dyDescent="0.2">
      <c r="A82" s="6">
        <v>73</v>
      </c>
      <c r="B82" s="19" t="s">
        <v>622</v>
      </c>
      <c r="C82" s="19" t="s">
        <v>623</v>
      </c>
      <c r="D82" s="310" t="s">
        <v>28</v>
      </c>
      <c r="E82" s="310"/>
      <c r="F82" s="310"/>
      <c r="G82" s="310"/>
      <c r="H82" s="178">
        <v>8074</v>
      </c>
      <c r="I82" s="303" t="s">
        <v>29</v>
      </c>
      <c r="J82" s="303"/>
      <c r="K82" s="303" t="s">
        <v>29</v>
      </c>
      <c r="L82" s="309"/>
      <c r="M82" s="39" t="s">
        <v>126</v>
      </c>
      <c r="N82" s="25" t="s">
        <v>110</v>
      </c>
      <c r="O82" s="149" t="s">
        <v>313</v>
      </c>
      <c r="P82" s="228" t="s">
        <v>465</v>
      </c>
      <c r="Q82" s="170"/>
      <c r="AA82" s="298"/>
      <c r="AB82" s="298"/>
      <c r="AC82" s="298"/>
      <c r="AD82" s="298"/>
      <c r="AF82" s="168"/>
      <c r="AG82" s="168"/>
      <c r="AH82" s="168"/>
      <c r="AI82" s="168"/>
      <c r="AM82" s="36"/>
      <c r="AN82" s="32"/>
      <c r="AO82" s="32"/>
      <c r="AP82" s="296"/>
      <c r="AQ82" s="296"/>
      <c r="AR82" s="296"/>
      <c r="AS82" s="296"/>
      <c r="AT82" s="265"/>
      <c r="AU82" s="298"/>
      <c r="AV82" s="298"/>
      <c r="AW82" s="298"/>
      <c r="AX82" s="298"/>
      <c r="AY82" s="249"/>
      <c r="AZ82" s="266"/>
      <c r="BA82" s="258"/>
      <c r="BB82" s="224"/>
    </row>
    <row r="83" spans="1:54" s="260" customFormat="1" x14ac:dyDescent="0.2">
      <c r="A83" s="61"/>
      <c r="B83" s="62" t="s">
        <v>83</v>
      </c>
      <c r="C83" s="67"/>
      <c r="D83" s="68"/>
      <c r="E83" s="68"/>
      <c r="F83" s="68"/>
      <c r="G83" s="68"/>
      <c r="H83" s="179"/>
      <c r="I83" s="69"/>
      <c r="J83" s="69"/>
      <c r="K83" s="69"/>
      <c r="L83" s="69"/>
      <c r="M83" s="70"/>
      <c r="N83" s="70"/>
      <c r="O83" s="70"/>
      <c r="P83" s="227"/>
      <c r="Q83" s="163"/>
      <c r="R83" s="23"/>
      <c r="S83" s="23"/>
      <c r="T83" s="23"/>
      <c r="U83" s="23"/>
      <c r="V83" s="23"/>
      <c r="AA83" s="253"/>
      <c r="AB83" s="253"/>
      <c r="AC83" s="253"/>
      <c r="AD83" s="253"/>
      <c r="AF83" s="168"/>
      <c r="AG83" s="168"/>
      <c r="AH83" s="168"/>
      <c r="AI83" s="168"/>
      <c r="AM83" s="224"/>
      <c r="AN83" s="267"/>
      <c r="AO83" s="268"/>
      <c r="AP83" s="224"/>
      <c r="AQ83" s="224"/>
      <c r="AR83" s="224"/>
      <c r="AS83" s="224"/>
      <c r="AT83" s="265"/>
      <c r="AU83" s="253"/>
      <c r="AV83" s="253"/>
      <c r="AW83" s="253"/>
      <c r="AX83" s="253"/>
      <c r="AY83" s="269"/>
      <c r="AZ83" s="269"/>
      <c r="BA83" s="269"/>
      <c r="BB83" s="266"/>
    </row>
    <row r="84" spans="1:54" s="260" customFormat="1" x14ac:dyDescent="0.2">
      <c r="A84" s="90"/>
      <c r="B84" s="91" t="s">
        <v>157</v>
      </c>
      <c r="C84" s="92"/>
      <c r="D84" s="93"/>
      <c r="E84" s="93"/>
      <c r="F84" s="93"/>
      <c r="G84" s="93"/>
      <c r="H84" s="184"/>
      <c r="I84" s="94"/>
      <c r="J84" s="94"/>
      <c r="K84" s="94"/>
      <c r="L84" s="94"/>
      <c r="M84" s="95"/>
      <c r="N84" s="95"/>
      <c r="O84" s="95"/>
      <c r="P84" s="152"/>
      <c r="Q84" s="163"/>
      <c r="R84" s="23"/>
      <c r="S84" s="23"/>
      <c r="T84" s="23"/>
      <c r="U84" s="23"/>
      <c r="V84" s="23"/>
      <c r="AA84" s="253"/>
      <c r="AB84" s="253"/>
      <c r="AC84" s="253"/>
      <c r="AD84" s="253"/>
      <c r="AF84" s="168"/>
      <c r="AG84" s="168"/>
      <c r="AH84" s="168"/>
      <c r="AI84" s="168"/>
      <c r="AM84" s="224"/>
      <c r="AN84" s="267"/>
      <c r="AO84" s="268"/>
      <c r="AP84" s="224"/>
      <c r="AQ84" s="224"/>
      <c r="AR84" s="224"/>
      <c r="AS84" s="224"/>
      <c r="AT84" s="265"/>
      <c r="AU84" s="253"/>
      <c r="AV84" s="253"/>
      <c r="AW84" s="253"/>
      <c r="AX84" s="253"/>
      <c r="AY84" s="269"/>
      <c r="AZ84" s="269"/>
      <c r="BA84" s="269"/>
      <c r="BB84" s="274"/>
    </row>
    <row r="85" spans="1:54" ht="33.75" x14ac:dyDescent="0.2">
      <c r="A85" s="17">
        <v>19</v>
      </c>
      <c r="B85" s="38" t="s">
        <v>167</v>
      </c>
      <c r="C85" s="38" t="s">
        <v>260</v>
      </c>
      <c r="D85" s="43" t="s">
        <v>429</v>
      </c>
      <c r="E85" s="43" t="s">
        <v>431</v>
      </c>
      <c r="F85" s="44"/>
      <c r="G85" s="44"/>
      <c r="H85" s="185">
        <v>8193</v>
      </c>
      <c r="I85" s="126">
        <v>344.4</v>
      </c>
      <c r="J85" s="126">
        <f t="shared" ref="J85:J86" si="18">I85*1.1</f>
        <v>378.84000000000003</v>
      </c>
      <c r="K85" s="113"/>
      <c r="L85" s="113"/>
      <c r="M85" s="14" t="s">
        <v>125</v>
      </c>
      <c r="N85" s="25" t="s">
        <v>109</v>
      </c>
      <c r="O85" s="149" t="s">
        <v>314</v>
      </c>
      <c r="P85" s="149" t="s">
        <v>482</v>
      </c>
      <c r="Q85" s="165"/>
      <c r="R85" s="3"/>
      <c r="S85" s="3"/>
      <c r="T85" s="3"/>
      <c r="U85" s="3"/>
      <c r="V85" s="3"/>
      <c r="AA85" s="248"/>
      <c r="AB85" s="248"/>
      <c r="AC85" s="254"/>
      <c r="AD85" s="254"/>
      <c r="AF85" s="168"/>
      <c r="AG85" s="168"/>
      <c r="AH85" s="168"/>
      <c r="AI85" s="168"/>
      <c r="AM85" s="36"/>
      <c r="AN85" s="270"/>
      <c r="AO85" s="270"/>
      <c r="AP85" s="272"/>
      <c r="AQ85" s="272"/>
      <c r="AR85" s="224"/>
      <c r="AS85" s="224"/>
      <c r="AT85" s="275"/>
      <c r="AU85" s="248"/>
      <c r="AV85" s="248"/>
      <c r="AW85" s="254"/>
      <c r="AX85" s="254"/>
      <c r="AY85" s="249"/>
      <c r="AZ85" s="266"/>
      <c r="BA85" s="258"/>
      <c r="BB85" s="258"/>
    </row>
    <row r="86" spans="1:54" ht="45" x14ac:dyDescent="0.2">
      <c r="A86" s="17" t="s">
        <v>159</v>
      </c>
      <c r="B86" s="38" t="s">
        <v>168</v>
      </c>
      <c r="C86" s="38" t="s">
        <v>182</v>
      </c>
      <c r="D86" s="43" t="s">
        <v>430</v>
      </c>
      <c r="E86" s="43" t="s">
        <v>432</v>
      </c>
      <c r="F86" s="44"/>
      <c r="G86" s="44"/>
      <c r="H86" s="185">
        <v>8194</v>
      </c>
      <c r="I86" s="126">
        <v>63.4</v>
      </c>
      <c r="J86" s="126">
        <f t="shared" si="18"/>
        <v>69.740000000000009</v>
      </c>
      <c r="K86" s="113"/>
      <c r="L86" s="113"/>
      <c r="M86" s="14" t="s">
        <v>125</v>
      </c>
      <c r="N86" s="25" t="s">
        <v>109</v>
      </c>
      <c r="O86" s="149" t="s">
        <v>314</v>
      </c>
      <c r="P86" s="209" t="s">
        <v>467</v>
      </c>
      <c r="Q86" s="166"/>
      <c r="R86" s="3"/>
      <c r="S86" s="3"/>
      <c r="T86" s="3"/>
      <c r="U86" s="3"/>
      <c r="V86" s="3"/>
      <c r="AA86" s="248"/>
      <c r="AB86" s="248"/>
      <c r="AC86" s="254"/>
      <c r="AD86" s="254"/>
      <c r="AF86" s="168"/>
      <c r="AG86" s="168"/>
      <c r="AH86" s="168"/>
      <c r="AI86" s="168"/>
      <c r="AM86" s="36"/>
      <c r="AN86" s="270"/>
      <c r="AO86" s="270"/>
      <c r="AP86" s="272"/>
      <c r="AQ86" s="272"/>
      <c r="AR86" s="224"/>
      <c r="AS86" s="224"/>
      <c r="AT86" s="275"/>
      <c r="AU86" s="248"/>
      <c r="AV86" s="248"/>
      <c r="AW86" s="254"/>
      <c r="AX86" s="254"/>
      <c r="AY86" s="249"/>
      <c r="AZ86" s="266"/>
      <c r="BA86" s="258"/>
      <c r="BB86" s="224"/>
    </row>
    <row r="87" spans="1:54" ht="33.75" x14ac:dyDescent="0.2">
      <c r="A87" s="88">
        <v>20</v>
      </c>
      <c r="B87" s="57" t="s">
        <v>384</v>
      </c>
      <c r="C87" s="57" t="s">
        <v>260</v>
      </c>
      <c r="D87" s="58"/>
      <c r="E87" s="58"/>
      <c r="F87" s="134" t="s">
        <v>433</v>
      </c>
      <c r="G87" s="134" t="s">
        <v>434</v>
      </c>
      <c r="H87" s="186">
        <v>8195</v>
      </c>
      <c r="I87" s="114"/>
      <c r="J87" s="114"/>
      <c r="K87" s="128">
        <v>344.4</v>
      </c>
      <c r="L87" s="128">
        <f t="shared" ref="L87:L88" si="19">K87*1.1</f>
        <v>378.84000000000003</v>
      </c>
      <c r="M87" s="89" t="s">
        <v>125</v>
      </c>
      <c r="N87" s="60" t="s">
        <v>134</v>
      </c>
      <c r="O87" s="150" t="s">
        <v>314</v>
      </c>
      <c r="P87" s="149" t="s">
        <v>482</v>
      </c>
      <c r="Q87" s="165"/>
      <c r="R87" s="3"/>
      <c r="S87" s="3"/>
      <c r="T87" s="3"/>
      <c r="U87" s="3"/>
      <c r="V87" s="3"/>
      <c r="AA87" s="255"/>
      <c r="AB87" s="255"/>
      <c r="AC87" s="248"/>
      <c r="AD87" s="248"/>
      <c r="AF87" s="168"/>
      <c r="AG87" s="168"/>
      <c r="AH87" s="168"/>
      <c r="AI87" s="168"/>
      <c r="AM87" s="36"/>
      <c r="AN87" s="32"/>
      <c r="AO87" s="32"/>
      <c r="AP87" s="224"/>
      <c r="AQ87" s="224"/>
      <c r="AR87" s="224"/>
      <c r="AS87" s="224"/>
      <c r="AT87" s="265"/>
      <c r="AU87" s="255"/>
      <c r="AV87" s="255"/>
      <c r="AW87" s="248"/>
      <c r="AX87" s="248"/>
      <c r="AY87" s="249"/>
      <c r="AZ87" s="266"/>
      <c r="BA87" s="258"/>
      <c r="BB87" s="258"/>
    </row>
    <row r="88" spans="1:54" ht="45" x14ac:dyDescent="0.2">
      <c r="A88" s="88" t="s">
        <v>160</v>
      </c>
      <c r="B88" s="57" t="s">
        <v>169</v>
      </c>
      <c r="C88" s="57" t="s">
        <v>183</v>
      </c>
      <c r="D88" s="58"/>
      <c r="E88" s="58"/>
      <c r="F88" s="140" t="s">
        <v>435</v>
      </c>
      <c r="G88" s="140" t="s">
        <v>436</v>
      </c>
      <c r="H88" s="186">
        <v>8196</v>
      </c>
      <c r="I88" s="114"/>
      <c r="J88" s="114"/>
      <c r="K88" s="128">
        <v>63.4</v>
      </c>
      <c r="L88" s="128">
        <f t="shared" si="19"/>
        <v>69.740000000000009</v>
      </c>
      <c r="M88" s="89" t="s">
        <v>125</v>
      </c>
      <c r="N88" s="60" t="s">
        <v>468</v>
      </c>
      <c r="O88" s="150" t="s">
        <v>314</v>
      </c>
      <c r="P88" s="209" t="s">
        <v>467</v>
      </c>
      <c r="Q88" s="166"/>
      <c r="R88" s="3"/>
      <c r="S88" s="3"/>
      <c r="T88" s="3"/>
      <c r="U88" s="3"/>
      <c r="V88" s="3"/>
      <c r="AA88" s="255"/>
      <c r="AB88" s="255"/>
      <c r="AC88" s="248"/>
      <c r="AD88" s="248"/>
      <c r="AF88" s="168"/>
      <c r="AG88" s="168"/>
      <c r="AH88" s="168"/>
      <c r="AI88" s="168"/>
      <c r="AM88" s="36"/>
      <c r="AN88" s="32"/>
      <c r="AO88" s="32"/>
      <c r="AP88" s="224"/>
      <c r="AQ88" s="224"/>
      <c r="AR88" s="224"/>
      <c r="AS88" s="224"/>
      <c r="AT88" s="265"/>
      <c r="AU88" s="255"/>
      <c r="AV88" s="255"/>
      <c r="AW88" s="248"/>
      <c r="AX88" s="248"/>
      <c r="AY88" s="249"/>
      <c r="AZ88" s="266"/>
      <c r="BA88" s="258"/>
      <c r="BB88" s="224"/>
    </row>
    <row r="89" spans="1:54" ht="33.75" x14ac:dyDescent="0.2">
      <c r="A89" s="17">
        <v>21</v>
      </c>
      <c r="B89" s="38" t="s">
        <v>170</v>
      </c>
      <c r="C89" s="38" t="s">
        <v>261</v>
      </c>
      <c r="D89" s="43" t="s">
        <v>437</v>
      </c>
      <c r="E89" s="43" t="s">
        <v>438</v>
      </c>
      <c r="F89" s="44"/>
      <c r="G89" s="44"/>
      <c r="H89" s="185">
        <v>8197</v>
      </c>
      <c r="I89" s="126">
        <v>421.8</v>
      </c>
      <c r="J89" s="126">
        <f t="shared" ref="J89:J90" si="20">I89*1.1</f>
        <v>463.98000000000008</v>
      </c>
      <c r="K89" s="113"/>
      <c r="L89" s="113"/>
      <c r="M89" s="14" t="s">
        <v>125</v>
      </c>
      <c r="N89" s="25" t="s">
        <v>109</v>
      </c>
      <c r="O89" s="149" t="s">
        <v>314</v>
      </c>
      <c r="P89" s="149" t="s">
        <v>482</v>
      </c>
      <c r="Q89" s="165"/>
      <c r="R89" s="3"/>
      <c r="S89" s="3"/>
      <c r="T89" s="3"/>
      <c r="U89" s="3"/>
      <c r="V89" s="3"/>
      <c r="AA89" s="248"/>
      <c r="AB89" s="248"/>
      <c r="AC89" s="254"/>
      <c r="AD89" s="254"/>
      <c r="AF89" s="168"/>
      <c r="AG89" s="168"/>
      <c r="AH89" s="168"/>
      <c r="AI89" s="168"/>
      <c r="AM89" s="36"/>
      <c r="AN89" s="270"/>
      <c r="AO89" s="270"/>
      <c r="AP89" s="272"/>
      <c r="AQ89" s="272"/>
      <c r="AR89" s="224"/>
      <c r="AS89" s="224"/>
      <c r="AT89" s="275"/>
      <c r="AU89" s="248"/>
      <c r="AV89" s="248"/>
      <c r="AW89" s="254"/>
      <c r="AX89" s="254"/>
      <c r="AY89" s="249"/>
      <c r="AZ89" s="266"/>
      <c r="BA89" s="258"/>
      <c r="BB89" s="258"/>
    </row>
    <row r="90" spans="1:54" ht="45" x14ac:dyDescent="0.2">
      <c r="A90" s="17" t="s">
        <v>161</v>
      </c>
      <c r="B90" s="38" t="s">
        <v>171</v>
      </c>
      <c r="C90" s="38" t="s">
        <v>184</v>
      </c>
      <c r="D90" s="43" t="s">
        <v>439</v>
      </c>
      <c r="E90" s="43" t="s">
        <v>440</v>
      </c>
      <c r="F90" s="44"/>
      <c r="G90" s="44"/>
      <c r="H90" s="185">
        <v>8198</v>
      </c>
      <c r="I90" s="126">
        <v>63.4</v>
      </c>
      <c r="J90" s="126">
        <f t="shared" si="20"/>
        <v>69.740000000000009</v>
      </c>
      <c r="K90" s="113"/>
      <c r="L90" s="113"/>
      <c r="M90" s="14" t="s">
        <v>125</v>
      </c>
      <c r="N90" s="25" t="s">
        <v>109</v>
      </c>
      <c r="O90" s="149" t="s">
        <v>314</v>
      </c>
      <c r="P90" s="209" t="s">
        <v>467</v>
      </c>
      <c r="Q90" s="166"/>
      <c r="R90" s="3"/>
      <c r="S90" s="3"/>
      <c r="T90" s="3"/>
      <c r="U90" s="3"/>
      <c r="V90" s="3"/>
      <c r="AA90" s="248"/>
      <c r="AB90" s="248"/>
      <c r="AC90" s="254"/>
      <c r="AD90" s="254"/>
      <c r="AF90" s="168"/>
      <c r="AG90" s="168"/>
      <c r="AH90" s="168"/>
      <c r="AI90" s="168"/>
      <c r="AM90" s="36"/>
      <c r="AN90" s="270"/>
      <c r="AO90" s="270"/>
      <c r="AP90" s="272"/>
      <c r="AQ90" s="272"/>
      <c r="AR90" s="224"/>
      <c r="AS90" s="224"/>
      <c r="AT90" s="275"/>
      <c r="AU90" s="248"/>
      <c r="AV90" s="248"/>
      <c r="AW90" s="254"/>
      <c r="AX90" s="254"/>
      <c r="AY90" s="249"/>
      <c r="AZ90" s="266"/>
      <c r="BA90" s="258"/>
      <c r="BB90" s="224"/>
    </row>
    <row r="91" spans="1:54" ht="33.75" x14ac:dyDescent="0.2">
      <c r="A91" s="88">
        <v>22</v>
      </c>
      <c r="B91" s="57" t="s">
        <v>172</v>
      </c>
      <c r="C91" s="57" t="s">
        <v>261</v>
      </c>
      <c r="D91" s="58"/>
      <c r="E91" s="58"/>
      <c r="F91" s="134" t="s">
        <v>441</v>
      </c>
      <c r="G91" s="134" t="s">
        <v>442</v>
      </c>
      <c r="H91" s="186">
        <v>8199</v>
      </c>
      <c r="I91" s="114"/>
      <c r="J91" s="114"/>
      <c r="K91" s="128">
        <v>421.8</v>
      </c>
      <c r="L91" s="128">
        <f t="shared" ref="L91:L92" si="21">K91*1.1</f>
        <v>463.98000000000008</v>
      </c>
      <c r="M91" s="89" t="s">
        <v>125</v>
      </c>
      <c r="N91" s="60" t="s">
        <v>134</v>
      </c>
      <c r="O91" s="150" t="s">
        <v>314</v>
      </c>
      <c r="P91" s="149" t="s">
        <v>482</v>
      </c>
      <c r="Q91" s="165"/>
      <c r="R91" s="3"/>
      <c r="S91" s="3"/>
      <c r="T91" s="3"/>
      <c r="U91" s="3"/>
      <c r="V91" s="3"/>
      <c r="AA91" s="255"/>
      <c r="AB91" s="255"/>
      <c r="AC91" s="248"/>
      <c r="AD91" s="248"/>
      <c r="AF91" s="168"/>
      <c r="AG91" s="168"/>
      <c r="AH91" s="168"/>
      <c r="AI91" s="168"/>
      <c r="AM91" s="36"/>
      <c r="AN91" s="32"/>
      <c r="AO91" s="32"/>
      <c r="AP91" s="224"/>
      <c r="AQ91" s="224"/>
      <c r="AR91" s="224"/>
      <c r="AS91" s="224"/>
      <c r="AT91" s="265"/>
      <c r="AU91" s="255"/>
      <c r="AV91" s="255"/>
      <c r="AW91" s="248"/>
      <c r="AX91" s="248"/>
      <c r="AY91" s="249"/>
      <c r="AZ91" s="266"/>
      <c r="BA91" s="258"/>
      <c r="BB91" s="258"/>
    </row>
    <row r="92" spans="1:54" ht="45" x14ac:dyDescent="0.2">
      <c r="A92" s="88" t="s">
        <v>162</v>
      </c>
      <c r="B92" s="57" t="s">
        <v>173</v>
      </c>
      <c r="C92" s="57" t="s">
        <v>185</v>
      </c>
      <c r="D92" s="58"/>
      <c r="E92" s="58"/>
      <c r="F92" s="140" t="s">
        <v>443</v>
      </c>
      <c r="G92" s="140" t="s">
        <v>444</v>
      </c>
      <c r="H92" s="186">
        <v>8200</v>
      </c>
      <c r="I92" s="114"/>
      <c r="J92" s="114"/>
      <c r="K92" s="128">
        <v>63.4</v>
      </c>
      <c r="L92" s="128">
        <f t="shared" si="21"/>
        <v>69.740000000000009</v>
      </c>
      <c r="M92" s="89" t="s">
        <v>125</v>
      </c>
      <c r="N92" s="60" t="s">
        <v>468</v>
      </c>
      <c r="O92" s="150" t="s">
        <v>314</v>
      </c>
      <c r="P92" s="209" t="s">
        <v>467</v>
      </c>
      <c r="Q92" s="166"/>
      <c r="R92" s="3"/>
      <c r="S92" s="3"/>
      <c r="T92" s="3"/>
      <c r="U92" s="3"/>
      <c r="V92" s="3"/>
      <c r="AA92" s="255"/>
      <c r="AB92" s="255"/>
      <c r="AC92" s="248"/>
      <c r="AD92" s="248"/>
      <c r="AF92" s="168"/>
      <c r="AG92" s="168"/>
      <c r="AH92" s="168"/>
      <c r="AI92" s="168"/>
      <c r="AM92" s="36"/>
      <c r="AN92" s="32"/>
      <c r="AO92" s="32"/>
      <c r="AP92" s="224"/>
      <c r="AQ92" s="224"/>
      <c r="AR92" s="224"/>
      <c r="AS92" s="224"/>
      <c r="AT92" s="265"/>
      <c r="AU92" s="255"/>
      <c r="AV92" s="255"/>
      <c r="AW92" s="248"/>
      <c r="AX92" s="248"/>
      <c r="AY92" s="249"/>
      <c r="AZ92" s="266"/>
      <c r="BA92" s="258"/>
      <c r="BB92" s="224"/>
    </row>
    <row r="93" spans="1:54" ht="33.75" x14ac:dyDescent="0.2">
      <c r="A93" s="17">
        <v>23</v>
      </c>
      <c r="B93" s="38" t="s">
        <v>174</v>
      </c>
      <c r="C93" s="38" t="s">
        <v>262</v>
      </c>
      <c r="D93" s="43" t="s">
        <v>445</v>
      </c>
      <c r="E93" s="43" t="s">
        <v>446</v>
      </c>
      <c r="F93" s="44"/>
      <c r="G93" s="44"/>
      <c r="H93" s="185">
        <v>8201</v>
      </c>
      <c r="I93" s="126">
        <v>530.20000000000005</v>
      </c>
      <c r="J93" s="126">
        <f t="shared" ref="J93:J94" si="22">I93*1.1</f>
        <v>583.22000000000014</v>
      </c>
      <c r="K93" s="113"/>
      <c r="L93" s="113"/>
      <c r="M93" s="14" t="s">
        <v>125</v>
      </c>
      <c r="N93" s="25" t="s">
        <v>109</v>
      </c>
      <c r="O93" s="149" t="s">
        <v>314</v>
      </c>
      <c r="P93" s="149" t="s">
        <v>482</v>
      </c>
      <c r="Q93" s="165"/>
      <c r="R93" s="3"/>
      <c r="S93" s="3"/>
      <c r="T93" s="3"/>
      <c r="U93" s="3"/>
      <c r="V93" s="3"/>
      <c r="AA93" s="248"/>
      <c r="AB93" s="248"/>
      <c r="AC93" s="254"/>
      <c r="AD93" s="254"/>
      <c r="AF93" s="168"/>
      <c r="AG93" s="168"/>
      <c r="AH93" s="168"/>
      <c r="AI93" s="168"/>
      <c r="AM93" s="36"/>
      <c r="AN93" s="270"/>
      <c r="AO93" s="270"/>
      <c r="AP93" s="272"/>
      <c r="AQ93" s="272"/>
      <c r="AR93" s="224"/>
      <c r="AS93" s="224"/>
      <c r="AT93" s="275"/>
      <c r="AU93" s="248"/>
      <c r="AV93" s="248"/>
      <c r="AW93" s="254"/>
      <c r="AX93" s="254"/>
      <c r="AY93" s="249"/>
      <c r="AZ93" s="266"/>
      <c r="BA93" s="258"/>
      <c r="BB93" s="258"/>
    </row>
    <row r="94" spans="1:54" ht="45" x14ac:dyDescent="0.2">
      <c r="A94" s="17" t="s">
        <v>163</v>
      </c>
      <c r="B94" s="38" t="s">
        <v>175</v>
      </c>
      <c r="C94" s="38" t="s">
        <v>186</v>
      </c>
      <c r="D94" s="43" t="s">
        <v>447</v>
      </c>
      <c r="E94" s="43" t="s">
        <v>448</v>
      </c>
      <c r="F94" s="44"/>
      <c r="G94" s="44"/>
      <c r="H94" s="185">
        <v>8202</v>
      </c>
      <c r="I94" s="126">
        <v>63.4</v>
      </c>
      <c r="J94" s="126">
        <f t="shared" si="22"/>
        <v>69.740000000000009</v>
      </c>
      <c r="K94" s="113"/>
      <c r="L94" s="113"/>
      <c r="M94" s="14" t="s">
        <v>125</v>
      </c>
      <c r="N94" s="25" t="s">
        <v>109</v>
      </c>
      <c r="O94" s="149" t="s">
        <v>314</v>
      </c>
      <c r="P94" s="209" t="s">
        <v>467</v>
      </c>
      <c r="Q94" s="166"/>
      <c r="R94" s="3"/>
      <c r="S94" s="3"/>
      <c r="T94" s="3"/>
      <c r="U94" s="3"/>
      <c r="V94" s="3"/>
      <c r="AA94" s="248"/>
      <c r="AB94" s="248"/>
      <c r="AC94" s="254"/>
      <c r="AD94" s="254"/>
      <c r="AF94" s="168"/>
      <c r="AG94" s="168"/>
      <c r="AH94" s="168"/>
      <c r="AI94" s="168"/>
      <c r="AM94" s="36"/>
      <c r="AN94" s="270"/>
      <c r="AO94" s="270"/>
      <c r="AP94" s="272"/>
      <c r="AQ94" s="272"/>
      <c r="AR94" s="224"/>
      <c r="AS94" s="224"/>
      <c r="AT94" s="275"/>
      <c r="AU94" s="248"/>
      <c r="AV94" s="248"/>
      <c r="AW94" s="254"/>
      <c r="AX94" s="254"/>
      <c r="AY94" s="249"/>
      <c r="AZ94" s="266"/>
      <c r="BA94" s="258"/>
      <c r="BB94" s="224"/>
    </row>
    <row r="95" spans="1:54" ht="33.75" x14ac:dyDescent="0.2">
      <c r="A95" s="88">
        <v>24</v>
      </c>
      <c r="B95" s="57" t="s">
        <v>176</v>
      </c>
      <c r="C95" s="57" t="s">
        <v>262</v>
      </c>
      <c r="D95" s="58"/>
      <c r="E95" s="58"/>
      <c r="F95" s="134" t="s">
        <v>449</v>
      </c>
      <c r="G95" s="134" t="s">
        <v>450</v>
      </c>
      <c r="H95" s="186">
        <v>8203</v>
      </c>
      <c r="I95" s="114"/>
      <c r="J95" s="114"/>
      <c r="K95" s="128">
        <v>530.20000000000005</v>
      </c>
      <c r="L95" s="128">
        <f t="shared" ref="L95:L96" si="23">K95*1.1</f>
        <v>583.22000000000014</v>
      </c>
      <c r="M95" s="89" t="s">
        <v>125</v>
      </c>
      <c r="N95" s="60" t="s">
        <v>134</v>
      </c>
      <c r="O95" s="150" t="s">
        <v>314</v>
      </c>
      <c r="P95" s="149" t="s">
        <v>482</v>
      </c>
      <c r="Q95" s="165"/>
      <c r="R95" s="3"/>
      <c r="S95" s="3"/>
      <c r="T95" s="3"/>
      <c r="U95" s="3"/>
      <c r="V95" s="3"/>
      <c r="AA95" s="255"/>
      <c r="AB95" s="255"/>
      <c r="AC95" s="248"/>
      <c r="AD95" s="248"/>
      <c r="AF95" s="168"/>
      <c r="AG95" s="168"/>
      <c r="AH95" s="168"/>
      <c r="AI95" s="168"/>
      <c r="AM95" s="36"/>
      <c r="AN95" s="32"/>
      <c r="AO95" s="32"/>
      <c r="AP95" s="224"/>
      <c r="AQ95" s="224"/>
      <c r="AR95" s="224"/>
      <c r="AS95" s="224"/>
      <c r="AT95" s="265"/>
      <c r="AU95" s="255"/>
      <c r="AV95" s="255"/>
      <c r="AW95" s="248"/>
      <c r="AX95" s="248"/>
      <c r="AY95" s="249"/>
      <c r="AZ95" s="266"/>
      <c r="BA95" s="258"/>
      <c r="BB95" s="258"/>
    </row>
    <row r="96" spans="1:54" ht="45" x14ac:dyDescent="0.2">
      <c r="A96" s="88" t="s">
        <v>164</v>
      </c>
      <c r="B96" s="57" t="s">
        <v>177</v>
      </c>
      <c r="C96" s="57" t="s">
        <v>187</v>
      </c>
      <c r="D96" s="58"/>
      <c r="E96" s="58"/>
      <c r="F96" s="140" t="s">
        <v>451</v>
      </c>
      <c r="G96" s="140" t="s">
        <v>452</v>
      </c>
      <c r="H96" s="186">
        <v>8204</v>
      </c>
      <c r="I96" s="114"/>
      <c r="J96" s="114"/>
      <c r="K96" s="128">
        <v>63.4</v>
      </c>
      <c r="L96" s="128">
        <f t="shared" si="23"/>
        <v>69.740000000000009</v>
      </c>
      <c r="M96" s="89" t="s">
        <v>125</v>
      </c>
      <c r="N96" s="60" t="s">
        <v>468</v>
      </c>
      <c r="O96" s="150" t="s">
        <v>314</v>
      </c>
      <c r="P96" s="209" t="s">
        <v>467</v>
      </c>
      <c r="Q96" s="166"/>
      <c r="R96" s="3"/>
      <c r="S96" s="3"/>
      <c r="T96" s="3"/>
      <c r="U96" s="3"/>
      <c r="V96" s="3"/>
      <c r="AA96" s="255"/>
      <c r="AB96" s="255"/>
      <c r="AC96" s="248"/>
      <c r="AD96" s="248"/>
      <c r="AF96" s="168"/>
      <c r="AG96" s="168"/>
      <c r="AH96" s="168"/>
      <c r="AI96" s="168"/>
      <c r="AM96" s="36"/>
      <c r="AN96" s="32"/>
      <c r="AO96" s="32"/>
      <c r="AP96" s="224"/>
      <c r="AQ96" s="224"/>
      <c r="AR96" s="224"/>
      <c r="AS96" s="224"/>
      <c r="AT96" s="265"/>
      <c r="AU96" s="255"/>
      <c r="AV96" s="255"/>
      <c r="AW96" s="248"/>
      <c r="AX96" s="248"/>
      <c r="AY96" s="249"/>
      <c r="AZ96" s="266"/>
      <c r="BA96" s="258"/>
      <c r="BB96" s="224"/>
    </row>
    <row r="97" spans="1:54" ht="33.75" x14ac:dyDescent="0.2">
      <c r="A97" s="17">
        <v>25</v>
      </c>
      <c r="B97" s="38" t="s">
        <v>178</v>
      </c>
      <c r="C97" s="38" t="s">
        <v>263</v>
      </c>
      <c r="D97" s="43" t="s">
        <v>453</v>
      </c>
      <c r="E97" s="43" t="s">
        <v>454</v>
      </c>
      <c r="F97" s="44"/>
      <c r="G97" s="44"/>
      <c r="H97" s="185">
        <v>8205</v>
      </c>
      <c r="I97" s="126">
        <v>2519.1</v>
      </c>
      <c r="J97" s="126">
        <f t="shared" ref="J97:J98" si="24">I97*1.1</f>
        <v>2771.01</v>
      </c>
      <c r="K97" s="113"/>
      <c r="L97" s="113"/>
      <c r="M97" s="14" t="s">
        <v>125</v>
      </c>
      <c r="N97" s="25" t="s">
        <v>109</v>
      </c>
      <c r="O97" s="149" t="s">
        <v>314</v>
      </c>
      <c r="P97" s="149" t="s">
        <v>482</v>
      </c>
      <c r="Q97" s="165"/>
      <c r="R97" s="3"/>
      <c r="S97" s="3"/>
      <c r="T97" s="3"/>
      <c r="U97" s="3"/>
      <c r="V97" s="3"/>
      <c r="AA97" s="248"/>
      <c r="AB97" s="248"/>
      <c r="AC97" s="254"/>
      <c r="AD97" s="254"/>
      <c r="AF97" s="168"/>
      <c r="AG97" s="168"/>
      <c r="AH97" s="168"/>
      <c r="AI97" s="168"/>
      <c r="AM97" s="36"/>
      <c r="AN97" s="270"/>
      <c r="AO97" s="270"/>
      <c r="AP97" s="272"/>
      <c r="AQ97" s="272"/>
      <c r="AR97" s="224"/>
      <c r="AS97" s="224"/>
      <c r="AT97" s="275"/>
      <c r="AU97" s="248"/>
      <c r="AV97" s="248"/>
      <c r="AW97" s="254"/>
      <c r="AX97" s="254"/>
      <c r="AY97" s="249"/>
      <c r="AZ97" s="266"/>
      <c r="BA97" s="258"/>
      <c r="BB97" s="258"/>
    </row>
    <row r="98" spans="1:54" ht="45" x14ac:dyDescent="0.2">
      <c r="A98" s="17" t="s">
        <v>165</v>
      </c>
      <c r="B98" s="38" t="s">
        <v>179</v>
      </c>
      <c r="C98" s="38" t="s">
        <v>188</v>
      </c>
      <c r="D98" s="43" t="s">
        <v>455</v>
      </c>
      <c r="E98" s="43" t="s">
        <v>456</v>
      </c>
      <c r="F98" s="44"/>
      <c r="G98" s="44"/>
      <c r="H98" s="185">
        <v>8206</v>
      </c>
      <c r="I98" s="126">
        <v>121.3</v>
      </c>
      <c r="J98" s="126">
        <f t="shared" si="24"/>
        <v>133.43</v>
      </c>
      <c r="K98" s="113"/>
      <c r="L98" s="113"/>
      <c r="M98" s="14" t="s">
        <v>125</v>
      </c>
      <c r="N98" s="25" t="s">
        <v>109</v>
      </c>
      <c r="O98" s="149" t="s">
        <v>314</v>
      </c>
      <c r="P98" s="209" t="s">
        <v>467</v>
      </c>
      <c r="Q98" s="166"/>
      <c r="R98" s="3"/>
      <c r="S98" s="3"/>
      <c r="T98" s="3"/>
      <c r="U98" s="3"/>
      <c r="V98" s="3"/>
      <c r="AA98" s="248"/>
      <c r="AB98" s="248"/>
      <c r="AC98" s="254"/>
      <c r="AD98" s="254"/>
      <c r="AF98" s="168"/>
      <c r="AG98" s="168"/>
      <c r="AH98" s="168"/>
      <c r="AI98" s="168"/>
      <c r="AM98" s="36"/>
      <c r="AN98" s="270"/>
      <c r="AO98" s="270"/>
      <c r="AP98" s="272"/>
      <c r="AQ98" s="272"/>
      <c r="AR98" s="224"/>
      <c r="AS98" s="224"/>
      <c r="AT98" s="275"/>
      <c r="AU98" s="248"/>
      <c r="AV98" s="248"/>
      <c r="AW98" s="254"/>
      <c r="AX98" s="254"/>
      <c r="AY98" s="249"/>
      <c r="AZ98" s="266"/>
      <c r="BA98" s="258"/>
      <c r="BB98" s="224"/>
    </row>
    <row r="99" spans="1:54" ht="33.75" x14ac:dyDescent="0.2">
      <c r="A99" s="88">
        <v>26</v>
      </c>
      <c r="B99" s="57" t="s">
        <v>180</v>
      </c>
      <c r="C99" s="57" t="s">
        <v>263</v>
      </c>
      <c r="D99" s="58"/>
      <c r="E99" s="58"/>
      <c r="F99" s="134" t="s">
        <v>457</v>
      </c>
      <c r="G99" s="134" t="s">
        <v>458</v>
      </c>
      <c r="H99" s="186">
        <v>8207</v>
      </c>
      <c r="I99" s="112"/>
      <c r="J99" s="114"/>
      <c r="K99" s="128">
        <v>2519.1</v>
      </c>
      <c r="L99" s="128">
        <f t="shared" ref="L99:L100" si="25">K99*1.1</f>
        <v>2771.01</v>
      </c>
      <c r="M99" s="89" t="s">
        <v>125</v>
      </c>
      <c r="N99" s="60" t="s">
        <v>134</v>
      </c>
      <c r="O99" s="150" t="s">
        <v>314</v>
      </c>
      <c r="P99" s="149" t="s">
        <v>482</v>
      </c>
      <c r="Q99" s="165"/>
      <c r="R99" s="3"/>
      <c r="S99" s="3"/>
      <c r="T99" s="3"/>
      <c r="U99" s="3"/>
      <c r="V99" s="3"/>
      <c r="AA99" s="255"/>
      <c r="AB99" s="255"/>
      <c r="AC99" s="248"/>
      <c r="AD99" s="248"/>
      <c r="AF99" s="168"/>
      <c r="AG99" s="168"/>
      <c r="AH99" s="168"/>
      <c r="AI99" s="168"/>
      <c r="AM99" s="36"/>
      <c r="AN99" s="32"/>
      <c r="AO99" s="32"/>
      <c r="AP99" s="224"/>
      <c r="AQ99" s="224"/>
      <c r="AR99" s="224"/>
      <c r="AS99" s="224"/>
      <c r="AT99" s="265"/>
      <c r="AU99" s="255"/>
      <c r="AV99" s="255"/>
      <c r="AW99" s="248"/>
      <c r="AX99" s="248"/>
      <c r="AY99" s="249"/>
      <c r="AZ99" s="266"/>
      <c r="BA99" s="258"/>
      <c r="BB99" s="258"/>
    </row>
    <row r="100" spans="1:54" ht="45" x14ac:dyDescent="0.2">
      <c r="A100" s="88" t="s">
        <v>166</v>
      </c>
      <c r="B100" s="57" t="s">
        <v>181</v>
      </c>
      <c r="C100" s="57" t="s">
        <v>189</v>
      </c>
      <c r="D100" s="58"/>
      <c r="E100" s="58"/>
      <c r="F100" s="140" t="s">
        <v>459</v>
      </c>
      <c r="G100" s="140" t="s">
        <v>460</v>
      </c>
      <c r="H100" s="186">
        <v>8208</v>
      </c>
      <c r="I100" s="112"/>
      <c r="J100" s="114"/>
      <c r="K100" s="128">
        <v>121.3</v>
      </c>
      <c r="L100" s="128">
        <f t="shared" si="25"/>
        <v>133.43</v>
      </c>
      <c r="M100" s="89" t="s">
        <v>125</v>
      </c>
      <c r="N100" s="60" t="s">
        <v>468</v>
      </c>
      <c r="O100" s="150" t="s">
        <v>314</v>
      </c>
      <c r="P100" s="209" t="s">
        <v>467</v>
      </c>
      <c r="Q100" s="166"/>
      <c r="R100" s="3"/>
      <c r="S100" s="3"/>
      <c r="T100" s="3"/>
      <c r="U100" s="3"/>
      <c r="V100" s="3"/>
      <c r="AA100" s="255"/>
      <c r="AB100" s="255"/>
      <c r="AC100" s="248"/>
      <c r="AD100" s="248"/>
      <c r="AF100" s="168"/>
      <c r="AG100" s="168"/>
      <c r="AH100" s="168"/>
      <c r="AI100" s="168"/>
      <c r="AM100" s="36"/>
      <c r="AN100" s="32"/>
      <c r="AO100" s="32"/>
      <c r="AP100" s="224"/>
      <c r="AQ100" s="224"/>
      <c r="AR100" s="224"/>
      <c r="AS100" s="224"/>
      <c r="AT100" s="265"/>
      <c r="AU100" s="255"/>
      <c r="AV100" s="255"/>
      <c r="AW100" s="248"/>
      <c r="AX100" s="248"/>
      <c r="AY100" s="249"/>
      <c r="AZ100" s="266"/>
      <c r="BA100" s="258"/>
      <c r="BB100" s="224"/>
    </row>
    <row r="101" spans="1:54" s="260" customFormat="1" x14ac:dyDescent="0.2">
      <c r="A101" s="90"/>
      <c r="B101" s="91" t="s">
        <v>158</v>
      </c>
      <c r="C101" s="92"/>
      <c r="D101" s="93"/>
      <c r="E101" s="93"/>
      <c r="F101" s="93"/>
      <c r="G101" s="93"/>
      <c r="H101" s="184"/>
      <c r="I101" s="94"/>
      <c r="J101" s="94"/>
      <c r="K101" s="94"/>
      <c r="L101" s="94"/>
      <c r="M101" s="95"/>
      <c r="N101" s="95"/>
      <c r="O101" s="95"/>
      <c r="P101" s="158"/>
      <c r="Q101" s="163"/>
      <c r="R101" s="23"/>
      <c r="S101" s="23"/>
      <c r="T101" s="23"/>
      <c r="U101" s="23"/>
      <c r="V101" s="23"/>
      <c r="AA101" s="253"/>
      <c r="AB101" s="253"/>
      <c r="AC101" s="253"/>
      <c r="AD101" s="253"/>
      <c r="AF101" s="168"/>
      <c r="AG101" s="168"/>
      <c r="AH101" s="168"/>
      <c r="AI101" s="168"/>
      <c r="AM101" s="224"/>
      <c r="AN101" s="267"/>
      <c r="AO101" s="268"/>
      <c r="AP101" s="224"/>
      <c r="AQ101" s="224"/>
      <c r="AR101" s="224"/>
      <c r="AS101" s="224"/>
      <c r="AT101" s="265"/>
      <c r="AU101" s="253"/>
      <c r="AV101" s="253"/>
      <c r="AW101" s="253"/>
      <c r="AX101" s="253"/>
      <c r="AY101" s="269"/>
      <c r="AZ101" s="269"/>
      <c r="BA101" s="269"/>
      <c r="BB101" s="266"/>
    </row>
    <row r="102" spans="1:54" ht="33.75" x14ac:dyDescent="0.2">
      <c r="A102" s="99">
        <v>140</v>
      </c>
      <c r="B102" s="57" t="s">
        <v>346</v>
      </c>
      <c r="C102" s="103" t="s">
        <v>264</v>
      </c>
      <c r="D102" s="140" t="s">
        <v>289</v>
      </c>
      <c r="E102" s="140" t="s">
        <v>290</v>
      </c>
      <c r="F102" s="140" t="s">
        <v>293</v>
      </c>
      <c r="G102" s="140" t="s">
        <v>294</v>
      </c>
      <c r="H102" s="186">
        <v>8172</v>
      </c>
      <c r="I102" s="127">
        <v>344.4</v>
      </c>
      <c r="J102" s="127">
        <f t="shared" ref="J102:J122" si="26">I102*1.1</f>
        <v>378.84000000000003</v>
      </c>
      <c r="K102" s="127">
        <v>344.4</v>
      </c>
      <c r="L102" s="127">
        <f t="shared" ref="L102:L127" si="27">K102*1.1</f>
        <v>378.84000000000003</v>
      </c>
      <c r="M102" s="89" t="s">
        <v>125</v>
      </c>
      <c r="N102" s="60" t="s">
        <v>134</v>
      </c>
      <c r="O102" s="150" t="s">
        <v>314</v>
      </c>
      <c r="P102" s="149" t="s">
        <v>482</v>
      </c>
      <c r="Q102" s="165"/>
      <c r="R102" s="3"/>
      <c r="S102" s="3"/>
      <c r="T102" s="3"/>
      <c r="U102" s="3"/>
      <c r="V102" s="3"/>
      <c r="AA102" s="248"/>
      <c r="AB102" s="248"/>
      <c r="AC102" s="248"/>
      <c r="AD102" s="248"/>
      <c r="AF102" s="168"/>
      <c r="AG102" s="168"/>
      <c r="AH102" s="168"/>
      <c r="AI102" s="168"/>
      <c r="AM102" s="36"/>
      <c r="AN102" s="32"/>
      <c r="AO102" s="32"/>
      <c r="AP102" s="224"/>
      <c r="AQ102" s="224"/>
      <c r="AR102" s="224"/>
      <c r="AS102" s="224"/>
      <c r="AT102" s="265"/>
      <c r="AU102" s="248"/>
      <c r="AV102" s="248"/>
      <c r="AW102" s="248"/>
      <c r="AX102" s="248"/>
      <c r="AY102" s="249"/>
      <c r="AZ102" s="266"/>
      <c r="BA102" s="258"/>
      <c r="BB102" s="258"/>
    </row>
    <row r="103" spans="1:54" ht="33.75" x14ac:dyDescent="0.2">
      <c r="A103" s="99">
        <v>141</v>
      </c>
      <c r="B103" s="154" t="s">
        <v>347</v>
      </c>
      <c r="C103" s="103" t="s">
        <v>265</v>
      </c>
      <c r="D103" s="155" t="s">
        <v>401</v>
      </c>
      <c r="E103" s="155" t="s">
        <v>402</v>
      </c>
      <c r="F103" s="140" t="s">
        <v>403</v>
      </c>
      <c r="G103" s="140" t="s">
        <v>404</v>
      </c>
      <c r="H103" s="187">
        <v>8173</v>
      </c>
      <c r="I103" s="127">
        <v>344.4</v>
      </c>
      <c r="J103" s="127">
        <f t="shared" si="26"/>
        <v>378.84000000000003</v>
      </c>
      <c r="K103" s="127">
        <v>344.4</v>
      </c>
      <c r="L103" s="127">
        <f t="shared" si="27"/>
        <v>378.84000000000003</v>
      </c>
      <c r="M103" s="89" t="s">
        <v>125</v>
      </c>
      <c r="N103" s="60" t="s">
        <v>134</v>
      </c>
      <c r="O103" s="150" t="s">
        <v>314</v>
      </c>
      <c r="P103" s="149" t="s">
        <v>482</v>
      </c>
      <c r="Q103" s="165"/>
      <c r="R103" s="3"/>
      <c r="S103" s="3"/>
      <c r="T103" s="3"/>
      <c r="U103" s="3"/>
      <c r="V103" s="3"/>
      <c r="AA103" s="248"/>
      <c r="AB103" s="248"/>
      <c r="AC103" s="248"/>
      <c r="AD103" s="248"/>
      <c r="AF103" s="168"/>
      <c r="AG103" s="168"/>
      <c r="AH103" s="168"/>
      <c r="AI103" s="168"/>
      <c r="AM103" s="36"/>
      <c r="AN103" s="276"/>
      <c r="AO103" s="32"/>
      <c r="AP103" s="272"/>
      <c r="AQ103" s="272"/>
      <c r="AR103" s="224"/>
      <c r="AS103" s="224"/>
      <c r="AT103" s="275"/>
      <c r="AU103" s="248"/>
      <c r="AV103" s="248"/>
      <c r="AW103" s="248"/>
      <c r="AX103" s="248"/>
      <c r="AY103" s="249"/>
      <c r="AZ103" s="266"/>
      <c r="BA103" s="258"/>
      <c r="BB103" s="258"/>
    </row>
    <row r="104" spans="1:54" ht="33.75" x14ac:dyDescent="0.2">
      <c r="A104" s="99">
        <v>142</v>
      </c>
      <c r="B104" s="154" t="s">
        <v>348</v>
      </c>
      <c r="C104" s="103" t="s">
        <v>266</v>
      </c>
      <c r="D104" s="155" t="s">
        <v>385</v>
      </c>
      <c r="E104" s="155" t="s">
        <v>386</v>
      </c>
      <c r="F104" s="140" t="s">
        <v>387</v>
      </c>
      <c r="G104" s="140" t="s">
        <v>388</v>
      </c>
      <c r="H104" s="187">
        <v>8174</v>
      </c>
      <c r="I104" s="127">
        <v>421.8</v>
      </c>
      <c r="J104" s="127">
        <f t="shared" si="26"/>
        <v>463.98000000000008</v>
      </c>
      <c r="K104" s="127">
        <v>421.8</v>
      </c>
      <c r="L104" s="127">
        <f t="shared" si="27"/>
        <v>463.98000000000008</v>
      </c>
      <c r="M104" s="89" t="s">
        <v>125</v>
      </c>
      <c r="N104" s="60" t="s">
        <v>134</v>
      </c>
      <c r="O104" s="150" t="s">
        <v>314</v>
      </c>
      <c r="P104" s="149" t="s">
        <v>482</v>
      </c>
      <c r="Q104" s="165"/>
      <c r="R104" s="3"/>
      <c r="S104" s="3"/>
      <c r="T104" s="3"/>
      <c r="U104" s="3"/>
      <c r="V104" s="3"/>
      <c r="AA104" s="248"/>
      <c r="AB104" s="248"/>
      <c r="AC104" s="248"/>
      <c r="AD104" s="248"/>
      <c r="AF104" s="168"/>
      <c r="AG104" s="168"/>
      <c r="AH104" s="168"/>
      <c r="AI104" s="168"/>
      <c r="AM104" s="36"/>
      <c r="AN104" s="276"/>
      <c r="AO104" s="32"/>
      <c r="AP104" s="272"/>
      <c r="AQ104" s="272"/>
      <c r="AR104" s="224"/>
      <c r="AS104" s="224"/>
      <c r="AT104" s="275"/>
      <c r="AU104" s="248"/>
      <c r="AV104" s="248"/>
      <c r="AW104" s="248"/>
      <c r="AX104" s="248"/>
      <c r="AY104" s="249"/>
      <c r="AZ104" s="266"/>
      <c r="BA104" s="258"/>
      <c r="BB104" s="258"/>
    </row>
    <row r="105" spans="1:54" ht="33.75" x14ac:dyDescent="0.2">
      <c r="A105" s="99">
        <v>143</v>
      </c>
      <c r="B105" s="154" t="s">
        <v>349</v>
      </c>
      <c r="C105" s="57" t="s">
        <v>267</v>
      </c>
      <c r="D105" s="155" t="s">
        <v>405</v>
      </c>
      <c r="E105" s="155" t="s">
        <v>406</v>
      </c>
      <c r="F105" s="140" t="s">
        <v>407</v>
      </c>
      <c r="G105" s="140" t="s">
        <v>408</v>
      </c>
      <c r="H105" s="187">
        <v>8175</v>
      </c>
      <c r="I105" s="127">
        <v>421.8</v>
      </c>
      <c r="J105" s="127">
        <f t="shared" si="26"/>
        <v>463.98000000000008</v>
      </c>
      <c r="K105" s="127">
        <v>421.8</v>
      </c>
      <c r="L105" s="127">
        <f t="shared" si="27"/>
        <v>463.98000000000008</v>
      </c>
      <c r="M105" s="89" t="s">
        <v>125</v>
      </c>
      <c r="N105" s="60" t="s">
        <v>134</v>
      </c>
      <c r="O105" s="150" t="s">
        <v>314</v>
      </c>
      <c r="P105" s="149" t="s">
        <v>482</v>
      </c>
      <c r="Q105" s="165"/>
      <c r="R105" s="3"/>
      <c r="S105" s="3"/>
      <c r="T105" s="3"/>
      <c r="U105" s="3"/>
      <c r="V105" s="3"/>
      <c r="AA105" s="248"/>
      <c r="AB105" s="248"/>
      <c r="AC105" s="248"/>
      <c r="AD105" s="248"/>
      <c r="AF105" s="168"/>
      <c r="AG105" s="168"/>
      <c r="AH105" s="168"/>
      <c r="AI105" s="168"/>
      <c r="AM105" s="36"/>
      <c r="AN105" s="276"/>
      <c r="AO105" s="32"/>
      <c r="AP105" s="272"/>
      <c r="AQ105" s="272"/>
      <c r="AR105" s="224"/>
      <c r="AS105" s="224"/>
      <c r="AT105" s="275"/>
      <c r="AU105" s="248"/>
      <c r="AV105" s="248"/>
      <c r="AW105" s="248"/>
      <c r="AX105" s="248"/>
      <c r="AY105" s="249"/>
      <c r="AZ105" s="266"/>
      <c r="BA105" s="258"/>
      <c r="BB105" s="258"/>
    </row>
    <row r="106" spans="1:54" ht="33.75" x14ac:dyDescent="0.2">
      <c r="A106" s="99">
        <v>144</v>
      </c>
      <c r="B106" s="154" t="s">
        <v>350</v>
      </c>
      <c r="C106" s="57" t="s">
        <v>268</v>
      </c>
      <c r="D106" s="155" t="s">
        <v>297</v>
      </c>
      <c r="E106" s="155" t="s">
        <v>298</v>
      </c>
      <c r="F106" s="58" t="s">
        <v>299</v>
      </c>
      <c r="G106" s="58" t="s">
        <v>300</v>
      </c>
      <c r="H106" s="187">
        <v>8176</v>
      </c>
      <c r="I106" s="127">
        <v>530.20000000000005</v>
      </c>
      <c r="J106" s="127">
        <f t="shared" si="26"/>
        <v>583.22000000000014</v>
      </c>
      <c r="K106" s="127">
        <v>530.20000000000005</v>
      </c>
      <c r="L106" s="127">
        <f t="shared" si="27"/>
        <v>583.22000000000014</v>
      </c>
      <c r="M106" s="89" t="s">
        <v>125</v>
      </c>
      <c r="N106" s="60" t="s">
        <v>134</v>
      </c>
      <c r="O106" s="150" t="s">
        <v>314</v>
      </c>
      <c r="P106" s="149" t="s">
        <v>482</v>
      </c>
      <c r="Q106" s="165"/>
      <c r="R106" s="3"/>
      <c r="S106" s="3"/>
      <c r="T106" s="3"/>
      <c r="U106" s="3"/>
      <c r="V106" s="3"/>
      <c r="AA106" s="248"/>
      <c r="AB106" s="248"/>
      <c r="AC106" s="248"/>
      <c r="AD106" s="248"/>
      <c r="AF106" s="168"/>
      <c r="AG106" s="168"/>
      <c r="AH106" s="168"/>
      <c r="AI106" s="168"/>
      <c r="AM106" s="36"/>
      <c r="AN106" s="276"/>
      <c r="AO106" s="32"/>
      <c r="AP106" s="272"/>
      <c r="AQ106" s="272"/>
      <c r="AR106" s="224"/>
      <c r="AS106" s="224"/>
      <c r="AT106" s="275"/>
      <c r="AU106" s="248"/>
      <c r="AV106" s="248"/>
      <c r="AW106" s="248"/>
      <c r="AX106" s="248"/>
      <c r="AY106" s="249"/>
      <c r="AZ106" s="266"/>
      <c r="BA106" s="258"/>
      <c r="BB106" s="258"/>
    </row>
    <row r="107" spans="1:54" ht="33.75" x14ac:dyDescent="0.2">
      <c r="A107" s="99">
        <v>145</v>
      </c>
      <c r="B107" s="154" t="s">
        <v>351</v>
      </c>
      <c r="C107" s="57" t="s">
        <v>269</v>
      </c>
      <c r="D107" s="155" t="s">
        <v>409</v>
      </c>
      <c r="E107" s="155" t="s">
        <v>410</v>
      </c>
      <c r="F107" s="140" t="s">
        <v>411</v>
      </c>
      <c r="G107" s="140" t="s">
        <v>412</v>
      </c>
      <c r="H107" s="187">
        <v>8177</v>
      </c>
      <c r="I107" s="127">
        <v>530.20000000000005</v>
      </c>
      <c r="J107" s="127">
        <f t="shared" si="26"/>
        <v>583.22000000000014</v>
      </c>
      <c r="K107" s="127">
        <v>530.20000000000005</v>
      </c>
      <c r="L107" s="127">
        <f t="shared" si="27"/>
        <v>583.22000000000014</v>
      </c>
      <c r="M107" s="89" t="s">
        <v>125</v>
      </c>
      <c r="N107" s="60" t="s">
        <v>134</v>
      </c>
      <c r="O107" s="150" t="s">
        <v>314</v>
      </c>
      <c r="P107" s="149" t="s">
        <v>482</v>
      </c>
      <c r="Q107" s="165"/>
      <c r="R107" s="3"/>
      <c r="S107" s="3"/>
      <c r="T107" s="3"/>
      <c r="U107" s="3"/>
      <c r="V107" s="3"/>
      <c r="AA107" s="248"/>
      <c r="AB107" s="248"/>
      <c r="AC107" s="248"/>
      <c r="AD107" s="248"/>
      <c r="AF107" s="168"/>
      <c r="AG107" s="168"/>
      <c r="AH107" s="168"/>
      <c r="AI107" s="168"/>
      <c r="AM107" s="36"/>
      <c r="AN107" s="276"/>
      <c r="AO107" s="32"/>
      <c r="AP107" s="272"/>
      <c r="AQ107" s="272"/>
      <c r="AR107" s="224"/>
      <c r="AS107" s="224"/>
      <c r="AT107" s="275"/>
      <c r="AU107" s="248"/>
      <c r="AV107" s="248"/>
      <c r="AW107" s="248"/>
      <c r="AX107" s="248"/>
      <c r="AY107" s="249"/>
      <c r="AZ107" s="266"/>
      <c r="BA107" s="258"/>
      <c r="BB107" s="258"/>
    </row>
    <row r="108" spans="1:54" ht="33.75" x14ac:dyDescent="0.2">
      <c r="A108" s="99">
        <v>146</v>
      </c>
      <c r="B108" s="156" t="s">
        <v>352</v>
      </c>
      <c r="C108" s="103" t="s">
        <v>270</v>
      </c>
      <c r="D108" s="155" t="s">
        <v>301</v>
      </c>
      <c r="E108" s="155" t="s">
        <v>302</v>
      </c>
      <c r="F108" s="58" t="s">
        <v>303</v>
      </c>
      <c r="G108" s="58" t="s">
        <v>304</v>
      </c>
      <c r="H108" s="187">
        <v>8178</v>
      </c>
      <c r="I108" s="127">
        <v>2519.1</v>
      </c>
      <c r="J108" s="127">
        <f t="shared" si="26"/>
        <v>2771.01</v>
      </c>
      <c r="K108" s="127">
        <v>2519.1</v>
      </c>
      <c r="L108" s="127">
        <f t="shared" si="27"/>
        <v>2771.01</v>
      </c>
      <c r="M108" s="89" t="s">
        <v>125</v>
      </c>
      <c r="N108" s="60" t="s">
        <v>134</v>
      </c>
      <c r="O108" s="150" t="s">
        <v>314</v>
      </c>
      <c r="P108" s="149" t="s">
        <v>482</v>
      </c>
      <c r="Q108" s="165"/>
      <c r="R108" s="3"/>
      <c r="S108" s="3"/>
      <c r="T108" s="3"/>
      <c r="U108" s="3"/>
      <c r="V108" s="3"/>
      <c r="AA108" s="248"/>
      <c r="AB108" s="248"/>
      <c r="AC108" s="248"/>
      <c r="AD108" s="248"/>
      <c r="AF108" s="168"/>
      <c r="AG108" s="168"/>
      <c r="AH108" s="168"/>
      <c r="AI108" s="168"/>
      <c r="AM108" s="36"/>
      <c r="AN108" s="277"/>
      <c r="AO108" s="32"/>
      <c r="AP108" s="272"/>
      <c r="AQ108" s="272"/>
      <c r="AR108" s="224"/>
      <c r="AS108" s="224"/>
      <c r="AT108" s="275"/>
      <c r="AU108" s="248"/>
      <c r="AV108" s="248"/>
      <c r="AW108" s="248"/>
      <c r="AX108" s="248"/>
      <c r="AY108" s="249"/>
      <c r="AZ108" s="266"/>
      <c r="BA108" s="258"/>
      <c r="BB108" s="258"/>
    </row>
    <row r="109" spans="1:54" ht="33.75" x14ac:dyDescent="0.2">
      <c r="A109" s="99">
        <v>147</v>
      </c>
      <c r="B109" s="156" t="s">
        <v>353</v>
      </c>
      <c r="C109" s="103" t="s">
        <v>324</v>
      </c>
      <c r="D109" s="162" t="s">
        <v>413</v>
      </c>
      <c r="E109" s="162" t="s">
        <v>414</v>
      </c>
      <c r="F109" s="140" t="s">
        <v>415</v>
      </c>
      <c r="G109" s="140" t="s">
        <v>416</v>
      </c>
      <c r="H109" s="187">
        <v>8179</v>
      </c>
      <c r="I109" s="127">
        <v>2519.1</v>
      </c>
      <c r="J109" s="127">
        <f t="shared" si="26"/>
        <v>2771.01</v>
      </c>
      <c r="K109" s="127">
        <v>2519.1</v>
      </c>
      <c r="L109" s="127">
        <f t="shared" si="27"/>
        <v>2771.01</v>
      </c>
      <c r="M109" s="89" t="s">
        <v>125</v>
      </c>
      <c r="N109" s="60" t="s">
        <v>134</v>
      </c>
      <c r="O109" s="150" t="s">
        <v>314</v>
      </c>
      <c r="P109" s="149" t="s">
        <v>482</v>
      </c>
      <c r="Q109" s="165"/>
      <c r="R109" s="3"/>
      <c r="S109" s="3"/>
      <c r="T109" s="3"/>
      <c r="U109" s="3"/>
      <c r="V109" s="3"/>
      <c r="AA109" s="248"/>
      <c r="AB109" s="248"/>
      <c r="AC109" s="248"/>
      <c r="AD109" s="248"/>
      <c r="AF109" s="168"/>
      <c r="AG109" s="168"/>
      <c r="AH109" s="168"/>
      <c r="AI109" s="168"/>
      <c r="AM109" s="36"/>
      <c r="AN109" s="277"/>
      <c r="AO109" s="32"/>
      <c r="AP109" s="278"/>
      <c r="AQ109" s="278"/>
      <c r="AR109" s="224"/>
      <c r="AS109" s="224"/>
      <c r="AT109" s="275"/>
      <c r="AU109" s="248"/>
      <c r="AV109" s="248"/>
      <c r="AW109" s="248"/>
      <c r="AX109" s="248"/>
      <c r="AY109" s="249"/>
      <c r="AZ109" s="266"/>
      <c r="BA109" s="258"/>
      <c r="BB109" s="258"/>
    </row>
    <row r="110" spans="1:54" ht="33.75" x14ac:dyDescent="0.2">
      <c r="A110" s="99">
        <v>148</v>
      </c>
      <c r="B110" s="154" t="s">
        <v>354</v>
      </c>
      <c r="C110" s="57" t="s">
        <v>271</v>
      </c>
      <c r="D110" s="155" t="s">
        <v>389</v>
      </c>
      <c r="E110" s="155" t="s">
        <v>390</v>
      </c>
      <c r="F110" s="140" t="s">
        <v>391</v>
      </c>
      <c r="G110" s="140" t="s">
        <v>392</v>
      </c>
      <c r="H110" s="187">
        <v>8180</v>
      </c>
      <c r="I110" s="127">
        <v>344.4</v>
      </c>
      <c r="J110" s="127">
        <f t="shared" si="26"/>
        <v>378.84000000000003</v>
      </c>
      <c r="K110" s="127">
        <v>344.4</v>
      </c>
      <c r="L110" s="127">
        <f t="shared" si="27"/>
        <v>378.84000000000003</v>
      </c>
      <c r="M110" s="89" t="s">
        <v>125</v>
      </c>
      <c r="N110" s="60" t="s">
        <v>134</v>
      </c>
      <c r="O110" s="150" t="s">
        <v>314</v>
      </c>
      <c r="P110" s="149" t="s">
        <v>482</v>
      </c>
      <c r="Q110" s="165"/>
      <c r="R110" s="3"/>
      <c r="S110" s="3"/>
      <c r="T110" s="3"/>
      <c r="U110" s="3"/>
      <c r="V110" s="3"/>
      <c r="AA110" s="248"/>
      <c r="AB110" s="248"/>
      <c r="AC110" s="248"/>
      <c r="AD110" s="248"/>
      <c r="AF110" s="168"/>
      <c r="AG110" s="168"/>
      <c r="AH110" s="168"/>
      <c r="AI110" s="168"/>
      <c r="AM110" s="36"/>
      <c r="AN110" s="276"/>
      <c r="AO110" s="32"/>
      <c r="AP110" s="272"/>
      <c r="AQ110" s="272"/>
      <c r="AR110" s="224"/>
      <c r="AS110" s="224"/>
      <c r="AT110" s="275"/>
      <c r="AU110" s="248"/>
      <c r="AV110" s="248"/>
      <c r="AW110" s="248"/>
      <c r="AX110" s="248"/>
      <c r="AY110" s="249"/>
      <c r="AZ110" s="266"/>
      <c r="BA110" s="258"/>
      <c r="BB110" s="258"/>
    </row>
    <row r="111" spans="1:54" ht="33.75" x14ac:dyDescent="0.2">
      <c r="A111" s="99">
        <v>149</v>
      </c>
      <c r="B111" s="154" t="s">
        <v>355</v>
      </c>
      <c r="C111" s="57" t="s">
        <v>272</v>
      </c>
      <c r="D111" s="155" t="s">
        <v>393</v>
      </c>
      <c r="E111" s="155" t="s">
        <v>394</v>
      </c>
      <c r="F111" s="140" t="s">
        <v>395</v>
      </c>
      <c r="G111" s="140" t="s">
        <v>396</v>
      </c>
      <c r="H111" s="187">
        <v>8181</v>
      </c>
      <c r="I111" s="127">
        <v>530.20000000000005</v>
      </c>
      <c r="J111" s="127">
        <f t="shared" si="26"/>
        <v>583.22000000000014</v>
      </c>
      <c r="K111" s="127">
        <v>530.20000000000005</v>
      </c>
      <c r="L111" s="127">
        <f t="shared" si="27"/>
        <v>583.22000000000014</v>
      </c>
      <c r="M111" s="89" t="s">
        <v>125</v>
      </c>
      <c r="N111" s="60" t="s">
        <v>134</v>
      </c>
      <c r="O111" s="150" t="s">
        <v>314</v>
      </c>
      <c r="P111" s="149" t="s">
        <v>482</v>
      </c>
      <c r="Q111" s="165"/>
      <c r="R111" s="3"/>
      <c r="S111" s="3"/>
      <c r="T111" s="3"/>
      <c r="U111" s="3"/>
      <c r="V111" s="3"/>
      <c r="AA111" s="248"/>
      <c r="AB111" s="248"/>
      <c r="AC111" s="248"/>
      <c r="AD111" s="248"/>
      <c r="AF111" s="168"/>
      <c r="AG111" s="168"/>
      <c r="AH111" s="168"/>
      <c r="AI111" s="168"/>
      <c r="AM111" s="36"/>
      <c r="AN111" s="276"/>
      <c r="AO111" s="32"/>
      <c r="AP111" s="272"/>
      <c r="AQ111" s="272"/>
      <c r="AR111" s="224"/>
      <c r="AS111" s="224"/>
      <c r="AT111" s="275"/>
      <c r="AU111" s="248"/>
      <c r="AV111" s="248"/>
      <c r="AW111" s="248"/>
      <c r="AX111" s="248"/>
      <c r="AY111" s="249"/>
      <c r="AZ111" s="266"/>
      <c r="BA111" s="258"/>
      <c r="BB111" s="258"/>
    </row>
    <row r="112" spans="1:54" ht="33.75" x14ac:dyDescent="0.2">
      <c r="A112" s="88">
        <v>150</v>
      </c>
      <c r="B112" s="159" t="s">
        <v>356</v>
      </c>
      <c r="C112" s="57" t="s">
        <v>325</v>
      </c>
      <c r="D112" s="155" t="s">
        <v>397</v>
      </c>
      <c r="E112" s="155" t="s">
        <v>398</v>
      </c>
      <c r="F112" s="140" t="s">
        <v>399</v>
      </c>
      <c r="G112" s="140" t="s">
        <v>400</v>
      </c>
      <c r="H112" s="187">
        <v>8182</v>
      </c>
      <c r="I112" s="127">
        <v>2519.1</v>
      </c>
      <c r="J112" s="127">
        <f t="shared" si="26"/>
        <v>2771.01</v>
      </c>
      <c r="K112" s="127">
        <v>2519.1</v>
      </c>
      <c r="L112" s="127">
        <f t="shared" si="27"/>
        <v>2771.01</v>
      </c>
      <c r="M112" s="89" t="s">
        <v>125</v>
      </c>
      <c r="N112" s="60" t="s">
        <v>134</v>
      </c>
      <c r="O112" s="150" t="s">
        <v>314</v>
      </c>
      <c r="P112" s="149" t="s">
        <v>482</v>
      </c>
      <c r="Q112" s="165"/>
      <c r="R112" s="3"/>
      <c r="S112" s="3"/>
      <c r="T112" s="3"/>
      <c r="U112" s="3"/>
      <c r="V112" s="3"/>
      <c r="AA112" s="248"/>
      <c r="AB112" s="248"/>
      <c r="AC112" s="248"/>
      <c r="AD112" s="248"/>
      <c r="AF112" s="168"/>
      <c r="AG112" s="168"/>
      <c r="AH112" s="168"/>
      <c r="AI112" s="168"/>
      <c r="AM112" s="36"/>
      <c r="AN112" s="279"/>
      <c r="AO112" s="32"/>
      <c r="AP112" s="272"/>
      <c r="AQ112" s="272"/>
      <c r="AR112" s="224"/>
      <c r="AS112" s="224"/>
      <c r="AT112" s="275"/>
      <c r="AU112" s="248"/>
      <c r="AV112" s="248"/>
      <c r="AW112" s="248"/>
      <c r="AX112" s="248"/>
      <c r="AY112" s="249"/>
      <c r="AZ112" s="266"/>
      <c r="BA112" s="258"/>
      <c r="BB112" s="258"/>
    </row>
    <row r="113" spans="1:54" ht="33.75" x14ac:dyDescent="0.2">
      <c r="A113" s="99">
        <v>151</v>
      </c>
      <c r="B113" s="154" t="s">
        <v>357</v>
      </c>
      <c r="C113" s="57" t="s">
        <v>273</v>
      </c>
      <c r="D113" s="155" t="s">
        <v>305</v>
      </c>
      <c r="E113" s="155" t="s">
        <v>306</v>
      </c>
      <c r="F113" s="58" t="s">
        <v>307</v>
      </c>
      <c r="G113" s="58" t="s">
        <v>308</v>
      </c>
      <c r="H113" s="187">
        <v>8183</v>
      </c>
      <c r="I113" s="127">
        <v>344.4</v>
      </c>
      <c r="J113" s="127">
        <f t="shared" si="26"/>
        <v>378.84000000000003</v>
      </c>
      <c r="K113" s="127">
        <v>344.4</v>
      </c>
      <c r="L113" s="127">
        <f t="shared" si="27"/>
        <v>378.84000000000003</v>
      </c>
      <c r="M113" s="89" t="s">
        <v>125</v>
      </c>
      <c r="N113" s="60" t="s">
        <v>134</v>
      </c>
      <c r="O113" s="150" t="s">
        <v>314</v>
      </c>
      <c r="P113" s="149" t="s">
        <v>482</v>
      </c>
      <c r="Q113" s="165"/>
      <c r="R113" s="3"/>
      <c r="S113" s="3"/>
      <c r="T113" s="3"/>
      <c r="U113" s="3"/>
      <c r="V113" s="3"/>
      <c r="AA113" s="248"/>
      <c r="AB113" s="248"/>
      <c r="AC113" s="248"/>
      <c r="AD113" s="248"/>
      <c r="AF113" s="168"/>
      <c r="AG113" s="168"/>
      <c r="AH113" s="168"/>
      <c r="AI113" s="168"/>
      <c r="AM113" s="36"/>
      <c r="AN113" s="276"/>
      <c r="AO113" s="32"/>
      <c r="AP113" s="272"/>
      <c r="AQ113" s="272"/>
      <c r="AR113" s="224"/>
      <c r="AS113" s="224"/>
      <c r="AT113" s="275"/>
      <c r="AU113" s="248"/>
      <c r="AV113" s="248"/>
      <c r="AW113" s="248"/>
      <c r="AX113" s="248"/>
      <c r="AY113" s="249"/>
      <c r="AZ113" s="266"/>
      <c r="BA113" s="258"/>
      <c r="BB113" s="258"/>
    </row>
    <row r="114" spans="1:54" ht="33.75" x14ac:dyDescent="0.2">
      <c r="A114" s="99">
        <v>152</v>
      </c>
      <c r="B114" s="154" t="s">
        <v>358</v>
      </c>
      <c r="C114" s="57" t="s">
        <v>274</v>
      </c>
      <c r="D114" s="155" t="s">
        <v>309</v>
      </c>
      <c r="E114" s="155" t="s">
        <v>310</v>
      </c>
      <c r="F114" s="58" t="s">
        <v>311</v>
      </c>
      <c r="G114" s="58" t="s">
        <v>312</v>
      </c>
      <c r="H114" s="187">
        <v>8184</v>
      </c>
      <c r="I114" s="127">
        <v>530.20000000000005</v>
      </c>
      <c r="J114" s="127">
        <f t="shared" si="26"/>
        <v>583.22000000000014</v>
      </c>
      <c r="K114" s="127">
        <v>530.20000000000005</v>
      </c>
      <c r="L114" s="127">
        <f t="shared" si="27"/>
        <v>583.22000000000014</v>
      </c>
      <c r="M114" s="89" t="s">
        <v>125</v>
      </c>
      <c r="N114" s="60" t="s">
        <v>134</v>
      </c>
      <c r="O114" s="150" t="s">
        <v>314</v>
      </c>
      <c r="P114" s="149" t="s">
        <v>482</v>
      </c>
      <c r="Q114" s="165"/>
      <c r="R114" s="3"/>
      <c r="S114" s="3"/>
      <c r="T114" s="3"/>
      <c r="U114" s="3"/>
      <c r="V114" s="3"/>
      <c r="AA114" s="248"/>
      <c r="AB114" s="248"/>
      <c r="AC114" s="248"/>
      <c r="AD114" s="248"/>
      <c r="AF114" s="168"/>
      <c r="AG114" s="168"/>
      <c r="AH114" s="168"/>
      <c r="AI114" s="168"/>
      <c r="AM114" s="36"/>
      <c r="AN114" s="276"/>
      <c r="AO114" s="32"/>
      <c r="AP114" s="272"/>
      <c r="AQ114" s="272"/>
      <c r="AR114" s="224"/>
      <c r="AS114" s="224"/>
      <c r="AT114" s="275"/>
      <c r="AU114" s="248"/>
      <c r="AV114" s="248"/>
      <c r="AW114" s="248"/>
      <c r="AX114" s="248"/>
      <c r="AY114" s="249"/>
      <c r="AZ114" s="266"/>
      <c r="BA114" s="258"/>
      <c r="BB114" s="258"/>
    </row>
    <row r="115" spans="1:54" ht="33.75" x14ac:dyDescent="0.2">
      <c r="A115" s="88">
        <v>153</v>
      </c>
      <c r="B115" s="157" t="s">
        <v>359</v>
      </c>
      <c r="C115" s="57" t="s">
        <v>326</v>
      </c>
      <c r="D115" s="155" t="s">
        <v>319</v>
      </c>
      <c r="E115" s="155" t="s">
        <v>320</v>
      </c>
      <c r="F115" s="58" t="s">
        <v>321</v>
      </c>
      <c r="G115" s="58" t="s">
        <v>322</v>
      </c>
      <c r="H115" s="187">
        <v>8185</v>
      </c>
      <c r="I115" s="127">
        <v>2519.1</v>
      </c>
      <c r="J115" s="127">
        <f t="shared" si="26"/>
        <v>2771.01</v>
      </c>
      <c r="K115" s="127">
        <v>2519.1</v>
      </c>
      <c r="L115" s="127">
        <f t="shared" si="27"/>
        <v>2771.01</v>
      </c>
      <c r="M115" s="89" t="s">
        <v>125</v>
      </c>
      <c r="N115" s="60" t="s">
        <v>134</v>
      </c>
      <c r="O115" s="150" t="s">
        <v>314</v>
      </c>
      <c r="P115" s="149" t="s">
        <v>482</v>
      </c>
      <c r="Q115" s="165"/>
      <c r="R115" s="3"/>
      <c r="S115" s="3"/>
      <c r="T115" s="3"/>
      <c r="U115" s="3"/>
      <c r="V115" s="3"/>
      <c r="AA115" s="248"/>
      <c r="AB115" s="248"/>
      <c r="AC115" s="248"/>
      <c r="AD115" s="248"/>
      <c r="AF115" s="168"/>
      <c r="AG115" s="168"/>
      <c r="AH115" s="168"/>
      <c r="AI115" s="168"/>
      <c r="AM115" s="36"/>
      <c r="AN115" s="279"/>
      <c r="AO115" s="32"/>
      <c r="AP115" s="272"/>
      <c r="AQ115" s="272"/>
      <c r="AR115" s="224"/>
      <c r="AS115" s="224"/>
      <c r="AT115" s="275"/>
      <c r="AU115" s="248"/>
      <c r="AV115" s="248"/>
      <c r="AW115" s="248"/>
      <c r="AX115" s="248"/>
      <c r="AY115" s="249"/>
      <c r="AZ115" s="266"/>
      <c r="BA115" s="258"/>
      <c r="BB115" s="258"/>
    </row>
    <row r="116" spans="1:54" ht="33.75" x14ac:dyDescent="0.2">
      <c r="A116" s="99">
        <v>154</v>
      </c>
      <c r="B116" s="154" t="s">
        <v>360</v>
      </c>
      <c r="C116" s="57" t="s">
        <v>327</v>
      </c>
      <c r="D116" s="155" t="s">
        <v>417</v>
      </c>
      <c r="E116" s="155" t="s">
        <v>418</v>
      </c>
      <c r="F116" s="140" t="s">
        <v>419</v>
      </c>
      <c r="G116" s="140" t="s">
        <v>420</v>
      </c>
      <c r="H116" s="187">
        <v>8186</v>
      </c>
      <c r="I116" s="127">
        <v>344.4</v>
      </c>
      <c r="J116" s="127">
        <f t="shared" si="26"/>
        <v>378.84000000000003</v>
      </c>
      <c r="K116" s="127">
        <v>344.4</v>
      </c>
      <c r="L116" s="127">
        <f t="shared" si="27"/>
        <v>378.84000000000003</v>
      </c>
      <c r="M116" s="89" t="s">
        <v>125</v>
      </c>
      <c r="N116" s="60" t="s">
        <v>134</v>
      </c>
      <c r="O116" s="150" t="s">
        <v>314</v>
      </c>
      <c r="P116" s="149" t="s">
        <v>482</v>
      </c>
      <c r="Q116" s="165"/>
      <c r="R116" s="3"/>
      <c r="S116" s="3"/>
      <c r="T116" s="3"/>
      <c r="U116" s="3"/>
      <c r="V116" s="3"/>
      <c r="AA116" s="248"/>
      <c r="AB116" s="248"/>
      <c r="AC116" s="248"/>
      <c r="AD116" s="248"/>
      <c r="AF116" s="168"/>
      <c r="AG116" s="168"/>
      <c r="AH116" s="168"/>
      <c r="AI116" s="168"/>
      <c r="AM116" s="36"/>
      <c r="AN116" s="276"/>
      <c r="AO116" s="32"/>
      <c r="AP116" s="272"/>
      <c r="AQ116" s="272"/>
      <c r="AR116" s="224"/>
      <c r="AS116" s="224"/>
      <c r="AT116" s="275"/>
      <c r="AU116" s="248"/>
      <c r="AV116" s="248"/>
      <c r="AW116" s="248"/>
      <c r="AX116" s="248"/>
      <c r="AY116" s="249"/>
      <c r="AZ116" s="266"/>
      <c r="BA116" s="258"/>
      <c r="BB116" s="258"/>
    </row>
    <row r="117" spans="1:54" ht="33.75" x14ac:dyDescent="0.2">
      <c r="A117" s="99">
        <v>155</v>
      </c>
      <c r="B117" s="154" t="s">
        <v>361</v>
      </c>
      <c r="C117" s="57" t="s">
        <v>328</v>
      </c>
      <c r="D117" s="155" t="s">
        <v>421</v>
      </c>
      <c r="E117" s="155" t="s">
        <v>422</v>
      </c>
      <c r="F117" s="140" t="s">
        <v>423</v>
      </c>
      <c r="G117" s="140" t="s">
        <v>424</v>
      </c>
      <c r="H117" s="187">
        <v>8187</v>
      </c>
      <c r="I117" s="127">
        <v>530.20000000000005</v>
      </c>
      <c r="J117" s="127">
        <f t="shared" si="26"/>
        <v>583.22000000000014</v>
      </c>
      <c r="K117" s="127">
        <v>530.20000000000005</v>
      </c>
      <c r="L117" s="127">
        <f t="shared" si="27"/>
        <v>583.22000000000014</v>
      </c>
      <c r="M117" s="89" t="s">
        <v>125</v>
      </c>
      <c r="N117" s="60" t="s">
        <v>134</v>
      </c>
      <c r="O117" s="150" t="s">
        <v>314</v>
      </c>
      <c r="P117" s="149" t="s">
        <v>482</v>
      </c>
      <c r="Q117" s="165"/>
      <c r="R117" s="3"/>
      <c r="S117" s="3"/>
      <c r="T117" s="3"/>
      <c r="U117" s="3"/>
      <c r="V117" s="3"/>
      <c r="AA117" s="248"/>
      <c r="AB117" s="248"/>
      <c r="AC117" s="248"/>
      <c r="AD117" s="248"/>
      <c r="AF117" s="168"/>
      <c r="AG117" s="168"/>
      <c r="AH117" s="168"/>
      <c r="AI117" s="168"/>
      <c r="AM117" s="36"/>
      <c r="AN117" s="276"/>
      <c r="AO117" s="32"/>
      <c r="AP117" s="272"/>
      <c r="AQ117" s="272"/>
      <c r="AR117" s="224"/>
      <c r="AS117" s="224"/>
      <c r="AT117" s="275"/>
      <c r="AU117" s="248"/>
      <c r="AV117" s="248"/>
      <c r="AW117" s="248"/>
      <c r="AX117" s="248"/>
      <c r="AY117" s="249"/>
      <c r="AZ117" s="266"/>
      <c r="BA117" s="258"/>
      <c r="BB117" s="258"/>
    </row>
    <row r="118" spans="1:54" ht="33.75" x14ac:dyDescent="0.2">
      <c r="A118" s="88">
        <v>156</v>
      </c>
      <c r="B118" s="197" t="s">
        <v>362</v>
      </c>
      <c r="C118" s="57" t="s">
        <v>329</v>
      </c>
      <c r="D118" s="155" t="s">
        <v>425</v>
      </c>
      <c r="E118" s="155" t="s">
        <v>426</v>
      </c>
      <c r="F118" s="140" t="s">
        <v>427</v>
      </c>
      <c r="G118" s="140" t="s">
        <v>428</v>
      </c>
      <c r="H118" s="187">
        <v>8188</v>
      </c>
      <c r="I118" s="127">
        <v>2519.1</v>
      </c>
      <c r="J118" s="127">
        <f t="shared" si="26"/>
        <v>2771.01</v>
      </c>
      <c r="K118" s="127">
        <v>2519.1</v>
      </c>
      <c r="L118" s="127">
        <f t="shared" si="27"/>
        <v>2771.01</v>
      </c>
      <c r="M118" s="89" t="s">
        <v>125</v>
      </c>
      <c r="N118" s="60" t="s">
        <v>134</v>
      </c>
      <c r="O118" s="150" t="s">
        <v>314</v>
      </c>
      <c r="P118" s="149" t="s">
        <v>482</v>
      </c>
      <c r="Q118" s="165"/>
      <c r="R118" s="3"/>
      <c r="S118" s="3"/>
      <c r="T118" s="3"/>
      <c r="U118" s="3"/>
      <c r="V118" s="3"/>
      <c r="AA118" s="248"/>
      <c r="AB118" s="248"/>
      <c r="AC118" s="248"/>
      <c r="AD118" s="248"/>
      <c r="AF118" s="168"/>
      <c r="AG118" s="168"/>
      <c r="AH118" s="168"/>
      <c r="AI118" s="168"/>
      <c r="AM118" s="36"/>
      <c r="AN118" s="279"/>
      <c r="AO118" s="32"/>
      <c r="AP118" s="272"/>
      <c r="AQ118" s="272"/>
      <c r="AR118" s="224"/>
      <c r="AS118" s="224"/>
      <c r="AT118" s="275"/>
      <c r="AU118" s="248"/>
      <c r="AV118" s="248"/>
      <c r="AW118" s="248"/>
      <c r="AX118" s="248"/>
      <c r="AY118" s="249"/>
      <c r="AZ118" s="266"/>
      <c r="BA118" s="258"/>
      <c r="BB118" s="258"/>
    </row>
    <row r="119" spans="1:54" ht="45" x14ac:dyDescent="0.2">
      <c r="A119" s="88" t="s">
        <v>196</v>
      </c>
      <c r="B119" s="198" t="s">
        <v>363</v>
      </c>
      <c r="C119" s="57" t="s">
        <v>380</v>
      </c>
      <c r="D119" s="155" t="s">
        <v>291</v>
      </c>
      <c r="E119" s="155" t="s">
        <v>292</v>
      </c>
      <c r="F119" s="140" t="s">
        <v>295</v>
      </c>
      <c r="G119" s="140" t="s">
        <v>296</v>
      </c>
      <c r="H119" s="187">
        <v>8189</v>
      </c>
      <c r="I119" s="127">
        <v>63.4</v>
      </c>
      <c r="J119" s="127">
        <f t="shared" si="26"/>
        <v>69.740000000000009</v>
      </c>
      <c r="K119" s="127">
        <v>63.4</v>
      </c>
      <c r="L119" s="127">
        <f t="shared" si="27"/>
        <v>69.740000000000009</v>
      </c>
      <c r="M119" s="89" t="s">
        <v>125</v>
      </c>
      <c r="N119" s="60" t="s">
        <v>468</v>
      </c>
      <c r="O119" s="150" t="s">
        <v>314</v>
      </c>
      <c r="P119" s="209" t="s">
        <v>467</v>
      </c>
      <c r="Q119" s="166"/>
      <c r="R119" s="3"/>
      <c r="S119" s="3"/>
      <c r="T119" s="3"/>
      <c r="U119" s="3"/>
      <c r="V119" s="3"/>
      <c r="AA119" s="248"/>
      <c r="AB119" s="248"/>
      <c r="AC119" s="248"/>
      <c r="AD119" s="248"/>
      <c r="AF119" s="168"/>
      <c r="AG119" s="168"/>
      <c r="AH119" s="168"/>
      <c r="AI119" s="168"/>
      <c r="AM119" s="36"/>
      <c r="AN119" s="279"/>
      <c r="AO119" s="32"/>
      <c r="AP119" s="272"/>
      <c r="AQ119" s="272"/>
      <c r="AR119" s="224"/>
      <c r="AS119" s="224"/>
      <c r="AT119" s="275"/>
      <c r="AU119" s="248"/>
      <c r="AV119" s="248"/>
      <c r="AW119" s="248"/>
      <c r="AX119" s="248"/>
      <c r="AY119" s="249"/>
      <c r="AZ119" s="266"/>
      <c r="BA119" s="258"/>
      <c r="BB119" s="224"/>
    </row>
    <row r="120" spans="1:54" ht="45" x14ac:dyDescent="0.2">
      <c r="A120" s="88" t="s">
        <v>197</v>
      </c>
      <c r="B120" s="198" t="s">
        <v>364</v>
      </c>
      <c r="C120" s="57" t="s">
        <v>381</v>
      </c>
      <c r="D120" s="155" t="s">
        <v>365</v>
      </c>
      <c r="E120" s="155" t="s">
        <v>366</v>
      </c>
      <c r="F120" s="140" t="s">
        <v>367</v>
      </c>
      <c r="G120" s="140" t="s">
        <v>368</v>
      </c>
      <c r="H120" s="187">
        <v>8190</v>
      </c>
      <c r="I120" s="127">
        <v>63.4</v>
      </c>
      <c r="J120" s="127">
        <f t="shared" si="26"/>
        <v>69.740000000000009</v>
      </c>
      <c r="K120" s="127">
        <v>63.4</v>
      </c>
      <c r="L120" s="127">
        <f t="shared" si="27"/>
        <v>69.740000000000009</v>
      </c>
      <c r="M120" s="89" t="s">
        <v>125</v>
      </c>
      <c r="N120" s="60" t="s">
        <v>468</v>
      </c>
      <c r="O120" s="150" t="s">
        <v>314</v>
      </c>
      <c r="P120" s="209" t="s">
        <v>467</v>
      </c>
      <c r="Q120" s="166"/>
      <c r="R120" s="3"/>
      <c r="S120" s="3"/>
      <c r="T120" s="3"/>
      <c r="U120" s="3"/>
      <c r="V120" s="3"/>
      <c r="AA120" s="248"/>
      <c r="AB120" s="248"/>
      <c r="AC120" s="248"/>
      <c r="AD120" s="248"/>
      <c r="AF120" s="168"/>
      <c r="AG120" s="168"/>
      <c r="AH120" s="168"/>
      <c r="AI120" s="168"/>
      <c r="AM120" s="36"/>
      <c r="AN120" s="279"/>
      <c r="AO120" s="32"/>
      <c r="AP120" s="272"/>
      <c r="AQ120" s="272"/>
      <c r="AR120" s="224"/>
      <c r="AS120" s="224"/>
      <c r="AT120" s="275"/>
      <c r="AU120" s="248"/>
      <c r="AV120" s="248"/>
      <c r="AW120" s="248"/>
      <c r="AX120" s="248"/>
      <c r="AY120" s="249"/>
      <c r="AZ120" s="266"/>
      <c r="BA120" s="258"/>
      <c r="BB120" s="224"/>
    </row>
    <row r="121" spans="1:54" ht="33.75" x14ac:dyDescent="0.2">
      <c r="A121" s="88" t="s">
        <v>198</v>
      </c>
      <c r="B121" s="198" t="s">
        <v>369</v>
      </c>
      <c r="C121" s="57" t="s">
        <v>382</v>
      </c>
      <c r="D121" s="155" t="s">
        <v>370</v>
      </c>
      <c r="E121" s="155" t="s">
        <v>371</v>
      </c>
      <c r="F121" s="140" t="s">
        <v>372</v>
      </c>
      <c r="G121" s="140" t="s">
        <v>373</v>
      </c>
      <c r="H121" s="187">
        <v>8191</v>
      </c>
      <c r="I121" s="127">
        <v>63.4</v>
      </c>
      <c r="J121" s="127">
        <f t="shared" si="26"/>
        <v>69.740000000000009</v>
      </c>
      <c r="K121" s="127">
        <v>63.4</v>
      </c>
      <c r="L121" s="127">
        <f t="shared" si="27"/>
        <v>69.740000000000009</v>
      </c>
      <c r="M121" s="89" t="s">
        <v>125</v>
      </c>
      <c r="N121" s="60" t="s">
        <v>468</v>
      </c>
      <c r="O121" s="150" t="s">
        <v>314</v>
      </c>
      <c r="P121" s="209" t="s">
        <v>467</v>
      </c>
      <c r="Q121" s="166"/>
      <c r="R121" s="3"/>
      <c r="S121" s="3"/>
      <c r="T121" s="3"/>
      <c r="U121" s="3"/>
      <c r="V121" s="3"/>
      <c r="AA121" s="248"/>
      <c r="AB121" s="248"/>
      <c r="AC121" s="248"/>
      <c r="AD121" s="248"/>
      <c r="AF121" s="168"/>
      <c r="AG121" s="168"/>
      <c r="AH121" s="168"/>
      <c r="AI121" s="168"/>
      <c r="AM121" s="36"/>
      <c r="AN121" s="279"/>
      <c r="AO121" s="32"/>
      <c r="AP121" s="272"/>
      <c r="AQ121" s="272"/>
      <c r="AR121" s="224"/>
      <c r="AS121" s="224"/>
      <c r="AT121" s="275"/>
      <c r="AU121" s="248"/>
      <c r="AV121" s="248"/>
      <c r="AW121" s="248"/>
      <c r="AX121" s="248"/>
      <c r="AY121" s="249"/>
      <c r="AZ121" s="266"/>
      <c r="BA121" s="258"/>
      <c r="BB121" s="224"/>
    </row>
    <row r="122" spans="1:54" ht="33.75" x14ac:dyDescent="0.2">
      <c r="A122" s="88" t="s">
        <v>199</v>
      </c>
      <c r="B122" s="198" t="s">
        <v>374</v>
      </c>
      <c r="C122" s="57" t="s">
        <v>375</v>
      </c>
      <c r="D122" s="155" t="s">
        <v>376</v>
      </c>
      <c r="E122" s="155" t="s">
        <v>377</v>
      </c>
      <c r="F122" s="140" t="s">
        <v>378</v>
      </c>
      <c r="G122" s="140" t="s">
        <v>379</v>
      </c>
      <c r="H122" s="187">
        <v>8192</v>
      </c>
      <c r="I122" s="127">
        <v>121.3</v>
      </c>
      <c r="J122" s="127">
        <f t="shared" si="26"/>
        <v>133.43</v>
      </c>
      <c r="K122" s="127">
        <v>121.3</v>
      </c>
      <c r="L122" s="127">
        <f t="shared" si="27"/>
        <v>133.43</v>
      </c>
      <c r="M122" s="89" t="s">
        <v>125</v>
      </c>
      <c r="N122" s="60" t="s">
        <v>468</v>
      </c>
      <c r="O122" s="150" t="s">
        <v>314</v>
      </c>
      <c r="P122" s="209" t="s">
        <v>467</v>
      </c>
      <c r="Q122" s="166"/>
      <c r="R122" s="3"/>
      <c r="S122" s="3"/>
      <c r="T122" s="3"/>
      <c r="U122" s="3"/>
      <c r="V122" s="3"/>
      <c r="AA122" s="248"/>
      <c r="AB122" s="248"/>
      <c r="AC122" s="248"/>
      <c r="AD122" s="248"/>
      <c r="AF122" s="168"/>
      <c r="AG122" s="168"/>
      <c r="AH122" s="168"/>
      <c r="AI122" s="168"/>
      <c r="AM122" s="36"/>
      <c r="AN122" s="279"/>
      <c r="AO122" s="32"/>
      <c r="AP122" s="272"/>
      <c r="AQ122" s="272"/>
      <c r="AR122" s="224"/>
      <c r="AS122" s="224"/>
      <c r="AT122" s="275"/>
      <c r="AU122" s="248"/>
      <c r="AV122" s="248"/>
      <c r="AW122" s="248"/>
      <c r="AX122" s="248"/>
      <c r="AY122" s="249"/>
      <c r="AZ122" s="266"/>
      <c r="BA122" s="258"/>
      <c r="BB122" s="224"/>
    </row>
    <row r="123" spans="1:54" x14ac:dyDescent="0.2">
      <c r="A123" s="90"/>
      <c r="B123" s="106" t="s">
        <v>190</v>
      </c>
      <c r="C123" s="92"/>
      <c r="D123" s="93"/>
      <c r="E123" s="93"/>
      <c r="F123" s="93"/>
      <c r="G123" s="93"/>
      <c r="H123" s="184"/>
      <c r="I123" s="94"/>
      <c r="J123" s="94"/>
      <c r="K123" s="94"/>
      <c r="L123" s="94"/>
      <c r="M123" s="95"/>
      <c r="N123" s="95"/>
      <c r="O123" s="95"/>
      <c r="P123" s="158"/>
      <c r="Q123" s="167"/>
      <c r="R123" s="3"/>
      <c r="S123" s="3"/>
      <c r="T123" s="3"/>
      <c r="U123" s="3"/>
      <c r="V123" s="3"/>
      <c r="AA123" s="253"/>
      <c r="AB123" s="253"/>
      <c r="AC123" s="253"/>
      <c r="AD123" s="253"/>
      <c r="AF123" s="168"/>
      <c r="AG123" s="168"/>
      <c r="AH123" s="168"/>
      <c r="AI123" s="168"/>
      <c r="AM123" s="224"/>
      <c r="AN123" s="267"/>
      <c r="AO123" s="268"/>
      <c r="AP123" s="224"/>
      <c r="AQ123" s="224"/>
      <c r="AR123" s="224"/>
      <c r="AS123" s="224"/>
      <c r="AT123" s="265"/>
      <c r="AU123" s="253"/>
      <c r="AV123" s="253"/>
      <c r="AW123" s="253"/>
      <c r="AX123" s="253"/>
      <c r="AY123" s="269"/>
      <c r="AZ123" s="269"/>
      <c r="BA123" s="269"/>
      <c r="BB123" s="266"/>
    </row>
    <row r="124" spans="1:54" ht="33.75" x14ac:dyDescent="0.2">
      <c r="A124" s="100">
        <v>74</v>
      </c>
      <c r="B124" s="72" t="s">
        <v>624</v>
      </c>
      <c r="C124" s="104" t="s">
        <v>625</v>
      </c>
      <c r="D124" s="107" t="s">
        <v>200</v>
      </c>
      <c r="E124" s="107" t="s">
        <v>201</v>
      </c>
      <c r="F124" s="107" t="s">
        <v>202</v>
      </c>
      <c r="G124" s="108" t="s">
        <v>203</v>
      </c>
      <c r="H124" s="188">
        <v>8080</v>
      </c>
      <c r="I124" s="118">
        <v>39.1</v>
      </c>
      <c r="J124" s="118">
        <f t="shared" ref="J124:J127" si="28">I124*1.1</f>
        <v>43.010000000000005</v>
      </c>
      <c r="K124" s="118">
        <v>39.1</v>
      </c>
      <c r="L124" s="118">
        <f t="shared" si="27"/>
        <v>43.010000000000005</v>
      </c>
      <c r="M124" s="97" t="s">
        <v>126</v>
      </c>
      <c r="N124" s="76" t="s">
        <v>133</v>
      </c>
      <c r="O124" s="109" t="s">
        <v>314</v>
      </c>
      <c r="P124" s="209" t="s">
        <v>465</v>
      </c>
      <c r="Q124" s="166"/>
      <c r="R124" s="3"/>
      <c r="S124" s="3"/>
      <c r="T124" s="3"/>
      <c r="U124" s="3"/>
      <c r="V124" s="3"/>
      <c r="AA124" s="247"/>
      <c r="AB124" s="247"/>
      <c r="AC124" s="247"/>
      <c r="AD124" s="247"/>
      <c r="AF124" s="168"/>
      <c r="AG124" s="168"/>
      <c r="AH124" s="168"/>
      <c r="AI124" s="168"/>
      <c r="AM124" s="36"/>
      <c r="AN124" s="32"/>
      <c r="AO124" s="32"/>
      <c r="AP124" s="224"/>
      <c r="AQ124" s="224"/>
      <c r="AR124" s="224"/>
      <c r="AS124" s="224"/>
      <c r="AT124" s="265"/>
      <c r="AU124" s="247"/>
      <c r="AV124" s="247"/>
      <c r="AW124" s="247"/>
      <c r="AX124" s="247"/>
      <c r="AY124" s="249"/>
      <c r="AZ124" s="266"/>
      <c r="BA124" s="258"/>
      <c r="BB124" s="224"/>
    </row>
    <row r="125" spans="1:54" ht="45" x14ac:dyDescent="0.2">
      <c r="A125" s="100" t="s">
        <v>191</v>
      </c>
      <c r="B125" s="72" t="s">
        <v>193</v>
      </c>
      <c r="C125" s="104" t="s">
        <v>194</v>
      </c>
      <c r="D125" s="107" t="s">
        <v>204</v>
      </c>
      <c r="E125" s="107" t="s">
        <v>205</v>
      </c>
      <c r="F125" s="107" t="s">
        <v>206</v>
      </c>
      <c r="G125" s="108" t="s">
        <v>207</v>
      </c>
      <c r="H125" s="188">
        <v>8078</v>
      </c>
      <c r="I125" s="118">
        <v>39.1</v>
      </c>
      <c r="J125" s="118">
        <f t="shared" si="28"/>
        <v>43.010000000000005</v>
      </c>
      <c r="K125" s="118">
        <v>39.1</v>
      </c>
      <c r="L125" s="118">
        <f t="shared" si="27"/>
        <v>43.010000000000005</v>
      </c>
      <c r="M125" s="97" t="s">
        <v>126</v>
      </c>
      <c r="N125" s="76" t="s">
        <v>469</v>
      </c>
      <c r="O125" s="109" t="s">
        <v>314</v>
      </c>
      <c r="P125" s="209" t="s">
        <v>467</v>
      </c>
      <c r="Q125" s="166"/>
      <c r="R125" s="3"/>
      <c r="S125" s="3"/>
      <c r="T125" s="3"/>
      <c r="U125" s="3"/>
      <c r="V125" s="3"/>
      <c r="AA125" s="247"/>
      <c r="AB125" s="247"/>
      <c r="AC125" s="247"/>
      <c r="AD125" s="247"/>
      <c r="AF125" s="168"/>
      <c r="AG125" s="168"/>
      <c r="AH125" s="168"/>
      <c r="AI125" s="168"/>
      <c r="AM125" s="36"/>
      <c r="AN125" s="32"/>
      <c r="AO125" s="32"/>
      <c r="AP125" s="224"/>
      <c r="AQ125" s="224"/>
      <c r="AR125" s="224"/>
      <c r="AS125" s="224"/>
      <c r="AT125" s="265"/>
      <c r="AU125" s="247"/>
      <c r="AV125" s="247"/>
      <c r="AW125" s="247"/>
      <c r="AX125" s="247"/>
      <c r="AY125" s="249"/>
      <c r="AZ125" s="266"/>
      <c r="BA125" s="258"/>
      <c r="BB125" s="224"/>
    </row>
    <row r="126" spans="1:54" ht="45" x14ac:dyDescent="0.2">
      <c r="A126" s="100">
        <v>75</v>
      </c>
      <c r="B126" s="72" t="s">
        <v>626</v>
      </c>
      <c r="C126" s="104" t="s">
        <v>627</v>
      </c>
      <c r="D126" s="109" t="s">
        <v>208</v>
      </c>
      <c r="E126" s="109" t="s">
        <v>209</v>
      </c>
      <c r="F126" s="109" t="s">
        <v>210</v>
      </c>
      <c r="G126" s="109" t="s">
        <v>211</v>
      </c>
      <c r="H126" s="189">
        <v>8081</v>
      </c>
      <c r="I126" s="118">
        <v>18.100000000000001</v>
      </c>
      <c r="J126" s="118">
        <f t="shared" si="28"/>
        <v>19.910000000000004</v>
      </c>
      <c r="K126" s="118">
        <v>18.100000000000001</v>
      </c>
      <c r="L126" s="118">
        <f t="shared" si="27"/>
        <v>19.910000000000004</v>
      </c>
      <c r="M126" s="97" t="s">
        <v>126</v>
      </c>
      <c r="N126" s="76" t="s">
        <v>133</v>
      </c>
      <c r="O126" s="109" t="s">
        <v>314</v>
      </c>
      <c r="P126" s="209" t="s">
        <v>465</v>
      </c>
      <c r="Q126" s="166"/>
      <c r="R126" s="3"/>
      <c r="S126" s="3"/>
      <c r="T126" s="3"/>
      <c r="U126" s="3"/>
      <c r="V126" s="3"/>
      <c r="AA126" s="247"/>
      <c r="AB126" s="247"/>
      <c r="AC126" s="247"/>
      <c r="AD126" s="247"/>
      <c r="AF126" s="168"/>
      <c r="AG126" s="168"/>
      <c r="AH126" s="168"/>
      <c r="AI126" s="168"/>
      <c r="AM126" s="36"/>
      <c r="AN126" s="32"/>
      <c r="AO126" s="32"/>
      <c r="AP126" s="258"/>
      <c r="AQ126" s="258"/>
      <c r="AR126" s="258"/>
      <c r="AS126" s="258"/>
      <c r="AT126" s="273"/>
      <c r="AU126" s="247"/>
      <c r="AV126" s="247"/>
      <c r="AW126" s="247"/>
      <c r="AX126" s="247"/>
      <c r="AY126" s="249"/>
      <c r="AZ126" s="266"/>
      <c r="BA126" s="258"/>
      <c r="BB126" s="224"/>
    </row>
    <row r="127" spans="1:54" ht="67.5" x14ac:dyDescent="0.2">
      <c r="A127" s="100" t="s">
        <v>192</v>
      </c>
      <c r="B127" s="72" t="s">
        <v>195</v>
      </c>
      <c r="C127" s="104" t="s">
        <v>483</v>
      </c>
      <c r="D127" s="107" t="s">
        <v>212</v>
      </c>
      <c r="E127" s="107" t="s">
        <v>213</v>
      </c>
      <c r="F127" s="107" t="s">
        <v>214</v>
      </c>
      <c r="G127" s="108" t="s">
        <v>215</v>
      </c>
      <c r="H127" s="188">
        <v>8079</v>
      </c>
      <c r="I127" s="118">
        <v>18.100000000000001</v>
      </c>
      <c r="J127" s="118">
        <f t="shared" si="28"/>
        <v>19.910000000000004</v>
      </c>
      <c r="K127" s="118">
        <v>18.100000000000001</v>
      </c>
      <c r="L127" s="118">
        <f t="shared" si="27"/>
        <v>19.910000000000004</v>
      </c>
      <c r="M127" s="97" t="s">
        <v>126</v>
      </c>
      <c r="N127" s="76" t="s">
        <v>469</v>
      </c>
      <c r="O127" s="109" t="s">
        <v>314</v>
      </c>
      <c r="P127" s="209" t="s">
        <v>467</v>
      </c>
      <c r="Q127" s="166"/>
      <c r="R127" s="3"/>
      <c r="S127" s="3"/>
      <c r="T127" s="3"/>
      <c r="U127" s="3"/>
      <c r="V127" s="3"/>
      <c r="AA127" s="247"/>
      <c r="AB127" s="247"/>
      <c r="AC127" s="247"/>
      <c r="AD127" s="247"/>
      <c r="AF127" s="168"/>
      <c r="AG127" s="168"/>
      <c r="AH127" s="168"/>
      <c r="AI127" s="168"/>
      <c r="AM127" s="36"/>
      <c r="AN127" s="32"/>
      <c r="AO127" s="32"/>
      <c r="AP127" s="224"/>
      <c r="AQ127" s="224"/>
      <c r="AR127" s="224"/>
      <c r="AS127" s="224"/>
      <c r="AT127" s="265"/>
      <c r="AU127" s="247"/>
      <c r="AV127" s="247"/>
      <c r="AW127" s="247"/>
      <c r="AX127" s="247"/>
      <c r="AY127" s="249"/>
      <c r="AZ127" s="266"/>
      <c r="BA127" s="258"/>
      <c r="BB127" s="224"/>
    </row>
    <row r="128" spans="1:54" ht="33.75" x14ac:dyDescent="0.2">
      <c r="A128" s="98">
        <v>76</v>
      </c>
      <c r="B128" s="19" t="s">
        <v>628</v>
      </c>
      <c r="C128" s="102" t="s">
        <v>629</v>
      </c>
      <c r="D128" s="96" t="s">
        <v>216</v>
      </c>
      <c r="E128" s="96" t="s">
        <v>217</v>
      </c>
      <c r="F128" s="96" t="s">
        <v>218</v>
      </c>
      <c r="G128" s="96" t="s">
        <v>219</v>
      </c>
      <c r="H128" s="177">
        <v>8082</v>
      </c>
      <c r="I128" s="303" t="s">
        <v>29</v>
      </c>
      <c r="J128" s="303"/>
      <c r="K128" s="303" t="s">
        <v>29</v>
      </c>
      <c r="L128" s="303"/>
      <c r="M128" s="14" t="s">
        <v>126</v>
      </c>
      <c r="N128" s="25" t="s">
        <v>110</v>
      </c>
      <c r="O128" s="149" t="s">
        <v>314</v>
      </c>
      <c r="P128" s="209" t="s">
        <v>465</v>
      </c>
      <c r="Q128" s="166"/>
      <c r="R128" s="3"/>
      <c r="S128" s="3"/>
      <c r="T128" s="3"/>
      <c r="U128" s="3"/>
      <c r="V128" s="3"/>
      <c r="AA128" s="298"/>
      <c r="AB128" s="298"/>
      <c r="AC128" s="298"/>
      <c r="AD128" s="298"/>
      <c r="AF128" s="168"/>
      <c r="AG128" s="168"/>
      <c r="AH128" s="168"/>
      <c r="AI128" s="168"/>
      <c r="AM128" s="36"/>
      <c r="AN128" s="32"/>
      <c r="AO128" s="32"/>
      <c r="AP128" s="224"/>
      <c r="AQ128" s="224"/>
      <c r="AR128" s="224"/>
      <c r="AS128" s="224"/>
      <c r="AT128" s="265"/>
      <c r="AU128" s="298"/>
      <c r="AV128" s="298"/>
      <c r="AW128" s="298"/>
      <c r="AX128" s="298"/>
      <c r="AY128" s="249"/>
      <c r="AZ128" s="266"/>
      <c r="BA128" s="258"/>
      <c r="BB128" s="224"/>
    </row>
    <row r="129" spans="1:54" ht="22.5" x14ac:dyDescent="0.2">
      <c r="A129" s="98">
        <v>77</v>
      </c>
      <c r="B129" s="19" t="s">
        <v>630</v>
      </c>
      <c r="C129" s="102" t="s">
        <v>631</v>
      </c>
      <c r="D129" s="96" t="s">
        <v>220</v>
      </c>
      <c r="E129" s="96" t="s">
        <v>221</v>
      </c>
      <c r="F129" s="96" t="s">
        <v>222</v>
      </c>
      <c r="G129" s="96" t="s">
        <v>223</v>
      </c>
      <c r="H129" s="177">
        <v>8083</v>
      </c>
      <c r="I129" s="303" t="s">
        <v>29</v>
      </c>
      <c r="J129" s="303"/>
      <c r="K129" s="303" t="s">
        <v>29</v>
      </c>
      <c r="L129" s="303"/>
      <c r="M129" s="14" t="s">
        <v>126</v>
      </c>
      <c r="N129" s="25" t="s">
        <v>110</v>
      </c>
      <c r="O129" s="149" t="s">
        <v>314</v>
      </c>
      <c r="P129" s="209" t="s">
        <v>466</v>
      </c>
      <c r="Q129" s="166"/>
      <c r="R129" s="3"/>
      <c r="S129" s="3"/>
      <c r="T129" s="3"/>
      <c r="U129" s="3"/>
      <c r="V129" s="3"/>
      <c r="AA129" s="298"/>
      <c r="AB129" s="298"/>
      <c r="AC129" s="298"/>
      <c r="AD129" s="298"/>
      <c r="AF129" s="168"/>
      <c r="AG129" s="168"/>
      <c r="AH129" s="168"/>
      <c r="AI129" s="168"/>
      <c r="AM129" s="36"/>
      <c r="AN129" s="32"/>
      <c r="AO129" s="32"/>
      <c r="AP129" s="224"/>
      <c r="AQ129" s="224"/>
      <c r="AR129" s="224"/>
      <c r="AS129" s="224"/>
      <c r="AT129" s="265"/>
      <c r="AU129" s="298"/>
      <c r="AV129" s="298"/>
      <c r="AW129" s="298"/>
      <c r="AX129" s="298"/>
      <c r="AY129" s="249"/>
      <c r="AZ129" s="266"/>
      <c r="BA129" s="258"/>
      <c r="BB129" s="224"/>
    </row>
    <row r="130" spans="1:54" ht="22.5" x14ac:dyDescent="0.2">
      <c r="A130" s="98">
        <v>78</v>
      </c>
      <c r="B130" s="19" t="s">
        <v>632</v>
      </c>
      <c r="C130" s="102" t="s">
        <v>633</v>
      </c>
      <c r="D130" s="96" t="s">
        <v>224</v>
      </c>
      <c r="E130" s="96" t="s">
        <v>225</v>
      </c>
      <c r="F130" s="96" t="s">
        <v>226</v>
      </c>
      <c r="G130" s="96" t="s">
        <v>227</v>
      </c>
      <c r="H130" s="177">
        <v>8084</v>
      </c>
      <c r="I130" s="303" t="s">
        <v>29</v>
      </c>
      <c r="J130" s="303"/>
      <c r="K130" s="303" t="s">
        <v>29</v>
      </c>
      <c r="L130" s="303"/>
      <c r="M130" s="14" t="s">
        <v>126</v>
      </c>
      <c r="N130" s="25" t="s">
        <v>110</v>
      </c>
      <c r="O130" s="149" t="s">
        <v>314</v>
      </c>
      <c r="P130" s="209" t="s">
        <v>465</v>
      </c>
      <c r="Q130" s="166"/>
      <c r="R130" s="3"/>
      <c r="S130" s="3"/>
      <c r="T130" s="3"/>
      <c r="U130" s="3"/>
      <c r="V130" s="3"/>
      <c r="AA130" s="298"/>
      <c r="AB130" s="298"/>
      <c r="AC130" s="298"/>
      <c r="AD130" s="298"/>
      <c r="AF130" s="168"/>
      <c r="AG130" s="168"/>
      <c r="AH130" s="168"/>
      <c r="AI130" s="168"/>
      <c r="AM130" s="36"/>
      <c r="AN130" s="32"/>
      <c r="AO130" s="32"/>
      <c r="AP130" s="224"/>
      <c r="AQ130" s="224"/>
      <c r="AR130" s="224"/>
      <c r="AS130" s="224"/>
      <c r="AT130" s="265"/>
      <c r="AU130" s="298"/>
      <c r="AV130" s="298"/>
      <c r="AW130" s="298"/>
      <c r="AX130" s="298"/>
      <c r="AY130" s="249"/>
      <c r="AZ130" s="266"/>
      <c r="BA130" s="258"/>
      <c r="BB130" s="224"/>
    </row>
    <row r="131" spans="1:54" ht="146.25" x14ac:dyDescent="0.2">
      <c r="A131" s="98">
        <v>79</v>
      </c>
      <c r="B131" s="19" t="s">
        <v>634</v>
      </c>
      <c r="C131" s="102" t="s">
        <v>635</v>
      </c>
      <c r="D131" s="300" t="s">
        <v>28</v>
      </c>
      <c r="E131" s="301"/>
      <c r="F131" s="301"/>
      <c r="G131" s="302"/>
      <c r="H131" s="190">
        <v>8085</v>
      </c>
      <c r="I131" s="303" t="s">
        <v>29</v>
      </c>
      <c r="J131" s="303"/>
      <c r="K131" s="303" t="s">
        <v>29</v>
      </c>
      <c r="L131" s="303"/>
      <c r="M131" s="14" t="s">
        <v>126</v>
      </c>
      <c r="N131" s="25" t="s">
        <v>110</v>
      </c>
      <c r="O131" s="149" t="s">
        <v>313</v>
      </c>
      <c r="P131" s="149" t="s">
        <v>482</v>
      </c>
      <c r="Q131" s="165"/>
      <c r="R131" s="3"/>
      <c r="S131" s="3"/>
      <c r="T131" s="3"/>
      <c r="U131" s="3"/>
      <c r="V131" s="3"/>
      <c r="AA131" s="298"/>
      <c r="AB131" s="298"/>
      <c r="AC131" s="298"/>
      <c r="AD131" s="298"/>
      <c r="AF131" s="168"/>
      <c r="AG131" s="168"/>
      <c r="AH131" s="168"/>
      <c r="AI131" s="168"/>
      <c r="AM131" s="36"/>
      <c r="AN131" s="32"/>
      <c r="AO131" s="32"/>
      <c r="AP131" s="296"/>
      <c r="AQ131" s="296"/>
      <c r="AR131" s="296"/>
      <c r="AS131" s="296"/>
      <c r="AT131" s="265"/>
      <c r="AU131" s="298"/>
      <c r="AV131" s="298"/>
      <c r="AW131" s="298"/>
      <c r="AX131" s="298"/>
      <c r="AY131" s="249"/>
      <c r="AZ131" s="266"/>
      <c r="BA131" s="258"/>
      <c r="BB131" s="258"/>
    </row>
    <row r="132" spans="1:54" ht="33.75" x14ac:dyDescent="0.2">
      <c r="A132" s="98">
        <v>80</v>
      </c>
      <c r="B132" s="19" t="s">
        <v>636</v>
      </c>
      <c r="C132" s="102" t="s">
        <v>637</v>
      </c>
      <c r="D132" s="110" t="s">
        <v>228</v>
      </c>
      <c r="E132" s="110" t="s">
        <v>229</v>
      </c>
      <c r="F132" s="110" t="s">
        <v>230</v>
      </c>
      <c r="G132" s="110" t="s">
        <v>231</v>
      </c>
      <c r="H132" s="191">
        <v>8086</v>
      </c>
      <c r="I132" s="303" t="s">
        <v>29</v>
      </c>
      <c r="J132" s="303"/>
      <c r="K132" s="303" t="s">
        <v>29</v>
      </c>
      <c r="L132" s="303"/>
      <c r="M132" s="14" t="s">
        <v>126</v>
      </c>
      <c r="N132" s="25" t="s">
        <v>110</v>
      </c>
      <c r="O132" s="149" t="s">
        <v>314</v>
      </c>
      <c r="P132" s="209" t="s">
        <v>466</v>
      </c>
      <c r="Q132" s="166"/>
      <c r="R132" s="3"/>
      <c r="S132" s="3"/>
      <c r="T132" s="3"/>
      <c r="U132" s="3"/>
      <c r="V132" s="3"/>
      <c r="AA132" s="298"/>
      <c r="AB132" s="298"/>
      <c r="AC132" s="298"/>
      <c r="AD132" s="298"/>
      <c r="AF132" s="168"/>
      <c r="AG132" s="168"/>
      <c r="AH132" s="168"/>
      <c r="AI132" s="168"/>
      <c r="AM132" s="36"/>
      <c r="AN132" s="32"/>
      <c r="AO132" s="32"/>
      <c r="AP132" s="280"/>
      <c r="AQ132" s="280"/>
      <c r="AR132" s="280"/>
      <c r="AS132" s="280"/>
      <c r="AT132" s="281"/>
      <c r="AU132" s="298"/>
      <c r="AV132" s="298"/>
      <c r="AW132" s="298"/>
      <c r="AX132" s="298"/>
      <c r="AY132" s="249"/>
      <c r="AZ132" s="266"/>
      <c r="BA132" s="258"/>
      <c r="BB132" s="224"/>
    </row>
    <row r="133" spans="1:54" ht="22.5" x14ac:dyDescent="0.2">
      <c r="A133" s="98">
        <v>81</v>
      </c>
      <c r="B133" s="19" t="s">
        <v>638</v>
      </c>
      <c r="C133" s="102" t="s">
        <v>639</v>
      </c>
      <c r="D133" s="96" t="s">
        <v>232</v>
      </c>
      <c r="E133" s="96" t="s">
        <v>233</v>
      </c>
      <c r="F133" s="96" t="s">
        <v>234</v>
      </c>
      <c r="G133" s="96" t="s">
        <v>235</v>
      </c>
      <c r="H133" s="177">
        <v>8087</v>
      </c>
      <c r="I133" s="303" t="s">
        <v>29</v>
      </c>
      <c r="J133" s="303"/>
      <c r="K133" s="303" t="s">
        <v>29</v>
      </c>
      <c r="L133" s="303"/>
      <c r="M133" s="14" t="s">
        <v>126</v>
      </c>
      <c r="N133" s="25" t="s">
        <v>110</v>
      </c>
      <c r="O133" s="149" t="s">
        <v>314</v>
      </c>
      <c r="P133" s="209" t="s">
        <v>466</v>
      </c>
      <c r="Q133" s="166"/>
      <c r="R133" s="3"/>
      <c r="S133" s="3"/>
      <c r="T133" s="3"/>
      <c r="U133" s="3"/>
      <c r="V133" s="3"/>
      <c r="AA133" s="298"/>
      <c r="AB133" s="298"/>
      <c r="AC133" s="298"/>
      <c r="AD133" s="298"/>
      <c r="AF133" s="168"/>
      <c r="AG133" s="168"/>
      <c r="AH133" s="168"/>
      <c r="AI133" s="168"/>
      <c r="AM133" s="36"/>
      <c r="AN133" s="32"/>
      <c r="AO133" s="32"/>
      <c r="AP133" s="224"/>
      <c r="AQ133" s="224"/>
      <c r="AR133" s="224"/>
      <c r="AS133" s="224"/>
      <c r="AT133" s="265"/>
      <c r="AU133" s="298"/>
      <c r="AV133" s="298"/>
      <c r="AW133" s="298"/>
      <c r="AX133" s="298"/>
      <c r="AY133" s="249"/>
      <c r="AZ133" s="266"/>
      <c r="BA133" s="258"/>
      <c r="BB133" s="224"/>
    </row>
    <row r="134" spans="1:54" ht="22.5" x14ac:dyDescent="0.2">
      <c r="A134" s="98">
        <v>82</v>
      </c>
      <c r="B134" s="19" t="s">
        <v>640</v>
      </c>
      <c r="C134" s="19" t="s">
        <v>641</v>
      </c>
      <c r="D134" s="96" t="s">
        <v>315</v>
      </c>
      <c r="E134" s="96" t="s">
        <v>316</v>
      </c>
      <c r="F134" s="96" t="s">
        <v>317</v>
      </c>
      <c r="G134" s="96" t="s">
        <v>318</v>
      </c>
      <c r="H134" s="177">
        <v>8088</v>
      </c>
      <c r="I134" s="303" t="s">
        <v>29</v>
      </c>
      <c r="J134" s="303"/>
      <c r="K134" s="303" t="s">
        <v>29</v>
      </c>
      <c r="L134" s="303"/>
      <c r="M134" s="14" t="s">
        <v>126</v>
      </c>
      <c r="N134" s="25" t="s">
        <v>110</v>
      </c>
      <c r="O134" s="149" t="s">
        <v>314</v>
      </c>
      <c r="P134" s="209" t="s">
        <v>466</v>
      </c>
      <c r="Q134" s="166"/>
      <c r="R134" s="3"/>
      <c r="S134" s="3"/>
      <c r="T134" s="3"/>
      <c r="U134" s="3"/>
      <c r="V134" s="3"/>
      <c r="AA134" s="298"/>
      <c r="AB134" s="298"/>
      <c r="AC134" s="298"/>
      <c r="AD134" s="298"/>
      <c r="AF134" s="168"/>
      <c r="AG134" s="168"/>
      <c r="AH134" s="168"/>
      <c r="AI134" s="168"/>
      <c r="AM134" s="36"/>
      <c r="AN134" s="32"/>
      <c r="AO134" s="32"/>
      <c r="AP134" s="224"/>
      <c r="AQ134" s="224"/>
      <c r="AR134" s="224"/>
      <c r="AS134" s="224"/>
      <c r="AT134" s="265"/>
      <c r="AU134" s="298"/>
      <c r="AV134" s="298"/>
      <c r="AW134" s="298"/>
      <c r="AX134" s="298"/>
      <c r="AY134" s="249"/>
      <c r="AZ134" s="266"/>
      <c r="BA134" s="258"/>
      <c r="BB134" s="224"/>
    </row>
    <row r="135" spans="1:54" ht="22.5" x14ac:dyDescent="0.2">
      <c r="A135" s="98">
        <v>83</v>
      </c>
      <c r="B135" s="19" t="s">
        <v>642</v>
      </c>
      <c r="C135" s="102" t="s">
        <v>643</v>
      </c>
      <c r="D135" s="96" t="s">
        <v>236</v>
      </c>
      <c r="E135" s="96" t="s">
        <v>237</v>
      </c>
      <c r="F135" s="96" t="s">
        <v>238</v>
      </c>
      <c r="G135" s="96" t="s">
        <v>239</v>
      </c>
      <c r="H135" s="177">
        <v>8089</v>
      </c>
      <c r="I135" s="303" t="s">
        <v>29</v>
      </c>
      <c r="J135" s="303"/>
      <c r="K135" s="303" t="s">
        <v>29</v>
      </c>
      <c r="L135" s="303"/>
      <c r="M135" s="14" t="s">
        <v>126</v>
      </c>
      <c r="N135" s="25" t="s">
        <v>110</v>
      </c>
      <c r="O135" s="149" t="s">
        <v>314</v>
      </c>
      <c r="P135" s="209" t="s">
        <v>465</v>
      </c>
      <c r="Q135" s="166"/>
      <c r="R135" s="3"/>
      <c r="S135" s="3"/>
      <c r="T135" s="3"/>
      <c r="U135" s="3"/>
      <c r="V135" s="3"/>
      <c r="AA135" s="298"/>
      <c r="AB135" s="298"/>
      <c r="AC135" s="298"/>
      <c r="AD135" s="298"/>
      <c r="AF135" s="168"/>
      <c r="AG135" s="168"/>
      <c r="AH135" s="168"/>
      <c r="AI135" s="168"/>
      <c r="AM135" s="36"/>
      <c r="AN135" s="32"/>
      <c r="AO135" s="32"/>
      <c r="AP135" s="224"/>
      <c r="AQ135" s="224"/>
      <c r="AR135" s="224"/>
      <c r="AS135" s="224"/>
      <c r="AT135" s="265"/>
      <c r="AU135" s="298"/>
      <c r="AV135" s="298"/>
      <c r="AW135" s="298"/>
      <c r="AX135" s="298"/>
      <c r="AY135" s="249"/>
      <c r="AZ135" s="266"/>
      <c r="BA135" s="258"/>
      <c r="BB135" s="224"/>
    </row>
    <row r="136" spans="1:54" ht="33.75" x14ac:dyDescent="0.2">
      <c r="A136" s="98">
        <v>84</v>
      </c>
      <c r="B136" s="19" t="s">
        <v>644</v>
      </c>
      <c r="C136" s="102" t="s">
        <v>645</v>
      </c>
      <c r="D136" s="96" t="s">
        <v>240</v>
      </c>
      <c r="E136" s="96" t="s">
        <v>241</v>
      </c>
      <c r="F136" s="96" t="s">
        <v>242</v>
      </c>
      <c r="G136" s="96" t="s">
        <v>243</v>
      </c>
      <c r="H136" s="177">
        <v>8090</v>
      </c>
      <c r="I136" s="303" t="s">
        <v>29</v>
      </c>
      <c r="J136" s="303"/>
      <c r="K136" s="303" t="s">
        <v>29</v>
      </c>
      <c r="L136" s="303"/>
      <c r="M136" s="14" t="s">
        <v>126</v>
      </c>
      <c r="N136" s="25" t="s">
        <v>110</v>
      </c>
      <c r="O136" s="149" t="s">
        <v>314</v>
      </c>
      <c r="P136" s="209" t="s">
        <v>465</v>
      </c>
      <c r="Q136" s="166"/>
      <c r="R136" s="3"/>
      <c r="S136" s="3"/>
      <c r="T136" s="3"/>
      <c r="U136" s="3"/>
      <c r="V136" s="3"/>
      <c r="AA136" s="298"/>
      <c r="AB136" s="298"/>
      <c r="AC136" s="298"/>
      <c r="AD136" s="298"/>
      <c r="AF136" s="168"/>
      <c r="AG136" s="168"/>
      <c r="AH136" s="168"/>
      <c r="AI136" s="168"/>
      <c r="AM136" s="36"/>
      <c r="AN136" s="32"/>
      <c r="AO136" s="32"/>
      <c r="AP136" s="224"/>
      <c r="AQ136" s="224"/>
      <c r="AR136" s="224"/>
      <c r="AS136" s="224"/>
      <c r="AT136" s="265"/>
      <c r="AU136" s="298"/>
      <c r="AV136" s="298"/>
      <c r="AW136" s="298"/>
      <c r="AX136" s="298"/>
      <c r="AY136" s="249"/>
      <c r="AZ136" s="266"/>
      <c r="BA136" s="258"/>
      <c r="BB136" s="224"/>
    </row>
    <row r="137" spans="1:54" ht="22.5" x14ac:dyDescent="0.2">
      <c r="A137" s="98">
        <v>85</v>
      </c>
      <c r="B137" s="19" t="s">
        <v>646</v>
      </c>
      <c r="C137" s="102" t="s">
        <v>647</v>
      </c>
      <c r="D137" s="96" t="s">
        <v>244</v>
      </c>
      <c r="E137" s="96" t="s">
        <v>245</v>
      </c>
      <c r="F137" s="96" t="s">
        <v>246</v>
      </c>
      <c r="G137" s="96" t="s">
        <v>247</v>
      </c>
      <c r="H137" s="177">
        <v>8091</v>
      </c>
      <c r="I137" s="303" t="s">
        <v>29</v>
      </c>
      <c r="J137" s="303"/>
      <c r="K137" s="303" t="s">
        <v>29</v>
      </c>
      <c r="L137" s="303"/>
      <c r="M137" s="14" t="s">
        <v>126</v>
      </c>
      <c r="N137" s="25" t="s">
        <v>110</v>
      </c>
      <c r="O137" s="149" t="s">
        <v>314</v>
      </c>
      <c r="P137" s="209" t="s">
        <v>465</v>
      </c>
      <c r="Q137" s="166"/>
      <c r="R137" s="3"/>
      <c r="S137" s="3"/>
      <c r="T137" s="3"/>
      <c r="U137" s="3"/>
      <c r="V137" s="3"/>
      <c r="AA137" s="298"/>
      <c r="AB137" s="298"/>
      <c r="AC137" s="298"/>
      <c r="AD137" s="298"/>
      <c r="AF137" s="168"/>
      <c r="AG137" s="168"/>
      <c r="AH137" s="168"/>
      <c r="AI137" s="168"/>
      <c r="AM137" s="36"/>
      <c r="AN137" s="32"/>
      <c r="AO137" s="32"/>
      <c r="AP137" s="224"/>
      <c r="AQ137" s="224"/>
      <c r="AR137" s="224"/>
      <c r="AS137" s="224"/>
      <c r="AT137" s="265"/>
      <c r="AU137" s="298"/>
      <c r="AV137" s="298"/>
      <c r="AW137" s="298"/>
      <c r="AX137" s="298"/>
      <c r="AY137" s="249"/>
      <c r="AZ137" s="266"/>
      <c r="BA137" s="258"/>
      <c r="BB137" s="224"/>
    </row>
    <row r="138" spans="1:54" ht="22.5" x14ac:dyDescent="0.2">
      <c r="A138" s="98">
        <v>86</v>
      </c>
      <c r="B138" s="19" t="s">
        <v>648</v>
      </c>
      <c r="C138" s="102" t="s">
        <v>649</v>
      </c>
      <c r="D138" s="96" t="s">
        <v>248</v>
      </c>
      <c r="E138" s="96" t="s">
        <v>249</v>
      </c>
      <c r="F138" s="96" t="s">
        <v>250</v>
      </c>
      <c r="G138" s="96" t="s">
        <v>251</v>
      </c>
      <c r="H138" s="177">
        <v>8092</v>
      </c>
      <c r="I138" s="303" t="s">
        <v>29</v>
      </c>
      <c r="J138" s="303"/>
      <c r="K138" s="303" t="s">
        <v>29</v>
      </c>
      <c r="L138" s="303"/>
      <c r="M138" s="14" t="s">
        <v>126</v>
      </c>
      <c r="N138" s="25" t="s">
        <v>110</v>
      </c>
      <c r="O138" s="149" t="s">
        <v>314</v>
      </c>
      <c r="P138" s="209" t="s">
        <v>466</v>
      </c>
      <c r="Q138" s="166"/>
      <c r="R138" s="3"/>
      <c r="S138" s="3"/>
      <c r="T138" s="3"/>
      <c r="U138" s="3"/>
      <c r="V138" s="3"/>
      <c r="AA138" s="298"/>
      <c r="AB138" s="298"/>
      <c r="AC138" s="298"/>
      <c r="AD138" s="298"/>
      <c r="AF138" s="168"/>
      <c r="AG138" s="168"/>
      <c r="AH138" s="168"/>
      <c r="AI138" s="168"/>
      <c r="AM138" s="36"/>
      <c r="AN138" s="32"/>
      <c r="AO138" s="32"/>
      <c r="AP138" s="224"/>
      <c r="AQ138" s="224"/>
      <c r="AR138" s="224"/>
      <c r="AS138" s="224"/>
      <c r="AT138" s="265"/>
      <c r="AU138" s="298"/>
      <c r="AV138" s="298"/>
      <c r="AW138" s="298"/>
      <c r="AX138" s="298"/>
      <c r="AY138" s="249"/>
      <c r="AZ138" s="266"/>
      <c r="BA138" s="258"/>
      <c r="BB138" s="224"/>
    </row>
    <row r="139" spans="1:54" ht="22.5" x14ac:dyDescent="0.2">
      <c r="A139" s="98">
        <v>87</v>
      </c>
      <c r="B139" s="19" t="s">
        <v>650</v>
      </c>
      <c r="C139" s="102" t="s">
        <v>651</v>
      </c>
      <c r="D139" s="110" t="s">
        <v>252</v>
      </c>
      <c r="E139" s="110" t="s">
        <v>253</v>
      </c>
      <c r="F139" s="110" t="s">
        <v>254</v>
      </c>
      <c r="G139" s="110" t="s">
        <v>255</v>
      </c>
      <c r="H139" s="191">
        <v>8093</v>
      </c>
      <c r="I139" s="303" t="s">
        <v>29</v>
      </c>
      <c r="J139" s="303"/>
      <c r="K139" s="303" t="s">
        <v>29</v>
      </c>
      <c r="L139" s="303"/>
      <c r="M139" s="14" t="s">
        <v>126</v>
      </c>
      <c r="N139" s="25" t="s">
        <v>110</v>
      </c>
      <c r="O139" s="149" t="s">
        <v>314</v>
      </c>
      <c r="P139" s="209" t="s">
        <v>466</v>
      </c>
      <c r="Q139" s="166"/>
      <c r="R139" s="3"/>
      <c r="S139" s="3"/>
      <c r="T139" s="3"/>
      <c r="U139" s="3"/>
      <c r="V139" s="3"/>
      <c r="AA139" s="298"/>
      <c r="AB139" s="298"/>
      <c r="AC139" s="298"/>
      <c r="AD139" s="298"/>
      <c r="AF139" s="168"/>
      <c r="AG139" s="168"/>
      <c r="AH139" s="168"/>
      <c r="AI139" s="168"/>
      <c r="AM139" s="36"/>
      <c r="AN139" s="32"/>
      <c r="AO139" s="32"/>
      <c r="AP139" s="280"/>
      <c r="AQ139" s="280"/>
      <c r="AR139" s="280"/>
      <c r="AS139" s="280"/>
      <c r="AT139" s="281"/>
      <c r="AU139" s="298"/>
      <c r="AV139" s="298"/>
      <c r="AW139" s="298"/>
      <c r="AX139" s="298"/>
      <c r="AY139" s="249"/>
      <c r="AZ139" s="266"/>
      <c r="BA139" s="258"/>
      <c r="BB139" s="224"/>
    </row>
    <row r="140" spans="1:54" ht="33.75" x14ac:dyDescent="0.2">
      <c r="A140" s="98">
        <v>88</v>
      </c>
      <c r="B140" s="19" t="s">
        <v>652</v>
      </c>
      <c r="C140" s="102" t="s">
        <v>653</v>
      </c>
      <c r="D140" s="96" t="s">
        <v>256</v>
      </c>
      <c r="E140" s="96" t="s">
        <v>257</v>
      </c>
      <c r="F140" s="96" t="s">
        <v>258</v>
      </c>
      <c r="G140" s="96" t="s">
        <v>259</v>
      </c>
      <c r="H140" s="177">
        <v>8094</v>
      </c>
      <c r="I140" s="303" t="s">
        <v>29</v>
      </c>
      <c r="J140" s="303"/>
      <c r="K140" s="303" t="s">
        <v>29</v>
      </c>
      <c r="L140" s="303"/>
      <c r="M140" s="14" t="s">
        <v>126</v>
      </c>
      <c r="N140" s="25" t="s">
        <v>110</v>
      </c>
      <c r="O140" s="149" t="s">
        <v>314</v>
      </c>
      <c r="P140" s="209" t="s">
        <v>465</v>
      </c>
      <c r="Q140" s="166"/>
      <c r="R140" s="3"/>
      <c r="S140" s="3"/>
      <c r="T140" s="3"/>
      <c r="U140" s="3"/>
      <c r="V140" s="3"/>
      <c r="AA140" s="298"/>
      <c r="AB140" s="298"/>
      <c r="AC140" s="298"/>
      <c r="AD140" s="298"/>
      <c r="AF140" s="168"/>
      <c r="AG140" s="168"/>
      <c r="AH140" s="168"/>
      <c r="AI140" s="168"/>
      <c r="AM140" s="36"/>
      <c r="AN140" s="32"/>
      <c r="AO140" s="32"/>
      <c r="AP140" s="224"/>
      <c r="AQ140" s="224"/>
      <c r="AR140" s="224"/>
      <c r="AS140" s="224"/>
      <c r="AT140" s="265"/>
      <c r="AU140" s="298"/>
      <c r="AV140" s="298"/>
      <c r="AW140" s="298"/>
      <c r="AX140" s="298"/>
      <c r="AY140" s="249"/>
      <c r="AZ140" s="266"/>
      <c r="BA140" s="258"/>
      <c r="BB140" s="224"/>
    </row>
    <row r="141" spans="1:54" s="260" customFormat="1" x14ac:dyDescent="0.2">
      <c r="A141" s="61"/>
      <c r="B141" s="62" t="s">
        <v>284</v>
      </c>
      <c r="C141" s="67"/>
      <c r="D141" s="68"/>
      <c r="E141" s="68"/>
      <c r="F141" s="68"/>
      <c r="G141" s="68"/>
      <c r="H141" s="179"/>
      <c r="I141" s="69"/>
      <c r="J141" s="69"/>
      <c r="K141" s="69"/>
      <c r="L141" s="69"/>
      <c r="M141" s="70"/>
      <c r="N141" s="70"/>
      <c r="O141" s="70"/>
      <c r="P141" s="227"/>
      <c r="Q141" s="163"/>
      <c r="R141" s="23"/>
      <c r="S141" s="23"/>
      <c r="T141" s="23"/>
      <c r="U141" s="23"/>
      <c r="V141" s="23"/>
      <c r="AA141" s="253"/>
      <c r="AB141" s="253"/>
      <c r="AC141" s="253"/>
      <c r="AD141" s="253"/>
      <c r="AF141" s="168"/>
      <c r="AG141" s="168"/>
      <c r="AH141" s="168"/>
      <c r="AI141" s="168"/>
      <c r="AM141" s="224"/>
      <c r="AN141" s="267"/>
      <c r="AO141" s="268"/>
      <c r="AP141" s="224"/>
      <c r="AQ141" s="224"/>
      <c r="AR141" s="224"/>
      <c r="AS141" s="224"/>
      <c r="AT141" s="265"/>
      <c r="AU141" s="253"/>
      <c r="AV141" s="253"/>
      <c r="AW141" s="253"/>
      <c r="AX141" s="253"/>
      <c r="AY141" s="269"/>
      <c r="AZ141" s="269"/>
      <c r="BA141" s="269"/>
      <c r="BB141" s="266"/>
    </row>
    <row r="142" spans="1:54" ht="22.5" x14ac:dyDescent="0.2">
      <c r="A142" s="98">
        <v>89</v>
      </c>
      <c r="B142" s="19" t="s">
        <v>654</v>
      </c>
      <c r="C142" s="102" t="s">
        <v>655</v>
      </c>
      <c r="D142" s="305" t="s">
        <v>28</v>
      </c>
      <c r="E142" s="306"/>
      <c r="F142" s="306"/>
      <c r="G142" s="307"/>
      <c r="H142" s="177">
        <v>8100</v>
      </c>
      <c r="I142" s="304" t="s">
        <v>29</v>
      </c>
      <c r="J142" s="303"/>
      <c r="K142" s="304" t="s">
        <v>29</v>
      </c>
      <c r="L142" s="303"/>
      <c r="M142" s="14" t="s">
        <v>126</v>
      </c>
      <c r="N142" s="25" t="s">
        <v>110</v>
      </c>
      <c r="O142" s="149" t="s">
        <v>467</v>
      </c>
      <c r="P142" s="209" t="s">
        <v>465</v>
      </c>
      <c r="Q142" s="166"/>
      <c r="R142" s="3"/>
      <c r="S142" s="3"/>
      <c r="T142" s="3"/>
      <c r="U142" s="3"/>
      <c r="V142" s="3"/>
      <c r="AA142" s="298"/>
      <c r="AB142" s="298"/>
      <c r="AC142" s="298"/>
      <c r="AD142" s="298"/>
      <c r="AF142" s="168"/>
      <c r="AG142" s="168"/>
      <c r="AH142" s="168"/>
      <c r="AI142" s="168"/>
      <c r="AM142" s="36"/>
      <c r="AN142" s="32"/>
      <c r="AO142" s="32"/>
      <c r="AP142" s="297"/>
      <c r="AQ142" s="297"/>
      <c r="AR142" s="297"/>
      <c r="AS142" s="297"/>
      <c r="AT142" s="265"/>
      <c r="AU142" s="298"/>
      <c r="AV142" s="298"/>
      <c r="AW142" s="298"/>
      <c r="AX142" s="298"/>
      <c r="AY142" s="249"/>
      <c r="AZ142" s="266"/>
      <c r="BA142" s="258"/>
      <c r="BB142" s="224"/>
    </row>
    <row r="143" spans="1:54" ht="33.75" x14ac:dyDescent="0.2">
      <c r="A143" s="98">
        <v>90</v>
      </c>
      <c r="B143" s="19" t="s">
        <v>656</v>
      </c>
      <c r="C143" s="102" t="s">
        <v>657</v>
      </c>
      <c r="D143" s="305" t="s">
        <v>28</v>
      </c>
      <c r="E143" s="306"/>
      <c r="F143" s="306"/>
      <c r="G143" s="307"/>
      <c r="H143" s="177">
        <v>8101</v>
      </c>
      <c r="I143" s="304" t="s">
        <v>29</v>
      </c>
      <c r="J143" s="303"/>
      <c r="K143" s="304" t="s">
        <v>29</v>
      </c>
      <c r="L143" s="303"/>
      <c r="M143" s="14" t="s">
        <v>126</v>
      </c>
      <c r="N143" s="25" t="s">
        <v>110</v>
      </c>
      <c r="O143" s="149" t="s">
        <v>313</v>
      </c>
      <c r="P143" s="209" t="s">
        <v>465</v>
      </c>
      <c r="Q143" s="166"/>
      <c r="R143" s="3"/>
      <c r="S143" s="3"/>
      <c r="T143" s="3"/>
      <c r="U143" s="3"/>
      <c r="V143" s="3"/>
      <c r="AA143" s="298"/>
      <c r="AB143" s="298"/>
      <c r="AC143" s="298"/>
      <c r="AD143" s="298"/>
      <c r="AF143" s="168"/>
      <c r="AG143" s="168"/>
      <c r="AH143" s="168"/>
      <c r="AI143" s="168"/>
      <c r="AM143" s="36"/>
      <c r="AN143" s="32"/>
      <c r="AO143" s="32"/>
      <c r="AP143" s="297"/>
      <c r="AQ143" s="297"/>
      <c r="AR143" s="297"/>
      <c r="AS143" s="297"/>
      <c r="AT143" s="265"/>
      <c r="AU143" s="298"/>
      <c r="AV143" s="298"/>
      <c r="AW143" s="298"/>
      <c r="AX143" s="298"/>
      <c r="AY143" s="249"/>
      <c r="AZ143" s="266"/>
      <c r="BA143" s="258"/>
      <c r="BB143" s="224"/>
    </row>
    <row r="144" spans="1:54" ht="67.5" x14ac:dyDescent="0.2">
      <c r="A144" s="98">
        <v>91</v>
      </c>
      <c r="B144" s="19" t="s">
        <v>658</v>
      </c>
      <c r="C144" s="102" t="s">
        <v>659</v>
      </c>
      <c r="D144" s="199" t="s">
        <v>484</v>
      </c>
      <c r="E144" s="199" t="s">
        <v>485</v>
      </c>
      <c r="F144" s="199" t="s">
        <v>486</v>
      </c>
      <c r="G144" s="199" t="s">
        <v>487</v>
      </c>
      <c r="H144" s="191">
        <v>8102</v>
      </c>
      <c r="I144" s="304" t="s">
        <v>29</v>
      </c>
      <c r="J144" s="303"/>
      <c r="K144" s="304" t="s">
        <v>29</v>
      </c>
      <c r="L144" s="303"/>
      <c r="M144" s="135" t="s">
        <v>126</v>
      </c>
      <c r="N144" s="136" t="s">
        <v>110</v>
      </c>
      <c r="O144" s="149" t="s">
        <v>313</v>
      </c>
      <c r="P144" s="209" t="s">
        <v>466</v>
      </c>
      <c r="Q144" s="166"/>
      <c r="R144" s="3"/>
      <c r="S144" s="3"/>
      <c r="T144" s="3"/>
      <c r="U144" s="3"/>
      <c r="V144" s="3"/>
      <c r="AA144" s="298"/>
      <c r="AB144" s="298"/>
      <c r="AC144" s="298"/>
      <c r="AD144" s="298"/>
      <c r="AF144" s="168"/>
      <c r="AG144" s="168"/>
      <c r="AH144" s="168"/>
      <c r="AI144" s="168"/>
      <c r="AM144" s="36"/>
      <c r="AN144" s="32"/>
      <c r="AO144" s="32"/>
      <c r="AP144" s="224"/>
      <c r="AQ144" s="224"/>
      <c r="AR144" s="224"/>
      <c r="AS144" s="224"/>
      <c r="AT144" s="281"/>
      <c r="AU144" s="298"/>
      <c r="AV144" s="298"/>
      <c r="AW144" s="298"/>
      <c r="AX144" s="298"/>
      <c r="AY144" s="249"/>
      <c r="AZ144" s="266"/>
      <c r="BA144" s="258"/>
      <c r="BB144" s="224"/>
    </row>
    <row r="145" spans="1:54" ht="157.5" x14ac:dyDescent="0.2">
      <c r="A145" s="98">
        <v>92</v>
      </c>
      <c r="B145" s="19" t="s">
        <v>660</v>
      </c>
      <c r="C145" s="102" t="s">
        <v>661</v>
      </c>
      <c r="D145" s="137" t="s">
        <v>285</v>
      </c>
      <c r="E145" s="137" t="s">
        <v>286</v>
      </c>
      <c r="F145" s="137" t="s">
        <v>287</v>
      </c>
      <c r="G145" s="137" t="s">
        <v>288</v>
      </c>
      <c r="H145" s="177">
        <v>8103</v>
      </c>
      <c r="I145" s="304" t="s">
        <v>29</v>
      </c>
      <c r="J145" s="304"/>
      <c r="K145" s="304" t="s">
        <v>29</v>
      </c>
      <c r="L145" s="308"/>
      <c r="M145" s="138" t="s">
        <v>126</v>
      </c>
      <c r="N145" s="139" t="s">
        <v>110</v>
      </c>
      <c r="O145" s="149" t="s">
        <v>482</v>
      </c>
      <c r="P145" s="149" t="s">
        <v>482</v>
      </c>
      <c r="Q145" s="165"/>
      <c r="R145" s="3"/>
      <c r="S145" s="3"/>
      <c r="T145" s="3"/>
      <c r="U145" s="3"/>
      <c r="V145" s="3"/>
      <c r="AA145" s="298"/>
      <c r="AB145" s="298"/>
      <c r="AC145" s="298"/>
      <c r="AD145" s="298"/>
      <c r="AF145" s="168"/>
      <c r="AG145" s="168"/>
      <c r="AH145" s="168"/>
      <c r="AI145" s="168"/>
      <c r="AM145" s="36"/>
      <c r="AN145" s="32"/>
      <c r="AO145" s="32"/>
      <c r="AP145" s="224"/>
      <c r="AQ145" s="224"/>
      <c r="AR145" s="224"/>
      <c r="AS145" s="224"/>
      <c r="AT145" s="265"/>
      <c r="AU145" s="298"/>
      <c r="AV145" s="298"/>
      <c r="AW145" s="298"/>
      <c r="AX145" s="298"/>
      <c r="AY145" s="249"/>
      <c r="AZ145" s="266"/>
      <c r="BA145" s="258"/>
      <c r="BB145" s="258"/>
    </row>
    <row r="146" spans="1:54" ht="33.75" x14ac:dyDescent="0.2">
      <c r="A146" s="98">
        <v>93</v>
      </c>
      <c r="B146" s="19" t="s">
        <v>662</v>
      </c>
      <c r="C146" s="102" t="s">
        <v>663</v>
      </c>
      <c r="D146" s="305" t="s">
        <v>28</v>
      </c>
      <c r="E146" s="306"/>
      <c r="F146" s="306"/>
      <c r="G146" s="307"/>
      <c r="H146" s="177">
        <v>8108</v>
      </c>
      <c r="I146" s="304" t="s">
        <v>29</v>
      </c>
      <c r="J146" s="303"/>
      <c r="K146" s="304" t="s">
        <v>29</v>
      </c>
      <c r="L146" s="303"/>
      <c r="M146" s="138" t="s">
        <v>126</v>
      </c>
      <c r="N146" s="139" t="s">
        <v>110</v>
      </c>
      <c r="O146" s="149" t="s">
        <v>313</v>
      </c>
      <c r="P146" s="209" t="s">
        <v>465</v>
      </c>
      <c r="Q146" s="166"/>
      <c r="R146" s="3"/>
      <c r="S146" s="3"/>
      <c r="T146" s="3"/>
      <c r="U146" s="3"/>
      <c r="V146" s="3"/>
      <c r="AA146" s="298"/>
      <c r="AB146" s="298"/>
      <c r="AC146" s="298"/>
      <c r="AD146" s="298"/>
      <c r="AF146" s="168"/>
      <c r="AG146" s="168"/>
      <c r="AH146" s="168"/>
      <c r="AI146" s="168"/>
      <c r="AM146" s="36"/>
      <c r="AN146" s="32"/>
      <c r="AO146" s="32"/>
      <c r="AP146" s="297"/>
      <c r="AQ146" s="297"/>
      <c r="AR146" s="297"/>
      <c r="AS146" s="297"/>
      <c r="AT146" s="265"/>
      <c r="AU146" s="298"/>
      <c r="AV146" s="298"/>
      <c r="AW146" s="298"/>
      <c r="AX146" s="298"/>
      <c r="AY146" s="249"/>
      <c r="AZ146" s="266"/>
      <c r="BA146" s="258"/>
      <c r="BB146" s="224"/>
    </row>
    <row r="147" spans="1:54" ht="22.5" x14ac:dyDescent="0.2">
      <c r="A147" s="98">
        <v>94</v>
      </c>
      <c r="B147" s="19" t="s">
        <v>664</v>
      </c>
      <c r="C147" s="102" t="s">
        <v>665</v>
      </c>
      <c r="D147" s="305" t="s">
        <v>28</v>
      </c>
      <c r="E147" s="306"/>
      <c r="F147" s="306"/>
      <c r="G147" s="307"/>
      <c r="H147" s="177">
        <v>8109</v>
      </c>
      <c r="I147" s="304" t="s">
        <v>29</v>
      </c>
      <c r="J147" s="303"/>
      <c r="K147" s="304" t="s">
        <v>29</v>
      </c>
      <c r="L147" s="303"/>
      <c r="M147" s="138" t="s">
        <v>126</v>
      </c>
      <c r="N147" s="139" t="s">
        <v>110</v>
      </c>
      <c r="O147" s="149" t="s">
        <v>313</v>
      </c>
      <c r="P147" s="209" t="s">
        <v>465</v>
      </c>
      <c r="Q147" s="166"/>
      <c r="R147" s="3"/>
      <c r="S147" s="3"/>
      <c r="T147" s="3"/>
      <c r="U147" s="3"/>
      <c r="V147" s="3"/>
      <c r="AA147" s="298"/>
      <c r="AB147" s="298"/>
      <c r="AC147" s="298"/>
      <c r="AD147" s="298"/>
      <c r="AF147" s="168"/>
      <c r="AG147" s="168"/>
      <c r="AH147" s="168"/>
      <c r="AI147" s="168"/>
      <c r="AM147" s="36"/>
      <c r="AN147" s="32"/>
      <c r="AO147" s="32"/>
      <c r="AP147" s="297"/>
      <c r="AQ147" s="297"/>
      <c r="AR147" s="297"/>
      <c r="AS147" s="297"/>
      <c r="AT147" s="265"/>
      <c r="AU147" s="298"/>
      <c r="AV147" s="298"/>
      <c r="AW147" s="298"/>
      <c r="AX147" s="298"/>
      <c r="AY147" s="249"/>
      <c r="AZ147" s="266"/>
      <c r="BA147" s="258"/>
      <c r="BB147" s="224"/>
    </row>
    <row r="148" spans="1:54" x14ac:dyDescent="0.2">
      <c r="A148" s="98">
        <v>95</v>
      </c>
      <c r="B148" s="19" t="s">
        <v>666</v>
      </c>
      <c r="C148" s="102" t="s">
        <v>667</v>
      </c>
      <c r="D148" s="305" t="s">
        <v>28</v>
      </c>
      <c r="E148" s="306"/>
      <c r="F148" s="306"/>
      <c r="G148" s="307"/>
      <c r="H148" s="191">
        <v>8110</v>
      </c>
      <c r="I148" s="304" t="s">
        <v>29</v>
      </c>
      <c r="J148" s="303"/>
      <c r="K148" s="304" t="s">
        <v>29</v>
      </c>
      <c r="L148" s="303"/>
      <c r="M148" s="138" t="s">
        <v>126</v>
      </c>
      <c r="N148" s="139" t="s">
        <v>110</v>
      </c>
      <c r="O148" s="149" t="s">
        <v>313</v>
      </c>
      <c r="P148" s="209" t="s">
        <v>465</v>
      </c>
      <c r="Q148" s="166"/>
      <c r="R148" s="3"/>
      <c r="S148" s="3"/>
      <c r="T148" s="3"/>
      <c r="U148" s="3"/>
      <c r="V148" s="3"/>
      <c r="AA148" s="298"/>
      <c r="AB148" s="298"/>
      <c r="AC148" s="298"/>
      <c r="AD148" s="298"/>
      <c r="AF148" s="168"/>
      <c r="AG148" s="168"/>
      <c r="AH148" s="168"/>
      <c r="AI148" s="168"/>
      <c r="AM148" s="36"/>
      <c r="AN148" s="32"/>
      <c r="AO148" s="32"/>
      <c r="AP148" s="297"/>
      <c r="AQ148" s="297"/>
      <c r="AR148" s="297"/>
      <c r="AS148" s="297"/>
      <c r="AT148" s="281"/>
      <c r="AU148" s="298"/>
      <c r="AV148" s="298"/>
      <c r="AW148" s="298"/>
      <c r="AX148" s="298"/>
      <c r="AY148" s="249"/>
      <c r="AZ148" s="266"/>
      <c r="BA148" s="258"/>
      <c r="BB148" s="224"/>
    </row>
    <row r="149" spans="1:54" ht="33.75" x14ac:dyDescent="0.2">
      <c r="A149" s="98">
        <v>96</v>
      </c>
      <c r="B149" s="19" t="s">
        <v>668</v>
      </c>
      <c r="C149" s="102" t="s">
        <v>669</v>
      </c>
      <c r="D149" s="305" t="s">
        <v>28</v>
      </c>
      <c r="E149" s="306"/>
      <c r="F149" s="306"/>
      <c r="G149" s="307"/>
      <c r="H149" s="177">
        <v>8111</v>
      </c>
      <c r="I149" s="304" t="s">
        <v>29</v>
      </c>
      <c r="J149" s="303"/>
      <c r="K149" s="304" t="s">
        <v>29</v>
      </c>
      <c r="L149" s="303"/>
      <c r="M149" s="138" t="s">
        <v>126</v>
      </c>
      <c r="N149" s="139" t="s">
        <v>110</v>
      </c>
      <c r="O149" s="149" t="s">
        <v>313</v>
      </c>
      <c r="P149" s="209" t="s">
        <v>465</v>
      </c>
      <c r="Q149" s="166"/>
      <c r="R149" s="3"/>
      <c r="S149" s="3"/>
      <c r="T149" s="3"/>
      <c r="U149" s="3"/>
      <c r="V149" s="3"/>
      <c r="AA149" s="298"/>
      <c r="AB149" s="298"/>
      <c r="AC149" s="298"/>
      <c r="AD149" s="298"/>
      <c r="AF149" s="168"/>
      <c r="AG149" s="168"/>
      <c r="AH149" s="168"/>
      <c r="AI149" s="168"/>
      <c r="AM149" s="36"/>
      <c r="AN149" s="32"/>
      <c r="AO149" s="32"/>
      <c r="AP149" s="297"/>
      <c r="AQ149" s="297"/>
      <c r="AR149" s="297"/>
      <c r="AS149" s="297"/>
      <c r="AT149" s="265"/>
      <c r="AU149" s="298"/>
      <c r="AV149" s="298"/>
      <c r="AW149" s="298"/>
      <c r="AX149" s="298"/>
      <c r="AY149" s="249"/>
      <c r="AZ149" s="266"/>
      <c r="BA149" s="258"/>
      <c r="BB149" s="224"/>
    </row>
    <row r="150" spans="1:54" ht="45" x14ac:dyDescent="0.2">
      <c r="A150" s="98">
        <v>97</v>
      </c>
      <c r="B150" s="19" t="s">
        <v>670</v>
      </c>
      <c r="C150" s="102" t="s">
        <v>671</v>
      </c>
      <c r="D150" s="305" t="s">
        <v>28</v>
      </c>
      <c r="E150" s="306"/>
      <c r="F150" s="306"/>
      <c r="G150" s="307"/>
      <c r="H150" s="177">
        <v>8112</v>
      </c>
      <c r="I150" s="304" t="s">
        <v>29</v>
      </c>
      <c r="J150" s="303"/>
      <c r="K150" s="304" t="s">
        <v>29</v>
      </c>
      <c r="L150" s="303"/>
      <c r="M150" s="138" t="s">
        <v>126</v>
      </c>
      <c r="N150" s="139" t="s">
        <v>110</v>
      </c>
      <c r="O150" s="149" t="s">
        <v>313</v>
      </c>
      <c r="P150" s="209" t="s">
        <v>465</v>
      </c>
      <c r="Q150" s="166"/>
      <c r="R150" s="3"/>
      <c r="S150" s="3"/>
      <c r="T150" s="3"/>
      <c r="U150" s="3"/>
      <c r="V150" s="3"/>
      <c r="AA150" s="298"/>
      <c r="AB150" s="298"/>
      <c r="AC150" s="298"/>
      <c r="AD150" s="298"/>
      <c r="AF150" s="168"/>
      <c r="AG150" s="168"/>
      <c r="AH150" s="168"/>
      <c r="AI150" s="168"/>
      <c r="AM150" s="36"/>
      <c r="AN150" s="32"/>
      <c r="AO150" s="32"/>
      <c r="AP150" s="297"/>
      <c r="AQ150" s="297"/>
      <c r="AR150" s="297"/>
      <c r="AS150" s="297"/>
      <c r="AT150" s="265"/>
      <c r="AU150" s="298"/>
      <c r="AV150" s="298"/>
      <c r="AW150" s="298"/>
      <c r="AX150" s="298"/>
      <c r="AY150" s="249"/>
      <c r="AZ150" s="266"/>
      <c r="BA150" s="258"/>
      <c r="BB150" s="224"/>
    </row>
    <row r="151" spans="1:54" s="260" customFormat="1" x14ac:dyDescent="0.2">
      <c r="A151" s="61"/>
      <c r="B151" s="62" t="s">
        <v>84</v>
      </c>
      <c r="C151" s="67"/>
      <c r="D151" s="68"/>
      <c r="E151" s="68"/>
      <c r="F151" s="68"/>
      <c r="G151" s="68"/>
      <c r="H151" s="179"/>
      <c r="I151" s="69"/>
      <c r="J151" s="69"/>
      <c r="K151" s="69"/>
      <c r="L151" s="69"/>
      <c r="M151" s="70"/>
      <c r="N151" s="70"/>
      <c r="O151" s="70"/>
      <c r="P151" s="227"/>
      <c r="Q151" s="163"/>
      <c r="R151" s="23"/>
      <c r="S151" s="23"/>
      <c r="T151" s="23"/>
      <c r="U151" s="23"/>
      <c r="V151" s="23"/>
      <c r="AA151" s="253"/>
      <c r="AB151" s="253"/>
      <c r="AC151" s="253"/>
      <c r="AD151" s="253"/>
      <c r="AF151" s="168"/>
      <c r="AG151" s="168"/>
      <c r="AH151" s="168"/>
      <c r="AI151" s="168"/>
      <c r="AM151" s="224"/>
      <c r="AN151" s="267"/>
      <c r="AO151" s="268"/>
      <c r="AP151" s="224"/>
      <c r="AQ151" s="224"/>
      <c r="AR151" s="224"/>
      <c r="AS151" s="224"/>
      <c r="AT151" s="265"/>
      <c r="AU151" s="253"/>
      <c r="AV151" s="253"/>
      <c r="AW151" s="253"/>
      <c r="AX151" s="253"/>
      <c r="AY151" s="269"/>
      <c r="AZ151" s="269"/>
      <c r="BA151" s="269"/>
      <c r="BB151" s="266"/>
    </row>
    <row r="152" spans="1:54" ht="22.5" x14ac:dyDescent="0.2">
      <c r="A152" s="101">
        <v>98</v>
      </c>
      <c r="B152" s="87" t="s">
        <v>672</v>
      </c>
      <c r="C152" s="105" t="s">
        <v>673</v>
      </c>
      <c r="D152" s="305" t="s">
        <v>28</v>
      </c>
      <c r="E152" s="306"/>
      <c r="F152" s="306"/>
      <c r="G152" s="307"/>
      <c r="H152" s="183">
        <v>8138</v>
      </c>
      <c r="I152" s="303" t="s">
        <v>29</v>
      </c>
      <c r="J152" s="303"/>
      <c r="K152" s="303" t="s">
        <v>29</v>
      </c>
      <c r="L152" s="309"/>
      <c r="M152" s="16" t="s">
        <v>126</v>
      </c>
      <c r="N152" s="25" t="s">
        <v>110</v>
      </c>
      <c r="O152" s="149" t="s">
        <v>313</v>
      </c>
      <c r="P152" s="228" t="s">
        <v>466</v>
      </c>
      <c r="Q152" s="170"/>
      <c r="AA152" s="298"/>
      <c r="AB152" s="298"/>
      <c r="AC152" s="298"/>
      <c r="AD152" s="298"/>
      <c r="AF152" s="168"/>
      <c r="AG152" s="168"/>
      <c r="AH152" s="168"/>
      <c r="AI152" s="168"/>
      <c r="AM152" s="36"/>
      <c r="AN152" s="32"/>
      <c r="AO152" s="32"/>
      <c r="AP152" s="297"/>
      <c r="AQ152" s="297"/>
      <c r="AR152" s="297"/>
      <c r="AS152" s="297"/>
      <c r="AT152" s="273"/>
      <c r="AU152" s="298"/>
      <c r="AV152" s="298"/>
      <c r="AW152" s="298"/>
      <c r="AX152" s="298"/>
      <c r="AY152" s="249"/>
      <c r="AZ152" s="266"/>
      <c r="BA152" s="258"/>
      <c r="BB152" s="224"/>
    </row>
    <row r="153" spans="1:54" x14ac:dyDescent="0.2">
      <c r="A153" s="26"/>
      <c r="B153" s="27"/>
      <c r="C153" s="27"/>
      <c r="D153" s="28"/>
      <c r="E153" s="28"/>
      <c r="F153" s="28"/>
      <c r="G153" s="28"/>
      <c r="H153" s="192"/>
      <c r="I153" s="29"/>
      <c r="J153" s="29"/>
      <c r="K153" s="29"/>
      <c r="L153" s="29"/>
      <c r="M153" s="29"/>
      <c r="N153" s="30"/>
      <c r="O153" s="146"/>
      <c r="P153" s="224"/>
      <c r="Q153" s="168"/>
      <c r="R153" s="31"/>
      <c r="S153" s="31"/>
      <c r="T153" s="31"/>
      <c r="U153" s="31"/>
      <c r="V153" s="31"/>
      <c r="AA153" s="249"/>
      <c r="AB153" s="249"/>
      <c r="AC153" s="249"/>
      <c r="AD153" s="249"/>
      <c r="AF153" s="168"/>
      <c r="AG153" s="168"/>
      <c r="AH153" s="168"/>
      <c r="AI153" s="168"/>
      <c r="AM153" s="36"/>
      <c r="AN153" s="282"/>
      <c r="AO153" s="282"/>
      <c r="AP153" s="283"/>
      <c r="AQ153" s="283"/>
      <c r="AR153" s="283"/>
      <c r="AS153" s="283"/>
      <c r="AT153" s="284"/>
      <c r="AU153" s="249"/>
      <c r="AV153" s="249"/>
      <c r="AW153" s="249"/>
      <c r="AX153" s="249"/>
      <c r="AY153" s="249"/>
      <c r="AZ153" s="266"/>
      <c r="BA153" s="258"/>
      <c r="BB153" s="224"/>
    </row>
    <row r="154" spans="1:54" s="260" customFormat="1" x14ac:dyDescent="0.2">
      <c r="A154" s="49"/>
      <c r="B154" s="50" t="s">
        <v>85</v>
      </c>
      <c r="C154" s="51"/>
      <c r="D154" s="52"/>
      <c r="E154" s="52"/>
      <c r="F154" s="52"/>
      <c r="G154" s="52"/>
      <c r="H154" s="193"/>
      <c r="I154" s="53"/>
      <c r="J154" s="53"/>
      <c r="K154" s="53"/>
      <c r="L154" s="53"/>
      <c r="M154" s="54"/>
      <c r="N154" s="54"/>
      <c r="O154" s="54"/>
      <c r="P154" s="55"/>
      <c r="Q154" s="163"/>
      <c r="R154" s="23"/>
      <c r="S154" s="23"/>
      <c r="T154" s="23"/>
      <c r="U154" s="23"/>
      <c r="V154" s="23"/>
      <c r="AA154" s="256"/>
      <c r="AB154" s="256"/>
      <c r="AC154" s="256"/>
      <c r="AD154" s="256"/>
      <c r="AF154" s="168"/>
      <c r="AG154" s="168"/>
      <c r="AH154" s="168"/>
      <c r="AI154" s="168"/>
      <c r="AM154" s="285"/>
      <c r="AN154" s="286"/>
      <c r="AO154" s="287"/>
      <c r="AP154" s="285"/>
      <c r="AQ154" s="285"/>
      <c r="AR154" s="285"/>
      <c r="AS154" s="285"/>
      <c r="AT154" s="288"/>
      <c r="AU154" s="256"/>
      <c r="AV154" s="256"/>
      <c r="AW154" s="256"/>
      <c r="AX154" s="256"/>
      <c r="AY154" s="289"/>
      <c r="AZ154" s="289"/>
      <c r="BA154" s="289"/>
      <c r="BB154" s="290"/>
    </row>
    <row r="155" spans="1:54" ht="22.5" x14ac:dyDescent="0.2">
      <c r="A155" s="17">
        <v>100</v>
      </c>
      <c r="B155" s="38" t="s">
        <v>119</v>
      </c>
      <c r="C155" s="18" t="s">
        <v>130</v>
      </c>
      <c r="D155" s="300" t="s">
        <v>123</v>
      </c>
      <c r="E155" s="301"/>
      <c r="F155" s="301"/>
      <c r="G155" s="302"/>
      <c r="H155" s="190">
        <v>8120</v>
      </c>
      <c r="I155" s="122">
        <v>0.11210000000000001</v>
      </c>
      <c r="J155" s="122">
        <f>I155*1.1</f>
        <v>0.12331000000000002</v>
      </c>
      <c r="K155" s="122">
        <f>I155</f>
        <v>0.11210000000000001</v>
      </c>
      <c r="L155" s="123">
        <f>J155</f>
        <v>0.12331000000000002</v>
      </c>
      <c r="M155" s="14" t="s">
        <v>127</v>
      </c>
      <c r="N155" s="25" t="s">
        <v>132</v>
      </c>
      <c r="O155" s="149" t="s">
        <v>383</v>
      </c>
      <c r="P155" s="209" t="s">
        <v>488</v>
      </c>
      <c r="Q155" s="166"/>
      <c r="R155" s="3"/>
      <c r="S155" s="3"/>
      <c r="T155" s="3"/>
      <c r="U155" s="3"/>
      <c r="V155" s="3"/>
      <c r="AA155" s="250"/>
      <c r="AB155" s="250"/>
      <c r="AC155" s="250"/>
      <c r="AD155" s="250"/>
      <c r="AF155" s="168"/>
      <c r="AG155" s="168"/>
      <c r="AH155" s="168"/>
      <c r="AI155" s="168"/>
      <c r="AM155" s="36"/>
      <c r="AN155" s="270"/>
      <c r="AO155" s="32"/>
      <c r="AP155" s="296"/>
      <c r="AQ155" s="296"/>
      <c r="AR155" s="296"/>
      <c r="AS155" s="296"/>
      <c r="AT155" s="265"/>
      <c r="AU155" s="250"/>
      <c r="AV155" s="250"/>
      <c r="AW155" s="250"/>
      <c r="AX155" s="250"/>
      <c r="AY155" s="249"/>
      <c r="AZ155" s="266"/>
      <c r="BA155" s="258"/>
      <c r="BB155" s="224"/>
    </row>
    <row r="156" spans="1:54" ht="90" x14ac:dyDescent="0.2">
      <c r="A156" s="17">
        <v>101</v>
      </c>
      <c r="B156" s="38" t="s">
        <v>120</v>
      </c>
      <c r="C156" s="18" t="s">
        <v>150</v>
      </c>
      <c r="D156" s="300" t="s">
        <v>124</v>
      </c>
      <c r="E156" s="301"/>
      <c r="F156" s="301"/>
      <c r="G156" s="302"/>
      <c r="H156" s="190">
        <v>8121</v>
      </c>
      <c r="I156" s="122">
        <v>3.1280000000000002E-2</v>
      </c>
      <c r="J156" s="122">
        <f>I156*1.1</f>
        <v>3.4408000000000008E-2</v>
      </c>
      <c r="K156" s="122">
        <f>I156</f>
        <v>3.1280000000000002E-2</v>
      </c>
      <c r="L156" s="123">
        <f>J156</f>
        <v>3.4408000000000008E-2</v>
      </c>
      <c r="M156" s="14" t="s">
        <v>127</v>
      </c>
      <c r="N156" s="25" t="s">
        <v>132</v>
      </c>
      <c r="O156" s="149" t="s">
        <v>383</v>
      </c>
      <c r="P156" s="209" t="s">
        <v>488</v>
      </c>
      <c r="Q156" s="166"/>
      <c r="R156" s="3"/>
      <c r="S156" s="3"/>
      <c r="T156" s="3"/>
      <c r="U156" s="3"/>
      <c r="V156" s="3"/>
      <c r="AA156" s="250"/>
      <c r="AB156" s="250"/>
      <c r="AC156" s="250"/>
      <c r="AD156" s="250"/>
      <c r="AF156" s="168"/>
      <c r="AG156" s="168"/>
      <c r="AH156" s="168"/>
      <c r="AI156" s="168"/>
      <c r="AM156" s="36"/>
      <c r="AN156" s="270"/>
      <c r="AO156" s="32"/>
      <c r="AP156" s="296"/>
      <c r="AQ156" s="296"/>
      <c r="AR156" s="296"/>
      <c r="AS156" s="296"/>
      <c r="AT156" s="265"/>
      <c r="AU156" s="250"/>
      <c r="AV156" s="250"/>
      <c r="AW156" s="250"/>
      <c r="AX156" s="250"/>
      <c r="AY156" s="249"/>
      <c r="AZ156" s="266"/>
      <c r="BA156" s="258"/>
      <c r="BB156" s="224"/>
    </row>
    <row r="157" spans="1:54" ht="22.5" x14ac:dyDescent="0.2">
      <c r="A157" s="17">
        <v>102</v>
      </c>
      <c r="B157" s="18" t="s">
        <v>121</v>
      </c>
      <c r="C157" s="18" t="s">
        <v>129</v>
      </c>
      <c r="D157" s="311" t="s">
        <v>123</v>
      </c>
      <c r="E157" s="312"/>
      <c r="F157" s="312"/>
      <c r="G157" s="313"/>
      <c r="H157" s="194">
        <v>8122</v>
      </c>
      <c r="I157" s="122">
        <v>4.1209999999999997E-2</v>
      </c>
      <c r="J157" s="122">
        <f t="shared" ref="J157" si="29">I157*1.1</f>
        <v>4.5331000000000003E-2</v>
      </c>
      <c r="K157" s="122">
        <f t="shared" ref="K157:K160" si="30">I157</f>
        <v>4.1209999999999997E-2</v>
      </c>
      <c r="L157" s="123">
        <f t="shared" ref="L157" si="31">J157</f>
        <v>4.5331000000000003E-2</v>
      </c>
      <c r="M157" s="14" t="s">
        <v>127</v>
      </c>
      <c r="N157" s="25" t="s">
        <v>131</v>
      </c>
      <c r="O157" s="149" t="s">
        <v>383</v>
      </c>
      <c r="P157" s="209" t="s">
        <v>488</v>
      </c>
      <c r="Q157" s="166"/>
      <c r="R157" s="3"/>
      <c r="S157" s="3"/>
      <c r="T157" s="3"/>
      <c r="U157" s="3"/>
      <c r="V157" s="3"/>
      <c r="AA157" s="250"/>
      <c r="AB157" s="250"/>
      <c r="AC157" s="250"/>
      <c r="AD157" s="250"/>
      <c r="AF157" s="168"/>
      <c r="AG157" s="168"/>
      <c r="AH157" s="168"/>
      <c r="AI157" s="168"/>
      <c r="AM157" s="36"/>
      <c r="AN157" s="32"/>
      <c r="AO157" s="32"/>
      <c r="AP157" s="296"/>
      <c r="AQ157" s="296"/>
      <c r="AR157" s="296"/>
      <c r="AS157" s="296"/>
      <c r="AT157" s="265"/>
      <c r="AU157" s="250"/>
      <c r="AV157" s="250"/>
      <c r="AW157" s="250"/>
      <c r="AX157" s="250"/>
      <c r="AY157" s="249"/>
      <c r="AZ157" s="266"/>
      <c r="BA157" s="258"/>
      <c r="BB157" s="224"/>
    </row>
    <row r="158" spans="1:54" ht="90" x14ac:dyDescent="0.2">
      <c r="A158" s="17">
        <v>103</v>
      </c>
      <c r="B158" s="18" t="s">
        <v>122</v>
      </c>
      <c r="C158" s="18" t="s">
        <v>151</v>
      </c>
      <c r="D158" s="311" t="s">
        <v>124</v>
      </c>
      <c r="E158" s="312"/>
      <c r="F158" s="312"/>
      <c r="G158" s="313"/>
      <c r="H158" s="194">
        <v>8123</v>
      </c>
      <c r="I158" s="122">
        <v>1.15E-2</v>
      </c>
      <c r="J158" s="122">
        <f t="shared" ref="J158:J160" si="32">I158*1.1</f>
        <v>1.2650000000000002E-2</v>
      </c>
      <c r="K158" s="122">
        <f t="shared" si="30"/>
        <v>1.15E-2</v>
      </c>
      <c r="L158" s="123">
        <f t="shared" ref="L158:L160" si="33">J158</f>
        <v>1.2650000000000002E-2</v>
      </c>
      <c r="M158" s="14" t="s">
        <v>127</v>
      </c>
      <c r="N158" s="25" t="s">
        <v>131</v>
      </c>
      <c r="O158" s="149" t="s">
        <v>383</v>
      </c>
      <c r="P158" s="209" t="s">
        <v>488</v>
      </c>
      <c r="Q158" s="166"/>
      <c r="R158" s="3"/>
      <c r="S158" s="3"/>
      <c r="T158" s="3"/>
      <c r="U158" s="3"/>
      <c r="V158" s="3"/>
      <c r="AA158" s="250"/>
      <c r="AB158" s="250"/>
      <c r="AC158" s="250"/>
      <c r="AD158" s="250"/>
      <c r="AF158" s="168"/>
      <c r="AG158" s="168"/>
      <c r="AH158" s="168"/>
      <c r="AI158" s="168"/>
      <c r="AM158" s="36"/>
      <c r="AN158" s="32"/>
      <c r="AO158" s="32"/>
      <c r="AP158" s="296"/>
      <c r="AQ158" s="296"/>
      <c r="AR158" s="296"/>
      <c r="AS158" s="296"/>
      <c r="AT158" s="265"/>
      <c r="AU158" s="250"/>
      <c r="AV158" s="250"/>
      <c r="AW158" s="250"/>
      <c r="AX158" s="250"/>
      <c r="AY158" s="249"/>
      <c r="AZ158" s="266"/>
      <c r="BA158" s="258"/>
      <c r="BB158" s="224"/>
    </row>
    <row r="159" spans="1:54" ht="56.25" x14ac:dyDescent="0.2">
      <c r="A159" s="17">
        <v>104</v>
      </c>
      <c r="B159" s="38" t="s">
        <v>155</v>
      </c>
      <c r="C159" s="208" t="s">
        <v>492</v>
      </c>
      <c r="D159" s="311" t="s">
        <v>123</v>
      </c>
      <c r="E159" s="312"/>
      <c r="F159" s="312"/>
      <c r="G159" s="313"/>
      <c r="H159" s="194">
        <v>8124</v>
      </c>
      <c r="I159" s="122">
        <v>2.7869999999999999E-2</v>
      </c>
      <c r="J159" s="122">
        <f t="shared" ref="J159" si="34">I159*1.1</f>
        <v>3.0657E-2</v>
      </c>
      <c r="K159" s="122">
        <f t="shared" si="30"/>
        <v>2.7869999999999999E-2</v>
      </c>
      <c r="L159" s="123">
        <f t="shared" ref="L159" si="35">J159</f>
        <v>3.0657E-2</v>
      </c>
      <c r="M159" s="14" t="s">
        <v>127</v>
      </c>
      <c r="N159" s="25" t="s">
        <v>131</v>
      </c>
      <c r="O159" s="149" t="s">
        <v>383</v>
      </c>
      <c r="P159" s="209" t="s">
        <v>488</v>
      </c>
      <c r="Q159" s="166"/>
      <c r="R159" s="3"/>
      <c r="S159" s="3"/>
      <c r="T159" s="3"/>
      <c r="U159" s="3"/>
      <c r="V159" s="3"/>
      <c r="AA159" s="250"/>
      <c r="AB159" s="250"/>
      <c r="AC159" s="250"/>
      <c r="AD159" s="250"/>
      <c r="AF159" s="168"/>
      <c r="AG159" s="168"/>
      <c r="AH159" s="168"/>
      <c r="AI159" s="168"/>
      <c r="AM159" s="36"/>
      <c r="AN159" s="270"/>
      <c r="AO159" s="32"/>
      <c r="AP159" s="296"/>
      <c r="AQ159" s="296"/>
      <c r="AR159" s="296"/>
      <c r="AS159" s="296"/>
      <c r="AT159" s="265"/>
      <c r="AU159" s="250"/>
      <c r="AV159" s="250"/>
      <c r="AW159" s="250"/>
      <c r="AX159" s="250"/>
      <c r="AY159" s="249"/>
      <c r="AZ159" s="266"/>
      <c r="BA159" s="258"/>
      <c r="BB159" s="224"/>
    </row>
    <row r="160" spans="1:54" ht="123.75" x14ac:dyDescent="0.2">
      <c r="A160" s="17">
        <v>105</v>
      </c>
      <c r="B160" s="38" t="s">
        <v>156</v>
      </c>
      <c r="C160" s="208" t="s">
        <v>493</v>
      </c>
      <c r="D160" s="311" t="s">
        <v>124</v>
      </c>
      <c r="E160" s="312"/>
      <c r="F160" s="312"/>
      <c r="G160" s="313"/>
      <c r="H160" s="194">
        <v>8125</v>
      </c>
      <c r="I160" s="122">
        <v>7.7799999999999996E-3</v>
      </c>
      <c r="J160" s="122">
        <f t="shared" si="32"/>
        <v>8.5579999999999996E-3</v>
      </c>
      <c r="K160" s="122">
        <f t="shared" si="30"/>
        <v>7.7799999999999996E-3</v>
      </c>
      <c r="L160" s="123">
        <f t="shared" si="33"/>
        <v>8.5579999999999996E-3</v>
      </c>
      <c r="M160" s="14" t="s">
        <v>127</v>
      </c>
      <c r="N160" s="25" t="s">
        <v>131</v>
      </c>
      <c r="O160" s="149" t="s">
        <v>383</v>
      </c>
      <c r="P160" s="209" t="s">
        <v>488</v>
      </c>
      <c r="Q160" s="166"/>
      <c r="R160" s="3"/>
      <c r="S160" s="3"/>
      <c r="T160" s="3"/>
      <c r="U160" s="3"/>
      <c r="V160" s="3"/>
      <c r="AA160" s="250"/>
      <c r="AB160" s="250"/>
      <c r="AC160" s="250"/>
      <c r="AD160" s="250"/>
      <c r="AF160" s="168"/>
      <c r="AG160" s="168"/>
      <c r="AH160" s="168"/>
      <c r="AI160" s="168"/>
      <c r="AM160" s="36"/>
      <c r="AN160" s="270"/>
      <c r="AO160" s="32"/>
      <c r="AP160" s="296"/>
      <c r="AQ160" s="296"/>
      <c r="AR160" s="296"/>
      <c r="AS160" s="296"/>
      <c r="AT160" s="265"/>
      <c r="AU160" s="250"/>
      <c r="AV160" s="250"/>
      <c r="AW160" s="250"/>
      <c r="AX160" s="250"/>
      <c r="AY160" s="249"/>
      <c r="AZ160" s="266"/>
      <c r="BA160" s="258"/>
      <c r="BB160" s="224"/>
    </row>
    <row r="161" spans="1:54" ht="33.75" x14ac:dyDescent="0.2">
      <c r="A161" s="98" t="s">
        <v>336</v>
      </c>
      <c r="B161" s="151" t="s">
        <v>337</v>
      </c>
      <c r="C161" s="102" t="s">
        <v>344</v>
      </c>
      <c r="D161" s="43" t="s">
        <v>338</v>
      </c>
      <c r="E161" s="43" t="s">
        <v>343</v>
      </c>
      <c r="F161" s="44"/>
      <c r="G161" s="44"/>
      <c r="H161" s="185">
        <v>8095</v>
      </c>
      <c r="I161" s="115">
        <v>54.663392903854188</v>
      </c>
      <c r="J161" s="115">
        <f>I161*1.1</f>
        <v>60.129732194239608</v>
      </c>
      <c r="K161" s="113"/>
      <c r="L161" s="113"/>
      <c r="M161" s="138" t="s">
        <v>127</v>
      </c>
      <c r="N161" s="139" t="s">
        <v>109</v>
      </c>
      <c r="O161" s="149" t="s">
        <v>314</v>
      </c>
      <c r="P161" s="209" t="s">
        <v>488</v>
      </c>
      <c r="Q161" s="166"/>
      <c r="R161" s="3"/>
      <c r="S161" s="3"/>
      <c r="T161" s="3"/>
      <c r="U161" s="3"/>
      <c r="V161" s="3"/>
      <c r="AA161" s="247"/>
      <c r="AB161" s="247"/>
      <c r="AC161" s="254"/>
      <c r="AD161" s="254"/>
      <c r="AF161" s="168"/>
      <c r="AG161" s="168"/>
      <c r="AH161" s="168"/>
      <c r="AI161" s="168"/>
      <c r="AM161" s="36"/>
      <c r="AN161" s="276"/>
      <c r="AO161" s="32"/>
      <c r="AP161" s="272"/>
      <c r="AQ161" s="272"/>
      <c r="AR161" s="224"/>
      <c r="AS161" s="224"/>
      <c r="AT161" s="275"/>
      <c r="AU161" s="247"/>
      <c r="AV161" s="247"/>
      <c r="AW161" s="254"/>
      <c r="AX161" s="254"/>
      <c r="AY161" s="249"/>
      <c r="AZ161" s="266"/>
      <c r="BA161" s="258"/>
      <c r="BB161" s="224"/>
    </row>
    <row r="162" spans="1:54" ht="33.75" x14ac:dyDescent="0.2">
      <c r="A162" s="98" t="s">
        <v>339</v>
      </c>
      <c r="B162" s="151" t="s">
        <v>340</v>
      </c>
      <c r="C162" s="102" t="s">
        <v>345</v>
      </c>
      <c r="D162" s="44"/>
      <c r="E162" s="44"/>
      <c r="F162" s="153" t="s">
        <v>341</v>
      </c>
      <c r="G162" s="153" t="s">
        <v>342</v>
      </c>
      <c r="H162" s="185">
        <v>8096</v>
      </c>
      <c r="I162" s="119"/>
      <c r="J162" s="119"/>
      <c r="K162" s="115">
        <v>218.65357161541675</v>
      </c>
      <c r="L162" s="115">
        <f>K162*1.1</f>
        <v>240.51892877695843</v>
      </c>
      <c r="M162" s="138" t="s">
        <v>127</v>
      </c>
      <c r="N162" s="139" t="s">
        <v>109</v>
      </c>
      <c r="O162" s="149" t="s">
        <v>314</v>
      </c>
      <c r="P162" s="209" t="s">
        <v>488</v>
      </c>
      <c r="Q162" s="166"/>
      <c r="R162" s="3"/>
      <c r="S162" s="3"/>
      <c r="T162" s="3"/>
      <c r="U162" s="3"/>
      <c r="V162" s="3"/>
      <c r="AA162" s="247"/>
      <c r="AB162" s="247"/>
      <c r="AC162" s="247"/>
      <c r="AD162" s="247"/>
      <c r="AF162" s="168"/>
      <c r="AG162" s="168"/>
      <c r="AH162" s="168"/>
      <c r="AI162" s="168"/>
      <c r="AM162" s="36"/>
      <c r="AN162" s="276"/>
      <c r="AO162" s="32"/>
      <c r="AP162" s="224"/>
      <c r="AQ162" s="224"/>
      <c r="AR162" s="224"/>
      <c r="AS162" s="224"/>
      <c r="AT162" s="275"/>
      <c r="AU162" s="247"/>
      <c r="AV162" s="247"/>
      <c r="AW162" s="247"/>
      <c r="AX162" s="247"/>
      <c r="AY162" s="249"/>
      <c r="AZ162" s="266"/>
      <c r="BA162" s="258"/>
      <c r="BB162" s="224"/>
    </row>
    <row r="163" spans="1:54" x14ac:dyDescent="0.2">
      <c r="A163" s="85"/>
      <c r="B163" s="46"/>
      <c r="C163" s="46"/>
      <c r="D163" s="84"/>
      <c r="E163" s="84"/>
      <c r="F163" s="84"/>
      <c r="G163" s="84"/>
      <c r="H163" s="195"/>
      <c r="I163" s="47"/>
      <c r="J163" s="47"/>
      <c r="K163" s="47"/>
      <c r="L163" s="47"/>
      <c r="M163" s="48"/>
      <c r="N163" s="86"/>
      <c r="O163" s="146"/>
      <c r="P163" s="222"/>
      <c r="Q163" s="167"/>
      <c r="R163" s="3"/>
      <c r="S163" s="3"/>
      <c r="T163" s="3"/>
      <c r="U163" s="3"/>
      <c r="V163" s="3"/>
      <c r="AA163" s="257"/>
      <c r="AB163" s="257"/>
      <c r="AC163" s="257"/>
      <c r="AD163" s="257"/>
      <c r="AF163" s="168"/>
      <c r="AG163" s="168"/>
      <c r="AH163" s="168"/>
      <c r="AI163" s="168"/>
      <c r="AM163" s="36"/>
      <c r="AN163" s="32"/>
      <c r="AO163" s="32"/>
      <c r="AP163" s="224"/>
      <c r="AQ163" s="224"/>
      <c r="AR163" s="224"/>
      <c r="AS163" s="224"/>
      <c r="AT163" s="265"/>
      <c r="AU163" s="257"/>
      <c r="AV163" s="257"/>
      <c r="AW163" s="257"/>
      <c r="AX163" s="257"/>
      <c r="AY163" s="249"/>
      <c r="AZ163" s="266"/>
      <c r="BA163" s="258"/>
      <c r="BB163" s="224"/>
    </row>
    <row r="164" spans="1:54" s="260" customFormat="1" x14ac:dyDescent="0.2">
      <c r="A164" s="49"/>
      <c r="B164" s="50" t="s">
        <v>84</v>
      </c>
      <c r="C164" s="51"/>
      <c r="D164" s="52"/>
      <c r="E164" s="52"/>
      <c r="F164" s="52"/>
      <c r="G164" s="52"/>
      <c r="H164" s="193"/>
      <c r="I164" s="53"/>
      <c r="J164" s="53"/>
      <c r="K164" s="53"/>
      <c r="L164" s="53"/>
      <c r="M164" s="54"/>
      <c r="N164" s="54"/>
      <c r="O164" s="54"/>
      <c r="P164" s="55"/>
      <c r="Q164" s="163"/>
      <c r="R164" s="23"/>
      <c r="S164" s="23"/>
      <c r="T164" s="23"/>
      <c r="U164" s="23"/>
      <c r="V164" s="23"/>
      <c r="AA164" s="256"/>
      <c r="AB164" s="256"/>
      <c r="AC164" s="256"/>
      <c r="AD164" s="256"/>
      <c r="AF164" s="168"/>
      <c r="AG164" s="168"/>
      <c r="AH164" s="168"/>
      <c r="AI164" s="168"/>
      <c r="AM164" s="285"/>
      <c r="AN164" s="286"/>
      <c r="AO164" s="287"/>
      <c r="AP164" s="285"/>
      <c r="AQ164" s="285"/>
      <c r="AR164" s="285"/>
      <c r="AS164" s="285"/>
      <c r="AT164" s="288"/>
      <c r="AU164" s="256"/>
      <c r="AV164" s="256"/>
      <c r="AW164" s="256"/>
      <c r="AX164" s="256"/>
      <c r="AY164" s="289"/>
      <c r="AZ164" s="289"/>
      <c r="BA164" s="289"/>
      <c r="BB164" s="290"/>
    </row>
    <row r="165" spans="1:54" ht="45" x14ac:dyDescent="0.2">
      <c r="A165" s="6">
        <v>130</v>
      </c>
      <c r="B165" s="38" t="s">
        <v>86</v>
      </c>
      <c r="C165" s="18" t="s">
        <v>475</v>
      </c>
      <c r="D165" s="300" t="s">
        <v>111</v>
      </c>
      <c r="E165" s="301"/>
      <c r="F165" s="301"/>
      <c r="G165" s="302"/>
      <c r="H165" s="190">
        <v>8130</v>
      </c>
      <c r="I165" s="124">
        <v>1.1557558637219376</v>
      </c>
      <c r="J165" s="124">
        <f>I165*1.1</f>
        <v>1.2713314500941315</v>
      </c>
      <c r="K165" s="124">
        <f>I165</f>
        <v>1.1557558637219376</v>
      </c>
      <c r="L165" s="125">
        <f>J165</f>
        <v>1.2713314500941315</v>
      </c>
      <c r="M165" s="14" t="s">
        <v>128</v>
      </c>
      <c r="N165" s="139" t="s">
        <v>674</v>
      </c>
      <c r="O165" s="149" t="s">
        <v>383</v>
      </c>
      <c r="P165" s="209" t="s">
        <v>488</v>
      </c>
      <c r="Q165" s="166"/>
      <c r="R165" s="3"/>
      <c r="S165" s="3"/>
      <c r="T165" s="3"/>
      <c r="U165" s="3"/>
      <c r="V165" s="3"/>
      <c r="AA165" s="251"/>
      <c r="AB165" s="251"/>
      <c r="AC165" s="251"/>
      <c r="AD165" s="251"/>
      <c r="AF165" s="168"/>
      <c r="AG165" s="168"/>
      <c r="AH165" s="168"/>
      <c r="AI165" s="168"/>
      <c r="AM165" s="36"/>
      <c r="AN165" s="270"/>
      <c r="AO165" s="32"/>
      <c r="AP165" s="296"/>
      <c r="AQ165" s="296"/>
      <c r="AR165" s="296"/>
      <c r="AS165" s="296"/>
      <c r="AT165" s="265"/>
      <c r="AU165" s="251"/>
      <c r="AV165" s="251"/>
      <c r="AW165" s="251"/>
      <c r="AX165" s="251"/>
      <c r="AY165" s="249"/>
      <c r="AZ165" s="266"/>
      <c r="BA165" s="258"/>
      <c r="BB165" s="224"/>
    </row>
    <row r="166" spans="1:54" ht="45" x14ac:dyDescent="0.2">
      <c r="A166" s="17">
        <v>131</v>
      </c>
      <c r="B166" s="18" t="s">
        <v>87</v>
      </c>
      <c r="C166" s="18" t="s">
        <v>476</v>
      </c>
      <c r="D166" s="300" t="s">
        <v>112</v>
      </c>
      <c r="E166" s="301"/>
      <c r="F166" s="301"/>
      <c r="G166" s="302"/>
      <c r="H166" s="190">
        <v>8131</v>
      </c>
      <c r="I166" s="124">
        <v>0.68858338037588729</v>
      </c>
      <c r="J166" s="124">
        <f t="shared" ref="J166:J172" si="36">I166*1.1</f>
        <v>0.75744171841347607</v>
      </c>
      <c r="K166" s="124">
        <f t="shared" ref="K166:K172" si="37">I166</f>
        <v>0.68858338037588729</v>
      </c>
      <c r="L166" s="125">
        <f t="shared" ref="L166:L172" si="38">J166</f>
        <v>0.75744171841347607</v>
      </c>
      <c r="M166" s="14" t="s">
        <v>128</v>
      </c>
      <c r="N166" s="139" t="s">
        <v>674</v>
      </c>
      <c r="O166" s="149" t="s">
        <v>383</v>
      </c>
      <c r="P166" s="209" t="s">
        <v>488</v>
      </c>
      <c r="Q166" s="166"/>
      <c r="R166" s="3"/>
      <c r="S166" s="3"/>
      <c r="T166" s="3"/>
      <c r="U166" s="3"/>
      <c r="V166" s="3"/>
      <c r="AA166" s="251"/>
      <c r="AB166" s="251"/>
      <c r="AC166" s="251"/>
      <c r="AD166" s="251"/>
      <c r="AF166" s="168"/>
      <c r="AG166" s="168"/>
      <c r="AH166" s="168"/>
      <c r="AI166" s="168"/>
      <c r="AM166" s="36"/>
      <c r="AN166" s="32"/>
      <c r="AO166" s="32"/>
      <c r="AP166" s="296"/>
      <c r="AQ166" s="296"/>
      <c r="AR166" s="296"/>
      <c r="AS166" s="296"/>
      <c r="AT166" s="265"/>
      <c r="AU166" s="251"/>
      <c r="AV166" s="251"/>
      <c r="AW166" s="251"/>
      <c r="AX166" s="251"/>
      <c r="AY166" s="249"/>
      <c r="AZ166" s="266"/>
      <c r="BA166" s="258"/>
      <c r="BB166" s="224"/>
    </row>
    <row r="167" spans="1:54" ht="45" x14ac:dyDescent="0.2">
      <c r="A167" s="6">
        <v>132</v>
      </c>
      <c r="B167" s="38" t="s">
        <v>88</v>
      </c>
      <c r="C167" s="18" t="s">
        <v>474</v>
      </c>
      <c r="D167" s="300" t="s">
        <v>113</v>
      </c>
      <c r="E167" s="301"/>
      <c r="F167" s="301"/>
      <c r="G167" s="302"/>
      <c r="H167" s="190">
        <v>8132</v>
      </c>
      <c r="I167" s="124">
        <v>0.46672154465556204</v>
      </c>
      <c r="J167" s="124">
        <f t="shared" si="36"/>
        <v>0.51339369912111832</v>
      </c>
      <c r="K167" s="124">
        <f t="shared" si="37"/>
        <v>0.46672154465556204</v>
      </c>
      <c r="L167" s="125">
        <f t="shared" si="38"/>
        <v>0.51339369912111832</v>
      </c>
      <c r="M167" s="14" t="s">
        <v>128</v>
      </c>
      <c r="N167" s="139" t="s">
        <v>674</v>
      </c>
      <c r="O167" s="149" t="s">
        <v>383</v>
      </c>
      <c r="P167" s="209" t="s">
        <v>488</v>
      </c>
      <c r="Q167" s="166"/>
      <c r="R167" s="3"/>
      <c r="S167" s="3"/>
      <c r="T167" s="3"/>
      <c r="U167" s="3"/>
      <c r="V167" s="3"/>
      <c r="AA167" s="251"/>
      <c r="AB167" s="251"/>
      <c r="AC167" s="251"/>
      <c r="AD167" s="251"/>
      <c r="AF167" s="168"/>
      <c r="AG167" s="168"/>
      <c r="AH167" s="168"/>
      <c r="AI167" s="168"/>
      <c r="AM167" s="36"/>
      <c r="AN167" s="270"/>
      <c r="AO167" s="32"/>
      <c r="AP167" s="296"/>
      <c r="AQ167" s="296"/>
      <c r="AR167" s="296"/>
      <c r="AS167" s="296"/>
      <c r="AT167" s="265"/>
      <c r="AU167" s="251"/>
      <c r="AV167" s="251"/>
      <c r="AW167" s="251"/>
      <c r="AX167" s="251"/>
      <c r="AY167" s="249"/>
      <c r="AZ167" s="266"/>
      <c r="BA167" s="258"/>
      <c r="BB167" s="224"/>
    </row>
    <row r="168" spans="1:54" ht="45" x14ac:dyDescent="0.2">
      <c r="A168" s="17">
        <v>133</v>
      </c>
      <c r="B168" s="18" t="s">
        <v>89</v>
      </c>
      <c r="C168" s="18" t="s">
        <v>477</v>
      </c>
      <c r="D168" s="300" t="s">
        <v>114</v>
      </c>
      <c r="E168" s="301"/>
      <c r="F168" s="301"/>
      <c r="G168" s="302"/>
      <c r="H168" s="190">
        <v>8133</v>
      </c>
      <c r="I168" s="124">
        <v>0.30573643215117979</v>
      </c>
      <c r="J168" s="124">
        <f t="shared" si="36"/>
        <v>0.33631007536629781</v>
      </c>
      <c r="K168" s="124">
        <f t="shared" si="37"/>
        <v>0.30573643215117979</v>
      </c>
      <c r="L168" s="125">
        <f t="shared" si="38"/>
        <v>0.33631007536629781</v>
      </c>
      <c r="M168" s="14" t="s">
        <v>128</v>
      </c>
      <c r="N168" s="139" t="s">
        <v>674</v>
      </c>
      <c r="O168" s="149" t="s">
        <v>383</v>
      </c>
      <c r="P168" s="209" t="s">
        <v>488</v>
      </c>
      <c r="Q168" s="166"/>
      <c r="R168" s="3"/>
      <c r="S168" s="3"/>
      <c r="T168" s="3"/>
      <c r="U168" s="3"/>
      <c r="V168" s="3"/>
      <c r="AA168" s="251"/>
      <c r="AB168" s="251"/>
      <c r="AC168" s="251"/>
      <c r="AD168" s="251"/>
      <c r="AF168" s="168"/>
      <c r="AG168" s="168"/>
      <c r="AH168" s="168"/>
      <c r="AI168" s="168"/>
      <c r="AM168" s="36"/>
      <c r="AN168" s="32"/>
      <c r="AO168" s="32"/>
      <c r="AP168" s="296"/>
      <c r="AQ168" s="296"/>
      <c r="AR168" s="296"/>
      <c r="AS168" s="296"/>
      <c r="AT168" s="265"/>
      <c r="AU168" s="251"/>
      <c r="AV168" s="251"/>
      <c r="AW168" s="251"/>
      <c r="AX168" s="251"/>
      <c r="AY168" s="249"/>
      <c r="AZ168" s="266"/>
      <c r="BA168" s="258"/>
      <c r="BB168" s="224"/>
    </row>
    <row r="169" spans="1:54" ht="33.75" x14ac:dyDescent="0.2">
      <c r="A169" s="6">
        <v>134</v>
      </c>
      <c r="B169" s="38" t="s">
        <v>470</v>
      </c>
      <c r="C169" s="18" t="s">
        <v>478</v>
      </c>
      <c r="D169" s="300" t="s">
        <v>115</v>
      </c>
      <c r="E169" s="301"/>
      <c r="F169" s="301"/>
      <c r="G169" s="302"/>
      <c r="H169" s="190">
        <v>8134</v>
      </c>
      <c r="I169" s="160">
        <v>1459.08253026896</v>
      </c>
      <c r="J169" s="160">
        <f t="shared" si="36"/>
        <v>1604.9907832958561</v>
      </c>
      <c r="K169" s="160">
        <f t="shared" si="37"/>
        <v>1459.08253026896</v>
      </c>
      <c r="L169" s="161">
        <f t="shared" si="38"/>
        <v>1604.9907832958561</v>
      </c>
      <c r="M169" s="14" t="s">
        <v>128</v>
      </c>
      <c r="N169" s="25" t="s">
        <v>152</v>
      </c>
      <c r="O169" s="149" t="s">
        <v>314</v>
      </c>
      <c r="P169" s="209" t="s">
        <v>488</v>
      </c>
      <c r="Q169" s="166"/>
      <c r="R169" s="3"/>
      <c r="S169" s="3"/>
      <c r="T169" s="3"/>
      <c r="U169" s="3"/>
      <c r="V169" s="3"/>
      <c r="AA169" s="252"/>
      <c r="AB169" s="252"/>
      <c r="AC169" s="252"/>
      <c r="AD169" s="252"/>
      <c r="AF169" s="168"/>
      <c r="AG169" s="168"/>
      <c r="AH169" s="168"/>
      <c r="AI169" s="168"/>
      <c r="AM169" s="36"/>
      <c r="AN169" s="270"/>
      <c r="AO169" s="32"/>
      <c r="AP169" s="296"/>
      <c r="AQ169" s="296"/>
      <c r="AR169" s="296"/>
      <c r="AS169" s="296"/>
      <c r="AT169" s="265"/>
      <c r="AU169" s="252"/>
      <c r="AV169" s="252"/>
      <c r="AW169" s="252"/>
      <c r="AX169" s="252"/>
      <c r="AY169" s="249"/>
      <c r="AZ169" s="266"/>
      <c r="BA169" s="258"/>
      <c r="BB169" s="224"/>
    </row>
    <row r="170" spans="1:54" ht="33.75" x14ac:dyDescent="0.2">
      <c r="A170" s="17">
        <v>135</v>
      </c>
      <c r="B170" s="18" t="s">
        <v>471</v>
      </c>
      <c r="C170" s="18" t="s">
        <v>479</v>
      </c>
      <c r="D170" s="300" t="s">
        <v>116</v>
      </c>
      <c r="E170" s="301"/>
      <c r="F170" s="301"/>
      <c r="G170" s="302"/>
      <c r="H170" s="190">
        <v>8135</v>
      </c>
      <c r="I170" s="160">
        <v>881.74771613375992</v>
      </c>
      <c r="J170" s="160">
        <f t="shared" si="36"/>
        <v>969.92248774713596</v>
      </c>
      <c r="K170" s="160">
        <f t="shared" si="37"/>
        <v>881.74771613375992</v>
      </c>
      <c r="L170" s="161">
        <f t="shared" si="38"/>
        <v>969.92248774713596</v>
      </c>
      <c r="M170" s="14" t="s">
        <v>128</v>
      </c>
      <c r="N170" s="25" t="s">
        <v>152</v>
      </c>
      <c r="O170" s="149" t="s">
        <v>314</v>
      </c>
      <c r="P170" s="209" t="s">
        <v>488</v>
      </c>
      <c r="Q170" s="166"/>
      <c r="R170" s="3"/>
      <c r="S170" s="3"/>
      <c r="T170" s="3"/>
      <c r="U170" s="3"/>
      <c r="V170" s="3"/>
      <c r="AA170" s="252"/>
      <c r="AB170" s="252"/>
      <c r="AC170" s="252"/>
      <c r="AD170" s="252"/>
      <c r="AF170" s="168"/>
      <c r="AG170" s="168"/>
      <c r="AH170" s="168"/>
      <c r="AI170" s="168"/>
      <c r="AM170" s="36"/>
      <c r="AN170" s="32"/>
      <c r="AO170" s="32"/>
      <c r="AP170" s="296"/>
      <c r="AQ170" s="296"/>
      <c r="AR170" s="296"/>
      <c r="AS170" s="296"/>
      <c r="AT170" s="265"/>
      <c r="AU170" s="252"/>
      <c r="AV170" s="252"/>
      <c r="AW170" s="252"/>
      <c r="AX170" s="252"/>
      <c r="AY170" s="249"/>
      <c r="AZ170" s="266"/>
      <c r="BA170" s="258"/>
      <c r="BB170" s="224"/>
    </row>
    <row r="171" spans="1:54" ht="33.75" x14ac:dyDescent="0.2">
      <c r="A171" s="6">
        <v>136</v>
      </c>
      <c r="B171" s="38" t="s">
        <v>472</v>
      </c>
      <c r="C171" s="18" t="s">
        <v>480</v>
      </c>
      <c r="D171" s="300" t="s">
        <v>117</v>
      </c>
      <c r="E171" s="301"/>
      <c r="F171" s="301"/>
      <c r="G171" s="302"/>
      <c r="H171" s="190">
        <v>8136</v>
      </c>
      <c r="I171" s="160">
        <v>241.43092227471999</v>
      </c>
      <c r="J171" s="160">
        <f t="shared" si="36"/>
        <v>265.57401450219203</v>
      </c>
      <c r="K171" s="160">
        <f t="shared" si="37"/>
        <v>241.43092227471999</v>
      </c>
      <c r="L171" s="161">
        <f t="shared" si="38"/>
        <v>265.57401450219203</v>
      </c>
      <c r="M171" s="14" t="s">
        <v>128</v>
      </c>
      <c r="N171" s="25" t="s">
        <v>152</v>
      </c>
      <c r="O171" s="149" t="s">
        <v>314</v>
      </c>
      <c r="P171" s="209" t="s">
        <v>488</v>
      </c>
      <c r="Q171" s="166"/>
      <c r="R171" s="3"/>
      <c r="S171" s="3"/>
      <c r="T171" s="3"/>
      <c r="U171" s="3"/>
      <c r="V171" s="3"/>
      <c r="AA171" s="252"/>
      <c r="AB171" s="252"/>
      <c r="AC171" s="252"/>
      <c r="AD171" s="252"/>
      <c r="AF171" s="168"/>
      <c r="AG171" s="168"/>
      <c r="AH171" s="168"/>
      <c r="AI171" s="168"/>
      <c r="AM171" s="36"/>
      <c r="AN171" s="270"/>
      <c r="AO171" s="32"/>
      <c r="AP171" s="296"/>
      <c r="AQ171" s="296"/>
      <c r="AR171" s="296"/>
      <c r="AS171" s="296"/>
      <c r="AT171" s="265"/>
      <c r="AU171" s="252"/>
      <c r="AV171" s="252"/>
      <c r="AW171" s="252"/>
      <c r="AX171" s="252"/>
      <c r="AY171" s="249"/>
      <c r="AZ171" s="266"/>
      <c r="BA171" s="258"/>
      <c r="BB171" s="224"/>
    </row>
    <row r="172" spans="1:54" ht="33.75" x14ac:dyDescent="0.2">
      <c r="A172" s="17">
        <v>137</v>
      </c>
      <c r="B172" s="18" t="s">
        <v>473</v>
      </c>
      <c r="C172" s="18" t="s">
        <v>481</v>
      </c>
      <c r="D172" s="300" t="s">
        <v>118</v>
      </c>
      <c r="E172" s="301"/>
      <c r="F172" s="301"/>
      <c r="G172" s="302"/>
      <c r="H172" s="190">
        <v>8137</v>
      </c>
      <c r="I172" s="160">
        <v>204.69143410248</v>
      </c>
      <c r="J172" s="160">
        <f t="shared" si="36"/>
        <v>225.16057751272803</v>
      </c>
      <c r="K172" s="160">
        <f t="shared" si="37"/>
        <v>204.69143410248</v>
      </c>
      <c r="L172" s="161">
        <f t="shared" si="38"/>
        <v>225.16057751272803</v>
      </c>
      <c r="M172" s="14" t="s">
        <v>128</v>
      </c>
      <c r="N172" s="25" t="s">
        <v>152</v>
      </c>
      <c r="O172" s="149" t="s">
        <v>314</v>
      </c>
      <c r="P172" s="209" t="s">
        <v>488</v>
      </c>
      <c r="Q172" s="166"/>
      <c r="R172" s="3"/>
      <c r="S172" s="3"/>
      <c r="T172" s="3"/>
      <c r="U172" s="3"/>
      <c r="V172" s="3"/>
      <c r="AA172" s="252"/>
      <c r="AB172" s="252"/>
      <c r="AC172" s="252"/>
      <c r="AD172" s="252"/>
      <c r="AF172" s="168"/>
      <c r="AG172" s="168"/>
      <c r="AH172" s="168"/>
      <c r="AI172" s="168"/>
      <c r="AJ172" s="168"/>
      <c r="AM172" s="36"/>
      <c r="AN172" s="32"/>
      <c r="AO172" s="32"/>
      <c r="AP172" s="296"/>
      <c r="AQ172" s="296"/>
      <c r="AR172" s="296"/>
      <c r="AS172" s="296"/>
      <c r="AT172" s="265"/>
      <c r="AU172" s="252"/>
      <c r="AV172" s="252"/>
      <c r="AW172" s="252"/>
      <c r="AX172" s="252"/>
      <c r="AY172" s="249"/>
      <c r="AZ172" s="266"/>
      <c r="BA172" s="258"/>
      <c r="BB172" s="224"/>
    </row>
    <row r="173" spans="1:54" x14ac:dyDescent="0.2">
      <c r="A173" s="36"/>
      <c r="B173" s="22"/>
      <c r="C173" s="32"/>
      <c r="D173" s="33"/>
      <c r="E173" s="33"/>
      <c r="F173" s="33"/>
      <c r="G173" s="33"/>
      <c r="H173" s="196"/>
      <c r="I173" s="34"/>
      <c r="J173" s="34"/>
      <c r="K173" s="34"/>
      <c r="L173" s="34"/>
      <c r="M173" s="35"/>
      <c r="N173" s="37"/>
      <c r="O173" s="146"/>
      <c r="P173" s="224"/>
      <c r="Q173" s="168"/>
      <c r="R173" s="31"/>
      <c r="S173" s="31"/>
      <c r="T173" s="31"/>
      <c r="U173" s="31"/>
      <c r="V173" s="31"/>
    </row>
    <row r="175" spans="1:54" x14ac:dyDescent="0.2">
      <c r="B175" s="203" t="s">
        <v>463</v>
      </c>
      <c r="C175" s="3"/>
      <c r="D175" s="3"/>
      <c r="E175" s="3"/>
      <c r="F175" s="3"/>
      <c r="G175" s="3"/>
      <c r="H175" s="204"/>
    </row>
    <row r="176" spans="1:54" s="291" customFormat="1" ht="11.25" x14ac:dyDescent="0.2">
      <c r="A176" s="130"/>
      <c r="B176" s="205" t="s">
        <v>323</v>
      </c>
      <c r="C176" s="205"/>
      <c r="D176" s="330" t="s">
        <v>462</v>
      </c>
      <c r="E176" s="330"/>
      <c r="F176" s="330"/>
      <c r="G176" s="330"/>
      <c r="H176" s="206">
        <v>8150</v>
      </c>
      <c r="I176" s="130"/>
      <c r="J176" s="130"/>
      <c r="K176" s="131"/>
      <c r="L176" s="131"/>
      <c r="M176" s="132"/>
      <c r="N176" s="133"/>
      <c r="O176" s="147"/>
      <c r="P176" s="169"/>
      <c r="Q176" s="169"/>
      <c r="R176" s="131"/>
      <c r="S176" s="131"/>
      <c r="T176" s="131"/>
      <c r="U176" s="131"/>
      <c r="V176" s="131"/>
    </row>
    <row r="177" spans="1:22" s="291" customFormat="1" ht="11.25" x14ac:dyDescent="0.2">
      <c r="A177" s="130"/>
      <c r="B177" s="205" t="s">
        <v>282</v>
      </c>
      <c r="C177" s="205"/>
      <c r="D177" s="205"/>
      <c r="E177" s="205"/>
      <c r="F177" s="205"/>
      <c r="G177" s="205"/>
      <c r="H177" s="206">
        <v>8151</v>
      </c>
      <c r="I177" s="130"/>
      <c r="J177" s="130"/>
      <c r="K177" s="131"/>
      <c r="L177" s="131"/>
      <c r="M177" s="132"/>
      <c r="N177" s="133"/>
      <c r="O177" s="147"/>
      <c r="P177" s="169"/>
      <c r="Q177" s="169"/>
      <c r="R177" s="131"/>
      <c r="S177" s="131"/>
      <c r="T177" s="131"/>
      <c r="U177" s="131"/>
      <c r="V177" s="131"/>
    </row>
    <row r="178" spans="1:22" s="291" customFormat="1" ht="11.25" x14ac:dyDescent="0.2">
      <c r="A178" s="130"/>
      <c r="B178" s="207" t="s">
        <v>283</v>
      </c>
      <c r="C178" s="205"/>
      <c r="D178" s="205"/>
      <c r="E178" s="205"/>
      <c r="F178" s="205"/>
      <c r="G178" s="205"/>
      <c r="H178" s="206">
        <v>3200</v>
      </c>
      <c r="I178" s="130"/>
      <c r="J178" s="130"/>
      <c r="K178" s="131"/>
      <c r="L178" s="131"/>
      <c r="M178" s="132"/>
      <c r="N178" s="133"/>
      <c r="O178" s="147"/>
      <c r="P178" s="169"/>
      <c r="Q178" s="169"/>
      <c r="R178" s="131"/>
      <c r="S178" s="131"/>
      <c r="T178" s="131"/>
      <c r="U178" s="131"/>
      <c r="V178" s="131"/>
    </row>
  </sheetData>
  <customSheetViews>
    <customSheetView guid="{FB458C62-3D77-4EB6-93BC-1C1381A8DB8D}" scale="80" fitToPage="1" hiddenRows="1" showRuler="0" topLeftCell="A17">
      <selection activeCell="I40" sqref="I40"/>
      <rowBreaks count="2" manualBreakCount="2">
        <brk id="44" max="12" man="1"/>
        <brk id="67" max="12" man="1"/>
      </rowBreaks>
      <pageMargins left="0.28000000000000003" right="0.16" top="0.56999999999999995" bottom="0.96" header="0.5" footer="0.5"/>
      <pageSetup paperSize="8" scale="61" fitToHeight="2" orientation="portrait" horizontalDpi="300" verticalDpi="300" r:id="rId1"/>
      <headerFooter alignWithMargins="0"/>
    </customSheetView>
  </customSheetViews>
  <mergeCells count="482">
    <mergeCell ref="P12:P13"/>
    <mergeCell ref="D176:G176"/>
    <mergeCell ref="K140:L140"/>
    <mergeCell ref="D131:G131"/>
    <mergeCell ref="I138:J138"/>
    <mergeCell ref="K138:L138"/>
    <mergeCell ref="K139:L139"/>
    <mergeCell ref="D76:G76"/>
    <mergeCell ref="D71:G71"/>
    <mergeCell ref="I71:J71"/>
    <mergeCell ref="I76:J76"/>
    <mergeCell ref="D80:G80"/>
    <mergeCell ref="I134:J134"/>
    <mergeCell ref="K134:L134"/>
    <mergeCell ref="I135:J135"/>
    <mergeCell ref="K135:L135"/>
    <mergeCell ref="I136:J136"/>
    <mergeCell ref="K136:L136"/>
    <mergeCell ref="I137:J137"/>
    <mergeCell ref="K137:L137"/>
    <mergeCell ref="I80:J80"/>
    <mergeCell ref="D81:G81"/>
    <mergeCell ref="I81:J81"/>
    <mergeCell ref="K152:L152"/>
    <mergeCell ref="D43:G43"/>
    <mergeCell ref="D30:G30"/>
    <mergeCell ref="I30:J30"/>
    <mergeCell ref="D44:G44"/>
    <mergeCell ref="I44:J44"/>
    <mergeCell ref="I62:J62"/>
    <mergeCell ref="K42:L42"/>
    <mergeCell ref="I43:J43"/>
    <mergeCell ref="I133:J133"/>
    <mergeCell ref="K133:L133"/>
    <mergeCell ref="K80:L80"/>
    <mergeCell ref="K43:L43"/>
    <mergeCell ref="K44:L44"/>
    <mergeCell ref="K62:L62"/>
    <mergeCell ref="K30:L30"/>
    <mergeCell ref="K71:L71"/>
    <mergeCell ref="K68:L68"/>
    <mergeCell ref="K69:L69"/>
    <mergeCell ref="K64:L64"/>
    <mergeCell ref="K65:L65"/>
    <mergeCell ref="K70:L70"/>
    <mergeCell ref="K41:L41"/>
    <mergeCell ref="K40:L40"/>
    <mergeCell ref="D63:G63"/>
    <mergeCell ref="K28:L28"/>
    <mergeCell ref="K29:L29"/>
    <mergeCell ref="D40:G40"/>
    <mergeCell ref="K25:L25"/>
    <mergeCell ref="D42:G42"/>
    <mergeCell ref="I42:J42"/>
    <mergeCell ref="K23:L23"/>
    <mergeCell ref="K24:L24"/>
    <mergeCell ref="K26:L26"/>
    <mergeCell ref="I40:J40"/>
    <mergeCell ref="D41:G41"/>
    <mergeCell ref="I41:J41"/>
    <mergeCell ref="K27:L27"/>
    <mergeCell ref="B7:G7"/>
    <mergeCell ref="D20:G20"/>
    <mergeCell ref="I20:J20"/>
    <mergeCell ref="K20:L20"/>
    <mergeCell ref="D21:G21"/>
    <mergeCell ref="I21:J21"/>
    <mergeCell ref="K21:L21"/>
    <mergeCell ref="D22:G22"/>
    <mergeCell ref="I22:J22"/>
    <mergeCell ref="K22:L22"/>
    <mergeCell ref="L10:N10"/>
    <mergeCell ref="K12:L12"/>
    <mergeCell ref="M12:M13"/>
    <mergeCell ref="N12:N13"/>
    <mergeCell ref="I12:J12"/>
    <mergeCell ref="D17:G17"/>
    <mergeCell ref="D18:G18"/>
    <mergeCell ref="D19:G19"/>
    <mergeCell ref="B8:G8"/>
    <mergeCell ref="B9:G9"/>
    <mergeCell ref="B10:G10"/>
    <mergeCell ref="J8:N8"/>
    <mergeCell ref="J9:N9"/>
    <mergeCell ref="A12:A13"/>
    <mergeCell ref="B12:B13"/>
    <mergeCell ref="C12:C13"/>
    <mergeCell ref="D12:G12"/>
    <mergeCell ref="D25:G25"/>
    <mergeCell ref="I25:J25"/>
    <mergeCell ref="D28:G28"/>
    <mergeCell ref="I28:J28"/>
    <mergeCell ref="D29:G29"/>
    <mergeCell ref="I29:J29"/>
    <mergeCell ref="D27:G27"/>
    <mergeCell ref="D26:G26"/>
    <mergeCell ref="I26:J26"/>
    <mergeCell ref="D23:G23"/>
    <mergeCell ref="I23:J23"/>
    <mergeCell ref="D24:G24"/>
    <mergeCell ref="I24:J24"/>
    <mergeCell ref="D15:G15"/>
    <mergeCell ref="D16:G16"/>
    <mergeCell ref="I27:J27"/>
    <mergeCell ref="H12:H13"/>
    <mergeCell ref="I63:J63"/>
    <mergeCell ref="I67:J67"/>
    <mergeCell ref="I66:J66"/>
    <mergeCell ref="K66:L66"/>
    <mergeCell ref="K67:L67"/>
    <mergeCell ref="D78:G78"/>
    <mergeCell ref="I78:J78"/>
    <mergeCell ref="I79:J79"/>
    <mergeCell ref="D77:G77"/>
    <mergeCell ref="D64:G64"/>
    <mergeCell ref="D69:G69"/>
    <mergeCell ref="D70:G70"/>
    <mergeCell ref="I64:J64"/>
    <mergeCell ref="I69:J69"/>
    <mergeCell ref="I68:J68"/>
    <mergeCell ref="I65:J65"/>
    <mergeCell ref="I70:J70"/>
    <mergeCell ref="K63:L63"/>
    <mergeCell ref="K76:L76"/>
    <mergeCell ref="K78:L78"/>
    <mergeCell ref="K79:L79"/>
    <mergeCell ref="D172:G172"/>
    <mergeCell ref="D79:G79"/>
    <mergeCell ref="D157:G157"/>
    <mergeCell ref="D158:G158"/>
    <mergeCell ref="D159:G159"/>
    <mergeCell ref="D160:G160"/>
    <mergeCell ref="D155:G155"/>
    <mergeCell ref="D156:G156"/>
    <mergeCell ref="I142:J142"/>
    <mergeCell ref="I147:J147"/>
    <mergeCell ref="D82:G82"/>
    <mergeCell ref="I82:J82"/>
    <mergeCell ref="D165:G165"/>
    <mergeCell ref="D166:G166"/>
    <mergeCell ref="D167:G167"/>
    <mergeCell ref="D168:G168"/>
    <mergeCell ref="D169:G169"/>
    <mergeCell ref="D170:G170"/>
    <mergeCell ref="I128:J128"/>
    <mergeCell ref="I129:J129"/>
    <mergeCell ref="I130:J130"/>
    <mergeCell ref="I131:J131"/>
    <mergeCell ref="I132:J132"/>
    <mergeCell ref="D149:G149"/>
    <mergeCell ref="K81:L81"/>
    <mergeCell ref="K82:L82"/>
    <mergeCell ref="K147:L147"/>
    <mergeCell ref="K148:L148"/>
    <mergeCell ref="K150:L150"/>
    <mergeCell ref="I149:J149"/>
    <mergeCell ref="K128:L128"/>
    <mergeCell ref="K129:L129"/>
    <mergeCell ref="K130:L130"/>
    <mergeCell ref="K131:L131"/>
    <mergeCell ref="K132:L132"/>
    <mergeCell ref="D171:G171"/>
    <mergeCell ref="I140:J140"/>
    <mergeCell ref="I139:J139"/>
    <mergeCell ref="I148:J148"/>
    <mergeCell ref="I150:J150"/>
    <mergeCell ref="D150:G150"/>
    <mergeCell ref="K142:L142"/>
    <mergeCell ref="I143:J143"/>
    <mergeCell ref="K143:L143"/>
    <mergeCell ref="I146:J146"/>
    <mergeCell ref="K146:L146"/>
    <mergeCell ref="K149:L149"/>
    <mergeCell ref="D142:G142"/>
    <mergeCell ref="D143:G143"/>
    <mergeCell ref="I144:J144"/>
    <mergeCell ref="K144:L144"/>
    <mergeCell ref="I145:J145"/>
    <mergeCell ref="K145:L145"/>
    <mergeCell ref="D146:G146"/>
    <mergeCell ref="D147:G147"/>
    <mergeCell ref="D148:G148"/>
    <mergeCell ref="I152:J152"/>
    <mergeCell ref="D152:G152"/>
    <mergeCell ref="AA20:AB20"/>
    <mergeCell ref="AC20:AD20"/>
    <mergeCell ref="AA21:AB21"/>
    <mergeCell ref="AC21:AD21"/>
    <mergeCell ref="AA22:AB22"/>
    <mergeCell ref="AC22:AD22"/>
    <mergeCell ref="AA23:AB23"/>
    <mergeCell ref="AC23:AD23"/>
    <mergeCell ref="AA24:AB24"/>
    <mergeCell ref="AC24:AD24"/>
    <mergeCell ref="AA25:AB25"/>
    <mergeCell ref="AC25:AD25"/>
    <mergeCell ref="AA26:AB26"/>
    <mergeCell ref="AC26:AD26"/>
    <mergeCell ref="AA27:AB27"/>
    <mergeCell ref="AC27:AD27"/>
    <mergeCell ref="AA28:AB28"/>
    <mergeCell ref="AC28:AD28"/>
    <mergeCell ref="AA29:AB29"/>
    <mergeCell ref="AC29:AD29"/>
    <mergeCell ref="AA30:AB30"/>
    <mergeCell ref="AC30:AD30"/>
    <mergeCell ref="AA40:AB40"/>
    <mergeCell ref="AC40:AD40"/>
    <mergeCell ref="AA41:AB41"/>
    <mergeCell ref="AC41:AD41"/>
    <mergeCell ref="AA42:AB42"/>
    <mergeCell ref="AC42:AD42"/>
    <mergeCell ref="AA43:AB43"/>
    <mergeCell ref="AC43:AD43"/>
    <mergeCell ref="AA44:AB44"/>
    <mergeCell ref="AC44:AD44"/>
    <mergeCell ref="AA62:AB62"/>
    <mergeCell ref="AC62:AD62"/>
    <mergeCell ref="AA63:AB63"/>
    <mergeCell ref="AC63:AD63"/>
    <mergeCell ref="AA64:AB64"/>
    <mergeCell ref="AC64:AD64"/>
    <mergeCell ref="AA65:AB65"/>
    <mergeCell ref="AC65:AD65"/>
    <mergeCell ref="AA66:AB66"/>
    <mergeCell ref="AC66:AD66"/>
    <mergeCell ref="AA67:AB67"/>
    <mergeCell ref="AC67:AD67"/>
    <mergeCell ref="AA68:AB68"/>
    <mergeCell ref="AC68:AD68"/>
    <mergeCell ref="AA69:AB69"/>
    <mergeCell ref="AC69:AD69"/>
    <mergeCell ref="AA70:AB70"/>
    <mergeCell ref="AC70:AD70"/>
    <mergeCell ref="AA71:AB71"/>
    <mergeCell ref="AC71:AD71"/>
    <mergeCell ref="AA76:AB76"/>
    <mergeCell ref="AC76:AD76"/>
    <mergeCell ref="AA78:AB78"/>
    <mergeCell ref="AC78:AD78"/>
    <mergeCell ref="AA79:AB79"/>
    <mergeCell ref="AC79:AD79"/>
    <mergeCell ref="AA80:AB80"/>
    <mergeCell ref="AC80:AD80"/>
    <mergeCell ref="AA81:AB81"/>
    <mergeCell ref="AC81:AD81"/>
    <mergeCell ref="AA82:AB82"/>
    <mergeCell ref="AC82:AD82"/>
    <mergeCell ref="AA128:AB128"/>
    <mergeCell ref="AC128:AD128"/>
    <mergeCell ref="AA129:AB129"/>
    <mergeCell ref="AC129:AD129"/>
    <mergeCell ref="AA130:AB130"/>
    <mergeCell ref="AC130:AD130"/>
    <mergeCell ref="AA131:AB131"/>
    <mergeCell ref="AC131:AD131"/>
    <mergeCell ref="AA132:AB132"/>
    <mergeCell ref="AC132:AD132"/>
    <mergeCell ref="AA133:AB133"/>
    <mergeCell ref="AC133:AD133"/>
    <mergeCell ref="AA134:AB134"/>
    <mergeCell ref="AC134:AD134"/>
    <mergeCell ref="AA135:AB135"/>
    <mergeCell ref="AC135:AD135"/>
    <mergeCell ref="AA136:AB136"/>
    <mergeCell ref="AC136:AD136"/>
    <mergeCell ref="AA137:AB137"/>
    <mergeCell ref="AC137:AD137"/>
    <mergeCell ref="AA138:AB138"/>
    <mergeCell ref="AC138:AD138"/>
    <mergeCell ref="AA139:AB139"/>
    <mergeCell ref="AC139:AD139"/>
    <mergeCell ref="AA140:AB140"/>
    <mergeCell ref="AC140:AD140"/>
    <mergeCell ref="AA142:AB142"/>
    <mergeCell ref="AC142:AD142"/>
    <mergeCell ref="AA143:AB143"/>
    <mergeCell ref="AC143:AD143"/>
    <mergeCell ref="AA144:AB144"/>
    <mergeCell ref="AC144:AD144"/>
    <mergeCell ref="AA145:AB145"/>
    <mergeCell ref="AC145:AD145"/>
    <mergeCell ref="AA146:AB146"/>
    <mergeCell ref="AC146:AD146"/>
    <mergeCell ref="AA147:AB147"/>
    <mergeCell ref="AC147:AD147"/>
    <mergeCell ref="AA148:AB148"/>
    <mergeCell ref="AC148:AD148"/>
    <mergeCell ref="AA149:AB149"/>
    <mergeCell ref="AC149:AD149"/>
    <mergeCell ref="AA150:AB150"/>
    <mergeCell ref="AC150:AD150"/>
    <mergeCell ref="AA152:AB152"/>
    <mergeCell ref="AC152:AD152"/>
    <mergeCell ref="AP15:AS15"/>
    <mergeCell ref="AP16:AS16"/>
    <mergeCell ref="AP17:AS17"/>
    <mergeCell ref="AP18:AS18"/>
    <mergeCell ref="AP19:AS19"/>
    <mergeCell ref="AP20:AS20"/>
    <mergeCell ref="AU20:AV20"/>
    <mergeCell ref="AW20:AX20"/>
    <mergeCell ref="AP21:AS21"/>
    <mergeCell ref="AU21:AV21"/>
    <mergeCell ref="AW21:AX21"/>
    <mergeCell ref="AP22:AS22"/>
    <mergeCell ref="AU22:AV22"/>
    <mergeCell ref="AW22:AX22"/>
    <mergeCell ref="AP23:AS23"/>
    <mergeCell ref="AU23:AV23"/>
    <mergeCell ref="AW23:AX23"/>
    <mergeCell ref="AP24:AS24"/>
    <mergeCell ref="AU24:AV24"/>
    <mergeCell ref="AW24:AX24"/>
    <mergeCell ref="AP25:AS25"/>
    <mergeCell ref="AU25:AV25"/>
    <mergeCell ref="AW25:AX25"/>
    <mergeCell ref="AP26:AS26"/>
    <mergeCell ref="AU26:AV26"/>
    <mergeCell ref="AW26:AX26"/>
    <mergeCell ref="AP27:AS27"/>
    <mergeCell ref="AU27:AV27"/>
    <mergeCell ref="AW27:AX27"/>
    <mergeCell ref="AP28:AS28"/>
    <mergeCell ref="AU28:AV28"/>
    <mergeCell ref="AW28:AX28"/>
    <mergeCell ref="AP29:AS29"/>
    <mergeCell ref="AU29:AV29"/>
    <mergeCell ref="AW29:AX29"/>
    <mergeCell ref="AP30:AS30"/>
    <mergeCell ref="AU30:AV30"/>
    <mergeCell ref="AW30:AX30"/>
    <mergeCell ref="AP40:AS40"/>
    <mergeCell ref="AU40:AV40"/>
    <mergeCell ref="AW40:AX40"/>
    <mergeCell ref="AP41:AS41"/>
    <mergeCell ref="AU41:AV41"/>
    <mergeCell ref="AW41:AX41"/>
    <mergeCell ref="AP42:AS42"/>
    <mergeCell ref="AU42:AV42"/>
    <mergeCell ref="AW42:AX42"/>
    <mergeCell ref="AP43:AS43"/>
    <mergeCell ref="AU43:AV43"/>
    <mergeCell ref="AW43:AX43"/>
    <mergeCell ref="AP44:AS44"/>
    <mergeCell ref="AU44:AV44"/>
    <mergeCell ref="AW44:AX44"/>
    <mergeCell ref="AU62:AV62"/>
    <mergeCell ref="AW62:AX62"/>
    <mergeCell ref="AP63:AS63"/>
    <mergeCell ref="AU63:AV63"/>
    <mergeCell ref="AW63:AX63"/>
    <mergeCell ref="AP64:AS64"/>
    <mergeCell ref="AU64:AV64"/>
    <mergeCell ref="AW64:AX64"/>
    <mergeCell ref="AU65:AV65"/>
    <mergeCell ref="AW65:AX65"/>
    <mergeCell ref="AU66:AV66"/>
    <mergeCell ref="AW66:AX66"/>
    <mergeCell ref="AU67:AV67"/>
    <mergeCell ref="AW67:AX67"/>
    <mergeCell ref="AU68:AV68"/>
    <mergeCell ref="AW68:AX68"/>
    <mergeCell ref="AP69:AS69"/>
    <mergeCell ref="AU69:AV69"/>
    <mergeCell ref="AW69:AX69"/>
    <mergeCell ref="AP70:AS70"/>
    <mergeCell ref="AU70:AV70"/>
    <mergeCell ref="AW70:AX70"/>
    <mergeCell ref="AP71:AS71"/>
    <mergeCell ref="AU71:AV71"/>
    <mergeCell ref="AW71:AX71"/>
    <mergeCell ref="AP76:AS76"/>
    <mergeCell ref="AU76:AV76"/>
    <mergeCell ref="AW76:AX76"/>
    <mergeCell ref="AP77:AS77"/>
    <mergeCell ref="AP78:AS78"/>
    <mergeCell ref="AU78:AV78"/>
    <mergeCell ref="AW78:AX78"/>
    <mergeCell ref="AP79:AS79"/>
    <mergeCell ref="AU79:AV79"/>
    <mergeCell ref="AW79:AX79"/>
    <mergeCell ref="AP80:AS80"/>
    <mergeCell ref="AU80:AV80"/>
    <mergeCell ref="AW80:AX80"/>
    <mergeCell ref="AP81:AS81"/>
    <mergeCell ref="AU81:AV81"/>
    <mergeCell ref="AW81:AX81"/>
    <mergeCell ref="AP82:AS82"/>
    <mergeCell ref="AU82:AV82"/>
    <mergeCell ref="AW82:AX82"/>
    <mergeCell ref="AU128:AV128"/>
    <mergeCell ref="AW128:AX128"/>
    <mergeCell ref="AU129:AV129"/>
    <mergeCell ref="AW129:AX129"/>
    <mergeCell ref="AU130:AV130"/>
    <mergeCell ref="AW130:AX130"/>
    <mergeCell ref="AP131:AS131"/>
    <mergeCell ref="AU131:AV131"/>
    <mergeCell ref="AW131:AX131"/>
    <mergeCell ref="AU132:AV132"/>
    <mergeCell ref="AW132:AX132"/>
    <mergeCell ref="AU133:AV133"/>
    <mergeCell ref="AW133:AX133"/>
    <mergeCell ref="AU134:AV134"/>
    <mergeCell ref="AW134:AX134"/>
    <mergeCell ref="AU135:AV135"/>
    <mergeCell ref="AW135:AX135"/>
    <mergeCell ref="AU136:AV136"/>
    <mergeCell ref="AW136:AX136"/>
    <mergeCell ref="AU137:AV137"/>
    <mergeCell ref="AW137:AX137"/>
    <mergeCell ref="AU138:AV138"/>
    <mergeCell ref="AW138:AX138"/>
    <mergeCell ref="AU139:AV139"/>
    <mergeCell ref="AW139:AX139"/>
    <mergeCell ref="AU140:AV140"/>
    <mergeCell ref="AW140:AX140"/>
    <mergeCell ref="AP142:AS142"/>
    <mergeCell ref="AU142:AV142"/>
    <mergeCell ref="AW142:AX142"/>
    <mergeCell ref="AP143:AS143"/>
    <mergeCell ref="AU143:AV143"/>
    <mergeCell ref="AW143:AX143"/>
    <mergeCell ref="AU144:AV144"/>
    <mergeCell ref="AW144:AX144"/>
    <mergeCell ref="AU145:AV145"/>
    <mergeCell ref="AW145:AX145"/>
    <mergeCell ref="AP146:AS146"/>
    <mergeCell ref="AU146:AV146"/>
    <mergeCell ref="AW146:AX146"/>
    <mergeCell ref="AP147:AS147"/>
    <mergeCell ref="AU147:AV147"/>
    <mergeCell ref="AW147:AX147"/>
    <mergeCell ref="AP148:AS148"/>
    <mergeCell ref="AU148:AV148"/>
    <mergeCell ref="AW148:AX148"/>
    <mergeCell ref="AP149:AS149"/>
    <mergeCell ref="AU149:AV149"/>
    <mergeCell ref="AW149:AX149"/>
    <mergeCell ref="AP150:AS150"/>
    <mergeCell ref="AU150:AV150"/>
    <mergeCell ref="AW150:AX150"/>
    <mergeCell ref="AP152:AS152"/>
    <mergeCell ref="AU152:AV152"/>
    <mergeCell ref="AW152:AX152"/>
    <mergeCell ref="AP155:AS155"/>
    <mergeCell ref="AP156:AS156"/>
    <mergeCell ref="AP157:AS157"/>
    <mergeCell ref="AP171:AS171"/>
    <mergeCell ref="AP172:AS172"/>
    <mergeCell ref="AP158:AS158"/>
    <mergeCell ref="AP159:AS159"/>
    <mergeCell ref="AP160:AS160"/>
    <mergeCell ref="AP165:AS165"/>
    <mergeCell ref="AP166:AS166"/>
    <mergeCell ref="AP167:AS167"/>
    <mergeCell ref="AP168:AS168"/>
    <mergeCell ref="AP169:AS169"/>
    <mergeCell ref="AP170:AS170"/>
    <mergeCell ref="BS13:BS14"/>
    <mergeCell ref="AM7:AN7"/>
    <mergeCell ref="AP7:AQ7"/>
    <mergeCell ref="BD13:BD14"/>
    <mergeCell ref="BE13:BE14"/>
    <mergeCell ref="BF13:BF14"/>
    <mergeCell ref="BG13:BJ13"/>
    <mergeCell ref="BK13:BK14"/>
    <mergeCell ref="BL13:BM13"/>
    <mergeCell ref="BN13:BO13"/>
    <mergeCell ref="BP13:BP14"/>
    <mergeCell ref="BQ13:BQ14"/>
    <mergeCell ref="AM13:AM14"/>
    <mergeCell ref="AN13:AN14"/>
    <mergeCell ref="AO13:AO14"/>
    <mergeCell ref="AP13:AS13"/>
    <mergeCell ref="AT13:AT14"/>
    <mergeCell ref="AU13:AV13"/>
    <mergeCell ref="AW13:AX13"/>
    <mergeCell ref="AY13:AY14"/>
    <mergeCell ref="AZ13:AZ14"/>
    <mergeCell ref="BB13:BB14"/>
  </mergeCells>
  <phoneticPr fontId="4" type="noConversion"/>
  <pageMargins left="0.43307086614173229" right="0.15748031496062992" top="0.43307086614173229" bottom="0.43307086614173229" header="0.27559055118110237" footer="0.27559055118110237"/>
  <pageSetup paperSize="8" scale="55" fitToHeight="2" orientation="portrait" r:id="rId2"/>
  <headerFooter alignWithMargins="0"/>
  <ignoredErrors>
    <ignoredError sqref="K15" formula="1"/>
  </ignoredError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53"/>
  <sheetViews>
    <sheetView topLeftCell="A2" zoomScale="80" zoomScaleNormal="80" workbookViewId="0">
      <selection activeCell="A2" sqref="A2"/>
    </sheetView>
  </sheetViews>
  <sheetFormatPr defaultRowHeight="12.75" x14ac:dyDescent="0.2"/>
  <cols>
    <col min="1" max="1" width="9.140625" style="242"/>
    <col min="2" max="2" width="4" style="221" hidden="1" customWidth="1"/>
    <col min="3" max="3" width="7.85546875" style="221" hidden="1" customWidth="1"/>
    <col min="4" max="4" width="38.7109375" style="211" customWidth="1"/>
    <col min="5" max="5" width="75.28515625" style="211" customWidth="1"/>
    <col min="6" max="8" width="13.28515625" style="232" customWidth="1"/>
    <col min="9" max="9" width="13.28515625" style="211" customWidth="1"/>
    <col min="10" max="12" width="13.28515625" style="232" customWidth="1"/>
    <col min="13" max="13" width="13.28515625" style="211" customWidth="1"/>
    <col min="14" max="16384" width="9.140625" style="211"/>
  </cols>
  <sheetData>
    <row r="1" spans="2:13" hidden="1" x14ac:dyDescent="0.2">
      <c r="F1" s="225">
        <v>4</v>
      </c>
      <c r="G1" s="225">
        <v>5</v>
      </c>
      <c r="H1" s="225">
        <v>6</v>
      </c>
      <c r="I1" s="225">
        <v>7</v>
      </c>
    </row>
    <row r="3" spans="2:13" ht="18" x14ac:dyDescent="0.2">
      <c r="D3" s="210" t="s">
        <v>494</v>
      </c>
      <c r="I3" s="212"/>
      <c r="J3" s="233"/>
      <c r="K3" s="233"/>
      <c r="L3" s="233"/>
      <c r="M3" s="212"/>
    </row>
    <row r="4" spans="2:13" ht="18" x14ac:dyDescent="0.2">
      <c r="D4" s="213" t="s">
        <v>497</v>
      </c>
    </row>
    <row r="7" spans="2:13" ht="16.5" x14ac:dyDescent="0.25">
      <c r="D7" s="214"/>
    </row>
    <row r="8" spans="2:13" ht="21" customHeight="1" x14ac:dyDescent="0.2">
      <c r="D8" s="333" t="s">
        <v>495</v>
      </c>
      <c r="E8" s="331" t="s">
        <v>496</v>
      </c>
      <c r="F8" s="338" t="s">
        <v>3</v>
      </c>
      <c r="G8" s="339"/>
      <c r="H8" s="339"/>
      <c r="I8" s="339"/>
      <c r="J8" s="339"/>
      <c r="K8" s="339"/>
      <c r="L8" s="339"/>
      <c r="M8" s="340"/>
    </row>
    <row r="9" spans="2:13" ht="43.5" customHeight="1" x14ac:dyDescent="0.2">
      <c r="D9" s="334"/>
      <c r="E9" s="332"/>
      <c r="F9" s="335" t="s">
        <v>501</v>
      </c>
      <c r="G9" s="336"/>
      <c r="H9" s="336"/>
      <c r="I9" s="337"/>
      <c r="J9" s="335" t="s">
        <v>502</v>
      </c>
      <c r="K9" s="336"/>
      <c r="L9" s="336"/>
      <c r="M9" s="337"/>
    </row>
    <row r="10" spans="2:13" x14ac:dyDescent="0.2">
      <c r="B10" s="223">
        <v>1</v>
      </c>
      <c r="C10" s="220"/>
      <c r="D10" s="341" t="s">
        <v>498</v>
      </c>
      <c r="E10" s="218" t="str">
        <f>VLOOKUP(B10,'EECL Price List'!$A$12:$P$172,2,FALSE)</f>
        <v>Application fee - Basic or standard connection</v>
      </c>
      <c r="F10" s="237" t="str">
        <f>IF(VLOOKUP($B10,'EECL Price List'!$A$12:$P$172,F$1,FALSE)=0,"",VLOOKUP($B10,'EECL Price List'!$A$12:$P$172,F$1,FALSE))</f>
        <v>APFSAC</v>
      </c>
      <c r="G10" s="237" t="str">
        <f>IF(VLOOKUP($B10,'EECL Price List'!$A$12:$P$172,G$1,FALSE)=0,"",VLOOKUP($B10,'EECL Price List'!$A$12:$P$172,G$1,FALSE))</f>
        <v/>
      </c>
      <c r="H10" s="237"/>
      <c r="I10" s="218"/>
      <c r="J10" s="240" t="str">
        <f>IFERROR(IF(VLOOKUP($C10,'EECL Price List'!$A$12:$P$172,F$1,FALSE)=0,"",VLOOKUP($C10,'EECL Price List'!$A$12:$P$172,F$1,FALSE)),"")</f>
        <v/>
      </c>
      <c r="K10" s="237" t="str">
        <f>IFERROR(IF(VLOOKUP($C10,'EECL Price List'!$A$12:$P$172,G$1,FALSE)=0,"",VLOOKUP($C10,'EECL Price List'!$A$12:$P$172,G$1,FALSE)),"")</f>
        <v/>
      </c>
      <c r="L10" s="237"/>
      <c r="M10" s="237"/>
    </row>
    <row r="11" spans="2:13" x14ac:dyDescent="0.2">
      <c r="B11" s="223">
        <v>2</v>
      </c>
      <c r="C11" s="220"/>
      <c r="D11" s="341"/>
      <c r="E11" s="215" t="str">
        <f>VLOOKUP(B11,'EECL Price List'!$A$12:$P$172,2,FALSE)</f>
        <v>Application fee - Basic or standard connection - Micro-embedded generators</v>
      </c>
      <c r="F11" s="234" t="str">
        <f>IF(VLOOKUP($B11,'EECL Price List'!$A$12:$P$172,F$1,FALSE)=0,"",VLOOKUP($B11,'EECL Price List'!$A$12:$P$172,F$1,FALSE))</f>
        <v>APFMEG</v>
      </c>
      <c r="G11" s="234" t="str">
        <f>IF(VLOOKUP($B11,'EECL Price List'!$A$12:$P$172,G$1,FALSE)=0,"",VLOOKUP($B11,'EECL Price List'!$A$12:$P$172,G$1,FALSE))</f>
        <v/>
      </c>
      <c r="H11" s="234"/>
      <c r="I11" s="215"/>
      <c r="J11" s="234" t="str">
        <f>IFERROR(IF(VLOOKUP($C11,'EECL Price List'!$A$12:$P$172,F$1,FALSE)=0,"",VLOOKUP($C11,'EECL Price List'!$A$12:$P$172,F$1,FALSE)),"")</f>
        <v/>
      </c>
      <c r="K11" s="234" t="str">
        <f>IFERROR(IF(VLOOKUP($C11,'EECL Price List'!$A$12:$P$172,G$1,FALSE)=0,"",VLOOKUP($C11,'EECL Price List'!$A$12:$P$172,G$1,FALSE)),"")</f>
        <v/>
      </c>
      <c r="L11" s="234"/>
      <c r="M11" s="215"/>
    </row>
    <row r="12" spans="2:13" ht="24" x14ac:dyDescent="0.2">
      <c r="B12" s="223">
        <v>3</v>
      </c>
      <c r="C12" s="220"/>
      <c r="D12" s="341"/>
      <c r="E12" s="215" t="str">
        <f>VLOOKUP(B12,'EECL Price List'!$A$12:$P$172,2,FALSE)</f>
        <v>Application fee - Basic or standard connection - Micro-embedded generators - Technical assessment required</v>
      </c>
      <c r="F12" s="234" t="str">
        <f>IF(VLOOKUP($B12,'EECL Price List'!$A$12:$P$172,F$1,FALSE)=0,"",VLOOKUP($B12,'EECL Price List'!$A$12:$P$172,F$1,FALSE))</f>
        <v>APFMTA</v>
      </c>
      <c r="G12" s="234" t="str">
        <f>IF(VLOOKUP($B12,'EECL Price List'!$A$12:$P$172,G$1,FALSE)=0,"",VLOOKUP($B12,'EECL Price List'!$A$12:$P$172,G$1,FALSE))</f>
        <v/>
      </c>
      <c r="H12" s="234"/>
      <c r="I12" s="215"/>
      <c r="J12" s="234" t="str">
        <f>IFERROR(IF(VLOOKUP($C12,'EECL Price List'!$A$12:$P$172,F$1,FALSE)=0,"",VLOOKUP($C12,'EECL Price List'!$A$12:$P$172,F$1,FALSE)),"")</f>
        <v/>
      </c>
      <c r="K12" s="234" t="str">
        <f>IFERROR(IF(VLOOKUP($C12,'EECL Price List'!$A$12:$P$172,G$1,FALSE)=0,"",VLOOKUP($C12,'EECL Price List'!$A$12:$P$172,G$1,FALSE)),"")</f>
        <v/>
      </c>
      <c r="L12" s="234"/>
      <c r="M12" s="215"/>
    </row>
    <row r="13" spans="2:13" x14ac:dyDescent="0.2">
      <c r="B13" s="223">
        <v>4</v>
      </c>
      <c r="C13" s="220"/>
      <c r="D13" s="341"/>
      <c r="E13" s="215" t="str">
        <f>VLOOKUP(B13,'EECL Price List'!$A$12:$P$172,2,FALSE)</f>
        <v>Application fee - Real estate development connection</v>
      </c>
      <c r="F13" s="234" t="str">
        <f>IF(VLOOKUP($B13,'EECL Price List'!$A$12:$P$172,F$1,FALSE)=0,"",VLOOKUP($B13,'EECL Price List'!$A$12:$P$172,F$1,FALSE))</f>
        <v>APFRED</v>
      </c>
      <c r="G13" s="234" t="str">
        <f>IF(VLOOKUP($B13,'EECL Price List'!$A$12:$P$172,G$1,FALSE)=0,"",VLOOKUP($B13,'EECL Price List'!$A$12:$P$172,G$1,FALSE))</f>
        <v/>
      </c>
      <c r="H13" s="234"/>
      <c r="I13" s="215"/>
      <c r="J13" s="234" t="str">
        <f>IFERROR(IF(VLOOKUP($C13,'EECL Price List'!$A$12:$P$172,F$1,FALSE)=0,"",VLOOKUP($C13,'EECL Price List'!$A$12:$P$172,F$1,FALSE)),"")</f>
        <v/>
      </c>
      <c r="K13" s="234" t="str">
        <f>IFERROR(IF(VLOOKUP($C13,'EECL Price List'!$A$12:$P$172,G$1,FALSE)=0,"",VLOOKUP($C13,'EECL Price List'!$A$12:$P$172,G$1,FALSE)),"")</f>
        <v/>
      </c>
      <c r="L13" s="234"/>
      <c r="M13" s="215"/>
    </row>
    <row r="14" spans="2:13" x14ac:dyDescent="0.2">
      <c r="B14" s="223">
        <v>5</v>
      </c>
      <c r="C14" s="220"/>
      <c r="D14" s="341"/>
      <c r="E14" s="215" t="str">
        <f>VLOOKUP(B14,'EECL Price List'!$A$12:$P$172,2,FALSE)</f>
        <v>Protection and Power Quality assessment prior to connection</v>
      </c>
      <c r="F14" s="234" t="str">
        <f>IF(VLOOKUP($B14,'EECL Price List'!$A$12:$P$172,F$1,FALSE)=0,"",VLOOKUP($B14,'EECL Price List'!$A$12:$P$172,F$1,FALSE))</f>
        <v>PPQA</v>
      </c>
      <c r="G14" s="234" t="str">
        <f>IF(VLOOKUP($B14,'EECL Price List'!$A$12:$P$172,G$1,FALSE)=0,"",VLOOKUP($B14,'EECL Price List'!$A$12:$P$172,G$1,FALSE))</f>
        <v/>
      </c>
      <c r="H14" s="234"/>
      <c r="I14" s="215"/>
      <c r="J14" s="234" t="str">
        <f>IFERROR(IF(VLOOKUP($C14,'EECL Price List'!$A$12:$P$172,F$1,FALSE)=0,"",VLOOKUP($C14,'EECL Price List'!$A$12:$P$172,F$1,FALSE)),"")</f>
        <v/>
      </c>
      <c r="K14" s="234" t="str">
        <f>IFERROR(IF(VLOOKUP($C14,'EECL Price List'!$A$12:$P$172,G$1,FALSE)=0,"",VLOOKUP($C14,'EECL Price List'!$A$12:$P$172,G$1,FALSE)),"")</f>
        <v/>
      </c>
      <c r="L14" s="234"/>
      <c r="M14" s="215"/>
    </row>
    <row r="15" spans="2:13" ht="24" x14ac:dyDescent="0.2">
      <c r="B15" s="223">
        <v>6</v>
      </c>
      <c r="C15" s="223" t="s">
        <v>46</v>
      </c>
      <c r="D15" s="341"/>
      <c r="E15" s="215" t="str">
        <f>VLOOKUP(B15,'EECL Price List'!$A$12:$P$172,2,FALSE)</f>
        <v>Temporary connection, not in permanent position - single phase metered - urban/short rural feeders</v>
      </c>
      <c r="F15" s="234" t="str">
        <f>IF(VLOOKUP($B15,'EECL Price List'!$A$12:$P$172,F$1,FALSE)=0,"",VLOOKUP($B15,'EECL Price List'!$A$12:$P$172,F$1,FALSE))</f>
        <v>TBSSPU</v>
      </c>
      <c r="G15" s="234" t="str">
        <f>IF(VLOOKUP($B15,'EECL Price List'!$A$12:$P$172,G$1,FALSE)=0,"",VLOOKUP($B15,'EECL Price List'!$A$12:$P$172,G$1,FALSE))</f>
        <v>TBSSPS</v>
      </c>
      <c r="H15" s="234"/>
      <c r="I15" s="215"/>
      <c r="J15" s="234" t="str">
        <f>IFERROR(IF(VLOOKUP($C15,'EECL Price List'!$A$12:$P$172,F$1,FALSE)=0,"",VLOOKUP($C15,'EECL Price List'!$A$12:$P$172,F$1,FALSE)),"")</f>
        <v>CFTBSSPU</v>
      </c>
      <c r="K15" s="234" t="str">
        <f>IFERROR(IF(VLOOKUP($C15,'EECL Price List'!$A$12:$P$172,G$1,FALSE)=0,"",VLOOKUP($C15,'EECL Price List'!$A$12:$P$172,G$1,FALSE)),"")</f>
        <v>CFTBSSPS</v>
      </c>
      <c r="L15" s="234"/>
      <c r="M15" s="234"/>
    </row>
    <row r="16" spans="2:13" ht="24" x14ac:dyDescent="0.2">
      <c r="B16" s="223">
        <v>8</v>
      </c>
      <c r="C16" s="223" t="s">
        <v>52</v>
      </c>
      <c r="D16" s="341"/>
      <c r="E16" s="215" t="str">
        <f>VLOOKUP(B16,'EECL Price List'!$A$12:$P$172,2,FALSE)</f>
        <v>Temporary connection, not in permanent position - multi phase metered - urban/short rural feeders</v>
      </c>
      <c r="F16" s="234" t="str">
        <f>IF(VLOOKUP($B16,'EECL Price List'!$A$12:$P$172,F$1,FALSE)=0,"",VLOOKUP($B16,'EECL Price List'!$A$12:$P$172,F$1,FALSE))</f>
        <v>TBSMPU</v>
      </c>
      <c r="G16" s="234" t="str">
        <f>IF(VLOOKUP($B16,'EECL Price List'!$A$12:$P$172,G$1,FALSE)=0,"",VLOOKUP($B16,'EECL Price List'!$A$12:$P$172,G$1,FALSE))</f>
        <v>TBSMPS</v>
      </c>
      <c r="H16" s="234"/>
      <c r="I16" s="215"/>
      <c r="J16" s="234" t="str">
        <f>IFERROR(IF(VLOOKUP($C16,'EECL Price List'!$A$12:$P$172,F$1,FALSE)=0,"",VLOOKUP($C16,'EECL Price List'!$A$12:$P$172,F$1,FALSE)),"")</f>
        <v>CFTBSMPU</v>
      </c>
      <c r="K16" s="234" t="str">
        <f>IFERROR(IF(VLOOKUP($C16,'EECL Price List'!$A$12:$P$172,G$1,FALSE)=0,"",VLOOKUP($C16,'EECL Price List'!$A$12:$P$172,G$1,FALSE)),"")</f>
        <v>CFTBSMPS</v>
      </c>
      <c r="L16" s="234"/>
      <c r="M16" s="215"/>
    </row>
    <row r="17" spans="1:13" x14ac:dyDescent="0.2">
      <c r="B17" s="223">
        <v>10</v>
      </c>
      <c r="C17" s="223" t="s">
        <v>59</v>
      </c>
      <c r="D17" s="341"/>
      <c r="E17" s="215" t="str">
        <f>VLOOKUP(B17,'EECL Price List'!$A$12:$P$172,2,FALSE)</f>
        <v>Supply abolishment during business hours - urban/short rural feeders</v>
      </c>
      <c r="F17" s="234" t="str">
        <f>IF(VLOOKUP($B17,'EECL Price List'!$A$12:$P$172,F$1,FALSE)=0,"",VLOOKUP($B17,'EECL Price List'!$A$12:$P$172,F$1,FALSE))</f>
        <v>SUPABOLU</v>
      </c>
      <c r="G17" s="234" t="str">
        <f>IF(VLOOKUP($B17,'EECL Price List'!$A$12:$P$172,G$1,FALSE)=0,"",VLOOKUP($B17,'EECL Price List'!$A$12:$P$172,G$1,FALSE))</f>
        <v>SUPABOLS</v>
      </c>
      <c r="H17" s="234"/>
      <c r="I17" s="215"/>
      <c r="J17" s="234" t="str">
        <f>IFERROR(IF(VLOOKUP($C17,'EECL Price List'!$A$12:$P$172,F$1,FALSE)=0,"",VLOOKUP($C17,'EECL Price List'!$A$12:$P$172,F$1,FALSE)),"")</f>
        <v>CFSUPABOLU</v>
      </c>
      <c r="K17" s="234" t="str">
        <f>IFERROR(IF(VLOOKUP($C17,'EECL Price List'!$A$12:$P$172,G$1,FALSE)=0,"",VLOOKUP($C17,'EECL Price List'!$A$12:$P$172,G$1,FALSE)),"")</f>
        <v>CFSUPABOLS</v>
      </c>
      <c r="L17" s="234"/>
      <c r="M17" s="215"/>
    </row>
    <row r="18" spans="1:13" x14ac:dyDescent="0.2">
      <c r="B18" s="223">
        <v>12</v>
      </c>
      <c r="C18" s="223" t="s">
        <v>65</v>
      </c>
      <c r="D18" s="341"/>
      <c r="E18" s="215" t="str">
        <f>VLOOKUP(B18,'EECL Price List'!$A$12:$P$172,2,FALSE)</f>
        <v>De-energisation during business hours - urban/short rural feeders</v>
      </c>
      <c r="F18" s="234" t="str">
        <f>IF(VLOOKUP($B18,'EECL Price List'!$A$12:$P$172,F$1,FALSE)=0,"",VLOOKUP($B18,'EECL Price List'!$A$12:$P$172,F$1,FALSE))</f>
        <v>DEENBHU</v>
      </c>
      <c r="G18" s="234" t="str">
        <f>IF(VLOOKUP($B18,'EECL Price List'!$A$12:$P$172,G$1,FALSE)=0,"",VLOOKUP($B18,'EECL Price List'!$A$12:$P$172,G$1,FALSE))</f>
        <v>DEENBHS</v>
      </c>
      <c r="H18" s="234"/>
      <c r="I18" s="215"/>
      <c r="J18" s="234" t="str">
        <f>IFERROR(IF(VLOOKUP($C18,'EECL Price List'!$A$12:$P$172,F$1,FALSE)=0,"",VLOOKUP($C18,'EECL Price List'!$A$12:$P$172,F$1,FALSE)),"")</f>
        <v>CFDEENBHU</v>
      </c>
      <c r="K18" s="234" t="str">
        <f>IFERROR(IF(VLOOKUP($C18,'EECL Price List'!$A$12:$P$172,G$1,FALSE)=0,"",VLOOKUP($C18,'EECL Price List'!$A$12:$P$172,G$1,FALSE)),"")</f>
        <v>CFDEENBHS</v>
      </c>
      <c r="L18" s="234"/>
      <c r="M18" s="215"/>
    </row>
    <row r="19" spans="1:13" x14ac:dyDescent="0.2">
      <c r="B19" s="223">
        <v>14</v>
      </c>
      <c r="C19" s="223" t="s">
        <v>71</v>
      </c>
      <c r="D19" s="341"/>
      <c r="E19" s="215" t="str">
        <f>VLOOKUP(B19,'EECL Price List'!$A$12:$P$172,2,FALSE)</f>
        <v>Re-energisation during business hours - urban/short rural feeders</v>
      </c>
      <c r="F19" s="234" t="str">
        <f>IF(VLOOKUP($B19,'EECL Price List'!$A$12:$P$172,F$1,FALSE)=0,"",VLOOKUP($B19,'EECL Price List'!$A$12:$P$172,F$1,FALSE))</f>
        <v>REENBHU</v>
      </c>
      <c r="G19" s="234" t="str">
        <f>IF(VLOOKUP($B19,'EECL Price List'!$A$12:$P$172,G$1,FALSE)=0,"",VLOOKUP($B19,'EECL Price List'!$A$12:$P$172,G$1,FALSE))</f>
        <v>REENBHS</v>
      </c>
      <c r="H19" s="234"/>
      <c r="I19" s="215"/>
      <c r="J19" s="234" t="str">
        <f>IFERROR(IF(VLOOKUP($C19,'EECL Price List'!$A$12:$P$172,F$1,FALSE)=0,"",VLOOKUP($C19,'EECL Price List'!$A$12:$P$172,F$1,FALSE)),"")</f>
        <v>CFREENBHU</v>
      </c>
      <c r="K19" s="234" t="str">
        <f>IFERROR(IF(VLOOKUP($C19,'EECL Price List'!$A$12:$P$172,G$1,FALSE)=0,"",VLOOKUP($C19,'EECL Price List'!$A$12:$P$172,G$1,FALSE)),"")</f>
        <v>CFREENBHS</v>
      </c>
      <c r="L19" s="234"/>
      <c r="M19" s="215"/>
    </row>
    <row r="20" spans="1:13" ht="24" x14ac:dyDescent="0.2">
      <c r="B20" s="223">
        <v>16</v>
      </c>
      <c r="C20" s="223" t="s">
        <v>77</v>
      </c>
      <c r="D20" s="341"/>
      <c r="E20" s="215" t="str">
        <f>VLOOKUP(B20,'EECL Price List'!$A$12:$P$172,2,FALSE)</f>
        <v>Re-energisation during business hours - after de-energisation for debt - urban/short rural feeders</v>
      </c>
      <c r="F20" s="234" t="str">
        <f>IF(VLOOKUP($B20,'EECL Price List'!$A$12:$P$172,F$1,FALSE)=0,"",VLOOKUP($B20,'EECL Price List'!$A$12:$P$172,F$1,FALSE))</f>
        <v>REDDBHU</v>
      </c>
      <c r="G20" s="234" t="str">
        <f>IF(VLOOKUP($B20,'EECL Price List'!$A$12:$P$172,G$1,FALSE)=0,"",VLOOKUP($B20,'EECL Price List'!$A$12:$P$172,G$1,FALSE))</f>
        <v>REDDBHS</v>
      </c>
      <c r="H20" s="234"/>
      <c r="I20" s="215"/>
      <c r="J20" s="234" t="str">
        <f>IFERROR(IF(VLOOKUP($C20,'EECL Price List'!$A$12:$P$172,F$1,FALSE)=0,"",VLOOKUP($C20,'EECL Price List'!$A$12:$P$172,F$1,FALSE)),"")</f>
        <v>CFREDDBHU</v>
      </c>
      <c r="K20" s="234" t="str">
        <f>IFERROR(IF(VLOOKUP($C20,'EECL Price List'!$A$12:$P$172,G$1,FALSE)=0,"",VLOOKUP($C20,'EECL Price List'!$A$12:$P$172,G$1,FALSE)),"")</f>
        <v>CFREDDBHS</v>
      </c>
      <c r="L20" s="234"/>
      <c r="M20" s="215"/>
    </row>
    <row r="21" spans="1:13" x14ac:dyDescent="0.2">
      <c r="B21" s="223">
        <v>18</v>
      </c>
      <c r="D21" s="341"/>
      <c r="E21" s="215" t="str">
        <f>VLOOKUP(B21,'EECL Price List'!$A$12:$P$172,2,FALSE)</f>
        <v>Accreditation of alternative service providers - real estate developments</v>
      </c>
      <c r="F21" s="234" t="str">
        <f>IF(VLOOKUP($B21,'EECL Price List'!$A$12:$P$172,F$1,FALSE)=0,"",VLOOKUP($B21,'EECL Price List'!$A$12:$P$172,F$1,FALSE))</f>
        <v>ASPRED</v>
      </c>
      <c r="G21" s="234" t="str">
        <f>IF(VLOOKUP($B21,'EECL Price List'!$A$12:$P$172,G$1,FALSE)=0,"",VLOOKUP($B21,'EECL Price List'!$A$12:$P$172,G$1,FALSE))</f>
        <v/>
      </c>
      <c r="H21" s="234"/>
      <c r="I21" s="215"/>
      <c r="J21" s="234" t="str">
        <f>IFERROR(IF(VLOOKUP($C21,'EECL Price List'!$A$12:$P$172,F$1,FALSE)=0,"",VLOOKUP($C21,'EECL Price List'!$A$12:$P$172,F$1,FALSE)),"")</f>
        <v/>
      </c>
      <c r="K21" s="234" t="str">
        <f>IFERROR(IF(VLOOKUP($C21,'EECL Price List'!$A$12:$P$172,G$1,FALSE)=0,"",VLOOKUP($C21,'EECL Price List'!$A$12:$P$172,G$1,FALSE)),"")</f>
        <v/>
      </c>
      <c r="L21" s="234"/>
      <c r="M21" s="215"/>
    </row>
    <row r="22" spans="1:13" x14ac:dyDescent="0.2">
      <c r="B22" s="223">
        <v>19</v>
      </c>
      <c r="C22" s="223" t="s">
        <v>159</v>
      </c>
      <c r="D22" s="341"/>
      <c r="E22" s="215" t="str">
        <f>VLOOKUP(B22,'EECL Price List'!$A$12:$P$172,2,FALSE)</f>
        <v>Install replacement meter (Type 5 and 6) – Single phase – urban/short rural feeder</v>
      </c>
      <c r="F22" s="234" t="str">
        <f>IF(VLOOKUP($B22,'EECL Price List'!$A$12:$P$172,F$1,FALSE)=0,"",VLOOKUP($B22,'EECL Price List'!$A$12:$P$172,F$1,FALSE))</f>
        <v>MSNGLU</v>
      </c>
      <c r="G22" s="234" t="str">
        <f>IF(VLOOKUP($B22,'EECL Price List'!$A$12:$P$172,G$1,FALSE)=0,"",VLOOKUP($B22,'EECL Price List'!$A$12:$P$172,G$1,FALSE))</f>
        <v>MSNGLS</v>
      </c>
      <c r="H22" s="234"/>
      <c r="I22" s="215"/>
      <c r="J22" s="234" t="str">
        <f>IFERROR(IF(VLOOKUP($C22,'EECL Price List'!$A$12:$P$172,F$1,FALSE)=0,"",VLOOKUP($C22,'EECL Price List'!$A$12:$P$172,F$1,FALSE)),"")</f>
        <v>CFMSNGLU</v>
      </c>
      <c r="K22" s="234" t="str">
        <f>IFERROR(IF(VLOOKUP($C22,'EECL Price List'!$A$12:$P$172,G$1,FALSE)=0,"",VLOOKUP($C22,'EECL Price List'!$A$12:$P$172,G$1,FALSE)),"")</f>
        <v>CFMSNGLS</v>
      </c>
      <c r="L22" s="234"/>
      <c r="M22" s="215"/>
    </row>
    <row r="23" spans="1:13" x14ac:dyDescent="0.2">
      <c r="B23" s="223">
        <v>21</v>
      </c>
      <c r="C23" s="223" t="s">
        <v>161</v>
      </c>
      <c r="D23" s="341"/>
      <c r="E23" s="215" t="str">
        <f>VLOOKUP(B23,'EECL Price List'!$A$12:$P$172,2,FALSE)</f>
        <v>Install replacement meter (Type 5 and 6) – Dual element – urban/short rural feeder</v>
      </c>
      <c r="F23" s="234" t="str">
        <f>IF(VLOOKUP($B23,'EECL Price List'!$A$12:$P$172,F$1,FALSE)=0,"",VLOOKUP($B23,'EECL Price List'!$A$12:$P$172,F$1,FALSE))</f>
        <v>MDUALU</v>
      </c>
      <c r="G23" s="234" t="str">
        <f>IF(VLOOKUP($B23,'EECL Price List'!$A$12:$P$172,G$1,FALSE)=0,"",VLOOKUP($B23,'EECL Price List'!$A$12:$P$172,G$1,FALSE))</f>
        <v>MDUALS</v>
      </c>
      <c r="H23" s="234"/>
      <c r="I23" s="215"/>
      <c r="J23" s="234" t="str">
        <f>IFERROR(IF(VLOOKUP($C23,'EECL Price List'!$A$12:$P$172,F$1,FALSE)=0,"",VLOOKUP($C23,'EECL Price List'!$A$12:$P$172,F$1,FALSE)),"")</f>
        <v>CFMDUALU</v>
      </c>
      <c r="K23" s="234" t="str">
        <f>IFERROR(IF(VLOOKUP($C23,'EECL Price List'!$A$12:$P$172,G$1,FALSE)=0,"",VLOOKUP($C23,'EECL Price List'!$A$12:$P$172,G$1,FALSE)),"")</f>
        <v>CFMDUALS</v>
      </c>
      <c r="L23" s="234"/>
      <c r="M23" s="215"/>
    </row>
    <row r="24" spans="1:13" x14ac:dyDescent="0.2">
      <c r="B24" s="223">
        <v>23</v>
      </c>
      <c r="C24" s="223" t="s">
        <v>163</v>
      </c>
      <c r="D24" s="341"/>
      <c r="E24" s="215" t="str">
        <f>VLOOKUP(B24,'EECL Price List'!$A$12:$P$172,2,FALSE)</f>
        <v>Install replacement meter (Type 5 and 6) – Polyphase – urban/short rural feeder</v>
      </c>
      <c r="F24" s="234" t="str">
        <f>IF(VLOOKUP($B24,'EECL Price List'!$A$12:$P$172,F$1,FALSE)=0,"",VLOOKUP($B24,'EECL Price List'!$A$12:$P$172,F$1,FALSE))</f>
        <v>MTHREU</v>
      </c>
      <c r="G24" s="234" t="str">
        <f>IF(VLOOKUP($B24,'EECL Price List'!$A$12:$P$172,G$1,FALSE)=0,"",VLOOKUP($B24,'EECL Price List'!$A$12:$P$172,G$1,FALSE))</f>
        <v>MTHRES</v>
      </c>
      <c r="H24" s="234"/>
      <c r="I24" s="215"/>
      <c r="J24" s="234" t="str">
        <f>IFERROR(IF(VLOOKUP($C24,'EECL Price List'!$A$12:$P$172,F$1,FALSE)=0,"",VLOOKUP($C24,'EECL Price List'!$A$12:$P$172,F$1,FALSE)),"")</f>
        <v>CFMTHREU</v>
      </c>
      <c r="K24" s="234" t="str">
        <f>IFERROR(IF(VLOOKUP($C24,'EECL Price List'!$A$12:$P$172,G$1,FALSE)=0,"",VLOOKUP($C24,'EECL Price List'!$A$12:$P$172,G$1,FALSE)),"")</f>
        <v>CFMTHRES</v>
      </c>
      <c r="L24" s="234"/>
      <c r="M24" s="215"/>
    </row>
    <row r="25" spans="1:13" x14ac:dyDescent="0.2">
      <c r="B25" s="223">
        <v>25</v>
      </c>
      <c r="C25" s="223" t="s">
        <v>165</v>
      </c>
      <c r="D25" s="341"/>
      <c r="E25" s="215" t="str">
        <f>VLOOKUP(B25,'EECL Price List'!$A$12:$P$172,2,FALSE)</f>
        <v>Install replacement meter (CT) – urban/short rural feeder</v>
      </c>
      <c r="F25" s="234" t="str">
        <f>IF(VLOOKUP($B25,'EECL Price List'!$A$12:$P$172,F$1,FALSE)=0,"",VLOOKUP($B25,'EECL Price List'!$A$12:$P$172,F$1,FALSE))</f>
        <v>MCTU</v>
      </c>
      <c r="G25" s="234" t="str">
        <f>IF(VLOOKUP($B25,'EECL Price List'!$A$12:$P$172,G$1,FALSE)=0,"",VLOOKUP($B25,'EECL Price List'!$A$12:$P$172,G$1,FALSE))</f>
        <v>MCTS</v>
      </c>
      <c r="H25" s="234"/>
      <c r="I25" s="215"/>
      <c r="J25" s="234" t="str">
        <f>IFERROR(IF(VLOOKUP($C25,'EECL Price List'!$A$12:$P$172,F$1,FALSE)=0,"",VLOOKUP($C25,'EECL Price List'!$A$12:$P$172,F$1,FALSE)),"")</f>
        <v>CFMCTU</v>
      </c>
      <c r="K25" s="234" t="str">
        <f>IFERROR(IF(VLOOKUP($C25,'EECL Price List'!$A$12:$P$172,G$1,FALSE)=0,"",VLOOKUP($C25,'EECL Price List'!$A$12:$P$172,G$1,FALSE)),"")</f>
        <v>CFMCTS</v>
      </c>
      <c r="L25" s="234"/>
      <c r="M25" s="215"/>
    </row>
    <row r="26" spans="1:13" s="232" customFormat="1" x14ac:dyDescent="0.2">
      <c r="A26" s="242"/>
      <c r="B26" s="223">
        <v>140</v>
      </c>
      <c r="C26" s="223" t="s">
        <v>196</v>
      </c>
      <c r="D26" s="341"/>
      <c r="E26" s="234" t="str">
        <f>VLOOKUP(B26,'EECL Price List'!$A$12:$P$172,2,FALSE)</f>
        <v xml:space="preserve">Install new meter (Type 5 and 6) –  Single phase – Primary </v>
      </c>
      <c r="F26" s="234" t="str">
        <f>IF(VLOOKUP($B26,'EECL Price List'!$A$12:$P$172,F$1,FALSE)=0,"",VLOOKUP($B26,'EECL Price List'!$A$12:$P$172,F$1,FALSE))</f>
        <v>NMSPU</v>
      </c>
      <c r="G26" s="234" t="str">
        <f>IF(VLOOKUP($B26,'EECL Price List'!$A$12:$P$172,G$1,FALSE)=0,"",VLOOKUP($B26,'EECL Price List'!$A$12:$P$172,G$1,FALSE))</f>
        <v>NMSPS</v>
      </c>
      <c r="H26" s="234"/>
      <c r="I26" s="234"/>
      <c r="J26" s="234" t="str">
        <f>IFERROR(IF(VLOOKUP($C26,'EECL Price List'!$A$12:$P$172,F$1,FALSE)=0,"",VLOOKUP($C26,'EECL Price List'!$A$12:$P$172,F$1,FALSE)),"")</f>
        <v>CFNMSPU</v>
      </c>
      <c r="K26" s="234" t="str">
        <f>IFERROR(IF(VLOOKUP($C26,'EECL Price List'!$A$12:$P$172,G$1,FALSE)=0,"",VLOOKUP($C26,'EECL Price List'!$A$12:$P$172,G$1,FALSE)),"")</f>
        <v>CFNMSPS</v>
      </c>
      <c r="L26" s="234"/>
      <c r="M26" s="234"/>
    </row>
    <row r="27" spans="1:13" s="232" customFormat="1" x14ac:dyDescent="0.2">
      <c r="A27" s="242"/>
      <c r="B27" s="223">
        <v>141</v>
      </c>
      <c r="C27" s="223" t="s">
        <v>196</v>
      </c>
      <c r="D27" s="341"/>
      <c r="E27" s="234" t="str">
        <f>VLOOKUP(B27,'EECL Price List'!$A$12:$P$172,2,FALSE)</f>
        <v>Install new meter (Type 5 and 6) – Single phase –  Primary plus embedded generation</v>
      </c>
      <c r="F27" s="234" t="str">
        <f>IF(VLOOKUP($B27,'EECL Price List'!$A$12:$P$172,F$1,FALSE)=0,"",VLOOKUP($B27,'EECL Price List'!$A$12:$P$172,F$1,FALSE))</f>
        <v>NMSPEGU</v>
      </c>
      <c r="G27" s="234" t="str">
        <f>IF(VLOOKUP($B27,'EECL Price List'!$A$12:$P$172,G$1,FALSE)=0,"",VLOOKUP($B27,'EECL Price List'!$A$12:$P$172,G$1,FALSE))</f>
        <v>NMSPEGS</v>
      </c>
      <c r="H27" s="234"/>
      <c r="I27" s="234"/>
      <c r="J27" s="234" t="str">
        <f>IFERROR(IF(VLOOKUP($C27,'EECL Price List'!$A$12:$P$172,F$1,FALSE)=0,"",VLOOKUP($C27,'EECL Price List'!$A$12:$P$172,F$1,FALSE)),"")</f>
        <v>CFNMSPU</v>
      </c>
      <c r="K27" s="234" t="str">
        <f>IFERROR(IF(VLOOKUP($C27,'EECL Price List'!$A$12:$P$172,G$1,FALSE)=0,"",VLOOKUP($C27,'EECL Price List'!$A$12:$P$172,G$1,FALSE)),"")</f>
        <v>CFNMSPS</v>
      </c>
      <c r="L27" s="234"/>
      <c r="M27" s="234"/>
    </row>
    <row r="28" spans="1:13" s="232" customFormat="1" x14ac:dyDescent="0.2">
      <c r="A28" s="242"/>
      <c r="B28" s="223">
        <v>142</v>
      </c>
      <c r="C28" s="223" t="s">
        <v>197</v>
      </c>
      <c r="D28" s="341"/>
      <c r="E28" s="234" t="str">
        <f>VLOOKUP(B28,'EECL Price List'!$A$12:$P$172,2,FALSE)</f>
        <v>Install new meter (Type 5 and 6) – Dual element – Primary plus controlled load</v>
      </c>
      <c r="F28" s="234" t="str">
        <f>IF(VLOOKUP($B28,'EECL Price List'!$A$12:$P$172,F$1,FALSE)=0,"",VLOOKUP($B28,'EECL Price List'!$A$12:$P$172,F$1,FALSE))</f>
        <v>NMDPCLU</v>
      </c>
      <c r="G28" s="234" t="str">
        <f>IF(VLOOKUP($B28,'EECL Price List'!$A$12:$P$172,G$1,FALSE)=0,"",VLOOKUP($B28,'EECL Price List'!$A$12:$P$172,G$1,FALSE))</f>
        <v>NMDPCLS</v>
      </c>
      <c r="H28" s="234"/>
      <c r="I28" s="234"/>
      <c r="J28" s="234" t="str">
        <f>IFERROR(IF(VLOOKUP($C28,'EECL Price List'!$A$12:$P$172,F$1,FALSE)=0,"",VLOOKUP($C28,'EECL Price List'!$A$12:$P$172,F$1,FALSE)),"")</f>
        <v>CFNMDUALU</v>
      </c>
      <c r="K28" s="234" t="str">
        <f>IFERROR(IF(VLOOKUP($C28,'EECL Price List'!$A$12:$P$172,G$1,FALSE)=0,"",VLOOKUP($C28,'EECL Price List'!$A$12:$P$172,G$1,FALSE)),"")</f>
        <v>CFNMDUALS</v>
      </c>
      <c r="L28" s="234"/>
      <c r="M28" s="234"/>
    </row>
    <row r="29" spans="1:13" s="232" customFormat="1" ht="24" x14ac:dyDescent="0.2">
      <c r="A29" s="242"/>
      <c r="B29" s="223">
        <v>143</v>
      </c>
      <c r="C29" s="223" t="s">
        <v>197</v>
      </c>
      <c r="D29" s="341"/>
      <c r="E29" s="234" t="str">
        <f>VLOOKUP(B29,'EECL Price List'!$A$12:$P$172,2,FALSE)</f>
        <v>Install new meter (Type 5 and 6) – Dual element – Primary plus controlled load plus embedded generation</v>
      </c>
      <c r="F29" s="234" t="str">
        <f>IF(VLOOKUP($B29,'EECL Price List'!$A$12:$P$172,F$1,FALSE)=0,"",VLOOKUP($B29,'EECL Price List'!$A$12:$P$172,F$1,FALSE))</f>
        <v>NMDPCLEGU</v>
      </c>
      <c r="G29" s="234" t="str">
        <f>IF(VLOOKUP($B29,'EECL Price List'!$A$12:$P$172,G$1,FALSE)=0,"",VLOOKUP($B29,'EECL Price List'!$A$12:$P$172,G$1,FALSE))</f>
        <v>NMDPCLEGS</v>
      </c>
      <c r="H29" s="234"/>
      <c r="I29" s="234"/>
      <c r="J29" s="234" t="str">
        <f>IFERROR(IF(VLOOKUP($C29,'EECL Price List'!$A$12:$P$172,F$1,FALSE)=0,"",VLOOKUP($C29,'EECL Price List'!$A$12:$P$172,F$1,FALSE)),"")</f>
        <v>CFNMDUALU</v>
      </c>
      <c r="K29" s="234" t="str">
        <f>IFERROR(IF(VLOOKUP($C29,'EECL Price List'!$A$12:$P$172,G$1,FALSE)=0,"",VLOOKUP($C29,'EECL Price List'!$A$12:$P$172,G$1,FALSE)),"")</f>
        <v>CFNMDUALS</v>
      </c>
      <c r="L29" s="234"/>
      <c r="M29" s="234"/>
    </row>
    <row r="30" spans="1:13" s="232" customFormat="1" x14ac:dyDescent="0.2">
      <c r="A30" s="242"/>
      <c r="B30" s="223">
        <v>144</v>
      </c>
      <c r="C30" s="223" t="s">
        <v>198</v>
      </c>
      <c r="D30" s="341"/>
      <c r="E30" s="234" t="str">
        <f>VLOOKUP(B30,'EECL Price List'!$A$12:$P$172,2,FALSE)</f>
        <v>Install new meter (Type 5 and 6) – Polyphase – Primary</v>
      </c>
      <c r="F30" s="234" t="str">
        <f>IF(VLOOKUP($B30,'EECL Price List'!$A$12:$P$172,F$1,FALSE)=0,"",VLOOKUP($B30,'EECL Price List'!$A$12:$P$172,F$1,FALSE))</f>
        <v>NMPPU</v>
      </c>
      <c r="G30" s="234" t="str">
        <f>IF(VLOOKUP($B30,'EECL Price List'!$A$12:$P$172,G$1,FALSE)=0,"",VLOOKUP($B30,'EECL Price List'!$A$12:$P$172,G$1,FALSE))</f>
        <v>NMPPS</v>
      </c>
      <c r="H30" s="234"/>
      <c r="I30" s="234"/>
      <c r="J30" s="234" t="str">
        <f>IFERROR(IF(VLOOKUP($C30,'EECL Price List'!$A$12:$P$172,F$1,FALSE)=0,"",VLOOKUP($C30,'EECL Price List'!$A$12:$P$172,F$1,FALSE)),"")</f>
        <v>CFNMTHREU</v>
      </c>
      <c r="K30" s="234" t="str">
        <f>IFERROR(IF(VLOOKUP($C30,'EECL Price List'!$A$12:$P$172,G$1,FALSE)=0,"",VLOOKUP($C30,'EECL Price List'!$A$12:$P$172,G$1,FALSE)),"")</f>
        <v>CFNMTHRES</v>
      </c>
      <c r="L30" s="234"/>
      <c r="M30" s="234"/>
    </row>
    <row r="31" spans="1:13" s="232" customFormat="1" x14ac:dyDescent="0.2">
      <c r="A31" s="242"/>
      <c r="B31" s="223">
        <v>145</v>
      </c>
      <c r="C31" s="223" t="s">
        <v>198</v>
      </c>
      <c r="D31" s="341"/>
      <c r="E31" s="234" t="str">
        <f>VLOOKUP(B31,'EECL Price List'!$A$12:$P$172,2,FALSE)</f>
        <v>Install new meter (Type 5 and 6) – Polyphase – Primary plus embedded generation</v>
      </c>
      <c r="F31" s="234" t="str">
        <f>IF(VLOOKUP($B31,'EECL Price List'!$A$12:$P$172,F$1,FALSE)=0,"",VLOOKUP($B31,'EECL Price List'!$A$12:$P$172,F$1,FALSE))</f>
        <v>NMPPEGU</v>
      </c>
      <c r="G31" s="234" t="str">
        <f>IF(VLOOKUP($B31,'EECL Price List'!$A$12:$P$172,G$1,FALSE)=0,"",VLOOKUP($B31,'EECL Price List'!$A$12:$P$172,G$1,FALSE))</f>
        <v>NMPPEGS</v>
      </c>
      <c r="H31" s="234"/>
      <c r="I31" s="234"/>
      <c r="J31" s="234" t="str">
        <f>IFERROR(IF(VLOOKUP($C31,'EECL Price List'!$A$12:$P$172,F$1,FALSE)=0,"",VLOOKUP($C31,'EECL Price List'!$A$12:$P$172,F$1,FALSE)),"")</f>
        <v>CFNMTHREU</v>
      </c>
      <c r="K31" s="234" t="str">
        <f>IFERROR(IF(VLOOKUP($C31,'EECL Price List'!$A$12:$P$172,G$1,FALSE)=0,"",VLOOKUP($C31,'EECL Price List'!$A$12:$P$172,G$1,FALSE)),"")</f>
        <v>CFNMTHRES</v>
      </c>
      <c r="L31" s="234"/>
      <c r="M31" s="234"/>
    </row>
    <row r="32" spans="1:13" s="232" customFormat="1" x14ac:dyDescent="0.2">
      <c r="A32" s="242"/>
      <c r="B32" s="223">
        <v>146</v>
      </c>
      <c r="C32" s="223" t="s">
        <v>199</v>
      </c>
      <c r="D32" s="341"/>
      <c r="E32" s="234" t="str">
        <f>VLOOKUP(B32,'EECL Price List'!$A$12:$P$172,2,FALSE)</f>
        <v>Install new meter (CT) – Primary</v>
      </c>
      <c r="F32" s="234" t="str">
        <f>IF(VLOOKUP($B32,'EECL Price List'!$A$12:$P$172,F$1,FALSE)=0,"",VLOOKUP($B32,'EECL Price List'!$A$12:$P$172,F$1,FALSE))</f>
        <v>NMCTPU</v>
      </c>
      <c r="G32" s="234" t="str">
        <f>IF(VLOOKUP($B32,'EECL Price List'!$A$12:$P$172,G$1,FALSE)=0,"",VLOOKUP($B32,'EECL Price List'!$A$12:$P$172,G$1,FALSE))</f>
        <v>NMCTPS</v>
      </c>
      <c r="H32" s="234"/>
      <c r="I32" s="234"/>
      <c r="J32" s="234" t="str">
        <f>IFERROR(IF(VLOOKUP($C32,'EECL Price List'!$A$12:$P$172,F$1,FALSE)=0,"",VLOOKUP($C32,'EECL Price List'!$A$12:$P$172,F$1,FALSE)),"")</f>
        <v>CFNMCTU</v>
      </c>
      <c r="K32" s="234" t="str">
        <f>IFERROR(IF(VLOOKUP($C32,'EECL Price List'!$A$12:$P$172,G$1,FALSE)=0,"",VLOOKUP($C32,'EECL Price List'!$A$12:$P$172,G$1,FALSE)),"")</f>
        <v>CFNMCTS</v>
      </c>
      <c r="L32" s="234"/>
      <c r="M32" s="234"/>
    </row>
    <row r="33" spans="1:13" s="232" customFormat="1" x14ac:dyDescent="0.2">
      <c r="A33" s="242"/>
      <c r="B33" s="223">
        <v>147</v>
      </c>
      <c r="C33" s="223" t="s">
        <v>199</v>
      </c>
      <c r="D33" s="341"/>
      <c r="E33" s="234" t="str">
        <f>VLOOKUP(B33,'EECL Price List'!$A$12:$P$172,2,FALSE)</f>
        <v>Install new meter (CT) – Primary plus embedded generation</v>
      </c>
      <c r="F33" s="234" t="str">
        <f>IF(VLOOKUP($B33,'EECL Price List'!$A$12:$P$172,F$1,FALSE)=0,"",VLOOKUP($B33,'EECL Price List'!$A$12:$P$172,F$1,FALSE))</f>
        <v>NMCTPEGU</v>
      </c>
      <c r="G33" s="234" t="str">
        <f>IF(VLOOKUP($B33,'EECL Price List'!$A$12:$P$172,G$1,FALSE)=0,"",VLOOKUP($B33,'EECL Price List'!$A$12:$P$172,G$1,FALSE))</f>
        <v>NMCTPEGS</v>
      </c>
      <c r="H33" s="234"/>
      <c r="I33" s="234"/>
      <c r="J33" s="234" t="str">
        <f>IFERROR(IF(VLOOKUP($C33,'EECL Price List'!$A$12:$P$172,F$1,FALSE)=0,"",VLOOKUP($C33,'EECL Price List'!$A$12:$P$172,F$1,FALSE)),"")</f>
        <v>CFNMCTU</v>
      </c>
      <c r="K33" s="234" t="str">
        <f>IFERROR(IF(VLOOKUP($C33,'EECL Price List'!$A$12:$P$172,G$1,FALSE)=0,"",VLOOKUP($C33,'EECL Price List'!$A$12:$P$172,G$1,FALSE)),"")</f>
        <v>CFNMCTS</v>
      </c>
      <c r="L33" s="234"/>
      <c r="M33" s="234"/>
    </row>
    <row r="34" spans="1:13" s="232" customFormat="1" x14ac:dyDescent="0.2">
      <c r="A34" s="242"/>
      <c r="B34" s="223">
        <v>148</v>
      </c>
      <c r="C34" s="223" t="s">
        <v>196</v>
      </c>
      <c r="D34" s="341"/>
      <c r="E34" s="234" t="str">
        <f>VLOOKUP(B34,'EECL Price List'!$A$12:$P$172,2,FALSE)</f>
        <v xml:space="preserve">Install additional single phase meter for controlled load purposes </v>
      </c>
      <c r="F34" s="234" t="str">
        <f>IF(VLOOKUP($B34,'EECL Price List'!$A$12:$P$172,F$1,FALSE)=0,"",VLOOKUP($B34,'EECL Price List'!$A$12:$P$172,F$1,FALSE))</f>
        <v>ADSPCLU</v>
      </c>
      <c r="G34" s="234" t="str">
        <f>IF(VLOOKUP($B34,'EECL Price List'!$A$12:$P$172,G$1,FALSE)=0,"",VLOOKUP($B34,'EECL Price List'!$A$12:$P$172,G$1,FALSE))</f>
        <v>ADSPCLS</v>
      </c>
      <c r="H34" s="234"/>
      <c r="I34" s="234"/>
      <c r="J34" s="234" t="str">
        <f>IFERROR(IF(VLOOKUP($C34,'EECL Price List'!$A$12:$P$172,F$1,FALSE)=0,"",VLOOKUP($C34,'EECL Price List'!$A$12:$P$172,F$1,FALSE)),"")</f>
        <v>CFNMSPU</v>
      </c>
      <c r="K34" s="234" t="str">
        <f>IFERROR(IF(VLOOKUP($C34,'EECL Price List'!$A$12:$P$172,G$1,FALSE)=0,"",VLOOKUP($C34,'EECL Price List'!$A$12:$P$172,G$1,FALSE)),"")</f>
        <v>CFNMSPS</v>
      </c>
      <c r="L34" s="234"/>
      <c r="M34" s="234"/>
    </row>
    <row r="35" spans="1:13" s="232" customFormat="1" x14ac:dyDescent="0.2">
      <c r="A35" s="242"/>
      <c r="B35" s="223">
        <v>149</v>
      </c>
      <c r="C35" s="223" t="s">
        <v>198</v>
      </c>
      <c r="D35" s="341"/>
      <c r="E35" s="234" t="str">
        <f>VLOOKUP(B35,'EECL Price List'!$A$12:$P$172,2,FALSE)</f>
        <v xml:space="preserve">Install additional polyphase meter for controlled load purposes </v>
      </c>
      <c r="F35" s="234" t="str">
        <f>IF(VLOOKUP($B35,'EECL Price List'!$A$12:$P$172,F$1,FALSE)=0,"",VLOOKUP($B35,'EECL Price List'!$A$12:$P$172,F$1,FALSE))</f>
        <v>ADPPCLU</v>
      </c>
      <c r="G35" s="234" t="str">
        <f>IF(VLOOKUP($B35,'EECL Price List'!$A$12:$P$172,G$1,FALSE)=0,"",VLOOKUP($B35,'EECL Price List'!$A$12:$P$172,G$1,FALSE))</f>
        <v>ADPPCLS</v>
      </c>
      <c r="H35" s="234"/>
      <c r="I35" s="234"/>
      <c r="J35" s="234" t="str">
        <f>IFERROR(IF(VLOOKUP($C35,'EECL Price List'!$A$12:$P$172,F$1,FALSE)=0,"",VLOOKUP($C35,'EECL Price List'!$A$12:$P$172,F$1,FALSE)),"")</f>
        <v>CFNMTHREU</v>
      </c>
      <c r="K35" s="234" t="str">
        <f>IFERROR(IF(VLOOKUP($C35,'EECL Price List'!$A$12:$P$172,G$1,FALSE)=0,"",VLOOKUP($C35,'EECL Price List'!$A$12:$P$172,G$1,FALSE)),"")</f>
        <v>CFNMTHRES</v>
      </c>
      <c r="L35" s="234"/>
      <c r="M35" s="234"/>
    </row>
    <row r="36" spans="1:13" s="232" customFormat="1" x14ac:dyDescent="0.2">
      <c r="A36" s="242"/>
      <c r="B36" s="223">
        <v>150</v>
      </c>
      <c r="C36" s="223" t="s">
        <v>199</v>
      </c>
      <c r="D36" s="341"/>
      <c r="E36" s="234" t="str">
        <f>VLOOKUP(B36,'EECL Price List'!$A$12:$P$172,2,FALSE)</f>
        <v xml:space="preserve">Install additional meter (CT) for controlled load purposes </v>
      </c>
      <c r="F36" s="234" t="str">
        <f>IF(VLOOKUP($B36,'EECL Price List'!$A$12:$P$172,F$1,FALSE)=0,"",VLOOKUP($B36,'EECL Price List'!$A$12:$P$172,F$1,FALSE))</f>
        <v>ADCTCLU</v>
      </c>
      <c r="G36" s="234" t="str">
        <f>IF(VLOOKUP($B36,'EECL Price List'!$A$12:$P$172,G$1,FALSE)=0,"",VLOOKUP($B36,'EECL Price List'!$A$12:$P$172,G$1,FALSE))</f>
        <v>ADCTCLS</v>
      </c>
      <c r="H36" s="234"/>
      <c r="I36" s="234"/>
      <c r="J36" s="234" t="str">
        <f>IFERROR(IF(VLOOKUP($C36,'EECL Price List'!$A$12:$P$172,F$1,FALSE)=0,"",VLOOKUP($C36,'EECL Price List'!$A$12:$P$172,F$1,FALSE)),"")</f>
        <v>CFNMCTU</v>
      </c>
      <c r="K36" s="234" t="str">
        <f>IFERROR(IF(VLOOKUP($C36,'EECL Price List'!$A$12:$P$172,G$1,FALSE)=0,"",VLOOKUP($C36,'EECL Price List'!$A$12:$P$172,G$1,FALSE)),"")</f>
        <v>CFNMCTS</v>
      </c>
      <c r="L36" s="234"/>
      <c r="M36" s="234"/>
    </row>
    <row r="37" spans="1:13" s="232" customFormat="1" ht="24" x14ac:dyDescent="0.2">
      <c r="A37" s="242"/>
      <c r="B37" s="223">
        <v>151</v>
      </c>
      <c r="C37" s="223" t="s">
        <v>196</v>
      </c>
      <c r="D37" s="341"/>
      <c r="E37" s="234" t="str">
        <f>VLOOKUP(B37,'EECL Price List'!$A$12:$P$172,2,FALSE)</f>
        <v xml:space="preserve">Install additional single phase meter to accommodate additional tariffs other than controlled load </v>
      </c>
      <c r="F37" s="234" t="str">
        <f>IF(VLOOKUP($B37,'EECL Price List'!$A$12:$P$172,F$1,FALSE)=0,"",VLOOKUP($B37,'EECL Price List'!$A$12:$P$172,F$1,FALSE))</f>
        <v>ADSPATU</v>
      </c>
      <c r="G37" s="234" t="str">
        <f>IF(VLOOKUP($B37,'EECL Price List'!$A$12:$P$172,G$1,FALSE)=0,"",VLOOKUP($B37,'EECL Price List'!$A$12:$P$172,G$1,FALSE))</f>
        <v>ADSPATS</v>
      </c>
      <c r="H37" s="234"/>
      <c r="I37" s="234"/>
      <c r="J37" s="234" t="str">
        <f>IFERROR(IF(VLOOKUP($C37,'EECL Price List'!$A$12:$P$172,F$1,FALSE)=0,"",VLOOKUP($C37,'EECL Price List'!$A$12:$P$172,F$1,FALSE)),"")</f>
        <v>CFNMSPU</v>
      </c>
      <c r="K37" s="234" t="str">
        <f>IFERROR(IF(VLOOKUP($C37,'EECL Price List'!$A$12:$P$172,G$1,FALSE)=0,"",VLOOKUP($C37,'EECL Price List'!$A$12:$P$172,G$1,FALSE)),"")</f>
        <v>CFNMSPS</v>
      </c>
      <c r="L37" s="234"/>
      <c r="M37" s="234"/>
    </row>
    <row r="38" spans="1:13" s="232" customFormat="1" ht="24" x14ac:dyDescent="0.2">
      <c r="A38" s="242"/>
      <c r="B38" s="223">
        <v>152</v>
      </c>
      <c r="C38" s="223" t="s">
        <v>198</v>
      </c>
      <c r="D38" s="341"/>
      <c r="E38" s="234" t="str">
        <f>VLOOKUP(B38,'EECL Price List'!$A$12:$P$172,2,FALSE)</f>
        <v xml:space="preserve">Install additional polyphase meter to accommodate additional tariffs other than controlled load </v>
      </c>
      <c r="F38" s="234" t="str">
        <f>IF(VLOOKUP($B38,'EECL Price List'!$A$12:$P$172,F$1,FALSE)=0,"",VLOOKUP($B38,'EECL Price List'!$A$12:$P$172,F$1,FALSE))</f>
        <v>ADPPATU</v>
      </c>
      <c r="G38" s="234" t="str">
        <f>IF(VLOOKUP($B38,'EECL Price List'!$A$12:$P$172,G$1,FALSE)=0,"",VLOOKUP($B38,'EECL Price List'!$A$12:$P$172,G$1,FALSE))</f>
        <v>ADPPATS</v>
      </c>
      <c r="H38" s="234"/>
      <c r="I38" s="234"/>
      <c r="J38" s="234" t="str">
        <f>IFERROR(IF(VLOOKUP($C38,'EECL Price List'!$A$12:$P$172,F$1,FALSE)=0,"",VLOOKUP($C38,'EECL Price List'!$A$12:$P$172,F$1,FALSE)),"")</f>
        <v>CFNMTHREU</v>
      </c>
      <c r="K38" s="234" t="str">
        <f>IFERROR(IF(VLOOKUP($C38,'EECL Price List'!$A$12:$P$172,G$1,FALSE)=0,"",VLOOKUP($C38,'EECL Price List'!$A$12:$P$172,G$1,FALSE)),"")</f>
        <v>CFNMTHRES</v>
      </c>
      <c r="L38" s="234"/>
      <c r="M38" s="234"/>
    </row>
    <row r="39" spans="1:13" s="232" customFormat="1" x14ac:dyDescent="0.2">
      <c r="A39" s="242"/>
      <c r="B39" s="223">
        <v>153</v>
      </c>
      <c r="C39" s="223" t="s">
        <v>199</v>
      </c>
      <c r="D39" s="341"/>
      <c r="E39" s="234" t="str">
        <f>VLOOKUP(B39,'EECL Price List'!$A$12:$P$172,2,FALSE)</f>
        <v xml:space="preserve">Install additional meter (CT) to accommodate additional tariffs other than controlled load </v>
      </c>
      <c r="F39" s="234" t="str">
        <f>IF(VLOOKUP($B39,'EECL Price List'!$A$12:$P$172,F$1,FALSE)=0,"",VLOOKUP($B39,'EECL Price List'!$A$12:$P$172,F$1,FALSE))</f>
        <v>ADCTATU</v>
      </c>
      <c r="G39" s="234" t="str">
        <f>IF(VLOOKUP($B39,'EECL Price List'!$A$12:$P$172,G$1,FALSE)=0,"",VLOOKUP($B39,'EECL Price List'!$A$12:$P$172,G$1,FALSE))</f>
        <v>ADCTATS</v>
      </c>
      <c r="H39" s="234"/>
      <c r="I39" s="234"/>
      <c r="J39" s="234" t="str">
        <f>IFERROR(IF(VLOOKUP($C39,'EECL Price List'!$A$12:$P$172,F$1,FALSE)=0,"",VLOOKUP($C39,'EECL Price List'!$A$12:$P$172,F$1,FALSE)),"")</f>
        <v>CFNMCTU</v>
      </c>
      <c r="K39" s="234" t="str">
        <f>IFERROR(IF(VLOOKUP($C39,'EECL Price List'!$A$12:$P$172,G$1,FALSE)=0,"",VLOOKUP($C39,'EECL Price List'!$A$12:$P$172,G$1,FALSE)),"")</f>
        <v>CFNMCTS</v>
      </c>
      <c r="L39" s="234"/>
      <c r="M39" s="234"/>
    </row>
    <row r="40" spans="1:13" s="232" customFormat="1" x14ac:dyDescent="0.2">
      <c r="A40" s="242"/>
      <c r="B40" s="223">
        <v>154</v>
      </c>
      <c r="C40" s="223" t="s">
        <v>196</v>
      </c>
      <c r="D40" s="341"/>
      <c r="E40" s="234" t="str">
        <f>VLOOKUP(B40,'EECL Price List'!$A$12:$P$172,2,FALSE)</f>
        <v xml:space="preserve">Install new single phase meter to accommodate embedded generation installation </v>
      </c>
      <c r="F40" s="234" t="str">
        <f>IF(VLOOKUP($B40,'EECL Price List'!$A$12:$P$172,F$1,FALSE)=0,"",VLOOKUP($B40,'EECL Price List'!$A$12:$P$172,F$1,FALSE))</f>
        <v>NSPAEGU</v>
      </c>
      <c r="G40" s="234" t="str">
        <f>IF(VLOOKUP($B40,'EECL Price List'!$A$12:$P$172,G$1,FALSE)=0,"",VLOOKUP($B40,'EECL Price List'!$A$12:$P$172,G$1,FALSE))</f>
        <v>NSPAEGS</v>
      </c>
      <c r="H40" s="234"/>
      <c r="I40" s="234"/>
      <c r="J40" s="234" t="str">
        <f>IFERROR(IF(VLOOKUP($C40,'EECL Price List'!$A$12:$P$172,F$1,FALSE)=0,"",VLOOKUP($C40,'EECL Price List'!$A$12:$P$172,F$1,FALSE)),"")</f>
        <v>CFNMSPU</v>
      </c>
      <c r="K40" s="234" t="str">
        <f>IFERROR(IF(VLOOKUP($C40,'EECL Price List'!$A$12:$P$172,G$1,FALSE)=0,"",VLOOKUP($C40,'EECL Price List'!$A$12:$P$172,G$1,FALSE)),"")</f>
        <v>CFNMSPS</v>
      </c>
      <c r="L40" s="234"/>
      <c r="M40" s="234"/>
    </row>
    <row r="41" spans="1:13" x14ac:dyDescent="0.2">
      <c r="B41" s="223">
        <v>155</v>
      </c>
      <c r="C41" s="223" t="s">
        <v>198</v>
      </c>
      <c r="D41" s="341"/>
      <c r="E41" s="215" t="str">
        <f>VLOOKUP(B41,'EECL Price List'!$A$12:$P$172,2,FALSE)</f>
        <v xml:space="preserve">Install new polyphase meter to accommodate embedded generation installation </v>
      </c>
      <c r="F41" s="234" t="str">
        <f>IF(VLOOKUP($B41,'EECL Price List'!$A$12:$P$172,F$1,FALSE)=0,"",VLOOKUP($B41,'EECL Price List'!$A$12:$P$172,F$1,FALSE))</f>
        <v>NPPAEGU</v>
      </c>
      <c r="G41" s="234" t="str">
        <f>IF(VLOOKUP($B41,'EECL Price List'!$A$12:$P$172,G$1,FALSE)=0,"",VLOOKUP($B41,'EECL Price List'!$A$12:$P$172,G$1,FALSE))</f>
        <v>NPPAEGS</v>
      </c>
      <c r="H41" s="234"/>
      <c r="I41" s="215"/>
      <c r="J41" s="234" t="str">
        <f>IFERROR(IF(VLOOKUP($C41,'EECL Price List'!$A$12:$P$172,F$1,FALSE)=0,"",VLOOKUP($C41,'EECL Price List'!$A$12:$P$172,F$1,FALSE)),"")</f>
        <v>CFNMTHREU</v>
      </c>
      <c r="K41" s="234" t="str">
        <f>IFERROR(IF(VLOOKUP($C41,'EECL Price List'!$A$12:$P$172,G$1,FALSE)=0,"",VLOOKUP($C41,'EECL Price List'!$A$12:$P$172,G$1,FALSE)),"")</f>
        <v>CFNMTHRES</v>
      </c>
      <c r="L41" s="234"/>
      <c r="M41" s="215"/>
    </row>
    <row r="42" spans="1:13" ht="18.75" customHeight="1" x14ac:dyDescent="0.2">
      <c r="B42" s="223">
        <v>156</v>
      </c>
      <c r="C42" s="223" t="s">
        <v>199</v>
      </c>
      <c r="D42" s="342"/>
      <c r="E42" s="244" t="str">
        <f>VLOOKUP(B42,'EECL Price List'!$A$12:$P$172,2,FALSE)</f>
        <v xml:space="preserve">Install new meter (CT) to accommodate embedded generation installation </v>
      </c>
      <c r="F42" s="244" t="str">
        <f>IF(VLOOKUP($B42,'EECL Price List'!$A$12:$P$172,F$1,FALSE)=0,"",VLOOKUP($B42,'EECL Price List'!$A$12:$P$172,F$1,FALSE))</f>
        <v>NCTAEGU</v>
      </c>
      <c r="G42" s="244" t="str">
        <f>IF(VLOOKUP($B42,'EECL Price List'!$A$12:$P$172,G$1,FALSE)=0,"",VLOOKUP($B42,'EECL Price List'!$A$12:$P$172,G$1,FALSE))</f>
        <v>NCTAEGS</v>
      </c>
      <c r="H42" s="244"/>
      <c r="I42" s="215"/>
      <c r="J42" s="234" t="str">
        <f>IFERROR(IF(VLOOKUP($C42,'EECL Price List'!$A$12:$P$172,F$1,FALSE)=0,"",VLOOKUP($C42,'EECL Price List'!$A$12:$P$172,F$1,FALSE)),"")</f>
        <v>CFNMCTU</v>
      </c>
      <c r="K42" s="234" t="str">
        <f>IFERROR(IF(VLOOKUP($C42,'EECL Price List'!$A$12:$P$172,G$1,FALSE)=0,"",VLOOKUP($C42,'EECL Price List'!$A$12:$P$172,G$1,FALSE)),"")</f>
        <v>CFNMCTS</v>
      </c>
      <c r="L42" s="234"/>
      <c r="M42" s="215"/>
    </row>
    <row r="43" spans="1:13" x14ac:dyDescent="0.2">
      <c r="B43" s="223">
        <v>1</v>
      </c>
      <c r="C43" s="223"/>
      <c r="D43" s="341" t="s">
        <v>499</v>
      </c>
      <c r="E43" s="237" t="str">
        <f>VLOOKUP(B43,'EECL Price List'!$A$12:$P$172,2,FALSE)</f>
        <v>Application fee - Basic or standard connection</v>
      </c>
      <c r="F43" s="237" t="str">
        <f>IF(VLOOKUP($B43,'EECL Price List'!$A$12:$P$172,F$1,FALSE)=0,"",VLOOKUP($B43,'EECL Price List'!$A$12:$P$172,F$1,FALSE))</f>
        <v>APFSAC</v>
      </c>
      <c r="G43" s="237" t="str">
        <f>IF(VLOOKUP($B43,'EECL Price List'!$A$12:$P$172,I$1,FALSE)=0,"",VLOOKUP($B43,'EECL Price List'!$A$12:$P$172,I$1,FALSE))</f>
        <v/>
      </c>
      <c r="H43" s="237"/>
      <c r="I43" s="216"/>
      <c r="J43" s="235"/>
      <c r="K43" s="235"/>
      <c r="L43" s="235"/>
      <c r="M43" s="216"/>
    </row>
    <row r="44" spans="1:13" x14ac:dyDescent="0.2">
      <c r="B44" s="223">
        <v>2</v>
      </c>
      <c r="C44" s="223"/>
      <c r="D44" s="341"/>
      <c r="E44" s="218" t="str">
        <f>VLOOKUP(B44,'EECL Price List'!$A$12:$P$172,2,FALSE)</f>
        <v>Application fee - Basic or standard connection - Micro-embedded generators</v>
      </c>
      <c r="F44" s="237" t="str">
        <f>IF(VLOOKUP($B44,'EECL Price List'!$A$12:$P$172,F$1,FALSE)=0,"",VLOOKUP($B44,'EECL Price List'!$A$12:$P$172,F$1,FALSE))</f>
        <v>APFMEG</v>
      </c>
      <c r="G44" s="237" t="str">
        <f>IF(VLOOKUP($B44,'EECL Price List'!$A$12:$P$172,I$1,FALSE)=0,"",VLOOKUP($B44,'EECL Price List'!$A$12:$P$172,I$1,FALSE))</f>
        <v/>
      </c>
      <c r="H44" s="237"/>
      <c r="I44" s="218"/>
      <c r="J44" s="237"/>
      <c r="K44" s="237"/>
      <c r="L44" s="237"/>
      <c r="M44" s="218"/>
    </row>
    <row r="45" spans="1:13" ht="24" x14ac:dyDescent="0.2">
      <c r="B45" s="223">
        <v>3</v>
      </c>
      <c r="C45" s="223"/>
      <c r="D45" s="341"/>
      <c r="E45" s="218" t="str">
        <f>VLOOKUP(B45,'EECL Price List'!$A$12:$P$172,2,FALSE)</f>
        <v>Application fee - Basic or standard connection - Micro-embedded generators - Technical assessment required</v>
      </c>
      <c r="F45" s="237" t="str">
        <f>IF(VLOOKUP($B45,'EECL Price List'!$A$12:$P$172,F$1,FALSE)=0,"",VLOOKUP($B45,'EECL Price List'!$A$12:$P$172,F$1,FALSE))</f>
        <v>APFMTA</v>
      </c>
      <c r="G45" s="237" t="str">
        <f>IF(VLOOKUP($B45,'EECL Price List'!$A$12:$P$172,I$1,FALSE)=0,"",VLOOKUP($B45,'EECL Price List'!$A$12:$P$172,I$1,FALSE))</f>
        <v/>
      </c>
      <c r="H45" s="237"/>
      <c r="I45" s="218"/>
      <c r="J45" s="237"/>
      <c r="K45" s="237"/>
      <c r="L45" s="237"/>
      <c r="M45" s="218"/>
    </row>
    <row r="46" spans="1:13" x14ac:dyDescent="0.2">
      <c r="B46" s="223">
        <v>4</v>
      </c>
      <c r="C46" s="223"/>
      <c r="D46" s="341"/>
      <c r="E46" s="218" t="str">
        <f>VLOOKUP(B46,'EECL Price List'!$A$12:$P$172,2,FALSE)</f>
        <v>Application fee - Real estate development connection</v>
      </c>
      <c r="F46" s="237" t="str">
        <f>IF(VLOOKUP($B46,'EECL Price List'!$A$12:$P$172,F$1,FALSE)=0,"",VLOOKUP($B46,'EECL Price List'!$A$12:$P$172,F$1,FALSE))</f>
        <v>APFRED</v>
      </c>
      <c r="G46" s="237" t="str">
        <f>IF(VLOOKUP($B46,'EECL Price List'!$A$12:$P$172,I$1,FALSE)=0,"",VLOOKUP($B46,'EECL Price List'!$A$12:$P$172,I$1,FALSE))</f>
        <v/>
      </c>
      <c r="H46" s="237"/>
      <c r="I46" s="218"/>
      <c r="J46" s="237"/>
      <c r="K46" s="237"/>
      <c r="L46" s="237"/>
      <c r="M46" s="218"/>
    </row>
    <row r="47" spans="1:13" x14ac:dyDescent="0.2">
      <c r="B47" s="223">
        <v>5</v>
      </c>
      <c r="C47" s="223"/>
      <c r="D47" s="341"/>
      <c r="E47" s="218" t="str">
        <f>VLOOKUP(B47,'EECL Price List'!$A$12:$P$172,2,FALSE)</f>
        <v>Protection and Power Quality assessment prior to connection</v>
      </c>
      <c r="F47" s="237" t="str">
        <f>IF(VLOOKUP($B47,'EECL Price List'!$A$12:$P$172,F$1,FALSE)=0,"",VLOOKUP($B47,'EECL Price List'!$A$12:$P$172,F$1,FALSE))</f>
        <v>PPQA</v>
      </c>
      <c r="G47" s="237" t="str">
        <f>IF(VLOOKUP($B47,'EECL Price List'!$A$12:$P$172,I$1,FALSE)=0,"",VLOOKUP($B47,'EECL Price List'!$A$12:$P$172,I$1,FALSE))</f>
        <v/>
      </c>
      <c r="H47" s="237"/>
      <c r="I47" s="218"/>
      <c r="J47" s="237"/>
      <c r="K47" s="237"/>
      <c r="L47" s="237"/>
      <c r="M47" s="218"/>
    </row>
    <row r="48" spans="1:13" ht="24" x14ac:dyDescent="0.2">
      <c r="B48" s="223">
        <v>7</v>
      </c>
      <c r="C48" s="223" t="s">
        <v>49</v>
      </c>
      <c r="D48" s="341"/>
      <c r="E48" s="218" t="str">
        <f>VLOOKUP(B48,'EECL Price List'!$A$12:$P$172,2,FALSE)</f>
        <v>Temporary connection, not in permanent position - single phase metered - long rural/isolated feeders</v>
      </c>
      <c r="F48" s="237" t="str">
        <f>IF(VLOOKUP($B48,'EECL Price List'!$A$12:$P$172,H$1,FALSE)=0,"",VLOOKUP($B48,'EECL Price List'!$A$12:$P$172,H$1,FALSE))</f>
        <v>TBSSPL</v>
      </c>
      <c r="G48" s="237" t="str">
        <f>IF(VLOOKUP($B48,'EECL Price List'!$A$12:$P$172,I$1,FALSE)=0,"",VLOOKUP($B48,'EECL Price List'!$A$12:$P$172,I$1,FALSE))</f>
        <v>TBSSPI</v>
      </c>
      <c r="H48" s="237"/>
      <c r="I48" s="218"/>
      <c r="J48" s="240" t="str">
        <f>IF(VLOOKUP($C48,'EECL Price List'!$A$12:$P$172,H$1,FALSE)=0,"",VLOOKUP($C48,'EECL Price List'!$A$12:$P$172,H$1,FALSE))</f>
        <v>CFTBSSPL</v>
      </c>
      <c r="K48" s="240" t="str">
        <f>IF(VLOOKUP($C48,'EECL Price List'!$A$12:$P$172,I$1,FALSE)=0,"",VLOOKUP($C48,'EECL Price List'!$A$12:$P$172,I$1,FALSE))</f>
        <v>CFTBSSPI</v>
      </c>
      <c r="L48" s="237"/>
      <c r="M48" s="218"/>
    </row>
    <row r="49" spans="1:13" ht="24" x14ac:dyDescent="0.2">
      <c r="B49" s="223">
        <v>9</v>
      </c>
      <c r="C49" s="223" t="s">
        <v>55</v>
      </c>
      <c r="D49" s="341"/>
      <c r="E49" s="218" t="str">
        <f>VLOOKUP(B49,'EECL Price List'!$A$12:$P$172,2,FALSE)</f>
        <v>Temporary connection, not in permanent position - multi phase metered - long rural/isolated feeders</v>
      </c>
      <c r="F49" s="237" t="str">
        <f>IF(VLOOKUP($B49,'EECL Price List'!$A$12:$P$172,H$1,FALSE)=0,"",VLOOKUP($B49,'EECL Price List'!$A$12:$P$172,H$1,FALSE))</f>
        <v>TBSMPL</v>
      </c>
      <c r="G49" s="237" t="str">
        <f>IF(VLOOKUP($B49,'EECL Price List'!$A$12:$P$172,I$1,FALSE)=0,"",VLOOKUP($B49,'EECL Price List'!$A$12:$P$172,I$1,FALSE))</f>
        <v>TBSMPI</v>
      </c>
      <c r="H49" s="237"/>
      <c r="I49" s="218"/>
      <c r="J49" s="237" t="str">
        <f>IF(VLOOKUP($C49,'EECL Price List'!$A$12:$P$172,H$1,FALSE)=0,"",VLOOKUP($C49,'EECL Price List'!$A$12:$P$172,H$1,FALSE))</f>
        <v>CFTBSMPL</v>
      </c>
      <c r="K49" s="237" t="str">
        <f>IF(VLOOKUP($C49,'EECL Price List'!$A$12:$P$172,I$1,FALSE)=0,"",VLOOKUP($C49,'EECL Price List'!$A$12:$P$172,I$1,FALSE))</f>
        <v>CFTBSMPI</v>
      </c>
      <c r="L49" s="237"/>
      <c r="M49" s="218"/>
    </row>
    <row r="50" spans="1:13" x14ac:dyDescent="0.2">
      <c r="B50" s="223">
        <v>11</v>
      </c>
      <c r="C50" s="223" t="s">
        <v>62</v>
      </c>
      <c r="D50" s="341"/>
      <c r="E50" s="218" t="str">
        <f>VLOOKUP(B50,'EECL Price List'!$A$12:$P$172,2,FALSE)</f>
        <v>Supply abolishment during business hours - long rural/isolated feeders</v>
      </c>
      <c r="F50" s="237" t="str">
        <f>IF(VLOOKUP($B50,'EECL Price List'!$A$12:$P$172,H$1,FALSE)=0,"",VLOOKUP($B50,'EECL Price List'!$A$12:$P$172,H$1,FALSE))</f>
        <v>SUPABOLL</v>
      </c>
      <c r="G50" s="237" t="str">
        <f>IF(VLOOKUP($B50,'EECL Price List'!$A$12:$P$172,I$1,FALSE)=0,"",VLOOKUP($B50,'EECL Price List'!$A$12:$P$172,I$1,FALSE))</f>
        <v>SUPABOLI</v>
      </c>
      <c r="H50" s="237"/>
      <c r="I50" s="218"/>
      <c r="J50" s="237" t="str">
        <f>IF(VLOOKUP($C50,'EECL Price List'!$A$12:$P$172,H$1,FALSE)=0,"",VLOOKUP($C50,'EECL Price List'!$A$12:$P$172,H$1,FALSE))</f>
        <v>CFSUPABOLL</v>
      </c>
      <c r="K50" s="237" t="str">
        <f>IF(VLOOKUP($C50,'EECL Price List'!$A$12:$P$172,I$1,FALSE)=0,"",VLOOKUP($C50,'EECL Price List'!$A$12:$P$172,I$1,FALSE))</f>
        <v>CFSUPABOLI</v>
      </c>
      <c r="L50" s="237"/>
      <c r="M50" s="218"/>
    </row>
    <row r="51" spans="1:13" x14ac:dyDescent="0.2">
      <c r="B51" s="223">
        <v>13</v>
      </c>
      <c r="C51" s="223" t="s">
        <v>68</v>
      </c>
      <c r="D51" s="341"/>
      <c r="E51" s="218" t="str">
        <f>VLOOKUP(B51,'EECL Price List'!$A$12:$P$172,2,FALSE)</f>
        <v>De-energisation during business hours - long rural/isolated feeders</v>
      </c>
      <c r="F51" s="237" t="str">
        <f>IF(VLOOKUP($B51,'EECL Price List'!$A$12:$P$172,H$1,FALSE)=0,"",VLOOKUP($B51,'EECL Price List'!$A$12:$P$172,H$1,FALSE))</f>
        <v>DEENBHL</v>
      </c>
      <c r="G51" s="237" t="str">
        <f>IF(VLOOKUP($B51,'EECL Price List'!$A$12:$P$172,I$1,FALSE)=0,"",VLOOKUP($B51,'EECL Price List'!$A$12:$P$172,I$1,FALSE))</f>
        <v>DEENBHI</v>
      </c>
      <c r="H51" s="237"/>
      <c r="I51" s="218"/>
      <c r="J51" s="237" t="str">
        <f>IF(VLOOKUP($C51,'EECL Price List'!$A$12:$P$172,H$1,FALSE)=0,"",VLOOKUP($C51,'EECL Price List'!$A$12:$P$172,H$1,FALSE))</f>
        <v>CFDEENBHL</v>
      </c>
      <c r="K51" s="237" t="str">
        <f>IF(VLOOKUP($C51,'EECL Price List'!$A$12:$P$172,I$1,FALSE)=0,"",VLOOKUP($C51,'EECL Price List'!$A$12:$P$172,I$1,FALSE))</f>
        <v>CFDEENBHI</v>
      </c>
      <c r="L51" s="237"/>
      <c r="M51" s="218"/>
    </row>
    <row r="52" spans="1:13" x14ac:dyDescent="0.2">
      <c r="B52" s="223">
        <v>15</v>
      </c>
      <c r="C52" s="223" t="s">
        <v>74</v>
      </c>
      <c r="D52" s="341"/>
      <c r="E52" s="218" t="str">
        <f>VLOOKUP(B52,'EECL Price List'!$A$12:$P$172,2,FALSE)</f>
        <v>Re-energisation during business hours - long rural/isolated feeders</v>
      </c>
      <c r="F52" s="237" t="str">
        <f>IF(VLOOKUP($B52,'EECL Price List'!$A$12:$P$172,H$1,FALSE)=0,"",VLOOKUP($B52,'EECL Price List'!$A$12:$P$172,H$1,FALSE))</f>
        <v>REENBHL</v>
      </c>
      <c r="G52" s="237" t="str">
        <f>IF(VLOOKUP($B52,'EECL Price List'!$A$12:$P$172,I$1,FALSE)=0,"",VLOOKUP($B52,'EECL Price List'!$A$12:$P$172,I$1,FALSE))</f>
        <v>REENBHI</v>
      </c>
      <c r="H52" s="237"/>
      <c r="I52" s="218"/>
      <c r="J52" s="237" t="str">
        <f>IF(VLOOKUP($C52,'EECL Price List'!$A$12:$P$172,H$1,FALSE)=0,"",VLOOKUP($C52,'EECL Price List'!$A$12:$P$172,H$1,FALSE))</f>
        <v>CFREENBHL</v>
      </c>
      <c r="K52" s="237" t="str">
        <f>IF(VLOOKUP($C52,'EECL Price List'!$A$12:$P$172,I$1,FALSE)=0,"",VLOOKUP($C52,'EECL Price List'!$A$12:$P$172,I$1,FALSE))</f>
        <v>CFREENBHI</v>
      </c>
      <c r="L52" s="237"/>
      <c r="M52" s="218"/>
    </row>
    <row r="53" spans="1:13" ht="24" x14ac:dyDescent="0.2">
      <c r="B53" s="223">
        <v>17</v>
      </c>
      <c r="C53" s="223" t="s">
        <v>80</v>
      </c>
      <c r="D53" s="341"/>
      <c r="E53" s="218" t="str">
        <f>VLOOKUP(B53,'EECL Price List'!$A$12:$P$172,2,FALSE)</f>
        <v>Re-energisation during business hours - after de-energisation for debt - long rural/isolated feeders</v>
      </c>
      <c r="F53" s="237" t="str">
        <f>IF(VLOOKUP($B53,'EECL Price List'!$A$12:$P$172,H$1,FALSE)=0,"",VLOOKUP($B53,'EECL Price List'!$A$12:$P$172,H$1,FALSE))</f>
        <v>REDDBHL</v>
      </c>
      <c r="G53" s="237" t="str">
        <f>IF(VLOOKUP($B53,'EECL Price List'!$A$12:$P$172,I$1,FALSE)=0,"",VLOOKUP($B53,'EECL Price List'!$A$12:$P$172,I$1,FALSE))</f>
        <v>REDDBHI</v>
      </c>
      <c r="H53" s="237"/>
      <c r="I53" s="218"/>
      <c r="J53" s="237" t="str">
        <f>IF(VLOOKUP($C53,'EECL Price List'!$A$12:$P$172,H$1,FALSE)=0,"",VLOOKUP($C53,'EECL Price List'!$A$12:$P$172,H$1,FALSE))</f>
        <v>CFREDDBHL</v>
      </c>
      <c r="K53" s="237" t="str">
        <f>IF(VLOOKUP($C53,'EECL Price List'!$A$12:$P$172,I$1,FALSE)=0,"",VLOOKUP($C53,'EECL Price List'!$A$12:$P$172,I$1,FALSE))</f>
        <v>CFREDDBHI</v>
      </c>
      <c r="L53" s="237"/>
      <c r="M53" s="218"/>
    </row>
    <row r="54" spans="1:13" x14ac:dyDescent="0.2">
      <c r="B54" s="223">
        <v>18</v>
      </c>
      <c r="C54" s="223"/>
      <c r="D54" s="341"/>
      <c r="E54" s="218" t="str">
        <f>VLOOKUP(B54,'EECL Price List'!$A$12:$P$172,2,FALSE)</f>
        <v>Accreditation of alternative service providers - real estate developments</v>
      </c>
      <c r="F54" s="237" t="str">
        <f>IF(VLOOKUP($B54,'EECL Price List'!$A$12:$P$172,F$1,FALSE)=0,"",VLOOKUP($B54,'EECL Price List'!$A$12:$P$172,F$1,FALSE))</f>
        <v>ASPRED</v>
      </c>
      <c r="G54" s="237" t="str">
        <f>IF(VLOOKUP($B54,'EECL Price List'!$A$12:$P$172,I$1,FALSE)=0,"",VLOOKUP($B54,'EECL Price List'!$A$12:$P$172,I$1,FALSE))</f>
        <v/>
      </c>
      <c r="H54" s="237"/>
      <c r="I54" s="218"/>
      <c r="J54" s="237"/>
      <c r="K54" s="237"/>
      <c r="L54" s="237"/>
      <c r="M54" s="218"/>
    </row>
    <row r="55" spans="1:13" x14ac:dyDescent="0.2">
      <c r="B55" s="223">
        <v>20</v>
      </c>
      <c r="C55" s="223" t="s">
        <v>160</v>
      </c>
      <c r="D55" s="341"/>
      <c r="E55" s="215" t="str">
        <f>VLOOKUP(B55,'EECL Price List'!$A$12:$P$172,2,FALSE)</f>
        <v>Install replacement meter (Type 5 and 6) – Single phase – long rural/isolated feeder</v>
      </c>
      <c r="F55" s="234" t="str">
        <f>IF(VLOOKUP($B55,'EECL Price List'!$A$12:$P$172,H$1,FALSE)=0,"",VLOOKUP($B55,'EECL Price List'!$A$12:$P$172,H$1,FALSE))</f>
        <v>MSNGLL</v>
      </c>
      <c r="G55" s="234" t="str">
        <f>IF(VLOOKUP($B55,'EECL Price List'!$A$12:$P$172,I$1,FALSE)=0,"",VLOOKUP($B55,'EECL Price List'!$A$12:$P$172,I$1,FALSE))</f>
        <v>MSNGLI</v>
      </c>
      <c r="H55" s="234"/>
      <c r="I55" s="215"/>
      <c r="J55" s="234" t="str">
        <f>IF(VLOOKUP($C55,'EECL Price List'!$A$12:$P$172,H$1,FALSE)=0,"",VLOOKUP($C55,'EECL Price List'!$A$12:$P$172,H$1,FALSE))</f>
        <v>CFMSNGLL</v>
      </c>
      <c r="K55" s="234" t="str">
        <f>IF(VLOOKUP($C55,'EECL Price List'!$A$12:$P$172,I$1,FALSE)=0,"",VLOOKUP($C55,'EECL Price List'!$A$12:$P$172,I$1,FALSE))</f>
        <v>CFMSNGLI</v>
      </c>
      <c r="L55" s="234"/>
      <c r="M55" s="215"/>
    </row>
    <row r="56" spans="1:13" x14ac:dyDescent="0.2">
      <c r="B56" s="223">
        <v>22</v>
      </c>
      <c r="C56" s="223" t="s">
        <v>162</v>
      </c>
      <c r="D56" s="341"/>
      <c r="E56" s="215" t="str">
        <f>VLOOKUP(B56,'EECL Price List'!$A$12:$P$172,2,FALSE)</f>
        <v>Install replacement meter (Type 5 and 6) –  Dual element – long rural/isolated feeder</v>
      </c>
      <c r="F56" s="234" t="str">
        <f>IF(VLOOKUP($B56,'EECL Price List'!$A$12:$P$172,H$1,FALSE)=0,"",VLOOKUP($B56,'EECL Price List'!$A$12:$P$172,H$1,FALSE))</f>
        <v>MDUALL</v>
      </c>
      <c r="G56" s="234" t="str">
        <f>IF(VLOOKUP($B56,'EECL Price List'!$A$12:$P$172,I$1,FALSE)=0,"",VLOOKUP($B56,'EECL Price List'!$A$12:$P$172,I$1,FALSE))</f>
        <v>MDUALI</v>
      </c>
      <c r="H56" s="234"/>
      <c r="I56" s="215"/>
      <c r="J56" s="234" t="str">
        <f>IF(VLOOKUP($C56,'EECL Price List'!$A$12:$P$172,H$1,FALSE)=0,"",VLOOKUP($C56,'EECL Price List'!$A$12:$P$172,H$1,FALSE))</f>
        <v>CFMDUALL</v>
      </c>
      <c r="K56" s="234" t="str">
        <f>IF(VLOOKUP($C56,'EECL Price List'!$A$12:$P$172,I$1,FALSE)=0,"",VLOOKUP($C56,'EECL Price List'!$A$12:$P$172,I$1,FALSE))</f>
        <v>CFMDUALI</v>
      </c>
      <c r="L56" s="234"/>
      <c r="M56" s="215"/>
    </row>
    <row r="57" spans="1:13" s="231" customFormat="1" x14ac:dyDescent="0.2">
      <c r="A57" s="242"/>
      <c r="B57" s="223">
        <v>24</v>
      </c>
      <c r="C57" s="223" t="s">
        <v>164</v>
      </c>
      <c r="D57" s="341"/>
      <c r="E57" s="230" t="str">
        <f>VLOOKUP(B57,'EECL Price List'!$A$12:$P$172,2,FALSE)</f>
        <v>Install replacement meter (Type 5 and 6) –  Polyphase – long rural/isolated feeder</v>
      </c>
      <c r="F57" s="230" t="str">
        <f>IF(VLOOKUP($B57,'EECL Price List'!$A$12:$P$172,H$1,FALSE)=0,"",VLOOKUP($B57,'EECL Price List'!$A$12:$P$172,H$1,FALSE))</f>
        <v>MTHREL</v>
      </c>
      <c r="G57" s="230" t="str">
        <f>IF(VLOOKUP($B57,'EECL Price List'!$A$12:$P$172,I$1,FALSE)=0,"",VLOOKUP($B57,'EECL Price List'!$A$12:$P$172,I$1,FALSE))</f>
        <v>MTHREI</v>
      </c>
      <c r="H57" s="230"/>
      <c r="I57" s="230"/>
      <c r="J57" s="230" t="str">
        <f>IF(VLOOKUP($C57,'EECL Price List'!$A$12:$P$172,H$1,FALSE)=0,"",VLOOKUP($C57,'EECL Price List'!$A$12:$P$172,H$1,FALSE))</f>
        <v>CFMTHREL</v>
      </c>
      <c r="K57" s="230" t="str">
        <f>IF(VLOOKUP($C57,'EECL Price List'!$A$12:$P$172,I$1,FALSE)=0,"",VLOOKUP($C57,'EECL Price List'!$A$12:$P$172,I$1,FALSE))</f>
        <v>CFMTHREI</v>
      </c>
      <c r="L57" s="230"/>
      <c r="M57" s="230"/>
    </row>
    <row r="58" spans="1:13" s="231" customFormat="1" x14ac:dyDescent="0.2">
      <c r="A58" s="242"/>
      <c r="B58" s="223">
        <v>26</v>
      </c>
      <c r="C58" s="223" t="s">
        <v>166</v>
      </c>
      <c r="D58" s="341"/>
      <c r="E58" s="230" t="str">
        <f>VLOOKUP(B58,'EECL Price List'!$A$12:$P$172,2,FALSE)</f>
        <v xml:space="preserve">Install replacement meter (CT) – long rural/isolated feeder </v>
      </c>
      <c r="F58" s="230" t="str">
        <f>IF(VLOOKUP($B58,'EECL Price List'!$A$12:$P$172,H$1,FALSE)=0,"",VLOOKUP($B58,'EECL Price List'!$A$12:$P$172,H$1,FALSE))</f>
        <v>MCTL</v>
      </c>
      <c r="G58" s="230" t="str">
        <f>IF(VLOOKUP($B58,'EECL Price List'!$A$12:$P$172,I$1,FALSE)=0,"",VLOOKUP($B58,'EECL Price List'!$A$12:$P$172,I$1,FALSE))</f>
        <v>MCTI</v>
      </c>
      <c r="H58" s="230"/>
      <c r="I58" s="230"/>
      <c r="J58" s="230" t="str">
        <f>IF(VLOOKUP($C58,'EECL Price List'!$A$12:$P$172,H$1,FALSE)=0,"",VLOOKUP($C58,'EECL Price List'!$A$12:$P$172,H$1,FALSE))</f>
        <v>CFMCTL</v>
      </c>
      <c r="K58" s="230" t="str">
        <f>IF(VLOOKUP($C58,'EECL Price List'!$A$12:$P$172,I$1,FALSE)=0,"",VLOOKUP($C58,'EECL Price List'!$A$12:$P$172,I$1,FALSE))</f>
        <v>CFMCTI</v>
      </c>
      <c r="L58" s="230"/>
      <c r="M58" s="230"/>
    </row>
    <row r="59" spans="1:13" s="232" customFormat="1" x14ac:dyDescent="0.2">
      <c r="A59" s="242"/>
      <c r="B59" s="223">
        <v>140</v>
      </c>
      <c r="C59" s="223" t="s">
        <v>196</v>
      </c>
      <c r="D59" s="341"/>
      <c r="E59" s="230" t="str">
        <f>VLOOKUP(B59,'EECL Price List'!$A$12:$P$172,2,FALSE)</f>
        <v xml:space="preserve">Install new meter (Type 5 and 6) –  Single phase – Primary </v>
      </c>
      <c r="F59" s="230" t="str">
        <f>IF(VLOOKUP($B59,'EECL Price List'!$A$12:$P$172,H$1,FALSE)=0,"",VLOOKUP($B59,'EECL Price List'!$A$12:$P$172,H$1,FALSE))</f>
        <v>NMSPL</v>
      </c>
      <c r="G59" s="230" t="str">
        <f>IF(VLOOKUP($B59,'EECL Price List'!$A$12:$P$172,I$1,FALSE)=0,"",VLOOKUP($B59,'EECL Price List'!$A$12:$P$172,I$1,FALSE))</f>
        <v>NMSPI</v>
      </c>
      <c r="H59" s="230"/>
      <c r="I59" s="230"/>
      <c r="J59" s="230" t="str">
        <f>IF(VLOOKUP($C59,'EECL Price List'!$A$12:$P$172,H$1,FALSE)=0,"",VLOOKUP($C59,'EECL Price List'!$A$12:$P$172,H$1,FALSE))</f>
        <v>CFNMSPL</v>
      </c>
      <c r="K59" s="230" t="str">
        <f>IF(VLOOKUP($C59,'EECL Price List'!$A$12:$P$172,I$1,FALSE)=0,"",VLOOKUP($C59,'EECL Price List'!$A$12:$P$172,I$1,FALSE))</f>
        <v>CFNMSPI</v>
      </c>
      <c r="L59" s="230"/>
      <c r="M59" s="230"/>
    </row>
    <row r="60" spans="1:13" s="232" customFormat="1" x14ac:dyDescent="0.2">
      <c r="A60" s="242"/>
      <c r="B60" s="223">
        <v>141</v>
      </c>
      <c r="C60" s="223" t="s">
        <v>196</v>
      </c>
      <c r="D60" s="341"/>
      <c r="E60" s="230" t="str">
        <f>VLOOKUP(B60,'EECL Price List'!$A$12:$P$172,2,FALSE)</f>
        <v>Install new meter (Type 5 and 6) – Single phase –  Primary plus embedded generation</v>
      </c>
      <c r="F60" s="230" t="str">
        <f>IF(VLOOKUP($B60,'EECL Price List'!$A$12:$P$172,H$1,FALSE)=0,"",VLOOKUP($B60,'EECL Price List'!$A$12:$P$172,H$1,FALSE))</f>
        <v>NMSPEGL</v>
      </c>
      <c r="G60" s="230" t="str">
        <f>IF(VLOOKUP($B60,'EECL Price List'!$A$12:$P$172,I$1,FALSE)=0,"",VLOOKUP($B60,'EECL Price List'!$A$12:$P$172,I$1,FALSE))</f>
        <v>NMSPEGI</v>
      </c>
      <c r="H60" s="230"/>
      <c r="I60" s="230"/>
      <c r="J60" s="230" t="str">
        <f>IF(VLOOKUP($C60,'EECL Price List'!$A$12:$P$172,H$1,FALSE)=0,"",VLOOKUP($C60,'EECL Price List'!$A$12:$P$172,H$1,FALSE))</f>
        <v>CFNMSPL</v>
      </c>
      <c r="K60" s="230" t="str">
        <f>IF(VLOOKUP($C60,'EECL Price List'!$A$12:$P$172,I$1,FALSE)=0,"",VLOOKUP($C60,'EECL Price List'!$A$12:$P$172,I$1,FALSE))</f>
        <v>CFNMSPI</v>
      </c>
      <c r="L60" s="230"/>
      <c r="M60" s="230"/>
    </row>
    <row r="61" spans="1:13" s="232" customFormat="1" x14ac:dyDescent="0.2">
      <c r="A61" s="242"/>
      <c r="B61" s="223">
        <v>142</v>
      </c>
      <c r="C61" s="223" t="s">
        <v>197</v>
      </c>
      <c r="D61" s="341"/>
      <c r="E61" s="230" t="str">
        <f>VLOOKUP(B61,'EECL Price List'!$A$12:$P$172,2,FALSE)</f>
        <v>Install new meter (Type 5 and 6) – Dual element – Primary plus controlled load</v>
      </c>
      <c r="F61" s="230" t="str">
        <f>IF(VLOOKUP($B61,'EECL Price List'!$A$12:$P$172,H$1,FALSE)=0,"",VLOOKUP($B61,'EECL Price List'!$A$12:$P$172,H$1,FALSE))</f>
        <v>NMDPCLL</v>
      </c>
      <c r="G61" s="230" t="str">
        <f>IF(VLOOKUP($B61,'EECL Price List'!$A$12:$P$172,I$1,FALSE)=0,"",VLOOKUP($B61,'EECL Price List'!$A$12:$P$172,I$1,FALSE))</f>
        <v>NMDPCLI</v>
      </c>
      <c r="H61" s="230"/>
      <c r="I61" s="230"/>
      <c r="J61" s="230" t="str">
        <f>IF(VLOOKUP($C61,'EECL Price List'!$A$12:$P$172,H$1,FALSE)=0,"",VLOOKUP($C61,'EECL Price List'!$A$12:$P$172,H$1,FALSE))</f>
        <v>CFNMDUALL</v>
      </c>
      <c r="K61" s="230" t="str">
        <f>IF(VLOOKUP($C61,'EECL Price List'!$A$12:$P$172,I$1,FALSE)=0,"",VLOOKUP($C61,'EECL Price List'!$A$12:$P$172,I$1,FALSE))</f>
        <v>CFNMDUALI</v>
      </c>
      <c r="L61" s="230"/>
      <c r="M61" s="230"/>
    </row>
    <row r="62" spans="1:13" s="232" customFormat="1" ht="24" x14ac:dyDescent="0.2">
      <c r="A62" s="242"/>
      <c r="B62" s="223">
        <v>143</v>
      </c>
      <c r="C62" s="223" t="s">
        <v>197</v>
      </c>
      <c r="D62" s="341"/>
      <c r="E62" s="230" t="str">
        <f>VLOOKUP(B62,'EECL Price List'!$A$12:$P$172,2,FALSE)</f>
        <v>Install new meter (Type 5 and 6) – Dual element – Primary plus controlled load plus embedded generation</v>
      </c>
      <c r="F62" s="230" t="str">
        <f>IF(VLOOKUP($B62,'EECL Price List'!$A$12:$P$172,H$1,FALSE)=0,"",VLOOKUP($B62,'EECL Price List'!$A$12:$P$172,H$1,FALSE))</f>
        <v>NMDPCLEGL</v>
      </c>
      <c r="G62" s="230" t="str">
        <f>IF(VLOOKUP($B62,'EECL Price List'!$A$12:$P$172,I$1,FALSE)=0,"",VLOOKUP($B62,'EECL Price List'!$A$12:$P$172,I$1,FALSE))</f>
        <v>NMDPCLEGI</v>
      </c>
      <c r="H62" s="230"/>
      <c r="I62" s="230"/>
      <c r="J62" s="230" t="str">
        <f>IF(VLOOKUP($C62,'EECL Price List'!$A$12:$P$172,H$1,FALSE)=0,"",VLOOKUP($C62,'EECL Price List'!$A$12:$P$172,H$1,FALSE))</f>
        <v>CFNMDUALL</v>
      </c>
      <c r="K62" s="230" t="str">
        <f>IF(VLOOKUP($C62,'EECL Price List'!$A$12:$P$172,I$1,FALSE)=0,"",VLOOKUP($C62,'EECL Price List'!$A$12:$P$172,I$1,FALSE))</f>
        <v>CFNMDUALI</v>
      </c>
      <c r="L62" s="230"/>
      <c r="M62" s="230"/>
    </row>
    <row r="63" spans="1:13" s="232" customFormat="1" x14ac:dyDescent="0.2">
      <c r="A63" s="242"/>
      <c r="B63" s="223">
        <v>144</v>
      </c>
      <c r="C63" s="223" t="s">
        <v>198</v>
      </c>
      <c r="D63" s="341"/>
      <c r="E63" s="230" t="str">
        <f>VLOOKUP(B63,'EECL Price List'!$A$12:$P$172,2,FALSE)</f>
        <v>Install new meter (Type 5 and 6) – Polyphase – Primary</v>
      </c>
      <c r="F63" s="230" t="str">
        <f>IF(VLOOKUP($B63,'EECL Price List'!$A$12:$P$172,H$1,FALSE)=0,"",VLOOKUP($B63,'EECL Price List'!$A$12:$P$172,H$1,FALSE))</f>
        <v>NMPPL</v>
      </c>
      <c r="G63" s="230" t="str">
        <f>IF(VLOOKUP($B63,'EECL Price List'!$A$12:$P$172,I$1,FALSE)=0,"",VLOOKUP($B63,'EECL Price List'!$A$12:$P$172,I$1,FALSE))</f>
        <v>NMPPI</v>
      </c>
      <c r="H63" s="230"/>
      <c r="I63" s="230"/>
      <c r="J63" s="230" t="str">
        <f>IF(VLOOKUP($C63,'EECL Price List'!$A$12:$P$172,H$1,FALSE)=0,"",VLOOKUP($C63,'EECL Price List'!$A$12:$P$172,H$1,FALSE))</f>
        <v>CFNMTHREL</v>
      </c>
      <c r="K63" s="230" t="str">
        <f>IF(VLOOKUP($C63,'EECL Price List'!$A$12:$P$172,I$1,FALSE)=0,"",VLOOKUP($C63,'EECL Price List'!$A$12:$P$172,I$1,FALSE))</f>
        <v>CFNMTHREI</v>
      </c>
      <c r="L63" s="230"/>
      <c r="M63" s="230"/>
    </row>
    <row r="64" spans="1:13" s="232" customFormat="1" x14ac:dyDescent="0.2">
      <c r="A64" s="242"/>
      <c r="B64" s="223">
        <v>145</v>
      </c>
      <c r="C64" s="223" t="s">
        <v>198</v>
      </c>
      <c r="D64" s="341"/>
      <c r="E64" s="230" t="str">
        <f>VLOOKUP(B64,'EECL Price List'!$A$12:$P$172,2,FALSE)</f>
        <v>Install new meter (Type 5 and 6) – Polyphase – Primary plus embedded generation</v>
      </c>
      <c r="F64" s="230" t="str">
        <f>IF(VLOOKUP($B64,'EECL Price List'!$A$12:$P$172,H$1,FALSE)=0,"",VLOOKUP($B64,'EECL Price List'!$A$12:$P$172,H$1,FALSE))</f>
        <v>NMPPEGL</v>
      </c>
      <c r="G64" s="230" t="str">
        <f>IF(VLOOKUP($B64,'EECL Price List'!$A$12:$P$172,I$1,FALSE)=0,"",VLOOKUP($B64,'EECL Price List'!$A$12:$P$172,I$1,FALSE))</f>
        <v>NMPPEGI</v>
      </c>
      <c r="H64" s="230"/>
      <c r="I64" s="230"/>
      <c r="J64" s="230" t="str">
        <f>IF(VLOOKUP($C64,'EECL Price List'!$A$12:$P$172,H$1,FALSE)=0,"",VLOOKUP($C64,'EECL Price List'!$A$12:$P$172,H$1,FALSE))</f>
        <v>CFNMTHREL</v>
      </c>
      <c r="K64" s="230" t="str">
        <f>IF(VLOOKUP($C64,'EECL Price List'!$A$12:$P$172,I$1,FALSE)=0,"",VLOOKUP($C64,'EECL Price List'!$A$12:$P$172,I$1,FALSE))</f>
        <v>CFNMTHREI</v>
      </c>
      <c r="L64" s="230"/>
      <c r="M64" s="230"/>
    </row>
    <row r="65" spans="1:13" s="232" customFormat="1" x14ac:dyDescent="0.2">
      <c r="A65" s="242"/>
      <c r="B65" s="223">
        <v>146</v>
      </c>
      <c r="C65" s="223" t="s">
        <v>199</v>
      </c>
      <c r="D65" s="341"/>
      <c r="E65" s="230" t="str">
        <f>VLOOKUP(B65,'EECL Price List'!$A$12:$P$172,2,FALSE)</f>
        <v>Install new meter (CT) – Primary</v>
      </c>
      <c r="F65" s="230" t="str">
        <f>IF(VLOOKUP($B65,'EECL Price List'!$A$12:$P$172,H$1,FALSE)=0,"",VLOOKUP($B65,'EECL Price List'!$A$12:$P$172,H$1,FALSE))</f>
        <v>NMCTPL</v>
      </c>
      <c r="G65" s="230" t="str">
        <f>IF(VLOOKUP($B65,'EECL Price List'!$A$12:$P$172,I$1,FALSE)=0,"",VLOOKUP($B65,'EECL Price List'!$A$12:$P$172,I$1,FALSE))</f>
        <v>NMCTPI</v>
      </c>
      <c r="H65" s="230"/>
      <c r="I65" s="230"/>
      <c r="J65" s="230" t="str">
        <f>IF(VLOOKUP($C65,'EECL Price List'!$A$12:$P$172,H$1,FALSE)=0,"",VLOOKUP($C65,'EECL Price List'!$A$12:$P$172,H$1,FALSE))</f>
        <v>CFNMCTL</v>
      </c>
      <c r="K65" s="230" t="str">
        <f>IF(VLOOKUP($C65,'EECL Price List'!$A$12:$P$172,I$1,FALSE)=0,"",VLOOKUP($C65,'EECL Price List'!$A$12:$P$172,I$1,FALSE))</f>
        <v>CFNMCTI</v>
      </c>
      <c r="L65" s="230"/>
      <c r="M65" s="230"/>
    </row>
    <row r="66" spans="1:13" s="232" customFormat="1" x14ac:dyDescent="0.2">
      <c r="A66" s="242"/>
      <c r="B66" s="223">
        <v>147</v>
      </c>
      <c r="C66" s="223" t="s">
        <v>199</v>
      </c>
      <c r="D66" s="341"/>
      <c r="E66" s="230" t="str">
        <f>VLOOKUP(B66,'EECL Price List'!$A$12:$P$172,2,FALSE)</f>
        <v>Install new meter (CT) – Primary plus embedded generation</v>
      </c>
      <c r="F66" s="230" t="str">
        <f>IF(VLOOKUP($B66,'EECL Price List'!$A$12:$P$172,H$1,FALSE)=0,"",VLOOKUP($B66,'EECL Price List'!$A$12:$P$172,H$1,FALSE))</f>
        <v>NMCTPEGL</v>
      </c>
      <c r="G66" s="230" t="str">
        <f>IF(VLOOKUP($B66,'EECL Price List'!$A$12:$P$172,I$1,FALSE)=0,"",VLOOKUP($B66,'EECL Price List'!$A$12:$P$172,I$1,FALSE))</f>
        <v>NMCTPEGI</v>
      </c>
      <c r="H66" s="230"/>
      <c r="I66" s="230"/>
      <c r="J66" s="230" t="str">
        <f>IF(VLOOKUP($C66,'EECL Price List'!$A$12:$P$172,H$1,FALSE)=0,"",VLOOKUP($C66,'EECL Price List'!$A$12:$P$172,H$1,FALSE))</f>
        <v>CFNMCTL</v>
      </c>
      <c r="K66" s="230" t="str">
        <f>IF(VLOOKUP($C66,'EECL Price List'!$A$12:$P$172,I$1,FALSE)=0,"",VLOOKUP($C66,'EECL Price List'!$A$12:$P$172,I$1,FALSE))</f>
        <v>CFNMCTI</v>
      </c>
      <c r="L66" s="230"/>
      <c r="M66" s="230"/>
    </row>
    <row r="67" spans="1:13" s="232" customFormat="1" x14ac:dyDescent="0.2">
      <c r="A67" s="242"/>
      <c r="B67" s="223">
        <v>148</v>
      </c>
      <c r="C67" s="223" t="s">
        <v>196</v>
      </c>
      <c r="D67" s="341"/>
      <c r="E67" s="230" t="str">
        <f>VLOOKUP(B67,'EECL Price List'!$A$12:$P$172,2,FALSE)</f>
        <v xml:space="preserve">Install additional single phase meter for controlled load purposes </v>
      </c>
      <c r="F67" s="230" t="str">
        <f>IF(VLOOKUP($B67,'EECL Price List'!$A$12:$P$172,H$1,FALSE)=0,"",VLOOKUP($B67,'EECL Price List'!$A$12:$P$172,H$1,FALSE))</f>
        <v>ADSPCLL</v>
      </c>
      <c r="G67" s="230" t="str">
        <f>IF(VLOOKUP($B67,'EECL Price List'!$A$12:$P$172,I$1,FALSE)=0,"",VLOOKUP($B67,'EECL Price List'!$A$12:$P$172,I$1,FALSE))</f>
        <v>ADSPCLI</v>
      </c>
      <c r="H67" s="230"/>
      <c r="I67" s="230"/>
      <c r="J67" s="230" t="str">
        <f>IF(VLOOKUP($C67,'EECL Price List'!$A$12:$P$172,H$1,FALSE)=0,"",VLOOKUP($C67,'EECL Price List'!$A$12:$P$172,H$1,FALSE))</f>
        <v>CFNMSPL</v>
      </c>
      <c r="K67" s="230" t="str">
        <f>IF(VLOOKUP($C67,'EECL Price List'!$A$12:$P$172,I$1,FALSE)=0,"",VLOOKUP($C67,'EECL Price List'!$A$12:$P$172,I$1,FALSE))</f>
        <v>CFNMSPI</v>
      </c>
      <c r="L67" s="230"/>
      <c r="M67" s="230"/>
    </row>
    <row r="68" spans="1:13" s="232" customFormat="1" x14ac:dyDescent="0.2">
      <c r="A68" s="242"/>
      <c r="B68" s="223">
        <v>149</v>
      </c>
      <c r="C68" s="223" t="s">
        <v>198</v>
      </c>
      <c r="D68" s="341"/>
      <c r="E68" s="230" t="str">
        <f>VLOOKUP(B68,'EECL Price List'!$A$12:$P$172,2,FALSE)</f>
        <v xml:space="preserve">Install additional polyphase meter for controlled load purposes </v>
      </c>
      <c r="F68" s="230" t="str">
        <f>IF(VLOOKUP($B68,'EECL Price List'!$A$12:$P$172,H$1,FALSE)=0,"",VLOOKUP($B68,'EECL Price List'!$A$12:$P$172,H$1,FALSE))</f>
        <v>ADPPCLL</v>
      </c>
      <c r="G68" s="230" t="str">
        <f>IF(VLOOKUP($B68,'EECL Price List'!$A$12:$P$172,I$1,FALSE)=0,"",VLOOKUP($B68,'EECL Price List'!$A$12:$P$172,I$1,FALSE))</f>
        <v>ADPPCLI</v>
      </c>
      <c r="H68" s="230"/>
      <c r="I68" s="230"/>
      <c r="J68" s="230" t="str">
        <f>IF(VLOOKUP($C68,'EECL Price List'!$A$12:$P$172,H$1,FALSE)=0,"",VLOOKUP($C68,'EECL Price List'!$A$12:$P$172,H$1,FALSE))</f>
        <v>CFNMTHREL</v>
      </c>
      <c r="K68" s="230" t="str">
        <f>IF(VLOOKUP($C68,'EECL Price List'!$A$12:$P$172,I$1,FALSE)=0,"",VLOOKUP($C68,'EECL Price List'!$A$12:$P$172,I$1,FALSE))</f>
        <v>CFNMTHREI</v>
      </c>
      <c r="L68" s="230"/>
      <c r="M68" s="230"/>
    </row>
    <row r="69" spans="1:13" s="232" customFormat="1" x14ac:dyDescent="0.2">
      <c r="A69" s="242"/>
      <c r="B69" s="223">
        <v>150</v>
      </c>
      <c r="C69" s="223" t="s">
        <v>199</v>
      </c>
      <c r="D69" s="341"/>
      <c r="E69" s="230" t="str">
        <f>VLOOKUP(B69,'EECL Price List'!$A$12:$P$172,2,FALSE)</f>
        <v xml:space="preserve">Install additional meter (CT) for controlled load purposes </v>
      </c>
      <c r="F69" s="230" t="str">
        <f>IF(VLOOKUP($B69,'EECL Price List'!$A$12:$P$172,H$1,FALSE)=0,"",VLOOKUP($B69,'EECL Price List'!$A$12:$P$172,H$1,FALSE))</f>
        <v>ADCTCLL</v>
      </c>
      <c r="G69" s="230" t="str">
        <f>IF(VLOOKUP($B69,'EECL Price List'!$A$12:$P$172,I$1,FALSE)=0,"",VLOOKUP($B69,'EECL Price List'!$A$12:$P$172,I$1,FALSE))</f>
        <v>ADCTCLI</v>
      </c>
      <c r="H69" s="230"/>
      <c r="I69" s="230"/>
      <c r="J69" s="230" t="str">
        <f>IF(VLOOKUP($C69,'EECL Price List'!$A$12:$P$172,H$1,FALSE)=0,"",VLOOKUP($C69,'EECL Price List'!$A$12:$P$172,H$1,FALSE))</f>
        <v>CFNMCTL</v>
      </c>
      <c r="K69" s="230" t="str">
        <f>IF(VLOOKUP($C69,'EECL Price List'!$A$12:$P$172,I$1,FALSE)=0,"",VLOOKUP($C69,'EECL Price List'!$A$12:$P$172,I$1,FALSE))</f>
        <v>CFNMCTI</v>
      </c>
      <c r="L69" s="230"/>
      <c r="M69" s="230"/>
    </row>
    <row r="70" spans="1:13" s="232" customFormat="1" ht="24" x14ac:dyDescent="0.2">
      <c r="A70" s="242"/>
      <c r="B70" s="223">
        <v>151</v>
      </c>
      <c r="C70" s="223" t="s">
        <v>196</v>
      </c>
      <c r="D70" s="341"/>
      <c r="E70" s="230" t="str">
        <f>VLOOKUP(B70,'EECL Price List'!$A$12:$P$172,2,FALSE)</f>
        <v xml:space="preserve">Install additional single phase meter to accommodate additional tariffs other than controlled load </v>
      </c>
      <c r="F70" s="230" t="str">
        <f>IF(VLOOKUP($B70,'EECL Price List'!$A$12:$P$172,H$1,FALSE)=0,"",VLOOKUP($B70,'EECL Price List'!$A$12:$P$172,H$1,FALSE))</f>
        <v>ADSPATL</v>
      </c>
      <c r="G70" s="230" t="str">
        <f>IF(VLOOKUP($B70,'EECL Price List'!$A$12:$P$172,I$1,FALSE)=0,"",VLOOKUP($B70,'EECL Price List'!$A$12:$P$172,I$1,FALSE))</f>
        <v>ADSPATI</v>
      </c>
      <c r="H70" s="230"/>
      <c r="I70" s="230"/>
      <c r="J70" s="230" t="str">
        <f>IF(VLOOKUP($C70,'EECL Price List'!$A$12:$P$172,H$1,FALSE)=0,"",VLOOKUP($C70,'EECL Price List'!$A$12:$P$172,H$1,FALSE))</f>
        <v>CFNMSPL</v>
      </c>
      <c r="K70" s="230" t="str">
        <f>IF(VLOOKUP($C70,'EECL Price List'!$A$12:$P$172,I$1,FALSE)=0,"",VLOOKUP($C70,'EECL Price List'!$A$12:$P$172,I$1,FALSE))</f>
        <v>CFNMSPI</v>
      </c>
      <c r="L70" s="230"/>
      <c r="M70" s="230"/>
    </row>
    <row r="71" spans="1:13" s="232" customFormat="1" ht="24" x14ac:dyDescent="0.2">
      <c r="A71" s="242"/>
      <c r="B71" s="223">
        <v>152</v>
      </c>
      <c r="C71" s="223" t="s">
        <v>198</v>
      </c>
      <c r="D71" s="341"/>
      <c r="E71" s="230" t="str">
        <f>VLOOKUP(B71,'EECL Price List'!$A$12:$P$172,2,FALSE)</f>
        <v xml:space="preserve">Install additional polyphase meter to accommodate additional tariffs other than controlled load </v>
      </c>
      <c r="F71" s="230" t="str">
        <f>IF(VLOOKUP($B71,'EECL Price List'!$A$12:$P$172,H$1,FALSE)=0,"",VLOOKUP($B71,'EECL Price List'!$A$12:$P$172,H$1,FALSE))</f>
        <v>ADPPATL</v>
      </c>
      <c r="G71" s="230" t="str">
        <f>IF(VLOOKUP($B71,'EECL Price List'!$A$12:$P$172,I$1,FALSE)=0,"",VLOOKUP($B71,'EECL Price List'!$A$12:$P$172,I$1,FALSE))</f>
        <v>ADPPATI</v>
      </c>
      <c r="H71" s="230"/>
      <c r="I71" s="230"/>
      <c r="J71" s="230" t="str">
        <f>IF(VLOOKUP($C71,'EECL Price List'!$A$12:$P$172,H$1,FALSE)=0,"",VLOOKUP($C71,'EECL Price List'!$A$12:$P$172,H$1,FALSE))</f>
        <v>CFNMTHREL</v>
      </c>
      <c r="K71" s="230" t="str">
        <f>IF(VLOOKUP($C71,'EECL Price List'!$A$12:$P$172,I$1,FALSE)=0,"",VLOOKUP($C71,'EECL Price List'!$A$12:$P$172,I$1,FALSE))</f>
        <v>CFNMTHREI</v>
      </c>
      <c r="L71" s="230"/>
      <c r="M71" s="230"/>
    </row>
    <row r="72" spans="1:13" s="232" customFormat="1" x14ac:dyDescent="0.2">
      <c r="A72" s="242"/>
      <c r="B72" s="223">
        <v>153</v>
      </c>
      <c r="C72" s="223" t="s">
        <v>199</v>
      </c>
      <c r="D72" s="341"/>
      <c r="E72" s="230" t="str">
        <f>VLOOKUP(B72,'EECL Price List'!$A$12:$P$172,2,FALSE)</f>
        <v xml:space="preserve">Install additional meter (CT) to accommodate additional tariffs other than controlled load </v>
      </c>
      <c r="F72" s="230" t="str">
        <f>IF(VLOOKUP($B72,'EECL Price List'!$A$12:$P$172,H$1,FALSE)=0,"",VLOOKUP($B72,'EECL Price List'!$A$12:$P$172,H$1,FALSE))</f>
        <v>ADCTATL</v>
      </c>
      <c r="G72" s="230" t="str">
        <f>IF(VLOOKUP($B72,'EECL Price List'!$A$12:$P$172,I$1,FALSE)=0,"",VLOOKUP($B72,'EECL Price List'!$A$12:$P$172,I$1,FALSE))</f>
        <v>ADCTATI</v>
      </c>
      <c r="H72" s="230"/>
      <c r="I72" s="230"/>
      <c r="J72" s="230" t="str">
        <f>IF(VLOOKUP($C72,'EECL Price List'!$A$12:$P$172,H$1,FALSE)=0,"",VLOOKUP($C72,'EECL Price List'!$A$12:$P$172,H$1,FALSE))</f>
        <v>CFNMCTL</v>
      </c>
      <c r="K72" s="230" t="str">
        <f>IF(VLOOKUP($C72,'EECL Price List'!$A$12:$P$172,I$1,FALSE)=0,"",VLOOKUP($C72,'EECL Price List'!$A$12:$P$172,I$1,FALSE))</f>
        <v>CFNMCTI</v>
      </c>
      <c r="L72" s="230"/>
      <c r="M72" s="230"/>
    </row>
    <row r="73" spans="1:13" s="232" customFormat="1" x14ac:dyDescent="0.2">
      <c r="A73" s="242"/>
      <c r="B73" s="223">
        <v>154</v>
      </c>
      <c r="C73" s="223" t="s">
        <v>196</v>
      </c>
      <c r="D73" s="341"/>
      <c r="E73" s="230" t="str">
        <f>VLOOKUP(B73,'EECL Price List'!$A$12:$P$172,2,FALSE)</f>
        <v xml:space="preserve">Install new single phase meter to accommodate embedded generation installation </v>
      </c>
      <c r="F73" s="230" t="str">
        <f>IF(VLOOKUP($B73,'EECL Price List'!$A$12:$P$172,H$1,FALSE)=0,"",VLOOKUP($B73,'EECL Price List'!$A$12:$P$172,H$1,FALSE))</f>
        <v>NSPAEGL</v>
      </c>
      <c r="G73" s="230" t="str">
        <f>IF(VLOOKUP($B73,'EECL Price List'!$A$12:$P$172,I$1,FALSE)=0,"",VLOOKUP($B73,'EECL Price List'!$A$12:$P$172,I$1,FALSE))</f>
        <v>NSPAEGI</v>
      </c>
      <c r="H73" s="230"/>
      <c r="I73" s="230"/>
      <c r="J73" s="230" t="str">
        <f>IF(VLOOKUP($C73,'EECL Price List'!$A$12:$P$172,H$1,FALSE)=0,"",VLOOKUP($C73,'EECL Price List'!$A$12:$P$172,H$1,FALSE))</f>
        <v>CFNMSPL</v>
      </c>
      <c r="K73" s="230" t="str">
        <f>IF(VLOOKUP($C73,'EECL Price List'!$A$12:$P$172,I$1,FALSE)=0,"",VLOOKUP($C73,'EECL Price List'!$A$12:$P$172,I$1,FALSE))</f>
        <v>CFNMSPI</v>
      </c>
      <c r="L73" s="230"/>
      <c r="M73" s="230"/>
    </row>
    <row r="74" spans="1:13" s="231" customFormat="1" x14ac:dyDescent="0.2">
      <c r="A74" s="242"/>
      <c r="B74" s="223">
        <v>155</v>
      </c>
      <c r="C74" s="223" t="s">
        <v>198</v>
      </c>
      <c r="D74" s="341"/>
      <c r="E74" s="230" t="str">
        <f>VLOOKUP(B74,'EECL Price List'!$A$12:$P$172,2,FALSE)</f>
        <v xml:space="preserve">Install new polyphase meter to accommodate embedded generation installation </v>
      </c>
      <c r="F74" s="230" t="str">
        <f>IF(VLOOKUP($B74,'EECL Price List'!$A$12:$P$172,H$1,FALSE)=0,"",VLOOKUP($B74,'EECL Price List'!$A$12:$P$172,H$1,FALSE))</f>
        <v>NPPAEGL</v>
      </c>
      <c r="G74" s="230" t="str">
        <f>IF(VLOOKUP($B74,'EECL Price List'!$A$12:$P$172,I$1,FALSE)=0,"",VLOOKUP($B74,'EECL Price List'!$A$12:$P$172,I$1,FALSE))</f>
        <v>NPPAEGI</v>
      </c>
      <c r="H74" s="230"/>
      <c r="I74" s="230"/>
      <c r="J74" s="230" t="str">
        <f>IF(VLOOKUP($C74,'EECL Price List'!$A$12:$P$172,H$1,FALSE)=0,"",VLOOKUP($C74,'EECL Price List'!$A$12:$P$172,H$1,FALSE))</f>
        <v>CFNMTHREL</v>
      </c>
      <c r="K74" s="230" t="str">
        <f>IF(VLOOKUP($C74,'EECL Price List'!$A$12:$P$172,I$1,FALSE)=0,"",VLOOKUP($C74,'EECL Price List'!$A$12:$P$172,I$1,FALSE))</f>
        <v>CFNMTHREI</v>
      </c>
      <c r="L74" s="230"/>
      <c r="M74" s="230"/>
    </row>
    <row r="75" spans="1:13" s="231" customFormat="1" ht="18.75" customHeight="1" x14ac:dyDescent="0.2">
      <c r="A75" s="242"/>
      <c r="B75" s="223">
        <v>156</v>
      </c>
      <c r="C75" s="223" t="s">
        <v>199</v>
      </c>
      <c r="D75" s="341"/>
      <c r="E75" s="230" t="str">
        <f>VLOOKUP(B75,'EECL Price List'!$A$12:$P$172,2,FALSE)</f>
        <v xml:space="preserve">Install new meter (CT) to accommodate embedded generation installation </v>
      </c>
      <c r="F75" s="230" t="str">
        <f>IF(VLOOKUP($B75,'EECL Price List'!$A$12:$P$172,H$1,FALSE)=0,"",VLOOKUP($B75,'EECL Price List'!$A$12:$P$172,H$1,FALSE))</f>
        <v>NCTAEGL</v>
      </c>
      <c r="G75" s="230" t="str">
        <f>IF(VLOOKUP($B75,'EECL Price List'!$A$12:$P$172,I$1,FALSE)=0,"",VLOOKUP($B75,'EECL Price List'!$A$12:$P$172,I$1,FALSE))</f>
        <v>NCTAEGI</v>
      </c>
      <c r="H75" s="230"/>
      <c r="I75" s="230"/>
      <c r="J75" s="230" t="str">
        <f>IF(VLOOKUP($C75,'EECL Price List'!$A$12:$P$172,H$1,FALSE)=0,"",VLOOKUP($C75,'EECL Price List'!$A$12:$P$172,H$1,FALSE))</f>
        <v>CFNMCTL</v>
      </c>
      <c r="K75" s="230" t="str">
        <f>IF(VLOOKUP($C75,'EECL Price List'!$A$12:$P$172,I$1,FALSE)=0,"",VLOOKUP($C75,'EECL Price List'!$A$12:$P$172,I$1,FALSE))</f>
        <v>CFNMCTI</v>
      </c>
      <c r="L75" s="230"/>
      <c r="M75" s="230"/>
    </row>
    <row r="76" spans="1:13" x14ac:dyDescent="0.2">
      <c r="B76" s="223">
        <v>40</v>
      </c>
      <c r="D76" s="343" t="s">
        <v>500</v>
      </c>
      <c r="E76" s="239" t="str">
        <f>VLOOKUP(B76,'EECL Price List'!$A$12:$P$172,2,FALSE)</f>
        <v xml:space="preserve">Application fee - Negotiated connection </v>
      </c>
      <c r="F76" s="235" t="str">
        <f>IF(VLOOKUP($B76,'EECL Price List'!$A$12:$P$172,F$1,FALSE)=0,"",VLOOKUP($B76,'EECL Price List'!$A$12:$P$172,F$1,FALSE))</f>
        <v>As Quoted</v>
      </c>
      <c r="G76" s="239" t="str">
        <f>IF(VLOOKUP($B76,'EECL Price List'!$A$12:$P$172,G$1,FALSE)=0,"",VLOOKUP($B76,'EECL Price List'!$A$12:$P$172,G$1,FALSE))</f>
        <v/>
      </c>
      <c r="H76" s="239" t="str">
        <f>IF(VLOOKUP($B76,'EECL Price List'!$A$12:$P$172,H$1,FALSE)=0,"",VLOOKUP($B76,'EECL Price List'!$A$12:$P$172,H$1,FALSE))</f>
        <v/>
      </c>
      <c r="I76" s="239" t="str">
        <f>IF(VLOOKUP($B76,'EECL Price List'!$A$12:$P$172,I$1,FALSE)=0,"",VLOOKUP($B76,'EECL Price List'!$A$12:$P$172,I$1,FALSE))</f>
        <v/>
      </c>
      <c r="J76" s="239" t="s">
        <v>503</v>
      </c>
      <c r="K76" s="238"/>
      <c r="L76" s="239" t="str">
        <f>IFERROR(IF(VLOOKUP($C76,'EECL Price List'!$A$12:$P$172,H$1,FALSE)=0,"",VLOOKUP($C76,'EECL Price List'!$A$12:$P$172,H$1,FALSE)),"")</f>
        <v/>
      </c>
      <c r="M76" s="239" t="str">
        <f>IFERROR(IF(VLOOKUP($C76,'EECL Price List'!$A$12:$P$172,I$1,FALSE)=0,"",VLOOKUP($C76,'EECL Price List'!$A$12:$P$172,I$1,FALSE)),"")</f>
        <v/>
      </c>
    </row>
    <row r="77" spans="1:13" x14ac:dyDescent="0.2">
      <c r="B77" s="223">
        <v>41</v>
      </c>
      <c r="D77" s="341"/>
      <c r="E77" s="215" t="str">
        <f>VLOOKUP(B77,'EECL Price List'!$A$12:$P$172,2,FALSE)</f>
        <v>Application fee - Negotiated connection - Micro-embedded generators</v>
      </c>
      <c r="F77" s="234" t="str">
        <f>IF(VLOOKUP($B77,'EECL Price List'!$A$12:$P$172,F$1,FALSE)=0,"",VLOOKUP($B77,'EECL Price List'!$A$12:$P$172,F$1,FALSE))</f>
        <v>As Quoted</v>
      </c>
      <c r="G77" s="234" t="str">
        <f>IF(VLOOKUP($B77,'EECL Price List'!$A$12:$P$172,G$1,FALSE)=0,"",VLOOKUP($B77,'EECL Price List'!$A$12:$P$172,G$1,FALSE))</f>
        <v/>
      </c>
      <c r="H77" s="234" t="str">
        <f>IF(VLOOKUP($B77,'EECL Price List'!$A$12:$P$172,H$1,FALSE)=0,"",VLOOKUP($B77,'EECL Price List'!$A$12:$P$172,H$1,FALSE))</f>
        <v/>
      </c>
      <c r="I77" s="215" t="str">
        <f>IF(VLOOKUP($B77,'EECL Price List'!$A$12:$P$172,I$1,FALSE)=0,"",VLOOKUP($B77,'EECL Price List'!$A$12:$P$172,I$1,FALSE))</f>
        <v/>
      </c>
      <c r="J77" s="234" t="s">
        <v>503</v>
      </c>
      <c r="K77" s="234" t="str">
        <f>IFERROR(IF(VLOOKUP($C77,'EECL Price List'!$A$12:$P$172,G$1,FALSE)=0,"",VLOOKUP($C77,'EECL Price List'!$A$12:$P$172,G$1,FALSE)),"")</f>
        <v/>
      </c>
      <c r="L77" s="234" t="str">
        <f>IFERROR(IF(VLOOKUP($C77,'EECL Price List'!$A$12:$P$172,H$1,FALSE)=0,"",VLOOKUP($C77,'EECL Price List'!$A$12:$P$172,H$1,FALSE)),"")</f>
        <v/>
      </c>
      <c r="M77" s="215" t="str">
        <f>IFERROR(IF(VLOOKUP($C77,'EECL Price List'!$A$12:$P$172,I$1,FALSE)=0,"",VLOOKUP($C77,'EECL Price List'!$A$12:$P$172,I$1,FALSE)),"")</f>
        <v/>
      </c>
    </row>
    <row r="78" spans="1:13" s="232" customFormat="1" x14ac:dyDescent="0.2">
      <c r="A78" s="242"/>
      <c r="B78" s="223">
        <v>42</v>
      </c>
      <c r="C78" s="221"/>
      <c r="D78" s="341"/>
      <c r="E78" s="234" t="str">
        <f>VLOOKUP(B78,'EECL Price List'!$A$12:$P$172,2,FALSE)</f>
        <v>Application fee - Negotiated - Major customer connection</v>
      </c>
      <c r="F78" s="234" t="str">
        <f>IF(VLOOKUP($B78,'EECL Price List'!$A$12:$P$172,F$1,FALSE)=0,"",VLOOKUP($B78,'EECL Price List'!$A$12:$P$172,F$1,FALSE))</f>
        <v>As Quoted</v>
      </c>
      <c r="G78" s="234" t="str">
        <f>IF(VLOOKUP($B78,'EECL Price List'!$A$12:$P$172,G$1,FALSE)=0,"",VLOOKUP($B78,'EECL Price List'!$A$12:$P$172,G$1,FALSE))</f>
        <v/>
      </c>
      <c r="H78" s="234" t="str">
        <f>IF(VLOOKUP($B78,'EECL Price List'!$A$12:$P$172,H$1,FALSE)=0,"",VLOOKUP($B78,'EECL Price List'!$A$12:$P$172,H$1,FALSE))</f>
        <v/>
      </c>
      <c r="I78" s="234" t="str">
        <f>IF(VLOOKUP($B78,'EECL Price List'!$A$12:$P$172,I$1,FALSE)=0,"",VLOOKUP($B78,'EECL Price List'!$A$12:$P$172,I$1,FALSE))</f>
        <v/>
      </c>
      <c r="J78" s="234" t="s">
        <v>503</v>
      </c>
      <c r="K78" s="234" t="str">
        <f>IFERROR(IF(VLOOKUP($C78,'EECL Price List'!$A$12:$P$172,G$1,FALSE)=0,"",VLOOKUP($C78,'EECL Price List'!$A$12:$P$172,G$1,FALSE)),"")</f>
        <v/>
      </c>
      <c r="L78" s="234" t="str">
        <f>IFERROR(IF(VLOOKUP($C78,'EECL Price List'!$A$12:$P$172,H$1,FALSE)=0,"",VLOOKUP($C78,'EECL Price List'!$A$12:$P$172,H$1,FALSE)),"")</f>
        <v/>
      </c>
      <c r="M78" s="234" t="str">
        <f>IFERROR(IF(VLOOKUP($C78,'EECL Price List'!$A$12:$P$172,I$1,FALSE)=0,"",VLOOKUP($C78,'EECL Price List'!$A$12:$P$172,I$1,FALSE)),"")</f>
        <v/>
      </c>
    </row>
    <row r="79" spans="1:13" s="232" customFormat="1" x14ac:dyDescent="0.2">
      <c r="A79" s="242"/>
      <c r="B79" s="223">
        <v>43</v>
      </c>
      <c r="C79" s="221"/>
      <c r="D79" s="341"/>
      <c r="E79" s="234" t="str">
        <f>VLOOKUP(B79,'EECL Price List'!$A$12:$P$172,2,FALSE)</f>
        <v>Carrying out planning studies and analysis relating to connection applications</v>
      </c>
      <c r="F79" s="234" t="str">
        <f>IF(VLOOKUP($B79,'EECL Price List'!$A$12:$P$172,F$1,FALSE)=0,"",VLOOKUP($B79,'EECL Price List'!$A$12:$P$172,F$1,FALSE))</f>
        <v>As Quoted</v>
      </c>
      <c r="G79" s="234" t="str">
        <f>IF(VLOOKUP($B79,'EECL Price List'!$A$12:$P$172,G$1,FALSE)=0,"",VLOOKUP($B79,'EECL Price List'!$A$12:$P$172,G$1,FALSE))</f>
        <v/>
      </c>
      <c r="H79" s="234" t="str">
        <f>IF(VLOOKUP($B79,'EECL Price List'!$A$12:$P$172,H$1,FALSE)=0,"",VLOOKUP($B79,'EECL Price List'!$A$12:$P$172,H$1,FALSE))</f>
        <v/>
      </c>
      <c r="I79" s="234" t="str">
        <f>IF(VLOOKUP($B79,'EECL Price List'!$A$12:$P$172,I$1,FALSE)=0,"",VLOOKUP($B79,'EECL Price List'!$A$12:$P$172,I$1,FALSE))</f>
        <v/>
      </c>
      <c r="J79" s="234" t="s">
        <v>503</v>
      </c>
      <c r="K79" s="234" t="str">
        <f>IFERROR(IF(VLOOKUP($C79,'EECL Price List'!$A$12:$P$172,G$1,FALSE)=0,"",VLOOKUP($C79,'EECL Price List'!$A$12:$P$172,G$1,FALSE)),"")</f>
        <v/>
      </c>
      <c r="L79" s="234" t="str">
        <f>IFERROR(IF(VLOOKUP($C79,'EECL Price List'!$A$12:$P$172,H$1,FALSE)=0,"",VLOOKUP($C79,'EECL Price List'!$A$12:$P$172,H$1,FALSE)),"")</f>
        <v/>
      </c>
      <c r="M79" s="234" t="str">
        <f>IFERROR(IF(VLOOKUP($C79,'EECL Price List'!$A$12:$P$172,I$1,FALSE)=0,"",VLOOKUP($C79,'EECL Price List'!$A$12:$P$172,I$1,FALSE)),"")</f>
        <v/>
      </c>
    </row>
    <row r="80" spans="1:13" s="232" customFormat="1" ht="24" x14ac:dyDescent="0.2">
      <c r="A80" s="242"/>
      <c r="B80" s="223">
        <v>44</v>
      </c>
      <c r="C80" s="221"/>
      <c r="D80" s="341"/>
      <c r="E80" s="234" t="str">
        <f>VLOOKUP(B80,'EECL Price List'!$A$12:$P$172,2,FALSE)</f>
        <v>Feasibility and concept scoping, including planning and design, for major customer connections</v>
      </c>
      <c r="F80" s="234" t="str">
        <f>IF(VLOOKUP($B80,'EECL Price List'!$A$12:$P$172,F$1,FALSE)=0,"",VLOOKUP($B80,'EECL Price List'!$A$12:$P$172,F$1,FALSE))</f>
        <v>As Quoted</v>
      </c>
      <c r="G80" s="234" t="str">
        <f>IF(VLOOKUP($B80,'EECL Price List'!$A$12:$P$172,G$1,FALSE)=0,"",VLOOKUP($B80,'EECL Price List'!$A$12:$P$172,G$1,FALSE))</f>
        <v/>
      </c>
      <c r="H80" s="234" t="str">
        <f>IF(VLOOKUP($B80,'EECL Price List'!$A$12:$P$172,H$1,FALSE)=0,"",VLOOKUP($B80,'EECL Price List'!$A$12:$P$172,H$1,FALSE))</f>
        <v/>
      </c>
      <c r="I80" s="234" t="str">
        <f>IF(VLOOKUP($B80,'EECL Price List'!$A$12:$P$172,I$1,FALSE)=0,"",VLOOKUP($B80,'EECL Price List'!$A$12:$P$172,I$1,FALSE))</f>
        <v/>
      </c>
      <c r="J80" s="234" t="s">
        <v>503</v>
      </c>
      <c r="K80" s="234" t="str">
        <f>IFERROR(IF(VLOOKUP($C80,'EECL Price List'!$A$12:$P$172,G$1,FALSE)=0,"",VLOOKUP($C80,'EECL Price List'!$A$12:$P$172,G$1,FALSE)),"")</f>
        <v/>
      </c>
      <c r="L80" s="234" t="str">
        <f>IFERROR(IF(VLOOKUP($C80,'EECL Price List'!$A$12:$P$172,H$1,FALSE)=0,"",VLOOKUP($C80,'EECL Price List'!$A$12:$P$172,H$1,FALSE)),"")</f>
        <v/>
      </c>
      <c r="M80" s="234" t="str">
        <f>IFERROR(IF(VLOOKUP($C80,'EECL Price List'!$A$12:$P$172,I$1,FALSE)=0,"",VLOOKUP($C80,'EECL Price List'!$A$12:$P$172,I$1,FALSE)),"")</f>
        <v/>
      </c>
    </row>
    <row r="81" spans="1:13" s="232" customFormat="1" x14ac:dyDescent="0.2">
      <c r="A81" s="242"/>
      <c r="B81" s="223">
        <v>45</v>
      </c>
      <c r="C81" s="221"/>
      <c r="D81" s="341"/>
      <c r="E81" s="234" t="str">
        <f>VLOOKUP(B81,'EECL Price List'!$A$12:$P$172,2,FALSE)</f>
        <v>Tender process</v>
      </c>
      <c r="F81" s="234" t="str">
        <f>IF(VLOOKUP($B81,'EECL Price List'!$A$12:$P$172,F$1,FALSE)=0,"",VLOOKUP($B81,'EECL Price List'!$A$12:$P$172,F$1,FALSE))</f>
        <v>As Quoted</v>
      </c>
      <c r="G81" s="234" t="str">
        <f>IF(VLOOKUP($B81,'EECL Price List'!$A$12:$P$172,G$1,FALSE)=0,"",VLOOKUP($B81,'EECL Price List'!$A$12:$P$172,G$1,FALSE))</f>
        <v/>
      </c>
      <c r="H81" s="234" t="str">
        <f>IF(VLOOKUP($B81,'EECL Price List'!$A$12:$P$172,H$1,FALSE)=0,"",VLOOKUP($B81,'EECL Price List'!$A$12:$P$172,H$1,FALSE))</f>
        <v/>
      </c>
      <c r="I81" s="234" t="str">
        <f>IF(VLOOKUP($B81,'EECL Price List'!$A$12:$P$172,I$1,FALSE)=0,"",VLOOKUP($B81,'EECL Price List'!$A$12:$P$172,I$1,FALSE))</f>
        <v/>
      </c>
      <c r="J81" s="234" t="s">
        <v>503</v>
      </c>
      <c r="K81" s="234" t="str">
        <f>IFERROR(IF(VLOOKUP($C81,'EECL Price List'!$A$12:$P$172,G$1,FALSE)=0,"",VLOOKUP($C81,'EECL Price List'!$A$12:$P$172,G$1,FALSE)),"")</f>
        <v/>
      </c>
      <c r="L81" s="234" t="str">
        <f>IFERROR(IF(VLOOKUP($C81,'EECL Price List'!$A$12:$P$172,H$1,FALSE)=0,"",VLOOKUP($C81,'EECL Price List'!$A$12:$P$172,H$1,FALSE)),"")</f>
        <v/>
      </c>
      <c r="M81" s="234" t="str">
        <f>IFERROR(IF(VLOOKUP($C81,'EECL Price List'!$A$12:$P$172,I$1,FALSE)=0,"",VLOOKUP($C81,'EECL Price List'!$A$12:$P$172,I$1,FALSE)),"")</f>
        <v/>
      </c>
    </row>
    <row r="82" spans="1:13" s="232" customFormat="1" x14ac:dyDescent="0.2">
      <c r="A82" s="242"/>
      <c r="B82" s="223">
        <v>46</v>
      </c>
      <c r="C82" s="221"/>
      <c r="D82" s="341"/>
      <c r="E82" s="234" t="str">
        <f>VLOOKUP(B82,'EECL Price List'!$A$12:$P$172,2,FALSE)</f>
        <v>Pre-connection site inspection</v>
      </c>
      <c r="F82" s="234" t="str">
        <f>IF(VLOOKUP($B82,'EECL Price List'!$A$12:$P$172,F$1,FALSE)=0,"",VLOOKUP($B82,'EECL Price List'!$A$12:$P$172,F$1,FALSE))</f>
        <v>As Quoted</v>
      </c>
      <c r="G82" s="234" t="str">
        <f>IF(VLOOKUP($B82,'EECL Price List'!$A$12:$P$172,G$1,FALSE)=0,"",VLOOKUP($B82,'EECL Price List'!$A$12:$P$172,G$1,FALSE))</f>
        <v/>
      </c>
      <c r="H82" s="234" t="str">
        <f>IF(VLOOKUP($B82,'EECL Price List'!$A$12:$P$172,H$1,FALSE)=0,"",VLOOKUP($B82,'EECL Price List'!$A$12:$P$172,H$1,FALSE))</f>
        <v/>
      </c>
      <c r="I82" s="234" t="str">
        <f>IF(VLOOKUP($B82,'EECL Price List'!$A$12:$P$172,I$1,FALSE)=0,"",VLOOKUP($B82,'EECL Price List'!$A$12:$P$172,I$1,FALSE))</f>
        <v/>
      </c>
      <c r="J82" s="234" t="s">
        <v>503</v>
      </c>
      <c r="K82" s="234" t="str">
        <f>IFERROR(IF(VLOOKUP($C82,'EECL Price List'!$A$12:$P$172,G$1,FALSE)=0,"",VLOOKUP($C82,'EECL Price List'!$A$12:$P$172,G$1,FALSE)),"")</f>
        <v/>
      </c>
      <c r="L82" s="234" t="str">
        <f>IFERROR(IF(VLOOKUP($C82,'EECL Price List'!$A$12:$P$172,H$1,FALSE)=0,"",VLOOKUP($C82,'EECL Price List'!$A$12:$P$172,H$1,FALSE)),"")</f>
        <v/>
      </c>
      <c r="M82" s="234" t="str">
        <f>IFERROR(IF(VLOOKUP($C82,'EECL Price List'!$A$12:$P$172,I$1,FALSE)=0,"",VLOOKUP($C82,'EECL Price List'!$A$12:$P$172,I$1,FALSE)),"")</f>
        <v/>
      </c>
    </row>
    <row r="83" spans="1:13" s="232" customFormat="1" x14ac:dyDescent="0.2">
      <c r="A83" s="242"/>
      <c r="B83" s="223">
        <v>47</v>
      </c>
      <c r="C83" s="221"/>
      <c r="D83" s="341"/>
      <c r="E83" s="234" t="str">
        <f>VLOOKUP(B83,'EECL Price List'!$A$12:$P$172,2,FALSE)</f>
        <v>Provision of site-specific connection information and advice</v>
      </c>
      <c r="F83" s="234" t="str">
        <f>IF(VLOOKUP($B83,'EECL Price List'!$A$12:$P$172,F$1,FALSE)=0,"",VLOOKUP($B83,'EECL Price List'!$A$12:$P$172,F$1,FALSE))</f>
        <v>As Quoted</v>
      </c>
      <c r="G83" s="234" t="str">
        <f>IF(VLOOKUP($B83,'EECL Price List'!$A$12:$P$172,G$1,FALSE)=0,"",VLOOKUP($B83,'EECL Price List'!$A$12:$P$172,G$1,FALSE))</f>
        <v/>
      </c>
      <c r="H83" s="234" t="str">
        <f>IF(VLOOKUP($B83,'EECL Price List'!$A$12:$P$172,H$1,FALSE)=0,"",VLOOKUP($B83,'EECL Price List'!$A$12:$P$172,H$1,FALSE))</f>
        <v/>
      </c>
      <c r="I83" s="234" t="str">
        <f>IF(VLOOKUP($B83,'EECL Price List'!$A$12:$P$172,I$1,FALSE)=0,"",VLOOKUP($B83,'EECL Price List'!$A$12:$P$172,I$1,FALSE))</f>
        <v/>
      </c>
      <c r="J83" s="234" t="s">
        <v>503</v>
      </c>
      <c r="K83" s="234" t="str">
        <f>IFERROR(IF(VLOOKUP($C83,'EECL Price List'!$A$12:$P$172,G$1,FALSE)=0,"",VLOOKUP($C83,'EECL Price List'!$A$12:$P$172,G$1,FALSE)),"")</f>
        <v/>
      </c>
      <c r="L83" s="234" t="str">
        <f>IFERROR(IF(VLOOKUP($C83,'EECL Price List'!$A$12:$P$172,H$1,FALSE)=0,"",VLOOKUP($C83,'EECL Price List'!$A$12:$P$172,H$1,FALSE)),"")</f>
        <v/>
      </c>
      <c r="M83" s="234" t="str">
        <f>IFERROR(IF(VLOOKUP($C83,'EECL Price List'!$A$12:$P$172,I$1,FALSE)=0,"",VLOOKUP($C83,'EECL Price List'!$A$12:$P$172,I$1,FALSE)),"")</f>
        <v/>
      </c>
    </row>
    <row r="84" spans="1:13" s="232" customFormat="1" ht="24" x14ac:dyDescent="0.2">
      <c r="A84" s="242"/>
      <c r="B84" s="223">
        <v>48</v>
      </c>
      <c r="C84" s="221"/>
      <c r="D84" s="341"/>
      <c r="E84" s="234" t="str">
        <f>VLOOKUP(B84,'EECL Price List'!$A$12:$P$172,2,FALSE)</f>
        <v>Preparation of preliminary designs and planning reports for major customer connections, including project scopes and estimates</v>
      </c>
      <c r="F84" s="234" t="str">
        <f>IF(VLOOKUP($B84,'EECL Price List'!$A$12:$P$172,F$1,FALSE)=0,"",VLOOKUP($B84,'EECL Price List'!$A$12:$P$172,F$1,FALSE))</f>
        <v>As Quoted</v>
      </c>
      <c r="G84" s="234" t="str">
        <f>IF(VLOOKUP($B84,'EECL Price List'!$A$12:$P$172,G$1,FALSE)=0,"",VLOOKUP($B84,'EECL Price List'!$A$12:$P$172,G$1,FALSE))</f>
        <v/>
      </c>
      <c r="H84" s="234" t="str">
        <f>IF(VLOOKUP($B84,'EECL Price List'!$A$12:$P$172,H$1,FALSE)=0,"",VLOOKUP($B84,'EECL Price List'!$A$12:$P$172,H$1,FALSE))</f>
        <v/>
      </c>
      <c r="I84" s="234" t="str">
        <f>IF(VLOOKUP($B84,'EECL Price List'!$A$12:$P$172,I$1,FALSE)=0,"",VLOOKUP($B84,'EECL Price List'!$A$12:$P$172,I$1,FALSE))</f>
        <v/>
      </c>
      <c r="J84" s="234" t="s">
        <v>503</v>
      </c>
      <c r="K84" s="234" t="str">
        <f>IFERROR(IF(VLOOKUP($C84,'EECL Price List'!$A$12:$P$172,G$1,FALSE)=0,"",VLOOKUP($C84,'EECL Price List'!$A$12:$P$172,G$1,FALSE)),"")</f>
        <v/>
      </c>
      <c r="L84" s="234" t="str">
        <f>IFERROR(IF(VLOOKUP($C84,'EECL Price List'!$A$12:$P$172,H$1,FALSE)=0,"",VLOOKUP($C84,'EECL Price List'!$A$12:$P$172,H$1,FALSE)),"")</f>
        <v/>
      </c>
      <c r="M84" s="234" t="str">
        <f>IFERROR(IF(VLOOKUP($C84,'EECL Price List'!$A$12:$P$172,I$1,FALSE)=0,"",VLOOKUP($C84,'EECL Price List'!$A$12:$P$172,I$1,FALSE)),"")</f>
        <v/>
      </c>
    </row>
    <row r="85" spans="1:13" s="232" customFormat="1" x14ac:dyDescent="0.2">
      <c r="A85" s="242"/>
      <c r="B85" s="223">
        <v>49</v>
      </c>
      <c r="C85" s="221"/>
      <c r="D85" s="341"/>
      <c r="E85" s="234" t="str">
        <f>VLOOKUP(B85,'EECL Price List'!$A$12:$P$172,2,FALSE)</f>
        <v>Customer build, own and operate consultation services</v>
      </c>
      <c r="F85" s="234" t="str">
        <f>IF(VLOOKUP($B85,'EECL Price List'!$A$12:$P$172,F$1,FALSE)=0,"",VLOOKUP($B85,'EECL Price List'!$A$12:$P$172,F$1,FALSE))</f>
        <v>As Quoted</v>
      </c>
      <c r="G85" s="234" t="str">
        <f>IF(VLOOKUP($B85,'EECL Price List'!$A$12:$P$172,G$1,FALSE)=0,"",VLOOKUP($B85,'EECL Price List'!$A$12:$P$172,G$1,FALSE))</f>
        <v/>
      </c>
      <c r="H85" s="234" t="str">
        <f>IF(VLOOKUP($B85,'EECL Price List'!$A$12:$P$172,H$1,FALSE)=0,"",VLOOKUP($B85,'EECL Price List'!$A$12:$P$172,H$1,FALSE))</f>
        <v/>
      </c>
      <c r="I85" s="234" t="str">
        <f>IF(VLOOKUP($B85,'EECL Price List'!$A$12:$P$172,I$1,FALSE)=0,"",VLOOKUP($B85,'EECL Price List'!$A$12:$P$172,I$1,FALSE))</f>
        <v/>
      </c>
      <c r="J85" s="234" t="s">
        <v>503</v>
      </c>
      <c r="K85" s="234" t="str">
        <f>IFERROR(IF(VLOOKUP($C85,'EECL Price List'!$A$12:$P$172,G$1,FALSE)=0,"",VLOOKUP($C85,'EECL Price List'!$A$12:$P$172,G$1,FALSE)),"")</f>
        <v/>
      </c>
      <c r="L85" s="234" t="str">
        <f>IFERROR(IF(VLOOKUP($C85,'EECL Price List'!$A$12:$P$172,H$1,FALSE)=0,"",VLOOKUP($C85,'EECL Price List'!$A$12:$P$172,H$1,FALSE)),"")</f>
        <v/>
      </c>
      <c r="M85" s="234" t="str">
        <f>IFERROR(IF(VLOOKUP($C85,'EECL Price List'!$A$12:$P$172,I$1,FALSE)=0,"",VLOOKUP($C85,'EECL Price List'!$A$12:$P$172,I$1,FALSE)),"")</f>
        <v/>
      </c>
    </row>
    <row r="86" spans="1:13" s="232" customFormat="1" x14ac:dyDescent="0.2">
      <c r="A86" s="242"/>
      <c r="B86" s="223">
        <v>50</v>
      </c>
      <c r="C86" s="221"/>
      <c r="D86" s="341"/>
      <c r="E86" s="234" t="str">
        <f>VLOOKUP(B86,'EECL Price List'!$A$12:$P$172,2,FALSE)</f>
        <v>Detailed enquiry response fee - embedded generation</v>
      </c>
      <c r="F86" s="234" t="str">
        <f>IF(VLOOKUP($B86,'EECL Price List'!$A$12:$P$172,F$1,FALSE)=0,"",VLOOKUP($B86,'EECL Price List'!$A$12:$P$172,F$1,FALSE))</f>
        <v>As Quoted</v>
      </c>
      <c r="G86" s="234" t="str">
        <f>IF(VLOOKUP($B86,'EECL Price List'!$A$12:$P$172,G$1,FALSE)=0,"",VLOOKUP($B86,'EECL Price List'!$A$12:$P$172,G$1,FALSE))</f>
        <v/>
      </c>
      <c r="H86" s="234" t="str">
        <f>IF(VLOOKUP($B86,'EECL Price List'!$A$12:$P$172,H$1,FALSE)=0,"",VLOOKUP($B86,'EECL Price List'!$A$12:$P$172,H$1,FALSE))</f>
        <v/>
      </c>
      <c r="I86" s="234" t="str">
        <f>IF(VLOOKUP($B86,'EECL Price List'!$A$12:$P$172,I$1,FALSE)=0,"",VLOOKUP($B86,'EECL Price List'!$A$12:$P$172,I$1,FALSE))</f>
        <v/>
      </c>
      <c r="J86" s="234" t="s">
        <v>503</v>
      </c>
      <c r="K86" s="234" t="str">
        <f>IFERROR(IF(VLOOKUP($C86,'EECL Price List'!$A$12:$P$172,G$1,FALSE)=0,"",VLOOKUP($C86,'EECL Price List'!$A$12:$P$172,G$1,FALSE)),"")</f>
        <v/>
      </c>
      <c r="L86" s="234" t="str">
        <f>IFERROR(IF(VLOOKUP($C86,'EECL Price List'!$A$12:$P$172,H$1,FALSE)=0,"",VLOOKUP($C86,'EECL Price List'!$A$12:$P$172,H$1,FALSE)),"")</f>
        <v/>
      </c>
      <c r="M86" s="234" t="str">
        <f>IFERROR(IF(VLOOKUP($C86,'EECL Price List'!$A$12:$P$172,I$1,FALSE)=0,"",VLOOKUP($C86,'EECL Price List'!$A$12:$P$172,I$1,FALSE)),"")</f>
        <v/>
      </c>
    </row>
    <row r="87" spans="1:13" s="232" customFormat="1" x14ac:dyDescent="0.2">
      <c r="A87" s="242"/>
      <c r="B87" s="223">
        <v>51</v>
      </c>
      <c r="C87" s="221"/>
      <c r="D87" s="341"/>
      <c r="E87" s="234" t="str">
        <f>VLOOKUP(B87,'EECL Price List'!$A$12:$P$172,2,FALSE)</f>
        <v>Design and construction of connection assets for major customers</v>
      </c>
      <c r="F87" s="234" t="str">
        <f>IF(VLOOKUP($B87,'EECL Price List'!$A$12:$P$172,F$1,FALSE)=0,"",VLOOKUP($B87,'EECL Price List'!$A$12:$P$172,F$1,FALSE))</f>
        <v>As Quoted</v>
      </c>
      <c r="G87" s="234" t="str">
        <f>IF(VLOOKUP($B87,'EECL Price List'!$A$12:$P$172,G$1,FALSE)=0,"",VLOOKUP($B87,'EECL Price List'!$A$12:$P$172,G$1,FALSE))</f>
        <v/>
      </c>
      <c r="H87" s="234" t="str">
        <f>IF(VLOOKUP($B87,'EECL Price List'!$A$12:$P$172,H$1,FALSE)=0,"",VLOOKUP($B87,'EECL Price List'!$A$12:$P$172,H$1,FALSE))</f>
        <v/>
      </c>
      <c r="I87" s="234" t="str">
        <f>IF(VLOOKUP($B87,'EECL Price List'!$A$12:$P$172,I$1,FALSE)=0,"",VLOOKUP($B87,'EECL Price List'!$A$12:$P$172,I$1,FALSE))</f>
        <v/>
      </c>
      <c r="J87" s="234" t="s">
        <v>503</v>
      </c>
      <c r="K87" s="234" t="str">
        <f>IFERROR(IF(VLOOKUP($C87,'EECL Price List'!$A$12:$P$172,G$1,FALSE)=0,"",VLOOKUP($C87,'EECL Price List'!$A$12:$P$172,G$1,FALSE)),"")</f>
        <v/>
      </c>
      <c r="L87" s="234" t="str">
        <f>IFERROR(IF(VLOOKUP($C87,'EECL Price List'!$A$12:$P$172,H$1,FALSE)=0,"",VLOOKUP($C87,'EECL Price List'!$A$12:$P$172,H$1,FALSE)),"")</f>
        <v/>
      </c>
      <c r="M87" s="234" t="str">
        <f>IFERROR(IF(VLOOKUP($C87,'EECL Price List'!$A$12:$P$172,I$1,FALSE)=0,"",VLOOKUP($C87,'EECL Price List'!$A$12:$P$172,I$1,FALSE)),"")</f>
        <v/>
      </c>
    </row>
    <row r="88" spans="1:13" s="232" customFormat="1" x14ac:dyDescent="0.2">
      <c r="A88" s="242"/>
      <c r="B88" s="223">
        <v>52</v>
      </c>
      <c r="C88" s="221"/>
      <c r="D88" s="341"/>
      <c r="E88" s="234" t="str">
        <f>VLOOKUP(B88,'EECL Price List'!$A$12:$P$172,2,FALSE)</f>
        <v>Commissioning and energisation of major customer connections</v>
      </c>
      <c r="F88" s="234" t="str">
        <f>IF(VLOOKUP($B88,'EECL Price List'!$A$12:$P$172,F$1,FALSE)=0,"",VLOOKUP($B88,'EECL Price List'!$A$12:$P$172,F$1,FALSE))</f>
        <v>As Quoted</v>
      </c>
      <c r="G88" s="234" t="str">
        <f>IF(VLOOKUP($B88,'EECL Price List'!$A$12:$P$172,G$1,FALSE)=0,"",VLOOKUP($B88,'EECL Price List'!$A$12:$P$172,G$1,FALSE))</f>
        <v/>
      </c>
      <c r="H88" s="234" t="str">
        <f>IF(VLOOKUP($B88,'EECL Price List'!$A$12:$P$172,H$1,FALSE)=0,"",VLOOKUP($B88,'EECL Price List'!$A$12:$P$172,H$1,FALSE))</f>
        <v/>
      </c>
      <c r="I88" s="234" t="str">
        <f>IF(VLOOKUP($B88,'EECL Price List'!$A$12:$P$172,I$1,FALSE)=0,"",VLOOKUP($B88,'EECL Price List'!$A$12:$P$172,I$1,FALSE))</f>
        <v/>
      </c>
      <c r="J88" s="234" t="s">
        <v>503</v>
      </c>
      <c r="K88" s="234" t="str">
        <f>IFERROR(IF(VLOOKUP($C88,'EECL Price List'!$A$12:$P$172,G$1,FALSE)=0,"",VLOOKUP($C88,'EECL Price List'!$A$12:$P$172,G$1,FALSE)),"")</f>
        <v/>
      </c>
      <c r="L88" s="234" t="str">
        <f>IFERROR(IF(VLOOKUP($C88,'EECL Price List'!$A$12:$P$172,H$1,FALSE)=0,"",VLOOKUP($C88,'EECL Price List'!$A$12:$P$172,H$1,FALSE)),"")</f>
        <v/>
      </c>
      <c r="M88" s="234" t="str">
        <f>IFERROR(IF(VLOOKUP($C88,'EECL Price List'!$A$12:$P$172,I$1,FALSE)=0,"",VLOOKUP($C88,'EECL Price List'!$A$12:$P$172,I$1,FALSE)),"")</f>
        <v/>
      </c>
    </row>
    <row r="89" spans="1:13" s="232" customFormat="1" x14ac:dyDescent="0.2">
      <c r="A89" s="242"/>
      <c r="B89" s="223">
        <v>53</v>
      </c>
      <c r="C89" s="221"/>
      <c r="D89" s="341"/>
      <c r="E89" s="234" t="str">
        <f>VLOOKUP(B89,'EECL Price List'!$A$12:$P$172,2,FALSE)</f>
        <v>Design and construction for real estate developments</v>
      </c>
      <c r="F89" s="234" t="str">
        <f>IF(VLOOKUP($B89,'EECL Price List'!$A$12:$P$172,F$1,FALSE)=0,"",VLOOKUP($B89,'EECL Price List'!$A$12:$P$172,F$1,FALSE))</f>
        <v>As Quoted</v>
      </c>
      <c r="G89" s="234" t="str">
        <f>IF(VLOOKUP($B89,'EECL Price List'!$A$12:$P$172,G$1,FALSE)=0,"",VLOOKUP($B89,'EECL Price List'!$A$12:$P$172,G$1,FALSE))</f>
        <v/>
      </c>
      <c r="H89" s="234" t="str">
        <f>IF(VLOOKUP($B89,'EECL Price List'!$A$12:$P$172,H$1,FALSE)=0,"",VLOOKUP($B89,'EECL Price List'!$A$12:$P$172,H$1,FALSE))</f>
        <v/>
      </c>
      <c r="I89" s="234" t="str">
        <f>IF(VLOOKUP($B89,'EECL Price List'!$A$12:$P$172,I$1,FALSE)=0,"",VLOOKUP($B89,'EECL Price List'!$A$12:$P$172,I$1,FALSE))</f>
        <v/>
      </c>
      <c r="J89" s="234" t="s">
        <v>503</v>
      </c>
      <c r="K89" s="234" t="str">
        <f>IFERROR(IF(VLOOKUP($C89,'EECL Price List'!$A$12:$P$172,G$1,FALSE)=0,"",VLOOKUP($C89,'EECL Price List'!$A$12:$P$172,G$1,FALSE)),"")</f>
        <v/>
      </c>
      <c r="L89" s="234" t="str">
        <f>IFERROR(IF(VLOOKUP($C89,'EECL Price List'!$A$12:$P$172,H$1,FALSE)=0,"",VLOOKUP($C89,'EECL Price List'!$A$12:$P$172,H$1,FALSE)),"")</f>
        <v/>
      </c>
      <c r="M89" s="234" t="str">
        <f>IFERROR(IF(VLOOKUP($C89,'EECL Price List'!$A$12:$P$172,I$1,FALSE)=0,"",VLOOKUP($C89,'EECL Price List'!$A$12:$P$172,I$1,FALSE)),"")</f>
        <v/>
      </c>
    </row>
    <row r="90" spans="1:13" s="232" customFormat="1" x14ac:dyDescent="0.2">
      <c r="A90" s="242"/>
      <c r="B90" s="223">
        <v>54</v>
      </c>
      <c r="C90" s="221"/>
      <c r="D90" s="341"/>
      <c r="E90" s="234" t="str">
        <f>VLOOKUP(B90,'EECL Price List'!$A$12:$P$172,2,FALSE)</f>
        <v>Commissioning and energisation of real estate development connections</v>
      </c>
      <c r="F90" s="234" t="str">
        <f>IF(VLOOKUP($B90,'EECL Price List'!$A$12:$P$172,F$1,FALSE)=0,"",VLOOKUP($B90,'EECL Price List'!$A$12:$P$172,F$1,FALSE))</f>
        <v>As Quoted</v>
      </c>
      <c r="G90" s="234" t="str">
        <f>IF(VLOOKUP($B90,'EECL Price List'!$A$12:$P$172,G$1,FALSE)=0,"",VLOOKUP($B90,'EECL Price List'!$A$12:$P$172,G$1,FALSE))</f>
        <v/>
      </c>
      <c r="H90" s="234" t="str">
        <f>IF(VLOOKUP($B90,'EECL Price List'!$A$12:$P$172,H$1,FALSE)=0,"",VLOOKUP($B90,'EECL Price List'!$A$12:$P$172,H$1,FALSE))</f>
        <v/>
      </c>
      <c r="I90" s="234" t="str">
        <f>IF(VLOOKUP($B90,'EECL Price List'!$A$12:$P$172,I$1,FALSE)=0,"",VLOOKUP($B90,'EECL Price List'!$A$12:$P$172,I$1,FALSE))</f>
        <v/>
      </c>
      <c r="J90" s="234" t="s">
        <v>503</v>
      </c>
      <c r="K90" s="234" t="str">
        <f>IFERROR(IF(VLOOKUP($C90,'EECL Price List'!$A$12:$P$172,G$1,FALSE)=0,"",VLOOKUP($C90,'EECL Price List'!$A$12:$P$172,G$1,FALSE)),"")</f>
        <v/>
      </c>
      <c r="L90" s="234" t="str">
        <f>IFERROR(IF(VLOOKUP($C90,'EECL Price List'!$A$12:$P$172,H$1,FALSE)=0,"",VLOOKUP($C90,'EECL Price List'!$A$12:$P$172,H$1,FALSE)),"")</f>
        <v/>
      </c>
      <c r="M90" s="234" t="str">
        <f>IFERROR(IF(VLOOKUP($C90,'EECL Price List'!$A$12:$P$172,I$1,FALSE)=0,"",VLOOKUP($C90,'EECL Price List'!$A$12:$P$172,I$1,FALSE)),"")</f>
        <v/>
      </c>
    </row>
    <row r="91" spans="1:13" s="232" customFormat="1" x14ac:dyDescent="0.2">
      <c r="A91" s="242"/>
      <c r="B91" s="223">
        <v>55</v>
      </c>
      <c r="C91" s="221"/>
      <c r="D91" s="341"/>
      <c r="E91" s="234" t="str">
        <f>VLOOKUP(B91,'EECL Price List'!$A$12:$P$172,2,FALSE)</f>
        <v>Removal of network constraint for embedded generator</v>
      </c>
      <c r="F91" s="234" t="str">
        <f>IF(VLOOKUP($B91,'EECL Price List'!$A$12:$P$172,F$1,FALSE)=0,"",VLOOKUP($B91,'EECL Price List'!$A$12:$P$172,F$1,FALSE))</f>
        <v>As Quoted</v>
      </c>
      <c r="G91" s="234" t="str">
        <f>IF(VLOOKUP($B91,'EECL Price List'!$A$12:$P$172,G$1,FALSE)=0,"",VLOOKUP($B91,'EECL Price List'!$A$12:$P$172,G$1,FALSE))</f>
        <v/>
      </c>
      <c r="H91" s="234" t="str">
        <f>IF(VLOOKUP($B91,'EECL Price List'!$A$12:$P$172,H$1,FALSE)=0,"",VLOOKUP($B91,'EECL Price List'!$A$12:$P$172,H$1,FALSE))</f>
        <v/>
      </c>
      <c r="I91" s="234" t="str">
        <f>IF(VLOOKUP($B91,'EECL Price List'!$A$12:$P$172,I$1,FALSE)=0,"",VLOOKUP($B91,'EECL Price List'!$A$12:$P$172,I$1,FALSE))</f>
        <v/>
      </c>
      <c r="J91" s="234" t="s">
        <v>503</v>
      </c>
      <c r="K91" s="234" t="str">
        <f>IFERROR(IF(VLOOKUP($C91,'EECL Price List'!$A$12:$P$172,G$1,FALSE)=0,"",VLOOKUP($C91,'EECL Price List'!$A$12:$P$172,G$1,FALSE)),"")</f>
        <v/>
      </c>
      <c r="L91" s="234" t="str">
        <f>IFERROR(IF(VLOOKUP($C91,'EECL Price List'!$A$12:$P$172,H$1,FALSE)=0,"",VLOOKUP($C91,'EECL Price List'!$A$12:$P$172,H$1,FALSE)),"")</f>
        <v/>
      </c>
      <c r="M91" s="234" t="str">
        <f>IFERROR(IF(VLOOKUP($C91,'EECL Price List'!$A$12:$P$172,I$1,FALSE)=0,"",VLOOKUP($C91,'EECL Price List'!$A$12:$P$172,I$1,FALSE)),"")</f>
        <v/>
      </c>
    </row>
    <row r="92" spans="1:13" s="232" customFormat="1" x14ac:dyDescent="0.2">
      <c r="A92" s="242"/>
      <c r="B92" s="223">
        <v>56</v>
      </c>
      <c r="C92" s="221"/>
      <c r="D92" s="341"/>
      <c r="E92" s="234" t="str">
        <f>VLOOKUP(B92,'EECL Price List'!$A$12:$P$172,2,FALSE)</f>
        <v>Move point of attachment - single/multi phase</v>
      </c>
      <c r="F92" s="234" t="str">
        <f>IF(VLOOKUP($B92,'EECL Price List'!$A$12:$P$172,F$1,FALSE)=0,"",VLOOKUP($B92,'EECL Price List'!$A$12:$P$172,F$1,FALSE))</f>
        <v>MPOAU</v>
      </c>
      <c r="G92" s="234" t="str">
        <f>IF(VLOOKUP($B92,'EECL Price List'!$A$12:$P$172,G$1,FALSE)=0,"",VLOOKUP($B92,'EECL Price List'!$A$12:$P$172,G$1,FALSE))</f>
        <v>MPOAS</v>
      </c>
      <c r="H92" s="234" t="str">
        <f>IF(VLOOKUP($B92,'EECL Price List'!$A$12:$P$172,H$1,FALSE)=0,"",VLOOKUP($B92,'EECL Price List'!$A$12:$P$172,H$1,FALSE))</f>
        <v>MPOAL</v>
      </c>
      <c r="I92" s="234" t="str">
        <f>IF(VLOOKUP($B92,'EECL Price List'!$A$12:$P$172,I$1,FALSE)=0,"",VLOOKUP($B92,'EECL Price List'!$A$12:$P$172,I$1,FALSE))</f>
        <v>MPOAI</v>
      </c>
      <c r="J92" s="234" t="s">
        <v>503</v>
      </c>
      <c r="K92" s="234" t="str">
        <f>IFERROR(IF(VLOOKUP($C92,'EECL Price List'!$A$12:$P$172,G$1,FALSE)=0,"",VLOOKUP($C92,'EECL Price List'!$A$12:$P$172,G$1,FALSE)),"")</f>
        <v/>
      </c>
      <c r="L92" s="234" t="str">
        <f>IFERROR(IF(VLOOKUP($C92,'EECL Price List'!$A$12:$P$172,H$1,FALSE)=0,"",VLOOKUP($C92,'EECL Price List'!$A$12:$P$172,H$1,FALSE)),"")</f>
        <v/>
      </c>
      <c r="M92" s="234" t="str">
        <f>IFERROR(IF(VLOOKUP($C92,'EECL Price List'!$A$12:$P$172,I$1,FALSE)=0,"",VLOOKUP($C92,'EECL Price List'!$A$12:$P$172,I$1,FALSE)),"")</f>
        <v/>
      </c>
    </row>
    <row r="93" spans="1:13" s="232" customFormat="1" x14ac:dyDescent="0.2">
      <c r="A93" s="242"/>
      <c r="B93" s="223">
        <v>57</v>
      </c>
      <c r="C93" s="221"/>
      <c r="D93" s="341"/>
      <c r="E93" s="234" t="str">
        <f>VLOOKUP(B93,'EECL Price List'!$A$12:$P$172,2,FALSE)</f>
        <v>Re-arrange connection assets at customer's request</v>
      </c>
      <c r="F93" s="234" t="str">
        <f>IF(VLOOKUP($B93,'EECL Price List'!$A$12:$P$172,F$1,FALSE)=0,"",VLOOKUP($B93,'EECL Price List'!$A$12:$P$172,F$1,FALSE))</f>
        <v>As Quoted</v>
      </c>
      <c r="G93" s="234" t="str">
        <f>IF(VLOOKUP($B93,'EECL Price List'!$A$12:$P$172,G$1,FALSE)=0,"",VLOOKUP($B93,'EECL Price List'!$A$12:$P$172,G$1,FALSE))</f>
        <v/>
      </c>
      <c r="H93" s="234" t="str">
        <f>IF(VLOOKUP($B93,'EECL Price List'!$A$12:$P$172,H$1,FALSE)=0,"",VLOOKUP($B93,'EECL Price List'!$A$12:$P$172,H$1,FALSE))</f>
        <v/>
      </c>
      <c r="I93" s="234" t="str">
        <f>IF(VLOOKUP($B93,'EECL Price List'!$A$12:$P$172,I$1,FALSE)=0,"",VLOOKUP($B93,'EECL Price List'!$A$12:$P$172,I$1,FALSE))</f>
        <v/>
      </c>
      <c r="J93" s="234" t="s">
        <v>503</v>
      </c>
      <c r="K93" s="234" t="str">
        <f>IFERROR(IF(VLOOKUP($C93,'EECL Price List'!$A$12:$P$172,G$1,FALSE)=0,"",VLOOKUP($C93,'EECL Price List'!$A$12:$P$172,G$1,FALSE)),"")</f>
        <v/>
      </c>
      <c r="L93" s="234" t="str">
        <f>IFERROR(IF(VLOOKUP($C93,'EECL Price List'!$A$12:$P$172,H$1,FALSE)=0,"",VLOOKUP($C93,'EECL Price List'!$A$12:$P$172,H$1,FALSE)),"")</f>
        <v/>
      </c>
      <c r="M93" s="234" t="str">
        <f>IFERROR(IF(VLOOKUP($C93,'EECL Price List'!$A$12:$P$172,I$1,FALSE)=0,"",VLOOKUP($C93,'EECL Price List'!$A$12:$P$172,I$1,FALSE)),"")</f>
        <v/>
      </c>
    </row>
    <row r="94" spans="1:13" s="232" customFormat="1" x14ac:dyDescent="0.2">
      <c r="A94" s="242"/>
      <c r="B94" s="223">
        <v>58</v>
      </c>
      <c r="C94" s="221"/>
      <c r="D94" s="341"/>
      <c r="E94" s="234" t="str">
        <f>VLOOKUP(B94,'EECL Price List'!$A$12:$P$172,2,FALSE)</f>
        <v>Protection and Power Quality assessment after connection</v>
      </c>
      <c r="F94" s="234" t="str">
        <f>IF(VLOOKUP($B94,'EECL Price List'!$A$12:$P$172,F$1,FALSE)=0,"",VLOOKUP($B94,'EECL Price List'!$A$12:$P$172,F$1,FALSE))</f>
        <v>As Quoted</v>
      </c>
      <c r="G94" s="234" t="str">
        <f>IF(VLOOKUP($B94,'EECL Price List'!$A$12:$P$172,G$1,FALSE)=0,"",VLOOKUP($B94,'EECL Price List'!$A$12:$P$172,G$1,FALSE))</f>
        <v/>
      </c>
      <c r="H94" s="234" t="str">
        <f>IF(VLOOKUP($B94,'EECL Price List'!$A$12:$P$172,H$1,FALSE)=0,"",VLOOKUP($B94,'EECL Price List'!$A$12:$P$172,H$1,FALSE))</f>
        <v/>
      </c>
      <c r="I94" s="234" t="str">
        <f>IF(VLOOKUP($B94,'EECL Price List'!$A$12:$P$172,I$1,FALSE)=0,"",VLOOKUP($B94,'EECL Price List'!$A$12:$P$172,I$1,FALSE))</f>
        <v/>
      </c>
      <c r="J94" s="234" t="s">
        <v>503</v>
      </c>
      <c r="K94" s="234" t="str">
        <f>IFERROR(IF(VLOOKUP($C94,'EECL Price List'!$A$12:$P$172,G$1,FALSE)=0,"",VLOOKUP($C94,'EECL Price List'!$A$12:$P$172,G$1,FALSE)),"")</f>
        <v/>
      </c>
      <c r="L94" s="234" t="str">
        <f>IFERROR(IF(VLOOKUP($C94,'EECL Price List'!$A$12:$P$172,H$1,FALSE)=0,"",VLOOKUP($C94,'EECL Price List'!$A$12:$P$172,H$1,FALSE)),"")</f>
        <v/>
      </c>
      <c r="M94" s="234" t="str">
        <f>IFERROR(IF(VLOOKUP($C94,'EECL Price List'!$A$12:$P$172,I$1,FALSE)=0,"",VLOOKUP($C94,'EECL Price List'!$A$12:$P$172,I$1,FALSE)),"")</f>
        <v/>
      </c>
    </row>
    <row r="95" spans="1:13" s="232" customFormat="1" x14ac:dyDescent="0.2">
      <c r="A95" s="242"/>
      <c r="B95" s="223">
        <v>59</v>
      </c>
      <c r="C95" s="221"/>
      <c r="D95" s="341"/>
      <c r="E95" s="234" t="str">
        <f>VLOOKUP(B95,'EECL Price List'!$A$12:$P$172,2,FALSE)</f>
        <v>Temporary de-energisation - no dismantling</v>
      </c>
      <c r="F95" s="234" t="str">
        <f>IF(VLOOKUP($B95,'EECL Price List'!$A$12:$P$172,F$1,FALSE)=0,"",VLOOKUP($B95,'EECL Price List'!$A$12:$P$172,F$1,FALSE))</f>
        <v>TEMPDEENU</v>
      </c>
      <c r="G95" s="234" t="str">
        <f>IF(VLOOKUP($B95,'EECL Price List'!$A$12:$P$172,G$1,FALSE)=0,"",VLOOKUP($B95,'EECL Price List'!$A$12:$P$172,G$1,FALSE))</f>
        <v>TEMPDEENS</v>
      </c>
      <c r="H95" s="234" t="str">
        <f>IF(VLOOKUP($B95,'EECL Price List'!$A$12:$P$172,H$1,FALSE)=0,"",VLOOKUP($B95,'EECL Price List'!$A$12:$P$172,H$1,FALSE))</f>
        <v>TEMPDEENL</v>
      </c>
      <c r="I95" s="234" t="str">
        <f>IF(VLOOKUP($B95,'EECL Price List'!$A$12:$P$172,I$1,FALSE)=0,"",VLOOKUP($B95,'EECL Price List'!$A$12:$P$172,I$1,FALSE))</f>
        <v>TEMPDEENI</v>
      </c>
      <c r="J95" s="234" t="s">
        <v>503</v>
      </c>
      <c r="K95" s="234" t="str">
        <f>IFERROR(IF(VLOOKUP($C95,'EECL Price List'!$A$12:$P$172,G$1,FALSE)=0,"",VLOOKUP($C95,'EECL Price List'!$A$12:$P$172,G$1,FALSE)),"")</f>
        <v/>
      </c>
      <c r="L95" s="234" t="str">
        <f>IFERROR(IF(VLOOKUP($C95,'EECL Price List'!$A$12:$P$172,H$1,FALSE)=0,"",VLOOKUP($C95,'EECL Price List'!$A$12:$P$172,H$1,FALSE)),"")</f>
        <v/>
      </c>
      <c r="M95" s="234" t="str">
        <f>IFERROR(IF(VLOOKUP($C95,'EECL Price List'!$A$12:$P$172,I$1,FALSE)=0,"",VLOOKUP($C95,'EECL Price List'!$A$12:$P$172,I$1,FALSE)),"")</f>
        <v/>
      </c>
    </row>
    <row r="96" spans="1:13" s="232" customFormat="1" x14ac:dyDescent="0.2">
      <c r="A96" s="242"/>
      <c r="B96" s="223">
        <v>60</v>
      </c>
      <c r="C96" s="221"/>
      <c r="D96" s="341"/>
      <c r="E96" s="234" t="str">
        <f>VLOOKUP(B96,'EECL Price List'!$A$12:$P$172,2,FALSE)</f>
        <v>LV Service line drop and replace - physical dismantling</v>
      </c>
      <c r="F96" s="234" t="str">
        <f>IF(VLOOKUP($B96,'EECL Price List'!$A$12:$P$172,F$1,FALSE)=0,"",VLOOKUP($B96,'EECL Price List'!$A$12:$P$172,F$1,FALSE))</f>
        <v>LVSLDU</v>
      </c>
      <c r="G96" s="234" t="str">
        <f>IF(VLOOKUP($B96,'EECL Price List'!$A$12:$P$172,G$1,FALSE)=0,"",VLOOKUP($B96,'EECL Price List'!$A$12:$P$172,G$1,FALSE))</f>
        <v>LVSLDS</v>
      </c>
      <c r="H96" s="234" t="str">
        <f>IF(VLOOKUP($B96,'EECL Price List'!$A$12:$P$172,H$1,FALSE)=0,"",VLOOKUP($B96,'EECL Price List'!$A$12:$P$172,H$1,FALSE))</f>
        <v>LVSLDL</v>
      </c>
      <c r="I96" s="234" t="str">
        <f>IF(VLOOKUP($B96,'EECL Price List'!$A$12:$P$172,I$1,FALSE)=0,"",VLOOKUP($B96,'EECL Price List'!$A$12:$P$172,I$1,FALSE))</f>
        <v>LVSLDI</v>
      </c>
      <c r="J96" s="234" t="s">
        <v>503</v>
      </c>
      <c r="K96" s="234" t="str">
        <f>IFERROR(IF(VLOOKUP($C96,'EECL Price List'!$A$12:$P$172,G$1,FALSE)=0,"",VLOOKUP($C96,'EECL Price List'!$A$12:$P$172,G$1,FALSE)),"")</f>
        <v/>
      </c>
      <c r="L96" s="234" t="str">
        <f>IFERROR(IF(VLOOKUP($C96,'EECL Price List'!$A$12:$P$172,H$1,FALSE)=0,"",VLOOKUP($C96,'EECL Price List'!$A$12:$P$172,H$1,FALSE)),"")</f>
        <v/>
      </c>
      <c r="M96" s="234" t="str">
        <f>IFERROR(IF(VLOOKUP($C96,'EECL Price List'!$A$12:$P$172,I$1,FALSE)=0,"",VLOOKUP($C96,'EECL Price List'!$A$12:$P$172,I$1,FALSE)),"")</f>
        <v/>
      </c>
    </row>
    <row r="97" spans="1:13" s="232" customFormat="1" x14ac:dyDescent="0.2">
      <c r="A97" s="242"/>
      <c r="B97" s="223">
        <v>61</v>
      </c>
      <c r="C97" s="221"/>
      <c r="D97" s="341"/>
      <c r="E97" s="234" t="str">
        <f>VLOOKUP(B97,'EECL Price List'!$A$12:$P$172,2,FALSE)</f>
        <v>HV Service line drop and replace</v>
      </c>
      <c r="F97" s="234" t="str">
        <f>IF(VLOOKUP($B97,'EECL Price List'!$A$12:$P$172,F$1,FALSE)=0,"",VLOOKUP($B97,'EECL Price List'!$A$12:$P$172,F$1,FALSE))</f>
        <v>HVSLDU</v>
      </c>
      <c r="G97" s="234" t="str">
        <f>IF(VLOOKUP($B97,'EECL Price List'!$A$12:$P$172,G$1,FALSE)=0,"",VLOOKUP($B97,'EECL Price List'!$A$12:$P$172,G$1,FALSE))</f>
        <v>HVSLDS</v>
      </c>
      <c r="H97" s="234" t="str">
        <f>IF(VLOOKUP($B97,'EECL Price List'!$A$12:$P$172,H$1,FALSE)=0,"",VLOOKUP($B97,'EECL Price List'!$A$12:$P$172,H$1,FALSE))</f>
        <v>HVSLDL</v>
      </c>
      <c r="I97" s="234" t="str">
        <f>IF(VLOOKUP($B97,'EECL Price List'!$A$12:$P$172,I$1,FALSE)=0,"",VLOOKUP($B97,'EECL Price List'!$A$12:$P$172,I$1,FALSE))</f>
        <v>HVSLDI</v>
      </c>
      <c r="J97" s="234" t="s">
        <v>503</v>
      </c>
      <c r="K97" s="234" t="str">
        <f>IFERROR(IF(VLOOKUP($C97,'EECL Price List'!$A$12:$P$172,G$1,FALSE)=0,"",VLOOKUP($C97,'EECL Price List'!$A$12:$P$172,G$1,FALSE)),"")</f>
        <v/>
      </c>
      <c r="L97" s="234" t="str">
        <f>IFERROR(IF(VLOOKUP($C97,'EECL Price List'!$A$12:$P$172,H$1,FALSE)=0,"",VLOOKUP($C97,'EECL Price List'!$A$12:$P$172,H$1,FALSE)),"")</f>
        <v/>
      </c>
      <c r="M97" s="234" t="str">
        <f>IFERROR(IF(VLOOKUP($C97,'EECL Price List'!$A$12:$P$172,I$1,FALSE)=0,"",VLOOKUP($C97,'EECL Price List'!$A$12:$P$172,I$1,FALSE)),"")</f>
        <v/>
      </c>
    </row>
    <row r="98" spans="1:13" s="232" customFormat="1" x14ac:dyDescent="0.2">
      <c r="A98" s="242"/>
      <c r="B98" s="223">
        <v>62</v>
      </c>
      <c r="C98" s="221"/>
      <c r="D98" s="341"/>
      <c r="E98" s="234" t="str">
        <f>VLOOKUP(B98,'EECL Price List'!$A$12:$P$172,2,FALSE)</f>
        <v>Supply enhancement</v>
      </c>
      <c r="F98" s="234" t="str">
        <f>IF(VLOOKUP($B98,'EECL Price List'!$A$12:$P$172,F$1,FALSE)=0,"",VLOOKUP($B98,'EECL Price List'!$A$12:$P$172,F$1,FALSE))</f>
        <v>SUPENHU</v>
      </c>
      <c r="G98" s="234" t="str">
        <f>IF(VLOOKUP($B98,'EECL Price List'!$A$12:$P$172,G$1,FALSE)=0,"",VLOOKUP($B98,'EECL Price List'!$A$12:$P$172,G$1,FALSE))</f>
        <v>SUPENHS</v>
      </c>
      <c r="H98" s="234" t="str">
        <f>IF(VLOOKUP($B98,'EECL Price List'!$A$12:$P$172,H$1,FALSE)=0,"",VLOOKUP($B98,'EECL Price List'!$A$12:$P$172,H$1,FALSE))</f>
        <v>SUPENHL</v>
      </c>
      <c r="I98" s="234" t="str">
        <f>IF(VLOOKUP($B98,'EECL Price List'!$A$12:$P$172,I$1,FALSE)=0,"",VLOOKUP($B98,'EECL Price List'!$A$12:$P$172,I$1,FALSE))</f>
        <v>SUPENHI</v>
      </c>
      <c r="J98" s="234" t="s">
        <v>503</v>
      </c>
      <c r="K98" s="234" t="str">
        <f>IFERROR(IF(VLOOKUP($C98,'EECL Price List'!$A$12:$P$172,G$1,FALSE)=0,"",VLOOKUP($C98,'EECL Price List'!$A$12:$P$172,G$1,FALSE)),"")</f>
        <v/>
      </c>
      <c r="L98" s="234" t="str">
        <f>IFERROR(IF(VLOOKUP($C98,'EECL Price List'!$A$12:$P$172,H$1,FALSE)=0,"",VLOOKUP($C98,'EECL Price List'!$A$12:$P$172,H$1,FALSE)),"")</f>
        <v/>
      </c>
      <c r="M98" s="234" t="str">
        <f>IFERROR(IF(VLOOKUP($C98,'EECL Price List'!$A$12:$P$172,I$1,FALSE)=0,"",VLOOKUP($C98,'EECL Price List'!$A$12:$P$172,I$1,FALSE)),"")</f>
        <v/>
      </c>
    </row>
    <row r="99" spans="1:13" s="232" customFormat="1" x14ac:dyDescent="0.2">
      <c r="A99" s="242"/>
      <c r="B99" s="223">
        <v>63</v>
      </c>
      <c r="C99" s="221"/>
      <c r="D99" s="341"/>
      <c r="E99" s="234" t="str">
        <f>VLOOKUP(B99,'EECL Price List'!$A$12:$P$172,2,FALSE)</f>
        <v>Provision of connection services above minimum requirements</v>
      </c>
      <c r="F99" s="234" t="str">
        <f>IF(VLOOKUP($B99,'EECL Price List'!$A$12:$P$172,F$1,FALSE)=0,"",VLOOKUP($B99,'EECL Price List'!$A$12:$P$172,F$1,FALSE))</f>
        <v>As Quoted</v>
      </c>
      <c r="G99" s="234" t="str">
        <f>IF(VLOOKUP($B99,'EECL Price List'!$A$12:$P$172,G$1,FALSE)=0,"",VLOOKUP($B99,'EECL Price List'!$A$12:$P$172,G$1,FALSE))</f>
        <v/>
      </c>
      <c r="H99" s="234" t="str">
        <f>IF(VLOOKUP($B99,'EECL Price List'!$A$12:$P$172,H$1,FALSE)=0,"",VLOOKUP($B99,'EECL Price List'!$A$12:$P$172,H$1,FALSE))</f>
        <v/>
      </c>
      <c r="I99" s="234" t="str">
        <f>IF(VLOOKUP($B99,'EECL Price List'!$A$12:$P$172,I$1,FALSE)=0,"",VLOOKUP($B99,'EECL Price List'!$A$12:$P$172,I$1,FALSE))</f>
        <v/>
      </c>
      <c r="J99" s="234" t="s">
        <v>503</v>
      </c>
      <c r="K99" s="234" t="str">
        <f>IFERROR(IF(VLOOKUP($C99,'EECL Price List'!$A$12:$P$172,G$1,FALSE)=0,"",VLOOKUP($C99,'EECL Price List'!$A$12:$P$172,G$1,FALSE)),"")</f>
        <v/>
      </c>
      <c r="L99" s="234" t="str">
        <f>IFERROR(IF(VLOOKUP($C99,'EECL Price List'!$A$12:$P$172,H$1,FALSE)=0,"",VLOOKUP($C99,'EECL Price List'!$A$12:$P$172,H$1,FALSE)),"")</f>
        <v/>
      </c>
      <c r="M99" s="234" t="str">
        <f>IFERROR(IF(VLOOKUP($C99,'EECL Price List'!$A$12:$P$172,I$1,FALSE)=0,"",VLOOKUP($C99,'EECL Price List'!$A$12:$P$172,I$1,FALSE)),"")</f>
        <v/>
      </c>
    </row>
    <row r="100" spans="1:13" s="232" customFormat="1" x14ac:dyDescent="0.2">
      <c r="A100" s="242"/>
      <c r="B100" s="223">
        <v>64</v>
      </c>
      <c r="C100" s="221"/>
      <c r="D100" s="341"/>
      <c r="E100" s="234" t="str">
        <f>VLOOKUP(B100,'EECL Price List'!$A$12:$P$172,2,FALSE)</f>
        <v>Upgrade from overhead to underground service</v>
      </c>
      <c r="F100" s="234" t="str">
        <f>IF(VLOOKUP($B100,'EECL Price List'!$A$12:$P$172,F$1,FALSE)=0,"",VLOOKUP($B100,'EECL Price List'!$A$12:$P$172,F$1,FALSE))</f>
        <v>As Quoted</v>
      </c>
      <c r="G100" s="234" t="str">
        <f>IF(VLOOKUP($B100,'EECL Price List'!$A$12:$P$172,G$1,FALSE)=0,"",VLOOKUP($B100,'EECL Price List'!$A$12:$P$172,G$1,FALSE))</f>
        <v/>
      </c>
      <c r="H100" s="234" t="str">
        <f>IF(VLOOKUP($B100,'EECL Price List'!$A$12:$P$172,H$1,FALSE)=0,"",VLOOKUP($B100,'EECL Price List'!$A$12:$P$172,H$1,FALSE))</f>
        <v/>
      </c>
      <c r="I100" s="234" t="str">
        <f>IF(VLOOKUP($B100,'EECL Price List'!$A$12:$P$172,I$1,FALSE)=0,"",VLOOKUP($B100,'EECL Price List'!$A$12:$P$172,I$1,FALSE))</f>
        <v/>
      </c>
      <c r="J100" s="234" t="s">
        <v>503</v>
      </c>
      <c r="K100" s="234" t="str">
        <f>IFERROR(IF(VLOOKUP($C100,'EECL Price List'!$A$12:$P$172,G$1,FALSE)=0,"",VLOOKUP($C100,'EECL Price List'!$A$12:$P$172,G$1,FALSE)),"")</f>
        <v/>
      </c>
      <c r="L100" s="234" t="str">
        <f>IFERROR(IF(VLOOKUP($C100,'EECL Price List'!$A$12:$P$172,H$1,FALSE)=0,"",VLOOKUP($C100,'EECL Price List'!$A$12:$P$172,H$1,FALSE)),"")</f>
        <v/>
      </c>
      <c r="M100" s="234" t="str">
        <f>IFERROR(IF(VLOOKUP($C100,'EECL Price List'!$A$12:$P$172,I$1,FALSE)=0,"",VLOOKUP($C100,'EECL Price List'!$A$12:$P$172,I$1,FALSE)),"")</f>
        <v/>
      </c>
    </row>
    <row r="101" spans="1:13" s="232" customFormat="1" x14ac:dyDescent="0.2">
      <c r="A101" s="242"/>
      <c r="B101" s="223">
        <v>65</v>
      </c>
      <c r="C101" s="221"/>
      <c r="D101" s="341"/>
      <c r="E101" s="234" t="str">
        <f>VLOOKUP(B101,'EECL Price List'!$A$12:$P$172,2,FALSE)</f>
        <v>Rectification of illegal connections or damage to overhead or underground service cables</v>
      </c>
      <c r="F101" s="234" t="str">
        <f>IF(VLOOKUP($B101,'EECL Price List'!$A$12:$P$172,F$1,FALSE)=0,"",VLOOKUP($B101,'EECL Price List'!$A$12:$P$172,F$1,FALSE))</f>
        <v>As Quoted</v>
      </c>
      <c r="G101" s="234" t="str">
        <f>IF(VLOOKUP($B101,'EECL Price List'!$A$12:$P$172,G$1,FALSE)=0,"",VLOOKUP($B101,'EECL Price List'!$A$12:$P$172,G$1,FALSE))</f>
        <v/>
      </c>
      <c r="H101" s="234" t="str">
        <f>IF(VLOOKUP($B101,'EECL Price List'!$A$12:$P$172,H$1,FALSE)=0,"",VLOOKUP($B101,'EECL Price List'!$A$12:$P$172,H$1,FALSE))</f>
        <v/>
      </c>
      <c r="I101" s="234" t="str">
        <f>IF(VLOOKUP($B101,'EECL Price List'!$A$12:$P$172,I$1,FALSE)=0,"",VLOOKUP($B101,'EECL Price List'!$A$12:$P$172,I$1,FALSE))</f>
        <v/>
      </c>
      <c r="J101" s="234" t="s">
        <v>503</v>
      </c>
      <c r="K101" s="234" t="str">
        <f>IFERROR(IF(VLOOKUP($C101,'EECL Price List'!$A$12:$P$172,G$1,FALSE)=0,"",VLOOKUP($C101,'EECL Price List'!$A$12:$P$172,G$1,FALSE)),"")</f>
        <v/>
      </c>
      <c r="L101" s="234" t="str">
        <f>IFERROR(IF(VLOOKUP($C101,'EECL Price List'!$A$12:$P$172,H$1,FALSE)=0,"",VLOOKUP($C101,'EECL Price List'!$A$12:$P$172,H$1,FALSE)),"")</f>
        <v/>
      </c>
      <c r="M101" s="234" t="str">
        <f>IFERROR(IF(VLOOKUP($C101,'EECL Price List'!$A$12:$P$172,I$1,FALSE)=0,"",VLOOKUP($C101,'EECL Price List'!$A$12:$P$172,I$1,FALSE)),"")</f>
        <v/>
      </c>
    </row>
    <row r="102" spans="1:13" s="232" customFormat="1" x14ac:dyDescent="0.2">
      <c r="A102" s="242"/>
      <c r="B102" s="223">
        <v>66</v>
      </c>
      <c r="C102" s="223" t="s">
        <v>137</v>
      </c>
      <c r="D102" s="341"/>
      <c r="E102" s="234" t="str">
        <f>VLOOKUP(B102,'EECL Price List'!$A$12:$P$172,2,FALSE)</f>
        <v>De-energisation after business hours</v>
      </c>
      <c r="F102" s="234" t="str">
        <f>IF(VLOOKUP($B102,'EECL Price List'!$A$12:$P$172,F$1,FALSE)=0,"",VLOOKUP($B102,'EECL Price List'!$A$12:$P$172,F$1,FALSE))</f>
        <v>DEENAHU</v>
      </c>
      <c r="G102" s="234" t="str">
        <f>IF(VLOOKUP($B102,'EECL Price List'!$A$12:$P$172,G$1,FALSE)=0,"",VLOOKUP($B102,'EECL Price List'!$A$12:$P$172,G$1,FALSE))</f>
        <v>DEENAHS</v>
      </c>
      <c r="H102" s="234" t="str">
        <f>IF(VLOOKUP($B102,'EECL Price List'!$A$12:$P$172,H$1,FALSE)=0,"",VLOOKUP($B102,'EECL Price List'!$A$12:$P$172,H$1,FALSE))</f>
        <v>DEENAHL</v>
      </c>
      <c r="I102" s="234" t="str">
        <f>IF(VLOOKUP($B102,'EECL Price List'!$A$12:$P$172,I$1,FALSE)=0,"",VLOOKUP($B102,'EECL Price List'!$A$12:$P$172,I$1,FALSE))</f>
        <v>DEENAHI</v>
      </c>
      <c r="J102" s="234" t="str">
        <f>IFERROR(IF(VLOOKUP($C102,'EECL Price List'!$A$12:$P$172,F$1,FALSE)=0,"",VLOOKUP($C102,'EECL Price List'!$A$12:$P$172,F$1,FALSE)),"")</f>
        <v>CFDEENAHU</v>
      </c>
      <c r="K102" s="234" t="str">
        <f>IFERROR(IF(VLOOKUP($C102,'EECL Price List'!$A$12:$P$172,G$1,FALSE)=0,"",VLOOKUP($C102,'EECL Price List'!$A$12:$P$172,G$1,FALSE)),"")</f>
        <v>CFDEENAHS</v>
      </c>
      <c r="L102" s="234" t="str">
        <f>IFERROR(IF(VLOOKUP($C102,'EECL Price List'!$A$12:$P$172,H$1,FALSE)=0,"",VLOOKUP($C102,'EECL Price List'!$A$12:$P$172,H$1,FALSE)),"")</f>
        <v>CFDEENAHL</v>
      </c>
      <c r="M102" s="234" t="str">
        <f>IFERROR(IF(VLOOKUP($C102,'EECL Price List'!$A$12:$P$172,I$1,FALSE)=0,"",VLOOKUP($C102,'EECL Price List'!$A$12:$P$172,I$1,FALSE)),"")</f>
        <v>CFDEENAHI</v>
      </c>
    </row>
    <row r="103" spans="1:13" s="232" customFormat="1" x14ac:dyDescent="0.2">
      <c r="A103" s="242"/>
      <c r="B103" s="223">
        <v>67</v>
      </c>
      <c r="C103" s="223" t="s">
        <v>143</v>
      </c>
      <c r="D103" s="341"/>
      <c r="E103" s="234" t="str">
        <f>VLOOKUP(B103,'EECL Price List'!$A$12:$P$172,2,FALSE)</f>
        <v>Re-energisation after business hours</v>
      </c>
      <c r="F103" s="234" t="str">
        <f>IF(VLOOKUP($B103,'EECL Price List'!$A$12:$P$172,F$1,FALSE)=0,"",VLOOKUP($B103,'EECL Price List'!$A$12:$P$172,F$1,FALSE))</f>
        <v>REENAHU</v>
      </c>
      <c r="G103" s="234" t="str">
        <f>IF(VLOOKUP($B103,'EECL Price List'!$A$12:$P$172,G$1,FALSE)=0,"",VLOOKUP($B103,'EECL Price List'!$A$12:$P$172,G$1,FALSE))</f>
        <v>REENAHS</v>
      </c>
      <c r="H103" s="234" t="str">
        <f>IF(VLOOKUP($B103,'EECL Price List'!$A$12:$P$172,H$1,FALSE)=0,"",VLOOKUP($B103,'EECL Price List'!$A$12:$P$172,H$1,FALSE))</f>
        <v>REENAHL</v>
      </c>
      <c r="I103" s="234" t="str">
        <f>IF(VLOOKUP($B103,'EECL Price List'!$A$12:$P$172,I$1,FALSE)=0,"",VLOOKUP($B103,'EECL Price List'!$A$12:$P$172,I$1,FALSE))</f>
        <v>REENAHI</v>
      </c>
      <c r="J103" s="234" t="str">
        <f>IFERROR(IF(VLOOKUP($C103,'EECL Price List'!$A$12:$P$172,F$1,FALSE)=0,"",VLOOKUP($C103,'EECL Price List'!$A$12:$P$172,F$1,FALSE)),"")</f>
        <v>CFREENAHU</v>
      </c>
      <c r="K103" s="234" t="str">
        <f>IFERROR(IF(VLOOKUP($C103,'EECL Price List'!$A$12:$P$172,G$1,FALSE)=0,"",VLOOKUP($C103,'EECL Price List'!$A$12:$P$172,G$1,FALSE)),"")</f>
        <v>CFREENAHS</v>
      </c>
      <c r="L103" s="234" t="str">
        <f>IFERROR(IF(VLOOKUP($C103,'EECL Price List'!$A$12:$P$172,H$1,FALSE)=0,"",VLOOKUP($C103,'EECL Price List'!$A$12:$P$172,H$1,FALSE)),"")</f>
        <v>CFREENAHL</v>
      </c>
      <c r="M103" s="234" t="str">
        <f>IFERROR(IF(VLOOKUP($C103,'EECL Price List'!$A$12:$P$172,I$1,FALSE)=0,"",VLOOKUP($C103,'EECL Price List'!$A$12:$P$172,I$1,FALSE)),"")</f>
        <v>CFREENAHI</v>
      </c>
    </row>
    <row r="104" spans="1:13" s="232" customFormat="1" x14ac:dyDescent="0.2">
      <c r="A104" s="242"/>
      <c r="B104" s="223">
        <v>68</v>
      </c>
      <c r="C104" s="221"/>
      <c r="D104" s="341"/>
      <c r="E104" s="234" t="str">
        <f>VLOOKUP(B104,'EECL Price List'!$A$12:$P$172,2,FALSE)</f>
        <v>Accreditation of alternative service providers - major customer connections</v>
      </c>
      <c r="F104" s="234" t="str">
        <f>IF(VLOOKUP($B104,'EECL Price List'!$A$12:$P$172,F$1,FALSE)=0,"",VLOOKUP($B104,'EECL Price List'!$A$12:$P$172,F$1,FALSE))</f>
        <v>As Quoted</v>
      </c>
      <c r="G104" s="234" t="str">
        <f>IF(VLOOKUP($B104,'EECL Price List'!$A$12:$P$172,G$1,FALSE)=0,"",VLOOKUP($B104,'EECL Price List'!$A$12:$P$172,G$1,FALSE))</f>
        <v/>
      </c>
      <c r="H104" s="234" t="str">
        <f>IF(VLOOKUP($B104,'EECL Price List'!$A$12:$P$172,H$1,FALSE)=0,"",VLOOKUP($B104,'EECL Price List'!$A$12:$P$172,H$1,FALSE))</f>
        <v/>
      </c>
      <c r="I104" s="234" t="str">
        <f>IF(VLOOKUP($B104,'EECL Price List'!$A$12:$P$172,I$1,FALSE)=0,"",VLOOKUP($B104,'EECL Price List'!$A$12:$P$172,I$1,FALSE))</f>
        <v/>
      </c>
      <c r="J104" s="234" t="s">
        <v>503</v>
      </c>
      <c r="K104" s="234" t="str">
        <f>IFERROR(IF(VLOOKUP($C104,'EECL Price List'!$A$12:$P$172,G$1,FALSE)=0,"",VLOOKUP($C104,'EECL Price List'!$A$12:$P$172,G$1,FALSE)),"")</f>
        <v/>
      </c>
      <c r="L104" s="234" t="str">
        <f>IFERROR(IF(VLOOKUP($C104,'EECL Price List'!$A$12:$P$172,H$1,FALSE)=0,"",VLOOKUP($C104,'EECL Price List'!$A$12:$P$172,H$1,FALSE)),"")</f>
        <v/>
      </c>
      <c r="M104" s="234" t="str">
        <f>IFERROR(IF(VLOOKUP($C104,'EECL Price List'!$A$12:$P$172,I$1,FALSE)=0,"",VLOOKUP($C104,'EECL Price List'!$A$12:$P$172,I$1,FALSE)),"")</f>
        <v/>
      </c>
    </row>
    <row r="105" spans="1:13" s="232" customFormat="1" x14ac:dyDescent="0.2">
      <c r="A105" s="242"/>
      <c r="B105" s="223">
        <v>69</v>
      </c>
      <c r="C105" s="221"/>
      <c r="D105" s="341"/>
      <c r="E105" s="234" t="str">
        <f>VLOOKUP(B105,'EECL Price List'!$A$12:$P$172,2,FALSE)</f>
        <v>Approval of third party design - major customer connections</v>
      </c>
      <c r="F105" s="234" t="str">
        <f>IF(VLOOKUP($B105,'EECL Price List'!$A$12:$P$172,F$1,FALSE)=0,"",VLOOKUP($B105,'EECL Price List'!$A$12:$P$172,F$1,FALSE))</f>
        <v>As Quoted</v>
      </c>
      <c r="G105" s="234" t="str">
        <f>IF(VLOOKUP($B105,'EECL Price List'!$A$12:$P$172,G$1,FALSE)=0,"",VLOOKUP($B105,'EECL Price List'!$A$12:$P$172,G$1,FALSE))</f>
        <v/>
      </c>
      <c r="H105" s="234" t="str">
        <f>IF(VLOOKUP($B105,'EECL Price List'!$A$12:$P$172,H$1,FALSE)=0,"",VLOOKUP($B105,'EECL Price List'!$A$12:$P$172,H$1,FALSE))</f>
        <v/>
      </c>
      <c r="I105" s="234" t="str">
        <f>IF(VLOOKUP($B105,'EECL Price List'!$A$12:$P$172,I$1,FALSE)=0,"",VLOOKUP($B105,'EECL Price List'!$A$12:$P$172,I$1,FALSE))</f>
        <v/>
      </c>
      <c r="J105" s="234" t="s">
        <v>503</v>
      </c>
      <c r="K105" s="234" t="str">
        <f>IFERROR(IF(VLOOKUP($C105,'EECL Price List'!$A$12:$P$172,G$1,FALSE)=0,"",VLOOKUP($C105,'EECL Price List'!$A$12:$P$172,G$1,FALSE)),"")</f>
        <v/>
      </c>
      <c r="L105" s="234" t="str">
        <f>IFERROR(IF(VLOOKUP($C105,'EECL Price List'!$A$12:$P$172,H$1,FALSE)=0,"",VLOOKUP($C105,'EECL Price List'!$A$12:$P$172,H$1,FALSE)),"")</f>
        <v/>
      </c>
      <c r="M105" s="234" t="str">
        <f>IFERROR(IF(VLOOKUP($C105,'EECL Price List'!$A$12:$P$172,I$1,FALSE)=0,"",VLOOKUP($C105,'EECL Price List'!$A$12:$P$172,I$1,FALSE)),"")</f>
        <v/>
      </c>
    </row>
    <row r="106" spans="1:13" s="232" customFormat="1" x14ac:dyDescent="0.2">
      <c r="A106" s="242"/>
      <c r="B106" s="223">
        <v>70</v>
      </c>
      <c r="C106" s="221"/>
      <c r="D106" s="341"/>
      <c r="E106" s="234" t="str">
        <f>VLOOKUP(B106,'EECL Price List'!$A$12:$P$172,2,FALSE)</f>
        <v>Approval of third party design - real estate developments</v>
      </c>
      <c r="F106" s="234" t="str">
        <f>IF(VLOOKUP($B106,'EECL Price List'!$A$12:$P$172,F$1,FALSE)=0,"",VLOOKUP($B106,'EECL Price List'!$A$12:$P$172,F$1,FALSE))</f>
        <v>As Quoted</v>
      </c>
      <c r="G106" s="234" t="str">
        <f>IF(VLOOKUP($B106,'EECL Price List'!$A$12:$P$172,G$1,FALSE)=0,"",VLOOKUP($B106,'EECL Price List'!$A$12:$P$172,G$1,FALSE))</f>
        <v/>
      </c>
      <c r="H106" s="234" t="str">
        <f>IF(VLOOKUP($B106,'EECL Price List'!$A$12:$P$172,H$1,FALSE)=0,"",VLOOKUP($B106,'EECL Price List'!$A$12:$P$172,H$1,FALSE))</f>
        <v/>
      </c>
      <c r="I106" s="234" t="str">
        <f>IF(VLOOKUP($B106,'EECL Price List'!$A$12:$P$172,I$1,FALSE)=0,"",VLOOKUP($B106,'EECL Price List'!$A$12:$P$172,I$1,FALSE))</f>
        <v/>
      </c>
      <c r="J106" s="234" t="s">
        <v>503</v>
      </c>
      <c r="K106" s="234" t="str">
        <f>IFERROR(IF(VLOOKUP($C106,'EECL Price List'!$A$12:$P$172,G$1,FALSE)=0,"",VLOOKUP($C106,'EECL Price List'!$A$12:$P$172,G$1,FALSE)),"")</f>
        <v/>
      </c>
      <c r="L106" s="234" t="str">
        <f>IFERROR(IF(VLOOKUP($C106,'EECL Price List'!$A$12:$P$172,H$1,FALSE)=0,"",VLOOKUP($C106,'EECL Price List'!$A$12:$P$172,H$1,FALSE)),"")</f>
        <v/>
      </c>
      <c r="M106" s="234" t="str">
        <f>IFERROR(IF(VLOOKUP($C106,'EECL Price List'!$A$12:$P$172,I$1,FALSE)=0,"",VLOOKUP($C106,'EECL Price List'!$A$12:$P$172,I$1,FALSE)),"")</f>
        <v/>
      </c>
    </row>
    <row r="107" spans="1:13" s="232" customFormat="1" x14ac:dyDescent="0.2">
      <c r="A107" s="242"/>
      <c r="B107" s="223">
        <v>71</v>
      </c>
      <c r="C107" s="221"/>
      <c r="D107" s="341"/>
      <c r="E107" s="234" t="str">
        <f>VLOOKUP(B107,'EECL Price List'!$A$12:$P$172,2,FALSE)</f>
        <v>Construction audit - major customer connections</v>
      </c>
      <c r="F107" s="234" t="str">
        <f>IF(VLOOKUP($B107,'EECL Price List'!$A$12:$P$172,F$1,FALSE)=0,"",VLOOKUP($B107,'EECL Price List'!$A$12:$P$172,F$1,FALSE))</f>
        <v>As Quoted</v>
      </c>
      <c r="G107" s="234" t="str">
        <f>IF(VLOOKUP($B107,'EECL Price List'!$A$12:$P$172,G$1,FALSE)=0,"",VLOOKUP($B107,'EECL Price List'!$A$12:$P$172,G$1,FALSE))</f>
        <v/>
      </c>
      <c r="H107" s="234" t="str">
        <f>IF(VLOOKUP($B107,'EECL Price List'!$A$12:$P$172,H$1,FALSE)=0,"",VLOOKUP($B107,'EECL Price List'!$A$12:$P$172,H$1,FALSE))</f>
        <v/>
      </c>
      <c r="I107" s="234" t="str">
        <f>IF(VLOOKUP($B107,'EECL Price List'!$A$12:$P$172,I$1,FALSE)=0,"",VLOOKUP($B107,'EECL Price List'!$A$12:$P$172,I$1,FALSE))</f>
        <v/>
      </c>
      <c r="J107" s="234" t="s">
        <v>503</v>
      </c>
      <c r="K107" s="234" t="str">
        <f>IFERROR(IF(VLOOKUP($C107,'EECL Price List'!$A$12:$P$172,G$1,FALSE)=0,"",VLOOKUP($C107,'EECL Price List'!$A$12:$P$172,G$1,FALSE)),"")</f>
        <v/>
      </c>
      <c r="L107" s="234" t="str">
        <f>IFERROR(IF(VLOOKUP($C107,'EECL Price List'!$A$12:$P$172,H$1,FALSE)=0,"",VLOOKUP($C107,'EECL Price List'!$A$12:$P$172,H$1,FALSE)),"")</f>
        <v/>
      </c>
      <c r="M107" s="234" t="str">
        <f>IFERROR(IF(VLOOKUP($C107,'EECL Price List'!$A$12:$P$172,I$1,FALSE)=0,"",VLOOKUP($C107,'EECL Price List'!$A$12:$P$172,I$1,FALSE)),"")</f>
        <v/>
      </c>
    </row>
    <row r="108" spans="1:13" s="232" customFormat="1" x14ac:dyDescent="0.2">
      <c r="A108" s="242"/>
      <c r="B108" s="223">
        <v>72</v>
      </c>
      <c r="C108" s="221"/>
      <c r="D108" s="341"/>
      <c r="E108" s="234" t="str">
        <f>VLOOKUP(B108,'EECL Price List'!$A$12:$P$172,2,FALSE)</f>
        <v>Construction audit - real estate developments</v>
      </c>
      <c r="F108" s="234" t="str">
        <f>IF(VLOOKUP($B108,'EECL Price List'!$A$12:$P$172,F$1,FALSE)=0,"",VLOOKUP($B108,'EECL Price List'!$A$12:$P$172,F$1,FALSE))</f>
        <v>As Quoted</v>
      </c>
      <c r="G108" s="234" t="str">
        <f>IF(VLOOKUP($B108,'EECL Price List'!$A$12:$P$172,G$1,FALSE)=0,"",VLOOKUP($B108,'EECL Price List'!$A$12:$P$172,G$1,FALSE))</f>
        <v/>
      </c>
      <c r="H108" s="234" t="str">
        <f>IF(VLOOKUP($B108,'EECL Price List'!$A$12:$P$172,H$1,FALSE)=0,"",VLOOKUP($B108,'EECL Price List'!$A$12:$P$172,H$1,FALSE))</f>
        <v/>
      </c>
      <c r="I108" s="234" t="str">
        <f>IF(VLOOKUP($B108,'EECL Price List'!$A$12:$P$172,I$1,FALSE)=0,"",VLOOKUP($B108,'EECL Price List'!$A$12:$P$172,I$1,FALSE))</f>
        <v/>
      </c>
      <c r="J108" s="234" t="s">
        <v>503</v>
      </c>
      <c r="K108" s="234" t="str">
        <f>IFERROR(IF(VLOOKUP($C108,'EECL Price List'!$A$12:$P$172,G$1,FALSE)=0,"",VLOOKUP($C108,'EECL Price List'!$A$12:$P$172,G$1,FALSE)),"")</f>
        <v/>
      </c>
      <c r="L108" s="234" t="str">
        <f>IFERROR(IF(VLOOKUP($C108,'EECL Price List'!$A$12:$P$172,H$1,FALSE)=0,"",VLOOKUP($C108,'EECL Price List'!$A$12:$P$172,H$1,FALSE)),"")</f>
        <v/>
      </c>
      <c r="M108" s="234" t="str">
        <f>IFERROR(IF(VLOOKUP($C108,'EECL Price List'!$A$12:$P$172,I$1,FALSE)=0,"",VLOOKUP($C108,'EECL Price List'!$A$12:$P$172,I$1,FALSE)),"")</f>
        <v/>
      </c>
    </row>
    <row r="109" spans="1:13" s="232" customFormat="1" x14ac:dyDescent="0.2">
      <c r="A109" s="242"/>
      <c r="B109" s="223">
        <v>73</v>
      </c>
      <c r="C109" s="221"/>
      <c r="D109" s="341"/>
      <c r="E109" s="234" t="str">
        <f>VLOOKUP(B109,'EECL Price List'!$A$12:$P$172,2,FALSE)</f>
        <v>Approval of third party materials</v>
      </c>
      <c r="F109" s="234" t="str">
        <f>IF(VLOOKUP($B109,'EECL Price List'!$A$12:$P$172,F$1,FALSE)=0,"",VLOOKUP($B109,'EECL Price List'!$A$12:$P$172,F$1,FALSE))</f>
        <v>As Quoted</v>
      </c>
      <c r="G109" s="234" t="str">
        <f>IF(VLOOKUP($B109,'EECL Price List'!$A$12:$P$172,G$1,FALSE)=0,"",VLOOKUP($B109,'EECL Price List'!$A$12:$P$172,G$1,FALSE))</f>
        <v/>
      </c>
      <c r="H109" s="234" t="str">
        <f>IF(VLOOKUP($B109,'EECL Price List'!$A$12:$P$172,H$1,FALSE)=0,"",VLOOKUP($B109,'EECL Price List'!$A$12:$P$172,H$1,FALSE))</f>
        <v/>
      </c>
      <c r="I109" s="234" t="str">
        <f>IF(VLOOKUP($B109,'EECL Price List'!$A$12:$P$172,I$1,FALSE)=0,"",VLOOKUP($B109,'EECL Price List'!$A$12:$P$172,I$1,FALSE))</f>
        <v/>
      </c>
      <c r="J109" s="234" t="s">
        <v>503</v>
      </c>
      <c r="K109" s="234" t="str">
        <f>IFERROR(IF(VLOOKUP($C109,'EECL Price List'!$A$12:$P$172,G$1,FALSE)=0,"",VLOOKUP($C109,'EECL Price List'!$A$12:$P$172,G$1,FALSE)),"")</f>
        <v/>
      </c>
      <c r="L109" s="234" t="str">
        <f>IFERROR(IF(VLOOKUP($C109,'EECL Price List'!$A$12:$P$172,H$1,FALSE)=0,"",VLOOKUP($C109,'EECL Price List'!$A$12:$P$172,H$1,FALSE)),"")</f>
        <v/>
      </c>
      <c r="M109" s="234" t="str">
        <f>IFERROR(IF(VLOOKUP($C109,'EECL Price List'!$A$12:$P$172,I$1,FALSE)=0,"",VLOOKUP($C109,'EECL Price List'!$A$12:$P$172,I$1,FALSE)),"")</f>
        <v/>
      </c>
    </row>
    <row r="110" spans="1:13" s="232" customFormat="1" x14ac:dyDescent="0.2">
      <c r="A110" s="242"/>
      <c r="B110" s="223">
        <v>74</v>
      </c>
      <c r="C110" s="223" t="s">
        <v>191</v>
      </c>
      <c r="D110" s="341"/>
      <c r="E110" s="234" t="str">
        <f>VLOOKUP(B110,'EECL Price List'!$A$12:$P$172,2,FALSE)</f>
        <v>Special meter read</v>
      </c>
      <c r="F110" s="234" t="str">
        <f>IF(VLOOKUP($B110,'EECL Price List'!$A$12:$P$172,F$1,FALSE)=0,"",VLOOKUP($B110,'EECL Price List'!$A$12:$P$172,F$1,FALSE))</f>
        <v>SPMTRRDU</v>
      </c>
      <c r="G110" s="234" t="str">
        <f>IF(VLOOKUP($B110,'EECL Price List'!$A$12:$P$172,G$1,FALSE)=0,"",VLOOKUP($B110,'EECL Price List'!$A$12:$P$172,G$1,FALSE))</f>
        <v>SPMTRRDS</v>
      </c>
      <c r="H110" s="234" t="str">
        <f>IF(VLOOKUP($B110,'EECL Price List'!$A$12:$P$172,H$1,FALSE)=0,"",VLOOKUP($B110,'EECL Price List'!$A$12:$P$172,H$1,FALSE))</f>
        <v>SPMTRRDL</v>
      </c>
      <c r="I110" s="234" t="str">
        <f>IF(VLOOKUP($B110,'EECL Price List'!$A$12:$P$172,I$1,FALSE)=0,"",VLOOKUP($B110,'EECL Price List'!$A$12:$P$172,I$1,FALSE))</f>
        <v>SPMTRRDI</v>
      </c>
      <c r="J110" s="234" t="str">
        <f>IFERROR(IF(VLOOKUP($C110,'EECL Price List'!$A$12:$P$172,F$1,FALSE)=0,"",VLOOKUP($C110,'EECL Price List'!$A$12:$P$172,F$1,FALSE)),"")</f>
        <v>CFSPMTRRDU</v>
      </c>
      <c r="K110" s="234" t="str">
        <f>IFERROR(IF(VLOOKUP($C110,'EECL Price List'!$A$12:$P$172,G$1,FALSE)=0,"",VLOOKUP($C110,'EECL Price List'!$A$12:$P$172,G$1,FALSE)),"")</f>
        <v>CFSPMTRRDS</v>
      </c>
      <c r="L110" s="234" t="str">
        <f>IFERROR(IF(VLOOKUP($C110,'EECL Price List'!$A$12:$P$172,H$1,FALSE)=0,"",VLOOKUP($C110,'EECL Price List'!$A$12:$P$172,H$1,FALSE)),"")</f>
        <v>CFSPMTRRDL</v>
      </c>
      <c r="M110" s="234" t="str">
        <f>IFERROR(IF(VLOOKUP($C110,'EECL Price List'!$A$12:$P$172,I$1,FALSE)=0,"",VLOOKUP($C110,'EECL Price List'!$A$12:$P$172,I$1,FALSE)),"")</f>
        <v>CFSPMTRRDI</v>
      </c>
    </row>
    <row r="111" spans="1:13" s="232" customFormat="1" x14ac:dyDescent="0.2">
      <c r="A111" s="242"/>
      <c r="B111" s="223">
        <v>75</v>
      </c>
      <c r="C111" s="223" t="s">
        <v>192</v>
      </c>
      <c r="D111" s="341"/>
      <c r="E111" s="234" t="str">
        <f>VLOOKUP(B111,'EECL Price List'!$A$12:$P$172,2,FALSE)</f>
        <v>Meter test</v>
      </c>
      <c r="F111" s="234" t="str">
        <f>IF(VLOOKUP($B111,'EECL Price List'!$A$12:$P$172,F$1,FALSE)=0,"",VLOOKUP($B111,'EECL Price List'!$A$12:$P$172,F$1,FALSE))</f>
        <v>MTRTESTU</v>
      </c>
      <c r="G111" s="234" t="str">
        <f>IF(VLOOKUP($B111,'EECL Price List'!$A$12:$P$172,G$1,FALSE)=0,"",VLOOKUP($B111,'EECL Price List'!$A$12:$P$172,G$1,FALSE))</f>
        <v>MTRTESTS</v>
      </c>
      <c r="H111" s="234" t="str">
        <f>IF(VLOOKUP($B111,'EECL Price List'!$A$12:$P$172,H$1,FALSE)=0,"",VLOOKUP($B111,'EECL Price List'!$A$12:$P$172,H$1,FALSE))</f>
        <v>MTRTESTL</v>
      </c>
      <c r="I111" s="234" t="str">
        <f>IF(VLOOKUP($B111,'EECL Price List'!$A$12:$P$172,I$1,FALSE)=0,"",VLOOKUP($B111,'EECL Price List'!$A$12:$P$172,I$1,FALSE))</f>
        <v>MTRTESTI</v>
      </c>
      <c r="J111" s="234" t="str">
        <f>IFERROR(IF(VLOOKUP($C111,'EECL Price List'!$A$12:$P$172,F$1,FALSE)=0,"",VLOOKUP($C111,'EECL Price List'!$A$12:$P$172,F$1,FALSE)),"")</f>
        <v>CFMTRTESTU</v>
      </c>
      <c r="K111" s="234" t="str">
        <f>IFERROR(IF(VLOOKUP($C111,'EECL Price List'!$A$12:$P$172,G$1,FALSE)=0,"",VLOOKUP($C111,'EECL Price List'!$A$12:$P$172,G$1,FALSE)),"")</f>
        <v>CFMTRTESTS</v>
      </c>
      <c r="L111" s="234" t="str">
        <f>IFERROR(IF(VLOOKUP($C111,'EECL Price List'!$A$12:$P$172,H$1,FALSE)=0,"",VLOOKUP($C111,'EECL Price List'!$A$12:$P$172,H$1,FALSE)),"")</f>
        <v>CFMTRTESTL</v>
      </c>
      <c r="M111" s="234" t="str">
        <f>IFERROR(IF(VLOOKUP($C111,'EECL Price List'!$A$12:$P$172,I$1,FALSE)=0,"",VLOOKUP($C111,'EECL Price List'!$A$12:$P$172,I$1,FALSE)),"")</f>
        <v>CFMTRTESTI</v>
      </c>
    </row>
    <row r="112" spans="1:13" s="232" customFormat="1" x14ac:dyDescent="0.2">
      <c r="A112" s="242"/>
      <c r="B112" s="223">
        <v>76</v>
      </c>
      <c r="C112" s="221"/>
      <c r="D112" s="341"/>
      <c r="E112" s="234" t="str">
        <f>VLOOKUP(B112,'EECL Price List'!$A$12:$P$172,2,FALSE)</f>
        <v>Meter inspection and investigation on request</v>
      </c>
      <c r="F112" s="234" t="str">
        <f>IF(VLOOKUP($B112,'EECL Price List'!$A$12:$P$172,F$1,FALSE)=0,"",VLOOKUP($B112,'EECL Price List'!$A$12:$P$172,F$1,FALSE))</f>
        <v>MTRINSPU</v>
      </c>
      <c r="G112" s="234" t="str">
        <f>IF(VLOOKUP($B112,'EECL Price List'!$A$12:$P$172,G$1,FALSE)=0,"",VLOOKUP($B112,'EECL Price List'!$A$12:$P$172,G$1,FALSE))</f>
        <v>MTRINSPS</v>
      </c>
      <c r="H112" s="234" t="str">
        <f>IF(VLOOKUP($B112,'EECL Price List'!$A$12:$P$172,H$1,FALSE)=0,"",VLOOKUP($B112,'EECL Price List'!$A$12:$P$172,H$1,FALSE))</f>
        <v>MTRINSPL</v>
      </c>
      <c r="I112" s="234" t="str">
        <f>IF(VLOOKUP($B112,'EECL Price List'!$A$12:$P$172,I$1,FALSE)=0,"",VLOOKUP($B112,'EECL Price List'!$A$12:$P$172,I$1,FALSE))</f>
        <v>MTRINSPI</v>
      </c>
      <c r="J112" s="234" t="s">
        <v>503</v>
      </c>
      <c r="K112" s="234" t="str">
        <f>IFERROR(IF(VLOOKUP($C112,'EECL Price List'!$A$12:$P$172,G$1,FALSE)=0,"",VLOOKUP($C112,'EECL Price List'!$A$12:$P$172,G$1,FALSE)),"")</f>
        <v/>
      </c>
      <c r="L112" s="234" t="str">
        <f>IFERROR(IF(VLOOKUP($C112,'EECL Price List'!$A$12:$P$172,H$1,FALSE)=0,"",VLOOKUP($C112,'EECL Price List'!$A$12:$P$172,H$1,FALSE)),"")</f>
        <v/>
      </c>
      <c r="M112" s="234" t="str">
        <f>IFERROR(IF(VLOOKUP($C112,'EECL Price List'!$A$12:$P$172,I$1,FALSE)=0,"",VLOOKUP($C112,'EECL Price List'!$A$12:$P$172,I$1,FALSE)),"")</f>
        <v/>
      </c>
    </row>
    <row r="113" spans="1:13" s="232" customFormat="1" x14ac:dyDescent="0.2">
      <c r="A113" s="242"/>
      <c r="B113" s="223">
        <v>77</v>
      </c>
      <c r="C113" s="221"/>
      <c r="D113" s="341"/>
      <c r="E113" s="234" t="str">
        <f>VLOOKUP(B113,'EECL Price List'!$A$12:$P$172,2,FALSE)</f>
        <v>Metering alteration</v>
      </c>
      <c r="F113" s="234" t="str">
        <f>IF(VLOOKUP($B113,'EECL Price List'!$A$12:$P$172,F$1,FALSE)=0,"",VLOOKUP($B113,'EECL Price List'!$A$12:$P$172,F$1,FALSE))</f>
        <v>MOVEMTRU</v>
      </c>
      <c r="G113" s="234" t="str">
        <f>IF(VLOOKUP($B113,'EECL Price List'!$A$12:$P$172,G$1,FALSE)=0,"",VLOOKUP($B113,'EECL Price List'!$A$12:$P$172,G$1,FALSE))</f>
        <v>MOVEMTRS</v>
      </c>
      <c r="H113" s="234" t="str">
        <f>IF(VLOOKUP($B113,'EECL Price List'!$A$12:$P$172,H$1,FALSE)=0,"",VLOOKUP($B113,'EECL Price List'!$A$12:$P$172,H$1,FALSE))</f>
        <v>MOVEMTRL</v>
      </c>
      <c r="I113" s="234" t="str">
        <f>IF(VLOOKUP($B113,'EECL Price List'!$A$12:$P$172,I$1,FALSE)=0,"",VLOOKUP($B113,'EECL Price List'!$A$12:$P$172,I$1,FALSE))</f>
        <v>MOVEMTRI</v>
      </c>
      <c r="J113" s="234" t="s">
        <v>503</v>
      </c>
      <c r="K113" s="234" t="str">
        <f>IFERROR(IF(VLOOKUP($C113,'EECL Price List'!$A$12:$P$172,G$1,FALSE)=0,"",VLOOKUP($C113,'EECL Price List'!$A$12:$P$172,G$1,FALSE)),"")</f>
        <v/>
      </c>
      <c r="L113" s="234" t="str">
        <f>IFERROR(IF(VLOOKUP($C113,'EECL Price List'!$A$12:$P$172,H$1,FALSE)=0,"",VLOOKUP($C113,'EECL Price List'!$A$12:$P$172,H$1,FALSE)),"")</f>
        <v/>
      </c>
      <c r="M113" s="234" t="str">
        <f>IFERROR(IF(VLOOKUP($C113,'EECL Price List'!$A$12:$P$172,I$1,FALSE)=0,"",VLOOKUP($C113,'EECL Price List'!$A$12:$P$172,I$1,FALSE)),"")</f>
        <v/>
      </c>
    </row>
    <row r="114" spans="1:13" s="232" customFormat="1" x14ac:dyDescent="0.2">
      <c r="A114" s="242"/>
      <c r="B114" s="223">
        <v>78</v>
      </c>
      <c r="C114" s="221"/>
      <c r="D114" s="341"/>
      <c r="E114" s="234" t="str">
        <f>VLOOKUP(B114,'EECL Price List'!$A$12:$P$172,2,FALSE)</f>
        <v>Exchange meter</v>
      </c>
      <c r="F114" s="234" t="str">
        <f>IF(VLOOKUP($B114,'EECL Price List'!$A$12:$P$172,F$1,FALSE)=0,"",VLOOKUP($B114,'EECL Price List'!$A$12:$P$172,F$1,FALSE))</f>
        <v>MTRREPU</v>
      </c>
      <c r="G114" s="234" t="str">
        <f>IF(VLOOKUP($B114,'EECL Price List'!$A$12:$P$172,G$1,FALSE)=0,"",VLOOKUP($B114,'EECL Price List'!$A$12:$P$172,G$1,FALSE))</f>
        <v>MTRREPS</v>
      </c>
      <c r="H114" s="234" t="str">
        <f>IF(VLOOKUP($B114,'EECL Price List'!$A$12:$P$172,H$1,FALSE)=0,"",VLOOKUP($B114,'EECL Price List'!$A$12:$P$172,H$1,FALSE))</f>
        <v>MTRREPL</v>
      </c>
      <c r="I114" s="234" t="str">
        <f>IF(VLOOKUP($B114,'EECL Price List'!$A$12:$P$172,I$1,FALSE)=0,"",VLOOKUP($B114,'EECL Price List'!$A$12:$P$172,I$1,FALSE))</f>
        <v>MTRREPI</v>
      </c>
      <c r="J114" s="234" t="s">
        <v>503</v>
      </c>
      <c r="K114" s="234" t="str">
        <f>IFERROR(IF(VLOOKUP($C114,'EECL Price List'!$A$12:$P$172,G$1,FALSE)=0,"",VLOOKUP($C114,'EECL Price List'!$A$12:$P$172,G$1,FALSE)),"")</f>
        <v/>
      </c>
      <c r="L114" s="234" t="str">
        <f>IFERROR(IF(VLOOKUP($C114,'EECL Price List'!$A$12:$P$172,H$1,FALSE)=0,"",VLOOKUP($C114,'EECL Price List'!$A$12:$P$172,H$1,FALSE)),"")</f>
        <v/>
      </c>
      <c r="M114" s="234" t="str">
        <f>IFERROR(IF(VLOOKUP($C114,'EECL Price List'!$A$12:$P$172,I$1,FALSE)=0,"",VLOOKUP($C114,'EECL Price List'!$A$12:$P$172,I$1,FALSE)),"")</f>
        <v/>
      </c>
    </row>
    <row r="115" spans="1:13" s="232" customFormat="1" x14ac:dyDescent="0.2">
      <c r="A115" s="242"/>
      <c r="B115" s="223">
        <v>79</v>
      </c>
      <c r="C115" s="221"/>
      <c r="D115" s="341"/>
      <c r="E115" s="234" t="str">
        <f>VLOOKUP(B115,'EECL Price List'!$A$12:$P$172,2,FALSE)</f>
        <v>Type 5 to 7 non-standard metering services</v>
      </c>
      <c r="F115" s="234" t="str">
        <f>IF(VLOOKUP($B115,'EECL Price List'!$A$12:$P$172,F$1,FALSE)=0,"",VLOOKUP($B115,'EECL Price List'!$A$12:$P$172,F$1,FALSE))</f>
        <v>As Quoted</v>
      </c>
      <c r="G115" s="234" t="str">
        <f>IF(VLOOKUP($B115,'EECL Price List'!$A$12:$P$172,G$1,FALSE)=0,"",VLOOKUP($B115,'EECL Price List'!$A$12:$P$172,G$1,FALSE))</f>
        <v/>
      </c>
      <c r="H115" s="234" t="str">
        <f>IF(VLOOKUP($B115,'EECL Price List'!$A$12:$P$172,H$1,FALSE)=0,"",VLOOKUP($B115,'EECL Price List'!$A$12:$P$172,H$1,FALSE))</f>
        <v/>
      </c>
      <c r="I115" s="234" t="str">
        <f>IF(VLOOKUP($B115,'EECL Price List'!$A$12:$P$172,I$1,FALSE)=0,"",VLOOKUP($B115,'EECL Price List'!$A$12:$P$172,I$1,FALSE))</f>
        <v/>
      </c>
      <c r="J115" s="234" t="s">
        <v>503</v>
      </c>
      <c r="K115" s="234" t="str">
        <f>IFERROR(IF(VLOOKUP($C115,'EECL Price List'!$A$12:$P$172,G$1,FALSE)=0,"",VLOOKUP($C115,'EECL Price List'!$A$12:$P$172,G$1,FALSE)),"")</f>
        <v/>
      </c>
      <c r="L115" s="234" t="str">
        <f>IFERROR(IF(VLOOKUP($C115,'EECL Price List'!$A$12:$P$172,H$1,FALSE)=0,"",VLOOKUP($C115,'EECL Price List'!$A$12:$P$172,H$1,FALSE)),"")</f>
        <v/>
      </c>
      <c r="M115" s="234" t="str">
        <f>IFERROR(IF(VLOOKUP($C115,'EECL Price List'!$A$12:$P$172,I$1,FALSE)=0,"",VLOOKUP($C115,'EECL Price List'!$A$12:$P$172,I$1,FALSE)),"")</f>
        <v/>
      </c>
    </row>
    <row r="116" spans="1:13" s="232" customFormat="1" x14ac:dyDescent="0.2">
      <c r="A116" s="242"/>
      <c r="B116" s="223">
        <v>80</v>
      </c>
      <c r="C116" s="221"/>
      <c r="D116" s="341"/>
      <c r="E116" s="234" t="str">
        <f>VLOOKUP(B116,'EECL Price List'!$A$12:$P$172,2,FALSE)</f>
        <v>Removal of a meter (Type 5 &amp; 6)</v>
      </c>
      <c r="F116" s="234" t="str">
        <f>IF(VLOOKUP($B116,'EECL Price List'!$A$12:$P$172,F$1,FALSE)=0,"",VLOOKUP($B116,'EECL Price List'!$A$12:$P$172,F$1,FALSE))</f>
        <v>RMMTRU</v>
      </c>
      <c r="G116" s="234" t="str">
        <f>IF(VLOOKUP($B116,'EECL Price List'!$A$12:$P$172,G$1,FALSE)=0,"",VLOOKUP($B116,'EECL Price List'!$A$12:$P$172,G$1,FALSE))</f>
        <v>RMMTRS</v>
      </c>
      <c r="H116" s="234" t="str">
        <f>IF(VLOOKUP($B116,'EECL Price List'!$A$12:$P$172,H$1,FALSE)=0,"",VLOOKUP($B116,'EECL Price List'!$A$12:$P$172,H$1,FALSE))</f>
        <v>RMMTRL</v>
      </c>
      <c r="I116" s="234" t="str">
        <f>IF(VLOOKUP($B116,'EECL Price List'!$A$12:$P$172,I$1,FALSE)=0,"",VLOOKUP($B116,'EECL Price List'!$A$12:$P$172,I$1,FALSE))</f>
        <v>RMMTRI</v>
      </c>
      <c r="J116" s="234" t="s">
        <v>503</v>
      </c>
      <c r="K116" s="234" t="str">
        <f>IFERROR(IF(VLOOKUP($C116,'EECL Price List'!$A$12:$P$172,G$1,FALSE)=0,"",VLOOKUP($C116,'EECL Price List'!$A$12:$P$172,G$1,FALSE)),"")</f>
        <v/>
      </c>
      <c r="L116" s="234" t="str">
        <f>IFERROR(IF(VLOOKUP($C116,'EECL Price List'!$A$12:$P$172,H$1,FALSE)=0,"",VLOOKUP($C116,'EECL Price List'!$A$12:$P$172,H$1,FALSE)),"")</f>
        <v/>
      </c>
      <c r="M116" s="234" t="str">
        <f>IFERROR(IF(VLOOKUP($C116,'EECL Price List'!$A$12:$P$172,I$1,FALSE)=0,"",VLOOKUP($C116,'EECL Price List'!$A$12:$P$172,I$1,FALSE)),"")</f>
        <v/>
      </c>
    </row>
    <row r="117" spans="1:13" s="232" customFormat="1" x14ac:dyDescent="0.2">
      <c r="A117" s="242"/>
      <c r="B117" s="223">
        <v>81</v>
      </c>
      <c r="C117" s="221"/>
      <c r="D117" s="341"/>
      <c r="E117" s="234" t="str">
        <f>VLOOKUP(B117,'EECL Price List'!$A$12:$P$172,2,FALSE)</f>
        <v>Meter re-seal</v>
      </c>
      <c r="F117" s="234" t="str">
        <f>IF(VLOOKUP($B117,'EECL Price List'!$A$12:$P$172,F$1,FALSE)=0,"",VLOOKUP($B117,'EECL Price List'!$A$12:$P$172,F$1,FALSE))</f>
        <v>MTRSEALU</v>
      </c>
      <c r="G117" s="234" t="str">
        <f>IF(VLOOKUP($B117,'EECL Price List'!$A$12:$P$172,G$1,FALSE)=0,"",VLOOKUP($B117,'EECL Price List'!$A$12:$P$172,G$1,FALSE))</f>
        <v>MTRSEALS</v>
      </c>
      <c r="H117" s="234" t="str">
        <f>IF(VLOOKUP($B117,'EECL Price List'!$A$12:$P$172,H$1,FALSE)=0,"",VLOOKUP($B117,'EECL Price List'!$A$12:$P$172,H$1,FALSE))</f>
        <v>MTRSEALL</v>
      </c>
      <c r="I117" s="234" t="str">
        <f>IF(VLOOKUP($B117,'EECL Price List'!$A$12:$P$172,I$1,FALSE)=0,"",VLOOKUP($B117,'EECL Price List'!$A$12:$P$172,I$1,FALSE))</f>
        <v>MTRSEALI</v>
      </c>
      <c r="J117" s="234" t="s">
        <v>503</v>
      </c>
      <c r="K117" s="234" t="str">
        <f>IFERROR(IF(VLOOKUP($C117,'EECL Price List'!$A$12:$P$172,G$1,FALSE)=0,"",VLOOKUP($C117,'EECL Price List'!$A$12:$P$172,G$1,FALSE)),"")</f>
        <v/>
      </c>
      <c r="L117" s="234" t="str">
        <f>IFERROR(IF(VLOOKUP($C117,'EECL Price List'!$A$12:$P$172,H$1,FALSE)=0,"",VLOOKUP($C117,'EECL Price List'!$A$12:$P$172,H$1,FALSE)),"")</f>
        <v/>
      </c>
      <c r="M117" s="234" t="str">
        <f>IFERROR(IF(VLOOKUP($C117,'EECL Price List'!$A$12:$P$172,I$1,FALSE)=0,"",VLOOKUP($C117,'EECL Price List'!$A$12:$P$172,I$1,FALSE)),"")</f>
        <v/>
      </c>
    </row>
    <row r="118" spans="1:13" s="232" customFormat="1" x14ac:dyDescent="0.2">
      <c r="A118" s="242"/>
      <c r="B118" s="223">
        <v>82</v>
      </c>
      <c r="C118" s="221"/>
      <c r="D118" s="341"/>
      <c r="E118" s="234" t="str">
        <f>VLOOKUP(B118,'EECL Price List'!$A$12:$P$172,2,FALSE)</f>
        <v>Install new or replacement meter - after hours</v>
      </c>
      <c r="F118" s="234" t="str">
        <f>IF(VLOOKUP($B118,'EECL Price List'!$A$12:$P$172,F$1,FALSE)=0,"",VLOOKUP($B118,'EECL Price List'!$A$12:$P$172,F$1,FALSE))</f>
        <v>NRMAHU</v>
      </c>
      <c r="G118" s="234" t="str">
        <f>IF(VLOOKUP($B118,'EECL Price List'!$A$12:$P$172,G$1,FALSE)=0,"",VLOOKUP($B118,'EECL Price List'!$A$12:$P$172,G$1,FALSE))</f>
        <v>NRMAHS</v>
      </c>
      <c r="H118" s="234" t="str">
        <f>IF(VLOOKUP($B118,'EECL Price List'!$A$12:$P$172,H$1,FALSE)=0,"",VLOOKUP($B118,'EECL Price List'!$A$12:$P$172,H$1,FALSE))</f>
        <v>NRMAHL</v>
      </c>
      <c r="I118" s="234" t="str">
        <f>IF(VLOOKUP($B118,'EECL Price List'!$A$12:$P$172,I$1,FALSE)=0,"",VLOOKUP($B118,'EECL Price List'!$A$12:$P$172,I$1,FALSE))</f>
        <v>NRMAHI</v>
      </c>
      <c r="J118" s="234" t="s">
        <v>503</v>
      </c>
      <c r="K118" s="234" t="str">
        <f>IFERROR(IF(VLOOKUP($C118,'EECL Price List'!$A$12:$P$172,G$1,FALSE)=0,"",VLOOKUP($C118,'EECL Price List'!$A$12:$P$172,G$1,FALSE)),"")</f>
        <v/>
      </c>
      <c r="L118" s="234" t="str">
        <f>IFERROR(IF(VLOOKUP($C118,'EECL Price List'!$A$12:$P$172,H$1,FALSE)=0,"",VLOOKUP($C118,'EECL Price List'!$A$12:$P$172,H$1,FALSE)),"")</f>
        <v/>
      </c>
      <c r="M118" s="234" t="str">
        <f>IFERROR(IF(VLOOKUP($C118,'EECL Price List'!$A$12:$P$172,I$1,FALSE)=0,"",VLOOKUP($C118,'EECL Price List'!$A$12:$P$172,I$1,FALSE)),"")</f>
        <v/>
      </c>
    </row>
    <row r="119" spans="1:13" s="232" customFormat="1" x14ac:dyDescent="0.2">
      <c r="A119" s="242"/>
      <c r="B119" s="223">
        <v>83</v>
      </c>
      <c r="C119" s="221"/>
      <c r="D119" s="341"/>
      <c r="E119" s="234" t="str">
        <f>VLOOKUP(B119,'EECL Price List'!$A$12:$P$172,2,FALSE)</f>
        <v>Change time switch</v>
      </c>
      <c r="F119" s="234" t="str">
        <f>IF(VLOOKUP($B119,'EECL Price List'!$A$12:$P$172,F$1,FALSE)=0,"",VLOOKUP($B119,'EECL Price List'!$A$12:$P$172,F$1,FALSE))</f>
        <v>CHTSRAU</v>
      </c>
      <c r="G119" s="234" t="str">
        <f>IF(VLOOKUP($B119,'EECL Price List'!$A$12:$P$172,G$1,FALSE)=0,"",VLOOKUP($B119,'EECL Price List'!$A$12:$P$172,G$1,FALSE))</f>
        <v>CHTSRAS</v>
      </c>
      <c r="H119" s="234" t="str">
        <f>IF(VLOOKUP($B119,'EECL Price List'!$A$12:$P$172,H$1,FALSE)=0,"",VLOOKUP($B119,'EECL Price List'!$A$12:$P$172,H$1,FALSE))</f>
        <v>CHTSRAL</v>
      </c>
      <c r="I119" s="234" t="str">
        <f>IF(VLOOKUP($B119,'EECL Price List'!$A$12:$P$172,I$1,FALSE)=0,"",VLOOKUP($B119,'EECL Price List'!$A$12:$P$172,I$1,FALSE))</f>
        <v>CHTSRAI</v>
      </c>
      <c r="J119" s="234" t="s">
        <v>503</v>
      </c>
      <c r="K119" s="234" t="str">
        <f>IFERROR(IF(VLOOKUP($C119,'EECL Price List'!$A$12:$P$172,G$1,FALSE)=0,"",VLOOKUP($C119,'EECL Price List'!$A$12:$P$172,G$1,FALSE)),"")</f>
        <v/>
      </c>
      <c r="L119" s="234" t="str">
        <f>IFERROR(IF(VLOOKUP($C119,'EECL Price List'!$A$12:$P$172,H$1,FALSE)=0,"",VLOOKUP($C119,'EECL Price List'!$A$12:$P$172,H$1,FALSE)),"")</f>
        <v/>
      </c>
      <c r="M119" s="234" t="str">
        <f>IFERROR(IF(VLOOKUP($C119,'EECL Price List'!$A$12:$P$172,I$1,FALSE)=0,"",VLOOKUP($C119,'EECL Price List'!$A$12:$P$172,I$1,FALSE)),"")</f>
        <v/>
      </c>
    </row>
    <row r="120" spans="1:13" s="232" customFormat="1" x14ac:dyDescent="0.2">
      <c r="A120" s="242"/>
      <c r="B120" s="223">
        <v>84</v>
      </c>
      <c r="C120" s="221"/>
      <c r="D120" s="341"/>
      <c r="E120" s="234" t="str">
        <f>VLOOKUP(B120,'EECL Price List'!$A$12:$P$172,2,FALSE)</f>
        <v>Change tariff</v>
      </c>
      <c r="F120" s="234" t="str">
        <f>IF(VLOOKUP($B120,'EECL Price List'!$A$12:$P$172,F$1,FALSE)=0,"",VLOOKUP($B120,'EECL Price List'!$A$12:$P$172,F$1,FALSE))</f>
        <v>CHTARIFU</v>
      </c>
      <c r="G120" s="234" t="str">
        <f>IF(VLOOKUP($B120,'EECL Price List'!$A$12:$P$172,G$1,FALSE)=0,"",VLOOKUP($B120,'EECL Price List'!$A$12:$P$172,G$1,FALSE))</f>
        <v>CHTARIFS</v>
      </c>
      <c r="H120" s="234" t="str">
        <f>IF(VLOOKUP($B120,'EECL Price List'!$A$12:$P$172,H$1,FALSE)=0,"",VLOOKUP($B120,'EECL Price List'!$A$12:$P$172,H$1,FALSE))</f>
        <v>CHTARIFL</v>
      </c>
      <c r="I120" s="234" t="str">
        <f>IF(VLOOKUP($B120,'EECL Price List'!$A$12:$P$172,I$1,FALSE)=0,"",VLOOKUP($B120,'EECL Price List'!$A$12:$P$172,I$1,FALSE))</f>
        <v>CHTARIFI</v>
      </c>
      <c r="J120" s="234" t="s">
        <v>503</v>
      </c>
      <c r="K120" s="234" t="str">
        <f>IFERROR(IF(VLOOKUP($C120,'EECL Price List'!$A$12:$P$172,G$1,FALSE)=0,"",VLOOKUP($C120,'EECL Price List'!$A$12:$P$172,G$1,FALSE)),"")</f>
        <v/>
      </c>
      <c r="L120" s="234" t="str">
        <f>IFERROR(IF(VLOOKUP($C120,'EECL Price List'!$A$12:$P$172,H$1,FALSE)=0,"",VLOOKUP($C120,'EECL Price List'!$A$12:$P$172,H$1,FALSE)),"")</f>
        <v/>
      </c>
      <c r="M120" s="234" t="str">
        <f>IFERROR(IF(VLOOKUP($C120,'EECL Price List'!$A$12:$P$172,I$1,FALSE)=0,"",VLOOKUP($C120,'EECL Price List'!$A$12:$P$172,I$1,FALSE)),"")</f>
        <v/>
      </c>
    </row>
    <row r="121" spans="1:13" s="232" customFormat="1" x14ac:dyDescent="0.2">
      <c r="A121" s="242"/>
      <c r="B121" s="223">
        <v>85</v>
      </c>
      <c r="C121" s="221"/>
      <c r="D121" s="341"/>
      <c r="E121" s="234" t="str">
        <f>VLOOKUP(B121,'EECL Price List'!$A$12:$P$172,2,FALSE)</f>
        <v>Reprogram card meters</v>
      </c>
      <c r="F121" s="234" t="str">
        <f>IF(VLOOKUP($B121,'EECL Price List'!$A$12:$P$172,F$1,FALSE)=0,"",VLOOKUP($B121,'EECL Price List'!$A$12:$P$172,F$1,FALSE))</f>
        <v>PRCDMTRU</v>
      </c>
      <c r="G121" s="234" t="str">
        <f>IF(VLOOKUP($B121,'EECL Price List'!$A$12:$P$172,G$1,FALSE)=0,"",VLOOKUP($B121,'EECL Price List'!$A$12:$P$172,G$1,FALSE))</f>
        <v>PRCDMTRS</v>
      </c>
      <c r="H121" s="234" t="str">
        <f>IF(VLOOKUP($B121,'EECL Price List'!$A$12:$P$172,H$1,FALSE)=0,"",VLOOKUP($B121,'EECL Price List'!$A$12:$P$172,H$1,FALSE))</f>
        <v>PRCDMTRL</v>
      </c>
      <c r="I121" s="234" t="str">
        <f>IF(VLOOKUP($B121,'EECL Price List'!$A$12:$P$172,I$1,FALSE)=0,"",VLOOKUP($B121,'EECL Price List'!$A$12:$P$172,I$1,FALSE))</f>
        <v>PRCDMTRI</v>
      </c>
      <c r="J121" s="234" t="s">
        <v>503</v>
      </c>
      <c r="K121" s="234" t="str">
        <f>IFERROR(IF(VLOOKUP($C121,'EECL Price List'!$A$12:$P$172,G$1,FALSE)=0,"",VLOOKUP($C121,'EECL Price List'!$A$12:$P$172,G$1,FALSE)),"")</f>
        <v/>
      </c>
      <c r="L121" s="234" t="str">
        <f>IFERROR(IF(VLOOKUP($C121,'EECL Price List'!$A$12:$P$172,H$1,FALSE)=0,"",VLOOKUP($C121,'EECL Price List'!$A$12:$P$172,H$1,FALSE)),"")</f>
        <v/>
      </c>
      <c r="M121" s="234" t="str">
        <f>IFERROR(IF(VLOOKUP($C121,'EECL Price List'!$A$12:$P$172,I$1,FALSE)=0,"",VLOOKUP($C121,'EECL Price List'!$A$12:$P$172,I$1,FALSE)),"")</f>
        <v/>
      </c>
    </row>
    <row r="122" spans="1:13" s="232" customFormat="1" x14ac:dyDescent="0.2">
      <c r="A122" s="242"/>
      <c r="B122" s="223">
        <v>86</v>
      </c>
      <c r="C122" s="221"/>
      <c r="D122" s="341"/>
      <c r="E122" s="234" t="str">
        <f>VLOOKUP(B122,'EECL Price List'!$A$12:$P$172,2,FALSE)</f>
        <v>Install metering related load control</v>
      </c>
      <c r="F122" s="234" t="str">
        <f>IF(VLOOKUP($B122,'EECL Price List'!$A$12:$P$172,F$1,FALSE)=0,"",VLOOKUP($B122,'EECL Price List'!$A$12:$P$172,F$1,FALSE))</f>
        <v>INMTRLDCU</v>
      </c>
      <c r="G122" s="234" t="str">
        <f>IF(VLOOKUP($B122,'EECL Price List'!$A$12:$P$172,G$1,FALSE)=0,"",VLOOKUP($B122,'EECL Price List'!$A$12:$P$172,G$1,FALSE))</f>
        <v>INMTRLDCS</v>
      </c>
      <c r="H122" s="234" t="str">
        <f>IF(VLOOKUP($B122,'EECL Price List'!$A$12:$P$172,H$1,FALSE)=0,"",VLOOKUP($B122,'EECL Price List'!$A$12:$P$172,H$1,FALSE))</f>
        <v>INMTRLDCL</v>
      </c>
      <c r="I122" s="234" t="str">
        <f>IF(VLOOKUP($B122,'EECL Price List'!$A$12:$P$172,I$1,FALSE)=0,"",VLOOKUP($B122,'EECL Price List'!$A$12:$P$172,I$1,FALSE))</f>
        <v>INMTRLDCI</v>
      </c>
      <c r="J122" s="234" t="s">
        <v>503</v>
      </c>
      <c r="K122" s="234" t="str">
        <f>IFERROR(IF(VLOOKUP($C122,'EECL Price List'!$A$12:$P$172,G$1,FALSE)=0,"",VLOOKUP($C122,'EECL Price List'!$A$12:$P$172,G$1,FALSE)),"")</f>
        <v/>
      </c>
      <c r="L122" s="234" t="str">
        <f>IFERROR(IF(VLOOKUP($C122,'EECL Price List'!$A$12:$P$172,H$1,FALSE)=0,"",VLOOKUP($C122,'EECL Price List'!$A$12:$P$172,H$1,FALSE)),"")</f>
        <v/>
      </c>
      <c r="M122" s="234" t="str">
        <f>IFERROR(IF(VLOOKUP($C122,'EECL Price List'!$A$12:$P$172,I$1,FALSE)=0,"",VLOOKUP($C122,'EECL Price List'!$A$12:$P$172,I$1,FALSE)),"")</f>
        <v/>
      </c>
    </row>
    <row r="123" spans="1:13" s="232" customFormat="1" x14ac:dyDescent="0.2">
      <c r="A123" s="242"/>
      <c r="B123" s="223">
        <v>87</v>
      </c>
      <c r="C123" s="221"/>
      <c r="D123" s="341"/>
      <c r="E123" s="234" t="str">
        <f>VLOOKUP(B123,'EECL Price List'!$A$12:$P$172,2,FALSE)</f>
        <v>Removal of load control device</v>
      </c>
      <c r="F123" s="234" t="str">
        <f>IF(VLOOKUP($B123,'EECL Price List'!$A$12:$P$172,F$1,FALSE)=0,"",VLOOKUP($B123,'EECL Price List'!$A$12:$P$172,F$1,FALSE))</f>
        <v>RMLDCRLU</v>
      </c>
      <c r="G123" s="234" t="str">
        <f>IF(VLOOKUP($B123,'EECL Price List'!$A$12:$P$172,G$1,FALSE)=0,"",VLOOKUP($B123,'EECL Price List'!$A$12:$P$172,G$1,FALSE))</f>
        <v>RMLDCRLS</v>
      </c>
      <c r="H123" s="234" t="str">
        <f>IF(VLOOKUP($B123,'EECL Price List'!$A$12:$P$172,H$1,FALSE)=0,"",VLOOKUP($B123,'EECL Price List'!$A$12:$P$172,H$1,FALSE))</f>
        <v>RMLDCRLL</v>
      </c>
      <c r="I123" s="234" t="str">
        <f>IF(VLOOKUP($B123,'EECL Price List'!$A$12:$P$172,I$1,FALSE)=0,"",VLOOKUP($B123,'EECL Price List'!$A$12:$P$172,I$1,FALSE))</f>
        <v>RMLDCRLI</v>
      </c>
      <c r="J123" s="234" t="s">
        <v>503</v>
      </c>
      <c r="K123" s="234" t="str">
        <f>IFERROR(IF(VLOOKUP($C123,'EECL Price List'!$A$12:$P$172,G$1,FALSE)=0,"",VLOOKUP($C123,'EECL Price List'!$A$12:$P$172,G$1,FALSE)),"")</f>
        <v/>
      </c>
      <c r="L123" s="234" t="str">
        <f>IFERROR(IF(VLOOKUP($C123,'EECL Price List'!$A$12:$P$172,H$1,FALSE)=0,"",VLOOKUP($C123,'EECL Price List'!$A$12:$P$172,H$1,FALSE)),"")</f>
        <v/>
      </c>
      <c r="M123" s="234" t="str">
        <f>IFERROR(IF(VLOOKUP($C123,'EECL Price List'!$A$12:$P$172,I$1,FALSE)=0,"",VLOOKUP($C123,'EECL Price List'!$A$12:$P$172,I$1,FALSE)),"")</f>
        <v/>
      </c>
    </row>
    <row r="124" spans="1:13" s="232" customFormat="1" x14ac:dyDescent="0.2">
      <c r="A124" s="242"/>
      <c r="B124" s="223">
        <v>88</v>
      </c>
      <c r="C124" s="221"/>
      <c r="D124" s="341"/>
      <c r="E124" s="234" t="str">
        <f>VLOOKUP(B124,'EECL Price List'!$A$12:$P$172,2,FALSE)</f>
        <v>Change load control relay channel</v>
      </c>
      <c r="F124" s="234" t="str">
        <f>IF(VLOOKUP($B124,'EECL Price List'!$A$12:$P$172,F$1,FALSE)=0,"",VLOOKUP($B124,'EECL Price List'!$A$12:$P$172,F$1,FALSE))</f>
        <v>CHLDCRCU</v>
      </c>
      <c r="G124" s="234" t="str">
        <f>IF(VLOOKUP($B124,'EECL Price List'!$A$12:$P$172,G$1,FALSE)=0,"",VLOOKUP($B124,'EECL Price List'!$A$12:$P$172,G$1,FALSE))</f>
        <v>CHLDCRCS</v>
      </c>
      <c r="H124" s="234" t="str">
        <f>IF(VLOOKUP($B124,'EECL Price List'!$A$12:$P$172,H$1,FALSE)=0,"",VLOOKUP($B124,'EECL Price List'!$A$12:$P$172,H$1,FALSE))</f>
        <v>CHLDCRCL</v>
      </c>
      <c r="I124" s="234" t="str">
        <f>IF(VLOOKUP($B124,'EECL Price List'!$A$12:$P$172,I$1,FALSE)=0,"",VLOOKUP($B124,'EECL Price List'!$A$12:$P$172,I$1,FALSE))</f>
        <v>CHLDCRCI</v>
      </c>
      <c r="J124" s="234" t="s">
        <v>503</v>
      </c>
      <c r="K124" s="234" t="str">
        <f>IFERROR(IF(VLOOKUP($C124,'EECL Price List'!$A$12:$P$172,G$1,FALSE)=0,"",VLOOKUP($C124,'EECL Price List'!$A$12:$P$172,G$1,FALSE)),"")</f>
        <v/>
      </c>
      <c r="L124" s="234" t="str">
        <f>IFERROR(IF(VLOOKUP($C124,'EECL Price List'!$A$12:$P$172,H$1,FALSE)=0,"",VLOOKUP($C124,'EECL Price List'!$A$12:$P$172,H$1,FALSE)),"")</f>
        <v/>
      </c>
      <c r="M124" s="234" t="str">
        <f>IFERROR(IF(VLOOKUP($C124,'EECL Price List'!$A$12:$P$172,I$1,FALSE)=0,"",VLOOKUP($C124,'EECL Price List'!$A$12:$P$172,I$1,FALSE)),"")</f>
        <v/>
      </c>
    </row>
    <row r="125" spans="1:13" s="232" customFormat="1" x14ac:dyDescent="0.2">
      <c r="A125" s="242"/>
      <c r="B125" s="223">
        <v>89</v>
      </c>
      <c r="C125" s="221"/>
      <c r="D125" s="341"/>
      <c r="E125" s="234" t="str">
        <f>VLOOKUP(B125,'EECL Price List'!$A$12:$P$172,2,FALSE)</f>
        <v>Services provided in relation to a Retailer of Last Resort (ROLR) event</v>
      </c>
      <c r="F125" s="234" t="str">
        <f>IF(VLOOKUP($B125,'EECL Price List'!$A$12:$P$172,F$1,FALSE)=0,"",VLOOKUP($B125,'EECL Price List'!$A$12:$P$172,F$1,FALSE))</f>
        <v>As Quoted</v>
      </c>
      <c r="G125" s="234" t="str">
        <f>IF(VLOOKUP($B125,'EECL Price List'!$A$12:$P$172,G$1,FALSE)=0,"",VLOOKUP($B125,'EECL Price List'!$A$12:$P$172,G$1,FALSE))</f>
        <v/>
      </c>
      <c r="H125" s="234" t="str">
        <f>IF(VLOOKUP($B125,'EECL Price List'!$A$12:$P$172,H$1,FALSE)=0,"",VLOOKUP($B125,'EECL Price List'!$A$12:$P$172,H$1,FALSE))</f>
        <v/>
      </c>
      <c r="I125" s="234" t="str">
        <f>IF(VLOOKUP($B125,'EECL Price List'!$A$12:$P$172,I$1,FALSE)=0,"",VLOOKUP($B125,'EECL Price List'!$A$12:$P$172,I$1,FALSE))</f>
        <v/>
      </c>
      <c r="J125" s="234" t="s">
        <v>503</v>
      </c>
      <c r="K125" s="234" t="str">
        <f>IFERROR(IF(VLOOKUP($C125,'EECL Price List'!$A$12:$P$172,G$1,FALSE)=0,"",VLOOKUP($C125,'EECL Price List'!$A$12:$P$172,G$1,FALSE)),"")</f>
        <v/>
      </c>
      <c r="L125" s="234" t="str">
        <f>IFERROR(IF(VLOOKUP($C125,'EECL Price List'!$A$12:$P$172,H$1,FALSE)=0,"",VLOOKUP($C125,'EECL Price List'!$A$12:$P$172,H$1,FALSE)),"")</f>
        <v/>
      </c>
      <c r="M125" s="234" t="str">
        <f>IFERROR(IF(VLOOKUP($C125,'EECL Price List'!$A$12:$P$172,I$1,FALSE)=0,"",VLOOKUP($C125,'EECL Price List'!$A$12:$P$172,I$1,FALSE)),"")</f>
        <v/>
      </c>
    </row>
    <row r="126" spans="1:13" s="232" customFormat="1" x14ac:dyDescent="0.2">
      <c r="A126" s="242"/>
      <c r="B126" s="223">
        <v>90</v>
      </c>
      <c r="C126" s="221"/>
      <c r="D126" s="341"/>
      <c r="E126" s="234" t="str">
        <f>VLOOKUP(B126,'EECL Price List'!$A$12:$P$172,2,FALSE)</f>
        <v>Non-standard network data requests</v>
      </c>
      <c r="F126" s="234" t="str">
        <f>IF(VLOOKUP($B126,'EECL Price List'!$A$12:$P$172,F$1,FALSE)=0,"",VLOOKUP($B126,'EECL Price List'!$A$12:$P$172,F$1,FALSE))</f>
        <v>As Quoted</v>
      </c>
      <c r="G126" s="234" t="str">
        <f>IF(VLOOKUP($B126,'EECL Price List'!$A$12:$P$172,G$1,FALSE)=0,"",VLOOKUP($B126,'EECL Price List'!$A$12:$P$172,G$1,FALSE))</f>
        <v/>
      </c>
      <c r="H126" s="234" t="str">
        <f>IF(VLOOKUP($B126,'EECL Price List'!$A$12:$P$172,H$1,FALSE)=0,"",VLOOKUP($B126,'EECL Price List'!$A$12:$P$172,H$1,FALSE))</f>
        <v/>
      </c>
      <c r="I126" s="234" t="str">
        <f>IF(VLOOKUP($B126,'EECL Price List'!$A$12:$P$172,I$1,FALSE)=0,"",VLOOKUP($B126,'EECL Price List'!$A$12:$P$172,I$1,FALSE))</f>
        <v/>
      </c>
      <c r="J126" s="234" t="s">
        <v>503</v>
      </c>
      <c r="K126" s="234" t="str">
        <f>IFERROR(IF(VLOOKUP($C126,'EECL Price List'!$A$12:$P$172,G$1,FALSE)=0,"",VLOOKUP($C126,'EECL Price List'!$A$12:$P$172,G$1,FALSE)),"")</f>
        <v/>
      </c>
      <c r="L126" s="234" t="str">
        <f>IFERROR(IF(VLOOKUP($C126,'EECL Price List'!$A$12:$P$172,H$1,FALSE)=0,"",VLOOKUP($C126,'EECL Price List'!$A$12:$P$172,H$1,FALSE)),"")</f>
        <v/>
      </c>
      <c r="M126" s="234" t="str">
        <f>IFERROR(IF(VLOOKUP($C126,'EECL Price List'!$A$12:$P$172,I$1,FALSE)=0,"",VLOOKUP($C126,'EECL Price List'!$A$12:$P$172,I$1,FALSE)),"")</f>
        <v/>
      </c>
    </row>
    <row r="127" spans="1:13" s="232" customFormat="1" x14ac:dyDescent="0.2">
      <c r="A127" s="242"/>
      <c r="B127" s="223">
        <v>91</v>
      </c>
      <c r="C127" s="221"/>
      <c r="D127" s="341"/>
      <c r="E127" s="234" t="str">
        <f>VLOOKUP(B127,'EECL Price List'!$A$12:$P$172,2,FALSE)</f>
        <v>Provision of services for approved unmetered supplies</v>
      </c>
      <c r="F127" s="234" t="str">
        <f>IF(VLOOKUP($B127,'EECL Price List'!$A$12:$P$172,F$1,FALSE)=0,"",VLOOKUP($B127,'EECL Price List'!$A$12:$P$172,F$1,FALSE))</f>
        <v>UNMTRSVCU</v>
      </c>
      <c r="G127" s="234" t="str">
        <f>IF(VLOOKUP($B127,'EECL Price List'!$A$12:$P$172,G$1,FALSE)=0,"",VLOOKUP($B127,'EECL Price List'!$A$12:$P$172,G$1,FALSE))</f>
        <v>UNMTRSVCS</v>
      </c>
      <c r="H127" s="234" t="str">
        <f>IF(VLOOKUP($B127,'EECL Price List'!$A$12:$P$172,H$1,FALSE)=0,"",VLOOKUP($B127,'EECL Price List'!$A$12:$P$172,H$1,FALSE))</f>
        <v>UNMTRSVCL</v>
      </c>
      <c r="I127" s="234" t="str">
        <f>IF(VLOOKUP($B127,'EECL Price List'!$A$12:$P$172,I$1,FALSE)=0,"",VLOOKUP($B127,'EECL Price List'!$A$12:$P$172,I$1,FALSE))</f>
        <v>UNMTRSVCI</v>
      </c>
      <c r="J127" s="234" t="s">
        <v>503</v>
      </c>
      <c r="K127" s="234" t="str">
        <f>IFERROR(IF(VLOOKUP($C127,'EECL Price List'!$A$12:$P$172,G$1,FALSE)=0,"",VLOOKUP($C127,'EECL Price List'!$A$12:$P$172,G$1,FALSE)),"")</f>
        <v/>
      </c>
      <c r="L127" s="234" t="str">
        <f>IFERROR(IF(VLOOKUP($C127,'EECL Price List'!$A$12:$P$172,H$1,FALSE)=0,"",VLOOKUP($C127,'EECL Price List'!$A$12:$P$172,H$1,FALSE)),"")</f>
        <v/>
      </c>
      <c r="M127" s="234" t="str">
        <f>IFERROR(IF(VLOOKUP($C127,'EECL Price List'!$A$12:$P$172,I$1,FALSE)=0,"",VLOOKUP($C127,'EECL Price List'!$A$12:$P$172,I$1,FALSE)),"")</f>
        <v/>
      </c>
    </row>
    <row r="128" spans="1:13" s="232" customFormat="1" x14ac:dyDescent="0.2">
      <c r="A128" s="242"/>
      <c r="B128" s="223">
        <v>92</v>
      </c>
      <c r="C128" s="221"/>
      <c r="D128" s="341"/>
      <c r="E128" s="234" t="str">
        <f>VLOOKUP(B128,'EECL Price List'!$A$12:$P$172,2,FALSE)</f>
        <v>Customer or retailer requested appointments</v>
      </c>
      <c r="F128" s="234" t="str">
        <f>IF(VLOOKUP($B128,'EECL Price List'!$A$12:$P$172,F$1,FALSE)=0,"",VLOOKUP($B128,'EECL Price List'!$A$12:$P$172,F$1,FALSE))</f>
        <v>CUSTAPTU</v>
      </c>
      <c r="G128" s="234" t="str">
        <f>IF(VLOOKUP($B128,'EECL Price List'!$A$12:$P$172,G$1,FALSE)=0,"",VLOOKUP($B128,'EECL Price List'!$A$12:$P$172,G$1,FALSE))</f>
        <v>CUSTAPTS</v>
      </c>
      <c r="H128" s="234" t="str">
        <f>IF(VLOOKUP($B128,'EECL Price List'!$A$12:$P$172,H$1,FALSE)=0,"",VLOOKUP($B128,'EECL Price List'!$A$12:$P$172,H$1,FALSE))</f>
        <v>CUSTAPTL</v>
      </c>
      <c r="I128" s="234" t="str">
        <f>IF(VLOOKUP($B128,'EECL Price List'!$A$12:$P$172,I$1,FALSE)=0,"",VLOOKUP($B128,'EECL Price List'!$A$12:$P$172,I$1,FALSE))</f>
        <v>CUSTAPTI</v>
      </c>
      <c r="J128" s="234" t="s">
        <v>503</v>
      </c>
      <c r="K128" s="234" t="str">
        <f>IFERROR(IF(VLOOKUP($C128,'EECL Price List'!$A$12:$P$172,G$1,FALSE)=0,"",VLOOKUP($C128,'EECL Price List'!$A$12:$P$172,G$1,FALSE)),"")</f>
        <v/>
      </c>
      <c r="L128" s="234" t="str">
        <f>IFERROR(IF(VLOOKUP($C128,'EECL Price List'!$A$12:$P$172,H$1,FALSE)=0,"",VLOOKUP($C128,'EECL Price List'!$A$12:$P$172,H$1,FALSE)),"")</f>
        <v/>
      </c>
      <c r="M128" s="234" t="str">
        <f>IFERROR(IF(VLOOKUP($C128,'EECL Price List'!$A$12:$P$172,I$1,FALSE)=0,"",VLOOKUP($C128,'EECL Price List'!$A$12:$P$172,I$1,FALSE)),"")</f>
        <v/>
      </c>
    </row>
    <row r="129" spans="1:13" s="232" customFormat="1" x14ac:dyDescent="0.2">
      <c r="A129" s="242"/>
      <c r="B129" s="223">
        <v>93</v>
      </c>
      <c r="C129" s="221"/>
      <c r="D129" s="341"/>
      <c r="E129" s="234" t="str">
        <f>VLOOKUP(B129,'EECL Price List'!$A$12:$P$172,2,FALSE)</f>
        <v>Removal/rearrangement of network assets</v>
      </c>
      <c r="F129" s="234" t="str">
        <f>IF(VLOOKUP($B129,'EECL Price List'!$A$12:$P$172,F$1,FALSE)=0,"",VLOOKUP($B129,'EECL Price List'!$A$12:$P$172,F$1,FALSE))</f>
        <v>As Quoted</v>
      </c>
      <c r="G129" s="234" t="str">
        <f>IF(VLOOKUP($B129,'EECL Price List'!$A$12:$P$172,G$1,FALSE)=0,"",VLOOKUP($B129,'EECL Price List'!$A$12:$P$172,G$1,FALSE))</f>
        <v/>
      </c>
      <c r="H129" s="234" t="str">
        <f>IF(VLOOKUP($B129,'EECL Price List'!$A$12:$P$172,H$1,FALSE)=0,"",VLOOKUP($B129,'EECL Price List'!$A$12:$P$172,H$1,FALSE))</f>
        <v/>
      </c>
      <c r="I129" s="234" t="str">
        <f>IF(VLOOKUP($B129,'EECL Price List'!$A$12:$P$172,I$1,FALSE)=0,"",VLOOKUP($B129,'EECL Price List'!$A$12:$P$172,I$1,FALSE))</f>
        <v/>
      </c>
      <c r="J129" s="234" t="s">
        <v>503</v>
      </c>
      <c r="K129" s="234" t="str">
        <f>IFERROR(IF(VLOOKUP($C129,'EECL Price List'!$A$12:$P$172,G$1,FALSE)=0,"",VLOOKUP($C129,'EECL Price List'!$A$12:$P$172,G$1,FALSE)),"")</f>
        <v/>
      </c>
      <c r="L129" s="234" t="str">
        <f>IFERROR(IF(VLOOKUP($C129,'EECL Price List'!$A$12:$P$172,H$1,FALSE)=0,"",VLOOKUP($C129,'EECL Price List'!$A$12:$P$172,H$1,FALSE)),"")</f>
        <v/>
      </c>
      <c r="M129" s="234" t="str">
        <f>IFERROR(IF(VLOOKUP($C129,'EECL Price List'!$A$12:$P$172,I$1,FALSE)=0,"",VLOOKUP($C129,'EECL Price List'!$A$12:$P$172,I$1,FALSE)),"")</f>
        <v/>
      </c>
    </row>
    <row r="130" spans="1:13" s="232" customFormat="1" x14ac:dyDescent="0.2">
      <c r="A130" s="242"/>
      <c r="B130" s="223">
        <v>94</v>
      </c>
      <c r="C130" s="221"/>
      <c r="D130" s="341"/>
      <c r="E130" s="234" t="str">
        <f>VLOOKUP(B130,'EECL Price List'!$A$12:$P$172,2,FALSE)</f>
        <v>Aerial markers</v>
      </c>
      <c r="F130" s="234" t="str">
        <f>IF(VLOOKUP($B130,'EECL Price List'!$A$12:$P$172,F$1,FALSE)=0,"",VLOOKUP($B130,'EECL Price List'!$A$12:$P$172,F$1,FALSE))</f>
        <v>As Quoted</v>
      </c>
      <c r="G130" s="234" t="str">
        <f>IF(VLOOKUP($B130,'EECL Price List'!$A$12:$P$172,G$1,FALSE)=0,"",VLOOKUP($B130,'EECL Price List'!$A$12:$P$172,G$1,FALSE))</f>
        <v/>
      </c>
      <c r="H130" s="234" t="str">
        <f>IF(VLOOKUP($B130,'EECL Price List'!$A$12:$P$172,H$1,FALSE)=0,"",VLOOKUP($B130,'EECL Price List'!$A$12:$P$172,H$1,FALSE))</f>
        <v/>
      </c>
      <c r="I130" s="234" t="str">
        <f>IF(VLOOKUP($B130,'EECL Price List'!$A$12:$P$172,I$1,FALSE)=0,"",VLOOKUP($B130,'EECL Price List'!$A$12:$P$172,I$1,FALSE))</f>
        <v/>
      </c>
      <c r="J130" s="234" t="s">
        <v>503</v>
      </c>
      <c r="K130" s="234" t="str">
        <f>IFERROR(IF(VLOOKUP($C130,'EECL Price List'!$A$12:$P$172,G$1,FALSE)=0,"",VLOOKUP($C130,'EECL Price List'!$A$12:$P$172,G$1,FALSE)),"")</f>
        <v/>
      </c>
      <c r="L130" s="234" t="str">
        <f>IFERROR(IF(VLOOKUP($C130,'EECL Price List'!$A$12:$P$172,H$1,FALSE)=0,"",VLOOKUP($C130,'EECL Price List'!$A$12:$P$172,H$1,FALSE)),"")</f>
        <v/>
      </c>
      <c r="M130" s="234" t="str">
        <f>IFERROR(IF(VLOOKUP($C130,'EECL Price List'!$A$12:$P$172,I$1,FALSE)=0,"",VLOOKUP($C130,'EECL Price List'!$A$12:$P$172,I$1,FALSE)),"")</f>
        <v/>
      </c>
    </row>
    <row r="131" spans="1:13" s="232" customFormat="1" x14ac:dyDescent="0.2">
      <c r="A131" s="242"/>
      <c r="B131" s="223">
        <v>95</v>
      </c>
      <c r="C131" s="221"/>
      <c r="D131" s="341"/>
      <c r="E131" s="234" t="str">
        <f>VLOOKUP(B131,'EECL Price List'!$A$12:$P$172,2,FALSE)</f>
        <v>Tiger tails</v>
      </c>
      <c r="F131" s="234" t="str">
        <f>IF(VLOOKUP($B131,'EECL Price List'!$A$12:$P$172,F$1,FALSE)=0,"",VLOOKUP($B131,'EECL Price List'!$A$12:$P$172,F$1,FALSE))</f>
        <v>As Quoted</v>
      </c>
      <c r="G131" s="234" t="str">
        <f>IF(VLOOKUP($B131,'EECL Price List'!$A$12:$P$172,G$1,FALSE)=0,"",VLOOKUP($B131,'EECL Price List'!$A$12:$P$172,G$1,FALSE))</f>
        <v/>
      </c>
      <c r="H131" s="234" t="str">
        <f>IF(VLOOKUP($B131,'EECL Price List'!$A$12:$P$172,H$1,FALSE)=0,"",VLOOKUP($B131,'EECL Price List'!$A$12:$P$172,H$1,FALSE))</f>
        <v/>
      </c>
      <c r="I131" s="234" t="str">
        <f>IF(VLOOKUP($B131,'EECL Price List'!$A$12:$P$172,I$1,FALSE)=0,"",VLOOKUP($B131,'EECL Price List'!$A$12:$P$172,I$1,FALSE))</f>
        <v/>
      </c>
      <c r="J131" s="234" t="s">
        <v>503</v>
      </c>
      <c r="K131" s="234" t="str">
        <f>IFERROR(IF(VLOOKUP($C131,'EECL Price List'!$A$12:$P$172,G$1,FALSE)=0,"",VLOOKUP($C131,'EECL Price List'!$A$12:$P$172,G$1,FALSE)),"")</f>
        <v/>
      </c>
      <c r="L131" s="234" t="str">
        <f>IFERROR(IF(VLOOKUP($C131,'EECL Price List'!$A$12:$P$172,H$1,FALSE)=0,"",VLOOKUP($C131,'EECL Price List'!$A$12:$P$172,H$1,FALSE)),"")</f>
        <v/>
      </c>
      <c r="M131" s="234" t="str">
        <f>IFERROR(IF(VLOOKUP($C131,'EECL Price List'!$A$12:$P$172,I$1,FALSE)=0,"",VLOOKUP($C131,'EECL Price List'!$A$12:$P$172,I$1,FALSE)),"")</f>
        <v/>
      </c>
    </row>
    <row r="132" spans="1:13" s="232" customFormat="1" x14ac:dyDescent="0.2">
      <c r="A132" s="242"/>
      <c r="B132" s="223">
        <v>96</v>
      </c>
      <c r="C132" s="221"/>
      <c r="D132" s="341"/>
      <c r="E132" s="234" t="str">
        <f>VLOOKUP(B132,'EECL Price List'!$A$12:$P$172,2,FALSE)</f>
        <v>Assessment for Non-Exporting embedded generator applications</v>
      </c>
      <c r="F132" s="234" t="str">
        <f>IF(VLOOKUP($B132,'EECL Price List'!$A$12:$P$172,F$1,FALSE)=0,"",VLOOKUP($B132,'EECL Price List'!$A$12:$P$172,F$1,FALSE))</f>
        <v>As Quoted</v>
      </c>
      <c r="G132" s="234" t="str">
        <f>IF(VLOOKUP($B132,'EECL Price List'!$A$12:$P$172,G$1,FALSE)=0,"",VLOOKUP($B132,'EECL Price List'!$A$12:$P$172,G$1,FALSE))</f>
        <v/>
      </c>
      <c r="H132" s="234" t="str">
        <f>IF(VLOOKUP($B132,'EECL Price List'!$A$12:$P$172,H$1,FALSE)=0,"",VLOOKUP($B132,'EECL Price List'!$A$12:$P$172,H$1,FALSE))</f>
        <v/>
      </c>
      <c r="I132" s="234" t="str">
        <f>IF(VLOOKUP($B132,'EECL Price List'!$A$12:$P$172,I$1,FALSE)=0,"",VLOOKUP($B132,'EECL Price List'!$A$12:$P$172,I$1,FALSE))</f>
        <v/>
      </c>
      <c r="J132" s="234" t="s">
        <v>503</v>
      </c>
      <c r="K132" s="234" t="str">
        <f>IFERROR(IF(VLOOKUP($C132,'EECL Price List'!$A$12:$P$172,G$1,FALSE)=0,"",VLOOKUP($C132,'EECL Price List'!$A$12:$P$172,G$1,FALSE)),"")</f>
        <v/>
      </c>
      <c r="L132" s="234" t="str">
        <f>IFERROR(IF(VLOOKUP($C132,'EECL Price List'!$A$12:$P$172,H$1,FALSE)=0,"",VLOOKUP($C132,'EECL Price List'!$A$12:$P$172,H$1,FALSE)),"")</f>
        <v/>
      </c>
      <c r="M132" s="234" t="str">
        <f>IFERROR(IF(VLOOKUP($C132,'EECL Price List'!$A$12:$P$172,I$1,FALSE)=0,"",VLOOKUP($C132,'EECL Price List'!$A$12:$P$172,I$1,FALSE)),"")</f>
        <v/>
      </c>
    </row>
    <row r="133" spans="1:13" s="232" customFormat="1" x14ac:dyDescent="0.2">
      <c r="A133" s="242"/>
      <c r="B133" s="223">
        <v>97</v>
      </c>
      <c r="C133" s="221"/>
      <c r="D133" s="341"/>
      <c r="E133" s="234" t="str">
        <f>VLOOKUP(B133,'EECL Price List'!$A$12:$P$172,2,FALSE)</f>
        <v>Witness testing</v>
      </c>
      <c r="F133" s="234" t="str">
        <f>IF(VLOOKUP($B133,'EECL Price List'!$A$12:$P$172,F$1,FALSE)=0,"",VLOOKUP($B133,'EECL Price List'!$A$12:$P$172,F$1,FALSE))</f>
        <v>As Quoted</v>
      </c>
      <c r="G133" s="234" t="str">
        <f>IF(VLOOKUP($B133,'EECL Price List'!$A$12:$P$172,G$1,FALSE)=0,"",VLOOKUP($B133,'EECL Price List'!$A$12:$P$172,G$1,FALSE))</f>
        <v/>
      </c>
      <c r="H133" s="234" t="str">
        <f>IF(VLOOKUP($B133,'EECL Price List'!$A$12:$P$172,H$1,FALSE)=0,"",VLOOKUP($B133,'EECL Price List'!$A$12:$P$172,H$1,FALSE))</f>
        <v/>
      </c>
      <c r="I133" s="234" t="str">
        <f>IF(VLOOKUP($B133,'EECL Price List'!$A$12:$P$172,I$1,FALSE)=0,"",VLOOKUP($B133,'EECL Price List'!$A$12:$P$172,I$1,FALSE))</f>
        <v/>
      </c>
      <c r="J133" s="234" t="s">
        <v>503</v>
      </c>
      <c r="K133" s="234" t="str">
        <f>IFERROR(IF(VLOOKUP($C133,'EECL Price List'!$A$12:$P$172,G$1,FALSE)=0,"",VLOOKUP($C133,'EECL Price List'!$A$12:$P$172,G$1,FALSE)),"")</f>
        <v/>
      </c>
      <c r="L133" s="234" t="str">
        <f>IFERROR(IF(VLOOKUP($C133,'EECL Price List'!$A$12:$P$172,H$1,FALSE)=0,"",VLOOKUP($C133,'EECL Price List'!$A$12:$P$172,H$1,FALSE)),"")</f>
        <v/>
      </c>
      <c r="M133" s="234" t="str">
        <f>IFERROR(IF(VLOOKUP($C133,'EECL Price List'!$A$12:$P$172,I$1,FALSE)=0,"",VLOOKUP($C133,'EECL Price List'!$A$12:$P$172,I$1,FALSE)),"")</f>
        <v/>
      </c>
    </row>
    <row r="134" spans="1:13" s="232" customFormat="1" ht="18.75" customHeight="1" x14ac:dyDescent="0.2">
      <c r="A134" s="242"/>
      <c r="B134" s="223">
        <v>98</v>
      </c>
      <c r="C134" s="221"/>
      <c r="D134" s="341"/>
      <c r="E134" s="234" t="str">
        <f>VLOOKUP(B134,'EECL Price List'!$A$12:$P$172,2,FALSE)</f>
        <v>Removal/rearrangement of public lighting assets</v>
      </c>
      <c r="F134" s="244" t="str">
        <f>IF(VLOOKUP($B134,'EECL Price List'!$A$12:$P$172,F$1,FALSE)=0,"",VLOOKUP($B134,'EECL Price List'!$A$12:$P$172,F$1,FALSE))</f>
        <v>As Quoted</v>
      </c>
      <c r="G134" s="244" t="str">
        <f>IF(VLOOKUP($B134,'EECL Price List'!$A$12:$P$172,G$1,FALSE)=0,"",VLOOKUP($B134,'EECL Price List'!$A$12:$P$172,G$1,FALSE))</f>
        <v/>
      </c>
      <c r="H134" s="244" t="str">
        <f>IF(VLOOKUP($B134,'EECL Price List'!$A$12:$P$172,H$1,FALSE)=0,"",VLOOKUP($B134,'EECL Price List'!$A$12:$P$172,H$1,FALSE))</f>
        <v/>
      </c>
      <c r="I134" s="244" t="str">
        <f>IF(VLOOKUP($B134,'EECL Price List'!$A$12:$P$172,I$1,FALSE)=0,"",VLOOKUP($B134,'EECL Price List'!$A$12:$P$172,I$1,FALSE))</f>
        <v/>
      </c>
      <c r="J134" s="244" t="s">
        <v>503</v>
      </c>
      <c r="K134" s="234" t="str">
        <f>IFERROR(IF(VLOOKUP($C134,'EECL Price List'!$A$12:$P$172,G$1,FALSE)=0,"",VLOOKUP($C134,'EECL Price List'!$A$12:$P$172,G$1,FALSE)),"")</f>
        <v/>
      </c>
      <c r="L134" s="234" t="str">
        <f>IFERROR(IF(VLOOKUP($C134,'EECL Price List'!$A$12:$P$172,H$1,FALSE)=0,"",VLOOKUP($C134,'EECL Price List'!$A$12:$P$172,H$1,FALSE)),"")</f>
        <v/>
      </c>
      <c r="M134" s="234" t="str">
        <f>IFERROR(IF(VLOOKUP($C134,'EECL Price List'!$A$12:$P$172,I$1,FALSE)=0,"",VLOOKUP($C134,'EECL Price List'!$A$12:$P$172,I$1,FALSE)),"")</f>
        <v/>
      </c>
    </row>
    <row r="135" spans="1:13" x14ac:dyDescent="0.2">
      <c r="B135" s="223">
        <v>100</v>
      </c>
      <c r="D135" s="343" t="s">
        <v>85</v>
      </c>
      <c r="E135" s="216" t="str">
        <f>VLOOKUP(B135,'EECL Price List'!$A$12:$P$172,2,FALSE)</f>
        <v>Primary service - Non-capital</v>
      </c>
      <c r="F135" s="246" t="str">
        <f>IF(VLOOKUP($B135,'EECL Price List'!$A$12:$P$172,F$1,FALSE)=0,"",VLOOKUP($B135,'EECL Price List'!$A$12:$P$172,F$1,FALSE))</f>
        <v>ACSMNCC</v>
      </c>
      <c r="G135" s="246" t="str">
        <f>IF(VLOOKUP($B135,'EECL Price List'!$A$12:$P$172,G$1,FALSE)=0,"",VLOOKUP($B135,'EECL Price List'!$A$12:$P$172,G$1,FALSE))</f>
        <v/>
      </c>
      <c r="H135" s="246" t="str">
        <f>IF(VLOOKUP($B135,'EECL Price List'!$A$12:$P$172,H$1,FALSE)=0,"",VLOOKUP($B135,'EECL Price List'!$A$12:$P$172,H$1,FALSE))</f>
        <v/>
      </c>
      <c r="I135" s="246" t="str">
        <f>IF(VLOOKUP($B135,'EECL Price List'!$A$12:$P$172,I$1,FALSE)=0,"",VLOOKUP($B135,'EECL Price List'!$A$12:$P$172,I$1,FALSE))</f>
        <v/>
      </c>
      <c r="J135" s="246"/>
      <c r="K135" s="235"/>
      <c r="L135" s="235"/>
      <c r="M135" s="216"/>
    </row>
    <row r="136" spans="1:13" x14ac:dyDescent="0.2">
      <c r="B136" s="223">
        <v>101</v>
      </c>
      <c r="D136" s="341"/>
      <c r="E136" s="215" t="str">
        <f>VLOOKUP(B136,'EECL Price List'!$A$12:$P$172,2,FALSE)</f>
        <v>Primary service - Capital</v>
      </c>
      <c r="F136" s="241" t="str">
        <f>IF(VLOOKUP($B136,'EECL Price List'!$A$12:$P$172,F$1,FALSE)=0,"",VLOOKUP($B136,'EECL Price List'!$A$12:$P$172,F$1,FALSE))</f>
        <v>ACSMCC</v>
      </c>
      <c r="G136" s="241" t="str">
        <f>IF(VLOOKUP($B136,'EECL Price List'!$A$12:$P$172,G$1,FALSE)=0,"",VLOOKUP($B136,'EECL Price List'!$A$12:$P$172,G$1,FALSE))</f>
        <v/>
      </c>
      <c r="H136" s="241" t="str">
        <f>IF(VLOOKUP($B136,'EECL Price List'!$A$12:$P$172,H$1,FALSE)=0,"",VLOOKUP($B136,'EECL Price List'!$A$12:$P$172,H$1,FALSE))</f>
        <v/>
      </c>
      <c r="I136" s="241" t="str">
        <f>IF(VLOOKUP($B136,'EECL Price List'!$A$12:$P$172,I$1,FALSE)=0,"",VLOOKUP($B136,'EECL Price List'!$A$12:$P$172,I$1,FALSE))</f>
        <v/>
      </c>
      <c r="J136" s="234"/>
      <c r="K136" s="234"/>
      <c r="L136" s="234"/>
      <c r="M136" s="215"/>
    </row>
    <row r="137" spans="1:13" x14ac:dyDescent="0.2">
      <c r="B137" s="223">
        <v>102</v>
      </c>
      <c r="D137" s="341"/>
      <c r="E137" s="215" t="str">
        <f>VLOOKUP(B137,'EECL Price List'!$A$12:$P$172,2,FALSE)</f>
        <v>Controlled load - Non-capital</v>
      </c>
      <c r="F137" s="241" t="str">
        <f>IF(VLOOKUP($B137,'EECL Price List'!$A$12:$P$172,F$1,FALSE)=0,"",VLOOKUP($B137,'EECL Price List'!$A$12:$P$172,F$1,FALSE))</f>
        <v>ACSMNCC</v>
      </c>
      <c r="G137" s="241" t="str">
        <f>IF(VLOOKUP($B137,'EECL Price List'!$A$12:$P$172,G$1,FALSE)=0,"",VLOOKUP($B137,'EECL Price List'!$A$12:$P$172,G$1,FALSE))</f>
        <v/>
      </c>
      <c r="H137" s="241" t="str">
        <f>IF(VLOOKUP($B137,'EECL Price List'!$A$12:$P$172,H$1,FALSE)=0,"",VLOOKUP($B137,'EECL Price List'!$A$12:$P$172,H$1,FALSE))</f>
        <v/>
      </c>
      <c r="I137" s="241" t="str">
        <f>IF(VLOOKUP($B137,'EECL Price List'!$A$12:$P$172,I$1,FALSE)=0,"",VLOOKUP($B137,'EECL Price List'!$A$12:$P$172,I$1,FALSE))</f>
        <v/>
      </c>
      <c r="J137" s="236"/>
      <c r="K137" s="236"/>
      <c r="L137" s="236"/>
      <c r="M137" s="217"/>
    </row>
    <row r="138" spans="1:13" x14ac:dyDescent="0.2">
      <c r="B138" s="223">
        <v>103</v>
      </c>
      <c r="D138" s="341"/>
      <c r="E138" s="215" t="str">
        <f>VLOOKUP(B138,'EECL Price List'!$A$12:$P$172,2,FALSE)</f>
        <v>Controlled load - Capital</v>
      </c>
      <c r="F138" s="241" t="str">
        <f>IF(VLOOKUP($B138,'EECL Price List'!$A$12:$P$172,F$1,FALSE)=0,"",VLOOKUP($B138,'EECL Price List'!$A$12:$P$172,F$1,FALSE))</f>
        <v>ACSMCC</v>
      </c>
      <c r="G138" s="241" t="str">
        <f>IF(VLOOKUP($B138,'EECL Price List'!$A$12:$P$172,G$1,FALSE)=0,"",VLOOKUP($B138,'EECL Price List'!$A$12:$P$172,G$1,FALSE))</f>
        <v/>
      </c>
      <c r="H138" s="241" t="str">
        <f>IF(VLOOKUP($B138,'EECL Price List'!$A$12:$P$172,H$1,FALSE)=0,"",VLOOKUP($B138,'EECL Price List'!$A$12:$P$172,H$1,FALSE))</f>
        <v/>
      </c>
      <c r="I138" s="241" t="str">
        <f>IF(VLOOKUP($B138,'EECL Price List'!$A$12:$P$172,I$1,FALSE)=0,"",VLOOKUP($B138,'EECL Price List'!$A$12:$P$172,I$1,FALSE))</f>
        <v/>
      </c>
      <c r="J138" s="237"/>
      <c r="K138" s="237"/>
      <c r="L138" s="237"/>
      <c r="M138" s="218"/>
    </row>
    <row r="139" spans="1:13" x14ac:dyDescent="0.2">
      <c r="B139" s="223">
        <v>104</v>
      </c>
      <c r="D139" s="341"/>
      <c r="E139" s="215" t="str">
        <f>VLOOKUP(B139,'EECL Price List'!$A$12:$P$172,2,FALSE)</f>
        <v>Embedded generation - Non-capital</v>
      </c>
      <c r="F139" s="241" t="str">
        <f>IF(VLOOKUP($B139,'EECL Price List'!$A$12:$P$172,F$1,FALSE)=0,"",VLOOKUP($B139,'EECL Price List'!$A$12:$P$172,F$1,FALSE))</f>
        <v>ACSMNCC</v>
      </c>
      <c r="G139" s="241" t="str">
        <f>IF(VLOOKUP($B139,'EECL Price List'!$A$12:$P$172,G$1,FALSE)=0,"",VLOOKUP($B139,'EECL Price List'!$A$12:$P$172,G$1,FALSE))</f>
        <v/>
      </c>
      <c r="H139" s="241" t="str">
        <f>IF(VLOOKUP($B139,'EECL Price List'!$A$12:$P$172,H$1,FALSE)=0,"",VLOOKUP($B139,'EECL Price List'!$A$12:$P$172,H$1,FALSE))</f>
        <v/>
      </c>
      <c r="I139" s="241" t="str">
        <f>IF(VLOOKUP($B139,'EECL Price List'!$A$12:$P$172,I$1,FALSE)=0,"",VLOOKUP($B139,'EECL Price List'!$A$12:$P$172,I$1,FALSE))</f>
        <v/>
      </c>
      <c r="J139" s="234"/>
      <c r="K139" s="234"/>
      <c r="L139" s="234"/>
      <c r="M139" s="215"/>
    </row>
    <row r="140" spans="1:13" x14ac:dyDescent="0.2">
      <c r="B140" s="223">
        <v>105</v>
      </c>
      <c r="D140" s="341"/>
      <c r="E140" s="215" t="str">
        <f>VLOOKUP(B140,'EECL Price List'!$A$12:$P$172,2,FALSE)</f>
        <v>Embedded generation - Capital</v>
      </c>
      <c r="F140" s="241" t="str">
        <f>IF(VLOOKUP($B140,'EECL Price List'!$A$12:$P$172,F$1,FALSE)=0,"",VLOOKUP($B140,'EECL Price List'!$A$12:$P$172,F$1,FALSE))</f>
        <v>ACSMCC</v>
      </c>
      <c r="G140" s="241" t="str">
        <f>IF(VLOOKUP($B140,'EECL Price List'!$A$12:$P$172,G$1,FALSE)=0,"",VLOOKUP($B140,'EECL Price List'!$A$12:$P$172,G$1,FALSE))</f>
        <v/>
      </c>
      <c r="H140" s="241" t="str">
        <f>IF(VLOOKUP($B140,'EECL Price List'!$A$12:$P$172,H$1,FALSE)=0,"",VLOOKUP($B140,'EECL Price List'!$A$12:$P$172,H$1,FALSE))</f>
        <v/>
      </c>
      <c r="I140" s="241" t="str">
        <f>IF(VLOOKUP($B140,'EECL Price List'!$A$12:$P$172,I$1,FALSE)=0,"",VLOOKUP($B140,'EECL Price List'!$A$12:$P$172,I$1,FALSE))</f>
        <v/>
      </c>
      <c r="J140" s="236"/>
      <c r="K140" s="236"/>
      <c r="L140" s="236"/>
      <c r="M140" s="217"/>
    </row>
    <row r="141" spans="1:13" x14ac:dyDescent="0.2">
      <c r="B141" s="223" t="s">
        <v>336</v>
      </c>
      <c r="D141" s="341"/>
      <c r="E141" s="215" t="str">
        <f>VLOOKUP(B141,'EECL Price List'!$A$12:$P$172,2,FALSE)</f>
        <v>Call out fee for Final Meter Read – urban/short rural feeder</v>
      </c>
      <c r="F141" s="241"/>
      <c r="G141" s="241"/>
      <c r="H141" s="241"/>
      <c r="I141" s="241"/>
      <c r="J141" s="241" t="str">
        <f>IF(VLOOKUP($B141,'EECL Price List'!$A$12:$P$172,F$1,FALSE)=0,"",VLOOKUP($B141,'EECL Price List'!$A$12:$P$172,F$1,FALSE))</f>
        <v>CFFMTRRDU</v>
      </c>
      <c r="K141" s="241" t="str">
        <f>IF(VLOOKUP($B141,'EECL Price List'!$A$12:$P$172,G$1,FALSE)=0,"",VLOOKUP($B141,'EECL Price List'!$A$12:$P$172,G$1,FALSE))</f>
        <v>CFFMTRRDS</v>
      </c>
      <c r="L141" s="241" t="str">
        <f>IF(VLOOKUP($B141,'EECL Price List'!$A$12:$P$172,H$1,FALSE)=0,"",VLOOKUP($B141,'EECL Price List'!$A$12:$P$172,H$1,FALSE))</f>
        <v/>
      </c>
      <c r="M141" s="241" t="str">
        <f>IF(VLOOKUP($B141,'EECL Price List'!$A$12:$P$172,I$1,FALSE)=0,"",VLOOKUP($B141,'EECL Price List'!$A$12:$P$172,I$1,FALSE))</f>
        <v/>
      </c>
    </row>
    <row r="142" spans="1:13" ht="15.75" customHeight="1" x14ac:dyDescent="0.2">
      <c r="B142" s="223" t="s">
        <v>339</v>
      </c>
      <c r="D142" s="341"/>
      <c r="E142" s="215" t="str">
        <f>VLOOKUP(B142,'EECL Price List'!$A$12:$P$172,2,FALSE)</f>
        <v>Call out fee for Final Meter Read – long rural/isolated feeder</v>
      </c>
      <c r="F142" s="241"/>
      <c r="G142" s="241"/>
      <c r="H142" s="241"/>
      <c r="I142" s="241"/>
      <c r="J142" s="241" t="str">
        <f>IF(VLOOKUP($B142,'EECL Price List'!$A$12:$P$172,F$1,FALSE)=0,"",VLOOKUP($B142,'EECL Price List'!$A$12:$P$172,F$1,FALSE))</f>
        <v/>
      </c>
      <c r="K142" s="241" t="str">
        <f>IF(VLOOKUP($B142,'EECL Price List'!$A$12:$P$172,G$1,FALSE)=0,"",VLOOKUP($B142,'EECL Price List'!$A$12:$P$172,G$1,FALSE))</f>
        <v/>
      </c>
      <c r="L142" s="241" t="str">
        <f>IF(VLOOKUP($B142,'EECL Price List'!$A$12:$P$172,H$1,FALSE)=0,"",VLOOKUP($B142,'EECL Price List'!$A$12:$P$172,H$1,FALSE))</f>
        <v>CFFMTRRDL</v>
      </c>
      <c r="M142" s="241" t="str">
        <f>IF(VLOOKUP($B142,'EECL Price List'!$A$12:$P$172,I$1,FALSE)=0,"",VLOOKUP($B142,'EECL Price List'!$A$12:$P$172,I$1,FALSE))</f>
        <v>CFFMTRRDI</v>
      </c>
    </row>
    <row r="143" spans="1:13" x14ac:dyDescent="0.2">
      <c r="B143" s="223">
        <v>130</v>
      </c>
      <c r="D143" s="343" t="s">
        <v>84</v>
      </c>
      <c r="E143" s="245" t="str">
        <f>VLOOKUP(B143,'EECL Price List'!$A$12:$P$172,2,FALSE)</f>
        <v>EO&amp;O - Major</v>
      </c>
      <c r="F143" s="245" t="str">
        <f>IF(VLOOKUP($B143,'EECL Price List'!$A$12:$P$172,F$1,FALSE)=0,"",VLOOKUP($B143,'EECL Price List'!$A$12:$P$172,F$1,FALSE))</f>
        <v>ACSEOOMA</v>
      </c>
      <c r="G143" s="245" t="str">
        <f>IF(VLOOKUP($B143,'EECL Price List'!$A$12:$P$172,G$1,FALSE)=0,"",VLOOKUP($B143,'EECL Price List'!$A$12:$P$172,G$1,FALSE))</f>
        <v/>
      </c>
      <c r="H143" s="245" t="str">
        <f>IF(VLOOKUP($B143,'EECL Price List'!$A$12:$P$172,H$1,FALSE)=0,"",VLOOKUP($B143,'EECL Price List'!$A$12:$P$172,H$1,FALSE))</f>
        <v/>
      </c>
      <c r="I143" s="245" t="str">
        <f>IF(VLOOKUP($B143,'EECL Price List'!$A$12:$P$172,I$1,FALSE)=0,"",VLOOKUP($B143,'EECL Price List'!$A$12:$P$172,I$1,FALSE))</f>
        <v/>
      </c>
      <c r="J143" s="235"/>
      <c r="K143" s="235"/>
      <c r="L143" s="235"/>
      <c r="M143" s="216"/>
    </row>
    <row r="144" spans="1:13" x14ac:dyDescent="0.2">
      <c r="B144" s="223">
        <v>131</v>
      </c>
      <c r="D144" s="341"/>
      <c r="E144" s="243" t="str">
        <f>VLOOKUP(B144,'EECL Price List'!$A$12:$P$172,2,FALSE)</f>
        <v>EO&amp;O - Minor</v>
      </c>
      <c r="F144" s="243" t="str">
        <f>IF(VLOOKUP($B144,'EECL Price List'!$A$12:$P$172,F$1,FALSE)=0,"",VLOOKUP($B144,'EECL Price List'!$A$12:$P$172,F$1,FALSE))</f>
        <v>ACSEOOMI</v>
      </c>
      <c r="G144" s="243" t="str">
        <f>IF(VLOOKUP($B144,'EECL Price List'!$A$12:$P$172,G$1,FALSE)=0,"",VLOOKUP($B144,'EECL Price List'!$A$12:$P$172,G$1,FALSE))</f>
        <v/>
      </c>
      <c r="H144" s="243" t="str">
        <f>IF(VLOOKUP($B144,'EECL Price List'!$A$12:$P$172,H$1,FALSE)=0,"",VLOOKUP($B144,'EECL Price List'!$A$12:$P$172,H$1,FALSE))</f>
        <v/>
      </c>
      <c r="I144" s="243" t="str">
        <f>IF(VLOOKUP($B144,'EECL Price List'!$A$12:$P$172,I$1,FALSE)=0,"",VLOOKUP($B144,'EECL Price List'!$A$12:$P$172,I$1,FALSE))</f>
        <v/>
      </c>
      <c r="J144" s="234"/>
      <c r="K144" s="234"/>
      <c r="L144" s="234"/>
      <c r="M144" s="215"/>
    </row>
    <row r="145" spans="2:14" x14ac:dyDescent="0.2">
      <c r="B145" s="223">
        <v>132</v>
      </c>
      <c r="D145" s="341"/>
      <c r="E145" s="243" t="str">
        <f>VLOOKUP(B145,'EECL Price List'!$A$12:$P$172,2,FALSE)</f>
        <v>G&amp;EO - Major</v>
      </c>
      <c r="F145" s="243" t="str">
        <f>IF(VLOOKUP($B145,'EECL Price List'!$A$12:$P$172,F$1,FALSE)=0,"",VLOOKUP($B145,'EECL Price List'!$A$12:$P$172,F$1,FALSE))</f>
        <v>ACSGEOMA</v>
      </c>
      <c r="G145" s="243" t="str">
        <f>IF(VLOOKUP($B145,'EECL Price List'!$A$12:$P$172,G$1,FALSE)=0,"",VLOOKUP($B145,'EECL Price List'!$A$12:$P$172,G$1,FALSE))</f>
        <v/>
      </c>
      <c r="H145" s="243" t="str">
        <f>IF(VLOOKUP($B145,'EECL Price List'!$A$12:$P$172,H$1,FALSE)=0,"",VLOOKUP($B145,'EECL Price List'!$A$12:$P$172,H$1,FALSE))</f>
        <v/>
      </c>
      <c r="I145" s="243" t="str">
        <f>IF(VLOOKUP($B145,'EECL Price List'!$A$12:$P$172,I$1,FALSE)=0,"",VLOOKUP($B145,'EECL Price List'!$A$12:$P$172,I$1,FALSE))</f>
        <v/>
      </c>
      <c r="J145" s="236"/>
      <c r="K145" s="236"/>
      <c r="L145" s="236"/>
      <c r="M145" s="217"/>
    </row>
    <row r="146" spans="2:14" x14ac:dyDescent="0.2">
      <c r="B146" s="223">
        <v>133</v>
      </c>
      <c r="D146" s="341"/>
      <c r="E146" s="243" t="str">
        <f>VLOOKUP(B146,'EECL Price List'!$A$12:$P$172,2,FALSE)</f>
        <v>G&amp;EO - Minor</v>
      </c>
      <c r="F146" s="243" t="str">
        <f>IF(VLOOKUP($B146,'EECL Price List'!$A$12:$P$172,F$1,FALSE)=0,"",VLOOKUP($B146,'EECL Price List'!$A$12:$P$172,F$1,FALSE))</f>
        <v>ACSGEOMI</v>
      </c>
      <c r="G146" s="243" t="str">
        <f>IF(VLOOKUP($B146,'EECL Price List'!$A$12:$P$172,G$1,FALSE)=0,"",VLOOKUP($B146,'EECL Price List'!$A$12:$P$172,G$1,FALSE))</f>
        <v/>
      </c>
      <c r="H146" s="243" t="str">
        <f>IF(VLOOKUP($B146,'EECL Price List'!$A$12:$P$172,H$1,FALSE)=0,"",VLOOKUP($B146,'EECL Price List'!$A$12:$P$172,H$1,FALSE))</f>
        <v/>
      </c>
      <c r="I146" s="243" t="str">
        <f>IF(VLOOKUP($B146,'EECL Price List'!$A$12:$P$172,I$1,FALSE)=0,"",VLOOKUP($B146,'EECL Price List'!$A$12:$P$172,I$1,FALSE))</f>
        <v/>
      </c>
      <c r="J146" s="237"/>
      <c r="K146" s="237"/>
      <c r="L146" s="237"/>
      <c r="M146" s="218"/>
    </row>
    <row r="147" spans="2:14" x14ac:dyDescent="0.2">
      <c r="B147" s="223">
        <v>134</v>
      </c>
      <c r="D147" s="341"/>
      <c r="E147" s="243" t="str">
        <f>VLOOKUP(B147,'EECL Price List'!$A$12:$P$172,2,FALSE)</f>
        <v>EO&amp;O - Major - Exit Fee</v>
      </c>
      <c r="F147" s="243" t="str">
        <f>IF(VLOOKUP($B147,'EECL Price List'!$A$12:$P$172,F$1,FALSE)=0,"",VLOOKUP($B147,'EECL Price List'!$A$12:$P$172,F$1,FALSE))</f>
        <v>EOOMAEXT</v>
      </c>
      <c r="G147" s="243" t="str">
        <f>IF(VLOOKUP($B147,'EECL Price List'!$A$12:$P$172,G$1,FALSE)=0,"",VLOOKUP($B147,'EECL Price List'!$A$12:$P$172,G$1,FALSE))</f>
        <v/>
      </c>
      <c r="H147" s="243" t="str">
        <f>IF(VLOOKUP($B147,'EECL Price List'!$A$12:$P$172,H$1,FALSE)=0,"",VLOOKUP($B147,'EECL Price List'!$A$12:$P$172,H$1,FALSE))</f>
        <v/>
      </c>
      <c r="I147" s="243" t="str">
        <f>IF(VLOOKUP($B147,'EECL Price List'!$A$12:$P$172,I$1,FALSE)=0,"",VLOOKUP($B147,'EECL Price List'!$A$12:$P$172,I$1,FALSE))</f>
        <v/>
      </c>
      <c r="J147" s="234"/>
      <c r="K147" s="234"/>
      <c r="L147" s="234"/>
      <c r="M147" s="215"/>
    </row>
    <row r="148" spans="2:14" x14ac:dyDescent="0.2">
      <c r="B148" s="223">
        <v>135</v>
      </c>
      <c r="D148" s="341"/>
      <c r="E148" s="243" t="str">
        <f>VLOOKUP(B148,'EECL Price List'!$A$12:$P$172,2,FALSE)</f>
        <v>EO&amp;O - Minor - Exit Fee</v>
      </c>
      <c r="F148" s="243" t="str">
        <f>IF(VLOOKUP($B148,'EECL Price List'!$A$12:$P$172,F$1,FALSE)=0,"",VLOOKUP($B148,'EECL Price List'!$A$12:$P$172,F$1,FALSE))</f>
        <v>EOOMIEXT</v>
      </c>
      <c r="G148" s="243" t="str">
        <f>IF(VLOOKUP($B148,'EECL Price List'!$A$12:$P$172,G$1,FALSE)=0,"",VLOOKUP($B148,'EECL Price List'!$A$12:$P$172,G$1,FALSE))</f>
        <v/>
      </c>
      <c r="H148" s="243" t="str">
        <f>IF(VLOOKUP($B148,'EECL Price List'!$A$12:$P$172,H$1,FALSE)=0,"",VLOOKUP($B148,'EECL Price List'!$A$12:$P$172,H$1,FALSE))</f>
        <v/>
      </c>
      <c r="I148" s="243" t="str">
        <f>IF(VLOOKUP($B148,'EECL Price List'!$A$12:$P$172,I$1,FALSE)=0,"",VLOOKUP($B148,'EECL Price List'!$A$12:$P$172,I$1,FALSE))</f>
        <v/>
      </c>
      <c r="J148" s="236"/>
      <c r="K148" s="236"/>
      <c r="L148" s="236"/>
      <c r="M148" s="217"/>
    </row>
    <row r="149" spans="2:14" x14ac:dyDescent="0.2">
      <c r="B149" s="223">
        <v>136</v>
      </c>
      <c r="D149" s="341"/>
      <c r="E149" s="243" t="str">
        <f>VLOOKUP(B149,'EECL Price List'!$A$12:$P$172,2,FALSE)</f>
        <v>G&amp;EO - Major - Exit Fee</v>
      </c>
      <c r="F149" s="243" t="str">
        <f>IF(VLOOKUP($B149,'EECL Price List'!$A$12:$P$172,F$1,FALSE)=0,"",VLOOKUP($B149,'EECL Price List'!$A$12:$P$172,F$1,FALSE))</f>
        <v>GEOMAEXT</v>
      </c>
      <c r="G149" s="243" t="str">
        <f>IF(VLOOKUP($B149,'EECL Price List'!$A$12:$P$172,G$1,FALSE)=0,"",VLOOKUP($B149,'EECL Price List'!$A$12:$P$172,G$1,FALSE))</f>
        <v/>
      </c>
      <c r="H149" s="243" t="str">
        <f>IF(VLOOKUP($B149,'EECL Price List'!$A$12:$P$172,H$1,FALSE)=0,"",VLOOKUP($B149,'EECL Price List'!$A$12:$P$172,H$1,FALSE))</f>
        <v/>
      </c>
      <c r="I149" s="243" t="str">
        <f>IF(VLOOKUP($B149,'EECL Price List'!$A$12:$P$172,I$1,FALSE)=0,"",VLOOKUP($B149,'EECL Price List'!$A$12:$P$172,I$1,FALSE))</f>
        <v/>
      </c>
      <c r="J149" s="237"/>
      <c r="K149" s="237"/>
      <c r="L149" s="237"/>
      <c r="M149" s="218"/>
    </row>
    <row r="150" spans="2:14" ht="17.25" customHeight="1" x14ac:dyDescent="0.2">
      <c r="B150" s="223">
        <v>137</v>
      </c>
      <c r="D150" s="342"/>
      <c r="E150" s="244" t="str">
        <f>VLOOKUP(B150,'EECL Price List'!$A$12:$P$172,2,FALSE)</f>
        <v>G&amp;EO - Minor - Exit Fee</v>
      </c>
      <c r="F150" s="244" t="str">
        <f>IF(VLOOKUP($B150,'EECL Price List'!$A$12:$P$172,F$1,FALSE)=0,"",VLOOKUP($B150,'EECL Price List'!$A$12:$P$172,F$1,FALSE))</f>
        <v>GEOMIEXT</v>
      </c>
      <c r="G150" s="244" t="str">
        <f>IF(VLOOKUP($B150,'EECL Price List'!$A$12:$P$172,G$1,FALSE)=0,"",VLOOKUP($B150,'EECL Price List'!$A$12:$P$172,G$1,FALSE))</f>
        <v/>
      </c>
      <c r="H150" s="244" t="str">
        <f>IF(VLOOKUP($B150,'EECL Price List'!$A$12:$P$172,H$1,FALSE)=0,"",VLOOKUP($B150,'EECL Price List'!$A$12:$P$172,H$1,FALSE))</f>
        <v/>
      </c>
      <c r="I150" s="244" t="str">
        <f>IF(VLOOKUP($B150,'EECL Price List'!$A$12:$P$172,I$1,FALSE)=0,"",VLOOKUP($B150,'EECL Price List'!$A$12:$P$172,I$1,FALSE))</f>
        <v/>
      </c>
      <c r="J150" s="244"/>
      <c r="K150" s="244"/>
      <c r="L150" s="244"/>
      <c r="M150" s="244"/>
      <c r="N150" s="226"/>
    </row>
    <row r="153" spans="2:14" x14ac:dyDescent="0.2">
      <c r="D153" s="219" t="s">
        <v>504</v>
      </c>
      <c r="E153" s="219" t="s">
        <v>505</v>
      </c>
    </row>
  </sheetData>
  <mergeCells count="10">
    <mergeCell ref="D10:D42"/>
    <mergeCell ref="D43:D75"/>
    <mergeCell ref="D76:D134"/>
    <mergeCell ref="D135:D142"/>
    <mergeCell ref="D143:D150"/>
    <mergeCell ref="E8:E9"/>
    <mergeCell ref="D8:D9"/>
    <mergeCell ref="F9:I9"/>
    <mergeCell ref="F8:M8"/>
    <mergeCell ref="J9:M9"/>
  </mergeCells>
  <pageMargins left="0.70866141732283472" right="0.70866141732283472" top="0.74803149606299213" bottom="0.74803149606299213" header="0.31496062992125984" footer="0.31496062992125984"/>
  <pageSetup paperSize="9" scale="52" fitToHeight="0" orientation="landscape" r:id="rId1"/>
  <headerFooter>
    <oddHeader>&amp;A</oddHeader>
    <oddFooter>&amp;L2017-18 Network Tariff Tables&amp;C&amp;P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EECL Price List</vt:lpstr>
      <vt:lpstr>ACS Tariff classes &amp; tariffs</vt:lpstr>
      <vt:lpstr>'EECL Price List'!Print_Area</vt:lpstr>
      <vt:lpstr>'EECL Price List'!Print_Titles</vt:lpstr>
    </vt:vector>
  </TitlesOfParts>
  <Company>Ergon Energy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INFORMATION ABOUT 2017-18 PRICE LIST FOR ACS</dc:title>
  <dc:creator>Terri Mitchell</dc:creator>
  <cp:lastModifiedBy>kmcglash</cp:lastModifiedBy>
  <cp:lastPrinted>2017-05-31T02:06:29Z</cp:lastPrinted>
  <dcterms:created xsi:type="dcterms:W3CDTF">2009-05-29T06:42:49Z</dcterms:created>
  <dcterms:modified xsi:type="dcterms:W3CDTF">2017-06-30T05:45:30Z</dcterms:modified>
</cp:coreProperties>
</file>