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showInkAnnotation="0" defaultThemeVersion="124226"/>
  <bookViews>
    <workbookView xWindow="14820" yWindow="-195" windowWidth="15105" windowHeight="15480" tabRatio="861" activeTab="7"/>
  </bookViews>
  <sheets>
    <sheet name="CAC Tariff Rates" sheetId="20" r:id="rId1"/>
    <sheet name="SAC Large Tariff Rates" sheetId="21" r:id="rId2"/>
    <sheet name="SAC Small Tariff Rates" sheetId="22" r:id="rId3"/>
    <sheet name="SAC Unmetered Rates" sheetId="23" r:id="rId4"/>
    <sheet name="DLFs" sheetId="19" r:id="rId5"/>
    <sheet name="Additional MEG NTCs" sheetId="13" r:id="rId6"/>
    <sheet name="List of Network Tariff Codes" sheetId="14" r:id="rId7"/>
    <sheet name="ACS Price List" sheetId="17" r:id="rId8"/>
    <sheet name="ACS Tariff classes &amp; tariffs" sheetId="18" r:id="rId9"/>
  </sheets>
  <definedNames>
    <definedName name="_xlnm._FilterDatabase" localSheetId="7" hidden="1">'ACS Price List'!$A$7:$Q$177</definedName>
    <definedName name="_xlnm._FilterDatabase" localSheetId="0" hidden="1">'CAC Tariff Rates'!#REF!</definedName>
    <definedName name="_Order1" hidden="1">0</definedName>
    <definedName name="anscount" hidden="1">1</definedName>
    <definedName name="limcount" hidden="1">1</definedName>
    <definedName name="_xlnm.Print_Area" localSheetId="7">'ACS Price List'!$A$1:$Q$185</definedName>
    <definedName name="_xlnm.Print_Area" localSheetId="8">'ACS Tariff classes &amp; tariffs'!$B$1:$O$163</definedName>
    <definedName name="_xlnm.Print_Area" localSheetId="5">'Additional MEG NTCs'!$C$1:$K$29</definedName>
    <definedName name="_xlnm.Print_Area" localSheetId="0">'CAC Tariff Rates'!$C$1:$R$74</definedName>
    <definedName name="_xlnm.Print_Area" localSheetId="4">DLFs!$C$1:$I$93</definedName>
    <definedName name="_xlnm.Print_Area" localSheetId="6">'List of Network Tariff Codes'!$C$1:$H$103</definedName>
    <definedName name="_xlnm.Print_Area" localSheetId="1">'SAC Large Tariff Rates'!$C$1:$V$130</definedName>
    <definedName name="_xlnm.Print_Area" localSheetId="2">'SAC Small Tariff Rates'!$C$1:$T$295</definedName>
    <definedName name="_xlnm.Print_Area" localSheetId="3">'SAC Unmetered Rates'!$C$1:$K$36</definedName>
    <definedName name="sencount" hidden="1">1</definedName>
    <definedName name="Z_07999215_E707_4069_97E5_2B85A5FC3024_.wvu.PrintArea" localSheetId="5" hidden="1">'Additional MEG NTCs'!$C$6:$K$10</definedName>
    <definedName name="Z_07999215_E707_4069_97E5_2B85A5FC3024_.wvu.PrintArea" localSheetId="1" hidden="1">'SAC Large Tariff Rates'!$C$38:$S$154</definedName>
    <definedName name="Z_07999215_E707_4069_97E5_2B85A5FC3024_.wvu.PrintArea" localSheetId="2" hidden="1">'SAC Small Tariff Rates'!$C$59:$M$124</definedName>
    <definedName name="Z_07999215_E707_4069_97E5_2B85A5FC3024_.wvu.PrintArea" localSheetId="3" hidden="1">'SAC Unmetered Rates'!$C$7:$L$43</definedName>
    <definedName name="Z_D030C3FE_CD3A_49B5_AF62_7457EF741067_.wvu.PrintArea" localSheetId="5" hidden="1">'Additional MEG NTCs'!$C$6:$K$10</definedName>
    <definedName name="Z_D030C3FE_CD3A_49B5_AF62_7457EF741067_.wvu.PrintArea" localSheetId="1" hidden="1">'SAC Large Tariff Rates'!$C$38:$S$154</definedName>
    <definedName name="Z_D030C3FE_CD3A_49B5_AF62_7457EF741067_.wvu.PrintArea" localSheetId="2" hidden="1">'SAC Small Tariff Rates'!$C$59:$M$124</definedName>
    <definedName name="Z_D030C3FE_CD3A_49B5_AF62_7457EF741067_.wvu.PrintArea" localSheetId="3" hidden="1">'SAC Unmetered Rates'!$C$7:$L$43</definedName>
    <definedName name="Z_FB458C62_3D77_4EB6_93BC_1C1381A8DB8D_.wvu.PrintArea" localSheetId="7" hidden="1">'ACS Price List'!$A$1:$N$178</definedName>
    <definedName name="Z_FB458C62_3D77_4EB6_93BC_1C1381A8DB8D_.wvu.PrintTitles" localSheetId="7" hidden="1">'ACS Price List'!$1:$8</definedName>
    <definedName name="Z_FB458C62_3D77_4EB6_93BC_1C1381A8DB8D_.wvu.Rows" localSheetId="7" hidden="1">'ACS Price List'!#REF!</definedName>
  </definedNames>
  <calcPr calcId="145621"/>
</workbook>
</file>

<file path=xl/calcChain.xml><?xml version="1.0" encoding="utf-8"?>
<calcChain xmlns="http://schemas.openxmlformats.org/spreadsheetml/2006/main">
  <c r="J177" i="17" l="1"/>
  <c r="J176" i="17"/>
  <c r="J175" i="17"/>
  <c r="J174" i="17"/>
  <c r="L167" i="17"/>
  <c r="J170" i="17"/>
  <c r="J169" i="17"/>
  <c r="J168" i="17"/>
  <c r="J167" i="17"/>
  <c r="J165" i="17"/>
  <c r="L163" i="17"/>
  <c r="J164" i="17"/>
  <c r="J163" i="17"/>
  <c r="J162" i="17"/>
  <c r="J161" i="17"/>
  <c r="J160" i="17"/>
  <c r="L158" i="17"/>
  <c r="J157" i="17"/>
  <c r="L137" i="17"/>
  <c r="L136" i="17"/>
  <c r="J136" i="17"/>
  <c r="J135" i="17"/>
  <c r="L135" i="17"/>
  <c r="J137" i="17"/>
  <c r="L133" i="17"/>
  <c r="J133" i="17"/>
  <c r="L131" i="17"/>
  <c r="L134" i="17"/>
  <c r="L132" i="17"/>
  <c r="L130" i="17"/>
  <c r="J134" i="17"/>
  <c r="J132" i="17"/>
  <c r="J131" i="17"/>
  <c r="J130" i="17"/>
  <c r="L129" i="17"/>
  <c r="J129" i="17"/>
  <c r="L128" i="17"/>
  <c r="J128" i="17"/>
  <c r="L127" i="17"/>
  <c r="J127" i="17"/>
  <c r="L126" i="17"/>
  <c r="J126" i="17"/>
  <c r="L125" i="17"/>
  <c r="J125" i="17"/>
  <c r="L123" i="17"/>
  <c r="L124" i="17"/>
  <c r="J123" i="17"/>
  <c r="L122" i="17"/>
  <c r="J122" i="17"/>
  <c r="L121" i="17"/>
  <c r="J121" i="17"/>
  <c r="L120" i="17"/>
  <c r="J118" i="17"/>
  <c r="L119" i="17"/>
  <c r="J119" i="17"/>
  <c r="L118" i="17"/>
  <c r="L117" i="17"/>
  <c r="J117" i="17"/>
  <c r="L115" i="17"/>
  <c r="L114" i="17"/>
  <c r="J113" i="17"/>
  <c r="L175" i="17" l="1"/>
  <c r="L176" i="17"/>
  <c r="L174" i="17"/>
  <c r="L177" i="17"/>
  <c r="L168" i="17"/>
  <c r="L169" i="17"/>
  <c r="L170" i="17"/>
  <c r="L160" i="17"/>
  <c r="L164" i="17"/>
  <c r="L161" i="17"/>
  <c r="J124" i="17"/>
  <c r="J120" i="17"/>
  <c r="L162" i="17" l="1"/>
  <c r="L165" i="17"/>
  <c r="J112" i="17"/>
  <c r="L111" i="17"/>
  <c r="L110" i="17"/>
  <c r="J109" i="17"/>
  <c r="J108" i="17"/>
  <c r="L107" i="17"/>
  <c r="L106" i="17"/>
  <c r="J105" i="17"/>
  <c r="J104" i="17"/>
  <c r="L103" i="17"/>
  <c r="L102" i="17"/>
  <c r="J101" i="17"/>
  <c r="J100" i="17"/>
  <c r="L63" i="17"/>
  <c r="L81" i="17"/>
  <c r="J81" i="17"/>
  <c r="L62" i="17"/>
  <c r="L61" i="17"/>
  <c r="J59" i="17" l="1"/>
  <c r="J60" i="17"/>
  <c r="J58" i="17"/>
  <c r="L57" i="17"/>
  <c r="L56" i="17"/>
  <c r="L55" i="17"/>
  <c r="J54" i="17"/>
  <c r="J53" i="17"/>
  <c r="J52" i="17"/>
  <c r="L51" i="17"/>
  <c r="L50" i="17"/>
  <c r="J49" i="17"/>
  <c r="J48" i="17"/>
  <c r="L47" i="17"/>
  <c r="J47" i="17"/>
  <c r="L46" i="17"/>
  <c r="L45" i="17"/>
  <c r="J44" i="17" l="1"/>
  <c r="J43" i="17"/>
  <c r="L36" i="17"/>
  <c r="J36" i="17"/>
  <c r="J29" i="17"/>
  <c r="L30" i="17"/>
  <c r="L35" i="17"/>
  <c r="L34" i="17"/>
  <c r="J33" i="17"/>
  <c r="J32" i="17"/>
  <c r="L31" i="17"/>
  <c r="J28" i="17"/>
  <c r="L15" i="17"/>
  <c r="J15" i="17"/>
  <c r="L14" i="17"/>
  <c r="J14" i="17"/>
  <c r="L13" i="17"/>
  <c r="J13" i="17"/>
  <c r="L12" i="17"/>
  <c r="J12" i="17"/>
  <c r="L11" i="17"/>
  <c r="J11" i="17"/>
  <c r="R160" i="18" l="1"/>
  <c r="R11" i="18" l="1"/>
  <c r="R81" i="18"/>
  <c r="R142" i="18"/>
  <c r="R150" i="18"/>
  <c r="R46" i="18"/>
  <c r="R165" i="18" l="1"/>
</calcChain>
</file>

<file path=xl/sharedStrings.xml><?xml version="1.0" encoding="utf-8"?>
<sst xmlns="http://schemas.openxmlformats.org/spreadsheetml/2006/main" count="4946" uniqueCount="1782">
  <si>
    <t xml:space="preserve">                      Ergon Energy Corporation Limited</t>
  </si>
  <si>
    <t>DLF</t>
  </si>
  <si>
    <t>Network Tariff Code</t>
  </si>
  <si>
    <t>Fixed Charge
(NDFC)</t>
  </si>
  <si>
    <t>Capacity Charge
(NDKVACC)</t>
  </si>
  <si>
    <t>Actual Demand Charge
(NDKVAADC)</t>
  </si>
  <si>
    <t>Volume Charge
(NDVC)</t>
  </si>
  <si>
    <t>Excess Reactive Power Charge (NDERPC)</t>
  </si>
  <si>
    <t>Fixed Charge
(NTFC)</t>
  </si>
  <si>
    <t>Capacity Charge
(NTKVACC)</t>
  </si>
  <si>
    <t>Volume Charge
(NTVC)</t>
  </si>
  <si>
    <t>Value</t>
  </si>
  <si>
    <t>Code</t>
  </si>
  <si>
    <t>$/day</t>
  </si>
  <si>
    <t>$/kVA of AD/month</t>
  </si>
  <si>
    <t>$/kVA /month</t>
  </si>
  <si>
    <t>$/kWh</t>
  </si>
  <si>
    <t>Connection Unit Charge (NDCUC)</t>
  </si>
  <si>
    <t>Volume Charge
Off-Peak
(NDVCOP)</t>
  </si>
  <si>
    <t>$/day per  connection unit</t>
  </si>
  <si>
    <t>$/kVA of AD per month</t>
  </si>
  <si>
    <t>$/excess kVAr per month</t>
  </si>
  <si>
    <t>kW</t>
  </si>
  <si>
    <t xml:space="preserve">                       Ergon Energy Corporation Limited</t>
  </si>
  <si>
    <t>Tariff Group</t>
  </si>
  <si>
    <t>Tariff</t>
  </si>
  <si>
    <t>Default Distribution Loss Factor</t>
  </si>
  <si>
    <t>Distribution Use Of System (DUOS)</t>
  </si>
  <si>
    <t>Transmission Use Of System (TUOS)</t>
  </si>
  <si>
    <t>Jurisdictional Scheme Charge</t>
  </si>
  <si>
    <t>Excess Reactive Power Charge</t>
  </si>
  <si>
    <t>Capacity Charge (NTKVACC)</t>
  </si>
  <si>
    <t>Fixed Charge (JSCF)</t>
  </si>
  <si>
    <t>Volume Charge (JSCV)</t>
  </si>
  <si>
    <t>$/day per connection unit</t>
  </si>
  <si>
    <t>CAC 66kV</t>
  </si>
  <si>
    <t>East CAC 66kV TUOS Region 1</t>
  </si>
  <si>
    <t>EC66T1</t>
  </si>
  <si>
    <t>site specific</t>
  </si>
  <si>
    <t>East CAC 66kV TUOS Region 2</t>
  </si>
  <si>
    <t>EC66T2</t>
  </si>
  <si>
    <t>East CAC 66kV TUOS Region 3</t>
  </si>
  <si>
    <t>EC66T3</t>
  </si>
  <si>
    <t>West CAC 66kV TUOS Region 1</t>
  </si>
  <si>
    <t>WC66T1</t>
  </si>
  <si>
    <t>West CAC 66kV TUOS Region 2</t>
  </si>
  <si>
    <t>WC66T2</t>
  </si>
  <si>
    <t>West CAC 66kVTUOS Region 3</t>
  </si>
  <si>
    <t>WC66T3</t>
  </si>
  <si>
    <t>Mount Isa CAC 66kV TUOS Region 4</t>
  </si>
  <si>
    <t>MC66T4</t>
  </si>
  <si>
    <t>CAC 33kV</t>
  </si>
  <si>
    <t>East CAC 33kVTUOS Region 1</t>
  </si>
  <si>
    <t>EC33T1</t>
  </si>
  <si>
    <t>East CAC 33kV TUOS Region 2</t>
  </si>
  <si>
    <t>EC33T2</t>
  </si>
  <si>
    <t>East CAC 33kV TUOS Region 3</t>
  </si>
  <si>
    <t>EC33T3</t>
  </si>
  <si>
    <t>West CAC 33kV TUOS Region 1</t>
  </si>
  <si>
    <t>WC33T1</t>
  </si>
  <si>
    <t>West CAC 33kV TUOS Region 2</t>
  </si>
  <si>
    <t>WC33T2</t>
  </si>
  <si>
    <t>West CAC 33kV TUOS Region 3</t>
  </si>
  <si>
    <t>WC33T3</t>
  </si>
  <si>
    <t>Mount Isa CAC 33kV TUOS Region 4</t>
  </si>
  <si>
    <t>MC33T4</t>
  </si>
  <si>
    <t>CAC 22 - 11 kV Bus</t>
  </si>
  <si>
    <t>East CAC 22/11kV Bus TUOS Region 1</t>
  </si>
  <si>
    <t>EC22BT1</t>
  </si>
  <si>
    <t>East CAC 22/11kV Bus TUOS Region 2</t>
  </si>
  <si>
    <t>EC22BT2</t>
  </si>
  <si>
    <t>East CAC 22/11kV Bus TUOS Region 3</t>
  </si>
  <si>
    <t>EC22BT3</t>
  </si>
  <si>
    <t>West CAC 22/11kV Bus TUOS Region 1</t>
  </si>
  <si>
    <t>WC22BT1</t>
  </si>
  <si>
    <t>West CAC 22/11kV Bus TUOS Region 2</t>
  </si>
  <si>
    <t>WC22BT2</t>
  </si>
  <si>
    <t>West CAC 22/11kV Bus TUOS Region 3</t>
  </si>
  <si>
    <t>WC22BT3</t>
  </si>
  <si>
    <t>Mount Isa CAC 22/11kV Bus TUOS Region 4</t>
  </si>
  <si>
    <t>MC22BT4</t>
  </si>
  <si>
    <t>CAC 22 - 11 kV Line</t>
  </si>
  <si>
    <t>East CAC 22/11kV Line TUOS Region 1</t>
  </si>
  <si>
    <t>EC22LT1</t>
  </si>
  <si>
    <t>East CAC 22/11kV Line TUOS Region 2</t>
  </si>
  <si>
    <t>EC22LT2</t>
  </si>
  <si>
    <t>East CAC 22/11kV Line TUOS Region 3</t>
  </si>
  <si>
    <t>EC22LT3</t>
  </si>
  <si>
    <t>West CAC 22/11kV Line TUOS Region 1</t>
  </si>
  <si>
    <t>WC22LT1</t>
  </si>
  <si>
    <t>West CAC 22/11kV Line TUOS Region 2</t>
  </si>
  <si>
    <t>WC22LT2</t>
  </si>
  <si>
    <t>West CAC 22/11kV Line TUOS Region 3</t>
  </si>
  <si>
    <t>WC22LT3</t>
  </si>
  <si>
    <t>Mount Isa CAC 22/11kV Line TUOS Region 4</t>
  </si>
  <si>
    <t>MC22LT4</t>
  </si>
  <si>
    <t xml:space="preserve">Please refer to the Network Tariff Guide for Standard Control Services - Appendix 1 for application of these tariffs. </t>
  </si>
  <si>
    <t>www.ergon.com.au/networktariffs</t>
  </si>
  <si>
    <t>Capacity Charge Off-Peak
(NDKVACCOP)</t>
  </si>
  <si>
    <t>Actual Demand Charge Peak
(NDKVADCP)</t>
  </si>
  <si>
    <t>$/kVA of AD/ month</t>
  </si>
  <si>
    <t>Seasonal TOU Demand CAC Higher Voltage (33-66kV)</t>
  </si>
  <si>
    <t>East CAC Higher Voltage STOUD TUOS Region 1</t>
  </si>
  <si>
    <t>EC66TOUT1</t>
  </si>
  <si>
    <t>East CAC Higher Voltage STOUD TUOS Region 2</t>
  </si>
  <si>
    <t>EC66TOUT2</t>
  </si>
  <si>
    <t>East CAC Higher Voltage STOUD TUOS Region 3</t>
  </si>
  <si>
    <t>EC66TOUT3</t>
  </si>
  <si>
    <t>West Higher Voltage CAC STOUD TUOS Region 1</t>
  </si>
  <si>
    <t>WC66TOUT1</t>
  </si>
  <si>
    <t>West CAC Higher Voltage STOUD TUOS Region 2</t>
  </si>
  <si>
    <t>WC66TOUT2</t>
  </si>
  <si>
    <t>West CAC Higher Voltage STOUD TUOS Region 3</t>
  </si>
  <si>
    <t>WC66TOUT3</t>
  </si>
  <si>
    <t>Mount Isa CAC Higher Voltage STOUD TUOS Region 4</t>
  </si>
  <si>
    <t>MC66TOUT4</t>
  </si>
  <si>
    <t>Seasonal TOU Demand CAC 22/11kV Bus</t>
  </si>
  <si>
    <t>East CAC 22/11kV Bus STOUD TUOS Region 1</t>
  </si>
  <si>
    <t>EC22BTOUT1</t>
  </si>
  <si>
    <t>East CAC 22/11kV Bus STOUD TUOS Region 2</t>
  </si>
  <si>
    <t>EC22BTOUT2</t>
  </si>
  <si>
    <t>East CAC 22/11kV Bus STOUD TUOS Region 3</t>
  </si>
  <si>
    <t>EC22BTOUT3</t>
  </si>
  <si>
    <t>West CAC 22/11kV Bus STOUD TUOS Region 1</t>
  </si>
  <si>
    <t>WC22BTOUT1</t>
  </si>
  <si>
    <t>West CAC 22/11kV Bus STOUD TUOS Region 2</t>
  </si>
  <si>
    <t>WC22BTOUT2</t>
  </si>
  <si>
    <t>West CAC 22/11kV Bus STOUD TUOS Region 3</t>
  </si>
  <si>
    <t>WC22BTOUT3</t>
  </si>
  <si>
    <t>Mount Isa CAC 22/11kV Bus STOUD TUOS Region 4</t>
  </si>
  <si>
    <t>MC22BTOUT4</t>
  </si>
  <si>
    <t>Seasonal TOU Demand CAC 22/11kV Line</t>
  </si>
  <si>
    <t>East CAC 22/11kV Line STOUD TUOS Region 1</t>
  </si>
  <si>
    <t>EC22LTOUT1</t>
  </si>
  <si>
    <t>East CAC 22/11kV Line STOUD TUOS Region 2</t>
  </si>
  <si>
    <t>EC22LTOUT2</t>
  </si>
  <si>
    <t>East CAC 22/11kV Line STOUD TUOS Region 3</t>
  </si>
  <si>
    <t>EC22LTOUT3</t>
  </si>
  <si>
    <t>West CAC 22/11kV Line STOUD TUOS Region 1</t>
  </si>
  <si>
    <t>WC22LTOUT1</t>
  </si>
  <si>
    <t>West CAC 22/11kV Line STOUD TUOS Region 2</t>
  </si>
  <si>
    <t>WC22LTOUT2</t>
  </si>
  <si>
    <t>West CAC 22/11kV Line STOUD TUOS Region 3</t>
  </si>
  <si>
    <t>WC22LTOUT3</t>
  </si>
  <si>
    <t>Mount Isa CAC 22/11kV Line STOUD TUOS Region 4</t>
  </si>
  <si>
    <t>MC22LTOUT4</t>
  </si>
  <si>
    <t>Demand Large</t>
  </si>
  <si>
    <t>Demand Medium</t>
  </si>
  <si>
    <t>Threshold Above Which Demand Charge Applies</t>
  </si>
  <si>
    <t>Demand Small</t>
  </si>
  <si>
    <t>$/kW /month</t>
  </si>
  <si>
    <t xml:space="preserve">East Demand Large TUOS Region 1 </t>
  </si>
  <si>
    <t>EDLTT1</t>
  </si>
  <si>
    <t>East Demand Large TUOS Region 2</t>
  </si>
  <si>
    <t>EDLTT2</t>
  </si>
  <si>
    <t>East Demand Large TUOS Region 3</t>
  </si>
  <si>
    <t>EDLTT3</t>
  </si>
  <si>
    <t xml:space="preserve">West Demand Large TUOS Region 1 </t>
  </si>
  <si>
    <t>WDLTT1</t>
  </si>
  <si>
    <t>West Demand Large TUOS Region 2</t>
  </si>
  <si>
    <t>WDLTT2</t>
  </si>
  <si>
    <t>West Demand Large TUOS Region 3</t>
  </si>
  <si>
    <t>WDLTT3</t>
  </si>
  <si>
    <t xml:space="preserve">Mount Isa Demand Large TUOS Region 4 </t>
  </si>
  <si>
    <t>MDLTT4</t>
  </si>
  <si>
    <t xml:space="preserve">East Demand Medium TUOS Region 1 </t>
  </si>
  <si>
    <t>EDMTT1</t>
  </si>
  <si>
    <t>East Demand Medium TUOS Region 2</t>
  </si>
  <si>
    <t>EDMTT2</t>
  </si>
  <si>
    <t>East Demand Medium TUOS Region 3</t>
  </si>
  <si>
    <t>EDMTT3</t>
  </si>
  <si>
    <t xml:space="preserve">West Demand Medium TUOS Region 1 </t>
  </si>
  <si>
    <t>WDMTT1</t>
  </si>
  <si>
    <t>West Demand Medium TUOS Region 2</t>
  </si>
  <si>
    <t>WDMTT2</t>
  </si>
  <si>
    <t>West Demand Medium TUOS Region 3</t>
  </si>
  <si>
    <t>WDMTT3</t>
  </si>
  <si>
    <t xml:space="preserve">Mount Isa Demand Medium TUOS Region 4 </t>
  </si>
  <si>
    <t>MDMTT4</t>
  </si>
  <si>
    <t xml:space="preserve">East Demand Small TUOS Region 1 </t>
  </si>
  <si>
    <t>EDSTT1</t>
  </si>
  <si>
    <t>East Demand Small TUOS Region 2</t>
  </si>
  <si>
    <t>EDSTT2</t>
  </si>
  <si>
    <t>East Demand Small TUOS Region 3</t>
  </si>
  <si>
    <t>EDSTT3</t>
  </si>
  <si>
    <t xml:space="preserve">West Demand Small TUOS Region 1 </t>
  </si>
  <si>
    <t>WDSTT1</t>
  </si>
  <si>
    <t>West Demand Small TUOS Region 2</t>
  </si>
  <si>
    <t>WDSTT2</t>
  </si>
  <si>
    <t>West Demand Small TUOS Region 3</t>
  </si>
  <si>
    <t>WDSTT3</t>
  </si>
  <si>
    <t xml:space="preserve">Mount Isa Demand Small TUOS Region 4 </t>
  </si>
  <si>
    <t>MDSTT4</t>
  </si>
  <si>
    <t>TARIFFS APPLYING TO STANDARD ASSET CUSTOMERS – LARGE (&gt;100 MWh per annum)
SEASONAL-TIME-OF-USE-DEMAND (STOUD)
GST Exclusive</t>
  </si>
  <si>
    <t>Actual Demand Charge</t>
  </si>
  <si>
    <t>Volume Charge</t>
  </si>
  <si>
    <t>Peak
(NDDCP)</t>
  </si>
  <si>
    <t>Off-peak
(NDDCOP)</t>
  </si>
  <si>
    <t>Peak
(NDVCP)</t>
  </si>
  <si>
    <t>Off-peak
(NDVCOP)</t>
  </si>
  <si>
    <t>Peak
(NTDCP)</t>
  </si>
  <si>
    <t>Off-peak
(NTDCOP)</t>
  </si>
  <si>
    <t>Peak
kW</t>
  </si>
  <si>
    <t>Off-peak kW</t>
  </si>
  <si>
    <t>$/kW/mth</t>
  </si>
  <si>
    <t>Seasonal TOU Demand</t>
  </si>
  <si>
    <t xml:space="preserve">East STOUD TUOS Region 1 </t>
  </si>
  <si>
    <t>ESTOUDCT1</t>
  </si>
  <si>
    <t>East STOUD TUOS Region 2</t>
  </si>
  <si>
    <t>ESTOUDCT2</t>
  </si>
  <si>
    <t>East STOUD TUOS Region 3</t>
  </si>
  <si>
    <t>ESTOUDCT3</t>
  </si>
  <si>
    <t xml:space="preserve">West STOUD TUOS Region 1 </t>
  </si>
  <si>
    <t>WSTOUDCT1</t>
  </si>
  <si>
    <t>West STOUD TUOS Region 2</t>
  </si>
  <si>
    <t>WSTOUDCT2</t>
  </si>
  <si>
    <t>West STOUD TUOS Region 3</t>
  </si>
  <si>
    <t>WSTOUDCT3</t>
  </si>
  <si>
    <t xml:space="preserve">Mount Isa STOUD TUOS Region 4 </t>
  </si>
  <si>
    <t>MSTOUDCT4</t>
  </si>
  <si>
    <t>TARIFFS APPLYING TO STANDARD ASSET CUSTOMERS – SMALL (&lt;100 MWh per annum)
INCLINING BLOCK TARIFF (IBT)
GST Exclusive</t>
  </si>
  <si>
    <t>Block 1 (NDVCIBT)</t>
  </si>
  <si>
    <t>Block 2  (NDVCIBT)</t>
  </si>
  <si>
    <t>Block 3 (NDVCIBT)</t>
  </si>
  <si>
    <t>IBT Residential</t>
  </si>
  <si>
    <t>IBT Residential East TUOS Region 1</t>
  </si>
  <si>
    <t>ERIBT1</t>
  </si>
  <si>
    <t>IBT Residential East TUOS Region 2</t>
  </si>
  <si>
    <t>ERIBT2</t>
  </si>
  <si>
    <t>IBT Residential East TUOS Region 3</t>
  </si>
  <si>
    <t>ERIBT3</t>
  </si>
  <si>
    <t>IBT Residential West TUOS Region 1</t>
  </si>
  <si>
    <t>WRIBT1</t>
  </si>
  <si>
    <t>IBT Residential West TUOS Region 2</t>
  </si>
  <si>
    <t>WRIBT2</t>
  </si>
  <si>
    <t>IBT Residential West TUOS Region 3</t>
  </si>
  <si>
    <t>WRIBT3</t>
  </si>
  <si>
    <t>IBT Residential Mount Isa TUOS Region 4</t>
  </si>
  <si>
    <t>MRIBT4</t>
  </si>
  <si>
    <t>IBT Business</t>
  </si>
  <si>
    <t>IBT Business East TUOS Region 1</t>
  </si>
  <si>
    <t>EBIBT1</t>
  </si>
  <si>
    <t>IBT Business East TUOS Region 2</t>
  </si>
  <si>
    <t>EBIBT2</t>
  </si>
  <si>
    <t>IBT Business East TUOS Region 3</t>
  </si>
  <si>
    <t>EBIBT3</t>
  </si>
  <si>
    <t>IBT Business West TUOS Region 1</t>
  </si>
  <si>
    <t>WBIBT1</t>
  </si>
  <si>
    <t>IBT Business West TUOS Region 2</t>
  </si>
  <si>
    <t>WBIBT2</t>
  </si>
  <si>
    <t>IBT Business West TUOS Region 3</t>
  </si>
  <si>
    <t>WBIBT3</t>
  </si>
  <si>
    <t>IBT Business Mount Isa TUOS Region 4</t>
  </si>
  <si>
    <t>MBIBT4</t>
  </si>
  <si>
    <t>TARIFFS APPLYING TO STANDARD ASSET CUSTOMERS – SMALL (&lt;100 MWh per annum)
SEASONAL TIME-OF-USE  ENERGY (STOUE) 
GST Exclusive</t>
  </si>
  <si>
    <t>Fixed Charge (NTFC)</t>
  </si>
  <si>
    <t>Volume Charge (NTVC)</t>
  </si>
  <si>
    <t>Peak (NDVCP)</t>
  </si>
  <si>
    <t>Off-peak (NDVCOP)</t>
  </si>
  <si>
    <t>Seasonal TOU Energy - Residential</t>
  </si>
  <si>
    <t>East Residential STOUE TUOS Region 1</t>
  </si>
  <si>
    <t>ERTOUT1</t>
  </si>
  <si>
    <t>East Residential STOUE TUOS Region 2</t>
  </si>
  <si>
    <t>ERTOUT2</t>
  </si>
  <si>
    <t>East Residential STOUE TUOS Region 3</t>
  </si>
  <si>
    <t>ERTOUT3</t>
  </si>
  <si>
    <t>West Residential STOUE TUOS Region 1</t>
  </si>
  <si>
    <t>WRTOUT1</t>
  </si>
  <si>
    <t>West Residential STOUE TUOS Region 2</t>
  </si>
  <si>
    <t>WRTOUT2</t>
  </si>
  <si>
    <t>West Residential STOUE TUOS Region 3</t>
  </si>
  <si>
    <t>WRTOUT3</t>
  </si>
  <si>
    <t>Mount Isa Residential STOUE TUOS Region 4</t>
  </si>
  <si>
    <t>MRTOUT4</t>
  </si>
  <si>
    <t>Seasonal TOU Energy - Business</t>
  </si>
  <si>
    <t>East Business STOUE TUOS Region 1</t>
  </si>
  <si>
    <t>EBTOUT1</t>
  </si>
  <si>
    <t>East Business STOUE TUOS Region 2</t>
  </si>
  <si>
    <t>EBTOUT2</t>
  </si>
  <si>
    <t>East Business STOUE TUOS Region 3</t>
  </si>
  <si>
    <t>EBTOUT3</t>
  </si>
  <si>
    <t>West Business STOUE TUOS Region 1</t>
  </si>
  <si>
    <t>WBTOUT1</t>
  </si>
  <si>
    <t>West Business STOUE TUOS Region 2</t>
  </si>
  <si>
    <t>WBTOUT2</t>
  </si>
  <si>
    <t>West Business STOUE TUOS Region 3</t>
  </si>
  <si>
    <t>WBTOUT3</t>
  </si>
  <si>
    <t>Mount Isa Business STOUE TUOS Region 4</t>
  </si>
  <si>
    <t>MBTOUT4</t>
  </si>
  <si>
    <t>TARIFFS APPLYING TO STANDARD ASSET CUSTOMERS – SMALL (&lt;100 MWh per annum)
SEASONAL TIME-OF-USE DEMAND (STOUD)
GST Exclusive</t>
  </si>
  <si>
    <t>Minimum Chargeable Demand</t>
  </si>
  <si>
    <t>Off-Peak
(NDVCOP)</t>
  </si>
  <si>
    <t>Peak kW</t>
  </si>
  <si>
    <t>Off Peak kW</t>
  </si>
  <si>
    <t>Seasonal TOU Demand - Residential</t>
  </si>
  <si>
    <t>East Residential STOUD TUOS Region 1</t>
  </si>
  <si>
    <t>ERTOUDCT1</t>
  </si>
  <si>
    <t>Nil</t>
  </si>
  <si>
    <t>East Residential STOUD TUOS Region 2</t>
  </si>
  <si>
    <t>ERTOUDCT2</t>
  </si>
  <si>
    <t>East Residential STOUD TUOS Region 3</t>
  </si>
  <si>
    <t>ERTOUDCT3</t>
  </si>
  <si>
    <t>West Residential STOUD TUOS Region 1</t>
  </si>
  <si>
    <t>WRTOUDCT1</t>
  </si>
  <si>
    <t>West Residential STOUD TUOS Region 2</t>
  </si>
  <si>
    <t>WRTOUDCT2</t>
  </si>
  <si>
    <t>West Residential STOUD TUOS Region 3</t>
  </si>
  <si>
    <t>WRTOUDCT3</t>
  </si>
  <si>
    <t>Mount Isa Residential STOUD TUOS Region 4</t>
  </si>
  <si>
    <t>MRTOUDCT4</t>
  </si>
  <si>
    <t>Seasonal TOU Demand - Business</t>
  </si>
  <si>
    <t>East Business STOUD TUOS Region 1</t>
  </si>
  <si>
    <t>EBTOUDCT1</t>
  </si>
  <si>
    <t>East Business STOUD TUOS Region 2</t>
  </si>
  <si>
    <t>EBTOUDCT2</t>
  </si>
  <si>
    <t>East Business STOUD TUOS Region 3</t>
  </si>
  <si>
    <t>EBTOUDCT3</t>
  </si>
  <si>
    <t>West Business STOUD TUOS Region 1</t>
  </si>
  <si>
    <t>WBTOUDCT1</t>
  </si>
  <si>
    <t>West Business STOUD TUOS Region 2</t>
  </si>
  <si>
    <t>WBTOUDCT2</t>
  </si>
  <si>
    <t>West Business STOUD TUOS Region 3</t>
  </si>
  <si>
    <t>WBTOUDCT3</t>
  </si>
  <si>
    <t>Mount Isa Business STOUD TUOS Region 4</t>
  </si>
  <si>
    <t>MBTOUDCT4</t>
  </si>
  <si>
    <t>TARIFFS APPLYING TO STANDARD ASSET CUSTOMERS – SMALL (&lt;100 MWh per annum)
Lifestyle
GST Exclusive</t>
  </si>
  <si>
    <t>$/Month</t>
  </si>
  <si>
    <t>Residential Lifestyle</t>
  </si>
  <si>
    <t>TARIFFS APPLYING TO STANDARD ASSET CUSTOMERS – SMALL (&lt;100 MWh per annum)
CONTROLLED LOAD
GST Exclusive</t>
  </si>
  <si>
    <t>Volume Night Controlled</t>
  </si>
  <si>
    <t>East Volume Night Controlled TUOS Region 1</t>
  </si>
  <si>
    <t>EVNT1</t>
  </si>
  <si>
    <t>East Volume Night Controlled TUOS Region 2</t>
  </si>
  <si>
    <t>EVNT2</t>
  </si>
  <si>
    <t>East Volume Night Controlled TUOS Region 3</t>
  </si>
  <si>
    <t>EVNT3</t>
  </si>
  <si>
    <t>West Volume Night Controlled TUOS Region 1</t>
  </si>
  <si>
    <t>WVNT1</t>
  </si>
  <si>
    <t>West Volume Night Controlled TUOS Region 2</t>
  </si>
  <si>
    <t>WVNT2</t>
  </si>
  <si>
    <t>West Volume Night Controlled TUOS Region 3</t>
  </si>
  <si>
    <t>WVNT3</t>
  </si>
  <si>
    <t>Mount Isa Volume Night Controlled TUOS Region 4</t>
  </si>
  <si>
    <t>MVNT4</t>
  </si>
  <si>
    <t>Volume Controlled</t>
  </si>
  <si>
    <t>East Volume Controlled TUOS Region 1</t>
  </si>
  <si>
    <t>EVCT1</t>
  </si>
  <si>
    <t>East Volume Controlled TUOS Region 2</t>
  </si>
  <si>
    <t>EVCT2</t>
  </si>
  <si>
    <t>East Volume Controlled TUOS Region 3</t>
  </si>
  <si>
    <t>EVCT3</t>
  </si>
  <si>
    <t>West Volume Controlled TUOS Region 1</t>
  </si>
  <si>
    <t>WVCT1</t>
  </si>
  <si>
    <t>West Volume Controlled TUOS Region 2</t>
  </si>
  <si>
    <t>WVCT2</t>
  </si>
  <si>
    <t>West Volume Controlled TUOS Region 3</t>
  </si>
  <si>
    <t>WVCT3</t>
  </si>
  <si>
    <t>Mount Isa Volume Controlled TUOS Region 4</t>
  </si>
  <si>
    <t>MVCT4</t>
  </si>
  <si>
    <t>TARIFFS APPLYING TO STANDARD ASSET CUSTOMERS – UNMETERED
GST Exclusive</t>
  </si>
  <si>
    <t xml:space="preserve">Volume Charge
(NDVC) </t>
  </si>
  <si>
    <t xml:space="preserve">Volume Unmetered </t>
  </si>
  <si>
    <t>East Volume Unmetered TUOS Region 1</t>
  </si>
  <si>
    <t>EVUT1</t>
  </si>
  <si>
    <t>East Volume Unmetered Minor Public Light TUOS Region 1</t>
  </si>
  <si>
    <t>EVUMIT1</t>
  </si>
  <si>
    <t>East Volume Unmetered Major Public Light TUOS Region 1</t>
  </si>
  <si>
    <t>EVUMAT1</t>
  </si>
  <si>
    <t>East Volume Unmetered TUOS Region 2</t>
  </si>
  <si>
    <t>EVUT2</t>
  </si>
  <si>
    <t>East Volume Unmetered Minor Public Light TUOS Region 2</t>
  </si>
  <si>
    <t>EVUMIT2</t>
  </si>
  <si>
    <t>East Volume Unmetered Major Public Light TUOS Region 2</t>
  </si>
  <si>
    <t>EVUMAT2</t>
  </si>
  <si>
    <t>East Volume Unmetered TUOS Region 3</t>
  </si>
  <si>
    <t>EVUT3</t>
  </si>
  <si>
    <t>East Volume Unmetered Minor Public Light TUOS Region 3</t>
  </si>
  <si>
    <t>EVUMIT3</t>
  </si>
  <si>
    <t>East Volume Unmetered Major Public Light TUOS Region 3</t>
  </si>
  <si>
    <t>EVUMAT3</t>
  </si>
  <si>
    <t>West Volume Unmetered TUOS Region 1</t>
  </si>
  <si>
    <t>WVUT1</t>
  </si>
  <si>
    <t>West Volume Unmetered Minor Public Light TUOS Region 1</t>
  </si>
  <si>
    <t>WVUMIT1</t>
  </si>
  <si>
    <t>West Volume Unmetered Major Public Light TUOS Region 1</t>
  </si>
  <si>
    <t>WVUMAT1</t>
  </si>
  <si>
    <t>West Volume Unmetered TUOS Region 2</t>
  </si>
  <si>
    <t>WVUT2</t>
  </si>
  <si>
    <t>West Volume Unmetered Minor Public Light TUOS Region 2</t>
  </si>
  <si>
    <t>WVUMIT2</t>
  </si>
  <si>
    <t>West Volume Unmetered Major Public Light TUOS Region 2</t>
  </si>
  <si>
    <t>WVUMAT2</t>
  </si>
  <si>
    <t>West Volume Unmetered TUOS Region 3</t>
  </si>
  <si>
    <t>WVUT3</t>
  </si>
  <si>
    <t>West Volume Unmetered Minor Public Light TUOS Region 3</t>
  </si>
  <si>
    <t>WVUMIT3</t>
  </si>
  <si>
    <t>West Volume Unmetered Major Public Light TUOS Region 3</t>
  </si>
  <si>
    <t>WVUMAT3</t>
  </si>
  <si>
    <t>Mount Isa Volume Unmetered TUOS Region 4</t>
  </si>
  <si>
    <t>MVUT4</t>
  </si>
  <si>
    <t>Mount Isa Volume Unmetered Minor Public Light TUOS Region 4</t>
  </si>
  <si>
    <t>MVUMIT4</t>
  </si>
  <si>
    <t>Mount Isa Volume Unmetered Major Public Light TUOS Region 4</t>
  </si>
  <si>
    <t>MVUMAT4</t>
  </si>
  <si>
    <t>Data sourced from AEMO website - published DLFs.</t>
  </si>
  <si>
    <t>Tariff Class DLF's</t>
  </si>
  <si>
    <t>Network Level</t>
  </si>
  <si>
    <t>East Zone</t>
  </si>
  <si>
    <t>West Zone</t>
  </si>
  <si>
    <t>Mt Isa Zone</t>
  </si>
  <si>
    <t>Subtransmission Bus</t>
  </si>
  <si>
    <t>GESB</t>
  </si>
  <si>
    <t>GWSB</t>
  </si>
  <si>
    <t>GMSB</t>
  </si>
  <si>
    <t>Subtransmission Line</t>
  </si>
  <si>
    <t>GESL</t>
  </si>
  <si>
    <t>GWSL</t>
  </si>
  <si>
    <t>GMSL</t>
  </si>
  <si>
    <t>22/11 kV Bus</t>
  </si>
  <si>
    <t>GEHB</t>
  </si>
  <si>
    <t>GWHB</t>
  </si>
  <si>
    <t>GMHB</t>
  </si>
  <si>
    <t>22/11 kV Line</t>
  </si>
  <si>
    <t>GEHL</t>
  </si>
  <si>
    <t>GWHL</t>
  </si>
  <si>
    <t>GMHL</t>
  </si>
  <si>
    <t>LV Bus</t>
  </si>
  <si>
    <t>GELB</t>
  </si>
  <si>
    <t>GWLB</t>
  </si>
  <si>
    <t>GMLB</t>
  </si>
  <si>
    <t>LV Line</t>
  </si>
  <si>
    <t>GELL</t>
  </si>
  <si>
    <t>GWLL</t>
  </si>
  <si>
    <t>GMLL</t>
  </si>
  <si>
    <t>Customer</t>
  </si>
  <si>
    <t>No</t>
  </si>
  <si>
    <t>Yes</t>
  </si>
  <si>
    <t>ICC</t>
  </si>
  <si>
    <t>EDLTCT1</t>
  </si>
  <si>
    <t>EDSTCT1</t>
  </si>
  <si>
    <t>EDMTCT1</t>
  </si>
  <si>
    <t>EDMTCT2</t>
  </si>
  <si>
    <t>EDMTXT1</t>
  </si>
  <si>
    <t>POA</t>
  </si>
  <si>
    <t>ACS Meter Charges</t>
  </si>
  <si>
    <t>Primary Service Fixed Charge Capital (ACSMCC)</t>
  </si>
  <si>
    <t>Primary Service Fixed Charge Non-Capital (ACSMNCC)</t>
  </si>
  <si>
    <t>ESTOUDXT1</t>
  </si>
  <si>
    <t>ESTOUDBT1</t>
  </si>
  <si>
    <t>ESTOUDXT2</t>
  </si>
  <si>
    <t>ESTOUDBT2</t>
  </si>
  <si>
    <t>ESTOUDXT3</t>
  </si>
  <si>
    <t>ESTOUDBT3</t>
  </si>
  <si>
    <t>WSTOUDXT1</t>
  </si>
  <si>
    <t>WSTOUDBT1</t>
  </si>
  <si>
    <t>WSTOUDXT2</t>
  </si>
  <si>
    <t>WSTOUDBT2</t>
  </si>
  <si>
    <t>WSTOUDXT3</t>
  </si>
  <si>
    <t>WSTOUDBT3</t>
  </si>
  <si>
    <t>MSTOUDXT4</t>
  </si>
  <si>
    <t>MSTOUDBT4</t>
  </si>
  <si>
    <t>EDLTXT1</t>
  </si>
  <si>
    <t>EDLTBT1</t>
  </si>
  <si>
    <t>EDLTCT2</t>
  </si>
  <si>
    <t>EDLTXT2</t>
  </si>
  <si>
    <t>EDLTBT2</t>
  </si>
  <si>
    <t>EDLTCT3</t>
  </si>
  <si>
    <t>EDLTXT3</t>
  </si>
  <si>
    <t>EDLTBT3</t>
  </si>
  <si>
    <t>WDLTCT1</t>
  </si>
  <si>
    <t>WDLTXT1</t>
  </si>
  <si>
    <t>WDLTBT1</t>
  </si>
  <si>
    <t>WDLTCT2</t>
  </si>
  <si>
    <t>WDLTXT2</t>
  </si>
  <si>
    <t>WDLTBT2</t>
  </si>
  <si>
    <t>WDLTCT3</t>
  </si>
  <si>
    <t>WDLTXT3</t>
  </si>
  <si>
    <t>WDLTBT3</t>
  </si>
  <si>
    <t>MDLTCT4</t>
  </si>
  <si>
    <t>MDLTXT4</t>
  </si>
  <si>
    <t>MDLTBT4</t>
  </si>
  <si>
    <t>EDMTBT1</t>
  </si>
  <si>
    <t>EDMTXT2</t>
  </si>
  <si>
    <t>EDMTBT2</t>
  </si>
  <si>
    <t>EDMTCT3</t>
  </si>
  <si>
    <t>EDMTXT3</t>
  </si>
  <si>
    <t>EDMTBT3</t>
  </si>
  <si>
    <t>WDMTCT1</t>
  </si>
  <si>
    <t>WDMTXT1</t>
  </si>
  <si>
    <t>WDMTBT1</t>
  </si>
  <si>
    <t>WDMTCT2</t>
  </si>
  <si>
    <t>WDMTXT2</t>
  </si>
  <si>
    <t>WDMTBT2</t>
  </si>
  <si>
    <t>WDMTCT3</t>
  </si>
  <si>
    <t>WDMTXT3</t>
  </si>
  <si>
    <t>WDMTBT3</t>
  </si>
  <si>
    <t>MDMTCT4</t>
  </si>
  <si>
    <t>MDMTXT4</t>
  </si>
  <si>
    <t>MDMTBT4</t>
  </si>
  <si>
    <t>EDSTXT1</t>
  </si>
  <si>
    <t>EDSTBT1</t>
  </si>
  <si>
    <t>EDSTCT2</t>
  </si>
  <si>
    <t>EDSTXT2</t>
  </si>
  <si>
    <t>EDSTBT2</t>
  </si>
  <si>
    <t>EDSTCT3</t>
  </si>
  <si>
    <t>EDSTXT3</t>
  </si>
  <si>
    <t>EDSTBT3</t>
  </si>
  <si>
    <t>WDSTCT1</t>
  </si>
  <si>
    <t>WDSTXT1</t>
  </si>
  <si>
    <t>WDSTBT1</t>
  </si>
  <si>
    <t>WDSTCT2</t>
  </si>
  <si>
    <t>WDSTXT2</t>
  </si>
  <si>
    <t>WDSTBT2</t>
  </si>
  <si>
    <t>WDSTCT3</t>
  </si>
  <si>
    <t>WDSTXT3</t>
  </si>
  <si>
    <t>WDSTBT3</t>
  </si>
  <si>
    <t>MDSTCT4</t>
  </si>
  <si>
    <t>MDSTXT4</t>
  </si>
  <si>
    <t>MDSTBT4</t>
  </si>
  <si>
    <t>ERTOUDXT1</t>
  </si>
  <si>
    <t>ERTOUDBT1</t>
  </si>
  <si>
    <t>ERTOUDXT2</t>
  </si>
  <si>
    <t>ERTOUDBT2</t>
  </si>
  <si>
    <t>ERTOUDXT3</t>
  </si>
  <si>
    <t>ERTOUDBT3</t>
  </si>
  <si>
    <t>WRTOUDXT1</t>
  </si>
  <si>
    <t>WRTOUDBT1</t>
  </si>
  <si>
    <t>WRTOUDXT2</t>
  </si>
  <si>
    <t>WRTOUDBT2</t>
  </si>
  <si>
    <t>WRTOUDXT3</t>
  </si>
  <si>
    <t>WRTOUDBT3</t>
  </si>
  <si>
    <t>MRTOUDXT4</t>
  </si>
  <si>
    <t>MRTOUDBT4</t>
  </si>
  <si>
    <t>EBTOUDXT1</t>
  </si>
  <si>
    <t>EBTOUDBT1</t>
  </si>
  <si>
    <t>EBTOUDXT2</t>
  </si>
  <si>
    <t>EBTOUDBT2</t>
  </si>
  <si>
    <t>EBTOUDXT3</t>
  </si>
  <si>
    <t>EBTOUDBT3</t>
  </si>
  <si>
    <t>WBTOUDXT1</t>
  </si>
  <si>
    <t>WBTOUDBT1</t>
  </si>
  <si>
    <t>WBTOUDXT2</t>
  </si>
  <si>
    <t>WBTOUDBT2</t>
  </si>
  <si>
    <t>WBTOUDXT3</t>
  </si>
  <si>
    <t>WBTOUDBT3</t>
  </si>
  <si>
    <t>MBTOUDXT4</t>
  </si>
  <si>
    <t>MBTOUDBT4</t>
  </si>
  <si>
    <t>ERIBCT1</t>
  </si>
  <si>
    <t>ERIBXT1</t>
  </si>
  <si>
    <t>ERIBBT1</t>
  </si>
  <si>
    <t>ERIBCT2</t>
  </si>
  <si>
    <t>ERIBXT2</t>
  </si>
  <si>
    <t>ERIBBT2</t>
  </si>
  <si>
    <t>ERIBCT3</t>
  </si>
  <si>
    <t>ERIBXT3</t>
  </si>
  <si>
    <t>ERIBBT3</t>
  </si>
  <si>
    <t>WRIBCT1</t>
  </si>
  <si>
    <t>WRIBXT1</t>
  </si>
  <si>
    <t>WRIBBT1</t>
  </si>
  <si>
    <t>WRIBCT2</t>
  </si>
  <si>
    <t>WRIBXT2</t>
  </si>
  <si>
    <t>WRIBBT2</t>
  </si>
  <si>
    <t>WRIBCT3</t>
  </si>
  <si>
    <t>WRIBXT3</t>
  </si>
  <si>
    <t>WRIBBT3</t>
  </si>
  <si>
    <t>MRIBCT4</t>
  </si>
  <si>
    <t>MRIBXT4</t>
  </si>
  <si>
    <t>MRIBBT4</t>
  </si>
  <si>
    <t>EBIBCT1</t>
  </si>
  <si>
    <t>EBIBXT1</t>
  </si>
  <si>
    <t>EBIBBT1</t>
  </si>
  <si>
    <t>EBIBCT2</t>
  </si>
  <si>
    <t>EBIBXT2</t>
  </si>
  <si>
    <t>EBIBBT2</t>
  </si>
  <si>
    <t>EBIBCT3</t>
  </si>
  <si>
    <t>EBIBXT3</t>
  </si>
  <si>
    <t>EBIBBT3</t>
  </si>
  <si>
    <t>WBIBCT1</t>
  </si>
  <si>
    <t>WBIBXT1</t>
  </si>
  <si>
    <t>WBIBBT1</t>
  </si>
  <si>
    <t>WBIBCT2</t>
  </si>
  <si>
    <t>WBIBXT2</t>
  </si>
  <si>
    <t>WBIBBT2</t>
  </si>
  <si>
    <t>WBIBCT3</t>
  </si>
  <si>
    <t>WBIBXT3</t>
  </si>
  <si>
    <t>WBIBBT3</t>
  </si>
  <si>
    <t>MBIBCT4</t>
  </si>
  <si>
    <t>MBIBXT4</t>
  </si>
  <si>
    <t>MBIBBT4</t>
  </si>
  <si>
    <t>ERTOUCT2</t>
  </si>
  <si>
    <t>ERTOUXT2</t>
  </si>
  <si>
    <t>ERTOUBT2</t>
  </si>
  <si>
    <t>ERTOUCT3</t>
  </si>
  <si>
    <t>ERTOUXT3</t>
  </si>
  <si>
    <t>ERTOUBT3</t>
  </si>
  <si>
    <t>WRTOUCT1</t>
  </si>
  <si>
    <t>WRTOUXT1</t>
  </si>
  <si>
    <t>WRTOUBT1</t>
  </si>
  <si>
    <t>WRTOUCT2</t>
  </si>
  <si>
    <t>WRTOUXT2</t>
  </si>
  <si>
    <t>WRTOUBT2</t>
  </si>
  <si>
    <t>WRTOUCT3</t>
  </si>
  <si>
    <t>WRTOUXT3</t>
  </si>
  <si>
    <t>WRTOUBT3</t>
  </si>
  <si>
    <t>MRTOUCT4</t>
  </si>
  <si>
    <t>MRTOUXT4</t>
  </si>
  <si>
    <t>MRTOUBT4</t>
  </si>
  <si>
    <t>EBTOUCT1</t>
  </si>
  <si>
    <t>EBTOUXT1</t>
  </si>
  <si>
    <t>EBTOUBT1</t>
  </si>
  <si>
    <t>EBTOUCT2</t>
  </si>
  <si>
    <t>EBTOUXT2</t>
  </si>
  <si>
    <t>EBTOUBT2</t>
  </si>
  <si>
    <t>EBTOUCT3</t>
  </si>
  <si>
    <t>EBTOUXT3</t>
  </si>
  <si>
    <t>EBTOUBT3</t>
  </si>
  <si>
    <t>WBTOUCT1</t>
  </si>
  <si>
    <t>WBTOUXT1</t>
  </si>
  <si>
    <t>WBTOUBT1</t>
  </si>
  <si>
    <t>WBTOUCT2</t>
  </si>
  <si>
    <t>WBTOUXT2</t>
  </si>
  <si>
    <t>WBTOUBT2</t>
  </si>
  <si>
    <t>WBTOUCT3</t>
  </si>
  <si>
    <t>WBTOUXT3</t>
  </si>
  <si>
    <t>WBTOUBT3</t>
  </si>
  <si>
    <t>MBTOUCT4</t>
  </si>
  <si>
    <t>MBTOUXT4</t>
  </si>
  <si>
    <t>MBTOUBT4</t>
  </si>
  <si>
    <t>Controlled Load Fixed Charge Capital (ACSMCC)</t>
  </si>
  <si>
    <t>Controlled Load Fixed Charge Non-Capital (ACSMNCC)</t>
  </si>
  <si>
    <t>EVNCT1</t>
  </si>
  <si>
    <t>EVNXT1</t>
  </si>
  <si>
    <t>EVNBT1</t>
  </si>
  <si>
    <t>EVNCT2</t>
  </si>
  <si>
    <t>EVNXT2</t>
  </si>
  <si>
    <t>EVNBT2</t>
  </si>
  <si>
    <t>EVNCT3</t>
  </si>
  <si>
    <t>EVNXT3</t>
  </si>
  <si>
    <t>EVNBT3</t>
  </si>
  <si>
    <t>WVNCT1</t>
  </si>
  <si>
    <t>WVNXT1</t>
  </si>
  <si>
    <t>WVNBT1</t>
  </si>
  <si>
    <t>WVNCT2</t>
  </si>
  <si>
    <t>WVNXT2</t>
  </si>
  <si>
    <t>WVNBT2</t>
  </si>
  <si>
    <t>WVNCT3</t>
  </si>
  <si>
    <t>WVNXT3</t>
  </si>
  <si>
    <t>WVNBT3</t>
  </si>
  <si>
    <t>MVNCT4</t>
  </si>
  <si>
    <t>MVNXT4</t>
  </si>
  <si>
    <t>MVNBT4</t>
  </si>
  <si>
    <t>EVCCT1</t>
  </si>
  <si>
    <t>EVCXT1</t>
  </si>
  <si>
    <t>EVCBT1</t>
  </si>
  <si>
    <t>EVCCT2</t>
  </si>
  <si>
    <t>EVCXT2</t>
  </si>
  <si>
    <t>EVCBT2</t>
  </si>
  <si>
    <t>EVCCT3</t>
  </si>
  <si>
    <t>EVCXT3</t>
  </si>
  <si>
    <t>EVCBT3</t>
  </si>
  <si>
    <t>WVCCT1</t>
  </si>
  <si>
    <t>WVCXT1</t>
  </si>
  <si>
    <t>WVCBT1</t>
  </si>
  <si>
    <t>WVCCT2</t>
  </si>
  <si>
    <t>WVCXT2</t>
  </si>
  <si>
    <t>WVCBT2</t>
  </si>
  <si>
    <t>WVCCT3</t>
  </si>
  <si>
    <t>WVCXT3</t>
  </si>
  <si>
    <t>WVCBT3</t>
  </si>
  <si>
    <t>MVCCT4</t>
  </si>
  <si>
    <t>MVCXT4</t>
  </si>
  <si>
    <t>MVCBT4</t>
  </si>
  <si>
    <t xml:space="preserve">                       (includes the Queensland Government's Solar Bonus Scheme)</t>
  </si>
  <si>
    <t>ADDITIONAL NETWORK TARIFF CODES FOR MICRO-EMBEDDED GENERATING UNITS
(INCLUDES THE QUEENSLAND GOVERNMENT'S SOLAR BONUS SCHEME)
GST Exclusive*</t>
  </si>
  <si>
    <t>Embedded Generation Fixed Charge Capital (ACSMCC)</t>
  </si>
  <si>
    <t>Embedded Generation Fixed Charge Non-Capital (ACSMNCC)</t>
  </si>
  <si>
    <t>NVG0</t>
  </si>
  <si>
    <t>NVGC0</t>
  </si>
  <si>
    <t>NVGX0</t>
  </si>
  <si>
    <t>NVGB0</t>
  </si>
  <si>
    <t>NVG1</t>
  </si>
  <si>
    <t>NVGC1</t>
  </si>
  <si>
    <t>NVGX1</t>
  </si>
  <si>
    <t>NVGB1</t>
  </si>
  <si>
    <t>NVG2</t>
  </si>
  <si>
    <t>NVGC2</t>
  </si>
  <si>
    <t>NVGX2</t>
  </si>
  <si>
    <t>NVGB2</t>
  </si>
  <si>
    <t>GVG0</t>
  </si>
  <si>
    <t>GVGC0</t>
  </si>
  <si>
    <t>GVGX0</t>
  </si>
  <si>
    <t>GVGB0</t>
  </si>
  <si>
    <t>Notes:</t>
  </si>
  <si>
    <r>
      <t>*</t>
    </r>
    <r>
      <rPr>
        <u/>
        <sz val="9"/>
        <rFont val="Arial"/>
        <family val="2"/>
      </rPr>
      <t>GST</t>
    </r>
    <r>
      <rPr>
        <sz val="9"/>
        <rFont val="Arial"/>
        <family val="2"/>
      </rPr>
      <t xml:space="preserve">
The 44 c/kWh feed-in tariff rate includes GST (if any). As such, no amount will be added to the credit in respect of any GST payable.</t>
    </r>
  </si>
  <si>
    <t>Standard Asset Customers</t>
  </si>
  <si>
    <t>Tariff class</t>
  </si>
  <si>
    <t>Tariff group</t>
  </si>
  <si>
    <r>
      <t xml:space="preserve">Standard Network Tariff Codes
</t>
    </r>
    <r>
      <rPr>
        <sz val="9"/>
        <color rgb="FFFFFFFF"/>
        <rFont val="Arial"/>
        <family val="2"/>
      </rPr>
      <t xml:space="preserve">Standard network tariff rates </t>
    </r>
    <r>
      <rPr>
        <u/>
        <sz val="9"/>
        <color rgb="FFFFFFFF"/>
        <rFont val="Arial"/>
        <family val="2"/>
      </rPr>
      <t>plus</t>
    </r>
    <r>
      <rPr>
        <sz val="9"/>
        <color rgb="FFFFFFFF"/>
        <rFont val="Arial"/>
        <family val="2"/>
      </rPr>
      <t xml:space="preserve"> ACS capital and non-capital metering charges apply.
</t>
    </r>
  </si>
  <si>
    <r>
      <t xml:space="preserve">'C' series Network Tariff Codes
</t>
    </r>
    <r>
      <rPr>
        <sz val="9"/>
        <color rgb="FFFFFFFF"/>
        <rFont val="Arial"/>
        <family val="2"/>
      </rPr>
      <t xml:space="preserve">Standard network tariff rates (as per equivalent standard Network Tariff Code) </t>
    </r>
    <r>
      <rPr>
        <b/>
        <sz val="9"/>
        <color rgb="FFFFFFFF"/>
        <rFont val="Arial"/>
        <family val="2"/>
      </rPr>
      <t xml:space="preserve">
</t>
    </r>
    <r>
      <rPr>
        <sz val="9"/>
        <color rgb="FFFFFFFF"/>
        <rFont val="Arial"/>
        <family val="2"/>
      </rPr>
      <t xml:space="preserve">No ACS capital and non-capital metering charges apply.
</t>
    </r>
  </si>
  <si>
    <r>
      <t xml:space="preserve">'X' series Network Tariff Codes
</t>
    </r>
    <r>
      <rPr>
        <sz val="9"/>
        <color rgb="FFFFFFFF"/>
        <rFont val="Arial"/>
        <family val="2"/>
      </rPr>
      <t xml:space="preserve">Standard network tariff rates (as per equivalent standard Network Tariff Code) </t>
    </r>
    <r>
      <rPr>
        <u/>
        <sz val="9"/>
        <color rgb="FFFFFFFF"/>
        <rFont val="Arial"/>
        <family val="2"/>
      </rPr>
      <t>plus</t>
    </r>
    <r>
      <rPr>
        <sz val="9"/>
        <color rgb="FFFFFFFF"/>
        <rFont val="Arial"/>
        <family val="2"/>
      </rPr>
      <t xml:space="preserve"> ACS capital metering charges apply.
</t>
    </r>
  </si>
  <si>
    <r>
      <t xml:space="preserve">'B' series Network Tariff Codes
</t>
    </r>
    <r>
      <rPr>
        <sz val="9"/>
        <color rgb="FFFFFFFF"/>
        <rFont val="Arial"/>
        <family val="2"/>
      </rPr>
      <t xml:space="preserve">Standard network tariff rates (as per equivalent standard Network Tariff Code) </t>
    </r>
    <r>
      <rPr>
        <u/>
        <sz val="9"/>
        <color rgb="FFFFFFFF"/>
        <rFont val="Arial"/>
        <family val="2"/>
      </rPr>
      <t>plus</t>
    </r>
    <r>
      <rPr>
        <sz val="9"/>
        <color rgb="FFFFFFFF"/>
        <rFont val="Arial"/>
        <family val="2"/>
      </rPr>
      <t xml:space="preserve"> ACS non-capital metering charges apply.
</t>
    </r>
  </si>
  <si>
    <t>Standard Asset Customer – Large (&gt;100 MWh p.a.) – East</t>
  </si>
  <si>
    <t>EDLTT1, EDLTT2, EDLTT3</t>
  </si>
  <si>
    <t>EDLTCT1, EDLTCT2, EDLTCT3</t>
  </si>
  <si>
    <t>EDLTXT1, EDLTXT2, EDLTXT3</t>
  </si>
  <si>
    <t>EDLTBT1, EDLTBT2, EDLTBT3</t>
  </si>
  <si>
    <t>EDMTT1, EDMTT2, EDMTT3</t>
  </si>
  <si>
    <t>EDMTCT1, EDMTCT2, EDMTCT3</t>
  </si>
  <si>
    <t>EDMTXT1, EDMTXT2, EDMTXT3</t>
  </si>
  <si>
    <t>EDMTBT1, EDMTBT2, EDMTBT3</t>
  </si>
  <si>
    <t>EDSTT1, EDSTT2, EDSTT3</t>
  </si>
  <si>
    <t>EDSTCT1, EDSTCT2, EDSTCT3</t>
  </si>
  <si>
    <t>EDSTXT1, EDSTXT2, EDSTXT3</t>
  </si>
  <si>
    <t>EDSTBT1, EDSTBT2, EDSTBT3</t>
  </si>
  <si>
    <t>Refer to 'C' series</t>
  </si>
  <si>
    <t>ESTOUDCT1, ESTOUDCT2, ESTOUDCT3</t>
  </si>
  <si>
    <t>ESTOUDXT1, ESTOUDXT2, ESTOUDXT3</t>
  </si>
  <si>
    <t>ESTOUDBT1, ESTOUDBT2, ESTOUDBT3</t>
  </si>
  <si>
    <t>Standard Asset Customer – Large (&gt;100 MWh p.a.) – West</t>
  </si>
  <si>
    <t>WDLTT1, WDLTT2, WDLTT3</t>
  </si>
  <si>
    <t>WDLTCT1, WDLTCT2, WDLTCT3</t>
  </si>
  <si>
    <t>WDLTXT1, WDLTXT2, WDLTXT3</t>
  </si>
  <si>
    <t>WDLTBT1, WDLTBT2, WDLTBT3</t>
  </si>
  <si>
    <t>WDMTT1, WDMTT2, WDMTT3</t>
  </si>
  <si>
    <t>WDMTCT1, WDMTCT2, WDMTCT3</t>
  </si>
  <si>
    <t>WDMTXT1, WDMTXT2, WDMTXT3</t>
  </si>
  <si>
    <t>WDMTBT1, WDMTBT2, WDMTBT3</t>
  </si>
  <si>
    <t>WDSTT1, WDSTT2, WDSTT3</t>
  </si>
  <si>
    <t>WDSTCT1, WDSTCT2, WDSTCT3</t>
  </si>
  <si>
    <t>WDSTXT1, WDSTXT2, WDSTXT3</t>
  </si>
  <si>
    <t>WDSTBT1, WDSTBT2, WDSTBT3</t>
  </si>
  <si>
    <t>WSTOUDCT1, WSTOUDCT2, WSTOUDCT3</t>
  </si>
  <si>
    <t>WSTOUDXT1, WSTOUDXT2, WSTOUDXT3</t>
  </si>
  <si>
    <t>WSTOUDBT1, WSTOUDBT2, WSTOUDBT3</t>
  </si>
  <si>
    <t>Standard Asset Customer – Large (&gt;100 MWh p.a.) – Mount Isa</t>
  </si>
  <si>
    <t>Standard Asset Customer – Small (&lt;100 MWh p.a.) – East</t>
  </si>
  <si>
    <t>EBIBT1, EBIBT2, EBIBT3</t>
  </si>
  <si>
    <t>EBIBCT1, EBIBCT2, EBIBCT3</t>
  </si>
  <si>
    <t>EBIBXT1, EBIBXT2, EBIBXT3</t>
  </si>
  <si>
    <t>EBIBBT1, EBIBBT2, EBIBBT3</t>
  </si>
  <si>
    <t>Seasonal TOU Energy Business</t>
  </si>
  <si>
    <t>EBTOUT1, EBTOUT2, EBTOUT3</t>
  </si>
  <si>
    <t>EBTOUCT1, EBTOUCT2, EBTOUCT3</t>
  </si>
  <si>
    <t>EBTOUXT1, EBTOUXT2, EBTOUXT3</t>
  </si>
  <si>
    <t>EBTOUBT1, EBTOUBT2, EBTOUBT3</t>
  </si>
  <si>
    <t>Seasonal TOU Demand Business</t>
  </si>
  <si>
    <t>EBTOUDCT1, EBTOUDCT2, EBTOUDCT3</t>
  </si>
  <si>
    <t>EBTOUDXT1, EBTOUDXT2, EBTOUDXT3</t>
  </si>
  <si>
    <t>EBTOUDBT1, EBTOUDBT2, EBTOUDBT3</t>
  </si>
  <si>
    <t>ERIBT1, ERIBT2, ERIBT3</t>
  </si>
  <si>
    <t>ERIBCT1, ERIBCT2, ERIBCT3</t>
  </si>
  <si>
    <t>ERIBXT1, ERIBXT2, ERIBXT3</t>
  </si>
  <si>
    <t>ERIBBT1, ERIBBT2, ERIBBT3</t>
  </si>
  <si>
    <t>Seasonal TOU Energy Residential</t>
  </si>
  <si>
    <t>ERTOUT1, ERTOUT2, ERTOUT3</t>
  </si>
  <si>
    <t>ERTOUCT1, ERTOUCT2, ERTOUCT3</t>
  </si>
  <si>
    <t>ERTOUXT1, ERTOUXT2, ERTOUXT3</t>
  </si>
  <si>
    <t>ERTOUBT1, ERTOUBT2, ERTOUBT3</t>
  </si>
  <si>
    <t>Seasonal TOU Demand Residential</t>
  </si>
  <si>
    <t>ERTOUDCT1, ERTOUDCT2, ERTOUDCT3</t>
  </si>
  <si>
    <t>ERTOUDXT1, ERTOUDXT2, ERTOUDXT3</t>
  </si>
  <si>
    <t>ERTOUDBT1, ERTOUDBT2, ERTOUDBT3</t>
  </si>
  <si>
    <t xml:space="preserve">Volume Controlled </t>
  </si>
  <si>
    <t>EVCT1, EVCT2, EVCT3</t>
  </si>
  <si>
    <t>EVCCT1, EVCCT2, EVCCT3</t>
  </si>
  <si>
    <t>EVCXT1, EVCXT2, EVCXT3</t>
  </si>
  <si>
    <t>EVCBT1, EVCBT2, EVCBT3</t>
  </si>
  <si>
    <t xml:space="preserve">Volume Night Controlled </t>
  </si>
  <si>
    <t>EVNT1, EVNT2, EVNT3</t>
  </si>
  <si>
    <t>EVNCT1, EVNCT2, EVNCT3</t>
  </si>
  <si>
    <t>EVNXT1, EVNXT2, EVNXT3</t>
  </si>
  <si>
    <t>EVNBT1, EVNBT2, EVNBT3</t>
  </si>
  <si>
    <t>Standard Asset Customer – Small (&lt;100 MWh p.a.) – West</t>
  </si>
  <si>
    <t>WBIBT1, WBIBT2, WBIBT3</t>
  </si>
  <si>
    <t>WBIBCT1, WBIBCT2, WBIBCT3</t>
  </si>
  <si>
    <t>WBIBXT1, WBIBXT2, WBIBXT3</t>
  </si>
  <si>
    <t>WBIBBT1, WBIBBT2, WBIBBT3</t>
  </si>
  <si>
    <t>WBTOUT1, WBTOUT2, WBTOUT3</t>
  </si>
  <si>
    <t>WBTOUCT1, WBTOUCT2, WBTOUCT3</t>
  </si>
  <si>
    <t>WBTOUXT1, WBTOUXT2, WBTOUXT3</t>
  </si>
  <si>
    <t>WBTOUBT1, WBTOUBT2, WBTOUBT3</t>
  </si>
  <si>
    <t>WBTOUDCT1, WBTOUDCT2, WBTOUDCT3</t>
  </si>
  <si>
    <t>WBTOUDXT1, WBTOUDXT2, WBTOUDXT3</t>
  </si>
  <si>
    <t>WBTOUDBT1, WBTOUDBT2, WBTOUDBT3</t>
  </si>
  <si>
    <t>WRIBT1, WRIBT2, WRIBT3</t>
  </si>
  <si>
    <t>WRIBCT1, WRIBCT2, WRIBCT3</t>
  </si>
  <si>
    <t>WRIBXT1, WRIBXT2, WRIBXT3</t>
  </si>
  <si>
    <t>WRIBBT1, WRIBBT2, WRIBBT3</t>
  </si>
  <si>
    <t>WRTOUT1, WRTOUT2, WRTOUT3</t>
  </si>
  <si>
    <t>WRTOUCT1, WRTOUCT2, WRTOUCT3</t>
  </si>
  <si>
    <t>WRTOUXT1, WRTOUXT2, WRTOUXT3</t>
  </si>
  <si>
    <t>WRTOUBT1, WRTOUBT2, WRTOUBT3</t>
  </si>
  <si>
    <t>WRTOUDCT1, WRTOUDCT2, WRTOUDCT3</t>
  </si>
  <si>
    <t>WRTOUDXT1, WRTOUDXT2, WRTOUDXT3</t>
  </si>
  <si>
    <t>WRTOUDBT1, WRTOUDBT2, WRTOUDBT3</t>
  </si>
  <si>
    <t>WVCT1, WVCT2, WVCT3</t>
  </si>
  <si>
    <t>WVCCT1, WVCCT2, WVCCT3</t>
  </si>
  <si>
    <t>WVCXT1, WVCXT2, WVCXT3</t>
  </si>
  <si>
    <t>WVCBT1, WVCBT2, WVCBT3</t>
  </si>
  <si>
    <t>WVNT1, WVNT2, WVNT3</t>
  </si>
  <si>
    <t>WVNCT1, WVNCT2, WVNCT3</t>
  </si>
  <si>
    <t>WVNXT1, WVNXT2, WVNXT3</t>
  </si>
  <si>
    <t>WVNBT1, WVNBT2, WVNBT3</t>
  </si>
  <si>
    <t>Standard Asset Customer – Small (&lt;100 MWh p.a.) – Mount Isa</t>
  </si>
  <si>
    <t>(&lt;100 MWh p.a.) – Mount Isa</t>
  </si>
  <si>
    <t>Standard Asset Customer – Unmetered – East</t>
  </si>
  <si>
    <t>EVUT1, EVUT2, EVUT3</t>
  </si>
  <si>
    <t>n/a</t>
  </si>
  <si>
    <t>EVUMIT1, EVUMIT2, EVUMIT3</t>
  </si>
  <si>
    <t>EVUMAT1, EVUMAT2, EVUMAT3</t>
  </si>
  <si>
    <t>Standard Asset Customer – Unmetered – West</t>
  </si>
  <si>
    <t>WVUT1, WVUT2, WVUT3</t>
  </si>
  <si>
    <t>WVUMIT1, WVUMIT2, WVUMIT3</t>
  </si>
  <si>
    <t>WVUMAT1, WVUMAT2, WVUMAT3</t>
  </si>
  <si>
    <t>Standard Asset Customer – Unmetered – Mount Isa</t>
  </si>
  <si>
    <t>Major customers</t>
  </si>
  <si>
    <t>Individually Calculated Customers, Connection Asset Customers and Embedded Generators</t>
  </si>
  <si>
    <t>Network Tariff Codes</t>
  </si>
  <si>
    <t>Individually Calculated Customer – East</t>
  </si>
  <si>
    <t>EICCKA1 onwards</t>
  </si>
  <si>
    <t>EICCKB1 onwards</t>
  </si>
  <si>
    <t>Individually Calculated Customer – West</t>
  </si>
  <si>
    <t>WICCKA1 onwards</t>
  </si>
  <si>
    <t>WICCKB1 onwards</t>
  </si>
  <si>
    <t>Individually Calculated Customer – Mount Isa</t>
  </si>
  <si>
    <t>MICCKA1 onwards</t>
  </si>
  <si>
    <t>MICCKB1 onwards</t>
  </si>
  <si>
    <t>Connection Asset Customer – East</t>
  </si>
  <si>
    <t>CAC 66 kV</t>
  </si>
  <si>
    <t>EC66T1, EC66T2, EC66T3
ECACA15*</t>
  </si>
  <si>
    <t>CAC 33 kV</t>
  </si>
  <si>
    <t>EC33T1, EC33T2, EC33T3
ECACB14*</t>
  </si>
  <si>
    <t>CAC 22/11 kV Bus</t>
  </si>
  <si>
    <t>EC22BT1, EC22BT2, EC22BT3
ECACA46,* ECACA213,* ECACB3*</t>
  </si>
  <si>
    <t>CAC 22/11 kV Line</t>
  </si>
  <si>
    <t xml:space="preserve">EC22LT1, EC22LT2, EC22LT3
ECACA86,* ECACA145,* ECACA199,* ECACA221* </t>
  </si>
  <si>
    <t>Seasonal TOU Demand CAC Higher Voltage (66/33 kV)</t>
  </si>
  <si>
    <t>EC66TOUT1, EC66TOUT2, EC66TOUT3</t>
  </si>
  <si>
    <t>Seasonal TOU Demand CAC 22/11 kV Bus</t>
  </si>
  <si>
    <t>EC22BTOUT1, EC22BTOUT2, EC22BTOUT3</t>
  </si>
  <si>
    <t>Seasonal TOU Demand CAC 22/11 kV Line</t>
  </si>
  <si>
    <t>EC22LTOUT1, EC22LTOUT2, EC22LTOUT3</t>
  </si>
  <si>
    <t>Connection Asset Customer – West</t>
  </si>
  <si>
    <t>WC66T1, WC66T2, WC66T3</t>
  </si>
  <si>
    <t>WC33T1, WC33T2, WC33T3</t>
  </si>
  <si>
    <t>WC22BT1, WC22BT2, WC22BT3</t>
  </si>
  <si>
    <t>WC22LT1, WC22LT2, WC22LT3</t>
  </si>
  <si>
    <t>WC66TOUT1, WC66TOUT2, WC66TOUT3</t>
  </si>
  <si>
    <t>WC22BTOUT1, WC22BTOUT2, WC22BTOUT3</t>
  </si>
  <si>
    <t>WC22LTOUT1, WC22LTOUT2, WC22LTOUT3</t>
  </si>
  <si>
    <t>Connection Asset Customer – Mount Isa</t>
  </si>
  <si>
    <t xml:space="preserve">Embedded Generation – East </t>
  </si>
  <si>
    <t>EG</t>
  </si>
  <si>
    <t>EEGA1 onwards</t>
  </si>
  <si>
    <t>EEGB1 onwards</t>
  </si>
  <si>
    <t>Embedded Generation – West</t>
  </si>
  <si>
    <t>WEGA1 onwards</t>
  </si>
  <si>
    <t>WEGB1 onwards</t>
  </si>
  <si>
    <t>Embedded Generation – Mount Isa</t>
  </si>
  <si>
    <t>MEGA1 onwards</t>
  </si>
  <si>
    <t>MEGB1 onwards</t>
  </si>
  <si>
    <t>* As at 29 April 2016.  Special arrangements apply to Connection Asset Customers on these Network Tariff Codes.  Please contact Ergon Energy.</t>
  </si>
  <si>
    <t>Additional Network Tariff Codes applying to micro-embedded generating units</t>
  </si>
  <si>
    <r>
      <t xml:space="preserve">'C' series Network Tariff Codes
</t>
    </r>
    <r>
      <rPr>
        <sz val="9"/>
        <color rgb="FFFFFFFF"/>
        <rFont val="Arial"/>
        <family val="2"/>
      </rPr>
      <t xml:space="preserve">Standard network tariff rates apply, as per equivalent standard Network Tariff Code. </t>
    </r>
    <r>
      <rPr>
        <b/>
        <sz val="9"/>
        <color rgb="FFFFFFFF"/>
        <rFont val="Arial"/>
        <family val="2"/>
      </rPr>
      <t xml:space="preserve">
</t>
    </r>
    <r>
      <rPr>
        <sz val="9"/>
        <color rgb="FFFFFFFF"/>
        <rFont val="Arial"/>
        <family val="2"/>
      </rPr>
      <t>No ACS capital and non-capital metering charges apply.</t>
    </r>
  </si>
  <si>
    <r>
      <t xml:space="preserve">'B' series Network Tariff Codes
</t>
    </r>
    <r>
      <rPr>
        <sz val="9"/>
        <color rgb="FFFFFFFF"/>
        <rFont val="Arial"/>
        <family val="2"/>
      </rPr>
      <t xml:space="preserve">Standard network tariff rates (as per equivalent standard Network Tariff Code) </t>
    </r>
    <r>
      <rPr>
        <u/>
        <sz val="9"/>
        <color rgb="FFFFFFFF"/>
        <rFont val="Arial"/>
        <family val="2"/>
      </rPr>
      <t>plus</t>
    </r>
    <r>
      <rPr>
        <sz val="9"/>
        <color rgb="FFFFFFFF"/>
        <rFont val="Arial"/>
        <family val="2"/>
      </rPr>
      <t xml:space="preserve"> ACS non-capital metering charges apply.
</t>
    </r>
  </si>
  <si>
    <t>Summer Peak Top Up
(NDTUC)</t>
  </si>
  <si>
    <t>Monthly Fixed (NTMFC)</t>
  </si>
  <si>
    <t>Ergon Energy Corporation Limited</t>
  </si>
  <si>
    <t>Key:</t>
  </si>
  <si>
    <r>
      <t xml:space="preserve">These services are subject to an additional layer of price regulation at the jurisdictional level, through Schedule 8 of the </t>
    </r>
    <r>
      <rPr>
        <i/>
        <sz val="8"/>
        <rFont val="Arial"/>
        <family val="2"/>
      </rPr>
      <t>Electricity Regulation 2006</t>
    </r>
    <r>
      <rPr>
        <sz val="8"/>
        <rFont val="Arial"/>
        <family val="2"/>
      </rPr>
      <t xml:space="preserve">.  Even though the national economic regulator (the AER) has approved a higher price that EECL can charge for this service, the Queensland Government has stipulated a (lower) maximum price EECL is able to charge customers in EECL's supply area for these services. </t>
    </r>
  </si>
  <si>
    <r>
      <t xml:space="preserve">These services are subject to an additional layer of price regulation at the jurisdictional level, through Schedule 8 of the </t>
    </r>
    <r>
      <rPr>
        <i/>
        <sz val="8"/>
        <rFont val="Arial"/>
        <family val="2"/>
      </rPr>
      <t>Electricity Regulation 2006</t>
    </r>
    <r>
      <rPr>
        <sz val="8"/>
        <rFont val="Arial"/>
        <family val="2"/>
      </rPr>
      <t xml:space="preserve">.  Even though the national economic regulator (the AER) has approved a higher price that EECL can charge for this service, the Queensland Government has stipulated that long rural / isolated customers in EECL's supply area are only able to be charged for these services at the same rate as an urban / short rural customer. </t>
    </r>
  </si>
  <si>
    <t>Ref</t>
  </si>
  <si>
    <t>Service</t>
  </si>
  <si>
    <t>Service description</t>
  </si>
  <si>
    <t>Product Codes</t>
  </si>
  <si>
    <t>Ellipse Cost Code</t>
  </si>
  <si>
    <t>Urban/short rural feeder price</t>
  </si>
  <si>
    <t>Long rural/isolated feeder price</t>
  </si>
  <si>
    <t>AER classification</t>
  </si>
  <si>
    <t>Notes</t>
  </si>
  <si>
    <t>B2B
Retailer only</t>
  </si>
  <si>
    <t>Form "A" Required</t>
  </si>
  <si>
    <t>B2B Service Order Type</t>
  </si>
  <si>
    <t>Urban</t>
  </si>
  <si>
    <t>Short rural</t>
  </si>
  <si>
    <t>Long rural</t>
  </si>
  <si>
    <t>Isolated</t>
  </si>
  <si>
    <t>GST Excl</t>
  </si>
  <si>
    <t>GST Incl</t>
  </si>
  <si>
    <t>Fee Based and Quoted Services</t>
  </si>
  <si>
    <t>Pre-Connection Services</t>
  </si>
  <si>
    <t>Application fee - Basic or standard connection</t>
  </si>
  <si>
    <t>APFSAC</t>
  </si>
  <si>
    <t>Fee Based Service</t>
  </si>
  <si>
    <t>Fixed fee applies</t>
  </si>
  <si>
    <t>N/A</t>
  </si>
  <si>
    <t>Application fee - Basic or standard connection - Micro-embedded generators</t>
  </si>
  <si>
    <t>APFMEG</t>
  </si>
  <si>
    <t>Application fee - Basic or standard connection - Micro-embedded generators - Technical assessment required</t>
  </si>
  <si>
    <t>APFMTA</t>
  </si>
  <si>
    <t>Application fee - Real estate development connection</t>
  </si>
  <si>
    <t>Services associated with assessing an application requesting a connection to be made between Ergon Energy's network and a real estate developer's installation, and the preparation of a compliant connection offer. 
Includes works carried out by contractors and/or Ergon Energy.</t>
  </si>
  <si>
    <t>APFRED</t>
  </si>
  <si>
    <t>Protection and Power Quality assessment prior to connection</t>
  </si>
  <si>
    <t>Evaluation of application protection design for completeness against engineering connection standard. Study of Power Quality issues including Flicker, Harmonics and DC voltage injection.</t>
  </si>
  <si>
    <t>PPQA</t>
  </si>
  <si>
    <t>Connection Services</t>
  </si>
  <si>
    <t>Temporary connection, not in permanent position - single phase metered - urban/short rural feeders</t>
  </si>
  <si>
    <t xml:space="preserve">Connection of a single phase supply to a meter location that is not permanent (i.e. short term supply).   Excludes work on metering equipment.  </t>
  </si>
  <si>
    <t>TBSSPU</t>
  </si>
  <si>
    <t>TBSSPS</t>
  </si>
  <si>
    <r>
      <t xml:space="preserve">Fixed fee applies.  Aggregate of this service and #161-M capped to maximum specified in Schedule 8 of </t>
    </r>
    <r>
      <rPr>
        <i/>
        <sz val="8"/>
        <rFont val="Arial"/>
        <family val="2"/>
      </rPr>
      <t>Electricity Regulation 2006</t>
    </r>
  </si>
  <si>
    <t>Supply Service Works (SSW) - Establish Temporary Supply</t>
  </si>
  <si>
    <t>6-CF</t>
  </si>
  <si>
    <t>Call out fee for temporary connection, not in permanent position - single phase metered - urban/short rural feeders</t>
  </si>
  <si>
    <t xml:space="preserve">Travel time to perform a temporary connection,  requested by a retailer or customer, and the service is unable to be performed due to customer/retailer fault. </t>
  </si>
  <si>
    <t>CFTBSSPU</t>
  </si>
  <si>
    <t>CFTBSSPS</t>
  </si>
  <si>
    <t>Temporary connection, not in permanent position - single phase metered - long rural/isolated feeders</t>
  </si>
  <si>
    <t>TBSSPL</t>
  </si>
  <si>
    <t>TBSSPI</t>
  </si>
  <si>
    <t>7-CF</t>
  </si>
  <si>
    <t>Call out fee for temporary connection, not in permanent position - single phase metered - long rural/isolated feeders</t>
  </si>
  <si>
    <t xml:space="preserve">Travel time to perform a temporary connection requested by a retailer or customer, and the service is unable to be performed due to customer/retailer fault. </t>
  </si>
  <si>
    <t>CFTBSSPL</t>
  </si>
  <si>
    <t>CFTBSSPI</t>
  </si>
  <si>
    <r>
      <t xml:space="preserve">Fixed fee applies, capped to the maximum price of the associated service (to be consistent with Schedule 8 of </t>
    </r>
    <r>
      <rPr>
        <i/>
        <sz val="8"/>
        <rFont val="Arial"/>
        <family val="2"/>
      </rPr>
      <t>Electricity Regulation 2006)</t>
    </r>
  </si>
  <si>
    <r>
      <t>Temporary connection, not in permanent position</t>
    </r>
    <r>
      <rPr>
        <sz val="8"/>
        <color rgb="FFFF0000"/>
        <rFont val="Arial"/>
        <family val="2"/>
      </rPr>
      <t xml:space="preserve"> </t>
    </r>
    <r>
      <rPr>
        <sz val="8"/>
        <rFont val="Arial"/>
        <family val="2"/>
      </rPr>
      <t>- multi phase metered - urban/short rural feeders</t>
    </r>
  </si>
  <si>
    <t xml:space="preserve">Connection of a multi phase supply to a meter location that is not permanent (i.e. short term supply). Excludes work on metering equipment.  </t>
  </si>
  <si>
    <t>TBSMPU</t>
  </si>
  <si>
    <t>TBSMPS</t>
  </si>
  <si>
    <t>8-CF</t>
  </si>
  <si>
    <t>Call out fee for temporary connection, not in permanent position - multi-phase metered - urban/short rural feeders</t>
  </si>
  <si>
    <t xml:space="preserve">Travel time to perform a temporary connection requested by a retailer or customer, and the service is unable to be performed due to customer/retailer fault.  </t>
  </si>
  <si>
    <t>CFTBSMPU</t>
  </si>
  <si>
    <t>CFTBSMPS</t>
  </si>
  <si>
    <t>Temporary connection, not in permanent position - multi phase metered - long rural/isolated feeders</t>
  </si>
  <si>
    <t>TBSMPL</t>
  </si>
  <si>
    <t>TBSMPI</t>
  </si>
  <si>
    <t>9-CF</t>
  </si>
  <si>
    <t>Call out fee for temporary connection, not in permanent position - multi-phase metered - long rural/isolated feeders</t>
  </si>
  <si>
    <t>CFTBSMPL</t>
  </si>
  <si>
    <t>CFTBSMPI</t>
  </si>
  <si>
    <t>161-M</t>
  </si>
  <si>
    <t xml:space="preserve">Work on metering equipment for temporary connection, not in permanent position - single phase or multi phase metered </t>
  </si>
  <si>
    <t>Work on metering equipment undertaken by Ergon Energy to accommodate a temporary connection.  
Note:  this service is only available for non-grid connected areas of our network (isolated feeders and the Mount Isa-Cloncurry supply network).</t>
  </si>
  <si>
    <t>MTBSU</t>
  </si>
  <si>
    <t>MTBSS</t>
  </si>
  <si>
    <t>MTBSL</t>
  </si>
  <si>
    <t>MTBSI</t>
  </si>
  <si>
    <r>
      <t xml:space="preserve">Fixed fee applies.  Aggregate of this service and relevant temporary connection service capped to maximum specified in Schedule 8 of </t>
    </r>
    <r>
      <rPr>
        <i/>
        <sz val="8"/>
        <rFont val="Arial"/>
        <family val="2"/>
      </rPr>
      <t>Electricity Regulation 2006</t>
    </r>
  </si>
  <si>
    <t>Post Connection Services</t>
  </si>
  <si>
    <t>Supply abolishment during business hours - urban/short rural feeders</t>
  </si>
  <si>
    <t xml:space="preserve">Retailer requests Ergon Energy to abolish supply at a connection point and decommission a NMI.  May be used where a property is to be demolished; supply is no longer required; an alternative connection point is to be used; or a redundant supply is to be removed. Excludes decommissioning of metering undertaken by Ergon Energy or an alternative provider.  </t>
  </si>
  <si>
    <t>SUPABOLU</t>
  </si>
  <si>
    <t>SUPABOLS</t>
  </si>
  <si>
    <t>Supply Service Works (SSW) - Supply Abolishment</t>
  </si>
  <si>
    <t>10-CF</t>
  </si>
  <si>
    <t>Call out fee for supply abolishment during business hours - urban/short rural feeders</t>
  </si>
  <si>
    <t xml:space="preserve">Travel time to perform a supply abolishment requested by a retailer or customer, and the service is unable to be performed due to customer/retailer fault. </t>
  </si>
  <si>
    <t>CFSUPABOLU</t>
  </si>
  <si>
    <t>CFSUPABOLS</t>
  </si>
  <si>
    <t>De-energisation during business hours - urban/short rural feeders</t>
  </si>
  <si>
    <t>Retailer requests de-energisation of the customer's premises during business hours:
- where the de-energisation can be performed (e.g. pole, pillar or meter)
- Main switch sticker</t>
  </si>
  <si>
    <t>DEENBHU</t>
  </si>
  <si>
    <t>DEENBHS</t>
  </si>
  <si>
    <r>
      <t xml:space="preserve">Fixed fee applies, capped to maximum specified in Schedule 8 of </t>
    </r>
    <r>
      <rPr>
        <i/>
        <sz val="8"/>
        <rFont val="Arial"/>
        <family val="2"/>
      </rPr>
      <t>Electricity Regulation 2006</t>
    </r>
  </si>
  <si>
    <t>De-energisation</t>
  </si>
  <si>
    <t>12-CF</t>
  </si>
  <si>
    <t>Call out fee for de-energisation during business hours - urban/short rural feeders</t>
  </si>
  <si>
    <t xml:space="preserve">Travel time to perform a de-energisation during business hours requested by a retailer or customer , and the service is unable to be performed due to customer/retailer fault. </t>
  </si>
  <si>
    <t>CFDEENBHU</t>
  </si>
  <si>
    <t>CFDEENBHS</t>
  </si>
  <si>
    <t>De-energisation during business hours - long rural/isolated feeders</t>
  </si>
  <si>
    <t>DEENBHL</t>
  </si>
  <si>
    <t>DEENBHI</t>
  </si>
  <si>
    <r>
      <t>Fixed fee applies, capped to maximum specified in Schedule 8 of</t>
    </r>
    <r>
      <rPr>
        <i/>
        <sz val="8"/>
        <rFont val="Arial"/>
        <family val="2"/>
      </rPr>
      <t xml:space="preserve"> Electricity Regulation 2006</t>
    </r>
  </si>
  <si>
    <t>13-CF</t>
  </si>
  <si>
    <t>Call out fee for de-energisation during business hours - long rural/isolated feeders</t>
  </si>
  <si>
    <t>CFDEENBHL</t>
  </si>
  <si>
    <t>CFDEENBHI</t>
  </si>
  <si>
    <t>Re-energisation during business hours - urban/short rural feeders</t>
  </si>
  <si>
    <t>Retailer requests re-energisation of customer's premises during business hours:
- after a physical disconnection and premises requires a visual examination
- following a main switch sticker</t>
  </si>
  <si>
    <t>REENBHU</t>
  </si>
  <si>
    <t>REENBHS</t>
  </si>
  <si>
    <t>Re-energisation</t>
  </si>
  <si>
    <t>14-VE</t>
  </si>
  <si>
    <t xml:space="preserve">Visual examination during business hours for remote re-energisation - urban/short rural feeders </t>
  </si>
  <si>
    <t xml:space="preserve">Retailer or Metering Co-ordinator requests visual examination during business hours, prior to performing a remote re-energisation.  </t>
  </si>
  <si>
    <t>VEREENBHU</t>
  </si>
  <si>
    <t>VEREENBHS</t>
  </si>
  <si>
    <r>
      <t xml:space="preserve">Fixed fee applies, capped to maximum specified in </t>
    </r>
    <r>
      <rPr>
        <i/>
        <sz val="8"/>
        <rFont val="Arial"/>
        <family val="2"/>
      </rPr>
      <t>Schedule 8 of Electricity Regulation 2006</t>
    </r>
  </si>
  <si>
    <t>14-CF</t>
  </si>
  <si>
    <t>Call out fee for re-energisation during business hours - urban/short rural feeders</t>
  </si>
  <si>
    <t xml:space="preserve">Travel time to perform a  re-energisation or visual inspection during business hours  requested by a retailer or customer , and the service is unable to be performed due to customer/retailer fault.  </t>
  </si>
  <si>
    <t>CFREENBHU</t>
  </si>
  <si>
    <t>CFREENBHS</t>
  </si>
  <si>
    <t>Re-energisation during business hours - long rural/isolated feeders</t>
  </si>
  <si>
    <t>REENBHL</t>
  </si>
  <si>
    <t>REENBHI</t>
  </si>
  <si>
    <t>15-VE</t>
  </si>
  <si>
    <t xml:space="preserve">Visual examination during business hours for remote re-energisation - long rural/isolated feeders </t>
  </si>
  <si>
    <t>VEREENBHL</t>
  </si>
  <si>
    <t>VEREENBHI</t>
  </si>
  <si>
    <t>15-CF</t>
  </si>
  <si>
    <t>Call out fee for re-energisation during business hours - long rural/isolated feeders</t>
  </si>
  <si>
    <r>
      <t>Travel time to perform a re-energisation or visual inspection during business hours</t>
    </r>
    <r>
      <rPr>
        <strike/>
        <sz val="8"/>
        <rFont val="Arial"/>
        <family val="2"/>
      </rPr>
      <t xml:space="preserve"> </t>
    </r>
    <r>
      <rPr>
        <sz val="8"/>
        <rFont val="Arial"/>
        <family val="2"/>
      </rPr>
      <t xml:space="preserve">requested by a retailer or customer, and the service is unable to be performed due to customer/retailer fault.  </t>
    </r>
  </si>
  <si>
    <t>CFREENBHL</t>
  </si>
  <si>
    <t>CFREENBHI</t>
  </si>
  <si>
    <t>Re-energisation during business hours - after de-energisation for debt - urban/short rural feeders</t>
  </si>
  <si>
    <t>Retailer requests re-energisation of customer's premises during business hours where the customer was previously de-energised for non-payment of their electricity account</t>
  </si>
  <si>
    <t>REDDBHU</t>
  </si>
  <si>
    <t>REDDBHS</t>
  </si>
  <si>
    <t>Re-energisation after disconnection for non-payment</t>
  </si>
  <si>
    <t>16-VE</t>
  </si>
  <si>
    <t xml:space="preserve">Visual examination during business hours for remote re-energisation - after de-energisation for debt - urban/short rural feeders </t>
  </si>
  <si>
    <t>Retailer or Metering Co-ordinator requests visual examination during business hours, prior to performing a remote re-energisation.  Applies where the customer was previously de-energised for non-payment of their electricity account</t>
  </si>
  <si>
    <t>VEREDDBHU</t>
  </si>
  <si>
    <t>VEREDDBHS</t>
  </si>
  <si>
    <t>16-CF</t>
  </si>
  <si>
    <t>Call out fee for re-energisation during business hours - after de-energisation for debt - urban/short rural feeders</t>
  </si>
  <si>
    <t xml:space="preserve">Travel time to perform a re-energisation or visual inspection during business hours requested by a retailer or customer, and the service is unable to be performed due to customer/retailer fault. </t>
  </si>
  <si>
    <t>CFREDDBHU</t>
  </si>
  <si>
    <t>CFREDDBHS</t>
  </si>
  <si>
    <t>Re-energisation during business hours - after de-energisation for debt - long rural/isolated feeders</t>
  </si>
  <si>
    <t>REDDBHL</t>
  </si>
  <si>
    <t>REDDBHI</t>
  </si>
  <si>
    <t>17-VE</t>
  </si>
  <si>
    <t xml:space="preserve">Visual examination during business hours for remote re-energisation - after de-energisation for debt - long rural/isolated feeders </t>
  </si>
  <si>
    <t>VEREDDBHL</t>
  </si>
  <si>
    <t>VEREDDBHI</t>
  </si>
  <si>
    <t>Fixed fee applies, capped to maximum specified in Schedule 8 of Electricity Regulation 2006</t>
  </si>
  <si>
    <t>17-CF</t>
  </si>
  <si>
    <t>Call out fee for re-energisation during business hours - after de-energisation for debt - long rural/isolated feeders</t>
  </si>
  <si>
    <t xml:space="preserve">Travel time to perform a re-energisation or visual inspection during business hours  requested by a retailer or customer , and the service is unable to be performed due to customer/retailer fault. </t>
  </si>
  <si>
    <t>CFREDDBHL</t>
  </si>
  <si>
    <t>CFREDDBHI</t>
  </si>
  <si>
    <t>Accreditation of alternative service providers - real estate developments</t>
  </si>
  <si>
    <t>ASPRED</t>
  </si>
  <si>
    <t>Metering Services</t>
  </si>
  <si>
    <t>Meter replacements</t>
  </si>
  <si>
    <t>Install replacement meter (Type 5 and 6) – Single phase – urban/short rural feeder</t>
  </si>
  <si>
    <t xml:space="preserve">Installation and provision during business hours of a single phase replacement meter, where allowed by regulation. 
Note:  this service is only available in non-grid connected areas of our network (isolated feeders and feeders in Mount Isa-Cloncurry supply network).  </t>
  </si>
  <si>
    <t>MSNGLU</t>
  </si>
  <si>
    <t>MSNGLS</t>
  </si>
  <si>
    <t>Depends on activity requested</t>
  </si>
  <si>
    <t>Metering Service Works - Exchange Meter</t>
  </si>
  <si>
    <t>19-CF</t>
  </si>
  <si>
    <t>Call out fee for installation of a replacement meter (Type 5 and 6) – Single phase – urban/short rural feeder</t>
  </si>
  <si>
    <t xml:space="preserve">Travel time to perform the installation of a replacement meter (Type 5 and 6) requested by a retailer or customer, and the service is unable to be performed due to customer/retailer fault. 
Note: Call out fees for replacement meters are only applicable in non-grid connected areas of our network (isolated feeders and feeders in Mount Isa-Cloncurry supply network) </t>
  </si>
  <si>
    <t>CFMSNGLU</t>
  </si>
  <si>
    <t>CFMSNGLS</t>
  </si>
  <si>
    <t>Install replacement meter (Type 5 and 6) – Single phase – long rural/isolated feeder</t>
  </si>
  <si>
    <t xml:space="preserve">Installation and provision during business hours of a single phase replacement meter, where allowed by regulation.  
Note:  this service is only available in non-grid connected areas of our network (isolated feeders and feeders in Mount Isa-Cloncurry supply network).  </t>
  </si>
  <si>
    <t>MSNGLL</t>
  </si>
  <si>
    <t>MSNGLI</t>
  </si>
  <si>
    <r>
      <t xml:space="preserve">Fixed fee applies, capped to UR/SR price as per Schedule 8 of </t>
    </r>
    <r>
      <rPr>
        <i/>
        <sz val="8"/>
        <rFont val="Arial"/>
        <family val="2"/>
      </rPr>
      <t>Electricity Regulation 2006</t>
    </r>
  </si>
  <si>
    <t>20-CF</t>
  </si>
  <si>
    <t>Call out fee for installation of a replacement meter (Type 5 and 6) – Single phase – long rural/isolated feeder</t>
  </si>
  <si>
    <t>CFMSNGLL</t>
  </si>
  <si>
    <t>CFMSNGLI</t>
  </si>
  <si>
    <r>
      <t xml:space="preserve">Fixed fee applies, capped to UR/SR price (to be consistent with Schedule 8 of </t>
    </r>
    <r>
      <rPr>
        <i/>
        <sz val="8"/>
        <rFont val="Arial"/>
        <family val="2"/>
      </rPr>
      <t>Electricity Regulation 2006</t>
    </r>
    <r>
      <rPr>
        <sz val="8"/>
        <rFont val="Arial"/>
        <family val="2"/>
      </rPr>
      <t>)</t>
    </r>
  </si>
  <si>
    <t>Install replacement meter (Type 5 and 6) – Dual element – urban/short rural feeder</t>
  </si>
  <si>
    <t xml:space="preserve">Installation and provision during business hours of a dual element replacement meter, where allowed by regulation.  
Note:  this service is only available in non-grid connected areas of our network (isolated feeders and feeders in Mount Isa-Cloncurry supply network).  </t>
  </si>
  <si>
    <t>MDUALU</t>
  </si>
  <si>
    <t>MDUALS</t>
  </si>
  <si>
    <t>21-CF</t>
  </si>
  <si>
    <t>Call out fee for installation of a replacement meter (Type 5 and 6) – Dual element – urban/short rural feeder</t>
  </si>
  <si>
    <r>
      <t>Travel time to perform the installation of a replacement meter (Type 5 and 6) requested by a retailer or customer, and the service is unable to be performed due to customer/retailer fault.  
Note: Call out fees for replacement meters are only applicable in non-grid connected areas of our network (isolated feeders and feeders in Mount Isa-Cloncurry supply network)</t>
    </r>
    <r>
      <rPr>
        <strike/>
        <sz val="8"/>
        <rFont val="Arial"/>
        <family val="2"/>
      </rPr>
      <t xml:space="preserve">
</t>
    </r>
  </si>
  <si>
    <t>CFMDUALU</t>
  </si>
  <si>
    <t>CFMDUALS</t>
  </si>
  <si>
    <t>Install replacement meter (Type 5 and 6) –  Dual element – long rural/isolated feeder</t>
  </si>
  <si>
    <t>MDUALL</t>
  </si>
  <si>
    <t>MDUALI</t>
  </si>
  <si>
    <t>22-CF</t>
  </si>
  <si>
    <t>Call out fee for installation of a replacement meter (Type 5 and 6) – Dual element – long rural/isolated feeder</t>
  </si>
  <si>
    <r>
      <t>Travel time to perform the installation of a replacement meter (Type 5 and 6) requested by a retailer or customer, and the service is unable to be performed due to customer/retailer fault.</t>
    </r>
    <r>
      <rPr>
        <strike/>
        <sz val="8"/>
        <rFont val="Arial"/>
        <family val="2"/>
      </rPr>
      <t xml:space="preserve"> 
</t>
    </r>
    <r>
      <rPr>
        <sz val="8"/>
        <rFont val="Arial"/>
        <family val="2"/>
      </rPr>
      <t>Note: Call out fees for replacement meters are only applicable in non-grid connected areas of our network (isolated feeders and feeders in Mount Isa-Cloncurry supply network)</t>
    </r>
  </si>
  <si>
    <t>CFMDUALL</t>
  </si>
  <si>
    <t>CFMDUALI</t>
  </si>
  <si>
    <t>Install replacement meter (Type 5 and 6) – Polyphase – urban/short rural feeder</t>
  </si>
  <si>
    <t xml:space="preserve">Installation and provision during business hours of a polyphase replacement meter, where allowed by regulation.  
Note:  this service is only available in non-grid connected areas of our network (isolated feeders and feeders in Mount Isa-Cloncurry supply network).  </t>
  </si>
  <si>
    <t>MTHREU</t>
  </si>
  <si>
    <t>MTHRES</t>
  </si>
  <si>
    <t>23-CF</t>
  </si>
  <si>
    <t>Call out fee for installation of a replacement meter (Type 5 and 6) – Polyphase – urban/short rural feeder</t>
  </si>
  <si>
    <t>Travel time to perform the installation of a replacement meter requested by a retailer or customer, and the service is unable to be performed due to customer/retailer fault. 
Note: Call out fees for replacement meters are only applicable in non-grid connected areas of our network (isolated feeders and feeders in Mount Isa-Cloncurry supply network).</t>
  </si>
  <si>
    <t>CFMTHREU</t>
  </si>
  <si>
    <t>CFMTHRES</t>
  </si>
  <si>
    <t>Install replacement meter (Type 5 and 6) –  Polyphase – long rural/isolated feeder</t>
  </si>
  <si>
    <t>MTHREL</t>
  </si>
  <si>
    <t>MTHREI</t>
  </si>
  <si>
    <t>24-CF</t>
  </si>
  <si>
    <t>Call out fee for installation of a replacement meter (Type 5 and 6) – Polyphase – long rural/isolated feeder</t>
  </si>
  <si>
    <t>Travel time to perform the installation of a replacement meter  requested by a retailer or customer, and the service is unable to be performed due to customer/retailer fault. 
Note: Call out fees for replacement meters are only applicable in non-grid connected areas of our network (isolated feeders and feeders in Mount Isa-Cloncurry supply network).</t>
  </si>
  <si>
    <t>CFMTHREL</t>
  </si>
  <si>
    <t>CFMTHREI</t>
  </si>
  <si>
    <t>Install replacement meter (CT) – urban/short rural feeder</t>
  </si>
  <si>
    <t xml:space="preserve">Installation and provision during business hours of a CT replacement meter, where allowed by regulation.  Note:  this service is only available in non-grid connected areas of our network (isolated feeders and feeders in Mount Isa-Cloncurry supply network).  </t>
  </si>
  <si>
    <t>MCTU</t>
  </si>
  <si>
    <t>MCTS</t>
  </si>
  <si>
    <t>25-CF</t>
  </si>
  <si>
    <t>Call out fee for installation of a replacement meter (CT) – urban/short rural feeder</t>
  </si>
  <si>
    <t>CFMCTU</t>
  </si>
  <si>
    <t>CFMCTS</t>
  </si>
  <si>
    <t xml:space="preserve">Install replacement meter (CT) – long rural/isolated feeder </t>
  </si>
  <si>
    <t>MCTL</t>
  </si>
  <si>
    <t>MCTI</t>
  </si>
  <si>
    <t>26-CF</t>
  </si>
  <si>
    <t>Call out fee for installation of a replacement meter (CT) – long rural/isolated feeder</t>
  </si>
  <si>
    <t xml:space="preserve">Travel time to perform the installation of a replacement meter requested by a retailer or customer, and the service is unable to be performed due to customer/retailer fault. 
Note: Call out fees for replacement meters are only applicable in non-grid connected areas of our network (isolated feeders and feeders in Mount Isa-Cloncurry supply network) </t>
  </si>
  <si>
    <t>CFMCTL</t>
  </si>
  <si>
    <t>CFMCTI</t>
  </si>
  <si>
    <t>Default Metering Services</t>
  </si>
  <si>
    <t>Primary service - Non-capital</t>
  </si>
  <si>
    <t>A daily charge that recovers the operating cost of Type 5 and 6 meters.  Applies to the primary metering service.</t>
  </si>
  <si>
    <t>ACSMNCC</t>
  </si>
  <si>
    <t>Default Metering Service</t>
  </si>
  <si>
    <t>Daily charge</t>
  </si>
  <si>
    <t>Network Tariff Component</t>
  </si>
  <si>
    <t>Primary service - Capital</t>
  </si>
  <si>
    <t>ACSMCC</t>
  </si>
  <si>
    <t>Controlled load - Non-capital</t>
  </si>
  <si>
    <t>A supplementary daily charge that recovers the operating cost of Type 5 and 6 meters.  Applies to each secondary controlled load.</t>
  </si>
  <si>
    <t>Supplementary daily charge</t>
  </si>
  <si>
    <t>Controlled load - Capital</t>
  </si>
  <si>
    <t>Embedded generation - Non-capital</t>
  </si>
  <si>
    <t>A supplementary daily charge that recovers the operating cost of Type 5 and 6 meters.  Applies to all types of embedded generating units (with the exception of parallel generators that do not require the installation of a new meter).</t>
  </si>
  <si>
    <t>Embedded generation - Capital</t>
  </si>
  <si>
    <t>A supplementary daily charge that recovers the capital cost of Type 5 and 6 meters installed before 1 July 2015.  Applies to all types of embedded generating units (with the exception of parallel generators that do not require the installation of a new meter).
This daily charge applies to customers with existing connections (before 1 July 2015) and new installations (on or after 1 July 2015).  It does not apply to meter replacements and additional meters required to accommodate additional tariffs other than controlled load.</t>
  </si>
  <si>
    <t>106-CF</t>
  </si>
  <si>
    <t>Call out fee for Final Meter Read – urban/short rural feeder</t>
  </si>
  <si>
    <t>Travel time to perform a Final Meter Read requested by a retailer or customer, and the service is unable to be performed due to customer/retailer fault.</t>
  </si>
  <si>
    <t>CFFMTRRDU</t>
  </si>
  <si>
    <t>CFFMTRRDS</t>
  </si>
  <si>
    <t>107-CF</t>
  </si>
  <si>
    <t>Call out fee for Final Meter Read – long rural/isolated feeder</t>
  </si>
  <si>
    <t>CFFMTRRDL</t>
  </si>
  <si>
    <t>CFFMTRRDI</t>
  </si>
  <si>
    <t>Public Lighting Services</t>
  </si>
  <si>
    <t>EO&amp;O - Major</t>
  </si>
  <si>
    <t>A daily charge (per light) that recovers costs related to the provision, construction and maintenance of public lighting assets (including emerging public lighting technology) owned and operated by Ergon Energy.  Major public lights only.</t>
  </si>
  <si>
    <t>ACSEOOMA</t>
  </si>
  <si>
    <t>Public Lighting Service</t>
  </si>
  <si>
    <t>Daily charge, per light</t>
  </si>
  <si>
    <t>EO&amp;O - Minor</t>
  </si>
  <si>
    <t>A daily charge (per light) that recovers costs related to the provision, construction and maintenance of public lighting assets (including emerging public lighting technology) owned and operated by Ergon Energy.  Minor public lights only.</t>
  </si>
  <si>
    <t>ACSEOOMI</t>
  </si>
  <si>
    <t>G&amp;EO - Major</t>
  </si>
  <si>
    <t>A daily charge (per light) that recovers costs related to the maintenance of public lighting assets (including emerging public lighting technology) gifted to Ergon Energy and thereafter maintained and operated by Ergon Energy.  Major public lights only.</t>
  </si>
  <si>
    <t>ACSGEOMA</t>
  </si>
  <si>
    <t>G&amp;EO - Minor</t>
  </si>
  <si>
    <t>A daily charge (per light) that recovers costs related to the maintenance of public lighting assets (including emerging public lighting technology) gifted to Ergon Energy and thereafter maintained and operated by Ergon Energy.  Minor public lights only.</t>
  </si>
  <si>
    <t>ACSGEOMI</t>
  </si>
  <si>
    <t>EO&amp;O - Major - Exit Fee</t>
  </si>
  <si>
    <t>Exit fee payable (per light) when a customer requests a public light owned and operated by Ergon Energy to be scrapped before the end of its useful operational life.  Major public lights only.</t>
  </si>
  <si>
    <t>EOOMAEXT</t>
  </si>
  <si>
    <t>Fixed fee applies, per light</t>
  </si>
  <si>
    <t>EO&amp;O - Minor - Exit Fee</t>
  </si>
  <si>
    <t>Exit fee payable (per light) when a customer requests a public light owned and operated by Ergon Energy to be scrapped before the end of its useful operational life.  Minor public lights only.</t>
  </si>
  <si>
    <t>EOOMIEXT</t>
  </si>
  <si>
    <t>G&amp;EO - Major - Exit Fee</t>
  </si>
  <si>
    <t>Exit fee payable (per light) when a customer requests a public light gifted to and operated by Ergon Energy to be scrapped before the end of its useful operational life.  Major public lights only.</t>
  </si>
  <si>
    <t>GEOMAEXT</t>
  </si>
  <si>
    <t>G&amp;EO - Minor - Exit Fee</t>
  </si>
  <si>
    <t>Exit fee payable (per light) when a customer requests a public light gifted to and operated by Ergon Energy to be scrapped before the end of its useful operational life.  Minor public lights only.</t>
  </si>
  <si>
    <t>GEOMIEXT</t>
  </si>
  <si>
    <t>Network Access Allowance
(NDAAC)</t>
  </si>
  <si>
    <t>Supply abolishment during business hours - long rural/isolated feeders</t>
  </si>
  <si>
    <t>11-CF</t>
  </si>
  <si>
    <t>Call out fee for supply abolishment during business hours - long rural/isolated feeders</t>
  </si>
  <si>
    <t>162-M</t>
  </si>
  <si>
    <t>Decommissioning of metering equipment for supply abolishment</t>
  </si>
  <si>
    <t>SUPABOLL</t>
  </si>
  <si>
    <t>SUPABOLI</t>
  </si>
  <si>
    <t>CFSUPABOLL</t>
  </si>
  <si>
    <t>CFSUPABOLI</t>
  </si>
  <si>
    <t>MSUPABOLU</t>
  </si>
  <si>
    <t>MSUPABOLS</t>
  </si>
  <si>
    <t>MSUPABOLL</t>
  </si>
  <si>
    <t>MSUPABOLI</t>
  </si>
  <si>
    <t>Fixed fee applies, capped to UR/SR price as per Schedule 8 of Electricity Regulation 2006</t>
  </si>
  <si>
    <t>Fixed fee applies, capped to UR/SR price (to be consistent with Schedule 8 of Electricity Regulation 2006)</t>
  </si>
  <si>
    <t>New meter installations</t>
  </si>
  <si>
    <t xml:space="preserve">Install new meter (Type 5 and 6) –  Single phase – Primary </t>
  </si>
  <si>
    <t xml:space="preserve">Installation and provision of a new single phase Type 5 or 6 meter, where allowed by regulation. Applies where there is a primary metering service.  
Note:  this service is only available in non-grid connected areas of our network (isolated feeders and feeders in Mount Isa-Cloncurry supply network).  </t>
  </si>
  <si>
    <t>NMSPU</t>
  </si>
  <si>
    <t>NMSPS</t>
  </si>
  <si>
    <t>NMSPL</t>
  </si>
  <si>
    <t>NMSPI</t>
  </si>
  <si>
    <t>Release 0.0  - 1 July 2017</t>
  </si>
  <si>
    <t>Services associated with assessing an application requesting a connection to be made (or altered) between Ergon Energy's network and the customer’s installation, and the preparation of a compliant basic or standard connection offer.  
Applies to small customers classified as a Standard Asset Customer (SAC), as per Ergon Energy's pricing proposal.</t>
  </si>
  <si>
    <t>Services associated with assessing a micro-embedded generator application requesting a connection to be made (or altered) between Ergon Energy's network and the customer’s installation, and the preparation of a compliant basic or standard connection offer.
Applies to micro-embedded generators only (a subset of Standard Asset Customers, as per Ergon Energy's pricing proposal). No technical assessment required.</t>
  </si>
  <si>
    <t>Services associated with assessing a micro-embedded generator application requesting a connection to be made (or altered) between Ergon Energy's network and the customer’s installation, and the preparation of a compliant basic or standard connection offer.
Applies to micro-embedded generators only (a subset of Standard Asset Customers, as per Ergon Energy's pricing proposal), where a technical assessment is required to be undertaken by Ergon Energy.</t>
  </si>
  <si>
    <t xml:space="preserve">Application fee - Negotiated connection </t>
  </si>
  <si>
    <t>Services associated with assessing an application requesting a connection to be made (or altered) between Ergon Energy's network and the customer’s installation, and the costs associated with negotiating and preparing a negotiated connection offer.  
Applies to small customers classified as a Standard Asset Customer (SAC), as per Ergon Energy's pricing proposal, with the exception of micro-embedded generators.</t>
  </si>
  <si>
    <t>As Quoted</t>
  </si>
  <si>
    <t>Quoted Service</t>
  </si>
  <si>
    <t>Price on application</t>
  </si>
  <si>
    <t>Application fee - Negotiated connection - Micro-embedded generators</t>
  </si>
  <si>
    <t>Services associated with assessing a micro-embedded generator application requesting a connection to be made (or altered) between Ergon Energy's network and the customer’s installation, and the costs associated with negotiating and preparing a negotiated connection offer.
Applies to micro-embedded generators only (a subset of SAC, as per Ergon Energy's pricing proposal).</t>
  </si>
  <si>
    <t>Application fee - Negotiated - Major customer connection</t>
  </si>
  <si>
    <t>Services associated with assessing a major customer connection application requesting a connection to be made (or altered) between Ergon Energy's network and the customer’s installation, and the costs associated with negotiating and preparing a compliant negotiated connection offer.
Applies to major customers classified as an Individually Calculated Customer (ICC), Connection Asset Customer (CAC) or Embedded Generator (EG), as per Ergon Energy's pricing proposal.</t>
  </si>
  <si>
    <t>Carrying out planning studies and analysis relating to connection applications</t>
  </si>
  <si>
    <t>Services associated with carrying out additional planning studies and analysis on the distribution system which are reasonably required to assess a small customer or real estate development connection application. Excludes planning studies and analysis that would otherwise be required for distributor purposes or for the efficient management of the shared network.
Applies to small customers classified as a Standard Asset Customer, as per Ergon Energy's pricing proposal (including micro-embedded generators), and real estate developers.</t>
  </si>
  <si>
    <t>Feasibility and concept scoping, including planning and design, for major customer connections</t>
  </si>
  <si>
    <t>Detailed design and advice for major customer connections for the selected (preferred) connection option. This includes shared network planning and design works incurred during the feasibility and concept scoping phases (i.e. before the connection offer has been accepted) (where applicable).</t>
  </si>
  <si>
    <t>Tender process</t>
  </si>
  <si>
    <t>Applies where Ergon Energy conducts a tender process on behalf of a connection applicant to procure connection services that can be provided by a third party, or where the connection applicant conducts a tender process and requires assistance from Ergon Energy</t>
  </si>
  <si>
    <t>Pre-connection site inspection</t>
  </si>
  <si>
    <t>Site inspection in order to determine nature of connection being sought</t>
  </si>
  <si>
    <t>Provision of site-specific connection information and advice</t>
  </si>
  <si>
    <t>Provision of site-specific connection advice, data and/or information on request (during the connection enquiry and/or connection application stage only).  For example:
- advice on project feasibility
- advice on whether augmentation would likely be required
- capacity information, including specific network capacity
- load profiles for load flow studies
- requests to review reports and designs prepared by external consultants, prior to lodgement of connection application
- additional or more detailed specification and design options.
Excludes information provided in planning reports/studies and project scopes.</t>
  </si>
  <si>
    <t>Preparation of preliminary designs and planning reports for major customer connections, including project scopes and estimates</t>
  </si>
  <si>
    <t xml:space="preserve">Initial specification and design outline for major customer connections.  Includes general evaluation and advice on asset ownership options, indicative estimates of viable connection options, and recommendation on the most suitable option.  </t>
  </si>
  <si>
    <t>Customer build, own and operate consultation services</t>
  </si>
  <si>
    <t>Provision of advice, design and specification on request to an applicant considering a build-own-operate asset ownership option for connection assets.</t>
  </si>
  <si>
    <t>Detailed enquiry response fee - embedded generation</t>
  </si>
  <si>
    <t xml:space="preserve">Costs associated with preparing a detailed enquiry response pursuant to Chapter 5 of the NER.
Applies to any embedded generation connection applicant that submits an enquiry under the connection process set out in Chapter 5 of the NER and seeks a detailed enquiry response.
</t>
  </si>
  <si>
    <t>Design and construction of connection assets for major customers</t>
  </si>
  <si>
    <t>Detailed design work and construction of connection assets after a connection offer has been made.
Applies to major customers classified as an Individually Calculated Customer (ICC), Connection Asset Customer (CAC) or Embedded Generator (EG) as per Ergon Energy's pricing proposal.</t>
  </si>
  <si>
    <t>Commissioning and energisation of major customer connections</t>
  </si>
  <si>
    <t>Includes:
- inspection and testing of connection assets prior to physical connection to the network
- physical connection and energisation of electricity equipment to allow conveyance of electricity
- administration services involved in reconciling the financials of a connection project, and processing and finalising network information and contracts in relation to a connection
- generation required (if any) to supply existing customers while equipment is de-energised to allow testing and commissioning
Applies to major customers classified as an Individually Calculated Customer (ICC), Connection Asset Customer (CAC) or Embedded Generator (EG) as per Ergon Energy's pricing proposal.</t>
  </si>
  <si>
    <t>Design and construction for real estate developments</t>
  </si>
  <si>
    <t>Detailed design work and construction for a real estate development connection after a connection offer has been made.
Includes work associated with augmentation to the shared network which is directly attributable to the establishment or alteration of the real estate development connection</t>
  </si>
  <si>
    <t>Commissioning and energisation of real estate development connections</t>
  </si>
  <si>
    <t>Includes:
- inspection and testing prior to physical connection to the network
- physical connection and energisation of electricity equipment to allow conveyance of electricity
- administration services involved in reconciling the financials of a connection project, and processing and finalising network information and contracts in relation to a connection
- generation required (if any) to supply existing customers while equipment is de-energised to allow testing and commissioning</t>
  </si>
  <si>
    <t>Removal of network constraint for embedded generator</t>
  </si>
  <si>
    <t>Augmenting the network to remove a constraint faced by an embedded generator</t>
  </si>
  <si>
    <t xml:space="preserve">Decommissioning of metering associated with a retailer request to abolish supply at a connection point.  
Note:  this service is only available where Ergon Energy is the default Metering Co-ordinator or Responsible Person for the premises.    
</t>
  </si>
  <si>
    <t>Move point of attachment - single/multi phase</t>
  </si>
  <si>
    <t>De-energisation, followed by physical dismantling then reattachment of service and re-energisation.  Excludes work on metering equipment (if required).</t>
  </si>
  <si>
    <t>MPOAU</t>
  </si>
  <si>
    <t>MPOAS</t>
  </si>
  <si>
    <t>MPOAL</t>
  </si>
  <si>
    <t>MPOAI</t>
  </si>
  <si>
    <t>Supply Service Works (SSW) - Supply Alteration</t>
  </si>
  <si>
    <t>Re-arrange connection assets at customer's request</t>
  </si>
  <si>
    <t>Removal, relocation or rearrangement of connection assets at customer request.  Excludes work on metering equipment (if required).</t>
  </si>
  <si>
    <t>Protection and Power Quality assessment after connection</t>
  </si>
  <si>
    <t>Investigation into Power Quality issues including Flicker, Harmonics and DC voltage injection.</t>
  </si>
  <si>
    <t>Temporary de-energisation - no dismantling</t>
  </si>
  <si>
    <t>Temporary de-energisation and re-energisation of supply at the service fuse to allow customer or contractor to work close - no dismantling of service required (i.e. no service line drop).</t>
  </si>
  <si>
    <t>TEMPDEENU</t>
  </si>
  <si>
    <t>TEMPDEENS</t>
  </si>
  <si>
    <t>TEMPDEENL</t>
  </si>
  <si>
    <t>TEMPDEENI</t>
  </si>
  <si>
    <t>Supply Service Works (SSW) - Temporary Isolation</t>
  </si>
  <si>
    <t>LV Service line drop and replace - physical dismantling</t>
  </si>
  <si>
    <t xml:space="preserve">Temporary de-energisation and re-energisation of supply to allow customer or contractor to work close - the service will be physically dismantled or disconnected (e.g. overhead service dropped). </t>
  </si>
  <si>
    <t>LVSLDU</t>
  </si>
  <si>
    <t>LVSLDS</t>
  </si>
  <si>
    <t>LVSLDL</t>
  </si>
  <si>
    <t>LVSLDI</t>
  </si>
  <si>
    <t>HV Service line drop and replace</t>
  </si>
  <si>
    <t>Temporary de-energisation and re-energisation of supply to allow customer or contractor to work close - Isolate and earth</t>
  </si>
  <si>
    <t>HVSLDU</t>
  </si>
  <si>
    <t>HVSLDS</t>
  </si>
  <si>
    <t>HVSLDL</t>
  </si>
  <si>
    <t>HVSLDI</t>
  </si>
  <si>
    <t>Supply enhancement</t>
  </si>
  <si>
    <t>For example, an upgrade from single phase to multi phase and/or increase capacity. Applies to underground and overhead service upgrades.  Excludes work on metering equipment (if required)</t>
  </si>
  <si>
    <t>SUPENHU</t>
  </si>
  <si>
    <t>SUPENHS</t>
  </si>
  <si>
    <t>SUPENHL</t>
  </si>
  <si>
    <t>SUPENHI</t>
  </si>
  <si>
    <t>Provision of connection services above minimum requirements</t>
  </si>
  <si>
    <r>
      <t xml:space="preserve">Customer requests increase in reliability or quality of supply beyond the standard, and/or above minimum regulatory requirements (e.g. reserve feeder).  Excludes work on metering equipment (if required) </t>
    </r>
    <r>
      <rPr>
        <strike/>
        <sz val="8"/>
        <color rgb="FFFF0000"/>
        <rFont val="Arial"/>
        <family val="2"/>
      </rPr>
      <t/>
    </r>
  </si>
  <si>
    <t>Upgrade from overhead to underground service</t>
  </si>
  <si>
    <r>
      <t xml:space="preserve">Requests to convert an existing overhead service to an underground service.  Excludes work on metering equipment (if required) </t>
    </r>
    <r>
      <rPr>
        <strike/>
        <sz val="8"/>
        <color rgb="FFFF0000"/>
        <rFont val="Arial"/>
        <family val="2"/>
      </rPr>
      <t/>
    </r>
  </si>
  <si>
    <t>Rectification of illegal connections or damage to overhead or underground service cables</t>
  </si>
  <si>
    <t>Repair works to re-establish a safe and legal connection due to customer or third party action.  Excludes work on metering equipment (if required)</t>
  </si>
  <si>
    <t>163-M</t>
  </si>
  <si>
    <t>Work on metering equipment for a post connection service, not covered by another metering service.</t>
  </si>
  <si>
    <t xml:space="preserve">Work on metering equipment undertaken by Ergon Energy in conjunction with a  post connection quoted service.  Only applies where this work is not covered by another metering service.
Note:  this service is only available where Ergon Energy is the Default Metering Co-ordinator or Responsible Person for the premises.
</t>
  </si>
  <si>
    <t>GENMU</t>
  </si>
  <si>
    <t>GENMS</t>
  </si>
  <si>
    <t>GENML</t>
  </si>
  <si>
    <t>GENMI</t>
  </si>
  <si>
    <t>De-energisation after business hours</t>
  </si>
  <si>
    <t>Retailer requests de-energisation of the customer's premises after business hours:
- where the de-energisation can be performed (e.g. pole, pillar or meter).
- Main switch sticker</t>
  </si>
  <si>
    <t>DEENAHU</t>
  </si>
  <si>
    <t>DEENAHS</t>
  </si>
  <si>
    <t>DEENAHL</t>
  </si>
  <si>
    <t>DEENAHI</t>
  </si>
  <si>
    <t>De-energisation after Business Hours</t>
  </si>
  <si>
    <t>66-CF</t>
  </si>
  <si>
    <t>Call out fee for de-energisations after business hours</t>
  </si>
  <si>
    <t xml:space="preserve">Travel time to perform a de-energisation after business hours requested by a retailer, and the service is unable to be performed due to customer/retailer fault. </t>
  </si>
  <si>
    <t>CFDEENAHU</t>
  </si>
  <si>
    <t>CFDEENAHS</t>
  </si>
  <si>
    <t>CFDEENAHL</t>
  </si>
  <si>
    <t>CFDEENAHI</t>
  </si>
  <si>
    <t>Re-energisation after business hours</t>
  </si>
  <si>
    <t>Retailer requests re-energisation of a customer's premises after business hours:
- after a physical disconnection and premises requires a visual examination
- following a main switch sticker
- where the customer was previously de-energised for non-payment of their electricity account</t>
  </si>
  <si>
    <t>REENAHU</t>
  </si>
  <si>
    <t>REENAHS</t>
  </si>
  <si>
    <t>REENAHL</t>
  </si>
  <si>
    <t>REENAHI</t>
  </si>
  <si>
    <t>Re-energisation after Business Hours</t>
  </si>
  <si>
    <t>67-VE</t>
  </si>
  <si>
    <t xml:space="preserve">Visual examination after business hours for remote re-energisation </t>
  </si>
  <si>
    <t>Retailer or Metering Co-ordinator requests visual examination during business hours, prior to performing a remote re-energisation. Applies all instances, including where the customer was previously de-energised for non-payment of their electricity account.</t>
  </si>
  <si>
    <t>VEREENAHU</t>
  </si>
  <si>
    <t>VEREENAHS</t>
  </si>
  <si>
    <t>VEREENAHL</t>
  </si>
  <si>
    <t>VEREENAHI</t>
  </si>
  <si>
    <r>
      <t xml:space="preserve">Fixed fee applies (to be consistent with Schedule 8 of </t>
    </r>
    <r>
      <rPr>
        <i/>
        <sz val="8"/>
        <rFont val="Arial"/>
        <family val="2"/>
      </rPr>
      <t>Electricity Regulation 2006</t>
    </r>
    <r>
      <rPr>
        <sz val="8"/>
        <rFont val="Arial"/>
        <family val="2"/>
      </rPr>
      <t>)</t>
    </r>
  </si>
  <si>
    <t>67-CF</t>
  </si>
  <si>
    <t>Call out fee for re-energisations after business hours</t>
  </si>
  <si>
    <t>Travel time to perform a re-energisation or visual examination after business hours requested by a retailer, and the service is unable to be performed due to customer/retailer fault.</t>
  </si>
  <si>
    <t>CFREENAHU</t>
  </si>
  <si>
    <t>CFREENAHS</t>
  </si>
  <si>
    <t>CFREENAHL</t>
  </si>
  <si>
    <t>CFREENAHI</t>
  </si>
  <si>
    <t>Accreditation of alternative service providers - major customer connections</t>
  </si>
  <si>
    <t>Accreditation of service providers that meet competency criteria.
Applies to major customers classified as an Individually Calculated Customer (ICC), Connection Asset Customer (CAC) or Embedded Generator (EG) as per Ergon Energy's pricing proposal.</t>
  </si>
  <si>
    <t>Accreditation of service providers that meet competency criteria.
Applies to real estate developments.</t>
  </si>
  <si>
    <t>Approval of third party design - major customer connections</t>
  </si>
  <si>
    <t>Review, inspection and auditing of design carried out by an alternative service provider prior to energisation.
Applies to major customers classified as an Individually Calculated Customer (ICC), Connection Asset Customer (CAC) or Embedded Generator (EG) as per Ergon Energy's pricing proposal.</t>
  </si>
  <si>
    <t>Approval of third party design - real estate developments</t>
  </si>
  <si>
    <t>Review, inspection and auditing of design carried out by an alternative service provider prior to energisation.
Applies to real estate developments.</t>
  </si>
  <si>
    <t>Construction audit - major customer connections</t>
  </si>
  <si>
    <t>Review, inspection and auditing of construction works carried out by an alternative service provider prior to energisation.
Applies to major customers classified as an Individually Calculated Customer (ICC), Connection Asset Customer (CAC) or Embedded Generator (EG) as per Ergon Energy's pricing proposal.</t>
  </si>
  <si>
    <t>Construction audit - real estate developments</t>
  </si>
  <si>
    <t>Review, inspection and auditing of construction works carried out by an alternative service provider prior to energisation.
Applies to real estate developments.</t>
  </si>
  <si>
    <t>Approval of third party materials</t>
  </si>
  <si>
    <t>Certification of non-approved materials (i.e. approval of non-approved materials to be used on Ergon Energy's network).</t>
  </si>
  <si>
    <t>Metering Service Works -  Install Meter</t>
  </si>
  <si>
    <t>Install new meter (Type 5 and 6) – Single phase –  Primary plus embedded generation</t>
  </si>
  <si>
    <t xml:space="preserve">Installation and provision of a new single phase Type 5 or 6 meter, where allowed by regulation. Applies where there is a primary metering service plus embedded generation.  
Note:  this service is only available in non-grid connected areas of our network (isolated feeders and feeders in Mount Isa-Cloncurry supply network).  </t>
  </si>
  <si>
    <t>NMSPEGU</t>
  </si>
  <si>
    <t>NMSPEGS</t>
  </si>
  <si>
    <t>NMSPEGL</t>
  </si>
  <si>
    <t>NMSPEGI</t>
  </si>
  <si>
    <t>Install new meter (Type 5 and 6) – Dual element – Primary plus controlled load</t>
  </si>
  <si>
    <t xml:space="preserve">Installation and provision of a new dual element Type 5 or 6 meter, where allowed by regulation.  Applies where there is a primary metering service plus controlled load. 
Note:  this service is only available in non-grid connected areas of our network (isolated feeders and feeders in Mount Isa-Cloncurry supply network).  </t>
  </si>
  <si>
    <t>NMDPCLU</t>
  </si>
  <si>
    <t>NMDPCLS</t>
  </si>
  <si>
    <t>NMDPCLL</t>
  </si>
  <si>
    <t>NMDPCLI</t>
  </si>
  <si>
    <t>Install new meter (Type 5 and 6) – Dual element – Primary plus controlled load plus embedded generation</t>
  </si>
  <si>
    <t xml:space="preserve">Installation and provision of a new dual element Type 5 or 6 meter, where allowed by regulation.  Applies where there is a primary metering service plus controlled load plus embedded generation.
Note:  this service is only available in non-grid connected areas of our network (isolated feeders and feeders in Mount Isa-Cloncurry supply network).  </t>
  </si>
  <si>
    <t>NMDPCLEGU</t>
  </si>
  <si>
    <t>NMDPCLEGS</t>
  </si>
  <si>
    <t>NMDPCLEGL</t>
  </si>
  <si>
    <t>NMDPCLEGI</t>
  </si>
  <si>
    <t>Install new meter (Type 5 and 6) – Polyphase – Primary</t>
  </si>
  <si>
    <t xml:space="preserve">Installation and provision of a new polyphase Type 5 or 6 meter, where allowed by regulation. Applies where there is a primary metering service.
Note:  this service is only available in non-grid connected areas of our network (isolated feeders and feeders in Mount Isa-Cloncurry supply network).  </t>
  </si>
  <si>
    <t>NMPPU</t>
  </si>
  <si>
    <t>NMPPS</t>
  </si>
  <si>
    <t>NMPPL</t>
  </si>
  <si>
    <t>NMPPI</t>
  </si>
  <si>
    <t>Install new meter (Type 5 and 6) – Polyphase – Primary plus embedded generation</t>
  </si>
  <si>
    <t xml:space="preserve">Installation and provision of a new polyphase Type 5 or 6 meter, where allowed by regulation. Applies where there is a primary metering service plus embedded generation.
Note:  this service is only available in non-grid connected areas of our network (isolated feeders and feeders in Mount Isa-Cloncurry supply network).  </t>
  </si>
  <si>
    <t>NMPPEGU</t>
  </si>
  <si>
    <t>NMPPEGS</t>
  </si>
  <si>
    <t>NMPPEGL</t>
  </si>
  <si>
    <t>NMPPEGI</t>
  </si>
  <si>
    <t>Install new meter (CT) – Primary</t>
  </si>
  <si>
    <t xml:space="preserve">Installation and provision of a new CT meter, where allowed by regulation. Applies where there is a primary metering service.
Note:  this service is only available in non-grid connected areas of our network (isolated feeders and feeders in Mount Isa-Cloncurry supply network).  </t>
  </si>
  <si>
    <t>NMCTPU</t>
  </si>
  <si>
    <t>NMCTPS</t>
  </si>
  <si>
    <t>NMCTPL</t>
  </si>
  <si>
    <t>NMCTPI</t>
  </si>
  <si>
    <t>Install new meter (CT) – Primary plus embedded generation</t>
  </si>
  <si>
    <t xml:space="preserve">Installation and provision of a new CT meter, where allowed by regulation. Applies where there is a primary metering service plus embedded generation.
Note:  this service is only available in non-grid connected areas of our network (isolated feeders and feeders in Mount Isa-Cloncurry supply network).  </t>
  </si>
  <si>
    <t>NMCTPEGU</t>
  </si>
  <si>
    <t>NMCTPEGS</t>
  </si>
  <si>
    <t>NMCTPEGL</t>
  </si>
  <si>
    <t>NMCTPEGI</t>
  </si>
  <si>
    <t xml:space="preserve">Install additional single phase meter for controlled load purposes </t>
  </si>
  <si>
    <t xml:space="preserve">Installation and provision of an additional single phase Type 5 or 6 meter for controlled load purposes, where allowed by regulation.
Note:  this service is only available in non-grid connected areas of our network (isolated feeders and feeders in Mount Isa-Cloncurry supply network).  </t>
  </si>
  <si>
    <t>ADSPCLU</t>
  </si>
  <si>
    <t>ADSPCLS</t>
  </si>
  <si>
    <t>ADSPCLL</t>
  </si>
  <si>
    <t>ADSPCLI</t>
  </si>
  <si>
    <t xml:space="preserve">Install additional polyphase meter for controlled load purposes </t>
  </si>
  <si>
    <t xml:space="preserve">Installation and provision of an additional polyphase Type 5 or 6 meter for controlled load purposes.
Note:  this service is only available in non-grid connected areas of our network (isolated feeders and feeders in Mount Isa-Cloncurry supply network).  </t>
  </si>
  <si>
    <t>ADPPCLU</t>
  </si>
  <si>
    <t>ADPPCLS</t>
  </si>
  <si>
    <t>ADPPCLL</t>
  </si>
  <si>
    <t>ADPPCLI</t>
  </si>
  <si>
    <t xml:space="preserve">Install additional meter (CT) for controlled load purposes </t>
  </si>
  <si>
    <t xml:space="preserve">Installation and provision of an additional meter (CT) for controlled load purposes.
Note:  this service is only available in non-grid connected areas of our network (isolated feeders and feeders in Mount Isa-Cloncurry supply network).  </t>
  </si>
  <si>
    <t>ADCTCLU</t>
  </si>
  <si>
    <t>ADCTCLS</t>
  </si>
  <si>
    <t>ADCTCLL</t>
  </si>
  <si>
    <t>ADCTCLI</t>
  </si>
  <si>
    <t xml:space="preserve">Install additional single phase meter to accommodate additional tariffs other than controlled load </t>
  </si>
  <si>
    <t xml:space="preserve">Installation and provision of an additional single phase Type 5 or 6 meter to accommodate additional tariffs other than controlled load.
Note:  this service is only available in non-grid connected areas of our network (isolated feeders and feeders in Mount Isa-Cloncurry supply network).  </t>
  </si>
  <si>
    <t>ADSPATU</t>
  </si>
  <si>
    <t>ADSPATS</t>
  </si>
  <si>
    <t>ADSPATL</t>
  </si>
  <si>
    <t>ADSPATI</t>
  </si>
  <si>
    <t xml:space="preserve">Install additional polyphase meter to accommodate additional tariffs other than controlled load </t>
  </si>
  <si>
    <t xml:space="preserve">Installation and provision of an additional polyphase Type 5 or 6 meter to accommodate additional tariffs other than controlled load.
Note:  this service is only available in non-grid connected areas of our network (isolated feeders and feeders in Mount Isa-Cloncurry supply network).  </t>
  </si>
  <si>
    <t>ADPPATU</t>
  </si>
  <si>
    <t>ADPPATS</t>
  </si>
  <si>
    <t>ADPPATL</t>
  </si>
  <si>
    <t>ADPPATI</t>
  </si>
  <si>
    <t xml:space="preserve">Install additional meter (CT) to accommodate additional tariffs other than controlled load </t>
  </si>
  <si>
    <t xml:space="preserve">Installation and provision of an additional meter (CT) to accommodate additional tariffs other than controlled load.
Note:  this service is only available in non-grid connected areas of our network (isolated feeders and feeders in Mount Isa-Cloncurry supply network).  </t>
  </si>
  <si>
    <t>ADCTATU</t>
  </si>
  <si>
    <t>ADCTATS</t>
  </si>
  <si>
    <t>ADCTATL</t>
  </si>
  <si>
    <t>ADCTATI</t>
  </si>
  <si>
    <t xml:space="preserve">Install new single phase meter to accommodate embedded generation installation </t>
  </si>
  <si>
    <t xml:space="preserve">Installation and provision of a new single phase Type 5 or 6 meter to accommodate an embedded generation installation. 
Note:  this service is only available in non-grid connected areas of our network (isolated feeders and feeders in Mount Isa-Cloncurry supply network).  </t>
  </si>
  <si>
    <t>NSPAEGU</t>
  </si>
  <si>
    <t>NSPAEGS</t>
  </si>
  <si>
    <t>NSPAEGL</t>
  </si>
  <si>
    <t>NSPAEGI</t>
  </si>
  <si>
    <t xml:space="preserve">Install new polyphase meter to accommodate embedded generation installation </t>
  </si>
  <si>
    <t xml:space="preserve">Installation and provision of a new polyphase Type 5 or 6 meter to accommodate an embedded generation installation. 
Note:  this service is only available in non-grid connected areas of our network (isolated feeders and feeders in Mount Isa-Cloncurry supply network).  </t>
  </si>
  <si>
    <t>NPPAEGU</t>
  </si>
  <si>
    <t>NPPAEGS</t>
  </si>
  <si>
    <t>NPPAEGL</t>
  </si>
  <si>
    <t>NPPAEGI</t>
  </si>
  <si>
    <t xml:space="preserve">Install new meter (CT) to accommodate embedded generation installation </t>
  </si>
  <si>
    <t xml:space="preserve">Installation and provision of a new meter (CT) to accommodate an embedded generation installation.
Note:  this service is only available in non-grid connected areas of our network (isolated feeders and feeders in Mount Isa-Cloncurry supply network).  </t>
  </si>
  <si>
    <t>NCTAEGU</t>
  </si>
  <si>
    <t>NCTAEGS</t>
  </si>
  <si>
    <t>NCTAEGL</t>
  </si>
  <si>
    <t>NCTAEGI</t>
  </si>
  <si>
    <t>157-CF</t>
  </si>
  <si>
    <t>Call out fee for install new meter (Type 5 and 6) - Single phase</t>
  </si>
  <si>
    <t>Travel time to perform the installation of a new meter requested by a retailer or customer, and the service is unable to be performed due to customer/retailer fault.
Note: Call out fees for new meters are only applicable in non-grid connected areas of our network (isolated feeders and feeders in Mount Isa-Cloncurry supply network)</t>
  </si>
  <si>
    <t>CFNMSPU</t>
  </si>
  <si>
    <t>CFNMSPS</t>
  </si>
  <si>
    <t>CFNMSPL</t>
  </si>
  <si>
    <t>CFNMSPI</t>
  </si>
  <si>
    <t>158-CF</t>
  </si>
  <si>
    <t>Call out fee for install new meter (Type 5 and 6) - Dual element</t>
  </si>
  <si>
    <r>
      <t>Travel time to perform the installation of a new meter requested by a retailer or customer, and the service is unable to be performed due to customer/retailer fault.</t>
    </r>
    <r>
      <rPr>
        <strike/>
        <sz val="8"/>
        <rFont val="Arial"/>
        <family val="2"/>
      </rPr>
      <t xml:space="preserve">
</t>
    </r>
    <r>
      <rPr>
        <sz val="8"/>
        <rFont val="Arial"/>
        <family val="2"/>
      </rPr>
      <t>Note: Call out fees for new meters are only applicable in non-grid connected areas of our network (isolated feeders and feeders in Mount Isa-Cloncurry supply network)</t>
    </r>
  </si>
  <si>
    <t>CFNMDUALU</t>
  </si>
  <si>
    <t>CFNMDUALS</t>
  </si>
  <si>
    <t>CFNMDUALL</t>
  </si>
  <si>
    <t>CFNMDUALI</t>
  </si>
  <si>
    <t>159-CF</t>
  </si>
  <si>
    <t>Call out fee for install new meter (Type 5 and 6) - Polyphase</t>
  </si>
  <si>
    <r>
      <t xml:space="preserve">Travel time to perform the installation of a new meter </t>
    </r>
    <r>
      <rPr>
        <strike/>
        <sz val="8"/>
        <rFont val="Arial"/>
        <family val="2"/>
      </rPr>
      <t xml:space="preserve"> </t>
    </r>
    <r>
      <rPr>
        <sz val="8"/>
        <rFont val="Arial"/>
        <family val="2"/>
      </rPr>
      <t>requested by a retailer or customer, and the service is unable to be performed due to customer/retailer fault.</t>
    </r>
    <r>
      <rPr>
        <strike/>
        <sz val="8"/>
        <rFont val="Arial"/>
        <family val="2"/>
      </rPr>
      <t xml:space="preserve">
</t>
    </r>
    <r>
      <rPr>
        <sz val="8"/>
        <rFont val="Arial"/>
        <family val="2"/>
      </rPr>
      <t>Note: Call out fees for new meters are only applicable in non-grid connected areas of our network (isolated feeders and feeders in Mount Isa-Cloncurry supply network)</t>
    </r>
  </si>
  <si>
    <t>CFNMTHREU</t>
  </si>
  <si>
    <t>CFNMTHRES</t>
  </si>
  <si>
    <t>CFNMTHREL</t>
  </si>
  <si>
    <t>CFNMTHREI</t>
  </si>
  <si>
    <t>160-CF</t>
  </si>
  <si>
    <t xml:space="preserve">Call out fee for install new meter (CT) </t>
  </si>
  <si>
    <r>
      <t xml:space="preserve">Travel time to perform the installation of a new meter  requested by a retailer or customer, and the service is unable to be performed due to customer/retailer fault. </t>
    </r>
    <r>
      <rPr>
        <strike/>
        <sz val="8"/>
        <rFont val="Arial"/>
        <family val="2"/>
      </rPr>
      <t xml:space="preserve">
</t>
    </r>
    <r>
      <rPr>
        <sz val="8"/>
        <rFont val="Arial"/>
        <family val="2"/>
      </rPr>
      <t>Note: Call out fees for new meters are only applicable in non-grid connected areas of our network (isolated feeders and feeders in Mount Isa-Cloncurry supply network)</t>
    </r>
  </si>
  <si>
    <t>CFNMCTU</t>
  </si>
  <si>
    <t>CFNMCTS</t>
  </si>
  <si>
    <t>CFNMCTL</t>
  </si>
  <si>
    <t>CFNMCTI</t>
  </si>
  <si>
    <t>Auxiliary metering services</t>
  </si>
  <si>
    <t>Special meter read</t>
  </si>
  <si>
    <t xml:space="preserve">Off-cycle meter read, during business hours.  Does not include final meter reads which are included in Default Metering Services.
Note:  this service is only available where Ergon Energy is the default Metering Co-ordinator or Responsible Person for the premises.   </t>
  </si>
  <si>
    <t>SPMTRRDU</t>
  </si>
  <si>
    <t>SPMTRRDS</t>
  </si>
  <si>
    <t>SPMTRRDL</t>
  </si>
  <si>
    <t>SPMTRRDI</t>
  </si>
  <si>
    <t>Special Read 
Check Read</t>
  </si>
  <si>
    <t>74-CF</t>
  </si>
  <si>
    <t>Call out fee for special meter read</t>
  </si>
  <si>
    <t>Travel time to perform a special meter read requested by a retailer, and the service is unable to be completed due to customer/retailer fault.  Does not include final meter reads.</t>
  </si>
  <si>
    <t>CFSPMTRRDU</t>
  </si>
  <si>
    <t>CFSPMTRRDS</t>
  </si>
  <si>
    <t>CFSPMTRRDL</t>
  </si>
  <si>
    <t>CFSPMTRRDI</t>
  </si>
  <si>
    <t>Meter test</t>
  </si>
  <si>
    <t xml:space="preserve">Customer requested meter accuracy testing of Ergon Energy whole current Type 5 and 6 meter. Also includes meter tests by Ergon Energy for Ergon Energy meters attached to a CT. 
Only available where meter installed and operational.
Note:  this service is only available where Ergon Energy is the default Metering Co-ordinator or Responsible Person for the premises.   </t>
  </si>
  <si>
    <t>MTRTESTU</t>
  </si>
  <si>
    <t>MTRTESTS</t>
  </si>
  <si>
    <t>MTRTESTL</t>
  </si>
  <si>
    <t>MTRTESTI</t>
  </si>
  <si>
    <t>Metering Service Works (MSW) - Meter Investigation Test</t>
  </si>
  <si>
    <t>75-CF</t>
  </si>
  <si>
    <t>Call out fee for meter test</t>
  </si>
  <si>
    <t xml:space="preserve">Travel time to perform a meter test requested by a retailer, and the service is unable to be completed due to customer/retailer fault.  </t>
  </si>
  <si>
    <t>CFMTRTESTU</t>
  </si>
  <si>
    <t>CFMTRTESTS</t>
  </si>
  <si>
    <t>CFMTRTESTL</t>
  </si>
  <si>
    <t>CFMTRTESTI</t>
  </si>
  <si>
    <t>Meter inspection and investigation on request</t>
  </si>
  <si>
    <t xml:space="preserve">A request to conduct a site review of the state of the customer's metering installation without physically testing the metering equipment.
Note:  this service is only available where Ergon Energy is the default Metering Co-ordinator or Responsible Person for the premises.   </t>
  </si>
  <si>
    <t>MTRINSPU</t>
  </si>
  <si>
    <t>MTRINSPS</t>
  </si>
  <si>
    <t>MTRINSPL</t>
  </si>
  <si>
    <t>MTRINSPI</t>
  </si>
  <si>
    <t>Metering Service Works (MSW) - Meter Investigation Inspect</t>
  </si>
  <si>
    <t>Metering alteration</t>
  </si>
  <si>
    <t xml:space="preserve">Meter is being relocated or meter wiring altered and requires Ergon Energy to visit site to verify the integrity of the metering equipment.
Note:  this service is only available where Ergon Energy is the default Metering Co-ordinator or Responsible Person for the premises.   </t>
  </si>
  <si>
    <t>MOVEMTRU</t>
  </si>
  <si>
    <t>MOVEMTRS</t>
  </si>
  <si>
    <t>MOVEMTRL</t>
  </si>
  <si>
    <t>MOVEMTRI</t>
  </si>
  <si>
    <t>Metering Service Works (MSW) - Move Meter</t>
  </si>
  <si>
    <t>Exchange meter</t>
  </si>
  <si>
    <t>Like for like meter exchange on request, unless not allowed by regulation
Note:  this service is only available for non-grid connected areas of our network (isolated feeders and the Mount Isa-Cloncurry supply network)</t>
  </si>
  <si>
    <t>MTRREPU</t>
  </si>
  <si>
    <t>MTRREPS</t>
  </si>
  <si>
    <t>MTRREPL</t>
  </si>
  <si>
    <t>MTRREPI</t>
  </si>
  <si>
    <t>Metering Service Works (MSW) - Exchange Meter</t>
  </si>
  <si>
    <t>Type 5 to 7 non-standard metering services</t>
  </si>
  <si>
    <t>Provision of Type 5 to 7 metering services above minimum requirements, unless not allowed by regulation. For example:
- provision, installation and maintenance of meters above minimum requirements (i.e. installation of a non-standard meter above minimum regulatory requirements on request)
- provision of metering data above minimum requirements (such as urgent delivery, summarisation of metering data, historical metering data prior to the previous 2 years etc.)
- provision of time of use metering data (provision of half hourly data on request if available. Collection and processing of probe read data from accumulation read interval capable meters on a one off basis.)
- provision of energy pulsing output for a customer
- interface to building management system
Note:  where a new or replacement meter is deemed to be required, Ergon Energy is only able to undertake this work in non-grid connected areas of our network (Isolated feeders and Mount Isa-Cloncurry supply network)</t>
  </si>
  <si>
    <t>Removal of a meter (Type 5 &amp; 6)</t>
  </si>
  <si>
    <t xml:space="preserve">Removal of a meter on request when an existing Type 5 or 6 meter remains installed at the premises. Includes – remove meter and re-commission installation; no re-wiring required.
Note:  this service is only available where Ergon Energy is the default Metering Co-ordinator or Responsible Person for the premises.   </t>
  </si>
  <si>
    <t>RMMTRU</t>
  </si>
  <si>
    <t>RMMTRS</t>
  </si>
  <si>
    <t>RMMTRL</t>
  </si>
  <si>
    <t>RMMTRI</t>
  </si>
  <si>
    <t>Metering Service Works (MSW) - 
Remove  Meter</t>
  </si>
  <si>
    <t>Meter re-seal</t>
  </si>
  <si>
    <t xml:space="preserve">Where the customer has caused the meter to need re-sealing (e.g. by having electrical work done on site)
Note:  this service is only available where Ergon Energy is the default Metering Co-ordinator or Responsible Person for the premises.   </t>
  </si>
  <si>
    <t>MTRSEALU</t>
  </si>
  <si>
    <t>MTRSEALS</t>
  </si>
  <si>
    <t>MTRSEALL</t>
  </si>
  <si>
    <t>MTRSEALI</t>
  </si>
  <si>
    <t>Metering Service Works (MSW) - Reseal Device</t>
  </si>
  <si>
    <t>Install new or replacement meter - after hours</t>
  </si>
  <si>
    <t xml:space="preserve">Installation and provision after hours of a Type 5 and 6 or CT meter on or after 1 July 2015.  All feeder types.
Note:  this service is only available in non-grid connected areas of our network (isolated feeders and feeders in Mount Isa-Cloncurry supply network).  </t>
  </si>
  <si>
    <t>NRMAHU</t>
  </si>
  <si>
    <t>NRMAHS</t>
  </si>
  <si>
    <t>NRMAHL</t>
  </si>
  <si>
    <t>NRMAHI</t>
  </si>
  <si>
    <t>Metering Service Works (MSW) - 
Install Meter</t>
  </si>
  <si>
    <t>Change time switch</t>
  </si>
  <si>
    <t>Change to time switch setting</t>
  </si>
  <si>
    <t>CHTSRAU</t>
  </si>
  <si>
    <t>CHTSRAS</t>
  </si>
  <si>
    <t>CHTSRAL</t>
  </si>
  <si>
    <t>CHTSRAI</t>
  </si>
  <si>
    <t>Metering Service Works (MSW) -  Change Time switch</t>
  </si>
  <si>
    <t>Change tariff</t>
  </si>
  <si>
    <t>Request to reprogram meter due to change in tariff (including adding or removing a tariff) and/or time of use setting (except for controlled load timing changes)
Note:  this service is only available where Ergon Energy is the default Metering Co-ordinator or Responsible Person for the premises.   
Where a new or replacement meter is required to support a change in tariff, Ergon Energy is only able to undertake this work in non-grid connected areas of our network (Isolated feeders and feeders in Mount Isa-Cloncurry supply network).</t>
  </si>
  <si>
    <t>CHTARIFU</t>
  </si>
  <si>
    <t>CHTARIFS</t>
  </si>
  <si>
    <t>CHTARIFL</t>
  </si>
  <si>
    <t>CHTARIFI</t>
  </si>
  <si>
    <t xml:space="preserve">Supply Service Works (MSW) -  Tariff Change
</t>
  </si>
  <si>
    <t>Reprogram card meters</t>
  </si>
  <si>
    <t xml:space="preserve">Attend and reprogram card meters to reflect retail tariffs, outside scheduled visit
Note:  this service is only available where Ergon Energy is the default Metering Co-ordinator or Responsible Person for the premises.   </t>
  </si>
  <si>
    <t>PRCDMTRU</t>
  </si>
  <si>
    <t>PRCDMTRS</t>
  </si>
  <si>
    <t>PRCDMTRL</t>
  </si>
  <si>
    <t>PRCDMTRI</t>
  </si>
  <si>
    <t>Metering Service Works (MSW) - Meter Reconfiguration</t>
  </si>
  <si>
    <t>Install metering related load control</t>
  </si>
  <si>
    <t>Installation of customer load control initiated and managed via the meter
Note:  where a new or replacement meter is deemed to be required, Ergon Energy is only able to undertake this work in non-grid connected areas of our network (Isolated feeders and Mount Isa-Cloncurry supply network)</t>
  </si>
  <si>
    <t>INMTRLDCU</t>
  </si>
  <si>
    <t>INMTRLDCS</t>
  </si>
  <si>
    <t>INMTRLDCL</t>
  </si>
  <si>
    <t>INMTRLDCI</t>
  </si>
  <si>
    <t>Metering Service Works (MSW) -  Install Controlled Load</t>
  </si>
  <si>
    <t>Removal of load control device</t>
  </si>
  <si>
    <t>Remove load control relay or time clock on request</t>
  </si>
  <si>
    <t>RMLDCRLU</t>
  </si>
  <si>
    <t>RMLDCRLS</t>
  </si>
  <si>
    <t>RMLDCRLL</t>
  </si>
  <si>
    <t>RMLDCRLI</t>
  </si>
  <si>
    <t>Metering Service Works (MSW) - Remove Meter</t>
  </si>
  <si>
    <t>Change load control relay channel</t>
  </si>
  <si>
    <t>Change load control relay channel at retailer, customer or other third party request that is not part of initial load control installation, nor part of standard asset maintenance or replacement.</t>
  </si>
  <si>
    <t>CHLDCRCU</t>
  </si>
  <si>
    <t>CHLDCRCS</t>
  </si>
  <si>
    <t>CHLDCRCL</t>
  </si>
  <si>
    <t>CHLDCRCI</t>
  </si>
  <si>
    <t>Supply Service Works -  Tariff Change</t>
  </si>
  <si>
    <t>Ancillary Network Services</t>
  </si>
  <si>
    <t>Services provided in relation to a Retailer of Last Resort (ROLR) event</t>
  </si>
  <si>
    <t>Services Ergon Energy provides when a ROLR event occurs</t>
  </si>
  <si>
    <t>Non-standard network data requests</t>
  </si>
  <si>
    <t>Customer requests provision of electricity network data requiring customised investigation, analysis or technical input (e.g. requests for pole assess information and zone substation data)</t>
  </si>
  <si>
    <t>Provision of services for approved unmetered supplies</t>
  </si>
  <si>
    <t>Provision of services, other than standard connection, for approved unmetered equipment, public telephones, traffic lights and public BBQs.
Includes attendance on site to verify a load change, following a customer request to increase or decrease the load of a network connected unmetered supply device.</t>
  </si>
  <si>
    <t>UNMTRSVCU</t>
  </si>
  <si>
    <t>UNMTRSVCS</t>
  </si>
  <si>
    <t>UNMTRSVCL</t>
  </si>
  <si>
    <t>UNMTRSVCI</t>
  </si>
  <si>
    <t>92-CR</t>
  </si>
  <si>
    <t>Customer ,retailer or third party requested appointments</t>
  </si>
  <si>
    <r>
      <t>Works initiated by a customer, retailer</t>
    </r>
    <r>
      <rPr>
        <sz val="8"/>
        <color rgb="FFFF0000"/>
        <rFont val="Arial"/>
        <family val="2"/>
      </rPr>
      <t xml:space="preserve"> </t>
    </r>
    <r>
      <rPr>
        <sz val="8"/>
        <rFont val="Arial"/>
        <family val="2"/>
      </rPr>
      <t>or third party which are not covered by another service and are not required for the efficient management of the network, or to satisfy distributor purposes or obligations.  Includes, but is not limited to:
- restoration of supply due to customer action</t>
    </r>
    <r>
      <rPr>
        <sz val="8"/>
        <color rgb="FFFF0000"/>
        <rFont val="Arial"/>
        <family val="2"/>
      </rPr>
      <t xml:space="preserve"> </t>
    </r>
    <r>
      <rPr>
        <sz val="8"/>
        <rFont val="Arial"/>
        <family val="2"/>
      </rPr>
      <t xml:space="preserve">
- re-test at customer's installation (i.e. customer has submitted Form A and the Retailer has issued a Service Order Request, but installation fails test and cannot be connected, requiring a re-test of the installation)
- safety observer
- tree trimming
- switching
- cable bundling
- checking pump size for tariff eligibility.</t>
    </r>
  </si>
  <si>
    <t>CUSTAPTU</t>
  </si>
  <si>
    <t>CUSTAPTS</t>
  </si>
  <si>
    <t>CUSTAPTL</t>
  </si>
  <si>
    <t>CUSTAPTI</t>
  </si>
  <si>
    <t>92-MC</t>
  </si>
  <si>
    <t>Metering Co-ordinator requested appointments</t>
  </si>
  <si>
    <t>Works initiated by a Metering Co-ordinator, which are not covered by another service and are not required for the efficient management of the network, or to satisfy distributor purposes or obligations.  Includes but is not limited to:
-  temporary isolation of power to allow an alternative provider to work on their metering installation
- restoration of supply due to fault with another provider's metering installation</t>
  </si>
  <si>
    <t>MCAPTU</t>
  </si>
  <si>
    <t>MCAPTS</t>
  </si>
  <si>
    <t>MCAPTL</t>
  </si>
  <si>
    <t>MCAPTI</t>
  </si>
  <si>
    <t>Removal/rearrangement of network assets</t>
  </si>
  <si>
    <t>Removal, relocation or rearrangement of network assets (other than connection assets) at customer request, that would not otherwise have been required for the efficient management of the network.</t>
  </si>
  <si>
    <t>Aerial markers</t>
  </si>
  <si>
    <t>Installation of aerial markers (or Powerlink Hazard Identifiers) on service lines</t>
  </si>
  <si>
    <t>Tiger tails</t>
  </si>
  <si>
    <t>Installation of covers on service lines</t>
  </si>
  <si>
    <t>Assessment for Non-Exporting embedded generator applications</t>
  </si>
  <si>
    <t>Services associated with assessing a generator on a customer's installation which will not be exporting into the distribution system.  Includes costs associated with preparing a Consent Agreement.</t>
  </si>
  <si>
    <t>Witness testing</t>
  </si>
  <si>
    <t>Witnessing of testing carried out at the customer's installation by the connection applicant where reasonably required or requested (e.g. as the result of the introduction of a parallel generator on a customer's installation)</t>
  </si>
  <si>
    <t>Removal/rearrangement of public lighting assets</t>
  </si>
  <si>
    <t>Relocation, rearrangement and removal of existing public light assets and energy efficient retrofit</t>
  </si>
  <si>
    <t>A daily charge that recovers the capital cost of Type 5 and 6 meters installed before 1 July 2015.  Applies to the primary metering service.
This daily charge applies to customers with existing connections (before 1 July 2015) and new installations (on or after 1 July 2015).  It does not apply to meter replacements and additional meters required to accommodate additional tariffs other than controlled load.</t>
  </si>
  <si>
    <t>A supplementary daily charge that recovers the capital cost of Type 5 and 6 meters installed before 1 July 2015.  Applies to each secondary controlled load.
This daily charge applies to customers with existing connections (before 1 July 2015) and new installations (on or after 1 July 2015).  It does not apply to meter replacements and additional meters required to accommodate additional tariffs other than controlled load.</t>
  </si>
  <si>
    <t>Additional Product Codes and Ellipse Cost Codes -</t>
  </si>
  <si>
    <t>Generic Call Out Fee - customer/retailer fault (quoted services only)</t>
  </si>
  <si>
    <t>GENCF</t>
  </si>
  <si>
    <t>Generic Call out Fee - Metering Co-ordinator fault (quoted services only)</t>
  </si>
  <si>
    <t>GENCFMC</t>
  </si>
  <si>
    <t>No Charge Product Code</t>
  </si>
  <si>
    <t xml:space="preserve">ACS Isolated Feeder </t>
  </si>
  <si>
    <t>Service undertaken</t>
  </si>
  <si>
    <t>No service undertaken due to fault of another party 
(Call out fee)</t>
  </si>
  <si>
    <t>Primary Service</t>
  </si>
  <si>
    <t>Metering Component (MC Fee)</t>
  </si>
  <si>
    <t>(Call out fee)</t>
  </si>
  <si>
    <t>Fee based services (urban/short rural)</t>
  </si>
  <si>
    <t>Fee based services (long rural/isolated)</t>
  </si>
  <si>
    <t>Quoted Services</t>
  </si>
  <si>
    <t>GENCF*</t>
  </si>
  <si>
    <t>GENCFMC*</t>
  </si>
  <si>
    <t>Note:</t>
  </si>
  <si>
    <t>GENCF is a generic call out fee product code, which may be applied to certain Quoted Services.   Call outs may not be applicable for some quoted services.</t>
  </si>
  <si>
    <t>GENCFMC  is a variation of the GENCF product code, and may be applied where the Metering Co-ordinator is identified to be at fault.</t>
  </si>
  <si>
    <t>GENM is a generic metering component product code, which may be applied to certain Quoted Services (i.e. where another existing metering service doesn't apply).  Product code variants include GENMU, GENMS, GENML, GENMI</t>
  </si>
  <si>
    <t>Preliminary prices as Schedule 8 prices are yet to be published</t>
  </si>
  <si>
    <t xml:space="preserve">Preliminary Draft - Prices subject to Schedule 8 maximum price caps are indicative only </t>
  </si>
  <si>
    <t>Public Lighting Exit Fee</t>
  </si>
  <si>
    <t>Public Lighting Removal/rearrangement</t>
  </si>
  <si>
    <t>Call out fee - Final Meter Read</t>
  </si>
  <si>
    <t/>
  </si>
  <si>
    <t>Temporary connection, not in permanent position - multi phase metered - urban/short rural feeders</t>
  </si>
  <si>
    <t>GENM series or applicable Metering Service product code**</t>
  </si>
  <si>
    <t>TARIFFS APPLYING TO CONNECTION ASSET CUSTOMERS 
GST Exclusive</t>
  </si>
  <si>
    <t>TARIFFS APPLYING TO CONNECTION ASSET CUSTOMERS 
SEASONAL TIME-OF-USE-DEMAND 
GST Exclusive</t>
  </si>
  <si>
    <t>2019-20 Rates</t>
  </si>
  <si>
    <t xml:space="preserve">                       2019-20 network tariffs for Connection Asset Customers</t>
  </si>
  <si>
    <t xml:space="preserve">                      2019-20 network tariffs for Standard Asset Customers &gt;100 MWh per annum</t>
  </si>
  <si>
    <t xml:space="preserve">                      2019-20 network tariffs for Standard Asset Customers &lt;100 MWh per annum</t>
  </si>
  <si>
    <t xml:space="preserve">                      2019-20 network tariffs for Standard Asset Customers - Unmetered</t>
  </si>
  <si>
    <t xml:space="preserve">                      2019-20 Distribution Loss Factors</t>
  </si>
  <si>
    <t xml:space="preserve">                       2019-20 additional network tariffs for micro-embedded generating units</t>
  </si>
  <si>
    <t xml:space="preserve">                      2019-20 Network Tariff Codes</t>
  </si>
  <si>
    <t>2019-20 Price List for Alternative Control Services</t>
  </si>
  <si>
    <t xml:space="preserve">                      2019-20 ACS tariffs by tariff class</t>
  </si>
  <si>
    <t>Ergon Energy 2019-20 Distribution Loss Factors</t>
  </si>
  <si>
    <t>Site Specific DLF's</t>
  </si>
  <si>
    <t xml:space="preserve">NMI </t>
  </si>
  <si>
    <t xml:space="preserve">DLF CODE </t>
  </si>
  <si>
    <t>GS06</t>
  </si>
  <si>
    <t>GS86</t>
  </si>
  <si>
    <t>GS89</t>
  </si>
  <si>
    <t>GBSB</t>
  </si>
  <si>
    <t>GS22</t>
  </si>
  <si>
    <t>GS84</t>
  </si>
  <si>
    <t>GS90</t>
  </si>
  <si>
    <t>QAAABW0000</t>
  </si>
  <si>
    <t>QAAABW0001</t>
  </si>
  <si>
    <t>GS51</t>
  </si>
  <si>
    <t>QAAABW0002</t>
  </si>
  <si>
    <t>GS02</t>
  </si>
  <si>
    <t>QAAABW0041</t>
  </si>
  <si>
    <t>GS62</t>
  </si>
  <si>
    <t>QAAABX0012</t>
  </si>
  <si>
    <t>GS70</t>
  </si>
  <si>
    <t>QAAABX0014</t>
  </si>
  <si>
    <t>GS69</t>
  </si>
  <si>
    <t>QAAALV0000</t>
  </si>
  <si>
    <t>QAAALV0001</t>
  </si>
  <si>
    <t>QAAALV0002</t>
  </si>
  <si>
    <t>QAAALV0004</t>
  </si>
  <si>
    <t>QAAALX0000</t>
  </si>
  <si>
    <t>GS12</t>
  </si>
  <si>
    <t>QAAAMR0000</t>
  </si>
  <si>
    <t>QAAAMR0001</t>
  </si>
  <si>
    <t>GS13</t>
  </si>
  <si>
    <t>QAAARG0000</t>
  </si>
  <si>
    <t>GS14</t>
  </si>
  <si>
    <t>QCCC000002</t>
  </si>
  <si>
    <t>GS18</t>
  </si>
  <si>
    <t>QCCC000003</t>
  </si>
  <si>
    <t>QCCC000004</t>
  </si>
  <si>
    <t>GS19</t>
  </si>
  <si>
    <t>QCCC000012</t>
  </si>
  <si>
    <t>GS85</t>
  </si>
  <si>
    <t>QCCC000018</t>
  </si>
  <si>
    <t>GS83</t>
  </si>
  <si>
    <t>QCCC000020</t>
  </si>
  <si>
    <t>GS82</t>
  </si>
  <si>
    <t>QDDD000003</t>
  </si>
  <si>
    <t>GS21</t>
  </si>
  <si>
    <t>QDDD000005</t>
  </si>
  <si>
    <t>QDDD000028</t>
  </si>
  <si>
    <t>GS87</t>
  </si>
  <si>
    <t>QDDD003342</t>
  </si>
  <si>
    <t>GS88</t>
  </si>
  <si>
    <t>QDDD003345</t>
  </si>
  <si>
    <t>GS77</t>
  </si>
  <si>
    <t>QEMS000001</t>
  </si>
  <si>
    <t>GS64</t>
  </si>
  <si>
    <t>QGGG000394</t>
  </si>
  <si>
    <t>GS40</t>
  </si>
  <si>
    <t>QWAGW00066</t>
  </si>
  <si>
    <t>GS65</t>
  </si>
  <si>
    <t>QGGG000000</t>
  </si>
  <si>
    <t>GA07</t>
  </si>
  <si>
    <t>DLF's Embedded Generators</t>
  </si>
  <si>
    <t>GS76</t>
  </si>
  <si>
    <t>GS81</t>
  </si>
  <si>
    <t>GS80</t>
  </si>
  <si>
    <t>GS96</t>
  </si>
  <si>
    <t>GS92</t>
  </si>
  <si>
    <t>QCCC001036</t>
  </si>
  <si>
    <t>GS56</t>
  </si>
  <si>
    <t>QCCC001041</t>
  </si>
  <si>
    <t>GS67</t>
  </si>
  <si>
    <t>QCQPW00076</t>
  </si>
  <si>
    <t>GS49</t>
  </si>
  <si>
    <t>QDDD003206</t>
  </si>
  <si>
    <t>GS71</t>
  </si>
  <si>
    <t>QEEE000026</t>
  </si>
  <si>
    <t>GS55</t>
  </si>
  <si>
    <t>QEEE000050</t>
  </si>
  <si>
    <t>GS79</t>
  </si>
  <si>
    <t>QEEE000547</t>
  </si>
  <si>
    <t>GS26</t>
  </si>
  <si>
    <t>QFFF00000Z</t>
  </si>
  <si>
    <t xml:space="preserve">GS30 </t>
  </si>
  <si>
    <t>QFFF000010</t>
  </si>
  <si>
    <t xml:space="preserve">GS29 </t>
  </si>
  <si>
    <t>QGGG000418</t>
  </si>
  <si>
    <t>GS74</t>
  </si>
  <si>
    <t>QMKYW00147</t>
  </si>
  <si>
    <t>GS95</t>
  </si>
  <si>
    <t>GS93</t>
  </si>
  <si>
    <t>GS91</t>
  </si>
  <si>
    <t>GS98</t>
  </si>
  <si>
    <t>GA01</t>
  </si>
  <si>
    <t>GA05</t>
  </si>
  <si>
    <t>GA04</t>
  </si>
  <si>
    <t>Actual Demand Charge
 (NDTD)</t>
  </si>
  <si>
    <t>Actual Demand Charge
(NTTD)</t>
  </si>
  <si>
    <t>$/kWh/ month</t>
  </si>
  <si>
    <t>Residential Lifestyle East - Band 1</t>
  </si>
  <si>
    <t>Residential Lifestyle East - Band 2</t>
  </si>
  <si>
    <t>Residential Lifestyle East - Band 3</t>
  </si>
  <si>
    <t>Residential Lifestyle East - Band 4</t>
  </si>
  <si>
    <t>Residential Lifestyle East - Band 5</t>
  </si>
  <si>
    <t>TARIFFS APPLYING TO STANDARD ASSET CUSTOMERS – LARGE (&gt;100 MWh per annum)
GST Exclusive</t>
  </si>
  <si>
    <t>ERTOUBT4</t>
  </si>
  <si>
    <t>ERL00CT1</t>
  </si>
  <si>
    <t>ERL00CT2</t>
  </si>
  <si>
    <t>ERL00XT2</t>
  </si>
  <si>
    <t>ERL00XT1</t>
  </si>
  <si>
    <t>ERL00CT3</t>
  </si>
  <si>
    <t>ERL00XT3</t>
  </si>
  <si>
    <t>ERL05CT1</t>
  </si>
  <si>
    <t>ERL05XT1</t>
  </si>
  <si>
    <t>ERL05CT2</t>
  </si>
  <si>
    <t>ERL05XT2</t>
  </si>
  <si>
    <t>ERL05CT3</t>
  </si>
  <si>
    <t>ERL05XT3</t>
  </si>
  <si>
    <t>ERL10CT1</t>
  </si>
  <si>
    <t>ERL10XT1</t>
  </si>
  <si>
    <t>ERL10CT2</t>
  </si>
  <si>
    <t>ERL10XT2</t>
  </si>
  <si>
    <t>ERL10CT3</t>
  </si>
  <si>
    <t>ERL10XT3</t>
  </si>
  <si>
    <t>ERL15CT1</t>
  </si>
  <si>
    <t>ERL15XT1</t>
  </si>
  <si>
    <t>ERL15CT2</t>
  </si>
  <si>
    <t>ERL15XT2</t>
  </si>
  <si>
    <t>ERL15CT3</t>
  </si>
  <si>
    <t>ERL15XT3</t>
  </si>
  <si>
    <t>ERL20CT1</t>
  </si>
  <si>
    <t>ERL20XT1</t>
  </si>
  <si>
    <t>ERL20CT2</t>
  </si>
  <si>
    <t>ERL20XT2</t>
  </si>
  <si>
    <t>ERL20CT3</t>
  </si>
  <si>
    <t>ERL20XT3</t>
  </si>
</sst>
</file>

<file path=xl/styles.xml><?xml version="1.0" encoding="utf-8"?>
<styleSheet xmlns="http://schemas.openxmlformats.org/spreadsheetml/2006/main" xmlns:mc="http://schemas.openxmlformats.org/markup-compatibility/2006" xmlns:x14ac="http://schemas.microsoft.com/office/spreadsheetml/2009/9/ac" mc:Ignorable="x14ac">
  <numFmts count="31">
    <numFmt numFmtId="7" formatCode="&quot;$&quot;#,##0.00;\-&quot;$&quot;#,##0.00"/>
    <numFmt numFmtId="44" formatCode="_-&quot;$&quot;* #,##0.00_-;\-&quot;$&quot;* #,##0.00_-;_-&quot;$&quot;* &quot;-&quot;??_-;_-@_-"/>
    <numFmt numFmtId="43" formatCode="_-* #,##0.00_-;\-* #,##0.00_-;_-* &quot;-&quot;??_-;_-@_-"/>
    <numFmt numFmtId="164" formatCode="_(&quot;$&quot;* #,##0.00_);_(&quot;$&quot;* \(#,##0.00\);_(&quot;$&quot;* &quot;-&quot;??_);_(@_)"/>
    <numFmt numFmtId="165" formatCode="_-&quot;$&quot;* #,##0.000_-;\-&quot;$&quot;* #,##0.000_-;_-&quot;$&quot;* &quot;-&quot;??_-;_-@_-"/>
    <numFmt numFmtId="166" formatCode="_-&quot;$&quot;* #,##0.00000_-;\-&quot;$&quot;* #,##0.00000_-;_-&quot;$&quot;* &quot;-&quot;??_-;_-@_-"/>
    <numFmt numFmtId="167" formatCode="&quot;$&quot;#,##0.00000"/>
    <numFmt numFmtId="168" formatCode="0.000"/>
    <numFmt numFmtId="169" formatCode="&quot;$&quot;#,##0.000"/>
    <numFmt numFmtId="170" formatCode="&quot;$&quot;#,##0.0000"/>
    <numFmt numFmtId="171" formatCode="_(* #,##0.00_);_(* \(#,##0.00\);_(* &quot;-&quot;??_);_(@_)"/>
    <numFmt numFmtId="172" formatCode="&quot;$&quot;#,##0"/>
    <numFmt numFmtId="173" formatCode="#,##0.000"/>
    <numFmt numFmtId="174" formatCode="_(* #,##0.000_);_(* \(#,##0.000\);_(* &quot;-&quot;??_);_(@_)"/>
    <numFmt numFmtId="175" formatCode="#,##0.0000"/>
    <numFmt numFmtId="176" formatCode="&quot;$&quot;#,##0_);[Red]\(&quot;$&quot;#,##0\)"/>
    <numFmt numFmtId="177" formatCode="&quot;$&quot;#,##0.0;\-&quot;$&quot;#,##0.0"/>
    <numFmt numFmtId="178" formatCode="0.0%"/>
    <numFmt numFmtId="179" formatCode="#,##0;\(#,##0\);\-"/>
    <numFmt numFmtId="180" formatCode="_(* #,##0_);_(* \(#,##0\);_(* &quot;-&quot;_);_(@_)"/>
    <numFmt numFmtId="181" formatCode="#,##0_);[Red]\(#,##0\);\-"/>
    <numFmt numFmtId="182" formatCode="&quot;$&quot;#,##0.0;[Red]\-&quot;$&quot;#,##0.0"/>
    <numFmt numFmtId="183" formatCode="_(&quot;$&quot;* #,##0_);_(&quot;$&quot;* \(#,##0\);_(&quot;$&quot;* &quot;-&quot;_);_(@_)"/>
    <numFmt numFmtId="184" formatCode="_(* #,##0_);_(* \(#,##0\);_(* &quot;-&quot;?_);_(@_)"/>
    <numFmt numFmtId="185" formatCode="#,##0;\(#,##0\)"/>
    <numFmt numFmtId="186" formatCode="#,##0_ ;\(#,##0\);\-\ "/>
    <numFmt numFmtId="187" formatCode="&quot;$&quot;#,##0.00"/>
    <numFmt numFmtId="188" formatCode="&quot;$&quot;#,##0.00000;\-&quot;$&quot;#,##0.00000"/>
    <numFmt numFmtId="189" formatCode="_-* #,##0.000_-;\-* #,##0.000_-;_-* &quot;-&quot;??_-;_-@_-"/>
    <numFmt numFmtId="190" formatCode="0.000_ ;\-0.000\ "/>
    <numFmt numFmtId="191" formatCode="0.00000"/>
  </numFmts>
  <fonts count="99" x14ac:knownFonts="1">
    <font>
      <sz val="10"/>
      <color theme="1"/>
      <name val="Arial"/>
      <family val="2"/>
    </font>
    <font>
      <sz val="10"/>
      <color theme="1"/>
      <name val="Arial"/>
      <family val="2"/>
    </font>
    <font>
      <sz val="10"/>
      <color rgb="FFFF0000"/>
      <name val="Arial"/>
      <family val="2"/>
    </font>
    <font>
      <sz val="10"/>
      <name val="Arial"/>
      <family val="2"/>
    </font>
    <font>
      <sz val="10"/>
      <color theme="0" tint="-0.14999847407452621"/>
      <name val="Arial"/>
      <family val="2"/>
    </font>
    <font>
      <sz val="9"/>
      <name val="Arial"/>
      <family val="2"/>
    </font>
    <font>
      <b/>
      <sz val="14"/>
      <name val="Arial"/>
      <family val="2"/>
    </font>
    <font>
      <b/>
      <sz val="9"/>
      <color theme="0"/>
      <name val="Arial"/>
      <family val="2"/>
    </font>
    <font>
      <b/>
      <sz val="9"/>
      <name val="Arial"/>
      <family val="2"/>
    </font>
    <font>
      <b/>
      <sz val="12"/>
      <name val="Arial"/>
      <family val="2"/>
    </font>
    <font>
      <b/>
      <sz val="10"/>
      <name val="Arial"/>
      <family val="2"/>
    </font>
    <font>
      <b/>
      <sz val="13"/>
      <name val="Arial"/>
      <family val="2"/>
    </font>
    <font>
      <sz val="8"/>
      <color theme="0" tint="-0.34998626667073579"/>
      <name val="Arial"/>
      <family val="2"/>
    </font>
    <font>
      <u/>
      <sz val="10"/>
      <color theme="10"/>
      <name val="Arial"/>
      <family val="2"/>
    </font>
    <font>
      <u/>
      <sz val="10"/>
      <name val="Arial"/>
      <family val="2"/>
    </font>
    <font>
      <u/>
      <sz val="9"/>
      <name val="Arial"/>
      <family val="2"/>
    </font>
    <font>
      <sz val="9"/>
      <color theme="0" tint="-0.34998626667073579"/>
      <name val="Arial"/>
      <family val="2"/>
    </font>
    <font>
      <b/>
      <u/>
      <sz val="9"/>
      <name val="Arial"/>
      <family val="2"/>
    </font>
    <font>
      <sz val="9"/>
      <color rgb="FFFF0000"/>
      <name val="Arial"/>
      <family val="2"/>
    </font>
    <font>
      <b/>
      <sz val="10"/>
      <color rgb="FFFF0000"/>
      <name val="Arial"/>
      <family val="2"/>
    </font>
    <font>
      <sz val="11"/>
      <color rgb="FFFF0000"/>
      <name val="Arial"/>
      <family val="2"/>
    </font>
    <font>
      <b/>
      <sz val="12"/>
      <color theme="0"/>
      <name val="Arial"/>
      <family val="2"/>
    </font>
    <font>
      <sz val="11"/>
      <color indexed="8"/>
      <name val="Calibri"/>
      <family val="2"/>
    </font>
    <font>
      <sz val="11"/>
      <color theme="1"/>
      <name val="Calibri"/>
      <family val="2"/>
      <scheme val="minor"/>
    </font>
    <font>
      <sz val="11"/>
      <color indexed="9"/>
      <name val="Calibri"/>
      <family val="2"/>
    </font>
    <font>
      <sz val="11"/>
      <name val="Calibri"/>
      <family val="2"/>
      <scheme val="minor"/>
    </font>
    <font>
      <sz val="11"/>
      <name val="Calibri"/>
      <family val="2"/>
    </font>
    <font>
      <sz val="11"/>
      <color indexed="20"/>
      <name val="Calibri"/>
      <family val="2"/>
    </font>
    <font>
      <sz val="8"/>
      <name val="Arial"/>
      <family val="2"/>
    </font>
    <font>
      <b/>
      <sz val="8"/>
      <name val="Arial"/>
      <family val="2"/>
    </font>
    <font>
      <sz val="11"/>
      <color theme="1"/>
      <name val="Calibri"/>
      <family val="2"/>
    </font>
    <font>
      <b/>
      <sz val="11"/>
      <color indexed="52"/>
      <name val="Calibri"/>
      <family val="2"/>
    </font>
    <font>
      <b/>
      <sz val="11"/>
      <color indexed="9"/>
      <name val="Calibri"/>
      <family val="2"/>
    </font>
    <font>
      <i/>
      <sz val="11"/>
      <color theme="1"/>
      <name val="Calibri"/>
      <family val="2"/>
    </font>
    <font>
      <i/>
      <sz val="11"/>
      <color theme="9" tint="-0.249977111117893"/>
      <name val="Calibri"/>
      <family val="2"/>
      <scheme val="minor"/>
    </font>
    <font>
      <i/>
      <sz val="11"/>
      <color indexed="23"/>
      <name val="Calibri"/>
      <family val="2"/>
    </font>
    <font>
      <sz val="11"/>
      <color indexed="17"/>
      <name val="Calibri"/>
      <family val="2"/>
    </font>
    <font>
      <sz val="8"/>
      <color theme="0" tint="-0.1498764000366222"/>
      <name val="Arial"/>
      <family val="2"/>
    </font>
    <font>
      <b/>
      <sz val="15"/>
      <color indexed="62"/>
      <name val="Calibri"/>
      <family val="2"/>
    </font>
    <font>
      <b/>
      <sz val="15"/>
      <color indexed="56"/>
      <name val="Calibri"/>
      <family val="2"/>
    </font>
    <font>
      <b/>
      <sz val="13"/>
      <color indexed="62"/>
      <name val="Calibri"/>
      <family val="2"/>
    </font>
    <font>
      <b/>
      <sz val="13"/>
      <color indexed="56"/>
      <name val="Calibri"/>
      <family val="2"/>
    </font>
    <font>
      <b/>
      <sz val="11"/>
      <color indexed="62"/>
      <name val="Calibri"/>
      <family val="2"/>
    </font>
    <font>
      <b/>
      <sz val="11"/>
      <color indexed="56"/>
      <name val="Calibri"/>
      <family val="2"/>
    </font>
    <font>
      <b/>
      <sz val="14"/>
      <name val="Calibri"/>
      <family val="2"/>
    </font>
    <font>
      <b/>
      <sz val="12"/>
      <name val="Calibri"/>
      <family val="2"/>
    </font>
    <font>
      <b/>
      <i/>
      <sz val="11"/>
      <name val="Calibri"/>
      <family val="2"/>
    </font>
    <font>
      <b/>
      <sz val="8"/>
      <color rgb="FFFF0000"/>
      <name val="Arial"/>
      <family val="2"/>
    </font>
    <font>
      <sz val="8"/>
      <color theme="4" tint="-0.24994659260841701"/>
      <name val="Arial"/>
      <family val="2"/>
    </font>
    <font>
      <sz val="8"/>
      <color theme="9" tint="-0.24994659260841701"/>
      <name val="Arial"/>
      <family val="2"/>
    </font>
    <font>
      <sz val="11"/>
      <color indexed="62"/>
      <name val="Calibri"/>
      <family val="2"/>
    </font>
    <font>
      <sz val="11"/>
      <color indexed="52"/>
      <name val="Calibri"/>
      <family val="2"/>
    </font>
    <font>
      <i/>
      <sz val="8"/>
      <color indexed="10"/>
      <name val="Arial"/>
      <family val="2"/>
    </font>
    <font>
      <sz val="8"/>
      <color indexed="24"/>
      <name val="Arial"/>
      <family val="2"/>
    </font>
    <font>
      <sz val="11"/>
      <color indexed="60"/>
      <name val="Calibri"/>
      <family val="2"/>
    </font>
    <font>
      <b/>
      <sz val="11"/>
      <color indexed="63"/>
      <name val="Calibri"/>
      <family val="2"/>
    </font>
    <font>
      <b/>
      <sz val="15"/>
      <color theme="1" tint="0.34998626667073579"/>
      <name val="Calibri"/>
      <family val="2"/>
      <scheme val="minor"/>
    </font>
    <font>
      <b/>
      <sz val="16"/>
      <color rgb="FF00338D"/>
      <name val="Arial"/>
      <family val="2"/>
    </font>
    <font>
      <b/>
      <sz val="18"/>
      <color theme="1" tint="0.34998626667073579"/>
      <name val="Calibri"/>
      <family val="2"/>
      <scheme val="minor"/>
    </font>
    <font>
      <b/>
      <sz val="16"/>
      <color indexed="9"/>
      <name val="Arial"/>
      <family val="2"/>
    </font>
    <font>
      <b/>
      <sz val="12"/>
      <color theme="0"/>
      <name val="Calibri"/>
      <family val="2"/>
      <scheme val="minor"/>
    </font>
    <font>
      <sz val="8"/>
      <color theme="1"/>
      <name val="Arial"/>
      <family val="2"/>
    </font>
    <font>
      <b/>
      <sz val="12"/>
      <color indexed="9"/>
      <name val="Arial"/>
      <family val="2"/>
    </font>
    <font>
      <b/>
      <sz val="18"/>
      <color indexed="62"/>
      <name val="Cambria"/>
      <family val="2"/>
    </font>
    <font>
      <b/>
      <sz val="18"/>
      <color indexed="56"/>
      <name val="Cambria"/>
      <family val="2"/>
    </font>
    <font>
      <b/>
      <sz val="11"/>
      <color indexed="8"/>
      <name val="Calibri"/>
      <family val="2"/>
    </font>
    <font>
      <i/>
      <sz val="11"/>
      <color theme="0" tint="-0.499984740745262"/>
      <name val="Calibri"/>
      <family val="2"/>
      <scheme val="minor"/>
    </font>
    <font>
      <sz val="11"/>
      <color indexed="10"/>
      <name val="Calibri"/>
      <family val="2"/>
    </font>
    <font>
      <b/>
      <sz val="9"/>
      <color rgb="FFFFFFFF"/>
      <name val="Arial"/>
      <family val="2"/>
    </font>
    <font>
      <sz val="9"/>
      <color rgb="FFFFFFFF"/>
      <name val="Arial"/>
      <family val="2"/>
    </font>
    <font>
      <u/>
      <sz val="9"/>
      <color rgb="FFFFFFFF"/>
      <name val="Arial"/>
      <family val="2"/>
    </font>
    <font>
      <sz val="9"/>
      <color rgb="FF000000"/>
      <name val="Arial"/>
      <family val="2"/>
    </font>
    <font>
      <i/>
      <sz val="11"/>
      <name val="Arial"/>
      <family val="2"/>
    </font>
    <font>
      <b/>
      <sz val="10"/>
      <color theme="0"/>
      <name val="Arial"/>
      <family val="2"/>
    </font>
    <font>
      <sz val="10"/>
      <color theme="0"/>
      <name val="Arial"/>
      <family val="2"/>
    </font>
    <font>
      <b/>
      <sz val="16"/>
      <name val="Arial"/>
      <family val="2"/>
    </font>
    <font>
      <i/>
      <sz val="8"/>
      <name val="Arial"/>
      <family val="2"/>
    </font>
    <font>
      <b/>
      <u/>
      <sz val="10"/>
      <name val="Arial"/>
      <family val="2"/>
    </font>
    <font>
      <b/>
      <sz val="14"/>
      <color indexed="10"/>
      <name val="Arial"/>
      <family val="2"/>
    </font>
    <font>
      <b/>
      <sz val="11"/>
      <color indexed="10"/>
      <name val="Arial"/>
      <family val="2"/>
    </font>
    <font>
      <i/>
      <sz val="10"/>
      <color rgb="FFFF0000"/>
      <name val="Arial"/>
      <family val="2"/>
    </font>
    <font>
      <b/>
      <i/>
      <sz val="11"/>
      <color theme="0"/>
      <name val="Arial"/>
      <family val="2"/>
    </font>
    <font>
      <b/>
      <sz val="11"/>
      <color theme="0"/>
      <name val="Arial"/>
      <family val="2"/>
    </font>
    <font>
      <sz val="8"/>
      <color rgb="FFFF0000"/>
      <name val="Arial"/>
      <family val="2"/>
    </font>
    <font>
      <strike/>
      <sz val="8"/>
      <name val="Arial"/>
      <family val="2"/>
    </font>
    <font>
      <b/>
      <sz val="8"/>
      <color theme="0"/>
      <name val="Arial"/>
      <family val="2"/>
    </font>
    <font>
      <sz val="8"/>
      <color theme="0"/>
      <name val="Arial"/>
      <family val="2"/>
    </font>
    <font>
      <sz val="9"/>
      <color theme="1"/>
      <name val="Arial"/>
      <family val="2"/>
    </font>
    <font>
      <sz val="10"/>
      <color theme="1"/>
      <name val="Calibri"/>
      <family val="2"/>
    </font>
    <font>
      <sz val="11"/>
      <color indexed="8"/>
      <name val="Arial"/>
      <family val="2"/>
    </font>
    <font>
      <b/>
      <sz val="10"/>
      <color theme="0" tint="-0.14996795556505021"/>
      <name val="Arial"/>
      <family val="2"/>
    </font>
    <font>
      <sz val="10"/>
      <name val="Arial"/>
      <family val="2"/>
    </font>
    <font>
      <b/>
      <sz val="11"/>
      <color rgb="FFFF0000"/>
      <name val="Arial"/>
      <family val="2"/>
    </font>
    <font>
      <b/>
      <i/>
      <sz val="11"/>
      <color theme="0" tint="-0.14999847407452621"/>
      <name val="Arial"/>
      <family val="2"/>
    </font>
    <font>
      <strike/>
      <sz val="8"/>
      <color rgb="FFFF0000"/>
      <name val="Arial"/>
      <family val="2"/>
    </font>
    <font>
      <sz val="10"/>
      <color theme="0" tint="-0.14996795556505021"/>
      <name val="Arial"/>
      <family val="2"/>
    </font>
    <font>
      <sz val="10"/>
      <name val="Arial"/>
      <family val="2"/>
    </font>
    <font>
      <u/>
      <sz val="9"/>
      <color theme="1"/>
      <name val="Arial"/>
      <family val="2"/>
    </font>
    <font>
      <b/>
      <sz val="9"/>
      <color rgb="FFFF0000"/>
      <name val="Arial"/>
      <family val="2"/>
    </font>
  </fonts>
  <fills count="54">
    <fill>
      <patternFill patternType="none"/>
    </fill>
    <fill>
      <patternFill patternType="gray125"/>
    </fill>
    <fill>
      <patternFill patternType="solid">
        <fgColor theme="4" tint="0.59999389629810485"/>
        <bgColor indexed="65"/>
      </patternFill>
    </fill>
    <fill>
      <patternFill patternType="solid">
        <fgColor indexed="9"/>
        <bgColor indexed="64"/>
      </patternFill>
    </fill>
    <fill>
      <patternFill patternType="solid">
        <fgColor theme="0"/>
        <bgColor indexed="64"/>
      </patternFill>
    </fill>
    <fill>
      <patternFill patternType="solid">
        <fgColor rgb="FF2C5697"/>
        <bgColor indexed="64"/>
      </patternFill>
    </fill>
    <fill>
      <patternFill patternType="solid">
        <fgColor theme="0" tint="-4.9989318521683403E-2"/>
        <bgColor indexed="64"/>
      </patternFill>
    </fill>
    <fill>
      <patternFill patternType="solid">
        <fgColor rgb="FFA3DBE8"/>
        <bgColor indexed="64"/>
      </patternFill>
    </fill>
    <fill>
      <patternFill patternType="solid">
        <fgColor rgb="FFC2DEEA"/>
        <bgColor indexed="64"/>
      </patternFill>
    </fill>
    <fill>
      <patternFill patternType="solid">
        <fgColor theme="0" tint="-0.34998626667073579"/>
        <bgColor indexed="64"/>
      </patternFill>
    </fill>
    <fill>
      <patternFill patternType="solid">
        <fgColor indexed="38"/>
      </patternFill>
    </fill>
    <fill>
      <patternFill patternType="solid">
        <fgColor indexed="31"/>
      </patternFill>
    </fill>
    <fill>
      <patternFill patternType="solid">
        <fgColor indexed="47"/>
      </patternFill>
    </fill>
    <fill>
      <patternFill patternType="solid">
        <fgColor indexed="45"/>
      </patternFill>
    </fill>
    <fill>
      <patternFill patternType="solid">
        <fgColor indexed="26"/>
      </patternFill>
    </fill>
    <fill>
      <patternFill patternType="solid">
        <fgColor indexed="42"/>
      </patternFill>
    </fill>
    <fill>
      <patternFill patternType="solid">
        <fgColor indexed="9"/>
      </patternFill>
    </fill>
    <fill>
      <patternFill patternType="solid">
        <fgColor indexed="46"/>
      </patternFill>
    </fill>
    <fill>
      <patternFill patternType="solid">
        <fgColor indexed="27"/>
      </patternFill>
    </fill>
    <fill>
      <patternFill patternType="solid">
        <fgColor indexed="44"/>
      </patternFill>
    </fill>
    <fill>
      <patternFill patternType="solid">
        <fgColor indexed="29"/>
      </patternFill>
    </fill>
    <fill>
      <patternFill patternType="solid">
        <fgColor indexed="43"/>
      </patternFill>
    </fill>
    <fill>
      <patternFill patternType="solid">
        <fgColor indexed="11"/>
      </patternFill>
    </fill>
    <fill>
      <patternFill patternType="solid">
        <fgColor indexed="22"/>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4"/>
      </patternFill>
    </fill>
    <fill>
      <patternFill patternType="solid">
        <fgColor indexed="53"/>
      </patternFill>
    </fill>
    <fill>
      <patternFill patternType="solid">
        <fgColor theme="7" tint="0.59999389629810485"/>
        <bgColor indexed="64"/>
      </patternFill>
    </fill>
    <fill>
      <patternFill patternType="solid">
        <fgColor indexed="22"/>
        <bgColor indexed="64"/>
      </patternFill>
    </fill>
    <fill>
      <patternFill patternType="solid">
        <fgColor rgb="FFDDEEFF"/>
        <bgColor indexed="64"/>
      </patternFill>
    </fill>
    <fill>
      <patternFill patternType="solid">
        <fgColor theme="4" tint="0.59996337778862885"/>
        <bgColor indexed="64"/>
      </patternFill>
    </fill>
    <fill>
      <patternFill patternType="solid">
        <fgColor indexed="55"/>
      </patternFill>
    </fill>
    <fill>
      <patternFill patternType="solid">
        <fgColor rgb="FFE0E0E0"/>
        <bgColor indexed="64"/>
      </patternFill>
    </fill>
    <fill>
      <patternFill patternType="solid">
        <fgColor rgb="FFFFFF99"/>
        <bgColor auto="1"/>
      </patternFill>
    </fill>
    <fill>
      <patternFill patternType="solid">
        <fgColor indexed="41"/>
        <bgColor indexed="64"/>
      </patternFill>
    </fill>
    <fill>
      <patternFill patternType="solid">
        <fgColor indexed="27"/>
        <bgColor indexed="64"/>
      </patternFill>
    </fill>
    <fill>
      <patternFill patternType="solid">
        <fgColor indexed="42"/>
        <bgColor indexed="64"/>
      </patternFill>
    </fill>
    <fill>
      <patternFill patternType="solid">
        <fgColor indexed="26"/>
        <bgColor indexed="64"/>
      </patternFill>
    </fill>
    <fill>
      <patternFill patternType="solid">
        <fgColor theme="0" tint="-0.499984740745262"/>
        <bgColor indexed="64"/>
      </patternFill>
    </fill>
    <fill>
      <patternFill patternType="solid">
        <fgColor theme="1"/>
        <bgColor indexed="64"/>
      </patternFill>
    </fill>
    <fill>
      <patternFill patternType="solid">
        <fgColor theme="0" tint="-0.24994659260841701"/>
        <bgColor indexed="64"/>
      </patternFill>
    </fill>
    <fill>
      <patternFill patternType="solid">
        <fgColor rgb="FF00338D"/>
        <bgColor indexed="64"/>
      </patternFill>
    </fill>
    <fill>
      <patternFill patternType="solid">
        <fgColor theme="0" tint="-0.14999847407452621"/>
        <bgColor indexed="64"/>
      </patternFill>
    </fill>
    <fill>
      <patternFill patternType="solid">
        <fgColor rgb="FFFFFFCC"/>
      </patternFill>
    </fill>
    <fill>
      <patternFill patternType="solid">
        <fgColor rgb="FF5BC6E8"/>
        <bgColor indexed="64"/>
      </patternFill>
    </fill>
    <fill>
      <patternFill patternType="solid">
        <fgColor indexed="44"/>
        <bgColor indexed="64"/>
      </patternFill>
    </fill>
    <fill>
      <patternFill patternType="solid">
        <fgColor theme="4" tint="-0.499984740745262"/>
        <bgColor indexed="64"/>
      </patternFill>
    </fill>
  </fills>
  <borders count="87">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theme="0" tint="-0.14996795556505021"/>
      </top>
      <bottom style="thin">
        <color theme="0" tint="-0.14996795556505021"/>
      </bottom>
      <diagonal/>
    </border>
    <border>
      <left style="thin">
        <color indexed="64"/>
      </left>
      <right/>
      <top style="thin">
        <color theme="0" tint="-0.14996795556505021"/>
      </top>
      <bottom style="thin">
        <color theme="0" tint="-0.14996795556505021"/>
      </bottom>
      <diagonal/>
    </border>
    <border>
      <left/>
      <right style="thin">
        <color indexed="64"/>
      </right>
      <top style="thin">
        <color theme="0" tint="-0.14996795556505021"/>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style="thin">
        <color theme="0" tint="-0.14996795556505021"/>
      </top>
      <bottom style="thin">
        <color indexed="64"/>
      </bottom>
      <diagonal/>
    </border>
    <border>
      <left style="thin">
        <color indexed="64"/>
      </left>
      <right/>
      <top style="thin">
        <color theme="0" tint="-0.14996795556505021"/>
      </top>
      <bottom style="thin">
        <color indexed="64"/>
      </bottom>
      <diagonal/>
    </border>
    <border>
      <left/>
      <right style="thin">
        <color indexed="64"/>
      </right>
      <top style="thin">
        <color theme="0" tint="-0.14996795556505021"/>
      </top>
      <bottom style="thin">
        <color indexed="64"/>
      </bottom>
      <diagonal/>
    </border>
    <border>
      <left style="thin">
        <color indexed="64"/>
      </left>
      <right style="thin">
        <color indexed="64"/>
      </right>
      <top/>
      <bottom style="thin">
        <color theme="0" tint="-0.14996795556505021"/>
      </bottom>
      <diagonal/>
    </border>
    <border>
      <left/>
      <right/>
      <top style="thin">
        <color indexed="64"/>
      </top>
      <bottom style="thin">
        <color theme="0" tint="-0.14996795556505021"/>
      </bottom>
      <diagonal/>
    </border>
    <border>
      <left/>
      <right/>
      <top style="thin">
        <color theme="0" tint="-0.14996795556505021"/>
      </top>
      <bottom style="thin">
        <color theme="0" tint="-0.14996795556505021"/>
      </bottom>
      <diagonal/>
    </border>
    <border>
      <left style="thin">
        <color indexed="64"/>
      </left>
      <right style="thin">
        <color indexed="64"/>
      </right>
      <top style="thin">
        <color theme="0" tint="-0.14996795556505021"/>
      </top>
      <bottom/>
      <diagonal/>
    </border>
    <border>
      <left/>
      <right/>
      <top style="thin">
        <color theme="0" tint="-0.14996795556505021"/>
      </top>
      <bottom style="thin">
        <color indexed="64"/>
      </bottom>
      <diagonal/>
    </border>
    <border>
      <left/>
      <right/>
      <top style="thin">
        <color theme="0" tint="-0.14996795556505021"/>
      </top>
      <bottom/>
      <diagonal/>
    </border>
    <border>
      <left/>
      <right style="thin">
        <color indexed="64"/>
      </right>
      <top style="thin">
        <color theme="0" tint="-0.14996795556505021"/>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thick">
        <color indexed="62"/>
      </bottom>
      <diagonal/>
    </border>
    <border>
      <left/>
      <right/>
      <top/>
      <bottom style="thick">
        <color indexed="38"/>
      </bottom>
      <diagonal/>
    </border>
    <border>
      <left/>
      <right/>
      <top/>
      <bottom style="thick">
        <color indexed="22"/>
      </bottom>
      <diagonal/>
    </border>
    <border>
      <left/>
      <right/>
      <top/>
      <bottom style="medium">
        <color indexed="38"/>
      </bottom>
      <diagonal/>
    </border>
    <border>
      <left/>
      <right/>
      <top/>
      <bottom style="medium">
        <color indexed="30"/>
      </bottom>
      <diagonal/>
    </border>
    <border>
      <left style="hair">
        <color rgb="FFFF0000"/>
      </left>
      <right style="hair">
        <color rgb="FFFF0000"/>
      </right>
      <top style="hair">
        <color rgb="FFFF0000"/>
      </top>
      <bottom style="hair">
        <color rgb="FFFF0000"/>
      </bottom>
      <diagonal/>
    </border>
    <border>
      <left style="dotted">
        <color theme="4" tint="-0.24994659260841701"/>
      </left>
      <right style="dotted">
        <color theme="4" tint="-0.24994659260841701"/>
      </right>
      <top style="dotted">
        <color theme="4" tint="-0.24994659260841701"/>
      </top>
      <bottom style="dotted">
        <color theme="4" tint="-0.24994659260841701"/>
      </bottom>
      <diagonal/>
    </border>
    <border>
      <left style="thin">
        <color theme="0"/>
      </left>
      <right style="thin">
        <color theme="0"/>
      </right>
      <top style="thin">
        <color theme="0"/>
      </top>
      <bottom style="thin">
        <color theme="0"/>
      </bottom>
      <diagonal/>
    </border>
    <border>
      <left style="dotted">
        <color theme="9" tint="-0.24994659260841701"/>
      </left>
      <right style="dotted">
        <color theme="9" tint="-0.24994659260841701"/>
      </right>
      <top style="dotted">
        <color theme="9" tint="-0.24994659260841701"/>
      </top>
      <bottom style="dotted">
        <color theme="9" tint="-0.24994659260841701"/>
      </bottom>
      <diagonal/>
    </border>
    <border>
      <left/>
      <right/>
      <top/>
      <bottom style="double">
        <color indexed="52"/>
      </bottom>
      <diagonal/>
    </border>
    <border>
      <left style="dotted">
        <color indexed="23"/>
      </left>
      <right style="dotted">
        <color indexed="23"/>
      </right>
      <top style="dotted">
        <color indexed="23"/>
      </top>
      <bottom style="dotted">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medium">
        <color theme="1" tint="0.34998626667073579"/>
      </bottom>
      <diagonal/>
    </border>
    <border>
      <left/>
      <right/>
      <top style="medium">
        <color indexed="63"/>
      </top>
      <bottom style="thin">
        <color indexed="63"/>
      </bottom>
      <diagonal/>
    </border>
    <border>
      <left/>
      <right/>
      <top style="medium">
        <color indexed="63"/>
      </top>
      <bottom style="double">
        <color indexed="63"/>
      </bottom>
      <diagonal/>
    </border>
    <border>
      <left/>
      <right/>
      <top style="thin">
        <color indexed="49"/>
      </top>
      <bottom style="double">
        <color indexed="49"/>
      </bottom>
      <diagonal/>
    </border>
    <border>
      <left/>
      <right/>
      <top style="thin">
        <color indexed="62"/>
      </top>
      <bottom style="double">
        <color indexed="62"/>
      </bottom>
      <diagonal/>
    </border>
    <border>
      <left/>
      <right/>
      <top style="medium">
        <color rgb="FF2C5697"/>
      </top>
      <bottom/>
      <diagonal/>
    </border>
    <border>
      <left/>
      <right/>
      <top style="thin">
        <color rgb="FF2C5697"/>
      </top>
      <bottom/>
      <diagonal/>
    </border>
    <border>
      <left/>
      <right/>
      <top style="thin">
        <color theme="0" tint="-0.14996795556505021"/>
      </top>
      <bottom style="thin">
        <color rgb="FF2C5697"/>
      </bottom>
      <diagonal/>
    </border>
    <border>
      <left/>
      <right/>
      <top style="thin">
        <color rgb="FF2C5697"/>
      </top>
      <bottom style="thin">
        <color theme="0" tint="-0.14996795556505021"/>
      </bottom>
      <diagonal/>
    </border>
    <border>
      <left/>
      <right/>
      <top style="thin">
        <color theme="0" tint="-0.14996795556505021"/>
      </top>
      <bottom style="thin">
        <color theme="0" tint="-0.14993743705557422"/>
      </bottom>
      <diagonal/>
    </border>
    <border>
      <left/>
      <right/>
      <top/>
      <bottom style="thin">
        <color theme="0" tint="-0.14996795556505021"/>
      </bottom>
      <diagonal/>
    </border>
    <border>
      <left/>
      <right/>
      <top/>
      <bottom style="thin">
        <color rgb="FF2C5697"/>
      </bottom>
      <diagonal/>
    </border>
    <border>
      <left style="thin">
        <color rgb="FFB2B2B2"/>
      </left>
      <right style="thin">
        <color rgb="FFB2B2B2"/>
      </right>
      <top style="thin">
        <color rgb="FFB2B2B2"/>
      </top>
      <bottom style="thin">
        <color rgb="FFB2B2B2"/>
      </bottom>
      <diagonal/>
    </border>
    <border>
      <left/>
      <right/>
      <top/>
      <bottom style="thin">
        <color theme="0"/>
      </bottom>
      <diagonal/>
    </border>
    <border>
      <left style="thin">
        <color rgb="FF2C5697"/>
      </left>
      <right/>
      <top style="thin">
        <color rgb="FF2C5697"/>
      </top>
      <bottom style="thin">
        <color rgb="FF2C5697"/>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style="thin">
        <color theme="0"/>
      </right>
      <top/>
      <bottom/>
      <diagonal/>
    </border>
    <border>
      <left/>
      <right style="thin">
        <color theme="3"/>
      </right>
      <top/>
      <bottom/>
      <diagonal/>
    </border>
    <border>
      <left style="thin">
        <color theme="0"/>
      </left>
      <right style="thin">
        <color theme="0"/>
      </right>
      <top/>
      <bottom style="thin">
        <color theme="0" tint="-0.14996795556505021"/>
      </bottom>
      <diagonal/>
    </border>
    <border>
      <left/>
      <right style="thin">
        <color theme="0"/>
      </right>
      <top style="thin">
        <color theme="0" tint="-0.14996795556505021"/>
      </top>
      <bottom style="thin">
        <color theme="0" tint="-0.14996795556505021"/>
      </bottom>
      <diagonal/>
    </border>
    <border>
      <left/>
      <right style="thin">
        <color theme="3"/>
      </right>
      <top/>
      <bottom style="thin">
        <color theme="0" tint="-0.14996795556505021"/>
      </bottom>
      <diagonal/>
    </border>
    <border>
      <left style="thin">
        <color theme="0"/>
      </left>
      <right style="thin">
        <color theme="0"/>
      </right>
      <top style="thin">
        <color theme="0" tint="-0.14996795556505021"/>
      </top>
      <bottom style="thin">
        <color theme="0" tint="-0.14996795556505021"/>
      </bottom>
      <diagonal/>
    </border>
    <border>
      <left/>
      <right style="thin">
        <color theme="3"/>
      </right>
      <top style="thin">
        <color theme="0" tint="-0.14996795556505021"/>
      </top>
      <bottom style="thin">
        <color theme="0" tint="-0.14996795556505021"/>
      </bottom>
      <diagonal/>
    </border>
    <border>
      <left/>
      <right style="thin">
        <color theme="0"/>
      </right>
      <top/>
      <bottom style="thin">
        <color rgb="FF2C5697"/>
      </bottom>
      <diagonal/>
    </border>
    <border>
      <left style="thin">
        <color theme="0"/>
      </left>
      <right style="thin">
        <color theme="0"/>
      </right>
      <top style="thin">
        <color theme="0" tint="-0.14996795556505021"/>
      </top>
      <bottom style="thin">
        <color rgb="FF2C5697"/>
      </bottom>
      <diagonal/>
    </border>
    <border>
      <left/>
      <right style="thin">
        <color theme="0"/>
      </right>
      <top style="thin">
        <color theme="0" tint="-0.14996795556505021"/>
      </top>
      <bottom style="thin">
        <color rgb="FF2C5697"/>
      </bottom>
      <diagonal/>
    </border>
    <border>
      <left/>
      <right/>
      <top style="thin">
        <color theme="0" tint="-0.14996795556505021"/>
      </top>
      <bottom style="thin">
        <color theme="3"/>
      </bottom>
      <diagonal/>
    </border>
    <border>
      <left/>
      <right style="thin">
        <color theme="0"/>
      </right>
      <top style="thin">
        <color rgb="FF2C5697"/>
      </top>
      <bottom/>
      <diagonal/>
    </border>
    <border>
      <left style="thin">
        <color theme="0"/>
      </left>
      <right style="thin">
        <color theme="0"/>
      </right>
      <top style="thin">
        <color rgb="FF2C5697"/>
      </top>
      <bottom style="thin">
        <color theme="0" tint="-0.14996795556505021"/>
      </bottom>
      <diagonal/>
    </border>
    <border>
      <left/>
      <right style="thin">
        <color theme="0"/>
      </right>
      <top style="thin">
        <color rgb="FF2C5697"/>
      </top>
      <bottom style="thin">
        <color theme="0" tint="-0.14996795556505021"/>
      </bottom>
      <diagonal/>
    </border>
    <border>
      <left/>
      <right style="thin">
        <color theme="3"/>
      </right>
      <top style="thin">
        <color rgb="FF2C5697"/>
      </top>
      <bottom style="thin">
        <color theme="0" tint="-0.14996795556505021"/>
      </bottom>
      <diagonal/>
    </border>
    <border>
      <left/>
      <right style="thin">
        <color theme="0"/>
      </right>
      <top/>
      <bottom style="thin">
        <color theme="0" tint="-0.14996795556505021"/>
      </bottom>
      <diagonal/>
    </border>
    <border>
      <left style="thin">
        <color theme="0"/>
      </left>
      <right style="thin">
        <color theme="0"/>
      </right>
      <top style="thin">
        <color theme="0" tint="-0.14996795556505021"/>
      </top>
      <bottom/>
      <diagonal/>
    </border>
    <border>
      <left/>
      <right style="thin">
        <color theme="0"/>
      </right>
      <top style="thin">
        <color theme="0" tint="-0.14996795556505021"/>
      </top>
      <bottom/>
      <diagonal/>
    </border>
    <border>
      <left/>
      <right style="thin">
        <color theme="3"/>
      </right>
      <top style="thin">
        <color theme="0" tint="-0.14996795556505021"/>
      </top>
      <bottom/>
      <diagonal/>
    </border>
    <border>
      <left/>
      <right style="thin">
        <color theme="3"/>
      </right>
      <top style="thin">
        <color theme="0" tint="-0.14996795556505021"/>
      </top>
      <bottom style="thin">
        <color theme="0" tint="-0.14993743705557422"/>
      </bottom>
      <diagonal/>
    </border>
    <border>
      <left/>
      <right style="thin">
        <color theme="3"/>
      </right>
      <top style="thin">
        <color theme="0" tint="-0.14996795556505021"/>
      </top>
      <bottom style="thin">
        <color rgb="FF2C5697"/>
      </bottom>
      <diagonal/>
    </border>
    <border>
      <left style="thin">
        <color theme="3"/>
      </left>
      <right/>
      <top/>
      <bottom style="thin">
        <color theme="0"/>
      </bottom>
      <diagonal/>
    </border>
  </borders>
  <cellStyleXfs count="405">
    <xf numFmtId="0" fontId="0" fillId="0" borderId="0"/>
    <xf numFmtId="0" fontId="3" fillId="0" borderId="0"/>
    <xf numFmtId="0" fontId="3" fillId="0" borderId="0"/>
    <xf numFmtId="164" fontId="3" fillId="0" borderId="0" applyFont="0" applyFill="0" applyBorder="0" applyAlignment="0" applyProtection="0"/>
    <xf numFmtId="171" fontId="3" fillId="0" borderId="0" applyFont="0" applyFill="0" applyBorder="0" applyAlignment="0" applyProtection="0"/>
    <xf numFmtId="0" fontId="3" fillId="0" borderId="0"/>
    <xf numFmtId="164" fontId="3" fillId="0" borderId="0" applyFont="0" applyFill="0" applyBorder="0" applyAlignment="0" applyProtection="0"/>
    <xf numFmtId="0" fontId="13" fillId="0" borderId="0" applyNumberFormat="0" applyFill="0" applyBorder="0" applyAlignment="0" applyProtection="0"/>
    <xf numFmtId="0" fontId="3" fillId="0" borderId="0"/>
    <xf numFmtId="171" fontId="3" fillId="0" borderId="0" applyFont="0" applyFill="0" applyBorder="0" applyAlignment="0" applyProtection="0"/>
    <xf numFmtId="176" fontId="3" fillId="0" borderId="0" applyFont="0" applyFill="0" applyBorder="0" applyAlignment="0" applyProtection="0"/>
    <xf numFmtId="171" fontId="3" fillId="0" borderId="0" applyFont="0" applyFill="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1" borderId="0" applyNumberFormat="0" applyBorder="0" applyAlignment="0" applyProtection="0"/>
    <xf numFmtId="0" fontId="22" fillId="12" borderId="0" applyNumberFormat="0" applyBorder="0" applyAlignment="0" applyProtection="0"/>
    <xf numFmtId="0" fontId="22" fillId="12" borderId="0" applyNumberFormat="0" applyBorder="0" applyAlignment="0" applyProtection="0"/>
    <xf numFmtId="0" fontId="22" fillId="13"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5" borderId="0" applyNumberFormat="0" applyBorder="0" applyAlignment="0" applyProtection="0"/>
    <xf numFmtId="0" fontId="22" fillId="16" borderId="0" applyNumberFormat="0" applyBorder="0" applyAlignment="0" applyProtection="0"/>
    <xf numFmtId="0" fontId="22" fillId="16" borderId="0" applyNumberFormat="0" applyBorder="0" applyAlignment="0" applyProtection="0"/>
    <xf numFmtId="0" fontId="22" fillId="17"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8" borderId="0" applyNumberFormat="0" applyBorder="0" applyAlignment="0" applyProtection="0"/>
    <xf numFmtId="0" fontId="22" fillId="12" borderId="0" applyNumberFormat="0" applyBorder="0" applyAlignment="0" applyProtection="0"/>
    <xf numFmtId="0" fontId="22" fillId="12"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2" fillId="19" borderId="0" applyNumberFormat="0" applyBorder="0" applyAlignment="0" applyProtection="0"/>
    <xf numFmtId="0" fontId="22" fillId="12" borderId="0" applyNumberFormat="0" applyBorder="0" applyAlignment="0" applyProtection="0"/>
    <xf numFmtId="0" fontId="22" fillId="12" borderId="0" applyNumberFormat="0" applyBorder="0" applyAlignment="0" applyProtection="0"/>
    <xf numFmtId="0" fontId="22" fillId="20" borderId="0" applyNumberFormat="0" applyBorder="0" applyAlignment="0" applyProtection="0"/>
    <xf numFmtId="0" fontId="22" fillId="21" borderId="0" applyNumberFormat="0" applyBorder="0" applyAlignment="0" applyProtection="0"/>
    <xf numFmtId="0" fontId="22" fillId="21" borderId="0" applyNumberFormat="0" applyBorder="0" applyAlignment="0" applyProtection="0"/>
    <xf numFmtId="0" fontId="22" fillId="22"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17"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9" borderId="0" applyNumberFormat="0" applyBorder="0" applyAlignment="0" applyProtection="0"/>
    <xf numFmtId="0" fontId="22" fillId="12" borderId="0" applyNumberFormat="0" applyBorder="0" applyAlignment="0" applyProtection="0"/>
    <xf numFmtId="0" fontId="22" fillId="12" borderId="0" applyNumberFormat="0" applyBorder="0" applyAlignment="0" applyProtection="0"/>
    <xf numFmtId="0" fontId="22" fillId="24" borderId="0" applyNumberFormat="0" applyBorder="0" applyAlignment="0" applyProtection="0"/>
    <xf numFmtId="0" fontId="24" fillId="10" borderId="0" applyNumberFormat="0" applyBorder="0" applyAlignment="0" applyProtection="0"/>
    <xf numFmtId="0" fontId="24" fillId="10" borderId="0" applyNumberFormat="0" applyBorder="0" applyAlignment="0" applyProtection="0"/>
    <xf numFmtId="0" fontId="24" fillId="25" borderId="0" applyNumberFormat="0" applyBorder="0" applyAlignment="0" applyProtection="0"/>
    <xf numFmtId="0" fontId="24" fillId="12" borderId="0" applyNumberFormat="0" applyBorder="0" applyAlignment="0" applyProtection="0"/>
    <xf numFmtId="0" fontId="24" fillId="12" borderId="0" applyNumberFormat="0" applyBorder="0" applyAlignment="0" applyProtection="0"/>
    <xf numFmtId="0" fontId="24" fillId="20" borderId="0" applyNumberFormat="0" applyBorder="0" applyAlignment="0" applyProtection="0"/>
    <xf numFmtId="0" fontId="24" fillId="21" borderId="0" applyNumberFormat="0" applyBorder="0" applyAlignment="0" applyProtection="0"/>
    <xf numFmtId="0" fontId="24" fillId="21" borderId="0" applyNumberFormat="0" applyBorder="0" applyAlignment="0" applyProtection="0"/>
    <xf numFmtId="0" fontId="24" fillId="22"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6" borderId="0" applyNumberFormat="0" applyBorder="0" applyAlignment="0" applyProtection="0"/>
    <xf numFmtId="0" fontId="24" fillId="10" borderId="0" applyNumberFormat="0" applyBorder="0" applyAlignment="0" applyProtection="0"/>
    <xf numFmtId="0" fontId="24" fillId="10" borderId="0" applyNumberFormat="0" applyBorder="0" applyAlignment="0" applyProtection="0"/>
    <xf numFmtId="0" fontId="24" fillId="27" borderId="0" applyNumberFormat="0" applyBorder="0" applyAlignment="0" applyProtection="0"/>
    <xf numFmtId="0" fontId="24" fillId="12" borderId="0" applyNumberFormat="0" applyBorder="0" applyAlignment="0" applyProtection="0"/>
    <xf numFmtId="0" fontId="24" fillId="12" borderId="0" applyNumberFormat="0" applyBorder="0" applyAlignment="0" applyProtection="0"/>
    <xf numFmtId="0" fontId="24" fillId="28"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9" borderId="0" applyNumberFormat="0" applyBorder="0" applyAlignment="0" applyProtection="0"/>
    <xf numFmtId="0" fontId="24" fillId="30" borderId="0" applyNumberFormat="0" applyBorder="0" applyAlignment="0" applyProtection="0"/>
    <xf numFmtId="0" fontId="24" fillId="30" borderId="0" applyNumberFormat="0" applyBorder="0" applyAlignment="0" applyProtection="0"/>
    <xf numFmtId="0" fontId="24" fillId="31" borderId="0" applyNumberFormat="0" applyBorder="0" applyAlignment="0" applyProtection="0"/>
    <xf numFmtId="0" fontId="24" fillId="31" borderId="0" applyNumberFormat="0" applyBorder="0" applyAlignment="0" applyProtection="0"/>
    <xf numFmtId="0" fontId="24" fillId="32" borderId="0" applyNumberFormat="0" applyBorder="0" applyAlignment="0" applyProtection="0"/>
    <xf numFmtId="0" fontId="24" fillId="32" borderId="0" applyNumberFormat="0" applyBorder="0" applyAlignment="0" applyProtection="0"/>
    <xf numFmtId="0" fontId="24" fillId="26"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33" borderId="0" applyNumberFormat="0" applyBorder="0" applyAlignment="0" applyProtection="0"/>
    <xf numFmtId="0" fontId="24" fillId="33" borderId="0" applyNumberFormat="0" applyBorder="0" applyAlignment="0" applyProtection="0"/>
    <xf numFmtId="0" fontId="25" fillId="34" borderId="9">
      <alignment horizontal="right"/>
    </xf>
    <xf numFmtId="177" fontId="26" fillId="34" borderId="9">
      <alignment horizontal="right" vertical="top"/>
    </xf>
    <xf numFmtId="178" fontId="26" fillId="34" borderId="9">
      <alignment horizontal="right" vertical="top"/>
    </xf>
    <xf numFmtId="179" fontId="26" fillId="34" borderId="9">
      <alignment horizontal="right" vertical="top"/>
    </xf>
    <xf numFmtId="0" fontId="27" fillId="13" borderId="0" applyNumberFormat="0" applyBorder="0" applyAlignment="0" applyProtection="0"/>
    <xf numFmtId="0" fontId="27" fillId="13" borderId="0" applyNumberFormat="0" applyBorder="0" applyAlignment="0" applyProtection="0"/>
    <xf numFmtId="180" fontId="3" fillId="35" borderId="0" applyNumberFormat="0" applyFont="0" applyBorder="0" applyAlignment="0">
      <alignment horizontal="right"/>
    </xf>
    <xf numFmtId="180" fontId="3" fillId="35" borderId="0" applyNumberFormat="0" applyFont="0" applyBorder="0" applyAlignment="0">
      <alignment horizontal="right"/>
    </xf>
    <xf numFmtId="181" fontId="28" fillId="0" borderId="0" applyBorder="0">
      <alignment vertical="center"/>
    </xf>
    <xf numFmtId="181" fontId="29" fillId="0" borderId="0" applyFill="0" applyBorder="0">
      <alignment vertical="center"/>
    </xf>
    <xf numFmtId="0" fontId="30" fillId="36" borderId="0">
      <alignment horizontal="right" vertical="top"/>
    </xf>
    <xf numFmtId="182" fontId="26" fillId="36" borderId="0">
      <alignment horizontal="right" vertical="top"/>
    </xf>
    <xf numFmtId="178" fontId="30" fillId="36" borderId="0">
      <alignment horizontal="right" vertical="top"/>
    </xf>
    <xf numFmtId="179" fontId="26" fillId="36" borderId="0">
      <alignment horizontal="right" vertical="top"/>
    </xf>
    <xf numFmtId="0" fontId="31" fillId="16" borderId="33" applyNumberFormat="0" applyAlignment="0" applyProtection="0"/>
    <xf numFmtId="0" fontId="31" fillId="16" borderId="33" applyNumberFormat="0" applyAlignment="0" applyProtection="0"/>
    <xf numFmtId="0" fontId="31" fillId="23" borderId="33" applyNumberFormat="0" applyAlignment="0" applyProtection="0"/>
    <xf numFmtId="0" fontId="25" fillId="37" borderId="9">
      <alignment horizontal="center"/>
    </xf>
    <xf numFmtId="0" fontId="32" fillId="38" borderId="34" applyNumberFormat="0" applyAlignment="0" applyProtection="0"/>
    <xf numFmtId="0" fontId="32" fillId="38" borderId="34" applyNumberFormat="0" applyAlignment="0" applyProtection="0"/>
    <xf numFmtId="180" fontId="3" fillId="0" borderId="0" applyFont="0" applyFill="0" applyBorder="0" applyAlignment="0" applyProtection="0"/>
    <xf numFmtId="180" fontId="3" fillId="0" borderId="0" applyFont="0" applyFill="0" applyBorder="0" applyAlignment="0" applyProtection="0"/>
    <xf numFmtId="171" fontId="3" fillId="0" borderId="0" applyFont="0" applyFill="0" applyBorder="0" applyAlignment="0" applyProtection="0"/>
    <xf numFmtId="171" fontId="23" fillId="0" borderId="0" applyFont="0" applyFill="0" applyBorder="0" applyAlignment="0" applyProtection="0"/>
    <xf numFmtId="171" fontId="23" fillId="0" borderId="0" applyFont="0" applyFill="0" applyBorder="0" applyAlignment="0" applyProtection="0"/>
    <xf numFmtId="171" fontId="23" fillId="0" borderId="0" applyFont="0" applyFill="0" applyBorder="0" applyAlignment="0" applyProtection="0"/>
    <xf numFmtId="171" fontId="23" fillId="0" borderId="0" applyFont="0" applyFill="0" applyBorder="0" applyAlignment="0" applyProtection="0"/>
    <xf numFmtId="171" fontId="23" fillId="0" borderId="0" applyFont="0" applyFill="0" applyBorder="0" applyAlignment="0" applyProtection="0"/>
    <xf numFmtId="171" fontId="2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22"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23" fillId="0" borderId="0" applyFont="0" applyFill="0" applyBorder="0" applyAlignment="0" applyProtection="0"/>
    <xf numFmtId="171" fontId="23" fillId="0" borderId="0" applyFont="0" applyFill="0" applyBorder="0" applyAlignment="0" applyProtection="0"/>
    <xf numFmtId="171" fontId="23" fillId="0" borderId="0" applyFont="0" applyFill="0" applyBorder="0" applyAlignment="0" applyProtection="0"/>
    <xf numFmtId="171" fontId="23" fillId="0" borderId="0" applyFont="0" applyFill="0" applyBorder="0" applyAlignment="0" applyProtection="0"/>
    <xf numFmtId="171" fontId="3" fillId="0" borderId="0" applyFont="0" applyFill="0" applyBorder="0" applyAlignment="0" applyProtection="0"/>
    <xf numFmtId="171" fontId="23" fillId="0" borderId="0" applyFont="0" applyFill="0" applyBorder="0" applyAlignment="0" applyProtection="0"/>
    <xf numFmtId="171" fontId="23" fillId="0" borderId="0" applyFont="0" applyFill="0" applyBorder="0" applyAlignment="0" applyProtection="0"/>
    <xf numFmtId="183" fontId="3" fillId="0" borderId="0" applyFont="0" applyFill="0" applyBorder="0" applyAlignment="0" applyProtection="0"/>
    <xf numFmtId="183"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22" fillId="0" borderId="0" applyFont="0" applyFill="0" applyBorder="0" applyAlignment="0" applyProtection="0"/>
    <xf numFmtId="164" fontId="2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76" fontId="3" fillId="0" borderId="0" applyFont="0" applyFill="0" applyBorder="0" applyAlignment="0" applyProtection="0"/>
    <xf numFmtId="15" fontId="33" fillId="0" borderId="0">
      <alignment horizontal="right" vertical="top"/>
    </xf>
    <xf numFmtId="17" fontId="33" fillId="0" borderId="0">
      <alignment horizontal="right" vertical="top"/>
    </xf>
    <xf numFmtId="0" fontId="34" fillId="0" borderId="0">
      <alignment horizontal="left" vertical="top" indent="1"/>
    </xf>
    <xf numFmtId="0" fontId="35" fillId="0" borderId="0" applyNumberFormat="0" applyFill="0" applyBorder="0" applyAlignment="0" applyProtection="0"/>
    <xf numFmtId="0" fontId="35" fillId="0" borderId="0" applyNumberFormat="0" applyFill="0" applyBorder="0" applyAlignment="0" applyProtection="0"/>
    <xf numFmtId="0" fontId="25" fillId="39" borderId="9">
      <alignment horizontal="right"/>
    </xf>
    <xf numFmtId="177" fontId="26" fillId="39" borderId="9">
      <alignment horizontal="right" vertical="top"/>
    </xf>
    <xf numFmtId="178" fontId="26" fillId="39" borderId="9">
      <alignment horizontal="right" vertical="top"/>
    </xf>
    <xf numFmtId="179" fontId="26" fillId="39" borderId="9">
      <alignment horizontal="right" vertical="top"/>
    </xf>
    <xf numFmtId="0" fontId="26" fillId="0" borderId="0">
      <alignment horizontal="right" vertical="top"/>
    </xf>
    <xf numFmtId="177" fontId="30" fillId="0" borderId="0">
      <alignment vertical="top"/>
    </xf>
    <xf numFmtId="178" fontId="30" fillId="0" borderId="0">
      <alignment horizontal="right" vertical="top"/>
    </xf>
    <xf numFmtId="179" fontId="26" fillId="0" borderId="0">
      <alignment horizontal="right" vertical="top"/>
    </xf>
    <xf numFmtId="0" fontId="36" fillId="15" borderId="0" applyNumberFormat="0" applyBorder="0" applyAlignment="0" applyProtection="0"/>
    <xf numFmtId="0" fontId="36" fillId="15" borderId="0" applyNumberFormat="0" applyBorder="0" applyAlignment="0" applyProtection="0"/>
    <xf numFmtId="0" fontId="37" fillId="9" borderId="0" applyNumberFormat="0">
      <alignment horizontal="center" vertical="center"/>
    </xf>
    <xf numFmtId="0" fontId="38" fillId="0" borderId="35" applyNumberFormat="0" applyFill="0" applyAlignment="0" applyProtection="0"/>
    <xf numFmtId="0" fontId="38" fillId="0" borderId="35" applyNumberFormat="0" applyFill="0" applyAlignment="0" applyProtection="0"/>
    <xf numFmtId="0" fontId="39" fillId="0" borderId="36" applyNumberFormat="0" applyFill="0" applyAlignment="0" applyProtection="0"/>
    <xf numFmtId="0" fontId="40" fillId="0" borderId="37" applyNumberFormat="0" applyFill="0" applyAlignment="0" applyProtection="0"/>
    <xf numFmtId="0" fontId="40" fillId="0" borderId="37" applyNumberFormat="0" applyFill="0" applyAlignment="0" applyProtection="0"/>
    <xf numFmtId="0" fontId="41" fillId="0" borderId="38" applyNumberFormat="0" applyFill="0" applyAlignment="0" applyProtection="0"/>
    <xf numFmtId="0" fontId="42" fillId="0" borderId="39" applyNumberFormat="0" applyFill="0" applyAlignment="0" applyProtection="0"/>
    <xf numFmtId="0" fontId="42" fillId="0" borderId="39" applyNumberFormat="0" applyFill="0" applyAlignment="0" applyProtection="0"/>
    <xf numFmtId="0" fontId="43" fillId="0" borderId="40" applyNumberFormat="0" applyFill="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3" fillId="0" borderId="0" applyNumberFormat="0" applyFill="0" applyBorder="0" applyAlignment="0" applyProtection="0"/>
    <xf numFmtId="0" fontId="44" fillId="0" borderId="0">
      <alignment horizontal="left" vertical="top"/>
    </xf>
    <xf numFmtId="0" fontId="45" fillId="0" borderId="0">
      <alignment horizontal="left" vertical="top"/>
    </xf>
    <xf numFmtId="0" fontId="46" fillId="0" borderId="0">
      <alignment horizontal="left" vertical="top"/>
    </xf>
    <xf numFmtId="181" fontId="47" fillId="0" borderId="41">
      <alignment vertical="center"/>
    </xf>
    <xf numFmtId="38" fontId="48" fillId="0" borderId="42">
      <alignment vertical="center"/>
      <protection locked="0"/>
    </xf>
    <xf numFmtId="181" fontId="28" fillId="40" borderId="43">
      <alignment vertical="center"/>
      <protection locked="0"/>
    </xf>
    <xf numFmtId="181" fontId="49" fillId="0" borderId="44">
      <alignment vertical="center"/>
      <protection locked="0"/>
    </xf>
    <xf numFmtId="0" fontId="50" fillId="12" borderId="33" applyNumberFormat="0" applyAlignment="0" applyProtection="0"/>
    <xf numFmtId="0" fontId="50" fillId="12" borderId="33" applyNumberFormat="0" applyAlignment="0" applyProtection="0"/>
    <xf numFmtId="3" fontId="3" fillId="41" borderId="0" applyNumberFormat="0" applyFont="0" applyBorder="0" applyAlignment="0">
      <alignment horizontal="right"/>
      <protection locked="0"/>
    </xf>
    <xf numFmtId="180" fontId="3" fillId="42" borderId="0" applyFont="0" applyBorder="0" applyAlignment="0">
      <alignment horizontal="right"/>
      <protection locked="0"/>
    </xf>
    <xf numFmtId="180" fontId="3" fillId="42" borderId="0" applyFont="0" applyBorder="0" applyAlignment="0">
      <alignment horizontal="right"/>
      <protection locked="0"/>
    </xf>
    <xf numFmtId="180" fontId="3" fillId="42" borderId="0" applyFont="0" applyBorder="0" applyAlignment="0">
      <alignment horizontal="right"/>
      <protection locked="0"/>
    </xf>
    <xf numFmtId="184" fontId="3" fillId="43" borderId="0" applyFont="0" applyBorder="0">
      <alignment horizontal="right"/>
      <protection locked="0"/>
    </xf>
    <xf numFmtId="180" fontId="3" fillId="44" borderId="0" applyFont="0" applyBorder="0">
      <alignment horizontal="right"/>
      <protection locked="0"/>
    </xf>
    <xf numFmtId="0" fontId="51" fillId="0" borderId="45" applyNumberFormat="0" applyFill="0" applyAlignment="0" applyProtection="0"/>
    <xf numFmtId="0" fontId="51" fillId="0" borderId="45" applyNumberFormat="0" applyFill="0" applyAlignment="0" applyProtection="0"/>
    <xf numFmtId="0" fontId="52" fillId="0" borderId="0" applyNumberFormat="0">
      <alignment horizontal="left" vertical="top"/>
    </xf>
    <xf numFmtId="0" fontId="53" fillId="42" borderId="46" applyNumberFormat="0" applyFill="0" applyAlignment="0" applyProtection="0">
      <alignment vertical="center"/>
      <protection locked="0"/>
    </xf>
    <xf numFmtId="0" fontId="54" fillId="21" borderId="0" applyNumberFormat="0" applyBorder="0" applyAlignment="0" applyProtection="0"/>
    <xf numFmtId="0" fontId="54" fillId="21" borderId="0" applyNumberFormat="0" applyBorder="0" applyAlignment="0" applyProtection="0"/>
    <xf numFmtId="0" fontId="23" fillId="0" borderId="0"/>
    <xf numFmtId="0" fontId="3" fillId="0" borderId="0" applyFill="0"/>
    <xf numFmtId="0" fontId="3" fillId="0" borderId="0"/>
    <xf numFmtId="0" fontId="23" fillId="0" borderId="0"/>
    <xf numFmtId="0" fontId="3" fillId="0" borderId="0"/>
    <xf numFmtId="0" fontId="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3" fillId="0" borderId="0"/>
    <xf numFmtId="0" fontId="3" fillId="0" borderId="0"/>
    <xf numFmtId="0" fontId="3" fillId="0" borderId="0"/>
    <xf numFmtId="0" fontId="23" fillId="0" borderId="0"/>
    <xf numFmtId="0" fontId="23" fillId="0" borderId="0"/>
    <xf numFmtId="0" fontId="3" fillId="14" borderId="47" applyNumberFormat="0" applyFont="0" applyAlignment="0" applyProtection="0"/>
    <xf numFmtId="0" fontId="3" fillId="14" borderId="47" applyNumberFormat="0" applyFont="0" applyAlignment="0" applyProtection="0"/>
    <xf numFmtId="0" fontId="55" fillId="16" borderId="48" applyNumberFormat="0" applyAlignment="0" applyProtection="0"/>
    <xf numFmtId="0" fontId="55" fillId="16" borderId="48" applyNumberFormat="0" applyAlignment="0" applyProtection="0"/>
    <xf numFmtId="0" fontId="55" fillId="23" borderId="48" applyNumberFormat="0" applyAlignment="0" applyProtection="0"/>
    <xf numFmtId="0" fontId="56" fillId="0" borderId="49">
      <alignment horizontal="left"/>
    </xf>
    <xf numFmtId="0" fontId="3" fillId="0" borderId="0" applyBorder="0"/>
    <xf numFmtId="9" fontId="23" fillId="0" borderId="0" applyFont="0" applyFill="0" applyBorder="0" applyAlignment="0" applyProtection="0"/>
    <xf numFmtId="9" fontId="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3" fillId="0" borderId="0" applyFont="0" applyFill="0" applyBorder="0" applyAlignment="0" applyProtection="0"/>
    <xf numFmtId="9" fontId="22" fillId="0" borderId="0" applyFont="0" applyFill="0" applyBorder="0" applyAlignment="0" applyProtection="0"/>
    <xf numFmtId="9" fontId="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185" fontId="57" fillId="0" borderId="0">
      <alignment horizontal="left"/>
    </xf>
    <xf numFmtId="0" fontId="58" fillId="0" borderId="49">
      <alignment horizontal="left"/>
    </xf>
    <xf numFmtId="0" fontId="3" fillId="0" borderId="0"/>
    <xf numFmtId="0" fontId="3" fillId="0" borderId="0"/>
    <xf numFmtId="0" fontId="3" fillId="0" borderId="0"/>
    <xf numFmtId="0" fontId="3" fillId="0" borderId="0"/>
    <xf numFmtId="0" fontId="59" fillId="45" borderId="0">
      <alignment horizontal="left" vertical="center"/>
      <protection locked="0"/>
    </xf>
    <xf numFmtId="0" fontId="60" fillId="46" borderId="0">
      <alignment vertical="center"/>
      <protection locked="0"/>
    </xf>
    <xf numFmtId="186" fontId="61" fillId="47" borderId="0" applyNumberFormat="0" applyBorder="0">
      <alignment wrapText="1"/>
    </xf>
    <xf numFmtId="186" fontId="62" fillId="48" borderId="0" applyNumberFormat="0">
      <alignment vertical="center"/>
    </xf>
    <xf numFmtId="0" fontId="63" fillId="0" borderId="0" applyNumberFormat="0" applyFill="0" applyBorder="0" applyAlignment="0" applyProtection="0"/>
    <xf numFmtId="0" fontId="63" fillId="0" borderId="0" applyNumberFormat="0" applyFill="0" applyBorder="0" applyAlignment="0" applyProtection="0"/>
    <xf numFmtId="0" fontId="64" fillId="0" borderId="0" applyNumberFormat="0" applyFill="0" applyBorder="0" applyAlignment="0" applyProtection="0"/>
    <xf numFmtId="181" fontId="29" fillId="0" borderId="50">
      <alignment vertical="center"/>
    </xf>
    <xf numFmtId="181" fontId="29" fillId="0" borderId="51">
      <alignment vertical="center"/>
    </xf>
    <xf numFmtId="181" fontId="29" fillId="0" borderId="2">
      <alignment vertical="center"/>
    </xf>
    <xf numFmtId="0" fontId="65" fillId="0" borderId="52" applyNumberFormat="0" applyFill="0" applyAlignment="0" applyProtection="0"/>
    <xf numFmtId="0" fontId="65" fillId="0" borderId="52" applyNumberFormat="0" applyFill="0" applyAlignment="0" applyProtection="0"/>
    <xf numFmtId="0" fontId="65" fillId="0" borderId="53" applyNumberFormat="0" applyFill="0" applyAlignment="0" applyProtection="0"/>
    <xf numFmtId="0" fontId="66" fillId="0" borderId="0">
      <alignment horizontal="center"/>
    </xf>
    <xf numFmtId="0" fontId="67" fillId="0" borderId="0" applyNumberFormat="0" applyFill="0" applyBorder="0" applyAlignment="0" applyProtection="0"/>
    <xf numFmtId="0" fontId="67" fillId="0" borderId="0" applyNumberFormat="0" applyFill="0" applyBorder="0" applyAlignment="0" applyProtection="0"/>
    <xf numFmtId="44" fontId="3" fillId="0" borderId="0" applyFont="0" applyFill="0" applyBorder="0" applyAlignment="0" applyProtection="0"/>
    <xf numFmtId="0" fontId="3" fillId="0" borderId="0"/>
    <xf numFmtId="44" fontId="3" fillId="0" borderId="0" applyFont="0" applyFill="0" applyBorder="0" applyAlignment="0" applyProtection="0"/>
    <xf numFmtId="0" fontId="3" fillId="0" borderId="0"/>
    <xf numFmtId="0" fontId="22" fillId="14"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87" fillId="0" borderId="63" applyNumberFormat="0">
      <alignment horizontal="left" vertical="center" wrapText="1"/>
    </xf>
    <xf numFmtId="171" fontId="23" fillId="0" borderId="0" applyFont="0" applyFill="0" applyBorder="0" applyAlignment="0" applyProtection="0"/>
    <xf numFmtId="171" fontId="23" fillId="0" borderId="0" applyFont="0" applyFill="0" applyBorder="0" applyAlignment="0" applyProtection="0"/>
    <xf numFmtId="171" fontId="23" fillId="0" borderId="0" applyFont="0" applyFill="0" applyBorder="0" applyAlignment="0" applyProtection="0"/>
    <xf numFmtId="171" fontId="23" fillId="0" borderId="0" applyFont="0" applyFill="0" applyBorder="0" applyAlignment="0" applyProtection="0"/>
    <xf numFmtId="171"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171" fontId="23" fillId="0" borderId="0" applyFont="0" applyFill="0" applyBorder="0" applyAlignment="0" applyProtection="0"/>
    <xf numFmtId="171" fontId="23" fillId="0" borderId="0" applyFont="0" applyFill="0" applyBorder="0" applyAlignment="0" applyProtection="0"/>
    <xf numFmtId="171" fontId="23" fillId="0" borderId="0" applyFont="0" applyFill="0" applyBorder="0" applyAlignment="0" applyProtection="0"/>
    <xf numFmtId="171" fontId="23" fillId="0" borderId="0" applyFont="0" applyFill="0" applyBorder="0" applyAlignment="0" applyProtection="0"/>
    <xf numFmtId="171" fontId="23" fillId="0" borderId="0" applyFont="0" applyFill="0" applyBorder="0" applyAlignment="0" applyProtection="0"/>
    <xf numFmtId="171" fontId="23" fillId="0" borderId="0" applyFont="0" applyFill="0" applyBorder="0" applyAlignment="0" applyProtection="0"/>
    <xf numFmtId="171" fontId="23" fillId="0" borderId="0" applyFont="0" applyFill="0" applyBorder="0" applyAlignment="0" applyProtection="0"/>
    <xf numFmtId="171" fontId="23" fillId="0" borderId="0" applyFont="0" applyFill="0" applyBorder="0" applyAlignment="0" applyProtection="0"/>
    <xf numFmtId="171" fontId="23" fillId="0" borderId="0" applyFont="0" applyFill="0" applyBorder="0" applyAlignment="0" applyProtection="0"/>
    <xf numFmtId="171" fontId="23" fillId="0" borderId="0" applyFont="0" applyFill="0" applyBorder="0" applyAlignment="0" applyProtection="0"/>
    <xf numFmtId="171" fontId="23" fillId="0" borderId="0" applyFont="0" applyFill="0" applyBorder="0" applyAlignment="0" applyProtection="0"/>
    <xf numFmtId="171" fontId="23" fillId="0" borderId="0" applyFont="0" applyFill="0" applyBorder="0" applyAlignment="0" applyProtection="0"/>
    <xf numFmtId="171" fontId="23" fillId="0" borderId="0" applyFont="0" applyFill="0" applyBorder="0" applyAlignment="0" applyProtection="0"/>
    <xf numFmtId="171" fontId="23" fillId="0" borderId="0" applyFont="0" applyFill="0" applyBorder="0" applyAlignment="0" applyProtection="0"/>
    <xf numFmtId="171"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171"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171" fontId="23" fillId="0" borderId="0" applyFont="0" applyFill="0" applyBorder="0" applyAlignment="0" applyProtection="0"/>
    <xf numFmtId="171" fontId="2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44" fontId="23" fillId="0" borderId="0" applyFont="0" applyFill="0" applyBorder="0" applyAlignment="0" applyProtection="0"/>
    <xf numFmtId="44" fontId="23" fillId="0" borderId="0" applyFont="0" applyFill="0" applyBorder="0" applyAlignment="0" applyProtection="0"/>
    <xf numFmtId="44" fontId="23" fillId="0" borderId="0" applyFont="0" applyFill="0" applyBorder="0" applyAlignment="0" applyProtection="0"/>
    <xf numFmtId="44" fontId="23" fillId="0" borderId="0" applyFont="0" applyFill="0" applyBorder="0" applyAlignment="0" applyProtection="0"/>
    <xf numFmtId="44" fontId="23" fillId="0" borderId="0" applyFont="0" applyFill="0" applyBorder="0" applyAlignment="0" applyProtection="0"/>
    <xf numFmtId="4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44" fontId="23" fillId="0" borderId="0" applyFont="0" applyFill="0" applyBorder="0" applyAlignment="0" applyProtection="0"/>
    <xf numFmtId="44" fontId="23" fillId="0" borderId="0" applyFont="0" applyFill="0" applyBorder="0" applyAlignment="0" applyProtection="0"/>
    <xf numFmtId="44" fontId="23" fillId="0" borderId="0" applyFont="0" applyFill="0" applyBorder="0" applyAlignment="0" applyProtection="0"/>
    <xf numFmtId="44" fontId="23" fillId="0" borderId="0" applyFont="0" applyFill="0" applyBorder="0" applyAlignment="0" applyProtection="0"/>
    <xf numFmtId="44" fontId="23" fillId="0" borderId="0" applyFont="0" applyFill="0" applyBorder="0" applyAlignment="0" applyProtection="0"/>
    <xf numFmtId="164" fontId="23" fillId="0" borderId="0" applyFont="0" applyFill="0" applyBorder="0" applyAlignment="0" applyProtection="0"/>
    <xf numFmtId="44" fontId="23" fillId="0" borderId="0" applyFont="0" applyFill="0" applyBorder="0" applyAlignment="0" applyProtection="0"/>
    <xf numFmtId="44" fontId="23" fillId="0" borderId="0" applyFont="0" applyFill="0" applyBorder="0" applyAlignment="0" applyProtection="0"/>
    <xf numFmtId="44" fontId="23" fillId="0" borderId="0" applyFont="0" applyFill="0" applyBorder="0" applyAlignment="0" applyProtection="0"/>
    <xf numFmtId="44" fontId="23" fillId="0" borderId="0" applyFont="0" applyFill="0" applyBorder="0" applyAlignment="0" applyProtection="0"/>
    <xf numFmtId="44" fontId="23" fillId="0" borderId="0" applyFont="0" applyFill="0" applyBorder="0" applyAlignment="0" applyProtection="0"/>
    <xf numFmtId="164" fontId="23" fillId="0" borderId="0" applyFont="0" applyFill="0" applyBorder="0" applyAlignment="0" applyProtection="0"/>
    <xf numFmtId="180" fontId="3" fillId="52" borderId="0" applyFont="0" applyBorder="0" applyAlignment="0">
      <alignment horizontal="right"/>
      <protection locked="0"/>
    </xf>
    <xf numFmtId="0" fontId="88"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3" fillId="0" borderId="0"/>
    <xf numFmtId="0" fontId="23" fillId="0" borderId="0"/>
    <xf numFmtId="0" fontId="23" fillId="0" borderId="0"/>
    <xf numFmtId="0" fontId="23" fillId="0" borderId="0"/>
    <xf numFmtId="0" fontId="23" fillId="0" borderId="0"/>
    <xf numFmtId="0" fontId="23" fillId="0" borderId="0"/>
    <xf numFmtId="0" fontId="23" fillId="0" borderId="0"/>
    <xf numFmtId="0" fontId="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88" fillId="0" borderId="0"/>
    <xf numFmtId="0" fontId="3" fillId="50" borderId="61" applyNumberFormat="0" applyFont="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89"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0" fontId="90" fillId="0" borderId="43" applyAlignment="0">
      <alignment horizontal="center" vertical="center"/>
    </xf>
    <xf numFmtId="0" fontId="90" fillId="4" borderId="43" applyAlignment="0">
      <alignment horizontal="center" vertical="center"/>
    </xf>
    <xf numFmtId="10" fontId="1" fillId="0" borderId="64"/>
    <xf numFmtId="0" fontId="59" fillId="53" borderId="0"/>
    <xf numFmtId="0" fontId="91" fillId="0" borderId="0"/>
    <xf numFmtId="9" fontId="88" fillId="0" borderId="0" applyFont="0" applyFill="0" applyBorder="0" applyAlignment="0" applyProtection="0"/>
    <xf numFmtId="0" fontId="95" fillId="4" borderId="0"/>
    <xf numFmtId="10" fontId="3" fillId="4" borderId="64">
      <alignment horizontal="center" vertical="top"/>
    </xf>
    <xf numFmtId="0" fontId="96" fillId="0" borderId="0"/>
  </cellStyleXfs>
  <cellXfs count="865">
    <xf numFmtId="0" fontId="0" fillId="0" borderId="0" xfId="0"/>
    <xf numFmtId="0" fontId="4" fillId="3" borderId="0" xfId="1" applyFont="1" applyFill="1"/>
    <xf numFmtId="0" fontId="4" fillId="4" borderId="0" xfId="1" applyFont="1" applyFill="1"/>
    <xf numFmtId="0" fontId="5" fillId="4" borderId="0" xfId="1" applyFont="1" applyFill="1"/>
    <xf numFmtId="0" fontId="6" fillId="4" borderId="0" xfId="2" applyFont="1" applyFill="1" applyBorder="1" applyAlignment="1" applyProtection="1">
      <alignment vertical="top"/>
    </xf>
    <xf numFmtId="0" fontId="6" fillId="4" borderId="0" xfId="2" applyFont="1" applyFill="1" applyBorder="1" applyAlignment="1" applyProtection="1">
      <alignment vertical="center"/>
    </xf>
    <xf numFmtId="0" fontId="5" fillId="4" borderId="0" xfId="1" applyFont="1" applyFill="1" applyBorder="1"/>
    <xf numFmtId="0" fontId="4" fillId="4" borderId="0" xfId="1" applyFont="1" applyFill="1" applyAlignment="1">
      <alignment horizontal="center"/>
    </xf>
    <xf numFmtId="0" fontId="3" fillId="4" borderId="0" xfId="5" applyFont="1" applyFill="1"/>
    <xf numFmtId="0" fontId="3" fillId="4" borderId="0" xfId="5" applyFill="1"/>
    <xf numFmtId="0" fontId="5" fillId="4" borderId="0" xfId="5" applyFont="1" applyFill="1"/>
    <xf numFmtId="0" fontId="3" fillId="4" borderId="0" xfId="5" applyFill="1" applyProtection="1"/>
    <xf numFmtId="0" fontId="11" fillId="4" borderId="0" xfId="1" applyFont="1" applyFill="1" applyProtection="1"/>
    <xf numFmtId="165" fontId="8" fillId="7" borderId="9" xfId="6" applyNumberFormat="1" applyFont="1" applyFill="1" applyBorder="1" applyAlignment="1">
      <alignment horizontal="center" vertical="center" wrapText="1"/>
    </xf>
    <xf numFmtId="0" fontId="8" fillId="7" borderId="9" xfId="5" applyNumberFormat="1" applyFont="1" applyFill="1" applyBorder="1" applyAlignment="1">
      <alignment horizontal="center" vertical="center" wrapText="1"/>
    </xf>
    <xf numFmtId="165" fontId="8" fillId="7" borderId="9" xfId="6" applyNumberFormat="1" applyFont="1" applyFill="1" applyBorder="1" applyAlignment="1" applyProtection="1">
      <alignment horizontal="center" vertical="center" wrapText="1"/>
    </xf>
    <xf numFmtId="165" fontId="8" fillId="8" borderId="9" xfId="6" applyNumberFormat="1" applyFont="1" applyFill="1" applyBorder="1" applyAlignment="1">
      <alignment horizontal="center" vertical="center" wrapText="1"/>
    </xf>
    <xf numFmtId="165" fontId="8" fillId="9" borderId="9" xfId="6" applyNumberFormat="1" applyFont="1" applyFill="1" applyBorder="1" applyAlignment="1">
      <alignment horizontal="center" vertical="center" wrapText="1"/>
    </xf>
    <xf numFmtId="166" fontId="8" fillId="9" borderId="9" xfId="6" applyNumberFormat="1" applyFont="1" applyFill="1" applyBorder="1" applyAlignment="1">
      <alignment horizontal="center" vertical="center" wrapText="1"/>
    </xf>
    <xf numFmtId="0" fontId="5" fillId="3" borderId="16" xfId="1" applyFont="1" applyFill="1" applyBorder="1"/>
    <xf numFmtId="169" fontId="5" fillId="0" borderId="18" xfId="6" applyNumberFormat="1" applyFont="1" applyFill="1" applyBorder="1" applyAlignment="1">
      <alignment horizontal="center" vertical="center" wrapText="1"/>
    </xf>
    <xf numFmtId="167" fontId="5" fillId="0" borderId="18" xfId="6" applyNumberFormat="1" applyFont="1" applyFill="1" applyBorder="1" applyAlignment="1">
      <alignment horizontal="center" vertical="center" wrapText="1"/>
    </xf>
    <xf numFmtId="0" fontId="5" fillId="3" borderId="19" xfId="1" applyFont="1" applyFill="1" applyBorder="1"/>
    <xf numFmtId="169" fontId="5" fillId="0" borderId="22" xfId="6" applyNumberFormat="1" applyFont="1" applyFill="1" applyBorder="1" applyAlignment="1">
      <alignment horizontal="center" vertical="center" wrapText="1"/>
    </xf>
    <xf numFmtId="167" fontId="5" fillId="0" borderId="22" xfId="6" applyNumberFormat="1" applyFont="1" applyFill="1" applyBorder="1" applyAlignment="1">
      <alignment horizontal="center" vertical="center" wrapText="1"/>
    </xf>
    <xf numFmtId="169" fontId="5" fillId="0" borderId="25" xfId="6" applyNumberFormat="1" applyFont="1" applyFill="1" applyBorder="1" applyAlignment="1">
      <alignment horizontal="center" vertical="center" wrapText="1"/>
    </xf>
    <xf numFmtId="169" fontId="5" fillId="0" borderId="23" xfId="6" applyNumberFormat="1" applyFont="1" applyFill="1" applyBorder="1" applyAlignment="1">
      <alignment horizontal="center" vertical="center" wrapText="1"/>
    </xf>
    <xf numFmtId="167" fontId="5" fillId="0" borderId="23" xfId="6" applyNumberFormat="1" applyFont="1" applyFill="1" applyBorder="1" applyAlignment="1">
      <alignment horizontal="center" vertical="center" wrapText="1"/>
    </xf>
    <xf numFmtId="0" fontId="5" fillId="3" borderId="26" xfId="1" applyFont="1" applyFill="1" applyBorder="1"/>
    <xf numFmtId="0" fontId="3" fillId="4" borderId="0" xfId="5" applyFont="1" applyFill="1" applyBorder="1"/>
    <xf numFmtId="0" fontId="13" fillId="4" borderId="0" xfId="7" applyFont="1" applyFill="1"/>
    <xf numFmtId="0" fontId="8" fillId="7" borderId="9" xfId="8" applyNumberFormat="1" applyFont="1" applyFill="1" applyBorder="1" applyAlignment="1" applyProtection="1">
      <alignment horizontal="center" vertical="center" wrapText="1"/>
    </xf>
    <xf numFmtId="0" fontId="5" fillId="0" borderId="23" xfId="5" applyFont="1" applyFill="1" applyBorder="1"/>
    <xf numFmtId="0" fontId="5" fillId="0" borderId="8" xfId="5" applyFont="1" applyFill="1" applyBorder="1"/>
    <xf numFmtId="0" fontId="5" fillId="0" borderId="10" xfId="5" applyFont="1" applyFill="1" applyBorder="1"/>
    <xf numFmtId="168" fontId="5" fillId="4" borderId="2" xfId="9" applyNumberFormat="1" applyFont="1" applyFill="1" applyBorder="1" applyAlignment="1">
      <alignment horizontal="center"/>
    </xf>
    <xf numFmtId="169" fontId="5" fillId="4" borderId="2" xfId="6" applyNumberFormat="1" applyFont="1" applyFill="1" applyBorder="1" applyAlignment="1">
      <alignment horizontal="center" vertical="center" wrapText="1"/>
    </xf>
    <xf numFmtId="167" fontId="5" fillId="4" borderId="2" xfId="6" applyNumberFormat="1" applyFont="1" applyFill="1" applyBorder="1" applyAlignment="1">
      <alignment horizontal="center" vertical="center" wrapText="1"/>
    </xf>
    <xf numFmtId="0" fontId="3" fillId="4" borderId="0" xfId="8" applyFont="1" applyFill="1" applyBorder="1" applyAlignment="1" applyProtection="1">
      <alignment vertical="center" wrapText="1"/>
    </xf>
    <xf numFmtId="0" fontId="14" fillId="4" borderId="0" xfId="8" applyFont="1" applyFill="1" applyBorder="1" applyAlignment="1" applyProtection="1">
      <alignment vertical="center"/>
    </xf>
    <xf numFmtId="0" fontId="3" fillId="4" borderId="0" xfId="8" applyFont="1" applyFill="1" applyBorder="1" applyAlignment="1" applyProtection="1">
      <alignment vertical="center"/>
    </xf>
    <xf numFmtId="0" fontId="5" fillId="4" borderId="0" xfId="8" applyFont="1" applyFill="1" applyBorder="1" applyAlignment="1" applyProtection="1">
      <alignment vertical="center"/>
    </xf>
    <xf numFmtId="0" fontId="3" fillId="4" borderId="0" xfId="5" applyFill="1" applyBorder="1"/>
    <xf numFmtId="0" fontId="15" fillId="4" borderId="0" xfId="8" applyFont="1" applyFill="1" applyBorder="1" applyAlignment="1" applyProtection="1">
      <alignment vertical="center"/>
    </xf>
    <xf numFmtId="0" fontId="5" fillId="4" borderId="0" xfId="5" applyFont="1" applyFill="1" applyBorder="1" applyAlignment="1">
      <alignment vertical="top" wrapText="1"/>
    </xf>
    <xf numFmtId="0" fontId="5" fillId="4" borderId="0" xfId="5" applyFont="1" applyFill="1" applyBorder="1" applyAlignment="1">
      <alignment vertical="center"/>
    </xf>
    <xf numFmtId="0" fontId="4" fillId="4" borderId="0" xfId="5" applyFont="1" applyFill="1" applyAlignment="1">
      <alignment horizontal="center"/>
    </xf>
    <xf numFmtId="174" fontId="5" fillId="0" borderId="20" xfId="9" applyNumberFormat="1" applyFont="1" applyBorder="1" applyAlignment="1">
      <alignment horizontal="center"/>
    </xf>
    <xf numFmtId="174" fontId="5" fillId="0" borderId="24" xfId="9" applyNumberFormat="1" applyFont="1" applyBorder="1" applyAlignment="1">
      <alignment horizontal="center"/>
    </xf>
    <xf numFmtId="167" fontId="5" fillId="3" borderId="7" xfId="6" applyNumberFormat="1" applyFont="1" applyFill="1" applyBorder="1" applyAlignment="1">
      <alignment horizontal="center" vertical="center" wrapText="1"/>
    </xf>
    <xf numFmtId="0" fontId="8" fillId="7" borderId="9" xfId="5" applyFont="1" applyFill="1" applyBorder="1" applyAlignment="1" applyProtection="1">
      <alignment horizontal="center" vertical="center" wrapText="1"/>
      <protection locked="0"/>
    </xf>
    <xf numFmtId="0" fontId="3" fillId="4" borderId="0" xfId="1" applyFont="1" applyFill="1"/>
    <xf numFmtId="0" fontId="5" fillId="4" borderId="0" xfId="5" applyFont="1" applyFill="1" applyProtection="1"/>
    <xf numFmtId="0" fontId="8" fillId="4" borderId="0" xfId="2" applyFont="1" applyFill="1" applyBorder="1" applyAlignment="1" applyProtection="1">
      <alignment vertical="top"/>
    </xf>
    <xf numFmtId="0" fontId="6" fillId="4" borderId="0" xfId="1" applyFont="1" applyFill="1"/>
    <xf numFmtId="0" fontId="19" fillId="4" borderId="0" xfId="1" applyFont="1" applyFill="1"/>
    <xf numFmtId="0" fontId="2" fillId="4" borderId="0" xfId="1" applyFont="1" applyFill="1"/>
    <xf numFmtId="0" fontId="3" fillId="4" borderId="0" xfId="1" applyFont="1" applyFill="1" applyBorder="1"/>
    <xf numFmtId="0" fontId="9" fillId="4" borderId="0" xfId="5" applyFont="1" applyFill="1"/>
    <xf numFmtId="0" fontId="20" fillId="4" borderId="0" xfId="1" applyFont="1" applyFill="1"/>
    <xf numFmtId="167" fontId="5" fillId="4" borderId="0" xfId="6" applyNumberFormat="1" applyFont="1" applyFill="1" applyBorder="1" applyAlignment="1">
      <alignment horizontal="center" vertical="center" wrapText="1"/>
    </xf>
    <xf numFmtId="166" fontId="8" fillId="8" borderId="9" xfId="6" applyNumberFormat="1" applyFont="1" applyFill="1" applyBorder="1" applyAlignment="1">
      <alignment horizontal="center" vertical="center" wrapText="1"/>
    </xf>
    <xf numFmtId="165" fontId="8" fillId="9" borderId="13" xfId="6" applyNumberFormat="1" applyFont="1" applyFill="1" applyBorder="1" applyAlignment="1">
      <alignment horizontal="center" vertical="center" wrapText="1"/>
    </xf>
    <xf numFmtId="0" fontId="3" fillId="3" borderId="0" xfId="1" applyFont="1" applyFill="1"/>
    <xf numFmtId="167" fontId="5" fillId="4" borderId="16" xfId="6" applyNumberFormat="1" applyFont="1" applyFill="1" applyBorder="1" applyAlignment="1">
      <alignment horizontal="center" vertical="center" wrapText="1"/>
    </xf>
    <xf numFmtId="167" fontId="5" fillId="4" borderId="19" xfId="6" applyNumberFormat="1" applyFont="1" applyFill="1" applyBorder="1" applyAlignment="1">
      <alignment horizontal="center" vertical="center" wrapText="1"/>
    </xf>
    <xf numFmtId="0" fontId="5" fillId="4" borderId="23" xfId="5" applyFont="1" applyFill="1" applyBorder="1"/>
    <xf numFmtId="174" fontId="5" fillId="0" borderId="24" xfId="9" applyNumberFormat="1" applyFont="1" applyFill="1" applyBorder="1" applyAlignment="1">
      <alignment horizontal="center"/>
    </xf>
    <xf numFmtId="167" fontId="5" fillId="4" borderId="23" xfId="6" applyNumberFormat="1" applyFont="1" applyFill="1" applyBorder="1" applyAlignment="1">
      <alignment horizontal="center" vertical="center" wrapText="1"/>
    </xf>
    <xf numFmtId="169" fontId="5" fillId="4" borderId="0" xfId="6" applyNumberFormat="1" applyFont="1" applyFill="1" applyBorder="1" applyAlignment="1">
      <alignment horizontal="center" vertical="center" wrapText="1"/>
    </xf>
    <xf numFmtId="0" fontId="5" fillId="4" borderId="0" xfId="1" applyFont="1" applyFill="1" applyBorder="1" applyAlignment="1">
      <alignment vertical="top" wrapText="1"/>
    </xf>
    <xf numFmtId="0" fontId="3" fillId="4" borderId="0" xfId="1" applyFont="1" applyFill="1" applyAlignment="1">
      <alignment vertical="top" wrapText="1"/>
    </xf>
    <xf numFmtId="0" fontId="5" fillId="4" borderId="19" xfId="5" applyFont="1" applyFill="1" applyBorder="1"/>
    <xf numFmtId="0" fontId="5" fillId="4" borderId="16" xfId="5" applyFont="1" applyFill="1" applyBorder="1"/>
    <xf numFmtId="165" fontId="8" fillId="7" borderId="8" xfId="6" applyNumberFormat="1" applyFont="1" applyFill="1" applyBorder="1" applyAlignment="1">
      <alignment horizontal="center" vertical="center" wrapText="1"/>
    </xf>
    <xf numFmtId="169" fontId="5" fillId="4" borderId="0" xfId="5" applyNumberFormat="1" applyFont="1" applyFill="1" applyBorder="1"/>
    <xf numFmtId="0" fontId="5" fillId="4" borderId="0" xfId="5" applyFont="1" applyFill="1" applyBorder="1" applyAlignment="1">
      <alignment vertical="center" wrapText="1"/>
    </xf>
    <xf numFmtId="0" fontId="3" fillId="0" borderId="0" xfId="1" applyFont="1" applyFill="1"/>
    <xf numFmtId="0" fontId="3" fillId="3" borderId="0" xfId="1" applyFont="1" applyFill="1" applyAlignment="1">
      <alignment vertical="top"/>
    </xf>
    <xf numFmtId="0" fontId="4" fillId="4" borderId="0" xfId="5" applyFont="1" applyFill="1" applyAlignment="1">
      <alignment horizontal="center" vertical="top"/>
    </xf>
    <xf numFmtId="0" fontId="18" fillId="4" borderId="0" xfId="1" applyFont="1" applyFill="1"/>
    <xf numFmtId="165" fontId="8" fillId="8" borderId="8" xfId="6" applyNumberFormat="1" applyFont="1" applyFill="1" applyBorder="1" applyAlignment="1">
      <alignment horizontal="center" vertical="center" wrapText="1"/>
    </xf>
    <xf numFmtId="168" fontId="5" fillId="0" borderId="16" xfId="9" applyNumberFormat="1" applyFont="1" applyFill="1" applyBorder="1" applyAlignment="1">
      <alignment horizontal="center"/>
    </xf>
    <xf numFmtId="174" fontId="5" fillId="0" borderId="17" xfId="9" applyNumberFormat="1" applyFont="1" applyBorder="1" applyAlignment="1">
      <alignment horizontal="center"/>
    </xf>
    <xf numFmtId="169" fontId="5" fillId="6" borderId="18" xfId="10" applyNumberFormat="1" applyFont="1" applyFill="1" applyBorder="1" applyAlignment="1">
      <alignment horizontal="center" vertical="center" wrapText="1"/>
    </xf>
    <xf numFmtId="168" fontId="5" fillId="0" borderId="19" xfId="11" applyNumberFormat="1" applyFont="1" applyFill="1" applyBorder="1" applyAlignment="1">
      <alignment horizontal="center"/>
    </xf>
    <xf numFmtId="169" fontId="5" fillId="6" borderId="21" xfId="10" applyNumberFormat="1" applyFont="1" applyFill="1" applyBorder="1" applyAlignment="1">
      <alignment horizontal="center" vertical="center" wrapText="1"/>
    </xf>
    <xf numFmtId="168" fontId="5" fillId="0" borderId="23" xfId="11" applyNumberFormat="1" applyFont="1" applyFill="1" applyBorder="1" applyAlignment="1">
      <alignment horizontal="center"/>
    </xf>
    <xf numFmtId="169" fontId="5" fillId="6" borderId="25" xfId="10" applyNumberFormat="1" applyFont="1" applyFill="1" applyBorder="1" applyAlignment="1">
      <alignment horizontal="center" vertical="center" wrapText="1"/>
    </xf>
    <xf numFmtId="0" fontId="3" fillId="4" borderId="2" xfId="1" applyFont="1" applyFill="1" applyBorder="1"/>
    <xf numFmtId="0" fontId="3" fillId="4" borderId="0" xfId="1" applyFont="1" applyFill="1" applyAlignment="1"/>
    <xf numFmtId="0" fontId="10" fillId="4" borderId="0" xfId="1" applyFont="1" applyFill="1" applyBorder="1" applyAlignment="1">
      <alignment horizontal="left"/>
    </xf>
    <xf numFmtId="0" fontId="10" fillId="4" borderId="0" xfId="1" applyFont="1" applyFill="1"/>
    <xf numFmtId="0" fontId="10" fillId="0" borderId="8" xfId="5" applyFont="1" applyFill="1" applyBorder="1" applyAlignment="1">
      <alignment horizontal="center" vertical="center" wrapText="1"/>
    </xf>
    <xf numFmtId="168" fontId="3" fillId="0" borderId="8" xfId="5" applyNumberFormat="1" applyFont="1" applyFill="1" applyBorder="1" applyAlignment="1">
      <alignment horizontal="center" vertical="center"/>
    </xf>
    <xf numFmtId="0" fontId="3" fillId="0" borderId="8" xfId="5" applyFont="1" applyFill="1" applyBorder="1" applyAlignment="1">
      <alignment horizontal="center" vertical="center"/>
    </xf>
    <xf numFmtId="0" fontId="10" fillId="0" borderId="10" xfId="5" applyFont="1" applyFill="1" applyBorder="1" applyAlignment="1">
      <alignment horizontal="center" vertical="center" wrapText="1"/>
    </xf>
    <xf numFmtId="168" fontId="3" fillId="0" borderId="10" xfId="5" applyNumberFormat="1" applyFont="1" applyFill="1" applyBorder="1" applyAlignment="1">
      <alignment horizontal="center" vertical="center"/>
    </xf>
    <xf numFmtId="0" fontId="3" fillId="0" borderId="10" xfId="5" applyFont="1" applyFill="1" applyBorder="1" applyAlignment="1">
      <alignment horizontal="center" vertical="center"/>
    </xf>
    <xf numFmtId="0" fontId="10" fillId="0" borderId="7" xfId="5" applyFont="1" applyFill="1" applyBorder="1" applyAlignment="1">
      <alignment horizontal="center" vertical="center" wrapText="1"/>
    </xf>
    <xf numFmtId="168" fontId="3" fillId="0" borderId="7" xfId="5" applyNumberFormat="1" applyFont="1" applyFill="1" applyBorder="1" applyAlignment="1">
      <alignment horizontal="center" vertical="center"/>
    </xf>
    <xf numFmtId="0" fontId="3" fillId="0" borderId="7" xfId="5" applyFont="1" applyFill="1" applyBorder="1" applyAlignment="1">
      <alignment horizontal="center" vertical="center"/>
    </xf>
    <xf numFmtId="0" fontId="3" fillId="0" borderId="0" xfId="5" applyFill="1"/>
    <xf numFmtId="0" fontId="8" fillId="7" borderId="8" xfId="5" applyNumberFormat="1" applyFont="1" applyFill="1" applyBorder="1" applyAlignment="1">
      <alignment horizontal="center" vertical="center" wrapText="1"/>
    </xf>
    <xf numFmtId="166" fontId="8" fillId="9" borderId="8" xfId="6" applyNumberFormat="1" applyFont="1" applyFill="1" applyBorder="1" applyAlignment="1">
      <alignment horizontal="center" vertical="center" wrapText="1"/>
    </xf>
    <xf numFmtId="165" fontId="8" fillId="49" borderId="8" xfId="6" applyNumberFormat="1" applyFont="1" applyFill="1" applyBorder="1" applyAlignment="1">
      <alignment horizontal="center" vertical="center" wrapText="1"/>
    </xf>
    <xf numFmtId="0" fontId="5" fillId="0" borderId="0" xfId="1" applyFont="1" applyFill="1"/>
    <xf numFmtId="0" fontId="3" fillId="0" borderId="0" xfId="1" applyFont="1" applyFill="1" applyAlignment="1">
      <alignment vertical="top" wrapText="1"/>
    </xf>
    <xf numFmtId="0" fontId="3" fillId="0" borderId="0" xfId="1" applyFont="1" applyFill="1" applyAlignment="1">
      <alignment vertical="top"/>
    </xf>
    <xf numFmtId="0" fontId="8" fillId="7" borderId="9" xfId="203" applyFont="1" applyFill="1" applyBorder="1" applyAlignment="1" applyProtection="1">
      <alignment horizontal="center" vertical="center" wrapText="1"/>
    </xf>
    <xf numFmtId="0" fontId="8" fillId="8" borderId="9" xfId="203" applyFont="1" applyFill="1" applyBorder="1" applyAlignment="1" applyProtection="1">
      <alignment horizontal="center" vertical="center" wrapText="1"/>
    </xf>
    <xf numFmtId="0" fontId="8" fillId="49" borderId="8" xfId="5" applyFont="1" applyFill="1" applyBorder="1" applyAlignment="1" applyProtection="1">
      <alignment horizontal="center" vertical="center" wrapText="1"/>
      <protection locked="0"/>
    </xf>
    <xf numFmtId="165" fontId="8" fillId="7" borderId="9" xfId="258" applyNumberFormat="1" applyFont="1" applyFill="1" applyBorder="1" applyAlignment="1" applyProtection="1">
      <alignment horizontal="center" vertical="center" wrapText="1"/>
    </xf>
    <xf numFmtId="165" fontId="8" fillId="8" borderId="9" xfId="258" applyNumberFormat="1" applyFont="1" applyFill="1" applyBorder="1" applyAlignment="1" applyProtection="1">
      <alignment horizontal="center" vertical="center" wrapText="1"/>
    </xf>
    <xf numFmtId="166" fontId="8" fillId="8" borderId="9" xfId="258" applyNumberFormat="1" applyFont="1" applyFill="1" applyBorder="1" applyAlignment="1" applyProtection="1">
      <alignment horizontal="center" vertical="center" wrapText="1"/>
    </xf>
    <xf numFmtId="0" fontId="5" fillId="4" borderId="16" xfId="2" applyFont="1" applyFill="1" applyBorder="1" applyAlignment="1" applyProtection="1">
      <alignment vertical="center"/>
    </xf>
    <xf numFmtId="0" fontId="5" fillId="6" borderId="16" xfId="203" applyFont="1" applyFill="1" applyBorder="1" applyProtection="1"/>
    <xf numFmtId="187" fontId="5" fillId="4" borderId="8" xfId="258" applyNumberFormat="1" applyFont="1" applyFill="1" applyBorder="1" applyAlignment="1" applyProtection="1">
      <alignment horizontal="center" vertical="center" wrapText="1"/>
    </xf>
    <xf numFmtId="0" fontId="5" fillId="4" borderId="19" xfId="2" applyFont="1" applyFill="1" applyBorder="1" applyAlignment="1" applyProtection="1">
      <alignment vertical="center"/>
    </xf>
    <xf numFmtId="0" fontId="5" fillId="6" borderId="19" xfId="203" applyFont="1" applyFill="1" applyBorder="1" applyProtection="1"/>
    <xf numFmtId="187" fontId="5" fillId="4" borderId="19" xfId="258" applyNumberFormat="1" applyFont="1" applyFill="1" applyBorder="1" applyAlignment="1" applyProtection="1">
      <alignment horizontal="center" vertical="center" wrapText="1"/>
    </xf>
    <xf numFmtId="0" fontId="5" fillId="4" borderId="23" xfId="2" applyFont="1" applyFill="1" applyBorder="1" applyAlignment="1" applyProtection="1">
      <alignment vertical="center"/>
    </xf>
    <xf numFmtId="0" fontId="5" fillId="6" borderId="23" xfId="203" applyFont="1" applyFill="1" applyBorder="1" applyProtection="1"/>
    <xf numFmtId="187" fontId="5" fillId="4" borderId="23" xfId="258" applyNumberFormat="1" applyFont="1" applyFill="1" applyBorder="1" applyAlignment="1" applyProtection="1">
      <alignment horizontal="center" vertical="center" wrapText="1"/>
    </xf>
    <xf numFmtId="187" fontId="5" fillId="4" borderId="16" xfId="258" applyNumberFormat="1" applyFont="1" applyFill="1" applyBorder="1" applyAlignment="1" applyProtection="1">
      <alignment horizontal="center" vertical="center" wrapText="1"/>
    </xf>
    <xf numFmtId="0" fontId="5" fillId="4" borderId="8" xfId="2" applyFont="1" applyFill="1" applyBorder="1" applyAlignment="1" applyProtection="1">
      <alignment vertical="center"/>
    </xf>
    <xf numFmtId="0" fontId="5" fillId="6" borderId="8" xfId="203" applyFont="1" applyFill="1" applyBorder="1" applyProtection="1"/>
    <xf numFmtId="0" fontId="5" fillId="4" borderId="29" xfId="2" applyFont="1" applyFill="1" applyBorder="1" applyAlignment="1" applyProtection="1">
      <alignment vertical="center"/>
    </xf>
    <xf numFmtId="0" fontId="5" fillId="6" borderId="29" xfId="203" applyFont="1" applyFill="1" applyBorder="1" applyProtection="1"/>
    <xf numFmtId="187" fontId="5" fillId="4" borderId="29" xfId="258" applyNumberFormat="1" applyFont="1" applyFill="1" applyBorder="1" applyAlignment="1" applyProtection="1">
      <alignment horizontal="center" vertical="center" wrapText="1"/>
    </xf>
    <xf numFmtId="0" fontId="5" fillId="4" borderId="0" xfId="2" applyFont="1" applyFill="1" applyBorder="1" applyAlignment="1" applyProtection="1">
      <alignment vertical="center"/>
    </xf>
    <xf numFmtId="0" fontId="5" fillId="4" borderId="0" xfId="203" applyFont="1" applyFill="1" applyBorder="1" applyProtection="1"/>
    <xf numFmtId="187" fontId="5" fillId="4" borderId="0" xfId="258" applyNumberFormat="1" applyFont="1" applyFill="1" applyBorder="1" applyAlignment="1" applyProtection="1">
      <alignment horizontal="center" vertical="center" wrapText="1"/>
    </xf>
    <xf numFmtId="0" fontId="17" fillId="4" borderId="1" xfId="203" applyFont="1" applyFill="1" applyBorder="1" applyAlignment="1" applyProtection="1">
      <alignment horizontal="left" vertical="center" wrapText="1"/>
    </xf>
    <xf numFmtId="0" fontId="5" fillId="4" borderId="2" xfId="203" applyFont="1" applyFill="1" applyBorder="1" applyProtection="1"/>
    <xf numFmtId="187" fontId="5" fillId="4" borderId="2" xfId="258" applyNumberFormat="1" applyFont="1" applyFill="1" applyBorder="1" applyAlignment="1" applyProtection="1">
      <alignment horizontal="center" vertical="center" wrapText="1"/>
    </xf>
    <xf numFmtId="0" fontId="3" fillId="4" borderId="2" xfId="5" applyFill="1" applyBorder="1"/>
    <xf numFmtId="0" fontId="3" fillId="4" borderId="3" xfId="5" applyFill="1" applyBorder="1"/>
    <xf numFmtId="0" fontId="2" fillId="4" borderId="0" xfId="5" applyFont="1" applyFill="1"/>
    <xf numFmtId="0" fontId="68" fillId="5" borderId="54" xfId="5" applyFont="1" applyFill="1" applyBorder="1" applyAlignment="1">
      <alignment vertical="center" wrapText="1"/>
    </xf>
    <xf numFmtId="0" fontId="68" fillId="5" borderId="54" xfId="5" applyFont="1" applyFill="1" applyBorder="1" applyAlignment="1">
      <alignment vertical="top" wrapText="1"/>
    </xf>
    <xf numFmtId="0" fontId="68" fillId="5" borderId="54" xfId="5" quotePrefix="1" applyFont="1" applyFill="1" applyBorder="1" applyAlignment="1">
      <alignment vertical="top" wrapText="1"/>
    </xf>
    <xf numFmtId="0" fontId="71" fillId="4" borderId="28" xfId="5" applyFont="1" applyFill="1" applyBorder="1" applyAlignment="1">
      <alignment vertical="center" wrapText="1"/>
    </xf>
    <xf numFmtId="0" fontId="71" fillId="4" borderId="56" xfId="5" applyFont="1" applyFill="1" applyBorder="1" applyAlignment="1">
      <alignment vertical="center" wrapText="1"/>
    </xf>
    <xf numFmtId="0" fontId="71" fillId="4" borderId="57" xfId="5" applyFont="1" applyFill="1" applyBorder="1" applyAlignment="1">
      <alignment vertical="center" wrapText="1"/>
    </xf>
    <xf numFmtId="0" fontId="71" fillId="4" borderId="58" xfId="5" applyFont="1" applyFill="1" applyBorder="1" applyAlignment="1">
      <alignment vertical="center" wrapText="1"/>
    </xf>
    <xf numFmtId="0" fontId="71" fillId="4" borderId="59" xfId="5" applyFont="1" applyFill="1" applyBorder="1" applyAlignment="1">
      <alignment vertical="center" wrapText="1"/>
    </xf>
    <xf numFmtId="0" fontId="5" fillId="4" borderId="56" xfId="5" applyFont="1" applyFill="1" applyBorder="1" applyAlignment="1">
      <alignment vertical="center"/>
    </xf>
    <xf numFmtId="0" fontId="28" fillId="4" borderId="0" xfId="1" applyFont="1" applyFill="1" applyProtection="1"/>
    <xf numFmtId="0" fontId="72" fillId="4" borderId="0" xfId="1" applyFont="1" applyFill="1" applyProtection="1"/>
    <xf numFmtId="0" fontId="71" fillId="4" borderId="0" xfId="5" applyFont="1" applyFill="1" applyBorder="1" applyAlignment="1">
      <alignment vertical="center" wrapText="1"/>
    </xf>
    <xf numFmtId="169" fontId="5" fillId="0" borderId="8" xfId="6" applyNumberFormat="1" applyFont="1" applyFill="1" applyBorder="1" applyAlignment="1">
      <alignment horizontal="center" vertical="center" wrapText="1"/>
    </xf>
    <xf numFmtId="167" fontId="5" fillId="0" borderId="8" xfId="6" applyNumberFormat="1" applyFont="1" applyFill="1" applyBorder="1" applyAlignment="1">
      <alignment horizontal="center" vertical="center" wrapText="1"/>
    </xf>
    <xf numFmtId="169" fontId="5" fillId="0" borderId="10" xfId="6" applyNumberFormat="1" applyFont="1" applyFill="1" applyBorder="1" applyAlignment="1">
      <alignment horizontal="center" vertical="center" wrapText="1"/>
    </xf>
    <xf numFmtId="167" fontId="5" fillId="0" borderId="10" xfId="6" applyNumberFormat="1" applyFont="1" applyFill="1" applyBorder="1" applyAlignment="1">
      <alignment horizontal="center" vertical="center" wrapText="1"/>
    </xf>
    <xf numFmtId="169" fontId="5" fillId="0" borderId="7" xfId="6" applyNumberFormat="1" applyFont="1" applyFill="1" applyBorder="1" applyAlignment="1">
      <alignment horizontal="center" vertical="center" wrapText="1"/>
    </xf>
    <xf numFmtId="167" fontId="5" fillId="0" borderId="7" xfId="6" applyNumberFormat="1" applyFont="1" applyFill="1" applyBorder="1" applyAlignment="1">
      <alignment horizontal="center" vertical="center" wrapText="1"/>
    </xf>
    <xf numFmtId="167" fontId="5" fillId="4" borderId="17" xfId="6" applyNumberFormat="1" applyFont="1" applyFill="1" applyBorder="1" applyAlignment="1">
      <alignment horizontal="center" vertical="center" wrapText="1"/>
    </xf>
    <xf numFmtId="167" fontId="5" fillId="4" borderId="24" xfId="6" applyNumberFormat="1" applyFont="1" applyFill="1" applyBorder="1" applyAlignment="1">
      <alignment horizontal="center" vertical="center" wrapText="1"/>
    </xf>
    <xf numFmtId="167" fontId="5" fillId="4" borderId="20" xfId="6" applyNumberFormat="1" applyFont="1" applyFill="1" applyBorder="1" applyAlignment="1">
      <alignment horizontal="center" vertical="center" wrapText="1"/>
    </xf>
    <xf numFmtId="44" fontId="28" fillId="0" borderId="7" xfId="260" applyFont="1" applyFill="1" applyBorder="1" applyAlignment="1">
      <alignment horizontal="center" vertical="center" wrapText="1"/>
    </xf>
    <xf numFmtId="7" fontId="28" fillId="0" borderId="0" xfId="260" applyNumberFormat="1" applyFont="1" applyFill="1" applyBorder="1" applyAlignment="1">
      <alignment horizontal="center" vertical="center"/>
    </xf>
    <xf numFmtId="44" fontId="28" fillId="0" borderId="0" xfId="260" applyFont="1" applyFill="1" applyBorder="1" applyAlignment="1">
      <alignment horizontal="center" vertical="center" wrapText="1"/>
    </xf>
    <xf numFmtId="44" fontId="28" fillId="0" borderId="9" xfId="260" applyFont="1" applyFill="1" applyBorder="1" applyAlignment="1">
      <alignment horizontal="center" vertical="center" wrapText="1"/>
    </xf>
    <xf numFmtId="7" fontId="28" fillId="4" borderId="0" xfId="260" applyNumberFormat="1" applyFont="1" applyFill="1" applyBorder="1" applyAlignment="1">
      <alignment horizontal="center" vertical="center"/>
    </xf>
    <xf numFmtId="44" fontId="3" fillId="4" borderId="0" xfId="260" applyFont="1" applyFill="1" applyBorder="1" applyAlignment="1">
      <alignment horizontal="center" vertical="center"/>
    </xf>
    <xf numFmtId="44" fontId="3" fillId="0" borderId="0" xfId="260" applyFont="1" applyFill="1" applyBorder="1" applyAlignment="1">
      <alignment horizontal="center" vertical="center"/>
    </xf>
    <xf numFmtId="44" fontId="3" fillId="0" borderId="0" xfId="260" applyFont="1" applyFill="1" applyBorder="1" applyAlignment="1">
      <alignment horizontal="center" vertical="center" wrapText="1"/>
    </xf>
    <xf numFmtId="7" fontId="28" fillId="7" borderId="7" xfId="260" applyNumberFormat="1" applyFont="1" applyFill="1" applyBorder="1" applyAlignment="1">
      <alignment horizontal="center" vertical="center"/>
    </xf>
    <xf numFmtId="44" fontId="28" fillId="7" borderId="7" xfId="260" applyFont="1" applyFill="1" applyBorder="1" applyAlignment="1">
      <alignment horizontal="center" vertical="center" wrapText="1"/>
    </xf>
    <xf numFmtId="7" fontId="28" fillId="49" borderId="9" xfId="260" applyNumberFormat="1" applyFont="1" applyFill="1" applyBorder="1" applyAlignment="1">
      <alignment horizontal="center" vertical="center"/>
    </xf>
    <xf numFmtId="7" fontId="28" fillId="7" borderId="9" xfId="260" applyNumberFormat="1" applyFont="1" applyFill="1" applyBorder="1" applyAlignment="1">
      <alignment horizontal="center" vertical="center"/>
    </xf>
    <xf numFmtId="44" fontId="28" fillId="7" borderId="9" xfId="260" applyFont="1" applyFill="1" applyBorder="1" applyAlignment="1">
      <alignment horizontal="center" vertical="center" wrapText="1"/>
    </xf>
    <xf numFmtId="0" fontId="28" fillId="7" borderId="9" xfId="261" applyFont="1" applyFill="1" applyBorder="1" applyAlignment="1">
      <alignment horizontal="center" vertical="top"/>
    </xf>
    <xf numFmtId="0" fontId="28" fillId="7" borderId="9" xfId="261" applyFont="1" applyFill="1" applyBorder="1" applyAlignment="1">
      <alignment horizontal="left" vertical="top" wrapText="1"/>
    </xf>
    <xf numFmtId="0" fontId="28" fillId="7" borderId="9" xfId="261" applyFont="1" applyFill="1" applyBorder="1" applyAlignment="1">
      <alignment horizontal="center" vertical="center"/>
    </xf>
    <xf numFmtId="1" fontId="28" fillId="7" borderId="9" xfId="261" applyNumberFormat="1" applyFont="1" applyFill="1" applyBorder="1" applyAlignment="1">
      <alignment horizontal="center" vertical="center"/>
    </xf>
    <xf numFmtId="0" fontId="28" fillId="0" borderId="7" xfId="261" applyFont="1" applyFill="1" applyBorder="1" applyAlignment="1">
      <alignment horizontal="left" vertical="top" wrapText="1" shrinkToFit="1"/>
    </xf>
    <xf numFmtId="7" fontId="28" fillId="49" borderId="7" xfId="260" applyNumberFormat="1" applyFont="1" applyFill="1" applyBorder="1" applyAlignment="1">
      <alignment horizontal="center" vertical="center"/>
    </xf>
    <xf numFmtId="0" fontId="28" fillId="0" borderId="9" xfId="261" applyFont="1" applyFill="1" applyBorder="1" applyAlignment="1">
      <alignment horizontal="left" vertical="top" wrapText="1" shrinkToFit="1"/>
    </xf>
    <xf numFmtId="44" fontId="28" fillId="4" borderId="9" xfId="260" applyFont="1" applyFill="1" applyBorder="1" applyAlignment="1">
      <alignment horizontal="center" vertical="center" wrapText="1"/>
    </xf>
    <xf numFmtId="187" fontId="28" fillId="0" borderId="0" xfId="260" applyNumberFormat="1" applyFont="1" applyFill="1" applyBorder="1" applyAlignment="1">
      <alignment horizontal="center" vertical="center"/>
    </xf>
    <xf numFmtId="0" fontId="28" fillId="8" borderId="9" xfId="261" applyFont="1" applyFill="1" applyBorder="1" applyAlignment="1">
      <alignment horizontal="left" vertical="top" wrapText="1"/>
    </xf>
    <xf numFmtId="44" fontId="28" fillId="8" borderId="9" xfId="260" applyFont="1" applyFill="1" applyBorder="1" applyAlignment="1">
      <alignment horizontal="center" vertical="center" wrapText="1"/>
    </xf>
    <xf numFmtId="187" fontId="28" fillId="4" borderId="0" xfId="260" applyNumberFormat="1" applyFont="1" applyFill="1" applyBorder="1" applyAlignment="1">
      <alignment horizontal="center" vertical="center"/>
    </xf>
    <xf numFmtId="4" fontId="28" fillId="0" borderId="0" xfId="260" applyNumberFormat="1" applyFont="1" applyFill="1" applyBorder="1" applyAlignment="1">
      <alignment horizontal="center" vertical="center"/>
    </xf>
    <xf numFmtId="0" fontId="28" fillId="8" borderId="8" xfId="261" applyFont="1" applyFill="1" applyBorder="1" applyAlignment="1">
      <alignment horizontal="left" vertical="top" wrapText="1"/>
    </xf>
    <xf numFmtId="44" fontId="28" fillId="8" borderId="8" xfId="260" applyFont="1" applyFill="1" applyBorder="1" applyAlignment="1">
      <alignment horizontal="center" vertical="center" wrapText="1"/>
    </xf>
    <xf numFmtId="0" fontId="21" fillId="5" borderId="12" xfId="261" applyFont="1" applyFill="1" applyBorder="1" applyAlignment="1">
      <alignment horizontal="left" vertical="center"/>
    </xf>
    <xf numFmtId="0" fontId="85" fillId="5" borderId="12" xfId="261" applyFont="1" applyFill="1" applyBorder="1" applyAlignment="1">
      <alignment horizontal="left" vertical="center"/>
    </xf>
    <xf numFmtId="44" fontId="74" fillId="5" borderId="12" xfId="260" applyFont="1" applyFill="1" applyBorder="1" applyAlignment="1">
      <alignment horizontal="center" vertical="center"/>
    </xf>
    <xf numFmtId="44" fontId="74" fillId="5" borderId="12" xfId="260" applyFont="1" applyFill="1" applyBorder="1" applyAlignment="1">
      <alignment horizontal="center" vertical="center" wrapText="1"/>
    </xf>
    <xf numFmtId="44" fontId="74" fillId="5" borderId="13" xfId="260" applyFont="1" applyFill="1" applyBorder="1" applyAlignment="1">
      <alignment horizontal="center" vertical="center" wrapText="1"/>
    </xf>
    <xf numFmtId="44" fontId="74" fillId="4" borderId="0" xfId="260" applyFont="1" applyFill="1" applyBorder="1" applyAlignment="1">
      <alignment horizontal="center" vertical="center"/>
    </xf>
    <xf numFmtId="44" fontId="74" fillId="0" borderId="0" xfId="260" applyFont="1" applyFill="1" applyBorder="1" applyAlignment="1">
      <alignment horizontal="center" vertical="center"/>
    </xf>
    <xf numFmtId="44" fontId="74" fillId="0" borderId="0" xfId="260" applyFont="1" applyFill="1" applyBorder="1" applyAlignment="1">
      <alignment horizontal="center" vertical="center" wrapText="1"/>
    </xf>
    <xf numFmtId="0" fontId="28" fillId="0" borderId="7" xfId="261" applyFont="1" applyFill="1" applyBorder="1" applyAlignment="1">
      <alignment horizontal="left" vertical="top" wrapText="1"/>
    </xf>
    <xf numFmtId="188" fontId="28" fillId="0" borderId="0" xfId="260" applyNumberFormat="1" applyFont="1" applyFill="1" applyBorder="1" applyAlignment="1">
      <alignment horizontal="center" vertical="center"/>
    </xf>
    <xf numFmtId="0" fontId="28" fillId="0" borderId="9" xfId="261" applyFont="1" applyFill="1" applyBorder="1" applyAlignment="1">
      <alignment horizontal="left" vertical="top" wrapText="1"/>
    </xf>
    <xf numFmtId="0" fontId="61" fillId="4" borderId="9" xfId="261" applyFont="1" applyFill="1" applyBorder="1" applyAlignment="1">
      <alignment vertical="top" wrapText="1"/>
    </xf>
    <xf numFmtId="0" fontId="61" fillId="4" borderId="8" xfId="261" applyFont="1" applyFill="1" applyBorder="1" applyAlignment="1">
      <alignment vertical="top" wrapText="1"/>
    </xf>
    <xf numFmtId="0" fontId="28" fillId="0" borderId="8" xfId="261" applyFont="1" applyFill="1" applyBorder="1" applyAlignment="1">
      <alignment horizontal="left" vertical="top" wrapText="1"/>
    </xf>
    <xf numFmtId="7" fontId="28" fillId="49" borderId="8" xfId="260" applyNumberFormat="1" applyFont="1" applyFill="1" applyBorder="1" applyAlignment="1">
      <alignment horizontal="center" vertical="center"/>
    </xf>
    <xf numFmtId="44" fontId="28" fillId="0" borderId="8" xfId="260" applyFont="1" applyFill="1" applyBorder="1" applyAlignment="1">
      <alignment horizontal="center" vertical="center" wrapText="1"/>
    </xf>
    <xf numFmtId="170" fontId="28" fillId="0" borderId="0" xfId="260" applyNumberFormat="1" applyFont="1" applyFill="1" applyBorder="1" applyAlignment="1">
      <alignment horizontal="center" vertical="center"/>
    </xf>
    <xf numFmtId="172" fontId="28" fillId="0" borderId="0" xfId="260" applyNumberFormat="1" applyFont="1" applyFill="1" applyBorder="1" applyAlignment="1">
      <alignment horizontal="center" vertical="center"/>
    </xf>
    <xf numFmtId="44" fontId="28" fillId="4" borderId="0" xfId="260" applyFont="1" applyFill="1" applyBorder="1" applyAlignment="1">
      <alignment horizontal="center" vertical="center"/>
    </xf>
    <xf numFmtId="44" fontId="28" fillId="4" borderId="0" xfId="260" applyFont="1" applyFill="1" applyBorder="1" applyAlignment="1">
      <alignment horizontal="center" vertical="center" wrapText="1"/>
    </xf>
    <xf numFmtId="169" fontId="5" fillId="0" borderId="3" xfId="6" applyNumberFormat="1" applyFont="1" applyFill="1" applyBorder="1" applyAlignment="1">
      <alignment horizontal="center" vertical="center" wrapText="1"/>
    </xf>
    <xf numFmtId="169" fontId="5" fillId="0" borderId="15" xfId="6" applyNumberFormat="1" applyFont="1" applyFill="1" applyBorder="1" applyAlignment="1">
      <alignment horizontal="center" vertical="center" wrapText="1"/>
    </xf>
    <xf numFmtId="169" fontId="5" fillId="0" borderId="6" xfId="6" applyNumberFormat="1" applyFont="1" applyFill="1" applyBorder="1" applyAlignment="1">
      <alignment horizontal="center" vertical="center" wrapText="1"/>
    </xf>
    <xf numFmtId="0" fontId="5" fillId="0" borderId="0" xfId="400" applyFont="1" applyFill="1" applyAlignment="1">
      <alignment vertical="top" wrapText="1"/>
    </xf>
    <xf numFmtId="0" fontId="5" fillId="0" borderId="0" xfId="400" applyFont="1" applyFill="1" applyAlignment="1">
      <alignment horizontal="center" vertical="top" wrapText="1"/>
    </xf>
    <xf numFmtId="0" fontId="28" fillId="0" borderId="0" xfId="400" applyFont="1" applyAlignment="1">
      <alignment horizontal="center" vertical="center"/>
    </xf>
    <xf numFmtId="0" fontId="3" fillId="0" borderId="0" xfId="400" applyFont="1" applyFill="1" applyBorder="1"/>
    <xf numFmtId="0" fontId="3" fillId="4" borderId="0" xfId="400" applyFont="1" applyFill="1" applyBorder="1" applyAlignment="1">
      <alignment horizontal="center"/>
    </xf>
    <xf numFmtId="0" fontId="5" fillId="4" borderId="0" xfId="400" applyFont="1" applyFill="1" applyAlignment="1">
      <alignment vertical="top" wrapText="1"/>
    </xf>
    <xf numFmtId="0" fontId="5" fillId="4" borderId="0" xfId="400" applyFont="1" applyFill="1" applyAlignment="1">
      <alignment horizontal="center" vertical="top" wrapText="1"/>
    </xf>
    <xf numFmtId="0" fontId="28" fillId="4" borderId="0" xfId="400" applyFont="1" applyFill="1" applyAlignment="1">
      <alignment horizontal="center" vertical="center"/>
    </xf>
    <xf numFmtId="0" fontId="3" fillId="4" borderId="0" xfId="400" applyFont="1" applyFill="1" applyBorder="1"/>
    <xf numFmtId="0" fontId="5" fillId="4" borderId="0" xfId="400" applyFont="1" applyFill="1" applyBorder="1" applyAlignment="1">
      <alignment vertical="top" wrapText="1"/>
    </xf>
    <xf numFmtId="0" fontId="5" fillId="4" borderId="0" xfId="400" applyFont="1" applyFill="1" applyBorder="1" applyAlignment="1">
      <alignment horizontal="center" vertical="top" wrapText="1"/>
    </xf>
    <xf numFmtId="0" fontId="3" fillId="4" borderId="0" xfId="400" applyFont="1" applyFill="1"/>
    <xf numFmtId="1" fontId="3" fillId="4" borderId="0" xfId="400" applyNumberFormat="1" applyFont="1" applyFill="1" applyBorder="1" applyAlignment="1">
      <alignment horizontal="center"/>
    </xf>
    <xf numFmtId="0" fontId="3" fillId="4" borderId="0" xfId="400" applyFont="1" applyFill="1" applyAlignment="1">
      <alignment horizontal="center"/>
    </xf>
    <xf numFmtId="0" fontId="75" fillId="4" borderId="0" xfId="400" applyFont="1" applyFill="1" applyBorder="1" applyAlignment="1">
      <alignment horizontal="center" vertical="center" wrapText="1"/>
    </xf>
    <xf numFmtId="0" fontId="91" fillId="4" borderId="0" xfId="400" applyFill="1"/>
    <xf numFmtId="0" fontId="91" fillId="4" borderId="0" xfId="400" applyFill="1" applyAlignment="1">
      <alignment horizontal="center"/>
    </xf>
    <xf numFmtId="1" fontId="8" fillId="4" borderId="0" xfId="400" applyNumberFormat="1" applyFont="1" applyFill="1" applyBorder="1" applyAlignment="1">
      <alignment horizontal="right" vertical="top" wrapText="1"/>
    </xf>
    <xf numFmtId="0" fontId="3" fillId="7" borderId="9" xfId="400" applyFont="1" applyFill="1" applyBorder="1" applyAlignment="1">
      <alignment vertical="top" wrapText="1"/>
    </xf>
    <xf numFmtId="0" fontId="28" fillId="4" borderId="0" xfId="400" applyFont="1" applyFill="1" applyBorder="1" applyAlignment="1">
      <alignment horizontal="center" vertical="top" wrapText="1"/>
    </xf>
    <xf numFmtId="0" fontId="77" fillId="0" borderId="0" xfId="400" applyFont="1" applyFill="1" applyBorder="1" applyAlignment="1">
      <alignment vertical="center"/>
    </xf>
    <xf numFmtId="0" fontId="3" fillId="0" borderId="0" xfId="400" applyFont="1" applyFill="1" applyBorder="1" applyAlignment="1">
      <alignment horizontal="center" vertical="center"/>
    </xf>
    <xf numFmtId="0" fontId="3" fillId="0" borderId="0" xfId="400" applyFont="1" applyFill="1" applyBorder="1" applyAlignment="1">
      <alignment vertical="center"/>
    </xf>
    <xf numFmtId="0" fontId="78" fillId="4" borderId="0" xfId="400" applyFont="1" applyFill="1" applyBorder="1"/>
    <xf numFmtId="1" fontId="3" fillId="4" borderId="0" xfId="400" applyNumberFormat="1" applyFont="1" applyFill="1" applyBorder="1"/>
    <xf numFmtId="0" fontId="3" fillId="8" borderId="9" xfId="400" applyFont="1" applyFill="1" applyBorder="1" applyAlignment="1">
      <alignment vertical="top" wrapText="1"/>
    </xf>
    <xf numFmtId="1" fontId="79" fillId="4" borderId="0" xfId="400" applyNumberFormat="1" applyFont="1" applyFill="1" applyBorder="1" applyAlignment="1">
      <alignment vertical="center" wrapText="1"/>
    </xf>
    <xf numFmtId="0" fontId="93" fillId="4" borderId="0" xfId="400" applyFont="1" applyFill="1" applyBorder="1" applyAlignment="1">
      <alignment horizontal="center" vertical="center" wrapText="1"/>
    </xf>
    <xf numFmtId="0" fontId="3" fillId="4" borderId="0" xfId="400" applyFont="1" applyFill="1" applyBorder="1" applyAlignment="1">
      <alignment vertical="top" wrapText="1"/>
    </xf>
    <xf numFmtId="0" fontId="10" fillId="0" borderId="0" xfId="400" applyFont="1" applyFill="1" applyBorder="1" applyAlignment="1">
      <alignment horizontal="center" vertical="center"/>
    </xf>
    <xf numFmtId="0" fontId="14" fillId="4" borderId="0" xfId="400" applyFont="1" applyFill="1" applyBorder="1"/>
    <xf numFmtId="0" fontId="80" fillId="4" borderId="0" xfId="400" applyFont="1" applyFill="1" applyBorder="1" applyAlignment="1">
      <alignment horizontal="center"/>
    </xf>
    <xf numFmtId="0" fontId="80" fillId="4" borderId="0" xfId="400" applyFont="1" applyFill="1" applyBorder="1"/>
    <xf numFmtId="0" fontId="28" fillId="4" borderId="0" xfId="400" applyFont="1" applyFill="1" applyBorder="1" applyAlignment="1">
      <alignment horizontal="center" vertical="center"/>
    </xf>
    <xf numFmtId="0" fontId="3" fillId="4" borderId="62" xfId="400" applyFont="1" applyFill="1" applyBorder="1"/>
    <xf numFmtId="0" fontId="81" fillId="5" borderId="9" xfId="400" applyFont="1" applyFill="1" applyBorder="1" applyAlignment="1">
      <alignment horizontal="center" vertical="center" wrapText="1"/>
    </xf>
    <xf numFmtId="0" fontId="81" fillId="5" borderId="8" xfId="400" applyFont="1" applyFill="1" applyBorder="1" applyAlignment="1">
      <alignment horizontal="center" vertical="center"/>
    </xf>
    <xf numFmtId="0" fontId="81" fillId="5" borderId="8" xfId="400" applyFont="1" applyFill="1" applyBorder="1" applyAlignment="1">
      <alignment horizontal="center" vertical="center" wrapText="1"/>
    </xf>
    <xf numFmtId="0" fontId="3" fillId="4" borderId="0" xfId="400" applyFont="1" applyFill="1" applyBorder="1" applyAlignment="1">
      <alignment vertical="center"/>
    </xf>
    <xf numFmtId="0" fontId="81" fillId="0" borderId="0" xfId="400" applyFont="1" applyFill="1" applyBorder="1" applyAlignment="1">
      <alignment vertical="center" wrapText="1"/>
    </xf>
    <xf numFmtId="1" fontId="81" fillId="0" borderId="0" xfId="400" applyNumberFormat="1" applyFont="1" applyFill="1" applyBorder="1" applyAlignment="1">
      <alignment vertical="center" wrapText="1"/>
    </xf>
    <xf numFmtId="0" fontId="81" fillId="0" borderId="0" xfId="400" applyFont="1" applyFill="1" applyBorder="1" applyAlignment="1">
      <alignment horizontal="center" vertical="center" wrapText="1"/>
    </xf>
    <xf numFmtId="0" fontId="82" fillId="5" borderId="11" xfId="400" applyFont="1" applyFill="1" applyBorder="1" applyAlignment="1">
      <alignment horizontal="left" vertical="center"/>
    </xf>
    <xf numFmtId="0" fontId="82" fillId="5" borderId="12" xfId="400" applyFont="1" applyFill="1" applyBorder="1" applyAlignment="1">
      <alignment horizontal="center" vertical="center" wrapText="1"/>
    </xf>
    <xf numFmtId="0" fontId="81" fillId="5" borderId="12" xfId="400" applyFont="1" applyFill="1" applyBorder="1" applyAlignment="1">
      <alignment horizontal="center" vertical="center" wrapText="1"/>
    </xf>
    <xf numFmtId="0" fontId="81" fillId="5" borderId="12" xfId="400" applyFont="1" applyFill="1" applyBorder="1" applyAlignment="1">
      <alignment horizontal="center" vertical="center"/>
    </xf>
    <xf numFmtId="1" fontId="81" fillId="5" borderId="12" xfId="400" applyNumberFormat="1" applyFont="1" applyFill="1" applyBorder="1" applyAlignment="1">
      <alignment horizontal="center" vertical="center" wrapText="1"/>
    </xf>
    <xf numFmtId="0" fontId="81" fillId="5" borderId="13" xfId="400" applyFont="1" applyFill="1" applyBorder="1" applyAlignment="1">
      <alignment horizontal="center" vertical="center" wrapText="1"/>
    </xf>
    <xf numFmtId="0" fontId="81" fillId="0" borderId="0" xfId="400" applyFont="1" applyFill="1" applyBorder="1" applyAlignment="1">
      <alignment horizontal="center" vertical="top" wrapText="1"/>
    </xf>
    <xf numFmtId="0" fontId="28" fillId="51" borderId="4" xfId="400" applyFont="1" applyFill="1" applyBorder="1" applyAlignment="1">
      <alignment horizontal="center" vertical="center"/>
    </xf>
    <xf numFmtId="0" fontId="10" fillId="51" borderId="5" xfId="400" applyFont="1" applyFill="1" applyBorder="1" applyAlignment="1">
      <alignment horizontal="left" vertical="center"/>
    </xf>
    <xf numFmtId="0" fontId="3" fillId="51" borderId="5" xfId="400" applyFont="1" applyFill="1" applyBorder="1" applyAlignment="1">
      <alignment horizontal="left" vertical="center"/>
    </xf>
    <xf numFmtId="0" fontId="3" fillId="51" borderId="5" xfId="400" applyFont="1" applyFill="1" applyBorder="1" applyAlignment="1">
      <alignment vertical="center"/>
    </xf>
    <xf numFmtId="1" fontId="3" fillId="51" borderId="5" xfId="400" applyNumberFormat="1" applyFont="1" applyFill="1" applyBorder="1" applyAlignment="1">
      <alignment vertical="center"/>
    </xf>
    <xf numFmtId="0" fontId="3" fillId="51" borderId="5" xfId="400" applyFont="1" applyFill="1" applyBorder="1" applyAlignment="1">
      <alignment horizontal="center" vertical="center"/>
    </xf>
    <xf numFmtId="0" fontId="3" fillId="51" borderId="5" xfId="400" applyFont="1" applyFill="1" applyBorder="1" applyAlignment="1">
      <alignment vertical="center" wrapText="1"/>
    </xf>
    <xf numFmtId="0" fontId="3" fillId="51" borderId="6" xfId="400" applyFont="1" applyFill="1" applyBorder="1" applyAlignment="1">
      <alignment vertical="center" wrapText="1"/>
    </xf>
    <xf numFmtId="0" fontId="81" fillId="0" borderId="0" xfId="400" applyFont="1" applyFill="1" applyBorder="1" applyAlignment="1">
      <alignment horizontal="center" vertical="center"/>
    </xf>
    <xf numFmtId="0" fontId="28" fillId="0" borderId="7" xfId="400" applyFont="1" applyFill="1" applyBorder="1" applyAlignment="1">
      <alignment horizontal="center" vertical="top"/>
    </xf>
    <xf numFmtId="0" fontId="28" fillId="0" borderId="7" xfId="400" applyFont="1" applyFill="1" applyBorder="1" applyAlignment="1">
      <alignment horizontal="left" vertical="top" wrapText="1"/>
    </xf>
    <xf numFmtId="1" fontId="28" fillId="0" borderId="7" xfId="400" applyNumberFormat="1" applyFont="1" applyFill="1" applyBorder="1" applyAlignment="1">
      <alignment horizontal="center" vertical="center"/>
    </xf>
    <xf numFmtId="0" fontId="28" fillId="0" borderId="7" xfId="400" applyFont="1" applyFill="1" applyBorder="1" applyAlignment="1">
      <alignment vertical="center" wrapText="1"/>
    </xf>
    <xf numFmtId="0" fontId="28" fillId="0" borderId="7" xfId="400" applyFont="1" applyFill="1" applyBorder="1" applyAlignment="1">
      <alignment horizontal="center" vertical="center" wrapText="1"/>
    </xf>
    <xf numFmtId="0" fontId="28" fillId="0" borderId="7" xfId="400" applyFont="1" applyFill="1" applyBorder="1" applyAlignment="1">
      <alignment horizontal="center" vertical="center"/>
    </xf>
    <xf numFmtId="2" fontId="3" fillId="4" borderId="0" xfId="400" applyNumberFormat="1" applyFont="1" applyFill="1" applyBorder="1"/>
    <xf numFmtId="2" fontId="3" fillId="0" borderId="0" xfId="400" applyNumberFormat="1" applyFont="1" applyFill="1" applyBorder="1"/>
    <xf numFmtId="0" fontId="28" fillId="0" borderId="0" xfId="400" applyFont="1" applyFill="1" applyBorder="1" applyAlignment="1">
      <alignment horizontal="center" vertical="top"/>
    </xf>
    <xf numFmtId="0" fontId="28" fillId="0" borderId="0" xfId="400" applyFont="1" applyFill="1" applyBorder="1" applyAlignment="1">
      <alignment horizontal="left" vertical="top" wrapText="1"/>
    </xf>
    <xf numFmtId="0" fontId="28" fillId="0" borderId="0" xfId="400" applyFont="1" applyFill="1" applyBorder="1" applyAlignment="1">
      <alignment vertical="center"/>
    </xf>
    <xf numFmtId="1" fontId="28" fillId="0" borderId="0" xfId="400" applyNumberFormat="1" applyFont="1" applyFill="1" applyBorder="1" applyAlignment="1">
      <alignment horizontal="center" vertical="center"/>
    </xf>
    <xf numFmtId="0" fontId="28" fillId="0" borderId="0" xfId="400" applyFont="1" applyFill="1" applyBorder="1" applyAlignment="1">
      <alignment vertical="center" wrapText="1"/>
    </xf>
    <xf numFmtId="0" fontId="28" fillId="0" borderId="0" xfId="400" applyFont="1" applyFill="1" applyBorder="1" applyAlignment="1">
      <alignment horizontal="center" vertical="center" wrapText="1"/>
    </xf>
    <xf numFmtId="0" fontId="28" fillId="0" borderId="0" xfId="400" applyFont="1" applyFill="1" applyBorder="1" applyAlignment="1">
      <alignment horizontal="center" vertical="center"/>
    </xf>
    <xf numFmtId="0" fontId="28" fillId="0" borderId="9" xfId="400" applyFont="1" applyFill="1" applyBorder="1" applyAlignment="1">
      <alignment horizontal="center" vertical="top"/>
    </xf>
    <xf numFmtId="0" fontId="28" fillId="0" borderId="9" xfId="400" applyFont="1" applyFill="1" applyBorder="1" applyAlignment="1">
      <alignment horizontal="left" vertical="top" wrapText="1"/>
    </xf>
    <xf numFmtId="1" fontId="28" fillId="0" borderId="9" xfId="400" applyNumberFormat="1" applyFont="1" applyFill="1" applyBorder="1" applyAlignment="1">
      <alignment horizontal="center" vertical="center"/>
    </xf>
    <xf numFmtId="0" fontId="28" fillId="0" borderId="9" xfId="400" applyFont="1" applyFill="1" applyBorder="1" applyAlignment="1">
      <alignment vertical="center" wrapText="1"/>
    </xf>
    <xf numFmtId="0" fontId="28" fillId="0" borderId="9" xfId="400" applyFont="1" applyFill="1" applyBorder="1" applyAlignment="1">
      <alignment horizontal="center" vertical="center" wrapText="1"/>
    </xf>
    <xf numFmtId="0" fontId="28" fillId="0" borderId="9" xfId="400" applyFont="1" applyFill="1" applyBorder="1" applyAlignment="1">
      <alignment horizontal="center" vertical="center"/>
    </xf>
    <xf numFmtId="44" fontId="28" fillId="4" borderId="0" xfId="260" applyFont="1" applyFill="1" applyBorder="1" applyAlignment="1">
      <alignment vertical="center"/>
    </xf>
    <xf numFmtId="0" fontId="28" fillId="0" borderId="9" xfId="400" applyFont="1" applyBorder="1" applyAlignment="1">
      <alignment horizontal="center" vertical="center"/>
    </xf>
    <xf numFmtId="0" fontId="28" fillId="0" borderId="9" xfId="400" applyFont="1" applyBorder="1" applyAlignment="1">
      <alignment horizontal="center" vertical="center" wrapText="1"/>
    </xf>
    <xf numFmtId="0" fontId="28" fillId="0" borderId="8" xfId="400" applyFont="1" applyFill="1" applyBorder="1" applyAlignment="1">
      <alignment horizontal="center" vertical="top"/>
    </xf>
    <xf numFmtId="0" fontId="28" fillId="0" borderId="8" xfId="400" applyFont="1" applyFill="1" applyBorder="1" applyAlignment="1">
      <alignment horizontal="left" vertical="top" wrapText="1"/>
    </xf>
    <xf numFmtId="1" fontId="28" fillId="0" borderId="8" xfId="400" applyNumberFormat="1" applyFont="1" applyFill="1" applyBorder="1" applyAlignment="1">
      <alignment horizontal="center" vertical="center"/>
    </xf>
    <xf numFmtId="0" fontId="28" fillId="0" borderId="8" xfId="400" applyFont="1" applyFill="1" applyBorder="1" applyAlignment="1">
      <alignment vertical="center" wrapText="1"/>
    </xf>
    <xf numFmtId="0" fontId="28" fillId="0" borderId="8" xfId="400" applyFont="1" applyFill="1" applyBorder="1" applyAlignment="1">
      <alignment horizontal="center" vertical="center" wrapText="1"/>
    </xf>
    <xf numFmtId="0" fontId="28" fillId="0" borderId="8" xfId="400" applyFont="1" applyBorder="1" applyAlignment="1">
      <alignment horizontal="center" vertical="center"/>
    </xf>
    <xf numFmtId="0" fontId="28" fillId="0" borderId="8" xfId="400" applyFont="1" applyBorder="1" applyAlignment="1">
      <alignment horizontal="center" vertical="center" wrapText="1"/>
    </xf>
    <xf numFmtId="0" fontId="28" fillId="51" borderId="11" xfId="400" applyFont="1" applyFill="1" applyBorder="1" applyAlignment="1">
      <alignment horizontal="center" vertical="center"/>
    </xf>
    <xf numFmtId="0" fontId="10" fillId="51" borderId="12" xfId="400" applyFont="1" applyFill="1" applyBorder="1" applyAlignment="1">
      <alignment horizontal="left" vertical="center"/>
    </xf>
    <xf numFmtId="0" fontId="3" fillId="51" borderId="12" xfId="400" applyFont="1" applyFill="1" applyBorder="1" applyAlignment="1">
      <alignment horizontal="left" vertical="center"/>
    </xf>
    <xf numFmtId="0" fontId="3" fillId="51" borderId="12" xfId="400" applyFont="1" applyFill="1" applyBorder="1" applyAlignment="1">
      <alignment vertical="center"/>
    </xf>
    <xf numFmtId="1" fontId="3" fillId="51" borderId="12" xfId="400" applyNumberFormat="1" applyFont="1" applyFill="1" applyBorder="1" applyAlignment="1">
      <alignment vertical="center"/>
    </xf>
    <xf numFmtId="0" fontId="3" fillId="51" borderId="12" xfId="400" applyFont="1" applyFill="1" applyBorder="1" applyAlignment="1">
      <alignment horizontal="center" vertical="center"/>
    </xf>
    <xf numFmtId="0" fontId="3" fillId="51" borderId="12" xfId="400" applyFont="1" applyFill="1" applyBorder="1" applyAlignment="1">
      <alignment vertical="center" wrapText="1"/>
    </xf>
    <xf numFmtId="0" fontId="3" fillId="51" borderId="13" xfId="400" applyFont="1" applyFill="1" applyBorder="1" applyAlignment="1">
      <alignment vertical="center" wrapText="1"/>
    </xf>
    <xf numFmtId="0" fontId="10" fillId="0" borderId="0" xfId="400" applyFont="1" applyFill="1" applyBorder="1" applyAlignment="1">
      <alignment horizontal="left" vertical="center"/>
    </xf>
    <xf numFmtId="0" fontId="29" fillId="0" borderId="0" xfId="400" applyFont="1" applyFill="1" applyBorder="1" applyAlignment="1">
      <alignment horizontal="left" vertical="center"/>
    </xf>
    <xf numFmtId="0" fontId="28" fillId="7" borderId="7" xfId="400" applyFont="1" applyFill="1" applyBorder="1" applyAlignment="1">
      <alignment horizontal="center" vertical="top"/>
    </xf>
    <xf numFmtId="0" fontId="28" fillId="7" borderId="7" xfId="400" applyFont="1" applyFill="1" applyBorder="1" applyAlignment="1">
      <alignment horizontal="left" vertical="top" wrapText="1"/>
    </xf>
    <xf numFmtId="0" fontId="28" fillId="7" borderId="7" xfId="400" applyFont="1" applyFill="1" applyBorder="1" applyAlignment="1">
      <alignment horizontal="center" vertical="center"/>
    </xf>
    <xf numFmtId="1" fontId="28" fillId="7" borderId="7" xfId="400" applyNumberFormat="1" applyFont="1" applyFill="1" applyBorder="1" applyAlignment="1">
      <alignment horizontal="center" vertical="center"/>
    </xf>
    <xf numFmtId="0" fontId="28" fillId="7" borderId="7" xfId="400" applyFont="1" applyFill="1" applyBorder="1" applyAlignment="1">
      <alignment vertical="center" wrapText="1"/>
    </xf>
    <xf numFmtId="0" fontId="28" fillId="7" borderId="7" xfId="400" applyFont="1" applyFill="1" applyBorder="1" applyAlignment="1">
      <alignment horizontal="center" vertical="center" wrapText="1"/>
    </xf>
    <xf numFmtId="0" fontId="28" fillId="49" borderId="9" xfId="400" applyFont="1" applyFill="1" applyBorder="1" applyAlignment="1">
      <alignment horizontal="center" vertical="center"/>
    </xf>
    <xf numFmtId="0" fontId="28" fillId="7" borderId="9" xfId="400" applyFont="1" applyFill="1" applyBorder="1" applyAlignment="1">
      <alignment horizontal="center" vertical="top"/>
    </xf>
    <xf numFmtId="0" fontId="28" fillId="7" borderId="9" xfId="400" applyFont="1" applyFill="1" applyBorder="1" applyAlignment="1">
      <alignment horizontal="left" vertical="top" wrapText="1"/>
    </xf>
    <xf numFmtId="0" fontId="28" fillId="7" borderId="9" xfId="400" applyFont="1" applyFill="1" applyBorder="1" applyAlignment="1">
      <alignment horizontal="center" vertical="center"/>
    </xf>
    <xf numFmtId="1" fontId="28" fillId="7" borderId="9" xfId="400" applyNumberFormat="1" applyFont="1" applyFill="1" applyBorder="1" applyAlignment="1">
      <alignment horizontal="center" vertical="center"/>
    </xf>
    <xf numFmtId="0" fontId="28" fillId="7" borderId="9" xfId="400" applyFont="1" applyFill="1" applyBorder="1" applyAlignment="1">
      <alignment vertical="center" wrapText="1"/>
    </xf>
    <xf numFmtId="0" fontId="28" fillId="7" borderId="9" xfId="400" applyFont="1" applyFill="1" applyBorder="1" applyAlignment="1">
      <alignment horizontal="center" vertical="center" wrapText="1"/>
    </xf>
    <xf numFmtId="44" fontId="28" fillId="4" borderId="8" xfId="260" applyFont="1" applyFill="1" applyBorder="1" applyAlignment="1">
      <alignment horizontal="center" vertical="center" wrapText="1"/>
    </xf>
    <xf numFmtId="0" fontId="28" fillId="0" borderId="7" xfId="400" applyFont="1" applyFill="1" applyBorder="1" applyAlignment="1">
      <alignment horizontal="left" vertical="top" wrapText="1" shrinkToFit="1"/>
    </xf>
    <xf numFmtId="0" fontId="28" fillId="49" borderId="7" xfId="400" applyFont="1" applyFill="1" applyBorder="1" applyAlignment="1">
      <alignment horizontal="center" vertical="center"/>
    </xf>
    <xf numFmtId="0" fontId="28" fillId="0" borderId="7" xfId="400" applyFont="1" applyBorder="1" applyAlignment="1">
      <alignment horizontal="center" vertical="center" wrapText="1"/>
    </xf>
    <xf numFmtId="0" fontId="28" fillId="0" borderId="0" xfId="400" applyFont="1" applyFill="1" applyBorder="1" applyAlignment="1">
      <alignment horizontal="left" vertical="top" wrapText="1" shrinkToFit="1"/>
    </xf>
    <xf numFmtId="0" fontId="28" fillId="0" borderId="9" xfId="400" applyFont="1" applyFill="1" applyBorder="1" applyAlignment="1">
      <alignment horizontal="left" vertical="top" wrapText="1" shrinkToFit="1"/>
    </xf>
    <xf numFmtId="0" fontId="28" fillId="8" borderId="9" xfId="400" applyFont="1" applyFill="1" applyBorder="1" applyAlignment="1">
      <alignment horizontal="center" vertical="top"/>
    </xf>
    <xf numFmtId="0" fontId="28" fillId="8" borderId="9" xfId="400" applyFont="1" applyFill="1" applyBorder="1" applyAlignment="1">
      <alignment horizontal="left" vertical="top" wrapText="1" shrinkToFit="1"/>
    </xf>
    <xf numFmtId="0" fontId="28" fillId="8" borderId="9" xfId="261" applyFont="1" applyFill="1" applyBorder="1" applyAlignment="1">
      <alignment horizontal="left" vertical="top" wrapText="1" shrinkToFit="1"/>
    </xf>
    <xf numFmtId="0" fontId="28" fillId="8" borderId="9" xfId="400" applyFont="1" applyFill="1" applyBorder="1" applyAlignment="1">
      <alignment horizontal="center" vertical="center"/>
    </xf>
    <xf numFmtId="1" fontId="28" fillId="8" borderId="9" xfId="400" applyNumberFormat="1" applyFont="1" applyFill="1" applyBorder="1" applyAlignment="1">
      <alignment horizontal="center" vertical="center"/>
    </xf>
    <xf numFmtId="7" fontId="28" fillId="8" borderId="9" xfId="260" applyNumberFormat="1" applyFont="1" applyFill="1" applyBorder="1" applyAlignment="1">
      <alignment horizontal="center" vertical="center"/>
    </xf>
    <xf numFmtId="0" fontId="28" fillId="8" borderId="9" xfId="400" applyFont="1" applyFill="1" applyBorder="1" applyAlignment="1">
      <alignment vertical="center" wrapText="1"/>
    </xf>
    <xf numFmtId="0" fontId="28" fillId="8" borderId="9" xfId="400" applyFont="1" applyFill="1" applyBorder="1" applyAlignment="1">
      <alignment horizontal="center" vertical="center" wrapText="1"/>
    </xf>
    <xf numFmtId="0" fontId="28" fillId="8" borderId="9" xfId="261" applyFont="1" applyFill="1" applyBorder="1" applyAlignment="1">
      <alignment vertical="center"/>
    </xf>
    <xf numFmtId="1" fontId="28" fillId="8" borderId="9" xfId="261" applyNumberFormat="1" applyFont="1" applyFill="1" applyBorder="1" applyAlignment="1">
      <alignment horizontal="center" vertical="center"/>
    </xf>
    <xf numFmtId="0" fontId="28" fillId="7" borderId="9" xfId="400" applyFont="1" applyFill="1" applyBorder="1" applyAlignment="1">
      <alignment horizontal="left" vertical="top" wrapText="1" shrinkToFit="1"/>
    </xf>
    <xf numFmtId="44" fontId="61" fillId="7" borderId="9" xfId="400" applyNumberFormat="1" applyFont="1" applyFill="1" applyBorder="1" applyAlignment="1">
      <alignment horizontal="center" vertical="center" wrapText="1"/>
    </xf>
    <xf numFmtId="44" fontId="61" fillId="0" borderId="0" xfId="400" applyNumberFormat="1" applyFont="1" applyFill="1" applyBorder="1" applyAlignment="1">
      <alignment horizontal="center" vertical="center" wrapText="1"/>
    </xf>
    <xf numFmtId="44" fontId="28" fillId="7" borderId="9" xfId="400" applyNumberFormat="1" applyFont="1" applyFill="1" applyBorder="1" applyAlignment="1">
      <alignment horizontal="center" vertical="center" wrapText="1"/>
    </xf>
    <xf numFmtId="44" fontId="61" fillId="4" borderId="9" xfId="400" applyNumberFormat="1" applyFont="1" applyFill="1" applyBorder="1" applyAlignment="1">
      <alignment horizontal="center" vertical="center"/>
    </xf>
    <xf numFmtId="44" fontId="61" fillId="0" borderId="0" xfId="400" applyNumberFormat="1" applyFont="1" applyFill="1" applyBorder="1" applyAlignment="1">
      <alignment horizontal="center" vertical="center"/>
    </xf>
    <xf numFmtId="44" fontId="28" fillId="0" borderId="0" xfId="260" applyFont="1" applyFill="1" applyBorder="1" applyAlignment="1">
      <alignment horizontal="center" vertical="center"/>
    </xf>
    <xf numFmtId="44" fontId="61" fillId="7" borderId="9" xfId="400" applyNumberFormat="1" applyFont="1" applyFill="1" applyBorder="1" applyAlignment="1">
      <alignment horizontal="center" vertical="center"/>
    </xf>
    <xf numFmtId="1" fontId="28" fillId="0" borderId="9" xfId="400" applyNumberFormat="1" applyFont="1" applyFill="1" applyBorder="1" applyAlignment="1">
      <alignment horizontal="center" vertical="center" wrapText="1"/>
    </xf>
    <xf numFmtId="1" fontId="28" fillId="0" borderId="0" xfId="400" applyNumberFormat="1" applyFont="1" applyFill="1" applyBorder="1" applyAlignment="1">
      <alignment horizontal="center" vertical="center" wrapText="1"/>
    </xf>
    <xf numFmtId="44" fontId="61" fillId="0" borderId="0" xfId="400" applyNumberFormat="1" applyFont="1" applyFill="1" applyBorder="1" applyAlignment="1">
      <alignment vertical="center"/>
    </xf>
    <xf numFmtId="44" fontId="61" fillId="0" borderId="7" xfId="400" applyNumberFormat="1" applyFont="1" applyFill="1" applyBorder="1" applyAlignment="1">
      <alignment horizontal="center" vertical="center"/>
    </xf>
    <xf numFmtId="1" fontId="61" fillId="0" borderId="7" xfId="400" applyNumberFormat="1" applyFont="1" applyFill="1" applyBorder="1" applyAlignment="1">
      <alignment horizontal="center" vertical="center"/>
    </xf>
    <xf numFmtId="4" fontId="28" fillId="49" borderId="7" xfId="400" applyNumberFormat="1" applyFont="1" applyFill="1" applyBorder="1" applyAlignment="1">
      <alignment horizontal="center" vertical="center"/>
    </xf>
    <xf numFmtId="4" fontId="28" fillId="4" borderId="0" xfId="400" applyNumberFormat="1" applyFont="1" applyFill="1" applyBorder="1" applyAlignment="1">
      <alignment horizontal="center" vertical="center"/>
    </xf>
    <xf numFmtId="1" fontId="61" fillId="0" borderId="0" xfId="400" applyNumberFormat="1" applyFont="1" applyFill="1" applyBorder="1" applyAlignment="1">
      <alignment horizontal="center" vertical="center"/>
    </xf>
    <xf numFmtId="4" fontId="28" fillId="0" borderId="0" xfId="400" applyNumberFormat="1" applyFont="1" applyFill="1" applyBorder="1" applyAlignment="1">
      <alignment horizontal="center" vertical="center"/>
    </xf>
    <xf numFmtId="44" fontId="61" fillId="0" borderId="9" xfId="400" applyNumberFormat="1" applyFont="1" applyFill="1" applyBorder="1" applyAlignment="1">
      <alignment horizontal="center" vertical="center"/>
    </xf>
    <xf numFmtId="1" fontId="61" fillId="0" borderId="9" xfId="400" applyNumberFormat="1" applyFont="1" applyFill="1" applyBorder="1" applyAlignment="1">
      <alignment horizontal="center" vertical="center"/>
    </xf>
    <xf numFmtId="4" fontId="28" fillId="49" borderId="9" xfId="400" applyNumberFormat="1" applyFont="1" applyFill="1" applyBorder="1" applyAlignment="1">
      <alignment horizontal="center" vertical="center"/>
    </xf>
    <xf numFmtId="4" fontId="28" fillId="8" borderId="9" xfId="260" applyNumberFormat="1" applyFont="1" applyFill="1" applyBorder="1" applyAlignment="1">
      <alignment horizontal="center" vertical="center"/>
    </xf>
    <xf numFmtId="0" fontId="28" fillId="8" borderId="8" xfId="400" applyFont="1" applyFill="1" applyBorder="1" applyAlignment="1">
      <alignment horizontal="center" vertical="top"/>
    </xf>
    <xf numFmtId="0" fontId="28" fillId="8" borderId="8" xfId="400" applyFont="1" applyFill="1" applyBorder="1" applyAlignment="1">
      <alignment horizontal="center" vertical="center"/>
    </xf>
    <xf numFmtId="1" fontId="28" fillId="8" borderId="8" xfId="400" applyNumberFormat="1" applyFont="1" applyFill="1" applyBorder="1" applyAlignment="1">
      <alignment horizontal="center" vertical="center"/>
    </xf>
    <xf numFmtId="4" fontId="28" fillId="8" borderId="8" xfId="260" applyNumberFormat="1" applyFont="1" applyFill="1" applyBorder="1" applyAlignment="1">
      <alignment horizontal="center" vertical="center"/>
    </xf>
    <xf numFmtId="0" fontId="28" fillId="8" borderId="8" xfId="400" applyFont="1" applyFill="1" applyBorder="1" applyAlignment="1">
      <alignment vertical="center" wrapText="1"/>
    </xf>
    <xf numFmtId="0" fontId="28" fillId="8" borderId="8" xfId="400" applyFont="1" applyFill="1" applyBorder="1" applyAlignment="1">
      <alignment horizontal="center" vertical="center" wrapText="1"/>
    </xf>
    <xf numFmtId="0" fontId="28" fillId="8" borderId="7" xfId="400" applyFont="1" applyFill="1" applyBorder="1" applyAlignment="1">
      <alignment horizontal="center" vertical="top"/>
    </xf>
    <xf numFmtId="0" fontId="28" fillId="8" borderId="7" xfId="400" applyFont="1" applyFill="1" applyBorder="1" applyAlignment="1">
      <alignment horizontal="left" vertical="top" wrapText="1"/>
    </xf>
    <xf numFmtId="0" fontId="28" fillId="8" borderId="7" xfId="400" applyFont="1" applyFill="1" applyBorder="1" applyAlignment="1">
      <alignment horizontal="center" vertical="center"/>
    </xf>
    <xf numFmtId="1" fontId="28" fillId="8" borderId="7" xfId="400" applyNumberFormat="1" applyFont="1" applyFill="1" applyBorder="1" applyAlignment="1">
      <alignment horizontal="center" vertical="center"/>
    </xf>
    <xf numFmtId="44" fontId="28" fillId="8" borderId="7" xfId="260" applyFont="1" applyFill="1" applyBorder="1" applyAlignment="1">
      <alignment horizontal="center" vertical="center" wrapText="1"/>
    </xf>
    <xf numFmtId="0" fontId="28" fillId="8" borderId="7" xfId="400" applyFont="1" applyFill="1" applyBorder="1" applyAlignment="1">
      <alignment vertical="center" wrapText="1"/>
    </xf>
    <xf numFmtId="0" fontId="28" fillId="8" borderId="7" xfId="400" applyFont="1" applyFill="1" applyBorder="1" applyAlignment="1">
      <alignment horizontal="center" vertical="center" wrapText="1"/>
    </xf>
    <xf numFmtId="0" fontId="61" fillId="8" borderId="9" xfId="400" applyFont="1" applyFill="1" applyBorder="1" applyAlignment="1">
      <alignment vertical="top" wrapText="1"/>
    </xf>
    <xf numFmtId="0" fontId="28" fillId="8" borderId="9" xfId="400" applyFont="1" applyFill="1" applyBorder="1" applyAlignment="1">
      <alignment horizontal="left" vertical="top" wrapText="1"/>
    </xf>
    <xf numFmtId="44" fontId="61" fillId="8" borderId="9" xfId="400" applyNumberFormat="1" applyFont="1" applyFill="1" applyBorder="1" applyAlignment="1">
      <alignment horizontal="center" vertical="center"/>
    </xf>
    <xf numFmtId="1" fontId="61" fillId="8" borderId="9" xfId="400" applyNumberFormat="1" applyFont="1" applyFill="1" applyBorder="1" applyAlignment="1">
      <alignment horizontal="center" vertical="center"/>
    </xf>
    <xf numFmtId="0" fontId="28" fillId="8" borderId="9" xfId="400" applyFont="1" applyFill="1" applyBorder="1" applyAlignment="1">
      <alignment vertical="top" wrapText="1"/>
    </xf>
    <xf numFmtId="44" fontId="28" fillId="8" borderId="9" xfId="400" applyNumberFormat="1" applyFont="1" applyFill="1" applyBorder="1" applyAlignment="1">
      <alignment horizontal="center" vertical="center"/>
    </xf>
    <xf numFmtId="0" fontId="61" fillId="8" borderId="9" xfId="380" applyFont="1" applyFill="1" applyBorder="1" applyAlignment="1">
      <alignment vertical="top" wrapText="1"/>
    </xf>
    <xf numFmtId="0" fontId="61" fillId="8" borderId="8" xfId="380" applyFont="1" applyFill="1" applyBorder="1" applyAlignment="1">
      <alignment vertical="top" wrapText="1"/>
    </xf>
    <xf numFmtId="0" fontId="28" fillId="8" borderId="8" xfId="400" applyFont="1" applyFill="1" applyBorder="1" applyAlignment="1">
      <alignment horizontal="left" vertical="top" wrapText="1"/>
    </xf>
    <xf numFmtId="44" fontId="61" fillId="8" borderId="8" xfId="400" applyNumberFormat="1" applyFont="1" applyFill="1" applyBorder="1" applyAlignment="1">
      <alignment horizontal="center" vertical="center"/>
    </xf>
    <xf numFmtId="1" fontId="61" fillId="8" borderId="8" xfId="400" applyNumberFormat="1" applyFont="1" applyFill="1" applyBorder="1" applyAlignment="1">
      <alignment horizontal="center" vertical="center"/>
    </xf>
    <xf numFmtId="0" fontId="28" fillId="7" borderId="7" xfId="261" applyFont="1" applyFill="1" applyBorder="1" applyAlignment="1">
      <alignment horizontal="left" vertical="top" wrapText="1"/>
    </xf>
    <xf numFmtId="1" fontId="28" fillId="7" borderId="9" xfId="400" applyNumberFormat="1" applyFont="1" applyFill="1" applyBorder="1" applyAlignment="1">
      <alignment horizontal="center" vertical="center" wrapText="1"/>
    </xf>
    <xf numFmtId="49" fontId="28" fillId="0" borderId="9" xfId="400" applyNumberFormat="1" applyFont="1" applyFill="1" applyBorder="1" applyAlignment="1">
      <alignment horizontal="center" vertical="center" wrapText="1" shrinkToFit="1"/>
    </xf>
    <xf numFmtId="1" fontId="28" fillId="0" borderId="9" xfId="400" applyNumberFormat="1" applyFont="1" applyFill="1" applyBorder="1" applyAlignment="1">
      <alignment horizontal="center" vertical="center" wrapText="1" shrinkToFit="1"/>
    </xf>
    <xf numFmtId="49" fontId="28" fillId="0" borderId="0" xfId="400" applyNumberFormat="1" applyFont="1" applyFill="1" applyBorder="1" applyAlignment="1">
      <alignment horizontal="center" vertical="center" wrapText="1" shrinkToFit="1"/>
    </xf>
    <xf numFmtId="1" fontId="28" fillId="0" borderId="0" xfId="400" applyNumberFormat="1" applyFont="1" applyFill="1" applyBorder="1" applyAlignment="1">
      <alignment horizontal="center" vertical="center" wrapText="1" shrinkToFit="1"/>
    </xf>
    <xf numFmtId="0" fontId="28" fillId="0" borderId="8" xfId="400" applyFont="1" applyFill="1" applyBorder="1" applyAlignment="1">
      <alignment horizontal="center" vertical="center"/>
    </xf>
    <xf numFmtId="44" fontId="28" fillId="4" borderId="14" xfId="260" applyFont="1" applyFill="1" applyBorder="1" applyAlignment="1">
      <alignment vertical="center"/>
    </xf>
    <xf numFmtId="0" fontId="28" fillId="0" borderId="10" xfId="400" applyFont="1" applyFill="1" applyBorder="1" applyAlignment="1">
      <alignment horizontal="center" vertical="top"/>
    </xf>
    <xf numFmtId="0" fontId="28" fillId="4" borderId="10" xfId="261" applyFont="1" applyFill="1" applyBorder="1" applyAlignment="1">
      <alignment horizontal="left" vertical="top" wrapText="1"/>
    </xf>
    <xf numFmtId="1" fontId="28" fillId="0" borderId="10" xfId="400" applyNumberFormat="1" applyFont="1" applyFill="1" applyBorder="1" applyAlignment="1">
      <alignment horizontal="center" vertical="center" wrapText="1"/>
    </xf>
    <xf numFmtId="44" fontId="28" fillId="0" borderId="10" xfId="260" applyFont="1" applyFill="1" applyBorder="1" applyAlignment="1">
      <alignment horizontal="center" vertical="center" wrapText="1"/>
    </xf>
    <xf numFmtId="0" fontId="28" fillId="0" borderId="10" xfId="400" applyFont="1" applyFill="1" applyBorder="1" applyAlignment="1">
      <alignment vertical="center" wrapText="1"/>
    </xf>
    <xf numFmtId="0" fontId="28" fillId="0" borderId="10" xfId="400" applyFont="1" applyFill="1" applyBorder="1" applyAlignment="1">
      <alignment horizontal="center" vertical="center" wrapText="1"/>
    </xf>
    <xf numFmtId="0" fontId="86" fillId="5" borderId="12" xfId="400" applyFont="1" applyFill="1" applyBorder="1" applyAlignment="1">
      <alignment horizontal="center" vertical="center"/>
    </xf>
    <xf numFmtId="1" fontId="86" fillId="5" borderId="12" xfId="400" applyNumberFormat="1" applyFont="1" applyFill="1" applyBorder="1" applyAlignment="1">
      <alignment horizontal="center" vertical="center"/>
    </xf>
    <xf numFmtId="0" fontId="86" fillId="0" borderId="0" xfId="400" applyFont="1" applyFill="1" applyBorder="1" applyAlignment="1">
      <alignment horizontal="center" vertical="center"/>
    </xf>
    <xf numFmtId="0" fontId="73" fillId="0" borderId="0" xfId="400" applyFont="1" applyFill="1" applyBorder="1" applyAlignment="1">
      <alignment horizontal="left" vertical="center"/>
    </xf>
    <xf numFmtId="0" fontId="85" fillId="0" borderId="0" xfId="400" applyFont="1" applyFill="1" applyBorder="1" applyAlignment="1">
      <alignment horizontal="left" vertical="center"/>
    </xf>
    <xf numFmtId="1" fontId="86" fillId="0" borderId="0" xfId="400" applyNumberFormat="1" applyFont="1" applyFill="1" applyBorder="1" applyAlignment="1">
      <alignment horizontal="center" vertical="center"/>
    </xf>
    <xf numFmtId="0" fontId="86" fillId="0" borderId="0" xfId="400" applyFont="1" applyFill="1" applyBorder="1" applyAlignment="1">
      <alignment vertical="center" wrapText="1"/>
    </xf>
    <xf numFmtId="0" fontId="61" fillId="0" borderId="0" xfId="400" applyFont="1" applyFill="1" applyBorder="1" applyAlignment="1">
      <alignment vertical="top" wrapText="1"/>
    </xf>
    <xf numFmtId="0" fontId="28" fillId="49" borderId="8" xfId="400" applyFont="1" applyFill="1" applyBorder="1" applyAlignment="1">
      <alignment horizontal="center" vertical="center"/>
    </xf>
    <xf numFmtId="1" fontId="61" fillId="0" borderId="8" xfId="400" applyNumberFormat="1" applyFont="1" applyFill="1" applyBorder="1" applyAlignment="1">
      <alignment horizontal="center" vertical="center"/>
    </xf>
    <xf numFmtId="0" fontId="28" fillId="4" borderId="0" xfId="400" applyFont="1" applyFill="1" applyBorder="1" applyAlignment="1">
      <alignment horizontal="center" vertical="top"/>
    </xf>
    <xf numFmtId="0" fontId="28" fillId="4" borderId="0" xfId="400" applyFont="1" applyFill="1" applyBorder="1" applyAlignment="1">
      <alignment horizontal="left" vertical="top" wrapText="1"/>
    </xf>
    <xf numFmtId="1" fontId="28" fillId="4" borderId="0" xfId="400" applyNumberFormat="1" applyFont="1" applyFill="1" applyBorder="1" applyAlignment="1">
      <alignment horizontal="center" vertical="center"/>
    </xf>
    <xf numFmtId="0" fontId="28" fillId="4" borderId="0" xfId="400" applyFont="1" applyFill="1" applyBorder="1" applyAlignment="1">
      <alignment vertical="center" wrapText="1"/>
    </xf>
    <xf numFmtId="0" fontId="28" fillId="4" borderId="0" xfId="400" applyFont="1" applyFill="1" applyBorder="1" applyAlignment="1">
      <alignment horizontal="center" vertical="center" wrapText="1"/>
    </xf>
    <xf numFmtId="1" fontId="3" fillId="4" borderId="0" xfId="400" applyNumberFormat="1" applyFont="1" applyFill="1"/>
    <xf numFmtId="0" fontId="3" fillId="4" borderId="0" xfId="400" applyFont="1" applyFill="1" applyAlignment="1">
      <alignment vertical="top" wrapText="1"/>
    </xf>
    <xf numFmtId="0" fontId="29" fillId="4" borderId="0" xfId="400" applyFont="1" applyFill="1" applyBorder="1" applyAlignment="1">
      <alignment horizontal="left" vertical="top"/>
    </xf>
    <xf numFmtId="0" fontId="28" fillId="4" borderId="0" xfId="400" applyFont="1" applyFill="1"/>
    <xf numFmtId="1" fontId="28" fillId="4" borderId="0" xfId="400" applyNumberFormat="1" applyFont="1" applyFill="1" applyAlignment="1">
      <alignment horizontal="center"/>
    </xf>
    <xf numFmtId="0" fontId="28" fillId="4" borderId="0" xfId="400" applyFont="1" applyFill="1" applyAlignment="1">
      <alignment horizontal="left"/>
    </xf>
    <xf numFmtId="0" fontId="3" fillId="0" borderId="0" xfId="400" applyFont="1" applyFill="1" applyAlignment="1">
      <alignment horizontal="center"/>
    </xf>
    <xf numFmtId="0" fontId="3" fillId="0" borderId="0" xfId="400" applyFont="1"/>
    <xf numFmtId="1" fontId="3" fillId="0" borderId="0" xfId="400" applyNumberFormat="1" applyFont="1"/>
    <xf numFmtId="0" fontId="3" fillId="0" borderId="0" xfId="400" applyFont="1" applyAlignment="1">
      <alignment vertical="top" wrapText="1"/>
    </xf>
    <xf numFmtId="0" fontId="6" fillId="4" borderId="0" xfId="364" applyFont="1" applyFill="1" applyBorder="1" applyAlignment="1" applyProtection="1">
      <alignment vertical="top"/>
    </xf>
    <xf numFmtId="0" fontId="6" fillId="4" borderId="0" xfId="364" applyFont="1" applyFill="1" applyBorder="1" applyAlignment="1" applyProtection="1">
      <alignment vertical="center"/>
    </xf>
    <xf numFmtId="0" fontId="3" fillId="4" borderId="65" xfId="5" applyFill="1" applyBorder="1"/>
    <xf numFmtId="0" fontId="3" fillId="4" borderId="66" xfId="5" applyFill="1" applyBorder="1"/>
    <xf numFmtId="0" fontId="5" fillId="4" borderId="67" xfId="5" applyFont="1" applyFill="1" applyBorder="1" applyAlignment="1">
      <alignment vertical="center" wrapText="1"/>
    </xf>
    <xf numFmtId="0" fontId="5" fillId="4" borderId="28" xfId="5" applyFont="1" applyFill="1" applyBorder="1" applyAlignment="1">
      <alignment vertical="center" wrapText="1"/>
    </xf>
    <xf numFmtId="0" fontId="5" fillId="4" borderId="68" xfId="5" applyFont="1" applyFill="1" applyBorder="1" applyAlignment="1">
      <alignment vertical="center" wrapText="1"/>
    </xf>
    <xf numFmtId="0" fontId="5" fillId="4" borderId="59" xfId="5" applyFont="1" applyFill="1" applyBorder="1" applyAlignment="1">
      <alignment vertical="center" wrapText="1"/>
    </xf>
    <xf numFmtId="0" fontId="5" fillId="4" borderId="69" xfId="5" applyFont="1" applyFill="1" applyBorder="1" applyAlignment="1">
      <alignment vertical="center" wrapText="1"/>
    </xf>
    <xf numFmtId="0" fontId="5" fillId="4" borderId="70" xfId="5" applyFont="1" applyFill="1" applyBorder="1" applyAlignment="1">
      <alignment vertical="center" wrapText="1"/>
    </xf>
    <xf numFmtId="0" fontId="5" fillId="4" borderId="71" xfId="5" applyFont="1" applyFill="1" applyBorder="1" applyAlignment="1">
      <alignment vertical="center" wrapText="1"/>
    </xf>
    <xf numFmtId="0" fontId="5" fillId="4" borderId="73" xfId="5" applyFont="1" applyFill="1" applyBorder="1" applyAlignment="1">
      <alignment vertical="center" wrapText="1"/>
    </xf>
    <xf numFmtId="0" fontId="5" fillId="4" borderId="56" xfId="5" applyFont="1" applyFill="1" applyBorder="1" applyAlignment="1">
      <alignment vertical="center" wrapText="1"/>
    </xf>
    <xf numFmtId="0" fontId="5" fillId="4" borderId="74" xfId="5" applyFont="1" applyFill="1" applyBorder="1" applyAlignment="1">
      <alignment vertical="center" wrapText="1"/>
    </xf>
    <xf numFmtId="0" fontId="5" fillId="4" borderId="75" xfId="5" applyFont="1" applyFill="1" applyBorder="1" applyAlignment="1">
      <alignment vertical="center" wrapText="1"/>
    </xf>
    <xf numFmtId="0" fontId="5" fillId="4" borderId="77" xfId="5" applyFont="1" applyFill="1" applyBorder="1" applyAlignment="1">
      <alignment vertical="center" wrapText="1"/>
    </xf>
    <xf numFmtId="0" fontId="5" fillId="4" borderId="78" xfId="5" applyFont="1" applyFill="1" applyBorder="1" applyAlignment="1">
      <alignment vertical="center" wrapText="1"/>
    </xf>
    <xf numFmtId="0" fontId="5" fillId="4" borderId="57" xfId="5" applyFont="1" applyFill="1" applyBorder="1" applyAlignment="1">
      <alignment vertical="center" wrapText="1"/>
    </xf>
    <xf numFmtId="0" fontId="5" fillId="4" borderId="79" xfId="5" applyFont="1" applyFill="1" applyBorder="1" applyAlignment="1">
      <alignment vertical="center" wrapText="1"/>
    </xf>
    <xf numFmtId="0" fontId="5" fillId="4" borderId="80" xfId="5" applyFont="1" applyFill="1" applyBorder="1" applyAlignment="1">
      <alignment vertical="center" wrapText="1"/>
    </xf>
    <xf numFmtId="0" fontId="5" fillId="4" borderId="81" xfId="5" applyFont="1" applyFill="1" applyBorder="1" applyAlignment="1">
      <alignment vertical="center" wrapText="1"/>
    </xf>
    <xf numFmtId="0" fontId="5" fillId="4" borderId="31" xfId="5" applyFont="1" applyFill="1" applyBorder="1" applyAlignment="1">
      <alignment vertical="center" wrapText="1"/>
    </xf>
    <xf numFmtId="0" fontId="5" fillId="4" borderId="82" xfId="5" applyFont="1" applyFill="1" applyBorder="1" applyAlignment="1">
      <alignment vertical="center" wrapText="1"/>
    </xf>
    <xf numFmtId="0" fontId="5" fillId="4" borderId="83" xfId="5" applyFont="1" applyFill="1" applyBorder="1" applyAlignment="1">
      <alignment vertical="center" wrapText="1"/>
    </xf>
    <xf numFmtId="0" fontId="5" fillId="4" borderId="59" xfId="5" applyFont="1" applyFill="1" applyBorder="1" applyAlignment="1">
      <alignment vertical="center"/>
    </xf>
    <xf numFmtId="0" fontId="5" fillId="4" borderId="57" xfId="5" applyFont="1" applyFill="1" applyBorder="1" applyAlignment="1">
      <alignment vertical="center"/>
    </xf>
    <xf numFmtId="0" fontId="5" fillId="4" borderId="28" xfId="5" applyFont="1" applyFill="1" applyBorder="1" applyAlignment="1">
      <alignment vertical="center"/>
    </xf>
    <xf numFmtId="0" fontId="5" fillId="4" borderId="58" xfId="5" applyFont="1" applyFill="1" applyBorder="1" applyAlignment="1">
      <alignment vertical="center" wrapText="1"/>
    </xf>
    <xf numFmtId="0" fontId="5" fillId="4" borderId="84" xfId="5" applyFont="1" applyFill="1" applyBorder="1" applyAlignment="1">
      <alignment vertical="center" wrapText="1"/>
    </xf>
    <xf numFmtId="0" fontId="5" fillId="4" borderId="85" xfId="5" applyFont="1" applyFill="1" applyBorder="1" applyAlignment="1">
      <alignment vertical="center" wrapText="1"/>
    </xf>
    <xf numFmtId="0" fontId="3" fillId="4" borderId="86" xfId="5" applyFill="1" applyBorder="1"/>
    <xf numFmtId="0" fontId="83" fillId="4" borderId="0" xfId="400" applyFont="1" applyFill="1" applyBorder="1" applyAlignment="1">
      <alignment horizontal="center" vertical="top" wrapText="1"/>
    </xf>
    <xf numFmtId="0" fontId="8" fillId="7" borderId="7" xfId="5" applyFont="1" applyFill="1" applyBorder="1" applyAlignment="1">
      <alignment horizontal="center" vertical="center" wrapText="1"/>
    </xf>
    <xf numFmtId="0" fontId="8" fillId="6" borderId="8" xfId="5" applyFont="1" applyFill="1" applyBorder="1" applyAlignment="1">
      <alignment horizontal="center" vertical="center" wrapText="1"/>
    </xf>
    <xf numFmtId="0" fontId="8" fillId="7" borderId="13" xfId="5" applyFont="1" applyFill="1" applyBorder="1" applyAlignment="1">
      <alignment horizontal="center" vertical="center" wrapText="1"/>
    </xf>
    <xf numFmtId="0" fontId="8" fillId="6" borderId="1" xfId="5" applyFont="1" applyFill="1" applyBorder="1" applyAlignment="1">
      <alignment horizontal="center" vertical="center" wrapText="1"/>
    </xf>
    <xf numFmtId="165" fontId="8" fillId="8" borderId="13" xfId="6" applyNumberFormat="1" applyFont="1" applyFill="1" applyBorder="1" applyAlignment="1">
      <alignment horizontal="center" vertical="center" wrapText="1"/>
    </xf>
    <xf numFmtId="0" fontId="8" fillId="7" borderId="11" xfId="5" applyFont="1" applyFill="1" applyBorder="1" applyAlignment="1" applyProtection="1">
      <alignment horizontal="center" vertical="center" wrapText="1"/>
      <protection locked="0"/>
    </xf>
    <xf numFmtId="0" fontId="8" fillId="6" borderId="9" xfId="5" applyFont="1" applyFill="1" applyBorder="1" applyAlignment="1">
      <alignment horizontal="center" vertical="center" wrapText="1"/>
    </xf>
    <xf numFmtId="0" fontId="8" fillId="6" borderId="11" xfId="5" applyFont="1" applyFill="1" applyBorder="1" applyAlignment="1">
      <alignment horizontal="center" vertical="center" wrapText="1"/>
    </xf>
    <xf numFmtId="0" fontId="8" fillId="7" borderId="9" xfId="5" applyFont="1" applyFill="1" applyBorder="1" applyAlignment="1">
      <alignment horizontal="center" vertical="center" wrapText="1"/>
    </xf>
    <xf numFmtId="0" fontId="5" fillId="4" borderId="0" xfId="5" applyFont="1" applyFill="1" applyBorder="1" applyAlignment="1">
      <alignment vertical="center" wrapText="1"/>
    </xf>
    <xf numFmtId="7" fontId="28" fillId="0" borderId="7" xfId="260" applyNumberFormat="1" applyFont="1" applyFill="1" applyBorder="1" applyAlignment="1">
      <alignment horizontal="center" vertical="center"/>
    </xf>
    <xf numFmtId="7" fontId="28" fillId="4" borderId="9" xfId="260" applyNumberFormat="1" applyFont="1" applyFill="1" applyBorder="1" applyAlignment="1">
      <alignment horizontal="center" vertical="center"/>
    </xf>
    <xf numFmtId="7" fontId="28" fillId="4" borderId="7" xfId="260" applyNumberFormat="1" applyFont="1" applyFill="1" applyBorder="1" applyAlignment="1">
      <alignment horizontal="center" vertical="center"/>
    </xf>
    <xf numFmtId="187" fontId="28" fillId="0" borderId="9" xfId="260" applyNumberFormat="1" applyFont="1" applyFill="1" applyBorder="1" applyAlignment="1">
      <alignment horizontal="center" vertical="center"/>
    </xf>
    <xf numFmtId="187" fontId="28" fillId="4" borderId="9" xfId="260" applyNumberFormat="1" applyFont="1" applyFill="1" applyBorder="1" applyAlignment="1">
      <alignment horizontal="center" vertical="center"/>
    </xf>
    <xf numFmtId="187" fontId="28" fillId="4" borderId="7" xfId="260" applyNumberFormat="1" applyFont="1" applyFill="1" applyBorder="1" applyAlignment="1">
      <alignment horizontal="center" vertical="center"/>
    </xf>
    <xf numFmtId="188" fontId="28" fillId="4" borderId="7" xfId="260" applyNumberFormat="1" applyFont="1" applyFill="1" applyBorder="1" applyAlignment="1">
      <alignment horizontal="center" vertical="center"/>
    </xf>
    <xf numFmtId="188" fontId="28" fillId="4" borderId="9" xfId="260" applyNumberFormat="1" applyFont="1" applyFill="1" applyBorder="1" applyAlignment="1">
      <alignment horizontal="center" vertical="center"/>
    </xf>
    <xf numFmtId="167" fontId="28" fillId="4" borderId="7" xfId="260" applyNumberFormat="1" applyFont="1" applyFill="1" applyBorder="1" applyAlignment="1">
      <alignment horizontal="center" vertical="center"/>
    </xf>
    <xf numFmtId="170" fontId="28" fillId="4" borderId="7" xfId="260" applyNumberFormat="1" applyFont="1" applyFill="1" applyBorder="1" applyAlignment="1">
      <alignment horizontal="center" vertical="center"/>
    </xf>
    <xf numFmtId="167" fontId="28" fillId="4" borderId="9" xfId="260" applyNumberFormat="1" applyFont="1" applyFill="1" applyBorder="1" applyAlignment="1">
      <alignment horizontal="center" vertical="center"/>
    </xf>
    <xf numFmtId="170" fontId="28" fillId="4" borderId="9" xfId="260" applyNumberFormat="1" applyFont="1" applyFill="1" applyBorder="1" applyAlignment="1">
      <alignment horizontal="center" vertical="center"/>
    </xf>
    <xf numFmtId="0" fontId="3" fillId="0" borderId="8" xfId="1" applyFont="1" applyFill="1" applyBorder="1" applyAlignment="1">
      <alignment horizontal="center"/>
    </xf>
    <xf numFmtId="189" fontId="3" fillId="0" borderId="8" xfId="4" applyNumberFormat="1" applyFont="1" applyFill="1" applyBorder="1" applyAlignment="1">
      <alignment horizontal="center"/>
    </xf>
    <xf numFmtId="168" fontId="3" fillId="0" borderId="8" xfId="4" applyNumberFormat="1" applyFont="1" applyFill="1" applyBorder="1" applyAlignment="1">
      <alignment horizontal="center"/>
    </xf>
    <xf numFmtId="0" fontId="3" fillId="0" borderId="10" xfId="1" applyFont="1" applyFill="1" applyBorder="1" applyAlignment="1">
      <alignment horizontal="center"/>
    </xf>
    <xf numFmtId="189" fontId="3" fillId="0" borderId="10" xfId="4" applyNumberFormat="1" applyFont="1" applyFill="1" applyBorder="1" applyAlignment="1">
      <alignment horizontal="center"/>
    </xf>
    <xf numFmtId="168" fontId="3" fillId="0" borderId="10" xfId="4" applyNumberFormat="1" applyFont="1" applyFill="1" applyBorder="1" applyAlignment="1">
      <alignment horizontal="center"/>
    </xf>
    <xf numFmtId="0" fontId="3" fillId="0" borderId="7" xfId="1" applyFont="1" applyFill="1" applyBorder="1" applyAlignment="1">
      <alignment horizontal="center"/>
    </xf>
    <xf numFmtId="189" fontId="3" fillId="0" borderId="7" xfId="4" applyNumberFormat="1" applyFont="1" applyFill="1" applyBorder="1" applyAlignment="1">
      <alignment horizontal="center"/>
    </xf>
    <xf numFmtId="168" fontId="3" fillId="0" borderId="7" xfId="4" applyNumberFormat="1" applyFont="1" applyFill="1" applyBorder="1" applyAlignment="1">
      <alignment horizontal="center"/>
    </xf>
    <xf numFmtId="190" fontId="3" fillId="0" borderId="8" xfId="4" applyNumberFormat="1" applyFont="1" applyFill="1" applyBorder="1" applyAlignment="1">
      <alignment horizontal="center"/>
    </xf>
    <xf numFmtId="190" fontId="3" fillId="0" borderId="10" xfId="4" applyNumberFormat="1" applyFont="1" applyFill="1" applyBorder="1" applyAlignment="1">
      <alignment horizontal="center"/>
    </xf>
    <xf numFmtId="168" fontId="3" fillId="4" borderId="0" xfId="1" applyNumberFormat="1" applyFont="1" applyFill="1"/>
    <xf numFmtId="190" fontId="3" fillId="0" borderId="7" xfId="4" applyNumberFormat="1" applyFont="1" applyFill="1" applyBorder="1" applyAlignment="1">
      <alignment horizontal="center"/>
    </xf>
    <xf numFmtId="0" fontId="3" fillId="4" borderId="0" xfId="404" applyFont="1" applyFill="1"/>
    <xf numFmtId="0" fontId="96" fillId="4" borderId="0" xfId="404" applyFill="1"/>
    <xf numFmtId="0" fontId="5" fillId="4" borderId="0" xfId="404" applyFont="1" applyFill="1"/>
    <xf numFmtId="0" fontId="96" fillId="4" borderId="0" xfId="404" applyFill="1" applyProtection="1">
      <protection locked="0"/>
    </xf>
    <xf numFmtId="0" fontId="96" fillId="4" borderId="0" xfId="404" applyFill="1" applyProtection="1"/>
    <xf numFmtId="0" fontId="6" fillId="4" borderId="0" xfId="404" applyFont="1" applyFill="1"/>
    <xf numFmtId="0" fontId="3" fillId="4" borderId="0" xfId="404" applyFont="1" applyFill="1" applyAlignment="1">
      <alignment horizontal="center"/>
    </xf>
    <xf numFmtId="170" fontId="3" fillId="4" borderId="0" xfId="404" applyNumberFormat="1" applyFont="1" applyFill="1"/>
    <xf numFmtId="175" fontId="3" fillId="4" borderId="0" xfId="404" applyNumberFormat="1" applyFont="1" applyFill="1"/>
    <xf numFmtId="0" fontId="3" fillId="0" borderId="0" xfId="404" applyFont="1"/>
    <xf numFmtId="0" fontId="8" fillId="6" borderId="9" xfId="404" applyFont="1" applyFill="1" applyBorder="1" applyAlignment="1">
      <alignment horizontal="center" vertical="center" wrapText="1"/>
    </xf>
    <xf numFmtId="0" fontId="8" fillId="7" borderId="9" xfId="404" applyNumberFormat="1" applyFont="1" applyFill="1" applyBorder="1" applyAlignment="1">
      <alignment horizontal="center" vertical="center" wrapText="1"/>
    </xf>
    <xf numFmtId="0" fontId="8" fillId="8" borderId="9" xfId="404" applyNumberFormat="1" applyFont="1" applyFill="1" applyBorder="1" applyAlignment="1">
      <alignment horizontal="center" vertical="center" wrapText="1"/>
    </xf>
    <xf numFmtId="0" fontId="12" fillId="4" borderId="0" xfId="404" applyFont="1" applyFill="1"/>
    <xf numFmtId="0" fontId="5" fillId="3" borderId="16" xfId="404" applyFont="1" applyFill="1" applyBorder="1" applyAlignment="1">
      <alignment vertical="center" wrapText="1"/>
    </xf>
    <xf numFmtId="0" fontId="5" fillId="3" borderId="19" xfId="404" applyFont="1" applyFill="1" applyBorder="1" applyAlignment="1">
      <alignment vertical="center" wrapText="1"/>
    </xf>
    <xf numFmtId="0" fontId="5" fillId="3" borderId="23" xfId="404" applyFont="1" applyFill="1" applyBorder="1" applyAlignment="1">
      <alignment vertical="center" wrapText="1"/>
    </xf>
    <xf numFmtId="0" fontId="5" fillId="3" borderId="23" xfId="404" applyFont="1" applyFill="1" applyBorder="1"/>
    <xf numFmtId="0" fontId="10" fillId="4" borderId="0" xfId="404" applyFont="1" applyFill="1"/>
    <xf numFmtId="0" fontId="3" fillId="4" borderId="0" xfId="404" applyFont="1" applyFill="1" applyBorder="1"/>
    <xf numFmtId="0" fontId="10" fillId="4" borderId="0" xfId="404" applyFont="1" applyFill="1" applyBorder="1"/>
    <xf numFmtId="0" fontId="3" fillId="4" borderId="0" xfId="404" applyFont="1" applyFill="1" applyBorder="1" applyAlignment="1">
      <alignment horizontal="center"/>
    </xf>
    <xf numFmtId="170" fontId="3" fillId="4" borderId="0" xfId="404" applyNumberFormat="1" applyFont="1" applyFill="1" applyBorder="1"/>
    <xf numFmtId="175" fontId="3" fillId="4" borderId="0" xfId="404" applyNumberFormat="1" applyFont="1" applyFill="1" applyBorder="1"/>
    <xf numFmtId="0" fontId="10" fillId="4" borderId="0" xfId="404" applyFont="1" applyFill="1" applyBorder="1" applyAlignment="1">
      <alignment horizontal="center" vertical="center" wrapText="1"/>
    </xf>
    <xf numFmtId="0" fontId="8" fillId="6" borderId="13" xfId="404" applyFont="1" applyFill="1" applyBorder="1" applyAlignment="1">
      <alignment horizontal="center" vertical="center" wrapText="1"/>
    </xf>
    <xf numFmtId="0" fontId="8" fillId="6" borderId="11" xfId="404" applyFont="1" applyFill="1" applyBorder="1" applyAlignment="1">
      <alignment horizontal="center" vertical="center" wrapText="1"/>
    </xf>
    <xf numFmtId="0" fontId="5" fillId="0" borderId="8" xfId="404" applyFont="1" applyFill="1" applyBorder="1" applyAlignment="1">
      <alignment vertical="center" wrapText="1"/>
    </xf>
    <xf numFmtId="0" fontId="5" fillId="0" borderId="8" xfId="404" applyFont="1" applyBorder="1"/>
    <xf numFmtId="0" fontId="5" fillId="0" borderId="10" xfId="404" applyFont="1" applyFill="1" applyBorder="1" applyAlignment="1">
      <alignment vertical="center" wrapText="1"/>
    </xf>
    <xf numFmtId="0" fontId="5" fillId="0" borderId="19" xfId="404" applyFont="1" applyBorder="1"/>
    <xf numFmtId="0" fontId="5" fillId="0" borderId="29" xfId="404" applyFont="1" applyFill="1" applyBorder="1"/>
    <xf numFmtId="0" fontId="5" fillId="0" borderId="23" xfId="404" applyFont="1" applyFill="1" applyBorder="1"/>
    <xf numFmtId="0" fontId="5" fillId="0" borderId="8" xfId="404" applyFont="1" applyFill="1" applyBorder="1"/>
    <xf numFmtId="0" fontId="5" fillId="0" borderId="7" xfId="404" applyFont="1" applyFill="1" applyBorder="1" applyAlignment="1">
      <alignment vertical="center" wrapText="1"/>
    </xf>
    <xf numFmtId="0" fontId="5" fillId="0" borderId="10" xfId="404" applyFont="1" applyFill="1" applyBorder="1"/>
    <xf numFmtId="0" fontId="5" fillId="4" borderId="2" xfId="404" applyFont="1" applyFill="1" applyBorder="1"/>
    <xf numFmtId="0" fontId="3" fillId="4" borderId="0" xfId="404" applyFont="1" applyFill="1" applyBorder="1" applyAlignment="1">
      <alignment wrapText="1"/>
    </xf>
    <xf numFmtId="0" fontId="3" fillId="4" borderId="0" xfId="404" applyFont="1" applyFill="1" applyBorder="1" applyAlignment="1">
      <alignment vertical="top" wrapText="1"/>
    </xf>
    <xf numFmtId="0" fontId="5" fillId="4" borderId="0" xfId="404" applyFont="1" applyFill="1" applyBorder="1" applyAlignment="1">
      <alignment horizontal="left" vertical="top" wrapText="1"/>
    </xf>
    <xf numFmtId="0" fontId="96" fillId="4" borderId="0" xfId="404" applyFill="1" applyBorder="1"/>
    <xf numFmtId="0" fontId="5" fillId="4" borderId="0" xfId="404" applyFont="1" applyFill="1" applyBorder="1"/>
    <xf numFmtId="0" fontId="5" fillId="4" borderId="0" xfId="404" applyFont="1" applyFill="1" applyBorder="1" applyAlignment="1">
      <alignment wrapText="1"/>
    </xf>
    <xf numFmtId="0" fontId="8" fillId="4" borderId="0" xfId="404" applyFont="1" applyFill="1" applyBorder="1" applyAlignment="1">
      <alignment horizontal="center" vertical="center" wrapText="1"/>
    </xf>
    <xf numFmtId="0" fontId="5" fillId="4" borderId="0" xfId="404" applyFont="1" applyFill="1" applyBorder="1" applyAlignment="1">
      <alignment vertical="top" wrapText="1"/>
    </xf>
    <xf numFmtId="0" fontId="5" fillId="4" borderId="0" xfId="404" applyFont="1" applyFill="1" applyBorder="1" applyAlignment="1">
      <alignment vertical="center"/>
    </xf>
    <xf numFmtId="0" fontId="3" fillId="0" borderId="0" xfId="404" applyFont="1" applyFill="1"/>
    <xf numFmtId="0" fontId="3" fillId="0" borderId="0" xfId="404" applyFont="1" applyFill="1" applyAlignment="1">
      <alignment horizontal="center"/>
    </xf>
    <xf numFmtId="170" fontId="3" fillId="0" borderId="0" xfId="404" applyNumberFormat="1" applyFont="1" applyFill="1"/>
    <xf numFmtId="175" fontId="3" fillId="0" borderId="0" xfId="404" applyNumberFormat="1" applyFont="1" applyFill="1"/>
    <xf numFmtId="0" fontId="4" fillId="4" borderId="0" xfId="404" applyFont="1" applyFill="1" applyAlignment="1">
      <alignment horizontal="center"/>
    </xf>
    <xf numFmtId="0" fontId="3" fillId="3" borderId="0" xfId="404" applyFont="1" applyFill="1"/>
    <xf numFmtId="0" fontId="8" fillId="6" borderId="8" xfId="404" applyFont="1" applyFill="1" applyBorder="1" applyAlignment="1">
      <alignment horizontal="center" vertical="center" wrapText="1"/>
    </xf>
    <xf numFmtId="0" fontId="16" fillId="3" borderId="0" xfId="404" applyFont="1" applyFill="1" applyBorder="1"/>
    <xf numFmtId="0" fontId="16" fillId="4" borderId="0" xfId="404" applyFont="1" applyFill="1" applyBorder="1"/>
    <xf numFmtId="169" fontId="3" fillId="4" borderId="0" xfId="404" applyNumberFormat="1" applyFont="1" applyFill="1" applyBorder="1"/>
    <xf numFmtId="0" fontId="3" fillId="3" borderId="0" xfId="404" applyFont="1" applyFill="1" applyBorder="1"/>
    <xf numFmtId="0" fontId="77" fillId="4" borderId="0" xfId="404" applyFont="1" applyFill="1" applyBorder="1"/>
    <xf numFmtId="0" fontId="14" fillId="4" borderId="0" xfId="404" applyFont="1" applyFill="1" applyBorder="1" applyAlignment="1">
      <alignment vertical="center"/>
    </xf>
    <xf numFmtId="0" fontId="8" fillId="7" borderId="9" xfId="404" applyFont="1" applyFill="1" applyBorder="1" applyAlignment="1">
      <alignment horizontal="center" vertical="center" wrapText="1"/>
    </xf>
    <xf numFmtId="0" fontId="8" fillId="7" borderId="11" xfId="404" applyFont="1" applyFill="1" applyBorder="1" applyAlignment="1" applyProtection="1">
      <alignment horizontal="center" vertical="center" wrapText="1"/>
      <protection locked="0"/>
    </xf>
    <xf numFmtId="0" fontId="5" fillId="3" borderId="2" xfId="404" applyFont="1" applyFill="1" applyBorder="1" applyAlignment="1">
      <alignment horizontal="center" vertical="center" wrapText="1"/>
    </xf>
    <xf numFmtId="0" fontId="5" fillId="3" borderId="2" xfId="404" applyFont="1" applyFill="1" applyBorder="1" applyAlignment="1">
      <alignment horizontal="center"/>
    </xf>
    <xf numFmtId="0" fontId="5" fillId="4" borderId="2" xfId="404" applyFont="1" applyFill="1" applyBorder="1" applyAlignment="1">
      <alignment horizontal="center"/>
    </xf>
    <xf numFmtId="174" fontId="5" fillId="4" borderId="2" xfId="9" applyNumberFormat="1" applyFont="1" applyFill="1" applyBorder="1" applyAlignment="1">
      <alignment horizontal="center"/>
    </xf>
    <xf numFmtId="167" fontId="5" fillId="0" borderId="2" xfId="6" applyNumberFormat="1" applyFont="1" applyBorder="1" applyAlignment="1">
      <alignment horizontal="center" vertical="center" wrapText="1"/>
    </xf>
    <xf numFmtId="0" fontId="17" fillId="3" borderId="0" xfId="404" applyFont="1" applyFill="1" applyBorder="1" applyAlignment="1">
      <alignment vertical="center" wrapText="1"/>
    </xf>
    <xf numFmtId="0" fontId="5" fillId="3" borderId="0" xfId="404" applyFont="1" applyFill="1" applyBorder="1" applyAlignment="1">
      <alignment vertical="center" wrapText="1"/>
    </xf>
    <xf numFmtId="0" fontId="5" fillId="3" borderId="0" xfId="404" applyFont="1" applyFill="1" applyBorder="1" applyAlignment="1">
      <alignment horizontal="left" vertical="center" wrapText="1"/>
    </xf>
    <xf numFmtId="0" fontId="8" fillId="3" borderId="0" xfId="404" applyFont="1" applyFill="1" applyBorder="1" applyAlignment="1">
      <alignment horizontal="left" vertical="center" wrapText="1"/>
    </xf>
    <xf numFmtId="0" fontId="97" fillId="4" borderId="0" xfId="404" applyFont="1" applyFill="1" applyBorder="1" applyAlignment="1">
      <alignment vertical="center"/>
    </xf>
    <xf numFmtId="0" fontId="97" fillId="4" borderId="0" xfId="404" applyFont="1" applyFill="1" applyBorder="1" applyAlignment="1">
      <alignment horizontal="left" vertical="center"/>
    </xf>
    <xf numFmtId="0" fontId="87" fillId="4" borderId="0" xfId="404" applyFont="1" applyFill="1" applyBorder="1" applyAlignment="1">
      <alignment vertical="top" wrapText="1"/>
    </xf>
    <xf numFmtId="0" fontId="87" fillId="4" borderId="0" xfId="404" applyFont="1" applyFill="1" applyBorder="1" applyAlignment="1">
      <alignment horizontal="left" vertical="top" wrapText="1"/>
    </xf>
    <xf numFmtId="0" fontId="5" fillId="0" borderId="0" xfId="404" applyFont="1" applyBorder="1"/>
    <xf numFmtId="0" fontId="5" fillId="0" borderId="0" xfId="404" applyFont="1" applyFill="1"/>
    <xf numFmtId="0" fontId="3" fillId="3" borderId="0" xfId="1" applyFont="1" applyFill="1" applyBorder="1"/>
    <xf numFmtId="0" fontId="17" fillId="4" borderId="0" xfId="1" applyFont="1" applyFill="1" applyBorder="1"/>
    <xf numFmtId="0" fontId="5" fillId="4" borderId="0" xfId="8" applyFont="1" applyFill="1" applyBorder="1" applyProtection="1"/>
    <xf numFmtId="169" fontId="5" fillId="4" borderId="0" xfId="8" applyNumberFormat="1" applyFont="1" applyFill="1" applyBorder="1" applyProtection="1"/>
    <xf numFmtId="0" fontId="5" fillId="4" borderId="0" xfId="1" applyFont="1" applyFill="1" applyBorder="1" applyAlignment="1">
      <alignment vertical="center" wrapText="1"/>
    </xf>
    <xf numFmtId="169" fontId="15" fillId="4" borderId="0" xfId="5" applyNumberFormat="1" applyFont="1" applyFill="1" applyBorder="1" applyAlignment="1">
      <alignment vertical="center"/>
    </xf>
    <xf numFmtId="0" fontId="8" fillId="3" borderId="0" xfId="5" applyFont="1" applyFill="1" applyBorder="1" applyAlignment="1">
      <alignment horizontal="left" vertical="center" wrapText="1"/>
    </xf>
    <xf numFmtId="169" fontId="5" fillId="4" borderId="0" xfId="5" applyNumberFormat="1" applyFont="1" applyFill="1" applyBorder="1" applyAlignment="1">
      <alignment vertical="top" wrapText="1"/>
    </xf>
    <xf numFmtId="165" fontId="8" fillId="8" borderId="3" xfId="6" applyNumberFormat="1" applyFont="1" applyFill="1" applyBorder="1" applyAlignment="1">
      <alignment horizontal="center" vertical="center" wrapText="1"/>
    </xf>
    <xf numFmtId="166" fontId="8" fillId="8" borderId="8" xfId="6" applyNumberFormat="1" applyFont="1" applyFill="1" applyBorder="1" applyAlignment="1">
      <alignment horizontal="center" vertical="center" wrapText="1"/>
    </xf>
    <xf numFmtId="165" fontId="8" fillId="9" borderId="3" xfId="6" applyNumberFormat="1" applyFont="1" applyFill="1" applyBorder="1" applyAlignment="1">
      <alignment horizontal="center" vertical="center" wrapText="1"/>
    </xf>
    <xf numFmtId="167" fontId="3" fillId="0" borderId="8" xfId="6" applyNumberFormat="1" applyFont="1" applyFill="1" applyBorder="1" applyAlignment="1">
      <alignment horizontal="center" vertical="center" wrapText="1"/>
    </xf>
    <xf numFmtId="167" fontId="3" fillId="0" borderId="10" xfId="6" applyNumberFormat="1" applyFont="1" applyFill="1" applyBorder="1" applyAlignment="1">
      <alignment horizontal="center" vertical="center" wrapText="1"/>
    </xf>
    <xf numFmtId="169" fontId="3" fillId="0" borderId="8" xfId="6" applyNumberFormat="1" applyFont="1" applyFill="1" applyBorder="1" applyAlignment="1">
      <alignment horizontal="center" vertical="center" wrapText="1"/>
    </xf>
    <xf numFmtId="169" fontId="3" fillId="0" borderId="10" xfId="6" applyNumberFormat="1" applyFont="1" applyFill="1" applyBorder="1" applyAlignment="1">
      <alignment horizontal="center" vertical="center" wrapText="1"/>
    </xf>
    <xf numFmtId="169" fontId="3" fillId="0" borderId="7" xfId="6" applyNumberFormat="1" applyFont="1" applyFill="1" applyBorder="1" applyAlignment="1">
      <alignment horizontal="center" vertical="center" wrapText="1"/>
    </xf>
    <xf numFmtId="167" fontId="3" fillId="0" borderId="7" xfId="6" applyNumberFormat="1" applyFont="1" applyFill="1" applyBorder="1" applyAlignment="1">
      <alignment horizontal="center" vertical="center" wrapText="1"/>
    </xf>
    <xf numFmtId="0" fontId="5" fillId="4" borderId="0" xfId="1" applyFont="1" applyFill="1" applyBorder="1" applyAlignment="1">
      <alignment wrapText="1"/>
    </xf>
    <xf numFmtId="0" fontId="5" fillId="4" borderId="0" xfId="1" applyFont="1" applyFill="1" applyBorder="1" applyAlignment="1">
      <alignment horizontal="left" vertical="center" wrapText="1"/>
    </xf>
    <xf numFmtId="169" fontId="17" fillId="4" borderId="0" xfId="5" applyNumberFormat="1" applyFont="1" applyFill="1" applyBorder="1"/>
    <xf numFmtId="0" fontId="5" fillId="4" borderId="0" xfId="1" applyFont="1" applyFill="1" applyBorder="1" applyAlignment="1">
      <alignment vertical="top"/>
    </xf>
    <xf numFmtId="0" fontId="15" fillId="4" borderId="0" xfId="1" applyFont="1" applyFill="1" applyBorder="1" applyAlignment="1">
      <alignment vertical="center"/>
    </xf>
    <xf numFmtId="0" fontId="5" fillId="4" borderId="0" xfId="1" applyFont="1" applyFill="1" applyBorder="1" applyAlignment="1">
      <alignment horizontal="left" vertical="top" wrapText="1"/>
    </xf>
    <xf numFmtId="0" fontId="3" fillId="4" borderId="0" xfId="1" applyFont="1" applyFill="1" applyAlignment="1">
      <alignment vertical="top"/>
    </xf>
    <xf numFmtId="191" fontId="5" fillId="0" borderId="16" xfId="9" applyNumberFormat="1" applyFont="1" applyFill="1" applyBorder="1" applyAlignment="1">
      <alignment horizontal="center"/>
    </xf>
    <xf numFmtId="191" fontId="5" fillId="0" borderId="19" xfId="11" applyNumberFormat="1" applyFont="1" applyFill="1" applyBorder="1" applyAlignment="1">
      <alignment horizontal="center"/>
    </xf>
    <xf numFmtId="191" fontId="5" fillId="0" borderId="23" xfId="11" applyNumberFormat="1" applyFont="1" applyFill="1" applyBorder="1" applyAlignment="1">
      <alignment horizontal="center"/>
    </xf>
    <xf numFmtId="0" fontId="3" fillId="4" borderId="0" xfId="404" applyFont="1" applyFill="1" applyProtection="1"/>
    <xf numFmtId="0" fontId="10" fillId="4" borderId="0" xfId="1" applyFont="1" applyFill="1" applyProtection="1"/>
    <xf numFmtId="0" fontId="3" fillId="4" borderId="2" xfId="404" applyFont="1" applyFill="1" applyBorder="1" applyAlignment="1">
      <alignment horizontal="center" vertical="center" wrapText="1"/>
    </xf>
    <xf numFmtId="0" fontId="3" fillId="4" borderId="2" xfId="404" applyFont="1" applyFill="1" applyBorder="1" applyAlignment="1">
      <alignment vertical="center" wrapText="1"/>
    </xf>
    <xf numFmtId="0" fontId="3" fillId="4" borderId="2" xfId="404" applyFont="1" applyFill="1" applyBorder="1"/>
    <xf numFmtId="168" fontId="3" fillId="4" borderId="2" xfId="9" applyNumberFormat="1" applyFont="1" applyFill="1" applyBorder="1" applyAlignment="1">
      <alignment horizontal="center"/>
    </xf>
    <xf numFmtId="169" fontId="3" fillId="4" borderId="2" xfId="6" applyNumberFormat="1" applyFont="1" applyFill="1" applyBorder="1" applyAlignment="1">
      <alignment horizontal="center" vertical="center" wrapText="1"/>
    </xf>
    <xf numFmtId="167" fontId="3" fillId="4" borderId="2" xfId="6" applyNumberFormat="1" applyFont="1" applyFill="1" applyBorder="1" applyAlignment="1">
      <alignment horizontal="center" vertical="center" wrapText="1"/>
    </xf>
    <xf numFmtId="174" fontId="5" fillId="0" borderId="14" xfId="9" applyNumberFormat="1" applyFont="1" applyFill="1" applyBorder="1" applyAlignment="1">
      <alignment horizontal="center"/>
    </xf>
    <xf numFmtId="174" fontId="5" fillId="0" borderId="4" xfId="9" applyNumberFormat="1" applyFont="1" applyFill="1" applyBorder="1" applyAlignment="1">
      <alignment horizontal="center"/>
    </xf>
    <xf numFmtId="0" fontId="5" fillId="0" borderId="7" xfId="5" applyFont="1" applyFill="1" applyBorder="1"/>
    <xf numFmtId="167" fontId="5" fillId="3" borderId="1" xfId="6" applyNumberFormat="1" applyFont="1" applyFill="1" applyBorder="1" applyAlignment="1">
      <alignment horizontal="center" vertical="center" wrapText="1"/>
    </xf>
    <xf numFmtId="167" fontId="5" fillId="3" borderId="8" xfId="6" applyNumberFormat="1" applyFont="1" applyFill="1" applyBorder="1" applyAlignment="1">
      <alignment horizontal="center" vertical="center" wrapText="1"/>
    </xf>
    <xf numFmtId="167" fontId="5" fillId="3" borderId="14" xfId="6" applyNumberFormat="1" applyFont="1" applyFill="1" applyBorder="1" applyAlignment="1">
      <alignment horizontal="center" vertical="center" wrapText="1"/>
    </xf>
    <xf numFmtId="167" fontId="5" fillId="3" borderId="10" xfId="6" applyNumberFormat="1" applyFont="1" applyFill="1" applyBorder="1" applyAlignment="1">
      <alignment horizontal="center" vertical="center" wrapText="1"/>
    </xf>
    <xf numFmtId="167" fontId="5" fillId="3" borderId="4" xfId="6" applyNumberFormat="1" applyFont="1" applyFill="1" applyBorder="1" applyAlignment="1">
      <alignment horizontal="center" vertical="center" wrapText="1"/>
    </xf>
    <xf numFmtId="0" fontId="5" fillId="0" borderId="10" xfId="404" applyFont="1" applyBorder="1"/>
    <xf numFmtId="0" fontId="5" fillId="0" borderId="7" xfId="404" applyFont="1" applyBorder="1"/>
    <xf numFmtId="0" fontId="5" fillId="0" borderId="8" xfId="404" applyFont="1" applyFill="1" applyBorder="1" applyAlignment="1">
      <alignment horizontal="center"/>
    </xf>
    <xf numFmtId="0" fontId="5" fillId="0" borderId="10" xfId="404" applyFont="1" applyFill="1" applyBorder="1" applyAlignment="1">
      <alignment horizontal="center"/>
    </xf>
    <xf numFmtId="0" fontId="5" fillId="0" borderId="7" xfId="404" applyFont="1" applyFill="1" applyBorder="1" applyAlignment="1">
      <alignment horizontal="center"/>
    </xf>
    <xf numFmtId="173" fontId="5" fillId="0" borderId="8" xfId="6" applyNumberFormat="1" applyFont="1" applyFill="1" applyBorder="1" applyAlignment="1">
      <alignment horizontal="center" vertical="center" wrapText="1"/>
    </xf>
    <xf numFmtId="174" fontId="5" fillId="0" borderId="8" xfId="9" applyNumberFormat="1" applyFont="1" applyFill="1" applyBorder="1" applyAlignment="1">
      <alignment horizontal="center"/>
    </xf>
    <xf numFmtId="173" fontId="5" fillId="0" borderId="10" xfId="6" applyNumberFormat="1" applyFont="1" applyFill="1" applyBorder="1" applyAlignment="1">
      <alignment horizontal="center" vertical="center" wrapText="1"/>
    </xf>
    <xf numFmtId="174" fontId="5" fillId="0" borderId="10" xfId="9" applyNumberFormat="1" applyFont="1" applyFill="1" applyBorder="1" applyAlignment="1">
      <alignment horizontal="center"/>
    </xf>
    <xf numFmtId="173" fontId="5" fillId="0" borderId="7" xfId="6" applyNumberFormat="1" applyFont="1" applyFill="1" applyBorder="1" applyAlignment="1">
      <alignment horizontal="center" vertical="center" wrapText="1"/>
    </xf>
    <xf numFmtId="174" fontId="5" fillId="0" borderId="7" xfId="9" applyNumberFormat="1" applyFont="1" applyFill="1" applyBorder="1" applyAlignment="1">
      <alignment horizontal="center"/>
    </xf>
    <xf numFmtId="0" fontId="5" fillId="0" borderId="7" xfId="404" applyFont="1" applyFill="1" applyBorder="1"/>
    <xf numFmtId="167" fontId="5" fillId="0" borderId="1" xfId="6" applyNumberFormat="1" applyFont="1" applyFill="1" applyBorder="1" applyAlignment="1">
      <alignment horizontal="center" vertical="center" wrapText="1"/>
    </xf>
    <xf numFmtId="167" fontId="5" fillId="0" borderId="14" xfId="6" applyNumberFormat="1" applyFont="1" applyFill="1" applyBorder="1" applyAlignment="1">
      <alignment horizontal="center" vertical="center" wrapText="1"/>
    </xf>
    <xf numFmtId="167" fontId="5" fillId="0" borderId="4" xfId="6" applyNumberFormat="1" applyFont="1" applyFill="1" applyBorder="1" applyAlignment="1">
      <alignment horizontal="center" vertical="center" wrapText="1"/>
    </xf>
    <xf numFmtId="174" fontId="5" fillId="0" borderId="1" xfId="9" applyNumberFormat="1" applyFont="1" applyFill="1" applyBorder="1" applyAlignment="1">
      <alignment horizontal="center"/>
    </xf>
    <xf numFmtId="0" fontId="5" fillId="0" borderId="8" xfId="5" applyFont="1" applyFill="1" applyBorder="1" applyAlignment="1">
      <alignment horizontal="center"/>
    </xf>
    <xf numFmtId="167" fontId="5" fillId="0" borderId="17" xfId="6" applyNumberFormat="1" applyFont="1" applyFill="1" applyBorder="1" applyAlignment="1">
      <alignment horizontal="center" vertical="center" wrapText="1"/>
    </xf>
    <xf numFmtId="167" fontId="5" fillId="0" borderId="16" xfId="6" applyNumberFormat="1" applyFont="1" applyFill="1" applyBorder="1" applyAlignment="1">
      <alignment horizontal="center" vertical="center" wrapText="1"/>
    </xf>
    <xf numFmtId="0" fontId="5" fillId="0" borderId="10" xfId="5" applyFont="1" applyFill="1" applyBorder="1" applyAlignment="1">
      <alignment horizontal="center"/>
    </xf>
    <xf numFmtId="167" fontId="5" fillId="0" borderId="20" xfId="6" applyNumberFormat="1" applyFont="1" applyFill="1" applyBorder="1" applyAlignment="1">
      <alignment horizontal="center" vertical="center" wrapText="1"/>
    </xf>
    <xf numFmtId="167" fontId="5" fillId="0" borderId="19" xfId="6" applyNumberFormat="1" applyFont="1" applyFill="1" applyBorder="1" applyAlignment="1">
      <alignment horizontal="center" vertical="center" wrapText="1"/>
    </xf>
    <xf numFmtId="0" fontId="5" fillId="0" borderId="7" xfId="5" applyFont="1" applyFill="1" applyBorder="1" applyAlignment="1">
      <alignment horizontal="center"/>
    </xf>
    <xf numFmtId="167" fontId="5" fillId="0" borderId="24" xfId="6" applyNumberFormat="1" applyFont="1" applyFill="1" applyBorder="1" applyAlignment="1">
      <alignment horizontal="center" vertical="center" wrapText="1"/>
    </xf>
    <xf numFmtId="173" fontId="5" fillId="0" borderId="23" xfId="6" applyNumberFormat="1" applyFont="1" applyFill="1" applyBorder="1" applyAlignment="1">
      <alignment horizontal="center" vertical="center" wrapText="1"/>
    </xf>
    <xf numFmtId="0" fontId="1" fillId="0" borderId="8" xfId="5" applyFont="1" applyFill="1" applyBorder="1"/>
    <xf numFmtId="0" fontId="1" fillId="0" borderId="10" xfId="5" applyFont="1" applyFill="1" applyBorder="1"/>
    <xf numFmtId="0" fontId="1" fillId="0" borderId="7" xfId="5" applyFont="1" applyFill="1" applyBorder="1"/>
    <xf numFmtId="0" fontId="1" fillId="0" borderId="8" xfId="5" applyFont="1" applyFill="1" applyBorder="1" applyAlignment="1">
      <alignment horizontal="center"/>
    </xf>
    <xf numFmtId="0" fontId="1" fillId="0" borderId="10" xfId="5" applyFont="1" applyFill="1" applyBorder="1" applyAlignment="1">
      <alignment horizontal="center"/>
    </xf>
    <xf numFmtId="0" fontId="1" fillId="0" borderId="7" xfId="5" applyFont="1" applyFill="1" applyBorder="1" applyAlignment="1">
      <alignment horizontal="center"/>
    </xf>
    <xf numFmtId="169" fontId="5" fillId="6" borderId="8" xfId="6" applyNumberFormat="1" applyFont="1" applyFill="1" applyBorder="1" applyAlignment="1">
      <alignment horizontal="center" vertical="center" wrapText="1"/>
    </xf>
    <xf numFmtId="169" fontId="5" fillId="6" borderId="10" xfId="6" applyNumberFormat="1" applyFont="1" applyFill="1" applyBorder="1" applyAlignment="1">
      <alignment horizontal="center" vertical="center" wrapText="1"/>
    </xf>
    <xf numFmtId="169" fontId="5" fillId="6" borderId="7" xfId="6" applyNumberFormat="1" applyFont="1" applyFill="1" applyBorder="1" applyAlignment="1">
      <alignment horizontal="center" vertical="center" wrapText="1"/>
    </xf>
    <xf numFmtId="0" fontId="96" fillId="0" borderId="0" xfId="404" applyFill="1"/>
    <xf numFmtId="0" fontId="3" fillId="0" borderId="0" xfId="404" applyFont="1" applyFill="1" applyBorder="1"/>
    <xf numFmtId="0" fontId="98" fillId="0" borderId="0" xfId="404" applyFont="1" applyFill="1" applyBorder="1" applyAlignment="1">
      <alignment vertical="center" wrapText="1"/>
    </xf>
    <xf numFmtId="0" fontId="5" fillId="0" borderId="0" xfId="1" applyFont="1" applyFill="1" applyBorder="1"/>
    <xf numFmtId="0" fontId="98" fillId="0" borderId="0" xfId="404" applyFont="1" applyFill="1" applyBorder="1" applyAlignment="1">
      <alignment horizontal="center" vertical="center" wrapText="1"/>
    </xf>
    <xf numFmtId="0" fontId="98" fillId="0" borderId="0" xfId="404" applyFont="1" applyFill="1" applyBorder="1" applyAlignment="1" applyProtection="1">
      <alignment horizontal="center" vertical="center" wrapText="1"/>
      <protection locked="0"/>
    </xf>
    <xf numFmtId="0" fontId="96" fillId="0" borderId="0" xfId="404" applyFill="1" applyBorder="1"/>
    <xf numFmtId="0" fontId="87" fillId="0" borderId="0" xfId="404" applyFont="1" applyFill="1" applyBorder="1" applyAlignment="1">
      <alignment vertical="top" wrapText="1"/>
    </xf>
    <xf numFmtId="0" fontId="5" fillId="0" borderId="0" xfId="404" applyFont="1" applyFill="1" applyBorder="1" applyAlignment="1">
      <alignment vertical="top" wrapText="1"/>
    </xf>
    <xf numFmtId="0" fontId="5" fillId="0" borderId="0" xfId="404" applyFont="1" applyFill="1" applyBorder="1" applyAlignment="1">
      <alignment horizontal="left" vertical="top" wrapText="1"/>
    </xf>
    <xf numFmtId="0" fontId="87" fillId="0" borderId="0" xfId="404" applyFont="1" applyFill="1" applyBorder="1" applyAlignment="1">
      <alignment horizontal="left" vertical="top" wrapText="1"/>
    </xf>
    <xf numFmtId="0" fontId="97" fillId="0" borderId="0" xfId="404" applyFont="1" applyFill="1" applyBorder="1" applyAlignment="1">
      <alignment vertical="top" wrapText="1"/>
    </xf>
    <xf numFmtId="169" fontId="3" fillId="0" borderId="0" xfId="404" applyNumberFormat="1" applyFont="1" applyFill="1"/>
    <xf numFmtId="0" fontId="5" fillId="0" borderId="0" xfId="5" applyFont="1" applyFill="1"/>
    <xf numFmtId="0" fontId="3" fillId="0" borderId="0" xfId="1" applyFont="1" applyFill="1" applyBorder="1"/>
    <xf numFmtId="0" fontId="74" fillId="4" borderId="0" xfId="5" applyFont="1" applyFill="1"/>
    <xf numFmtId="191" fontId="3" fillId="4" borderId="0" xfId="400" applyNumberFormat="1" applyFont="1" applyFill="1" applyBorder="1"/>
    <xf numFmtId="0" fontId="3" fillId="4" borderId="0" xfId="404" applyFont="1" applyFill="1" applyBorder="1" applyAlignment="1">
      <alignment horizontal="left"/>
    </xf>
    <xf numFmtId="0" fontId="3" fillId="4" borderId="0" xfId="404" applyFont="1" applyFill="1" applyBorder="1" applyAlignment="1">
      <alignment horizontal="left" vertical="top" wrapText="1"/>
    </xf>
    <xf numFmtId="0" fontId="5" fillId="4" borderId="0" xfId="404" applyFont="1" applyFill="1" applyBorder="1" applyAlignment="1">
      <alignment horizontal="left" vertical="center"/>
    </xf>
    <xf numFmtId="0" fontId="5" fillId="4" borderId="0" xfId="404" applyFont="1" applyFill="1" applyBorder="1" applyAlignment="1">
      <alignment horizontal="left" vertical="center" wrapText="1"/>
    </xf>
    <xf numFmtId="0" fontId="5" fillId="4" borderId="0" xfId="404" applyFont="1" applyFill="1" applyBorder="1" applyAlignment="1">
      <alignment horizontal="left" vertical="top" wrapText="1"/>
    </xf>
    <xf numFmtId="0" fontId="5" fillId="3" borderId="8" xfId="404" applyFont="1" applyFill="1" applyBorder="1" applyAlignment="1">
      <alignment horizontal="center" vertical="center" wrapText="1"/>
    </xf>
    <xf numFmtId="0" fontId="5" fillId="3" borderId="10" xfId="404" applyFont="1" applyFill="1" applyBorder="1" applyAlignment="1">
      <alignment horizontal="center" vertical="center" wrapText="1"/>
    </xf>
    <xf numFmtId="168" fontId="5" fillId="0" borderId="27" xfId="9" applyNumberFormat="1" applyFont="1" applyBorder="1" applyAlignment="1">
      <alignment horizontal="center"/>
    </xf>
    <xf numFmtId="168" fontId="5" fillId="0" borderId="18" xfId="9" applyNumberFormat="1" applyFont="1" applyBorder="1" applyAlignment="1">
      <alignment horizontal="center"/>
    </xf>
    <xf numFmtId="168" fontId="5" fillId="0" borderId="28" xfId="9" applyNumberFormat="1" applyFont="1" applyBorder="1" applyAlignment="1">
      <alignment horizontal="center"/>
    </xf>
    <xf numFmtId="168" fontId="5" fillId="0" borderId="21" xfId="9" applyNumberFormat="1" applyFont="1" applyBorder="1" applyAlignment="1">
      <alignment horizontal="center"/>
    </xf>
    <xf numFmtId="168" fontId="5" fillId="0" borderId="31" xfId="9" applyNumberFormat="1" applyFont="1" applyBorder="1" applyAlignment="1">
      <alignment horizontal="center"/>
    </xf>
    <xf numFmtId="168" fontId="5" fillId="0" borderId="32" xfId="9" applyNumberFormat="1" applyFont="1" applyBorder="1" applyAlignment="1">
      <alignment horizontal="center"/>
    </xf>
    <xf numFmtId="0" fontId="5" fillId="3" borderId="7" xfId="404" applyFont="1" applyFill="1" applyBorder="1" applyAlignment="1">
      <alignment horizontal="center" vertical="center" wrapText="1"/>
    </xf>
    <xf numFmtId="168" fontId="5" fillId="0" borderId="30" xfId="9" applyNumberFormat="1" applyFont="1" applyBorder="1" applyAlignment="1">
      <alignment horizontal="center"/>
    </xf>
    <xf numFmtId="168" fontId="5" fillId="0" borderId="25" xfId="9" applyNumberFormat="1" applyFont="1" applyBorder="1" applyAlignment="1">
      <alignment horizontal="center"/>
    </xf>
    <xf numFmtId="0" fontId="5" fillId="0" borderId="0" xfId="404" applyFont="1" applyBorder="1" applyAlignment="1">
      <alignment horizontal="left" vertical="top" wrapText="1"/>
    </xf>
    <xf numFmtId="168" fontId="5" fillId="0" borderId="27" xfId="9" applyNumberFormat="1" applyFont="1" applyFill="1" applyBorder="1" applyAlignment="1">
      <alignment horizontal="center"/>
    </xf>
    <xf numFmtId="168" fontId="5" fillId="0" borderId="18" xfId="9" applyNumberFormat="1" applyFont="1" applyFill="1" applyBorder="1" applyAlignment="1">
      <alignment horizontal="center"/>
    </xf>
    <xf numFmtId="0" fontId="8" fillId="7" borderId="8" xfId="404" applyFont="1" applyFill="1" applyBorder="1" applyAlignment="1">
      <alignment horizontal="center" vertical="center" wrapText="1"/>
    </xf>
    <xf numFmtId="0" fontId="8" fillId="7" borderId="7" xfId="404" applyFont="1" applyFill="1" applyBorder="1" applyAlignment="1">
      <alignment horizontal="center" vertical="center" wrapText="1"/>
    </xf>
    <xf numFmtId="0" fontId="8" fillId="7" borderId="8" xfId="8" applyFont="1" applyFill="1" applyBorder="1" applyAlignment="1" applyProtection="1">
      <alignment horizontal="center" vertical="center" wrapText="1"/>
    </xf>
    <xf numFmtId="0" fontId="8" fillId="7" borderId="7" xfId="8" applyFont="1" applyFill="1" applyBorder="1" applyAlignment="1" applyProtection="1">
      <alignment horizontal="center" vertical="center" wrapText="1"/>
    </xf>
    <xf numFmtId="0" fontId="7" fillId="5" borderId="1" xfId="404" applyFont="1" applyFill="1" applyBorder="1" applyAlignment="1">
      <alignment horizontal="center" vertical="center" wrapText="1"/>
    </xf>
    <xf numFmtId="0" fontId="7" fillId="5" borderId="2" xfId="404" applyFont="1" applyFill="1" applyBorder="1" applyAlignment="1">
      <alignment horizontal="center" vertical="center" wrapText="1"/>
    </xf>
    <xf numFmtId="0" fontId="7" fillId="5" borderId="3" xfId="404" applyFont="1" applyFill="1" applyBorder="1" applyAlignment="1">
      <alignment horizontal="center" vertical="center" wrapText="1"/>
    </xf>
    <xf numFmtId="0" fontId="7" fillId="5" borderId="4" xfId="404" applyFont="1" applyFill="1" applyBorder="1" applyAlignment="1">
      <alignment horizontal="center" vertical="center" wrapText="1"/>
    </xf>
    <xf numFmtId="0" fontId="7" fillId="5" borderId="5" xfId="404" applyFont="1" applyFill="1" applyBorder="1" applyAlignment="1">
      <alignment horizontal="center" vertical="center" wrapText="1"/>
    </xf>
    <xf numFmtId="0" fontId="7" fillId="5" borderId="6" xfId="404" applyFont="1" applyFill="1" applyBorder="1" applyAlignment="1">
      <alignment horizontal="center" vertical="center" wrapText="1"/>
    </xf>
    <xf numFmtId="0" fontId="8" fillId="6" borderId="8" xfId="404" applyFont="1" applyFill="1" applyBorder="1" applyAlignment="1">
      <alignment horizontal="center" vertical="center" wrapText="1"/>
    </xf>
    <xf numFmtId="0" fontId="8" fillId="6" borderId="10" xfId="404" applyFont="1" applyFill="1" applyBorder="1" applyAlignment="1">
      <alignment horizontal="center" vertical="center" wrapText="1"/>
    </xf>
    <xf numFmtId="0" fontId="8" fillId="6" borderId="7" xfId="404" applyFont="1" applyFill="1" applyBorder="1" applyAlignment="1">
      <alignment horizontal="center" vertical="center" wrapText="1"/>
    </xf>
    <xf numFmtId="0" fontId="8" fillId="6" borderId="2" xfId="404" applyFont="1" applyFill="1" applyBorder="1" applyAlignment="1">
      <alignment horizontal="center" vertical="center" wrapText="1"/>
    </xf>
    <xf numFmtId="0" fontId="8" fillId="6" borderId="3" xfId="404" applyFont="1" applyFill="1" applyBorder="1" applyAlignment="1">
      <alignment horizontal="center" vertical="center" wrapText="1"/>
    </xf>
    <xf numFmtId="0" fontId="8" fillId="6" borderId="0" xfId="404" applyFont="1" applyFill="1" applyBorder="1" applyAlignment="1">
      <alignment horizontal="center" vertical="center" wrapText="1"/>
    </xf>
    <xf numFmtId="0" fontId="8" fillId="6" borderId="15" xfId="404" applyFont="1" applyFill="1" applyBorder="1" applyAlignment="1">
      <alignment horizontal="center" vertical="center" wrapText="1"/>
    </xf>
    <xf numFmtId="0" fontId="8" fillId="6" borderId="5" xfId="404" applyFont="1" applyFill="1" applyBorder="1" applyAlignment="1">
      <alignment horizontal="center" vertical="center" wrapText="1"/>
    </xf>
    <xf numFmtId="0" fontId="8" fillId="6" borderId="6" xfId="404" applyFont="1" applyFill="1" applyBorder="1" applyAlignment="1">
      <alignment horizontal="center" vertical="center" wrapText="1"/>
    </xf>
    <xf numFmtId="0" fontId="8" fillId="7" borderId="11" xfId="404" applyFont="1" applyFill="1" applyBorder="1" applyAlignment="1">
      <alignment horizontal="center" vertical="center" wrapText="1"/>
    </xf>
    <xf numFmtId="0" fontId="8" fillId="7" borderId="12" xfId="404" applyFont="1" applyFill="1" applyBorder="1" applyAlignment="1">
      <alignment horizontal="center" vertical="center" wrapText="1"/>
    </xf>
    <xf numFmtId="0" fontId="8" fillId="7" borderId="13" xfId="404" applyFont="1" applyFill="1" applyBorder="1" applyAlignment="1">
      <alignment horizontal="center" vertical="center" wrapText="1"/>
    </xf>
    <xf numFmtId="0" fontId="8" fillId="8" borderId="11" xfId="404" applyFont="1" applyFill="1" applyBorder="1" applyAlignment="1">
      <alignment horizontal="center" vertical="center" wrapText="1"/>
    </xf>
    <xf numFmtId="0" fontId="8" fillId="8" borderId="12" xfId="404" applyFont="1" applyFill="1" applyBorder="1" applyAlignment="1">
      <alignment horizontal="center" vertical="center" wrapText="1"/>
    </xf>
    <xf numFmtId="0" fontId="8" fillId="8" borderId="13" xfId="404" applyFont="1" applyFill="1" applyBorder="1" applyAlignment="1">
      <alignment horizontal="center" vertical="center" wrapText="1"/>
    </xf>
    <xf numFmtId="0" fontId="8" fillId="9" borderId="11" xfId="404" applyFont="1" applyFill="1" applyBorder="1" applyAlignment="1">
      <alignment horizontal="center" vertical="center" wrapText="1"/>
    </xf>
    <xf numFmtId="0" fontId="8" fillId="9" borderId="13" xfId="404" applyFont="1" applyFill="1" applyBorder="1" applyAlignment="1">
      <alignment horizontal="center" vertical="center" wrapText="1"/>
    </xf>
    <xf numFmtId="0" fontId="8" fillId="8" borderId="8" xfId="404" applyFont="1" applyFill="1" applyBorder="1" applyAlignment="1">
      <alignment horizontal="center" vertical="center" wrapText="1"/>
    </xf>
    <xf numFmtId="0" fontId="8" fillId="8" borderId="7" xfId="404" applyFont="1" applyFill="1" applyBorder="1" applyAlignment="1">
      <alignment horizontal="center" vertical="center" wrapText="1"/>
    </xf>
    <xf numFmtId="0" fontId="8" fillId="9" borderId="8" xfId="404" applyFont="1" applyFill="1" applyBorder="1" applyAlignment="1" applyProtection="1">
      <alignment horizontal="center" vertical="center" wrapText="1"/>
      <protection locked="0"/>
    </xf>
    <xf numFmtId="0" fontId="8" fillId="9" borderId="7" xfId="404" applyFont="1" applyFill="1" applyBorder="1" applyAlignment="1" applyProtection="1">
      <alignment horizontal="center" vertical="center" wrapText="1"/>
      <protection locked="0"/>
    </xf>
    <xf numFmtId="0" fontId="5" fillId="3" borderId="17" xfId="404" applyFont="1" applyFill="1" applyBorder="1" applyAlignment="1">
      <alignment horizontal="center"/>
    </xf>
    <xf numFmtId="0" fontId="5" fillId="3" borderId="18" xfId="404" applyFont="1" applyFill="1" applyBorder="1" applyAlignment="1">
      <alignment horizontal="center"/>
    </xf>
    <xf numFmtId="0" fontId="5" fillId="3" borderId="20" xfId="404" applyFont="1" applyFill="1" applyBorder="1" applyAlignment="1">
      <alignment horizontal="center"/>
    </xf>
    <xf numFmtId="0" fontId="5" fillId="3" borderId="21" xfId="404" applyFont="1" applyFill="1" applyBorder="1" applyAlignment="1">
      <alignment horizontal="center"/>
    </xf>
    <xf numFmtId="0" fontId="5" fillId="3" borderId="24" xfId="404" applyFont="1" applyFill="1" applyBorder="1" applyAlignment="1">
      <alignment horizontal="center"/>
    </xf>
    <xf numFmtId="0" fontId="5" fillId="3" borderId="25" xfId="404" applyFont="1" applyFill="1" applyBorder="1" applyAlignment="1">
      <alignment horizontal="center"/>
    </xf>
    <xf numFmtId="0" fontId="8" fillId="6" borderId="1" xfId="404" applyFont="1" applyFill="1" applyBorder="1" applyAlignment="1">
      <alignment horizontal="center" vertical="center" wrapText="1"/>
    </xf>
    <xf numFmtId="0" fontId="8" fillId="6" borderId="14" xfId="404" applyFont="1" applyFill="1" applyBorder="1" applyAlignment="1">
      <alignment horizontal="center" vertical="center" wrapText="1"/>
    </xf>
    <xf numFmtId="0" fontId="8" fillId="6" borderId="4" xfId="404" applyFont="1" applyFill="1" applyBorder="1" applyAlignment="1">
      <alignment horizontal="center" vertical="center" wrapText="1"/>
    </xf>
    <xf numFmtId="0" fontId="5" fillId="3" borderId="8" xfId="404" applyFont="1" applyFill="1" applyBorder="1" applyAlignment="1">
      <alignment horizontal="left" vertical="center" wrapText="1"/>
    </xf>
    <xf numFmtId="0" fontId="5" fillId="3" borderId="10" xfId="404" applyFont="1" applyFill="1" applyBorder="1" applyAlignment="1">
      <alignment horizontal="left" vertical="center" wrapText="1"/>
    </xf>
    <xf numFmtId="0" fontId="5" fillId="3" borderId="7" xfId="404" applyFont="1" applyFill="1" applyBorder="1" applyAlignment="1">
      <alignment horizontal="left" vertical="center" wrapText="1"/>
    </xf>
    <xf numFmtId="0" fontId="5" fillId="3" borderId="3" xfId="404" applyFont="1" applyFill="1" applyBorder="1" applyAlignment="1">
      <alignment horizontal="left" vertical="center" wrapText="1"/>
    </xf>
    <xf numFmtId="0" fontId="5" fillId="3" borderId="15" xfId="404" applyFont="1" applyFill="1" applyBorder="1" applyAlignment="1">
      <alignment horizontal="left" vertical="center" wrapText="1"/>
    </xf>
    <xf numFmtId="0" fontId="5" fillId="3" borderId="6" xfId="404" applyFont="1" applyFill="1" applyBorder="1" applyAlignment="1">
      <alignment horizontal="left" vertical="center" wrapText="1"/>
    </xf>
    <xf numFmtId="0" fontId="8" fillId="49" borderId="11" xfId="5" applyFont="1" applyFill="1" applyBorder="1" applyAlignment="1">
      <alignment horizontal="center" vertical="center" wrapText="1"/>
    </xf>
    <xf numFmtId="0" fontId="8" fillId="49" borderId="13" xfId="5" applyFont="1" applyFill="1" applyBorder="1" applyAlignment="1">
      <alignment horizontal="center" vertical="center" wrapText="1"/>
    </xf>
    <xf numFmtId="0" fontId="8" fillId="49" borderId="8" xfId="5" applyFont="1" applyFill="1" applyBorder="1" applyAlignment="1" applyProtection="1">
      <alignment horizontal="center" vertical="center" wrapText="1"/>
      <protection locked="0"/>
    </xf>
    <xf numFmtId="0" fontId="8" fillId="49" borderId="7" xfId="5" applyFont="1" applyFill="1" applyBorder="1" applyAlignment="1" applyProtection="1">
      <alignment horizontal="center" vertical="center" wrapText="1"/>
      <protection locked="0"/>
    </xf>
    <xf numFmtId="0" fontId="98" fillId="0" borderId="0" xfId="404" applyFont="1" applyFill="1" applyBorder="1" applyAlignment="1">
      <alignment horizontal="center" vertical="center" wrapText="1"/>
    </xf>
    <xf numFmtId="0" fontId="18" fillId="0" borderId="0" xfId="404" applyFont="1" applyFill="1" applyBorder="1" applyAlignment="1">
      <alignment horizontal="center" vertical="center" wrapText="1"/>
    </xf>
    <xf numFmtId="0" fontId="8" fillId="8" borderId="4" xfId="404" applyFont="1" applyFill="1" applyBorder="1" applyAlignment="1">
      <alignment horizontal="center" vertical="center" wrapText="1"/>
    </xf>
    <xf numFmtId="0" fontId="8" fillId="8" borderId="5" xfId="404" applyFont="1" applyFill="1" applyBorder="1" applyAlignment="1">
      <alignment horizontal="center" vertical="center" wrapText="1"/>
    </xf>
    <xf numFmtId="0" fontId="8" fillId="8" borderId="6" xfId="404" applyFont="1" applyFill="1" applyBorder="1" applyAlignment="1">
      <alignment horizontal="center" vertical="center" wrapText="1"/>
    </xf>
    <xf numFmtId="0" fontId="8" fillId="9" borderId="4" xfId="404" applyFont="1" applyFill="1" applyBorder="1" applyAlignment="1">
      <alignment horizontal="center" vertical="center" wrapText="1"/>
    </xf>
    <xf numFmtId="0" fontId="8" fillId="9" borderId="6" xfId="404" applyFont="1" applyFill="1" applyBorder="1" applyAlignment="1">
      <alignment horizontal="center" vertical="center" wrapText="1"/>
    </xf>
    <xf numFmtId="0" fontId="8" fillId="7" borderId="11" xfId="5" applyFont="1" applyFill="1" applyBorder="1" applyAlignment="1">
      <alignment horizontal="center" vertical="center" wrapText="1"/>
    </xf>
    <xf numFmtId="0" fontId="8" fillId="7" borderId="13" xfId="5" applyFont="1" applyFill="1" applyBorder="1" applyAlignment="1">
      <alignment horizontal="center" vertical="center" wrapText="1"/>
    </xf>
    <xf numFmtId="165" fontId="8" fillId="8" borderId="11" xfId="6" applyNumberFormat="1" applyFont="1" applyFill="1" applyBorder="1" applyAlignment="1">
      <alignment horizontal="center" vertical="center" wrapText="1"/>
    </xf>
    <xf numFmtId="165" fontId="8" fillId="8" borderId="13" xfId="6" applyNumberFormat="1" applyFont="1" applyFill="1" applyBorder="1" applyAlignment="1">
      <alignment horizontal="center" vertical="center" wrapText="1"/>
    </xf>
    <xf numFmtId="0" fontId="5" fillId="3" borderId="8" xfId="5" applyFont="1" applyFill="1" applyBorder="1" applyAlignment="1">
      <alignment horizontal="left" vertical="center" wrapText="1"/>
    </xf>
    <xf numFmtId="0" fontId="5" fillId="3" borderId="10" xfId="5" applyFont="1" applyFill="1" applyBorder="1" applyAlignment="1">
      <alignment horizontal="left" vertical="center" wrapText="1"/>
    </xf>
    <xf numFmtId="0" fontId="5" fillId="3" borderId="7" xfId="5" applyFont="1" applyFill="1" applyBorder="1" applyAlignment="1">
      <alignment horizontal="left" vertical="center" wrapText="1"/>
    </xf>
    <xf numFmtId="0" fontId="5" fillId="3" borderId="8" xfId="5" applyFont="1" applyFill="1" applyBorder="1" applyAlignment="1">
      <alignment horizontal="center" vertical="center" wrapText="1"/>
    </xf>
    <xf numFmtId="0" fontId="5" fillId="3" borderId="10" xfId="5" applyFont="1" applyFill="1" applyBorder="1" applyAlignment="1">
      <alignment horizontal="center" vertical="center" wrapText="1"/>
    </xf>
    <xf numFmtId="0" fontId="5" fillId="3" borderId="7" xfId="5" applyFont="1" applyFill="1" applyBorder="1" applyAlignment="1">
      <alignment horizontal="center" vertical="center" wrapText="1"/>
    </xf>
    <xf numFmtId="0" fontId="7" fillId="5" borderId="4" xfId="5" applyFont="1" applyFill="1" applyBorder="1" applyAlignment="1">
      <alignment horizontal="center" vertical="center" wrapText="1"/>
    </xf>
    <xf numFmtId="0" fontId="7" fillId="5" borderId="5" xfId="5" applyFont="1" applyFill="1" applyBorder="1" applyAlignment="1">
      <alignment horizontal="center" vertical="center" wrapText="1"/>
    </xf>
    <xf numFmtId="0" fontId="7" fillId="5" borderId="6" xfId="5" applyFont="1" applyFill="1" applyBorder="1" applyAlignment="1">
      <alignment horizontal="center" vertical="center" wrapText="1"/>
    </xf>
    <xf numFmtId="0" fontId="7" fillId="5" borderId="1" xfId="5" applyFont="1" applyFill="1" applyBorder="1" applyAlignment="1">
      <alignment horizontal="center" vertical="center" wrapText="1"/>
    </xf>
    <xf numFmtId="0" fontId="7" fillId="5" borderId="2" xfId="5" applyFont="1" applyFill="1" applyBorder="1" applyAlignment="1">
      <alignment horizontal="center" vertical="center" wrapText="1"/>
    </xf>
    <xf numFmtId="0" fontId="7" fillId="5" borderId="3" xfId="5" applyFont="1" applyFill="1" applyBorder="1" applyAlignment="1">
      <alignment horizontal="center" vertical="center" wrapText="1"/>
    </xf>
    <xf numFmtId="0" fontId="1" fillId="0" borderId="8" xfId="5" applyFont="1" applyBorder="1" applyAlignment="1">
      <alignment horizontal="left" vertical="center" wrapText="1"/>
    </xf>
    <xf numFmtId="0" fontId="1" fillId="0" borderId="10" xfId="5" applyFont="1" applyBorder="1" applyAlignment="1">
      <alignment horizontal="left" vertical="center" wrapText="1"/>
    </xf>
    <xf numFmtId="0" fontId="1" fillId="0" borderId="7" xfId="5" applyFont="1" applyBorder="1" applyAlignment="1">
      <alignment horizontal="left" vertical="center" wrapText="1"/>
    </xf>
    <xf numFmtId="0" fontId="1" fillId="0" borderId="8" xfId="5" applyFont="1" applyBorder="1" applyAlignment="1">
      <alignment horizontal="center" vertical="center"/>
    </xf>
    <xf numFmtId="0" fontId="1" fillId="0" borderId="10" xfId="5" applyFont="1" applyBorder="1" applyAlignment="1">
      <alignment horizontal="center" vertical="center"/>
    </xf>
    <xf numFmtId="0" fontId="1" fillId="0" borderId="7" xfId="5" applyFont="1" applyBorder="1" applyAlignment="1">
      <alignment horizontal="center" vertical="center"/>
    </xf>
    <xf numFmtId="0" fontId="8" fillId="7" borderId="8" xfId="5" applyFont="1" applyFill="1" applyBorder="1" applyAlignment="1">
      <alignment horizontal="center" vertical="center" wrapText="1"/>
    </xf>
    <xf numFmtId="0" fontId="8" fillId="7" borderId="7" xfId="5" applyFont="1" applyFill="1" applyBorder="1" applyAlignment="1">
      <alignment horizontal="center" vertical="center" wrapText="1"/>
    </xf>
    <xf numFmtId="0" fontId="8" fillId="8" borderId="13" xfId="5" applyFont="1" applyFill="1" applyBorder="1" applyAlignment="1">
      <alignment horizontal="center" vertical="center" wrapText="1"/>
    </xf>
    <xf numFmtId="0" fontId="8" fillId="8" borderId="9" xfId="5" applyFont="1" applyFill="1" applyBorder="1" applyAlignment="1">
      <alignment horizontal="center" vertical="center" wrapText="1"/>
    </xf>
    <xf numFmtId="0" fontId="5" fillId="0" borderId="8" xfId="5" applyFont="1" applyFill="1" applyBorder="1" applyAlignment="1">
      <alignment horizontal="left" vertical="center" wrapText="1"/>
    </xf>
    <xf numFmtId="0" fontId="5" fillId="0" borderId="10" xfId="5" applyFont="1" applyFill="1" applyBorder="1" applyAlignment="1">
      <alignment horizontal="left" vertical="center" wrapText="1"/>
    </xf>
    <xf numFmtId="0" fontId="5" fillId="0" borderId="7" xfId="5" applyFont="1" applyFill="1" applyBorder="1" applyAlignment="1">
      <alignment horizontal="left" vertical="center" wrapText="1"/>
    </xf>
    <xf numFmtId="0" fontId="8" fillId="8" borderId="8" xfId="5" applyFont="1" applyFill="1" applyBorder="1" applyAlignment="1">
      <alignment horizontal="center" vertical="center" wrapText="1"/>
    </xf>
    <xf numFmtId="0" fontId="8" fillId="8" borderId="7" xfId="5" applyFont="1" applyFill="1" applyBorder="1" applyAlignment="1">
      <alignment horizontal="center" vertical="center" wrapText="1"/>
    </xf>
    <xf numFmtId="0" fontId="8" fillId="9" borderId="8" xfId="5" applyFont="1" applyFill="1" applyBorder="1" applyAlignment="1" applyProtection="1">
      <alignment horizontal="center" vertical="center" wrapText="1"/>
      <protection locked="0"/>
    </xf>
    <xf numFmtId="0" fontId="8" fillId="9" borderId="7" xfId="5" applyFont="1" applyFill="1" applyBorder="1" applyAlignment="1" applyProtection="1">
      <alignment horizontal="center" vertical="center" wrapText="1"/>
      <protection locked="0"/>
    </xf>
    <xf numFmtId="0" fontId="8" fillId="6" borderId="8" xfId="5" applyFont="1" applyFill="1" applyBorder="1" applyAlignment="1">
      <alignment horizontal="center" vertical="center" wrapText="1"/>
    </xf>
    <xf numFmtId="0" fontId="8" fillId="6" borderId="10" xfId="5" applyFont="1" applyFill="1" applyBorder="1" applyAlignment="1">
      <alignment horizontal="center" vertical="center" wrapText="1"/>
    </xf>
    <xf numFmtId="0" fontId="8" fillId="6" borderId="7" xfId="5" applyFont="1" applyFill="1" applyBorder="1" applyAlignment="1">
      <alignment horizontal="center" vertical="center" wrapText="1"/>
    </xf>
    <xf numFmtId="0" fontId="8" fillId="6" borderId="1" xfId="5" applyFont="1" applyFill="1" applyBorder="1" applyAlignment="1">
      <alignment horizontal="center" vertical="center" wrapText="1"/>
    </xf>
    <xf numFmtId="0" fontId="8" fillId="6" borderId="3" xfId="5" applyFont="1" applyFill="1" applyBorder="1" applyAlignment="1">
      <alignment horizontal="center" vertical="center" wrapText="1"/>
    </xf>
    <xf numFmtId="0" fontId="8" fillId="6" borderId="14" xfId="5" applyFont="1" applyFill="1" applyBorder="1" applyAlignment="1">
      <alignment horizontal="center" vertical="center" wrapText="1"/>
    </xf>
    <xf numFmtId="0" fontId="8" fillId="6" borderId="15" xfId="5" applyFont="1" applyFill="1" applyBorder="1" applyAlignment="1">
      <alignment horizontal="center" vertical="center" wrapText="1"/>
    </xf>
    <xf numFmtId="0" fontId="8" fillId="6" borderId="4" xfId="5" applyFont="1" applyFill="1" applyBorder="1" applyAlignment="1">
      <alignment horizontal="center" vertical="center" wrapText="1"/>
    </xf>
    <xf numFmtId="0" fontId="8" fillId="6" borderId="6" xfId="5" applyFont="1" applyFill="1" applyBorder="1" applyAlignment="1">
      <alignment horizontal="center" vertical="center" wrapText="1"/>
    </xf>
    <xf numFmtId="0" fontId="8" fillId="6" borderId="9" xfId="5" applyFont="1" applyFill="1" applyBorder="1" applyAlignment="1">
      <alignment horizontal="center" vertical="center" wrapText="1"/>
    </xf>
    <xf numFmtId="0" fontId="8" fillId="6" borderId="11" xfId="5" applyFont="1" applyFill="1" applyBorder="1" applyAlignment="1">
      <alignment horizontal="center" vertical="center" wrapText="1"/>
    </xf>
    <xf numFmtId="0" fontId="8" fillId="7" borderId="11" xfId="5" applyFont="1" applyFill="1" applyBorder="1" applyAlignment="1" applyProtection="1">
      <alignment horizontal="center" vertical="center" wrapText="1"/>
      <protection locked="0"/>
    </xf>
    <xf numFmtId="0" fontId="8" fillId="7" borderId="13" xfId="5" applyFont="1" applyFill="1" applyBorder="1" applyAlignment="1" applyProtection="1">
      <alignment horizontal="center" vertical="center" wrapText="1"/>
      <protection locked="0"/>
    </xf>
    <xf numFmtId="0" fontId="8" fillId="8" borderId="11" xfId="5" applyFont="1" applyFill="1" applyBorder="1" applyAlignment="1">
      <alignment horizontal="center" vertical="center" wrapText="1"/>
    </xf>
    <xf numFmtId="0" fontId="8" fillId="9" borderId="11" xfId="5" applyFont="1" applyFill="1" applyBorder="1" applyAlignment="1">
      <alignment horizontal="center" vertical="center" wrapText="1"/>
    </xf>
    <xf numFmtId="0" fontId="8" fillId="9" borderId="13" xfId="5" applyFont="1" applyFill="1" applyBorder="1" applyAlignment="1">
      <alignment horizontal="center" vertical="center" wrapText="1"/>
    </xf>
    <xf numFmtId="0" fontId="8" fillId="7" borderId="9" xfId="5" applyFont="1" applyFill="1" applyBorder="1" applyAlignment="1">
      <alignment horizontal="center" vertical="center" wrapText="1"/>
    </xf>
    <xf numFmtId="0" fontId="8" fillId="6" borderId="2" xfId="5" applyFont="1" applyFill="1" applyBorder="1" applyAlignment="1">
      <alignment horizontal="center" vertical="center" wrapText="1"/>
    </xf>
    <xf numFmtId="0" fontId="8" fillId="6" borderId="0" xfId="5" applyFont="1" applyFill="1" applyBorder="1" applyAlignment="1">
      <alignment horizontal="center" vertical="center" wrapText="1"/>
    </xf>
    <xf numFmtId="0" fontId="8" fillId="6" borderId="5" xfId="5" applyFont="1" applyFill="1" applyBorder="1" applyAlignment="1">
      <alignment horizontal="center" vertical="center" wrapText="1"/>
    </xf>
    <xf numFmtId="0" fontId="8" fillId="7" borderId="12" xfId="5" applyFont="1" applyFill="1" applyBorder="1" applyAlignment="1">
      <alignment horizontal="center" vertical="center" wrapText="1"/>
    </xf>
    <xf numFmtId="0" fontId="8" fillId="7" borderId="1" xfId="5" applyFont="1" applyFill="1" applyBorder="1" applyAlignment="1">
      <alignment horizontal="center" vertical="center" wrapText="1"/>
    </xf>
    <xf numFmtId="0" fontId="5" fillId="7" borderId="14" xfId="5" applyFont="1" applyFill="1" applyBorder="1" applyAlignment="1">
      <alignment horizontal="center" vertical="center" wrapText="1"/>
    </xf>
    <xf numFmtId="0" fontId="8" fillId="7" borderId="12" xfId="5" applyFont="1" applyFill="1" applyBorder="1" applyAlignment="1" applyProtection="1">
      <alignment horizontal="center" vertical="center" wrapText="1"/>
      <protection locked="0"/>
    </xf>
    <xf numFmtId="0" fontId="8" fillId="8" borderId="12" xfId="5" applyFont="1" applyFill="1" applyBorder="1" applyAlignment="1">
      <alignment horizontal="center" vertical="center" wrapText="1"/>
    </xf>
    <xf numFmtId="0" fontId="8" fillId="7" borderId="8" xfId="5" applyFont="1" applyFill="1" applyBorder="1" applyAlignment="1" applyProtection="1">
      <alignment horizontal="center" vertical="center" wrapText="1"/>
      <protection locked="0"/>
    </xf>
    <xf numFmtId="0" fontId="8" fillId="7" borderId="7" xfId="5" applyFont="1" applyFill="1" applyBorder="1" applyAlignment="1" applyProtection="1">
      <alignment horizontal="center" vertical="center" wrapText="1"/>
      <protection locked="0"/>
    </xf>
    <xf numFmtId="0" fontId="21" fillId="5" borderId="11" xfId="5" applyFont="1" applyFill="1" applyBorder="1" applyAlignment="1">
      <alignment horizontal="center"/>
    </xf>
    <xf numFmtId="0" fontId="21" fillId="5" borderId="12" xfId="5" applyFont="1" applyFill="1" applyBorder="1" applyAlignment="1">
      <alignment horizontal="center"/>
    </xf>
    <xf numFmtId="0" fontId="21" fillId="5" borderId="13" xfId="5" applyFont="1" applyFill="1" applyBorder="1" applyAlignment="1">
      <alignment horizontal="center"/>
    </xf>
    <xf numFmtId="0" fontId="5" fillId="4" borderId="4" xfId="5" applyFont="1" applyFill="1" applyBorder="1" applyAlignment="1">
      <alignment horizontal="left" vertical="top" wrapText="1"/>
    </xf>
    <xf numFmtId="0" fontId="5" fillId="4" borderId="5" xfId="5" applyFont="1" applyFill="1" applyBorder="1" applyAlignment="1">
      <alignment horizontal="left" vertical="top" wrapText="1"/>
    </xf>
    <xf numFmtId="0" fontId="5" fillId="4" borderId="6" xfId="5" applyFont="1" applyFill="1" applyBorder="1" applyAlignment="1">
      <alignment horizontal="left" vertical="top" wrapText="1"/>
    </xf>
    <xf numFmtId="0" fontId="7" fillId="5" borderId="11" xfId="203" applyFont="1" applyFill="1" applyBorder="1" applyAlignment="1" applyProtection="1">
      <alignment horizontal="center" vertical="center" wrapText="1"/>
    </xf>
    <xf numFmtId="0" fontId="7" fillId="5" borderId="12" xfId="203" applyFont="1" applyFill="1" applyBorder="1" applyAlignment="1" applyProtection="1">
      <alignment horizontal="center" vertical="center" wrapText="1"/>
    </xf>
    <xf numFmtId="0" fontId="7" fillId="5" borderId="13" xfId="203" applyFont="1" applyFill="1" applyBorder="1" applyAlignment="1" applyProtection="1">
      <alignment horizontal="center" vertical="center" wrapText="1"/>
    </xf>
    <xf numFmtId="0" fontId="8" fillId="7" borderId="9" xfId="203" applyFont="1" applyFill="1" applyBorder="1" applyAlignment="1" applyProtection="1">
      <alignment horizontal="center" vertical="center" wrapText="1"/>
    </xf>
    <xf numFmtId="0" fontId="3" fillId="7" borderId="9" xfId="2" applyFill="1" applyBorder="1" applyAlignment="1" applyProtection="1">
      <alignment horizontal="center" vertical="center" wrapText="1"/>
    </xf>
    <xf numFmtId="0" fontId="8" fillId="8" borderId="9" xfId="203" applyFont="1" applyFill="1" applyBorder="1" applyAlignment="1" applyProtection="1">
      <alignment horizontal="center" vertical="center" wrapText="1"/>
    </xf>
    <xf numFmtId="0" fontId="3" fillId="8" borderId="9" xfId="2" applyFill="1" applyBorder="1" applyAlignment="1" applyProtection="1">
      <alignment horizontal="center" vertical="center" wrapText="1"/>
    </xf>
    <xf numFmtId="0" fontId="5" fillId="4" borderId="55" xfId="5" applyFont="1" applyFill="1" applyBorder="1" applyAlignment="1">
      <alignment vertical="center" wrapText="1"/>
    </xf>
    <xf numFmtId="0" fontId="5" fillId="4" borderId="0" xfId="5" applyFont="1" applyFill="1" applyBorder="1" applyAlignment="1">
      <alignment vertical="center" wrapText="1"/>
    </xf>
    <xf numFmtId="0" fontId="5" fillId="4" borderId="60" xfId="5" applyFont="1" applyFill="1" applyBorder="1" applyAlignment="1">
      <alignment vertical="center" wrapText="1"/>
    </xf>
    <xf numFmtId="0" fontId="71" fillId="4" borderId="55" xfId="5" applyFont="1" applyFill="1" applyBorder="1" applyAlignment="1">
      <alignment horizontal="left" vertical="center" wrapText="1"/>
    </xf>
    <xf numFmtId="0" fontId="71" fillId="4" borderId="0" xfId="5" applyFont="1" applyFill="1" applyBorder="1" applyAlignment="1">
      <alignment horizontal="left" vertical="center" wrapText="1"/>
    </xf>
    <xf numFmtId="0" fontId="71" fillId="4" borderId="60" xfId="5" applyFont="1" applyFill="1" applyBorder="1" applyAlignment="1">
      <alignment horizontal="left" vertical="center" wrapText="1"/>
    </xf>
    <xf numFmtId="0" fontId="5" fillId="4" borderId="0" xfId="5" applyFont="1" applyFill="1" applyAlignment="1">
      <alignment vertical="center" wrapText="1"/>
    </xf>
    <xf numFmtId="0" fontId="5" fillId="4" borderId="55" xfId="5" applyFont="1" applyFill="1" applyBorder="1" applyAlignment="1">
      <alignment horizontal="left" vertical="center" wrapText="1"/>
    </xf>
    <xf numFmtId="0" fontId="5" fillId="4" borderId="0" xfId="5" applyFont="1" applyFill="1" applyBorder="1" applyAlignment="1">
      <alignment horizontal="left" vertical="center" wrapText="1"/>
    </xf>
    <xf numFmtId="0" fontId="5" fillId="4" borderId="60" xfId="5" applyFont="1" applyFill="1" applyBorder="1" applyAlignment="1">
      <alignment horizontal="left" vertical="center" wrapText="1"/>
    </xf>
    <xf numFmtId="0" fontId="81" fillId="5" borderId="9" xfId="400" applyFont="1" applyFill="1" applyBorder="1" applyAlignment="1">
      <alignment horizontal="center" vertical="center" wrapText="1"/>
    </xf>
    <xf numFmtId="0" fontId="81" fillId="5" borderId="8" xfId="400" applyFont="1" applyFill="1" applyBorder="1" applyAlignment="1">
      <alignment horizontal="center" vertical="center" wrapText="1"/>
    </xf>
    <xf numFmtId="1" fontId="81" fillId="5" borderId="9" xfId="400" applyNumberFormat="1" applyFont="1" applyFill="1" applyBorder="1" applyAlignment="1">
      <alignment horizontal="center" vertical="center" wrapText="1"/>
    </xf>
    <xf numFmtId="1" fontId="81" fillId="5" borderId="8" xfId="400" applyNumberFormat="1" applyFont="1" applyFill="1" applyBorder="1" applyAlignment="1">
      <alignment horizontal="center" vertical="center" wrapText="1"/>
    </xf>
    <xf numFmtId="0" fontId="81" fillId="5" borderId="9" xfId="400" applyFont="1" applyFill="1" applyBorder="1" applyAlignment="1">
      <alignment horizontal="center" vertical="top" wrapText="1"/>
    </xf>
    <xf numFmtId="0" fontId="81" fillId="0" borderId="0" xfId="400" applyFont="1" applyFill="1" applyBorder="1" applyAlignment="1">
      <alignment horizontal="center" vertical="center" wrapText="1"/>
    </xf>
    <xf numFmtId="1" fontId="81" fillId="0" borderId="0" xfId="400" applyNumberFormat="1" applyFont="1" applyFill="1" applyBorder="1" applyAlignment="1">
      <alignment horizontal="center" vertical="center" wrapText="1"/>
    </xf>
    <xf numFmtId="0" fontId="81" fillId="0" borderId="0" xfId="400" applyFont="1" applyFill="1" applyBorder="1" applyAlignment="1">
      <alignment horizontal="center" vertical="top" wrapText="1"/>
    </xf>
    <xf numFmtId="0" fontId="28" fillId="0" borderId="0" xfId="400" applyFont="1" applyFill="1" applyBorder="1" applyAlignment="1">
      <alignment horizontal="center" vertical="center"/>
    </xf>
    <xf numFmtId="0" fontId="28" fillId="0" borderId="0" xfId="400" applyFont="1" applyFill="1" applyBorder="1" applyAlignment="1">
      <alignment horizontal="center" vertical="center" wrapText="1"/>
    </xf>
    <xf numFmtId="44" fontId="28" fillId="0" borderId="0" xfId="260" applyFont="1" applyFill="1" applyBorder="1" applyAlignment="1">
      <alignment horizontal="center" vertical="center"/>
    </xf>
    <xf numFmtId="0" fontId="3" fillId="0" borderId="0" xfId="400" applyFont="1" applyFill="1" applyBorder="1"/>
    <xf numFmtId="44" fontId="28" fillId="0" borderId="9" xfId="260" applyFont="1" applyFill="1" applyBorder="1" applyAlignment="1">
      <alignment horizontal="center" vertical="center"/>
    </xf>
    <xf numFmtId="0" fontId="28" fillId="0" borderId="7" xfId="400" applyFont="1" applyFill="1" applyBorder="1" applyAlignment="1">
      <alignment horizontal="center" vertical="center" wrapText="1"/>
    </xf>
    <xf numFmtId="0" fontId="28" fillId="0" borderId="9" xfId="400" applyFont="1" applyFill="1" applyBorder="1" applyAlignment="1">
      <alignment horizontal="center" vertical="center" wrapText="1"/>
    </xf>
    <xf numFmtId="0" fontId="28" fillId="0" borderId="9" xfId="400" applyFont="1" applyFill="1" applyBorder="1" applyAlignment="1">
      <alignment horizontal="center" vertical="center"/>
    </xf>
    <xf numFmtId="44" fontId="28" fillId="0" borderId="8" xfId="260" applyFont="1" applyFill="1" applyBorder="1" applyAlignment="1">
      <alignment horizontal="center" vertical="center"/>
    </xf>
    <xf numFmtId="0" fontId="28" fillId="0" borderId="8" xfId="400" applyFont="1" applyFill="1" applyBorder="1" applyAlignment="1">
      <alignment horizontal="center" vertical="center" wrapText="1"/>
    </xf>
    <xf numFmtId="44" fontId="28" fillId="0" borderId="10" xfId="260" applyFont="1" applyFill="1" applyBorder="1" applyAlignment="1">
      <alignment horizontal="center" vertical="center"/>
    </xf>
    <xf numFmtId="0" fontId="28" fillId="0" borderId="7" xfId="400" applyFont="1" applyFill="1" applyBorder="1" applyAlignment="1">
      <alignment horizontal="center" vertical="center"/>
    </xf>
    <xf numFmtId="0" fontId="28" fillId="0" borderId="10" xfId="400" applyFont="1" applyFill="1" applyBorder="1" applyAlignment="1">
      <alignment horizontal="center" vertical="center" wrapText="1"/>
    </xf>
    <xf numFmtId="44" fontId="28" fillId="0" borderId="7" xfId="260" applyFont="1" applyFill="1" applyBorder="1" applyAlignment="1">
      <alignment horizontal="center" vertical="center"/>
    </xf>
    <xf numFmtId="0" fontId="75" fillId="4" borderId="0" xfId="400" applyFont="1" applyFill="1" applyBorder="1" applyAlignment="1">
      <alignment horizontal="center" vertical="center" wrapText="1"/>
    </xf>
    <xf numFmtId="0" fontId="28" fillId="4" borderId="0" xfId="400" applyFont="1" applyFill="1" applyBorder="1" applyAlignment="1">
      <alignment horizontal="left" vertical="top" wrapText="1"/>
    </xf>
    <xf numFmtId="0" fontId="92" fillId="4" borderId="0" xfId="400" applyFont="1" applyFill="1" applyBorder="1" applyAlignment="1">
      <alignment horizontal="center" vertical="center" wrapText="1"/>
    </xf>
    <xf numFmtId="0" fontId="79" fillId="4" borderId="0" xfId="400" applyFont="1" applyFill="1" applyBorder="1" applyAlignment="1">
      <alignment horizontal="center" vertical="center" wrapText="1"/>
    </xf>
    <xf numFmtId="0" fontId="28" fillId="0" borderId="9" xfId="400" applyFont="1" applyFill="1" applyBorder="1" applyAlignment="1">
      <alignment horizontal="left" vertical="top" wrapText="1"/>
    </xf>
    <xf numFmtId="0" fontId="28" fillId="0" borderId="8" xfId="400" applyFont="1" applyFill="1" applyBorder="1" applyAlignment="1">
      <alignment horizontal="center" vertical="center"/>
    </xf>
    <xf numFmtId="44" fontId="61" fillId="0" borderId="9" xfId="400" applyNumberFormat="1" applyFont="1" applyFill="1" applyBorder="1" applyAlignment="1">
      <alignment horizontal="center" vertical="center"/>
    </xf>
    <xf numFmtId="0" fontId="28" fillId="4" borderId="0" xfId="400" applyFont="1" applyFill="1" applyAlignment="1">
      <alignment horizontal="center" wrapText="1"/>
    </xf>
    <xf numFmtId="0" fontId="5" fillId="4" borderId="65" xfId="5" applyFont="1" applyFill="1" applyBorder="1" applyAlignment="1">
      <alignment vertical="center" wrapText="1"/>
    </xf>
    <xf numFmtId="0" fontId="5" fillId="4" borderId="72" xfId="5" applyFont="1" applyFill="1" applyBorder="1" applyAlignment="1">
      <alignment vertical="center" wrapText="1"/>
    </xf>
    <xf numFmtId="0" fontId="5" fillId="4" borderId="76" xfId="5" applyFont="1" applyFill="1" applyBorder="1" applyAlignment="1">
      <alignment vertical="center" wrapText="1"/>
    </xf>
    <xf numFmtId="0" fontId="68" fillId="5" borderId="8" xfId="5" applyFont="1" applyFill="1" applyBorder="1" applyAlignment="1">
      <alignment horizontal="center" vertical="center" wrapText="1"/>
    </xf>
    <xf numFmtId="0" fontId="68" fillId="5" borderId="10" xfId="5" applyFont="1" applyFill="1" applyBorder="1" applyAlignment="1">
      <alignment horizontal="center" vertical="center" wrapText="1"/>
    </xf>
    <xf numFmtId="0" fontId="68" fillId="5" borderId="7" xfId="5" applyFont="1" applyFill="1" applyBorder="1" applyAlignment="1">
      <alignment horizontal="center" vertical="center" wrapText="1"/>
    </xf>
    <xf numFmtId="0" fontId="68" fillId="5" borderId="1" xfId="5" applyFont="1" applyFill="1" applyBorder="1" applyAlignment="1">
      <alignment horizontal="center" vertical="center" wrapText="1"/>
    </xf>
    <xf numFmtId="0" fontId="68" fillId="5" borderId="2" xfId="5" applyFont="1" applyFill="1" applyBorder="1" applyAlignment="1">
      <alignment horizontal="center" vertical="center" wrapText="1"/>
    </xf>
    <xf numFmtId="0" fontId="68" fillId="5" borderId="3" xfId="5" applyFont="1" applyFill="1" applyBorder="1" applyAlignment="1">
      <alignment horizontal="center" vertical="center" wrapText="1"/>
    </xf>
    <xf numFmtId="0" fontId="69" fillId="5" borderId="14" xfId="5" applyFont="1" applyFill="1" applyBorder="1" applyAlignment="1">
      <alignment horizontal="center" vertical="center" wrapText="1"/>
    </xf>
    <xf numFmtId="0" fontId="69" fillId="5" borderId="0" xfId="5" applyFont="1" applyFill="1" applyBorder="1" applyAlignment="1">
      <alignment horizontal="center" vertical="center" wrapText="1"/>
    </xf>
    <xf numFmtId="0" fontId="69" fillId="5" borderId="15" xfId="5" applyFont="1" applyFill="1" applyBorder="1" applyAlignment="1">
      <alignment horizontal="center" vertical="center" wrapText="1"/>
    </xf>
    <xf numFmtId="0" fontId="69" fillId="5" borderId="4" xfId="5" applyFont="1" applyFill="1" applyBorder="1" applyAlignment="1">
      <alignment horizontal="center" vertical="center" wrapText="1"/>
    </xf>
    <xf numFmtId="0" fontId="69" fillId="5" borderId="5" xfId="5" applyFont="1" applyFill="1" applyBorder="1" applyAlignment="1">
      <alignment horizontal="center" vertical="center" wrapText="1"/>
    </xf>
    <xf numFmtId="0" fontId="69" fillId="5" borderId="6" xfId="5" applyFont="1" applyFill="1" applyBorder="1" applyAlignment="1">
      <alignment horizontal="center" vertical="center" wrapText="1"/>
    </xf>
    <xf numFmtId="7" fontId="28" fillId="4" borderId="8" xfId="260" applyNumberFormat="1" applyFont="1" applyFill="1" applyBorder="1" applyAlignment="1">
      <alignment horizontal="center" vertical="center"/>
    </xf>
  </cellXfs>
  <cellStyles count="405">
    <cellStyle name="20% - Accent1 2" xfId="12"/>
    <cellStyle name="20% - Accent1 3" xfId="13"/>
    <cellStyle name="20% - Accent1 4" xfId="14"/>
    <cellStyle name="20% - Accent2 2" xfId="15"/>
    <cellStyle name="20% - Accent2 3" xfId="16"/>
    <cellStyle name="20% - Accent2 4" xfId="17"/>
    <cellStyle name="20% - Accent3 2" xfId="18"/>
    <cellStyle name="20% - Accent3 2 2" xfId="262"/>
    <cellStyle name="20% - Accent3 3" xfId="19"/>
    <cellStyle name="20% - Accent3 4" xfId="20"/>
    <cellStyle name="20% - Accent4 2" xfId="21"/>
    <cellStyle name="20% - Accent4 3" xfId="22"/>
    <cellStyle name="20% - Accent4 4" xfId="23"/>
    <cellStyle name="20% - Accent5 2" xfId="24"/>
    <cellStyle name="20% - Accent5 3" xfId="25"/>
    <cellStyle name="20% - Accent5 4" xfId="26"/>
    <cellStyle name="20% - Accent6 2" xfId="27"/>
    <cellStyle name="20% - Accent6 3" xfId="28"/>
    <cellStyle name="40% - Accent1 2" xfId="29"/>
    <cellStyle name="40% - Accent1 3" xfId="30"/>
    <cellStyle name="40% - Accent1 4" xfId="31"/>
    <cellStyle name="40% - Accent1 4 2" xfId="32"/>
    <cellStyle name="40% - Accent1 4 2 2" xfId="33"/>
    <cellStyle name="40% - Accent1 4 2 2 2" xfId="263"/>
    <cellStyle name="40% - Accent1 4 2 3" xfId="264"/>
    <cellStyle name="40% - Accent1 4 2 3 2" xfId="265"/>
    <cellStyle name="40% - Accent1 4 2 4" xfId="266"/>
    <cellStyle name="40% - Accent1 4 3" xfId="34"/>
    <cellStyle name="40% - Accent1 4 3 2" xfId="267"/>
    <cellStyle name="40% - Accent1 4 4" xfId="35"/>
    <cellStyle name="40% - Accent1 4 4 2" xfId="268"/>
    <cellStyle name="40% - Accent1 4 5" xfId="269"/>
    <cellStyle name="40% - Accent1 4 5 2" xfId="270"/>
    <cellStyle name="40% - Accent1 4 6" xfId="271"/>
    <cellStyle name="40% - Accent1 5" xfId="36"/>
    <cellStyle name="40% - Accent2 2" xfId="37"/>
    <cellStyle name="40% - Accent2 3" xfId="38"/>
    <cellStyle name="40% - Accent2 4" xfId="39"/>
    <cellStyle name="40% - Accent3 2" xfId="40"/>
    <cellStyle name="40% - Accent3 3" xfId="41"/>
    <cellStyle name="40% - Accent3 4" xfId="42"/>
    <cellStyle name="40% - Accent4 2" xfId="43"/>
    <cellStyle name="40% - Accent4 3" xfId="44"/>
    <cellStyle name="40% - Accent4 4" xfId="45"/>
    <cellStyle name="40% - Accent5 2" xfId="46"/>
    <cellStyle name="40% - Accent5 3" xfId="47"/>
    <cellStyle name="40% - Accent5 4" xfId="48"/>
    <cellStyle name="40% - Accent6 2" xfId="49"/>
    <cellStyle name="40% - Accent6 3" xfId="50"/>
    <cellStyle name="40% - Accent6 4" xfId="51"/>
    <cellStyle name="60% - Accent1 2" xfId="52"/>
    <cellStyle name="60% - Accent1 3" xfId="53"/>
    <cellStyle name="60% - Accent1 4" xfId="54"/>
    <cellStyle name="60% - Accent2 2" xfId="55"/>
    <cellStyle name="60% - Accent2 3" xfId="56"/>
    <cellStyle name="60% - Accent2 4" xfId="57"/>
    <cellStyle name="60% - Accent3 2" xfId="58"/>
    <cellStyle name="60% - Accent3 3" xfId="59"/>
    <cellStyle name="60% - Accent3 4" xfId="60"/>
    <cellStyle name="60% - Accent4 2" xfId="61"/>
    <cellStyle name="60% - Accent4 3" xfId="62"/>
    <cellStyle name="60% - Accent4 4" xfId="63"/>
    <cellStyle name="60% - Accent5 2" xfId="64"/>
    <cellStyle name="60% - Accent5 3" xfId="65"/>
    <cellStyle name="60% - Accent5 4" xfId="66"/>
    <cellStyle name="60% - Accent6 2" xfId="67"/>
    <cellStyle name="60% - Accent6 3" xfId="68"/>
    <cellStyle name="60% - Accent6 4" xfId="69"/>
    <cellStyle name="Accent1 2" xfId="70"/>
    <cellStyle name="Accent1 3" xfId="71"/>
    <cellStyle name="Accent1 4" xfId="72"/>
    <cellStyle name="Accent2 2" xfId="73"/>
    <cellStyle name="Accent2 3" xfId="74"/>
    <cellStyle name="Accent3 2" xfId="75"/>
    <cellStyle name="Accent3 3" xfId="76"/>
    <cellStyle name="Accent4 2" xfId="77"/>
    <cellStyle name="Accent4 3" xfId="78"/>
    <cellStyle name="Accent4 4" xfId="79"/>
    <cellStyle name="Accent5 2" xfId="80"/>
    <cellStyle name="Accent5 3" xfId="81"/>
    <cellStyle name="Accent6 2" xfId="82"/>
    <cellStyle name="Accent6 3" xfId="83"/>
    <cellStyle name="Actual" xfId="84"/>
    <cellStyle name="ActualCurrency" xfId="85"/>
    <cellStyle name="ActualPercent" xfId="86"/>
    <cellStyle name="ActualValue" xfId="87"/>
    <cellStyle name="Bad 2" xfId="88"/>
    <cellStyle name="Bad 3" xfId="89"/>
    <cellStyle name="Blockout" xfId="90"/>
    <cellStyle name="Blockout 2" xfId="91"/>
    <cellStyle name="BLUE TABLE SHADED GREY" xfId="272"/>
    <cellStyle name="Calc 1" xfId="92"/>
    <cellStyle name="Calc 2" xfId="93"/>
    <cellStyle name="CalcRef" xfId="94"/>
    <cellStyle name="CalcRefCurrency" xfId="95"/>
    <cellStyle name="CalcRefPercent" xfId="96"/>
    <cellStyle name="CalcRefValue" xfId="97"/>
    <cellStyle name="Calculation 2" xfId="98"/>
    <cellStyle name="Calculation 3" xfId="99"/>
    <cellStyle name="Calculation 4" xfId="100"/>
    <cellStyle name="CaseSelection" xfId="101"/>
    <cellStyle name="Check Cell 2" xfId="102"/>
    <cellStyle name="Check Cell 3" xfId="103"/>
    <cellStyle name="Comma [0] 2" xfId="104"/>
    <cellStyle name="Comma [0] 3" xfId="105"/>
    <cellStyle name="Comma 10" xfId="106"/>
    <cellStyle name="Comma 12" xfId="107"/>
    <cellStyle name="Comma 12 2" xfId="273"/>
    <cellStyle name="Comma 2" xfId="108"/>
    <cellStyle name="Comma 2 2" xfId="109"/>
    <cellStyle name="Comma 2 2 2" xfId="4"/>
    <cellStyle name="Comma 2 3" xfId="110"/>
    <cellStyle name="Comma 2 3 2" xfId="111"/>
    <cellStyle name="Comma 2 3 2 2" xfId="274"/>
    <cellStyle name="Comma 2 3 3" xfId="275"/>
    <cellStyle name="Comma 2 3 3 2" xfId="276"/>
    <cellStyle name="Comma 2 3 4" xfId="277"/>
    <cellStyle name="Comma 2 4" xfId="112"/>
    <cellStyle name="Comma 2 4 2" xfId="278"/>
    <cellStyle name="Comma 2 4 2 2" xfId="279"/>
    <cellStyle name="Comma 2 4 3" xfId="280"/>
    <cellStyle name="Comma 2 4 3 2" xfId="281"/>
    <cellStyle name="Comma 2 4 4" xfId="282"/>
    <cellStyle name="Comma 2 5" xfId="113"/>
    <cellStyle name="Comma 2 6" xfId="283"/>
    <cellStyle name="Comma 2 6 2" xfId="284"/>
    <cellStyle name="Comma 2 7" xfId="285"/>
    <cellStyle name="Comma 2_Major Customer Project Data_15Nov2012" xfId="114"/>
    <cellStyle name="Comma 3" xfId="11"/>
    <cellStyle name="Comma 3 2" xfId="115"/>
    <cellStyle name="Comma 3 2 2" xfId="116"/>
    <cellStyle name="Comma 3 2 2 2" xfId="286"/>
    <cellStyle name="Comma 3 2 2 2 2" xfId="287"/>
    <cellStyle name="Comma 3 2 2 3" xfId="288"/>
    <cellStyle name="Comma 3 2 2 3 2" xfId="289"/>
    <cellStyle name="Comma 3 2 2 4" xfId="290"/>
    <cellStyle name="Comma 3 2 3" xfId="291"/>
    <cellStyle name="Comma 3 2 3 2" xfId="292"/>
    <cellStyle name="Comma 3 2 3 2 2" xfId="293"/>
    <cellStyle name="Comma 3 2 3 3" xfId="294"/>
    <cellStyle name="Comma 3 2 3 3 2" xfId="295"/>
    <cellStyle name="Comma 3 2 3 4" xfId="296"/>
    <cellStyle name="Comma 3 3" xfId="117"/>
    <cellStyle name="Comma 3 3 2" xfId="118"/>
    <cellStyle name="Comma 3 4" xfId="119"/>
    <cellStyle name="Comma 4" xfId="120"/>
    <cellStyle name="Comma 4 2" xfId="121"/>
    <cellStyle name="Comma 5" xfId="122"/>
    <cellStyle name="Comma 5 2" xfId="123"/>
    <cellStyle name="Comma 6" xfId="124"/>
    <cellStyle name="Comma 6 2" xfId="125"/>
    <cellStyle name="Comma 6 2 2" xfId="126"/>
    <cellStyle name="Comma 6 2 2 2" xfId="297"/>
    <cellStyle name="Comma 6 2 3" xfId="298"/>
    <cellStyle name="Comma 6 2 3 2" xfId="299"/>
    <cellStyle name="Comma 6 2 4" xfId="300"/>
    <cellStyle name="Comma 6 2 4 2" xfId="301"/>
    <cellStyle name="Comma 6 2 5" xfId="302"/>
    <cellStyle name="Comma 6 3" xfId="127"/>
    <cellStyle name="Comma 6 3 2" xfId="303"/>
    <cellStyle name="Comma 6 4" xfId="304"/>
    <cellStyle name="Comma 6 4 2" xfId="305"/>
    <cellStyle name="Comma 6 5" xfId="306"/>
    <cellStyle name="Comma 6 5 2" xfId="307"/>
    <cellStyle name="Comma 6 6" xfId="308"/>
    <cellStyle name="Comma 7" xfId="128"/>
    <cellStyle name="Comma 8" xfId="129"/>
    <cellStyle name="Comma 8 2" xfId="309"/>
    <cellStyle name="Comma 9" xfId="130"/>
    <cellStyle name="Comma 9 2" xfId="310"/>
    <cellStyle name="Comma_2010-11 Network Tariffs" xfId="9"/>
    <cellStyle name="Currency [0] 2" xfId="131"/>
    <cellStyle name="Currency [0] 3" xfId="132"/>
    <cellStyle name="Currency 10" xfId="133"/>
    <cellStyle name="Currency 11" xfId="134"/>
    <cellStyle name="Currency 12" xfId="135"/>
    <cellStyle name="Currency 13" xfId="260"/>
    <cellStyle name="Currency 2" xfId="10"/>
    <cellStyle name="Currency 2 2" xfId="3"/>
    <cellStyle name="Currency 2 2 2" xfId="311"/>
    <cellStyle name="Currency 2 3" xfId="312"/>
    <cellStyle name="Currency 2 4" xfId="313"/>
    <cellStyle name="Currency 2 4 2" xfId="314"/>
    <cellStyle name="Currency 2 4 2 2" xfId="315"/>
    <cellStyle name="Currency 2 4 3" xfId="316"/>
    <cellStyle name="Currency 2 4 3 2" xfId="317"/>
    <cellStyle name="Currency 2 4 4" xfId="318"/>
    <cellStyle name="Currency 3" xfId="136"/>
    <cellStyle name="Currency 3 2" xfId="137"/>
    <cellStyle name="Currency 4" xfId="138"/>
    <cellStyle name="Currency 4 2" xfId="139"/>
    <cellStyle name="Currency 4 2 2" xfId="319"/>
    <cellStyle name="Currency 4 2 2 2" xfId="320"/>
    <cellStyle name="Currency 4 2 3" xfId="321"/>
    <cellStyle name="Currency 4 2 3 2" xfId="322"/>
    <cellStyle name="Currency 4 2 4" xfId="323"/>
    <cellStyle name="Currency 5" xfId="140"/>
    <cellStyle name="Currency 5 2" xfId="141"/>
    <cellStyle name="Currency 6" xfId="142"/>
    <cellStyle name="Currency 6 2" xfId="143"/>
    <cellStyle name="Currency 6 2 2" xfId="144"/>
    <cellStyle name="Currency 6 2 2 2" xfId="324"/>
    <cellStyle name="Currency 6 2 3" xfId="325"/>
    <cellStyle name="Currency 6 2 3 2" xfId="326"/>
    <cellStyle name="Currency 6 2 4" xfId="327"/>
    <cellStyle name="Currency 6 3" xfId="145"/>
    <cellStyle name="Currency 6 3 2" xfId="328"/>
    <cellStyle name="Currency 6 4" xfId="329"/>
    <cellStyle name="Currency 6 4 2" xfId="330"/>
    <cellStyle name="Currency 6 5" xfId="331"/>
    <cellStyle name="Currency 7" xfId="146"/>
    <cellStyle name="Currency 7 2" xfId="147"/>
    <cellStyle name="Currency 7 2 2" xfId="148"/>
    <cellStyle name="Currency 7 2 2 2" xfId="332"/>
    <cellStyle name="Currency 7 2 3" xfId="333"/>
    <cellStyle name="Currency 7 2 3 2" xfId="334"/>
    <cellStyle name="Currency 7 2 4" xfId="335"/>
    <cellStyle name="Currency 7 2 4 2" xfId="336"/>
    <cellStyle name="Currency 7 2 5" xfId="337"/>
    <cellStyle name="Currency 7 3" xfId="149"/>
    <cellStyle name="Currency 7 3 2" xfId="338"/>
    <cellStyle name="Currency 7 4" xfId="339"/>
    <cellStyle name="Currency 7 4 2" xfId="340"/>
    <cellStyle name="Currency 7 5" xfId="341"/>
    <cellStyle name="Currency 7 5 2" xfId="342"/>
    <cellStyle name="Currency 7 6" xfId="343"/>
    <cellStyle name="Currency 8" xfId="150"/>
    <cellStyle name="Currency 8 2" xfId="344"/>
    <cellStyle name="Currency 9" xfId="151"/>
    <cellStyle name="Currency_2010-11 Network Tariffs" xfId="6"/>
    <cellStyle name="Currency_2010-11 Network Tariffs 2" xfId="258"/>
    <cellStyle name="DateD-MMM-YYYY" xfId="152"/>
    <cellStyle name="DateMMM-YY" xfId="153"/>
    <cellStyle name="ErrorCheck" xfId="154"/>
    <cellStyle name="Explanatory Text 2" xfId="155"/>
    <cellStyle name="Explanatory Text 3" xfId="156"/>
    <cellStyle name="Forecast" xfId="157"/>
    <cellStyle name="ForecastCurrency" xfId="158"/>
    <cellStyle name="ForecastPercent" xfId="159"/>
    <cellStyle name="ForecastValue" xfId="160"/>
    <cellStyle name="Generic" xfId="161"/>
    <cellStyle name="GenericCurrency" xfId="162"/>
    <cellStyle name="GenericPercent" xfId="163"/>
    <cellStyle name="GenericValue" xfId="164"/>
    <cellStyle name="Good 2" xfId="165"/>
    <cellStyle name="Good 3" xfId="166"/>
    <cellStyle name="Greyed out" xfId="167"/>
    <cellStyle name="Heading 1 2" xfId="168"/>
    <cellStyle name="Heading 1 3" xfId="169"/>
    <cellStyle name="Heading 1 4" xfId="170"/>
    <cellStyle name="Heading 2 2" xfId="171"/>
    <cellStyle name="Heading 2 3" xfId="172"/>
    <cellStyle name="Heading 2 4" xfId="173"/>
    <cellStyle name="Heading 3 2" xfId="174"/>
    <cellStyle name="Heading 3 3" xfId="175"/>
    <cellStyle name="Heading 3 4" xfId="176"/>
    <cellStyle name="Heading 4 2" xfId="177"/>
    <cellStyle name="Heading 4 3" xfId="178"/>
    <cellStyle name="Heading 4 4" xfId="179"/>
    <cellStyle name="Heading1" xfId="180"/>
    <cellStyle name="Heading2" xfId="181"/>
    <cellStyle name="Heading3" xfId="182"/>
    <cellStyle name="Hyperlink" xfId="7" builtinId="8"/>
    <cellStyle name="Inconsistant formula" xfId="183"/>
    <cellStyle name="Input - Macro Pasted" xfId="184"/>
    <cellStyle name="Input - Manual" xfId="185"/>
    <cellStyle name="Input - Manual Data Dump" xfId="186"/>
    <cellStyle name="Input 2" xfId="187"/>
    <cellStyle name="Input 3" xfId="188"/>
    <cellStyle name="Input1" xfId="189"/>
    <cellStyle name="Input1 2" xfId="190"/>
    <cellStyle name="Input1 3" xfId="191"/>
    <cellStyle name="Input1 4" xfId="192"/>
    <cellStyle name="Input1 5" xfId="345"/>
    <cellStyle name="Input2" xfId="193"/>
    <cellStyle name="Input3" xfId="194"/>
    <cellStyle name="Linked Cell 2" xfId="195"/>
    <cellStyle name="Linked Cell 3" xfId="196"/>
    <cellStyle name="Named Range Label" xfId="197"/>
    <cellStyle name="Named Range_BuildITHelp" xfId="198"/>
    <cellStyle name="Neutral 2" xfId="199"/>
    <cellStyle name="Neutral 3" xfId="200"/>
    <cellStyle name="Normal" xfId="0" builtinId="0"/>
    <cellStyle name="Normal 10" xfId="201"/>
    <cellStyle name="Normal 10 2" xfId="261"/>
    <cellStyle name="Normal 11" xfId="346"/>
    <cellStyle name="Normal 114" xfId="202"/>
    <cellStyle name="Normal 12" xfId="259"/>
    <cellStyle name="Normal 13" xfId="5"/>
    <cellStyle name="Normal 14" xfId="400"/>
    <cellStyle name="Normal 15" xfId="404"/>
    <cellStyle name="Normal 2" xfId="1"/>
    <cellStyle name="Normal 2 2" xfId="203"/>
    <cellStyle name="Normal 2 2 2" xfId="8"/>
    <cellStyle name="Normal 2 3" xfId="204"/>
    <cellStyle name="Normal 2 3 2" xfId="347"/>
    <cellStyle name="Normal 2 3 2 2" xfId="348"/>
    <cellStyle name="Normal 2 3 3" xfId="349"/>
    <cellStyle name="Normal 2 3 3 2" xfId="350"/>
    <cellStyle name="Normal 2 3 4" xfId="351"/>
    <cellStyle name="Normal 3" xfId="205"/>
    <cellStyle name="Normal 3 2" xfId="206"/>
    <cellStyle name="Normal 3 3" xfId="207"/>
    <cellStyle name="Normal 3 3 2" xfId="208"/>
    <cellStyle name="Normal 3 3 2 2" xfId="352"/>
    <cellStyle name="Normal 3 3 3" xfId="353"/>
    <cellStyle name="Normal 3 3 3 2" xfId="354"/>
    <cellStyle name="Normal 3 3 4" xfId="355"/>
    <cellStyle name="Normal 3 4" xfId="209"/>
    <cellStyle name="Normal 3 4 2" xfId="356"/>
    <cellStyle name="Normal 4" xfId="210"/>
    <cellStyle name="Normal 4 2" xfId="211"/>
    <cellStyle name="Normal 4 3" xfId="357"/>
    <cellStyle name="Normal 4 4" xfId="358"/>
    <cellStyle name="Normal 4 4 2" xfId="359"/>
    <cellStyle name="Normal 4 4 2 2" xfId="360"/>
    <cellStyle name="Normal 4 4 3" xfId="361"/>
    <cellStyle name="Normal 4 4 3 2" xfId="362"/>
    <cellStyle name="Normal 4 4 4" xfId="363"/>
    <cellStyle name="Normal 5" xfId="212"/>
    <cellStyle name="Normal 5 2" xfId="2"/>
    <cellStyle name="Normal 5 2 2" xfId="364"/>
    <cellStyle name="Normal 5 2 2 3 2 2" xfId="365"/>
    <cellStyle name="Normal 5 2 2 3 2 2 2" xfId="366"/>
    <cellStyle name="Normal 5 2 2 3 2 2 2 2" xfId="367"/>
    <cellStyle name="Normal 5 2 2 3 2 2 3" xfId="368"/>
    <cellStyle name="Normal 5 2 2 3 2 2 3 2" xfId="369"/>
    <cellStyle name="Normal 5 2 2 3 2 2 4" xfId="370"/>
    <cellStyle name="Normal 5 2 3" xfId="371"/>
    <cellStyle name="Normal 5 2 3 2" xfId="372"/>
    <cellStyle name="Normal 5 2 4" xfId="373"/>
    <cellStyle name="Normal 5 2 4 2" xfId="374"/>
    <cellStyle name="Normal 5 2 5" xfId="375"/>
    <cellStyle name="Normal 5 3" xfId="213"/>
    <cellStyle name="Normal 5 3 2" xfId="376"/>
    <cellStyle name="Normal 5 4" xfId="377"/>
    <cellStyle name="Normal 6" xfId="214"/>
    <cellStyle name="Normal 6 2" xfId="378"/>
    <cellStyle name="Normal 7" xfId="215"/>
    <cellStyle name="Normal 8" xfId="216"/>
    <cellStyle name="Normal 9" xfId="217"/>
    <cellStyle name="Normal 9 2" xfId="218"/>
    <cellStyle name="Normal 9 2 2" xfId="379"/>
    <cellStyle name="Normal 9 3" xfId="380"/>
    <cellStyle name="Note 2" xfId="219"/>
    <cellStyle name="Note 3" xfId="220"/>
    <cellStyle name="Note 4" xfId="381"/>
    <cellStyle name="Output 2" xfId="221"/>
    <cellStyle name="Output 3" xfId="222"/>
    <cellStyle name="Output 4" xfId="223"/>
    <cellStyle name="PanelHeading" xfId="224"/>
    <cellStyle name="Pattern_SUMMARY (2)" xfId="225"/>
    <cellStyle name="Percent 2" xfId="226"/>
    <cellStyle name="Percent 2 2" xfId="227"/>
    <cellStyle name="Percent 2 2 2" xfId="382"/>
    <cellStyle name="Percent 2 2 2 2" xfId="383"/>
    <cellStyle name="Percent 2 2 2 2 2" xfId="384"/>
    <cellStyle name="Percent 2 2 2 3" xfId="385"/>
    <cellStyle name="Percent 2 2 2 3 2" xfId="386"/>
    <cellStyle name="Percent 2 2 2 4" xfId="387"/>
    <cellStyle name="Percent 2 3" xfId="228"/>
    <cellStyle name="Percent 2 3 2" xfId="229"/>
    <cellStyle name="Percent 2 3 2 2" xfId="388"/>
    <cellStyle name="Percent 2 3 3" xfId="389"/>
    <cellStyle name="Percent 2 3 3 2" xfId="390"/>
    <cellStyle name="Percent 2 3 4" xfId="391"/>
    <cellStyle name="Percent 2 4" xfId="230"/>
    <cellStyle name="Percent 2 4 2" xfId="392"/>
    <cellStyle name="Percent 3" xfId="231"/>
    <cellStyle name="Percent 3 2" xfId="393"/>
    <cellStyle name="Percent 4" xfId="232"/>
    <cellStyle name="Percent 5" xfId="233"/>
    <cellStyle name="Percent 6" xfId="234"/>
    <cellStyle name="Percent 6 2" xfId="394"/>
    <cellStyle name="Percent 7" xfId="235"/>
    <cellStyle name="Percent 7 2" xfId="395"/>
    <cellStyle name="Percent 8" xfId="401"/>
    <cellStyle name="Redaction A - Remove comments" xfId="396"/>
    <cellStyle name="Redaction A - Remove comments 2" xfId="397"/>
    <cellStyle name="Redaction A - supplementary notes" xfId="402"/>
    <cellStyle name="Redaction B - Calcs maintained" xfId="403"/>
    <cellStyle name="Redaction B - Maintain calculations" xfId="398"/>
    <cellStyle name="SheetHeader1" xfId="399"/>
    <cellStyle name="SheetHeading" xfId="236"/>
    <cellStyle name="SheetlHeading" xfId="237"/>
    <cellStyle name="Style 1" xfId="238"/>
    <cellStyle name="Style 1 2" xfId="239"/>
    <cellStyle name="Style 1 3" xfId="240"/>
    <cellStyle name="Style 1 4" xfId="241"/>
    <cellStyle name="TableLvl2" xfId="242"/>
    <cellStyle name="TableLvl3" xfId="243"/>
    <cellStyle name="Title - grey" xfId="244"/>
    <cellStyle name="Title 1" xfId="245"/>
    <cellStyle name="Title 2" xfId="246"/>
    <cellStyle name="Title 3" xfId="247"/>
    <cellStyle name="Title 4" xfId="248"/>
    <cellStyle name="Total - General" xfId="249"/>
    <cellStyle name="Total - Grand" xfId="250"/>
    <cellStyle name="Total - Sub" xfId="251"/>
    <cellStyle name="Total 2" xfId="252"/>
    <cellStyle name="Total 3" xfId="253"/>
    <cellStyle name="Total 4" xfId="254"/>
    <cellStyle name="Units" xfId="255"/>
    <cellStyle name="Warning Text 2" xfId="256"/>
    <cellStyle name="Warning Text 3" xfId="257"/>
  </cellStyles>
  <dxfs count="13">
    <dxf>
      <font>
        <b/>
        <i val="0"/>
        <condense val="0"/>
        <extend val="0"/>
        <color indexed="10"/>
      </font>
      <fill>
        <patternFill>
          <bgColor indexed="13"/>
        </patternFill>
      </fill>
    </dxf>
    <dxf>
      <font>
        <b/>
        <i val="0"/>
        <condense val="0"/>
        <extend val="0"/>
        <color indexed="10"/>
      </font>
      <fill>
        <patternFill>
          <bgColor indexed="13"/>
        </patternFill>
      </fill>
    </dxf>
    <dxf>
      <font>
        <b/>
        <i val="0"/>
        <condense val="0"/>
        <extend val="0"/>
        <color indexed="10"/>
      </font>
      <fill>
        <patternFill>
          <bgColor indexed="13"/>
        </patternFill>
      </fill>
    </dxf>
    <dxf>
      <font>
        <b/>
        <i val="0"/>
        <condense val="0"/>
        <extend val="0"/>
        <color indexed="10"/>
      </font>
      <fill>
        <patternFill>
          <bgColor indexed="13"/>
        </patternFill>
      </fill>
    </dxf>
    <dxf>
      <font>
        <b/>
        <i val="0"/>
        <condense val="0"/>
        <extend val="0"/>
        <color indexed="10"/>
      </font>
      <fill>
        <patternFill>
          <bgColor indexed="13"/>
        </patternFill>
      </fill>
    </dxf>
    <dxf>
      <font>
        <b/>
        <i val="0"/>
        <condense val="0"/>
        <extend val="0"/>
        <color indexed="10"/>
      </font>
      <fill>
        <patternFill>
          <bgColor indexed="13"/>
        </patternFill>
      </fill>
    </dxf>
    <dxf>
      <font>
        <b/>
        <i val="0"/>
        <condense val="0"/>
        <extend val="0"/>
        <color indexed="10"/>
      </font>
      <fill>
        <patternFill>
          <bgColor indexed="13"/>
        </patternFill>
      </fill>
    </dxf>
    <dxf>
      <font>
        <b/>
        <i val="0"/>
        <condense val="0"/>
        <extend val="0"/>
        <color indexed="10"/>
      </font>
      <fill>
        <patternFill>
          <bgColor indexed="13"/>
        </patternFill>
      </fill>
    </dxf>
    <dxf>
      <font>
        <b/>
        <i val="0"/>
        <condense val="0"/>
        <extend val="0"/>
        <color indexed="10"/>
      </font>
      <fill>
        <patternFill>
          <bgColor indexed="13"/>
        </patternFill>
      </fill>
    </dxf>
    <dxf>
      <font>
        <b/>
        <i val="0"/>
        <condense val="0"/>
        <extend val="0"/>
        <color indexed="10"/>
      </font>
      <fill>
        <patternFill>
          <bgColor indexed="13"/>
        </patternFill>
      </fill>
    </dxf>
    <dxf>
      <font>
        <b/>
        <i val="0"/>
        <condense val="0"/>
        <extend val="0"/>
        <color indexed="10"/>
      </font>
      <fill>
        <patternFill>
          <bgColor indexed="13"/>
        </patternFill>
      </fill>
    </dxf>
    <dxf>
      <font>
        <b/>
        <i val="0"/>
        <condense val="0"/>
        <extend val="0"/>
        <color indexed="10"/>
      </font>
      <fill>
        <patternFill>
          <bgColor indexed="13"/>
        </patternFill>
      </fill>
    </dxf>
    <dxf>
      <font>
        <b/>
        <i val="0"/>
        <condense val="0"/>
        <extend val="0"/>
        <color indexed="10"/>
      </font>
      <fill>
        <patternFill>
          <bgColor indexed="13"/>
        </patternFill>
      </fill>
    </dxf>
  </dxfs>
  <tableStyles count="0" defaultTableStyle="TableStyleMedium2" defaultPivotStyle="PivotStyleLight16"/>
  <colors>
    <mruColors>
      <color rgb="FFA3DBE8"/>
      <color rgb="FFFFFF9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1" Type="http://schemas.openxmlformats.org/officeDocument/2006/relationships/image" Target="../media/image4.jpeg"/></Relationships>
</file>

<file path=xl/drawings/_rels/drawing7.xml.rels><?xml version="1.0" encoding="UTF-8" standalone="yes"?>
<Relationships xmlns="http://schemas.openxmlformats.org/package/2006/relationships"><Relationship Id="rId1" Type="http://schemas.openxmlformats.org/officeDocument/2006/relationships/image" Target="../media/image4.jpeg"/></Relationships>
</file>

<file path=xl/drawings/_rels/drawing8.xml.rels><?xml version="1.0" encoding="UTF-8" standalone="yes"?>
<Relationships xmlns="http://schemas.openxmlformats.org/package/2006/relationships"><Relationship Id="rId1" Type="http://schemas.openxmlformats.org/officeDocument/2006/relationships/image" Target="../media/image6.jpeg"/></Relationships>
</file>

<file path=xl/drawings/_rels/drawing9.xml.rels><?xml version="1.0" encoding="UTF-8" standalone="yes"?>
<Relationships xmlns="http://schemas.openxmlformats.org/package/2006/relationships"><Relationship Id="rId1"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editAs="oneCell">
    <xdr:from>
      <xdr:col>2</xdr:col>
      <xdr:colOff>47626</xdr:colOff>
      <xdr:row>0</xdr:row>
      <xdr:rowOff>23813</xdr:rowOff>
    </xdr:from>
    <xdr:to>
      <xdr:col>2</xdr:col>
      <xdr:colOff>1028701</xdr:colOff>
      <xdr:row>5</xdr:row>
      <xdr:rowOff>178277</xdr:rowOff>
    </xdr:to>
    <xdr:pic>
      <xdr:nvPicPr>
        <xdr:cNvPr id="2" name="Picture 1">
          <a:extLst>
            <a:ext uri="{FF2B5EF4-FFF2-40B4-BE49-F238E27FC236}">
              <a16:creationId xmlns="" xmlns:a16="http://schemas.microsoft.com/office/drawing/2014/main" id="{00000000-0008-0000-1200-000002000000}"/>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r="75678"/>
        <a:stretch/>
      </xdr:blipFill>
      <xdr:spPr bwMode="auto">
        <a:xfrm>
          <a:off x="547689" y="23813"/>
          <a:ext cx="981075" cy="1166495"/>
        </a:xfrm>
        <a:prstGeom prst="rect">
          <a:avLst/>
        </a:prstGeom>
        <a:ln>
          <a:noFill/>
        </a:ln>
        <a:extLst>
          <a:ext uri="{53640926-AAD7-44D8-BBD7-CCE9431645EC}">
            <a14:shadowObscured xmlns:a14="http://schemas.microsoft.com/office/drawing/2010/main"/>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23812</xdr:colOff>
      <xdr:row>0</xdr:row>
      <xdr:rowOff>23813</xdr:rowOff>
    </xdr:from>
    <xdr:to>
      <xdr:col>2</xdr:col>
      <xdr:colOff>1004887</xdr:colOff>
      <xdr:row>5</xdr:row>
      <xdr:rowOff>178277</xdr:rowOff>
    </xdr:to>
    <xdr:pic>
      <xdr:nvPicPr>
        <xdr:cNvPr id="2" name="Picture 1">
          <a:extLst>
            <a:ext uri="{FF2B5EF4-FFF2-40B4-BE49-F238E27FC236}">
              <a16:creationId xmlns="" xmlns:a16="http://schemas.microsoft.com/office/drawing/2014/main" id="{00000000-0008-0000-1300-000002000000}"/>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r="75678"/>
        <a:stretch/>
      </xdr:blipFill>
      <xdr:spPr bwMode="auto">
        <a:xfrm>
          <a:off x="523875" y="23813"/>
          <a:ext cx="981075" cy="1166495"/>
        </a:xfrm>
        <a:prstGeom prst="rect">
          <a:avLst/>
        </a:prstGeom>
        <a:ln>
          <a:noFill/>
        </a:ln>
        <a:extLst>
          <a:ext uri="{53640926-AAD7-44D8-BBD7-CCE9431645EC}">
            <a14:shadowObscured xmlns:a14="http://schemas.microsoft.com/office/drawing/2010/main"/>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23814</xdr:colOff>
      <xdr:row>0</xdr:row>
      <xdr:rowOff>23815</xdr:rowOff>
    </xdr:from>
    <xdr:to>
      <xdr:col>2</xdr:col>
      <xdr:colOff>1004889</xdr:colOff>
      <xdr:row>5</xdr:row>
      <xdr:rowOff>190185</xdr:rowOff>
    </xdr:to>
    <xdr:pic>
      <xdr:nvPicPr>
        <xdr:cNvPr id="2" name="Picture 1">
          <a:extLst>
            <a:ext uri="{FF2B5EF4-FFF2-40B4-BE49-F238E27FC236}">
              <a16:creationId xmlns="" xmlns:a16="http://schemas.microsoft.com/office/drawing/2014/main" id="{00000000-0008-0000-1400-000002000000}"/>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r="75678"/>
        <a:stretch/>
      </xdr:blipFill>
      <xdr:spPr bwMode="auto">
        <a:xfrm>
          <a:off x="519114" y="23815"/>
          <a:ext cx="981075" cy="1166495"/>
        </a:xfrm>
        <a:prstGeom prst="rect">
          <a:avLst/>
        </a:prstGeom>
        <a:ln>
          <a:noFill/>
        </a:ln>
        <a:extLst>
          <a:ext uri="{53640926-AAD7-44D8-BBD7-CCE9431645EC}">
            <a14:shadowObscured xmlns:a14="http://schemas.microsoft.com/office/drawing/2010/main"/>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23813</xdr:colOff>
      <xdr:row>0</xdr:row>
      <xdr:rowOff>11908</xdr:rowOff>
    </xdr:from>
    <xdr:to>
      <xdr:col>2</xdr:col>
      <xdr:colOff>1004888</xdr:colOff>
      <xdr:row>5</xdr:row>
      <xdr:rowOff>154465</xdr:rowOff>
    </xdr:to>
    <xdr:pic>
      <xdr:nvPicPr>
        <xdr:cNvPr id="2" name="Picture 1">
          <a:extLst>
            <a:ext uri="{FF2B5EF4-FFF2-40B4-BE49-F238E27FC236}">
              <a16:creationId xmlns="" xmlns:a16="http://schemas.microsoft.com/office/drawing/2014/main" id="{00000000-0008-0000-1500-000002000000}"/>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r="75678"/>
        <a:stretch/>
      </xdr:blipFill>
      <xdr:spPr bwMode="auto">
        <a:xfrm>
          <a:off x="523876" y="11908"/>
          <a:ext cx="981075" cy="1166495"/>
        </a:xfrm>
        <a:prstGeom prst="rect">
          <a:avLst/>
        </a:prstGeom>
        <a:ln>
          <a:noFill/>
        </a:ln>
        <a:extLst>
          <a:ext uri="{53640926-AAD7-44D8-BBD7-CCE9431645EC}">
            <a14:shadowObscured xmlns:a14="http://schemas.microsoft.com/office/drawing/2010/main"/>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47626</xdr:colOff>
      <xdr:row>0</xdr:row>
      <xdr:rowOff>0</xdr:rowOff>
    </xdr:from>
    <xdr:to>
      <xdr:col>2</xdr:col>
      <xdr:colOff>1028701</xdr:colOff>
      <xdr:row>5</xdr:row>
      <xdr:rowOff>159226</xdr:rowOff>
    </xdr:to>
    <xdr:pic>
      <xdr:nvPicPr>
        <xdr:cNvPr id="2" name="Picture 1">
          <a:extLst>
            <a:ext uri="{FF2B5EF4-FFF2-40B4-BE49-F238E27FC236}">
              <a16:creationId xmlns="" xmlns:a16="http://schemas.microsoft.com/office/drawing/2014/main" id="{00000000-0008-0000-1600-000005000000}"/>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r="75678"/>
        <a:stretch/>
      </xdr:blipFill>
      <xdr:spPr bwMode="auto">
        <a:xfrm>
          <a:off x="542926" y="0"/>
          <a:ext cx="981075" cy="1140301"/>
        </a:xfrm>
        <a:prstGeom prst="rect">
          <a:avLst/>
        </a:prstGeom>
        <a:ln>
          <a:noFill/>
        </a:ln>
        <a:extLst>
          <a:ext uri="{53640926-AAD7-44D8-BBD7-CCE9431645EC}">
            <a14:shadowObscured xmlns:a14="http://schemas.microsoft.com/office/drawing/2010/main"/>
          </a:ext>
        </a:extLst>
      </xdr:spPr>
    </xdr:pic>
    <xdr:clientData/>
  </xdr:twoCellAnchor>
  <xdr:twoCellAnchor editAs="oneCell">
    <xdr:from>
      <xdr:col>2</xdr:col>
      <xdr:colOff>47626</xdr:colOff>
      <xdr:row>0</xdr:row>
      <xdr:rowOff>0</xdr:rowOff>
    </xdr:from>
    <xdr:to>
      <xdr:col>2</xdr:col>
      <xdr:colOff>1028701</xdr:colOff>
      <xdr:row>5</xdr:row>
      <xdr:rowOff>159226</xdr:rowOff>
    </xdr:to>
    <xdr:pic>
      <xdr:nvPicPr>
        <xdr:cNvPr id="3" name="Picture 2">
          <a:extLst>
            <a:ext uri="{FF2B5EF4-FFF2-40B4-BE49-F238E27FC236}">
              <a16:creationId xmlns="" xmlns:a16="http://schemas.microsoft.com/office/drawing/2014/main" id="{00000000-0008-0000-1600-000005000000}"/>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r="75678"/>
        <a:stretch/>
      </xdr:blipFill>
      <xdr:spPr bwMode="auto">
        <a:xfrm>
          <a:off x="542926" y="0"/>
          <a:ext cx="981075" cy="1140301"/>
        </a:xfrm>
        <a:prstGeom prst="rect">
          <a:avLst/>
        </a:prstGeom>
        <a:ln>
          <a:noFill/>
        </a:ln>
        <a:extLst>
          <a:ext uri="{53640926-AAD7-44D8-BBD7-CCE9431645EC}">
            <a14:shadowObscured xmlns:a14="http://schemas.microsoft.com/office/drawing/2010/main"/>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3</xdr:col>
      <xdr:colOff>135732</xdr:colOff>
      <xdr:row>5</xdr:row>
      <xdr:rowOff>71120</xdr:rowOff>
    </xdr:to>
    <xdr:pic>
      <xdr:nvPicPr>
        <xdr:cNvPr id="2" name="Picture 1">
          <a:extLst>
            <a:ext uri="{FF2B5EF4-FFF2-40B4-BE49-F238E27FC236}">
              <a16:creationId xmlns="" xmlns:a16="http://schemas.microsoft.com/office/drawing/2014/main" id="{00000000-0008-0000-1500-000002000000}"/>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r="75678"/>
        <a:stretch/>
      </xdr:blipFill>
      <xdr:spPr bwMode="auto">
        <a:xfrm>
          <a:off x="500063" y="0"/>
          <a:ext cx="981075" cy="1166495"/>
        </a:xfrm>
        <a:prstGeom prst="rect">
          <a:avLst/>
        </a:prstGeom>
        <a:ln>
          <a:noFill/>
        </a:ln>
        <a:extLst>
          <a:ext uri="{53640926-AAD7-44D8-BBD7-CCE9431645EC}">
            <a14:shadowObscured xmlns:a14="http://schemas.microsoft.com/office/drawing/2010/main"/>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2</xdr:col>
      <xdr:colOff>981075</xdr:colOff>
      <xdr:row>5</xdr:row>
      <xdr:rowOff>178276</xdr:rowOff>
    </xdr:to>
    <xdr:pic>
      <xdr:nvPicPr>
        <xdr:cNvPr id="2" name="Picture 1">
          <a:extLst>
            <a:ext uri="{FF2B5EF4-FFF2-40B4-BE49-F238E27FC236}">
              <a16:creationId xmlns="" xmlns:a16="http://schemas.microsoft.com/office/drawing/2014/main" id="{00000000-0008-0000-1500-000002000000}"/>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r="75678"/>
        <a:stretch/>
      </xdr:blipFill>
      <xdr:spPr bwMode="auto">
        <a:xfrm>
          <a:off x="583406" y="0"/>
          <a:ext cx="981075" cy="1166495"/>
        </a:xfrm>
        <a:prstGeom prst="rect">
          <a:avLst/>
        </a:prstGeom>
        <a:ln>
          <a:noFill/>
        </a:ln>
        <a:extLst>
          <a:ext uri="{53640926-AAD7-44D8-BBD7-CCE9431645EC}">
            <a14:shadowObscured xmlns:a14="http://schemas.microsoft.com/office/drawing/2010/main"/>
          </a:ext>
        </a:extLst>
      </xdr:spPr>
    </xdr:pic>
    <xdr:clientData/>
  </xdr:twoCellAnchor>
</xdr:wsDr>
</file>

<file path=xl/drawings/drawing8.xml><?xml version="1.0" encoding="utf-8"?>
<xdr:wsDr xmlns:xdr="http://schemas.openxmlformats.org/drawingml/2006/spreadsheetDrawing" xmlns:a="http://schemas.openxmlformats.org/drawingml/2006/main">
  <xdr:oneCellAnchor>
    <xdr:from>
      <xdr:col>1</xdr:col>
      <xdr:colOff>284351</xdr:colOff>
      <xdr:row>0</xdr:row>
      <xdr:rowOff>133770</xdr:rowOff>
    </xdr:from>
    <xdr:ext cx="1266264" cy="1610144"/>
    <xdr:pic>
      <xdr:nvPicPr>
        <xdr:cNvPr id="2" name="Picture 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r="75678"/>
        <a:stretch/>
      </xdr:blipFill>
      <xdr:spPr bwMode="auto">
        <a:xfrm>
          <a:off x="676557" y="133770"/>
          <a:ext cx="1266264" cy="1610144"/>
        </a:xfrm>
        <a:prstGeom prst="rect">
          <a:avLst/>
        </a:prstGeom>
        <a:ln>
          <a:noFill/>
        </a:ln>
        <a:extLst>
          <a:ext uri="{53640926-AAD7-44D8-BBD7-CCE9431645EC}">
            <a14:shadowObscured xmlns:a14="http://schemas.microsoft.com/office/drawing/2010/main"/>
          </a:ext>
        </a:extLst>
      </xdr:spPr>
    </xdr:pic>
    <xdr:clientData/>
  </xdr:oneCellAnchor>
</xdr:wsDr>
</file>

<file path=xl/drawings/drawing9.xml><?xml version="1.0" encoding="utf-8"?>
<xdr:wsDr xmlns:xdr="http://schemas.openxmlformats.org/drawingml/2006/spreadsheetDrawing" xmlns:a="http://schemas.openxmlformats.org/drawingml/2006/main">
  <xdr:twoCellAnchor editAs="oneCell">
    <xdr:from>
      <xdr:col>1</xdr:col>
      <xdr:colOff>47626</xdr:colOff>
      <xdr:row>0</xdr:row>
      <xdr:rowOff>0</xdr:rowOff>
    </xdr:from>
    <xdr:to>
      <xdr:col>1</xdr:col>
      <xdr:colOff>1028701</xdr:colOff>
      <xdr:row>6</xdr:row>
      <xdr:rowOff>47307</xdr:rowOff>
    </xdr:to>
    <xdr:pic>
      <xdr:nvPicPr>
        <xdr:cNvPr id="2" name="Picture 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r="75678"/>
        <a:stretch/>
      </xdr:blipFill>
      <xdr:spPr bwMode="auto">
        <a:xfrm>
          <a:off x="657226" y="0"/>
          <a:ext cx="981075" cy="1152207"/>
        </a:xfrm>
        <a:prstGeom prst="rect">
          <a:avLst/>
        </a:prstGeom>
        <a:ln>
          <a:noFill/>
        </a:ln>
        <a:extLst>
          <a:ext uri="{53640926-AAD7-44D8-BBD7-CCE9431645EC}">
            <a14:shadowObscured xmlns:a14="http://schemas.microsoft.com/office/drawing/2010/main"/>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ergon.com.au/networktariffs" TargetMode="External"/><Relationship Id="rId1" Type="http://schemas.openxmlformats.org/officeDocument/2006/relationships/hyperlink" Target="http://www.ergon.com.au/networktariffs"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www.ergon.com.au/networktariffs" TargetMode="External"/><Relationship Id="rId1" Type="http://schemas.openxmlformats.org/officeDocument/2006/relationships/hyperlink" Target="http://www.ergon.com.au/networktariffs"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hyperlink" Target="http://www.ergon.com.au/networktariffs" TargetMode="External"/><Relationship Id="rId7" Type="http://schemas.openxmlformats.org/officeDocument/2006/relationships/drawing" Target="../drawings/drawing3.xml"/><Relationship Id="rId2" Type="http://schemas.openxmlformats.org/officeDocument/2006/relationships/hyperlink" Target="http://www.ergon.com.au/networktariffs" TargetMode="External"/><Relationship Id="rId1" Type="http://schemas.openxmlformats.org/officeDocument/2006/relationships/hyperlink" Target="http://www.ergon.com.au/networktariffs" TargetMode="External"/><Relationship Id="rId6" Type="http://schemas.openxmlformats.org/officeDocument/2006/relationships/printerSettings" Target="../printerSettings/printerSettings3.bin"/><Relationship Id="rId5" Type="http://schemas.openxmlformats.org/officeDocument/2006/relationships/hyperlink" Target="http://www.ergon.com.au/networktariffs" TargetMode="External"/><Relationship Id="rId4" Type="http://schemas.openxmlformats.org/officeDocument/2006/relationships/hyperlink" Target="http://www.ergon.com.au/networktariffs"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www.ergon.com.au/networktariffs"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11">
    <pageSetUpPr fitToPage="1"/>
  </sheetPr>
  <dimension ref="A1:S274"/>
  <sheetViews>
    <sheetView zoomScale="80" zoomScaleNormal="80" workbookViewId="0"/>
  </sheetViews>
  <sheetFormatPr defaultColWidth="9.140625" defaultRowHeight="12.75" x14ac:dyDescent="0.2"/>
  <cols>
    <col min="1" max="2" width="3.7109375" style="536" customWidth="1"/>
    <col min="3" max="3" width="25.28515625" style="536" customWidth="1"/>
    <col min="4" max="4" width="45.7109375" style="536" customWidth="1"/>
    <col min="5" max="5" width="15" style="537" customWidth="1"/>
    <col min="6" max="6" width="6.7109375" style="536" customWidth="1"/>
    <col min="7" max="7" width="6.7109375" style="538" customWidth="1"/>
    <col min="8" max="8" width="12.7109375" style="538" customWidth="1"/>
    <col min="9" max="9" width="12.7109375" style="539" customWidth="1"/>
    <col min="10" max="10" width="12.7109375" style="536" customWidth="1"/>
    <col min="11" max="11" width="14.7109375" style="536" customWidth="1"/>
    <col min="12" max="12" width="12.7109375" style="536" customWidth="1"/>
    <col min="13" max="13" width="14.7109375" style="536" customWidth="1"/>
    <col min="14" max="18" width="12.7109375" style="536" customWidth="1"/>
    <col min="19" max="19" width="5.140625" style="536" customWidth="1"/>
    <col min="20" max="16384" width="9.140625" style="491"/>
  </cols>
  <sheetData>
    <row r="1" spans="1:19" x14ac:dyDescent="0.2">
      <c r="A1" s="7"/>
      <c r="B1" s="7"/>
      <c r="C1" s="7"/>
      <c r="D1" s="7"/>
      <c r="E1" s="7"/>
      <c r="F1" s="7"/>
      <c r="G1" s="7"/>
      <c r="H1" s="7"/>
      <c r="I1" s="7"/>
      <c r="J1" s="7"/>
      <c r="K1" s="7"/>
      <c r="L1" s="7"/>
      <c r="M1" s="7"/>
      <c r="N1" s="7"/>
      <c r="O1" s="7"/>
      <c r="P1" s="7"/>
      <c r="Q1" s="7"/>
      <c r="R1" s="7"/>
      <c r="S1" s="490"/>
    </row>
    <row r="2" spans="1:19" x14ac:dyDescent="0.2">
      <c r="A2" s="492"/>
      <c r="B2" s="491"/>
      <c r="C2" s="493"/>
      <c r="D2" s="493"/>
      <c r="E2" s="493"/>
      <c r="F2" s="493"/>
      <c r="G2" s="493"/>
      <c r="H2" s="493"/>
      <c r="I2" s="493"/>
      <c r="J2" s="493"/>
      <c r="K2" s="491"/>
      <c r="L2" s="491"/>
      <c r="M2" s="491"/>
      <c r="N2" s="491"/>
      <c r="O2" s="491"/>
      <c r="P2" s="491"/>
      <c r="Q2" s="491"/>
      <c r="R2" s="491"/>
      <c r="S2" s="491"/>
    </row>
    <row r="3" spans="1:19" ht="18" x14ac:dyDescent="0.2">
      <c r="A3" s="492"/>
      <c r="B3" s="491"/>
      <c r="C3" s="4" t="s">
        <v>23</v>
      </c>
      <c r="D3" s="490"/>
      <c r="E3" s="494"/>
      <c r="F3" s="494"/>
      <c r="G3" s="494"/>
      <c r="H3" s="494"/>
      <c r="I3" s="494"/>
      <c r="J3" s="494"/>
      <c r="K3" s="494"/>
      <c r="L3" s="494"/>
      <c r="M3" s="494"/>
      <c r="N3" s="494"/>
      <c r="O3" s="494"/>
      <c r="P3" s="494"/>
      <c r="Q3" s="494"/>
      <c r="R3" s="494"/>
      <c r="S3" s="494"/>
    </row>
    <row r="4" spans="1:19" ht="18" x14ac:dyDescent="0.2">
      <c r="A4" s="492"/>
      <c r="B4" s="491"/>
      <c r="C4" s="5" t="s">
        <v>1638</v>
      </c>
      <c r="D4" s="490"/>
      <c r="E4" s="494"/>
      <c r="F4" s="494"/>
      <c r="G4" s="494"/>
      <c r="H4" s="494"/>
      <c r="I4" s="494"/>
      <c r="J4" s="494"/>
      <c r="K4" s="494"/>
      <c r="L4" s="494"/>
      <c r="M4" s="494"/>
      <c r="N4" s="494"/>
      <c r="O4" s="494"/>
      <c r="P4" s="494"/>
      <c r="Q4" s="494"/>
      <c r="R4" s="494"/>
      <c r="S4" s="494"/>
    </row>
    <row r="5" spans="1:19" s="490" customFormat="1" ht="18" customHeight="1" x14ac:dyDescent="0.2">
      <c r="C5" s="593"/>
      <c r="D5" s="593"/>
      <c r="E5" s="593"/>
      <c r="F5" s="593"/>
      <c r="G5" s="593"/>
      <c r="H5" s="593"/>
      <c r="I5" s="593"/>
      <c r="J5" s="593"/>
      <c r="K5" s="593"/>
      <c r="L5" s="593"/>
      <c r="M5" s="593"/>
      <c r="N5" s="593"/>
      <c r="O5" s="593"/>
      <c r="P5" s="593"/>
      <c r="Q5" s="593"/>
      <c r="R5" s="593"/>
      <c r="S5" s="593"/>
    </row>
    <row r="6" spans="1:19" s="490" customFormat="1" ht="18" customHeight="1" x14ac:dyDescent="0.2">
      <c r="C6" s="593"/>
      <c r="D6" s="593"/>
      <c r="E6" s="593"/>
      <c r="F6" s="593"/>
      <c r="G6" s="593"/>
      <c r="H6" s="593"/>
      <c r="I6" s="593"/>
      <c r="J6" s="593"/>
      <c r="K6" s="593"/>
      <c r="L6" s="593"/>
      <c r="M6" s="593"/>
      <c r="N6" s="593"/>
      <c r="O6" s="593"/>
      <c r="P6" s="593"/>
      <c r="Q6" s="593"/>
      <c r="R6" s="593"/>
      <c r="S6" s="593"/>
    </row>
    <row r="7" spans="1:19" ht="15" customHeight="1" x14ac:dyDescent="0.25">
      <c r="A7" s="2"/>
      <c r="B7" s="495"/>
      <c r="C7" s="683" t="s">
        <v>1637</v>
      </c>
      <c r="D7" s="684"/>
      <c r="E7" s="684"/>
      <c r="F7" s="684"/>
      <c r="G7" s="684"/>
      <c r="H7" s="684"/>
      <c r="I7" s="684"/>
      <c r="J7" s="684"/>
      <c r="K7" s="684"/>
      <c r="L7" s="684"/>
      <c r="M7" s="684"/>
      <c r="N7" s="684"/>
      <c r="O7" s="684"/>
      <c r="P7" s="684"/>
      <c r="Q7" s="684"/>
      <c r="R7" s="685"/>
      <c r="S7" s="490"/>
    </row>
    <row r="8" spans="1:19" ht="41.25" customHeight="1" x14ac:dyDescent="0.25">
      <c r="A8" s="2"/>
      <c r="B8" s="495"/>
      <c r="C8" s="686" t="s">
        <v>1635</v>
      </c>
      <c r="D8" s="687"/>
      <c r="E8" s="687"/>
      <c r="F8" s="687"/>
      <c r="G8" s="687"/>
      <c r="H8" s="687"/>
      <c r="I8" s="687"/>
      <c r="J8" s="687"/>
      <c r="K8" s="687"/>
      <c r="L8" s="687"/>
      <c r="M8" s="687"/>
      <c r="N8" s="687"/>
      <c r="O8" s="687"/>
      <c r="P8" s="687"/>
      <c r="Q8" s="687"/>
      <c r="R8" s="688"/>
      <c r="S8" s="490"/>
    </row>
    <row r="9" spans="1:19" ht="30" customHeight="1" x14ac:dyDescent="0.25">
      <c r="A9" s="2"/>
      <c r="B9" s="495"/>
      <c r="C9" s="689" t="s">
        <v>24</v>
      </c>
      <c r="D9" s="689" t="s">
        <v>25</v>
      </c>
      <c r="E9" s="689" t="s">
        <v>2</v>
      </c>
      <c r="F9" s="716" t="s">
        <v>26</v>
      </c>
      <c r="G9" s="693"/>
      <c r="H9" s="698" t="s">
        <v>27</v>
      </c>
      <c r="I9" s="699"/>
      <c r="J9" s="699"/>
      <c r="K9" s="699"/>
      <c r="L9" s="699"/>
      <c r="M9" s="700"/>
      <c r="N9" s="701" t="s">
        <v>28</v>
      </c>
      <c r="O9" s="702"/>
      <c r="P9" s="703"/>
      <c r="Q9" s="704" t="s">
        <v>29</v>
      </c>
      <c r="R9" s="705"/>
      <c r="S9" s="490"/>
    </row>
    <row r="10" spans="1:19" ht="30" customHeight="1" x14ac:dyDescent="0.25">
      <c r="A10" s="2"/>
      <c r="B10" s="495"/>
      <c r="C10" s="690"/>
      <c r="D10" s="690"/>
      <c r="E10" s="690"/>
      <c r="F10" s="717"/>
      <c r="G10" s="695"/>
      <c r="H10" s="679" t="s">
        <v>17</v>
      </c>
      <c r="I10" s="679" t="s">
        <v>3</v>
      </c>
      <c r="J10" s="679" t="s">
        <v>4</v>
      </c>
      <c r="K10" s="679" t="s">
        <v>5</v>
      </c>
      <c r="L10" s="679" t="s">
        <v>6</v>
      </c>
      <c r="M10" s="679" t="s">
        <v>30</v>
      </c>
      <c r="N10" s="706" t="s">
        <v>8</v>
      </c>
      <c r="O10" s="706" t="s">
        <v>31</v>
      </c>
      <c r="P10" s="706" t="s">
        <v>10</v>
      </c>
      <c r="Q10" s="708" t="s">
        <v>32</v>
      </c>
      <c r="R10" s="708" t="s">
        <v>33</v>
      </c>
      <c r="S10" s="499"/>
    </row>
    <row r="11" spans="1:19" ht="30" customHeight="1" x14ac:dyDescent="0.25">
      <c r="A11" s="2"/>
      <c r="B11" s="495"/>
      <c r="C11" s="690"/>
      <c r="D11" s="690"/>
      <c r="E11" s="690"/>
      <c r="F11" s="718"/>
      <c r="G11" s="697"/>
      <c r="H11" s="680"/>
      <c r="I11" s="680"/>
      <c r="J11" s="680"/>
      <c r="K11" s="680"/>
      <c r="L11" s="680"/>
      <c r="M11" s="680"/>
      <c r="N11" s="707"/>
      <c r="O11" s="707"/>
      <c r="P11" s="707"/>
      <c r="Q11" s="709"/>
      <c r="R11" s="709"/>
      <c r="S11" s="490"/>
    </row>
    <row r="12" spans="1:19" ht="40.15" customHeight="1" x14ac:dyDescent="0.25">
      <c r="A12" s="2"/>
      <c r="B12" s="495"/>
      <c r="C12" s="691"/>
      <c r="D12" s="691"/>
      <c r="E12" s="691"/>
      <c r="F12" s="500" t="s">
        <v>11</v>
      </c>
      <c r="G12" s="500" t="s">
        <v>12</v>
      </c>
      <c r="H12" s="13" t="s">
        <v>34</v>
      </c>
      <c r="I12" s="13" t="s">
        <v>13</v>
      </c>
      <c r="J12" s="13" t="s">
        <v>14</v>
      </c>
      <c r="K12" s="13" t="s">
        <v>15</v>
      </c>
      <c r="L12" s="501" t="s">
        <v>16</v>
      </c>
      <c r="M12" s="15" t="s">
        <v>21</v>
      </c>
      <c r="N12" s="16" t="s">
        <v>13</v>
      </c>
      <c r="O12" s="16" t="s">
        <v>14</v>
      </c>
      <c r="P12" s="502" t="s">
        <v>16</v>
      </c>
      <c r="Q12" s="17" t="s">
        <v>13</v>
      </c>
      <c r="R12" s="18" t="s">
        <v>16</v>
      </c>
      <c r="S12" s="490"/>
    </row>
    <row r="13" spans="1:19" ht="12.75" customHeight="1" x14ac:dyDescent="0.2">
      <c r="A13" s="490"/>
      <c r="B13" s="503"/>
      <c r="C13" s="665" t="s">
        <v>35</v>
      </c>
      <c r="D13" s="504" t="s">
        <v>36</v>
      </c>
      <c r="E13" s="19" t="s">
        <v>37</v>
      </c>
      <c r="F13" s="710" t="s">
        <v>38</v>
      </c>
      <c r="G13" s="711"/>
      <c r="H13" s="20">
        <v>9.2089999999999996</v>
      </c>
      <c r="I13" s="20">
        <v>121.2</v>
      </c>
      <c r="J13" s="20">
        <v>3.2829999999999999</v>
      </c>
      <c r="K13" s="20">
        <v>2.3879999999999999</v>
      </c>
      <c r="L13" s="21">
        <v>4.2100000000000002E-3</v>
      </c>
      <c r="M13" s="20">
        <v>4</v>
      </c>
      <c r="N13" s="20">
        <v>98.459000000000003</v>
      </c>
      <c r="O13" s="20">
        <v>0.64600000000000002</v>
      </c>
      <c r="P13" s="21">
        <v>8.7399999999999995E-3</v>
      </c>
      <c r="Q13" s="20">
        <v>0</v>
      </c>
      <c r="R13" s="21">
        <v>0</v>
      </c>
      <c r="S13" s="490"/>
    </row>
    <row r="14" spans="1:19" ht="12.75" customHeight="1" x14ac:dyDescent="0.2">
      <c r="A14" s="490"/>
      <c r="B14" s="503"/>
      <c r="C14" s="666"/>
      <c r="D14" s="505" t="s">
        <v>39</v>
      </c>
      <c r="E14" s="22" t="s">
        <v>40</v>
      </c>
      <c r="F14" s="712" t="s">
        <v>38</v>
      </c>
      <c r="G14" s="713"/>
      <c r="H14" s="23">
        <v>9.2089999999999996</v>
      </c>
      <c r="I14" s="23">
        <v>121.2</v>
      </c>
      <c r="J14" s="23">
        <v>3.2829999999999999</v>
      </c>
      <c r="K14" s="23">
        <v>2.3879999999999999</v>
      </c>
      <c r="L14" s="24">
        <v>4.2100000000000002E-3</v>
      </c>
      <c r="M14" s="23">
        <v>4</v>
      </c>
      <c r="N14" s="23">
        <v>73.224999999999994</v>
      </c>
      <c r="O14" s="23">
        <v>1.431</v>
      </c>
      <c r="P14" s="24">
        <v>1.025E-2</v>
      </c>
      <c r="Q14" s="23">
        <v>0</v>
      </c>
      <c r="R14" s="24">
        <v>0</v>
      </c>
      <c r="S14" s="490"/>
    </row>
    <row r="15" spans="1:19" ht="12.75" customHeight="1" x14ac:dyDescent="0.2">
      <c r="A15" s="490"/>
      <c r="B15" s="503"/>
      <c r="C15" s="666"/>
      <c r="D15" s="505" t="s">
        <v>41</v>
      </c>
      <c r="E15" s="22" t="s">
        <v>42</v>
      </c>
      <c r="F15" s="712" t="s">
        <v>38</v>
      </c>
      <c r="G15" s="713"/>
      <c r="H15" s="23">
        <v>9.2089999999999996</v>
      </c>
      <c r="I15" s="23">
        <v>121.2</v>
      </c>
      <c r="J15" s="23">
        <v>3.2829999999999999</v>
      </c>
      <c r="K15" s="23">
        <v>2.3879999999999999</v>
      </c>
      <c r="L15" s="24">
        <v>4.2100000000000002E-3</v>
      </c>
      <c r="M15" s="23">
        <v>4</v>
      </c>
      <c r="N15" s="23">
        <v>71.988</v>
      </c>
      <c r="O15" s="23">
        <v>2.7829999999999999</v>
      </c>
      <c r="P15" s="24">
        <v>1.312E-2</v>
      </c>
      <c r="Q15" s="23">
        <v>0</v>
      </c>
      <c r="R15" s="24">
        <v>0</v>
      </c>
      <c r="S15" s="490"/>
    </row>
    <row r="16" spans="1:19" ht="12.75" customHeight="1" x14ac:dyDescent="0.2">
      <c r="A16" s="490"/>
      <c r="B16" s="503"/>
      <c r="C16" s="666"/>
      <c r="D16" s="505" t="s">
        <v>43</v>
      </c>
      <c r="E16" s="22" t="s">
        <v>44</v>
      </c>
      <c r="F16" s="712" t="s">
        <v>38</v>
      </c>
      <c r="G16" s="713"/>
      <c r="H16" s="23">
        <v>9.2089999999999996</v>
      </c>
      <c r="I16" s="23">
        <v>117</v>
      </c>
      <c r="J16" s="23">
        <v>10.586</v>
      </c>
      <c r="K16" s="23">
        <v>5.641</v>
      </c>
      <c r="L16" s="24">
        <v>1.0460000000000001E-2</v>
      </c>
      <c r="M16" s="23">
        <v>4</v>
      </c>
      <c r="N16" s="23">
        <v>98.459000000000003</v>
      </c>
      <c r="O16" s="23">
        <v>0.64600000000000002</v>
      </c>
      <c r="P16" s="24">
        <v>8.7399999999999995E-3</v>
      </c>
      <c r="Q16" s="23">
        <v>0</v>
      </c>
      <c r="R16" s="24">
        <v>0</v>
      </c>
      <c r="S16" s="490"/>
    </row>
    <row r="17" spans="1:19" ht="12.75" customHeight="1" x14ac:dyDescent="0.2">
      <c r="A17" s="490"/>
      <c r="B17" s="503"/>
      <c r="C17" s="666"/>
      <c r="D17" s="505" t="s">
        <v>45</v>
      </c>
      <c r="E17" s="22" t="s">
        <v>46</v>
      </c>
      <c r="F17" s="712" t="s">
        <v>38</v>
      </c>
      <c r="G17" s="713"/>
      <c r="H17" s="23">
        <v>9.2089999999999996</v>
      </c>
      <c r="I17" s="23">
        <v>117</v>
      </c>
      <c r="J17" s="23">
        <v>10.586</v>
      </c>
      <c r="K17" s="23">
        <v>5.641</v>
      </c>
      <c r="L17" s="24">
        <v>1.0460000000000001E-2</v>
      </c>
      <c r="M17" s="23">
        <v>4</v>
      </c>
      <c r="N17" s="23">
        <v>73.224999999999994</v>
      </c>
      <c r="O17" s="23">
        <v>1.431</v>
      </c>
      <c r="P17" s="24">
        <v>1.025E-2</v>
      </c>
      <c r="Q17" s="23">
        <v>0</v>
      </c>
      <c r="R17" s="24">
        <v>0</v>
      </c>
      <c r="S17" s="490"/>
    </row>
    <row r="18" spans="1:19" ht="12.75" customHeight="1" x14ac:dyDescent="0.2">
      <c r="A18" s="490"/>
      <c r="B18" s="503"/>
      <c r="C18" s="666"/>
      <c r="D18" s="505" t="s">
        <v>47</v>
      </c>
      <c r="E18" s="22" t="s">
        <v>48</v>
      </c>
      <c r="F18" s="712" t="s">
        <v>38</v>
      </c>
      <c r="G18" s="713"/>
      <c r="H18" s="23">
        <v>9.2089999999999996</v>
      </c>
      <c r="I18" s="23">
        <v>117</v>
      </c>
      <c r="J18" s="23">
        <v>10.586</v>
      </c>
      <c r="K18" s="23">
        <v>5.641</v>
      </c>
      <c r="L18" s="24">
        <v>1.0460000000000001E-2</v>
      </c>
      <c r="M18" s="23">
        <v>4</v>
      </c>
      <c r="N18" s="23">
        <v>71.988</v>
      </c>
      <c r="O18" s="23">
        <v>2.7829999999999999</v>
      </c>
      <c r="P18" s="24">
        <v>1.312E-2</v>
      </c>
      <c r="Q18" s="23">
        <v>0</v>
      </c>
      <c r="R18" s="24">
        <v>0</v>
      </c>
      <c r="S18" s="490"/>
    </row>
    <row r="19" spans="1:19" ht="12.75" customHeight="1" x14ac:dyDescent="0.25">
      <c r="A19" s="490"/>
      <c r="B19" s="495"/>
      <c r="C19" s="673"/>
      <c r="D19" s="506" t="s">
        <v>49</v>
      </c>
      <c r="E19" s="507" t="s">
        <v>50</v>
      </c>
      <c r="F19" s="714" t="s">
        <v>38</v>
      </c>
      <c r="G19" s="715"/>
      <c r="H19" s="25" t="s">
        <v>443</v>
      </c>
      <c r="I19" s="26" t="s">
        <v>443</v>
      </c>
      <c r="J19" s="26" t="s">
        <v>443</v>
      </c>
      <c r="K19" s="25" t="s">
        <v>443</v>
      </c>
      <c r="L19" s="27" t="s">
        <v>443</v>
      </c>
      <c r="M19" s="26" t="s">
        <v>443</v>
      </c>
      <c r="N19" s="26" t="s">
        <v>443</v>
      </c>
      <c r="O19" s="25" t="s">
        <v>443</v>
      </c>
      <c r="P19" s="27" t="s">
        <v>443</v>
      </c>
      <c r="Q19" s="25" t="s">
        <v>443</v>
      </c>
      <c r="R19" s="27" t="s">
        <v>443</v>
      </c>
      <c r="S19" s="490"/>
    </row>
    <row r="20" spans="1:19" ht="12.75" customHeight="1" x14ac:dyDescent="0.2">
      <c r="A20" s="490"/>
      <c r="B20" s="503"/>
      <c r="C20" s="666" t="s">
        <v>51</v>
      </c>
      <c r="D20" s="504" t="s">
        <v>52</v>
      </c>
      <c r="E20" s="28" t="s">
        <v>53</v>
      </c>
      <c r="F20" s="710" t="s">
        <v>38</v>
      </c>
      <c r="G20" s="711"/>
      <c r="H20" s="20">
        <v>9.2089999999999996</v>
      </c>
      <c r="I20" s="20">
        <v>55.55</v>
      </c>
      <c r="J20" s="20">
        <v>4.2</v>
      </c>
      <c r="K20" s="20">
        <v>2.4740000000000002</v>
      </c>
      <c r="L20" s="21">
        <v>4.2100000000000002E-3</v>
      </c>
      <c r="M20" s="20">
        <v>4</v>
      </c>
      <c r="N20" s="20">
        <v>98.459000000000003</v>
      </c>
      <c r="O20" s="20">
        <v>0.64600000000000002</v>
      </c>
      <c r="P20" s="21">
        <v>8.7399999999999995E-3</v>
      </c>
      <c r="Q20" s="20">
        <v>0</v>
      </c>
      <c r="R20" s="21">
        <v>0</v>
      </c>
      <c r="S20" s="490"/>
    </row>
    <row r="21" spans="1:19" ht="12.75" customHeight="1" x14ac:dyDescent="0.2">
      <c r="A21" s="490"/>
      <c r="B21" s="503"/>
      <c r="C21" s="666"/>
      <c r="D21" s="505" t="s">
        <v>54</v>
      </c>
      <c r="E21" s="22" t="s">
        <v>55</v>
      </c>
      <c r="F21" s="712" t="s">
        <v>38</v>
      </c>
      <c r="G21" s="713"/>
      <c r="H21" s="23">
        <v>9.2089999999999996</v>
      </c>
      <c r="I21" s="23">
        <v>55.55</v>
      </c>
      <c r="J21" s="23">
        <v>4.2</v>
      </c>
      <c r="K21" s="23">
        <v>2.4740000000000002</v>
      </c>
      <c r="L21" s="24">
        <v>4.2100000000000002E-3</v>
      </c>
      <c r="M21" s="23">
        <v>4</v>
      </c>
      <c r="N21" s="23">
        <v>73.224999999999994</v>
      </c>
      <c r="O21" s="23">
        <v>1.431</v>
      </c>
      <c r="P21" s="24">
        <v>1.025E-2</v>
      </c>
      <c r="Q21" s="23">
        <v>0</v>
      </c>
      <c r="R21" s="24">
        <v>0</v>
      </c>
      <c r="S21" s="490"/>
    </row>
    <row r="22" spans="1:19" ht="12.75" customHeight="1" x14ac:dyDescent="0.2">
      <c r="A22" s="490"/>
      <c r="B22" s="503"/>
      <c r="C22" s="666"/>
      <c r="D22" s="505" t="s">
        <v>56</v>
      </c>
      <c r="E22" s="22" t="s">
        <v>57</v>
      </c>
      <c r="F22" s="712" t="s">
        <v>38</v>
      </c>
      <c r="G22" s="713"/>
      <c r="H22" s="23">
        <v>9.2089999999999996</v>
      </c>
      <c r="I22" s="23">
        <v>55.55</v>
      </c>
      <c r="J22" s="23">
        <v>4.2</v>
      </c>
      <c r="K22" s="23">
        <v>2.4740000000000002</v>
      </c>
      <c r="L22" s="24">
        <v>4.2100000000000002E-3</v>
      </c>
      <c r="M22" s="23">
        <v>4</v>
      </c>
      <c r="N22" s="23">
        <v>71.988</v>
      </c>
      <c r="O22" s="23">
        <v>2.7829999999999999</v>
      </c>
      <c r="P22" s="24">
        <v>1.312E-2</v>
      </c>
      <c r="Q22" s="23">
        <v>0</v>
      </c>
      <c r="R22" s="24">
        <v>0</v>
      </c>
      <c r="S22" s="490"/>
    </row>
    <row r="23" spans="1:19" ht="12.75" customHeight="1" x14ac:dyDescent="0.2">
      <c r="A23" s="490"/>
      <c r="B23" s="503"/>
      <c r="C23" s="666"/>
      <c r="D23" s="505" t="s">
        <v>58</v>
      </c>
      <c r="E23" s="22" t="s">
        <v>59</v>
      </c>
      <c r="F23" s="712" t="s">
        <v>38</v>
      </c>
      <c r="G23" s="713"/>
      <c r="H23" s="23">
        <v>9.2089999999999996</v>
      </c>
      <c r="I23" s="23">
        <v>50</v>
      </c>
      <c r="J23" s="23">
        <v>17.391999999999999</v>
      </c>
      <c r="K23" s="23">
        <v>23.904</v>
      </c>
      <c r="L23" s="24">
        <v>1.0460000000000001E-2</v>
      </c>
      <c r="M23" s="23">
        <v>4</v>
      </c>
      <c r="N23" s="23">
        <v>98.459000000000003</v>
      </c>
      <c r="O23" s="23">
        <v>0.64600000000000002</v>
      </c>
      <c r="P23" s="24">
        <v>8.7399999999999995E-3</v>
      </c>
      <c r="Q23" s="23">
        <v>0</v>
      </c>
      <c r="R23" s="24">
        <v>0</v>
      </c>
      <c r="S23" s="490"/>
    </row>
    <row r="24" spans="1:19" ht="12.75" customHeight="1" x14ac:dyDescent="0.2">
      <c r="A24" s="490"/>
      <c r="B24" s="503"/>
      <c r="C24" s="666"/>
      <c r="D24" s="505" t="s">
        <v>60</v>
      </c>
      <c r="E24" s="22" t="s">
        <v>61</v>
      </c>
      <c r="F24" s="712" t="s">
        <v>38</v>
      </c>
      <c r="G24" s="713"/>
      <c r="H24" s="23">
        <v>9.2089999999999996</v>
      </c>
      <c r="I24" s="23">
        <v>50</v>
      </c>
      <c r="J24" s="23">
        <v>17.391999999999999</v>
      </c>
      <c r="K24" s="23">
        <v>23.904</v>
      </c>
      <c r="L24" s="24">
        <v>1.0460000000000001E-2</v>
      </c>
      <c r="M24" s="23">
        <v>4</v>
      </c>
      <c r="N24" s="23">
        <v>73.224999999999994</v>
      </c>
      <c r="O24" s="23">
        <v>1.431</v>
      </c>
      <c r="P24" s="24">
        <v>1.025E-2</v>
      </c>
      <c r="Q24" s="23">
        <v>0</v>
      </c>
      <c r="R24" s="24">
        <v>0</v>
      </c>
      <c r="S24" s="490"/>
    </row>
    <row r="25" spans="1:19" ht="12.75" customHeight="1" x14ac:dyDescent="0.2">
      <c r="A25" s="490"/>
      <c r="B25" s="503"/>
      <c r="C25" s="666"/>
      <c r="D25" s="505" t="s">
        <v>62</v>
      </c>
      <c r="E25" s="22" t="s">
        <v>63</v>
      </c>
      <c r="F25" s="712" t="s">
        <v>38</v>
      </c>
      <c r="G25" s="713"/>
      <c r="H25" s="23">
        <v>9.2089999999999996</v>
      </c>
      <c r="I25" s="23">
        <v>50</v>
      </c>
      <c r="J25" s="23">
        <v>17.391999999999999</v>
      </c>
      <c r="K25" s="23">
        <v>23.904</v>
      </c>
      <c r="L25" s="24">
        <v>1.0460000000000001E-2</v>
      </c>
      <c r="M25" s="23">
        <v>4</v>
      </c>
      <c r="N25" s="23">
        <v>71.988</v>
      </c>
      <c r="O25" s="23">
        <v>2.7829999999999999</v>
      </c>
      <c r="P25" s="24">
        <v>1.312E-2</v>
      </c>
      <c r="Q25" s="23">
        <v>0</v>
      </c>
      <c r="R25" s="24">
        <v>0</v>
      </c>
      <c r="S25" s="490"/>
    </row>
    <row r="26" spans="1:19" ht="12.75" customHeight="1" x14ac:dyDescent="0.25">
      <c r="A26" s="490"/>
      <c r="B26" s="495"/>
      <c r="C26" s="673"/>
      <c r="D26" s="506" t="s">
        <v>64</v>
      </c>
      <c r="E26" s="507" t="s">
        <v>65</v>
      </c>
      <c r="F26" s="714" t="s">
        <v>38</v>
      </c>
      <c r="G26" s="715"/>
      <c r="H26" s="25" t="s">
        <v>443</v>
      </c>
      <c r="I26" s="26" t="s">
        <v>443</v>
      </c>
      <c r="J26" s="26" t="s">
        <v>443</v>
      </c>
      <c r="K26" s="25" t="s">
        <v>443</v>
      </c>
      <c r="L26" s="27" t="s">
        <v>443</v>
      </c>
      <c r="M26" s="26" t="s">
        <v>443</v>
      </c>
      <c r="N26" s="26" t="s">
        <v>443</v>
      </c>
      <c r="O26" s="25" t="s">
        <v>443</v>
      </c>
      <c r="P26" s="27" t="s">
        <v>443</v>
      </c>
      <c r="Q26" s="25" t="s">
        <v>443</v>
      </c>
      <c r="R26" s="27" t="s">
        <v>443</v>
      </c>
      <c r="S26" s="490"/>
    </row>
    <row r="27" spans="1:19" ht="12.75" customHeight="1" x14ac:dyDescent="0.2">
      <c r="A27" s="490"/>
      <c r="B27" s="503"/>
      <c r="C27" s="665" t="s">
        <v>66</v>
      </c>
      <c r="D27" s="504" t="s">
        <v>67</v>
      </c>
      <c r="E27" s="28" t="s">
        <v>68</v>
      </c>
      <c r="F27" s="710" t="s">
        <v>38</v>
      </c>
      <c r="G27" s="711"/>
      <c r="H27" s="20">
        <v>9.2089999999999996</v>
      </c>
      <c r="I27" s="20">
        <v>41.41</v>
      </c>
      <c r="J27" s="20">
        <v>4.9749999999999996</v>
      </c>
      <c r="K27" s="20">
        <v>2.9990000000000001</v>
      </c>
      <c r="L27" s="21">
        <v>4.2100000000000002E-3</v>
      </c>
      <c r="M27" s="20">
        <v>4</v>
      </c>
      <c r="N27" s="20">
        <v>98.459000000000003</v>
      </c>
      <c r="O27" s="20">
        <v>0.64600000000000002</v>
      </c>
      <c r="P27" s="21">
        <v>8.7399999999999995E-3</v>
      </c>
      <c r="Q27" s="20">
        <v>0</v>
      </c>
      <c r="R27" s="21">
        <v>0</v>
      </c>
      <c r="S27" s="490"/>
    </row>
    <row r="28" spans="1:19" ht="12.75" customHeight="1" x14ac:dyDescent="0.2">
      <c r="A28" s="490"/>
      <c r="B28" s="503"/>
      <c r="C28" s="666"/>
      <c r="D28" s="505" t="s">
        <v>69</v>
      </c>
      <c r="E28" s="22" t="s">
        <v>70</v>
      </c>
      <c r="F28" s="712" t="s">
        <v>38</v>
      </c>
      <c r="G28" s="713"/>
      <c r="H28" s="23">
        <v>9.2089999999999996</v>
      </c>
      <c r="I28" s="23">
        <v>41.41</v>
      </c>
      <c r="J28" s="23">
        <v>4.9749999999999996</v>
      </c>
      <c r="K28" s="23">
        <v>2.9990000000000001</v>
      </c>
      <c r="L28" s="24">
        <v>4.2100000000000002E-3</v>
      </c>
      <c r="M28" s="23">
        <v>4</v>
      </c>
      <c r="N28" s="23">
        <v>73.224999999999994</v>
      </c>
      <c r="O28" s="23">
        <v>1.431</v>
      </c>
      <c r="P28" s="24">
        <v>1.025E-2</v>
      </c>
      <c r="Q28" s="23">
        <v>0</v>
      </c>
      <c r="R28" s="24">
        <v>0</v>
      </c>
      <c r="S28" s="490"/>
    </row>
    <row r="29" spans="1:19" ht="12.75" customHeight="1" x14ac:dyDescent="0.2">
      <c r="A29" s="490"/>
      <c r="B29" s="503"/>
      <c r="C29" s="666"/>
      <c r="D29" s="505" t="s">
        <v>71</v>
      </c>
      <c r="E29" s="22" t="s">
        <v>72</v>
      </c>
      <c r="F29" s="712" t="s">
        <v>38</v>
      </c>
      <c r="G29" s="713"/>
      <c r="H29" s="23">
        <v>9.2089999999999996</v>
      </c>
      <c r="I29" s="23">
        <v>41.41</v>
      </c>
      <c r="J29" s="23">
        <v>4.9749999999999996</v>
      </c>
      <c r="K29" s="23">
        <v>2.9990000000000001</v>
      </c>
      <c r="L29" s="24">
        <v>4.2100000000000002E-3</v>
      </c>
      <c r="M29" s="23">
        <v>4</v>
      </c>
      <c r="N29" s="23">
        <v>71.988</v>
      </c>
      <c r="O29" s="23">
        <v>2.7829999999999999</v>
      </c>
      <c r="P29" s="24">
        <v>1.312E-2</v>
      </c>
      <c r="Q29" s="23">
        <v>0</v>
      </c>
      <c r="R29" s="24">
        <v>0</v>
      </c>
      <c r="S29" s="490"/>
    </row>
    <row r="30" spans="1:19" ht="12.75" customHeight="1" x14ac:dyDescent="0.2">
      <c r="A30" s="490"/>
      <c r="B30" s="503"/>
      <c r="C30" s="666"/>
      <c r="D30" s="505" t="s">
        <v>73</v>
      </c>
      <c r="E30" s="22" t="s">
        <v>74</v>
      </c>
      <c r="F30" s="712" t="s">
        <v>38</v>
      </c>
      <c r="G30" s="713"/>
      <c r="H30" s="23" t="s">
        <v>443</v>
      </c>
      <c r="I30" s="23" t="s">
        <v>443</v>
      </c>
      <c r="J30" s="23" t="s">
        <v>443</v>
      </c>
      <c r="K30" s="23" t="s">
        <v>443</v>
      </c>
      <c r="L30" s="24" t="s">
        <v>443</v>
      </c>
      <c r="M30" s="23" t="s">
        <v>443</v>
      </c>
      <c r="N30" s="23" t="s">
        <v>443</v>
      </c>
      <c r="O30" s="23" t="s">
        <v>443</v>
      </c>
      <c r="P30" s="24" t="s">
        <v>443</v>
      </c>
      <c r="Q30" s="23" t="s">
        <v>443</v>
      </c>
      <c r="R30" s="24" t="s">
        <v>443</v>
      </c>
      <c r="S30" s="490"/>
    </row>
    <row r="31" spans="1:19" ht="12.75" customHeight="1" x14ac:dyDescent="0.2">
      <c r="A31" s="490"/>
      <c r="B31" s="503"/>
      <c r="C31" s="666"/>
      <c r="D31" s="505" t="s">
        <v>75</v>
      </c>
      <c r="E31" s="22" t="s">
        <v>76</v>
      </c>
      <c r="F31" s="712" t="s">
        <v>38</v>
      </c>
      <c r="G31" s="713"/>
      <c r="H31" s="23" t="s">
        <v>443</v>
      </c>
      <c r="I31" s="23" t="s">
        <v>443</v>
      </c>
      <c r="J31" s="23" t="s">
        <v>443</v>
      </c>
      <c r="K31" s="23" t="s">
        <v>443</v>
      </c>
      <c r="L31" s="24" t="s">
        <v>443</v>
      </c>
      <c r="M31" s="23" t="s">
        <v>443</v>
      </c>
      <c r="N31" s="23" t="s">
        <v>443</v>
      </c>
      <c r="O31" s="23" t="s">
        <v>443</v>
      </c>
      <c r="P31" s="24" t="s">
        <v>443</v>
      </c>
      <c r="Q31" s="23" t="s">
        <v>443</v>
      </c>
      <c r="R31" s="24" t="s">
        <v>443</v>
      </c>
      <c r="S31" s="490"/>
    </row>
    <row r="32" spans="1:19" ht="12.75" customHeight="1" x14ac:dyDescent="0.2">
      <c r="A32" s="490"/>
      <c r="B32" s="503"/>
      <c r="C32" s="666"/>
      <c r="D32" s="505" t="s">
        <v>77</v>
      </c>
      <c r="E32" s="22" t="s">
        <v>78</v>
      </c>
      <c r="F32" s="712" t="s">
        <v>38</v>
      </c>
      <c r="G32" s="713"/>
      <c r="H32" s="23" t="s">
        <v>443</v>
      </c>
      <c r="I32" s="23" t="s">
        <v>443</v>
      </c>
      <c r="J32" s="23" t="s">
        <v>443</v>
      </c>
      <c r="K32" s="23" t="s">
        <v>443</v>
      </c>
      <c r="L32" s="24" t="s">
        <v>443</v>
      </c>
      <c r="M32" s="23" t="s">
        <v>443</v>
      </c>
      <c r="N32" s="23" t="s">
        <v>443</v>
      </c>
      <c r="O32" s="23" t="s">
        <v>443</v>
      </c>
      <c r="P32" s="24" t="s">
        <v>443</v>
      </c>
      <c r="Q32" s="23" t="s">
        <v>443</v>
      </c>
      <c r="R32" s="24" t="s">
        <v>443</v>
      </c>
      <c r="S32" s="490"/>
    </row>
    <row r="33" spans="1:19" ht="12.75" customHeight="1" x14ac:dyDescent="0.25">
      <c r="A33" s="490"/>
      <c r="B33" s="495"/>
      <c r="C33" s="673"/>
      <c r="D33" s="506" t="s">
        <v>79</v>
      </c>
      <c r="E33" s="507" t="s">
        <v>80</v>
      </c>
      <c r="F33" s="714" t="s">
        <v>38</v>
      </c>
      <c r="G33" s="715"/>
      <c r="H33" s="25" t="s">
        <v>443</v>
      </c>
      <c r="I33" s="26" t="s">
        <v>443</v>
      </c>
      <c r="J33" s="26" t="s">
        <v>443</v>
      </c>
      <c r="K33" s="25" t="s">
        <v>443</v>
      </c>
      <c r="L33" s="27" t="s">
        <v>443</v>
      </c>
      <c r="M33" s="26" t="s">
        <v>443</v>
      </c>
      <c r="N33" s="26" t="s">
        <v>443</v>
      </c>
      <c r="O33" s="25" t="s">
        <v>443</v>
      </c>
      <c r="P33" s="27" t="s">
        <v>443</v>
      </c>
      <c r="Q33" s="25" t="s">
        <v>443</v>
      </c>
      <c r="R33" s="27" t="s">
        <v>443</v>
      </c>
      <c r="S33" s="490"/>
    </row>
    <row r="34" spans="1:19" ht="12.75" customHeight="1" x14ac:dyDescent="0.2">
      <c r="A34" s="490"/>
      <c r="B34" s="503"/>
      <c r="C34" s="665" t="s">
        <v>81</v>
      </c>
      <c r="D34" s="504" t="s">
        <v>82</v>
      </c>
      <c r="E34" s="28" t="s">
        <v>83</v>
      </c>
      <c r="F34" s="710" t="s">
        <v>38</v>
      </c>
      <c r="G34" s="711"/>
      <c r="H34" s="20">
        <v>9.2089999999999996</v>
      </c>
      <c r="I34" s="20">
        <v>33.33</v>
      </c>
      <c r="J34" s="20">
        <v>10.45</v>
      </c>
      <c r="K34" s="20">
        <v>6.05</v>
      </c>
      <c r="L34" s="21">
        <v>4.2100000000000002E-3</v>
      </c>
      <c r="M34" s="20">
        <v>4</v>
      </c>
      <c r="N34" s="20">
        <v>98.459000000000003</v>
      </c>
      <c r="O34" s="20">
        <v>0.64600000000000002</v>
      </c>
      <c r="P34" s="21">
        <v>8.7399999999999995E-3</v>
      </c>
      <c r="Q34" s="20">
        <v>0</v>
      </c>
      <c r="R34" s="21">
        <v>0</v>
      </c>
      <c r="S34" s="490"/>
    </row>
    <row r="35" spans="1:19" ht="12.75" customHeight="1" x14ac:dyDescent="0.2">
      <c r="A35" s="490"/>
      <c r="B35" s="503"/>
      <c r="C35" s="666"/>
      <c r="D35" s="505" t="s">
        <v>84</v>
      </c>
      <c r="E35" s="22" t="s">
        <v>85</v>
      </c>
      <c r="F35" s="712" t="s">
        <v>38</v>
      </c>
      <c r="G35" s="713"/>
      <c r="H35" s="23">
        <v>9.2089999999999996</v>
      </c>
      <c r="I35" s="23">
        <v>33.33</v>
      </c>
      <c r="J35" s="23">
        <v>10.45</v>
      </c>
      <c r="K35" s="23">
        <v>6.05</v>
      </c>
      <c r="L35" s="24">
        <v>4.2100000000000002E-3</v>
      </c>
      <c r="M35" s="23">
        <v>4</v>
      </c>
      <c r="N35" s="23">
        <v>73.224999999999994</v>
      </c>
      <c r="O35" s="23">
        <v>1.431</v>
      </c>
      <c r="P35" s="24">
        <v>1.025E-2</v>
      </c>
      <c r="Q35" s="23">
        <v>0</v>
      </c>
      <c r="R35" s="24">
        <v>0</v>
      </c>
      <c r="S35" s="490"/>
    </row>
    <row r="36" spans="1:19" ht="12.75" customHeight="1" x14ac:dyDescent="0.2">
      <c r="A36" s="490"/>
      <c r="B36" s="503"/>
      <c r="C36" s="666"/>
      <c r="D36" s="505" t="s">
        <v>86</v>
      </c>
      <c r="E36" s="22" t="s">
        <v>87</v>
      </c>
      <c r="F36" s="712" t="s">
        <v>38</v>
      </c>
      <c r="G36" s="713"/>
      <c r="H36" s="23">
        <v>9.2089999999999996</v>
      </c>
      <c r="I36" s="23">
        <v>33.33</v>
      </c>
      <c r="J36" s="23">
        <v>10.45</v>
      </c>
      <c r="K36" s="23">
        <v>6.05</v>
      </c>
      <c r="L36" s="24">
        <v>4.2100000000000002E-3</v>
      </c>
      <c r="M36" s="23">
        <v>4</v>
      </c>
      <c r="N36" s="23">
        <v>71.988</v>
      </c>
      <c r="O36" s="23">
        <v>2.7829999999999999</v>
      </c>
      <c r="P36" s="24">
        <v>1.312E-2</v>
      </c>
      <c r="Q36" s="23">
        <v>0</v>
      </c>
      <c r="R36" s="24">
        <v>0</v>
      </c>
      <c r="S36" s="490"/>
    </row>
    <row r="37" spans="1:19" ht="12.75" customHeight="1" x14ac:dyDescent="0.2">
      <c r="A37" s="490"/>
      <c r="B37" s="503"/>
      <c r="C37" s="666"/>
      <c r="D37" s="505" t="s">
        <v>88</v>
      </c>
      <c r="E37" s="22" t="s">
        <v>89</v>
      </c>
      <c r="F37" s="712" t="s">
        <v>38</v>
      </c>
      <c r="G37" s="713"/>
      <c r="H37" s="23">
        <v>9.2089999999999996</v>
      </c>
      <c r="I37" s="23">
        <v>32</v>
      </c>
      <c r="J37" s="23">
        <v>26.88</v>
      </c>
      <c r="K37" s="23">
        <v>24.96</v>
      </c>
      <c r="L37" s="24">
        <v>1.0460000000000001E-2</v>
      </c>
      <c r="M37" s="23">
        <v>4</v>
      </c>
      <c r="N37" s="23">
        <v>98.459000000000003</v>
      </c>
      <c r="O37" s="23">
        <v>0.64600000000000002</v>
      </c>
      <c r="P37" s="24">
        <v>8.7399999999999995E-3</v>
      </c>
      <c r="Q37" s="23">
        <v>0</v>
      </c>
      <c r="R37" s="24">
        <v>0</v>
      </c>
      <c r="S37" s="490"/>
    </row>
    <row r="38" spans="1:19" ht="12.75" customHeight="1" x14ac:dyDescent="0.2">
      <c r="A38" s="490"/>
      <c r="B38" s="503"/>
      <c r="C38" s="666"/>
      <c r="D38" s="505" t="s">
        <v>90</v>
      </c>
      <c r="E38" s="22" t="s">
        <v>91</v>
      </c>
      <c r="F38" s="712" t="s">
        <v>38</v>
      </c>
      <c r="G38" s="713"/>
      <c r="H38" s="23">
        <v>9.2089999999999996</v>
      </c>
      <c r="I38" s="23">
        <v>32</v>
      </c>
      <c r="J38" s="23">
        <v>26.88</v>
      </c>
      <c r="K38" s="23">
        <v>24.96</v>
      </c>
      <c r="L38" s="24">
        <v>1.0460000000000001E-2</v>
      </c>
      <c r="M38" s="23">
        <v>4</v>
      </c>
      <c r="N38" s="23">
        <v>73.224999999999994</v>
      </c>
      <c r="O38" s="23">
        <v>1.431</v>
      </c>
      <c r="P38" s="24">
        <v>1.025E-2</v>
      </c>
      <c r="Q38" s="23">
        <v>0</v>
      </c>
      <c r="R38" s="24">
        <v>0</v>
      </c>
      <c r="S38" s="490"/>
    </row>
    <row r="39" spans="1:19" ht="12.75" customHeight="1" x14ac:dyDescent="0.2">
      <c r="A39" s="490"/>
      <c r="B39" s="503"/>
      <c r="C39" s="666"/>
      <c r="D39" s="505" t="s">
        <v>92</v>
      </c>
      <c r="E39" s="22" t="s">
        <v>93</v>
      </c>
      <c r="F39" s="712" t="s">
        <v>38</v>
      </c>
      <c r="G39" s="713"/>
      <c r="H39" s="23">
        <v>9.2089999999999996</v>
      </c>
      <c r="I39" s="23">
        <v>32</v>
      </c>
      <c r="J39" s="23">
        <v>26.88</v>
      </c>
      <c r="K39" s="23">
        <v>24.96</v>
      </c>
      <c r="L39" s="24">
        <v>1.0460000000000001E-2</v>
      </c>
      <c r="M39" s="23">
        <v>4</v>
      </c>
      <c r="N39" s="23">
        <v>71.988</v>
      </c>
      <c r="O39" s="23">
        <v>2.7829999999999999</v>
      </c>
      <c r="P39" s="24">
        <v>1.312E-2</v>
      </c>
      <c r="Q39" s="23">
        <v>0</v>
      </c>
      <c r="R39" s="24">
        <v>0</v>
      </c>
      <c r="S39" s="490"/>
    </row>
    <row r="40" spans="1:19" ht="12.75" customHeight="1" x14ac:dyDescent="0.25">
      <c r="A40" s="490"/>
      <c r="B40" s="495"/>
      <c r="C40" s="673"/>
      <c r="D40" s="506" t="s">
        <v>94</v>
      </c>
      <c r="E40" s="507" t="s">
        <v>95</v>
      </c>
      <c r="F40" s="714" t="s">
        <v>38</v>
      </c>
      <c r="G40" s="715"/>
      <c r="H40" s="25" t="s">
        <v>443</v>
      </c>
      <c r="I40" s="26" t="s">
        <v>443</v>
      </c>
      <c r="J40" s="26" t="s">
        <v>443</v>
      </c>
      <c r="K40" s="25" t="s">
        <v>443</v>
      </c>
      <c r="L40" s="27" t="s">
        <v>443</v>
      </c>
      <c r="M40" s="26" t="s">
        <v>443</v>
      </c>
      <c r="N40" s="26" t="s">
        <v>443</v>
      </c>
      <c r="O40" s="25" t="s">
        <v>443</v>
      </c>
      <c r="P40" s="27" t="s">
        <v>443</v>
      </c>
      <c r="Q40" s="25" t="s">
        <v>443</v>
      </c>
      <c r="R40" s="27" t="s">
        <v>443</v>
      </c>
      <c r="S40" s="490"/>
    </row>
    <row r="41" spans="1:19" s="490" customFormat="1" x14ac:dyDescent="0.2">
      <c r="B41" s="508"/>
      <c r="D41" s="508"/>
      <c r="E41" s="496"/>
      <c r="G41" s="497"/>
      <c r="H41" s="497"/>
      <c r="I41" s="498"/>
    </row>
    <row r="42" spans="1:19" s="509" customFormat="1" x14ac:dyDescent="0.2">
      <c r="B42" s="510"/>
      <c r="C42" s="8" t="s">
        <v>96</v>
      </c>
      <c r="D42" s="510"/>
      <c r="E42" s="511"/>
      <c r="G42" s="512"/>
      <c r="H42" s="512"/>
      <c r="I42" s="513"/>
    </row>
    <row r="43" spans="1:19" s="509" customFormat="1" x14ac:dyDescent="0.2">
      <c r="B43" s="510"/>
      <c r="C43" s="30" t="s">
        <v>97</v>
      </c>
      <c r="D43" s="510"/>
      <c r="E43" s="511"/>
      <c r="G43" s="512"/>
      <c r="H43" s="512"/>
      <c r="I43" s="513"/>
    </row>
    <row r="44" spans="1:19" s="490" customFormat="1" x14ac:dyDescent="0.2">
      <c r="C44" s="594"/>
      <c r="F44" s="496"/>
      <c r="H44" s="497"/>
      <c r="I44" s="497"/>
      <c r="J44" s="498"/>
    </row>
    <row r="45" spans="1:19" ht="15" customHeight="1" x14ac:dyDescent="0.2">
      <c r="A45" s="490"/>
      <c r="B45" s="490"/>
      <c r="C45" s="683" t="s">
        <v>1637</v>
      </c>
      <c r="D45" s="684"/>
      <c r="E45" s="684"/>
      <c r="F45" s="684"/>
      <c r="G45" s="684"/>
      <c r="H45" s="684"/>
      <c r="I45" s="684"/>
      <c r="J45" s="684"/>
      <c r="K45" s="684"/>
      <c r="L45" s="684"/>
      <c r="M45" s="684"/>
      <c r="N45" s="684"/>
      <c r="O45" s="684"/>
      <c r="P45" s="684"/>
      <c r="Q45" s="684"/>
      <c r="R45" s="685"/>
      <c r="S45" s="490"/>
    </row>
    <row r="46" spans="1:19" ht="41.25" customHeight="1" x14ac:dyDescent="0.2">
      <c r="A46" s="490"/>
      <c r="B46" s="490"/>
      <c r="C46" s="686" t="s">
        <v>1636</v>
      </c>
      <c r="D46" s="687"/>
      <c r="E46" s="687"/>
      <c r="F46" s="687"/>
      <c r="G46" s="687"/>
      <c r="H46" s="687"/>
      <c r="I46" s="687"/>
      <c r="J46" s="687"/>
      <c r="K46" s="687"/>
      <c r="L46" s="687"/>
      <c r="M46" s="687"/>
      <c r="N46" s="687"/>
      <c r="O46" s="687"/>
      <c r="P46" s="687"/>
      <c r="Q46" s="687"/>
      <c r="R46" s="688"/>
      <c r="S46" s="490"/>
    </row>
    <row r="47" spans="1:19" ht="30" customHeight="1" x14ac:dyDescent="0.2">
      <c r="A47" s="490"/>
      <c r="B47" s="490"/>
      <c r="C47" s="689" t="s">
        <v>24</v>
      </c>
      <c r="D47" s="689" t="s">
        <v>25</v>
      </c>
      <c r="E47" s="689" t="s">
        <v>2</v>
      </c>
      <c r="F47" s="692" t="s">
        <v>26</v>
      </c>
      <c r="G47" s="693"/>
      <c r="H47" s="698" t="s">
        <v>27</v>
      </c>
      <c r="I47" s="699"/>
      <c r="J47" s="699"/>
      <c r="K47" s="699"/>
      <c r="L47" s="699"/>
      <c r="M47" s="700"/>
      <c r="N47" s="701" t="s">
        <v>28</v>
      </c>
      <c r="O47" s="702"/>
      <c r="P47" s="703"/>
      <c r="Q47" s="704" t="s">
        <v>29</v>
      </c>
      <c r="R47" s="705"/>
      <c r="S47" s="490"/>
    </row>
    <row r="48" spans="1:19" ht="30" customHeight="1" x14ac:dyDescent="0.2">
      <c r="A48" s="490"/>
      <c r="B48" s="490"/>
      <c r="C48" s="690"/>
      <c r="D48" s="690"/>
      <c r="E48" s="690"/>
      <c r="F48" s="694"/>
      <c r="G48" s="695"/>
      <c r="H48" s="679" t="s">
        <v>17</v>
      </c>
      <c r="I48" s="679" t="s">
        <v>3</v>
      </c>
      <c r="J48" s="681" t="s">
        <v>98</v>
      </c>
      <c r="K48" s="681" t="s">
        <v>99</v>
      </c>
      <c r="L48" s="681" t="s">
        <v>7</v>
      </c>
      <c r="M48" s="681" t="s">
        <v>18</v>
      </c>
      <c r="N48" s="706" t="s">
        <v>8</v>
      </c>
      <c r="O48" s="706" t="s">
        <v>9</v>
      </c>
      <c r="P48" s="706" t="s">
        <v>10</v>
      </c>
      <c r="Q48" s="708" t="s">
        <v>32</v>
      </c>
      <c r="R48" s="708" t="s">
        <v>33</v>
      </c>
      <c r="S48" s="490"/>
    </row>
    <row r="49" spans="1:19" ht="30" customHeight="1" x14ac:dyDescent="0.2">
      <c r="A49" s="490"/>
      <c r="B49" s="490"/>
      <c r="C49" s="690"/>
      <c r="D49" s="690"/>
      <c r="E49" s="690"/>
      <c r="F49" s="696"/>
      <c r="G49" s="697"/>
      <c r="H49" s="680"/>
      <c r="I49" s="680"/>
      <c r="J49" s="682"/>
      <c r="K49" s="682"/>
      <c r="L49" s="682"/>
      <c r="M49" s="682"/>
      <c r="N49" s="707"/>
      <c r="O49" s="707"/>
      <c r="P49" s="707"/>
      <c r="Q49" s="709"/>
      <c r="R49" s="709"/>
      <c r="S49" s="490"/>
    </row>
    <row r="50" spans="1:19" ht="36" x14ac:dyDescent="0.2">
      <c r="A50" s="490"/>
      <c r="B50" s="490"/>
      <c r="C50" s="691"/>
      <c r="D50" s="691"/>
      <c r="E50" s="691"/>
      <c r="F50" s="515" t="s">
        <v>11</v>
      </c>
      <c r="G50" s="516" t="s">
        <v>12</v>
      </c>
      <c r="H50" s="13" t="s">
        <v>19</v>
      </c>
      <c r="I50" s="13" t="s">
        <v>13</v>
      </c>
      <c r="J50" s="15" t="s">
        <v>20</v>
      </c>
      <c r="K50" s="15" t="s">
        <v>15</v>
      </c>
      <c r="L50" s="15" t="s">
        <v>21</v>
      </c>
      <c r="M50" s="31" t="s">
        <v>16</v>
      </c>
      <c r="N50" s="16" t="s">
        <v>13</v>
      </c>
      <c r="O50" s="16" t="s">
        <v>100</v>
      </c>
      <c r="P50" s="16" t="s">
        <v>16</v>
      </c>
      <c r="Q50" s="17" t="s">
        <v>13</v>
      </c>
      <c r="R50" s="18" t="s">
        <v>16</v>
      </c>
      <c r="S50" s="490"/>
    </row>
    <row r="51" spans="1:19" ht="12.75" customHeight="1" x14ac:dyDescent="0.2">
      <c r="A51" s="490"/>
      <c r="B51" s="490"/>
      <c r="C51" s="665" t="s">
        <v>101</v>
      </c>
      <c r="D51" s="517" t="s">
        <v>102</v>
      </c>
      <c r="E51" s="518" t="s">
        <v>103</v>
      </c>
      <c r="F51" s="677" t="s">
        <v>38</v>
      </c>
      <c r="G51" s="678"/>
      <c r="H51" s="20">
        <v>9.2089999999999996</v>
      </c>
      <c r="I51" s="20">
        <v>0</v>
      </c>
      <c r="J51" s="20">
        <v>5.5350000000000001</v>
      </c>
      <c r="K51" s="20">
        <v>11</v>
      </c>
      <c r="L51" s="20">
        <v>4</v>
      </c>
      <c r="M51" s="21">
        <v>3.7000000000000002E-3</v>
      </c>
      <c r="N51" s="20">
        <v>98.459000000000003</v>
      </c>
      <c r="O51" s="20">
        <v>0.64600000000000002</v>
      </c>
      <c r="P51" s="21">
        <v>8.7399999999999995E-3</v>
      </c>
      <c r="Q51" s="20">
        <v>0</v>
      </c>
      <c r="R51" s="21">
        <v>0</v>
      </c>
      <c r="S51" s="490"/>
    </row>
    <row r="52" spans="1:19" ht="12.75" customHeight="1" x14ac:dyDescent="0.2">
      <c r="A52" s="490"/>
      <c r="B52" s="490"/>
      <c r="C52" s="666"/>
      <c r="D52" s="519" t="s">
        <v>104</v>
      </c>
      <c r="E52" s="520" t="s">
        <v>105</v>
      </c>
      <c r="F52" s="669" t="s">
        <v>38</v>
      </c>
      <c r="G52" s="670"/>
      <c r="H52" s="23">
        <v>9.2089999999999996</v>
      </c>
      <c r="I52" s="23">
        <v>0</v>
      </c>
      <c r="J52" s="23">
        <v>5.5350000000000001</v>
      </c>
      <c r="K52" s="23">
        <v>11</v>
      </c>
      <c r="L52" s="23">
        <v>4</v>
      </c>
      <c r="M52" s="24">
        <v>3.7000000000000002E-3</v>
      </c>
      <c r="N52" s="23">
        <v>73.224999999999994</v>
      </c>
      <c r="O52" s="23">
        <v>1.431</v>
      </c>
      <c r="P52" s="24">
        <v>1.025E-2</v>
      </c>
      <c r="Q52" s="23">
        <v>0</v>
      </c>
      <c r="R52" s="24">
        <v>0</v>
      </c>
      <c r="S52" s="490"/>
    </row>
    <row r="53" spans="1:19" ht="12.75" customHeight="1" x14ac:dyDescent="0.2">
      <c r="A53" s="490"/>
      <c r="B53" s="490"/>
      <c r="C53" s="666"/>
      <c r="D53" s="519" t="s">
        <v>106</v>
      </c>
      <c r="E53" s="520" t="s">
        <v>107</v>
      </c>
      <c r="F53" s="669" t="s">
        <v>38</v>
      </c>
      <c r="G53" s="670"/>
      <c r="H53" s="23">
        <v>9.2089999999999996</v>
      </c>
      <c r="I53" s="23">
        <v>0</v>
      </c>
      <c r="J53" s="23">
        <v>5.5350000000000001</v>
      </c>
      <c r="K53" s="23">
        <v>11</v>
      </c>
      <c r="L53" s="23">
        <v>4</v>
      </c>
      <c r="M53" s="24">
        <v>3.7000000000000002E-3</v>
      </c>
      <c r="N53" s="23">
        <v>71.988</v>
      </c>
      <c r="O53" s="23">
        <v>2.7829999999999999</v>
      </c>
      <c r="P53" s="24">
        <v>1.312E-2</v>
      </c>
      <c r="Q53" s="23">
        <v>0</v>
      </c>
      <c r="R53" s="24">
        <v>0</v>
      </c>
      <c r="S53" s="490"/>
    </row>
    <row r="54" spans="1:19" ht="12.75" customHeight="1" x14ac:dyDescent="0.2">
      <c r="A54" s="490"/>
      <c r="B54" s="490"/>
      <c r="C54" s="666"/>
      <c r="D54" s="519" t="s">
        <v>108</v>
      </c>
      <c r="E54" s="521" t="s">
        <v>109</v>
      </c>
      <c r="F54" s="669" t="s">
        <v>38</v>
      </c>
      <c r="G54" s="670"/>
      <c r="H54" s="23">
        <v>9.2089999999999996</v>
      </c>
      <c r="I54" s="23">
        <v>0</v>
      </c>
      <c r="J54" s="23">
        <v>19.475000000000001</v>
      </c>
      <c r="K54" s="23">
        <v>27.666</v>
      </c>
      <c r="L54" s="23">
        <v>4</v>
      </c>
      <c r="M54" s="24">
        <v>2.9870000000000001E-2</v>
      </c>
      <c r="N54" s="23">
        <v>98.459000000000003</v>
      </c>
      <c r="O54" s="23">
        <v>0.64600000000000002</v>
      </c>
      <c r="P54" s="24">
        <v>8.7399999999999995E-3</v>
      </c>
      <c r="Q54" s="23">
        <v>0</v>
      </c>
      <c r="R54" s="24">
        <v>0</v>
      </c>
      <c r="S54" s="490"/>
    </row>
    <row r="55" spans="1:19" ht="12.75" customHeight="1" x14ac:dyDescent="0.2">
      <c r="A55" s="490"/>
      <c r="B55" s="490"/>
      <c r="C55" s="666"/>
      <c r="D55" s="519" t="s">
        <v>110</v>
      </c>
      <c r="E55" s="521" t="s">
        <v>111</v>
      </c>
      <c r="F55" s="669" t="s">
        <v>38</v>
      </c>
      <c r="G55" s="670"/>
      <c r="H55" s="23">
        <v>9.2089999999999996</v>
      </c>
      <c r="I55" s="23">
        <v>0</v>
      </c>
      <c r="J55" s="23">
        <v>19.475000000000001</v>
      </c>
      <c r="K55" s="23">
        <v>27.666</v>
      </c>
      <c r="L55" s="23">
        <v>4</v>
      </c>
      <c r="M55" s="24">
        <v>2.9870000000000001E-2</v>
      </c>
      <c r="N55" s="23">
        <v>73.224999999999994</v>
      </c>
      <c r="O55" s="23">
        <v>1.431</v>
      </c>
      <c r="P55" s="24">
        <v>1.025E-2</v>
      </c>
      <c r="Q55" s="23">
        <v>0</v>
      </c>
      <c r="R55" s="24">
        <v>0</v>
      </c>
      <c r="S55" s="490"/>
    </row>
    <row r="56" spans="1:19" ht="12.75" customHeight="1" x14ac:dyDescent="0.2">
      <c r="A56" s="490"/>
      <c r="B56" s="490"/>
      <c r="C56" s="666"/>
      <c r="D56" s="519" t="s">
        <v>112</v>
      </c>
      <c r="E56" s="521" t="s">
        <v>113</v>
      </c>
      <c r="F56" s="669" t="s">
        <v>38</v>
      </c>
      <c r="G56" s="670"/>
      <c r="H56" s="23">
        <v>9.2089999999999996</v>
      </c>
      <c r="I56" s="23">
        <v>0</v>
      </c>
      <c r="J56" s="23">
        <v>19.475000000000001</v>
      </c>
      <c r="K56" s="23">
        <v>27.666</v>
      </c>
      <c r="L56" s="23">
        <v>4</v>
      </c>
      <c r="M56" s="24">
        <v>2.9870000000000001E-2</v>
      </c>
      <c r="N56" s="23">
        <v>71.988</v>
      </c>
      <c r="O56" s="23">
        <v>2.7829999999999999</v>
      </c>
      <c r="P56" s="24">
        <v>1.312E-2</v>
      </c>
      <c r="Q56" s="23">
        <v>0</v>
      </c>
      <c r="R56" s="24">
        <v>0</v>
      </c>
      <c r="S56" s="490"/>
    </row>
    <row r="57" spans="1:19" ht="12.75" customHeight="1" x14ac:dyDescent="0.2">
      <c r="A57" s="490"/>
      <c r="B57" s="490"/>
      <c r="C57" s="673"/>
      <c r="D57" s="519" t="s">
        <v>114</v>
      </c>
      <c r="E57" s="522" t="s">
        <v>115</v>
      </c>
      <c r="F57" s="674" t="s">
        <v>38</v>
      </c>
      <c r="G57" s="675"/>
      <c r="H57" s="25" t="s">
        <v>443</v>
      </c>
      <c r="I57" s="26" t="s">
        <v>443</v>
      </c>
      <c r="J57" s="26" t="s">
        <v>443</v>
      </c>
      <c r="K57" s="25" t="s">
        <v>443</v>
      </c>
      <c r="L57" s="26" t="s">
        <v>443</v>
      </c>
      <c r="M57" s="27" t="s">
        <v>443</v>
      </c>
      <c r="N57" s="25" t="s">
        <v>443</v>
      </c>
      <c r="O57" s="26" t="s">
        <v>443</v>
      </c>
      <c r="P57" s="27" t="s">
        <v>443</v>
      </c>
      <c r="Q57" s="26" t="s">
        <v>443</v>
      </c>
      <c r="R57" s="27" t="s">
        <v>443</v>
      </c>
      <c r="S57" s="490"/>
    </row>
    <row r="58" spans="1:19" ht="12.75" customHeight="1" x14ac:dyDescent="0.2">
      <c r="A58" s="490"/>
      <c r="B58" s="490"/>
      <c r="C58" s="665" t="s">
        <v>116</v>
      </c>
      <c r="D58" s="517" t="s">
        <v>117</v>
      </c>
      <c r="E58" s="523" t="s">
        <v>118</v>
      </c>
      <c r="F58" s="667" t="s">
        <v>38</v>
      </c>
      <c r="G58" s="668"/>
      <c r="H58" s="20">
        <v>9.2089999999999996</v>
      </c>
      <c r="I58" s="20">
        <v>0</v>
      </c>
      <c r="J58" s="20">
        <v>3.69</v>
      </c>
      <c r="K58" s="20">
        <v>41.435000000000002</v>
      </c>
      <c r="L58" s="20">
        <v>4</v>
      </c>
      <c r="M58" s="21">
        <v>3.7000000000000002E-3</v>
      </c>
      <c r="N58" s="20">
        <v>98.459000000000003</v>
      </c>
      <c r="O58" s="20">
        <v>0.64600000000000002</v>
      </c>
      <c r="P58" s="21">
        <v>8.7399999999999995E-3</v>
      </c>
      <c r="Q58" s="20">
        <v>0</v>
      </c>
      <c r="R58" s="21">
        <v>0</v>
      </c>
      <c r="S58" s="490"/>
    </row>
    <row r="59" spans="1:19" ht="12.75" customHeight="1" x14ac:dyDescent="0.2">
      <c r="A59" s="490"/>
      <c r="B59" s="490"/>
      <c r="C59" s="666"/>
      <c r="D59" s="519" t="s">
        <v>119</v>
      </c>
      <c r="E59" s="521" t="s">
        <v>120</v>
      </c>
      <c r="F59" s="669" t="s">
        <v>38</v>
      </c>
      <c r="G59" s="670"/>
      <c r="H59" s="23">
        <v>9.2089999999999996</v>
      </c>
      <c r="I59" s="23">
        <v>0</v>
      </c>
      <c r="J59" s="23">
        <v>3.69</v>
      </c>
      <c r="K59" s="23">
        <v>41.435000000000002</v>
      </c>
      <c r="L59" s="23">
        <v>4</v>
      </c>
      <c r="M59" s="24">
        <v>3.7000000000000002E-3</v>
      </c>
      <c r="N59" s="23">
        <v>73.224999999999994</v>
      </c>
      <c r="O59" s="23">
        <v>1.431</v>
      </c>
      <c r="P59" s="24">
        <v>1.025E-2</v>
      </c>
      <c r="Q59" s="23">
        <v>0</v>
      </c>
      <c r="R59" s="24">
        <v>0</v>
      </c>
      <c r="S59" s="490"/>
    </row>
    <row r="60" spans="1:19" ht="12.75" customHeight="1" x14ac:dyDescent="0.2">
      <c r="A60" s="490"/>
      <c r="B60" s="490"/>
      <c r="C60" s="666"/>
      <c r="D60" s="519" t="s">
        <v>121</v>
      </c>
      <c r="E60" s="521" t="s">
        <v>122</v>
      </c>
      <c r="F60" s="669" t="s">
        <v>38</v>
      </c>
      <c r="G60" s="670"/>
      <c r="H60" s="23">
        <v>9.2089999999999996</v>
      </c>
      <c r="I60" s="23">
        <v>0</v>
      </c>
      <c r="J60" s="23">
        <v>3.69</v>
      </c>
      <c r="K60" s="23">
        <v>41.435000000000002</v>
      </c>
      <c r="L60" s="23">
        <v>4</v>
      </c>
      <c r="M60" s="24">
        <v>3.7000000000000002E-3</v>
      </c>
      <c r="N60" s="23">
        <v>71.988</v>
      </c>
      <c r="O60" s="23">
        <v>2.7829999999999999</v>
      </c>
      <c r="P60" s="24">
        <v>1.312E-2</v>
      </c>
      <c r="Q60" s="23">
        <v>0</v>
      </c>
      <c r="R60" s="24">
        <v>0</v>
      </c>
      <c r="S60" s="490"/>
    </row>
    <row r="61" spans="1:19" ht="12.75" customHeight="1" x14ac:dyDescent="0.2">
      <c r="A61" s="490"/>
      <c r="B61" s="490"/>
      <c r="C61" s="666"/>
      <c r="D61" s="519" t="s">
        <v>123</v>
      </c>
      <c r="E61" s="521" t="s">
        <v>124</v>
      </c>
      <c r="F61" s="669" t="s">
        <v>38</v>
      </c>
      <c r="G61" s="670"/>
      <c r="H61" s="23" t="s">
        <v>443</v>
      </c>
      <c r="I61" s="23" t="s">
        <v>443</v>
      </c>
      <c r="J61" s="23" t="s">
        <v>443</v>
      </c>
      <c r="K61" s="23" t="s">
        <v>443</v>
      </c>
      <c r="L61" s="23" t="s">
        <v>443</v>
      </c>
      <c r="M61" s="24" t="s">
        <v>443</v>
      </c>
      <c r="N61" s="23" t="s">
        <v>443</v>
      </c>
      <c r="O61" s="23" t="s">
        <v>443</v>
      </c>
      <c r="P61" s="24" t="s">
        <v>443</v>
      </c>
      <c r="Q61" s="23" t="s">
        <v>443</v>
      </c>
      <c r="R61" s="24" t="s">
        <v>443</v>
      </c>
      <c r="S61" s="490"/>
    </row>
    <row r="62" spans="1:19" ht="12.75" customHeight="1" x14ac:dyDescent="0.2">
      <c r="A62" s="490"/>
      <c r="B62" s="490"/>
      <c r="C62" s="666"/>
      <c r="D62" s="519" t="s">
        <v>125</v>
      </c>
      <c r="E62" s="521" t="s">
        <v>126</v>
      </c>
      <c r="F62" s="669" t="s">
        <v>38</v>
      </c>
      <c r="G62" s="670"/>
      <c r="H62" s="23" t="s">
        <v>443</v>
      </c>
      <c r="I62" s="23" t="s">
        <v>443</v>
      </c>
      <c r="J62" s="23" t="s">
        <v>443</v>
      </c>
      <c r="K62" s="23" t="s">
        <v>443</v>
      </c>
      <c r="L62" s="23" t="s">
        <v>443</v>
      </c>
      <c r="M62" s="24" t="s">
        <v>443</v>
      </c>
      <c r="N62" s="23" t="s">
        <v>443</v>
      </c>
      <c r="O62" s="23" t="s">
        <v>443</v>
      </c>
      <c r="P62" s="24" t="s">
        <v>443</v>
      </c>
      <c r="Q62" s="23" t="s">
        <v>443</v>
      </c>
      <c r="R62" s="24" t="s">
        <v>443</v>
      </c>
      <c r="S62" s="490"/>
    </row>
    <row r="63" spans="1:19" ht="12.75" customHeight="1" x14ac:dyDescent="0.2">
      <c r="A63" s="490"/>
      <c r="B63" s="490"/>
      <c r="C63" s="666"/>
      <c r="D63" s="519" t="s">
        <v>127</v>
      </c>
      <c r="E63" s="521" t="s">
        <v>128</v>
      </c>
      <c r="F63" s="669" t="s">
        <v>38</v>
      </c>
      <c r="G63" s="670"/>
      <c r="H63" s="23" t="s">
        <v>443</v>
      </c>
      <c r="I63" s="23" t="s">
        <v>443</v>
      </c>
      <c r="J63" s="23" t="s">
        <v>443</v>
      </c>
      <c r="K63" s="23" t="s">
        <v>443</v>
      </c>
      <c r="L63" s="23" t="s">
        <v>443</v>
      </c>
      <c r="M63" s="24" t="s">
        <v>443</v>
      </c>
      <c r="N63" s="23" t="s">
        <v>443</v>
      </c>
      <c r="O63" s="23" t="s">
        <v>443</v>
      </c>
      <c r="P63" s="24" t="s">
        <v>443</v>
      </c>
      <c r="Q63" s="23" t="s">
        <v>443</v>
      </c>
      <c r="R63" s="24" t="s">
        <v>443</v>
      </c>
      <c r="S63" s="490"/>
    </row>
    <row r="64" spans="1:19" ht="12.75" customHeight="1" x14ac:dyDescent="0.2">
      <c r="A64" s="490"/>
      <c r="B64" s="490"/>
      <c r="C64" s="673"/>
      <c r="D64" s="524" t="s">
        <v>129</v>
      </c>
      <c r="E64" s="522" t="s">
        <v>130</v>
      </c>
      <c r="F64" s="674" t="s">
        <v>38</v>
      </c>
      <c r="G64" s="675"/>
      <c r="H64" s="25" t="s">
        <v>443</v>
      </c>
      <c r="I64" s="26" t="s">
        <v>443</v>
      </c>
      <c r="J64" s="26" t="s">
        <v>443</v>
      </c>
      <c r="K64" s="25" t="s">
        <v>443</v>
      </c>
      <c r="L64" s="26" t="s">
        <v>443</v>
      </c>
      <c r="M64" s="27" t="s">
        <v>443</v>
      </c>
      <c r="N64" s="25" t="s">
        <v>443</v>
      </c>
      <c r="O64" s="26" t="s">
        <v>443</v>
      </c>
      <c r="P64" s="27" t="s">
        <v>443</v>
      </c>
      <c r="Q64" s="26" t="s">
        <v>443</v>
      </c>
      <c r="R64" s="27" t="s">
        <v>443</v>
      </c>
      <c r="S64" s="490"/>
    </row>
    <row r="65" spans="1:19" ht="12.75" customHeight="1" x14ac:dyDescent="0.2">
      <c r="A65" s="490"/>
      <c r="B65" s="490"/>
      <c r="C65" s="665" t="s">
        <v>131</v>
      </c>
      <c r="D65" s="517" t="s">
        <v>132</v>
      </c>
      <c r="E65" s="525" t="s">
        <v>133</v>
      </c>
      <c r="F65" s="667" t="s">
        <v>38</v>
      </c>
      <c r="G65" s="668"/>
      <c r="H65" s="20">
        <v>9.2089999999999996</v>
      </c>
      <c r="I65" s="20">
        <v>0</v>
      </c>
      <c r="J65" s="20">
        <v>7.38</v>
      </c>
      <c r="K65" s="20">
        <v>72.332999999999998</v>
      </c>
      <c r="L65" s="20">
        <v>4</v>
      </c>
      <c r="M65" s="21">
        <v>3.7000000000000002E-3</v>
      </c>
      <c r="N65" s="20">
        <v>98.459000000000003</v>
      </c>
      <c r="O65" s="20">
        <v>0.64600000000000002</v>
      </c>
      <c r="P65" s="21">
        <v>8.7399999999999995E-3</v>
      </c>
      <c r="Q65" s="20">
        <v>0</v>
      </c>
      <c r="R65" s="21">
        <v>0</v>
      </c>
      <c r="S65" s="490"/>
    </row>
    <row r="66" spans="1:19" ht="12.75" customHeight="1" x14ac:dyDescent="0.2">
      <c r="A66" s="490"/>
      <c r="B66" s="490"/>
      <c r="C66" s="666"/>
      <c r="D66" s="519" t="s">
        <v>134</v>
      </c>
      <c r="E66" s="521" t="s">
        <v>135</v>
      </c>
      <c r="F66" s="669" t="s">
        <v>38</v>
      </c>
      <c r="G66" s="670"/>
      <c r="H66" s="23">
        <v>9.2089999999999996</v>
      </c>
      <c r="I66" s="23">
        <v>0</v>
      </c>
      <c r="J66" s="23">
        <v>7.38</v>
      </c>
      <c r="K66" s="23">
        <v>72.332999999999998</v>
      </c>
      <c r="L66" s="23">
        <v>4</v>
      </c>
      <c r="M66" s="24">
        <v>3.7000000000000002E-3</v>
      </c>
      <c r="N66" s="23">
        <v>73.224999999999994</v>
      </c>
      <c r="O66" s="23">
        <v>1.431</v>
      </c>
      <c r="P66" s="24">
        <v>1.025E-2</v>
      </c>
      <c r="Q66" s="23">
        <v>0</v>
      </c>
      <c r="R66" s="24">
        <v>0</v>
      </c>
      <c r="S66" s="490"/>
    </row>
    <row r="67" spans="1:19" ht="12.75" customHeight="1" x14ac:dyDescent="0.2">
      <c r="A67" s="490"/>
      <c r="B67" s="490"/>
      <c r="C67" s="666"/>
      <c r="D67" s="519" t="s">
        <v>136</v>
      </c>
      <c r="E67" s="521" t="s">
        <v>137</v>
      </c>
      <c r="F67" s="669" t="s">
        <v>38</v>
      </c>
      <c r="G67" s="670"/>
      <c r="H67" s="23">
        <v>9.2089999999999996</v>
      </c>
      <c r="I67" s="23">
        <v>0</v>
      </c>
      <c r="J67" s="23">
        <v>7.38</v>
      </c>
      <c r="K67" s="23">
        <v>72.332999999999998</v>
      </c>
      <c r="L67" s="23">
        <v>4</v>
      </c>
      <c r="M67" s="24">
        <v>3.7000000000000002E-3</v>
      </c>
      <c r="N67" s="23">
        <v>71.988</v>
      </c>
      <c r="O67" s="23">
        <v>2.7829999999999999</v>
      </c>
      <c r="P67" s="24">
        <v>1.312E-2</v>
      </c>
      <c r="Q67" s="23">
        <v>0</v>
      </c>
      <c r="R67" s="24">
        <v>0</v>
      </c>
      <c r="S67" s="490"/>
    </row>
    <row r="68" spans="1:19" ht="12.75" customHeight="1" x14ac:dyDescent="0.2">
      <c r="A68" s="490"/>
      <c r="B68" s="490"/>
      <c r="C68" s="666"/>
      <c r="D68" s="519" t="s">
        <v>138</v>
      </c>
      <c r="E68" s="521" t="s">
        <v>139</v>
      </c>
      <c r="F68" s="669" t="s">
        <v>38</v>
      </c>
      <c r="G68" s="670"/>
      <c r="H68" s="23">
        <v>9.2089999999999996</v>
      </c>
      <c r="I68" s="23">
        <v>0</v>
      </c>
      <c r="J68" s="23">
        <v>30.442</v>
      </c>
      <c r="K68" s="23">
        <v>181</v>
      </c>
      <c r="L68" s="23">
        <v>4</v>
      </c>
      <c r="M68" s="24">
        <v>2.9870000000000001E-2</v>
      </c>
      <c r="N68" s="23">
        <v>98.459000000000003</v>
      </c>
      <c r="O68" s="23">
        <v>0.64600000000000002</v>
      </c>
      <c r="P68" s="24">
        <v>8.7399999999999995E-3</v>
      </c>
      <c r="Q68" s="23">
        <v>0</v>
      </c>
      <c r="R68" s="24">
        <v>0</v>
      </c>
      <c r="S68" s="490"/>
    </row>
    <row r="69" spans="1:19" ht="12.75" customHeight="1" x14ac:dyDescent="0.2">
      <c r="A69" s="490"/>
      <c r="B69" s="490"/>
      <c r="C69" s="666"/>
      <c r="D69" s="519" t="s">
        <v>140</v>
      </c>
      <c r="E69" s="521" t="s">
        <v>141</v>
      </c>
      <c r="F69" s="669" t="s">
        <v>38</v>
      </c>
      <c r="G69" s="670"/>
      <c r="H69" s="23">
        <v>9.2089999999999996</v>
      </c>
      <c r="I69" s="23">
        <v>0</v>
      </c>
      <c r="J69" s="23">
        <v>30.442</v>
      </c>
      <c r="K69" s="23">
        <v>181</v>
      </c>
      <c r="L69" s="23">
        <v>4</v>
      </c>
      <c r="M69" s="24">
        <v>2.9870000000000001E-2</v>
      </c>
      <c r="N69" s="23">
        <v>73.224999999999994</v>
      </c>
      <c r="O69" s="23">
        <v>1.431</v>
      </c>
      <c r="P69" s="24">
        <v>1.025E-2</v>
      </c>
      <c r="Q69" s="23">
        <v>0</v>
      </c>
      <c r="R69" s="24">
        <v>0</v>
      </c>
      <c r="S69" s="490"/>
    </row>
    <row r="70" spans="1:19" ht="12.75" customHeight="1" x14ac:dyDescent="0.2">
      <c r="A70" s="490"/>
      <c r="B70" s="490"/>
      <c r="C70" s="666"/>
      <c r="D70" s="519" t="s">
        <v>142</v>
      </c>
      <c r="E70" s="521" t="s">
        <v>143</v>
      </c>
      <c r="F70" s="669" t="s">
        <v>38</v>
      </c>
      <c r="G70" s="670"/>
      <c r="H70" s="23">
        <v>9.2089999999999996</v>
      </c>
      <c r="I70" s="23">
        <v>0</v>
      </c>
      <c r="J70" s="23">
        <v>30.442</v>
      </c>
      <c r="K70" s="23">
        <v>181</v>
      </c>
      <c r="L70" s="23">
        <v>4</v>
      </c>
      <c r="M70" s="24">
        <v>2.9870000000000001E-2</v>
      </c>
      <c r="N70" s="23">
        <v>71.988</v>
      </c>
      <c r="O70" s="23">
        <v>2.7829999999999999</v>
      </c>
      <c r="P70" s="24">
        <v>1.312E-2</v>
      </c>
      <c r="Q70" s="23">
        <v>0</v>
      </c>
      <c r="R70" s="24">
        <v>0</v>
      </c>
      <c r="S70" s="490"/>
    </row>
    <row r="71" spans="1:19" ht="12.75" customHeight="1" x14ac:dyDescent="0.2">
      <c r="A71" s="490"/>
      <c r="B71" s="490"/>
      <c r="C71" s="666"/>
      <c r="D71" s="519" t="s">
        <v>144</v>
      </c>
      <c r="E71" s="522" t="s">
        <v>145</v>
      </c>
      <c r="F71" s="671" t="s">
        <v>38</v>
      </c>
      <c r="G71" s="672"/>
      <c r="H71" s="25" t="s">
        <v>443</v>
      </c>
      <c r="I71" s="26" t="s">
        <v>443</v>
      </c>
      <c r="J71" s="26" t="s">
        <v>443</v>
      </c>
      <c r="K71" s="25" t="s">
        <v>443</v>
      </c>
      <c r="L71" s="26" t="s">
        <v>443</v>
      </c>
      <c r="M71" s="27" t="s">
        <v>443</v>
      </c>
      <c r="N71" s="25" t="s">
        <v>443</v>
      </c>
      <c r="O71" s="26" t="s">
        <v>443</v>
      </c>
      <c r="P71" s="27" t="s">
        <v>443</v>
      </c>
      <c r="Q71" s="26" t="s">
        <v>443</v>
      </c>
      <c r="R71" s="27" t="s">
        <v>443</v>
      </c>
      <c r="S71" s="490"/>
    </row>
    <row r="72" spans="1:19" s="490" customFormat="1" x14ac:dyDescent="0.2">
      <c r="C72" s="595"/>
      <c r="D72" s="596"/>
      <c r="E72" s="597"/>
      <c r="F72" s="598"/>
      <c r="G72" s="598"/>
      <c r="H72" s="599"/>
      <c r="I72" s="599"/>
      <c r="J72" s="599"/>
      <c r="K72" s="599"/>
      <c r="L72" s="600"/>
      <c r="M72" s="599"/>
      <c r="N72" s="599"/>
      <c r="O72" s="599"/>
      <c r="P72" s="600"/>
      <c r="Q72" s="599"/>
      <c r="R72" s="600"/>
    </row>
    <row r="73" spans="1:19" s="509" customFormat="1" x14ac:dyDescent="0.2">
      <c r="C73" s="8" t="s">
        <v>96</v>
      </c>
      <c r="D73" s="527"/>
      <c r="E73" s="527"/>
      <c r="F73" s="527"/>
      <c r="G73" s="527"/>
      <c r="H73" s="527"/>
      <c r="I73" s="527"/>
      <c r="J73" s="527"/>
      <c r="K73" s="527"/>
      <c r="L73" s="527"/>
      <c r="M73" s="527"/>
      <c r="N73" s="527"/>
      <c r="O73" s="527"/>
      <c r="P73" s="527"/>
      <c r="Q73" s="527"/>
    </row>
    <row r="74" spans="1:19" s="509" customFormat="1" x14ac:dyDescent="0.2">
      <c r="C74" s="30" t="s">
        <v>97</v>
      </c>
      <c r="D74" s="38"/>
      <c r="E74" s="38"/>
      <c r="F74" s="38"/>
      <c r="G74" s="38"/>
      <c r="H74" s="38"/>
      <c r="I74" s="38"/>
      <c r="J74" s="38"/>
      <c r="K74" s="38"/>
      <c r="L74" s="38"/>
      <c r="M74" s="38"/>
      <c r="N74" s="38"/>
      <c r="O74" s="38"/>
      <c r="P74" s="38"/>
      <c r="Q74" s="38"/>
      <c r="R74" s="38"/>
    </row>
    <row r="75" spans="1:19" s="509" customFormat="1" x14ac:dyDescent="0.2">
      <c r="C75" s="38"/>
      <c r="D75" s="38"/>
      <c r="E75" s="38"/>
      <c r="F75" s="38"/>
      <c r="G75" s="38"/>
      <c r="H75" s="38"/>
      <c r="I75" s="38"/>
      <c r="J75" s="38"/>
      <c r="K75" s="38"/>
      <c r="L75" s="38"/>
      <c r="M75" s="38"/>
      <c r="N75" s="38"/>
      <c r="O75" s="38"/>
      <c r="P75" s="38"/>
      <c r="Q75" s="38"/>
      <c r="R75" s="38"/>
    </row>
    <row r="76" spans="1:19" s="509" customFormat="1" x14ac:dyDescent="0.2">
      <c r="C76" s="39"/>
      <c r="D76" s="528"/>
      <c r="E76" s="528"/>
      <c r="F76" s="528"/>
      <c r="G76" s="528"/>
      <c r="H76" s="528"/>
      <c r="I76" s="528"/>
      <c r="J76" s="528"/>
      <c r="K76" s="528"/>
      <c r="L76" s="528"/>
      <c r="M76" s="528"/>
      <c r="N76" s="528"/>
      <c r="O76" s="528"/>
      <c r="P76" s="528"/>
      <c r="Q76" s="528"/>
      <c r="R76" s="514"/>
    </row>
    <row r="77" spans="1:19" s="509" customFormat="1" ht="12.75" customHeight="1" x14ac:dyDescent="0.2">
      <c r="C77" s="40"/>
      <c r="D77" s="661"/>
      <c r="E77" s="661"/>
      <c r="F77" s="661"/>
      <c r="G77" s="661"/>
      <c r="H77" s="661"/>
      <c r="I77" s="661"/>
      <c r="J77" s="661"/>
      <c r="K77" s="661"/>
      <c r="L77" s="661"/>
      <c r="M77" s="661"/>
      <c r="N77" s="661"/>
      <c r="O77" s="661"/>
      <c r="P77" s="661"/>
      <c r="Q77" s="661"/>
      <c r="R77" s="661"/>
    </row>
    <row r="78" spans="1:19" s="509" customFormat="1" ht="12.75" customHeight="1" x14ac:dyDescent="0.2">
      <c r="C78" s="40"/>
      <c r="D78" s="661"/>
      <c r="E78" s="661"/>
      <c r="F78" s="661"/>
      <c r="G78" s="661"/>
      <c r="H78" s="661"/>
      <c r="I78" s="661"/>
      <c r="J78" s="661"/>
      <c r="K78" s="661"/>
      <c r="L78" s="661"/>
      <c r="M78" s="661"/>
      <c r="N78" s="661"/>
      <c r="O78" s="661"/>
      <c r="P78" s="661"/>
      <c r="Q78" s="661"/>
      <c r="R78" s="661"/>
    </row>
    <row r="79" spans="1:19" s="509" customFormat="1" ht="12.75" customHeight="1" x14ac:dyDescent="0.2">
      <c r="C79" s="40"/>
      <c r="D79" s="661"/>
      <c r="E79" s="661"/>
      <c r="F79" s="661"/>
      <c r="G79" s="661"/>
      <c r="H79" s="661"/>
      <c r="I79" s="661"/>
      <c r="J79" s="661"/>
      <c r="K79" s="661"/>
      <c r="L79" s="661"/>
      <c r="M79" s="661"/>
      <c r="N79" s="661"/>
      <c r="O79" s="661"/>
      <c r="P79" s="661"/>
      <c r="Q79" s="661"/>
      <c r="R79" s="661"/>
    </row>
    <row r="80" spans="1:19" s="530" customFormat="1" x14ac:dyDescent="0.2">
      <c r="A80" s="509"/>
      <c r="B80" s="509"/>
      <c r="C80" s="41"/>
      <c r="D80" s="529"/>
      <c r="E80" s="529"/>
      <c r="F80" s="529"/>
      <c r="G80" s="529"/>
      <c r="H80" s="529"/>
      <c r="I80" s="529"/>
      <c r="J80" s="529"/>
      <c r="K80" s="529"/>
      <c r="L80" s="529"/>
      <c r="M80" s="529"/>
      <c r="N80" s="529"/>
      <c r="O80" s="529"/>
      <c r="P80" s="529"/>
      <c r="Q80" s="529"/>
      <c r="R80" s="529"/>
      <c r="S80" s="509"/>
    </row>
    <row r="81" spans="1:19" s="530" customFormat="1" x14ac:dyDescent="0.2">
      <c r="A81" s="509"/>
      <c r="B81" s="509"/>
      <c r="C81" s="531"/>
      <c r="D81" s="531"/>
      <c r="E81" s="532"/>
      <c r="F81" s="532"/>
      <c r="G81" s="532"/>
      <c r="H81" s="532"/>
      <c r="I81" s="532"/>
      <c r="J81" s="532"/>
      <c r="K81" s="532"/>
      <c r="L81" s="532"/>
      <c r="M81" s="533"/>
      <c r="N81" s="533"/>
      <c r="O81" s="533"/>
      <c r="P81" s="533"/>
      <c r="Q81" s="533"/>
      <c r="R81" s="533"/>
      <c r="S81" s="509"/>
    </row>
    <row r="82" spans="1:19" s="530" customFormat="1" ht="23.25" customHeight="1" x14ac:dyDescent="0.2">
      <c r="A82" s="509"/>
      <c r="B82" s="509"/>
      <c r="C82" s="43"/>
      <c r="D82" s="534"/>
      <c r="E82" s="534"/>
      <c r="F82" s="534"/>
      <c r="G82" s="534"/>
      <c r="H82" s="534"/>
      <c r="I82" s="534"/>
      <c r="J82" s="534"/>
      <c r="K82" s="534"/>
      <c r="L82" s="534"/>
      <c r="M82" s="534"/>
      <c r="N82" s="534"/>
      <c r="O82" s="534"/>
      <c r="P82" s="534"/>
      <c r="Q82" s="534"/>
      <c r="R82" s="533"/>
      <c r="S82" s="509"/>
    </row>
    <row r="83" spans="1:19" s="530" customFormat="1" x14ac:dyDescent="0.2">
      <c r="A83" s="509"/>
      <c r="B83" s="509"/>
      <c r="C83" s="662"/>
      <c r="D83" s="662"/>
      <c r="E83" s="662"/>
      <c r="F83" s="662"/>
      <c r="G83" s="662"/>
      <c r="H83" s="662"/>
      <c r="I83" s="662"/>
      <c r="J83" s="662"/>
      <c r="K83" s="662"/>
      <c r="L83" s="662"/>
      <c r="M83" s="662"/>
      <c r="N83" s="662"/>
      <c r="O83" s="662"/>
      <c r="P83" s="662"/>
      <c r="Q83" s="662"/>
      <c r="R83" s="662"/>
      <c r="S83" s="509"/>
    </row>
    <row r="84" spans="1:19" s="530" customFormat="1" ht="28.5" customHeight="1" x14ac:dyDescent="0.2">
      <c r="A84" s="509"/>
      <c r="B84" s="509"/>
      <c r="C84" s="663"/>
      <c r="D84" s="663"/>
      <c r="E84" s="663"/>
      <c r="F84" s="663"/>
      <c r="G84" s="663"/>
      <c r="H84" s="663"/>
      <c r="I84" s="663"/>
      <c r="J84" s="663"/>
      <c r="K84" s="663"/>
      <c r="L84" s="663"/>
      <c r="M84" s="663"/>
      <c r="N84" s="663"/>
      <c r="O84" s="663"/>
      <c r="P84" s="663"/>
      <c r="Q84" s="663"/>
      <c r="R84" s="663"/>
      <c r="S84" s="509"/>
    </row>
    <row r="85" spans="1:19" s="530" customFormat="1" x14ac:dyDescent="0.2">
      <c r="A85" s="509"/>
      <c r="B85" s="509"/>
      <c r="C85" s="535"/>
      <c r="D85" s="534"/>
      <c r="E85" s="534"/>
      <c r="F85" s="534"/>
      <c r="G85" s="534"/>
      <c r="H85" s="534"/>
      <c r="I85" s="534"/>
      <c r="J85" s="534"/>
      <c r="K85" s="534"/>
      <c r="L85" s="534"/>
      <c r="M85" s="534"/>
      <c r="N85" s="534"/>
      <c r="O85" s="534"/>
      <c r="P85" s="534"/>
      <c r="Q85" s="534"/>
      <c r="R85" s="533"/>
      <c r="S85" s="509"/>
    </row>
    <row r="86" spans="1:19" s="530" customFormat="1" x14ac:dyDescent="0.2">
      <c r="A86" s="509"/>
      <c r="B86" s="509"/>
      <c r="C86" s="535"/>
      <c r="D86" s="534"/>
      <c r="E86" s="534"/>
      <c r="F86" s="534"/>
      <c r="G86" s="534"/>
      <c r="H86" s="534"/>
      <c r="I86" s="534"/>
      <c r="J86" s="534"/>
      <c r="K86" s="534"/>
      <c r="L86" s="534"/>
      <c r="M86" s="534"/>
      <c r="N86" s="534"/>
      <c r="O86" s="534"/>
      <c r="P86" s="534"/>
      <c r="Q86" s="534"/>
      <c r="R86" s="533"/>
      <c r="S86" s="509"/>
    </row>
    <row r="87" spans="1:19" s="530" customFormat="1" ht="28.5" customHeight="1" x14ac:dyDescent="0.2">
      <c r="A87" s="509"/>
      <c r="B87" s="509"/>
      <c r="C87" s="664"/>
      <c r="D87" s="664"/>
      <c r="E87" s="664"/>
      <c r="F87" s="664"/>
      <c r="G87" s="664"/>
      <c r="H87" s="664"/>
      <c r="I87" s="664"/>
      <c r="J87" s="664"/>
      <c r="K87" s="664"/>
      <c r="L87" s="664"/>
      <c r="M87" s="664"/>
      <c r="N87" s="664"/>
      <c r="O87" s="664"/>
      <c r="P87" s="664"/>
      <c r="Q87" s="664"/>
      <c r="R87" s="664"/>
      <c r="S87" s="509"/>
    </row>
    <row r="88" spans="1:19" s="530" customFormat="1" x14ac:dyDescent="0.2">
      <c r="A88" s="509"/>
      <c r="B88" s="509"/>
      <c r="C88" s="676"/>
      <c r="D88" s="676"/>
      <c r="E88" s="676"/>
      <c r="F88" s="676"/>
      <c r="G88" s="676"/>
      <c r="H88" s="676"/>
      <c r="I88" s="676"/>
      <c r="J88" s="676"/>
      <c r="K88" s="676"/>
      <c r="L88" s="676"/>
      <c r="M88" s="676"/>
      <c r="N88" s="676"/>
      <c r="O88" s="676"/>
      <c r="P88" s="676"/>
      <c r="Q88" s="676"/>
      <c r="R88" s="676"/>
      <c r="S88" s="509"/>
    </row>
    <row r="89" spans="1:19" s="530" customFormat="1" x14ac:dyDescent="0.2">
      <c r="A89" s="509"/>
      <c r="B89" s="509"/>
      <c r="C89" s="660"/>
      <c r="D89" s="660"/>
      <c r="E89" s="660"/>
      <c r="F89" s="660"/>
      <c r="G89" s="660"/>
      <c r="H89" s="660"/>
      <c r="I89" s="660"/>
      <c r="J89" s="660"/>
      <c r="K89" s="660"/>
      <c r="L89" s="660"/>
      <c r="M89" s="660"/>
      <c r="N89" s="660"/>
      <c r="O89" s="660"/>
      <c r="P89" s="660"/>
      <c r="Q89" s="660"/>
      <c r="R89" s="660"/>
      <c r="S89" s="509"/>
    </row>
    <row r="90" spans="1:19" s="530" customFormat="1" x14ac:dyDescent="0.2">
      <c r="A90" s="509"/>
      <c r="B90" s="509"/>
      <c r="C90" s="509"/>
      <c r="D90" s="509"/>
      <c r="E90" s="511"/>
      <c r="F90" s="509"/>
      <c r="G90" s="512"/>
      <c r="H90" s="512"/>
      <c r="I90" s="513"/>
      <c r="J90" s="509"/>
      <c r="K90" s="509"/>
      <c r="L90" s="509"/>
      <c r="M90" s="509"/>
      <c r="N90" s="509"/>
      <c r="O90" s="509"/>
      <c r="P90" s="509"/>
      <c r="Q90" s="509"/>
      <c r="R90" s="509"/>
      <c r="S90" s="509"/>
    </row>
    <row r="91" spans="1:19" x14ac:dyDescent="0.2">
      <c r="A91" s="490"/>
      <c r="B91" s="490"/>
      <c r="C91" s="490"/>
      <c r="D91" s="490"/>
      <c r="E91" s="496"/>
      <c r="F91" s="490"/>
      <c r="G91" s="497"/>
      <c r="H91" s="497"/>
      <c r="I91" s="498"/>
      <c r="J91" s="490"/>
      <c r="K91" s="490"/>
      <c r="L91" s="490"/>
      <c r="M91" s="490"/>
      <c r="N91" s="490"/>
      <c r="O91" s="490"/>
      <c r="P91" s="490"/>
      <c r="Q91" s="490"/>
      <c r="R91" s="490"/>
      <c r="S91" s="490"/>
    </row>
    <row r="92" spans="1:19" x14ac:dyDescent="0.2">
      <c r="A92" s="490"/>
      <c r="B92" s="490"/>
      <c r="C92" s="490"/>
      <c r="D92" s="490"/>
      <c r="E92" s="496"/>
      <c r="F92" s="490"/>
      <c r="G92" s="497"/>
      <c r="H92" s="497"/>
      <c r="I92" s="498"/>
      <c r="J92" s="490"/>
      <c r="K92" s="490"/>
      <c r="L92" s="490"/>
      <c r="M92" s="490"/>
      <c r="N92" s="490"/>
      <c r="O92" s="490"/>
      <c r="P92" s="490"/>
      <c r="Q92" s="490"/>
      <c r="R92" s="490"/>
      <c r="S92" s="490"/>
    </row>
    <row r="93" spans="1:19" x14ac:dyDescent="0.2">
      <c r="A93" s="490"/>
      <c r="B93" s="490"/>
      <c r="C93" s="490"/>
      <c r="D93" s="490"/>
      <c r="E93" s="496"/>
      <c r="F93" s="490"/>
      <c r="G93" s="497"/>
      <c r="H93" s="497"/>
      <c r="I93" s="498"/>
      <c r="J93" s="490"/>
      <c r="K93" s="490"/>
      <c r="L93" s="490"/>
      <c r="M93" s="490"/>
      <c r="N93" s="490"/>
      <c r="O93" s="490"/>
      <c r="P93" s="490"/>
      <c r="Q93" s="490"/>
      <c r="R93" s="490"/>
      <c r="S93" s="490"/>
    </row>
    <row r="94" spans="1:19" x14ac:dyDescent="0.2">
      <c r="A94" s="490"/>
      <c r="B94" s="490"/>
      <c r="C94" s="490"/>
      <c r="D94" s="490"/>
      <c r="E94" s="496"/>
      <c r="F94" s="490"/>
      <c r="G94" s="497"/>
      <c r="H94" s="497"/>
      <c r="I94" s="498"/>
      <c r="J94" s="490"/>
      <c r="K94" s="490"/>
      <c r="L94" s="490"/>
      <c r="M94" s="490"/>
      <c r="N94" s="490"/>
      <c r="O94" s="490"/>
      <c r="P94" s="490"/>
      <c r="Q94" s="490"/>
      <c r="R94" s="490"/>
      <c r="S94" s="490"/>
    </row>
    <row r="95" spans="1:19" x14ac:dyDescent="0.2">
      <c r="A95" s="490"/>
      <c r="B95" s="490"/>
      <c r="C95" s="490"/>
      <c r="D95" s="490"/>
      <c r="E95" s="496"/>
      <c r="F95" s="490"/>
      <c r="G95" s="497"/>
      <c r="H95" s="497"/>
      <c r="I95" s="498"/>
      <c r="J95" s="490"/>
      <c r="K95" s="490"/>
      <c r="L95" s="490"/>
      <c r="M95" s="490"/>
      <c r="N95" s="490"/>
      <c r="O95" s="490"/>
      <c r="P95" s="490"/>
      <c r="Q95" s="490"/>
      <c r="R95" s="490"/>
      <c r="S95" s="490"/>
    </row>
    <row r="96" spans="1:19" x14ac:dyDescent="0.2">
      <c r="A96" s="490"/>
      <c r="B96" s="490"/>
      <c r="C96" s="490"/>
      <c r="D96" s="490"/>
      <c r="E96" s="496"/>
      <c r="F96" s="490"/>
      <c r="G96" s="497"/>
      <c r="H96" s="497"/>
      <c r="I96" s="498"/>
      <c r="J96" s="490"/>
      <c r="K96" s="490"/>
      <c r="L96" s="490"/>
      <c r="M96" s="490"/>
      <c r="N96" s="490"/>
      <c r="O96" s="490"/>
      <c r="P96" s="490"/>
      <c r="Q96" s="490"/>
      <c r="R96" s="490"/>
      <c r="S96" s="490"/>
    </row>
    <row r="97" spans="1:19" x14ac:dyDescent="0.2">
      <c r="A97" s="490"/>
      <c r="B97" s="490"/>
      <c r="C97" s="490"/>
      <c r="D97" s="490"/>
      <c r="E97" s="496"/>
      <c r="F97" s="490"/>
      <c r="G97" s="497"/>
      <c r="H97" s="497"/>
      <c r="I97" s="498"/>
      <c r="J97" s="490"/>
      <c r="K97" s="490"/>
      <c r="L97" s="490"/>
      <c r="M97" s="490"/>
      <c r="N97" s="490"/>
      <c r="O97" s="490"/>
      <c r="P97" s="490"/>
      <c r="Q97" s="490"/>
      <c r="R97" s="490"/>
      <c r="S97" s="490"/>
    </row>
    <row r="98" spans="1:19" x14ac:dyDescent="0.2">
      <c r="A98" s="490"/>
      <c r="B98" s="490"/>
      <c r="C98" s="490"/>
      <c r="D98" s="490"/>
      <c r="E98" s="496"/>
      <c r="F98" s="490"/>
      <c r="G98" s="497"/>
      <c r="H98" s="497"/>
      <c r="I98" s="498"/>
      <c r="J98" s="490"/>
      <c r="K98" s="490"/>
      <c r="L98" s="490"/>
      <c r="M98" s="490"/>
      <c r="N98" s="490"/>
      <c r="O98" s="490"/>
      <c r="P98" s="490"/>
      <c r="Q98" s="490"/>
      <c r="R98" s="490"/>
      <c r="S98" s="490"/>
    </row>
    <row r="99" spans="1:19" x14ac:dyDescent="0.2">
      <c r="A99" s="490"/>
      <c r="B99" s="490"/>
      <c r="C99" s="490"/>
      <c r="D99" s="490"/>
      <c r="E99" s="496"/>
      <c r="F99" s="490"/>
      <c r="G99" s="497"/>
      <c r="H99" s="497"/>
      <c r="I99" s="498"/>
      <c r="J99" s="490"/>
      <c r="K99" s="490"/>
      <c r="L99" s="490"/>
      <c r="M99" s="490"/>
      <c r="N99" s="490"/>
      <c r="O99" s="490"/>
      <c r="P99" s="490"/>
      <c r="Q99" s="490"/>
      <c r="R99" s="490"/>
      <c r="S99" s="490"/>
    </row>
    <row r="100" spans="1:19" x14ac:dyDescent="0.2">
      <c r="A100" s="490"/>
      <c r="B100" s="490"/>
      <c r="C100" s="490"/>
      <c r="D100" s="490"/>
      <c r="E100" s="496"/>
      <c r="F100" s="490"/>
      <c r="G100" s="497"/>
      <c r="H100" s="497"/>
      <c r="I100" s="498"/>
      <c r="J100" s="490"/>
      <c r="K100" s="490"/>
      <c r="L100" s="490"/>
      <c r="M100" s="490"/>
      <c r="N100" s="490"/>
      <c r="O100" s="490"/>
      <c r="P100" s="490"/>
      <c r="Q100" s="490"/>
      <c r="R100" s="490"/>
      <c r="S100" s="490"/>
    </row>
    <row r="101" spans="1:19" x14ac:dyDescent="0.2">
      <c r="A101" s="490"/>
      <c r="B101" s="490"/>
      <c r="C101" s="490"/>
      <c r="D101" s="490"/>
      <c r="E101" s="496"/>
      <c r="F101" s="490"/>
      <c r="G101" s="497"/>
      <c r="H101" s="497"/>
      <c r="I101" s="498"/>
      <c r="J101" s="490"/>
      <c r="K101" s="490"/>
      <c r="L101" s="490"/>
      <c r="M101" s="490"/>
      <c r="N101" s="490"/>
      <c r="O101" s="490"/>
      <c r="P101" s="490"/>
      <c r="Q101" s="490"/>
      <c r="R101" s="490"/>
      <c r="S101" s="490"/>
    </row>
    <row r="102" spans="1:19" x14ac:dyDescent="0.2">
      <c r="A102" s="490"/>
      <c r="B102" s="490"/>
      <c r="C102" s="490"/>
      <c r="D102" s="490"/>
      <c r="E102" s="496"/>
      <c r="F102" s="490"/>
      <c r="G102" s="497"/>
      <c r="H102" s="497"/>
      <c r="I102" s="498"/>
      <c r="J102" s="490"/>
      <c r="K102" s="490"/>
      <c r="L102" s="490"/>
      <c r="M102" s="490"/>
      <c r="N102" s="490"/>
      <c r="O102" s="490"/>
      <c r="P102" s="490"/>
      <c r="Q102" s="490"/>
      <c r="R102" s="490"/>
      <c r="S102" s="490"/>
    </row>
    <row r="103" spans="1:19" x14ac:dyDescent="0.2">
      <c r="A103" s="490"/>
      <c r="B103" s="490"/>
      <c r="C103" s="490"/>
      <c r="D103" s="490"/>
      <c r="E103" s="496"/>
      <c r="F103" s="490"/>
      <c r="G103" s="497"/>
      <c r="H103" s="497"/>
      <c r="I103" s="498"/>
      <c r="J103" s="490"/>
      <c r="K103" s="490"/>
      <c r="L103" s="490"/>
      <c r="M103" s="490"/>
      <c r="N103" s="490"/>
      <c r="O103" s="490"/>
      <c r="P103" s="490"/>
      <c r="Q103" s="490"/>
      <c r="R103" s="490"/>
      <c r="S103" s="490"/>
    </row>
    <row r="104" spans="1:19" x14ac:dyDescent="0.2">
      <c r="A104" s="490"/>
      <c r="B104" s="490"/>
      <c r="C104" s="490"/>
      <c r="D104" s="490"/>
      <c r="E104" s="496"/>
      <c r="F104" s="490"/>
      <c r="G104" s="497"/>
      <c r="H104" s="497"/>
      <c r="I104" s="498"/>
      <c r="J104" s="490"/>
      <c r="K104" s="490"/>
      <c r="L104" s="490"/>
      <c r="M104" s="490"/>
      <c r="N104" s="490"/>
      <c r="O104" s="490"/>
      <c r="P104" s="490"/>
      <c r="Q104" s="490"/>
      <c r="R104" s="490"/>
      <c r="S104" s="490"/>
    </row>
    <row r="105" spans="1:19" x14ac:dyDescent="0.2">
      <c r="A105" s="490"/>
      <c r="B105" s="490"/>
      <c r="C105" s="490"/>
      <c r="D105" s="490"/>
      <c r="E105" s="496"/>
      <c r="F105" s="490"/>
      <c r="G105" s="497"/>
      <c r="H105" s="497"/>
      <c r="I105" s="498"/>
      <c r="J105" s="490"/>
      <c r="K105" s="490"/>
      <c r="L105" s="490"/>
      <c r="M105" s="490"/>
      <c r="N105" s="490"/>
      <c r="O105" s="490"/>
      <c r="P105" s="490"/>
      <c r="Q105" s="490"/>
      <c r="R105" s="490"/>
      <c r="S105" s="490"/>
    </row>
    <row r="106" spans="1:19" x14ac:dyDescent="0.2">
      <c r="A106" s="490"/>
      <c r="B106" s="490"/>
      <c r="C106" s="490"/>
      <c r="D106" s="490"/>
      <c r="E106" s="496"/>
      <c r="F106" s="490"/>
      <c r="G106" s="497"/>
      <c r="H106" s="497"/>
      <c r="I106" s="498"/>
      <c r="J106" s="490"/>
      <c r="K106" s="490"/>
      <c r="L106" s="490"/>
      <c r="M106" s="490"/>
      <c r="N106" s="490"/>
      <c r="O106" s="490"/>
      <c r="P106" s="490"/>
      <c r="Q106" s="490"/>
      <c r="R106" s="490"/>
      <c r="S106" s="490"/>
    </row>
    <row r="107" spans="1:19" x14ac:dyDescent="0.2">
      <c r="A107" s="490"/>
      <c r="B107" s="490"/>
      <c r="C107" s="490"/>
      <c r="D107" s="490"/>
      <c r="E107" s="496"/>
      <c r="F107" s="490"/>
      <c r="G107" s="497"/>
      <c r="H107" s="497"/>
      <c r="I107" s="498"/>
      <c r="J107" s="490"/>
      <c r="K107" s="490"/>
      <c r="L107" s="490"/>
      <c r="M107" s="490"/>
      <c r="N107" s="490"/>
      <c r="O107" s="490"/>
      <c r="P107" s="490"/>
      <c r="Q107" s="490"/>
      <c r="R107" s="490"/>
      <c r="S107" s="490"/>
    </row>
    <row r="108" spans="1:19" x14ac:dyDescent="0.2">
      <c r="A108" s="490"/>
      <c r="B108" s="490"/>
      <c r="C108" s="490"/>
      <c r="D108" s="490"/>
      <c r="E108" s="496"/>
      <c r="F108" s="490"/>
      <c r="G108" s="497"/>
      <c r="H108" s="497"/>
      <c r="I108" s="498"/>
      <c r="J108" s="490"/>
      <c r="K108" s="490"/>
      <c r="L108" s="490"/>
      <c r="M108" s="490"/>
      <c r="N108" s="490"/>
      <c r="O108" s="490"/>
      <c r="P108" s="490"/>
      <c r="Q108" s="490"/>
      <c r="R108" s="490"/>
      <c r="S108" s="490"/>
    </row>
    <row r="109" spans="1:19" x14ac:dyDescent="0.2">
      <c r="A109" s="490"/>
      <c r="B109" s="490"/>
      <c r="C109" s="490"/>
      <c r="D109" s="490"/>
      <c r="E109" s="496"/>
      <c r="F109" s="490"/>
      <c r="G109" s="497"/>
      <c r="H109" s="497"/>
      <c r="I109" s="498"/>
      <c r="J109" s="490"/>
      <c r="K109" s="490"/>
      <c r="L109" s="490"/>
      <c r="M109" s="490"/>
      <c r="N109" s="490"/>
      <c r="O109" s="490"/>
      <c r="P109" s="490"/>
      <c r="Q109" s="490"/>
      <c r="R109" s="490"/>
      <c r="S109" s="490"/>
    </row>
    <row r="110" spans="1:19" x14ac:dyDescent="0.2">
      <c r="A110" s="490"/>
      <c r="B110" s="490"/>
      <c r="C110" s="490"/>
      <c r="D110" s="490"/>
      <c r="E110" s="496"/>
      <c r="F110" s="490"/>
      <c r="G110" s="497"/>
      <c r="H110" s="497"/>
      <c r="I110" s="498"/>
      <c r="J110" s="490"/>
      <c r="K110" s="490"/>
      <c r="L110" s="490"/>
      <c r="M110" s="490"/>
      <c r="N110" s="490"/>
      <c r="O110" s="490"/>
      <c r="P110" s="490"/>
      <c r="Q110" s="490"/>
      <c r="R110" s="490"/>
      <c r="S110" s="490"/>
    </row>
    <row r="111" spans="1:19" x14ac:dyDescent="0.2">
      <c r="A111" s="490"/>
      <c r="B111" s="490"/>
      <c r="C111" s="490"/>
      <c r="D111" s="490"/>
      <c r="E111" s="496"/>
      <c r="F111" s="490"/>
      <c r="G111" s="497"/>
      <c r="H111" s="497"/>
      <c r="I111" s="498"/>
      <c r="J111" s="490"/>
      <c r="K111" s="490"/>
      <c r="L111" s="490"/>
      <c r="M111" s="490"/>
      <c r="N111" s="490"/>
      <c r="O111" s="490"/>
      <c r="P111" s="490"/>
      <c r="Q111" s="490"/>
      <c r="R111" s="490"/>
      <c r="S111" s="490"/>
    </row>
    <row r="112" spans="1:19" x14ac:dyDescent="0.2">
      <c r="A112" s="490"/>
      <c r="B112" s="490"/>
      <c r="C112" s="490"/>
      <c r="D112" s="490"/>
      <c r="E112" s="496"/>
      <c r="F112" s="490"/>
      <c r="G112" s="497"/>
      <c r="H112" s="497"/>
      <c r="I112" s="498"/>
      <c r="J112" s="490"/>
      <c r="K112" s="490"/>
      <c r="L112" s="490"/>
      <c r="M112" s="490"/>
      <c r="N112" s="490"/>
      <c r="O112" s="490"/>
      <c r="P112" s="490"/>
      <c r="Q112" s="490"/>
      <c r="R112" s="490"/>
      <c r="S112" s="490"/>
    </row>
    <row r="113" spans="1:19" x14ac:dyDescent="0.2">
      <c r="A113" s="490"/>
      <c r="B113" s="490"/>
      <c r="C113" s="490"/>
      <c r="D113" s="490"/>
      <c r="E113" s="496"/>
      <c r="F113" s="490"/>
      <c r="G113" s="497"/>
      <c r="H113" s="497"/>
      <c r="I113" s="498"/>
      <c r="J113" s="490"/>
      <c r="K113" s="490"/>
      <c r="L113" s="490"/>
      <c r="M113" s="490"/>
      <c r="N113" s="490"/>
      <c r="O113" s="490"/>
      <c r="P113" s="490"/>
      <c r="Q113" s="490"/>
      <c r="R113" s="490"/>
      <c r="S113" s="490"/>
    </row>
    <row r="114" spans="1:19" x14ac:dyDescent="0.2">
      <c r="A114" s="490"/>
      <c r="B114" s="490"/>
      <c r="C114" s="490"/>
      <c r="D114" s="490"/>
      <c r="E114" s="496"/>
      <c r="F114" s="490"/>
      <c r="G114" s="497"/>
      <c r="H114" s="497"/>
      <c r="I114" s="498"/>
      <c r="J114" s="490"/>
      <c r="K114" s="490"/>
      <c r="L114" s="490"/>
      <c r="M114" s="490"/>
      <c r="N114" s="490"/>
      <c r="O114" s="490"/>
      <c r="P114" s="490"/>
      <c r="Q114" s="490"/>
      <c r="R114" s="490"/>
      <c r="S114" s="490"/>
    </row>
    <row r="115" spans="1:19" x14ac:dyDescent="0.2">
      <c r="A115" s="490"/>
      <c r="B115" s="490"/>
      <c r="C115" s="490"/>
      <c r="D115" s="490"/>
      <c r="E115" s="496"/>
      <c r="F115" s="490"/>
      <c r="G115" s="497"/>
      <c r="H115" s="497"/>
      <c r="I115" s="498"/>
      <c r="J115" s="490"/>
      <c r="K115" s="490"/>
      <c r="L115" s="490"/>
      <c r="M115" s="490"/>
      <c r="N115" s="490"/>
      <c r="O115" s="490"/>
      <c r="P115" s="490"/>
      <c r="Q115" s="490"/>
      <c r="R115" s="490"/>
      <c r="S115" s="490"/>
    </row>
    <row r="116" spans="1:19" x14ac:dyDescent="0.2">
      <c r="A116" s="490"/>
      <c r="B116" s="490"/>
      <c r="C116" s="490"/>
      <c r="D116" s="490"/>
      <c r="E116" s="496"/>
      <c r="F116" s="490"/>
      <c r="G116" s="497"/>
      <c r="H116" s="497"/>
      <c r="I116" s="498"/>
      <c r="J116" s="490"/>
      <c r="K116" s="490"/>
      <c r="L116" s="490"/>
      <c r="M116" s="490"/>
      <c r="N116" s="490"/>
      <c r="O116" s="490"/>
      <c r="P116" s="490"/>
      <c r="Q116" s="490"/>
      <c r="R116" s="490"/>
      <c r="S116" s="490"/>
    </row>
    <row r="117" spans="1:19" x14ac:dyDescent="0.2">
      <c r="A117" s="490"/>
      <c r="B117" s="490"/>
      <c r="C117" s="490"/>
      <c r="D117" s="490"/>
      <c r="E117" s="496"/>
      <c r="F117" s="490"/>
      <c r="G117" s="497"/>
      <c r="H117" s="497"/>
      <c r="I117" s="498"/>
      <c r="J117" s="490"/>
      <c r="K117" s="490"/>
      <c r="L117" s="490"/>
      <c r="M117" s="490"/>
      <c r="N117" s="490"/>
      <c r="O117" s="490"/>
      <c r="P117" s="490"/>
      <c r="Q117" s="490"/>
      <c r="R117" s="490"/>
      <c r="S117" s="490"/>
    </row>
    <row r="118" spans="1:19" x14ac:dyDescent="0.2">
      <c r="A118" s="490"/>
      <c r="B118" s="490"/>
      <c r="C118" s="490"/>
      <c r="D118" s="490"/>
      <c r="E118" s="496"/>
      <c r="F118" s="490"/>
      <c r="G118" s="497"/>
      <c r="H118" s="497"/>
      <c r="I118" s="498"/>
      <c r="J118" s="490"/>
      <c r="K118" s="490"/>
      <c r="L118" s="490"/>
      <c r="M118" s="490"/>
      <c r="N118" s="490"/>
      <c r="O118" s="490"/>
      <c r="P118" s="490"/>
      <c r="Q118" s="490"/>
      <c r="R118" s="490"/>
      <c r="S118" s="490"/>
    </row>
    <row r="119" spans="1:19" x14ac:dyDescent="0.2">
      <c r="A119" s="490"/>
      <c r="B119" s="490"/>
      <c r="C119" s="490"/>
      <c r="D119" s="490"/>
      <c r="E119" s="496"/>
      <c r="F119" s="490"/>
      <c r="G119" s="497"/>
      <c r="H119" s="497"/>
      <c r="I119" s="498"/>
      <c r="J119" s="490"/>
      <c r="K119" s="490"/>
      <c r="L119" s="490"/>
      <c r="M119" s="490"/>
      <c r="N119" s="490"/>
      <c r="O119" s="490"/>
      <c r="P119" s="490"/>
      <c r="Q119" s="490"/>
      <c r="R119" s="490"/>
      <c r="S119" s="490"/>
    </row>
    <row r="120" spans="1:19" x14ac:dyDescent="0.2">
      <c r="A120" s="490"/>
      <c r="B120" s="490"/>
      <c r="C120" s="490"/>
      <c r="D120" s="490"/>
      <c r="E120" s="496"/>
      <c r="F120" s="490"/>
      <c r="G120" s="497"/>
      <c r="H120" s="497"/>
      <c r="I120" s="498"/>
      <c r="J120" s="490"/>
      <c r="K120" s="490"/>
      <c r="L120" s="490"/>
      <c r="M120" s="490"/>
      <c r="N120" s="490"/>
      <c r="O120" s="490"/>
      <c r="P120" s="490"/>
      <c r="Q120" s="490"/>
      <c r="R120" s="490"/>
      <c r="S120" s="490"/>
    </row>
    <row r="121" spans="1:19" x14ac:dyDescent="0.2">
      <c r="A121" s="490"/>
      <c r="B121" s="490"/>
      <c r="C121" s="490"/>
      <c r="D121" s="490"/>
      <c r="E121" s="496"/>
      <c r="F121" s="490"/>
      <c r="G121" s="497"/>
      <c r="H121" s="497"/>
      <c r="I121" s="498"/>
      <c r="J121" s="490"/>
      <c r="K121" s="490"/>
      <c r="L121" s="490"/>
      <c r="M121" s="490"/>
      <c r="N121" s="490"/>
      <c r="O121" s="490"/>
      <c r="P121" s="490"/>
      <c r="Q121" s="490"/>
      <c r="R121" s="490"/>
      <c r="S121" s="490"/>
    </row>
    <row r="122" spans="1:19" x14ac:dyDescent="0.2">
      <c r="A122" s="490"/>
      <c r="B122" s="490"/>
      <c r="C122" s="490"/>
      <c r="D122" s="490"/>
      <c r="E122" s="496"/>
      <c r="F122" s="490"/>
      <c r="G122" s="497"/>
      <c r="H122" s="497"/>
      <c r="I122" s="498"/>
      <c r="J122" s="490"/>
      <c r="K122" s="490"/>
      <c r="L122" s="490"/>
      <c r="M122" s="490"/>
      <c r="N122" s="490"/>
      <c r="O122" s="490"/>
      <c r="P122" s="490"/>
      <c r="Q122" s="490"/>
      <c r="R122" s="490"/>
      <c r="S122" s="490"/>
    </row>
    <row r="123" spans="1:19" x14ac:dyDescent="0.2">
      <c r="A123" s="490"/>
      <c r="B123" s="490"/>
      <c r="C123" s="490"/>
      <c r="D123" s="490"/>
      <c r="E123" s="496"/>
      <c r="F123" s="490"/>
      <c r="G123" s="497"/>
      <c r="H123" s="497"/>
      <c r="I123" s="498"/>
      <c r="J123" s="490"/>
      <c r="K123" s="490"/>
      <c r="L123" s="490"/>
      <c r="M123" s="490"/>
      <c r="N123" s="490"/>
      <c r="O123" s="490"/>
      <c r="P123" s="490"/>
      <c r="Q123" s="490"/>
      <c r="R123" s="490"/>
      <c r="S123" s="490"/>
    </row>
    <row r="124" spans="1:19" x14ac:dyDescent="0.2">
      <c r="A124" s="490"/>
      <c r="B124" s="490"/>
      <c r="C124" s="490"/>
      <c r="D124" s="490"/>
      <c r="E124" s="496"/>
      <c r="F124" s="490"/>
      <c r="G124" s="497"/>
      <c r="H124" s="497"/>
      <c r="I124" s="498"/>
      <c r="J124" s="490"/>
      <c r="K124" s="490"/>
      <c r="L124" s="490"/>
      <c r="M124" s="490"/>
      <c r="N124" s="490"/>
      <c r="O124" s="490"/>
      <c r="P124" s="490"/>
      <c r="Q124" s="490"/>
      <c r="R124" s="490"/>
      <c r="S124" s="490"/>
    </row>
    <row r="125" spans="1:19" x14ac:dyDescent="0.2">
      <c r="A125" s="490"/>
      <c r="B125" s="490"/>
      <c r="C125" s="490"/>
      <c r="D125" s="490"/>
      <c r="E125" s="496"/>
      <c r="F125" s="490"/>
      <c r="G125" s="497"/>
      <c r="H125" s="497"/>
      <c r="I125" s="498"/>
      <c r="J125" s="490"/>
      <c r="K125" s="490"/>
      <c r="L125" s="490"/>
      <c r="M125" s="490"/>
      <c r="N125" s="490"/>
      <c r="O125" s="490"/>
      <c r="P125" s="490"/>
      <c r="Q125" s="490"/>
      <c r="R125" s="490"/>
      <c r="S125" s="490"/>
    </row>
    <row r="126" spans="1:19" x14ac:dyDescent="0.2">
      <c r="A126" s="490"/>
      <c r="B126" s="490"/>
      <c r="C126" s="490"/>
      <c r="D126" s="490"/>
      <c r="E126" s="496"/>
      <c r="F126" s="490"/>
      <c r="G126" s="497"/>
      <c r="H126" s="497"/>
      <c r="I126" s="498"/>
      <c r="J126" s="490"/>
      <c r="K126" s="490"/>
      <c r="L126" s="490"/>
      <c r="M126" s="490"/>
      <c r="N126" s="490"/>
      <c r="O126" s="490"/>
      <c r="P126" s="490"/>
      <c r="Q126" s="490"/>
      <c r="R126" s="490"/>
      <c r="S126" s="490"/>
    </row>
    <row r="127" spans="1:19" x14ac:dyDescent="0.2">
      <c r="A127" s="490"/>
      <c r="B127" s="490"/>
      <c r="C127" s="490"/>
      <c r="D127" s="490"/>
      <c r="E127" s="496"/>
      <c r="F127" s="490"/>
      <c r="G127" s="497"/>
      <c r="H127" s="497"/>
      <c r="I127" s="498"/>
      <c r="J127" s="490"/>
      <c r="K127" s="490"/>
      <c r="L127" s="490"/>
      <c r="M127" s="490"/>
      <c r="N127" s="490"/>
      <c r="O127" s="490"/>
      <c r="P127" s="490"/>
      <c r="Q127" s="490"/>
      <c r="R127" s="490"/>
      <c r="S127" s="490"/>
    </row>
    <row r="128" spans="1:19" x14ac:dyDescent="0.2">
      <c r="A128" s="490"/>
      <c r="B128" s="490"/>
      <c r="C128" s="490"/>
      <c r="D128" s="490"/>
      <c r="E128" s="496"/>
      <c r="F128" s="490"/>
      <c r="G128" s="497"/>
      <c r="H128" s="497"/>
      <c r="I128" s="498"/>
      <c r="J128" s="490"/>
      <c r="K128" s="490"/>
      <c r="L128" s="490"/>
      <c r="M128" s="490"/>
      <c r="N128" s="490"/>
      <c r="O128" s="490"/>
      <c r="P128" s="490"/>
      <c r="Q128" s="490"/>
      <c r="R128" s="490"/>
      <c r="S128" s="490"/>
    </row>
    <row r="129" spans="1:19" x14ac:dyDescent="0.2">
      <c r="A129" s="490"/>
      <c r="B129" s="490"/>
      <c r="C129" s="490"/>
      <c r="D129" s="490"/>
      <c r="E129" s="496"/>
      <c r="F129" s="490"/>
      <c r="G129" s="497"/>
      <c r="H129" s="497"/>
      <c r="I129" s="498"/>
      <c r="J129" s="490"/>
      <c r="K129" s="490"/>
      <c r="L129" s="490"/>
      <c r="M129" s="490"/>
      <c r="N129" s="490"/>
      <c r="O129" s="490"/>
      <c r="P129" s="490"/>
      <c r="Q129" s="490"/>
      <c r="R129" s="490"/>
      <c r="S129" s="490"/>
    </row>
    <row r="130" spans="1:19" x14ac:dyDescent="0.2">
      <c r="A130" s="490"/>
      <c r="B130" s="490"/>
      <c r="C130" s="490"/>
      <c r="D130" s="490"/>
      <c r="E130" s="496"/>
      <c r="F130" s="490"/>
      <c r="G130" s="497"/>
      <c r="H130" s="497"/>
      <c r="I130" s="498"/>
      <c r="J130" s="490"/>
      <c r="K130" s="490"/>
      <c r="L130" s="490"/>
      <c r="M130" s="490"/>
      <c r="N130" s="490"/>
      <c r="O130" s="490"/>
      <c r="P130" s="490"/>
      <c r="Q130" s="490"/>
      <c r="R130" s="490"/>
      <c r="S130" s="490"/>
    </row>
    <row r="131" spans="1:19" x14ac:dyDescent="0.2">
      <c r="A131" s="490"/>
      <c r="B131" s="490"/>
      <c r="C131" s="490"/>
      <c r="D131" s="490"/>
      <c r="E131" s="496"/>
      <c r="F131" s="490"/>
      <c r="G131" s="497"/>
      <c r="H131" s="497"/>
      <c r="I131" s="498"/>
      <c r="J131" s="490"/>
      <c r="K131" s="490"/>
      <c r="L131" s="490"/>
      <c r="M131" s="490"/>
      <c r="N131" s="490"/>
      <c r="O131" s="490"/>
      <c r="P131" s="490"/>
      <c r="Q131" s="490"/>
      <c r="R131" s="490"/>
      <c r="S131" s="490"/>
    </row>
    <row r="132" spans="1:19" x14ac:dyDescent="0.2">
      <c r="A132" s="490"/>
      <c r="B132" s="490"/>
      <c r="C132" s="490"/>
      <c r="D132" s="490"/>
      <c r="E132" s="496"/>
      <c r="F132" s="490"/>
      <c r="G132" s="497"/>
      <c r="H132" s="497"/>
      <c r="I132" s="498"/>
      <c r="J132" s="490"/>
      <c r="K132" s="490"/>
      <c r="L132" s="490"/>
      <c r="M132" s="490"/>
      <c r="N132" s="490"/>
      <c r="O132" s="490"/>
      <c r="P132" s="490"/>
      <c r="Q132" s="490"/>
      <c r="R132" s="490"/>
      <c r="S132" s="490"/>
    </row>
    <row r="133" spans="1:19" x14ac:dyDescent="0.2">
      <c r="A133" s="490"/>
      <c r="B133" s="490"/>
      <c r="C133" s="490"/>
      <c r="D133" s="490"/>
      <c r="E133" s="496"/>
      <c r="F133" s="490"/>
      <c r="G133" s="497"/>
      <c r="H133" s="497"/>
      <c r="I133" s="498"/>
      <c r="J133" s="490"/>
      <c r="K133" s="490"/>
      <c r="L133" s="490"/>
      <c r="M133" s="490"/>
      <c r="N133" s="490"/>
      <c r="O133" s="490"/>
      <c r="P133" s="490"/>
      <c r="Q133" s="490"/>
      <c r="R133" s="490"/>
      <c r="S133" s="490"/>
    </row>
    <row r="134" spans="1:19" x14ac:dyDescent="0.2">
      <c r="A134" s="490"/>
      <c r="B134" s="490"/>
      <c r="C134" s="490"/>
      <c r="D134" s="490"/>
      <c r="E134" s="496"/>
      <c r="F134" s="490"/>
      <c r="G134" s="497"/>
      <c r="H134" s="497"/>
      <c r="I134" s="498"/>
      <c r="J134" s="490"/>
      <c r="K134" s="490"/>
      <c r="L134" s="490"/>
      <c r="M134" s="490"/>
      <c r="N134" s="490"/>
      <c r="O134" s="490"/>
      <c r="P134" s="490"/>
      <c r="Q134" s="490"/>
      <c r="R134" s="490"/>
      <c r="S134" s="490"/>
    </row>
    <row r="135" spans="1:19" x14ac:dyDescent="0.2">
      <c r="A135" s="490"/>
      <c r="B135" s="490"/>
      <c r="C135" s="490"/>
      <c r="D135" s="490"/>
      <c r="E135" s="496"/>
      <c r="F135" s="490"/>
      <c r="G135" s="497"/>
      <c r="H135" s="497"/>
      <c r="I135" s="498"/>
      <c r="J135" s="490"/>
      <c r="K135" s="490"/>
      <c r="L135" s="490"/>
      <c r="M135" s="490"/>
      <c r="N135" s="490"/>
      <c r="O135" s="490"/>
      <c r="P135" s="490"/>
      <c r="Q135" s="490"/>
      <c r="R135" s="490"/>
      <c r="S135" s="490"/>
    </row>
    <row r="136" spans="1:19" x14ac:dyDescent="0.2">
      <c r="A136" s="490"/>
      <c r="B136" s="490"/>
      <c r="C136" s="490"/>
      <c r="D136" s="490"/>
      <c r="E136" s="496"/>
      <c r="F136" s="490"/>
      <c r="G136" s="497"/>
      <c r="H136" s="497"/>
      <c r="I136" s="498"/>
      <c r="J136" s="490"/>
      <c r="K136" s="490"/>
      <c r="L136" s="490"/>
      <c r="M136" s="490"/>
      <c r="N136" s="490"/>
      <c r="O136" s="490"/>
      <c r="P136" s="490"/>
      <c r="Q136" s="490"/>
      <c r="R136" s="490"/>
      <c r="S136" s="490"/>
    </row>
    <row r="137" spans="1:19" x14ac:dyDescent="0.2">
      <c r="A137" s="490"/>
      <c r="B137" s="490"/>
      <c r="C137" s="490"/>
      <c r="D137" s="490"/>
      <c r="E137" s="496"/>
      <c r="F137" s="490"/>
      <c r="G137" s="497"/>
      <c r="H137" s="497"/>
      <c r="I137" s="498"/>
      <c r="J137" s="490"/>
      <c r="K137" s="490"/>
      <c r="L137" s="490"/>
      <c r="M137" s="490"/>
      <c r="N137" s="490"/>
      <c r="O137" s="490"/>
      <c r="P137" s="490"/>
      <c r="Q137" s="490"/>
      <c r="R137" s="490"/>
      <c r="S137" s="490"/>
    </row>
    <row r="138" spans="1:19" x14ac:dyDescent="0.2">
      <c r="A138" s="490"/>
      <c r="B138" s="490"/>
      <c r="C138" s="490"/>
      <c r="D138" s="490"/>
      <c r="E138" s="496"/>
      <c r="F138" s="490"/>
      <c r="G138" s="497"/>
      <c r="H138" s="497"/>
      <c r="I138" s="498"/>
      <c r="J138" s="490"/>
      <c r="K138" s="490"/>
      <c r="L138" s="490"/>
      <c r="M138" s="490"/>
      <c r="N138" s="490"/>
      <c r="O138" s="490"/>
      <c r="P138" s="490"/>
      <c r="Q138" s="490"/>
      <c r="R138" s="490"/>
      <c r="S138" s="490"/>
    </row>
    <row r="139" spans="1:19" x14ac:dyDescent="0.2">
      <c r="A139" s="490"/>
      <c r="B139" s="490"/>
      <c r="C139" s="490"/>
      <c r="D139" s="490"/>
      <c r="E139" s="496"/>
      <c r="F139" s="490"/>
      <c r="G139" s="497"/>
      <c r="H139" s="497"/>
      <c r="I139" s="498"/>
      <c r="J139" s="490"/>
      <c r="K139" s="490"/>
      <c r="L139" s="490"/>
      <c r="M139" s="490"/>
      <c r="N139" s="490"/>
      <c r="O139" s="490"/>
      <c r="P139" s="490"/>
      <c r="Q139" s="490"/>
      <c r="R139" s="490"/>
      <c r="S139" s="490"/>
    </row>
    <row r="140" spans="1:19" x14ac:dyDescent="0.2">
      <c r="A140" s="490"/>
      <c r="B140" s="490"/>
      <c r="C140" s="490"/>
      <c r="D140" s="490"/>
      <c r="E140" s="496"/>
      <c r="F140" s="490"/>
      <c r="G140" s="497"/>
      <c r="H140" s="497"/>
      <c r="I140" s="498"/>
      <c r="J140" s="490"/>
      <c r="K140" s="490"/>
      <c r="L140" s="490"/>
      <c r="M140" s="490"/>
      <c r="N140" s="490"/>
      <c r="O140" s="490"/>
      <c r="P140" s="490"/>
      <c r="Q140" s="490"/>
      <c r="R140" s="490"/>
      <c r="S140" s="490"/>
    </row>
    <row r="141" spans="1:19" x14ac:dyDescent="0.2">
      <c r="A141" s="490"/>
      <c r="B141" s="490"/>
      <c r="C141" s="490"/>
      <c r="D141" s="490"/>
      <c r="E141" s="496"/>
      <c r="F141" s="490"/>
      <c r="G141" s="497"/>
      <c r="H141" s="497"/>
      <c r="I141" s="498"/>
      <c r="J141" s="490"/>
      <c r="K141" s="490"/>
      <c r="L141" s="490"/>
      <c r="M141" s="490"/>
      <c r="N141" s="490"/>
      <c r="O141" s="490"/>
      <c r="P141" s="490"/>
      <c r="Q141" s="490"/>
      <c r="R141" s="490"/>
      <c r="S141" s="490"/>
    </row>
    <row r="142" spans="1:19" x14ac:dyDescent="0.2">
      <c r="A142" s="490"/>
      <c r="B142" s="490"/>
      <c r="C142" s="490"/>
      <c r="D142" s="490"/>
      <c r="E142" s="496"/>
      <c r="F142" s="490"/>
      <c r="G142" s="497"/>
      <c r="H142" s="497"/>
      <c r="I142" s="498"/>
      <c r="J142" s="490"/>
      <c r="K142" s="490"/>
      <c r="L142" s="490"/>
      <c r="M142" s="490"/>
      <c r="N142" s="490"/>
      <c r="O142" s="490"/>
      <c r="P142" s="490"/>
      <c r="Q142" s="490"/>
      <c r="R142" s="490"/>
      <c r="S142" s="490"/>
    </row>
    <row r="143" spans="1:19" x14ac:dyDescent="0.2">
      <c r="A143" s="490"/>
      <c r="B143" s="490"/>
      <c r="C143" s="490"/>
      <c r="D143" s="490"/>
      <c r="E143" s="496"/>
      <c r="F143" s="490"/>
      <c r="G143" s="497"/>
      <c r="H143" s="497"/>
      <c r="I143" s="498"/>
      <c r="J143" s="490"/>
      <c r="K143" s="490"/>
      <c r="L143" s="490"/>
      <c r="M143" s="490"/>
      <c r="N143" s="490"/>
      <c r="O143" s="490"/>
      <c r="P143" s="490"/>
      <c r="Q143" s="490"/>
      <c r="R143" s="490"/>
      <c r="S143" s="490"/>
    </row>
    <row r="144" spans="1:19" x14ac:dyDescent="0.2">
      <c r="A144" s="490"/>
      <c r="B144" s="490"/>
      <c r="C144" s="490"/>
      <c r="D144" s="490"/>
      <c r="E144" s="496"/>
      <c r="F144" s="490"/>
      <c r="G144" s="497"/>
      <c r="H144" s="497"/>
      <c r="I144" s="498"/>
      <c r="J144" s="490"/>
      <c r="K144" s="490"/>
      <c r="L144" s="490"/>
      <c r="M144" s="490"/>
      <c r="N144" s="490"/>
      <c r="O144" s="490"/>
      <c r="P144" s="490"/>
      <c r="Q144" s="490"/>
      <c r="R144" s="490"/>
      <c r="S144" s="490"/>
    </row>
    <row r="145" spans="1:19" x14ac:dyDescent="0.2">
      <c r="A145" s="490"/>
      <c r="B145" s="490"/>
      <c r="C145" s="490"/>
      <c r="D145" s="490"/>
      <c r="E145" s="496"/>
      <c r="F145" s="490"/>
      <c r="G145" s="497"/>
      <c r="H145" s="497"/>
      <c r="I145" s="498"/>
      <c r="J145" s="490"/>
      <c r="K145" s="490"/>
      <c r="L145" s="490"/>
      <c r="M145" s="490"/>
      <c r="N145" s="490"/>
      <c r="O145" s="490"/>
      <c r="P145" s="490"/>
      <c r="Q145" s="490"/>
      <c r="R145" s="490"/>
      <c r="S145" s="490"/>
    </row>
    <row r="146" spans="1:19" x14ac:dyDescent="0.2">
      <c r="A146" s="490"/>
      <c r="B146" s="490"/>
      <c r="C146" s="490"/>
      <c r="D146" s="490"/>
      <c r="E146" s="496"/>
      <c r="F146" s="490"/>
      <c r="G146" s="497"/>
      <c r="H146" s="497"/>
      <c r="I146" s="498"/>
      <c r="J146" s="490"/>
      <c r="K146" s="490"/>
      <c r="L146" s="490"/>
      <c r="M146" s="490"/>
      <c r="N146" s="490"/>
      <c r="O146" s="490"/>
      <c r="P146" s="490"/>
      <c r="Q146" s="490"/>
      <c r="R146" s="490"/>
      <c r="S146" s="490"/>
    </row>
    <row r="147" spans="1:19" x14ac:dyDescent="0.2">
      <c r="A147" s="490"/>
      <c r="B147" s="490"/>
      <c r="C147" s="490"/>
      <c r="D147" s="490"/>
      <c r="E147" s="496"/>
      <c r="F147" s="490"/>
      <c r="G147" s="497"/>
      <c r="H147" s="497"/>
      <c r="I147" s="498"/>
      <c r="J147" s="490"/>
      <c r="K147" s="490"/>
      <c r="L147" s="490"/>
      <c r="M147" s="490"/>
      <c r="N147" s="490"/>
      <c r="O147" s="490"/>
      <c r="P147" s="490"/>
      <c r="Q147" s="490"/>
      <c r="R147" s="490"/>
      <c r="S147" s="490"/>
    </row>
    <row r="148" spans="1:19" x14ac:dyDescent="0.2">
      <c r="A148" s="490"/>
      <c r="B148" s="490"/>
      <c r="C148" s="490"/>
      <c r="D148" s="490"/>
      <c r="E148" s="496"/>
      <c r="F148" s="490"/>
      <c r="G148" s="497"/>
      <c r="H148" s="497"/>
      <c r="I148" s="498"/>
      <c r="J148" s="490"/>
      <c r="K148" s="490"/>
      <c r="L148" s="490"/>
      <c r="M148" s="490"/>
      <c r="N148" s="490"/>
      <c r="O148" s="490"/>
      <c r="P148" s="490"/>
      <c r="Q148" s="490"/>
      <c r="R148" s="490"/>
      <c r="S148" s="490"/>
    </row>
    <row r="149" spans="1:19" x14ac:dyDescent="0.2">
      <c r="A149" s="490"/>
      <c r="B149" s="490"/>
      <c r="C149" s="490"/>
      <c r="D149" s="490"/>
      <c r="E149" s="496"/>
      <c r="F149" s="490"/>
      <c r="G149" s="497"/>
      <c r="H149" s="497"/>
      <c r="I149" s="498"/>
      <c r="J149" s="490"/>
      <c r="K149" s="490"/>
      <c r="L149" s="490"/>
      <c r="M149" s="490"/>
      <c r="N149" s="490"/>
      <c r="O149" s="490"/>
      <c r="P149" s="490"/>
      <c r="Q149" s="490"/>
      <c r="R149" s="490"/>
      <c r="S149" s="490"/>
    </row>
    <row r="150" spans="1:19" x14ac:dyDescent="0.2">
      <c r="A150" s="490"/>
      <c r="B150" s="490"/>
      <c r="C150" s="490"/>
      <c r="D150" s="490"/>
      <c r="E150" s="496"/>
      <c r="F150" s="490"/>
      <c r="G150" s="497"/>
      <c r="H150" s="497"/>
      <c r="I150" s="498"/>
      <c r="J150" s="490"/>
      <c r="K150" s="490"/>
      <c r="L150" s="490"/>
      <c r="M150" s="490"/>
      <c r="N150" s="490"/>
      <c r="O150" s="490"/>
      <c r="P150" s="490"/>
      <c r="Q150" s="490"/>
      <c r="R150" s="490"/>
      <c r="S150" s="490"/>
    </row>
    <row r="151" spans="1:19" x14ac:dyDescent="0.2">
      <c r="A151" s="490"/>
      <c r="B151" s="490"/>
      <c r="C151" s="490"/>
      <c r="D151" s="490"/>
      <c r="E151" s="496"/>
      <c r="F151" s="490"/>
      <c r="G151" s="497"/>
      <c r="H151" s="497"/>
      <c r="I151" s="498"/>
      <c r="J151" s="490"/>
      <c r="K151" s="490"/>
      <c r="L151" s="490"/>
      <c r="M151" s="490"/>
      <c r="N151" s="490"/>
      <c r="O151" s="490"/>
      <c r="P151" s="490"/>
      <c r="Q151" s="490"/>
      <c r="R151" s="490"/>
      <c r="S151" s="490"/>
    </row>
    <row r="152" spans="1:19" x14ac:dyDescent="0.2">
      <c r="A152" s="490"/>
      <c r="B152" s="490"/>
      <c r="C152" s="490"/>
      <c r="D152" s="490"/>
      <c r="E152" s="496"/>
      <c r="F152" s="490"/>
      <c r="G152" s="497"/>
      <c r="H152" s="497"/>
      <c r="I152" s="498"/>
      <c r="J152" s="490"/>
      <c r="K152" s="490"/>
      <c r="L152" s="490"/>
      <c r="M152" s="490"/>
      <c r="N152" s="490"/>
      <c r="O152" s="490"/>
      <c r="P152" s="490"/>
      <c r="Q152" s="490"/>
      <c r="R152" s="490"/>
      <c r="S152" s="490"/>
    </row>
    <row r="153" spans="1:19" x14ac:dyDescent="0.2">
      <c r="A153" s="490"/>
      <c r="B153" s="490"/>
      <c r="C153" s="490"/>
      <c r="D153" s="490"/>
      <c r="E153" s="496"/>
      <c r="F153" s="490"/>
      <c r="G153" s="497"/>
      <c r="H153" s="497"/>
      <c r="I153" s="498"/>
      <c r="J153" s="490"/>
      <c r="K153" s="490"/>
      <c r="L153" s="490"/>
      <c r="M153" s="490"/>
      <c r="N153" s="490"/>
      <c r="O153" s="490"/>
      <c r="P153" s="490"/>
      <c r="Q153" s="490"/>
      <c r="R153" s="490"/>
      <c r="S153" s="490"/>
    </row>
    <row r="154" spans="1:19" x14ac:dyDescent="0.2">
      <c r="A154" s="490"/>
      <c r="B154" s="490"/>
      <c r="C154" s="490"/>
      <c r="D154" s="490"/>
      <c r="E154" s="496"/>
      <c r="F154" s="490"/>
      <c r="G154" s="497"/>
      <c r="H154" s="497"/>
      <c r="I154" s="498"/>
      <c r="J154" s="490"/>
      <c r="K154" s="490"/>
      <c r="L154" s="490"/>
      <c r="M154" s="490"/>
      <c r="N154" s="490"/>
      <c r="O154" s="490"/>
      <c r="P154" s="490"/>
      <c r="Q154" s="490"/>
      <c r="R154" s="490"/>
      <c r="S154" s="490"/>
    </row>
    <row r="155" spans="1:19" x14ac:dyDescent="0.2">
      <c r="A155" s="490"/>
      <c r="B155" s="490"/>
      <c r="C155" s="490"/>
      <c r="D155" s="490"/>
      <c r="E155" s="496"/>
      <c r="F155" s="490"/>
      <c r="G155" s="497"/>
      <c r="H155" s="497"/>
      <c r="I155" s="498"/>
      <c r="J155" s="490"/>
      <c r="K155" s="490"/>
      <c r="L155" s="490"/>
      <c r="M155" s="490"/>
      <c r="N155" s="490"/>
      <c r="O155" s="490"/>
      <c r="P155" s="490"/>
      <c r="Q155" s="490"/>
      <c r="R155" s="490"/>
      <c r="S155" s="490"/>
    </row>
    <row r="156" spans="1:19" x14ac:dyDescent="0.2">
      <c r="A156" s="490"/>
      <c r="B156" s="490"/>
      <c r="C156" s="490"/>
      <c r="D156" s="490"/>
      <c r="E156" s="496"/>
      <c r="F156" s="490"/>
      <c r="G156" s="497"/>
      <c r="H156" s="497"/>
      <c r="I156" s="498"/>
      <c r="J156" s="490"/>
      <c r="K156" s="490"/>
      <c r="L156" s="490"/>
      <c r="M156" s="490"/>
      <c r="N156" s="490"/>
      <c r="O156" s="490"/>
      <c r="P156" s="490"/>
      <c r="Q156" s="490"/>
      <c r="R156" s="490"/>
      <c r="S156" s="490"/>
    </row>
    <row r="157" spans="1:19" x14ac:dyDescent="0.2">
      <c r="A157" s="490"/>
      <c r="B157" s="490"/>
      <c r="C157" s="490"/>
      <c r="D157" s="490"/>
      <c r="E157" s="496"/>
      <c r="F157" s="490"/>
      <c r="G157" s="497"/>
      <c r="H157" s="497"/>
      <c r="I157" s="498"/>
      <c r="J157" s="490"/>
      <c r="K157" s="490"/>
      <c r="L157" s="490"/>
      <c r="M157" s="490"/>
      <c r="N157" s="490"/>
      <c r="O157" s="490"/>
      <c r="P157" s="490"/>
      <c r="Q157" s="490"/>
      <c r="R157" s="490"/>
      <c r="S157" s="490"/>
    </row>
    <row r="158" spans="1:19" x14ac:dyDescent="0.2">
      <c r="A158" s="490"/>
      <c r="B158" s="490"/>
      <c r="C158" s="490"/>
      <c r="D158" s="490"/>
      <c r="E158" s="496"/>
      <c r="F158" s="490"/>
      <c r="G158" s="497"/>
      <c r="H158" s="497"/>
      <c r="I158" s="498"/>
      <c r="J158" s="490"/>
      <c r="K158" s="490"/>
      <c r="L158" s="490"/>
      <c r="M158" s="490"/>
      <c r="N158" s="490"/>
      <c r="O158" s="490"/>
      <c r="P158" s="490"/>
      <c r="Q158" s="490"/>
      <c r="R158" s="490"/>
      <c r="S158" s="490"/>
    </row>
    <row r="159" spans="1:19" x14ac:dyDescent="0.2">
      <c r="A159" s="490"/>
      <c r="B159" s="490"/>
      <c r="C159" s="490"/>
      <c r="D159" s="490"/>
      <c r="E159" s="496"/>
      <c r="F159" s="490"/>
      <c r="G159" s="497"/>
      <c r="H159" s="497"/>
      <c r="I159" s="498"/>
      <c r="J159" s="490"/>
      <c r="K159" s="490"/>
      <c r="L159" s="490"/>
      <c r="M159" s="490"/>
      <c r="N159" s="490"/>
      <c r="O159" s="490"/>
      <c r="P159" s="490"/>
      <c r="Q159" s="490"/>
      <c r="R159" s="490"/>
      <c r="S159" s="490"/>
    </row>
    <row r="160" spans="1:19" x14ac:dyDescent="0.2">
      <c r="A160" s="490"/>
      <c r="B160" s="490"/>
      <c r="C160" s="490"/>
      <c r="D160" s="490"/>
      <c r="E160" s="496"/>
      <c r="F160" s="490"/>
      <c r="G160" s="497"/>
      <c r="H160" s="497"/>
      <c r="I160" s="498"/>
      <c r="J160" s="490"/>
      <c r="K160" s="490"/>
      <c r="L160" s="490"/>
      <c r="M160" s="490"/>
      <c r="N160" s="490"/>
      <c r="O160" s="490"/>
      <c r="P160" s="490"/>
      <c r="Q160" s="490"/>
      <c r="R160" s="490"/>
      <c r="S160" s="490"/>
    </row>
    <row r="161" spans="1:19" x14ac:dyDescent="0.2">
      <c r="A161" s="490"/>
      <c r="B161" s="490"/>
      <c r="C161" s="490"/>
      <c r="D161" s="490"/>
      <c r="E161" s="496"/>
      <c r="F161" s="490"/>
      <c r="G161" s="497"/>
      <c r="H161" s="497"/>
      <c r="I161" s="498"/>
      <c r="J161" s="490"/>
      <c r="K161" s="490"/>
      <c r="L161" s="490"/>
      <c r="M161" s="490"/>
      <c r="N161" s="490"/>
      <c r="O161" s="490"/>
      <c r="P161" s="490"/>
      <c r="Q161" s="490"/>
      <c r="R161" s="490"/>
      <c r="S161" s="490"/>
    </row>
    <row r="162" spans="1:19" x14ac:dyDescent="0.2">
      <c r="A162" s="490"/>
      <c r="B162" s="490"/>
      <c r="C162" s="490"/>
      <c r="D162" s="490"/>
      <c r="E162" s="496"/>
      <c r="F162" s="490"/>
      <c r="G162" s="497"/>
      <c r="H162" s="497"/>
      <c r="I162" s="498"/>
      <c r="J162" s="490"/>
      <c r="K162" s="490"/>
      <c r="L162" s="490"/>
      <c r="M162" s="490"/>
      <c r="N162" s="490"/>
      <c r="O162" s="490"/>
      <c r="P162" s="490"/>
      <c r="Q162" s="490"/>
      <c r="R162" s="490"/>
      <c r="S162" s="490"/>
    </row>
    <row r="163" spans="1:19" x14ac:dyDescent="0.2">
      <c r="A163" s="490"/>
      <c r="B163" s="490"/>
      <c r="C163" s="490"/>
      <c r="D163" s="490"/>
      <c r="E163" s="496"/>
      <c r="F163" s="490"/>
      <c r="G163" s="497"/>
      <c r="H163" s="497"/>
      <c r="I163" s="498"/>
      <c r="J163" s="490"/>
      <c r="K163" s="490"/>
      <c r="L163" s="490"/>
      <c r="M163" s="490"/>
      <c r="N163" s="490"/>
      <c r="O163" s="490"/>
      <c r="P163" s="490"/>
      <c r="Q163" s="490"/>
      <c r="R163" s="490"/>
      <c r="S163" s="490"/>
    </row>
    <row r="164" spans="1:19" x14ac:dyDescent="0.2">
      <c r="A164" s="490"/>
      <c r="B164" s="490"/>
      <c r="C164" s="490"/>
      <c r="D164" s="490"/>
      <c r="E164" s="496"/>
      <c r="F164" s="490"/>
      <c r="G164" s="497"/>
      <c r="H164" s="497"/>
      <c r="I164" s="498"/>
      <c r="J164" s="490"/>
      <c r="K164" s="490"/>
      <c r="L164" s="490"/>
      <c r="M164" s="490"/>
      <c r="N164" s="490"/>
      <c r="O164" s="490"/>
      <c r="P164" s="490"/>
      <c r="Q164" s="490"/>
      <c r="R164" s="490"/>
      <c r="S164" s="490"/>
    </row>
    <row r="165" spans="1:19" x14ac:dyDescent="0.2">
      <c r="A165" s="490"/>
      <c r="B165" s="490"/>
      <c r="C165" s="490"/>
      <c r="D165" s="490"/>
      <c r="E165" s="496"/>
      <c r="F165" s="490"/>
      <c r="G165" s="497"/>
      <c r="H165" s="497"/>
      <c r="I165" s="498"/>
      <c r="J165" s="490"/>
      <c r="K165" s="490"/>
      <c r="L165" s="490"/>
      <c r="M165" s="490"/>
      <c r="N165" s="490"/>
      <c r="O165" s="490"/>
      <c r="P165" s="490"/>
      <c r="Q165" s="490"/>
      <c r="R165" s="490"/>
      <c r="S165" s="490"/>
    </row>
    <row r="166" spans="1:19" x14ac:dyDescent="0.2">
      <c r="A166" s="490"/>
      <c r="B166" s="490"/>
      <c r="C166" s="490"/>
      <c r="D166" s="490"/>
      <c r="E166" s="496"/>
      <c r="F166" s="490"/>
      <c r="G166" s="497"/>
      <c r="H166" s="497"/>
      <c r="I166" s="498"/>
      <c r="J166" s="490"/>
      <c r="K166" s="490"/>
      <c r="L166" s="490"/>
      <c r="M166" s="490"/>
      <c r="N166" s="490"/>
      <c r="O166" s="490"/>
      <c r="P166" s="490"/>
      <c r="Q166" s="490"/>
      <c r="R166" s="490"/>
      <c r="S166" s="490"/>
    </row>
    <row r="167" spans="1:19" x14ac:dyDescent="0.2">
      <c r="A167" s="490"/>
      <c r="B167" s="490"/>
      <c r="C167" s="490"/>
      <c r="D167" s="490"/>
      <c r="E167" s="496"/>
      <c r="F167" s="490"/>
      <c r="G167" s="497"/>
      <c r="H167" s="497"/>
      <c r="I167" s="498"/>
      <c r="J167" s="490"/>
      <c r="K167" s="490"/>
      <c r="L167" s="490"/>
      <c r="M167" s="490"/>
      <c r="N167" s="490"/>
      <c r="O167" s="490"/>
      <c r="P167" s="490"/>
      <c r="Q167" s="490"/>
      <c r="R167" s="490"/>
      <c r="S167" s="490"/>
    </row>
    <row r="168" spans="1:19" x14ac:dyDescent="0.2">
      <c r="A168" s="490"/>
      <c r="B168" s="490"/>
      <c r="C168" s="490"/>
      <c r="D168" s="490"/>
      <c r="E168" s="496"/>
      <c r="F168" s="490"/>
      <c r="G168" s="497"/>
      <c r="H168" s="497"/>
      <c r="I168" s="498"/>
      <c r="J168" s="490"/>
      <c r="K168" s="490"/>
      <c r="L168" s="490"/>
      <c r="M168" s="490"/>
      <c r="N168" s="490"/>
      <c r="O168" s="490"/>
      <c r="P168" s="490"/>
      <c r="Q168" s="490"/>
      <c r="R168" s="490"/>
      <c r="S168" s="490"/>
    </row>
    <row r="169" spans="1:19" x14ac:dyDescent="0.2">
      <c r="A169" s="490"/>
      <c r="B169" s="490"/>
      <c r="C169" s="490"/>
      <c r="D169" s="490"/>
      <c r="E169" s="496"/>
      <c r="F169" s="490"/>
      <c r="G169" s="497"/>
      <c r="H169" s="497"/>
      <c r="I169" s="498"/>
      <c r="J169" s="490"/>
      <c r="K169" s="490"/>
      <c r="L169" s="490"/>
      <c r="M169" s="490"/>
      <c r="N169" s="490"/>
      <c r="O169" s="490"/>
      <c r="P169" s="490"/>
      <c r="Q169" s="490"/>
      <c r="R169" s="490"/>
      <c r="S169" s="490"/>
    </row>
    <row r="170" spans="1:19" x14ac:dyDescent="0.2">
      <c r="A170" s="490"/>
      <c r="B170" s="490"/>
      <c r="C170" s="490"/>
      <c r="D170" s="490"/>
      <c r="E170" s="496"/>
      <c r="F170" s="490"/>
      <c r="G170" s="497"/>
      <c r="H170" s="497"/>
      <c r="I170" s="498"/>
      <c r="J170" s="490"/>
      <c r="K170" s="490"/>
      <c r="L170" s="490"/>
      <c r="M170" s="490"/>
      <c r="N170" s="490"/>
      <c r="O170" s="490"/>
      <c r="P170" s="490"/>
      <c r="Q170" s="490"/>
      <c r="R170" s="490"/>
      <c r="S170" s="490"/>
    </row>
    <row r="171" spans="1:19" x14ac:dyDescent="0.2">
      <c r="A171" s="490"/>
      <c r="B171" s="490"/>
      <c r="C171" s="490"/>
      <c r="D171" s="490"/>
      <c r="E171" s="496"/>
      <c r="F171" s="490"/>
      <c r="G171" s="497"/>
      <c r="H171" s="497"/>
      <c r="I171" s="498"/>
      <c r="J171" s="490"/>
      <c r="K171" s="490"/>
      <c r="L171" s="490"/>
      <c r="M171" s="490"/>
      <c r="N171" s="490"/>
      <c r="O171" s="490"/>
      <c r="P171" s="490"/>
      <c r="Q171" s="490"/>
      <c r="R171" s="490"/>
      <c r="S171" s="490"/>
    </row>
    <row r="172" spans="1:19" x14ac:dyDescent="0.2">
      <c r="A172" s="490"/>
      <c r="B172" s="490"/>
      <c r="C172" s="490"/>
      <c r="D172" s="490"/>
      <c r="E172" s="496"/>
      <c r="F172" s="490"/>
      <c r="G172" s="497"/>
      <c r="H172" s="497"/>
      <c r="I172" s="498"/>
      <c r="J172" s="490"/>
      <c r="K172" s="490"/>
      <c r="L172" s="490"/>
      <c r="M172" s="490"/>
      <c r="N172" s="490"/>
      <c r="O172" s="490"/>
      <c r="P172" s="490"/>
      <c r="Q172" s="490"/>
      <c r="R172" s="490"/>
      <c r="S172" s="490"/>
    </row>
    <row r="173" spans="1:19" x14ac:dyDescent="0.2">
      <c r="A173" s="490"/>
      <c r="B173" s="490"/>
      <c r="C173" s="490"/>
      <c r="D173" s="490"/>
      <c r="E173" s="496"/>
      <c r="F173" s="490"/>
      <c r="G173" s="497"/>
      <c r="H173" s="497"/>
      <c r="I173" s="498"/>
      <c r="J173" s="490"/>
      <c r="K173" s="490"/>
      <c r="L173" s="490"/>
      <c r="M173" s="490"/>
      <c r="N173" s="490"/>
      <c r="O173" s="490"/>
      <c r="P173" s="490"/>
      <c r="Q173" s="490"/>
      <c r="R173" s="490"/>
      <c r="S173" s="490"/>
    </row>
    <row r="174" spans="1:19" x14ac:dyDescent="0.2">
      <c r="A174" s="490"/>
      <c r="B174" s="490"/>
      <c r="C174" s="490"/>
      <c r="D174" s="490"/>
      <c r="E174" s="496"/>
      <c r="F174" s="490"/>
      <c r="G174" s="497"/>
      <c r="H174" s="497"/>
      <c r="I174" s="498"/>
      <c r="J174" s="490"/>
      <c r="K174" s="490"/>
      <c r="L174" s="490"/>
      <c r="M174" s="490"/>
      <c r="N174" s="490"/>
      <c r="O174" s="490"/>
      <c r="P174" s="490"/>
      <c r="Q174" s="490"/>
      <c r="R174" s="490"/>
      <c r="S174" s="490"/>
    </row>
    <row r="175" spans="1:19" x14ac:dyDescent="0.2">
      <c r="A175" s="490"/>
      <c r="B175" s="490"/>
      <c r="C175" s="490"/>
      <c r="D175" s="490"/>
      <c r="E175" s="496"/>
      <c r="F175" s="490"/>
      <c r="G175" s="497"/>
      <c r="H175" s="497"/>
      <c r="I175" s="498"/>
      <c r="J175" s="490"/>
      <c r="K175" s="490"/>
      <c r="L175" s="490"/>
      <c r="M175" s="490"/>
      <c r="N175" s="490"/>
      <c r="O175" s="490"/>
      <c r="P175" s="490"/>
      <c r="Q175" s="490"/>
      <c r="R175" s="490"/>
      <c r="S175" s="490"/>
    </row>
    <row r="176" spans="1:19" x14ac:dyDescent="0.2">
      <c r="A176" s="490"/>
      <c r="B176" s="490"/>
      <c r="C176" s="490"/>
      <c r="D176" s="490"/>
      <c r="E176" s="496"/>
      <c r="F176" s="490"/>
      <c r="G176" s="497"/>
      <c r="H176" s="497"/>
      <c r="I176" s="498"/>
      <c r="J176" s="490"/>
      <c r="K176" s="490"/>
      <c r="L176" s="490"/>
      <c r="M176" s="490"/>
      <c r="N176" s="490"/>
      <c r="O176" s="490"/>
      <c r="P176" s="490"/>
      <c r="Q176" s="490"/>
      <c r="R176" s="490"/>
      <c r="S176" s="490"/>
    </row>
    <row r="177" spans="1:19" x14ac:dyDescent="0.2">
      <c r="A177" s="490"/>
      <c r="B177" s="490"/>
      <c r="C177" s="490"/>
      <c r="D177" s="490"/>
      <c r="E177" s="496"/>
      <c r="F177" s="490"/>
      <c r="G177" s="497"/>
      <c r="H177" s="497"/>
      <c r="I177" s="498"/>
      <c r="J177" s="490"/>
      <c r="K177" s="490"/>
      <c r="L177" s="490"/>
      <c r="M177" s="490"/>
      <c r="N177" s="490"/>
      <c r="O177" s="490"/>
      <c r="P177" s="490"/>
      <c r="Q177" s="490"/>
      <c r="R177" s="490"/>
      <c r="S177" s="490"/>
    </row>
    <row r="178" spans="1:19" x14ac:dyDescent="0.2">
      <c r="A178" s="490"/>
      <c r="B178" s="490"/>
      <c r="C178" s="490"/>
      <c r="D178" s="490"/>
      <c r="E178" s="496"/>
      <c r="F178" s="490"/>
      <c r="G178" s="497"/>
      <c r="H178" s="497"/>
      <c r="I178" s="498"/>
      <c r="J178" s="490"/>
      <c r="K178" s="490"/>
      <c r="L178" s="490"/>
      <c r="M178" s="490"/>
      <c r="N178" s="490"/>
      <c r="O178" s="490"/>
      <c r="P178" s="490"/>
      <c r="Q178" s="490"/>
      <c r="R178" s="490"/>
      <c r="S178" s="490"/>
    </row>
    <row r="179" spans="1:19" x14ac:dyDescent="0.2">
      <c r="A179" s="490"/>
      <c r="B179" s="490"/>
      <c r="C179" s="490"/>
      <c r="D179" s="490"/>
      <c r="E179" s="496"/>
      <c r="F179" s="490"/>
      <c r="G179" s="497"/>
      <c r="H179" s="497"/>
      <c r="I179" s="498"/>
      <c r="J179" s="490"/>
      <c r="K179" s="490"/>
      <c r="L179" s="490"/>
      <c r="M179" s="490"/>
      <c r="N179" s="490"/>
      <c r="O179" s="490"/>
      <c r="P179" s="490"/>
      <c r="Q179" s="490"/>
      <c r="R179" s="490"/>
      <c r="S179" s="490"/>
    </row>
    <row r="180" spans="1:19" x14ac:dyDescent="0.2">
      <c r="A180" s="490"/>
      <c r="B180" s="490"/>
      <c r="C180" s="490"/>
      <c r="D180" s="490"/>
      <c r="E180" s="496"/>
      <c r="F180" s="490"/>
      <c r="G180" s="497"/>
      <c r="H180" s="497"/>
      <c r="I180" s="498"/>
      <c r="J180" s="490"/>
      <c r="K180" s="490"/>
      <c r="L180" s="490"/>
      <c r="M180" s="490"/>
      <c r="N180" s="490"/>
      <c r="O180" s="490"/>
      <c r="P180" s="490"/>
      <c r="Q180" s="490"/>
      <c r="R180" s="490"/>
      <c r="S180" s="490"/>
    </row>
    <row r="181" spans="1:19" x14ac:dyDescent="0.2">
      <c r="A181" s="490"/>
      <c r="B181" s="490"/>
      <c r="C181" s="490"/>
      <c r="D181" s="490"/>
      <c r="E181" s="496"/>
      <c r="F181" s="490"/>
      <c r="G181" s="497"/>
      <c r="H181" s="497"/>
      <c r="I181" s="498"/>
      <c r="J181" s="490"/>
      <c r="K181" s="490"/>
      <c r="L181" s="490"/>
      <c r="M181" s="490"/>
      <c r="N181" s="490"/>
      <c r="O181" s="490"/>
      <c r="P181" s="490"/>
      <c r="Q181" s="490"/>
      <c r="R181" s="490"/>
      <c r="S181" s="490"/>
    </row>
    <row r="182" spans="1:19" x14ac:dyDescent="0.2">
      <c r="A182" s="490"/>
      <c r="B182" s="490"/>
      <c r="C182" s="490"/>
      <c r="D182" s="490"/>
      <c r="E182" s="496"/>
      <c r="F182" s="490"/>
      <c r="G182" s="497"/>
      <c r="H182" s="497"/>
      <c r="I182" s="498"/>
      <c r="J182" s="490"/>
      <c r="K182" s="490"/>
      <c r="L182" s="490"/>
      <c r="M182" s="490"/>
      <c r="N182" s="490"/>
      <c r="O182" s="490"/>
      <c r="P182" s="490"/>
      <c r="Q182" s="490"/>
      <c r="R182" s="490"/>
      <c r="S182" s="490"/>
    </row>
    <row r="183" spans="1:19" x14ac:dyDescent="0.2">
      <c r="A183" s="490"/>
      <c r="B183" s="490"/>
      <c r="C183" s="490"/>
      <c r="D183" s="490"/>
      <c r="E183" s="496"/>
      <c r="F183" s="490"/>
      <c r="G183" s="497"/>
      <c r="H183" s="497"/>
      <c r="I183" s="498"/>
      <c r="J183" s="490"/>
      <c r="K183" s="490"/>
      <c r="L183" s="490"/>
      <c r="M183" s="490"/>
      <c r="N183" s="490"/>
      <c r="O183" s="490"/>
      <c r="P183" s="490"/>
      <c r="Q183" s="490"/>
      <c r="R183" s="490"/>
      <c r="S183" s="490"/>
    </row>
    <row r="184" spans="1:19" x14ac:dyDescent="0.2">
      <c r="A184" s="490"/>
      <c r="B184" s="490"/>
      <c r="C184" s="490"/>
      <c r="D184" s="490"/>
      <c r="E184" s="496"/>
      <c r="F184" s="490"/>
      <c r="G184" s="497"/>
      <c r="H184" s="497"/>
      <c r="I184" s="498"/>
      <c r="J184" s="490"/>
      <c r="K184" s="490"/>
      <c r="L184" s="490"/>
      <c r="M184" s="490"/>
      <c r="N184" s="490"/>
      <c r="O184" s="490"/>
      <c r="P184" s="490"/>
      <c r="Q184" s="490"/>
      <c r="R184" s="490"/>
      <c r="S184" s="490"/>
    </row>
    <row r="185" spans="1:19" x14ac:dyDescent="0.2">
      <c r="A185" s="490"/>
      <c r="B185" s="490"/>
      <c r="C185" s="490"/>
      <c r="D185" s="490"/>
      <c r="E185" s="496"/>
      <c r="F185" s="490"/>
      <c r="G185" s="497"/>
      <c r="H185" s="497"/>
      <c r="I185" s="498"/>
      <c r="J185" s="490"/>
      <c r="K185" s="490"/>
      <c r="L185" s="490"/>
      <c r="M185" s="490"/>
      <c r="N185" s="490"/>
      <c r="O185" s="490"/>
      <c r="P185" s="490"/>
      <c r="Q185" s="490"/>
      <c r="R185" s="490"/>
      <c r="S185" s="490"/>
    </row>
    <row r="186" spans="1:19" x14ac:dyDescent="0.2">
      <c r="A186" s="490"/>
      <c r="B186" s="490"/>
      <c r="C186" s="490"/>
      <c r="D186" s="490"/>
      <c r="E186" s="496"/>
      <c r="F186" s="490"/>
      <c r="G186" s="497"/>
      <c r="H186" s="497"/>
      <c r="I186" s="498"/>
      <c r="J186" s="490"/>
      <c r="K186" s="490"/>
      <c r="L186" s="490"/>
      <c r="M186" s="490"/>
      <c r="N186" s="490"/>
      <c r="O186" s="490"/>
      <c r="P186" s="490"/>
      <c r="Q186" s="490"/>
      <c r="R186" s="490"/>
      <c r="S186" s="490"/>
    </row>
    <row r="187" spans="1:19" x14ac:dyDescent="0.2">
      <c r="A187" s="490"/>
      <c r="B187" s="490"/>
      <c r="C187" s="490"/>
      <c r="D187" s="490"/>
      <c r="E187" s="496"/>
      <c r="F187" s="490"/>
      <c r="G187" s="497"/>
      <c r="H187" s="497"/>
      <c r="I187" s="498"/>
      <c r="J187" s="490"/>
      <c r="K187" s="490"/>
      <c r="L187" s="490"/>
      <c r="M187" s="490"/>
      <c r="N187" s="490"/>
      <c r="O187" s="490"/>
      <c r="P187" s="490"/>
      <c r="Q187" s="490"/>
      <c r="R187" s="490"/>
      <c r="S187" s="490"/>
    </row>
    <row r="188" spans="1:19" x14ac:dyDescent="0.2">
      <c r="A188" s="490"/>
      <c r="B188" s="490"/>
      <c r="C188" s="490"/>
      <c r="D188" s="490"/>
      <c r="E188" s="496"/>
      <c r="F188" s="490"/>
      <c r="G188" s="497"/>
      <c r="H188" s="497"/>
      <c r="I188" s="498"/>
      <c r="J188" s="490"/>
      <c r="K188" s="490"/>
      <c r="L188" s="490"/>
      <c r="M188" s="490"/>
      <c r="N188" s="490"/>
      <c r="O188" s="490"/>
      <c r="P188" s="490"/>
      <c r="Q188" s="490"/>
      <c r="R188" s="490"/>
      <c r="S188" s="490"/>
    </row>
    <row r="189" spans="1:19" x14ac:dyDescent="0.2">
      <c r="A189" s="490"/>
      <c r="B189" s="490"/>
      <c r="C189" s="490"/>
      <c r="D189" s="490"/>
      <c r="E189" s="496"/>
      <c r="F189" s="490"/>
      <c r="G189" s="497"/>
      <c r="H189" s="497"/>
      <c r="I189" s="498"/>
      <c r="J189" s="490"/>
      <c r="K189" s="490"/>
      <c r="L189" s="490"/>
      <c r="M189" s="490"/>
      <c r="N189" s="490"/>
      <c r="O189" s="490"/>
      <c r="P189" s="490"/>
      <c r="Q189" s="490"/>
      <c r="R189" s="490"/>
      <c r="S189" s="490"/>
    </row>
    <row r="190" spans="1:19" x14ac:dyDescent="0.2">
      <c r="A190" s="490"/>
      <c r="B190" s="490"/>
      <c r="C190" s="490"/>
      <c r="D190" s="490"/>
      <c r="E190" s="496"/>
      <c r="F190" s="490"/>
      <c r="G190" s="497"/>
      <c r="H190" s="497"/>
      <c r="I190" s="498"/>
      <c r="J190" s="490"/>
      <c r="K190" s="490"/>
      <c r="L190" s="490"/>
      <c r="M190" s="490"/>
      <c r="N190" s="490"/>
      <c r="O190" s="490"/>
      <c r="P190" s="490"/>
      <c r="Q190" s="490"/>
      <c r="R190" s="490"/>
      <c r="S190" s="490"/>
    </row>
    <row r="191" spans="1:19" x14ac:dyDescent="0.2">
      <c r="A191" s="490"/>
      <c r="B191" s="490"/>
      <c r="C191" s="490"/>
      <c r="D191" s="490"/>
      <c r="E191" s="496"/>
      <c r="F191" s="490"/>
      <c r="G191" s="497"/>
      <c r="H191" s="497"/>
      <c r="I191" s="498"/>
      <c r="J191" s="490"/>
      <c r="K191" s="490"/>
      <c r="L191" s="490"/>
      <c r="M191" s="490"/>
      <c r="N191" s="490"/>
      <c r="O191" s="490"/>
      <c r="P191" s="490"/>
      <c r="Q191" s="490"/>
      <c r="R191" s="490"/>
      <c r="S191" s="490"/>
    </row>
    <row r="192" spans="1:19" x14ac:dyDescent="0.2">
      <c r="A192" s="490"/>
      <c r="B192" s="490"/>
      <c r="C192" s="490"/>
      <c r="D192" s="490"/>
      <c r="E192" s="496"/>
      <c r="F192" s="490"/>
      <c r="G192" s="497"/>
      <c r="H192" s="497"/>
      <c r="I192" s="498"/>
      <c r="J192" s="490"/>
      <c r="K192" s="490"/>
      <c r="L192" s="490"/>
      <c r="M192" s="490"/>
      <c r="N192" s="490"/>
      <c r="O192" s="490"/>
      <c r="P192" s="490"/>
      <c r="Q192" s="490"/>
      <c r="R192" s="490"/>
      <c r="S192" s="490"/>
    </row>
    <row r="193" spans="1:19" x14ac:dyDescent="0.2">
      <c r="A193" s="490"/>
      <c r="B193" s="490"/>
      <c r="C193" s="490"/>
      <c r="D193" s="490"/>
      <c r="E193" s="496"/>
      <c r="F193" s="490"/>
      <c r="G193" s="497"/>
      <c r="H193" s="497"/>
      <c r="I193" s="498"/>
      <c r="J193" s="490"/>
      <c r="K193" s="490"/>
      <c r="L193" s="490"/>
      <c r="M193" s="490"/>
      <c r="N193" s="490"/>
      <c r="O193" s="490"/>
      <c r="P193" s="490"/>
      <c r="Q193" s="490"/>
      <c r="R193" s="490"/>
      <c r="S193" s="490"/>
    </row>
    <row r="194" spans="1:19" x14ac:dyDescent="0.2">
      <c r="A194" s="490"/>
      <c r="B194" s="490"/>
      <c r="C194" s="490"/>
      <c r="D194" s="490"/>
      <c r="E194" s="496"/>
      <c r="F194" s="490"/>
      <c r="G194" s="497"/>
      <c r="H194" s="497"/>
      <c r="I194" s="498"/>
      <c r="J194" s="490"/>
      <c r="K194" s="490"/>
      <c r="L194" s="490"/>
      <c r="M194" s="490"/>
      <c r="N194" s="490"/>
      <c r="O194" s="490"/>
      <c r="P194" s="490"/>
      <c r="Q194" s="490"/>
      <c r="R194" s="490"/>
      <c r="S194" s="490"/>
    </row>
    <row r="195" spans="1:19" x14ac:dyDescent="0.2">
      <c r="A195" s="490"/>
      <c r="B195" s="490"/>
      <c r="C195" s="490"/>
      <c r="D195" s="490"/>
      <c r="E195" s="496"/>
      <c r="F195" s="490"/>
      <c r="G195" s="497"/>
      <c r="H195" s="497"/>
      <c r="I195" s="498"/>
      <c r="J195" s="490"/>
      <c r="K195" s="490"/>
      <c r="L195" s="490"/>
      <c r="M195" s="490"/>
      <c r="N195" s="490"/>
      <c r="O195" s="490"/>
      <c r="P195" s="490"/>
      <c r="Q195" s="490"/>
      <c r="R195" s="490"/>
      <c r="S195" s="490"/>
    </row>
    <row r="196" spans="1:19" x14ac:dyDescent="0.2">
      <c r="A196" s="490"/>
      <c r="B196" s="490"/>
      <c r="C196" s="490"/>
      <c r="D196" s="490"/>
      <c r="E196" s="496"/>
      <c r="F196" s="490"/>
      <c r="G196" s="497"/>
      <c r="H196" s="497"/>
      <c r="I196" s="498"/>
      <c r="J196" s="490"/>
      <c r="K196" s="490"/>
      <c r="L196" s="490"/>
      <c r="M196" s="490"/>
      <c r="N196" s="490"/>
      <c r="O196" s="490"/>
      <c r="P196" s="490"/>
      <c r="Q196" s="490"/>
      <c r="R196" s="490"/>
      <c r="S196" s="490"/>
    </row>
    <row r="197" spans="1:19" x14ac:dyDescent="0.2">
      <c r="A197" s="490"/>
      <c r="B197" s="490"/>
      <c r="C197" s="490"/>
      <c r="D197" s="490"/>
      <c r="E197" s="496"/>
      <c r="F197" s="490"/>
      <c r="G197" s="497"/>
      <c r="H197" s="497"/>
      <c r="I197" s="498"/>
      <c r="J197" s="490"/>
      <c r="K197" s="490"/>
      <c r="L197" s="490"/>
      <c r="M197" s="490"/>
      <c r="N197" s="490"/>
      <c r="O197" s="490"/>
      <c r="P197" s="490"/>
      <c r="Q197" s="490"/>
      <c r="R197" s="490"/>
      <c r="S197" s="490"/>
    </row>
    <row r="198" spans="1:19" x14ac:dyDescent="0.2">
      <c r="A198" s="490"/>
      <c r="B198" s="490"/>
      <c r="C198" s="490"/>
      <c r="D198" s="490"/>
      <c r="E198" s="496"/>
      <c r="F198" s="490"/>
      <c r="G198" s="497"/>
      <c r="H198" s="497"/>
      <c r="I198" s="498"/>
      <c r="J198" s="490"/>
      <c r="K198" s="490"/>
      <c r="L198" s="490"/>
      <c r="M198" s="490"/>
      <c r="N198" s="490"/>
      <c r="O198" s="490"/>
      <c r="P198" s="490"/>
      <c r="Q198" s="490"/>
      <c r="R198" s="490"/>
      <c r="S198" s="490"/>
    </row>
    <row r="199" spans="1:19" x14ac:dyDescent="0.2">
      <c r="A199" s="490"/>
      <c r="B199" s="490"/>
      <c r="C199" s="490"/>
      <c r="D199" s="490"/>
      <c r="E199" s="496"/>
      <c r="F199" s="490"/>
      <c r="G199" s="497"/>
      <c r="H199" s="497"/>
      <c r="I199" s="498"/>
      <c r="J199" s="490"/>
      <c r="K199" s="490"/>
      <c r="L199" s="490"/>
      <c r="M199" s="490"/>
      <c r="N199" s="490"/>
      <c r="O199" s="490"/>
      <c r="P199" s="490"/>
      <c r="Q199" s="490"/>
      <c r="R199" s="490"/>
      <c r="S199" s="490"/>
    </row>
    <row r="200" spans="1:19" x14ac:dyDescent="0.2">
      <c r="A200" s="490"/>
      <c r="B200" s="490"/>
      <c r="C200" s="490"/>
      <c r="D200" s="490"/>
      <c r="E200" s="496"/>
      <c r="F200" s="490"/>
      <c r="G200" s="497"/>
      <c r="H200" s="497"/>
      <c r="I200" s="498"/>
      <c r="J200" s="490"/>
      <c r="K200" s="490"/>
      <c r="L200" s="490"/>
      <c r="M200" s="490"/>
      <c r="N200" s="490"/>
      <c r="O200" s="490"/>
      <c r="P200" s="490"/>
      <c r="Q200" s="490"/>
      <c r="R200" s="490"/>
      <c r="S200" s="490"/>
    </row>
    <row r="201" spans="1:19" x14ac:dyDescent="0.2">
      <c r="A201" s="490"/>
      <c r="B201" s="490"/>
      <c r="C201" s="490"/>
      <c r="D201" s="490"/>
      <c r="E201" s="496"/>
      <c r="F201" s="490"/>
      <c r="G201" s="497"/>
      <c r="H201" s="497"/>
      <c r="I201" s="498"/>
      <c r="J201" s="490"/>
      <c r="K201" s="490"/>
      <c r="L201" s="490"/>
      <c r="M201" s="490"/>
      <c r="N201" s="490"/>
      <c r="O201" s="490"/>
      <c r="P201" s="490"/>
      <c r="Q201" s="490"/>
      <c r="R201" s="490"/>
      <c r="S201" s="490"/>
    </row>
    <row r="202" spans="1:19" x14ac:dyDescent="0.2">
      <c r="A202" s="490"/>
      <c r="B202" s="490"/>
      <c r="C202" s="490"/>
      <c r="D202" s="490"/>
      <c r="E202" s="496"/>
      <c r="F202" s="490"/>
      <c r="G202" s="497"/>
      <c r="H202" s="497"/>
      <c r="I202" s="498"/>
      <c r="J202" s="490"/>
      <c r="K202" s="490"/>
      <c r="L202" s="490"/>
      <c r="M202" s="490"/>
      <c r="N202" s="490"/>
      <c r="O202" s="490"/>
      <c r="P202" s="490"/>
      <c r="Q202" s="490"/>
      <c r="R202" s="490"/>
      <c r="S202" s="490"/>
    </row>
    <row r="203" spans="1:19" x14ac:dyDescent="0.2">
      <c r="A203" s="490"/>
      <c r="B203" s="490"/>
      <c r="C203" s="490"/>
      <c r="D203" s="490"/>
      <c r="E203" s="496"/>
      <c r="F203" s="490"/>
      <c r="G203" s="497"/>
      <c r="H203" s="497"/>
      <c r="I203" s="498"/>
      <c r="J203" s="490"/>
      <c r="K203" s="490"/>
      <c r="L203" s="490"/>
      <c r="M203" s="490"/>
      <c r="N203" s="490"/>
      <c r="O203" s="490"/>
      <c r="P203" s="490"/>
      <c r="Q203" s="490"/>
      <c r="R203" s="490"/>
      <c r="S203" s="490"/>
    </row>
    <row r="204" spans="1:19" x14ac:dyDescent="0.2">
      <c r="A204" s="490"/>
      <c r="B204" s="490"/>
      <c r="C204" s="490"/>
      <c r="D204" s="490"/>
      <c r="E204" s="496"/>
      <c r="F204" s="490"/>
      <c r="G204" s="497"/>
      <c r="H204" s="497"/>
      <c r="I204" s="498"/>
      <c r="J204" s="490"/>
      <c r="K204" s="490"/>
      <c r="L204" s="490"/>
      <c r="M204" s="490"/>
      <c r="N204" s="490"/>
      <c r="O204" s="490"/>
      <c r="P204" s="490"/>
      <c r="Q204" s="490"/>
      <c r="R204" s="490"/>
      <c r="S204" s="490"/>
    </row>
    <row r="205" spans="1:19" x14ac:dyDescent="0.2">
      <c r="A205" s="490"/>
      <c r="B205" s="490"/>
      <c r="C205" s="490"/>
      <c r="D205" s="490"/>
      <c r="E205" s="496"/>
      <c r="F205" s="490"/>
      <c r="G205" s="497"/>
      <c r="H205" s="497"/>
      <c r="I205" s="498"/>
      <c r="J205" s="490"/>
      <c r="K205" s="490"/>
      <c r="L205" s="490"/>
      <c r="M205" s="490"/>
      <c r="N205" s="490"/>
      <c r="O205" s="490"/>
      <c r="P205" s="490"/>
      <c r="Q205" s="490"/>
      <c r="R205" s="490"/>
      <c r="S205" s="490"/>
    </row>
    <row r="206" spans="1:19" x14ac:dyDescent="0.2">
      <c r="A206" s="490"/>
      <c r="B206" s="490"/>
      <c r="C206" s="490"/>
      <c r="D206" s="490"/>
      <c r="E206" s="496"/>
      <c r="F206" s="490"/>
      <c r="G206" s="497"/>
      <c r="H206" s="497"/>
      <c r="I206" s="498"/>
      <c r="J206" s="490"/>
      <c r="K206" s="490"/>
      <c r="L206" s="490"/>
      <c r="M206" s="490"/>
      <c r="N206" s="490"/>
      <c r="O206" s="490"/>
      <c r="P206" s="490"/>
      <c r="Q206" s="490"/>
      <c r="R206" s="490"/>
      <c r="S206" s="490"/>
    </row>
    <row r="207" spans="1:19" x14ac:dyDescent="0.2">
      <c r="A207" s="490"/>
      <c r="B207" s="490"/>
      <c r="C207" s="490"/>
      <c r="D207" s="490"/>
      <c r="E207" s="496"/>
      <c r="F207" s="490"/>
      <c r="G207" s="497"/>
      <c r="H207" s="497"/>
      <c r="I207" s="498"/>
      <c r="J207" s="490"/>
      <c r="K207" s="490"/>
      <c r="L207" s="490"/>
      <c r="M207" s="490"/>
      <c r="N207" s="490"/>
      <c r="O207" s="490"/>
      <c r="P207" s="490"/>
      <c r="Q207" s="490"/>
      <c r="R207" s="490"/>
      <c r="S207" s="490"/>
    </row>
    <row r="208" spans="1:19" x14ac:dyDescent="0.2">
      <c r="A208" s="490"/>
      <c r="B208" s="490"/>
      <c r="C208" s="490"/>
      <c r="D208" s="490"/>
      <c r="E208" s="496"/>
      <c r="F208" s="490"/>
      <c r="G208" s="497"/>
      <c r="H208" s="497"/>
      <c r="I208" s="498"/>
      <c r="J208" s="490"/>
      <c r="K208" s="490"/>
      <c r="L208" s="490"/>
      <c r="M208" s="490"/>
      <c r="N208" s="490"/>
      <c r="O208" s="490"/>
      <c r="P208" s="490"/>
      <c r="Q208" s="490"/>
      <c r="R208" s="490"/>
      <c r="S208" s="490"/>
    </row>
    <row r="209" spans="1:19" x14ac:dyDescent="0.2">
      <c r="A209" s="490"/>
      <c r="B209" s="490"/>
      <c r="C209" s="490"/>
      <c r="D209" s="490"/>
      <c r="E209" s="496"/>
      <c r="F209" s="490"/>
      <c r="G209" s="497"/>
      <c r="H209" s="497"/>
      <c r="I209" s="498"/>
      <c r="J209" s="490"/>
      <c r="K209" s="490"/>
      <c r="L209" s="490"/>
      <c r="M209" s="490"/>
      <c r="N209" s="490"/>
      <c r="O209" s="490"/>
      <c r="P209" s="490"/>
      <c r="Q209" s="490"/>
      <c r="R209" s="490"/>
      <c r="S209" s="490"/>
    </row>
    <row r="210" spans="1:19" x14ac:dyDescent="0.2">
      <c r="A210" s="490"/>
      <c r="B210" s="490"/>
      <c r="C210" s="490"/>
      <c r="D210" s="490"/>
      <c r="E210" s="496"/>
      <c r="F210" s="490"/>
      <c r="G210" s="497"/>
      <c r="H210" s="497"/>
      <c r="I210" s="498"/>
      <c r="J210" s="490"/>
      <c r="K210" s="490"/>
      <c r="L210" s="490"/>
      <c r="M210" s="490"/>
      <c r="N210" s="490"/>
      <c r="O210" s="490"/>
      <c r="P210" s="490"/>
      <c r="Q210" s="490"/>
      <c r="R210" s="490"/>
      <c r="S210" s="490"/>
    </row>
    <row r="211" spans="1:19" x14ac:dyDescent="0.2">
      <c r="A211" s="490"/>
      <c r="B211" s="490"/>
      <c r="C211" s="490"/>
      <c r="D211" s="490"/>
      <c r="E211" s="496"/>
      <c r="F211" s="490"/>
      <c r="G211" s="497"/>
      <c r="H211" s="497"/>
      <c r="I211" s="498"/>
      <c r="J211" s="490"/>
      <c r="K211" s="490"/>
      <c r="L211" s="490"/>
      <c r="M211" s="490"/>
      <c r="N211" s="490"/>
      <c r="O211" s="490"/>
      <c r="P211" s="490"/>
      <c r="Q211" s="490"/>
      <c r="R211" s="490"/>
      <c r="S211" s="490"/>
    </row>
    <row r="212" spans="1:19" x14ac:dyDescent="0.2">
      <c r="A212" s="490"/>
      <c r="B212" s="490"/>
      <c r="C212" s="490"/>
      <c r="D212" s="490"/>
      <c r="E212" s="496"/>
      <c r="F212" s="490"/>
      <c r="G212" s="497"/>
      <c r="H212" s="497"/>
      <c r="I212" s="498"/>
      <c r="J212" s="490"/>
      <c r="K212" s="490"/>
      <c r="L212" s="490"/>
      <c r="M212" s="490"/>
      <c r="N212" s="490"/>
      <c r="O212" s="490"/>
      <c r="P212" s="490"/>
      <c r="Q212" s="490"/>
      <c r="R212" s="490"/>
      <c r="S212" s="490"/>
    </row>
    <row r="213" spans="1:19" x14ac:dyDescent="0.2">
      <c r="A213" s="490"/>
      <c r="B213" s="490"/>
      <c r="C213" s="490"/>
      <c r="D213" s="490"/>
      <c r="E213" s="496"/>
      <c r="F213" s="490"/>
      <c r="G213" s="497"/>
      <c r="H213" s="497"/>
      <c r="I213" s="498"/>
      <c r="J213" s="490"/>
      <c r="K213" s="490"/>
      <c r="L213" s="490"/>
      <c r="M213" s="490"/>
      <c r="N213" s="490"/>
      <c r="O213" s="490"/>
      <c r="P213" s="490"/>
      <c r="Q213" s="490"/>
      <c r="R213" s="490"/>
      <c r="S213" s="490"/>
    </row>
    <row r="214" spans="1:19" x14ac:dyDescent="0.2">
      <c r="A214" s="490"/>
      <c r="B214" s="490"/>
      <c r="C214" s="490"/>
      <c r="D214" s="490"/>
      <c r="E214" s="496"/>
      <c r="F214" s="490"/>
      <c r="G214" s="497"/>
      <c r="H214" s="497"/>
      <c r="I214" s="498"/>
      <c r="J214" s="490"/>
      <c r="K214" s="490"/>
      <c r="L214" s="490"/>
      <c r="M214" s="490"/>
      <c r="N214" s="490"/>
      <c r="O214" s="490"/>
      <c r="P214" s="490"/>
      <c r="Q214" s="490"/>
      <c r="R214" s="490"/>
      <c r="S214" s="490"/>
    </row>
    <row r="215" spans="1:19" x14ac:dyDescent="0.2">
      <c r="A215" s="490"/>
      <c r="B215" s="490"/>
      <c r="C215" s="490"/>
      <c r="D215" s="490"/>
      <c r="E215" s="496"/>
      <c r="F215" s="490"/>
      <c r="G215" s="497"/>
      <c r="H215" s="497"/>
      <c r="I215" s="498"/>
      <c r="J215" s="490"/>
      <c r="K215" s="490"/>
      <c r="L215" s="490"/>
      <c r="M215" s="490"/>
      <c r="N215" s="490"/>
      <c r="O215" s="490"/>
      <c r="P215" s="490"/>
      <c r="Q215" s="490"/>
      <c r="R215" s="490"/>
      <c r="S215" s="490"/>
    </row>
    <row r="216" spans="1:19" x14ac:dyDescent="0.2">
      <c r="A216" s="490"/>
      <c r="B216" s="490"/>
      <c r="C216" s="490"/>
      <c r="D216" s="490"/>
      <c r="E216" s="496"/>
      <c r="F216" s="490"/>
      <c r="G216" s="497"/>
      <c r="H216" s="497"/>
      <c r="I216" s="498"/>
      <c r="J216" s="490"/>
      <c r="K216" s="490"/>
      <c r="L216" s="490"/>
      <c r="M216" s="490"/>
      <c r="N216" s="490"/>
      <c r="O216" s="490"/>
      <c r="P216" s="490"/>
      <c r="Q216" s="490"/>
      <c r="R216" s="490"/>
      <c r="S216" s="490"/>
    </row>
    <row r="217" spans="1:19" x14ac:dyDescent="0.2">
      <c r="A217" s="490"/>
      <c r="B217" s="490"/>
      <c r="C217" s="490"/>
      <c r="D217" s="490"/>
      <c r="E217" s="496"/>
      <c r="F217" s="490"/>
      <c r="G217" s="497"/>
      <c r="H217" s="497"/>
      <c r="I217" s="498"/>
      <c r="J217" s="490"/>
      <c r="K217" s="490"/>
      <c r="L217" s="490"/>
      <c r="M217" s="490"/>
      <c r="N217" s="490"/>
      <c r="O217" s="490"/>
      <c r="P217" s="490"/>
      <c r="Q217" s="490"/>
      <c r="R217" s="490"/>
      <c r="S217" s="490"/>
    </row>
    <row r="218" spans="1:19" x14ac:dyDescent="0.2">
      <c r="A218" s="490"/>
      <c r="B218" s="490"/>
      <c r="C218" s="490"/>
      <c r="D218" s="490"/>
      <c r="E218" s="496"/>
      <c r="F218" s="490"/>
      <c r="G218" s="497"/>
      <c r="H218" s="497"/>
      <c r="I218" s="498"/>
      <c r="J218" s="490"/>
      <c r="K218" s="490"/>
      <c r="L218" s="490"/>
      <c r="M218" s="490"/>
      <c r="N218" s="490"/>
      <c r="O218" s="490"/>
      <c r="P218" s="490"/>
      <c r="Q218" s="490"/>
      <c r="R218" s="490"/>
      <c r="S218" s="490"/>
    </row>
    <row r="219" spans="1:19" x14ac:dyDescent="0.2">
      <c r="A219" s="490"/>
      <c r="B219" s="490"/>
      <c r="C219" s="490"/>
      <c r="D219" s="490"/>
      <c r="E219" s="496"/>
      <c r="F219" s="490"/>
      <c r="G219" s="497"/>
      <c r="H219" s="497"/>
      <c r="I219" s="498"/>
      <c r="J219" s="490"/>
      <c r="K219" s="490"/>
      <c r="L219" s="490"/>
      <c r="M219" s="490"/>
      <c r="N219" s="490"/>
      <c r="O219" s="490"/>
      <c r="P219" s="490"/>
      <c r="Q219" s="490"/>
      <c r="R219" s="490"/>
      <c r="S219" s="490"/>
    </row>
    <row r="220" spans="1:19" x14ac:dyDescent="0.2">
      <c r="A220" s="490"/>
      <c r="B220" s="490"/>
      <c r="C220" s="490"/>
      <c r="D220" s="490"/>
      <c r="E220" s="496"/>
      <c r="F220" s="490"/>
      <c r="G220" s="497"/>
      <c r="H220" s="497"/>
      <c r="I220" s="498"/>
      <c r="J220" s="490"/>
      <c r="K220" s="490"/>
      <c r="L220" s="490"/>
      <c r="M220" s="490"/>
      <c r="N220" s="490"/>
      <c r="O220" s="490"/>
      <c r="P220" s="490"/>
      <c r="Q220" s="490"/>
      <c r="R220" s="490"/>
      <c r="S220" s="490"/>
    </row>
    <row r="221" spans="1:19" x14ac:dyDescent="0.2">
      <c r="A221" s="490"/>
      <c r="B221" s="490"/>
      <c r="C221" s="490"/>
      <c r="D221" s="490"/>
      <c r="E221" s="496"/>
      <c r="F221" s="490"/>
      <c r="G221" s="497"/>
      <c r="H221" s="497"/>
      <c r="I221" s="498"/>
      <c r="J221" s="490"/>
      <c r="K221" s="490"/>
      <c r="L221" s="490"/>
      <c r="M221" s="490"/>
      <c r="N221" s="490"/>
      <c r="O221" s="490"/>
      <c r="P221" s="490"/>
      <c r="Q221" s="490"/>
      <c r="R221" s="490"/>
      <c r="S221" s="490"/>
    </row>
    <row r="222" spans="1:19" x14ac:dyDescent="0.2">
      <c r="A222" s="490"/>
      <c r="B222" s="490"/>
      <c r="C222" s="490"/>
      <c r="D222" s="490"/>
      <c r="E222" s="496"/>
      <c r="F222" s="490"/>
      <c r="G222" s="497"/>
      <c r="H222" s="497"/>
      <c r="I222" s="498"/>
      <c r="J222" s="490"/>
      <c r="K222" s="490"/>
      <c r="L222" s="490"/>
      <c r="M222" s="490"/>
      <c r="N222" s="490"/>
      <c r="O222" s="490"/>
      <c r="P222" s="490"/>
      <c r="Q222" s="490"/>
      <c r="R222" s="490"/>
      <c r="S222" s="490"/>
    </row>
    <row r="223" spans="1:19" x14ac:dyDescent="0.2">
      <c r="A223" s="490"/>
      <c r="B223" s="490"/>
      <c r="C223" s="490"/>
      <c r="D223" s="490"/>
      <c r="E223" s="496"/>
      <c r="F223" s="490"/>
      <c r="G223" s="497"/>
      <c r="H223" s="497"/>
      <c r="I223" s="498"/>
      <c r="J223" s="490"/>
      <c r="K223" s="490"/>
      <c r="L223" s="490"/>
      <c r="M223" s="490"/>
      <c r="N223" s="490"/>
      <c r="O223" s="490"/>
      <c r="P223" s="490"/>
      <c r="Q223" s="490"/>
      <c r="R223" s="490"/>
      <c r="S223" s="490"/>
    </row>
    <row r="224" spans="1:19" x14ac:dyDescent="0.2">
      <c r="A224" s="490"/>
      <c r="B224" s="490"/>
      <c r="C224" s="490"/>
      <c r="D224" s="490"/>
      <c r="E224" s="496"/>
      <c r="F224" s="490"/>
      <c r="G224" s="497"/>
      <c r="H224" s="497"/>
      <c r="I224" s="498"/>
      <c r="J224" s="490"/>
      <c r="K224" s="490"/>
      <c r="L224" s="490"/>
      <c r="M224" s="490"/>
      <c r="N224" s="490"/>
      <c r="O224" s="490"/>
      <c r="P224" s="490"/>
      <c r="Q224" s="490"/>
      <c r="R224" s="490"/>
      <c r="S224" s="490"/>
    </row>
    <row r="225" spans="1:19" x14ac:dyDescent="0.2">
      <c r="A225" s="490"/>
      <c r="B225" s="490"/>
      <c r="C225" s="490"/>
      <c r="D225" s="490"/>
      <c r="E225" s="496"/>
      <c r="F225" s="490"/>
      <c r="G225" s="497"/>
      <c r="H225" s="497"/>
      <c r="I225" s="498"/>
      <c r="J225" s="490"/>
      <c r="K225" s="490"/>
      <c r="L225" s="490"/>
      <c r="M225" s="490"/>
      <c r="N225" s="490"/>
      <c r="O225" s="490"/>
      <c r="P225" s="490"/>
      <c r="Q225" s="490"/>
      <c r="R225" s="490"/>
      <c r="S225" s="490"/>
    </row>
    <row r="226" spans="1:19" x14ac:dyDescent="0.2">
      <c r="A226" s="490"/>
      <c r="B226" s="490"/>
      <c r="C226" s="490"/>
      <c r="D226" s="490"/>
      <c r="E226" s="496"/>
      <c r="F226" s="490"/>
      <c r="G226" s="497"/>
      <c r="H226" s="497"/>
      <c r="I226" s="498"/>
      <c r="J226" s="490"/>
      <c r="K226" s="490"/>
      <c r="L226" s="490"/>
      <c r="M226" s="490"/>
      <c r="N226" s="490"/>
      <c r="O226" s="490"/>
      <c r="P226" s="490"/>
      <c r="Q226" s="490"/>
      <c r="R226" s="490"/>
      <c r="S226" s="490"/>
    </row>
    <row r="227" spans="1:19" x14ac:dyDescent="0.2">
      <c r="A227" s="490"/>
      <c r="B227" s="490"/>
      <c r="C227" s="490"/>
      <c r="D227" s="490"/>
      <c r="E227" s="496"/>
      <c r="F227" s="490"/>
      <c r="G227" s="497"/>
      <c r="H227" s="497"/>
      <c r="I227" s="498"/>
      <c r="J227" s="490"/>
      <c r="K227" s="490"/>
      <c r="L227" s="490"/>
      <c r="M227" s="490"/>
      <c r="N227" s="490"/>
      <c r="O227" s="490"/>
      <c r="P227" s="490"/>
      <c r="Q227" s="490"/>
      <c r="R227" s="490"/>
      <c r="S227" s="490"/>
    </row>
    <row r="228" spans="1:19" x14ac:dyDescent="0.2">
      <c r="A228" s="490"/>
      <c r="B228" s="490"/>
      <c r="C228" s="490"/>
      <c r="D228" s="490"/>
      <c r="E228" s="496"/>
      <c r="F228" s="490"/>
      <c r="G228" s="497"/>
      <c r="H228" s="497"/>
      <c r="I228" s="498"/>
      <c r="J228" s="490"/>
      <c r="K228" s="490"/>
      <c r="L228" s="490"/>
      <c r="M228" s="490"/>
      <c r="N228" s="490"/>
      <c r="O228" s="490"/>
      <c r="P228" s="490"/>
      <c r="Q228" s="490"/>
      <c r="R228" s="490"/>
      <c r="S228" s="490"/>
    </row>
    <row r="229" spans="1:19" x14ac:dyDescent="0.2">
      <c r="A229" s="490"/>
      <c r="B229" s="490"/>
      <c r="C229" s="490"/>
      <c r="D229" s="490"/>
      <c r="E229" s="496"/>
      <c r="F229" s="490"/>
      <c r="G229" s="497"/>
      <c r="H229" s="497"/>
      <c r="I229" s="498"/>
      <c r="J229" s="490"/>
      <c r="K229" s="490"/>
      <c r="L229" s="490"/>
      <c r="M229" s="490"/>
      <c r="N229" s="490"/>
      <c r="O229" s="490"/>
      <c r="P229" s="490"/>
      <c r="Q229" s="490"/>
      <c r="R229" s="490"/>
      <c r="S229" s="490"/>
    </row>
    <row r="230" spans="1:19" x14ac:dyDescent="0.2">
      <c r="A230" s="490"/>
      <c r="B230" s="490"/>
      <c r="C230" s="490"/>
      <c r="D230" s="490"/>
      <c r="E230" s="496"/>
      <c r="F230" s="490"/>
      <c r="G230" s="497"/>
      <c r="H230" s="497"/>
      <c r="I230" s="498"/>
      <c r="J230" s="490"/>
      <c r="K230" s="490"/>
      <c r="L230" s="490"/>
      <c r="M230" s="490"/>
      <c r="N230" s="490"/>
      <c r="O230" s="490"/>
      <c r="P230" s="490"/>
      <c r="Q230" s="490"/>
      <c r="R230" s="490"/>
      <c r="S230" s="490"/>
    </row>
    <row r="231" spans="1:19" x14ac:dyDescent="0.2">
      <c r="A231" s="490"/>
      <c r="B231" s="490"/>
      <c r="C231" s="490"/>
      <c r="D231" s="490"/>
      <c r="E231" s="496"/>
      <c r="F231" s="490"/>
      <c r="G231" s="497"/>
      <c r="H231" s="497"/>
      <c r="I231" s="498"/>
      <c r="J231" s="490"/>
      <c r="K231" s="490"/>
      <c r="L231" s="490"/>
      <c r="M231" s="490"/>
      <c r="N231" s="490"/>
      <c r="O231" s="490"/>
      <c r="P231" s="490"/>
      <c r="Q231" s="490"/>
      <c r="R231" s="490"/>
      <c r="S231" s="490"/>
    </row>
    <row r="232" spans="1:19" x14ac:dyDescent="0.2">
      <c r="A232" s="490"/>
      <c r="B232" s="490"/>
      <c r="C232" s="490"/>
      <c r="D232" s="490"/>
      <c r="E232" s="496"/>
      <c r="F232" s="490"/>
      <c r="G232" s="497"/>
      <c r="H232" s="497"/>
      <c r="I232" s="498"/>
      <c r="J232" s="490"/>
      <c r="K232" s="490"/>
      <c r="L232" s="490"/>
      <c r="M232" s="490"/>
      <c r="N232" s="490"/>
      <c r="O232" s="490"/>
      <c r="P232" s="490"/>
      <c r="Q232" s="490"/>
      <c r="R232" s="490"/>
      <c r="S232" s="490"/>
    </row>
    <row r="233" spans="1:19" x14ac:dyDescent="0.2">
      <c r="A233" s="490"/>
      <c r="B233" s="490"/>
      <c r="C233" s="490"/>
      <c r="D233" s="490"/>
      <c r="E233" s="496"/>
      <c r="F233" s="490"/>
      <c r="G233" s="497"/>
      <c r="H233" s="497"/>
      <c r="I233" s="498"/>
      <c r="J233" s="490"/>
      <c r="K233" s="490"/>
      <c r="L233" s="490"/>
      <c r="M233" s="490"/>
      <c r="N233" s="490"/>
      <c r="O233" s="490"/>
      <c r="P233" s="490"/>
      <c r="Q233" s="490"/>
      <c r="R233" s="490"/>
      <c r="S233" s="490"/>
    </row>
    <row r="234" spans="1:19" x14ac:dyDescent="0.2">
      <c r="A234" s="490"/>
      <c r="B234" s="490"/>
      <c r="C234" s="490"/>
      <c r="D234" s="490"/>
      <c r="E234" s="496"/>
      <c r="F234" s="490"/>
      <c r="G234" s="497"/>
      <c r="H234" s="497"/>
      <c r="I234" s="498"/>
      <c r="J234" s="490"/>
      <c r="K234" s="490"/>
      <c r="L234" s="490"/>
      <c r="M234" s="490"/>
      <c r="N234" s="490"/>
      <c r="O234" s="490"/>
      <c r="P234" s="490"/>
      <c r="Q234" s="490"/>
      <c r="R234" s="490"/>
      <c r="S234" s="490"/>
    </row>
    <row r="235" spans="1:19" x14ac:dyDescent="0.2">
      <c r="A235" s="490"/>
      <c r="B235" s="490"/>
      <c r="C235" s="490"/>
      <c r="D235" s="490"/>
      <c r="E235" s="496"/>
      <c r="F235" s="490"/>
      <c r="G235" s="497"/>
      <c r="H235" s="497"/>
      <c r="I235" s="498"/>
      <c r="J235" s="490"/>
      <c r="K235" s="490"/>
      <c r="L235" s="490"/>
      <c r="M235" s="490"/>
      <c r="N235" s="490"/>
      <c r="O235" s="490"/>
      <c r="P235" s="490"/>
      <c r="Q235" s="490"/>
      <c r="R235" s="490"/>
      <c r="S235" s="490"/>
    </row>
    <row r="236" spans="1:19" x14ac:dyDescent="0.2">
      <c r="A236" s="490"/>
      <c r="B236" s="490"/>
      <c r="C236" s="490"/>
      <c r="D236" s="490"/>
      <c r="E236" s="496"/>
      <c r="F236" s="490"/>
      <c r="G236" s="497"/>
      <c r="H236" s="497"/>
      <c r="I236" s="498"/>
      <c r="J236" s="490"/>
      <c r="K236" s="490"/>
      <c r="L236" s="490"/>
      <c r="M236" s="490"/>
      <c r="N236" s="490"/>
      <c r="O236" s="490"/>
      <c r="P236" s="490"/>
      <c r="Q236" s="490"/>
      <c r="R236" s="490"/>
      <c r="S236" s="490"/>
    </row>
    <row r="237" spans="1:19" x14ac:dyDescent="0.2">
      <c r="A237" s="490"/>
      <c r="B237" s="490"/>
      <c r="C237" s="490"/>
      <c r="D237" s="490"/>
      <c r="E237" s="496"/>
      <c r="F237" s="490"/>
      <c r="G237" s="497"/>
      <c r="H237" s="497"/>
      <c r="I237" s="498"/>
      <c r="J237" s="490"/>
      <c r="K237" s="490"/>
      <c r="L237" s="490"/>
      <c r="M237" s="490"/>
      <c r="N237" s="490"/>
      <c r="O237" s="490"/>
      <c r="P237" s="490"/>
      <c r="Q237" s="490"/>
      <c r="R237" s="490"/>
      <c r="S237" s="490"/>
    </row>
    <row r="238" spans="1:19" x14ac:dyDescent="0.2">
      <c r="A238" s="490"/>
      <c r="B238" s="490"/>
      <c r="C238" s="490"/>
      <c r="D238" s="490"/>
      <c r="E238" s="496"/>
      <c r="F238" s="490"/>
      <c r="G238" s="497"/>
      <c r="H238" s="497"/>
      <c r="I238" s="498"/>
      <c r="J238" s="490"/>
      <c r="K238" s="490"/>
      <c r="L238" s="490"/>
      <c r="M238" s="490"/>
      <c r="N238" s="490"/>
      <c r="O238" s="490"/>
      <c r="P238" s="490"/>
      <c r="Q238" s="490"/>
      <c r="R238" s="490"/>
      <c r="S238" s="490"/>
    </row>
    <row r="239" spans="1:19" x14ac:dyDescent="0.2">
      <c r="A239" s="490"/>
      <c r="B239" s="490"/>
      <c r="C239" s="490"/>
      <c r="D239" s="490"/>
      <c r="E239" s="496"/>
      <c r="F239" s="490"/>
      <c r="G239" s="497"/>
      <c r="H239" s="497"/>
      <c r="I239" s="498"/>
      <c r="J239" s="490"/>
      <c r="K239" s="490"/>
      <c r="L239" s="490"/>
      <c r="M239" s="490"/>
      <c r="N239" s="490"/>
      <c r="O239" s="490"/>
      <c r="P239" s="490"/>
      <c r="Q239" s="490"/>
      <c r="R239" s="490"/>
      <c r="S239" s="490"/>
    </row>
    <row r="240" spans="1:19" x14ac:dyDescent="0.2">
      <c r="A240" s="490"/>
      <c r="B240" s="490"/>
      <c r="C240" s="490"/>
      <c r="D240" s="490"/>
      <c r="E240" s="496"/>
      <c r="F240" s="490"/>
      <c r="G240" s="497"/>
      <c r="H240" s="497"/>
      <c r="I240" s="498"/>
      <c r="J240" s="490"/>
      <c r="K240" s="490"/>
      <c r="L240" s="490"/>
      <c r="M240" s="490"/>
      <c r="N240" s="490"/>
      <c r="O240" s="490"/>
      <c r="P240" s="490"/>
      <c r="Q240" s="490"/>
      <c r="R240" s="490"/>
      <c r="S240" s="490"/>
    </row>
    <row r="241" spans="1:19" x14ac:dyDescent="0.2">
      <c r="A241" s="490"/>
      <c r="B241" s="490"/>
      <c r="C241" s="490"/>
      <c r="D241" s="490"/>
      <c r="E241" s="496"/>
      <c r="F241" s="490"/>
      <c r="G241" s="497"/>
      <c r="H241" s="497"/>
      <c r="I241" s="498"/>
      <c r="J241" s="490"/>
      <c r="K241" s="490"/>
      <c r="L241" s="490"/>
      <c r="M241" s="490"/>
      <c r="N241" s="490"/>
      <c r="O241" s="490"/>
      <c r="P241" s="490"/>
      <c r="Q241" s="490"/>
      <c r="R241" s="490"/>
      <c r="S241" s="490"/>
    </row>
    <row r="242" spans="1:19" x14ac:dyDescent="0.2">
      <c r="A242" s="490"/>
      <c r="B242" s="490"/>
      <c r="C242" s="490"/>
      <c r="D242" s="490"/>
      <c r="E242" s="496"/>
      <c r="F242" s="490"/>
      <c r="G242" s="497"/>
      <c r="H242" s="497"/>
      <c r="I242" s="498"/>
      <c r="J242" s="490"/>
      <c r="K242" s="490"/>
      <c r="L242" s="490"/>
      <c r="M242" s="490"/>
      <c r="N242" s="490"/>
      <c r="O242" s="490"/>
      <c r="P242" s="490"/>
      <c r="Q242" s="490"/>
      <c r="R242" s="490"/>
      <c r="S242" s="490"/>
    </row>
    <row r="243" spans="1:19" x14ac:dyDescent="0.2">
      <c r="A243" s="490"/>
      <c r="B243" s="490"/>
      <c r="C243" s="490"/>
      <c r="D243" s="490"/>
      <c r="E243" s="496"/>
      <c r="F243" s="490"/>
      <c r="G243" s="497"/>
      <c r="H243" s="497"/>
      <c r="I243" s="498"/>
      <c r="J243" s="490"/>
      <c r="K243" s="490"/>
      <c r="L243" s="490"/>
      <c r="M243" s="490"/>
      <c r="N243" s="490"/>
      <c r="O243" s="490"/>
      <c r="P243" s="490"/>
      <c r="Q243" s="490"/>
      <c r="R243" s="490"/>
      <c r="S243" s="490"/>
    </row>
    <row r="244" spans="1:19" x14ac:dyDescent="0.2">
      <c r="A244" s="490"/>
      <c r="B244" s="490"/>
      <c r="C244" s="490"/>
      <c r="D244" s="490"/>
      <c r="E244" s="496"/>
      <c r="F244" s="490"/>
      <c r="G244" s="497"/>
      <c r="H244" s="497"/>
      <c r="I244" s="498"/>
      <c r="J244" s="490"/>
      <c r="K244" s="490"/>
      <c r="L244" s="490"/>
      <c r="M244" s="490"/>
      <c r="N244" s="490"/>
      <c r="O244" s="490"/>
      <c r="P244" s="490"/>
      <c r="Q244" s="490"/>
      <c r="R244" s="490"/>
      <c r="S244" s="490"/>
    </row>
    <row r="245" spans="1:19" x14ac:dyDescent="0.2">
      <c r="A245" s="490"/>
      <c r="B245" s="490"/>
      <c r="C245" s="490"/>
      <c r="D245" s="490"/>
      <c r="E245" s="496"/>
      <c r="F245" s="490"/>
      <c r="G245" s="497"/>
      <c r="H245" s="497"/>
      <c r="I245" s="498"/>
      <c r="J245" s="490"/>
      <c r="K245" s="490"/>
      <c r="L245" s="490"/>
      <c r="M245" s="490"/>
      <c r="N245" s="490"/>
      <c r="O245" s="490"/>
      <c r="P245" s="490"/>
      <c r="Q245" s="490"/>
      <c r="R245" s="490"/>
      <c r="S245" s="490"/>
    </row>
    <row r="246" spans="1:19" x14ac:dyDescent="0.2">
      <c r="A246" s="490"/>
      <c r="B246" s="490"/>
      <c r="C246" s="490"/>
      <c r="D246" s="490"/>
      <c r="E246" s="496"/>
      <c r="F246" s="490"/>
      <c r="G246" s="497"/>
      <c r="H246" s="497"/>
      <c r="I246" s="498"/>
      <c r="J246" s="490"/>
      <c r="K246" s="490"/>
      <c r="L246" s="490"/>
      <c r="M246" s="490"/>
      <c r="N246" s="490"/>
      <c r="O246" s="490"/>
      <c r="P246" s="490"/>
      <c r="Q246" s="490"/>
      <c r="R246" s="490"/>
      <c r="S246" s="490"/>
    </row>
    <row r="247" spans="1:19" x14ac:dyDescent="0.2">
      <c r="A247" s="490"/>
      <c r="B247" s="490"/>
      <c r="C247" s="490"/>
      <c r="D247" s="490"/>
      <c r="E247" s="496"/>
      <c r="F247" s="490"/>
      <c r="G247" s="497"/>
      <c r="H247" s="497"/>
      <c r="I247" s="498"/>
      <c r="J247" s="490"/>
      <c r="K247" s="490"/>
      <c r="L247" s="490"/>
      <c r="M247" s="490"/>
      <c r="N247" s="490"/>
      <c r="O247" s="490"/>
      <c r="P247" s="490"/>
      <c r="Q247" s="490"/>
      <c r="R247" s="490"/>
      <c r="S247" s="490"/>
    </row>
    <row r="248" spans="1:19" x14ac:dyDescent="0.2">
      <c r="A248" s="490"/>
      <c r="B248" s="490"/>
      <c r="C248" s="490"/>
      <c r="D248" s="490"/>
      <c r="E248" s="496"/>
      <c r="F248" s="490"/>
      <c r="G248" s="497"/>
      <c r="H248" s="497"/>
      <c r="I248" s="498"/>
      <c r="J248" s="490"/>
      <c r="K248" s="490"/>
      <c r="L248" s="490"/>
      <c r="M248" s="490"/>
      <c r="N248" s="490"/>
      <c r="O248" s="490"/>
      <c r="P248" s="490"/>
      <c r="Q248" s="490"/>
      <c r="R248" s="490"/>
      <c r="S248" s="490"/>
    </row>
    <row r="249" spans="1:19" x14ac:dyDescent="0.2">
      <c r="A249" s="490"/>
      <c r="B249" s="490"/>
      <c r="C249" s="490"/>
      <c r="D249" s="490"/>
      <c r="E249" s="496"/>
      <c r="F249" s="490"/>
      <c r="G249" s="497"/>
      <c r="H249" s="497"/>
      <c r="I249" s="498"/>
      <c r="J249" s="490"/>
      <c r="K249" s="490"/>
      <c r="L249" s="490"/>
      <c r="M249" s="490"/>
      <c r="N249" s="490"/>
      <c r="O249" s="490"/>
      <c r="P249" s="490"/>
      <c r="Q249" s="490"/>
      <c r="R249" s="490"/>
      <c r="S249" s="490"/>
    </row>
    <row r="250" spans="1:19" x14ac:dyDescent="0.2">
      <c r="A250" s="490"/>
      <c r="B250" s="490"/>
      <c r="C250" s="490"/>
      <c r="D250" s="490"/>
      <c r="E250" s="496"/>
      <c r="F250" s="490"/>
      <c r="G250" s="497"/>
      <c r="H250" s="497"/>
      <c r="I250" s="498"/>
      <c r="J250" s="490"/>
      <c r="K250" s="490"/>
      <c r="L250" s="490"/>
      <c r="M250" s="490"/>
      <c r="N250" s="490"/>
      <c r="O250" s="490"/>
      <c r="P250" s="490"/>
      <c r="Q250" s="490"/>
      <c r="R250" s="490"/>
      <c r="S250" s="490"/>
    </row>
    <row r="251" spans="1:19" x14ac:dyDescent="0.2">
      <c r="A251" s="490"/>
      <c r="B251" s="490"/>
      <c r="C251" s="490"/>
      <c r="D251" s="490"/>
      <c r="E251" s="496"/>
      <c r="F251" s="490"/>
      <c r="G251" s="497"/>
      <c r="H251" s="497"/>
      <c r="I251" s="498"/>
      <c r="J251" s="490"/>
      <c r="K251" s="490"/>
      <c r="L251" s="490"/>
      <c r="M251" s="490"/>
      <c r="N251" s="490"/>
      <c r="O251" s="490"/>
      <c r="P251" s="490"/>
      <c r="Q251" s="490"/>
      <c r="R251" s="490"/>
      <c r="S251" s="490"/>
    </row>
    <row r="252" spans="1:19" x14ac:dyDescent="0.2">
      <c r="A252" s="490"/>
      <c r="B252" s="490"/>
      <c r="C252" s="490"/>
      <c r="D252" s="490"/>
      <c r="E252" s="496"/>
      <c r="F252" s="490"/>
      <c r="G252" s="497"/>
      <c r="H252" s="497"/>
      <c r="I252" s="498"/>
      <c r="J252" s="490"/>
      <c r="K252" s="490"/>
      <c r="L252" s="490"/>
      <c r="M252" s="490"/>
      <c r="N252" s="490"/>
      <c r="O252" s="490"/>
      <c r="P252" s="490"/>
      <c r="Q252" s="490"/>
      <c r="R252" s="490"/>
      <c r="S252" s="490"/>
    </row>
    <row r="253" spans="1:19" x14ac:dyDescent="0.2">
      <c r="A253" s="490"/>
      <c r="B253" s="490"/>
      <c r="C253" s="490"/>
      <c r="D253" s="490"/>
      <c r="E253" s="496"/>
      <c r="F253" s="490"/>
      <c r="G253" s="497"/>
      <c r="H253" s="497"/>
      <c r="I253" s="498"/>
      <c r="J253" s="490"/>
      <c r="K253" s="490"/>
      <c r="L253" s="490"/>
      <c r="M253" s="490"/>
      <c r="N253" s="490"/>
      <c r="O253" s="490"/>
      <c r="P253" s="490"/>
      <c r="Q253" s="490"/>
      <c r="R253" s="490"/>
      <c r="S253" s="490"/>
    </row>
    <row r="254" spans="1:19" x14ac:dyDescent="0.2">
      <c r="A254" s="490"/>
      <c r="B254" s="490"/>
      <c r="C254" s="490"/>
      <c r="D254" s="490"/>
      <c r="E254" s="496"/>
      <c r="F254" s="490"/>
      <c r="G254" s="497"/>
      <c r="H254" s="497"/>
      <c r="I254" s="498"/>
      <c r="J254" s="490"/>
      <c r="K254" s="490"/>
      <c r="L254" s="490"/>
      <c r="M254" s="490"/>
      <c r="N254" s="490"/>
      <c r="O254" s="490"/>
      <c r="P254" s="490"/>
      <c r="Q254" s="490"/>
      <c r="R254" s="490"/>
      <c r="S254" s="490"/>
    </row>
    <row r="255" spans="1:19" x14ac:dyDescent="0.2">
      <c r="A255" s="490"/>
      <c r="B255" s="490"/>
      <c r="C255" s="490"/>
      <c r="D255" s="490"/>
      <c r="E255" s="496"/>
      <c r="F255" s="490"/>
      <c r="G255" s="497"/>
      <c r="H255" s="497"/>
      <c r="I255" s="498"/>
      <c r="J255" s="490"/>
      <c r="K255" s="490"/>
      <c r="L255" s="490"/>
      <c r="M255" s="490"/>
      <c r="N255" s="490"/>
      <c r="O255" s="490"/>
      <c r="P255" s="490"/>
      <c r="Q255" s="490"/>
      <c r="R255" s="490"/>
      <c r="S255" s="490"/>
    </row>
    <row r="256" spans="1:19" x14ac:dyDescent="0.2">
      <c r="A256" s="490"/>
      <c r="B256" s="490"/>
      <c r="C256" s="490"/>
      <c r="D256" s="490"/>
      <c r="E256" s="496"/>
      <c r="F256" s="490"/>
      <c r="G256" s="497"/>
      <c r="H256" s="497"/>
      <c r="I256" s="498"/>
      <c r="J256" s="490"/>
      <c r="K256" s="490"/>
      <c r="L256" s="490"/>
      <c r="M256" s="490"/>
      <c r="N256" s="490"/>
      <c r="O256" s="490"/>
      <c r="P256" s="490"/>
      <c r="Q256" s="490"/>
      <c r="R256" s="490"/>
      <c r="S256" s="490"/>
    </row>
    <row r="257" spans="1:19" x14ac:dyDescent="0.2">
      <c r="A257" s="490"/>
      <c r="B257" s="490"/>
      <c r="C257" s="490"/>
      <c r="D257" s="490"/>
      <c r="E257" s="496"/>
      <c r="F257" s="490"/>
      <c r="G257" s="497"/>
      <c r="H257" s="497"/>
      <c r="I257" s="498"/>
      <c r="J257" s="490"/>
      <c r="K257" s="490"/>
      <c r="L257" s="490"/>
      <c r="M257" s="490"/>
      <c r="N257" s="490"/>
      <c r="O257" s="490"/>
      <c r="P257" s="490"/>
      <c r="Q257" s="490"/>
      <c r="R257" s="490"/>
      <c r="S257" s="490"/>
    </row>
    <row r="258" spans="1:19" x14ac:dyDescent="0.2">
      <c r="A258" s="490"/>
      <c r="B258" s="490"/>
      <c r="C258" s="490"/>
      <c r="D258" s="490"/>
      <c r="E258" s="496"/>
      <c r="F258" s="490"/>
      <c r="G258" s="497"/>
      <c r="H258" s="497"/>
      <c r="I258" s="498"/>
      <c r="J258" s="490"/>
      <c r="K258" s="490"/>
      <c r="L258" s="490"/>
      <c r="M258" s="490"/>
      <c r="N258" s="490"/>
      <c r="O258" s="490"/>
      <c r="P258" s="490"/>
      <c r="Q258" s="490"/>
      <c r="R258" s="490"/>
      <c r="S258" s="490"/>
    </row>
    <row r="259" spans="1:19" x14ac:dyDescent="0.2">
      <c r="A259" s="490"/>
      <c r="B259" s="490"/>
      <c r="C259" s="490"/>
      <c r="D259" s="490"/>
      <c r="E259" s="496"/>
      <c r="F259" s="490"/>
      <c r="G259" s="497"/>
      <c r="H259" s="497"/>
      <c r="I259" s="498"/>
      <c r="J259" s="490"/>
      <c r="K259" s="490"/>
      <c r="L259" s="490"/>
      <c r="M259" s="490"/>
      <c r="N259" s="490"/>
      <c r="O259" s="490"/>
      <c r="P259" s="490"/>
      <c r="Q259" s="490"/>
      <c r="R259" s="490"/>
      <c r="S259" s="490"/>
    </row>
    <row r="260" spans="1:19" x14ac:dyDescent="0.2">
      <c r="A260" s="490"/>
      <c r="B260" s="490"/>
      <c r="C260" s="490"/>
      <c r="D260" s="490"/>
      <c r="E260" s="496"/>
      <c r="F260" s="490"/>
      <c r="G260" s="497"/>
      <c r="H260" s="497"/>
      <c r="I260" s="498"/>
      <c r="J260" s="490"/>
      <c r="K260" s="490"/>
      <c r="L260" s="490"/>
      <c r="M260" s="490"/>
      <c r="N260" s="490"/>
      <c r="O260" s="490"/>
      <c r="P260" s="490"/>
      <c r="Q260" s="490"/>
      <c r="R260" s="490"/>
      <c r="S260" s="490"/>
    </row>
    <row r="261" spans="1:19" x14ac:dyDescent="0.2">
      <c r="A261" s="490"/>
      <c r="B261" s="490"/>
      <c r="C261" s="490"/>
      <c r="D261" s="490"/>
      <c r="E261" s="496"/>
      <c r="F261" s="490"/>
      <c r="G261" s="497"/>
      <c r="H261" s="497"/>
      <c r="I261" s="498"/>
      <c r="J261" s="490"/>
      <c r="K261" s="490"/>
      <c r="L261" s="490"/>
      <c r="M261" s="490"/>
      <c r="N261" s="490"/>
      <c r="O261" s="490"/>
      <c r="P261" s="490"/>
      <c r="Q261" s="490"/>
      <c r="R261" s="490"/>
      <c r="S261" s="490"/>
    </row>
    <row r="262" spans="1:19" x14ac:dyDescent="0.2">
      <c r="A262" s="490"/>
      <c r="B262" s="490"/>
      <c r="C262" s="490"/>
      <c r="D262" s="490"/>
      <c r="E262" s="496"/>
      <c r="F262" s="490"/>
      <c r="G262" s="497"/>
      <c r="H262" s="497"/>
      <c r="I262" s="498"/>
      <c r="J262" s="490"/>
      <c r="K262" s="490"/>
      <c r="L262" s="490"/>
      <c r="M262" s="490"/>
      <c r="N262" s="490"/>
      <c r="O262" s="490"/>
      <c r="P262" s="490"/>
      <c r="Q262" s="490"/>
      <c r="R262" s="490"/>
      <c r="S262" s="490"/>
    </row>
    <row r="263" spans="1:19" x14ac:dyDescent="0.2">
      <c r="A263" s="490"/>
      <c r="B263" s="490"/>
      <c r="C263" s="490"/>
      <c r="D263" s="490"/>
      <c r="E263" s="496"/>
      <c r="F263" s="490"/>
      <c r="G263" s="497"/>
      <c r="H263" s="497"/>
      <c r="I263" s="498"/>
      <c r="J263" s="490"/>
      <c r="K263" s="490"/>
      <c r="L263" s="490"/>
      <c r="M263" s="490"/>
      <c r="N263" s="490"/>
      <c r="O263" s="490"/>
      <c r="P263" s="490"/>
      <c r="Q263" s="490"/>
      <c r="R263" s="490"/>
      <c r="S263" s="490"/>
    </row>
    <row r="264" spans="1:19" x14ac:dyDescent="0.2">
      <c r="A264" s="490"/>
      <c r="B264" s="490"/>
      <c r="C264" s="490"/>
      <c r="D264" s="490"/>
      <c r="E264" s="496"/>
      <c r="F264" s="490"/>
      <c r="G264" s="497"/>
      <c r="H264" s="497"/>
      <c r="I264" s="498"/>
      <c r="J264" s="490"/>
      <c r="K264" s="490"/>
      <c r="L264" s="490"/>
      <c r="M264" s="490"/>
      <c r="N264" s="490"/>
      <c r="O264" s="490"/>
      <c r="P264" s="490"/>
      <c r="Q264" s="490"/>
      <c r="R264" s="490"/>
      <c r="S264" s="490"/>
    </row>
    <row r="265" spans="1:19" x14ac:dyDescent="0.2">
      <c r="A265" s="490"/>
      <c r="B265" s="490"/>
      <c r="C265" s="490"/>
      <c r="D265" s="490"/>
      <c r="E265" s="496"/>
      <c r="F265" s="490"/>
      <c r="G265" s="497"/>
      <c r="H265" s="497"/>
      <c r="I265" s="498"/>
      <c r="J265" s="490"/>
      <c r="K265" s="490"/>
      <c r="L265" s="490"/>
      <c r="M265" s="490"/>
      <c r="N265" s="490"/>
      <c r="O265" s="490"/>
      <c r="P265" s="490"/>
      <c r="Q265" s="490"/>
      <c r="R265" s="490"/>
      <c r="S265" s="490"/>
    </row>
    <row r="266" spans="1:19" x14ac:dyDescent="0.2">
      <c r="A266" s="490"/>
      <c r="B266" s="490"/>
      <c r="C266" s="490"/>
      <c r="D266" s="490"/>
      <c r="E266" s="496"/>
      <c r="F266" s="490"/>
      <c r="G266" s="497"/>
      <c r="H266" s="497"/>
      <c r="I266" s="498"/>
      <c r="J266" s="490"/>
      <c r="K266" s="490"/>
      <c r="L266" s="490"/>
      <c r="M266" s="490"/>
      <c r="N266" s="490"/>
      <c r="O266" s="490"/>
      <c r="P266" s="490"/>
      <c r="Q266" s="490"/>
      <c r="R266" s="490"/>
      <c r="S266" s="490"/>
    </row>
    <row r="267" spans="1:19" x14ac:dyDescent="0.2">
      <c r="A267" s="490"/>
      <c r="B267" s="490"/>
      <c r="C267" s="490"/>
      <c r="D267" s="490"/>
      <c r="E267" s="496"/>
      <c r="F267" s="490"/>
      <c r="G267" s="497"/>
      <c r="H267" s="497"/>
      <c r="I267" s="498"/>
      <c r="J267" s="490"/>
      <c r="K267" s="490"/>
      <c r="L267" s="490"/>
      <c r="M267" s="490"/>
      <c r="N267" s="490"/>
      <c r="O267" s="490"/>
      <c r="P267" s="490"/>
      <c r="Q267" s="490"/>
      <c r="R267" s="490"/>
      <c r="S267" s="490"/>
    </row>
    <row r="268" spans="1:19" x14ac:dyDescent="0.2">
      <c r="A268" s="490"/>
      <c r="B268" s="490"/>
      <c r="C268" s="490"/>
      <c r="D268" s="490"/>
      <c r="E268" s="496"/>
      <c r="F268" s="490"/>
      <c r="G268" s="497"/>
      <c r="H268" s="497"/>
      <c r="I268" s="498"/>
      <c r="J268" s="490"/>
      <c r="K268" s="490"/>
      <c r="L268" s="490"/>
      <c r="M268" s="490"/>
      <c r="N268" s="490"/>
      <c r="O268" s="490"/>
      <c r="P268" s="490"/>
      <c r="Q268" s="490"/>
      <c r="R268" s="490"/>
      <c r="S268" s="490"/>
    </row>
    <row r="269" spans="1:19" x14ac:dyDescent="0.2">
      <c r="A269" s="490"/>
      <c r="B269" s="490"/>
      <c r="C269" s="490"/>
      <c r="D269" s="490"/>
      <c r="E269" s="496"/>
      <c r="F269" s="490"/>
      <c r="G269" s="497"/>
      <c r="H269" s="497"/>
      <c r="I269" s="498"/>
      <c r="J269" s="490"/>
      <c r="K269" s="490"/>
      <c r="L269" s="490"/>
      <c r="M269" s="490"/>
      <c r="N269" s="490"/>
      <c r="O269" s="490"/>
      <c r="P269" s="490"/>
      <c r="Q269" s="490"/>
      <c r="R269" s="490"/>
      <c r="S269" s="490"/>
    </row>
    <row r="270" spans="1:19" x14ac:dyDescent="0.2">
      <c r="A270" s="490"/>
      <c r="B270" s="490"/>
      <c r="C270" s="490"/>
      <c r="D270" s="490"/>
      <c r="E270" s="496"/>
      <c r="F270" s="490"/>
      <c r="G270" s="497"/>
      <c r="H270" s="497"/>
      <c r="I270" s="498"/>
      <c r="J270" s="490"/>
      <c r="K270" s="490"/>
      <c r="L270" s="490"/>
      <c r="M270" s="490"/>
      <c r="N270" s="490"/>
      <c r="O270" s="490"/>
      <c r="P270" s="490"/>
      <c r="Q270" s="490"/>
      <c r="R270" s="490"/>
      <c r="S270" s="490"/>
    </row>
    <row r="271" spans="1:19" x14ac:dyDescent="0.2">
      <c r="A271" s="490"/>
      <c r="B271" s="490"/>
      <c r="C271" s="490"/>
      <c r="D271" s="490"/>
      <c r="E271" s="496"/>
      <c r="F271" s="490"/>
      <c r="G271" s="497"/>
      <c r="H271" s="497"/>
      <c r="I271" s="498"/>
      <c r="J271" s="490"/>
      <c r="K271" s="490"/>
      <c r="L271" s="490"/>
      <c r="M271" s="490"/>
      <c r="N271" s="490"/>
      <c r="O271" s="490"/>
      <c r="P271" s="490"/>
      <c r="Q271" s="490"/>
      <c r="R271" s="490"/>
      <c r="S271" s="490"/>
    </row>
    <row r="272" spans="1:19" x14ac:dyDescent="0.2">
      <c r="A272" s="490"/>
      <c r="B272" s="490"/>
      <c r="C272" s="490"/>
      <c r="D272" s="490"/>
      <c r="E272" s="496"/>
      <c r="F272" s="490"/>
      <c r="G272" s="497"/>
      <c r="H272" s="497"/>
      <c r="I272" s="498"/>
      <c r="J272" s="490"/>
      <c r="K272" s="490"/>
      <c r="L272" s="490"/>
      <c r="M272" s="490"/>
      <c r="N272" s="490"/>
      <c r="O272" s="490"/>
      <c r="P272" s="490"/>
      <c r="Q272" s="490"/>
      <c r="R272" s="490"/>
      <c r="S272" s="490"/>
    </row>
    <row r="273" spans="1:19" x14ac:dyDescent="0.2">
      <c r="A273" s="490"/>
      <c r="B273" s="490"/>
      <c r="C273" s="490"/>
      <c r="D273" s="490"/>
      <c r="E273" s="496"/>
      <c r="F273" s="490"/>
      <c r="G273" s="497"/>
      <c r="H273" s="497"/>
      <c r="I273" s="498"/>
      <c r="J273" s="490"/>
      <c r="K273" s="490"/>
      <c r="L273" s="490"/>
      <c r="M273" s="490"/>
      <c r="N273" s="490"/>
      <c r="O273" s="490"/>
      <c r="P273" s="490"/>
      <c r="Q273" s="490"/>
      <c r="R273" s="490"/>
      <c r="S273" s="490"/>
    </row>
    <row r="274" spans="1:19" x14ac:dyDescent="0.2">
      <c r="A274" s="490"/>
      <c r="B274" s="490"/>
      <c r="C274" s="490"/>
      <c r="D274" s="490"/>
      <c r="E274" s="496"/>
      <c r="F274" s="490"/>
      <c r="G274" s="497"/>
      <c r="H274" s="497"/>
      <c r="I274" s="498"/>
      <c r="J274" s="490"/>
      <c r="K274" s="490"/>
      <c r="L274" s="490"/>
      <c r="M274" s="490"/>
      <c r="N274" s="490"/>
      <c r="O274" s="490"/>
      <c r="P274" s="490"/>
      <c r="Q274" s="490"/>
      <c r="R274" s="490"/>
      <c r="S274" s="490"/>
    </row>
  </sheetData>
  <mergeCells count="104">
    <mergeCell ref="C7:R7"/>
    <mergeCell ref="C8:R8"/>
    <mergeCell ref="C9:C12"/>
    <mergeCell ref="D9:D12"/>
    <mergeCell ref="E9:E12"/>
    <mergeCell ref="F9:G11"/>
    <mergeCell ref="H9:M9"/>
    <mergeCell ref="N9:P9"/>
    <mergeCell ref="Q9:R9"/>
    <mergeCell ref="H10:H11"/>
    <mergeCell ref="O10:O11"/>
    <mergeCell ref="P10:P11"/>
    <mergeCell ref="Q10:Q11"/>
    <mergeCell ref="R10:R11"/>
    <mergeCell ref="L10:L11"/>
    <mergeCell ref="M10:M11"/>
    <mergeCell ref="N10:N11"/>
    <mergeCell ref="C13:C19"/>
    <mergeCell ref="F13:G13"/>
    <mergeCell ref="F14:G14"/>
    <mergeCell ref="F15:G15"/>
    <mergeCell ref="F16:G16"/>
    <mergeCell ref="F17:G17"/>
    <mergeCell ref="I10:I11"/>
    <mergeCell ref="J10:J11"/>
    <mergeCell ref="K10:K11"/>
    <mergeCell ref="F18:G18"/>
    <mergeCell ref="F19:G19"/>
    <mergeCell ref="C20:C26"/>
    <mergeCell ref="F20:G20"/>
    <mergeCell ref="F21:G21"/>
    <mergeCell ref="F22:G22"/>
    <mergeCell ref="F23:G23"/>
    <mergeCell ref="F24:G24"/>
    <mergeCell ref="F25:G25"/>
    <mergeCell ref="F26:G26"/>
    <mergeCell ref="C34:C40"/>
    <mergeCell ref="F34:G34"/>
    <mergeCell ref="F35:G35"/>
    <mergeCell ref="F36:G36"/>
    <mergeCell ref="F37:G37"/>
    <mergeCell ref="F38:G38"/>
    <mergeCell ref="F39:G39"/>
    <mergeCell ref="F40:G40"/>
    <mergeCell ref="C27:C33"/>
    <mergeCell ref="F27:G27"/>
    <mergeCell ref="F28:G28"/>
    <mergeCell ref="F29:G29"/>
    <mergeCell ref="F30:G30"/>
    <mergeCell ref="F31:G31"/>
    <mergeCell ref="F32:G32"/>
    <mergeCell ref="F33:G33"/>
    <mergeCell ref="C45:R45"/>
    <mergeCell ref="C46:R46"/>
    <mergeCell ref="C47:C50"/>
    <mergeCell ref="D47:D50"/>
    <mergeCell ref="E47:E50"/>
    <mergeCell ref="F47:G49"/>
    <mergeCell ref="H47:M47"/>
    <mergeCell ref="N47:P47"/>
    <mergeCell ref="Q47:R47"/>
    <mergeCell ref="H48:H49"/>
    <mergeCell ref="O48:O49"/>
    <mergeCell ref="P48:P49"/>
    <mergeCell ref="Q48:Q49"/>
    <mergeCell ref="R48:R49"/>
    <mergeCell ref="L48:L49"/>
    <mergeCell ref="M48:M49"/>
    <mergeCell ref="N48:N49"/>
    <mergeCell ref="C51:C57"/>
    <mergeCell ref="F51:G51"/>
    <mergeCell ref="F52:G52"/>
    <mergeCell ref="F53:G53"/>
    <mergeCell ref="F54:G54"/>
    <mergeCell ref="F55:G55"/>
    <mergeCell ref="I48:I49"/>
    <mergeCell ref="J48:J49"/>
    <mergeCell ref="K48:K49"/>
    <mergeCell ref="F56:G56"/>
    <mergeCell ref="F57:G57"/>
    <mergeCell ref="C58:C64"/>
    <mergeCell ref="F58:G58"/>
    <mergeCell ref="F59:G59"/>
    <mergeCell ref="F60:G60"/>
    <mergeCell ref="F61:G61"/>
    <mergeCell ref="F62:G62"/>
    <mergeCell ref="F63:G63"/>
    <mergeCell ref="F64:G64"/>
    <mergeCell ref="C88:R88"/>
    <mergeCell ref="C89:R89"/>
    <mergeCell ref="D77:R77"/>
    <mergeCell ref="D78:R78"/>
    <mergeCell ref="D79:R79"/>
    <mergeCell ref="C83:R83"/>
    <mergeCell ref="C84:R84"/>
    <mergeCell ref="C87:R87"/>
    <mergeCell ref="C65:C71"/>
    <mergeCell ref="F65:G65"/>
    <mergeCell ref="F66:G66"/>
    <mergeCell ref="F67:G67"/>
    <mergeCell ref="F68:G68"/>
    <mergeCell ref="F69:G69"/>
    <mergeCell ref="F70:G70"/>
    <mergeCell ref="F71:G71"/>
  </mergeCells>
  <conditionalFormatting sqref="N10:P10">
    <cfRule type="cellIs" dxfId="12" priority="2" stopIfTrue="1" operator="equal">
      <formula>"ERROR"</formula>
    </cfRule>
  </conditionalFormatting>
  <conditionalFormatting sqref="N48:P48">
    <cfRule type="cellIs" dxfId="11" priority="1" stopIfTrue="1" operator="equal">
      <formula>"ERROR"</formula>
    </cfRule>
  </conditionalFormatting>
  <hyperlinks>
    <hyperlink ref="C74" r:id="rId1"/>
    <hyperlink ref="C43" r:id="rId2"/>
  </hyperlinks>
  <printOptions horizontalCentered="1"/>
  <pageMargins left="0.25" right="0.25" top="0.75" bottom="0.75" header="0.3" footer="0.3"/>
  <pageSetup paperSize="9" scale="59" fitToHeight="0" orientation="landscape" r:id="rId3"/>
  <headerFooter alignWithMargins="0">
    <oddFooter>Page &amp;P of &amp;N</oddFooter>
  </headerFooter>
  <rowBreaks count="1" manualBreakCount="1">
    <brk id="44" min="2" max="17" man="1"/>
  </rowBreaks>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6">
    <pageSetUpPr fitToPage="1"/>
  </sheetPr>
  <dimension ref="A1:AL180"/>
  <sheetViews>
    <sheetView zoomScale="80" zoomScaleNormal="80" workbookViewId="0"/>
  </sheetViews>
  <sheetFormatPr defaultColWidth="9.140625" defaultRowHeight="12.75" x14ac:dyDescent="0.2"/>
  <cols>
    <col min="1" max="1" width="3.7109375" style="565" customWidth="1"/>
    <col min="2" max="2" width="3.7109375" style="536" customWidth="1"/>
    <col min="3" max="3" width="23.28515625" style="536" customWidth="1"/>
    <col min="4" max="4" width="43.7109375" style="536" customWidth="1"/>
    <col min="5" max="5" width="12.7109375" style="536" customWidth="1"/>
    <col min="6" max="16" width="11.7109375" style="536" customWidth="1"/>
    <col min="17" max="18" width="12.7109375" style="536" customWidth="1"/>
    <col min="19" max="20" width="11.7109375" style="536" customWidth="1"/>
    <col min="21" max="22" width="12.7109375" style="536" customWidth="1"/>
    <col min="23" max="16384" width="9.140625" style="536"/>
  </cols>
  <sheetData>
    <row r="1" spans="1:26" x14ac:dyDescent="0.2">
      <c r="A1" s="540"/>
      <c r="B1" s="540"/>
      <c r="C1" s="540"/>
      <c r="D1" s="540"/>
      <c r="E1" s="540"/>
      <c r="F1" s="540"/>
      <c r="G1" s="540"/>
      <c r="H1" s="540"/>
      <c r="I1" s="540"/>
      <c r="J1" s="540"/>
      <c r="K1" s="540"/>
      <c r="L1" s="540"/>
      <c r="M1" s="540"/>
      <c r="N1" s="540"/>
      <c r="O1" s="540"/>
      <c r="P1" s="540"/>
      <c r="Q1" s="490"/>
      <c r="R1" s="540"/>
      <c r="S1" s="540"/>
      <c r="T1" s="540"/>
      <c r="U1" s="490"/>
      <c r="V1" s="490"/>
      <c r="W1" s="490"/>
      <c r="X1" s="490"/>
      <c r="Y1" s="490"/>
      <c r="Z1" s="490"/>
    </row>
    <row r="2" spans="1:26" x14ac:dyDescent="0.2">
      <c r="A2" s="540"/>
      <c r="B2" s="540"/>
      <c r="C2" s="540"/>
      <c r="D2" s="540"/>
      <c r="E2" s="540"/>
      <c r="F2" s="540"/>
      <c r="G2" s="496"/>
      <c r="H2" s="540"/>
      <c r="I2" s="540"/>
      <c r="J2" s="540"/>
      <c r="K2" s="540"/>
      <c r="L2" s="540"/>
      <c r="M2" s="540"/>
      <c r="N2" s="540"/>
      <c r="O2" s="540"/>
      <c r="P2" s="540"/>
      <c r="Q2" s="490"/>
      <c r="R2" s="540"/>
      <c r="S2" s="540"/>
      <c r="T2" s="540"/>
      <c r="U2" s="490"/>
      <c r="V2" s="490"/>
      <c r="W2" s="490"/>
      <c r="X2" s="490"/>
      <c r="Y2" s="490"/>
      <c r="Z2" s="490"/>
    </row>
    <row r="3" spans="1:26" s="643" customFormat="1" ht="18" x14ac:dyDescent="0.2">
      <c r="A3" s="492"/>
      <c r="B3" s="491"/>
      <c r="C3" s="4" t="s">
        <v>0</v>
      </c>
      <c r="D3" s="491"/>
      <c r="E3" s="491"/>
      <c r="F3" s="494"/>
      <c r="G3" s="494"/>
      <c r="H3" s="494"/>
      <c r="I3" s="494"/>
      <c r="J3" s="494"/>
      <c r="K3" s="494"/>
      <c r="L3" s="494"/>
      <c r="M3" s="494"/>
      <c r="N3" s="494"/>
      <c r="O3" s="494"/>
      <c r="P3" s="494"/>
      <c r="Q3" s="494"/>
      <c r="R3" s="494"/>
      <c r="S3" s="494"/>
      <c r="T3" s="494"/>
      <c r="U3" s="491"/>
      <c r="V3" s="491"/>
      <c r="W3" s="491"/>
      <c r="X3" s="491"/>
      <c r="Y3" s="491"/>
      <c r="Z3" s="491"/>
    </row>
    <row r="4" spans="1:26" s="643" customFormat="1" ht="18" x14ac:dyDescent="0.2">
      <c r="A4" s="492"/>
      <c r="B4" s="491"/>
      <c r="C4" s="5" t="s">
        <v>1639</v>
      </c>
      <c r="D4" s="491"/>
      <c r="E4" s="491"/>
      <c r="F4" s="494"/>
      <c r="G4" s="494"/>
      <c r="H4" s="494"/>
      <c r="I4" s="494"/>
      <c r="J4" s="494"/>
      <c r="K4" s="494"/>
      <c r="L4" s="494"/>
      <c r="M4" s="494"/>
      <c r="N4" s="494"/>
      <c r="O4" s="494"/>
      <c r="P4" s="494"/>
      <c r="Q4" s="494"/>
      <c r="R4" s="494"/>
      <c r="S4" s="494"/>
      <c r="T4" s="494"/>
      <c r="U4" s="491"/>
      <c r="V4" s="491"/>
      <c r="W4" s="491"/>
      <c r="X4" s="491"/>
      <c r="Y4" s="491"/>
      <c r="Z4" s="491"/>
    </row>
    <row r="5" spans="1:26" s="643" customFormat="1" ht="18" customHeight="1" x14ac:dyDescent="0.2">
      <c r="A5" s="492"/>
      <c r="B5" s="491"/>
      <c r="C5" s="494"/>
      <c r="D5" s="494"/>
      <c r="E5" s="5"/>
      <c r="F5" s="494"/>
      <c r="G5" s="494"/>
      <c r="H5" s="494"/>
      <c r="I5" s="494"/>
      <c r="J5" s="494"/>
      <c r="K5" s="494"/>
      <c r="L5" s="494"/>
      <c r="M5" s="494"/>
      <c r="N5" s="494"/>
      <c r="O5" s="494"/>
      <c r="P5" s="494"/>
      <c r="Q5" s="494"/>
      <c r="R5" s="494"/>
      <c r="S5" s="494"/>
      <c r="T5" s="494"/>
      <c r="U5" s="491"/>
      <c r="V5" s="491"/>
      <c r="W5" s="491"/>
      <c r="X5" s="491"/>
      <c r="Y5" s="491"/>
      <c r="Z5" s="491"/>
    </row>
    <row r="6" spans="1:26" s="643" customFormat="1" ht="18" customHeight="1" x14ac:dyDescent="0.2">
      <c r="A6" s="492"/>
      <c r="B6" s="491"/>
      <c r="C6" s="494"/>
      <c r="D6" s="494"/>
      <c r="E6" s="5"/>
      <c r="F6" s="494"/>
      <c r="G6" s="494"/>
      <c r="H6" s="494"/>
      <c r="I6" s="494"/>
      <c r="J6" s="494"/>
      <c r="K6" s="494"/>
      <c r="L6" s="494"/>
      <c r="M6" s="494"/>
      <c r="N6" s="494"/>
      <c r="O6" s="494"/>
      <c r="P6" s="494"/>
      <c r="Q6" s="494"/>
      <c r="R6" s="494"/>
      <c r="S6" s="494"/>
      <c r="T6" s="494"/>
      <c r="U6" s="491"/>
      <c r="V6" s="491"/>
      <c r="W6" s="491"/>
      <c r="X6" s="491"/>
      <c r="Y6" s="491"/>
      <c r="Z6" s="491"/>
    </row>
    <row r="7" spans="1:26" ht="15" customHeight="1" x14ac:dyDescent="0.2">
      <c r="A7" s="491"/>
      <c r="B7" s="491"/>
      <c r="C7" s="683" t="s">
        <v>1637</v>
      </c>
      <c r="D7" s="684"/>
      <c r="E7" s="684"/>
      <c r="F7" s="684"/>
      <c r="G7" s="684"/>
      <c r="H7" s="684"/>
      <c r="I7" s="684"/>
      <c r="J7" s="684"/>
      <c r="K7" s="684"/>
      <c r="L7" s="684"/>
      <c r="M7" s="684"/>
      <c r="N7" s="684"/>
      <c r="O7" s="684"/>
      <c r="P7" s="684"/>
      <c r="Q7" s="684"/>
      <c r="R7" s="684"/>
      <c r="S7" s="684"/>
      <c r="T7" s="684"/>
      <c r="U7" s="684"/>
      <c r="V7" s="685"/>
      <c r="W7" s="490"/>
      <c r="X7" s="490"/>
      <c r="Y7" s="490"/>
      <c r="Z7" s="490"/>
    </row>
    <row r="8" spans="1:26" ht="41.25" customHeight="1" x14ac:dyDescent="0.2">
      <c r="A8" s="491"/>
      <c r="B8" s="491"/>
      <c r="C8" s="686" t="s">
        <v>193</v>
      </c>
      <c r="D8" s="687"/>
      <c r="E8" s="687"/>
      <c r="F8" s="687"/>
      <c r="G8" s="687"/>
      <c r="H8" s="687"/>
      <c r="I8" s="687"/>
      <c r="J8" s="687"/>
      <c r="K8" s="687"/>
      <c r="L8" s="687"/>
      <c r="M8" s="687"/>
      <c r="N8" s="687"/>
      <c r="O8" s="687"/>
      <c r="P8" s="687"/>
      <c r="Q8" s="687"/>
      <c r="R8" s="687"/>
      <c r="S8" s="687"/>
      <c r="T8" s="687"/>
      <c r="U8" s="687"/>
      <c r="V8" s="688"/>
      <c r="W8" s="490"/>
      <c r="X8" s="490"/>
      <c r="Y8" s="490"/>
      <c r="Z8" s="490"/>
    </row>
    <row r="9" spans="1:26" ht="30.75" customHeight="1" x14ac:dyDescent="0.2">
      <c r="A9" s="491"/>
      <c r="B9" s="491"/>
      <c r="C9" s="690" t="s">
        <v>24</v>
      </c>
      <c r="D9" s="689" t="s">
        <v>25</v>
      </c>
      <c r="E9" s="690" t="s">
        <v>2</v>
      </c>
      <c r="F9" s="717" t="s">
        <v>148</v>
      </c>
      <c r="G9" s="695"/>
      <c r="H9" s="717" t="s">
        <v>26</v>
      </c>
      <c r="I9" s="695"/>
      <c r="J9" s="698" t="s">
        <v>27</v>
      </c>
      <c r="K9" s="699"/>
      <c r="L9" s="699"/>
      <c r="M9" s="699"/>
      <c r="N9" s="700"/>
      <c r="O9" s="731" t="s">
        <v>28</v>
      </c>
      <c r="P9" s="732"/>
      <c r="Q9" s="732"/>
      <c r="R9" s="733"/>
      <c r="S9" s="734" t="s">
        <v>29</v>
      </c>
      <c r="T9" s="735"/>
      <c r="U9" s="725" t="s">
        <v>444</v>
      </c>
      <c r="V9" s="726"/>
      <c r="W9" s="490"/>
      <c r="X9" s="490"/>
      <c r="Y9" s="490"/>
      <c r="Z9" s="490"/>
    </row>
    <row r="10" spans="1:26" ht="30.75" customHeight="1" x14ac:dyDescent="0.2">
      <c r="A10" s="491"/>
      <c r="B10" s="491"/>
      <c r="C10" s="690"/>
      <c r="D10" s="690"/>
      <c r="E10" s="690"/>
      <c r="F10" s="717"/>
      <c r="G10" s="695"/>
      <c r="H10" s="717"/>
      <c r="I10" s="695"/>
      <c r="J10" s="679" t="s">
        <v>3</v>
      </c>
      <c r="K10" s="698" t="s">
        <v>194</v>
      </c>
      <c r="L10" s="700"/>
      <c r="M10" s="736" t="s">
        <v>195</v>
      </c>
      <c r="N10" s="737"/>
      <c r="O10" s="706" t="s">
        <v>8</v>
      </c>
      <c r="P10" s="738" t="s">
        <v>194</v>
      </c>
      <c r="Q10" s="739"/>
      <c r="R10" s="706" t="s">
        <v>10</v>
      </c>
      <c r="S10" s="708" t="s">
        <v>32</v>
      </c>
      <c r="T10" s="708" t="s">
        <v>33</v>
      </c>
      <c r="U10" s="727" t="s">
        <v>445</v>
      </c>
      <c r="V10" s="727" t="s">
        <v>446</v>
      </c>
      <c r="W10" s="490"/>
      <c r="X10" s="490"/>
      <c r="Y10" s="490"/>
      <c r="Z10" s="490"/>
    </row>
    <row r="11" spans="1:26" ht="30.75" customHeight="1" x14ac:dyDescent="0.2">
      <c r="A11" s="491"/>
      <c r="B11" s="491"/>
      <c r="C11" s="690"/>
      <c r="D11" s="690"/>
      <c r="E11" s="690"/>
      <c r="F11" s="718"/>
      <c r="G11" s="697"/>
      <c r="H11" s="718"/>
      <c r="I11" s="697"/>
      <c r="J11" s="680"/>
      <c r="K11" s="549" t="s">
        <v>196</v>
      </c>
      <c r="L11" s="550" t="s">
        <v>197</v>
      </c>
      <c r="M11" s="50" t="s">
        <v>198</v>
      </c>
      <c r="N11" s="50" t="s">
        <v>199</v>
      </c>
      <c r="O11" s="707"/>
      <c r="P11" s="16" t="s">
        <v>200</v>
      </c>
      <c r="Q11" s="16" t="s">
        <v>201</v>
      </c>
      <c r="R11" s="707"/>
      <c r="S11" s="709"/>
      <c r="T11" s="709"/>
      <c r="U11" s="728"/>
      <c r="V11" s="728"/>
      <c r="W11" s="490"/>
      <c r="X11" s="490"/>
      <c r="Y11" s="490"/>
      <c r="Z11" s="490"/>
    </row>
    <row r="12" spans="1:26" ht="30.75" customHeight="1" x14ac:dyDescent="0.2">
      <c r="A12" s="491"/>
      <c r="B12" s="491"/>
      <c r="C12" s="691"/>
      <c r="D12" s="691"/>
      <c r="E12" s="691"/>
      <c r="F12" s="500" t="s">
        <v>202</v>
      </c>
      <c r="G12" s="500" t="s">
        <v>203</v>
      </c>
      <c r="H12" s="500" t="s">
        <v>11</v>
      </c>
      <c r="I12" s="516" t="s">
        <v>12</v>
      </c>
      <c r="J12" s="13" t="s">
        <v>13</v>
      </c>
      <c r="K12" s="13" t="s">
        <v>204</v>
      </c>
      <c r="L12" s="13" t="s">
        <v>204</v>
      </c>
      <c r="M12" s="14" t="s">
        <v>16</v>
      </c>
      <c r="N12" s="14" t="s">
        <v>16</v>
      </c>
      <c r="O12" s="16" t="s">
        <v>13</v>
      </c>
      <c r="P12" s="16" t="s">
        <v>204</v>
      </c>
      <c r="Q12" s="16" t="s">
        <v>204</v>
      </c>
      <c r="R12" s="502" t="s">
        <v>16</v>
      </c>
      <c r="S12" s="17" t="s">
        <v>13</v>
      </c>
      <c r="T12" s="18" t="s">
        <v>16</v>
      </c>
      <c r="U12" s="105" t="s">
        <v>13</v>
      </c>
      <c r="V12" s="105" t="s">
        <v>13</v>
      </c>
      <c r="W12" s="490"/>
      <c r="X12" s="490"/>
      <c r="Y12" s="490"/>
      <c r="Z12" s="490"/>
    </row>
    <row r="13" spans="1:26" ht="14.25" customHeight="1" x14ac:dyDescent="0.2">
      <c r="A13" s="491"/>
      <c r="B13" s="491"/>
      <c r="C13" s="665" t="s">
        <v>205</v>
      </c>
      <c r="D13" s="722" t="s">
        <v>206</v>
      </c>
      <c r="E13" s="518" t="s">
        <v>207</v>
      </c>
      <c r="F13" s="611">
        <v>20</v>
      </c>
      <c r="G13" s="611">
        <v>40</v>
      </c>
      <c r="H13" s="614">
        <v>1.097</v>
      </c>
      <c r="I13" s="615" t="s">
        <v>431</v>
      </c>
      <c r="J13" s="151">
        <v>27</v>
      </c>
      <c r="K13" s="151">
        <v>59.087000000000003</v>
      </c>
      <c r="L13" s="151">
        <v>9.4990000000000006</v>
      </c>
      <c r="M13" s="152">
        <v>0</v>
      </c>
      <c r="N13" s="152">
        <v>2.2270000000000002E-2</v>
      </c>
      <c r="O13" s="151">
        <v>4.1399999999999997</v>
      </c>
      <c r="P13" s="151">
        <v>0.88500000000000001</v>
      </c>
      <c r="Q13" s="151">
        <v>0.88500000000000001</v>
      </c>
      <c r="R13" s="152">
        <v>9.3299999999999998E-3</v>
      </c>
      <c r="S13" s="151">
        <v>0</v>
      </c>
      <c r="T13" s="152">
        <v>0</v>
      </c>
      <c r="U13" s="157">
        <v>0</v>
      </c>
      <c r="V13" s="64">
        <v>0</v>
      </c>
      <c r="W13" s="490"/>
      <c r="X13" s="490"/>
      <c r="Y13" s="490"/>
      <c r="Z13" s="490"/>
    </row>
    <row r="14" spans="1:26" ht="14.25" customHeight="1" x14ac:dyDescent="0.2">
      <c r="A14" s="491"/>
      <c r="B14" s="491"/>
      <c r="C14" s="666"/>
      <c r="D14" s="723"/>
      <c r="E14" s="609" t="s">
        <v>447</v>
      </c>
      <c r="F14" s="612">
        <v>20</v>
      </c>
      <c r="G14" s="612">
        <v>40</v>
      </c>
      <c r="H14" s="616">
        <v>1.097</v>
      </c>
      <c r="I14" s="617" t="s">
        <v>431</v>
      </c>
      <c r="J14" s="153">
        <v>27</v>
      </c>
      <c r="K14" s="153">
        <v>59.087000000000003</v>
      </c>
      <c r="L14" s="153">
        <v>9.4990000000000006</v>
      </c>
      <c r="M14" s="154">
        <v>0</v>
      </c>
      <c r="N14" s="154">
        <v>2.2270000000000002E-2</v>
      </c>
      <c r="O14" s="153">
        <v>4.1399999999999997</v>
      </c>
      <c r="P14" s="153">
        <v>0.88500000000000001</v>
      </c>
      <c r="Q14" s="153">
        <v>0.88500000000000001</v>
      </c>
      <c r="R14" s="154">
        <v>9.3299999999999998E-3</v>
      </c>
      <c r="S14" s="153">
        <v>0</v>
      </c>
      <c r="T14" s="154">
        <v>0</v>
      </c>
      <c r="U14" s="159">
        <v>3.9260000000000003E-2</v>
      </c>
      <c r="V14" s="65">
        <v>0</v>
      </c>
      <c r="W14" s="490"/>
      <c r="X14" s="490"/>
      <c r="Y14" s="490"/>
      <c r="Z14" s="490"/>
    </row>
    <row r="15" spans="1:26" ht="14.25" customHeight="1" x14ac:dyDescent="0.2">
      <c r="A15" s="491"/>
      <c r="B15" s="491"/>
      <c r="C15" s="666"/>
      <c r="D15" s="724"/>
      <c r="E15" s="610" t="s">
        <v>448</v>
      </c>
      <c r="F15" s="613">
        <v>20</v>
      </c>
      <c r="G15" s="613">
        <v>40</v>
      </c>
      <c r="H15" s="618">
        <v>1.097</v>
      </c>
      <c r="I15" s="619" t="s">
        <v>431</v>
      </c>
      <c r="J15" s="155">
        <v>27</v>
      </c>
      <c r="K15" s="155">
        <v>59.087000000000003</v>
      </c>
      <c r="L15" s="155">
        <v>9.4990000000000006</v>
      </c>
      <c r="M15" s="156">
        <v>0</v>
      </c>
      <c r="N15" s="156">
        <v>2.2270000000000002E-2</v>
      </c>
      <c r="O15" s="155">
        <v>4.1399999999999997</v>
      </c>
      <c r="P15" s="155">
        <v>0.88500000000000001</v>
      </c>
      <c r="Q15" s="155">
        <v>0.88500000000000001</v>
      </c>
      <c r="R15" s="156">
        <v>9.3299999999999998E-3</v>
      </c>
      <c r="S15" s="155">
        <v>0</v>
      </c>
      <c r="T15" s="156">
        <v>0</v>
      </c>
      <c r="U15" s="158">
        <v>0</v>
      </c>
      <c r="V15" s="68">
        <v>0.10716000000000001</v>
      </c>
      <c r="W15" s="490"/>
      <c r="X15" s="490"/>
      <c r="Y15" s="490"/>
      <c r="Z15" s="490"/>
    </row>
    <row r="16" spans="1:26" ht="14.25" customHeight="1" x14ac:dyDescent="0.2">
      <c r="A16" s="491"/>
      <c r="B16" s="491"/>
      <c r="C16" s="666"/>
      <c r="D16" s="723" t="s">
        <v>208</v>
      </c>
      <c r="E16" s="518" t="s">
        <v>209</v>
      </c>
      <c r="F16" s="611">
        <v>20</v>
      </c>
      <c r="G16" s="611">
        <v>40</v>
      </c>
      <c r="H16" s="614">
        <v>1.097</v>
      </c>
      <c r="I16" s="615" t="s">
        <v>431</v>
      </c>
      <c r="J16" s="151">
        <v>27</v>
      </c>
      <c r="K16" s="151">
        <v>59.087000000000003</v>
      </c>
      <c r="L16" s="151">
        <v>9.4990000000000006</v>
      </c>
      <c r="M16" s="152">
        <v>0</v>
      </c>
      <c r="N16" s="152">
        <v>2.2270000000000002E-2</v>
      </c>
      <c r="O16" s="151">
        <v>5.8579999999999997</v>
      </c>
      <c r="P16" s="151">
        <v>1.9630000000000001</v>
      </c>
      <c r="Q16" s="151">
        <v>1.9630000000000001</v>
      </c>
      <c r="R16" s="152">
        <v>1.1010000000000001E-2</v>
      </c>
      <c r="S16" s="151">
        <v>0</v>
      </c>
      <c r="T16" s="152">
        <v>0</v>
      </c>
      <c r="U16" s="157">
        <v>0</v>
      </c>
      <c r="V16" s="64">
        <v>0</v>
      </c>
      <c r="W16" s="490"/>
      <c r="X16" s="490"/>
      <c r="Y16" s="490"/>
      <c r="Z16" s="490"/>
    </row>
    <row r="17" spans="1:26" ht="14.25" customHeight="1" x14ac:dyDescent="0.2">
      <c r="A17" s="491"/>
      <c r="B17" s="491"/>
      <c r="C17" s="666"/>
      <c r="D17" s="723"/>
      <c r="E17" s="609" t="s">
        <v>449</v>
      </c>
      <c r="F17" s="612">
        <v>20</v>
      </c>
      <c r="G17" s="612">
        <v>40</v>
      </c>
      <c r="H17" s="616">
        <v>1.097</v>
      </c>
      <c r="I17" s="617" t="s">
        <v>431</v>
      </c>
      <c r="J17" s="153">
        <v>27</v>
      </c>
      <c r="K17" s="153">
        <v>59.087000000000003</v>
      </c>
      <c r="L17" s="153">
        <v>9.4990000000000006</v>
      </c>
      <c r="M17" s="154">
        <v>0</v>
      </c>
      <c r="N17" s="154">
        <v>2.2270000000000002E-2</v>
      </c>
      <c r="O17" s="153">
        <v>5.8579999999999997</v>
      </c>
      <c r="P17" s="153">
        <v>1.9630000000000001</v>
      </c>
      <c r="Q17" s="153">
        <v>1.9630000000000001</v>
      </c>
      <c r="R17" s="154">
        <v>1.1010000000000001E-2</v>
      </c>
      <c r="S17" s="153">
        <v>0</v>
      </c>
      <c r="T17" s="154">
        <v>0</v>
      </c>
      <c r="U17" s="159">
        <v>3.9260000000000003E-2</v>
      </c>
      <c r="V17" s="65">
        <v>0</v>
      </c>
      <c r="W17" s="490"/>
      <c r="X17" s="490"/>
      <c r="Y17" s="490"/>
      <c r="Z17" s="490"/>
    </row>
    <row r="18" spans="1:26" ht="14.25" customHeight="1" x14ac:dyDescent="0.2">
      <c r="A18" s="491"/>
      <c r="B18" s="491"/>
      <c r="C18" s="666"/>
      <c r="D18" s="724"/>
      <c r="E18" s="610" t="s">
        <v>450</v>
      </c>
      <c r="F18" s="613">
        <v>20</v>
      </c>
      <c r="G18" s="613">
        <v>40</v>
      </c>
      <c r="H18" s="618">
        <v>1.097</v>
      </c>
      <c r="I18" s="619" t="s">
        <v>431</v>
      </c>
      <c r="J18" s="155">
        <v>27</v>
      </c>
      <c r="K18" s="155">
        <v>59.087000000000003</v>
      </c>
      <c r="L18" s="155">
        <v>9.4990000000000006</v>
      </c>
      <c r="M18" s="156">
        <v>0</v>
      </c>
      <c r="N18" s="156">
        <v>2.2270000000000002E-2</v>
      </c>
      <c r="O18" s="155">
        <v>5.8579999999999997</v>
      </c>
      <c r="P18" s="155">
        <v>1.9630000000000001</v>
      </c>
      <c r="Q18" s="155">
        <v>1.9630000000000001</v>
      </c>
      <c r="R18" s="156">
        <v>1.1010000000000001E-2</v>
      </c>
      <c r="S18" s="155">
        <v>0</v>
      </c>
      <c r="T18" s="156">
        <v>0</v>
      </c>
      <c r="U18" s="158">
        <v>0</v>
      </c>
      <c r="V18" s="68">
        <v>0.10716000000000001</v>
      </c>
      <c r="W18" s="490"/>
      <c r="X18" s="490"/>
      <c r="Y18" s="490"/>
      <c r="Z18" s="490"/>
    </row>
    <row r="19" spans="1:26" ht="14.25" customHeight="1" x14ac:dyDescent="0.2">
      <c r="A19" s="491"/>
      <c r="B19" s="491"/>
      <c r="C19" s="666"/>
      <c r="D19" s="722" t="s">
        <v>210</v>
      </c>
      <c r="E19" s="518" t="s">
        <v>211</v>
      </c>
      <c r="F19" s="611">
        <v>20</v>
      </c>
      <c r="G19" s="611">
        <v>40</v>
      </c>
      <c r="H19" s="614">
        <v>1.097</v>
      </c>
      <c r="I19" s="615" t="s">
        <v>431</v>
      </c>
      <c r="J19" s="151">
        <v>27</v>
      </c>
      <c r="K19" s="151">
        <v>59.087000000000003</v>
      </c>
      <c r="L19" s="151">
        <v>9.4990000000000006</v>
      </c>
      <c r="M19" s="152">
        <v>0</v>
      </c>
      <c r="N19" s="152">
        <v>2.2270000000000002E-2</v>
      </c>
      <c r="O19" s="151">
        <v>7.9489999999999998</v>
      </c>
      <c r="P19" s="151">
        <v>3.8570000000000002</v>
      </c>
      <c r="Q19" s="151">
        <v>3.8570000000000002</v>
      </c>
      <c r="R19" s="152">
        <v>1.346E-2</v>
      </c>
      <c r="S19" s="151">
        <v>0</v>
      </c>
      <c r="T19" s="152">
        <v>0</v>
      </c>
      <c r="U19" s="157">
        <v>0</v>
      </c>
      <c r="V19" s="64">
        <v>0</v>
      </c>
      <c r="W19" s="490"/>
      <c r="X19" s="490"/>
      <c r="Y19" s="490"/>
      <c r="Z19" s="490"/>
    </row>
    <row r="20" spans="1:26" ht="14.25" customHeight="1" x14ac:dyDescent="0.2">
      <c r="A20" s="491"/>
      <c r="B20" s="491"/>
      <c r="C20" s="666"/>
      <c r="D20" s="723"/>
      <c r="E20" s="609" t="s">
        <v>451</v>
      </c>
      <c r="F20" s="612">
        <v>20</v>
      </c>
      <c r="G20" s="612">
        <v>40</v>
      </c>
      <c r="H20" s="616">
        <v>1.097</v>
      </c>
      <c r="I20" s="617" t="s">
        <v>431</v>
      </c>
      <c r="J20" s="153">
        <v>27</v>
      </c>
      <c r="K20" s="153">
        <v>59.087000000000003</v>
      </c>
      <c r="L20" s="153">
        <v>9.4990000000000006</v>
      </c>
      <c r="M20" s="154">
        <v>0</v>
      </c>
      <c r="N20" s="154">
        <v>2.2270000000000002E-2</v>
      </c>
      <c r="O20" s="153">
        <v>7.9489999999999998</v>
      </c>
      <c r="P20" s="153">
        <v>3.8570000000000002</v>
      </c>
      <c r="Q20" s="153">
        <v>3.8570000000000002</v>
      </c>
      <c r="R20" s="154">
        <v>1.346E-2</v>
      </c>
      <c r="S20" s="153">
        <v>0</v>
      </c>
      <c r="T20" s="154">
        <v>0</v>
      </c>
      <c r="U20" s="159">
        <v>3.9260000000000003E-2</v>
      </c>
      <c r="V20" s="65">
        <v>0</v>
      </c>
      <c r="W20" s="490"/>
      <c r="X20" s="490"/>
      <c r="Y20" s="490"/>
      <c r="Z20" s="490"/>
    </row>
    <row r="21" spans="1:26" ht="14.25" customHeight="1" x14ac:dyDescent="0.2">
      <c r="A21" s="491"/>
      <c r="B21" s="491"/>
      <c r="C21" s="666"/>
      <c r="D21" s="724"/>
      <c r="E21" s="610" t="s">
        <v>452</v>
      </c>
      <c r="F21" s="613">
        <v>20</v>
      </c>
      <c r="G21" s="613">
        <v>40</v>
      </c>
      <c r="H21" s="618">
        <v>1.097</v>
      </c>
      <c r="I21" s="619" t="s">
        <v>431</v>
      </c>
      <c r="J21" s="155">
        <v>27</v>
      </c>
      <c r="K21" s="155">
        <v>59.087000000000003</v>
      </c>
      <c r="L21" s="155">
        <v>9.4990000000000006</v>
      </c>
      <c r="M21" s="156">
        <v>0</v>
      </c>
      <c r="N21" s="156">
        <v>2.2270000000000002E-2</v>
      </c>
      <c r="O21" s="155">
        <v>7.9489999999999998</v>
      </c>
      <c r="P21" s="155">
        <v>3.8570000000000002</v>
      </c>
      <c r="Q21" s="155">
        <v>3.8570000000000002</v>
      </c>
      <c r="R21" s="156">
        <v>1.346E-2</v>
      </c>
      <c r="S21" s="155">
        <v>0</v>
      </c>
      <c r="T21" s="156">
        <v>0</v>
      </c>
      <c r="U21" s="158">
        <v>0</v>
      </c>
      <c r="V21" s="68">
        <v>0.10716000000000001</v>
      </c>
      <c r="W21" s="490"/>
      <c r="X21" s="490"/>
      <c r="Y21" s="490"/>
      <c r="Z21" s="490"/>
    </row>
    <row r="22" spans="1:26" ht="14.25" customHeight="1" x14ac:dyDescent="0.2">
      <c r="A22" s="491"/>
      <c r="B22" s="491"/>
      <c r="C22" s="666"/>
      <c r="D22" s="722" t="s">
        <v>212</v>
      </c>
      <c r="E22" s="518" t="s">
        <v>213</v>
      </c>
      <c r="F22" s="611">
        <v>20</v>
      </c>
      <c r="G22" s="611">
        <v>40</v>
      </c>
      <c r="H22" s="614">
        <v>1.329</v>
      </c>
      <c r="I22" s="615" t="s">
        <v>432</v>
      </c>
      <c r="J22" s="151">
        <v>90</v>
      </c>
      <c r="K22" s="151">
        <v>147.91399999999999</v>
      </c>
      <c r="L22" s="151">
        <v>39.500999999999998</v>
      </c>
      <c r="M22" s="152">
        <v>0</v>
      </c>
      <c r="N22" s="152">
        <v>0.04</v>
      </c>
      <c r="O22" s="151">
        <v>4.1399999999999997</v>
      </c>
      <c r="P22" s="151">
        <v>0.88500000000000001</v>
      </c>
      <c r="Q22" s="151">
        <v>0.88500000000000001</v>
      </c>
      <c r="R22" s="152">
        <v>9.3299999999999998E-3</v>
      </c>
      <c r="S22" s="151">
        <v>0</v>
      </c>
      <c r="T22" s="152">
        <v>0</v>
      </c>
      <c r="U22" s="157">
        <v>0</v>
      </c>
      <c r="V22" s="64">
        <v>0</v>
      </c>
      <c r="W22" s="490"/>
      <c r="X22" s="490"/>
      <c r="Y22" s="490"/>
      <c r="Z22" s="490"/>
    </row>
    <row r="23" spans="1:26" ht="14.25" customHeight="1" x14ac:dyDescent="0.2">
      <c r="A23" s="491"/>
      <c r="B23" s="491"/>
      <c r="C23" s="666"/>
      <c r="D23" s="723"/>
      <c r="E23" s="609" t="s">
        <v>453</v>
      </c>
      <c r="F23" s="612">
        <v>20</v>
      </c>
      <c r="G23" s="612">
        <v>40</v>
      </c>
      <c r="H23" s="616">
        <v>1.329</v>
      </c>
      <c r="I23" s="617" t="s">
        <v>432</v>
      </c>
      <c r="J23" s="153">
        <v>90</v>
      </c>
      <c r="K23" s="153">
        <v>147.91399999999999</v>
      </c>
      <c r="L23" s="153">
        <v>39.500999999999998</v>
      </c>
      <c r="M23" s="154">
        <v>0</v>
      </c>
      <c r="N23" s="154">
        <v>0.04</v>
      </c>
      <c r="O23" s="153">
        <v>4.1399999999999997</v>
      </c>
      <c r="P23" s="153">
        <v>0.88500000000000001</v>
      </c>
      <c r="Q23" s="153">
        <v>0.88500000000000001</v>
      </c>
      <c r="R23" s="154">
        <v>9.3299999999999998E-3</v>
      </c>
      <c r="S23" s="153">
        <v>0</v>
      </c>
      <c r="T23" s="154">
        <v>0</v>
      </c>
      <c r="U23" s="159">
        <v>3.9260000000000003E-2</v>
      </c>
      <c r="V23" s="65">
        <v>0</v>
      </c>
      <c r="W23" s="490"/>
      <c r="X23" s="490"/>
      <c r="Y23" s="490"/>
      <c r="Z23" s="490"/>
    </row>
    <row r="24" spans="1:26" ht="14.25" customHeight="1" x14ac:dyDescent="0.2">
      <c r="A24" s="491"/>
      <c r="B24" s="491"/>
      <c r="C24" s="666"/>
      <c r="D24" s="724"/>
      <c r="E24" s="610" t="s">
        <v>454</v>
      </c>
      <c r="F24" s="613">
        <v>20</v>
      </c>
      <c r="G24" s="613">
        <v>40</v>
      </c>
      <c r="H24" s="618">
        <v>1.329</v>
      </c>
      <c r="I24" s="619" t="s">
        <v>432</v>
      </c>
      <c r="J24" s="155">
        <v>90</v>
      </c>
      <c r="K24" s="155">
        <v>147.91399999999999</v>
      </c>
      <c r="L24" s="155">
        <v>39.500999999999998</v>
      </c>
      <c r="M24" s="156">
        <v>0</v>
      </c>
      <c r="N24" s="156">
        <v>0.04</v>
      </c>
      <c r="O24" s="155">
        <v>4.1399999999999997</v>
      </c>
      <c r="P24" s="155">
        <v>0.88500000000000001</v>
      </c>
      <c r="Q24" s="155">
        <v>0.88500000000000001</v>
      </c>
      <c r="R24" s="156">
        <v>9.3299999999999998E-3</v>
      </c>
      <c r="S24" s="155">
        <v>0</v>
      </c>
      <c r="T24" s="156">
        <v>0</v>
      </c>
      <c r="U24" s="158">
        <v>0</v>
      </c>
      <c r="V24" s="68">
        <v>0.10716000000000001</v>
      </c>
      <c r="W24" s="490"/>
      <c r="X24" s="490"/>
      <c r="Y24" s="490"/>
      <c r="Z24" s="490"/>
    </row>
    <row r="25" spans="1:26" ht="14.25" customHeight="1" x14ac:dyDescent="0.2">
      <c r="A25" s="491"/>
      <c r="B25" s="491"/>
      <c r="C25" s="666"/>
      <c r="D25" s="722" t="s">
        <v>214</v>
      </c>
      <c r="E25" s="518" t="s">
        <v>215</v>
      </c>
      <c r="F25" s="611">
        <v>20</v>
      </c>
      <c r="G25" s="611">
        <v>40</v>
      </c>
      <c r="H25" s="614">
        <v>1.329</v>
      </c>
      <c r="I25" s="615" t="s">
        <v>432</v>
      </c>
      <c r="J25" s="151">
        <v>90</v>
      </c>
      <c r="K25" s="151">
        <v>147.91399999999999</v>
      </c>
      <c r="L25" s="151">
        <v>39.500999999999998</v>
      </c>
      <c r="M25" s="152">
        <v>0</v>
      </c>
      <c r="N25" s="152">
        <v>0.04</v>
      </c>
      <c r="O25" s="151">
        <v>5.8579999999999997</v>
      </c>
      <c r="P25" s="151">
        <v>1.9630000000000001</v>
      </c>
      <c r="Q25" s="151">
        <v>1.9630000000000001</v>
      </c>
      <c r="R25" s="152">
        <v>1.1010000000000001E-2</v>
      </c>
      <c r="S25" s="151">
        <v>0</v>
      </c>
      <c r="T25" s="152">
        <v>0</v>
      </c>
      <c r="U25" s="157">
        <v>0</v>
      </c>
      <c r="V25" s="64">
        <v>0</v>
      </c>
      <c r="W25" s="490"/>
      <c r="X25" s="490"/>
      <c r="Y25" s="490"/>
      <c r="Z25" s="490"/>
    </row>
    <row r="26" spans="1:26" ht="14.25" customHeight="1" x14ac:dyDescent="0.2">
      <c r="A26" s="491"/>
      <c r="B26" s="491"/>
      <c r="C26" s="666"/>
      <c r="D26" s="723"/>
      <c r="E26" s="609" t="s">
        <v>455</v>
      </c>
      <c r="F26" s="612">
        <v>20</v>
      </c>
      <c r="G26" s="612">
        <v>40</v>
      </c>
      <c r="H26" s="616">
        <v>1.329</v>
      </c>
      <c r="I26" s="617" t="s">
        <v>432</v>
      </c>
      <c r="J26" s="153">
        <v>90</v>
      </c>
      <c r="K26" s="153">
        <v>147.91399999999999</v>
      </c>
      <c r="L26" s="153">
        <v>39.500999999999998</v>
      </c>
      <c r="M26" s="154">
        <v>0</v>
      </c>
      <c r="N26" s="154">
        <v>0.04</v>
      </c>
      <c r="O26" s="153">
        <v>5.8579999999999997</v>
      </c>
      <c r="P26" s="153">
        <v>1.9630000000000001</v>
      </c>
      <c r="Q26" s="153">
        <v>1.9630000000000001</v>
      </c>
      <c r="R26" s="154">
        <v>1.1010000000000001E-2</v>
      </c>
      <c r="S26" s="153">
        <v>0</v>
      </c>
      <c r="T26" s="154">
        <v>0</v>
      </c>
      <c r="U26" s="159">
        <v>3.9260000000000003E-2</v>
      </c>
      <c r="V26" s="65">
        <v>0</v>
      </c>
      <c r="W26" s="490"/>
      <c r="X26" s="490"/>
      <c r="Y26" s="490"/>
      <c r="Z26" s="490"/>
    </row>
    <row r="27" spans="1:26" ht="14.25" customHeight="1" x14ac:dyDescent="0.2">
      <c r="A27" s="491"/>
      <c r="B27" s="491"/>
      <c r="C27" s="666"/>
      <c r="D27" s="724"/>
      <c r="E27" s="610" t="s">
        <v>456</v>
      </c>
      <c r="F27" s="613">
        <v>20</v>
      </c>
      <c r="G27" s="613">
        <v>40</v>
      </c>
      <c r="H27" s="618">
        <v>1.329</v>
      </c>
      <c r="I27" s="619" t="s">
        <v>432</v>
      </c>
      <c r="J27" s="155">
        <v>90</v>
      </c>
      <c r="K27" s="155">
        <v>147.91399999999999</v>
      </c>
      <c r="L27" s="155">
        <v>39.500999999999998</v>
      </c>
      <c r="M27" s="156">
        <v>0</v>
      </c>
      <c r="N27" s="156">
        <v>0.04</v>
      </c>
      <c r="O27" s="155">
        <v>5.8579999999999997</v>
      </c>
      <c r="P27" s="155">
        <v>1.9630000000000001</v>
      </c>
      <c r="Q27" s="155">
        <v>1.9630000000000001</v>
      </c>
      <c r="R27" s="156">
        <v>1.1010000000000001E-2</v>
      </c>
      <c r="S27" s="155">
        <v>0</v>
      </c>
      <c r="T27" s="156">
        <v>0</v>
      </c>
      <c r="U27" s="158">
        <v>0</v>
      </c>
      <c r="V27" s="68">
        <v>0.10716000000000001</v>
      </c>
      <c r="W27" s="490"/>
      <c r="X27" s="490"/>
      <c r="Y27" s="490"/>
      <c r="Z27" s="490"/>
    </row>
    <row r="28" spans="1:26" ht="14.25" customHeight="1" x14ac:dyDescent="0.2">
      <c r="A28" s="491"/>
      <c r="B28" s="491"/>
      <c r="C28" s="666"/>
      <c r="D28" s="722" t="s">
        <v>216</v>
      </c>
      <c r="E28" s="518" t="s">
        <v>217</v>
      </c>
      <c r="F28" s="611">
        <v>20</v>
      </c>
      <c r="G28" s="611">
        <v>40</v>
      </c>
      <c r="H28" s="614">
        <v>1.329</v>
      </c>
      <c r="I28" s="615" t="s">
        <v>432</v>
      </c>
      <c r="J28" s="151">
        <v>90</v>
      </c>
      <c r="K28" s="151">
        <v>147.91399999999999</v>
      </c>
      <c r="L28" s="151">
        <v>39.500999999999998</v>
      </c>
      <c r="M28" s="152">
        <v>0</v>
      </c>
      <c r="N28" s="152">
        <v>0.04</v>
      </c>
      <c r="O28" s="151">
        <v>7.9489999999999998</v>
      </c>
      <c r="P28" s="151">
        <v>3.8570000000000002</v>
      </c>
      <c r="Q28" s="151">
        <v>3.8570000000000002</v>
      </c>
      <c r="R28" s="152">
        <v>1.346E-2</v>
      </c>
      <c r="S28" s="151">
        <v>0</v>
      </c>
      <c r="T28" s="152">
        <v>0</v>
      </c>
      <c r="U28" s="157">
        <v>0</v>
      </c>
      <c r="V28" s="64">
        <v>0</v>
      </c>
      <c r="W28" s="490"/>
      <c r="X28" s="490"/>
      <c r="Y28" s="490"/>
      <c r="Z28" s="490"/>
    </row>
    <row r="29" spans="1:26" ht="14.25" customHeight="1" x14ac:dyDescent="0.2">
      <c r="A29" s="491"/>
      <c r="B29" s="491"/>
      <c r="C29" s="666"/>
      <c r="D29" s="723"/>
      <c r="E29" s="609" t="s">
        <v>457</v>
      </c>
      <c r="F29" s="612">
        <v>20</v>
      </c>
      <c r="G29" s="612">
        <v>40</v>
      </c>
      <c r="H29" s="616">
        <v>1.329</v>
      </c>
      <c r="I29" s="617" t="s">
        <v>432</v>
      </c>
      <c r="J29" s="153">
        <v>90</v>
      </c>
      <c r="K29" s="153">
        <v>147.91399999999999</v>
      </c>
      <c r="L29" s="153">
        <v>39.500999999999998</v>
      </c>
      <c r="M29" s="154">
        <v>0</v>
      </c>
      <c r="N29" s="154">
        <v>0.04</v>
      </c>
      <c r="O29" s="153">
        <v>7.9489999999999998</v>
      </c>
      <c r="P29" s="153">
        <v>3.8570000000000002</v>
      </c>
      <c r="Q29" s="153">
        <v>3.8570000000000002</v>
      </c>
      <c r="R29" s="154">
        <v>1.346E-2</v>
      </c>
      <c r="S29" s="153">
        <v>0</v>
      </c>
      <c r="T29" s="154">
        <v>0</v>
      </c>
      <c r="U29" s="159">
        <v>3.9260000000000003E-2</v>
      </c>
      <c r="V29" s="65">
        <v>0</v>
      </c>
      <c r="W29" s="490"/>
      <c r="X29" s="490"/>
      <c r="Y29" s="490"/>
      <c r="Z29" s="490"/>
    </row>
    <row r="30" spans="1:26" ht="14.25" customHeight="1" x14ac:dyDescent="0.2">
      <c r="A30" s="491"/>
      <c r="B30" s="491"/>
      <c r="C30" s="666"/>
      <c r="D30" s="724"/>
      <c r="E30" s="610" t="s">
        <v>458</v>
      </c>
      <c r="F30" s="613">
        <v>20</v>
      </c>
      <c r="G30" s="613">
        <v>40</v>
      </c>
      <c r="H30" s="618">
        <v>1.329</v>
      </c>
      <c r="I30" s="619" t="s">
        <v>432</v>
      </c>
      <c r="J30" s="155">
        <v>90</v>
      </c>
      <c r="K30" s="155">
        <v>147.91399999999999</v>
      </c>
      <c r="L30" s="155">
        <v>39.500999999999998</v>
      </c>
      <c r="M30" s="156">
        <v>0</v>
      </c>
      <c r="N30" s="156">
        <v>0.04</v>
      </c>
      <c r="O30" s="155">
        <v>7.9489999999999998</v>
      </c>
      <c r="P30" s="155">
        <v>3.8570000000000002</v>
      </c>
      <c r="Q30" s="155">
        <v>3.8570000000000002</v>
      </c>
      <c r="R30" s="156">
        <v>1.346E-2</v>
      </c>
      <c r="S30" s="155">
        <v>0</v>
      </c>
      <c r="T30" s="156">
        <v>0</v>
      </c>
      <c r="U30" s="158">
        <v>0</v>
      </c>
      <c r="V30" s="68">
        <v>0.10716000000000001</v>
      </c>
      <c r="W30" s="490"/>
      <c r="X30" s="490"/>
      <c r="Y30" s="490"/>
      <c r="Z30" s="490"/>
    </row>
    <row r="31" spans="1:26" ht="14.25" customHeight="1" x14ac:dyDescent="0.2">
      <c r="A31" s="491"/>
      <c r="B31" s="491"/>
      <c r="C31" s="666"/>
      <c r="D31" s="722" t="s">
        <v>218</v>
      </c>
      <c r="E31" s="518" t="s">
        <v>219</v>
      </c>
      <c r="F31" s="611">
        <v>20</v>
      </c>
      <c r="G31" s="611">
        <v>40</v>
      </c>
      <c r="H31" s="614">
        <v>1.0760000000000001</v>
      </c>
      <c r="I31" s="615" t="s">
        <v>433</v>
      </c>
      <c r="J31" s="151">
        <v>18</v>
      </c>
      <c r="K31" s="151">
        <v>59.064999999999998</v>
      </c>
      <c r="L31" s="151">
        <v>2.0790000000000002</v>
      </c>
      <c r="M31" s="152">
        <v>0</v>
      </c>
      <c r="N31" s="152">
        <v>8.9999999999999993E-3</v>
      </c>
      <c r="O31" s="151">
        <v>3.9289999999999998</v>
      </c>
      <c r="P31" s="151">
        <v>0.627</v>
      </c>
      <c r="Q31" s="151">
        <v>0.627</v>
      </c>
      <c r="R31" s="152">
        <v>7.3999999999999999E-4</v>
      </c>
      <c r="S31" s="151">
        <v>0</v>
      </c>
      <c r="T31" s="152">
        <v>0</v>
      </c>
      <c r="U31" s="157">
        <v>0</v>
      </c>
      <c r="V31" s="64">
        <v>0</v>
      </c>
      <c r="W31" s="490"/>
      <c r="X31" s="490"/>
      <c r="Y31" s="490"/>
      <c r="Z31" s="490"/>
    </row>
    <row r="32" spans="1:26" ht="14.25" customHeight="1" x14ac:dyDescent="0.2">
      <c r="A32" s="491"/>
      <c r="B32" s="491"/>
      <c r="C32" s="666"/>
      <c r="D32" s="723"/>
      <c r="E32" s="609" t="s">
        <v>459</v>
      </c>
      <c r="F32" s="612">
        <v>20</v>
      </c>
      <c r="G32" s="612">
        <v>40</v>
      </c>
      <c r="H32" s="616">
        <v>1.0760000000000001</v>
      </c>
      <c r="I32" s="617" t="s">
        <v>433</v>
      </c>
      <c r="J32" s="153">
        <v>18</v>
      </c>
      <c r="K32" s="153">
        <v>59.064999999999998</v>
      </c>
      <c r="L32" s="153">
        <v>2.0790000000000002</v>
      </c>
      <c r="M32" s="154">
        <v>0</v>
      </c>
      <c r="N32" s="154">
        <v>8.9999999999999993E-3</v>
      </c>
      <c r="O32" s="153">
        <v>3.9289999999999998</v>
      </c>
      <c r="P32" s="153">
        <v>0.627</v>
      </c>
      <c r="Q32" s="153">
        <v>0.627</v>
      </c>
      <c r="R32" s="154">
        <v>7.3999999999999999E-4</v>
      </c>
      <c r="S32" s="153">
        <v>0</v>
      </c>
      <c r="T32" s="154">
        <v>0</v>
      </c>
      <c r="U32" s="159">
        <v>3.9260000000000003E-2</v>
      </c>
      <c r="V32" s="65">
        <v>0</v>
      </c>
      <c r="W32" s="490"/>
      <c r="X32" s="490"/>
      <c r="Y32" s="490"/>
      <c r="Z32" s="490"/>
    </row>
    <row r="33" spans="1:26" ht="14.25" customHeight="1" x14ac:dyDescent="0.2">
      <c r="A33" s="491"/>
      <c r="B33" s="491"/>
      <c r="C33" s="673"/>
      <c r="D33" s="724"/>
      <c r="E33" s="610" t="s">
        <v>460</v>
      </c>
      <c r="F33" s="613">
        <v>20</v>
      </c>
      <c r="G33" s="613">
        <v>40</v>
      </c>
      <c r="H33" s="618">
        <v>1.0760000000000001</v>
      </c>
      <c r="I33" s="619" t="s">
        <v>433</v>
      </c>
      <c r="J33" s="155">
        <v>18</v>
      </c>
      <c r="K33" s="155">
        <v>59.064999999999998</v>
      </c>
      <c r="L33" s="155">
        <v>2.0790000000000002</v>
      </c>
      <c r="M33" s="156">
        <v>0</v>
      </c>
      <c r="N33" s="156">
        <v>8.9999999999999993E-3</v>
      </c>
      <c r="O33" s="155">
        <v>3.9289999999999998</v>
      </c>
      <c r="P33" s="155">
        <v>0.627</v>
      </c>
      <c r="Q33" s="155">
        <v>0.627</v>
      </c>
      <c r="R33" s="156">
        <v>7.3999999999999999E-4</v>
      </c>
      <c r="S33" s="155">
        <v>0</v>
      </c>
      <c r="T33" s="156">
        <v>0</v>
      </c>
      <c r="U33" s="158">
        <v>0</v>
      </c>
      <c r="V33" s="68">
        <v>0.10716000000000001</v>
      </c>
      <c r="W33" s="490"/>
      <c r="X33" s="490"/>
      <c r="Y33" s="490"/>
      <c r="Z33" s="490"/>
    </row>
    <row r="34" spans="1:26" x14ac:dyDescent="0.2">
      <c r="A34" s="491"/>
      <c r="B34" s="491"/>
      <c r="C34" s="551"/>
      <c r="D34" s="551"/>
      <c r="E34" s="526"/>
      <c r="F34" s="552"/>
      <c r="G34" s="553"/>
      <c r="H34" s="35"/>
      <c r="I34" s="554"/>
      <c r="J34" s="36"/>
      <c r="K34" s="36"/>
      <c r="L34" s="36"/>
      <c r="M34" s="37"/>
      <c r="N34" s="36"/>
      <c r="O34" s="36"/>
      <c r="P34" s="36"/>
      <c r="Q34" s="37"/>
      <c r="R34" s="36"/>
      <c r="S34" s="555"/>
      <c r="T34" s="490"/>
      <c r="U34" s="490"/>
      <c r="V34" s="490"/>
      <c r="W34" s="490"/>
      <c r="X34" s="490"/>
      <c r="Y34" s="490"/>
      <c r="Z34" s="490"/>
    </row>
    <row r="35" spans="1:26" s="644" customFormat="1" x14ac:dyDescent="0.2">
      <c r="A35" s="530"/>
      <c r="B35" s="530"/>
      <c r="C35" s="8" t="s">
        <v>96</v>
      </c>
      <c r="D35" s="556"/>
      <c r="E35" s="556"/>
      <c r="F35" s="556"/>
      <c r="G35" s="556"/>
      <c r="H35" s="556"/>
      <c r="I35" s="556"/>
      <c r="J35" s="556"/>
      <c r="K35" s="556"/>
      <c r="L35" s="556"/>
      <c r="M35" s="556"/>
      <c r="N35" s="556"/>
      <c r="O35" s="556"/>
      <c r="P35" s="556"/>
      <c r="Q35" s="556"/>
      <c r="R35" s="556"/>
      <c r="S35" s="556"/>
      <c r="T35" s="509"/>
      <c r="U35" s="509"/>
      <c r="V35" s="509"/>
      <c r="W35" s="509"/>
      <c r="X35" s="509"/>
      <c r="Y35" s="509"/>
      <c r="Z35" s="509"/>
    </row>
    <row r="36" spans="1:26" s="644" customFormat="1" x14ac:dyDescent="0.2">
      <c r="A36" s="530"/>
      <c r="B36" s="530"/>
      <c r="C36" s="30" t="s">
        <v>97</v>
      </c>
      <c r="D36" s="557"/>
      <c r="E36" s="557"/>
      <c r="F36" s="557"/>
      <c r="G36" s="557"/>
      <c r="H36" s="557"/>
      <c r="I36" s="557"/>
      <c r="J36" s="557"/>
      <c r="K36" s="557"/>
      <c r="L36" s="557"/>
      <c r="M36" s="557"/>
      <c r="N36" s="557"/>
      <c r="O36" s="557"/>
      <c r="P36" s="557"/>
      <c r="Q36" s="557"/>
      <c r="R36" s="557"/>
      <c r="S36" s="557"/>
      <c r="T36" s="558"/>
      <c r="U36" s="509"/>
      <c r="V36" s="509"/>
      <c r="W36" s="509"/>
      <c r="X36" s="509"/>
      <c r="Y36" s="509"/>
      <c r="Z36" s="509"/>
    </row>
    <row r="37" spans="1:26" s="644" customFormat="1" x14ac:dyDescent="0.2">
      <c r="A37" s="530"/>
      <c r="B37" s="530"/>
      <c r="C37" s="30"/>
      <c r="D37" s="557"/>
      <c r="E37" s="557"/>
      <c r="F37" s="557"/>
      <c r="G37" s="557"/>
      <c r="H37" s="557"/>
      <c r="I37" s="557"/>
      <c r="J37" s="557"/>
      <c r="K37" s="557"/>
      <c r="L37" s="557"/>
      <c r="M37" s="557"/>
      <c r="N37" s="557"/>
      <c r="O37" s="557"/>
      <c r="P37" s="557"/>
      <c r="Q37" s="557"/>
      <c r="R37" s="557"/>
      <c r="S37" s="557"/>
      <c r="T37" s="558"/>
      <c r="U37" s="509"/>
      <c r="V37" s="509"/>
      <c r="W37" s="509"/>
      <c r="X37" s="509"/>
      <c r="Y37" s="509"/>
      <c r="Z37" s="509"/>
    </row>
    <row r="38" spans="1:26" ht="15" customHeight="1" x14ac:dyDescent="0.2">
      <c r="A38" s="1"/>
      <c r="B38" s="541"/>
      <c r="C38" s="683" t="s">
        <v>1637</v>
      </c>
      <c r="D38" s="684"/>
      <c r="E38" s="684"/>
      <c r="F38" s="684"/>
      <c r="G38" s="684"/>
      <c r="H38" s="684"/>
      <c r="I38" s="684"/>
      <c r="J38" s="684"/>
      <c r="K38" s="684"/>
      <c r="L38" s="684"/>
      <c r="M38" s="684"/>
      <c r="N38" s="684"/>
      <c r="O38" s="684"/>
      <c r="P38" s="684"/>
      <c r="Q38" s="684"/>
      <c r="R38" s="685"/>
      <c r="S38" s="491"/>
      <c r="T38" s="491"/>
      <c r="U38" s="490"/>
      <c r="V38" s="490"/>
      <c r="W38" s="490"/>
      <c r="X38" s="490"/>
      <c r="Y38" s="490"/>
      <c r="Z38" s="490"/>
    </row>
    <row r="39" spans="1:26" ht="41.25" customHeight="1" x14ac:dyDescent="0.2">
      <c r="A39" s="1"/>
      <c r="B39" s="541"/>
      <c r="C39" s="686" t="s">
        <v>1750</v>
      </c>
      <c r="D39" s="687"/>
      <c r="E39" s="687"/>
      <c r="F39" s="687"/>
      <c r="G39" s="687"/>
      <c r="H39" s="687"/>
      <c r="I39" s="687"/>
      <c r="J39" s="687"/>
      <c r="K39" s="687"/>
      <c r="L39" s="687"/>
      <c r="M39" s="687"/>
      <c r="N39" s="687"/>
      <c r="O39" s="687"/>
      <c r="P39" s="687"/>
      <c r="Q39" s="687"/>
      <c r="R39" s="688"/>
      <c r="S39" s="491"/>
      <c r="T39" s="491"/>
      <c r="U39" s="490"/>
      <c r="V39" s="490"/>
      <c r="W39" s="490"/>
      <c r="X39" s="490"/>
      <c r="Y39" s="490"/>
      <c r="Z39" s="490"/>
    </row>
    <row r="40" spans="1:26" ht="30" customHeight="1" x14ac:dyDescent="0.2">
      <c r="A40" s="1"/>
      <c r="B40" s="541"/>
      <c r="C40" s="689" t="s">
        <v>24</v>
      </c>
      <c r="D40" s="689" t="s">
        <v>25</v>
      </c>
      <c r="E40" s="689" t="s">
        <v>2</v>
      </c>
      <c r="F40" s="689" t="s">
        <v>148</v>
      </c>
      <c r="G40" s="716" t="s">
        <v>26</v>
      </c>
      <c r="H40" s="693"/>
      <c r="I40" s="680" t="s">
        <v>27</v>
      </c>
      <c r="J40" s="680"/>
      <c r="K40" s="680"/>
      <c r="L40" s="707" t="s">
        <v>28</v>
      </c>
      <c r="M40" s="707"/>
      <c r="N40" s="707"/>
      <c r="O40" s="704" t="s">
        <v>29</v>
      </c>
      <c r="P40" s="705"/>
      <c r="Q40" s="725" t="s">
        <v>444</v>
      </c>
      <c r="R40" s="726"/>
      <c r="S40" s="491"/>
      <c r="T40" s="491"/>
      <c r="U40" s="490"/>
      <c r="V40" s="490"/>
      <c r="W40" s="490"/>
      <c r="X40" s="490"/>
      <c r="Y40" s="490"/>
      <c r="Z40" s="490"/>
    </row>
    <row r="41" spans="1:26" ht="30" customHeight="1" x14ac:dyDescent="0.2">
      <c r="A41" s="1"/>
      <c r="B41" s="541"/>
      <c r="C41" s="690"/>
      <c r="D41" s="690"/>
      <c r="E41" s="690"/>
      <c r="F41" s="690"/>
      <c r="G41" s="717"/>
      <c r="H41" s="695"/>
      <c r="I41" s="679" t="s">
        <v>3</v>
      </c>
      <c r="J41" s="679" t="s">
        <v>1742</v>
      </c>
      <c r="K41" s="679" t="s">
        <v>6</v>
      </c>
      <c r="L41" s="706" t="s">
        <v>8</v>
      </c>
      <c r="M41" s="706" t="s">
        <v>1743</v>
      </c>
      <c r="N41" s="706" t="s">
        <v>10</v>
      </c>
      <c r="O41" s="708" t="s">
        <v>32</v>
      </c>
      <c r="P41" s="708" t="s">
        <v>33</v>
      </c>
      <c r="Q41" s="727" t="s">
        <v>445</v>
      </c>
      <c r="R41" s="727" t="s">
        <v>446</v>
      </c>
      <c r="S41" s="491"/>
      <c r="T41" s="491"/>
      <c r="U41" s="490"/>
      <c r="V41" s="490"/>
      <c r="W41" s="490"/>
      <c r="X41" s="490"/>
      <c r="Y41" s="490"/>
      <c r="Z41" s="490"/>
    </row>
    <row r="42" spans="1:26" ht="30" customHeight="1" x14ac:dyDescent="0.2">
      <c r="A42" s="1"/>
      <c r="B42" s="541"/>
      <c r="C42" s="690"/>
      <c r="D42" s="690"/>
      <c r="E42" s="690"/>
      <c r="F42" s="691"/>
      <c r="G42" s="718"/>
      <c r="H42" s="697"/>
      <c r="I42" s="680"/>
      <c r="J42" s="680"/>
      <c r="K42" s="680"/>
      <c r="L42" s="707"/>
      <c r="M42" s="707"/>
      <c r="N42" s="707"/>
      <c r="O42" s="709"/>
      <c r="P42" s="709"/>
      <c r="Q42" s="728"/>
      <c r="R42" s="728"/>
      <c r="S42" s="491"/>
      <c r="T42" s="491"/>
      <c r="U42" s="490"/>
      <c r="V42" s="490"/>
      <c r="W42" s="490"/>
      <c r="X42" s="490"/>
      <c r="Y42" s="490"/>
      <c r="Z42" s="490"/>
    </row>
    <row r="43" spans="1:26" ht="35.1" customHeight="1" x14ac:dyDescent="0.2">
      <c r="A43" s="1"/>
      <c r="B43" s="541"/>
      <c r="C43" s="691"/>
      <c r="D43" s="691"/>
      <c r="E43" s="691"/>
      <c r="F43" s="500" t="s">
        <v>22</v>
      </c>
      <c r="G43" s="542" t="s">
        <v>11</v>
      </c>
      <c r="H43" s="542" t="s">
        <v>12</v>
      </c>
      <c r="I43" s="13" t="s">
        <v>13</v>
      </c>
      <c r="J43" s="13" t="s">
        <v>150</v>
      </c>
      <c r="K43" s="501" t="s">
        <v>16</v>
      </c>
      <c r="L43" s="16" t="s">
        <v>13</v>
      </c>
      <c r="M43" s="16" t="s">
        <v>150</v>
      </c>
      <c r="N43" s="502" t="s">
        <v>16</v>
      </c>
      <c r="O43" s="17" t="s">
        <v>13</v>
      </c>
      <c r="P43" s="18" t="s">
        <v>16</v>
      </c>
      <c r="Q43" s="105" t="s">
        <v>13</v>
      </c>
      <c r="R43" s="105" t="s">
        <v>13</v>
      </c>
      <c r="S43" s="491"/>
      <c r="T43" s="491"/>
      <c r="U43" s="490"/>
      <c r="V43" s="490"/>
      <c r="W43" s="490"/>
      <c r="X43" s="490"/>
      <c r="Y43" s="490"/>
      <c r="Z43" s="490"/>
    </row>
    <row r="44" spans="1:26" ht="14.25" customHeight="1" x14ac:dyDescent="0.2">
      <c r="A44" s="543"/>
      <c r="B44" s="543"/>
      <c r="C44" s="665" t="s">
        <v>146</v>
      </c>
      <c r="D44" s="719" t="s">
        <v>151</v>
      </c>
      <c r="E44" s="523" t="s">
        <v>152</v>
      </c>
      <c r="F44" s="611">
        <v>400</v>
      </c>
      <c r="G44" s="614">
        <v>1.0720000000000001</v>
      </c>
      <c r="H44" s="615" t="s">
        <v>427</v>
      </c>
      <c r="I44" s="151">
        <v>340.09199999999998</v>
      </c>
      <c r="J44" s="151">
        <v>18.988</v>
      </c>
      <c r="K44" s="152">
        <v>3.1900000000000001E-3</v>
      </c>
      <c r="L44" s="151">
        <v>14.759</v>
      </c>
      <c r="M44" s="151">
        <v>0.88500000000000001</v>
      </c>
      <c r="N44" s="152">
        <v>9.3299999999999998E-3</v>
      </c>
      <c r="O44" s="151">
        <v>0</v>
      </c>
      <c r="P44" s="152">
        <v>0</v>
      </c>
      <c r="Q44" s="621">
        <v>3.9260000000000003E-2</v>
      </c>
      <c r="R44" s="152">
        <v>0.10716000000000001</v>
      </c>
      <c r="S44" s="491"/>
      <c r="T44" s="491"/>
      <c r="U44" s="490"/>
      <c r="V44" s="490"/>
      <c r="W44" s="490"/>
      <c r="X44" s="490"/>
      <c r="Y44" s="490"/>
      <c r="Z44" s="490"/>
    </row>
    <row r="45" spans="1:26" ht="14.25" customHeight="1" x14ac:dyDescent="0.2">
      <c r="A45" s="543"/>
      <c r="B45" s="543"/>
      <c r="C45" s="666"/>
      <c r="D45" s="720"/>
      <c r="E45" s="525" t="s">
        <v>438</v>
      </c>
      <c r="F45" s="612">
        <v>400</v>
      </c>
      <c r="G45" s="616">
        <v>1.0720000000000001</v>
      </c>
      <c r="H45" s="617" t="s">
        <v>427</v>
      </c>
      <c r="I45" s="153">
        <v>340.09199999999998</v>
      </c>
      <c r="J45" s="153">
        <v>18.988</v>
      </c>
      <c r="K45" s="154">
        <v>3.1900000000000001E-3</v>
      </c>
      <c r="L45" s="153">
        <v>14.759</v>
      </c>
      <c r="M45" s="153">
        <v>0.88500000000000001</v>
      </c>
      <c r="N45" s="154">
        <v>9.3299999999999998E-3</v>
      </c>
      <c r="O45" s="153">
        <v>0</v>
      </c>
      <c r="P45" s="154">
        <v>0</v>
      </c>
      <c r="Q45" s="622">
        <v>0</v>
      </c>
      <c r="R45" s="154">
        <v>0</v>
      </c>
      <c r="S45" s="491"/>
      <c r="T45" s="491"/>
      <c r="U45" s="490"/>
      <c r="V45" s="490"/>
      <c r="W45" s="490"/>
      <c r="X45" s="490"/>
      <c r="Y45" s="490"/>
      <c r="Z45" s="490"/>
    </row>
    <row r="46" spans="1:26" ht="14.25" customHeight="1" x14ac:dyDescent="0.2">
      <c r="A46" s="543"/>
      <c r="B46" s="543"/>
      <c r="C46" s="666"/>
      <c r="D46" s="720"/>
      <c r="E46" s="525" t="s">
        <v>461</v>
      </c>
      <c r="F46" s="612">
        <v>400</v>
      </c>
      <c r="G46" s="616">
        <v>1.0720000000000001</v>
      </c>
      <c r="H46" s="617" t="s">
        <v>427</v>
      </c>
      <c r="I46" s="153">
        <v>340.09199999999998</v>
      </c>
      <c r="J46" s="153">
        <v>18.988</v>
      </c>
      <c r="K46" s="154">
        <v>3.1900000000000001E-3</v>
      </c>
      <c r="L46" s="153">
        <v>14.759</v>
      </c>
      <c r="M46" s="153">
        <v>0.88500000000000001</v>
      </c>
      <c r="N46" s="154">
        <v>9.3299999999999998E-3</v>
      </c>
      <c r="O46" s="153">
        <v>0</v>
      </c>
      <c r="P46" s="154">
        <v>0</v>
      </c>
      <c r="Q46" s="622">
        <v>3.9260000000000003E-2</v>
      </c>
      <c r="R46" s="154">
        <v>0</v>
      </c>
      <c r="S46" s="491"/>
      <c r="T46" s="491"/>
      <c r="U46" s="490"/>
      <c r="V46" s="490"/>
      <c r="W46" s="490"/>
      <c r="X46" s="490"/>
      <c r="Y46" s="490"/>
      <c r="Z46" s="490"/>
    </row>
    <row r="47" spans="1:26" ht="14.25" customHeight="1" x14ac:dyDescent="0.2">
      <c r="A47" s="543"/>
      <c r="B47" s="543"/>
      <c r="C47" s="666"/>
      <c r="D47" s="721"/>
      <c r="E47" s="620" t="s">
        <v>462</v>
      </c>
      <c r="F47" s="613">
        <v>400</v>
      </c>
      <c r="G47" s="618">
        <v>1.0720000000000001</v>
      </c>
      <c r="H47" s="619" t="s">
        <v>427</v>
      </c>
      <c r="I47" s="155">
        <v>340.09199999999998</v>
      </c>
      <c r="J47" s="155">
        <v>18.988</v>
      </c>
      <c r="K47" s="156">
        <v>3.1900000000000001E-3</v>
      </c>
      <c r="L47" s="155">
        <v>14.759</v>
      </c>
      <c r="M47" s="155">
        <v>0.88500000000000001</v>
      </c>
      <c r="N47" s="156">
        <v>9.3299999999999998E-3</v>
      </c>
      <c r="O47" s="155">
        <v>0</v>
      </c>
      <c r="P47" s="156">
        <v>0</v>
      </c>
      <c r="Q47" s="623">
        <v>0</v>
      </c>
      <c r="R47" s="156">
        <v>0.10716000000000001</v>
      </c>
      <c r="S47" s="491"/>
      <c r="T47" s="491"/>
      <c r="U47" s="490"/>
      <c r="V47" s="490"/>
      <c r="W47" s="490"/>
      <c r="X47" s="490"/>
      <c r="Y47" s="490"/>
      <c r="Z47" s="490"/>
    </row>
    <row r="48" spans="1:26" ht="14.25" customHeight="1" x14ac:dyDescent="0.2">
      <c r="A48" s="543"/>
      <c r="B48" s="543"/>
      <c r="C48" s="666"/>
      <c r="D48" s="719" t="s">
        <v>153</v>
      </c>
      <c r="E48" s="523" t="s">
        <v>154</v>
      </c>
      <c r="F48" s="611">
        <v>400</v>
      </c>
      <c r="G48" s="614">
        <v>1.0720000000000001</v>
      </c>
      <c r="H48" s="615" t="s">
        <v>427</v>
      </c>
      <c r="I48" s="151">
        <v>340.09199999999998</v>
      </c>
      <c r="J48" s="151">
        <v>18.988</v>
      </c>
      <c r="K48" s="152">
        <v>3.1900000000000001E-3</v>
      </c>
      <c r="L48" s="151">
        <v>29.402999999999999</v>
      </c>
      <c r="M48" s="151">
        <v>1.9630000000000001</v>
      </c>
      <c r="N48" s="152">
        <v>1.1010000000000001E-2</v>
      </c>
      <c r="O48" s="151">
        <v>0</v>
      </c>
      <c r="P48" s="152">
        <v>0</v>
      </c>
      <c r="Q48" s="621">
        <v>3.9260000000000003E-2</v>
      </c>
      <c r="R48" s="152">
        <v>0.10716000000000001</v>
      </c>
      <c r="S48" s="491"/>
      <c r="T48" s="491"/>
      <c r="U48" s="490"/>
      <c r="V48" s="490"/>
      <c r="W48" s="490"/>
      <c r="X48" s="490"/>
      <c r="Y48" s="490"/>
      <c r="Z48" s="490"/>
    </row>
    <row r="49" spans="1:26" ht="14.25" customHeight="1" x14ac:dyDescent="0.2">
      <c r="A49" s="543"/>
      <c r="B49" s="543"/>
      <c r="C49" s="666"/>
      <c r="D49" s="720"/>
      <c r="E49" s="525" t="s">
        <v>463</v>
      </c>
      <c r="F49" s="612">
        <v>400</v>
      </c>
      <c r="G49" s="616">
        <v>1.0720000000000001</v>
      </c>
      <c r="H49" s="617" t="s">
        <v>427</v>
      </c>
      <c r="I49" s="153">
        <v>340.09199999999998</v>
      </c>
      <c r="J49" s="153">
        <v>18.988</v>
      </c>
      <c r="K49" s="154">
        <v>3.1900000000000001E-3</v>
      </c>
      <c r="L49" s="153">
        <v>29.402999999999999</v>
      </c>
      <c r="M49" s="153">
        <v>1.9630000000000001</v>
      </c>
      <c r="N49" s="154">
        <v>1.1010000000000001E-2</v>
      </c>
      <c r="O49" s="153">
        <v>0</v>
      </c>
      <c r="P49" s="154">
        <v>0</v>
      </c>
      <c r="Q49" s="622">
        <v>0</v>
      </c>
      <c r="R49" s="154">
        <v>0</v>
      </c>
      <c r="S49" s="491"/>
      <c r="T49" s="491"/>
      <c r="U49" s="490"/>
      <c r="V49" s="490"/>
      <c r="W49" s="490"/>
      <c r="X49" s="490"/>
      <c r="Y49" s="490"/>
      <c r="Z49" s="490"/>
    </row>
    <row r="50" spans="1:26" ht="14.25" customHeight="1" x14ac:dyDescent="0.2">
      <c r="A50" s="543"/>
      <c r="B50" s="543"/>
      <c r="C50" s="666"/>
      <c r="D50" s="720"/>
      <c r="E50" s="525" t="s">
        <v>464</v>
      </c>
      <c r="F50" s="612">
        <v>400</v>
      </c>
      <c r="G50" s="616">
        <v>1.0720000000000001</v>
      </c>
      <c r="H50" s="617" t="s">
        <v>427</v>
      </c>
      <c r="I50" s="153">
        <v>340.09199999999998</v>
      </c>
      <c r="J50" s="153">
        <v>18.988</v>
      </c>
      <c r="K50" s="154">
        <v>3.1900000000000001E-3</v>
      </c>
      <c r="L50" s="153">
        <v>29.402999999999999</v>
      </c>
      <c r="M50" s="153">
        <v>1.9630000000000001</v>
      </c>
      <c r="N50" s="154">
        <v>1.1010000000000001E-2</v>
      </c>
      <c r="O50" s="153">
        <v>0</v>
      </c>
      <c r="P50" s="154">
        <v>0</v>
      </c>
      <c r="Q50" s="622">
        <v>3.9260000000000003E-2</v>
      </c>
      <c r="R50" s="154">
        <v>0</v>
      </c>
      <c r="S50" s="491"/>
      <c r="T50" s="491"/>
      <c r="U50" s="490"/>
      <c r="V50" s="490"/>
      <c r="W50" s="490"/>
      <c r="X50" s="490"/>
      <c r="Y50" s="490"/>
      <c r="Z50" s="490"/>
    </row>
    <row r="51" spans="1:26" ht="14.25" customHeight="1" x14ac:dyDescent="0.2">
      <c r="A51" s="543"/>
      <c r="B51" s="543"/>
      <c r="C51" s="666"/>
      <c r="D51" s="721"/>
      <c r="E51" s="620" t="s">
        <v>465</v>
      </c>
      <c r="F51" s="613">
        <v>400</v>
      </c>
      <c r="G51" s="618">
        <v>1.0720000000000001</v>
      </c>
      <c r="H51" s="619" t="s">
        <v>427</v>
      </c>
      <c r="I51" s="155">
        <v>340.09199999999998</v>
      </c>
      <c r="J51" s="155">
        <v>18.988</v>
      </c>
      <c r="K51" s="156">
        <v>3.1900000000000001E-3</v>
      </c>
      <c r="L51" s="155">
        <v>29.402999999999999</v>
      </c>
      <c r="M51" s="155">
        <v>1.9630000000000001</v>
      </c>
      <c r="N51" s="156">
        <v>1.1010000000000001E-2</v>
      </c>
      <c r="O51" s="155">
        <v>0</v>
      </c>
      <c r="P51" s="156">
        <v>0</v>
      </c>
      <c r="Q51" s="623">
        <v>0</v>
      </c>
      <c r="R51" s="156">
        <v>0.10716000000000001</v>
      </c>
      <c r="S51" s="491"/>
      <c r="T51" s="491"/>
      <c r="U51" s="490"/>
      <c r="V51" s="490"/>
      <c r="W51" s="490"/>
      <c r="X51" s="490"/>
      <c r="Y51" s="490"/>
      <c r="Z51" s="490"/>
    </row>
    <row r="52" spans="1:26" ht="14.25" customHeight="1" x14ac:dyDescent="0.2">
      <c r="A52" s="543"/>
      <c r="B52" s="543"/>
      <c r="C52" s="666"/>
      <c r="D52" s="719" t="s">
        <v>155</v>
      </c>
      <c r="E52" s="523" t="s">
        <v>156</v>
      </c>
      <c r="F52" s="611">
        <v>400</v>
      </c>
      <c r="G52" s="614">
        <v>1.0720000000000001</v>
      </c>
      <c r="H52" s="615" t="s">
        <v>427</v>
      </c>
      <c r="I52" s="151">
        <v>340.09199999999998</v>
      </c>
      <c r="J52" s="151">
        <v>18.988</v>
      </c>
      <c r="K52" s="152">
        <v>3.1900000000000001E-3</v>
      </c>
      <c r="L52" s="151">
        <v>54.209000000000003</v>
      </c>
      <c r="M52" s="151">
        <v>3.8570000000000002</v>
      </c>
      <c r="N52" s="152">
        <v>1.346E-2</v>
      </c>
      <c r="O52" s="151">
        <v>0</v>
      </c>
      <c r="P52" s="152">
        <v>0</v>
      </c>
      <c r="Q52" s="621">
        <v>3.9260000000000003E-2</v>
      </c>
      <c r="R52" s="152">
        <v>0.10716000000000001</v>
      </c>
      <c r="S52" s="491"/>
      <c r="T52" s="491"/>
      <c r="U52" s="490"/>
      <c r="V52" s="490"/>
      <c r="W52" s="490"/>
      <c r="X52" s="490"/>
      <c r="Y52" s="490"/>
      <c r="Z52" s="490"/>
    </row>
    <row r="53" spans="1:26" ht="14.25" customHeight="1" x14ac:dyDescent="0.2">
      <c r="A53" s="543"/>
      <c r="B53" s="543"/>
      <c r="C53" s="666"/>
      <c r="D53" s="720"/>
      <c r="E53" s="525" t="s">
        <v>466</v>
      </c>
      <c r="F53" s="612">
        <v>400</v>
      </c>
      <c r="G53" s="616">
        <v>1.0720000000000001</v>
      </c>
      <c r="H53" s="617" t="s">
        <v>427</v>
      </c>
      <c r="I53" s="153">
        <v>340.09199999999998</v>
      </c>
      <c r="J53" s="153">
        <v>18.988</v>
      </c>
      <c r="K53" s="154">
        <v>3.1900000000000001E-3</v>
      </c>
      <c r="L53" s="153">
        <v>54.209000000000003</v>
      </c>
      <c r="M53" s="153">
        <v>3.8570000000000002</v>
      </c>
      <c r="N53" s="154">
        <v>1.346E-2</v>
      </c>
      <c r="O53" s="153">
        <v>0</v>
      </c>
      <c r="P53" s="154">
        <v>0</v>
      </c>
      <c r="Q53" s="622">
        <v>0</v>
      </c>
      <c r="R53" s="154">
        <v>0</v>
      </c>
      <c r="S53" s="491"/>
      <c r="T53" s="491"/>
      <c r="U53" s="490"/>
      <c r="V53" s="490"/>
      <c r="W53" s="490"/>
      <c r="X53" s="490"/>
      <c r="Y53" s="490"/>
      <c r="Z53" s="490"/>
    </row>
    <row r="54" spans="1:26" ht="14.25" customHeight="1" x14ac:dyDescent="0.2">
      <c r="A54" s="543"/>
      <c r="B54" s="543"/>
      <c r="C54" s="666"/>
      <c r="D54" s="720"/>
      <c r="E54" s="525" t="s">
        <v>467</v>
      </c>
      <c r="F54" s="612">
        <v>400</v>
      </c>
      <c r="G54" s="616">
        <v>1.0720000000000001</v>
      </c>
      <c r="H54" s="617" t="s">
        <v>427</v>
      </c>
      <c r="I54" s="153">
        <v>340.09199999999998</v>
      </c>
      <c r="J54" s="153">
        <v>18.988</v>
      </c>
      <c r="K54" s="154">
        <v>3.1900000000000001E-3</v>
      </c>
      <c r="L54" s="153">
        <v>54.209000000000003</v>
      </c>
      <c r="M54" s="153">
        <v>3.8570000000000002</v>
      </c>
      <c r="N54" s="154">
        <v>1.346E-2</v>
      </c>
      <c r="O54" s="153">
        <v>0</v>
      </c>
      <c r="P54" s="154">
        <v>0</v>
      </c>
      <c r="Q54" s="622">
        <v>3.9260000000000003E-2</v>
      </c>
      <c r="R54" s="154">
        <v>0</v>
      </c>
      <c r="S54" s="491"/>
      <c r="T54" s="491"/>
      <c r="U54" s="490"/>
      <c r="V54" s="490"/>
      <c r="W54" s="490"/>
      <c r="X54" s="490"/>
      <c r="Y54" s="490"/>
      <c r="Z54" s="490"/>
    </row>
    <row r="55" spans="1:26" ht="14.25" customHeight="1" x14ac:dyDescent="0.2">
      <c r="A55" s="543"/>
      <c r="B55" s="543"/>
      <c r="C55" s="666"/>
      <c r="D55" s="721"/>
      <c r="E55" s="620" t="s">
        <v>468</v>
      </c>
      <c r="F55" s="613">
        <v>400</v>
      </c>
      <c r="G55" s="618">
        <v>1.0720000000000001</v>
      </c>
      <c r="H55" s="619" t="s">
        <v>427</v>
      </c>
      <c r="I55" s="155">
        <v>340.09199999999998</v>
      </c>
      <c r="J55" s="155">
        <v>18.988</v>
      </c>
      <c r="K55" s="156">
        <v>3.1900000000000001E-3</v>
      </c>
      <c r="L55" s="155">
        <v>54.209000000000003</v>
      </c>
      <c r="M55" s="155">
        <v>3.8570000000000002</v>
      </c>
      <c r="N55" s="156">
        <v>1.346E-2</v>
      </c>
      <c r="O55" s="155">
        <v>0</v>
      </c>
      <c r="P55" s="156">
        <v>0</v>
      </c>
      <c r="Q55" s="623">
        <v>0</v>
      </c>
      <c r="R55" s="156">
        <v>0.10716000000000001</v>
      </c>
      <c r="S55" s="491"/>
      <c r="T55" s="491"/>
      <c r="U55" s="490"/>
      <c r="V55" s="490"/>
      <c r="W55" s="490"/>
      <c r="X55" s="490"/>
      <c r="Y55" s="490"/>
      <c r="Z55" s="490"/>
    </row>
    <row r="56" spans="1:26" ht="14.25" customHeight="1" x14ac:dyDescent="0.2">
      <c r="A56" s="543"/>
      <c r="B56" s="543"/>
      <c r="C56" s="666"/>
      <c r="D56" s="719" t="s">
        <v>157</v>
      </c>
      <c r="E56" s="523" t="s">
        <v>158</v>
      </c>
      <c r="F56" s="611">
        <v>400</v>
      </c>
      <c r="G56" s="614">
        <v>1.143</v>
      </c>
      <c r="H56" s="615" t="s">
        <v>428</v>
      </c>
      <c r="I56" s="151">
        <v>1103.307</v>
      </c>
      <c r="J56" s="151">
        <v>73.5</v>
      </c>
      <c r="K56" s="152">
        <v>3.1900000000000001E-3</v>
      </c>
      <c r="L56" s="151">
        <v>14.759</v>
      </c>
      <c r="M56" s="151">
        <v>0.88500000000000001</v>
      </c>
      <c r="N56" s="152">
        <v>9.3299999999999998E-3</v>
      </c>
      <c r="O56" s="151">
        <v>0</v>
      </c>
      <c r="P56" s="152">
        <v>0</v>
      </c>
      <c r="Q56" s="621">
        <v>3.9260000000000003E-2</v>
      </c>
      <c r="R56" s="152">
        <v>0.10716000000000001</v>
      </c>
      <c r="S56" s="491"/>
      <c r="T56" s="491"/>
      <c r="U56" s="490"/>
      <c r="V56" s="490"/>
      <c r="W56" s="490"/>
      <c r="X56" s="490"/>
      <c r="Y56" s="490"/>
      <c r="Z56" s="490"/>
    </row>
    <row r="57" spans="1:26" ht="14.25" customHeight="1" x14ac:dyDescent="0.2">
      <c r="A57" s="543"/>
      <c r="B57" s="543"/>
      <c r="C57" s="666"/>
      <c r="D57" s="720"/>
      <c r="E57" s="525" t="s">
        <v>469</v>
      </c>
      <c r="F57" s="612">
        <v>400</v>
      </c>
      <c r="G57" s="616">
        <v>1.143</v>
      </c>
      <c r="H57" s="617" t="s">
        <v>428</v>
      </c>
      <c r="I57" s="153">
        <v>1103.307</v>
      </c>
      <c r="J57" s="153">
        <v>73.5</v>
      </c>
      <c r="K57" s="154">
        <v>3.1900000000000001E-3</v>
      </c>
      <c r="L57" s="153">
        <v>14.759</v>
      </c>
      <c r="M57" s="153">
        <v>0.88500000000000001</v>
      </c>
      <c r="N57" s="154">
        <v>9.3299999999999998E-3</v>
      </c>
      <c r="O57" s="153">
        <v>0</v>
      </c>
      <c r="P57" s="154">
        <v>0</v>
      </c>
      <c r="Q57" s="622">
        <v>0</v>
      </c>
      <c r="R57" s="154">
        <v>0</v>
      </c>
      <c r="S57" s="491"/>
      <c r="T57" s="491"/>
      <c r="U57" s="490"/>
      <c r="V57" s="490"/>
      <c r="W57" s="490"/>
      <c r="X57" s="490"/>
      <c r="Y57" s="490"/>
      <c r="Z57" s="490"/>
    </row>
    <row r="58" spans="1:26" ht="14.25" customHeight="1" x14ac:dyDescent="0.2">
      <c r="A58" s="543"/>
      <c r="B58" s="543"/>
      <c r="C58" s="666"/>
      <c r="D58" s="720"/>
      <c r="E58" s="525" t="s">
        <v>470</v>
      </c>
      <c r="F58" s="612">
        <v>400</v>
      </c>
      <c r="G58" s="616">
        <v>1.143</v>
      </c>
      <c r="H58" s="617" t="s">
        <v>428</v>
      </c>
      <c r="I58" s="153">
        <v>1103.307</v>
      </c>
      <c r="J58" s="153">
        <v>73.5</v>
      </c>
      <c r="K58" s="154">
        <v>3.1900000000000001E-3</v>
      </c>
      <c r="L58" s="153">
        <v>14.759</v>
      </c>
      <c r="M58" s="153">
        <v>0.88500000000000001</v>
      </c>
      <c r="N58" s="154">
        <v>9.3299999999999998E-3</v>
      </c>
      <c r="O58" s="153">
        <v>0</v>
      </c>
      <c r="P58" s="154">
        <v>0</v>
      </c>
      <c r="Q58" s="622">
        <v>3.9260000000000003E-2</v>
      </c>
      <c r="R58" s="154">
        <v>0</v>
      </c>
      <c r="S58" s="491"/>
      <c r="T58" s="491"/>
      <c r="U58" s="490"/>
      <c r="V58" s="490"/>
      <c r="W58" s="490"/>
      <c r="X58" s="490"/>
      <c r="Y58" s="490"/>
      <c r="Z58" s="490"/>
    </row>
    <row r="59" spans="1:26" ht="14.25" customHeight="1" x14ac:dyDescent="0.2">
      <c r="A59" s="543"/>
      <c r="B59" s="543"/>
      <c r="C59" s="666"/>
      <c r="D59" s="721"/>
      <c r="E59" s="620" t="s">
        <v>471</v>
      </c>
      <c r="F59" s="613">
        <v>400</v>
      </c>
      <c r="G59" s="618">
        <v>1.143</v>
      </c>
      <c r="H59" s="619" t="s">
        <v>428</v>
      </c>
      <c r="I59" s="155">
        <v>1103.307</v>
      </c>
      <c r="J59" s="155">
        <v>73.5</v>
      </c>
      <c r="K59" s="156">
        <v>3.1900000000000001E-3</v>
      </c>
      <c r="L59" s="155">
        <v>14.759</v>
      </c>
      <c r="M59" s="155">
        <v>0.88500000000000001</v>
      </c>
      <c r="N59" s="156">
        <v>9.3299999999999998E-3</v>
      </c>
      <c r="O59" s="155">
        <v>0</v>
      </c>
      <c r="P59" s="156">
        <v>0</v>
      </c>
      <c r="Q59" s="623">
        <v>0</v>
      </c>
      <c r="R59" s="156">
        <v>0.10716000000000001</v>
      </c>
      <c r="S59" s="491"/>
      <c r="T59" s="491"/>
      <c r="U59" s="490"/>
      <c r="V59" s="490"/>
      <c r="W59" s="490"/>
      <c r="X59" s="490"/>
      <c r="Y59" s="490"/>
      <c r="Z59" s="490"/>
    </row>
    <row r="60" spans="1:26" ht="14.25" customHeight="1" x14ac:dyDescent="0.2">
      <c r="A60" s="543"/>
      <c r="B60" s="543"/>
      <c r="C60" s="666"/>
      <c r="D60" s="719" t="s">
        <v>159</v>
      </c>
      <c r="E60" s="523" t="s">
        <v>160</v>
      </c>
      <c r="F60" s="611">
        <v>400</v>
      </c>
      <c r="G60" s="614">
        <v>1.143</v>
      </c>
      <c r="H60" s="615" t="s">
        <v>428</v>
      </c>
      <c r="I60" s="151">
        <v>1103.307</v>
      </c>
      <c r="J60" s="151">
        <v>73.5</v>
      </c>
      <c r="K60" s="152">
        <v>3.1900000000000001E-3</v>
      </c>
      <c r="L60" s="151">
        <v>29.402999999999999</v>
      </c>
      <c r="M60" s="151">
        <v>1.9630000000000001</v>
      </c>
      <c r="N60" s="152">
        <v>1.1010000000000001E-2</v>
      </c>
      <c r="O60" s="151">
        <v>0</v>
      </c>
      <c r="P60" s="152">
        <v>0</v>
      </c>
      <c r="Q60" s="621">
        <v>3.9260000000000003E-2</v>
      </c>
      <c r="R60" s="152">
        <v>0.10716000000000001</v>
      </c>
      <c r="S60" s="491"/>
      <c r="T60" s="491"/>
      <c r="U60" s="490"/>
      <c r="V60" s="490"/>
      <c r="W60" s="490"/>
      <c r="X60" s="490"/>
      <c r="Y60" s="490"/>
      <c r="Z60" s="490"/>
    </row>
    <row r="61" spans="1:26" ht="14.25" customHeight="1" x14ac:dyDescent="0.2">
      <c r="A61" s="543"/>
      <c r="B61" s="543"/>
      <c r="C61" s="666"/>
      <c r="D61" s="720"/>
      <c r="E61" s="525" t="s">
        <v>472</v>
      </c>
      <c r="F61" s="612">
        <v>400</v>
      </c>
      <c r="G61" s="616">
        <v>1.143</v>
      </c>
      <c r="H61" s="617" t="s">
        <v>428</v>
      </c>
      <c r="I61" s="153">
        <v>1103.307</v>
      </c>
      <c r="J61" s="153">
        <v>73.5</v>
      </c>
      <c r="K61" s="154">
        <v>3.1900000000000001E-3</v>
      </c>
      <c r="L61" s="153">
        <v>29.402999999999999</v>
      </c>
      <c r="M61" s="153">
        <v>1.9630000000000001</v>
      </c>
      <c r="N61" s="154">
        <v>1.1010000000000001E-2</v>
      </c>
      <c r="O61" s="153">
        <v>0</v>
      </c>
      <c r="P61" s="154">
        <v>0</v>
      </c>
      <c r="Q61" s="622">
        <v>0</v>
      </c>
      <c r="R61" s="154">
        <v>0</v>
      </c>
      <c r="S61" s="491"/>
      <c r="T61" s="491"/>
      <c r="U61" s="490"/>
      <c r="V61" s="490"/>
      <c r="W61" s="490"/>
      <c r="X61" s="490"/>
      <c r="Y61" s="490"/>
      <c r="Z61" s="490"/>
    </row>
    <row r="62" spans="1:26" ht="14.25" customHeight="1" x14ac:dyDescent="0.2">
      <c r="A62" s="543"/>
      <c r="B62" s="543"/>
      <c r="C62" s="666"/>
      <c r="D62" s="720"/>
      <c r="E62" s="525" t="s">
        <v>473</v>
      </c>
      <c r="F62" s="612">
        <v>400</v>
      </c>
      <c r="G62" s="616">
        <v>1.143</v>
      </c>
      <c r="H62" s="617" t="s">
        <v>428</v>
      </c>
      <c r="I62" s="153">
        <v>1103.307</v>
      </c>
      <c r="J62" s="153">
        <v>73.5</v>
      </c>
      <c r="K62" s="154">
        <v>3.1900000000000001E-3</v>
      </c>
      <c r="L62" s="153">
        <v>29.402999999999999</v>
      </c>
      <c r="M62" s="153">
        <v>1.9630000000000001</v>
      </c>
      <c r="N62" s="154">
        <v>1.1010000000000001E-2</v>
      </c>
      <c r="O62" s="153">
        <v>0</v>
      </c>
      <c r="P62" s="154">
        <v>0</v>
      </c>
      <c r="Q62" s="622">
        <v>3.9260000000000003E-2</v>
      </c>
      <c r="R62" s="154">
        <v>0</v>
      </c>
      <c r="S62" s="491"/>
      <c r="T62" s="491"/>
      <c r="U62" s="490"/>
      <c r="V62" s="490"/>
      <c r="W62" s="490"/>
      <c r="X62" s="490"/>
      <c r="Y62" s="490"/>
      <c r="Z62" s="490"/>
    </row>
    <row r="63" spans="1:26" ht="14.25" customHeight="1" x14ac:dyDescent="0.2">
      <c r="A63" s="543"/>
      <c r="B63" s="543"/>
      <c r="C63" s="666"/>
      <c r="D63" s="721"/>
      <c r="E63" s="620" t="s">
        <v>474</v>
      </c>
      <c r="F63" s="613">
        <v>400</v>
      </c>
      <c r="G63" s="618">
        <v>1.143</v>
      </c>
      <c r="H63" s="619" t="s">
        <v>428</v>
      </c>
      <c r="I63" s="155">
        <v>1103.307</v>
      </c>
      <c r="J63" s="155">
        <v>73.5</v>
      </c>
      <c r="K63" s="156">
        <v>3.1900000000000001E-3</v>
      </c>
      <c r="L63" s="155">
        <v>29.402999999999999</v>
      </c>
      <c r="M63" s="155">
        <v>1.9630000000000001</v>
      </c>
      <c r="N63" s="156">
        <v>1.1010000000000001E-2</v>
      </c>
      <c r="O63" s="155">
        <v>0</v>
      </c>
      <c r="P63" s="156">
        <v>0</v>
      </c>
      <c r="Q63" s="623">
        <v>0</v>
      </c>
      <c r="R63" s="156">
        <v>0.10716000000000001</v>
      </c>
      <c r="S63" s="491"/>
      <c r="T63" s="491"/>
      <c r="U63" s="490"/>
      <c r="V63" s="490"/>
      <c r="W63" s="490"/>
      <c r="X63" s="490"/>
      <c r="Y63" s="490"/>
      <c r="Z63" s="490"/>
    </row>
    <row r="64" spans="1:26" ht="14.25" customHeight="1" x14ac:dyDescent="0.2">
      <c r="A64" s="543"/>
      <c r="B64" s="543"/>
      <c r="C64" s="666"/>
      <c r="D64" s="719" t="s">
        <v>161</v>
      </c>
      <c r="E64" s="523" t="s">
        <v>162</v>
      </c>
      <c r="F64" s="611">
        <v>400</v>
      </c>
      <c r="G64" s="614">
        <v>1.143</v>
      </c>
      <c r="H64" s="615" t="s">
        <v>428</v>
      </c>
      <c r="I64" s="151">
        <v>1103.307</v>
      </c>
      <c r="J64" s="151">
        <v>73.5</v>
      </c>
      <c r="K64" s="152">
        <v>3.1900000000000001E-3</v>
      </c>
      <c r="L64" s="151">
        <v>54.209000000000003</v>
      </c>
      <c r="M64" s="151">
        <v>3.8570000000000002</v>
      </c>
      <c r="N64" s="152">
        <v>1.346E-2</v>
      </c>
      <c r="O64" s="151">
        <v>0</v>
      </c>
      <c r="P64" s="152">
        <v>0</v>
      </c>
      <c r="Q64" s="621">
        <v>3.9260000000000003E-2</v>
      </c>
      <c r="R64" s="152">
        <v>0.10716000000000001</v>
      </c>
      <c r="S64" s="491"/>
      <c r="T64" s="491"/>
      <c r="U64" s="490"/>
      <c r="V64" s="490"/>
      <c r="W64" s="490"/>
      <c r="X64" s="490"/>
      <c r="Y64" s="490"/>
      <c r="Z64" s="490"/>
    </row>
    <row r="65" spans="1:26" ht="14.25" customHeight="1" x14ac:dyDescent="0.2">
      <c r="A65" s="543"/>
      <c r="B65" s="543"/>
      <c r="C65" s="666"/>
      <c r="D65" s="720"/>
      <c r="E65" s="525" t="s">
        <v>475</v>
      </c>
      <c r="F65" s="612">
        <v>400</v>
      </c>
      <c r="G65" s="616">
        <v>1.143</v>
      </c>
      <c r="H65" s="617" t="s">
        <v>428</v>
      </c>
      <c r="I65" s="153">
        <v>1103.307</v>
      </c>
      <c r="J65" s="153">
        <v>73.5</v>
      </c>
      <c r="K65" s="154">
        <v>3.1900000000000001E-3</v>
      </c>
      <c r="L65" s="153">
        <v>54.209000000000003</v>
      </c>
      <c r="M65" s="153">
        <v>3.8570000000000002</v>
      </c>
      <c r="N65" s="154">
        <v>1.346E-2</v>
      </c>
      <c r="O65" s="153">
        <v>0</v>
      </c>
      <c r="P65" s="154">
        <v>0</v>
      </c>
      <c r="Q65" s="622">
        <v>0</v>
      </c>
      <c r="R65" s="154">
        <v>0</v>
      </c>
      <c r="S65" s="491"/>
      <c r="T65" s="491"/>
      <c r="U65" s="490"/>
      <c r="V65" s="490"/>
      <c r="W65" s="490"/>
      <c r="X65" s="490"/>
      <c r="Y65" s="490"/>
      <c r="Z65" s="490"/>
    </row>
    <row r="66" spans="1:26" ht="14.25" customHeight="1" x14ac:dyDescent="0.2">
      <c r="A66" s="543"/>
      <c r="B66" s="543"/>
      <c r="C66" s="666"/>
      <c r="D66" s="720"/>
      <c r="E66" s="525" t="s">
        <v>476</v>
      </c>
      <c r="F66" s="612">
        <v>400</v>
      </c>
      <c r="G66" s="616">
        <v>1.143</v>
      </c>
      <c r="H66" s="617" t="s">
        <v>428</v>
      </c>
      <c r="I66" s="153">
        <v>1103.307</v>
      </c>
      <c r="J66" s="153">
        <v>73.5</v>
      </c>
      <c r="K66" s="154">
        <v>3.1900000000000001E-3</v>
      </c>
      <c r="L66" s="153">
        <v>54.209000000000003</v>
      </c>
      <c r="M66" s="153">
        <v>3.8570000000000002</v>
      </c>
      <c r="N66" s="154">
        <v>1.346E-2</v>
      </c>
      <c r="O66" s="153">
        <v>0</v>
      </c>
      <c r="P66" s="154">
        <v>0</v>
      </c>
      <c r="Q66" s="622">
        <v>3.9260000000000003E-2</v>
      </c>
      <c r="R66" s="154">
        <v>0</v>
      </c>
      <c r="S66" s="491"/>
      <c r="T66" s="491"/>
      <c r="U66" s="490"/>
      <c r="V66" s="490"/>
      <c r="W66" s="490"/>
      <c r="X66" s="490"/>
      <c r="Y66" s="490"/>
      <c r="Z66" s="490"/>
    </row>
    <row r="67" spans="1:26" ht="14.25" customHeight="1" x14ac:dyDescent="0.2">
      <c r="A67" s="543"/>
      <c r="B67" s="543"/>
      <c r="C67" s="666"/>
      <c r="D67" s="721"/>
      <c r="E67" s="620" t="s">
        <v>477</v>
      </c>
      <c r="F67" s="613">
        <v>400</v>
      </c>
      <c r="G67" s="618">
        <v>1.143</v>
      </c>
      <c r="H67" s="619" t="s">
        <v>428</v>
      </c>
      <c r="I67" s="155">
        <v>1103.307</v>
      </c>
      <c r="J67" s="155">
        <v>73.5</v>
      </c>
      <c r="K67" s="156">
        <v>3.1900000000000001E-3</v>
      </c>
      <c r="L67" s="155">
        <v>54.209000000000003</v>
      </c>
      <c r="M67" s="155">
        <v>3.8570000000000002</v>
      </c>
      <c r="N67" s="156">
        <v>1.346E-2</v>
      </c>
      <c r="O67" s="155">
        <v>0</v>
      </c>
      <c r="P67" s="156">
        <v>0</v>
      </c>
      <c r="Q67" s="623">
        <v>0</v>
      </c>
      <c r="R67" s="156">
        <v>0.10716000000000001</v>
      </c>
      <c r="S67" s="491"/>
      <c r="T67" s="491"/>
      <c r="U67" s="490"/>
      <c r="V67" s="490"/>
      <c r="W67" s="490"/>
      <c r="X67" s="490"/>
      <c r="Y67" s="490"/>
      <c r="Z67" s="490"/>
    </row>
    <row r="68" spans="1:26" ht="14.25" customHeight="1" x14ac:dyDescent="0.2">
      <c r="A68" s="543"/>
      <c r="B68" s="543"/>
      <c r="C68" s="666"/>
      <c r="D68" s="719" t="s">
        <v>163</v>
      </c>
      <c r="E68" s="523" t="s">
        <v>164</v>
      </c>
      <c r="F68" s="611">
        <v>400</v>
      </c>
      <c r="G68" s="614">
        <v>1.0640000000000001</v>
      </c>
      <c r="H68" s="615" t="s">
        <v>429</v>
      </c>
      <c r="I68" s="151">
        <v>220.215</v>
      </c>
      <c r="J68" s="151">
        <v>12.097</v>
      </c>
      <c r="K68" s="152">
        <v>3.7499999999999999E-3</v>
      </c>
      <c r="L68" s="151">
        <v>11.449</v>
      </c>
      <c r="M68" s="151">
        <v>0.627</v>
      </c>
      <c r="N68" s="152">
        <v>7.3999999999999999E-4</v>
      </c>
      <c r="O68" s="151">
        <v>0</v>
      </c>
      <c r="P68" s="152">
        <v>0</v>
      </c>
      <c r="Q68" s="621">
        <v>3.9260000000000003E-2</v>
      </c>
      <c r="R68" s="152">
        <v>0.10716000000000001</v>
      </c>
      <c r="S68" s="491"/>
      <c r="T68" s="491"/>
      <c r="U68" s="490"/>
      <c r="V68" s="490"/>
      <c r="W68" s="490"/>
      <c r="X68" s="490"/>
      <c r="Y68" s="490"/>
      <c r="Z68" s="490"/>
    </row>
    <row r="69" spans="1:26" ht="14.25" customHeight="1" x14ac:dyDescent="0.2">
      <c r="A69" s="543"/>
      <c r="B69" s="543"/>
      <c r="C69" s="666"/>
      <c r="D69" s="720"/>
      <c r="E69" s="525" t="s">
        <v>478</v>
      </c>
      <c r="F69" s="612">
        <v>400</v>
      </c>
      <c r="G69" s="616">
        <v>1.0640000000000001</v>
      </c>
      <c r="H69" s="617" t="s">
        <v>429</v>
      </c>
      <c r="I69" s="153">
        <v>220.215</v>
      </c>
      <c r="J69" s="153">
        <v>12.097</v>
      </c>
      <c r="K69" s="154">
        <v>3.7499999999999999E-3</v>
      </c>
      <c r="L69" s="153">
        <v>11.449</v>
      </c>
      <c r="M69" s="153">
        <v>0.627</v>
      </c>
      <c r="N69" s="154">
        <v>7.3999999999999999E-4</v>
      </c>
      <c r="O69" s="153">
        <v>0</v>
      </c>
      <c r="P69" s="154">
        <v>0</v>
      </c>
      <c r="Q69" s="622">
        <v>0</v>
      </c>
      <c r="R69" s="154">
        <v>0</v>
      </c>
      <c r="S69" s="491"/>
      <c r="T69" s="491"/>
      <c r="U69" s="490"/>
      <c r="V69" s="490"/>
      <c r="W69" s="490"/>
      <c r="X69" s="490"/>
      <c r="Y69" s="490"/>
      <c r="Z69" s="490"/>
    </row>
    <row r="70" spans="1:26" ht="14.25" customHeight="1" x14ac:dyDescent="0.2">
      <c r="A70" s="543"/>
      <c r="B70" s="543"/>
      <c r="C70" s="666"/>
      <c r="D70" s="720"/>
      <c r="E70" s="525" t="s">
        <v>479</v>
      </c>
      <c r="F70" s="612">
        <v>400</v>
      </c>
      <c r="G70" s="616">
        <v>1.0640000000000001</v>
      </c>
      <c r="H70" s="617" t="s">
        <v>429</v>
      </c>
      <c r="I70" s="153">
        <v>220.215</v>
      </c>
      <c r="J70" s="153">
        <v>12.097</v>
      </c>
      <c r="K70" s="154">
        <v>3.7499999999999999E-3</v>
      </c>
      <c r="L70" s="153">
        <v>11.449</v>
      </c>
      <c r="M70" s="153">
        <v>0.627</v>
      </c>
      <c r="N70" s="154">
        <v>7.3999999999999999E-4</v>
      </c>
      <c r="O70" s="153">
        <v>0</v>
      </c>
      <c r="P70" s="154">
        <v>0</v>
      </c>
      <c r="Q70" s="622">
        <v>3.9260000000000003E-2</v>
      </c>
      <c r="R70" s="154">
        <v>0</v>
      </c>
      <c r="S70" s="491"/>
      <c r="T70" s="491"/>
      <c r="U70" s="490"/>
      <c r="V70" s="490"/>
      <c r="W70" s="490"/>
      <c r="X70" s="490"/>
      <c r="Y70" s="490"/>
      <c r="Z70" s="490"/>
    </row>
    <row r="71" spans="1:26" ht="14.25" customHeight="1" x14ac:dyDescent="0.2">
      <c r="A71" s="543"/>
      <c r="B71" s="543"/>
      <c r="C71" s="673"/>
      <c r="D71" s="721"/>
      <c r="E71" s="620" t="s">
        <v>480</v>
      </c>
      <c r="F71" s="613">
        <v>400</v>
      </c>
      <c r="G71" s="618">
        <v>1.0640000000000001</v>
      </c>
      <c r="H71" s="619" t="s">
        <v>429</v>
      </c>
      <c r="I71" s="155">
        <v>220.215</v>
      </c>
      <c r="J71" s="155">
        <v>12.097</v>
      </c>
      <c r="K71" s="156">
        <v>3.7499999999999999E-3</v>
      </c>
      <c r="L71" s="155">
        <v>11.449</v>
      </c>
      <c r="M71" s="155">
        <v>0.627</v>
      </c>
      <c r="N71" s="156">
        <v>7.3999999999999999E-4</v>
      </c>
      <c r="O71" s="155">
        <v>0</v>
      </c>
      <c r="P71" s="156">
        <v>0</v>
      </c>
      <c r="Q71" s="623">
        <v>0</v>
      </c>
      <c r="R71" s="156">
        <v>0.10716000000000001</v>
      </c>
      <c r="S71" s="491"/>
      <c r="T71" s="491"/>
      <c r="U71" s="490"/>
      <c r="V71" s="490"/>
      <c r="W71" s="490"/>
      <c r="X71" s="490"/>
      <c r="Y71" s="490"/>
      <c r="Z71" s="490"/>
    </row>
    <row r="72" spans="1:26" ht="14.25" customHeight="1" x14ac:dyDescent="0.2">
      <c r="A72" s="543"/>
      <c r="B72" s="543"/>
      <c r="C72" s="665" t="s">
        <v>147</v>
      </c>
      <c r="D72" s="719" t="s">
        <v>165</v>
      </c>
      <c r="E72" s="523" t="s">
        <v>166</v>
      </c>
      <c r="F72" s="611">
        <v>120</v>
      </c>
      <c r="G72" s="614">
        <v>1.097</v>
      </c>
      <c r="H72" s="615" t="s">
        <v>431</v>
      </c>
      <c r="I72" s="151">
        <v>128.72999999999999</v>
      </c>
      <c r="J72" s="151">
        <v>23.388999999999999</v>
      </c>
      <c r="K72" s="152">
        <v>3.1900000000000001E-3</v>
      </c>
      <c r="L72" s="151">
        <v>6.6130000000000004</v>
      </c>
      <c r="M72" s="151">
        <v>0.88500000000000001</v>
      </c>
      <c r="N72" s="152">
        <v>9.3299999999999998E-3</v>
      </c>
      <c r="O72" s="151">
        <v>0</v>
      </c>
      <c r="P72" s="152">
        <v>0</v>
      </c>
      <c r="Q72" s="621">
        <v>3.9260000000000003E-2</v>
      </c>
      <c r="R72" s="152">
        <v>0.10716000000000001</v>
      </c>
      <c r="S72" s="491"/>
      <c r="T72" s="491"/>
      <c r="U72" s="490"/>
      <c r="V72" s="490"/>
      <c r="W72" s="490"/>
      <c r="X72" s="490"/>
      <c r="Y72" s="490"/>
      <c r="Z72" s="490"/>
    </row>
    <row r="73" spans="1:26" ht="14.25" customHeight="1" x14ac:dyDescent="0.2">
      <c r="A73" s="543"/>
      <c r="B73" s="543"/>
      <c r="C73" s="666"/>
      <c r="D73" s="720"/>
      <c r="E73" s="525" t="s">
        <v>440</v>
      </c>
      <c r="F73" s="612">
        <v>120</v>
      </c>
      <c r="G73" s="616">
        <v>1.097</v>
      </c>
      <c r="H73" s="617" t="s">
        <v>431</v>
      </c>
      <c r="I73" s="153">
        <v>128.72999999999999</v>
      </c>
      <c r="J73" s="153">
        <v>23.388999999999999</v>
      </c>
      <c r="K73" s="154">
        <v>3.1900000000000001E-3</v>
      </c>
      <c r="L73" s="153">
        <v>6.6130000000000004</v>
      </c>
      <c r="M73" s="153">
        <v>0.88500000000000001</v>
      </c>
      <c r="N73" s="154">
        <v>9.3299999999999998E-3</v>
      </c>
      <c r="O73" s="153">
        <v>0</v>
      </c>
      <c r="P73" s="154">
        <v>0</v>
      </c>
      <c r="Q73" s="622">
        <v>0</v>
      </c>
      <c r="R73" s="154">
        <v>0</v>
      </c>
      <c r="S73" s="491"/>
      <c r="T73" s="491"/>
      <c r="U73" s="490"/>
      <c r="V73" s="490"/>
      <c r="W73" s="490"/>
      <c r="X73" s="490"/>
      <c r="Y73" s="490"/>
      <c r="Z73" s="490"/>
    </row>
    <row r="74" spans="1:26" ht="14.25" customHeight="1" x14ac:dyDescent="0.2">
      <c r="A74" s="543"/>
      <c r="B74" s="543"/>
      <c r="C74" s="666"/>
      <c r="D74" s="720"/>
      <c r="E74" s="525" t="s">
        <v>442</v>
      </c>
      <c r="F74" s="612">
        <v>120</v>
      </c>
      <c r="G74" s="616">
        <v>1.097</v>
      </c>
      <c r="H74" s="617" t="s">
        <v>431</v>
      </c>
      <c r="I74" s="153">
        <v>128.72999999999999</v>
      </c>
      <c r="J74" s="153">
        <v>23.388999999999999</v>
      </c>
      <c r="K74" s="154">
        <v>3.1900000000000001E-3</v>
      </c>
      <c r="L74" s="153">
        <v>6.6130000000000004</v>
      </c>
      <c r="M74" s="153">
        <v>0.88500000000000001</v>
      </c>
      <c r="N74" s="154">
        <v>9.3299999999999998E-3</v>
      </c>
      <c r="O74" s="153">
        <v>0</v>
      </c>
      <c r="P74" s="154">
        <v>0</v>
      </c>
      <c r="Q74" s="622">
        <v>3.9260000000000003E-2</v>
      </c>
      <c r="R74" s="154">
        <v>0</v>
      </c>
      <c r="S74" s="491"/>
      <c r="T74" s="491"/>
      <c r="U74" s="490"/>
      <c r="V74" s="490"/>
      <c r="W74" s="490"/>
      <c r="X74" s="490"/>
      <c r="Y74" s="490"/>
      <c r="Z74" s="490"/>
    </row>
    <row r="75" spans="1:26" ht="14.25" customHeight="1" x14ac:dyDescent="0.2">
      <c r="A75" s="543"/>
      <c r="B75" s="543"/>
      <c r="C75" s="666"/>
      <c r="D75" s="721"/>
      <c r="E75" s="620" t="s">
        <v>481</v>
      </c>
      <c r="F75" s="613">
        <v>120</v>
      </c>
      <c r="G75" s="618">
        <v>1.097</v>
      </c>
      <c r="H75" s="619" t="s">
        <v>431</v>
      </c>
      <c r="I75" s="155">
        <v>128.72999999999999</v>
      </c>
      <c r="J75" s="155">
        <v>23.388999999999999</v>
      </c>
      <c r="K75" s="156">
        <v>3.1900000000000001E-3</v>
      </c>
      <c r="L75" s="155">
        <v>6.6130000000000004</v>
      </c>
      <c r="M75" s="155">
        <v>0.88500000000000001</v>
      </c>
      <c r="N75" s="156">
        <v>9.3299999999999998E-3</v>
      </c>
      <c r="O75" s="155">
        <v>0</v>
      </c>
      <c r="P75" s="156">
        <v>0</v>
      </c>
      <c r="Q75" s="623">
        <v>0</v>
      </c>
      <c r="R75" s="156">
        <v>0.10716000000000001</v>
      </c>
      <c r="S75" s="491"/>
      <c r="T75" s="491"/>
      <c r="U75" s="490"/>
      <c r="V75" s="490"/>
      <c r="W75" s="490"/>
      <c r="X75" s="490"/>
      <c r="Y75" s="490"/>
      <c r="Z75" s="490"/>
    </row>
    <row r="76" spans="1:26" ht="14.25" customHeight="1" x14ac:dyDescent="0.2">
      <c r="A76" s="543"/>
      <c r="B76" s="543"/>
      <c r="C76" s="666"/>
      <c r="D76" s="719" t="s">
        <v>167</v>
      </c>
      <c r="E76" s="523" t="s">
        <v>168</v>
      </c>
      <c r="F76" s="611">
        <v>120</v>
      </c>
      <c r="G76" s="614">
        <v>1.097</v>
      </c>
      <c r="H76" s="615" t="s">
        <v>431</v>
      </c>
      <c r="I76" s="151">
        <v>128.72999999999999</v>
      </c>
      <c r="J76" s="151">
        <v>23.388999999999999</v>
      </c>
      <c r="K76" s="152">
        <v>3.1900000000000001E-3</v>
      </c>
      <c r="L76" s="151">
        <v>11.340999999999999</v>
      </c>
      <c r="M76" s="151">
        <v>1.9630000000000001</v>
      </c>
      <c r="N76" s="152">
        <v>1.1010000000000001E-2</v>
      </c>
      <c r="O76" s="151">
        <v>0</v>
      </c>
      <c r="P76" s="152">
        <v>0</v>
      </c>
      <c r="Q76" s="621">
        <v>3.9260000000000003E-2</v>
      </c>
      <c r="R76" s="152">
        <v>0.10716000000000001</v>
      </c>
      <c r="S76" s="491"/>
      <c r="T76" s="491"/>
      <c r="U76" s="490"/>
      <c r="V76" s="490"/>
      <c r="W76" s="490"/>
      <c r="X76" s="490"/>
      <c r="Y76" s="490"/>
      <c r="Z76" s="490"/>
    </row>
    <row r="77" spans="1:26" ht="14.25" customHeight="1" x14ac:dyDescent="0.2">
      <c r="A77" s="543"/>
      <c r="B77" s="543"/>
      <c r="C77" s="666"/>
      <c r="D77" s="720"/>
      <c r="E77" s="525" t="s">
        <v>441</v>
      </c>
      <c r="F77" s="612">
        <v>120</v>
      </c>
      <c r="G77" s="616">
        <v>1.097</v>
      </c>
      <c r="H77" s="617" t="s">
        <v>431</v>
      </c>
      <c r="I77" s="153">
        <v>128.72999999999999</v>
      </c>
      <c r="J77" s="153">
        <v>23.388999999999999</v>
      </c>
      <c r="K77" s="154">
        <v>3.1900000000000001E-3</v>
      </c>
      <c r="L77" s="153">
        <v>11.340999999999999</v>
      </c>
      <c r="M77" s="153">
        <v>1.9630000000000001</v>
      </c>
      <c r="N77" s="154">
        <v>1.1010000000000001E-2</v>
      </c>
      <c r="O77" s="153">
        <v>0</v>
      </c>
      <c r="P77" s="154">
        <v>0</v>
      </c>
      <c r="Q77" s="622">
        <v>0</v>
      </c>
      <c r="R77" s="154">
        <v>0</v>
      </c>
      <c r="S77" s="491"/>
      <c r="T77" s="491"/>
      <c r="U77" s="490"/>
      <c r="V77" s="490"/>
      <c r="W77" s="490"/>
      <c r="X77" s="490"/>
      <c r="Y77" s="490"/>
      <c r="Z77" s="490"/>
    </row>
    <row r="78" spans="1:26" ht="14.25" customHeight="1" x14ac:dyDescent="0.2">
      <c r="A78" s="543"/>
      <c r="B78" s="543"/>
      <c r="C78" s="666"/>
      <c r="D78" s="720"/>
      <c r="E78" s="525" t="s">
        <v>482</v>
      </c>
      <c r="F78" s="612">
        <v>120</v>
      </c>
      <c r="G78" s="616">
        <v>1.097</v>
      </c>
      <c r="H78" s="617" t="s">
        <v>431</v>
      </c>
      <c r="I78" s="153">
        <v>128.72999999999999</v>
      </c>
      <c r="J78" s="153">
        <v>23.388999999999999</v>
      </c>
      <c r="K78" s="154">
        <v>3.1900000000000001E-3</v>
      </c>
      <c r="L78" s="153">
        <v>11.340999999999999</v>
      </c>
      <c r="M78" s="153">
        <v>1.9630000000000001</v>
      </c>
      <c r="N78" s="154">
        <v>1.1010000000000001E-2</v>
      </c>
      <c r="O78" s="153">
        <v>0</v>
      </c>
      <c r="P78" s="154">
        <v>0</v>
      </c>
      <c r="Q78" s="622">
        <v>3.9260000000000003E-2</v>
      </c>
      <c r="R78" s="154">
        <v>0</v>
      </c>
      <c r="S78" s="491"/>
      <c r="T78" s="491"/>
      <c r="U78" s="490"/>
      <c r="V78" s="490"/>
      <c r="W78" s="490"/>
      <c r="X78" s="490"/>
      <c r="Y78" s="490"/>
      <c r="Z78" s="490"/>
    </row>
    <row r="79" spans="1:26" ht="14.25" customHeight="1" x14ac:dyDescent="0.2">
      <c r="A79" s="543"/>
      <c r="B79" s="543"/>
      <c r="C79" s="666"/>
      <c r="D79" s="721"/>
      <c r="E79" s="620" t="s">
        <v>483</v>
      </c>
      <c r="F79" s="613">
        <v>120</v>
      </c>
      <c r="G79" s="618">
        <v>1.097</v>
      </c>
      <c r="H79" s="619" t="s">
        <v>431</v>
      </c>
      <c r="I79" s="155">
        <v>128.72999999999999</v>
      </c>
      <c r="J79" s="155">
        <v>23.388999999999999</v>
      </c>
      <c r="K79" s="156">
        <v>3.1900000000000001E-3</v>
      </c>
      <c r="L79" s="155">
        <v>11.340999999999999</v>
      </c>
      <c r="M79" s="155">
        <v>1.9630000000000001</v>
      </c>
      <c r="N79" s="156">
        <v>1.1010000000000001E-2</v>
      </c>
      <c r="O79" s="155">
        <v>0</v>
      </c>
      <c r="P79" s="156">
        <v>0</v>
      </c>
      <c r="Q79" s="623">
        <v>0</v>
      </c>
      <c r="R79" s="156">
        <v>0.10716000000000001</v>
      </c>
      <c r="S79" s="491"/>
      <c r="T79" s="491"/>
      <c r="U79" s="490"/>
      <c r="V79" s="490"/>
      <c r="W79" s="490"/>
      <c r="X79" s="490"/>
      <c r="Y79" s="490"/>
      <c r="Z79" s="490"/>
    </row>
    <row r="80" spans="1:26" ht="14.25" customHeight="1" x14ac:dyDescent="0.2">
      <c r="A80" s="543"/>
      <c r="B80" s="543"/>
      <c r="C80" s="666"/>
      <c r="D80" s="719" t="s">
        <v>169</v>
      </c>
      <c r="E80" s="523" t="s">
        <v>170</v>
      </c>
      <c r="F80" s="611">
        <v>120</v>
      </c>
      <c r="G80" s="614">
        <v>1.097</v>
      </c>
      <c r="H80" s="615" t="s">
        <v>431</v>
      </c>
      <c r="I80" s="151">
        <v>128.72999999999999</v>
      </c>
      <c r="J80" s="151">
        <v>23.388999999999999</v>
      </c>
      <c r="K80" s="152">
        <v>3.1900000000000001E-3</v>
      </c>
      <c r="L80" s="151">
        <v>18.722000000000001</v>
      </c>
      <c r="M80" s="151">
        <v>3.8570000000000002</v>
      </c>
      <c r="N80" s="152">
        <v>1.346E-2</v>
      </c>
      <c r="O80" s="151">
        <v>0</v>
      </c>
      <c r="P80" s="152">
        <v>0</v>
      </c>
      <c r="Q80" s="621">
        <v>3.9260000000000003E-2</v>
      </c>
      <c r="R80" s="152">
        <v>0.10716000000000001</v>
      </c>
      <c r="S80" s="491"/>
      <c r="T80" s="491"/>
      <c r="U80" s="490"/>
      <c r="V80" s="490"/>
      <c r="W80" s="490"/>
      <c r="X80" s="490"/>
      <c r="Y80" s="490"/>
      <c r="Z80" s="490"/>
    </row>
    <row r="81" spans="1:26" ht="14.25" customHeight="1" x14ac:dyDescent="0.2">
      <c r="A81" s="543"/>
      <c r="B81" s="543"/>
      <c r="C81" s="666"/>
      <c r="D81" s="720"/>
      <c r="E81" s="525" t="s">
        <v>484</v>
      </c>
      <c r="F81" s="612">
        <v>120</v>
      </c>
      <c r="G81" s="616">
        <v>1.097</v>
      </c>
      <c r="H81" s="617" t="s">
        <v>431</v>
      </c>
      <c r="I81" s="153">
        <v>128.72999999999999</v>
      </c>
      <c r="J81" s="153">
        <v>23.388999999999999</v>
      </c>
      <c r="K81" s="154">
        <v>3.1900000000000001E-3</v>
      </c>
      <c r="L81" s="153">
        <v>18.722000000000001</v>
      </c>
      <c r="M81" s="153">
        <v>3.8570000000000002</v>
      </c>
      <c r="N81" s="154">
        <v>1.346E-2</v>
      </c>
      <c r="O81" s="153">
        <v>0</v>
      </c>
      <c r="P81" s="154">
        <v>0</v>
      </c>
      <c r="Q81" s="622">
        <v>0</v>
      </c>
      <c r="R81" s="154">
        <v>0</v>
      </c>
      <c r="S81" s="491"/>
      <c r="T81" s="491"/>
      <c r="U81" s="490"/>
      <c r="V81" s="490"/>
      <c r="W81" s="490"/>
      <c r="X81" s="490"/>
      <c r="Y81" s="490"/>
      <c r="Z81" s="490"/>
    </row>
    <row r="82" spans="1:26" ht="14.25" customHeight="1" x14ac:dyDescent="0.2">
      <c r="A82" s="543"/>
      <c r="B82" s="543"/>
      <c r="C82" s="666"/>
      <c r="D82" s="720"/>
      <c r="E82" s="525" t="s">
        <v>485</v>
      </c>
      <c r="F82" s="612">
        <v>120</v>
      </c>
      <c r="G82" s="616">
        <v>1.097</v>
      </c>
      <c r="H82" s="617" t="s">
        <v>431</v>
      </c>
      <c r="I82" s="153">
        <v>128.72999999999999</v>
      </c>
      <c r="J82" s="153">
        <v>23.388999999999999</v>
      </c>
      <c r="K82" s="154">
        <v>3.1900000000000001E-3</v>
      </c>
      <c r="L82" s="153">
        <v>18.722000000000001</v>
      </c>
      <c r="M82" s="153">
        <v>3.8570000000000002</v>
      </c>
      <c r="N82" s="154">
        <v>1.346E-2</v>
      </c>
      <c r="O82" s="153">
        <v>0</v>
      </c>
      <c r="P82" s="154">
        <v>0</v>
      </c>
      <c r="Q82" s="622">
        <v>3.9260000000000003E-2</v>
      </c>
      <c r="R82" s="154">
        <v>0</v>
      </c>
      <c r="S82" s="491"/>
      <c r="T82" s="491"/>
      <c r="U82" s="490"/>
      <c r="V82" s="490"/>
      <c r="W82" s="490"/>
      <c r="X82" s="490"/>
      <c r="Y82" s="490"/>
      <c r="Z82" s="490"/>
    </row>
    <row r="83" spans="1:26" ht="14.25" customHeight="1" x14ac:dyDescent="0.2">
      <c r="A83" s="543"/>
      <c r="B83" s="543"/>
      <c r="C83" s="666"/>
      <c r="D83" s="721"/>
      <c r="E83" s="620" t="s">
        <v>486</v>
      </c>
      <c r="F83" s="613">
        <v>120</v>
      </c>
      <c r="G83" s="618">
        <v>1.097</v>
      </c>
      <c r="H83" s="619" t="s">
        <v>431</v>
      </c>
      <c r="I83" s="155">
        <v>128.72999999999999</v>
      </c>
      <c r="J83" s="155">
        <v>23.388999999999999</v>
      </c>
      <c r="K83" s="156">
        <v>3.1900000000000001E-3</v>
      </c>
      <c r="L83" s="155">
        <v>18.722000000000001</v>
      </c>
      <c r="M83" s="155">
        <v>3.8570000000000002</v>
      </c>
      <c r="N83" s="156">
        <v>1.346E-2</v>
      </c>
      <c r="O83" s="155">
        <v>0</v>
      </c>
      <c r="P83" s="156">
        <v>0</v>
      </c>
      <c r="Q83" s="623">
        <v>0</v>
      </c>
      <c r="R83" s="156">
        <v>0.10716000000000001</v>
      </c>
      <c r="S83" s="491"/>
      <c r="T83" s="491"/>
      <c r="U83" s="490"/>
      <c r="V83" s="490"/>
      <c r="W83" s="490"/>
      <c r="X83" s="490"/>
      <c r="Y83" s="490"/>
      <c r="Z83" s="490"/>
    </row>
    <row r="84" spans="1:26" ht="14.25" customHeight="1" x14ac:dyDescent="0.2">
      <c r="A84" s="543"/>
      <c r="B84" s="543"/>
      <c r="C84" s="666"/>
      <c r="D84" s="719" t="s">
        <v>171</v>
      </c>
      <c r="E84" s="523" t="s">
        <v>172</v>
      </c>
      <c r="F84" s="611">
        <v>120</v>
      </c>
      <c r="G84" s="614">
        <v>1.329</v>
      </c>
      <c r="H84" s="615" t="s">
        <v>432</v>
      </c>
      <c r="I84" s="151">
        <v>344.88099999999997</v>
      </c>
      <c r="J84" s="151">
        <v>86.091999999999999</v>
      </c>
      <c r="K84" s="152">
        <v>3.1900000000000001E-3</v>
      </c>
      <c r="L84" s="151">
        <v>6.6130000000000004</v>
      </c>
      <c r="M84" s="151">
        <v>0.88500000000000001</v>
      </c>
      <c r="N84" s="152">
        <v>9.3299999999999998E-3</v>
      </c>
      <c r="O84" s="151">
        <v>0</v>
      </c>
      <c r="P84" s="152">
        <v>0</v>
      </c>
      <c r="Q84" s="621">
        <v>3.9260000000000003E-2</v>
      </c>
      <c r="R84" s="152">
        <v>0.10716000000000001</v>
      </c>
      <c r="S84" s="491"/>
      <c r="T84" s="491"/>
      <c r="U84" s="490"/>
      <c r="V84" s="490"/>
      <c r="W84" s="490"/>
      <c r="X84" s="490"/>
      <c r="Y84" s="490"/>
      <c r="Z84" s="490"/>
    </row>
    <row r="85" spans="1:26" ht="14.25" customHeight="1" x14ac:dyDescent="0.2">
      <c r="A85" s="543"/>
      <c r="B85" s="543"/>
      <c r="C85" s="666"/>
      <c r="D85" s="720"/>
      <c r="E85" s="525" t="s">
        <v>487</v>
      </c>
      <c r="F85" s="612">
        <v>120</v>
      </c>
      <c r="G85" s="616">
        <v>1.329</v>
      </c>
      <c r="H85" s="617" t="s">
        <v>432</v>
      </c>
      <c r="I85" s="153">
        <v>344.88099999999997</v>
      </c>
      <c r="J85" s="153">
        <v>86.091999999999999</v>
      </c>
      <c r="K85" s="154">
        <v>3.1900000000000001E-3</v>
      </c>
      <c r="L85" s="153">
        <v>6.6130000000000004</v>
      </c>
      <c r="M85" s="153">
        <v>0.88500000000000001</v>
      </c>
      <c r="N85" s="154">
        <v>9.3299999999999998E-3</v>
      </c>
      <c r="O85" s="153">
        <v>0</v>
      </c>
      <c r="P85" s="154">
        <v>0</v>
      </c>
      <c r="Q85" s="622">
        <v>0</v>
      </c>
      <c r="R85" s="154">
        <v>0</v>
      </c>
      <c r="S85" s="491"/>
      <c r="T85" s="491"/>
      <c r="U85" s="490"/>
      <c r="V85" s="490"/>
      <c r="W85" s="490"/>
      <c r="X85" s="490"/>
      <c r="Y85" s="490"/>
      <c r="Z85" s="490"/>
    </row>
    <row r="86" spans="1:26" ht="14.25" customHeight="1" x14ac:dyDescent="0.2">
      <c r="A86" s="543"/>
      <c r="B86" s="543"/>
      <c r="C86" s="666"/>
      <c r="D86" s="720"/>
      <c r="E86" s="525" t="s">
        <v>488</v>
      </c>
      <c r="F86" s="612">
        <v>120</v>
      </c>
      <c r="G86" s="616">
        <v>1.329</v>
      </c>
      <c r="H86" s="617" t="s">
        <v>432</v>
      </c>
      <c r="I86" s="153">
        <v>344.88099999999997</v>
      </c>
      <c r="J86" s="153">
        <v>86.091999999999999</v>
      </c>
      <c r="K86" s="154">
        <v>3.1900000000000001E-3</v>
      </c>
      <c r="L86" s="153">
        <v>6.6130000000000004</v>
      </c>
      <c r="M86" s="153">
        <v>0.88500000000000001</v>
      </c>
      <c r="N86" s="154">
        <v>9.3299999999999998E-3</v>
      </c>
      <c r="O86" s="153">
        <v>0</v>
      </c>
      <c r="P86" s="154">
        <v>0</v>
      </c>
      <c r="Q86" s="622">
        <v>3.9260000000000003E-2</v>
      </c>
      <c r="R86" s="154">
        <v>0</v>
      </c>
      <c r="S86" s="491"/>
      <c r="T86" s="491"/>
      <c r="U86" s="490"/>
      <c r="V86" s="490"/>
      <c r="W86" s="490"/>
      <c r="X86" s="490"/>
      <c r="Y86" s="490"/>
      <c r="Z86" s="490"/>
    </row>
    <row r="87" spans="1:26" ht="14.25" customHeight="1" x14ac:dyDescent="0.2">
      <c r="A87" s="543"/>
      <c r="B87" s="543"/>
      <c r="C87" s="666"/>
      <c r="D87" s="721"/>
      <c r="E87" s="620" t="s">
        <v>489</v>
      </c>
      <c r="F87" s="613">
        <v>120</v>
      </c>
      <c r="G87" s="618">
        <v>1.329</v>
      </c>
      <c r="H87" s="619" t="s">
        <v>432</v>
      </c>
      <c r="I87" s="155">
        <v>344.88099999999997</v>
      </c>
      <c r="J87" s="155">
        <v>86.091999999999999</v>
      </c>
      <c r="K87" s="156">
        <v>3.1900000000000001E-3</v>
      </c>
      <c r="L87" s="155">
        <v>6.6130000000000004</v>
      </c>
      <c r="M87" s="155">
        <v>0.88500000000000001</v>
      </c>
      <c r="N87" s="156">
        <v>9.3299999999999998E-3</v>
      </c>
      <c r="O87" s="155">
        <v>0</v>
      </c>
      <c r="P87" s="156">
        <v>0</v>
      </c>
      <c r="Q87" s="623">
        <v>0</v>
      </c>
      <c r="R87" s="156">
        <v>0.10716000000000001</v>
      </c>
      <c r="S87" s="491"/>
      <c r="T87" s="491"/>
      <c r="U87" s="490"/>
      <c r="V87" s="490"/>
      <c r="W87" s="490"/>
      <c r="X87" s="490"/>
      <c r="Y87" s="490"/>
      <c r="Z87" s="490"/>
    </row>
    <row r="88" spans="1:26" ht="14.25" customHeight="1" x14ac:dyDescent="0.2">
      <c r="A88" s="543"/>
      <c r="B88" s="543"/>
      <c r="C88" s="666"/>
      <c r="D88" s="719" t="s">
        <v>173</v>
      </c>
      <c r="E88" s="523" t="s">
        <v>174</v>
      </c>
      <c r="F88" s="611">
        <v>120</v>
      </c>
      <c r="G88" s="614">
        <v>1.329</v>
      </c>
      <c r="H88" s="615" t="s">
        <v>432</v>
      </c>
      <c r="I88" s="151">
        <v>344.88099999999997</v>
      </c>
      <c r="J88" s="151">
        <v>86.091999999999999</v>
      </c>
      <c r="K88" s="152">
        <v>3.1900000000000001E-3</v>
      </c>
      <c r="L88" s="151">
        <v>11.340999999999999</v>
      </c>
      <c r="M88" s="151">
        <v>1.9630000000000001</v>
      </c>
      <c r="N88" s="152">
        <v>1.1010000000000001E-2</v>
      </c>
      <c r="O88" s="151">
        <v>0</v>
      </c>
      <c r="P88" s="152">
        <v>0</v>
      </c>
      <c r="Q88" s="621">
        <v>3.9260000000000003E-2</v>
      </c>
      <c r="R88" s="152">
        <v>0.10716000000000001</v>
      </c>
      <c r="S88" s="491"/>
      <c r="T88" s="491"/>
      <c r="U88" s="490"/>
      <c r="V88" s="490"/>
      <c r="W88" s="490"/>
      <c r="X88" s="490"/>
      <c r="Y88" s="490"/>
      <c r="Z88" s="490"/>
    </row>
    <row r="89" spans="1:26" ht="14.25" customHeight="1" x14ac:dyDescent="0.2">
      <c r="A89" s="543"/>
      <c r="B89" s="543"/>
      <c r="C89" s="666"/>
      <c r="D89" s="720"/>
      <c r="E89" s="525" t="s">
        <v>490</v>
      </c>
      <c r="F89" s="612">
        <v>120</v>
      </c>
      <c r="G89" s="616">
        <v>1.329</v>
      </c>
      <c r="H89" s="617" t="s">
        <v>432</v>
      </c>
      <c r="I89" s="153">
        <v>344.88099999999997</v>
      </c>
      <c r="J89" s="153">
        <v>86.091999999999999</v>
      </c>
      <c r="K89" s="154">
        <v>3.1900000000000001E-3</v>
      </c>
      <c r="L89" s="153">
        <v>11.340999999999999</v>
      </c>
      <c r="M89" s="153">
        <v>1.9630000000000001</v>
      </c>
      <c r="N89" s="154">
        <v>1.1010000000000001E-2</v>
      </c>
      <c r="O89" s="153">
        <v>0</v>
      </c>
      <c r="P89" s="154">
        <v>0</v>
      </c>
      <c r="Q89" s="622">
        <v>0</v>
      </c>
      <c r="R89" s="154">
        <v>0</v>
      </c>
      <c r="S89" s="491"/>
      <c r="T89" s="491"/>
      <c r="U89" s="490"/>
      <c r="V89" s="490"/>
      <c r="W89" s="490"/>
      <c r="X89" s="490"/>
      <c r="Y89" s="490"/>
      <c r="Z89" s="490"/>
    </row>
    <row r="90" spans="1:26" ht="14.25" customHeight="1" x14ac:dyDescent="0.2">
      <c r="A90" s="543"/>
      <c r="B90" s="543"/>
      <c r="C90" s="666"/>
      <c r="D90" s="720"/>
      <c r="E90" s="525" t="s">
        <v>491</v>
      </c>
      <c r="F90" s="612">
        <v>120</v>
      </c>
      <c r="G90" s="616">
        <v>1.329</v>
      </c>
      <c r="H90" s="617" t="s">
        <v>432</v>
      </c>
      <c r="I90" s="153">
        <v>344.88099999999997</v>
      </c>
      <c r="J90" s="153">
        <v>86.091999999999999</v>
      </c>
      <c r="K90" s="154">
        <v>3.1900000000000001E-3</v>
      </c>
      <c r="L90" s="153">
        <v>11.340999999999999</v>
      </c>
      <c r="M90" s="153">
        <v>1.9630000000000001</v>
      </c>
      <c r="N90" s="154">
        <v>1.1010000000000001E-2</v>
      </c>
      <c r="O90" s="153">
        <v>0</v>
      </c>
      <c r="P90" s="154">
        <v>0</v>
      </c>
      <c r="Q90" s="622">
        <v>3.9260000000000003E-2</v>
      </c>
      <c r="R90" s="154">
        <v>0</v>
      </c>
      <c r="S90" s="491"/>
      <c r="T90" s="491"/>
      <c r="U90" s="490"/>
      <c r="V90" s="490"/>
      <c r="W90" s="490"/>
      <c r="X90" s="490"/>
      <c r="Y90" s="490"/>
      <c r="Z90" s="490"/>
    </row>
    <row r="91" spans="1:26" ht="14.25" customHeight="1" x14ac:dyDescent="0.2">
      <c r="A91" s="543"/>
      <c r="B91" s="543"/>
      <c r="C91" s="666"/>
      <c r="D91" s="721"/>
      <c r="E91" s="620" t="s">
        <v>492</v>
      </c>
      <c r="F91" s="613">
        <v>120</v>
      </c>
      <c r="G91" s="618">
        <v>1.329</v>
      </c>
      <c r="H91" s="619" t="s">
        <v>432</v>
      </c>
      <c r="I91" s="155">
        <v>344.88099999999997</v>
      </c>
      <c r="J91" s="155">
        <v>86.091999999999999</v>
      </c>
      <c r="K91" s="156">
        <v>3.1900000000000001E-3</v>
      </c>
      <c r="L91" s="155">
        <v>11.340999999999999</v>
      </c>
      <c r="M91" s="155">
        <v>1.9630000000000001</v>
      </c>
      <c r="N91" s="156">
        <v>1.1010000000000001E-2</v>
      </c>
      <c r="O91" s="155">
        <v>0</v>
      </c>
      <c r="P91" s="156">
        <v>0</v>
      </c>
      <c r="Q91" s="623">
        <v>0</v>
      </c>
      <c r="R91" s="156">
        <v>0.10716000000000001</v>
      </c>
      <c r="S91" s="491"/>
      <c r="T91" s="491"/>
      <c r="U91" s="490"/>
      <c r="V91" s="490"/>
      <c r="W91" s="490"/>
      <c r="X91" s="490"/>
      <c r="Y91" s="490"/>
      <c r="Z91" s="490"/>
    </row>
    <row r="92" spans="1:26" ht="14.25" customHeight="1" x14ac:dyDescent="0.2">
      <c r="A92" s="543"/>
      <c r="B92" s="543"/>
      <c r="C92" s="666"/>
      <c r="D92" s="719" t="s">
        <v>175</v>
      </c>
      <c r="E92" s="523" t="s">
        <v>176</v>
      </c>
      <c r="F92" s="611">
        <v>120</v>
      </c>
      <c r="G92" s="614">
        <v>1.329</v>
      </c>
      <c r="H92" s="615" t="s">
        <v>432</v>
      </c>
      <c r="I92" s="151">
        <v>344.88099999999997</v>
      </c>
      <c r="J92" s="151">
        <v>86.091999999999999</v>
      </c>
      <c r="K92" s="152">
        <v>3.1900000000000001E-3</v>
      </c>
      <c r="L92" s="151">
        <v>18.722000000000001</v>
      </c>
      <c r="M92" s="151">
        <v>3.8570000000000002</v>
      </c>
      <c r="N92" s="152">
        <v>1.346E-2</v>
      </c>
      <c r="O92" s="151">
        <v>0</v>
      </c>
      <c r="P92" s="152">
        <v>0</v>
      </c>
      <c r="Q92" s="621">
        <v>3.9260000000000003E-2</v>
      </c>
      <c r="R92" s="152">
        <v>0.10716000000000001</v>
      </c>
      <c r="S92" s="491"/>
      <c r="T92" s="491"/>
      <c r="U92" s="490"/>
      <c r="V92" s="490"/>
      <c r="W92" s="490"/>
      <c r="X92" s="490"/>
      <c r="Y92" s="490"/>
      <c r="Z92" s="490"/>
    </row>
    <row r="93" spans="1:26" ht="14.25" customHeight="1" x14ac:dyDescent="0.2">
      <c r="A93" s="543"/>
      <c r="B93" s="543"/>
      <c r="C93" s="666"/>
      <c r="D93" s="720"/>
      <c r="E93" s="525" t="s">
        <v>493</v>
      </c>
      <c r="F93" s="612">
        <v>120</v>
      </c>
      <c r="G93" s="616">
        <v>1.329</v>
      </c>
      <c r="H93" s="617" t="s">
        <v>432</v>
      </c>
      <c r="I93" s="153">
        <v>344.88099999999997</v>
      </c>
      <c r="J93" s="153">
        <v>86.091999999999999</v>
      </c>
      <c r="K93" s="154">
        <v>3.1900000000000001E-3</v>
      </c>
      <c r="L93" s="153">
        <v>18.722000000000001</v>
      </c>
      <c r="M93" s="153">
        <v>3.8570000000000002</v>
      </c>
      <c r="N93" s="154">
        <v>1.346E-2</v>
      </c>
      <c r="O93" s="153">
        <v>0</v>
      </c>
      <c r="P93" s="154">
        <v>0</v>
      </c>
      <c r="Q93" s="622">
        <v>0</v>
      </c>
      <c r="R93" s="154">
        <v>0</v>
      </c>
      <c r="S93" s="491"/>
      <c r="T93" s="491"/>
      <c r="U93" s="490"/>
      <c r="V93" s="490"/>
      <c r="W93" s="490"/>
      <c r="X93" s="490"/>
      <c r="Y93" s="490"/>
      <c r="Z93" s="490"/>
    </row>
    <row r="94" spans="1:26" ht="14.25" customHeight="1" x14ac:dyDescent="0.2">
      <c r="A94" s="543"/>
      <c r="B94" s="543"/>
      <c r="C94" s="666"/>
      <c r="D94" s="720"/>
      <c r="E94" s="525" t="s">
        <v>494</v>
      </c>
      <c r="F94" s="612">
        <v>120</v>
      </c>
      <c r="G94" s="616">
        <v>1.329</v>
      </c>
      <c r="H94" s="617" t="s">
        <v>432</v>
      </c>
      <c r="I94" s="153">
        <v>344.88099999999997</v>
      </c>
      <c r="J94" s="153">
        <v>86.091999999999999</v>
      </c>
      <c r="K94" s="154">
        <v>3.1900000000000001E-3</v>
      </c>
      <c r="L94" s="153">
        <v>18.722000000000001</v>
      </c>
      <c r="M94" s="153">
        <v>3.8570000000000002</v>
      </c>
      <c r="N94" s="154">
        <v>1.346E-2</v>
      </c>
      <c r="O94" s="153">
        <v>0</v>
      </c>
      <c r="P94" s="154">
        <v>0</v>
      </c>
      <c r="Q94" s="622">
        <v>3.9260000000000003E-2</v>
      </c>
      <c r="R94" s="154">
        <v>0</v>
      </c>
      <c r="S94" s="491"/>
      <c r="T94" s="491"/>
      <c r="U94" s="490"/>
      <c r="V94" s="490"/>
      <c r="W94" s="490"/>
      <c r="X94" s="490"/>
      <c r="Y94" s="490"/>
      <c r="Z94" s="490"/>
    </row>
    <row r="95" spans="1:26" ht="14.25" customHeight="1" x14ac:dyDescent="0.2">
      <c r="A95" s="543"/>
      <c r="B95" s="543"/>
      <c r="C95" s="666"/>
      <c r="D95" s="721"/>
      <c r="E95" s="620" t="s">
        <v>495</v>
      </c>
      <c r="F95" s="613">
        <v>120</v>
      </c>
      <c r="G95" s="618">
        <v>1.329</v>
      </c>
      <c r="H95" s="619" t="s">
        <v>432</v>
      </c>
      <c r="I95" s="155">
        <v>344.88099999999997</v>
      </c>
      <c r="J95" s="155">
        <v>86.091999999999999</v>
      </c>
      <c r="K95" s="156">
        <v>3.1900000000000001E-3</v>
      </c>
      <c r="L95" s="155">
        <v>18.722000000000001</v>
      </c>
      <c r="M95" s="155">
        <v>3.8570000000000002</v>
      </c>
      <c r="N95" s="156">
        <v>1.346E-2</v>
      </c>
      <c r="O95" s="155">
        <v>0</v>
      </c>
      <c r="P95" s="156">
        <v>0</v>
      </c>
      <c r="Q95" s="623">
        <v>0</v>
      </c>
      <c r="R95" s="156">
        <v>0.10716000000000001</v>
      </c>
      <c r="S95" s="491"/>
      <c r="T95" s="491"/>
      <c r="U95" s="490"/>
      <c r="V95" s="490"/>
      <c r="W95" s="490"/>
      <c r="X95" s="490"/>
      <c r="Y95" s="490"/>
      <c r="Z95" s="490"/>
    </row>
    <row r="96" spans="1:26" ht="14.25" customHeight="1" x14ac:dyDescent="0.2">
      <c r="A96" s="543"/>
      <c r="B96" s="543"/>
      <c r="C96" s="666"/>
      <c r="D96" s="719" t="s">
        <v>177</v>
      </c>
      <c r="E96" s="523" t="s">
        <v>178</v>
      </c>
      <c r="F96" s="611">
        <v>120</v>
      </c>
      <c r="G96" s="614">
        <v>1.0760000000000001</v>
      </c>
      <c r="H96" s="615" t="s">
        <v>433</v>
      </c>
      <c r="I96" s="151">
        <v>76.504000000000005</v>
      </c>
      <c r="J96" s="151">
        <v>15.920999999999999</v>
      </c>
      <c r="K96" s="152">
        <v>3.7499999999999999E-3</v>
      </c>
      <c r="L96" s="151">
        <v>5.68</v>
      </c>
      <c r="M96" s="151">
        <v>0.627</v>
      </c>
      <c r="N96" s="152">
        <v>7.3999999999999999E-4</v>
      </c>
      <c r="O96" s="151">
        <v>0</v>
      </c>
      <c r="P96" s="152">
        <v>0</v>
      </c>
      <c r="Q96" s="621">
        <v>3.9260000000000003E-2</v>
      </c>
      <c r="R96" s="152">
        <v>0.10716000000000001</v>
      </c>
      <c r="S96" s="491"/>
      <c r="T96" s="491"/>
      <c r="U96" s="490"/>
      <c r="V96" s="490"/>
      <c r="W96" s="490"/>
      <c r="X96" s="490"/>
      <c r="Y96" s="490"/>
      <c r="Z96" s="490"/>
    </row>
    <row r="97" spans="1:26" ht="14.25" customHeight="1" x14ac:dyDescent="0.2">
      <c r="A97" s="543"/>
      <c r="B97" s="543"/>
      <c r="C97" s="666"/>
      <c r="D97" s="720"/>
      <c r="E97" s="525" t="s">
        <v>496</v>
      </c>
      <c r="F97" s="612">
        <v>120</v>
      </c>
      <c r="G97" s="616">
        <v>1.0760000000000001</v>
      </c>
      <c r="H97" s="617" t="s">
        <v>433</v>
      </c>
      <c r="I97" s="153">
        <v>76.504000000000005</v>
      </c>
      <c r="J97" s="153">
        <v>15.920999999999999</v>
      </c>
      <c r="K97" s="154">
        <v>3.7499999999999999E-3</v>
      </c>
      <c r="L97" s="153">
        <v>5.68</v>
      </c>
      <c r="M97" s="153">
        <v>0.627</v>
      </c>
      <c r="N97" s="154">
        <v>7.3999999999999999E-4</v>
      </c>
      <c r="O97" s="153">
        <v>0</v>
      </c>
      <c r="P97" s="154">
        <v>0</v>
      </c>
      <c r="Q97" s="622">
        <v>0</v>
      </c>
      <c r="R97" s="154">
        <v>0</v>
      </c>
      <c r="S97" s="491"/>
      <c r="T97" s="491"/>
      <c r="U97" s="490"/>
      <c r="V97" s="490"/>
      <c r="W97" s="490"/>
      <c r="X97" s="490"/>
      <c r="Y97" s="490"/>
      <c r="Z97" s="490"/>
    </row>
    <row r="98" spans="1:26" ht="14.25" customHeight="1" x14ac:dyDescent="0.2">
      <c r="A98" s="543"/>
      <c r="B98" s="543"/>
      <c r="C98" s="666"/>
      <c r="D98" s="720"/>
      <c r="E98" s="525" t="s">
        <v>497</v>
      </c>
      <c r="F98" s="612">
        <v>120</v>
      </c>
      <c r="G98" s="616">
        <v>1.0760000000000001</v>
      </c>
      <c r="H98" s="617" t="s">
        <v>433</v>
      </c>
      <c r="I98" s="153">
        <v>76.504000000000005</v>
      </c>
      <c r="J98" s="153">
        <v>15.920999999999999</v>
      </c>
      <c r="K98" s="154">
        <v>3.7499999999999999E-3</v>
      </c>
      <c r="L98" s="153">
        <v>5.68</v>
      </c>
      <c r="M98" s="153">
        <v>0.627</v>
      </c>
      <c r="N98" s="154">
        <v>7.3999999999999999E-4</v>
      </c>
      <c r="O98" s="153">
        <v>0</v>
      </c>
      <c r="P98" s="154">
        <v>0</v>
      </c>
      <c r="Q98" s="622">
        <v>3.9260000000000003E-2</v>
      </c>
      <c r="R98" s="154">
        <v>0</v>
      </c>
      <c r="S98" s="491"/>
      <c r="T98" s="491"/>
      <c r="U98" s="490"/>
      <c r="V98" s="490"/>
      <c r="W98" s="490"/>
      <c r="X98" s="490"/>
      <c r="Y98" s="490"/>
      <c r="Z98" s="490"/>
    </row>
    <row r="99" spans="1:26" ht="14.25" customHeight="1" x14ac:dyDescent="0.2">
      <c r="A99" s="543"/>
      <c r="B99" s="543"/>
      <c r="C99" s="673"/>
      <c r="D99" s="721"/>
      <c r="E99" s="620" t="s">
        <v>498</v>
      </c>
      <c r="F99" s="613">
        <v>120</v>
      </c>
      <c r="G99" s="618">
        <v>1.0760000000000001</v>
      </c>
      <c r="H99" s="619" t="s">
        <v>433</v>
      </c>
      <c r="I99" s="155">
        <v>76.504000000000005</v>
      </c>
      <c r="J99" s="155">
        <v>15.920999999999999</v>
      </c>
      <c r="K99" s="156">
        <v>3.7499999999999999E-3</v>
      </c>
      <c r="L99" s="155">
        <v>5.68</v>
      </c>
      <c r="M99" s="155">
        <v>0.627</v>
      </c>
      <c r="N99" s="156">
        <v>7.3999999999999999E-4</v>
      </c>
      <c r="O99" s="155">
        <v>0</v>
      </c>
      <c r="P99" s="156">
        <v>0</v>
      </c>
      <c r="Q99" s="623">
        <v>0</v>
      </c>
      <c r="R99" s="156">
        <v>0.10716000000000001</v>
      </c>
      <c r="S99" s="491"/>
      <c r="T99" s="491"/>
      <c r="U99" s="490"/>
      <c r="V99" s="490"/>
      <c r="W99" s="490"/>
      <c r="X99" s="490"/>
      <c r="Y99" s="490"/>
      <c r="Z99" s="490"/>
    </row>
    <row r="100" spans="1:26" ht="14.25" customHeight="1" x14ac:dyDescent="0.2">
      <c r="A100" s="543"/>
      <c r="B100" s="543"/>
      <c r="C100" s="665" t="s">
        <v>149</v>
      </c>
      <c r="D100" s="722" t="s">
        <v>179</v>
      </c>
      <c r="E100" s="523" t="s">
        <v>180</v>
      </c>
      <c r="F100" s="611">
        <v>30</v>
      </c>
      <c r="G100" s="614">
        <v>1.097</v>
      </c>
      <c r="H100" s="615" t="s">
        <v>431</v>
      </c>
      <c r="I100" s="151">
        <v>36.295999999999999</v>
      </c>
      <c r="J100" s="151">
        <v>31.704999999999998</v>
      </c>
      <c r="K100" s="152">
        <v>3.1900000000000001E-3</v>
      </c>
      <c r="L100" s="151">
        <v>3.9950000000000001</v>
      </c>
      <c r="M100" s="151">
        <v>0.88500000000000001</v>
      </c>
      <c r="N100" s="152">
        <v>9.3299999999999998E-3</v>
      </c>
      <c r="O100" s="151">
        <v>0</v>
      </c>
      <c r="P100" s="152">
        <v>0</v>
      </c>
      <c r="Q100" s="621">
        <v>3.9260000000000003E-2</v>
      </c>
      <c r="R100" s="152">
        <v>0.10716000000000001</v>
      </c>
      <c r="S100" s="491"/>
      <c r="T100" s="491"/>
      <c r="U100" s="490"/>
      <c r="V100" s="490"/>
      <c r="W100" s="490"/>
      <c r="X100" s="490"/>
      <c r="Y100" s="490"/>
      <c r="Z100" s="490"/>
    </row>
    <row r="101" spans="1:26" ht="14.25" customHeight="1" x14ac:dyDescent="0.2">
      <c r="A101" s="543"/>
      <c r="B101" s="543"/>
      <c r="C101" s="666"/>
      <c r="D101" s="723"/>
      <c r="E101" s="525" t="s">
        <v>439</v>
      </c>
      <c r="F101" s="612">
        <v>30</v>
      </c>
      <c r="G101" s="616">
        <v>1.097</v>
      </c>
      <c r="H101" s="617" t="s">
        <v>431</v>
      </c>
      <c r="I101" s="153">
        <v>36.295999999999999</v>
      </c>
      <c r="J101" s="153">
        <v>31.704999999999998</v>
      </c>
      <c r="K101" s="154">
        <v>3.1900000000000001E-3</v>
      </c>
      <c r="L101" s="153">
        <v>3.9950000000000001</v>
      </c>
      <c r="M101" s="153">
        <v>0.88500000000000001</v>
      </c>
      <c r="N101" s="154">
        <v>9.3299999999999998E-3</v>
      </c>
      <c r="O101" s="153">
        <v>0</v>
      </c>
      <c r="P101" s="154">
        <v>0</v>
      </c>
      <c r="Q101" s="622">
        <v>0</v>
      </c>
      <c r="R101" s="154">
        <v>0</v>
      </c>
      <c r="S101" s="491"/>
      <c r="T101" s="491"/>
      <c r="U101" s="490"/>
      <c r="V101" s="490"/>
      <c r="W101" s="490"/>
      <c r="X101" s="490"/>
      <c r="Y101" s="490"/>
      <c r="Z101" s="490"/>
    </row>
    <row r="102" spans="1:26" ht="14.25" customHeight="1" x14ac:dyDescent="0.2">
      <c r="A102" s="543"/>
      <c r="B102" s="543"/>
      <c r="C102" s="666"/>
      <c r="D102" s="723"/>
      <c r="E102" s="525" t="s">
        <v>499</v>
      </c>
      <c r="F102" s="612">
        <v>30</v>
      </c>
      <c r="G102" s="616">
        <v>1.097</v>
      </c>
      <c r="H102" s="617" t="s">
        <v>431</v>
      </c>
      <c r="I102" s="153">
        <v>36.295999999999999</v>
      </c>
      <c r="J102" s="153">
        <v>31.704999999999998</v>
      </c>
      <c r="K102" s="154">
        <v>3.1900000000000001E-3</v>
      </c>
      <c r="L102" s="153">
        <v>3.9950000000000001</v>
      </c>
      <c r="M102" s="153">
        <v>0.88500000000000001</v>
      </c>
      <c r="N102" s="154">
        <v>9.3299999999999998E-3</v>
      </c>
      <c r="O102" s="153">
        <v>0</v>
      </c>
      <c r="P102" s="154">
        <v>0</v>
      </c>
      <c r="Q102" s="622">
        <v>3.9260000000000003E-2</v>
      </c>
      <c r="R102" s="154">
        <v>0</v>
      </c>
      <c r="S102" s="491"/>
      <c r="T102" s="491"/>
      <c r="U102" s="490"/>
      <c r="V102" s="490"/>
      <c r="W102" s="490"/>
      <c r="X102" s="490"/>
      <c r="Y102" s="490"/>
      <c r="Z102" s="490"/>
    </row>
    <row r="103" spans="1:26" ht="14.25" customHeight="1" x14ac:dyDescent="0.2">
      <c r="A103" s="543"/>
      <c r="B103" s="543"/>
      <c r="C103" s="666"/>
      <c r="D103" s="724"/>
      <c r="E103" s="620" t="s">
        <v>500</v>
      </c>
      <c r="F103" s="613">
        <v>30</v>
      </c>
      <c r="G103" s="618">
        <v>1.097</v>
      </c>
      <c r="H103" s="619" t="s">
        <v>431</v>
      </c>
      <c r="I103" s="155">
        <v>36.295999999999999</v>
      </c>
      <c r="J103" s="155">
        <v>31.704999999999998</v>
      </c>
      <c r="K103" s="156">
        <v>3.1900000000000001E-3</v>
      </c>
      <c r="L103" s="155">
        <v>3.9950000000000001</v>
      </c>
      <c r="M103" s="155">
        <v>0.88500000000000001</v>
      </c>
      <c r="N103" s="156">
        <v>9.3299999999999998E-3</v>
      </c>
      <c r="O103" s="155">
        <v>0</v>
      </c>
      <c r="P103" s="156">
        <v>0</v>
      </c>
      <c r="Q103" s="623">
        <v>0</v>
      </c>
      <c r="R103" s="156">
        <v>0.10716000000000001</v>
      </c>
      <c r="S103" s="491"/>
      <c r="T103" s="491"/>
      <c r="U103" s="490"/>
      <c r="V103" s="490"/>
      <c r="W103" s="490"/>
      <c r="X103" s="490"/>
      <c r="Y103" s="490"/>
      <c r="Z103" s="490"/>
    </row>
    <row r="104" spans="1:26" ht="14.25" customHeight="1" x14ac:dyDescent="0.2">
      <c r="A104" s="543"/>
      <c r="B104" s="543"/>
      <c r="C104" s="666"/>
      <c r="D104" s="722" t="s">
        <v>181</v>
      </c>
      <c r="E104" s="523" t="s">
        <v>182</v>
      </c>
      <c r="F104" s="611">
        <v>30</v>
      </c>
      <c r="G104" s="614">
        <v>1.097</v>
      </c>
      <c r="H104" s="615" t="s">
        <v>431</v>
      </c>
      <c r="I104" s="151">
        <v>36.295999999999999</v>
      </c>
      <c r="J104" s="151">
        <v>31.704999999999998</v>
      </c>
      <c r="K104" s="152">
        <v>3.1900000000000001E-3</v>
      </c>
      <c r="L104" s="151">
        <v>5.5350000000000001</v>
      </c>
      <c r="M104" s="151">
        <v>1.9630000000000001</v>
      </c>
      <c r="N104" s="152">
        <v>1.1010000000000001E-2</v>
      </c>
      <c r="O104" s="151">
        <v>0</v>
      </c>
      <c r="P104" s="152">
        <v>0</v>
      </c>
      <c r="Q104" s="621">
        <v>3.9260000000000003E-2</v>
      </c>
      <c r="R104" s="152">
        <v>0.10716000000000001</v>
      </c>
      <c r="S104" s="491"/>
      <c r="T104" s="491"/>
      <c r="U104" s="490"/>
      <c r="V104" s="490"/>
      <c r="W104" s="490"/>
      <c r="X104" s="490"/>
      <c r="Y104" s="490"/>
      <c r="Z104" s="490"/>
    </row>
    <row r="105" spans="1:26" ht="14.25" customHeight="1" x14ac:dyDescent="0.2">
      <c r="A105" s="543"/>
      <c r="B105" s="543"/>
      <c r="C105" s="666"/>
      <c r="D105" s="723"/>
      <c r="E105" s="525" t="s">
        <v>501</v>
      </c>
      <c r="F105" s="612">
        <v>30</v>
      </c>
      <c r="G105" s="616">
        <v>1.097</v>
      </c>
      <c r="H105" s="617" t="s">
        <v>431</v>
      </c>
      <c r="I105" s="153">
        <v>36.295999999999999</v>
      </c>
      <c r="J105" s="153">
        <v>31.704999999999998</v>
      </c>
      <c r="K105" s="154">
        <v>3.1900000000000001E-3</v>
      </c>
      <c r="L105" s="153">
        <v>5.5350000000000001</v>
      </c>
      <c r="M105" s="153">
        <v>1.9630000000000001</v>
      </c>
      <c r="N105" s="154">
        <v>1.1010000000000001E-2</v>
      </c>
      <c r="O105" s="153">
        <v>0</v>
      </c>
      <c r="P105" s="154">
        <v>0</v>
      </c>
      <c r="Q105" s="622">
        <v>0</v>
      </c>
      <c r="R105" s="154">
        <v>0</v>
      </c>
      <c r="S105" s="491"/>
      <c r="T105" s="491"/>
      <c r="U105" s="490"/>
      <c r="V105" s="490"/>
      <c r="W105" s="490"/>
      <c r="X105" s="490"/>
      <c r="Y105" s="490"/>
      <c r="Z105" s="490"/>
    </row>
    <row r="106" spans="1:26" ht="14.25" customHeight="1" x14ac:dyDescent="0.2">
      <c r="A106" s="543"/>
      <c r="B106" s="543"/>
      <c r="C106" s="666"/>
      <c r="D106" s="723"/>
      <c r="E106" s="525" t="s">
        <v>502</v>
      </c>
      <c r="F106" s="612">
        <v>30</v>
      </c>
      <c r="G106" s="616">
        <v>1.097</v>
      </c>
      <c r="H106" s="617" t="s">
        <v>431</v>
      </c>
      <c r="I106" s="153">
        <v>36.295999999999999</v>
      </c>
      <c r="J106" s="153">
        <v>31.704999999999998</v>
      </c>
      <c r="K106" s="154">
        <v>3.1900000000000001E-3</v>
      </c>
      <c r="L106" s="153">
        <v>5.5350000000000001</v>
      </c>
      <c r="M106" s="153">
        <v>1.9630000000000001</v>
      </c>
      <c r="N106" s="154">
        <v>1.1010000000000001E-2</v>
      </c>
      <c r="O106" s="153">
        <v>0</v>
      </c>
      <c r="P106" s="154">
        <v>0</v>
      </c>
      <c r="Q106" s="622">
        <v>3.9260000000000003E-2</v>
      </c>
      <c r="R106" s="154">
        <v>0</v>
      </c>
      <c r="S106" s="491"/>
      <c r="T106" s="491"/>
      <c r="U106" s="490"/>
      <c r="V106" s="490"/>
      <c r="W106" s="490"/>
      <c r="X106" s="490"/>
      <c r="Y106" s="490"/>
      <c r="Z106" s="490"/>
    </row>
    <row r="107" spans="1:26" ht="14.25" customHeight="1" x14ac:dyDescent="0.2">
      <c r="A107" s="543"/>
      <c r="B107" s="543"/>
      <c r="C107" s="666"/>
      <c r="D107" s="724"/>
      <c r="E107" s="620" t="s">
        <v>503</v>
      </c>
      <c r="F107" s="613">
        <v>30</v>
      </c>
      <c r="G107" s="618">
        <v>1.097</v>
      </c>
      <c r="H107" s="619" t="s">
        <v>431</v>
      </c>
      <c r="I107" s="155">
        <v>36.295999999999999</v>
      </c>
      <c r="J107" s="155">
        <v>31.704999999999998</v>
      </c>
      <c r="K107" s="156">
        <v>3.1900000000000001E-3</v>
      </c>
      <c r="L107" s="155">
        <v>5.5350000000000001</v>
      </c>
      <c r="M107" s="155">
        <v>1.9630000000000001</v>
      </c>
      <c r="N107" s="156">
        <v>1.1010000000000001E-2</v>
      </c>
      <c r="O107" s="155">
        <v>0</v>
      </c>
      <c r="P107" s="156">
        <v>0</v>
      </c>
      <c r="Q107" s="623">
        <v>0</v>
      </c>
      <c r="R107" s="156">
        <v>0.10716000000000001</v>
      </c>
      <c r="S107" s="491"/>
      <c r="T107" s="491"/>
      <c r="U107" s="490"/>
      <c r="V107" s="490"/>
      <c r="W107" s="490"/>
      <c r="X107" s="490"/>
      <c r="Y107" s="490"/>
      <c r="Z107" s="490"/>
    </row>
    <row r="108" spans="1:26" ht="14.25" customHeight="1" x14ac:dyDescent="0.2">
      <c r="A108" s="543"/>
      <c r="B108" s="543"/>
      <c r="C108" s="666"/>
      <c r="D108" s="722" t="s">
        <v>183</v>
      </c>
      <c r="E108" s="523" t="s">
        <v>184</v>
      </c>
      <c r="F108" s="611">
        <v>30</v>
      </c>
      <c r="G108" s="614">
        <v>1.097</v>
      </c>
      <c r="H108" s="615" t="s">
        <v>431</v>
      </c>
      <c r="I108" s="151">
        <v>36.295999999999999</v>
      </c>
      <c r="J108" s="151">
        <v>31.704999999999998</v>
      </c>
      <c r="K108" s="152">
        <v>3.1900000000000001E-3</v>
      </c>
      <c r="L108" s="151">
        <v>7.3159999999999998</v>
      </c>
      <c r="M108" s="151">
        <v>3.8570000000000002</v>
      </c>
      <c r="N108" s="152">
        <v>1.346E-2</v>
      </c>
      <c r="O108" s="151">
        <v>0</v>
      </c>
      <c r="P108" s="152">
        <v>0</v>
      </c>
      <c r="Q108" s="621">
        <v>3.9260000000000003E-2</v>
      </c>
      <c r="R108" s="152">
        <v>0.10716000000000001</v>
      </c>
      <c r="S108" s="491"/>
      <c r="T108" s="491"/>
      <c r="U108" s="490"/>
      <c r="V108" s="490"/>
      <c r="W108" s="490"/>
      <c r="X108" s="490"/>
      <c r="Y108" s="490"/>
      <c r="Z108" s="490"/>
    </row>
    <row r="109" spans="1:26" ht="14.25" customHeight="1" x14ac:dyDescent="0.2">
      <c r="A109" s="543"/>
      <c r="B109" s="543"/>
      <c r="C109" s="666"/>
      <c r="D109" s="723"/>
      <c r="E109" s="525" t="s">
        <v>504</v>
      </c>
      <c r="F109" s="612">
        <v>30</v>
      </c>
      <c r="G109" s="616">
        <v>1.097</v>
      </c>
      <c r="H109" s="617" t="s">
        <v>431</v>
      </c>
      <c r="I109" s="153">
        <v>36.295999999999999</v>
      </c>
      <c r="J109" s="153">
        <v>31.704999999999998</v>
      </c>
      <c r="K109" s="154">
        <v>3.1900000000000001E-3</v>
      </c>
      <c r="L109" s="153">
        <v>7.3159999999999998</v>
      </c>
      <c r="M109" s="153">
        <v>3.8570000000000002</v>
      </c>
      <c r="N109" s="154">
        <v>1.346E-2</v>
      </c>
      <c r="O109" s="153">
        <v>0</v>
      </c>
      <c r="P109" s="154">
        <v>0</v>
      </c>
      <c r="Q109" s="622">
        <v>0</v>
      </c>
      <c r="R109" s="154">
        <v>0</v>
      </c>
      <c r="S109" s="491"/>
      <c r="T109" s="491"/>
      <c r="U109" s="490"/>
      <c r="V109" s="490"/>
      <c r="W109" s="490"/>
      <c r="X109" s="490"/>
      <c r="Y109" s="490"/>
      <c r="Z109" s="490"/>
    </row>
    <row r="110" spans="1:26" ht="14.25" customHeight="1" x14ac:dyDescent="0.2">
      <c r="A110" s="543"/>
      <c r="B110" s="543"/>
      <c r="C110" s="666"/>
      <c r="D110" s="723"/>
      <c r="E110" s="525" t="s">
        <v>505</v>
      </c>
      <c r="F110" s="612">
        <v>30</v>
      </c>
      <c r="G110" s="616">
        <v>1.097</v>
      </c>
      <c r="H110" s="617" t="s">
        <v>431</v>
      </c>
      <c r="I110" s="153">
        <v>36.295999999999999</v>
      </c>
      <c r="J110" s="153">
        <v>31.704999999999998</v>
      </c>
      <c r="K110" s="154">
        <v>3.1900000000000001E-3</v>
      </c>
      <c r="L110" s="153">
        <v>7.3159999999999998</v>
      </c>
      <c r="M110" s="153">
        <v>3.8570000000000002</v>
      </c>
      <c r="N110" s="154">
        <v>1.346E-2</v>
      </c>
      <c r="O110" s="153">
        <v>0</v>
      </c>
      <c r="P110" s="154">
        <v>0</v>
      </c>
      <c r="Q110" s="622">
        <v>3.9260000000000003E-2</v>
      </c>
      <c r="R110" s="154">
        <v>0</v>
      </c>
      <c r="S110" s="491"/>
      <c r="T110" s="491"/>
      <c r="U110" s="490"/>
      <c r="V110" s="490"/>
      <c r="W110" s="490"/>
      <c r="X110" s="490"/>
      <c r="Y110" s="490"/>
      <c r="Z110" s="490"/>
    </row>
    <row r="111" spans="1:26" ht="14.25" customHeight="1" x14ac:dyDescent="0.2">
      <c r="A111" s="543"/>
      <c r="B111" s="543"/>
      <c r="C111" s="666"/>
      <c r="D111" s="724"/>
      <c r="E111" s="620" t="s">
        <v>506</v>
      </c>
      <c r="F111" s="613">
        <v>30</v>
      </c>
      <c r="G111" s="618">
        <v>1.097</v>
      </c>
      <c r="H111" s="619" t="s">
        <v>431</v>
      </c>
      <c r="I111" s="155">
        <v>36.295999999999999</v>
      </c>
      <c r="J111" s="155">
        <v>31.704999999999998</v>
      </c>
      <c r="K111" s="156">
        <v>3.1900000000000001E-3</v>
      </c>
      <c r="L111" s="155">
        <v>7.3159999999999998</v>
      </c>
      <c r="M111" s="155">
        <v>3.8570000000000002</v>
      </c>
      <c r="N111" s="156">
        <v>1.346E-2</v>
      </c>
      <c r="O111" s="155">
        <v>0</v>
      </c>
      <c r="P111" s="156">
        <v>0</v>
      </c>
      <c r="Q111" s="623">
        <v>0</v>
      </c>
      <c r="R111" s="156">
        <v>0.10716000000000001</v>
      </c>
      <c r="S111" s="491"/>
      <c r="T111" s="491"/>
      <c r="U111" s="490"/>
      <c r="V111" s="490"/>
      <c r="W111" s="490"/>
      <c r="X111" s="490"/>
      <c r="Y111" s="490"/>
      <c r="Z111" s="490"/>
    </row>
    <row r="112" spans="1:26" ht="14.25" customHeight="1" x14ac:dyDescent="0.2">
      <c r="A112" s="543"/>
      <c r="B112" s="543"/>
      <c r="C112" s="666"/>
      <c r="D112" s="722" t="s">
        <v>185</v>
      </c>
      <c r="E112" s="523" t="s">
        <v>186</v>
      </c>
      <c r="F112" s="611">
        <v>30</v>
      </c>
      <c r="G112" s="614">
        <v>1.329</v>
      </c>
      <c r="H112" s="615" t="s">
        <v>432</v>
      </c>
      <c r="I112" s="151">
        <v>89.516000000000005</v>
      </c>
      <c r="J112" s="151">
        <v>87.605999999999995</v>
      </c>
      <c r="K112" s="152">
        <v>3.1900000000000001E-3</v>
      </c>
      <c r="L112" s="151">
        <v>3.9950000000000001</v>
      </c>
      <c r="M112" s="151">
        <v>0.88500000000000001</v>
      </c>
      <c r="N112" s="152">
        <v>9.3299999999999998E-3</v>
      </c>
      <c r="O112" s="151">
        <v>0</v>
      </c>
      <c r="P112" s="152">
        <v>0</v>
      </c>
      <c r="Q112" s="621">
        <v>3.9260000000000003E-2</v>
      </c>
      <c r="R112" s="152">
        <v>0.10716000000000001</v>
      </c>
      <c r="S112" s="491"/>
      <c r="T112" s="491"/>
      <c r="U112" s="490"/>
      <c r="V112" s="490"/>
      <c r="W112" s="490"/>
      <c r="X112" s="490"/>
      <c r="Y112" s="490"/>
      <c r="Z112" s="490"/>
    </row>
    <row r="113" spans="1:26" ht="14.25" customHeight="1" x14ac:dyDescent="0.2">
      <c r="A113" s="543"/>
      <c r="B113" s="543"/>
      <c r="C113" s="666"/>
      <c r="D113" s="723"/>
      <c r="E113" s="525" t="s">
        <v>507</v>
      </c>
      <c r="F113" s="612">
        <v>30</v>
      </c>
      <c r="G113" s="616">
        <v>1.329</v>
      </c>
      <c r="H113" s="617" t="s">
        <v>432</v>
      </c>
      <c r="I113" s="153">
        <v>89.516000000000005</v>
      </c>
      <c r="J113" s="153">
        <v>87.605999999999995</v>
      </c>
      <c r="K113" s="154">
        <v>3.1900000000000001E-3</v>
      </c>
      <c r="L113" s="153">
        <v>3.9950000000000001</v>
      </c>
      <c r="M113" s="153">
        <v>0.88500000000000001</v>
      </c>
      <c r="N113" s="154">
        <v>9.3299999999999998E-3</v>
      </c>
      <c r="O113" s="153">
        <v>0</v>
      </c>
      <c r="P113" s="154">
        <v>0</v>
      </c>
      <c r="Q113" s="622">
        <v>0</v>
      </c>
      <c r="R113" s="154">
        <v>0</v>
      </c>
      <c r="S113" s="491"/>
      <c r="T113" s="491"/>
      <c r="U113" s="490"/>
      <c r="V113" s="490"/>
      <c r="W113" s="490"/>
      <c r="X113" s="490"/>
      <c r="Y113" s="490"/>
      <c r="Z113" s="490"/>
    </row>
    <row r="114" spans="1:26" ht="14.25" customHeight="1" x14ac:dyDescent="0.2">
      <c r="A114" s="543"/>
      <c r="B114" s="543"/>
      <c r="C114" s="666"/>
      <c r="D114" s="723"/>
      <c r="E114" s="525" t="s">
        <v>508</v>
      </c>
      <c r="F114" s="612">
        <v>30</v>
      </c>
      <c r="G114" s="616">
        <v>1.329</v>
      </c>
      <c r="H114" s="617" t="s">
        <v>432</v>
      </c>
      <c r="I114" s="153">
        <v>89.516000000000005</v>
      </c>
      <c r="J114" s="153">
        <v>87.605999999999995</v>
      </c>
      <c r="K114" s="154">
        <v>3.1900000000000001E-3</v>
      </c>
      <c r="L114" s="153">
        <v>3.9950000000000001</v>
      </c>
      <c r="M114" s="153">
        <v>0.88500000000000001</v>
      </c>
      <c r="N114" s="154">
        <v>9.3299999999999998E-3</v>
      </c>
      <c r="O114" s="153">
        <v>0</v>
      </c>
      <c r="P114" s="154">
        <v>0</v>
      </c>
      <c r="Q114" s="622">
        <v>3.9260000000000003E-2</v>
      </c>
      <c r="R114" s="154">
        <v>0</v>
      </c>
      <c r="S114" s="491"/>
      <c r="T114" s="491"/>
      <c r="U114" s="490"/>
      <c r="V114" s="490"/>
      <c r="W114" s="490"/>
      <c r="X114" s="490"/>
      <c r="Y114" s="490"/>
      <c r="Z114" s="490"/>
    </row>
    <row r="115" spans="1:26" ht="14.25" customHeight="1" x14ac:dyDescent="0.2">
      <c r="A115" s="543"/>
      <c r="B115" s="543"/>
      <c r="C115" s="666"/>
      <c r="D115" s="724"/>
      <c r="E115" s="620" t="s">
        <v>509</v>
      </c>
      <c r="F115" s="613">
        <v>30</v>
      </c>
      <c r="G115" s="618">
        <v>1.329</v>
      </c>
      <c r="H115" s="619" t="s">
        <v>432</v>
      </c>
      <c r="I115" s="155">
        <v>89.516000000000005</v>
      </c>
      <c r="J115" s="155">
        <v>87.605999999999995</v>
      </c>
      <c r="K115" s="156">
        <v>3.1900000000000001E-3</v>
      </c>
      <c r="L115" s="155">
        <v>3.9950000000000001</v>
      </c>
      <c r="M115" s="155">
        <v>0.88500000000000001</v>
      </c>
      <c r="N115" s="156">
        <v>9.3299999999999998E-3</v>
      </c>
      <c r="O115" s="155">
        <v>0</v>
      </c>
      <c r="P115" s="156">
        <v>0</v>
      </c>
      <c r="Q115" s="623">
        <v>0</v>
      </c>
      <c r="R115" s="156">
        <v>0.10716000000000001</v>
      </c>
      <c r="S115" s="491"/>
      <c r="T115" s="491"/>
      <c r="U115" s="490"/>
      <c r="V115" s="490"/>
      <c r="W115" s="490"/>
      <c r="X115" s="490"/>
      <c r="Y115" s="490"/>
      <c r="Z115" s="490"/>
    </row>
    <row r="116" spans="1:26" ht="14.25" customHeight="1" x14ac:dyDescent="0.2">
      <c r="A116" s="543"/>
      <c r="B116" s="543"/>
      <c r="C116" s="666"/>
      <c r="D116" s="722" t="s">
        <v>187</v>
      </c>
      <c r="E116" s="523" t="s">
        <v>188</v>
      </c>
      <c r="F116" s="611">
        <v>30</v>
      </c>
      <c r="G116" s="614">
        <v>1.329</v>
      </c>
      <c r="H116" s="615" t="s">
        <v>432</v>
      </c>
      <c r="I116" s="151">
        <v>89.516000000000005</v>
      </c>
      <c r="J116" s="151">
        <v>87.605999999999995</v>
      </c>
      <c r="K116" s="152">
        <v>3.1900000000000001E-3</v>
      </c>
      <c r="L116" s="151">
        <v>5.5350000000000001</v>
      </c>
      <c r="M116" s="151">
        <v>1.9630000000000001</v>
      </c>
      <c r="N116" s="152">
        <v>1.1010000000000001E-2</v>
      </c>
      <c r="O116" s="151">
        <v>0</v>
      </c>
      <c r="P116" s="152">
        <v>0</v>
      </c>
      <c r="Q116" s="621">
        <v>3.9260000000000003E-2</v>
      </c>
      <c r="R116" s="152">
        <v>0.10716000000000001</v>
      </c>
      <c r="S116" s="491"/>
      <c r="T116" s="491"/>
      <c r="U116" s="490"/>
      <c r="V116" s="490"/>
      <c r="W116" s="490"/>
      <c r="X116" s="490"/>
      <c r="Y116" s="490"/>
      <c r="Z116" s="490"/>
    </row>
    <row r="117" spans="1:26" ht="14.25" customHeight="1" x14ac:dyDescent="0.2">
      <c r="A117" s="543"/>
      <c r="B117" s="543"/>
      <c r="C117" s="666"/>
      <c r="D117" s="723"/>
      <c r="E117" s="525" t="s">
        <v>510</v>
      </c>
      <c r="F117" s="612">
        <v>30</v>
      </c>
      <c r="G117" s="616">
        <v>1.329</v>
      </c>
      <c r="H117" s="617" t="s">
        <v>432</v>
      </c>
      <c r="I117" s="153">
        <v>89.516000000000005</v>
      </c>
      <c r="J117" s="153">
        <v>87.605999999999995</v>
      </c>
      <c r="K117" s="154">
        <v>3.1900000000000001E-3</v>
      </c>
      <c r="L117" s="153">
        <v>5.5350000000000001</v>
      </c>
      <c r="M117" s="153">
        <v>1.9630000000000001</v>
      </c>
      <c r="N117" s="154">
        <v>1.1010000000000001E-2</v>
      </c>
      <c r="O117" s="153">
        <v>0</v>
      </c>
      <c r="P117" s="154">
        <v>0</v>
      </c>
      <c r="Q117" s="622">
        <v>0</v>
      </c>
      <c r="R117" s="154">
        <v>0</v>
      </c>
      <c r="S117" s="491"/>
      <c r="T117" s="491"/>
      <c r="U117" s="490"/>
      <c r="V117" s="490"/>
      <c r="W117" s="490"/>
      <c r="X117" s="490"/>
      <c r="Y117" s="490"/>
      <c r="Z117" s="490"/>
    </row>
    <row r="118" spans="1:26" ht="14.25" customHeight="1" x14ac:dyDescent="0.2">
      <c r="A118" s="543"/>
      <c r="B118" s="543"/>
      <c r="C118" s="666"/>
      <c r="D118" s="723"/>
      <c r="E118" s="525" t="s">
        <v>511</v>
      </c>
      <c r="F118" s="612">
        <v>30</v>
      </c>
      <c r="G118" s="616">
        <v>1.329</v>
      </c>
      <c r="H118" s="617" t="s">
        <v>432</v>
      </c>
      <c r="I118" s="153">
        <v>89.516000000000005</v>
      </c>
      <c r="J118" s="153">
        <v>87.605999999999995</v>
      </c>
      <c r="K118" s="154">
        <v>3.1900000000000001E-3</v>
      </c>
      <c r="L118" s="153">
        <v>5.5350000000000001</v>
      </c>
      <c r="M118" s="153">
        <v>1.9630000000000001</v>
      </c>
      <c r="N118" s="154">
        <v>1.1010000000000001E-2</v>
      </c>
      <c r="O118" s="153">
        <v>0</v>
      </c>
      <c r="P118" s="154">
        <v>0</v>
      </c>
      <c r="Q118" s="622">
        <v>3.9260000000000003E-2</v>
      </c>
      <c r="R118" s="154">
        <v>0</v>
      </c>
      <c r="S118" s="491"/>
      <c r="T118" s="491"/>
      <c r="U118" s="490"/>
      <c r="V118" s="490"/>
      <c r="W118" s="490"/>
      <c r="X118" s="490"/>
      <c r="Y118" s="490"/>
      <c r="Z118" s="490"/>
    </row>
    <row r="119" spans="1:26" ht="14.25" customHeight="1" x14ac:dyDescent="0.2">
      <c r="A119" s="543"/>
      <c r="B119" s="543"/>
      <c r="C119" s="666"/>
      <c r="D119" s="724"/>
      <c r="E119" s="620" t="s">
        <v>512</v>
      </c>
      <c r="F119" s="613">
        <v>30</v>
      </c>
      <c r="G119" s="618">
        <v>1.329</v>
      </c>
      <c r="H119" s="619" t="s">
        <v>432</v>
      </c>
      <c r="I119" s="155">
        <v>89.516000000000005</v>
      </c>
      <c r="J119" s="155">
        <v>87.605999999999995</v>
      </c>
      <c r="K119" s="156">
        <v>3.1900000000000001E-3</v>
      </c>
      <c r="L119" s="155">
        <v>5.5350000000000001</v>
      </c>
      <c r="M119" s="155">
        <v>1.9630000000000001</v>
      </c>
      <c r="N119" s="156">
        <v>1.1010000000000001E-2</v>
      </c>
      <c r="O119" s="155">
        <v>0</v>
      </c>
      <c r="P119" s="156">
        <v>0</v>
      </c>
      <c r="Q119" s="623">
        <v>0</v>
      </c>
      <c r="R119" s="156">
        <v>0.10716000000000001</v>
      </c>
      <c r="S119" s="491"/>
      <c r="T119" s="491"/>
      <c r="U119" s="490"/>
      <c r="V119" s="490"/>
      <c r="W119" s="490"/>
      <c r="X119" s="490"/>
      <c r="Y119" s="490"/>
      <c r="Z119" s="490"/>
    </row>
    <row r="120" spans="1:26" ht="14.25" customHeight="1" x14ac:dyDescent="0.2">
      <c r="A120" s="543"/>
      <c r="B120" s="543"/>
      <c r="C120" s="666"/>
      <c r="D120" s="722" t="s">
        <v>189</v>
      </c>
      <c r="E120" s="523" t="s">
        <v>190</v>
      </c>
      <c r="F120" s="611">
        <v>30</v>
      </c>
      <c r="G120" s="614">
        <v>1.329</v>
      </c>
      <c r="H120" s="615" t="s">
        <v>432</v>
      </c>
      <c r="I120" s="151">
        <v>89.516000000000005</v>
      </c>
      <c r="J120" s="151">
        <v>87.605999999999995</v>
      </c>
      <c r="K120" s="152">
        <v>3.1900000000000001E-3</v>
      </c>
      <c r="L120" s="151">
        <v>7.3159999999999998</v>
      </c>
      <c r="M120" s="151">
        <v>3.8570000000000002</v>
      </c>
      <c r="N120" s="152">
        <v>1.346E-2</v>
      </c>
      <c r="O120" s="151">
        <v>0</v>
      </c>
      <c r="P120" s="152">
        <v>0</v>
      </c>
      <c r="Q120" s="621">
        <v>3.9260000000000003E-2</v>
      </c>
      <c r="R120" s="152">
        <v>0.10716000000000001</v>
      </c>
      <c r="S120" s="491"/>
      <c r="T120" s="491"/>
      <c r="U120" s="490"/>
      <c r="V120" s="490"/>
      <c r="W120" s="490"/>
      <c r="X120" s="490"/>
      <c r="Y120" s="490"/>
      <c r="Z120" s="490"/>
    </row>
    <row r="121" spans="1:26" ht="14.25" customHeight="1" x14ac:dyDescent="0.2">
      <c r="A121" s="543"/>
      <c r="B121" s="543"/>
      <c r="C121" s="666"/>
      <c r="D121" s="723"/>
      <c r="E121" s="525" t="s">
        <v>513</v>
      </c>
      <c r="F121" s="612">
        <v>30</v>
      </c>
      <c r="G121" s="616">
        <v>1.329</v>
      </c>
      <c r="H121" s="617" t="s">
        <v>432</v>
      </c>
      <c r="I121" s="153">
        <v>89.516000000000005</v>
      </c>
      <c r="J121" s="153">
        <v>87.605999999999995</v>
      </c>
      <c r="K121" s="154">
        <v>3.1900000000000001E-3</v>
      </c>
      <c r="L121" s="153">
        <v>7.3159999999999998</v>
      </c>
      <c r="M121" s="153">
        <v>3.8570000000000002</v>
      </c>
      <c r="N121" s="154">
        <v>1.346E-2</v>
      </c>
      <c r="O121" s="153">
        <v>0</v>
      </c>
      <c r="P121" s="154">
        <v>0</v>
      </c>
      <c r="Q121" s="622">
        <v>0</v>
      </c>
      <c r="R121" s="154">
        <v>0</v>
      </c>
      <c r="S121" s="491"/>
      <c r="T121" s="491"/>
      <c r="U121" s="490"/>
      <c r="V121" s="490"/>
      <c r="W121" s="490"/>
      <c r="X121" s="490"/>
      <c r="Y121" s="490"/>
      <c r="Z121" s="490"/>
    </row>
    <row r="122" spans="1:26" ht="14.25" customHeight="1" x14ac:dyDescent="0.2">
      <c r="A122" s="543"/>
      <c r="B122" s="543"/>
      <c r="C122" s="666"/>
      <c r="D122" s="723"/>
      <c r="E122" s="525" t="s">
        <v>514</v>
      </c>
      <c r="F122" s="612">
        <v>30</v>
      </c>
      <c r="G122" s="616">
        <v>1.329</v>
      </c>
      <c r="H122" s="617" t="s">
        <v>432</v>
      </c>
      <c r="I122" s="153">
        <v>89.516000000000005</v>
      </c>
      <c r="J122" s="153">
        <v>87.605999999999995</v>
      </c>
      <c r="K122" s="154">
        <v>3.1900000000000001E-3</v>
      </c>
      <c r="L122" s="153">
        <v>7.3159999999999998</v>
      </c>
      <c r="M122" s="153">
        <v>3.8570000000000002</v>
      </c>
      <c r="N122" s="154">
        <v>1.346E-2</v>
      </c>
      <c r="O122" s="153">
        <v>0</v>
      </c>
      <c r="P122" s="154">
        <v>0</v>
      </c>
      <c r="Q122" s="622">
        <v>3.9260000000000003E-2</v>
      </c>
      <c r="R122" s="154">
        <v>0</v>
      </c>
      <c r="S122" s="491"/>
      <c r="T122" s="491"/>
      <c r="U122" s="490"/>
      <c r="V122" s="490"/>
      <c r="W122" s="490"/>
      <c r="X122" s="490"/>
      <c r="Y122" s="490"/>
      <c r="Z122" s="490"/>
    </row>
    <row r="123" spans="1:26" ht="14.25" customHeight="1" x14ac:dyDescent="0.2">
      <c r="A123" s="543"/>
      <c r="B123" s="543"/>
      <c r="C123" s="666"/>
      <c r="D123" s="724"/>
      <c r="E123" s="620" t="s">
        <v>515</v>
      </c>
      <c r="F123" s="613">
        <v>30</v>
      </c>
      <c r="G123" s="618">
        <v>1.329</v>
      </c>
      <c r="H123" s="619" t="s">
        <v>432</v>
      </c>
      <c r="I123" s="155">
        <v>89.516000000000005</v>
      </c>
      <c r="J123" s="155">
        <v>87.605999999999995</v>
      </c>
      <c r="K123" s="156">
        <v>3.1900000000000001E-3</v>
      </c>
      <c r="L123" s="155">
        <v>7.3159999999999998</v>
      </c>
      <c r="M123" s="155">
        <v>3.8570000000000002</v>
      </c>
      <c r="N123" s="156">
        <v>1.346E-2</v>
      </c>
      <c r="O123" s="155">
        <v>0</v>
      </c>
      <c r="P123" s="156">
        <v>0</v>
      </c>
      <c r="Q123" s="623">
        <v>0</v>
      </c>
      <c r="R123" s="156">
        <v>0.10716000000000001</v>
      </c>
      <c r="S123" s="491"/>
      <c r="T123" s="491"/>
      <c r="U123" s="490"/>
      <c r="V123" s="490"/>
      <c r="W123" s="490"/>
      <c r="X123" s="490"/>
      <c r="Y123" s="490"/>
      <c r="Z123" s="490"/>
    </row>
    <row r="124" spans="1:26" ht="14.25" customHeight="1" x14ac:dyDescent="0.2">
      <c r="A124" s="543"/>
      <c r="B124" s="544"/>
      <c r="C124" s="666"/>
      <c r="D124" s="719" t="s">
        <v>191</v>
      </c>
      <c r="E124" s="523" t="s">
        <v>192</v>
      </c>
      <c r="F124" s="611">
        <v>30</v>
      </c>
      <c r="G124" s="614">
        <v>1.0760000000000001</v>
      </c>
      <c r="H124" s="615" t="s">
        <v>433</v>
      </c>
      <c r="I124" s="151">
        <v>22.501000000000001</v>
      </c>
      <c r="J124" s="151">
        <v>18.611999999999998</v>
      </c>
      <c r="K124" s="152">
        <v>3.7499999999999999E-3</v>
      </c>
      <c r="L124" s="151">
        <v>3.8260000000000001</v>
      </c>
      <c r="M124" s="151">
        <v>0.627</v>
      </c>
      <c r="N124" s="152">
        <v>7.3999999999999999E-4</v>
      </c>
      <c r="O124" s="151">
        <v>0</v>
      </c>
      <c r="P124" s="152">
        <v>0</v>
      </c>
      <c r="Q124" s="621">
        <v>3.9260000000000003E-2</v>
      </c>
      <c r="R124" s="152">
        <v>0.10716000000000001</v>
      </c>
      <c r="S124" s="491"/>
      <c r="T124" s="491"/>
      <c r="U124" s="490"/>
      <c r="V124" s="490"/>
      <c r="W124" s="490"/>
      <c r="X124" s="490"/>
      <c r="Y124" s="490"/>
      <c r="Z124" s="490"/>
    </row>
    <row r="125" spans="1:26" ht="14.25" customHeight="1" x14ac:dyDescent="0.2">
      <c r="A125" s="543"/>
      <c r="B125" s="544"/>
      <c r="C125" s="666"/>
      <c r="D125" s="720"/>
      <c r="E125" s="525" t="s">
        <v>516</v>
      </c>
      <c r="F125" s="612">
        <v>30</v>
      </c>
      <c r="G125" s="616">
        <v>1.0760000000000001</v>
      </c>
      <c r="H125" s="617" t="s">
        <v>433</v>
      </c>
      <c r="I125" s="153">
        <v>22.501000000000001</v>
      </c>
      <c r="J125" s="153">
        <v>18.611999999999998</v>
      </c>
      <c r="K125" s="154">
        <v>3.7499999999999999E-3</v>
      </c>
      <c r="L125" s="153">
        <v>3.8260000000000001</v>
      </c>
      <c r="M125" s="153">
        <v>0.627</v>
      </c>
      <c r="N125" s="154">
        <v>7.3999999999999999E-4</v>
      </c>
      <c r="O125" s="153">
        <v>0</v>
      </c>
      <c r="P125" s="154">
        <v>0</v>
      </c>
      <c r="Q125" s="622">
        <v>0</v>
      </c>
      <c r="R125" s="154">
        <v>0</v>
      </c>
      <c r="S125" s="491"/>
      <c r="T125" s="491"/>
      <c r="U125" s="490"/>
      <c r="V125" s="490"/>
      <c r="W125" s="490"/>
      <c r="X125" s="490"/>
      <c r="Y125" s="490"/>
      <c r="Z125" s="490"/>
    </row>
    <row r="126" spans="1:26" ht="14.25" customHeight="1" x14ac:dyDescent="0.2">
      <c r="A126" s="543"/>
      <c r="B126" s="544"/>
      <c r="C126" s="666"/>
      <c r="D126" s="720"/>
      <c r="E126" s="525" t="s">
        <v>517</v>
      </c>
      <c r="F126" s="612">
        <v>30</v>
      </c>
      <c r="G126" s="616">
        <v>1.0760000000000001</v>
      </c>
      <c r="H126" s="617" t="s">
        <v>433</v>
      </c>
      <c r="I126" s="153">
        <v>22.501000000000001</v>
      </c>
      <c r="J126" s="153">
        <v>18.611999999999998</v>
      </c>
      <c r="K126" s="154">
        <v>3.7499999999999999E-3</v>
      </c>
      <c r="L126" s="153">
        <v>3.8260000000000001</v>
      </c>
      <c r="M126" s="153">
        <v>0.627</v>
      </c>
      <c r="N126" s="154">
        <v>7.3999999999999999E-4</v>
      </c>
      <c r="O126" s="153">
        <v>0</v>
      </c>
      <c r="P126" s="154">
        <v>0</v>
      </c>
      <c r="Q126" s="622">
        <v>3.9260000000000003E-2</v>
      </c>
      <c r="R126" s="154">
        <v>0</v>
      </c>
      <c r="S126" s="491"/>
      <c r="T126" s="491"/>
      <c r="U126" s="490"/>
      <c r="V126" s="490"/>
      <c r="W126" s="490"/>
      <c r="X126" s="490"/>
      <c r="Y126" s="490"/>
      <c r="Z126" s="490"/>
    </row>
    <row r="127" spans="1:26" ht="14.25" customHeight="1" x14ac:dyDescent="0.2">
      <c r="A127" s="543"/>
      <c r="B127" s="544"/>
      <c r="C127" s="673"/>
      <c r="D127" s="721"/>
      <c r="E127" s="620" t="s">
        <v>518</v>
      </c>
      <c r="F127" s="613">
        <v>30</v>
      </c>
      <c r="G127" s="618">
        <v>1.0760000000000001</v>
      </c>
      <c r="H127" s="619" t="s">
        <v>433</v>
      </c>
      <c r="I127" s="155">
        <v>22.501000000000001</v>
      </c>
      <c r="J127" s="155">
        <v>18.611999999999998</v>
      </c>
      <c r="K127" s="156">
        <v>3.7499999999999999E-3</v>
      </c>
      <c r="L127" s="155">
        <v>3.8260000000000001</v>
      </c>
      <c r="M127" s="155">
        <v>0.627</v>
      </c>
      <c r="N127" s="156">
        <v>7.3999999999999999E-4</v>
      </c>
      <c r="O127" s="155">
        <v>0</v>
      </c>
      <c r="P127" s="156">
        <v>0</v>
      </c>
      <c r="Q127" s="623">
        <v>0</v>
      </c>
      <c r="R127" s="156">
        <v>0.10716000000000001</v>
      </c>
      <c r="S127" s="491"/>
      <c r="T127" s="491"/>
      <c r="U127" s="490"/>
      <c r="V127" s="490"/>
      <c r="W127" s="490"/>
      <c r="X127" s="490"/>
      <c r="Y127" s="490"/>
      <c r="Z127" s="490"/>
    </row>
    <row r="128" spans="1:26" x14ac:dyDescent="0.2">
      <c r="A128" s="541"/>
      <c r="B128" s="541"/>
      <c r="C128" s="490"/>
      <c r="D128" s="490"/>
      <c r="E128" s="490"/>
      <c r="F128" s="527"/>
      <c r="G128" s="527"/>
      <c r="H128" s="527"/>
      <c r="I128" s="527"/>
      <c r="J128" s="527"/>
      <c r="K128" s="527"/>
      <c r="L128" s="527"/>
      <c r="M128" s="527"/>
      <c r="N128" s="527"/>
      <c r="O128" s="527"/>
      <c r="P128" s="527"/>
      <c r="Q128" s="545"/>
      <c r="R128" s="490"/>
      <c r="S128" s="490"/>
      <c r="T128" s="490"/>
      <c r="U128" s="490"/>
      <c r="V128" s="490"/>
      <c r="W128" s="490"/>
      <c r="X128" s="490"/>
      <c r="Y128" s="490"/>
      <c r="Z128" s="490"/>
    </row>
    <row r="129" spans="1:26" s="644" customFormat="1" x14ac:dyDescent="0.2">
      <c r="A129" s="546"/>
      <c r="B129" s="546"/>
      <c r="C129" s="8" t="s">
        <v>96</v>
      </c>
      <c r="D129" s="547"/>
      <c r="E129" s="509"/>
      <c r="F129" s="527"/>
      <c r="G129" s="527"/>
      <c r="H129" s="527"/>
      <c r="I129" s="527"/>
      <c r="J129" s="527"/>
      <c r="K129" s="527"/>
      <c r="L129" s="527"/>
      <c r="M129" s="527"/>
      <c r="N129" s="527"/>
      <c r="O129" s="527"/>
      <c r="P129" s="527"/>
      <c r="Q129" s="545"/>
      <c r="R129" s="509"/>
      <c r="S129" s="509"/>
      <c r="T129" s="509"/>
      <c r="U129" s="509"/>
      <c r="V129" s="509"/>
      <c r="W129" s="509"/>
      <c r="X129" s="509"/>
      <c r="Y129" s="509"/>
      <c r="Z129" s="509"/>
    </row>
    <row r="130" spans="1:26" s="644" customFormat="1" x14ac:dyDescent="0.2">
      <c r="A130" s="546"/>
      <c r="B130" s="546"/>
      <c r="C130" s="30" t="s">
        <v>97</v>
      </c>
      <c r="D130" s="548"/>
      <c r="E130" s="509"/>
      <c r="F130" s="527"/>
      <c r="G130" s="527"/>
      <c r="H130" s="527"/>
      <c r="I130" s="527"/>
      <c r="J130" s="527"/>
      <c r="K130" s="527"/>
      <c r="L130" s="527"/>
      <c r="M130" s="527"/>
      <c r="N130" s="527"/>
      <c r="O130" s="527"/>
      <c r="P130" s="527"/>
      <c r="Q130" s="545"/>
      <c r="R130" s="509"/>
      <c r="S130" s="509"/>
      <c r="T130" s="509"/>
      <c r="U130" s="509"/>
      <c r="V130" s="509"/>
      <c r="W130" s="509"/>
      <c r="X130" s="509"/>
      <c r="Y130" s="509"/>
      <c r="Z130" s="509"/>
    </row>
    <row r="131" spans="1:26" s="644" customFormat="1" x14ac:dyDescent="0.2">
      <c r="A131" s="509"/>
      <c r="B131" s="509"/>
      <c r="C131" s="528"/>
      <c r="D131" s="528"/>
      <c r="E131" s="528"/>
      <c r="F131" s="528"/>
      <c r="G131" s="528"/>
      <c r="H131" s="528"/>
      <c r="I131" s="528"/>
      <c r="J131" s="528"/>
      <c r="K131" s="528"/>
      <c r="L131" s="528"/>
      <c r="M131" s="528"/>
      <c r="N131" s="528"/>
      <c r="O131" s="528"/>
      <c r="P131" s="528"/>
      <c r="Q131" s="509"/>
      <c r="R131" s="546"/>
      <c r="S131" s="546"/>
      <c r="T131" s="546"/>
      <c r="U131" s="509"/>
      <c r="V131" s="509"/>
      <c r="W131" s="509"/>
      <c r="X131" s="509"/>
      <c r="Y131" s="509"/>
      <c r="Z131" s="509"/>
    </row>
    <row r="132" spans="1:26" s="644" customFormat="1" x14ac:dyDescent="0.2">
      <c r="A132" s="530"/>
      <c r="B132" s="530"/>
      <c r="C132" s="559"/>
      <c r="D132" s="559"/>
      <c r="E132" s="559"/>
      <c r="F132" s="559"/>
      <c r="G132" s="559"/>
      <c r="H132" s="559"/>
      <c r="I132" s="559"/>
      <c r="J132" s="559"/>
      <c r="K132" s="559"/>
      <c r="L132" s="559"/>
      <c r="M132" s="559"/>
      <c r="N132" s="559"/>
      <c r="O132" s="559"/>
      <c r="P132" s="559"/>
      <c r="Q132" s="559"/>
      <c r="R132" s="559"/>
      <c r="S132" s="559"/>
      <c r="T132" s="559"/>
      <c r="U132" s="509"/>
      <c r="V132" s="509"/>
      <c r="W132" s="509"/>
      <c r="X132" s="509"/>
      <c r="Y132" s="509"/>
      <c r="Z132" s="509"/>
    </row>
    <row r="133" spans="1:26" s="644" customFormat="1" x14ac:dyDescent="0.2">
      <c r="A133" s="530"/>
      <c r="B133" s="530"/>
      <c r="C133" s="560"/>
      <c r="D133" s="560"/>
      <c r="E133" s="560"/>
      <c r="F133" s="560"/>
      <c r="G133" s="560"/>
      <c r="H133" s="560"/>
      <c r="I133" s="560"/>
      <c r="J133" s="560"/>
      <c r="K133" s="560"/>
      <c r="L133" s="560"/>
      <c r="M133" s="560"/>
      <c r="N133" s="560"/>
      <c r="O133" s="560"/>
      <c r="P133" s="560"/>
      <c r="Q133" s="560"/>
      <c r="R133" s="560"/>
      <c r="S133" s="560"/>
      <c r="T133" s="561"/>
      <c r="U133" s="509"/>
      <c r="V133" s="509"/>
      <c r="W133" s="509"/>
      <c r="X133" s="509"/>
      <c r="Y133" s="509"/>
      <c r="Z133" s="509"/>
    </row>
    <row r="134" spans="1:26" s="644" customFormat="1" x14ac:dyDescent="0.2">
      <c r="A134" s="530"/>
      <c r="B134" s="530"/>
      <c r="C134" s="562"/>
      <c r="D134" s="562"/>
      <c r="E134" s="562"/>
      <c r="F134" s="562"/>
      <c r="G134" s="562"/>
      <c r="H134" s="562"/>
      <c r="I134" s="562"/>
      <c r="J134" s="562"/>
      <c r="K134" s="562"/>
      <c r="L134" s="562"/>
      <c r="M134" s="562"/>
      <c r="N134" s="562"/>
      <c r="O134" s="562"/>
      <c r="P134" s="562"/>
      <c r="Q134" s="562"/>
      <c r="R134" s="562"/>
      <c r="S134" s="562"/>
      <c r="T134" s="562"/>
      <c r="U134" s="509"/>
      <c r="V134" s="509"/>
      <c r="W134" s="509"/>
      <c r="X134" s="509"/>
      <c r="Y134" s="509"/>
      <c r="Z134" s="509"/>
    </row>
    <row r="135" spans="1:26" s="644" customFormat="1" x14ac:dyDescent="0.2">
      <c r="A135" s="530"/>
      <c r="B135" s="530"/>
      <c r="C135" s="562"/>
      <c r="D135" s="562"/>
      <c r="E135" s="562"/>
      <c r="F135" s="562"/>
      <c r="G135" s="562"/>
      <c r="H135" s="562"/>
      <c r="I135" s="562"/>
      <c r="J135" s="562"/>
      <c r="K135" s="562"/>
      <c r="L135" s="562"/>
      <c r="M135" s="562"/>
      <c r="N135" s="562"/>
      <c r="O135" s="562"/>
      <c r="P135" s="562"/>
      <c r="Q135" s="562"/>
      <c r="R135" s="562"/>
      <c r="S135" s="562"/>
      <c r="T135" s="562"/>
      <c r="U135" s="509"/>
      <c r="V135" s="509"/>
      <c r="W135" s="509"/>
      <c r="X135" s="509"/>
      <c r="Y135" s="509"/>
      <c r="Z135" s="509"/>
    </row>
    <row r="136" spans="1:26" s="644" customFormat="1" x14ac:dyDescent="0.2">
      <c r="A136" s="530"/>
      <c r="B136" s="530"/>
      <c r="C136" s="562"/>
      <c r="D136" s="562"/>
      <c r="E136" s="562"/>
      <c r="F136" s="562"/>
      <c r="G136" s="562"/>
      <c r="H136" s="562"/>
      <c r="I136" s="562"/>
      <c r="J136" s="562"/>
      <c r="K136" s="562"/>
      <c r="L136" s="562"/>
      <c r="M136" s="562"/>
      <c r="N136" s="562"/>
      <c r="O136" s="562"/>
      <c r="P136" s="562"/>
      <c r="Q136" s="562"/>
      <c r="R136" s="562"/>
      <c r="S136" s="562"/>
      <c r="T136" s="562"/>
      <c r="U136" s="509"/>
      <c r="V136" s="509"/>
      <c r="W136" s="509"/>
      <c r="X136" s="509"/>
      <c r="Y136" s="509"/>
      <c r="Z136" s="509"/>
    </row>
    <row r="137" spans="1:26" s="644" customFormat="1" x14ac:dyDescent="0.2">
      <c r="A137" s="530"/>
      <c r="B137" s="530"/>
      <c r="C137" s="562"/>
      <c r="D137" s="562"/>
      <c r="E137" s="562"/>
      <c r="F137" s="562"/>
      <c r="G137" s="562"/>
      <c r="H137" s="562"/>
      <c r="I137" s="562"/>
      <c r="J137" s="562"/>
      <c r="K137" s="562"/>
      <c r="L137" s="562"/>
      <c r="M137" s="562"/>
      <c r="N137" s="562"/>
      <c r="O137" s="562"/>
      <c r="P137" s="562"/>
      <c r="Q137" s="562"/>
      <c r="R137" s="562"/>
      <c r="S137" s="562"/>
      <c r="T137" s="562"/>
      <c r="U137" s="509"/>
      <c r="V137" s="509"/>
      <c r="W137" s="509"/>
      <c r="X137" s="509"/>
      <c r="Y137" s="509"/>
      <c r="Z137" s="509"/>
    </row>
    <row r="138" spans="1:26" s="644" customFormat="1" x14ac:dyDescent="0.2">
      <c r="A138" s="530"/>
      <c r="B138" s="530"/>
      <c r="C138" s="562"/>
      <c r="D138" s="562"/>
      <c r="E138" s="563"/>
      <c r="F138" s="563"/>
      <c r="G138" s="563"/>
      <c r="H138" s="563"/>
      <c r="I138" s="563"/>
      <c r="J138" s="563"/>
      <c r="K138" s="563"/>
      <c r="L138" s="563"/>
      <c r="M138" s="563"/>
      <c r="N138" s="563"/>
      <c r="O138" s="563"/>
      <c r="P138" s="563"/>
      <c r="Q138" s="563"/>
      <c r="R138" s="563"/>
      <c r="S138" s="563"/>
      <c r="T138" s="563"/>
      <c r="U138" s="509"/>
      <c r="V138" s="509"/>
      <c r="W138" s="509"/>
      <c r="X138" s="509"/>
      <c r="Y138" s="509"/>
      <c r="Z138" s="509"/>
    </row>
    <row r="139" spans="1:26" s="644" customFormat="1" x14ac:dyDescent="0.2">
      <c r="A139" s="530"/>
      <c r="B139" s="530"/>
      <c r="C139" s="564"/>
      <c r="D139" s="562"/>
      <c r="E139" s="562"/>
      <c r="F139" s="562"/>
      <c r="G139" s="562"/>
      <c r="H139" s="562"/>
      <c r="I139" s="562"/>
      <c r="J139" s="562"/>
      <c r="K139" s="562"/>
      <c r="L139" s="562"/>
      <c r="M139" s="562"/>
      <c r="N139" s="562"/>
      <c r="O139" s="562"/>
      <c r="P139" s="562"/>
      <c r="Q139" s="562"/>
      <c r="R139" s="562"/>
      <c r="S139" s="562"/>
      <c r="T139" s="563"/>
      <c r="U139" s="509"/>
      <c r="V139" s="509"/>
      <c r="W139" s="509"/>
      <c r="X139" s="509"/>
      <c r="Y139" s="509"/>
      <c r="Z139" s="509"/>
    </row>
    <row r="140" spans="1:26" s="644" customFormat="1" x14ac:dyDescent="0.2">
      <c r="A140" s="530"/>
      <c r="B140" s="530"/>
      <c r="C140" s="560"/>
      <c r="D140" s="560"/>
      <c r="E140" s="560"/>
      <c r="F140" s="560"/>
      <c r="G140" s="560"/>
      <c r="H140" s="560"/>
      <c r="I140" s="560"/>
      <c r="J140" s="560"/>
      <c r="K140" s="560"/>
      <c r="L140" s="560"/>
      <c r="M140" s="560"/>
      <c r="N140" s="560"/>
      <c r="O140" s="560"/>
      <c r="P140" s="560"/>
      <c r="Q140" s="560"/>
      <c r="R140" s="560"/>
      <c r="S140" s="560"/>
      <c r="T140" s="560"/>
      <c r="U140" s="509"/>
      <c r="V140" s="509"/>
      <c r="W140" s="509"/>
      <c r="X140" s="509"/>
      <c r="Y140" s="509"/>
      <c r="Z140" s="509"/>
    </row>
    <row r="141" spans="1:26" s="644" customFormat="1" x14ac:dyDescent="0.2">
      <c r="A141" s="649"/>
      <c r="B141" s="649"/>
      <c r="C141" s="650"/>
      <c r="D141" s="651"/>
      <c r="E141" s="651"/>
      <c r="F141" s="651"/>
      <c r="G141" s="651"/>
      <c r="H141" s="651"/>
      <c r="I141" s="651"/>
      <c r="J141" s="651"/>
      <c r="K141" s="651"/>
      <c r="L141" s="651"/>
      <c r="M141" s="651"/>
      <c r="N141" s="651"/>
      <c r="O141" s="651"/>
      <c r="P141" s="651"/>
      <c r="Q141" s="651"/>
      <c r="R141" s="651"/>
      <c r="S141" s="651"/>
      <c r="T141" s="651"/>
    </row>
    <row r="142" spans="1:26" s="644" customFormat="1" x14ac:dyDescent="0.2">
      <c r="A142" s="649"/>
      <c r="B142" s="649"/>
      <c r="C142" s="650"/>
      <c r="D142" s="651"/>
      <c r="E142" s="651"/>
      <c r="F142" s="651"/>
      <c r="G142" s="651"/>
      <c r="H142" s="651"/>
      <c r="I142" s="651"/>
      <c r="J142" s="651"/>
      <c r="K142" s="651"/>
      <c r="L142" s="651"/>
      <c r="M142" s="651"/>
      <c r="N142" s="651"/>
      <c r="O142" s="651"/>
      <c r="P142" s="651"/>
      <c r="Q142" s="651"/>
      <c r="R142" s="651"/>
      <c r="S142" s="651"/>
      <c r="T142" s="651"/>
    </row>
    <row r="143" spans="1:26" s="644" customFormat="1" x14ac:dyDescent="0.2">
      <c r="A143" s="649"/>
      <c r="B143" s="649"/>
      <c r="C143" s="650"/>
      <c r="D143" s="651"/>
      <c r="E143" s="651"/>
      <c r="F143" s="651"/>
      <c r="G143" s="651"/>
      <c r="H143" s="651"/>
      <c r="I143" s="651"/>
      <c r="J143" s="651"/>
      <c r="K143" s="651"/>
      <c r="L143" s="651"/>
      <c r="M143" s="651"/>
      <c r="N143" s="651"/>
      <c r="O143" s="651"/>
      <c r="P143" s="651"/>
      <c r="Q143" s="651"/>
      <c r="R143" s="651"/>
      <c r="S143" s="651"/>
      <c r="T143" s="651"/>
    </row>
    <row r="144" spans="1:26" s="644" customFormat="1" x14ac:dyDescent="0.2">
      <c r="A144" s="649"/>
      <c r="B144" s="649"/>
      <c r="C144" s="650"/>
      <c r="D144" s="651"/>
      <c r="E144" s="651"/>
      <c r="F144" s="651"/>
      <c r="G144" s="651"/>
      <c r="H144" s="651"/>
      <c r="I144" s="651"/>
      <c r="J144" s="651"/>
      <c r="K144" s="651"/>
      <c r="L144" s="651"/>
      <c r="M144" s="651"/>
      <c r="N144" s="651"/>
      <c r="O144" s="651"/>
      <c r="P144" s="651"/>
      <c r="Q144" s="651"/>
      <c r="R144" s="651"/>
      <c r="S144" s="651"/>
      <c r="T144" s="651"/>
    </row>
    <row r="145" spans="1:38" s="644" customFormat="1" x14ac:dyDescent="0.2">
      <c r="A145" s="649"/>
      <c r="B145" s="649"/>
      <c r="C145" s="650"/>
      <c r="D145" s="651"/>
      <c r="E145" s="651"/>
      <c r="F145" s="651"/>
      <c r="G145" s="651"/>
      <c r="H145" s="651"/>
      <c r="I145" s="651"/>
      <c r="J145" s="651"/>
      <c r="K145" s="651"/>
      <c r="L145" s="651"/>
      <c r="M145" s="651"/>
      <c r="N145" s="651"/>
      <c r="O145" s="651"/>
      <c r="P145" s="651"/>
      <c r="Q145" s="651"/>
      <c r="R145" s="651"/>
      <c r="S145" s="651"/>
      <c r="T145" s="652"/>
    </row>
    <row r="146" spans="1:38" s="646" customFormat="1" x14ac:dyDescent="0.2">
      <c r="A146" s="649"/>
      <c r="B146" s="649"/>
      <c r="C146" s="650"/>
      <c r="D146" s="650"/>
      <c r="E146" s="650"/>
      <c r="F146" s="650"/>
      <c r="G146" s="650"/>
      <c r="H146" s="650"/>
      <c r="I146" s="650"/>
      <c r="J146" s="650"/>
      <c r="K146" s="650"/>
      <c r="L146" s="650"/>
      <c r="M146" s="650"/>
      <c r="N146" s="650"/>
      <c r="O146" s="650"/>
      <c r="P146" s="650"/>
      <c r="Q146" s="650"/>
      <c r="R146" s="650"/>
      <c r="S146" s="650"/>
      <c r="T146" s="650"/>
      <c r="U146" s="645"/>
      <c r="V146" s="645"/>
      <c r="W146" s="645"/>
      <c r="X146" s="645"/>
      <c r="Y146" s="645"/>
      <c r="Z146" s="645"/>
      <c r="AA146" s="645"/>
      <c r="AB146" s="645"/>
      <c r="AC146" s="645"/>
      <c r="AD146" s="645"/>
      <c r="AE146" s="645"/>
      <c r="AF146" s="645"/>
      <c r="AG146" s="645"/>
      <c r="AH146" s="645"/>
      <c r="AI146" s="645"/>
      <c r="AJ146" s="645"/>
      <c r="AK146" s="645"/>
      <c r="AL146" s="645"/>
    </row>
    <row r="147" spans="1:38" s="646" customFormat="1" x14ac:dyDescent="0.2">
      <c r="A147" s="649"/>
      <c r="B147" s="649"/>
      <c r="C147" s="650"/>
      <c r="D147" s="650"/>
      <c r="E147" s="650"/>
      <c r="F147" s="650"/>
      <c r="G147" s="650"/>
      <c r="H147" s="650"/>
      <c r="I147" s="650"/>
      <c r="J147" s="650"/>
      <c r="K147" s="650"/>
      <c r="L147" s="650"/>
      <c r="M147" s="650"/>
      <c r="N147" s="650"/>
      <c r="O147" s="650"/>
      <c r="P147" s="650"/>
      <c r="Q147" s="650"/>
      <c r="R147" s="650"/>
      <c r="S147" s="650"/>
      <c r="T147" s="650"/>
      <c r="U147" s="647"/>
      <c r="V147" s="647"/>
      <c r="W147" s="647"/>
      <c r="X147" s="647"/>
      <c r="Y147" s="647"/>
      <c r="Z147" s="647"/>
      <c r="AA147" s="647"/>
      <c r="AB147" s="647"/>
      <c r="AC147" s="647"/>
      <c r="AD147" s="647"/>
      <c r="AE147" s="647"/>
      <c r="AF147" s="647"/>
      <c r="AG147" s="647"/>
      <c r="AH147" s="647"/>
      <c r="AI147" s="647"/>
      <c r="AJ147" s="647"/>
      <c r="AK147" s="647"/>
      <c r="AL147" s="647"/>
    </row>
    <row r="148" spans="1:38" s="646" customFormat="1" x14ac:dyDescent="0.2">
      <c r="A148" s="649"/>
      <c r="B148" s="649"/>
      <c r="C148" s="650"/>
      <c r="D148" s="650"/>
      <c r="E148" s="650"/>
      <c r="F148" s="650"/>
      <c r="G148" s="650"/>
      <c r="H148" s="650"/>
      <c r="I148" s="650"/>
      <c r="J148" s="650"/>
      <c r="K148" s="650"/>
      <c r="L148" s="650"/>
      <c r="M148" s="650"/>
      <c r="N148" s="650"/>
      <c r="O148" s="650"/>
      <c r="P148" s="650"/>
      <c r="Q148" s="650"/>
      <c r="R148" s="650"/>
      <c r="S148" s="650"/>
      <c r="T148" s="650"/>
      <c r="U148" s="647"/>
      <c r="V148" s="647"/>
      <c r="W148" s="647"/>
      <c r="X148" s="647"/>
      <c r="Y148" s="647"/>
      <c r="Z148" s="647"/>
      <c r="AA148" s="647"/>
      <c r="AB148" s="647"/>
      <c r="AC148" s="647"/>
      <c r="AD148" s="647"/>
      <c r="AE148" s="647"/>
      <c r="AF148" s="647"/>
      <c r="AG148" s="647"/>
      <c r="AH148" s="647"/>
      <c r="AI148" s="647"/>
      <c r="AJ148" s="647"/>
      <c r="AK148" s="647"/>
      <c r="AL148" s="647"/>
    </row>
    <row r="149" spans="1:38" s="646" customFormat="1" x14ac:dyDescent="0.2">
      <c r="A149" s="649"/>
      <c r="B149" s="649"/>
      <c r="C149" s="653"/>
      <c r="D149" s="653"/>
      <c r="E149" s="653"/>
      <c r="F149" s="653"/>
      <c r="G149" s="653"/>
      <c r="H149" s="653"/>
      <c r="I149" s="653"/>
      <c r="J149" s="653"/>
      <c r="K149" s="653"/>
      <c r="L149" s="653"/>
      <c r="M149" s="653"/>
      <c r="N149" s="653"/>
      <c r="O149" s="653"/>
      <c r="P149" s="653"/>
      <c r="Q149" s="653"/>
      <c r="R149" s="653"/>
      <c r="S149" s="653"/>
      <c r="T149" s="650"/>
      <c r="U149" s="647"/>
      <c r="V149" s="647"/>
      <c r="W149" s="647"/>
      <c r="X149" s="647"/>
      <c r="Y149" s="647"/>
      <c r="Z149" s="647"/>
      <c r="AA149" s="647"/>
      <c r="AB149" s="647"/>
      <c r="AC149" s="647"/>
      <c r="AD149" s="647"/>
      <c r="AE149" s="647"/>
      <c r="AF149" s="647"/>
      <c r="AG149" s="647"/>
      <c r="AH149" s="647"/>
      <c r="AI149" s="647"/>
      <c r="AJ149" s="647"/>
      <c r="AK149" s="647"/>
      <c r="AL149" s="647"/>
    </row>
    <row r="150" spans="1:38" s="646" customFormat="1" x14ac:dyDescent="0.2">
      <c r="A150" s="649"/>
      <c r="B150" s="649"/>
      <c r="C150" s="654"/>
      <c r="D150" s="654"/>
      <c r="E150" s="650"/>
      <c r="F150" s="650"/>
      <c r="G150" s="650"/>
      <c r="H150" s="650"/>
      <c r="I150" s="650"/>
      <c r="J150" s="650"/>
      <c r="K150" s="650"/>
      <c r="L150" s="650"/>
      <c r="M150" s="650"/>
      <c r="N150" s="650"/>
      <c r="O150" s="650"/>
      <c r="P150" s="650"/>
      <c r="Q150" s="650"/>
      <c r="R150" s="650"/>
      <c r="S150" s="650"/>
      <c r="T150" s="650"/>
      <c r="U150" s="647"/>
      <c r="V150" s="647"/>
      <c r="W150" s="647"/>
      <c r="X150" s="647"/>
      <c r="Y150" s="647"/>
      <c r="Z150" s="647"/>
      <c r="AA150" s="647"/>
      <c r="AB150" s="647"/>
      <c r="AC150" s="647"/>
      <c r="AD150" s="647"/>
      <c r="AE150" s="647"/>
      <c r="AF150" s="647"/>
      <c r="AG150" s="647"/>
      <c r="AH150" s="647"/>
      <c r="AI150" s="647"/>
      <c r="AJ150" s="647"/>
      <c r="AK150" s="647"/>
      <c r="AL150" s="647"/>
    </row>
    <row r="151" spans="1:38" s="646" customFormat="1" x14ac:dyDescent="0.2">
      <c r="A151" s="649"/>
      <c r="B151" s="649"/>
      <c r="C151" s="650"/>
      <c r="D151" s="650"/>
      <c r="E151" s="650"/>
      <c r="F151" s="650"/>
      <c r="G151" s="650"/>
      <c r="H151" s="650"/>
      <c r="I151" s="650"/>
      <c r="J151" s="650"/>
      <c r="K151" s="650"/>
      <c r="L151" s="650"/>
      <c r="M151" s="650"/>
      <c r="N151" s="650"/>
      <c r="O151" s="650"/>
      <c r="P151" s="650"/>
      <c r="Q151" s="650"/>
      <c r="R151" s="650"/>
      <c r="S151" s="650"/>
      <c r="T151" s="650"/>
      <c r="U151" s="647"/>
      <c r="V151" s="647"/>
      <c r="W151" s="647"/>
      <c r="X151" s="647"/>
      <c r="Y151" s="647"/>
      <c r="Z151" s="647"/>
      <c r="AA151" s="647"/>
      <c r="AB151" s="647"/>
      <c r="AC151" s="647"/>
      <c r="AD151" s="647"/>
      <c r="AE151" s="647"/>
      <c r="AF151" s="647"/>
      <c r="AG151" s="647"/>
      <c r="AH151" s="647"/>
      <c r="AI151" s="647"/>
      <c r="AJ151" s="647"/>
      <c r="AK151" s="647"/>
      <c r="AL151" s="647"/>
    </row>
    <row r="152" spans="1:38" s="106" customFormat="1" x14ac:dyDescent="0.2">
      <c r="A152" s="643"/>
      <c r="B152" s="643"/>
      <c r="C152" s="643"/>
      <c r="D152" s="643"/>
      <c r="E152" s="643"/>
      <c r="F152" s="643"/>
      <c r="G152" s="643"/>
      <c r="H152" s="643"/>
      <c r="I152" s="643"/>
      <c r="J152" s="643"/>
      <c r="K152" s="643"/>
      <c r="L152" s="643"/>
      <c r="M152" s="643"/>
      <c r="N152" s="643"/>
      <c r="O152" s="643"/>
      <c r="P152" s="643"/>
      <c r="Q152" s="643"/>
      <c r="R152" s="643"/>
      <c r="S152" s="643"/>
      <c r="T152" s="643"/>
      <c r="U152" s="729"/>
      <c r="V152" s="729"/>
      <c r="W152" s="729"/>
      <c r="X152" s="729"/>
      <c r="Y152" s="729"/>
      <c r="Z152" s="729"/>
      <c r="AA152" s="729"/>
      <c r="AB152" s="729"/>
      <c r="AC152" s="729"/>
      <c r="AD152" s="729"/>
      <c r="AE152" s="729"/>
      <c r="AF152" s="729"/>
      <c r="AG152" s="729"/>
      <c r="AH152" s="729"/>
      <c r="AI152" s="729"/>
      <c r="AJ152" s="729"/>
      <c r="AK152" s="729"/>
      <c r="AL152" s="729"/>
    </row>
    <row r="153" spans="1:38" s="106" customFormat="1" x14ac:dyDescent="0.2">
      <c r="A153" s="643"/>
      <c r="B153" s="643"/>
      <c r="C153" s="643"/>
      <c r="D153" s="643"/>
      <c r="E153" s="643"/>
      <c r="F153" s="643"/>
      <c r="G153" s="643"/>
      <c r="H153" s="643"/>
      <c r="I153" s="643"/>
      <c r="J153" s="643"/>
      <c r="K153" s="643"/>
      <c r="L153" s="643"/>
      <c r="M153" s="643"/>
      <c r="N153" s="643"/>
      <c r="O153" s="643"/>
      <c r="P153" s="643"/>
      <c r="Q153" s="643"/>
      <c r="R153" s="643"/>
      <c r="S153" s="643"/>
      <c r="T153" s="643"/>
      <c r="U153" s="729"/>
      <c r="V153" s="729"/>
      <c r="W153" s="729"/>
      <c r="X153" s="729"/>
      <c r="Y153" s="729"/>
      <c r="Z153" s="729"/>
      <c r="AA153" s="729"/>
      <c r="AB153" s="729"/>
      <c r="AC153" s="729"/>
      <c r="AD153" s="729"/>
      <c r="AE153" s="729"/>
      <c r="AF153" s="729"/>
      <c r="AG153" s="729"/>
      <c r="AH153" s="729"/>
      <c r="AI153" s="729"/>
      <c r="AJ153" s="729"/>
      <c r="AK153" s="729"/>
      <c r="AL153" s="729"/>
    </row>
    <row r="154" spans="1:38" s="106" customFormat="1" ht="14.25" customHeight="1" x14ac:dyDescent="0.2">
      <c r="A154" s="643"/>
      <c r="B154" s="643"/>
      <c r="C154" s="643"/>
      <c r="D154" s="643"/>
      <c r="E154" s="643"/>
      <c r="F154" s="643"/>
      <c r="G154" s="643"/>
      <c r="H154" s="643"/>
      <c r="I154" s="643"/>
      <c r="J154" s="643"/>
      <c r="K154" s="643"/>
      <c r="L154" s="643"/>
      <c r="M154" s="643"/>
      <c r="N154" s="643"/>
      <c r="O154" s="643"/>
      <c r="P154" s="643"/>
      <c r="Q154" s="643"/>
      <c r="R154" s="643"/>
      <c r="S154" s="643"/>
      <c r="T154" s="643"/>
      <c r="U154" s="729"/>
      <c r="V154" s="729"/>
      <c r="W154" s="729"/>
      <c r="X154" s="729"/>
      <c r="Y154" s="729"/>
      <c r="Z154" s="729"/>
      <c r="AA154" s="730"/>
      <c r="AB154" s="647"/>
      <c r="AC154" s="648"/>
      <c r="AD154" s="648"/>
      <c r="AE154" s="648"/>
      <c r="AF154" s="648"/>
      <c r="AG154" s="729"/>
      <c r="AH154" s="647"/>
      <c r="AI154" s="647"/>
      <c r="AJ154" s="648"/>
      <c r="AK154" s="648"/>
      <c r="AL154" s="648"/>
    </row>
    <row r="155" spans="1:38" x14ac:dyDescent="0.2">
      <c r="A155" s="643"/>
      <c r="B155" s="643"/>
      <c r="C155" s="643"/>
      <c r="D155" s="643"/>
      <c r="E155" s="643"/>
      <c r="F155" s="643"/>
      <c r="G155" s="643"/>
      <c r="H155" s="643"/>
      <c r="I155" s="643"/>
      <c r="J155" s="643"/>
      <c r="K155" s="643"/>
      <c r="L155" s="643"/>
      <c r="M155" s="643"/>
      <c r="N155" s="643"/>
      <c r="O155" s="643"/>
      <c r="P155" s="643"/>
      <c r="Q155" s="643"/>
      <c r="R155" s="643"/>
      <c r="S155" s="643"/>
      <c r="T155" s="643"/>
      <c r="U155" s="644"/>
      <c r="V155" s="644"/>
      <c r="W155" s="644"/>
      <c r="X155" s="644"/>
      <c r="Y155" s="644"/>
      <c r="Z155" s="644"/>
      <c r="AA155" s="644"/>
      <c r="AB155" s="644"/>
      <c r="AC155" s="644"/>
      <c r="AD155" s="644"/>
      <c r="AE155" s="644"/>
      <c r="AF155" s="644"/>
      <c r="AG155" s="644"/>
      <c r="AH155" s="644"/>
      <c r="AI155" s="644"/>
      <c r="AJ155" s="644"/>
      <c r="AK155" s="644"/>
      <c r="AL155" s="644"/>
    </row>
    <row r="156" spans="1:38" x14ac:dyDescent="0.2">
      <c r="A156" s="643"/>
      <c r="B156" s="643"/>
      <c r="C156" s="643"/>
      <c r="D156" s="643"/>
      <c r="E156" s="643"/>
      <c r="F156" s="643"/>
      <c r="G156" s="643"/>
      <c r="H156" s="643"/>
      <c r="I156" s="643"/>
      <c r="J156" s="643"/>
      <c r="K156" s="643"/>
      <c r="L156" s="643"/>
      <c r="M156" s="643"/>
      <c r="N156" s="643"/>
      <c r="O156" s="643"/>
      <c r="P156" s="643"/>
      <c r="Q156" s="643"/>
      <c r="R156" s="643"/>
      <c r="S156" s="643"/>
      <c r="T156" s="643"/>
      <c r="U156" s="644"/>
      <c r="V156" s="644"/>
      <c r="W156" s="644"/>
      <c r="X156" s="644"/>
      <c r="Y156" s="644"/>
      <c r="Z156" s="644"/>
      <c r="AA156" s="644"/>
      <c r="AB156" s="644"/>
      <c r="AC156" s="644"/>
      <c r="AD156" s="644"/>
      <c r="AE156" s="644"/>
      <c r="AF156" s="644"/>
      <c r="AG156" s="644"/>
      <c r="AH156" s="644"/>
      <c r="AI156" s="644"/>
      <c r="AJ156" s="644"/>
      <c r="AK156" s="644"/>
      <c r="AL156" s="644"/>
    </row>
    <row r="157" spans="1:38" x14ac:dyDescent="0.2">
      <c r="A157" s="643"/>
      <c r="B157" s="643"/>
      <c r="C157" s="643"/>
      <c r="D157" s="643"/>
      <c r="E157" s="643"/>
      <c r="F157" s="643"/>
      <c r="G157" s="643"/>
      <c r="H157" s="643"/>
      <c r="I157" s="643"/>
      <c r="J157" s="643"/>
      <c r="K157" s="643"/>
      <c r="L157" s="643"/>
      <c r="M157" s="643"/>
      <c r="N157" s="643"/>
      <c r="O157" s="643"/>
      <c r="P157" s="643"/>
      <c r="Q157" s="643"/>
      <c r="R157" s="643"/>
      <c r="S157" s="643"/>
      <c r="T157" s="643"/>
    </row>
    <row r="158" spans="1:38" x14ac:dyDescent="0.2">
      <c r="A158" s="643"/>
      <c r="B158" s="643"/>
      <c r="C158" s="643"/>
      <c r="D158" s="643"/>
      <c r="E158" s="643"/>
      <c r="F158" s="643"/>
      <c r="G158" s="643"/>
      <c r="H158" s="643"/>
      <c r="I158" s="643"/>
      <c r="J158" s="643"/>
      <c r="K158" s="643"/>
      <c r="L158" s="643"/>
      <c r="M158" s="643"/>
      <c r="N158" s="643"/>
      <c r="O158" s="643"/>
      <c r="P158" s="643"/>
      <c r="Q158" s="643"/>
      <c r="R158" s="643"/>
      <c r="S158" s="643"/>
      <c r="T158" s="643"/>
    </row>
    <row r="159" spans="1:38" x14ac:dyDescent="0.2">
      <c r="A159" s="643"/>
      <c r="B159" s="643"/>
      <c r="C159" s="643"/>
      <c r="D159" s="643"/>
      <c r="E159" s="643"/>
      <c r="F159" s="643"/>
      <c r="G159" s="643"/>
      <c r="H159" s="643"/>
      <c r="I159" s="643"/>
      <c r="J159" s="643"/>
      <c r="K159" s="643"/>
      <c r="L159" s="643"/>
      <c r="M159" s="643"/>
      <c r="N159" s="643"/>
      <c r="O159" s="643"/>
      <c r="P159" s="643"/>
      <c r="Q159" s="643"/>
      <c r="R159" s="643"/>
      <c r="S159" s="643"/>
      <c r="T159" s="643"/>
    </row>
    <row r="160" spans="1:38" x14ac:dyDescent="0.2">
      <c r="A160" s="643"/>
      <c r="B160" s="643"/>
      <c r="C160" s="643"/>
      <c r="D160" s="643"/>
      <c r="E160" s="643"/>
      <c r="F160" s="643"/>
      <c r="G160" s="643"/>
      <c r="H160" s="643"/>
      <c r="I160" s="643"/>
      <c r="J160" s="643"/>
      <c r="K160" s="643"/>
      <c r="L160" s="643"/>
      <c r="M160" s="643"/>
      <c r="N160" s="643"/>
      <c r="O160" s="643"/>
      <c r="P160" s="643"/>
      <c r="Q160" s="643"/>
      <c r="R160" s="643"/>
      <c r="S160" s="643"/>
      <c r="T160" s="643"/>
    </row>
    <row r="161" spans="1:20" x14ac:dyDescent="0.2">
      <c r="A161" s="643"/>
      <c r="B161" s="643"/>
      <c r="C161" s="643"/>
      <c r="D161" s="643"/>
      <c r="E161" s="643"/>
      <c r="F161" s="643"/>
      <c r="G161" s="643"/>
      <c r="H161" s="643"/>
      <c r="I161" s="643"/>
      <c r="J161" s="643"/>
      <c r="K161" s="643"/>
      <c r="L161" s="643"/>
      <c r="M161" s="643"/>
      <c r="N161" s="643"/>
      <c r="O161" s="643"/>
      <c r="P161" s="643"/>
      <c r="Q161" s="643"/>
      <c r="R161" s="643"/>
      <c r="S161" s="643"/>
      <c r="T161" s="643"/>
    </row>
    <row r="162" spans="1:20" x14ac:dyDescent="0.2">
      <c r="A162" s="643"/>
      <c r="B162" s="643"/>
      <c r="C162" s="643"/>
      <c r="D162" s="643"/>
      <c r="E162" s="643"/>
      <c r="F162" s="643"/>
      <c r="G162" s="643"/>
      <c r="H162" s="643"/>
      <c r="I162" s="643"/>
      <c r="J162" s="643"/>
      <c r="K162" s="643"/>
      <c r="L162" s="643"/>
      <c r="M162" s="643"/>
      <c r="N162" s="643"/>
      <c r="O162" s="643"/>
      <c r="P162" s="643"/>
      <c r="Q162" s="643"/>
      <c r="R162" s="643"/>
      <c r="S162" s="643"/>
      <c r="T162" s="643"/>
    </row>
    <row r="163" spans="1:20" x14ac:dyDescent="0.2">
      <c r="A163" s="643"/>
      <c r="B163" s="643"/>
      <c r="C163" s="643"/>
      <c r="D163" s="643"/>
      <c r="E163" s="643"/>
      <c r="F163" s="643"/>
      <c r="G163" s="643"/>
      <c r="H163" s="643"/>
      <c r="I163" s="643"/>
      <c r="J163" s="643"/>
      <c r="K163" s="643"/>
      <c r="L163" s="643"/>
      <c r="M163" s="643"/>
      <c r="N163" s="643"/>
      <c r="O163" s="643"/>
      <c r="P163" s="643"/>
      <c r="Q163" s="643"/>
      <c r="R163" s="643"/>
      <c r="S163" s="643"/>
      <c r="T163" s="643"/>
    </row>
    <row r="164" spans="1:20" x14ac:dyDescent="0.2">
      <c r="A164" s="643"/>
      <c r="B164" s="643"/>
      <c r="C164" s="643"/>
      <c r="D164" s="643"/>
      <c r="E164" s="643"/>
      <c r="F164" s="643"/>
      <c r="G164" s="643"/>
      <c r="H164" s="643"/>
      <c r="I164" s="643"/>
      <c r="J164" s="643"/>
      <c r="K164" s="643"/>
      <c r="L164" s="643"/>
      <c r="M164" s="643"/>
      <c r="N164" s="643"/>
      <c r="O164" s="643"/>
      <c r="P164" s="643"/>
      <c r="Q164" s="643"/>
      <c r="R164" s="643"/>
      <c r="S164" s="643"/>
      <c r="T164" s="643"/>
    </row>
    <row r="165" spans="1:20" x14ac:dyDescent="0.2">
      <c r="A165" s="643"/>
      <c r="B165" s="643"/>
      <c r="C165" s="643"/>
      <c r="D165" s="643"/>
      <c r="E165" s="643"/>
      <c r="F165" s="643"/>
      <c r="G165" s="643"/>
      <c r="H165" s="643"/>
      <c r="I165" s="643"/>
      <c r="J165" s="643"/>
      <c r="K165" s="643"/>
      <c r="L165" s="643"/>
      <c r="M165" s="643"/>
      <c r="N165" s="643"/>
      <c r="O165" s="643"/>
      <c r="P165" s="643"/>
      <c r="Q165" s="643"/>
      <c r="R165" s="643"/>
      <c r="S165" s="643"/>
      <c r="T165" s="643"/>
    </row>
    <row r="166" spans="1:20" x14ac:dyDescent="0.2">
      <c r="A166" s="643"/>
      <c r="B166" s="643"/>
      <c r="C166" s="643"/>
      <c r="D166" s="643"/>
      <c r="E166" s="643"/>
      <c r="F166" s="643"/>
      <c r="G166" s="643"/>
      <c r="H166" s="643"/>
      <c r="I166" s="643"/>
      <c r="J166" s="643"/>
      <c r="K166" s="643"/>
      <c r="L166" s="643"/>
      <c r="M166" s="643"/>
      <c r="N166" s="643"/>
      <c r="O166" s="643"/>
      <c r="P166" s="643"/>
      <c r="Q166" s="643"/>
      <c r="R166" s="643"/>
      <c r="S166" s="643"/>
      <c r="T166" s="643"/>
    </row>
    <row r="167" spans="1:20" x14ac:dyDescent="0.2">
      <c r="A167" s="643"/>
      <c r="B167" s="643"/>
      <c r="C167" s="643"/>
      <c r="D167" s="643"/>
      <c r="E167" s="643"/>
      <c r="F167" s="643"/>
      <c r="G167" s="643"/>
      <c r="H167" s="643"/>
      <c r="I167" s="643"/>
      <c r="J167" s="643"/>
      <c r="K167" s="643"/>
      <c r="L167" s="643"/>
      <c r="M167" s="643"/>
      <c r="N167" s="643"/>
      <c r="O167" s="643"/>
      <c r="P167" s="643"/>
      <c r="Q167" s="643"/>
      <c r="R167" s="643"/>
      <c r="S167" s="643"/>
      <c r="T167" s="643"/>
    </row>
    <row r="168" spans="1:20" x14ac:dyDescent="0.2">
      <c r="A168" s="643"/>
      <c r="B168" s="643"/>
      <c r="C168" s="643"/>
      <c r="D168" s="643"/>
      <c r="E168" s="643"/>
      <c r="F168" s="643"/>
      <c r="G168" s="643"/>
      <c r="H168" s="643"/>
      <c r="I168" s="643"/>
      <c r="J168" s="643"/>
      <c r="K168" s="643"/>
      <c r="L168" s="643"/>
      <c r="M168" s="643"/>
      <c r="N168" s="643"/>
      <c r="O168" s="643"/>
      <c r="P168" s="643"/>
      <c r="Q168" s="643"/>
      <c r="R168" s="643"/>
      <c r="S168" s="643"/>
      <c r="T168" s="643"/>
    </row>
    <row r="169" spans="1:20" x14ac:dyDescent="0.2">
      <c r="A169" s="643"/>
      <c r="B169" s="643"/>
      <c r="C169" s="643"/>
      <c r="D169" s="643"/>
      <c r="E169" s="643"/>
      <c r="F169" s="643"/>
      <c r="G169" s="643"/>
      <c r="H169" s="643"/>
      <c r="I169" s="643"/>
      <c r="J169" s="643"/>
      <c r="K169" s="643"/>
      <c r="L169" s="643"/>
      <c r="M169" s="643"/>
      <c r="N169" s="643"/>
      <c r="O169" s="643"/>
      <c r="P169" s="643"/>
      <c r="Q169" s="643"/>
      <c r="R169" s="643"/>
      <c r="S169" s="643"/>
      <c r="T169" s="643"/>
    </row>
    <row r="170" spans="1:20" x14ac:dyDescent="0.2">
      <c r="A170" s="643"/>
      <c r="B170" s="643"/>
      <c r="C170" s="643"/>
      <c r="D170" s="643"/>
      <c r="E170" s="643"/>
      <c r="F170" s="643"/>
      <c r="G170" s="643"/>
      <c r="H170" s="643"/>
      <c r="I170" s="643"/>
      <c r="J170" s="643"/>
      <c r="K170" s="643"/>
      <c r="L170" s="643"/>
      <c r="M170" s="643"/>
      <c r="N170" s="643"/>
      <c r="O170" s="643"/>
      <c r="P170" s="643"/>
      <c r="Q170" s="643"/>
      <c r="R170" s="643"/>
      <c r="S170" s="643"/>
      <c r="T170" s="643"/>
    </row>
    <row r="171" spans="1:20" x14ac:dyDescent="0.2">
      <c r="A171" s="643"/>
      <c r="B171" s="643"/>
      <c r="C171" s="643"/>
      <c r="D171" s="643"/>
      <c r="E171" s="643"/>
      <c r="F171" s="643"/>
      <c r="G171" s="643"/>
      <c r="H171" s="643"/>
      <c r="I171" s="643"/>
      <c r="J171" s="643"/>
      <c r="K171" s="643"/>
      <c r="L171" s="643"/>
      <c r="M171" s="643"/>
      <c r="N171" s="643"/>
      <c r="O171" s="643"/>
      <c r="P171" s="643"/>
      <c r="Q171" s="643"/>
      <c r="R171" s="643"/>
      <c r="S171" s="643"/>
      <c r="T171" s="643"/>
    </row>
    <row r="172" spans="1:20" x14ac:dyDescent="0.2">
      <c r="A172" s="643"/>
      <c r="B172" s="643"/>
      <c r="C172" s="643"/>
      <c r="D172" s="643"/>
      <c r="E172" s="643"/>
      <c r="F172" s="643"/>
      <c r="G172" s="643"/>
      <c r="H172" s="643"/>
      <c r="I172" s="643"/>
      <c r="J172" s="643"/>
      <c r="K172" s="643"/>
      <c r="L172" s="643"/>
      <c r="M172" s="643"/>
      <c r="N172" s="643"/>
      <c r="O172" s="643"/>
      <c r="P172" s="643"/>
      <c r="Q172" s="643"/>
      <c r="R172" s="643"/>
      <c r="S172" s="643"/>
      <c r="T172" s="643"/>
    </row>
    <row r="173" spans="1:20" x14ac:dyDescent="0.2">
      <c r="A173" s="643"/>
      <c r="B173" s="643"/>
      <c r="C173" s="643"/>
      <c r="D173" s="643"/>
      <c r="E173" s="643"/>
      <c r="F173" s="643"/>
      <c r="G173" s="643"/>
      <c r="H173" s="643"/>
      <c r="I173" s="643"/>
      <c r="J173" s="643"/>
      <c r="K173" s="643"/>
      <c r="L173" s="643"/>
      <c r="M173" s="643"/>
      <c r="N173" s="643"/>
      <c r="O173" s="643"/>
      <c r="P173" s="643"/>
      <c r="Q173" s="643"/>
      <c r="R173" s="643"/>
      <c r="S173" s="643"/>
      <c r="T173" s="643"/>
    </row>
    <row r="174" spans="1:20" x14ac:dyDescent="0.2">
      <c r="A174" s="643"/>
      <c r="B174" s="643"/>
      <c r="C174" s="643"/>
      <c r="D174" s="643"/>
      <c r="E174" s="643"/>
      <c r="F174" s="643"/>
      <c r="G174" s="643"/>
      <c r="H174" s="643"/>
      <c r="I174" s="643"/>
      <c r="J174" s="643"/>
      <c r="K174" s="643"/>
      <c r="L174" s="643"/>
      <c r="M174" s="643"/>
      <c r="N174" s="643"/>
      <c r="O174" s="643"/>
      <c r="P174" s="643"/>
      <c r="Q174" s="643"/>
      <c r="R174" s="643"/>
      <c r="S174" s="643"/>
      <c r="T174" s="643"/>
    </row>
    <row r="175" spans="1:20" x14ac:dyDescent="0.2">
      <c r="A175" s="643"/>
      <c r="B175" s="643"/>
      <c r="C175" s="643"/>
      <c r="D175" s="643"/>
      <c r="E175" s="643"/>
      <c r="F175" s="643"/>
      <c r="G175" s="643"/>
      <c r="H175" s="643"/>
      <c r="I175" s="643"/>
      <c r="J175" s="643"/>
      <c r="K175" s="643"/>
      <c r="L175" s="643"/>
      <c r="M175" s="643"/>
      <c r="N175" s="643"/>
      <c r="O175" s="643"/>
      <c r="P175" s="643"/>
      <c r="Q175" s="643"/>
      <c r="R175" s="643"/>
      <c r="S175" s="643"/>
      <c r="T175" s="643"/>
    </row>
    <row r="176" spans="1:20" x14ac:dyDescent="0.2">
      <c r="A176" s="643"/>
      <c r="B176" s="643"/>
      <c r="C176" s="643"/>
      <c r="D176" s="643"/>
      <c r="E176" s="643"/>
      <c r="F176" s="643"/>
      <c r="G176" s="643"/>
      <c r="H176" s="643"/>
      <c r="I176" s="643"/>
      <c r="J176" s="643"/>
      <c r="K176" s="643"/>
      <c r="L176" s="643"/>
      <c r="M176" s="643"/>
      <c r="N176" s="643"/>
      <c r="O176" s="643"/>
      <c r="P176" s="643"/>
      <c r="Q176" s="643"/>
      <c r="R176" s="643"/>
      <c r="S176" s="643"/>
      <c r="T176" s="643"/>
    </row>
    <row r="177" spans="18:20" x14ac:dyDescent="0.2">
      <c r="R177" s="643"/>
      <c r="S177" s="643"/>
      <c r="T177" s="643"/>
    </row>
    <row r="178" spans="18:20" x14ac:dyDescent="0.2">
      <c r="R178" s="643"/>
      <c r="S178" s="643"/>
      <c r="T178" s="643"/>
    </row>
    <row r="179" spans="18:20" x14ac:dyDescent="0.2">
      <c r="R179" s="655"/>
    </row>
    <row r="180" spans="18:20" x14ac:dyDescent="0.2">
      <c r="R180" s="655"/>
    </row>
  </sheetData>
  <mergeCells count="86">
    <mergeCell ref="D25:D27"/>
    <mergeCell ref="D28:D30"/>
    <mergeCell ref="D31:D33"/>
    <mergeCell ref="C13:C33"/>
    <mergeCell ref="I41:I42"/>
    <mergeCell ref="C40:C43"/>
    <mergeCell ref="D40:D43"/>
    <mergeCell ref="E40:E43"/>
    <mergeCell ref="F40:F42"/>
    <mergeCell ref="G40:H42"/>
    <mergeCell ref="I40:K40"/>
    <mergeCell ref="D22:D24"/>
    <mergeCell ref="J9:N9"/>
    <mergeCell ref="O9:R9"/>
    <mergeCell ref="S9:T9"/>
    <mergeCell ref="J10:J11"/>
    <mergeCell ref="O41:O42"/>
    <mergeCell ref="P41:P42"/>
    <mergeCell ref="J41:J42"/>
    <mergeCell ref="K41:K42"/>
    <mergeCell ref="L41:L42"/>
    <mergeCell ref="M41:M42"/>
    <mergeCell ref="N41:N42"/>
    <mergeCell ref="L40:N40"/>
    <mergeCell ref="O40:P40"/>
    <mergeCell ref="M10:N10"/>
    <mergeCell ref="O10:O11"/>
    <mergeCell ref="P10:Q10"/>
    <mergeCell ref="C9:C12"/>
    <mergeCell ref="D9:D12"/>
    <mergeCell ref="E9:E12"/>
    <mergeCell ref="F9:G11"/>
    <mergeCell ref="H9:I11"/>
    <mergeCell ref="R10:R11"/>
    <mergeCell ref="S10:S11"/>
    <mergeCell ref="D13:D15"/>
    <mergeCell ref="D16:D18"/>
    <mergeCell ref="D19:D21"/>
    <mergeCell ref="K10:L10"/>
    <mergeCell ref="T10:T11"/>
    <mergeCell ref="U152:U154"/>
    <mergeCell ref="V152:V154"/>
    <mergeCell ref="W152:X154"/>
    <mergeCell ref="Y152:Z154"/>
    <mergeCell ref="AA152:AF152"/>
    <mergeCell ref="AG152:AL152"/>
    <mergeCell ref="AA153:AA154"/>
    <mergeCell ref="AB153:AC153"/>
    <mergeCell ref="AD153:AF153"/>
    <mergeCell ref="AG153:AG154"/>
    <mergeCell ref="AH153:AI153"/>
    <mergeCell ref="AJ153:AL153"/>
    <mergeCell ref="C8:V8"/>
    <mergeCell ref="C7:V7"/>
    <mergeCell ref="C39:R39"/>
    <mergeCell ref="C38:R38"/>
    <mergeCell ref="C100:C127"/>
    <mergeCell ref="D100:D103"/>
    <mergeCell ref="D104:D107"/>
    <mergeCell ref="D108:D111"/>
    <mergeCell ref="D112:D115"/>
    <mergeCell ref="D116:D119"/>
    <mergeCell ref="U9:V9"/>
    <mergeCell ref="U10:U11"/>
    <mergeCell ref="V10:V11"/>
    <mergeCell ref="Q40:R40"/>
    <mergeCell ref="Q41:Q42"/>
    <mergeCell ref="R41:R42"/>
    <mergeCell ref="C44:C71"/>
    <mergeCell ref="D44:D47"/>
    <mergeCell ref="D48:D51"/>
    <mergeCell ref="D52:D55"/>
    <mergeCell ref="D56:D59"/>
    <mergeCell ref="D60:D63"/>
    <mergeCell ref="D64:D67"/>
    <mergeCell ref="D68:D71"/>
    <mergeCell ref="D84:D87"/>
    <mergeCell ref="D88:D91"/>
    <mergeCell ref="D120:D123"/>
    <mergeCell ref="D124:D127"/>
    <mergeCell ref="C72:C99"/>
    <mergeCell ref="D92:D95"/>
    <mergeCell ref="D96:D99"/>
    <mergeCell ref="D72:D75"/>
    <mergeCell ref="D76:D79"/>
    <mergeCell ref="D80:D83"/>
  </mergeCells>
  <conditionalFormatting sqref="L41 AH153 N41">
    <cfRule type="cellIs" dxfId="10" priority="6" stopIfTrue="1" operator="equal">
      <formula>"ERROR"</formula>
    </cfRule>
  </conditionalFormatting>
  <conditionalFormatting sqref="AG153">
    <cfRule type="cellIs" dxfId="9" priority="5" stopIfTrue="1" operator="equal">
      <formula>"ERROR"</formula>
    </cfRule>
  </conditionalFormatting>
  <conditionalFormatting sqref="AJ153">
    <cfRule type="cellIs" dxfId="8" priority="4" stopIfTrue="1" operator="equal">
      <formula>"ERROR"</formula>
    </cfRule>
  </conditionalFormatting>
  <conditionalFormatting sqref="AI154">
    <cfRule type="cellIs" dxfId="7" priority="3" stopIfTrue="1" operator="equal">
      <formula>"ERROR"</formula>
    </cfRule>
  </conditionalFormatting>
  <conditionalFormatting sqref="M41">
    <cfRule type="cellIs" dxfId="6" priority="2" stopIfTrue="1" operator="equal">
      <formula>"ERROR"</formula>
    </cfRule>
  </conditionalFormatting>
  <conditionalFormatting sqref="O10 R10">
    <cfRule type="cellIs" dxfId="5" priority="1" stopIfTrue="1" operator="equal">
      <formula>"ERROR"</formula>
    </cfRule>
  </conditionalFormatting>
  <hyperlinks>
    <hyperlink ref="C130" r:id="rId1"/>
    <hyperlink ref="C36" r:id="rId2"/>
  </hyperlinks>
  <pageMargins left="0.25" right="0.25" top="0.75" bottom="0.75" header="0.3" footer="0.3"/>
  <pageSetup paperSize="9" scale="50" fitToHeight="0" orientation="landscape" r:id="rId3"/>
  <headerFooter alignWithMargins="0">
    <oddFooter>Page &amp;P of &amp;N</oddFooter>
  </headerFooter>
  <rowBreaks count="2" manualBreakCount="2">
    <brk id="37" min="2" max="21" man="1"/>
    <brk id="99" min="2" max="21" man="1"/>
  </rowBreaks>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1">
    <pageSetUpPr fitToPage="1"/>
  </sheetPr>
  <dimension ref="A1:Y300"/>
  <sheetViews>
    <sheetView zoomScale="80" zoomScaleNormal="80" workbookViewId="0"/>
  </sheetViews>
  <sheetFormatPr defaultColWidth="9.140625" defaultRowHeight="12.75" x14ac:dyDescent="0.2"/>
  <cols>
    <col min="1" max="2" width="3.7109375" style="77" customWidth="1"/>
    <col min="3" max="3" width="20.28515625" style="77" customWidth="1"/>
    <col min="4" max="4" width="43.7109375" style="77" customWidth="1"/>
    <col min="5" max="5" width="12.7109375" style="77" customWidth="1"/>
    <col min="6" max="7" width="7.42578125" style="77" customWidth="1"/>
    <col min="8" max="8" width="11.7109375" style="77" customWidth="1"/>
    <col min="9" max="11" width="12.7109375" style="77" customWidth="1"/>
    <col min="12" max="13" width="11.7109375" style="77" customWidth="1"/>
    <col min="14" max="20" width="12.7109375" style="77" customWidth="1"/>
    <col min="21" max="35" width="9.140625" style="77" customWidth="1"/>
    <col min="36" max="16384" width="9.140625" style="77"/>
  </cols>
  <sheetData>
    <row r="1" spans="1:25" x14ac:dyDescent="0.2">
      <c r="A1" s="46"/>
      <c r="B1" s="46"/>
      <c r="C1" s="46"/>
      <c r="D1" s="46"/>
      <c r="E1" s="46"/>
      <c r="F1" s="46"/>
      <c r="G1" s="46"/>
      <c r="H1" s="46"/>
      <c r="I1" s="46"/>
      <c r="J1" s="46"/>
      <c r="K1" s="46"/>
      <c r="L1" s="46"/>
      <c r="M1" s="46"/>
      <c r="N1" s="46"/>
      <c r="O1" s="46"/>
      <c r="P1" s="46"/>
      <c r="Q1" s="46"/>
      <c r="R1" s="46"/>
      <c r="S1" s="51"/>
      <c r="T1" s="51"/>
      <c r="U1" s="51"/>
      <c r="V1" s="51"/>
      <c r="W1" s="51"/>
      <c r="X1" s="51"/>
      <c r="Y1" s="51"/>
    </row>
    <row r="2" spans="1:25" s="656" customFormat="1" ht="12" x14ac:dyDescent="0.2">
      <c r="A2" s="10"/>
      <c r="B2" s="10"/>
      <c r="C2" s="52"/>
      <c r="D2" s="10"/>
      <c r="E2" s="10"/>
      <c r="F2" s="53"/>
      <c r="G2" s="52"/>
      <c r="H2" s="52"/>
      <c r="I2" s="52"/>
      <c r="J2" s="52"/>
      <c r="K2" s="52"/>
      <c r="L2" s="52"/>
      <c r="M2" s="52"/>
      <c r="N2" s="52"/>
      <c r="O2" s="52"/>
      <c r="P2" s="52"/>
      <c r="Q2" s="52"/>
      <c r="R2" s="52"/>
      <c r="S2" s="10"/>
      <c r="T2" s="10"/>
      <c r="U2" s="10"/>
      <c r="V2" s="10"/>
      <c r="W2" s="10"/>
      <c r="X2" s="10"/>
      <c r="Y2" s="10"/>
    </row>
    <row r="3" spans="1:25" s="102" customFormat="1" ht="18" x14ac:dyDescent="0.2">
      <c r="A3" s="10"/>
      <c r="B3" s="9"/>
      <c r="C3" s="4" t="s">
        <v>0</v>
      </c>
      <c r="D3" s="4"/>
      <c r="E3" s="9"/>
      <c r="F3" s="5"/>
      <c r="G3" s="11"/>
      <c r="H3" s="11"/>
      <c r="I3" s="11"/>
      <c r="J3" s="11"/>
      <c r="K3" s="11"/>
      <c r="L3" s="11"/>
      <c r="M3" s="11"/>
      <c r="N3" s="11"/>
      <c r="O3" s="11"/>
      <c r="P3" s="11"/>
      <c r="Q3" s="11"/>
      <c r="R3" s="11"/>
      <c r="S3" s="9"/>
      <c r="T3" s="9"/>
      <c r="U3" s="9"/>
      <c r="V3" s="9"/>
      <c r="W3" s="9"/>
      <c r="X3" s="9"/>
      <c r="Y3" s="9"/>
    </row>
    <row r="4" spans="1:25" ht="18" x14ac:dyDescent="0.25">
      <c r="A4" s="51"/>
      <c r="B4" s="54"/>
      <c r="C4" s="5" t="s">
        <v>1640</v>
      </c>
      <c r="D4" s="5"/>
      <c r="E4" s="51"/>
      <c r="F4" s="51"/>
      <c r="G4" s="51"/>
      <c r="H4" s="51"/>
      <c r="I4" s="51"/>
      <c r="J4" s="51"/>
      <c r="K4" s="55"/>
      <c r="L4" s="51"/>
      <c r="M4" s="51"/>
      <c r="N4" s="51"/>
      <c r="O4" s="51"/>
      <c r="P4" s="51"/>
      <c r="Q4" s="56"/>
      <c r="R4" s="51"/>
      <c r="S4" s="51"/>
      <c r="T4" s="51"/>
      <c r="U4" s="51"/>
      <c r="V4" s="51"/>
      <c r="W4" s="51"/>
      <c r="X4" s="51"/>
      <c r="Y4" s="51"/>
    </row>
    <row r="5" spans="1:25" ht="18" x14ac:dyDescent="0.25">
      <c r="A5" s="51"/>
      <c r="B5" s="54"/>
      <c r="C5" s="51"/>
      <c r="D5" s="5"/>
      <c r="E5" s="51"/>
      <c r="F5" s="51"/>
      <c r="G5" s="51"/>
      <c r="H5" s="51"/>
      <c r="I5" s="51"/>
      <c r="J5" s="51"/>
      <c r="K5" s="55"/>
      <c r="L5" s="51"/>
      <c r="M5" s="51"/>
      <c r="N5" s="51"/>
      <c r="O5" s="51"/>
      <c r="P5" s="51"/>
      <c r="Q5" s="56"/>
      <c r="R5" s="51"/>
      <c r="S5" s="51"/>
      <c r="T5" s="51"/>
      <c r="U5" s="51"/>
      <c r="V5" s="51"/>
      <c r="W5" s="51"/>
      <c r="X5" s="51"/>
      <c r="Y5" s="51"/>
    </row>
    <row r="6" spans="1:25" ht="15.75" x14ac:dyDescent="0.25">
      <c r="A6" s="51"/>
      <c r="B6" s="51"/>
      <c r="C6" s="58"/>
      <c r="D6" s="58"/>
      <c r="E6" s="51"/>
      <c r="F6" s="51"/>
      <c r="G6" s="51"/>
      <c r="H6" s="51"/>
      <c r="I6" s="51"/>
      <c r="J6" s="59"/>
      <c r="K6" s="51"/>
      <c r="L6" s="51"/>
      <c r="M6" s="51"/>
      <c r="N6" s="51"/>
      <c r="O6" s="51"/>
      <c r="P6" s="51"/>
      <c r="Q6" s="58"/>
      <c r="R6" s="10"/>
      <c r="S6" s="51"/>
      <c r="T6" s="51"/>
      <c r="U6" s="51"/>
      <c r="V6" s="51"/>
      <c r="W6" s="51"/>
      <c r="X6" s="51"/>
      <c r="Y6" s="51"/>
    </row>
    <row r="7" spans="1:25" ht="15" customHeight="1" x14ac:dyDescent="0.2">
      <c r="A7" s="51"/>
      <c r="B7" s="51"/>
      <c r="C7" s="749" t="s">
        <v>1637</v>
      </c>
      <c r="D7" s="750"/>
      <c r="E7" s="750"/>
      <c r="F7" s="750"/>
      <c r="G7" s="750"/>
      <c r="H7" s="750"/>
      <c r="I7" s="750"/>
      <c r="J7" s="750"/>
      <c r="K7" s="750"/>
      <c r="L7" s="750"/>
      <c r="M7" s="750"/>
      <c r="N7" s="750"/>
      <c r="O7" s="750"/>
      <c r="P7" s="750"/>
      <c r="Q7" s="750"/>
      <c r="R7" s="750"/>
      <c r="S7" s="750"/>
      <c r="T7" s="751"/>
      <c r="U7" s="51"/>
      <c r="V7" s="51"/>
      <c r="W7" s="51"/>
      <c r="X7" s="51"/>
      <c r="Y7" s="51"/>
    </row>
    <row r="8" spans="1:25" ht="41.25" customHeight="1" x14ac:dyDescent="0.2">
      <c r="A8" s="51"/>
      <c r="B8" s="51"/>
      <c r="C8" s="746" t="s">
        <v>289</v>
      </c>
      <c r="D8" s="747"/>
      <c r="E8" s="747"/>
      <c r="F8" s="747"/>
      <c r="G8" s="747"/>
      <c r="H8" s="747"/>
      <c r="I8" s="747"/>
      <c r="J8" s="747"/>
      <c r="K8" s="747"/>
      <c r="L8" s="747"/>
      <c r="M8" s="747"/>
      <c r="N8" s="747"/>
      <c r="O8" s="747"/>
      <c r="P8" s="747"/>
      <c r="Q8" s="747"/>
      <c r="R8" s="747"/>
      <c r="S8" s="747"/>
      <c r="T8" s="748"/>
      <c r="U8" s="51"/>
      <c r="V8" s="51"/>
      <c r="W8" s="51"/>
      <c r="X8" s="51"/>
      <c r="Y8" s="51"/>
    </row>
    <row r="9" spans="1:25" ht="30" customHeight="1" x14ac:dyDescent="0.2">
      <c r="A9" s="51"/>
      <c r="B9" s="51"/>
      <c r="C9" s="778" t="s">
        <v>24</v>
      </c>
      <c r="D9" s="769" t="s">
        <v>25</v>
      </c>
      <c r="E9" s="778" t="s">
        <v>2</v>
      </c>
      <c r="F9" s="772" t="s">
        <v>290</v>
      </c>
      <c r="G9" s="773"/>
      <c r="H9" s="772" t="s">
        <v>26</v>
      </c>
      <c r="I9" s="786"/>
      <c r="J9" s="736" t="s">
        <v>27</v>
      </c>
      <c r="K9" s="789"/>
      <c r="L9" s="789"/>
      <c r="M9" s="789"/>
      <c r="N9" s="737"/>
      <c r="O9" s="782" t="s">
        <v>28</v>
      </c>
      <c r="P9" s="760"/>
      <c r="Q9" s="783" t="s">
        <v>29</v>
      </c>
      <c r="R9" s="784"/>
      <c r="S9" s="725" t="s">
        <v>444</v>
      </c>
      <c r="T9" s="726"/>
      <c r="U9" s="51"/>
      <c r="V9" s="51"/>
      <c r="W9" s="51"/>
      <c r="X9" s="51"/>
      <c r="Y9" s="51"/>
    </row>
    <row r="10" spans="1:25" ht="39.950000000000003" customHeight="1" x14ac:dyDescent="0.2">
      <c r="A10" s="51"/>
      <c r="B10" s="51"/>
      <c r="C10" s="778"/>
      <c r="D10" s="770"/>
      <c r="E10" s="778"/>
      <c r="F10" s="774"/>
      <c r="G10" s="775"/>
      <c r="H10" s="774"/>
      <c r="I10" s="787"/>
      <c r="J10" s="790" t="s">
        <v>3</v>
      </c>
      <c r="K10" s="736" t="s">
        <v>194</v>
      </c>
      <c r="L10" s="737"/>
      <c r="M10" s="736" t="s">
        <v>195</v>
      </c>
      <c r="N10" s="737"/>
      <c r="O10" s="765" t="s">
        <v>8</v>
      </c>
      <c r="P10" s="765" t="s">
        <v>10</v>
      </c>
      <c r="Q10" s="767" t="s">
        <v>32</v>
      </c>
      <c r="R10" s="767" t="s">
        <v>33</v>
      </c>
      <c r="S10" s="727" t="s">
        <v>445</v>
      </c>
      <c r="T10" s="727" t="s">
        <v>446</v>
      </c>
      <c r="U10" s="51"/>
      <c r="V10" s="51"/>
      <c r="W10" s="51"/>
      <c r="X10" s="51"/>
      <c r="Y10" s="51"/>
    </row>
    <row r="11" spans="1:25" ht="39.950000000000003" customHeight="1" x14ac:dyDescent="0.2">
      <c r="A11" s="51"/>
      <c r="B11" s="51"/>
      <c r="C11" s="778"/>
      <c r="D11" s="770"/>
      <c r="E11" s="778"/>
      <c r="F11" s="776"/>
      <c r="G11" s="777"/>
      <c r="H11" s="776"/>
      <c r="I11" s="788"/>
      <c r="J11" s="791"/>
      <c r="K11" s="463" t="s">
        <v>196</v>
      </c>
      <c r="L11" s="460" t="s">
        <v>197</v>
      </c>
      <c r="M11" s="460" t="s">
        <v>198</v>
      </c>
      <c r="N11" s="455" t="s">
        <v>291</v>
      </c>
      <c r="O11" s="766"/>
      <c r="P11" s="766"/>
      <c r="Q11" s="768"/>
      <c r="R11" s="768"/>
      <c r="S11" s="728"/>
      <c r="T11" s="728"/>
      <c r="U11" s="51"/>
      <c r="V11" s="51"/>
      <c r="W11" s="51"/>
      <c r="X11" s="51"/>
      <c r="Y11" s="51"/>
    </row>
    <row r="12" spans="1:25" ht="39" customHeight="1" x14ac:dyDescent="0.2">
      <c r="A12" s="51"/>
      <c r="B12" s="51"/>
      <c r="C12" s="778"/>
      <c r="D12" s="771"/>
      <c r="E12" s="778"/>
      <c r="F12" s="461" t="s">
        <v>292</v>
      </c>
      <c r="G12" s="461" t="s">
        <v>293</v>
      </c>
      <c r="H12" s="461" t="s">
        <v>11</v>
      </c>
      <c r="I12" s="462" t="s">
        <v>12</v>
      </c>
      <c r="J12" s="74" t="s">
        <v>13</v>
      </c>
      <c r="K12" s="13" t="s">
        <v>204</v>
      </c>
      <c r="L12" s="13" t="s">
        <v>204</v>
      </c>
      <c r="M12" s="14" t="s">
        <v>16</v>
      </c>
      <c r="N12" s="14" t="s">
        <v>16</v>
      </c>
      <c r="O12" s="459" t="s">
        <v>13</v>
      </c>
      <c r="P12" s="61" t="s">
        <v>16</v>
      </c>
      <c r="Q12" s="62" t="s">
        <v>13</v>
      </c>
      <c r="R12" s="18" t="s">
        <v>16</v>
      </c>
      <c r="S12" s="105" t="s">
        <v>13</v>
      </c>
      <c r="T12" s="105" t="s">
        <v>13</v>
      </c>
      <c r="U12" s="51"/>
      <c r="V12" s="51"/>
      <c r="W12" s="51"/>
      <c r="X12" s="51"/>
      <c r="Y12" s="51"/>
    </row>
    <row r="13" spans="1:25" ht="12.75" customHeight="1" x14ac:dyDescent="0.2">
      <c r="A13" s="51"/>
      <c r="B13" s="51"/>
      <c r="C13" s="743" t="s">
        <v>294</v>
      </c>
      <c r="D13" s="740" t="s">
        <v>295</v>
      </c>
      <c r="E13" s="33" t="s">
        <v>296</v>
      </c>
      <c r="F13" s="625" t="s">
        <v>297</v>
      </c>
      <c r="G13" s="625">
        <v>3</v>
      </c>
      <c r="H13" s="614">
        <v>1.097</v>
      </c>
      <c r="I13" s="624" t="s">
        <v>431</v>
      </c>
      <c r="J13" s="151">
        <v>0</v>
      </c>
      <c r="K13" s="208">
        <v>80.078000000000003</v>
      </c>
      <c r="L13" s="151">
        <v>11.5</v>
      </c>
      <c r="M13" s="152">
        <v>1.695E-2</v>
      </c>
      <c r="N13" s="152">
        <v>1.695E-2</v>
      </c>
      <c r="O13" s="151">
        <v>0.1</v>
      </c>
      <c r="P13" s="152">
        <v>9.3299999999999998E-3</v>
      </c>
      <c r="Q13" s="151">
        <v>0</v>
      </c>
      <c r="R13" s="152">
        <v>0</v>
      </c>
      <c r="S13" s="626">
        <v>0</v>
      </c>
      <c r="T13" s="627">
        <v>0</v>
      </c>
      <c r="U13" s="51"/>
      <c r="V13" s="51"/>
      <c r="W13" s="51"/>
      <c r="X13" s="51"/>
      <c r="Y13" s="51"/>
    </row>
    <row r="14" spans="1:25" x14ac:dyDescent="0.2">
      <c r="A14" s="51"/>
      <c r="B14" s="51"/>
      <c r="C14" s="744"/>
      <c r="D14" s="741"/>
      <c r="E14" s="34" t="s">
        <v>519</v>
      </c>
      <c r="F14" s="628" t="s">
        <v>297</v>
      </c>
      <c r="G14" s="628">
        <v>3</v>
      </c>
      <c r="H14" s="616">
        <v>1.097</v>
      </c>
      <c r="I14" s="601" t="s">
        <v>431</v>
      </c>
      <c r="J14" s="153">
        <v>0</v>
      </c>
      <c r="K14" s="209">
        <v>80.078000000000003</v>
      </c>
      <c r="L14" s="153">
        <v>11.5</v>
      </c>
      <c r="M14" s="154">
        <v>1.695E-2</v>
      </c>
      <c r="N14" s="154">
        <v>1.695E-2</v>
      </c>
      <c r="O14" s="153">
        <v>0.1</v>
      </c>
      <c r="P14" s="154">
        <v>9.3299999999999998E-3</v>
      </c>
      <c r="Q14" s="153">
        <v>0</v>
      </c>
      <c r="R14" s="154">
        <v>0</v>
      </c>
      <c r="S14" s="629">
        <v>3.9260000000000003E-2</v>
      </c>
      <c r="T14" s="630">
        <v>0</v>
      </c>
      <c r="U14" s="51"/>
      <c r="V14" s="51"/>
      <c r="W14" s="51"/>
      <c r="X14" s="51"/>
      <c r="Y14" s="51"/>
    </row>
    <row r="15" spans="1:25" x14ac:dyDescent="0.2">
      <c r="A15" s="51"/>
      <c r="B15" s="51"/>
      <c r="C15" s="744"/>
      <c r="D15" s="742"/>
      <c r="E15" s="603" t="s">
        <v>520</v>
      </c>
      <c r="F15" s="631" t="s">
        <v>297</v>
      </c>
      <c r="G15" s="631">
        <v>3</v>
      </c>
      <c r="H15" s="618">
        <v>1.097</v>
      </c>
      <c r="I15" s="602" t="s">
        <v>431</v>
      </c>
      <c r="J15" s="155">
        <v>0</v>
      </c>
      <c r="K15" s="210">
        <v>80.078000000000003</v>
      </c>
      <c r="L15" s="155">
        <v>11.5</v>
      </c>
      <c r="M15" s="156">
        <v>1.695E-2</v>
      </c>
      <c r="N15" s="156">
        <v>1.695E-2</v>
      </c>
      <c r="O15" s="155">
        <v>0.1</v>
      </c>
      <c r="P15" s="156">
        <v>9.3299999999999998E-3</v>
      </c>
      <c r="Q15" s="155">
        <v>0</v>
      </c>
      <c r="R15" s="156">
        <v>0</v>
      </c>
      <c r="S15" s="632">
        <v>0</v>
      </c>
      <c r="T15" s="27">
        <v>0.10716000000000001</v>
      </c>
      <c r="U15" s="51"/>
      <c r="V15" s="51"/>
      <c r="W15" s="51"/>
      <c r="X15" s="51"/>
      <c r="Y15" s="51"/>
    </row>
    <row r="16" spans="1:25" x14ac:dyDescent="0.2">
      <c r="A16" s="51"/>
      <c r="B16" s="51"/>
      <c r="C16" s="744"/>
      <c r="D16" s="740" t="s">
        <v>298</v>
      </c>
      <c r="E16" s="33" t="s">
        <v>299</v>
      </c>
      <c r="F16" s="625" t="s">
        <v>297</v>
      </c>
      <c r="G16" s="625">
        <v>3</v>
      </c>
      <c r="H16" s="614">
        <v>1.097</v>
      </c>
      <c r="I16" s="624" t="s">
        <v>431</v>
      </c>
      <c r="J16" s="151">
        <v>0</v>
      </c>
      <c r="K16" s="208">
        <v>80.078000000000003</v>
      </c>
      <c r="L16" s="151">
        <v>11.5</v>
      </c>
      <c r="M16" s="152">
        <v>1.695E-2</v>
      </c>
      <c r="N16" s="152">
        <v>1.695E-2</v>
      </c>
      <c r="O16" s="151">
        <v>0.17499999999999999</v>
      </c>
      <c r="P16" s="152">
        <v>1.1010000000000001E-2</v>
      </c>
      <c r="Q16" s="151">
        <v>0</v>
      </c>
      <c r="R16" s="152">
        <v>0</v>
      </c>
      <c r="S16" s="626">
        <v>0</v>
      </c>
      <c r="T16" s="627">
        <v>0</v>
      </c>
      <c r="U16" s="51"/>
      <c r="V16" s="51"/>
      <c r="W16" s="51"/>
      <c r="X16" s="51"/>
      <c r="Y16" s="51"/>
    </row>
    <row r="17" spans="1:25" x14ac:dyDescent="0.2">
      <c r="A17" s="51"/>
      <c r="B17" s="51"/>
      <c r="C17" s="744"/>
      <c r="D17" s="741"/>
      <c r="E17" s="34" t="s">
        <v>521</v>
      </c>
      <c r="F17" s="628" t="s">
        <v>297</v>
      </c>
      <c r="G17" s="628">
        <v>3</v>
      </c>
      <c r="H17" s="616">
        <v>1.097</v>
      </c>
      <c r="I17" s="601" t="s">
        <v>431</v>
      </c>
      <c r="J17" s="153">
        <v>0</v>
      </c>
      <c r="K17" s="209">
        <v>80.078000000000003</v>
      </c>
      <c r="L17" s="153">
        <v>11.5</v>
      </c>
      <c r="M17" s="154">
        <v>1.695E-2</v>
      </c>
      <c r="N17" s="154">
        <v>1.695E-2</v>
      </c>
      <c r="O17" s="153">
        <v>0.17499999999999999</v>
      </c>
      <c r="P17" s="154">
        <v>1.1010000000000001E-2</v>
      </c>
      <c r="Q17" s="153">
        <v>0</v>
      </c>
      <c r="R17" s="154">
        <v>0</v>
      </c>
      <c r="S17" s="629">
        <v>3.9260000000000003E-2</v>
      </c>
      <c r="T17" s="630">
        <v>0</v>
      </c>
      <c r="U17" s="51"/>
      <c r="V17" s="51"/>
      <c r="W17" s="51"/>
      <c r="X17" s="51"/>
      <c r="Y17" s="51"/>
    </row>
    <row r="18" spans="1:25" x14ac:dyDescent="0.2">
      <c r="A18" s="51"/>
      <c r="B18" s="51"/>
      <c r="C18" s="744"/>
      <c r="D18" s="742"/>
      <c r="E18" s="603" t="s">
        <v>522</v>
      </c>
      <c r="F18" s="631" t="s">
        <v>297</v>
      </c>
      <c r="G18" s="631">
        <v>3</v>
      </c>
      <c r="H18" s="618">
        <v>1.097</v>
      </c>
      <c r="I18" s="602" t="s">
        <v>431</v>
      </c>
      <c r="J18" s="155">
        <v>0</v>
      </c>
      <c r="K18" s="210">
        <v>80.078000000000003</v>
      </c>
      <c r="L18" s="155">
        <v>11.5</v>
      </c>
      <c r="M18" s="156">
        <v>1.695E-2</v>
      </c>
      <c r="N18" s="156">
        <v>1.695E-2</v>
      </c>
      <c r="O18" s="155">
        <v>0.17499999999999999</v>
      </c>
      <c r="P18" s="156">
        <v>1.1010000000000001E-2</v>
      </c>
      <c r="Q18" s="155">
        <v>0</v>
      </c>
      <c r="R18" s="156">
        <v>0</v>
      </c>
      <c r="S18" s="632">
        <v>0</v>
      </c>
      <c r="T18" s="27">
        <v>0.10716000000000001</v>
      </c>
      <c r="U18" s="51"/>
      <c r="V18" s="51"/>
      <c r="W18" s="51"/>
      <c r="X18" s="51"/>
      <c r="Y18" s="51"/>
    </row>
    <row r="19" spans="1:25" x14ac:dyDescent="0.2">
      <c r="A19" s="51"/>
      <c r="B19" s="51"/>
      <c r="C19" s="744"/>
      <c r="D19" s="740" t="s">
        <v>300</v>
      </c>
      <c r="E19" s="33" t="s">
        <v>301</v>
      </c>
      <c r="F19" s="625" t="s">
        <v>297</v>
      </c>
      <c r="G19" s="625">
        <v>3</v>
      </c>
      <c r="H19" s="614">
        <v>1.097</v>
      </c>
      <c r="I19" s="624" t="s">
        <v>431</v>
      </c>
      <c r="J19" s="151">
        <v>0</v>
      </c>
      <c r="K19" s="208">
        <v>80.078000000000003</v>
      </c>
      <c r="L19" s="151">
        <v>11.5</v>
      </c>
      <c r="M19" s="152">
        <v>1.695E-2</v>
      </c>
      <c r="N19" s="152">
        <v>1.695E-2</v>
      </c>
      <c r="O19" s="151">
        <v>0.28599999999999998</v>
      </c>
      <c r="P19" s="152">
        <v>1.346E-2</v>
      </c>
      <c r="Q19" s="151">
        <v>0</v>
      </c>
      <c r="R19" s="152">
        <v>0</v>
      </c>
      <c r="S19" s="626">
        <v>0</v>
      </c>
      <c r="T19" s="627">
        <v>0</v>
      </c>
      <c r="U19" s="51"/>
      <c r="V19" s="51"/>
      <c r="W19" s="51"/>
      <c r="X19" s="51"/>
      <c r="Y19" s="51"/>
    </row>
    <row r="20" spans="1:25" x14ac:dyDescent="0.2">
      <c r="A20" s="51"/>
      <c r="B20" s="51"/>
      <c r="C20" s="744"/>
      <c r="D20" s="741"/>
      <c r="E20" s="34" t="s">
        <v>523</v>
      </c>
      <c r="F20" s="628" t="s">
        <v>297</v>
      </c>
      <c r="G20" s="628">
        <v>3</v>
      </c>
      <c r="H20" s="616">
        <v>1.097</v>
      </c>
      <c r="I20" s="601" t="s">
        <v>431</v>
      </c>
      <c r="J20" s="153">
        <v>0</v>
      </c>
      <c r="K20" s="209">
        <v>80.078000000000003</v>
      </c>
      <c r="L20" s="153">
        <v>11.5</v>
      </c>
      <c r="M20" s="154">
        <v>1.695E-2</v>
      </c>
      <c r="N20" s="154">
        <v>1.695E-2</v>
      </c>
      <c r="O20" s="153">
        <v>0.28599999999999998</v>
      </c>
      <c r="P20" s="154">
        <v>1.346E-2</v>
      </c>
      <c r="Q20" s="153">
        <v>0</v>
      </c>
      <c r="R20" s="154">
        <v>0</v>
      </c>
      <c r="S20" s="629">
        <v>3.9260000000000003E-2</v>
      </c>
      <c r="T20" s="630">
        <v>0</v>
      </c>
      <c r="U20" s="51"/>
      <c r="V20" s="51"/>
      <c r="W20" s="51"/>
      <c r="X20" s="51"/>
      <c r="Y20" s="51"/>
    </row>
    <row r="21" spans="1:25" x14ac:dyDescent="0.2">
      <c r="A21" s="51"/>
      <c r="B21" s="51"/>
      <c r="C21" s="744"/>
      <c r="D21" s="742"/>
      <c r="E21" s="603" t="s">
        <v>524</v>
      </c>
      <c r="F21" s="631" t="s">
        <v>297</v>
      </c>
      <c r="G21" s="631">
        <v>3</v>
      </c>
      <c r="H21" s="618">
        <v>1.097</v>
      </c>
      <c r="I21" s="602" t="s">
        <v>431</v>
      </c>
      <c r="J21" s="155">
        <v>0</v>
      </c>
      <c r="K21" s="210">
        <v>80.078000000000003</v>
      </c>
      <c r="L21" s="155">
        <v>11.5</v>
      </c>
      <c r="M21" s="156">
        <v>1.695E-2</v>
      </c>
      <c r="N21" s="156">
        <v>1.695E-2</v>
      </c>
      <c r="O21" s="155">
        <v>0.28599999999999998</v>
      </c>
      <c r="P21" s="156">
        <v>1.346E-2</v>
      </c>
      <c r="Q21" s="155">
        <v>0</v>
      </c>
      <c r="R21" s="156">
        <v>0</v>
      </c>
      <c r="S21" s="632">
        <v>0</v>
      </c>
      <c r="T21" s="27">
        <v>0.10716000000000001</v>
      </c>
      <c r="U21" s="51"/>
      <c r="V21" s="51"/>
      <c r="W21" s="51"/>
      <c r="X21" s="51"/>
      <c r="Y21" s="51"/>
    </row>
    <row r="22" spans="1:25" x14ac:dyDescent="0.2">
      <c r="A22" s="51"/>
      <c r="B22" s="51"/>
      <c r="C22" s="744"/>
      <c r="D22" s="740" t="s">
        <v>302</v>
      </c>
      <c r="E22" s="33" t="s">
        <v>303</v>
      </c>
      <c r="F22" s="625" t="s">
        <v>297</v>
      </c>
      <c r="G22" s="625">
        <v>3</v>
      </c>
      <c r="H22" s="614">
        <v>1.329</v>
      </c>
      <c r="I22" s="624" t="s">
        <v>432</v>
      </c>
      <c r="J22" s="151">
        <v>0</v>
      </c>
      <c r="K22" s="208">
        <v>200.46299999999999</v>
      </c>
      <c r="L22" s="151">
        <v>17.189</v>
      </c>
      <c r="M22" s="152">
        <v>0.12225999999999999</v>
      </c>
      <c r="N22" s="152">
        <v>0.12225999999999999</v>
      </c>
      <c r="O22" s="151">
        <v>0.1</v>
      </c>
      <c r="P22" s="152">
        <v>9.3299999999999998E-3</v>
      </c>
      <c r="Q22" s="151">
        <v>0</v>
      </c>
      <c r="R22" s="152">
        <v>0</v>
      </c>
      <c r="S22" s="626">
        <v>0</v>
      </c>
      <c r="T22" s="627">
        <v>0</v>
      </c>
      <c r="U22" s="51"/>
      <c r="V22" s="51"/>
      <c r="W22" s="51"/>
      <c r="X22" s="51"/>
      <c r="Y22" s="51"/>
    </row>
    <row r="23" spans="1:25" x14ac:dyDescent="0.2">
      <c r="A23" s="51"/>
      <c r="B23" s="51"/>
      <c r="C23" s="744"/>
      <c r="D23" s="741"/>
      <c r="E23" s="34" t="s">
        <v>525</v>
      </c>
      <c r="F23" s="628" t="s">
        <v>297</v>
      </c>
      <c r="G23" s="628">
        <v>3</v>
      </c>
      <c r="H23" s="616">
        <v>1.329</v>
      </c>
      <c r="I23" s="601" t="s">
        <v>432</v>
      </c>
      <c r="J23" s="153">
        <v>0</v>
      </c>
      <c r="K23" s="209">
        <v>200.46299999999999</v>
      </c>
      <c r="L23" s="153">
        <v>17.189</v>
      </c>
      <c r="M23" s="154">
        <v>0.12225999999999999</v>
      </c>
      <c r="N23" s="154">
        <v>0.12225999999999999</v>
      </c>
      <c r="O23" s="153">
        <v>0.1</v>
      </c>
      <c r="P23" s="154">
        <v>9.3299999999999998E-3</v>
      </c>
      <c r="Q23" s="153">
        <v>0</v>
      </c>
      <c r="R23" s="154">
        <v>0</v>
      </c>
      <c r="S23" s="629">
        <v>3.9260000000000003E-2</v>
      </c>
      <c r="T23" s="630">
        <v>0</v>
      </c>
      <c r="U23" s="51"/>
      <c r="V23" s="51"/>
      <c r="W23" s="51"/>
      <c r="X23" s="51"/>
      <c r="Y23" s="51"/>
    </row>
    <row r="24" spans="1:25" x14ac:dyDescent="0.2">
      <c r="A24" s="51"/>
      <c r="B24" s="51"/>
      <c r="C24" s="744"/>
      <c r="D24" s="742"/>
      <c r="E24" s="603" t="s">
        <v>526</v>
      </c>
      <c r="F24" s="631" t="s">
        <v>297</v>
      </c>
      <c r="G24" s="631">
        <v>3</v>
      </c>
      <c r="H24" s="618">
        <v>1.329</v>
      </c>
      <c r="I24" s="602" t="s">
        <v>432</v>
      </c>
      <c r="J24" s="155">
        <v>0</v>
      </c>
      <c r="K24" s="210">
        <v>200.46299999999999</v>
      </c>
      <c r="L24" s="155">
        <v>17.189</v>
      </c>
      <c r="M24" s="156">
        <v>0.12225999999999999</v>
      </c>
      <c r="N24" s="156">
        <v>0.12225999999999999</v>
      </c>
      <c r="O24" s="155">
        <v>0.1</v>
      </c>
      <c r="P24" s="156">
        <v>9.3299999999999998E-3</v>
      </c>
      <c r="Q24" s="155">
        <v>0</v>
      </c>
      <c r="R24" s="156">
        <v>0</v>
      </c>
      <c r="S24" s="632">
        <v>0</v>
      </c>
      <c r="T24" s="27">
        <v>0.10716000000000001</v>
      </c>
      <c r="U24" s="51"/>
      <c r="V24" s="51"/>
      <c r="W24" s="51"/>
      <c r="X24" s="51"/>
      <c r="Y24" s="51"/>
    </row>
    <row r="25" spans="1:25" x14ac:dyDescent="0.2">
      <c r="A25" s="51"/>
      <c r="B25" s="51"/>
      <c r="C25" s="744"/>
      <c r="D25" s="740" t="s">
        <v>304</v>
      </c>
      <c r="E25" s="33" t="s">
        <v>305</v>
      </c>
      <c r="F25" s="625" t="s">
        <v>297</v>
      </c>
      <c r="G25" s="625">
        <v>3</v>
      </c>
      <c r="H25" s="614">
        <v>1.329</v>
      </c>
      <c r="I25" s="624" t="s">
        <v>432</v>
      </c>
      <c r="J25" s="151">
        <v>0</v>
      </c>
      <c r="K25" s="208">
        <v>200.46299999999999</v>
      </c>
      <c r="L25" s="151">
        <v>17.189</v>
      </c>
      <c r="M25" s="152">
        <v>0.12225999999999999</v>
      </c>
      <c r="N25" s="152">
        <v>0.12225999999999999</v>
      </c>
      <c r="O25" s="151">
        <v>0.17499999999999999</v>
      </c>
      <c r="P25" s="152">
        <v>1.1010000000000001E-2</v>
      </c>
      <c r="Q25" s="151">
        <v>0</v>
      </c>
      <c r="R25" s="152">
        <v>0</v>
      </c>
      <c r="S25" s="626">
        <v>0</v>
      </c>
      <c r="T25" s="627">
        <v>0</v>
      </c>
      <c r="U25" s="51"/>
      <c r="V25" s="51"/>
      <c r="W25" s="51"/>
      <c r="X25" s="51"/>
      <c r="Y25" s="51"/>
    </row>
    <row r="26" spans="1:25" x14ac:dyDescent="0.2">
      <c r="A26" s="51"/>
      <c r="B26" s="51"/>
      <c r="C26" s="744"/>
      <c r="D26" s="741"/>
      <c r="E26" s="34" t="s">
        <v>527</v>
      </c>
      <c r="F26" s="628" t="s">
        <v>297</v>
      </c>
      <c r="G26" s="628">
        <v>3</v>
      </c>
      <c r="H26" s="616">
        <v>1.329</v>
      </c>
      <c r="I26" s="601" t="s">
        <v>432</v>
      </c>
      <c r="J26" s="153">
        <v>0</v>
      </c>
      <c r="K26" s="209">
        <v>200.46299999999999</v>
      </c>
      <c r="L26" s="153">
        <v>17.189</v>
      </c>
      <c r="M26" s="154">
        <v>0.12225999999999999</v>
      </c>
      <c r="N26" s="154">
        <v>0.12225999999999999</v>
      </c>
      <c r="O26" s="153">
        <v>0.17499999999999999</v>
      </c>
      <c r="P26" s="154">
        <v>1.1010000000000001E-2</v>
      </c>
      <c r="Q26" s="153">
        <v>0</v>
      </c>
      <c r="R26" s="154">
        <v>0</v>
      </c>
      <c r="S26" s="629">
        <v>3.9260000000000003E-2</v>
      </c>
      <c r="T26" s="630">
        <v>0</v>
      </c>
      <c r="U26" s="51"/>
      <c r="V26" s="51"/>
      <c r="W26" s="51"/>
      <c r="X26" s="51"/>
      <c r="Y26" s="51"/>
    </row>
    <row r="27" spans="1:25" x14ac:dyDescent="0.2">
      <c r="A27" s="51"/>
      <c r="B27" s="51"/>
      <c r="C27" s="744"/>
      <c r="D27" s="742"/>
      <c r="E27" s="603" t="s">
        <v>528</v>
      </c>
      <c r="F27" s="631" t="s">
        <v>297</v>
      </c>
      <c r="G27" s="631">
        <v>3</v>
      </c>
      <c r="H27" s="618">
        <v>1.329</v>
      </c>
      <c r="I27" s="602" t="s">
        <v>432</v>
      </c>
      <c r="J27" s="155">
        <v>0</v>
      </c>
      <c r="K27" s="210">
        <v>200.46299999999999</v>
      </c>
      <c r="L27" s="155">
        <v>17.189</v>
      </c>
      <c r="M27" s="156">
        <v>0.12225999999999999</v>
      </c>
      <c r="N27" s="156">
        <v>0.12225999999999999</v>
      </c>
      <c r="O27" s="155">
        <v>0.17499999999999999</v>
      </c>
      <c r="P27" s="156">
        <v>1.1010000000000001E-2</v>
      </c>
      <c r="Q27" s="155">
        <v>0</v>
      </c>
      <c r="R27" s="156">
        <v>0</v>
      </c>
      <c r="S27" s="632">
        <v>0</v>
      </c>
      <c r="T27" s="27">
        <v>0.10716000000000001</v>
      </c>
      <c r="U27" s="51"/>
      <c r="V27" s="51"/>
      <c r="W27" s="51"/>
      <c r="X27" s="51"/>
      <c r="Y27" s="51"/>
    </row>
    <row r="28" spans="1:25" x14ac:dyDescent="0.2">
      <c r="A28" s="51"/>
      <c r="B28" s="51"/>
      <c r="C28" s="744"/>
      <c r="D28" s="740" t="s">
        <v>306</v>
      </c>
      <c r="E28" s="33" t="s">
        <v>307</v>
      </c>
      <c r="F28" s="625" t="s">
        <v>297</v>
      </c>
      <c r="G28" s="625">
        <v>3</v>
      </c>
      <c r="H28" s="614">
        <v>1.329</v>
      </c>
      <c r="I28" s="624" t="s">
        <v>432</v>
      </c>
      <c r="J28" s="151">
        <v>0</v>
      </c>
      <c r="K28" s="208">
        <v>200.46299999999999</v>
      </c>
      <c r="L28" s="151">
        <v>17.189</v>
      </c>
      <c r="M28" s="152">
        <v>0.12225999999999999</v>
      </c>
      <c r="N28" s="152">
        <v>0.12225999999999999</v>
      </c>
      <c r="O28" s="151">
        <v>0.28599999999999998</v>
      </c>
      <c r="P28" s="152">
        <v>1.346E-2</v>
      </c>
      <c r="Q28" s="151">
        <v>0</v>
      </c>
      <c r="R28" s="152">
        <v>0</v>
      </c>
      <c r="S28" s="626">
        <v>0</v>
      </c>
      <c r="T28" s="627">
        <v>0</v>
      </c>
      <c r="U28" s="51"/>
      <c r="V28" s="51"/>
      <c r="W28" s="51"/>
      <c r="X28" s="51"/>
      <c r="Y28" s="51"/>
    </row>
    <row r="29" spans="1:25" x14ac:dyDescent="0.2">
      <c r="A29" s="51"/>
      <c r="B29" s="51"/>
      <c r="C29" s="744"/>
      <c r="D29" s="741"/>
      <c r="E29" s="34" t="s">
        <v>529</v>
      </c>
      <c r="F29" s="628" t="s">
        <v>297</v>
      </c>
      <c r="G29" s="628">
        <v>3</v>
      </c>
      <c r="H29" s="616">
        <v>1.329</v>
      </c>
      <c r="I29" s="601" t="s">
        <v>432</v>
      </c>
      <c r="J29" s="153">
        <v>0</v>
      </c>
      <c r="K29" s="209">
        <v>200.46299999999999</v>
      </c>
      <c r="L29" s="153">
        <v>17.189</v>
      </c>
      <c r="M29" s="154">
        <v>0.12225999999999999</v>
      </c>
      <c r="N29" s="154">
        <v>0.12225999999999999</v>
      </c>
      <c r="O29" s="153">
        <v>0.28599999999999998</v>
      </c>
      <c r="P29" s="154">
        <v>1.346E-2</v>
      </c>
      <c r="Q29" s="153">
        <v>0</v>
      </c>
      <c r="R29" s="154">
        <v>0</v>
      </c>
      <c r="S29" s="629">
        <v>3.9260000000000003E-2</v>
      </c>
      <c r="T29" s="630">
        <v>0</v>
      </c>
      <c r="U29" s="51"/>
      <c r="V29" s="51"/>
      <c r="W29" s="51"/>
      <c r="X29" s="51"/>
      <c r="Y29" s="51"/>
    </row>
    <row r="30" spans="1:25" x14ac:dyDescent="0.2">
      <c r="A30" s="51"/>
      <c r="B30" s="51"/>
      <c r="C30" s="744"/>
      <c r="D30" s="742"/>
      <c r="E30" s="603" t="s">
        <v>530</v>
      </c>
      <c r="F30" s="631" t="s">
        <v>297</v>
      </c>
      <c r="G30" s="631">
        <v>3</v>
      </c>
      <c r="H30" s="618">
        <v>1.329</v>
      </c>
      <c r="I30" s="602" t="s">
        <v>432</v>
      </c>
      <c r="J30" s="155">
        <v>0</v>
      </c>
      <c r="K30" s="210">
        <v>200.46299999999999</v>
      </c>
      <c r="L30" s="155">
        <v>17.189</v>
      </c>
      <c r="M30" s="156">
        <v>0.12225999999999999</v>
      </c>
      <c r="N30" s="156">
        <v>0.12225999999999999</v>
      </c>
      <c r="O30" s="155">
        <v>0.28599999999999998</v>
      </c>
      <c r="P30" s="156">
        <v>1.346E-2</v>
      </c>
      <c r="Q30" s="155">
        <v>0</v>
      </c>
      <c r="R30" s="156">
        <v>0</v>
      </c>
      <c r="S30" s="632">
        <v>0</v>
      </c>
      <c r="T30" s="27">
        <v>0.10716000000000001</v>
      </c>
      <c r="U30" s="51"/>
      <c r="V30" s="51"/>
      <c r="W30" s="51"/>
      <c r="X30" s="51"/>
      <c r="Y30" s="51"/>
    </row>
    <row r="31" spans="1:25" x14ac:dyDescent="0.2">
      <c r="A31" s="51"/>
      <c r="B31" s="51"/>
      <c r="C31" s="744"/>
      <c r="D31" s="740" t="s">
        <v>308</v>
      </c>
      <c r="E31" s="33" t="s">
        <v>309</v>
      </c>
      <c r="F31" s="625" t="s">
        <v>297</v>
      </c>
      <c r="G31" s="625">
        <v>3</v>
      </c>
      <c r="H31" s="614">
        <v>1.0760000000000001</v>
      </c>
      <c r="I31" s="624" t="s">
        <v>433</v>
      </c>
      <c r="J31" s="151">
        <v>0</v>
      </c>
      <c r="K31" s="208">
        <v>80.049000000000007</v>
      </c>
      <c r="L31" s="151">
        <v>7.5</v>
      </c>
      <c r="M31" s="152">
        <v>9.4000000000000004E-3</v>
      </c>
      <c r="N31" s="152">
        <v>9.4000000000000004E-3</v>
      </c>
      <c r="O31" s="151">
        <v>0.14799999999999999</v>
      </c>
      <c r="P31" s="152">
        <v>7.3999999999999999E-4</v>
      </c>
      <c r="Q31" s="151">
        <v>0</v>
      </c>
      <c r="R31" s="152">
        <v>0</v>
      </c>
      <c r="S31" s="626">
        <v>0</v>
      </c>
      <c r="T31" s="627">
        <v>0</v>
      </c>
      <c r="U31" s="51"/>
      <c r="V31" s="51"/>
      <c r="W31" s="51"/>
      <c r="X31" s="51"/>
      <c r="Y31" s="51"/>
    </row>
    <row r="32" spans="1:25" x14ac:dyDescent="0.2">
      <c r="A32" s="51"/>
      <c r="B32" s="51"/>
      <c r="C32" s="744"/>
      <c r="D32" s="741"/>
      <c r="E32" s="34" t="s">
        <v>531</v>
      </c>
      <c r="F32" s="628" t="s">
        <v>297</v>
      </c>
      <c r="G32" s="628">
        <v>3</v>
      </c>
      <c r="H32" s="616">
        <v>1.0760000000000001</v>
      </c>
      <c r="I32" s="601" t="s">
        <v>433</v>
      </c>
      <c r="J32" s="153">
        <v>0</v>
      </c>
      <c r="K32" s="209">
        <v>80.049000000000007</v>
      </c>
      <c r="L32" s="153">
        <v>7.5</v>
      </c>
      <c r="M32" s="154">
        <v>9.4000000000000004E-3</v>
      </c>
      <c r="N32" s="154">
        <v>9.4000000000000004E-3</v>
      </c>
      <c r="O32" s="153">
        <v>0.14799999999999999</v>
      </c>
      <c r="P32" s="154">
        <v>7.3999999999999999E-4</v>
      </c>
      <c r="Q32" s="153">
        <v>0</v>
      </c>
      <c r="R32" s="154">
        <v>0</v>
      </c>
      <c r="S32" s="629">
        <v>3.9260000000000003E-2</v>
      </c>
      <c r="T32" s="630">
        <v>0</v>
      </c>
      <c r="U32" s="51"/>
      <c r="V32" s="51"/>
      <c r="W32" s="51"/>
      <c r="X32" s="51"/>
      <c r="Y32" s="51"/>
    </row>
    <row r="33" spans="1:25" x14ac:dyDescent="0.2">
      <c r="A33" s="51"/>
      <c r="B33" s="51"/>
      <c r="C33" s="745"/>
      <c r="D33" s="742"/>
      <c r="E33" s="603" t="s">
        <v>532</v>
      </c>
      <c r="F33" s="631" t="s">
        <v>297</v>
      </c>
      <c r="G33" s="631">
        <v>3</v>
      </c>
      <c r="H33" s="618">
        <v>1.0760000000000001</v>
      </c>
      <c r="I33" s="602" t="s">
        <v>433</v>
      </c>
      <c r="J33" s="155">
        <v>0</v>
      </c>
      <c r="K33" s="210">
        <v>80.049000000000007</v>
      </c>
      <c r="L33" s="155">
        <v>7.5</v>
      </c>
      <c r="M33" s="156">
        <v>9.4000000000000004E-3</v>
      </c>
      <c r="N33" s="156">
        <v>9.4000000000000004E-3</v>
      </c>
      <c r="O33" s="155">
        <v>0.14799999999999999</v>
      </c>
      <c r="P33" s="156">
        <v>7.3999999999999999E-4</v>
      </c>
      <c r="Q33" s="155">
        <v>0</v>
      </c>
      <c r="R33" s="156">
        <v>0</v>
      </c>
      <c r="S33" s="632">
        <v>0</v>
      </c>
      <c r="T33" s="27">
        <v>0.10716000000000001</v>
      </c>
      <c r="U33" s="51"/>
      <c r="V33" s="51"/>
      <c r="W33" s="51"/>
      <c r="X33" s="51"/>
      <c r="Y33" s="51"/>
    </row>
    <row r="34" spans="1:25" ht="12.75" customHeight="1" x14ac:dyDescent="0.2">
      <c r="A34" s="51"/>
      <c r="B34" s="51"/>
      <c r="C34" s="743" t="s">
        <v>310</v>
      </c>
      <c r="D34" s="740" t="s">
        <v>311</v>
      </c>
      <c r="E34" s="33" t="s">
        <v>312</v>
      </c>
      <c r="F34" s="625" t="s">
        <v>297</v>
      </c>
      <c r="G34" s="625">
        <v>3</v>
      </c>
      <c r="H34" s="614">
        <v>1.097</v>
      </c>
      <c r="I34" s="624" t="s">
        <v>431</v>
      </c>
      <c r="J34" s="151">
        <v>0</v>
      </c>
      <c r="K34" s="208">
        <v>99.515000000000001</v>
      </c>
      <c r="L34" s="151">
        <v>10</v>
      </c>
      <c r="M34" s="152">
        <v>2.351E-2</v>
      </c>
      <c r="N34" s="152">
        <v>2.351E-2</v>
      </c>
      <c r="O34" s="151">
        <v>0.1</v>
      </c>
      <c r="P34" s="152">
        <v>9.3299999999999998E-3</v>
      </c>
      <c r="Q34" s="151">
        <v>0</v>
      </c>
      <c r="R34" s="152">
        <v>0</v>
      </c>
      <c r="S34" s="626">
        <v>0</v>
      </c>
      <c r="T34" s="627">
        <v>0</v>
      </c>
      <c r="U34" s="51"/>
      <c r="V34" s="51"/>
      <c r="W34" s="51"/>
      <c r="X34" s="51"/>
      <c r="Y34" s="51"/>
    </row>
    <row r="35" spans="1:25" x14ac:dyDescent="0.2">
      <c r="A35" s="51"/>
      <c r="B35" s="51"/>
      <c r="C35" s="744"/>
      <c r="D35" s="741"/>
      <c r="E35" s="34" t="s">
        <v>533</v>
      </c>
      <c r="F35" s="628" t="s">
        <v>297</v>
      </c>
      <c r="G35" s="628">
        <v>3</v>
      </c>
      <c r="H35" s="616">
        <v>1.097</v>
      </c>
      <c r="I35" s="601" t="s">
        <v>431</v>
      </c>
      <c r="J35" s="153">
        <v>0</v>
      </c>
      <c r="K35" s="209">
        <v>99.515000000000001</v>
      </c>
      <c r="L35" s="153">
        <v>10</v>
      </c>
      <c r="M35" s="154">
        <v>2.351E-2</v>
      </c>
      <c r="N35" s="154">
        <v>2.351E-2</v>
      </c>
      <c r="O35" s="153">
        <v>0.1</v>
      </c>
      <c r="P35" s="154">
        <v>9.3299999999999998E-3</v>
      </c>
      <c r="Q35" s="153">
        <v>0</v>
      </c>
      <c r="R35" s="154">
        <v>0</v>
      </c>
      <c r="S35" s="629">
        <v>3.9260000000000003E-2</v>
      </c>
      <c r="T35" s="630">
        <v>0</v>
      </c>
      <c r="U35" s="51"/>
      <c r="V35" s="51"/>
      <c r="W35" s="51"/>
      <c r="X35" s="51"/>
      <c r="Y35" s="51"/>
    </row>
    <row r="36" spans="1:25" x14ac:dyDescent="0.2">
      <c r="A36" s="51"/>
      <c r="B36" s="51"/>
      <c r="C36" s="744"/>
      <c r="D36" s="742"/>
      <c r="E36" s="603" t="s">
        <v>534</v>
      </c>
      <c r="F36" s="631" t="s">
        <v>297</v>
      </c>
      <c r="G36" s="631">
        <v>3</v>
      </c>
      <c r="H36" s="618">
        <v>1.097</v>
      </c>
      <c r="I36" s="602" t="s">
        <v>431</v>
      </c>
      <c r="J36" s="155">
        <v>0</v>
      </c>
      <c r="K36" s="210">
        <v>99.515000000000001</v>
      </c>
      <c r="L36" s="155">
        <v>10</v>
      </c>
      <c r="M36" s="156">
        <v>2.351E-2</v>
      </c>
      <c r="N36" s="156">
        <v>2.351E-2</v>
      </c>
      <c r="O36" s="155">
        <v>0.1</v>
      </c>
      <c r="P36" s="156">
        <v>9.3299999999999998E-3</v>
      </c>
      <c r="Q36" s="155">
        <v>0</v>
      </c>
      <c r="R36" s="156">
        <v>0</v>
      </c>
      <c r="S36" s="632">
        <v>0</v>
      </c>
      <c r="T36" s="27">
        <v>0.10716000000000001</v>
      </c>
      <c r="U36" s="51"/>
      <c r="V36" s="51"/>
      <c r="W36" s="51"/>
      <c r="X36" s="51"/>
      <c r="Y36" s="51"/>
    </row>
    <row r="37" spans="1:25" x14ac:dyDescent="0.2">
      <c r="A37" s="51"/>
      <c r="B37" s="51"/>
      <c r="C37" s="744"/>
      <c r="D37" s="740" t="s">
        <v>313</v>
      </c>
      <c r="E37" s="33" t="s">
        <v>314</v>
      </c>
      <c r="F37" s="625" t="s">
        <v>297</v>
      </c>
      <c r="G37" s="625">
        <v>3</v>
      </c>
      <c r="H37" s="614">
        <v>1.097</v>
      </c>
      <c r="I37" s="624" t="s">
        <v>431</v>
      </c>
      <c r="J37" s="151">
        <v>0</v>
      </c>
      <c r="K37" s="208">
        <v>99.515000000000001</v>
      </c>
      <c r="L37" s="151">
        <v>10</v>
      </c>
      <c r="M37" s="152">
        <v>2.351E-2</v>
      </c>
      <c r="N37" s="152">
        <v>2.351E-2</v>
      </c>
      <c r="O37" s="151">
        <v>0.17499999999999999</v>
      </c>
      <c r="P37" s="152">
        <v>1.1010000000000001E-2</v>
      </c>
      <c r="Q37" s="151">
        <v>0</v>
      </c>
      <c r="R37" s="152">
        <v>0</v>
      </c>
      <c r="S37" s="626">
        <v>0</v>
      </c>
      <c r="T37" s="627">
        <v>0</v>
      </c>
      <c r="U37" s="51"/>
      <c r="V37" s="51"/>
      <c r="W37" s="51"/>
      <c r="X37" s="51"/>
      <c r="Y37" s="51"/>
    </row>
    <row r="38" spans="1:25" x14ac:dyDescent="0.2">
      <c r="A38" s="51"/>
      <c r="B38" s="51"/>
      <c r="C38" s="744"/>
      <c r="D38" s="741"/>
      <c r="E38" s="34" t="s">
        <v>535</v>
      </c>
      <c r="F38" s="628" t="s">
        <v>297</v>
      </c>
      <c r="G38" s="628">
        <v>3</v>
      </c>
      <c r="H38" s="616">
        <v>1.097</v>
      </c>
      <c r="I38" s="601" t="s">
        <v>431</v>
      </c>
      <c r="J38" s="153">
        <v>0</v>
      </c>
      <c r="K38" s="209">
        <v>99.515000000000001</v>
      </c>
      <c r="L38" s="153">
        <v>10</v>
      </c>
      <c r="M38" s="154">
        <v>2.351E-2</v>
      </c>
      <c r="N38" s="154">
        <v>2.351E-2</v>
      </c>
      <c r="O38" s="153">
        <v>0.17499999999999999</v>
      </c>
      <c r="P38" s="154">
        <v>1.1010000000000001E-2</v>
      </c>
      <c r="Q38" s="153">
        <v>0</v>
      </c>
      <c r="R38" s="154">
        <v>0</v>
      </c>
      <c r="S38" s="629">
        <v>3.9260000000000003E-2</v>
      </c>
      <c r="T38" s="630">
        <v>0</v>
      </c>
      <c r="U38" s="51"/>
      <c r="V38" s="51"/>
      <c r="W38" s="51"/>
      <c r="X38" s="51"/>
      <c r="Y38" s="51"/>
    </row>
    <row r="39" spans="1:25" x14ac:dyDescent="0.2">
      <c r="A39" s="51"/>
      <c r="B39" s="51"/>
      <c r="C39" s="744"/>
      <c r="D39" s="742"/>
      <c r="E39" s="603" t="s">
        <v>536</v>
      </c>
      <c r="F39" s="631" t="s">
        <v>297</v>
      </c>
      <c r="G39" s="631">
        <v>3</v>
      </c>
      <c r="H39" s="618">
        <v>1.097</v>
      </c>
      <c r="I39" s="602" t="s">
        <v>431</v>
      </c>
      <c r="J39" s="155">
        <v>0</v>
      </c>
      <c r="K39" s="210">
        <v>99.515000000000001</v>
      </c>
      <c r="L39" s="155">
        <v>10</v>
      </c>
      <c r="M39" s="156">
        <v>2.351E-2</v>
      </c>
      <c r="N39" s="156">
        <v>2.351E-2</v>
      </c>
      <c r="O39" s="155">
        <v>0.17499999999999999</v>
      </c>
      <c r="P39" s="156">
        <v>1.1010000000000001E-2</v>
      </c>
      <c r="Q39" s="155">
        <v>0</v>
      </c>
      <c r="R39" s="156">
        <v>0</v>
      </c>
      <c r="S39" s="632">
        <v>0</v>
      </c>
      <c r="T39" s="27">
        <v>0.10716000000000001</v>
      </c>
      <c r="U39" s="51"/>
      <c r="V39" s="51"/>
      <c r="W39" s="51"/>
      <c r="X39" s="51"/>
      <c r="Y39" s="51"/>
    </row>
    <row r="40" spans="1:25" x14ac:dyDescent="0.2">
      <c r="A40" s="51"/>
      <c r="B40" s="51"/>
      <c r="C40" s="744"/>
      <c r="D40" s="740" t="s">
        <v>315</v>
      </c>
      <c r="E40" s="33" t="s">
        <v>316</v>
      </c>
      <c r="F40" s="625" t="s">
        <v>297</v>
      </c>
      <c r="G40" s="625">
        <v>3</v>
      </c>
      <c r="H40" s="614">
        <v>1.097</v>
      </c>
      <c r="I40" s="624" t="s">
        <v>431</v>
      </c>
      <c r="J40" s="151">
        <v>0</v>
      </c>
      <c r="K40" s="208">
        <v>99.515000000000001</v>
      </c>
      <c r="L40" s="151">
        <v>10</v>
      </c>
      <c r="M40" s="152">
        <v>2.351E-2</v>
      </c>
      <c r="N40" s="152">
        <v>2.351E-2</v>
      </c>
      <c r="O40" s="151">
        <v>0.28599999999999998</v>
      </c>
      <c r="P40" s="152">
        <v>1.346E-2</v>
      </c>
      <c r="Q40" s="151">
        <v>0</v>
      </c>
      <c r="R40" s="152">
        <v>0</v>
      </c>
      <c r="S40" s="626">
        <v>0</v>
      </c>
      <c r="T40" s="627">
        <v>0</v>
      </c>
      <c r="U40" s="51"/>
      <c r="V40" s="51"/>
      <c r="W40" s="51"/>
      <c r="X40" s="51"/>
      <c r="Y40" s="51"/>
    </row>
    <row r="41" spans="1:25" x14ac:dyDescent="0.2">
      <c r="A41" s="51"/>
      <c r="B41" s="51"/>
      <c r="C41" s="744"/>
      <c r="D41" s="741"/>
      <c r="E41" s="34" t="s">
        <v>537</v>
      </c>
      <c r="F41" s="628" t="s">
        <v>297</v>
      </c>
      <c r="G41" s="628">
        <v>3</v>
      </c>
      <c r="H41" s="616">
        <v>1.097</v>
      </c>
      <c r="I41" s="601" t="s">
        <v>431</v>
      </c>
      <c r="J41" s="153">
        <v>0</v>
      </c>
      <c r="K41" s="209">
        <v>99.515000000000001</v>
      </c>
      <c r="L41" s="153">
        <v>10</v>
      </c>
      <c r="M41" s="154">
        <v>2.351E-2</v>
      </c>
      <c r="N41" s="154">
        <v>2.351E-2</v>
      </c>
      <c r="O41" s="153">
        <v>0.28599999999999998</v>
      </c>
      <c r="P41" s="154">
        <v>1.346E-2</v>
      </c>
      <c r="Q41" s="153">
        <v>0</v>
      </c>
      <c r="R41" s="154">
        <v>0</v>
      </c>
      <c r="S41" s="629">
        <v>3.9260000000000003E-2</v>
      </c>
      <c r="T41" s="630">
        <v>0</v>
      </c>
      <c r="U41" s="51"/>
      <c r="V41" s="51"/>
      <c r="W41" s="51"/>
      <c r="X41" s="51"/>
      <c r="Y41" s="51"/>
    </row>
    <row r="42" spans="1:25" x14ac:dyDescent="0.2">
      <c r="A42" s="51"/>
      <c r="B42" s="51"/>
      <c r="C42" s="744"/>
      <c r="D42" s="742"/>
      <c r="E42" s="603" t="s">
        <v>538</v>
      </c>
      <c r="F42" s="631" t="s">
        <v>297</v>
      </c>
      <c r="G42" s="631">
        <v>3</v>
      </c>
      <c r="H42" s="618">
        <v>1.097</v>
      </c>
      <c r="I42" s="602" t="s">
        <v>431</v>
      </c>
      <c r="J42" s="155">
        <v>0</v>
      </c>
      <c r="K42" s="210">
        <v>99.515000000000001</v>
      </c>
      <c r="L42" s="155">
        <v>10</v>
      </c>
      <c r="M42" s="156">
        <v>2.351E-2</v>
      </c>
      <c r="N42" s="156">
        <v>2.351E-2</v>
      </c>
      <c r="O42" s="155">
        <v>0.28599999999999998</v>
      </c>
      <c r="P42" s="156">
        <v>1.346E-2</v>
      </c>
      <c r="Q42" s="155">
        <v>0</v>
      </c>
      <c r="R42" s="156">
        <v>0</v>
      </c>
      <c r="S42" s="632">
        <v>0</v>
      </c>
      <c r="T42" s="27">
        <v>0.10716000000000001</v>
      </c>
      <c r="U42" s="51"/>
      <c r="V42" s="51"/>
      <c r="W42" s="51"/>
      <c r="X42" s="51"/>
      <c r="Y42" s="51"/>
    </row>
    <row r="43" spans="1:25" x14ac:dyDescent="0.2">
      <c r="A43" s="51"/>
      <c r="B43" s="51"/>
      <c r="C43" s="744"/>
      <c r="D43" s="740" t="s">
        <v>317</v>
      </c>
      <c r="E43" s="33" t="s">
        <v>318</v>
      </c>
      <c r="F43" s="625" t="s">
        <v>297</v>
      </c>
      <c r="G43" s="625">
        <v>3</v>
      </c>
      <c r="H43" s="614">
        <v>1.329</v>
      </c>
      <c r="I43" s="624" t="s">
        <v>432</v>
      </c>
      <c r="J43" s="151">
        <v>0</v>
      </c>
      <c r="K43" s="208">
        <v>249.119</v>
      </c>
      <c r="L43" s="151">
        <v>18</v>
      </c>
      <c r="M43" s="152">
        <v>0.14107</v>
      </c>
      <c r="N43" s="152">
        <v>0.14107</v>
      </c>
      <c r="O43" s="151">
        <v>0.1</v>
      </c>
      <c r="P43" s="152">
        <v>9.3299999999999998E-3</v>
      </c>
      <c r="Q43" s="151">
        <v>0</v>
      </c>
      <c r="R43" s="152">
        <v>0</v>
      </c>
      <c r="S43" s="626">
        <v>0</v>
      </c>
      <c r="T43" s="627">
        <v>0</v>
      </c>
      <c r="U43" s="51"/>
      <c r="V43" s="51"/>
      <c r="W43" s="51"/>
      <c r="X43" s="51"/>
      <c r="Y43" s="51"/>
    </row>
    <row r="44" spans="1:25" x14ac:dyDescent="0.2">
      <c r="A44" s="51"/>
      <c r="B44" s="51"/>
      <c r="C44" s="744"/>
      <c r="D44" s="741"/>
      <c r="E44" s="34" t="s">
        <v>539</v>
      </c>
      <c r="F44" s="628" t="s">
        <v>297</v>
      </c>
      <c r="G44" s="628">
        <v>3</v>
      </c>
      <c r="H44" s="616">
        <v>1.329</v>
      </c>
      <c r="I44" s="601" t="s">
        <v>432</v>
      </c>
      <c r="J44" s="153">
        <v>0</v>
      </c>
      <c r="K44" s="209">
        <v>249.119</v>
      </c>
      <c r="L44" s="153">
        <v>18</v>
      </c>
      <c r="M44" s="154">
        <v>0.14107</v>
      </c>
      <c r="N44" s="154">
        <v>0.14107</v>
      </c>
      <c r="O44" s="153">
        <v>0.1</v>
      </c>
      <c r="P44" s="154">
        <v>9.3299999999999998E-3</v>
      </c>
      <c r="Q44" s="153">
        <v>0</v>
      </c>
      <c r="R44" s="154">
        <v>0</v>
      </c>
      <c r="S44" s="629">
        <v>3.9260000000000003E-2</v>
      </c>
      <c r="T44" s="630">
        <v>0</v>
      </c>
      <c r="U44" s="51"/>
      <c r="V44" s="51"/>
      <c r="W44" s="51"/>
      <c r="X44" s="51"/>
      <c r="Y44" s="51"/>
    </row>
    <row r="45" spans="1:25" x14ac:dyDescent="0.2">
      <c r="A45" s="51"/>
      <c r="B45" s="51"/>
      <c r="C45" s="744"/>
      <c r="D45" s="742"/>
      <c r="E45" s="603" t="s">
        <v>540</v>
      </c>
      <c r="F45" s="631" t="s">
        <v>297</v>
      </c>
      <c r="G45" s="631">
        <v>3</v>
      </c>
      <c r="H45" s="618">
        <v>1.329</v>
      </c>
      <c r="I45" s="602" t="s">
        <v>432</v>
      </c>
      <c r="J45" s="155">
        <v>0</v>
      </c>
      <c r="K45" s="210">
        <v>249.119</v>
      </c>
      <c r="L45" s="155">
        <v>18</v>
      </c>
      <c r="M45" s="156">
        <v>0.14107</v>
      </c>
      <c r="N45" s="156">
        <v>0.14107</v>
      </c>
      <c r="O45" s="155">
        <v>0.1</v>
      </c>
      <c r="P45" s="156">
        <v>9.3299999999999998E-3</v>
      </c>
      <c r="Q45" s="155">
        <v>0</v>
      </c>
      <c r="R45" s="156">
        <v>0</v>
      </c>
      <c r="S45" s="632">
        <v>0</v>
      </c>
      <c r="T45" s="27">
        <v>0.10716000000000001</v>
      </c>
      <c r="U45" s="51"/>
      <c r="V45" s="51"/>
      <c r="W45" s="51"/>
      <c r="X45" s="51"/>
      <c r="Y45" s="51"/>
    </row>
    <row r="46" spans="1:25" x14ac:dyDescent="0.2">
      <c r="A46" s="51"/>
      <c r="B46" s="51"/>
      <c r="C46" s="744"/>
      <c r="D46" s="740" t="s">
        <v>319</v>
      </c>
      <c r="E46" s="33" t="s">
        <v>320</v>
      </c>
      <c r="F46" s="625" t="s">
        <v>297</v>
      </c>
      <c r="G46" s="625">
        <v>3</v>
      </c>
      <c r="H46" s="614">
        <v>1.329</v>
      </c>
      <c r="I46" s="624" t="s">
        <v>432</v>
      </c>
      <c r="J46" s="151">
        <v>0</v>
      </c>
      <c r="K46" s="208">
        <v>249.119</v>
      </c>
      <c r="L46" s="151">
        <v>18</v>
      </c>
      <c r="M46" s="152">
        <v>0.14107</v>
      </c>
      <c r="N46" s="152">
        <v>0.14107</v>
      </c>
      <c r="O46" s="151">
        <v>0.17499999999999999</v>
      </c>
      <c r="P46" s="152">
        <v>1.1010000000000001E-2</v>
      </c>
      <c r="Q46" s="151">
        <v>0</v>
      </c>
      <c r="R46" s="152">
        <v>0</v>
      </c>
      <c r="S46" s="626">
        <v>0</v>
      </c>
      <c r="T46" s="627">
        <v>0</v>
      </c>
      <c r="U46" s="51"/>
      <c r="V46" s="51"/>
      <c r="W46" s="51"/>
      <c r="X46" s="51"/>
      <c r="Y46" s="51"/>
    </row>
    <row r="47" spans="1:25" x14ac:dyDescent="0.2">
      <c r="A47" s="51"/>
      <c r="B47" s="51"/>
      <c r="C47" s="744"/>
      <c r="D47" s="741"/>
      <c r="E47" s="34" t="s">
        <v>541</v>
      </c>
      <c r="F47" s="628" t="s">
        <v>297</v>
      </c>
      <c r="G47" s="628">
        <v>3</v>
      </c>
      <c r="H47" s="616">
        <v>1.329</v>
      </c>
      <c r="I47" s="601" t="s">
        <v>432</v>
      </c>
      <c r="J47" s="153">
        <v>0</v>
      </c>
      <c r="K47" s="209">
        <v>249.119</v>
      </c>
      <c r="L47" s="153">
        <v>18</v>
      </c>
      <c r="M47" s="154">
        <v>0.14107</v>
      </c>
      <c r="N47" s="154">
        <v>0.14107</v>
      </c>
      <c r="O47" s="153">
        <v>0.17499999999999999</v>
      </c>
      <c r="P47" s="154">
        <v>1.1010000000000001E-2</v>
      </c>
      <c r="Q47" s="153">
        <v>0</v>
      </c>
      <c r="R47" s="154">
        <v>0</v>
      </c>
      <c r="S47" s="629">
        <v>3.9260000000000003E-2</v>
      </c>
      <c r="T47" s="630">
        <v>0</v>
      </c>
      <c r="U47" s="51"/>
      <c r="V47" s="51"/>
      <c r="W47" s="51"/>
      <c r="X47" s="51"/>
      <c r="Y47" s="51"/>
    </row>
    <row r="48" spans="1:25" x14ac:dyDescent="0.2">
      <c r="A48" s="51"/>
      <c r="B48" s="51"/>
      <c r="C48" s="744"/>
      <c r="D48" s="742"/>
      <c r="E48" s="603" t="s">
        <v>542</v>
      </c>
      <c r="F48" s="631" t="s">
        <v>297</v>
      </c>
      <c r="G48" s="631">
        <v>3</v>
      </c>
      <c r="H48" s="618">
        <v>1.329</v>
      </c>
      <c r="I48" s="602" t="s">
        <v>432</v>
      </c>
      <c r="J48" s="155">
        <v>0</v>
      </c>
      <c r="K48" s="210">
        <v>249.119</v>
      </c>
      <c r="L48" s="155">
        <v>18</v>
      </c>
      <c r="M48" s="156">
        <v>0.14107</v>
      </c>
      <c r="N48" s="156">
        <v>0.14107</v>
      </c>
      <c r="O48" s="155">
        <v>0.17499999999999999</v>
      </c>
      <c r="P48" s="156">
        <v>1.1010000000000001E-2</v>
      </c>
      <c r="Q48" s="155">
        <v>0</v>
      </c>
      <c r="R48" s="156">
        <v>0</v>
      </c>
      <c r="S48" s="632">
        <v>0</v>
      </c>
      <c r="T48" s="27">
        <v>0.10716000000000001</v>
      </c>
      <c r="U48" s="51"/>
      <c r="V48" s="51"/>
      <c r="W48" s="51"/>
      <c r="X48" s="51"/>
      <c r="Y48" s="51"/>
    </row>
    <row r="49" spans="1:25" x14ac:dyDescent="0.2">
      <c r="A49" s="51"/>
      <c r="B49" s="51"/>
      <c r="C49" s="744"/>
      <c r="D49" s="740" t="s">
        <v>321</v>
      </c>
      <c r="E49" s="33" t="s">
        <v>322</v>
      </c>
      <c r="F49" s="625" t="s">
        <v>297</v>
      </c>
      <c r="G49" s="625">
        <v>3</v>
      </c>
      <c r="H49" s="614">
        <v>1.329</v>
      </c>
      <c r="I49" s="624" t="s">
        <v>432</v>
      </c>
      <c r="J49" s="151">
        <v>0</v>
      </c>
      <c r="K49" s="208">
        <v>249.119</v>
      </c>
      <c r="L49" s="151">
        <v>18</v>
      </c>
      <c r="M49" s="152">
        <v>0.14107</v>
      </c>
      <c r="N49" s="152">
        <v>0.14107</v>
      </c>
      <c r="O49" s="151">
        <v>0.28599999999999998</v>
      </c>
      <c r="P49" s="152">
        <v>1.346E-2</v>
      </c>
      <c r="Q49" s="151">
        <v>0</v>
      </c>
      <c r="R49" s="152">
        <v>0</v>
      </c>
      <c r="S49" s="626">
        <v>0</v>
      </c>
      <c r="T49" s="627">
        <v>0</v>
      </c>
      <c r="U49" s="51"/>
      <c r="V49" s="51"/>
      <c r="W49" s="51"/>
      <c r="X49" s="51"/>
      <c r="Y49" s="51"/>
    </row>
    <row r="50" spans="1:25" x14ac:dyDescent="0.2">
      <c r="A50" s="51"/>
      <c r="B50" s="51"/>
      <c r="C50" s="744"/>
      <c r="D50" s="741"/>
      <c r="E50" s="34" t="s">
        <v>543</v>
      </c>
      <c r="F50" s="628" t="s">
        <v>297</v>
      </c>
      <c r="G50" s="628">
        <v>3</v>
      </c>
      <c r="H50" s="616">
        <v>1.329</v>
      </c>
      <c r="I50" s="601" t="s">
        <v>432</v>
      </c>
      <c r="J50" s="153">
        <v>0</v>
      </c>
      <c r="K50" s="209">
        <v>249.119</v>
      </c>
      <c r="L50" s="153">
        <v>18</v>
      </c>
      <c r="M50" s="154">
        <v>0.14107</v>
      </c>
      <c r="N50" s="154">
        <v>0.14107</v>
      </c>
      <c r="O50" s="153">
        <v>0.28599999999999998</v>
      </c>
      <c r="P50" s="154">
        <v>1.346E-2</v>
      </c>
      <c r="Q50" s="153">
        <v>0</v>
      </c>
      <c r="R50" s="154">
        <v>0</v>
      </c>
      <c r="S50" s="629">
        <v>3.9260000000000003E-2</v>
      </c>
      <c r="T50" s="630">
        <v>0</v>
      </c>
      <c r="U50" s="51"/>
      <c r="V50" s="51"/>
      <c r="W50" s="51"/>
      <c r="X50" s="51"/>
      <c r="Y50" s="51"/>
    </row>
    <row r="51" spans="1:25" x14ac:dyDescent="0.2">
      <c r="A51" s="51"/>
      <c r="B51" s="51"/>
      <c r="C51" s="744"/>
      <c r="D51" s="742"/>
      <c r="E51" s="603" t="s">
        <v>544</v>
      </c>
      <c r="F51" s="631" t="s">
        <v>297</v>
      </c>
      <c r="G51" s="631">
        <v>3</v>
      </c>
      <c r="H51" s="618">
        <v>1.329</v>
      </c>
      <c r="I51" s="602" t="s">
        <v>432</v>
      </c>
      <c r="J51" s="155">
        <v>0</v>
      </c>
      <c r="K51" s="210">
        <v>249.119</v>
      </c>
      <c r="L51" s="155">
        <v>18</v>
      </c>
      <c r="M51" s="156">
        <v>0.14107</v>
      </c>
      <c r="N51" s="156">
        <v>0.14107</v>
      </c>
      <c r="O51" s="155">
        <v>0.28599999999999998</v>
      </c>
      <c r="P51" s="156">
        <v>1.346E-2</v>
      </c>
      <c r="Q51" s="155">
        <v>0</v>
      </c>
      <c r="R51" s="156">
        <v>0</v>
      </c>
      <c r="S51" s="632">
        <v>0</v>
      </c>
      <c r="T51" s="27">
        <v>0.10716000000000001</v>
      </c>
      <c r="U51" s="51"/>
      <c r="V51" s="51"/>
      <c r="W51" s="51"/>
      <c r="X51" s="51"/>
      <c r="Y51" s="51"/>
    </row>
    <row r="52" spans="1:25" x14ac:dyDescent="0.2">
      <c r="A52" s="51"/>
      <c r="B52" s="51"/>
      <c r="C52" s="744"/>
      <c r="D52" s="740" t="s">
        <v>323</v>
      </c>
      <c r="E52" s="33" t="s">
        <v>324</v>
      </c>
      <c r="F52" s="625" t="s">
        <v>297</v>
      </c>
      <c r="G52" s="625">
        <v>3</v>
      </c>
      <c r="H52" s="614">
        <v>1.0760000000000001</v>
      </c>
      <c r="I52" s="624" t="s">
        <v>433</v>
      </c>
      <c r="J52" s="151">
        <v>0</v>
      </c>
      <c r="K52" s="208">
        <v>99.478999999999999</v>
      </c>
      <c r="L52" s="151">
        <v>4</v>
      </c>
      <c r="M52" s="152">
        <v>9.4000000000000004E-3</v>
      </c>
      <c r="N52" s="152">
        <v>9.4000000000000004E-3</v>
      </c>
      <c r="O52" s="151">
        <v>0.14799999999999999</v>
      </c>
      <c r="P52" s="152">
        <v>7.3999999999999999E-4</v>
      </c>
      <c r="Q52" s="151">
        <v>0</v>
      </c>
      <c r="R52" s="152">
        <v>0</v>
      </c>
      <c r="S52" s="626">
        <v>0</v>
      </c>
      <c r="T52" s="627">
        <v>0</v>
      </c>
      <c r="U52" s="51"/>
      <c r="V52" s="51"/>
      <c r="W52" s="51"/>
      <c r="X52" s="51"/>
      <c r="Y52" s="51"/>
    </row>
    <row r="53" spans="1:25" x14ac:dyDescent="0.2">
      <c r="A53" s="51"/>
      <c r="B53" s="51"/>
      <c r="C53" s="744"/>
      <c r="D53" s="741"/>
      <c r="E53" s="34" t="s">
        <v>545</v>
      </c>
      <c r="F53" s="628" t="s">
        <v>297</v>
      </c>
      <c r="G53" s="628">
        <v>3</v>
      </c>
      <c r="H53" s="616">
        <v>1.0760000000000001</v>
      </c>
      <c r="I53" s="601" t="s">
        <v>433</v>
      </c>
      <c r="J53" s="153">
        <v>0</v>
      </c>
      <c r="K53" s="209">
        <v>99.478999999999999</v>
      </c>
      <c r="L53" s="153">
        <v>4</v>
      </c>
      <c r="M53" s="154">
        <v>9.4000000000000004E-3</v>
      </c>
      <c r="N53" s="154">
        <v>9.4000000000000004E-3</v>
      </c>
      <c r="O53" s="153">
        <v>0.14799999999999999</v>
      </c>
      <c r="P53" s="154">
        <v>7.3999999999999999E-4</v>
      </c>
      <c r="Q53" s="153">
        <v>0</v>
      </c>
      <c r="R53" s="154">
        <v>0</v>
      </c>
      <c r="S53" s="629">
        <v>3.9260000000000003E-2</v>
      </c>
      <c r="T53" s="630">
        <v>0</v>
      </c>
      <c r="U53" s="51"/>
      <c r="V53" s="51"/>
      <c r="W53" s="51"/>
      <c r="X53" s="51"/>
      <c r="Y53" s="51"/>
    </row>
    <row r="54" spans="1:25" x14ac:dyDescent="0.2">
      <c r="A54" s="51"/>
      <c r="B54" s="51"/>
      <c r="C54" s="745"/>
      <c r="D54" s="742"/>
      <c r="E54" s="603" t="s">
        <v>546</v>
      </c>
      <c r="F54" s="631" t="s">
        <v>297</v>
      </c>
      <c r="G54" s="631">
        <v>3</v>
      </c>
      <c r="H54" s="618">
        <v>1.0760000000000001</v>
      </c>
      <c r="I54" s="602" t="s">
        <v>433</v>
      </c>
      <c r="J54" s="155">
        <v>0</v>
      </c>
      <c r="K54" s="210">
        <v>99.478999999999999</v>
      </c>
      <c r="L54" s="155">
        <v>4</v>
      </c>
      <c r="M54" s="156">
        <v>9.4000000000000004E-3</v>
      </c>
      <c r="N54" s="156">
        <v>9.4000000000000004E-3</v>
      </c>
      <c r="O54" s="155">
        <v>0.14799999999999999</v>
      </c>
      <c r="P54" s="156">
        <v>7.3999999999999999E-4</v>
      </c>
      <c r="Q54" s="155">
        <v>0</v>
      </c>
      <c r="R54" s="156">
        <v>0</v>
      </c>
      <c r="S54" s="632">
        <v>0</v>
      </c>
      <c r="T54" s="27">
        <v>0.10716000000000001</v>
      </c>
      <c r="U54" s="51"/>
      <c r="V54" s="51"/>
      <c r="W54" s="51"/>
      <c r="X54" s="51"/>
      <c r="Y54" s="51"/>
    </row>
    <row r="55" spans="1:25" x14ac:dyDescent="0.2">
      <c r="A55" s="51"/>
      <c r="B55" s="51"/>
      <c r="C55" s="51"/>
      <c r="D55" s="51"/>
      <c r="E55" s="51"/>
      <c r="F55" s="51"/>
      <c r="G55" s="51"/>
      <c r="H55" s="51"/>
      <c r="I55" s="51"/>
      <c r="J55" s="51"/>
      <c r="K55" s="51"/>
      <c r="L55" s="51"/>
      <c r="M55" s="51"/>
      <c r="N55" s="51"/>
      <c r="O55" s="51"/>
      <c r="P55" s="51"/>
      <c r="Q55" s="51"/>
      <c r="R55" s="3"/>
      <c r="S55" s="51"/>
      <c r="T55" s="51"/>
      <c r="U55" s="51"/>
      <c r="V55" s="51"/>
      <c r="W55" s="51"/>
      <c r="X55" s="51"/>
      <c r="Y55" s="51"/>
    </row>
    <row r="56" spans="1:25" s="657" customFormat="1" x14ac:dyDescent="0.2">
      <c r="A56" s="57"/>
      <c r="B56" s="57"/>
      <c r="C56" s="8" t="s">
        <v>96</v>
      </c>
      <c r="D56" s="567"/>
      <c r="E56" s="57"/>
      <c r="F56" s="57"/>
      <c r="G56" s="57"/>
      <c r="H56" s="57"/>
      <c r="I56" s="57"/>
      <c r="J56" s="57"/>
      <c r="K56" s="57"/>
      <c r="L56" s="57"/>
      <c r="M56" s="57"/>
      <c r="N56" s="57"/>
      <c r="O56" s="57"/>
      <c r="P56" s="57"/>
      <c r="Q56" s="57"/>
      <c r="R56" s="6"/>
      <c r="S56" s="57"/>
      <c r="T56" s="57"/>
      <c r="U56" s="57"/>
      <c r="V56" s="57"/>
      <c r="W56" s="57"/>
      <c r="X56" s="57"/>
      <c r="Y56" s="57"/>
    </row>
    <row r="57" spans="1:25" s="657" customFormat="1" x14ac:dyDescent="0.2">
      <c r="A57" s="57"/>
      <c r="B57" s="57"/>
      <c r="C57" s="30" t="s">
        <v>97</v>
      </c>
      <c r="D57" s="6"/>
      <c r="E57" s="57"/>
      <c r="F57" s="57"/>
      <c r="G57" s="57"/>
      <c r="H57" s="57"/>
      <c r="I57" s="57"/>
      <c r="J57" s="57"/>
      <c r="K57" s="57"/>
      <c r="L57" s="57"/>
      <c r="M57" s="57"/>
      <c r="N57" s="57"/>
      <c r="O57" s="57"/>
      <c r="P57" s="57"/>
      <c r="Q57" s="57"/>
      <c r="R57" s="6"/>
      <c r="S57" s="57"/>
      <c r="T57" s="57"/>
      <c r="U57" s="57"/>
      <c r="V57" s="57"/>
      <c r="W57" s="57"/>
      <c r="X57" s="57"/>
      <c r="Y57" s="57"/>
    </row>
    <row r="58" spans="1:25" s="657" customFormat="1" x14ac:dyDescent="0.2">
      <c r="A58" s="57"/>
      <c r="B58" s="57"/>
      <c r="C58" s="6"/>
      <c r="D58" s="6"/>
      <c r="E58" s="57"/>
      <c r="F58" s="57"/>
      <c r="G58" s="57"/>
      <c r="H58" s="57"/>
      <c r="I58" s="57"/>
      <c r="J58" s="57"/>
      <c r="K58" s="57"/>
      <c r="L58" s="57"/>
      <c r="M58" s="57"/>
      <c r="N58" s="57"/>
      <c r="O58" s="57"/>
      <c r="P58" s="57"/>
      <c r="Q58" s="57"/>
      <c r="R58" s="6"/>
      <c r="S58" s="57"/>
      <c r="T58" s="57"/>
      <c r="U58" s="57"/>
      <c r="V58" s="57"/>
      <c r="W58" s="57"/>
      <c r="X58" s="57"/>
      <c r="Y58" s="57"/>
    </row>
    <row r="59" spans="1:25" ht="15" customHeight="1" x14ac:dyDescent="0.2">
      <c r="A59" s="1"/>
      <c r="B59" s="1"/>
      <c r="C59" s="749" t="s">
        <v>1637</v>
      </c>
      <c r="D59" s="750"/>
      <c r="E59" s="750"/>
      <c r="F59" s="750"/>
      <c r="G59" s="750"/>
      <c r="H59" s="750"/>
      <c r="I59" s="750"/>
      <c r="J59" s="750"/>
      <c r="K59" s="750"/>
      <c r="L59" s="750"/>
      <c r="M59" s="750"/>
      <c r="N59" s="750"/>
      <c r="O59" s="750"/>
      <c r="P59" s="750"/>
      <c r="Q59" s="751"/>
      <c r="R59" s="51"/>
      <c r="S59" s="51"/>
      <c r="T59" s="51"/>
      <c r="U59" s="51"/>
      <c r="V59" s="51"/>
      <c r="W59" s="51"/>
      <c r="X59" s="51"/>
      <c r="Y59" s="51"/>
    </row>
    <row r="60" spans="1:25" ht="41.25" customHeight="1" x14ac:dyDescent="0.2">
      <c r="A60" s="1"/>
      <c r="B60" s="1"/>
      <c r="C60" s="746" t="s">
        <v>220</v>
      </c>
      <c r="D60" s="747"/>
      <c r="E60" s="747"/>
      <c r="F60" s="747"/>
      <c r="G60" s="747"/>
      <c r="H60" s="747"/>
      <c r="I60" s="747"/>
      <c r="J60" s="747"/>
      <c r="K60" s="747"/>
      <c r="L60" s="747"/>
      <c r="M60" s="747"/>
      <c r="N60" s="747"/>
      <c r="O60" s="747"/>
      <c r="P60" s="747"/>
      <c r="Q60" s="748"/>
      <c r="R60" s="51"/>
      <c r="S60" s="51"/>
      <c r="T60" s="51"/>
      <c r="U60" s="51"/>
      <c r="V60" s="51"/>
      <c r="W60" s="51"/>
      <c r="X60" s="51"/>
      <c r="Y60" s="51"/>
    </row>
    <row r="61" spans="1:25" ht="30" customHeight="1" x14ac:dyDescent="0.2">
      <c r="A61" s="1"/>
      <c r="B61" s="1"/>
      <c r="C61" s="778" t="s">
        <v>24</v>
      </c>
      <c r="D61" s="769" t="s">
        <v>25</v>
      </c>
      <c r="E61" s="778" t="s">
        <v>2</v>
      </c>
      <c r="F61" s="778" t="s">
        <v>26</v>
      </c>
      <c r="G61" s="779"/>
      <c r="H61" s="780" t="s">
        <v>27</v>
      </c>
      <c r="I61" s="792"/>
      <c r="J61" s="792"/>
      <c r="K61" s="781"/>
      <c r="L61" s="793" t="s">
        <v>28</v>
      </c>
      <c r="M61" s="760"/>
      <c r="N61" s="783" t="s">
        <v>29</v>
      </c>
      <c r="O61" s="784"/>
      <c r="P61" s="725" t="s">
        <v>444</v>
      </c>
      <c r="Q61" s="726"/>
      <c r="R61" s="51"/>
      <c r="S61" s="51"/>
      <c r="T61" s="51"/>
      <c r="U61" s="51"/>
      <c r="V61" s="51"/>
      <c r="W61" s="51"/>
      <c r="X61" s="51"/>
      <c r="Y61" s="51"/>
    </row>
    <row r="62" spans="1:25" ht="39.950000000000003" customHeight="1" x14ac:dyDescent="0.2">
      <c r="A62" s="1"/>
      <c r="B62" s="1"/>
      <c r="C62" s="778"/>
      <c r="D62" s="770"/>
      <c r="E62" s="778"/>
      <c r="F62" s="778"/>
      <c r="G62" s="779"/>
      <c r="H62" s="785" t="s">
        <v>3</v>
      </c>
      <c r="I62" s="789" t="s">
        <v>195</v>
      </c>
      <c r="J62" s="789"/>
      <c r="K62" s="737"/>
      <c r="L62" s="760" t="s">
        <v>8</v>
      </c>
      <c r="M62" s="761" t="s">
        <v>10</v>
      </c>
      <c r="N62" s="767" t="s">
        <v>32</v>
      </c>
      <c r="O62" s="767" t="s">
        <v>33</v>
      </c>
      <c r="P62" s="727" t="s">
        <v>445</v>
      </c>
      <c r="Q62" s="727" t="s">
        <v>446</v>
      </c>
      <c r="R62" s="51"/>
      <c r="S62" s="51"/>
      <c r="T62" s="51"/>
      <c r="U62" s="51"/>
      <c r="V62" s="51"/>
      <c r="W62" s="51"/>
      <c r="X62" s="51"/>
      <c r="Y62" s="51"/>
    </row>
    <row r="63" spans="1:25" ht="39.950000000000003" customHeight="1" x14ac:dyDescent="0.2">
      <c r="A63" s="1"/>
      <c r="B63" s="1"/>
      <c r="C63" s="778"/>
      <c r="D63" s="770"/>
      <c r="E63" s="778"/>
      <c r="F63" s="778"/>
      <c r="G63" s="779"/>
      <c r="H63" s="785"/>
      <c r="I63" s="457" t="s">
        <v>221</v>
      </c>
      <c r="J63" s="463" t="s">
        <v>222</v>
      </c>
      <c r="K63" s="50" t="s">
        <v>223</v>
      </c>
      <c r="L63" s="760"/>
      <c r="M63" s="761"/>
      <c r="N63" s="768"/>
      <c r="O63" s="768"/>
      <c r="P63" s="728"/>
      <c r="Q63" s="728"/>
      <c r="R63" s="51"/>
      <c r="S63" s="51"/>
      <c r="T63" s="51"/>
      <c r="U63" s="51"/>
      <c r="V63" s="51"/>
      <c r="W63" s="51"/>
      <c r="X63" s="51"/>
      <c r="Y63" s="51"/>
    </row>
    <row r="64" spans="1:25" ht="33" customHeight="1" x14ac:dyDescent="0.2">
      <c r="A64" s="1"/>
      <c r="B64" s="1"/>
      <c r="C64" s="778"/>
      <c r="D64" s="771"/>
      <c r="E64" s="778"/>
      <c r="F64" s="461" t="s">
        <v>11</v>
      </c>
      <c r="G64" s="462" t="s">
        <v>12</v>
      </c>
      <c r="H64" s="13" t="s">
        <v>13</v>
      </c>
      <c r="I64" s="14" t="s">
        <v>16</v>
      </c>
      <c r="J64" s="14" t="s">
        <v>16</v>
      </c>
      <c r="K64" s="14" t="s">
        <v>16</v>
      </c>
      <c r="L64" s="459" t="s">
        <v>13</v>
      </c>
      <c r="M64" s="61" t="s">
        <v>16</v>
      </c>
      <c r="N64" s="62" t="s">
        <v>13</v>
      </c>
      <c r="O64" s="18" t="s">
        <v>16</v>
      </c>
      <c r="P64" s="105" t="s">
        <v>13</v>
      </c>
      <c r="Q64" s="105" t="s">
        <v>13</v>
      </c>
      <c r="R64" s="51"/>
      <c r="S64" s="51"/>
      <c r="T64" s="51"/>
      <c r="U64" s="51"/>
      <c r="V64" s="51"/>
      <c r="W64" s="51"/>
      <c r="X64" s="51"/>
      <c r="Y64" s="51"/>
    </row>
    <row r="65" spans="1:25" ht="14.25" customHeight="1" x14ac:dyDescent="0.2">
      <c r="A65" s="63"/>
      <c r="B65" s="63"/>
      <c r="C65" s="743" t="s">
        <v>224</v>
      </c>
      <c r="D65" s="740" t="s">
        <v>225</v>
      </c>
      <c r="E65" s="33" t="s">
        <v>226</v>
      </c>
      <c r="F65" s="614">
        <v>1.097</v>
      </c>
      <c r="G65" s="615" t="s">
        <v>431</v>
      </c>
      <c r="H65" s="151">
        <v>1.25</v>
      </c>
      <c r="I65" s="152">
        <v>2.1940000000000001E-2</v>
      </c>
      <c r="J65" s="152">
        <v>5.2940000000000001E-2</v>
      </c>
      <c r="K65" s="152">
        <v>9.0690000000000007E-2</v>
      </c>
      <c r="L65" s="151">
        <v>0.1</v>
      </c>
      <c r="M65" s="152">
        <v>9.3299999999999998E-3</v>
      </c>
      <c r="N65" s="151">
        <v>0</v>
      </c>
      <c r="O65" s="152">
        <v>0</v>
      </c>
      <c r="P65" s="152">
        <v>3.9260000000000003E-2</v>
      </c>
      <c r="Q65" s="152">
        <v>0.10716000000000001</v>
      </c>
      <c r="R65" s="51"/>
      <c r="S65" s="51"/>
      <c r="T65" s="51"/>
      <c r="U65" s="51"/>
      <c r="V65" s="51"/>
      <c r="W65" s="51"/>
      <c r="X65" s="51"/>
      <c r="Y65" s="51"/>
    </row>
    <row r="66" spans="1:25" ht="14.25" customHeight="1" x14ac:dyDescent="0.2">
      <c r="A66" s="63"/>
      <c r="B66" s="63"/>
      <c r="C66" s="744"/>
      <c r="D66" s="741"/>
      <c r="E66" s="34" t="s">
        <v>547</v>
      </c>
      <c r="F66" s="616">
        <v>1.097</v>
      </c>
      <c r="G66" s="617" t="s">
        <v>431</v>
      </c>
      <c r="H66" s="153">
        <v>1.25</v>
      </c>
      <c r="I66" s="154">
        <v>2.1940000000000001E-2</v>
      </c>
      <c r="J66" s="154">
        <v>5.2940000000000001E-2</v>
      </c>
      <c r="K66" s="154">
        <v>9.0690000000000007E-2</v>
      </c>
      <c r="L66" s="153">
        <v>0.1</v>
      </c>
      <c r="M66" s="154">
        <v>9.3299999999999998E-3</v>
      </c>
      <c r="N66" s="153">
        <v>0</v>
      </c>
      <c r="O66" s="154">
        <v>0</v>
      </c>
      <c r="P66" s="154">
        <v>0</v>
      </c>
      <c r="Q66" s="154">
        <v>0</v>
      </c>
      <c r="R66" s="51"/>
      <c r="S66" s="51"/>
      <c r="T66" s="51"/>
      <c r="U66" s="51"/>
      <c r="V66" s="51"/>
      <c r="W66" s="51"/>
      <c r="X66" s="51"/>
      <c r="Y66" s="51"/>
    </row>
    <row r="67" spans="1:25" ht="14.25" customHeight="1" x14ac:dyDescent="0.2">
      <c r="A67" s="63"/>
      <c r="B67" s="63"/>
      <c r="C67" s="744"/>
      <c r="D67" s="741"/>
      <c r="E67" s="34" t="s">
        <v>548</v>
      </c>
      <c r="F67" s="616">
        <v>1.097</v>
      </c>
      <c r="G67" s="617" t="s">
        <v>431</v>
      </c>
      <c r="H67" s="153">
        <v>1.25</v>
      </c>
      <c r="I67" s="154">
        <v>2.1940000000000001E-2</v>
      </c>
      <c r="J67" s="154">
        <v>5.2940000000000001E-2</v>
      </c>
      <c r="K67" s="154">
        <v>9.0690000000000007E-2</v>
      </c>
      <c r="L67" s="153">
        <v>0.1</v>
      </c>
      <c r="M67" s="154">
        <v>9.3299999999999998E-3</v>
      </c>
      <c r="N67" s="153">
        <v>0</v>
      </c>
      <c r="O67" s="154">
        <v>0</v>
      </c>
      <c r="P67" s="154">
        <v>3.9260000000000003E-2</v>
      </c>
      <c r="Q67" s="154">
        <v>0</v>
      </c>
      <c r="R67" s="51"/>
      <c r="S67" s="51"/>
      <c r="T67" s="51"/>
      <c r="U67" s="51"/>
      <c r="V67" s="51"/>
      <c r="W67" s="51"/>
      <c r="X67" s="51"/>
      <c r="Y67" s="51"/>
    </row>
    <row r="68" spans="1:25" ht="14.25" customHeight="1" x14ac:dyDescent="0.2">
      <c r="A68" s="63"/>
      <c r="B68" s="63"/>
      <c r="C68" s="744"/>
      <c r="D68" s="742"/>
      <c r="E68" s="603" t="s">
        <v>549</v>
      </c>
      <c r="F68" s="618">
        <v>1.097</v>
      </c>
      <c r="G68" s="619" t="s">
        <v>431</v>
      </c>
      <c r="H68" s="155">
        <v>1.25</v>
      </c>
      <c r="I68" s="156">
        <v>2.1940000000000001E-2</v>
      </c>
      <c r="J68" s="156">
        <v>5.2940000000000001E-2</v>
      </c>
      <c r="K68" s="156">
        <v>9.0690000000000007E-2</v>
      </c>
      <c r="L68" s="155">
        <v>0.1</v>
      </c>
      <c r="M68" s="156">
        <v>9.3299999999999998E-3</v>
      </c>
      <c r="N68" s="155">
        <v>0</v>
      </c>
      <c r="O68" s="156">
        <v>0</v>
      </c>
      <c r="P68" s="156">
        <v>0</v>
      </c>
      <c r="Q68" s="156">
        <v>0.10716000000000001</v>
      </c>
      <c r="R68" s="51"/>
      <c r="S68" s="51"/>
      <c r="T68" s="51"/>
      <c r="U68" s="51"/>
      <c r="V68" s="51"/>
      <c r="W68" s="51"/>
      <c r="X68" s="51"/>
      <c r="Y68" s="51"/>
    </row>
    <row r="69" spans="1:25" ht="14.25" customHeight="1" x14ac:dyDescent="0.2">
      <c r="A69" s="63"/>
      <c r="B69" s="63"/>
      <c r="C69" s="744"/>
      <c r="D69" s="740" t="s">
        <v>227</v>
      </c>
      <c r="E69" s="33" t="s">
        <v>228</v>
      </c>
      <c r="F69" s="614">
        <v>1.097</v>
      </c>
      <c r="G69" s="615" t="s">
        <v>431</v>
      </c>
      <c r="H69" s="151">
        <v>1.25</v>
      </c>
      <c r="I69" s="152">
        <v>2.1940000000000001E-2</v>
      </c>
      <c r="J69" s="152">
        <v>5.2940000000000001E-2</v>
      </c>
      <c r="K69" s="152">
        <v>9.0690000000000007E-2</v>
      </c>
      <c r="L69" s="151">
        <v>0.17499999999999999</v>
      </c>
      <c r="M69" s="152">
        <v>1.1010000000000001E-2</v>
      </c>
      <c r="N69" s="151">
        <v>0</v>
      </c>
      <c r="O69" s="152">
        <v>0</v>
      </c>
      <c r="P69" s="152">
        <v>3.9260000000000003E-2</v>
      </c>
      <c r="Q69" s="152">
        <v>0.10716000000000001</v>
      </c>
      <c r="R69" s="51"/>
      <c r="S69" s="51"/>
      <c r="T69" s="51"/>
      <c r="U69" s="51"/>
      <c r="V69" s="51"/>
      <c r="W69" s="51"/>
      <c r="X69" s="51"/>
      <c r="Y69" s="51"/>
    </row>
    <row r="70" spans="1:25" ht="14.25" customHeight="1" x14ac:dyDescent="0.2">
      <c r="A70" s="63"/>
      <c r="B70" s="63"/>
      <c r="C70" s="744"/>
      <c r="D70" s="741"/>
      <c r="E70" s="34" t="s">
        <v>550</v>
      </c>
      <c r="F70" s="616">
        <v>1.097</v>
      </c>
      <c r="G70" s="617" t="s">
        <v>431</v>
      </c>
      <c r="H70" s="153">
        <v>1.25</v>
      </c>
      <c r="I70" s="154">
        <v>2.1940000000000001E-2</v>
      </c>
      <c r="J70" s="154">
        <v>5.2940000000000001E-2</v>
      </c>
      <c r="K70" s="154">
        <v>9.0690000000000007E-2</v>
      </c>
      <c r="L70" s="153">
        <v>0.17499999999999999</v>
      </c>
      <c r="M70" s="154">
        <v>1.1010000000000001E-2</v>
      </c>
      <c r="N70" s="153">
        <v>0</v>
      </c>
      <c r="O70" s="154">
        <v>0</v>
      </c>
      <c r="P70" s="154">
        <v>0</v>
      </c>
      <c r="Q70" s="154">
        <v>0</v>
      </c>
      <c r="R70" s="51"/>
      <c r="S70" s="51"/>
      <c r="T70" s="51"/>
      <c r="U70" s="51"/>
      <c r="V70" s="51"/>
      <c r="W70" s="51"/>
      <c r="X70" s="51"/>
      <c r="Y70" s="51"/>
    </row>
    <row r="71" spans="1:25" ht="14.25" customHeight="1" x14ac:dyDescent="0.2">
      <c r="A71" s="63"/>
      <c r="B71" s="63"/>
      <c r="C71" s="744"/>
      <c r="D71" s="741"/>
      <c r="E71" s="34" t="s">
        <v>551</v>
      </c>
      <c r="F71" s="616">
        <v>1.097</v>
      </c>
      <c r="G71" s="617" t="s">
        <v>431</v>
      </c>
      <c r="H71" s="153">
        <v>1.25</v>
      </c>
      <c r="I71" s="154">
        <v>2.1940000000000001E-2</v>
      </c>
      <c r="J71" s="154">
        <v>5.2940000000000001E-2</v>
      </c>
      <c r="K71" s="154">
        <v>9.0690000000000007E-2</v>
      </c>
      <c r="L71" s="153">
        <v>0.17499999999999999</v>
      </c>
      <c r="M71" s="154">
        <v>1.1010000000000001E-2</v>
      </c>
      <c r="N71" s="153">
        <v>0</v>
      </c>
      <c r="O71" s="154">
        <v>0</v>
      </c>
      <c r="P71" s="154">
        <v>3.9260000000000003E-2</v>
      </c>
      <c r="Q71" s="154">
        <v>0</v>
      </c>
      <c r="R71" s="51"/>
      <c r="S71" s="51"/>
      <c r="T71" s="51"/>
      <c r="U71" s="51"/>
      <c r="V71" s="51"/>
      <c r="W71" s="51"/>
      <c r="X71" s="51"/>
      <c r="Y71" s="51"/>
    </row>
    <row r="72" spans="1:25" ht="14.25" customHeight="1" x14ac:dyDescent="0.2">
      <c r="A72" s="63"/>
      <c r="B72" s="63"/>
      <c r="C72" s="744"/>
      <c r="D72" s="742"/>
      <c r="E72" s="603" t="s">
        <v>552</v>
      </c>
      <c r="F72" s="618">
        <v>1.097</v>
      </c>
      <c r="G72" s="619" t="s">
        <v>431</v>
      </c>
      <c r="H72" s="155">
        <v>1.25</v>
      </c>
      <c r="I72" s="156">
        <v>2.1940000000000001E-2</v>
      </c>
      <c r="J72" s="156">
        <v>5.2940000000000001E-2</v>
      </c>
      <c r="K72" s="156">
        <v>9.0690000000000007E-2</v>
      </c>
      <c r="L72" s="155">
        <v>0.17499999999999999</v>
      </c>
      <c r="M72" s="156">
        <v>1.1010000000000001E-2</v>
      </c>
      <c r="N72" s="155">
        <v>0</v>
      </c>
      <c r="O72" s="156">
        <v>0</v>
      </c>
      <c r="P72" s="156">
        <v>0</v>
      </c>
      <c r="Q72" s="156">
        <v>0.10716000000000001</v>
      </c>
      <c r="R72" s="51"/>
      <c r="S72" s="51"/>
      <c r="T72" s="51"/>
      <c r="U72" s="51"/>
      <c r="V72" s="51"/>
      <c r="W72" s="51"/>
      <c r="X72" s="51"/>
      <c r="Y72" s="51"/>
    </row>
    <row r="73" spans="1:25" ht="14.25" customHeight="1" x14ac:dyDescent="0.2">
      <c r="A73" s="63"/>
      <c r="B73" s="63"/>
      <c r="C73" s="744"/>
      <c r="D73" s="740" t="s">
        <v>229</v>
      </c>
      <c r="E73" s="33" t="s">
        <v>230</v>
      </c>
      <c r="F73" s="614">
        <v>1.097</v>
      </c>
      <c r="G73" s="615" t="s">
        <v>431</v>
      </c>
      <c r="H73" s="151">
        <v>1.25</v>
      </c>
      <c r="I73" s="152">
        <v>2.1940000000000001E-2</v>
      </c>
      <c r="J73" s="152">
        <v>5.2940000000000001E-2</v>
      </c>
      <c r="K73" s="152">
        <v>9.0690000000000007E-2</v>
      </c>
      <c r="L73" s="151">
        <v>0.28599999999999998</v>
      </c>
      <c r="M73" s="152">
        <v>1.346E-2</v>
      </c>
      <c r="N73" s="151">
        <v>0</v>
      </c>
      <c r="O73" s="152">
        <v>0</v>
      </c>
      <c r="P73" s="152">
        <v>3.9260000000000003E-2</v>
      </c>
      <c r="Q73" s="152">
        <v>0.10716000000000001</v>
      </c>
      <c r="R73" s="51"/>
      <c r="S73" s="51"/>
      <c r="T73" s="51"/>
      <c r="U73" s="51"/>
      <c r="V73" s="51"/>
      <c r="W73" s="51"/>
      <c r="X73" s="51"/>
      <c r="Y73" s="51"/>
    </row>
    <row r="74" spans="1:25" ht="14.25" customHeight="1" x14ac:dyDescent="0.2">
      <c r="A74" s="63"/>
      <c r="B74" s="63"/>
      <c r="C74" s="744"/>
      <c r="D74" s="741"/>
      <c r="E74" s="34" t="s">
        <v>553</v>
      </c>
      <c r="F74" s="616">
        <v>1.097</v>
      </c>
      <c r="G74" s="617" t="s">
        <v>431</v>
      </c>
      <c r="H74" s="153">
        <v>1.25</v>
      </c>
      <c r="I74" s="154">
        <v>2.1940000000000001E-2</v>
      </c>
      <c r="J74" s="154">
        <v>5.2940000000000001E-2</v>
      </c>
      <c r="K74" s="154">
        <v>9.0690000000000007E-2</v>
      </c>
      <c r="L74" s="153">
        <v>0.28599999999999998</v>
      </c>
      <c r="M74" s="154">
        <v>1.346E-2</v>
      </c>
      <c r="N74" s="153">
        <v>0</v>
      </c>
      <c r="O74" s="154">
        <v>0</v>
      </c>
      <c r="P74" s="154">
        <v>0</v>
      </c>
      <c r="Q74" s="154">
        <v>0</v>
      </c>
      <c r="R74" s="51"/>
      <c r="S74" s="51"/>
      <c r="T74" s="51"/>
      <c r="U74" s="51"/>
      <c r="V74" s="51"/>
      <c r="W74" s="51"/>
      <c r="X74" s="51"/>
      <c r="Y74" s="51"/>
    </row>
    <row r="75" spans="1:25" ht="14.25" customHeight="1" x14ac:dyDescent="0.2">
      <c r="A75" s="63"/>
      <c r="B75" s="63"/>
      <c r="C75" s="744"/>
      <c r="D75" s="741"/>
      <c r="E75" s="34" t="s">
        <v>554</v>
      </c>
      <c r="F75" s="616">
        <v>1.097</v>
      </c>
      <c r="G75" s="617" t="s">
        <v>431</v>
      </c>
      <c r="H75" s="153">
        <v>1.25</v>
      </c>
      <c r="I75" s="154">
        <v>2.1940000000000001E-2</v>
      </c>
      <c r="J75" s="154">
        <v>5.2940000000000001E-2</v>
      </c>
      <c r="K75" s="154">
        <v>9.0690000000000007E-2</v>
      </c>
      <c r="L75" s="153">
        <v>0.28599999999999998</v>
      </c>
      <c r="M75" s="154">
        <v>1.346E-2</v>
      </c>
      <c r="N75" s="153">
        <v>0</v>
      </c>
      <c r="O75" s="154">
        <v>0</v>
      </c>
      <c r="P75" s="154">
        <v>3.9260000000000003E-2</v>
      </c>
      <c r="Q75" s="154">
        <v>0</v>
      </c>
      <c r="R75" s="51"/>
      <c r="S75" s="51"/>
      <c r="T75" s="51"/>
      <c r="U75" s="51"/>
      <c r="V75" s="51"/>
      <c r="W75" s="51"/>
      <c r="X75" s="51"/>
      <c r="Y75" s="51"/>
    </row>
    <row r="76" spans="1:25" ht="14.25" customHeight="1" x14ac:dyDescent="0.2">
      <c r="A76" s="63"/>
      <c r="B76" s="63"/>
      <c r="C76" s="744"/>
      <c r="D76" s="742"/>
      <c r="E76" s="603" t="s">
        <v>555</v>
      </c>
      <c r="F76" s="618">
        <v>1.097</v>
      </c>
      <c r="G76" s="619" t="s">
        <v>431</v>
      </c>
      <c r="H76" s="155">
        <v>1.25</v>
      </c>
      <c r="I76" s="156">
        <v>2.1940000000000001E-2</v>
      </c>
      <c r="J76" s="156">
        <v>5.2940000000000001E-2</v>
      </c>
      <c r="K76" s="156">
        <v>9.0690000000000007E-2</v>
      </c>
      <c r="L76" s="155">
        <v>0.28599999999999998</v>
      </c>
      <c r="M76" s="156">
        <v>1.346E-2</v>
      </c>
      <c r="N76" s="155">
        <v>0</v>
      </c>
      <c r="O76" s="156">
        <v>0</v>
      </c>
      <c r="P76" s="156">
        <v>0</v>
      </c>
      <c r="Q76" s="156">
        <v>0.10716000000000001</v>
      </c>
      <c r="R76" s="51"/>
      <c r="S76" s="51"/>
      <c r="T76" s="51"/>
      <c r="U76" s="51"/>
      <c r="V76" s="51"/>
      <c r="W76" s="51"/>
      <c r="X76" s="51"/>
      <c r="Y76" s="51"/>
    </row>
    <row r="77" spans="1:25" ht="14.25" customHeight="1" x14ac:dyDescent="0.2">
      <c r="A77" s="63"/>
      <c r="B77" s="63"/>
      <c r="C77" s="744"/>
      <c r="D77" s="740" t="s">
        <v>231</v>
      </c>
      <c r="E77" s="33" t="s">
        <v>232</v>
      </c>
      <c r="F77" s="614">
        <v>1.329</v>
      </c>
      <c r="G77" s="615" t="s">
        <v>432</v>
      </c>
      <c r="H77" s="151">
        <v>2</v>
      </c>
      <c r="I77" s="152">
        <v>7.2429999999999994E-2</v>
      </c>
      <c r="J77" s="152">
        <v>0.30242999999999998</v>
      </c>
      <c r="K77" s="152">
        <v>0.35548999999999997</v>
      </c>
      <c r="L77" s="151">
        <v>0.1</v>
      </c>
      <c r="M77" s="152">
        <v>9.3299999999999998E-3</v>
      </c>
      <c r="N77" s="151">
        <v>0</v>
      </c>
      <c r="O77" s="152">
        <v>0</v>
      </c>
      <c r="P77" s="152">
        <v>3.9260000000000003E-2</v>
      </c>
      <c r="Q77" s="152">
        <v>0.10716000000000001</v>
      </c>
      <c r="R77" s="51"/>
      <c r="S77" s="51"/>
      <c r="T77" s="51"/>
      <c r="U77" s="51"/>
      <c r="V77" s="51"/>
      <c r="W77" s="51"/>
      <c r="X77" s="51"/>
      <c r="Y77" s="51"/>
    </row>
    <row r="78" spans="1:25" ht="14.25" customHeight="1" x14ac:dyDescent="0.2">
      <c r="A78" s="63"/>
      <c r="B78" s="63"/>
      <c r="C78" s="744"/>
      <c r="D78" s="741"/>
      <c r="E78" s="34" t="s">
        <v>556</v>
      </c>
      <c r="F78" s="616">
        <v>1.329</v>
      </c>
      <c r="G78" s="617" t="s">
        <v>432</v>
      </c>
      <c r="H78" s="153">
        <v>2</v>
      </c>
      <c r="I78" s="154">
        <v>7.2429999999999994E-2</v>
      </c>
      <c r="J78" s="154">
        <v>0.30242999999999998</v>
      </c>
      <c r="K78" s="154">
        <v>0.35548999999999997</v>
      </c>
      <c r="L78" s="153">
        <v>0.1</v>
      </c>
      <c r="M78" s="154">
        <v>9.3299999999999998E-3</v>
      </c>
      <c r="N78" s="153">
        <v>0</v>
      </c>
      <c r="O78" s="154">
        <v>0</v>
      </c>
      <c r="P78" s="154">
        <v>0</v>
      </c>
      <c r="Q78" s="154">
        <v>0</v>
      </c>
      <c r="R78" s="51"/>
      <c r="S78" s="51"/>
      <c r="T78" s="51"/>
      <c r="U78" s="51"/>
      <c r="V78" s="51"/>
      <c r="W78" s="51"/>
      <c r="X78" s="51"/>
      <c r="Y78" s="51"/>
    </row>
    <row r="79" spans="1:25" ht="14.25" customHeight="1" x14ac:dyDescent="0.2">
      <c r="A79" s="63"/>
      <c r="B79" s="63"/>
      <c r="C79" s="744"/>
      <c r="D79" s="741"/>
      <c r="E79" s="34" t="s">
        <v>557</v>
      </c>
      <c r="F79" s="616">
        <v>1.329</v>
      </c>
      <c r="G79" s="617" t="s">
        <v>432</v>
      </c>
      <c r="H79" s="153">
        <v>2</v>
      </c>
      <c r="I79" s="154">
        <v>7.2429999999999994E-2</v>
      </c>
      <c r="J79" s="154">
        <v>0.30242999999999998</v>
      </c>
      <c r="K79" s="154">
        <v>0.35548999999999997</v>
      </c>
      <c r="L79" s="153">
        <v>0.1</v>
      </c>
      <c r="M79" s="154">
        <v>9.3299999999999998E-3</v>
      </c>
      <c r="N79" s="153">
        <v>0</v>
      </c>
      <c r="O79" s="154">
        <v>0</v>
      </c>
      <c r="P79" s="154">
        <v>3.9260000000000003E-2</v>
      </c>
      <c r="Q79" s="154">
        <v>0</v>
      </c>
      <c r="R79" s="51"/>
      <c r="S79" s="51"/>
      <c r="T79" s="51"/>
      <c r="U79" s="51"/>
      <c r="V79" s="51"/>
      <c r="W79" s="51"/>
      <c r="X79" s="51"/>
      <c r="Y79" s="51"/>
    </row>
    <row r="80" spans="1:25" ht="14.25" customHeight="1" x14ac:dyDescent="0.2">
      <c r="A80" s="63"/>
      <c r="B80" s="63"/>
      <c r="C80" s="744"/>
      <c r="D80" s="742"/>
      <c r="E80" s="603" t="s">
        <v>558</v>
      </c>
      <c r="F80" s="618">
        <v>1.329</v>
      </c>
      <c r="G80" s="619" t="s">
        <v>432</v>
      </c>
      <c r="H80" s="155">
        <v>2</v>
      </c>
      <c r="I80" s="156">
        <v>7.2429999999999994E-2</v>
      </c>
      <c r="J80" s="156">
        <v>0.30242999999999998</v>
      </c>
      <c r="K80" s="156">
        <v>0.35548999999999997</v>
      </c>
      <c r="L80" s="155">
        <v>0.1</v>
      </c>
      <c r="M80" s="156">
        <v>9.3299999999999998E-3</v>
      </c>
      <c r="N80" s="155">
        <v>0</v>
      </c>
      <c r="O80" s="156">
        <v>0</v>
      </c>
      <c r="P80" s="156">
        <v>0</v>
      </c>
      <c r="Q80" s="156">
        <v>0.10716000000000001</v>
      </c>
      <c r="R80" s="51"/>
      <c r="S80" s="51"/>
      <c r="T80" s="51"/>
      <c r="U80" s="51"/>
      <c r="V80" s="51"/>
      <c r="W80" s="51"/>
      <c r="X80" s="51"/>
      <c r="Y80" s="51"/>
    </row>
    <row r="81" spans="1:25" ht="14.25" customHeight="1" x14ac:dyDescent="0.2">
      <c r="A81" s="63"/>
      <c r="B81" s="63"/>
      <c r="C81" s="744"/>
      <c r="D81" s="740" t="s">
        <v>233</v>
      </c>
      <c r="E81" s="33" t="s">
        <v>234</v>
      </c>
      <c r="F81" s="614">
        <v>1.329</v>
      </c>
      <c r="G81" s="615" t="s">
        <v>432</v>
      </c>
      <c r="H81" s="151">
        <v>2</v>
      </c>
      <c r="I81" s="152">
        <v>7.2429999999999994E-2</v>
      </c>
      <c r="J81" s="152">
        <v>0.30242999999999998</v>
      </c>
      <c r="K81" s="152">
        <v>0.35548999999999997</v>
      </c>
      <c r="L81" s="151">
        <v>0.17499999999999999</v>
      </c>
      <c r="M81" s="152">
        <v>1.1010000000000001E-2</v>
      </c>
      <c r="N81" s="151">
        <v>0</v>
      </c>
      <c r="O81" s="152">
        <v>0</v>
      </c>
      <c r="P81" s="152">
        <v>3.9260000000000003E-2</v>
      </c>
      <c r="Q81" s="152">
        <v>0.10716000000000001</v>
      </c>
      <c r="R81" s="51"/>
      <c r="S81" s="51"/>
      <c r="T81" s="51"/>
      <c r="U81" s="51"/>
      <c r="V81" s="51"/>
      <c r="W81" s="51"/>
      <c r="X81" s="51"/>
      <c r="Y81" s="51"/>
    </row>
    <row r="82" spans="1:25" ht="14.25" customHeight="1" x14ac:dyDescent="0.2">
      <c r="A82" s="63"/>
      <c r="B82" s="63"/>
      <c r="C82" s="744"/>
      <c r="D82" s="741"/>
      <c r="E82" s="34" t="s">
        <v>559</v>
      </c>
      <c r="F82" s="616">
        <v>1.329</v>
      </c>
      <c r="G82" s="617" t="s">
        <v>432</v>
      </c>
      <c r="H82" s="153">
        <v>2</v>
      </c>
      <c r="I82" s="154">
        <v>7.2429999999999994E-2</v>
      </c>
      <c r="J82" s="154">
        <v>0.30242999999999998</v>
      </c>
      <c r="K82" s="154">
        <v>0.35548999999999997</v>
      </c>
      <c r="L82" s="153">
        <v>0.17499999999999999</v>
      </c>
      <c r="M82" s="154">
        <v>1.1010000000000001E-2</v>
      </c>
      <c r="N82" s="153">
        <v>0</v>
      </c>
      <c r="O82" s="154">
        <v>0</v>
      </c>
      <c r="P82" s="154">
        <v>0</v>
      </c>
      <c r="Q82" s="154">
        <v>0</v>
      </c>
      <c r="R82" s="51"/>
      <c r="S82" s="51"/>
      <c r="T82" s="51"/>
      <c r="U82" s="51"/>
      <c r="V82" s="51"/>
      <c r="W82" s="51"/>
      <c r="X82" s="51"/>
      <c r="Y82" s="51"/>
    </row>
    <row r="83" spans="1:25" ht="14.25" customHeight="1" x14ac:dyDescent="0.2">
      <c r="A83" s="63"/>
      <c r="B83" s="63"/>
      <c r="C83" s="744"/>
      <c r="D83" s="741"/>
      <c r="E83" s="34" t="s">
        <v>560</v>
      </c>
      <c r="F83" s="616">
        <v>1.329</v>
      </c>
      <c r="G83" s="617" t="s">
        <v>432</v>
      </c>
      <c r="H83" s="153">
        <v>2</v>
      </c>
      <c r="I83" s="154">
        <v>7.2429999999999994E-2</v>
      </c>
      <c r="J83" s="154">
        <v>0.30242999999999998</v>
      </c>
      <c r="K83" s="154">
        <v>0.35548999999999997</v>
      </c>
      <c r="L83" s="153">
        <v>0.17499999999999999</v>
      </c>
      <c r="M83" s="154">
        <v>1.1010000000000001E-2</v>
      </c>
      <c r="N83" s="153">
        <v>0</v>
      </c>
      <c r="O83" s="154">
        <v>0</v>
      </c>
      <c r="P83" s="154">
        <v>3.9260000000000003E-2</v>
      </c>
      <c r="Q83" s="154">
        <v>0</v>
      </c>
      <c r="R83" s="51"/>
      <c r="S83" s="51"/>
      <c r="T83" s="51"/>
      <c r="U83" s="51"/>
      <c r="V83" s="51"/>
      <c r="W83" s="51"/>
      <c r="X83" s="51"/>
      <c r="Y83" s="51"/>
    </row>
    <row r="84" spans="1:25" ht="14.25" customHeight="1" x14ac:dyDescent="0.2">
      <c r="A84" s="63"/>
      <c r="B84" s="63"/>
      <c r="C84" s="744"/>
      <c r="D84" s="742"/>
      <c r="E84" s="603" t="s">
        <v>561</v>
      </c>
      <c r="F84" s="618">
        <v>1.329</v>
      </c>
      <c r="G84" s="619" t="s">
        <v>432</v>
      </c>
      <c r="H84" s="155">
        <v>2</v>
      </c>
      <c r="I84" s="156">
        <v>7.2429999999999994E-2</v>
      </c>
      <c r="J84" s="156">
        <v>0.30242999999999998</v>
      </c>
      <c r="K84" s="156">
        <v>0.35548999999999997</v>
      </c>
      <c r="L84" s="155">
        <v>0.17499999999999999</v>
      </c>
      <c r="M84" s="156">
        <v>1.1010000000000001E-2</v>
      </c>
      <c r="N84" s="155">
        <v>0</v>
      </c>
      <c r="O84" s="156">
        <v>0</v>
      </c>
      <c r="P84" s="156">
        <v>0</v>
      </c>
      <c r="Q84" s="156">
        <v>0.10716000000000001</v>
      </c>
      <c r="R84" s="51"/>
      <c r="S84" s="51"/>
      <c r="T84" s="51"/>
      <c r="U84" s="51"/>
      <c r="V84" s="51"/>
      <c r="W84" s="51"/>
      <c r="X84" s="51"/>
      <c r="Y84" s="51"/>
    </row>
    <row r="85" spans="1:25" ht="14.25" customHeight="1" x14ac:dyDescent="0.2">
      <c r="A85" s="63"/>
      <c r="B85" s="63"/>
      <c r="C85" s="744"/>
      <c r="D85" s="740" t="s">
        <v>235</v>
      </c>
      <c r="E85" s="33" t="s">
        <v>236</v>
      </c>
      <c r="F85" s="614">
        <v>1.329</v>
      </c>
      <c r="G85" s="615" t="s">
        <v>432</v>
      </c>
      <c r="H85" s="151">
        <v>2</v>
      </c>
      <c r="I85" s="152">
        <v>7.2429999999999994E-2</v>
      </c>
      <c r="J85" s="152">
        <v>0.30242999999999998</v>
      </c>
      <c r="K85" s="152">
        <v>0.35548999999999997</v>
      </c>
      <c r="L85" s="151">
        <v>0.28599999999999998</v>
      </c>
      <c r="M85" s="152">
        <v>1.346E-2</v>
      </c>
      <c r="N85" s="151">
        <v>0</v>
      </c>
      <c r="O85" s="152">
        <v>0</v>
      </c>
      <c r="P85" s="152">
        <v>3.9260000000000003E-2</v>
      </c>
      <c r="Q85" s="152">
        <v>0.10716000000000001</v>
      </c>
      <c r="R85" s="51"/>
      <c r="S85" s="51"/>
      <c r="T85" s="51"/>
      <c r="U85" s="51"/>
      <c r="V85" s="51"/>
      <c r="W85" s="51"/>
      <c r="X85" s="51"/>
      <c r="Y85" s="51"/>
    </row>
    <row r="86" spans="1:25" ht="14.25" customHeight="1" x14ac:dyDescent="0.2">
      <c r="A86" s="63"/>
      <c r="B86" s="63"/>
      <c r="C86" s="744"/>
      <c r="D86" s="741"/>
      <c r="E86" s="34" t="s">
        <v>562</v>
      </c>
      <c r="F86" s="616">
        <v>1.329</v>
      </c>
      <c r="G86" s="617" t="s">
        <v>432</v>
      </c>
      <c r="H86" s="153">
        <v>2</v>
      </c>
      <c r="I86" s="154">
        <v>7.2429999999999994E-2</v>
      </c>
      <c r="J86" s="154">
        <v>0.30242999999999998</v>
      </c>
      <c r="K86" s="154">
        <v>0.35548999999999997</v>
      </c>
      <c r="L86" s="153">
        <v>0.28599999999999998</v>
      </c>
      <c r="M86" s="154">
        <v>1.346E-2</v>
      </c>
      <c r="N86" s="153">
        <v>0</v>
      </c>
      <c r="O86" s="154">
        <v>0</v>
      </c>
      <c r="P86" s="154">
        <v>0</v>
      </c>
      <c r="Q86" s="154">
        <v>0</v>
      </c>
      <c r="R86" s="51"/>
      <c r="S86" s="51"/>
      <c r="T86" s="51"/>
      <c r="U86" s="51"/>
      <c r="V86" s="51"/>
      <c r="W86" s="51"/>
      <c r="X86" s="51"/>
      <c r="Y86" s="51"/>
    </row>
    <row r="87" spans="1:25" ht="14.25" customHeight="1" x14ac:dyDescent="0.2">
      <c r="A87" s="63"/>
      <c r="B87" s="63"/>
      <c r="C87" s="744"/>
      <c r="D87" s="741"/>
      <c r="E87" s="34" t="s">
        <v>563</v>
      </c>
      <c r="F87" s="616">
        <v>1.329</v>
      </c>
      <c r="G87" s="617" t="s">
        <v>432</v>
      </c>
      <c r="H87" s="153">
        <v>2</v>
      </c>
      <c r="I87" s="154">
        <v>7.2429999999999994E-2</v>
      </c>
      <c r="J87" s="154">
        <v>0.30242999999999998</v>
      </c>
      <c r="K87" s="154">
        <v>0.35548999999999997</v>
      </c>
      <c r="L87" s="153">
        <v>0.28599999999999998</v>
      </c>
      <c r="M87" s="154">
        <v>1.346E-2</v>
      </c>
      <c r="N87" s="153">
        <v>0</v>
      </c>
      <c r="O87" s="154">
        <v>0</v>
      </c>
      <c r="P87" s="154">
        <v>3.9260000000000003E-2</v>
      </c>
      <c r="Q87" s="154">
        <v>0</v>
      </c>
      <c r="R87" s="51"/>
      <c r="S87" s="51"/>
      <c r="T87" s="51"/>
      <c r="U87" s="51"/>
      <c r="V87" s="51"/>
      <c r="W87" s="51"/>
      <c r="X87" s="51"/>
      <c r="Y87" s="51"/>
    </row>
    <row r="88" spans="1:25" ht="14.25" customHeight="1" x14ac:dyDescent="0.2">
      <c r="A88" s="63"/>
      <c r="B88" s="63"/>
      <c r="C88" s="744"/>
      <c r="D88" s="742"/>
      <c r="E88" s="603" t="s">
        <v>564</v>
      </c>
      <c r="F88" s="618">
        <v>1.329</v>
      </c>
      <c r="G88" s="619" t="s">
        <v>432</v>
      </c>
      <c r="H88" s="155">
        <v>2</v>
      </c>
      <c r="I88" s="156">
        <v>7.2429999999999994E-2</v>
      </c>
      <c r="J88" s="156">
        <v>0.30242999999999998</v>
      </c>
      <c r="K88" s="156">
        <v>0.35548999999999997</v>
      </c>
      <c r="L88" s="155">
        <v>0.28599999999999998</v>
      </c>
      <c r="M88" s="156">
        <v>1.346E-2</v>
      </c>
      <c r="N88" s="155">
        <v>0</v>
      </c>
      <c r="O88" s="156">
        <v>0</v>
      </c>
      <c r="P88" s="156">
        <v>0</v>
      </c>
      <c r="Q88" s="156">
        <v>0.10716000000000001</v>
      </c>
      <c r="R88" s="51"/>
      <c r="S88" s="51"/>
      <c r="T88" s="51"/>
      <c r="U88" s="51"/>
      <c r="V88" s="51"/>
      <c r="W88" s="51"/>
      <c r="X88" s="51"/>
      <c r="Y88" s="51"/>
    </row>
    <row r="89" spans="1:25" ht="14.25" customHeight="1" x14ac:dyDescent="0.2">
      <c r="A89" s="63"/>
      <c r="B89" s="63"/>
      <c r="C89" s="744"/>
      <c r="D89" s="740" t="s">
        <v>237</v>
      </c>
      <c r="E89" s="33" t="s">
        <v>238</v>
      </c>
      <c r="F89" s="614">
        <v>1.0760000000000001</v>
      </c>
      <c r="G89" s="615" t="s">
        <v>433</v>
      </c>
      <c r="H89" s="151">
        <v>1.25</v>
      </c>
      <c r="I89" s="152">
        <v>2.1940000000000001E-2</v>
      </c>
      <c r="J89" s="152">
        <v>2.955E-2</v>
      </c>
      <c r="K89" s="152">
        <v>5.2549999999999999E-2</v>
      </c>
      <c r="L89" s="151">
        <v>0.14799999999999999</v>
      </c>
      <c r="M89" s="152">
        <v>7.3999999999999999E-4</v>
      </c>
      <c r="N89" s="151">
        <v>0</v>
      </c>
      <c r="O89" s="152">
        <v>0</v>
      </c>
      <c r="P89" s="152">
        <v>3.9260000000000003E-2</v>
      </c>
      <c r="Q89" s="152">
        <v>0.10716000000000001</v>
      </c>
      <c r="R89" s="51"/>
      <c r="S89" s="51"/>
      <c r="T89" s="51"/>
      <c r="U89" s="51"/>
      <c r="V89" s="51"/>
      <c r="W89" s="51"/>
      <c r="X89" s="51"/>
      <c r="Y89" s="51"/>
    </row>
    <row r="90" spans="1:25" ht="14.25" customHeight="1" x14ac:dyDescent="0.2">
      <c r="A90" s="63"/>
      <c r="B90" s="63"/>
      <c r="C90" s="744"/>
      <c r="D90" s="741"/>
      <c r="E90" s="34" t="s">
        <v>565</v>
      </c>
      <c r="F90" s="616">
        <v>1.0760000000000001</v>
      </c>
      <c r="G90" s="617" t="s">
        <v>433</v>
      </c>
      <c r="H90" s="153">
        <v>1.25</v>
      </c>
      <c r="I90" s="154">
        <v>2.1940000000000001E-2</v>
      </c>
      <c r="J90" s="154">
        <v>2.955E-2</v>
      </c>
      <c r="K90" s="154">
        <v>5.2549999999999999E-2</v>
      </c>
      <c r="L90" s="153">
        <v>0.14799999999999999</v>
      </c>
      <c r="M90" s="154">
        <v>7.3999999999999999E-4</v>
      </c>
      <c r="N90" s="153">
        <v>0</v>
      </c>
      <c r="O90" s="154">
        <v>0</v>
      </c>
      <c r="P90" s="154">
        <v>0</v>
      </c>
      <c r="Q90" s="154">
        <v>0</v>
      </c>
      <c r="R90" s="51"/>
      <c r="S90" s="51"/>
      <c r="T90" s="51"/>
      <c r="U90" s="51"/>
      <c r="V90" s="51"/>
      <c r="W90" s="51"/>
      <c r="X90" s="51"/>
      <c r="Y90" s="51"/>
    </row>
    <row r="91" spans="1:25" ht="14.25" customHeight="1" x14ac:dyDescent="0.2">
      <c r="A91" s="63"/>
      <c r="B91" s="63"/>
      <c r="C91" s="744"/>
      <c r="D91" s="741"/>
      <c r="E91" s="34" t="s">
        <v>566</v>
      </c>
      <c r="F91" s="616">
        <v>1.0760000000000001</v>
      </c>
      <c r="G91" s="617" t="s">
        <v>433</v>
      </c>
      <c r="H91" s="153">
        <v>1.25</v>
      </c>
      <c r="I91" s="154">
        <v>2.1940000000000001E-2</v>
      </c>
      <c r="J91" s="154">
        <v>2.955E-2</v>
      </c>
      <c r="K91" s="154">
        <v>5.2549999999999999E-2</v>
      </c>
      <c r="L91" s="153">
        <v>0.14799999999999999</v>
      </c>
      <c r="M91" s="154">
        <v>7.3999999999999999E-4</v>
      </c>
      <c r="N91" s="153">
        <v>0</v>
      </c>
      <c r="O91" s="154">
        <v>0</v>
      </c>
      <c r="P91" s="154">
        <v>3.9260000000000003E-2</v>
      </c>
      <c r="Q91" s="154">
        <v>0</v>
      </c>
      <c r="R91" s="51"/>
      <c r="S91" s="51"/>
      <c r="T91" s="51"/>
      <c r="U91" s="51"/>
      <c r="V91" s="51"/>
      <c r="W91" s="51"/>
      <c r="X91" s="51"/>
      <c r="Y91" s="51"/>
    </row>
    <row r="92" spans="1:25" ht="14.25" customHeight="1" x14ac:dyDescent="0.2">
      <c r="A92" s="63"/>
      <c r="B92" s="63"/>
      <c r="C92" s="745"/>
      <c r="D92" s="742"/>
      <c r="E92" s="603" t="s">
        <v>567</v>
      </c>
      <c r="F92" s="618">
        <v>1.0760000000000001</v>
      </c>
      <c r="G92" s="619" t="s">
        <v>433</v>
      </c>
      <c r="H92" s="155">
        <v>1.25</v>
      </c>
      <c r="I92" s="156">
        <v>2.1940000000000001E-2</v>
      </c>
      <c r="J92" s="156">
        <v>2.955E-2</v>
      </c>
      <c r="K92" s="156">
        <v>5.2549999999999999E-2</v>
      </c>
      <c r="L92" s="155">
        <v>0.14799999999999999</v>
      </c>
      <c r="M92" s="156">
        <v>7.3999999999999999E-4</v>
      </c>
      <c r="N92" s="155">
        <v>0</v>
      </c>
      <c r="O92" s="156">
        <v>0</v>
      </c>
      <c r="P92" s="156">
        <v>0</v>
      </c>
      <c r="Q92" s="156">
        <v>0.10716000000000001</v>
      </c>
      <c r="R92" s="51"/>
      <c r="S92" s="51"/>
      <c r="T92" s="51"/>
      <c r="U92" s="51"/>
      <c r="V92" s="51"/>
      <c r="W92" s="51"/>
      <c r="X92" s="51"/>
      <c r="Y92" s="51"/>
    </row>
    <row r="93" spans="1:25" ht="14.25" customHeight="1" x14ac:dyDescent="0.2">
      <c r="A93" s="63"/>
      <c r="B93" s="63"/>
      <c r="C93" s="743" t="s">
        <v>239</v>
      </c>
      <c r="D93" s="740" t="s">
        <v>240</v>
      </c>
      <c r="E93" s="33" t="s">
        <v>241</v>
      </c>
      <c r="F93" s="614">
        <v>1.097</v>
      </c>
      <c r="G93" s="615" t="s">
        <v>431</v>
      </c>
      <c r="H93" s="151">
        <v>1.25</v>
      </c>
      <c r="I93" s="152">
        <v>2.5499999999999998E-2</v>
      </c>
      <c r="J93" s="152">
        <v>7.9200000000000007E-2</v>
      </c>
      <c r="K93" s="152">
        <v>0.11964</v>
      </c>
      <c r="L93" s="151">
        <v>0.1</v>
      </c>
      <c r="M93" s="152">
        <v>9.3299999999999998E-3</v>
      </c>
      <c r="N93" s="151">
        <v>0</v>
      </c>
      <c r="O93" s="152">
        <v>0</v>
      </c>
      <c r="P93" s="152">
        <v>3.9260000000000003E-2</v>
      </c>
      <c r="Q93" s="152">
        <v>0.10716000000000001</v>
      </c>
      <c r="R93" s="51"/>
      <c r="S93" s="51"/>
      <c r="T93" s="51"/>
      <c r="U93" s="51"/>
      <c r="V93" s="51"/>
      <c r="W93" s="51"/>
      <c r="X93" s="51"/>
      <c r="Y93" s="51"/>
    </row>
    <row r="94" spans="1:25" ht="14.25" customHeight="1" x14ac:dyDescent="0.2">
      <c r="A94" s="63"/>
      <c r="B94" s="63"/>
      <c r="C94" s="744"/>
      <c r="D94" s="741"/>
      <c r="E94" s="34" t="s">
        <v>568</v>
      </c>
      <c r="F94" s="616">
        <v>1.097</v>
      </c>
      <c r="G94" s="617" t="s">
        <v>431</v>
      </c>
      <c r="H94" s="153">
        <v>1.25</v>
      </c>
      <c r="I94" s="154">
        <v>2.5499999999999998E-2</v>
      </c>
      <c r="J94" s="154">
        <v>7.9200000000000007E-2</v>
      </c>
      <c r="K94" s="154">
        <v>0.11964</v>
      </c>
      <c r="L94" s="153">
        <v>0.1</v>
      </c>
      <c r="M94" s="154">
        <v>9.3299999999999998E-3</v>
      </c>
      <c r="N94" s="153">
        <v>0</v>
      </c>
      <c r="O94" s="154">
        <v>0</v>
      </c>
      <c r="P94" s="154">
        <v>0</v>
      </c>
      <c r="Q94" s="154">
        <v>0</v>
      </c>
      <c r="R94" s="51"/>
      <c r="S94" s="51"/>
      <c r="T94" s="51"/>
      <c r="U94" s="51"/>
      <c r="V94" s="51"/>
      <c r="W94" s="51"/>
      <c r="X94" s="51"/>
      <c r="Y94" s="51"/>
    </row>
    <row r="95" spans="1:25" ht="14.25" customHeight="1" x14ac:dyDescent="0.2">
      <c r="A95" s="63"/>
      <c r="B95" s="63"/>
      <c r="C95" s="744"/>
      <c r="D95" s="741"/>
      <c r="E95" s="34" t="s">
        <v>569</v>
      </c>
      <c r="F95" s="616">
        <v>1.097</v>
      </c>
      <c r="G95" s="617" t="s">
        <v>431</v>
      </c>
      <c r="H95" s="153">
        <v>1.25</v>
      </c>
      <c r="I95" s="154">
        <v>2.5499999999999998E-2</v>
      </c>
      <c r="J95" s="154">
        <v>7.9200000000000007E-2</v>
      </c>
      <c r="K95" s="154">
        <v>0.11964</v>
      </c>
      <c r="L95" s="153">
        <v>0.1</v>
      </c>
      <c r="M95" s="154">
        <v>9.3299999999999998E-3</v>
      </c>
      <c r="N95" s="153">
        <v>0</v>
      </c>
      <c r="O95" s="154">
        <v>0</v>
      </c>
      <c r="P95" s="154">
        <v>3.9260000000000003E-2</v>
      </c>
      <c r="Q95" s="154">
        <v>0</v>
      </c>
      <c r="R95" s="51"/>
      <c r="S95" s="51"/>
      <c r="T95" s="51"/>
      <c r="U95" s="51"/>
      <c r="V95" s="51"/>
      <c r="W95" s="51"/>
      <c r="X95" s="51"/>
      <c r="Y95" s="51"/>
    </row>
    <row r="96" spans="1:25" ht="14.25" customHeight="1" x14ac:dyDescent="0.2">
      <c r="A96" s="63"/>
      <c r="B96" s="63"/>
      <c r="C96" s="744"/>
      <c r="D96" s="742"/>
      <c r="E96" s="603" t="s">
        <v>570</v>
      </c>
      <c r="F96" s="618">
        <v>1.097</v>
      </c>
      <c r="G96" s="619" t="s">
        <v>431</v>
      </c>
      <c r="H96" s="155">
        <v>1.25</v>
      </c>
      <c r="I96" s="156">
        <v>2.5499999999999998E-2</v>
      </c>
      <c r="J96" s="156">
        <v>7.9200000000000007E-2</v>
      </c>
      <c r="K96" s="156">
        <v>0.11964</v>
      </c>
      <c r="L96" s="155">
        <v>0.1</v>
      </c>
      <c r="M96" s="156">
        <v>9.3299999999999998E-3</v>
      </c>
      <c r="N96" s="155">
        <v>0</v>
      </c>
      <c r="O96" s="156">
        <v>0</v>
      </c>
      <c r="P96" s="156">
        <v>0</v>
      </c>
      <c r="Q96" s="156">
        <v>0.10716000000000001</v>
      </c>
      <c r="R96" s="51"/>
      <c r="S96" s="51"/>
      <c r="T96" s="51"/>
      <c r="U96" s="51"/>
      <c r="V96" s="51"/>
      <c r="W96" s="51"/>
      <c r="X96" s="51"/>
      <c r="Y96" s="51"/>
    </row>
    <row r="97" spans="1:25" ht="14.25" customHeight="1" x14ac:dyDescent="0.2">
      <c r="A97" s="63"/>
      <c r="B97" s="63"/>
      <c r="C97" s="744"/>
      <c r="D97" s="740" t="s">
        <v>242</v>
      </c>
      <c r="E97" s="33" t="s">
        <v>243</v>
      </c>
      <c r="F97" s="614">
        <v>1.097</v>
      </c>
      <c r="G97" s="615" t="s">
        <v>431</v>
      </c>
      <c r="H97" s="151">
        <v>1.25</v>
      </c>
      <c r="I97" s="152">
        <v>2.5499999999999998E-2</v>
      </c>
      <c r="J97" s="152">
        <v>7.9200000000000007E-2</v>
      </c>
      <c r="K97" s="152">
        <v>0.11964</v>
      </c>
      <c r="L97" s="151">
        <v>0.17499999999999999</v>
      </c>
      <c r="M97" s="152">
        <v>1.1010000000000001E-2</v>
      </c>
      <c r="N97" s="151">
        <v>0</v>
      </c>
      <c r="O97" s="152">
        <v>0</v>
      </c>
      <c r="P97" s="152">
        <v>3.9260000000000003E-2</v>
      </c>
      <c r="Q97" s="152">
        <v>0.10716000000000001</v>
      </c>
      <c r="R97" s="51"/>
      <c r="S97" s="51"/>
      <c r="T97" s="51"/>
      <c r="U97" s="51"/>
      <c r="V97" s="51"/>
      <c r="W97" s="51"/>
      <c r="X97" s="51"/>
      <c r="Y97" s="51"/>
    </row>
    <row r="98" spans="1:25" ht="14.25" customHeight="1" x14ac:dyDescent="0.2">
      <c r="A98" s="63"/>
      <c r="B98" s="63"/>
      <c r="C98" s="744"/>
      <c r="D98" s="741"/>
      <c r="E98" s="34" t="s">
        <v>571</v>
      </c>
      <c r="F98" s="616">
        <v>1.097</v>
      </c>
      <c r="G98" s="617" t="s">
        <v>431</v>
      </c>
      <c r="H98" s="153">
        <v>1.25</v>
      </c>
      <c r="I98" s="154">
        <v>2.5499999999999998E-2</v>
      </c>
      <c r="J98" s="154">
        <v>7.9200000000000007E-2</v>
      </c>
      <c r="K98" s="154">
        <v>0.11964</v>
      </c>
      <c r="L98" s="153">
        <v>0.17499999999999999</v>
      </c>
      <c r="M98" s="154">
        <v>1.1010000000000001E-2</v>
      </c>
      <c r="N98" s="153">
        <v>0</v>
      </c>
      <c r="O98" s="154">
        <v>0</v>
      </c>
      <c r="P98" s="154">
        <v>0</v>
      </c>
      <c r="Q98" s="154">
        <v>0</v>
      </c>
      <c r="R98" s="51"/>
      <c r="S98" s="51"/>
      <c r="T98" s="51"/>
      <c r="U98" s="51"/>
      <c r="V98" s="51"/>
      <c r="W98" s="51"/>
      <c r="X98" s="51"/>
      <c r="Y98" s="51"/>
    </row>
    <row r="99" spans="1:25" ht="14.25" customHeight="1" x14ac:dyDescent="0.2">
      <c r="A99" s="63"/>
      <c r="B99" s="63"/>
      <c r="C99" s="744"/>
      <c r="D99" s="741"/>
      <c r="E99" s="34" t="s">
        <v>572</v>
      </c>
      <c r="F99" s="616">
        <v>1.097</v>
      </c>
      <c r="G99" s="617" t="s">
        <v>431</v>
      </c>
      <c r="H99" s="153">
        <v>1.25</v>
      </c>
      <c r="I99" s="154">
        <v>2.5499999999999998E-2</v>
      </c>
      <c r="J99" s="154">
        <v>7.9200000000000007E-2</v>
      </c>
      <c r="K99" s="154">
        <v>0.11964</v>
      </c>
      <c r="L99" s="153">
        <v>0.17499999999999999</v>
      </c>
      <c r="M99" s="154">
        <v>1.1010000000000001E-2</v>
      </c>
      <c r="N99" s="153">
        <v>0</v>
      </c>
      <c r="O99" s="154">
        <v>0</v>
      </c>
      <c r="P99" s="154">
        <v>3.9260000000000003E-2</v>
      </c>
      <c r="Q99" s="154">
        <v>0</v>
      </c>
      <c r="R99" s="51"/>
      <c r="S99" s="51"/>
      <c r="T99" s="51"/>
      <c r="U99" s="51"/>
      <c r="V99" s="51"/>
      <c r="W99" s="51"/>
      <c r="X99" s="51"/>
      <c r="Y99" s="51"/>
    </row>
    <row r="100" spans="1:25" ht="14.25" customHeight="1" x14ac:dyDescent="0.2">
      <c r="A100" s="63"/>
      <c r="B100" s="63"/>
      <c r="C100" s="744"/>
      <c r="D100" s="742"/>
      <c r="E100" s="603" t="s">
        <v>573</v>
      </c>
      <c r="F100" s="618">
        <v>1.097</v>
      </c>
      <c r="G100" s="619" t="s">
        <v>431</v>
      </c>
      <c r="H100" s="155">
        <v>1.25</v>
      </c>
      <c r="I100" s="156">
        <v>2.5499999999999998E-2</v>
      </c>
      <c r="J100" s="156">
        <v>7.9200000000000007E-2</v>
      </c>
      <c r="K100" s="156">
        <v>0.11964</v>
      </c>
      <c r="L100" s="155">
        <v>0.17499999999999999</v>
      </c>
      <c r="M100" s="156">
        <v>1.1010000000000001E-2</v>
      </c>
      <c r="N100" s="155">
        <v>0</v>
      </c>
      <c r="O100" s="156">
        <v>0</v>
      </c>
      <c r="P100" s="156">
        <v>0</v>
      </c>
      <c r="Q100" s="156">
        <v>0.10716000000000001</v>
      </c>
      <c r="R100" s="51"/>
      <c r="S100" s="51"/>
      <c r="T100" s="51"/>
      <c r="U100" s="51"/>
      <c r="V100" s="51"/>
      <c r="W100" s="51"/>
      <c r="X100" s="51"/>
      <c r="Y100" s="51"/>
    </row>
    <row r="101" spans="1:25" ht="14.25" customHeight="1" x14ac:dyDescent="0.2">
      <c r="A101" s="63"/>
      <c r="B101" s="63"/>
      <c r="C101" s="744"/>
      <c r="D101" s="740" t="s">
        <v>244</v>
      </c>
      <c r="E101" s="33" t="s">
        <v>245</v>
      </c>
      <c r="F101" s="614">
        <v>1.097</v>
      </c>
      <c r="G101" s="615" t="s">
        <v>431</v>
      </c>
      <c r="H101" s="151">
        <v>1.25</v>
      </c>
      <c r="I101" s="152">
        <v>2.5499999999999998E-2</v>
      </c>
      <c r="J101" s="152">
        <v>7.9200000000000007E-2</v>
      </c>
      <c r="K101" s="152">
        <v>0.11964</v>
      </c>
      <c r="L101" s="151">
        <v>0.28599999999999998</v>
      </c>
      <c r="M101" s="152">
        <v>1.346E-2</v>
      </c>
      <c r="N101" s="151">
        <v>0</v>
      </c>
      <c r="O101" s="152">
        <v>0</v>
      </c>
      <c r="P101" s="152">
        <v>3.9260000000000003E-2</v>
      </c>
      <c r="Q101" s="152">
        <v>0.10716000000000001</v>
      </c>
      <c r="R101" s="51"/>
      <c r="S101" s="51"/>
      <c r="T101" s="51"/>
      <c r="U101" s="51"/>
      <c r="V101" s="51"/>
      <c r="W101" s="51"/>
      <c r="X101" s="51"/>
      <c r="Y101" s="51"/>
    </row>
    <row r="102" spans="1:25" ht="14.25" customHeight="1" x14ac:dyDescent="0.2">
      <c r="A102" s="63"/>
      <c r="B102" s="63"/>
      <c r="C102" s="744"/>
      <c r="D102" s="741"/>
      <c r="E102" s="34" t="s">
        <v>574</v>
      </c>
      <c r="F102" s="616">
        <v>1.097</v>
      </c>
      <c r="G102" s="617" t="s">
        <v>431</v>
      </c>
      <c r="H102" s="153">
        <v>1.25</v>
      </c>
      <c r="I102" s="154">
        <v>2.5499999999999998E-2</v>
      </c>
      <c r="J102" s="154">
        <v>7.9200000000000007E-2</v>
      </c>
      <c r="K102" s="154">
        <v>0.11964</v>
      </c>
      <c r="L102" s="153">
        <v>0.28599999999999998</v>
      </c>
      <c r="M102" s="154">
        <v>1.346E-2</v>
      </c>
      <c r="N102" s="153">
        <v>0</v>
      </c>
      <c r="O102" s="154">
        <v>0</v>
      </c>
      <c r="P102" s="154">
        <v>0</v>
      </c>
      <c r="Q102" s="154">
        <v>0</v>
      </c>
      <c r="R102" s="51"/>
      <c r="S102" s="51"/>
      <c r="T102" s="51"/>
      <c r="U102" s="51"/>
      <c r="V102" s="51"/>
      <c r="W102" s="51"/>
      <c r="X102" s="51"/>
      <c r="Y102" s="51"/>
    </row>
    <row r="103" spans="1:25" ht="14.25" customHeight="1" x14ac:dyDescent="0.2">
      <c r="A103" s="63"/>
      <c r="B103" s="63"/>
      <c r="C103" s="744"/>
      <c r="D103" s="741"/>
      <c r="E103" s="34" t="s">
        <v>575</v>
      </c>
      <c r="F103" s="616">
        <v>1.097</v>
      </c>
      <c r="G103" s="617" t="s">
        <v>431</v>
      </c>
      <c r="H103" s="153">
        <v>1.25</v>
      </c>
      <c r="I103" s="154">
        <v>2.5499999999999998E-2</v>
      </c>
      <c r="J103" s="154">
        <v>7.9200000000000007E-2</v>
      </c>
      <c r="K103" s="154">
        <v>0.11964</v>
      </c>
      <c r="L103" s="153">
        <v>0.28599999999999998</v>
      </c>
      <c r="M103" s="154">
        <v>1.346E-2</v>
      </c>
      <c r="N103" s="153">
        <v>0</v>
      </c>
      <c r="O103" s="154">
        <v>0</v>
      </c>
      <c r="P103" s="154">
        <v>3.9260000000000003E-2</v>
      </c>
      <c r="Q103" s="154">
        <v>0</v>
      </c>
      <c r="R103" s="51"/>
      <c r="S103" s="51"/>
      <c r="T103" s="51"/>
      <c r="U103" s="51"/>
      <c r="V103" s="51"/>
      <c r="W103" s="51"/>
      <c r="X103" s="51"/>
      <c r="Y103" s="51"/>
    </row>
    <row r="104" spans="1:25" ht="14.25" customHeight="1" x14ac:dyDescent="0.2">
      <c r="A104" s="63"/>
      <c r="B104" s="63"/>
      <c r="C104" s="744"/>
      <c r="D104" s="742"/>
      <c r="E104" s="603" t="s">
        <v>576</v>
      </c>
      <c r="F104" s="618">
        <v>1.097</v>
      </c>
      <c r="G104" s="619" t="s">
        <v>431</v>
      </c>
      <c r="H104" s="155">
        <v>1.25</v>
      </c>
      <c r="I104" s="156">
        <v>2.5499999999999998E-2</v>
      </c>
      <c r="J104" s="156">
        <v>7.9200000000000007E-2</v>
      </c>
      <c r="K104" s="156">
        <v>0.11964</v>
      </c>
      <c r="L104" s="155">
        <v>0.28599999999999998</v>
      </c>
      <c r="M104" s="156">
        <v>1.346E-2</v>
      </c>
      <c r="N104" s="155">
        <v>0</v>
      </c>
      <c r="O104" s="156">
        <v>0</v>
      </c>
      <c r="P104" s="156">
        <v>0</v>
      </c>
      <c r="Q104" s="156">
        <v>0.10716000000000001</v>
      </c>
      <c r="R104" s="51"/>
      <c r="S104" s="51"/>
      <c r="T104" s="51"/>
      <c r="U104" s="51"/>
      <c r="V104" s="51"/>
      <c r="W104" s="51"/>
      <c r="X104" s="51"/>
      <c r="Y104" s="51"/>
    </row>
    <row r="105" spans="1:25" ht="14.25" customHeight="1" x14ac:dyDescent="0.2">
      <c r="A105" s="63"/>
      <c r="B105" s="63"/>
      <c r="C105" s="744"/>
      <c r="D105" s="740" t="s">
        <v>246</v>
      </c>
      <c r="E105" s="33" t="s">
        <v>247</v>
      </c>
      <c r="F105" s="614">
        <v>1.329</v>
      </c>
      <c r="G105" s="615" t="s">
        <v>432</v>
      </c>
      <c r="H105" s="151">
        <v>2</v>
      </c>
      <c r="I105" s="152">
        <v>7.2419999999999998E-2</v>
      </c>
      <c r="J105" s="152">
        <v>0.31291999999999998</v>
      </c>
      <c r="K105" s="152">
        <v>0.36652000000000001</v>
      </c>
      <c r="L105" s="151">
        <v>0.1</v>
      </c>
      <c r="M105" s="152">
        <v>9.3299999999999998E-3</v>
      </c>
      <c r="N105" s="151">
        <v>0</v>
      </c>
      <c r="O105" s="152">
        <v>0</v>
      </c>
      <c r="P105" s="152">
        <v>3.9260000000000003E-2</v>
      </c>
      <c r="Q105" s="152">
        <v>0.10716000000000001</v>
      </c>
      <c r="R105" s="51"/>
      <c r="S105" s="51"/>
      <c r="T105" s="51"/>
      <c r="U105" s="51"/>
      <c r="V105" s="51"/>
      <c r="W105" s="51"/>
      <c r="X105" s="51"/>
      <c r="Y105" s="51"/>
    </row>
    <row r="106" spans="1:25" ht="14.25" customHeight="1" x14ac:dyDescent="0.2">
      <c r="A106" s="63"/>
      <c r="B106" s="63"/>
      <c r="C106" s="744"/>
      <c r="D106" s="741"/>
      <c r="E106" s="34" t="s">
        <v>577</v>
      </c>
      <c r="F106" s="616">
        <v>1.329</v>
      </c>
      <c r="G106" s="617" t="s">
        <v>432</v>
      </c>
      <c r="H106" s="153">
        <v>2</v>
      </c>
      <c r="I106" s="154">
        <v>7.2419999999999998E-2</v>
      </c>
      <c r="J106" s="154">
        <v>0.31291999999999998</v>
      </c>
      <c r="K106" s="154">
        <v>0.36652000000000001</v>
      </c>
      <c r="L106" s="153">
        <v>0.1</v>
      </c>
      <c r="M106" s="154">
        <v>9.3299999999999998E-3</v>
      </c>
      <c r="N106" s="153">
        <v>0</v>
      </c>
      <c r="O106" s="154">
        <v>0</v>
      </c>
      <c r="P106" s="154">
        <v>0</v>
      </c>
      <c r="Q106" s="154">
        <v>0</v>
      </c>
      <c r="R106" s="51"/>
      <c r="S106" s="51"/>
      <c r="T106" s="51"/>
      <c r="U106" s="51"/>
      <c r="V106" s="51"/>
      <c r="W106" s="51"/>
      <c r="X106" s="51"/>
      <c r="Y106" s="51"/>
    </row>
    <row r="107" spans="1:25" ht="14.25" customHeight="1" x14ac:dyDescent="0.2">
      <c r="A107" s="63"/>
      <c r="B107" s="63"/>
      <c r="C107" s="744"/>
      <c r="D107" s="741"/>
      <c r="E107" s="34" t="s">
        <v>578</v>
      </c>
      <c r="F107" s="616">
        <v>1.329</v>
      </c>
      <c r="G107" s="617" t="s">
        <v>432</v>
      </c>
      <c r="H107" s="153">
        <v>2</v>
      </c>
      <c r="I107" s="154">
        <v>7.2419999999999998E-2</v>
      </c>
      <c r="J107" s="154">
        <v>0.31291999999999998</v>
      </c>
      <c r="K107" s="154">
        <v>0.36652000000000001</v>
      </c>
      <c r="L107" s="153">
        <v>0.1</v>
      </c>
      <c r="M107" s="154">
        <v>9.3299999999999998E-3</v>
      </c>
      <c r="N107" s="153">
        <v>0</v>
      </c>
      <c r="O107" s="154">
        <v>0</v>
      </c>
      <c r="P107" s="154">
        <v>3.9260000000000003E-2</v>
      </c>
      <c r="Q107" s="154">
        <v>0</v>
      </c>
      <c r="R107" s="51"/>
      <c r="S107" s="51"/>
      <c r="T107" s="51"/>
      <c r="U107" s="51"/>
      <c r="V107" s="51"/>
      <c r="W107" s="51"/>
      <c r="X107" s="51"/>
      <c r="Y107" s="51"/>
    </row>
    <row r="108" spans="1:25" ht="14.25" customHeight="1" x14ac:dyDescent="0.2">
      <c r="A108" s="63"/>
      <c r="B108" s="63"/>
      <c r="C108" s="744"/>
      <c r="D108" s="742"/>
      <c r="E108" s="603" t="s">
        <v>579</v>
      </c>
      <c r="F108" s="618">
        <v>1.329</v>
      </c>
      <c r="G108" s="619" t="s">
        <v>432</v>
      </c>
      <c r="H108" s="155">
        <v>2</v>
      </c>
      <c r="I108" s="156">
        <v>7.2419999999999998E-2</v>
      </c>
      <c r="J108" s="156">
        <v>0.31291999999999998</v>
      </c>
      <c r="K108" s="156">
        <v>0.36652000000000001</v>
      </c>
      <c r="L108" s="155">
        <v>0.1</v>
      </c>
      <c r="M108" s="156">
        <v>9.3299999999999998E-3</v>
      </c>
      <c r="N108" s="155">
        <v>0</v>
      </c>
      <c r="O108" s="156">
        <v>0</v>
      </c>
      <c r="P108" s="156">
        <v>0</v>
      </c>
      <c r="Q108" s="156">
        <v>0.10716000000000001</v>
      </c>
      <c r="R108" s="51"/>
      <c r="S108" s="51"/>
      <c r="T108" s="51"/>
      <c r="U108" s="51"/>
      <c r="V108" s="51"/>
      <c r="W108" s="51"/>
      <c r="X108" s="51"/>
      <c r="Y108" s="51"/>
    </row>
    <row r="109" spans="1:25" ht="14.25" customHeight="1" x14ac:dyDescent="0.2">
      <c r="A109" s="63"/>
      <c r="B109" s="63"/>
      <c r="C109" s="744"/>
      <c r="D109" s="740" t="s">
        <v>248</v>
      </c>
      <c r="E109" s="33" t="s">
        <v>249</v>
      </c>
      <c r="F109" s="614">
        <v>1.329</v>
      </c>
      <c r="G109" s="615" t="s">
        <v>432</v>
      </c>
      <c r="H109" s="151">
        <v>2</v>
      </c>
      <c r="I109" s="152">
        <v>7.2419999999999998E-2</v>
      </c>
      <c r="J109" s="152">
        <v>0.31291999999999998</v>
      </c>
      <c r="K109" s="152">
        <v>0.36652000000000001</v>
      </c>
      <c r="L109" s="151">
        <v>0.17499999999999999</v>
      </c>
      <c r="M109" s="152">
        <v>1.1010000000000001E-2</v>
      </c>
      <c r="N109" s="151">
        <v>0</v>
      </c>
      <c r="O109" s="152">
        <v>0</v>
      </c>
      <c r="P109" s="152">
        <v>3.9260000000000003E-2</v>
      </c>
      <c r="Q109" s="152">
        <v>0.10716000000000001</v>
      </c>
      <c r="R109" s="51"/>
      <c r="S109" s="51"/>
      <c r="T109" s="51"/>
      <c r="U109" s="51"/>
      <c r="V109" s="51"/>
      <c r="W109" s="51"/>
      <c r="X109" s="51"/>
      <c r="Y109" s="51"/>
    </row>
    <row r="110" spans="1:25" ht="14.25" customHeight="1" x14ac:dyDescent="0.2">
      <c r="A110" s="63"/>
      <c r="B110" s="63"/>
      <c r="C110" s="744"/>
      <c r="D110" s="741"/>
      <c r="E110" s="34" t="s">
        <v>580</v>
      </c>
      <c r="F110" s="616">
        <v>1.329</v>
      </c>
      <c r="G110" s="617" t="s">
        <v>432</v>
      </c>
      <c r="H110" s="153">
        <v>2</v>
      </c>
      <c r="I110" s="154">
        <v>7.2419999999999998E-2</v>
      </c>
      <c r="J110" s="154">
        <v>0.31291999999999998</v>
      </c>
      <c r="K110" s="154">
        <v>0.36652000000000001</v>
      </c>
      <c r="L110" s="153">
        <v>0.17499999999999999</v>
      </c>
      <c r="M110" s="154">
        <v>1.1010000000000001E-2</v>
      </c>
      <c r="N110" s="153">
        <v>0</v>
      </c>
      <c r="O110" s="154">
        <v>0</v>
      </c>
      <c r="P110" s="154">
        <v>0</v>
      </c>
      <c r="Q110" s="154">
        <v>0</v>
      </c>
      <c r="R110" s="51"/>
      <c r="S110" s="51"/>
      <c r="T110" s="51"/>
      <c r="U110" s="51"/>
      <c r="V110" s="51"/>
      <c r="W110" s="51"/>
      <c r="X110" s="51"/>
      <c r="Y110" s="51"/>
    </row>
    <row r="111" spans="1:25" ht="14.25" customHeight="1" x14ac:dyDescent="0.2">
      <c r="A111" s="63"/>
      <c r="B111" s="63"/>
      <c r="C111" s="744"/>
      <c r="D111" s="741"/>
      <c r="E111" s="34" t="s">
        <v>581</v>
      </c>
      <c r="F111" s="616">
        <v>1.329</v>
      </c>
      <c r="G111" s="617" t="s">
        <v>432</v>
      </c>
      <c r="H111" s="153">
        <v>2</v>
      </c>
      <c r="I111" s="154">
        <v>7.2419999999999998E-2</v>
      </c>
      <c r="J111" s="154">
        <v>0.31291999999999998</v>
      </c>
      <c r="K111" s="154">
        <v>0.36652000000000001</v>
      </c>
      <c r="L111" s="153">
        <v>0.17499999999999999</v>
      </c>
      <c r="M111" s="154">
        <v>1.1010000000000001E-2</v>
      </c>
      <c r="N111" s="153">
        <v>0</v>
      </c>
      <c r="O111" s="154">
        <v>0</v>
      </c>
      <c r="P111" s="154">
        <v>3.9260000000000003E-2</v>
      </c>
      <c r="Q111" s="154">
        <v>0</v>
      </c>
      <c r="R111" s="51"/>
      <c r="S111" s="51"/>
      <c r="T111" s="51"/>
      <c r="U111" s="51"/>
      <c r="V111" s="51"/>
      <c r="W111" s="51"/>
      <c r="X111" s="51"/>
      <c r="Y111" s="51"/>
    </row>
    <row r="112" spans="1:25" ht="14.25" customHeight="1" x14ac:dyDescent="0.2">
      <c r="A112" s="63"/>
      <c r="B112" s="63"/>
      <c r="C112" s="744"/>
      <c r="D112" s="742"/>
      <c r="E112" s="603" t="s">
        <v>582</v>
      </c>
      <c r="F112" s="618">
        <v>1.329</v>
      </c>
      <c r="G112" s="619" t="s">
        <v>432</v>
      </c>
      <c r="H112" s="155">
        <v>2</v>
      </c>
      <c r="I112" s="156">
        <v>7.2419999999999998E-2</v>
      </c>
      <c r="J112" s="156">
        <v>0.31291999999999998</v>
      </c>
      <c r="K112" s="156">
        <v>0.36652000000000001</v>
      </c>
      <c r="L112" s="155">
        <v>0.17499999999999999</v>
      </c>
      <c r="M112" s="156">
        <v>1.1010000000000001E-2</v>
      </c>
      <c r="N112" s="155">
        <v>0</v>
      </c>
      <c r="O112" s="156">
        <v>0</v>
      </c>
      <c r="P112" s="156">
        <v>0</v>
      </c>
      <c r="Q112" s="156">
        <v>0.10716000000000001</v>
      </c>
      <c r="R112" s="51"/>
      <c r="S112" s="51"/>
      <c r="T112" s="51"/>
      <c r="U112" s="51"/>
      <c r="V112" s="51"/>
      <c r="W112" s="51"/>
      <c r="X112" s="51"/>
      <c r="Y112" s="51"/>
    </row>
    <row r="113" spans="1:25" ht="14.25" customHeight="1" x14ac:dyDescent="0.2">
      <c r="A113" s="63"/>
      <c r="B113" s="63"/>
      <c r="C113" s="744"/>
      <c r="D113" s="740" t="s">
        <v>250</v>
      </c>
      <c r="E113" s="33" t="s">
        <v>251</v>
      </c>
      <c r="F113" s="614">
        <v>1.329</v>
      </c>
      <c r="G113" s="615" t="s">
        <v>432</v>
      </c>
      <c r="H113" s="151">
        <v>2</v>
      </c>
      <c r="I113" s="152">
        <v>7.2419999999999998E-2</v>
      </c>
      <c r="J113" s="152">
        <v>0.31291999999999998</v>
      </c>
      <c r="K113" s="152">
        <v>0.36652000000000001</v>
      </c>
      <c r="L113" s="151">
        <v>0.28599999999999998</v>
      </c>
      <c r="M113" s="152">
        <v>1.346E-2</v>
      </c>
      <c r="N113" s="151">
        <v>0</v>
      </c>
      <c r="O113" s="152">
        <v>0</v>
      </c>
      <c r="P113" s="152">
        <v>3.9260000000000003E-2</v>
      </c>
      <c r="Q113" s="152">
        <v>0.10716000000000001</v>
      </c>
      <c r="R113" s="51"/>
      <c r="S113" s="51"/>
      <c r="T113" s="51"/>
      <c r="U113" s="51"/>
      <c r="V113" s="51"/>
      <c r="W113" s="51"/>
      <c r="X113" s="51"/>
      <c r="Y113" s="51"/>
    </row>
    <row r="114" spans="1:25" ht="14.25" customHeight="1" x14ac:dyDescent="0.2">
      <c r="A114" s="63"/>
      <c r="B114" s="63"/>
      <c r="C114" s="744"/>
      <c r="D114" s="741"/>
      <c r="E114" s="34" t="s">
        <v>583</v>
      </c>
      <c r="F114" s="616">
        <v>1.329</v>
      </c>
      <c r="G114" s="617" t="s">
        <v>432</v>
      </c>
      <c r="H114" s="153">
        <v>2</v>
      </c>
      <c r="I114" s="154">
        <v>7.2419999999999998E-2</v>
      </c>
      <c r="J114" s="154">
        <v>0.31291999999999998</v>
      </c>
      <c r="K114" s="154">
        <v>0.36652000000000001</v>
      </c>
      <c r="L114" s="153">
        <v>0.28599999999999998</v>
      </c>
      <c r="M114" s="154">
        <v>1.346E-2</v>
      </c>
      <c r="N114" s="153">
        <v>0</v>
      </c>
      <c r="O114" s="154">
        <v>0</v>
      </c>
      <c r="P114" s="154">
        <v>0</v>
      </c>
      <c r="Q114" s="154">
        <v>0</v>
      </c>
      <c r="R114" s="51"/>
      <c r="S114" s="51"/>
      <c r="T114" s="51"/>
      <c r="U114" s="51"/>
      <c r="V114" s="51"/>
      <c r="W114" s="51"/>
      <c r="X114" s="51"/>
      <c r="Y114" s="51"/>
    </row>
    <row r="115" spans="1:25" ht="14.25" customHeight="1" x14ac:dyDescent="0.2">
      <c r="A115" s="63"/>
      <c r="B115" s="63"/>
      <c r="C115" s="744"/>
      <c r="D115" s="741"/>
      <c r="E115" s="34" t="s">
        <v>584</v>
      </c>
      <c r="F115" s="616">
        <v>1.329</v>
      </c>
      <c r="G115" s="617" t="s">
        <v>432</v>
      </c>
      <c r="H115" s="153">
        <v>2</v>
      </c>
      <c r="I115" s="154">
        <v>7.2419999999999998E-2</v>
      </c>
      <c r="J115" s="154">
        <v>0.31291999999999998</v>
      </c>
      <c r="K115" s="154">
        <v>0.36652000000000001</v>
      </c>
      <c r="L115" s="153">
        <v>0.28599999999999998</v>
      </c>
      <c r="M115" s="154">
        <v>1.346E-2</v>
      </c>
      <c r="N115" s="153">
        <v>0</v>
      </c>
      <c r="O115" s="154">
        <v>0</v>
      </c>
      <c r="P115" s="154">
        <v>3.9260000000000003E-2</v>
      </c>
      <c r="Q115" s="154">
        <v>0</v>
      </c>
      <c r="R115" s="51"/>
      <c r="S115" s="51"/>
      <c r="T115" s="51"/>
      <c r="U115" s="51"/>
      <c r="V115" s="51"/>
      <c r="W115" s="51"/>
      <c r="X115" s="51"/>
      <c r="Y115" s="51"/>
    </row>
    <row r="116" spans="1:25" ht="14.25" customHeight="1" x14ac:dyDescent="0.2">
      <c r="A116" s="63"/>
      <c r="B116" s="63"/>
      <c r="C116" s="744"/>
      <c r="D116" s="742"/>
      <c r="E116" s="603" t="s">
        <v>585</v>
      </c>
      <c r="F116" s="618">
        <v>1.329</v>
      </c>
      <c r="G116" s="619" t="s">
        <v>432</v>
      </c>
      <c r="H116" s="155">
        <v>2</v>
      </c>
      <c r="I116" s="156">
        <v>7.2419999999999998E-2</v>
      </c>
      <c r="J116" s="156">
        <v>0.31291999999999998</v>
      </c>
      <c r="K116" s="156">
        <v>0.36652000000000001</v>
      </c>
      <c r="L116" s="155">
        <v>0.28599999999999998</v>
      </c>
      <c r="M116" s="156">
        <v>1.346E-2</v>
      </c>
      <c r="N116" s="155">
        <v>0</v>
      </c>
      <c r="O116" s="156">
        <v>0</v>
      </c>
      <c r="P116" s="156">
        <v>0</v>
      </c>
      <c r="Q116" s="156">
        <v>0.10716000000000001</v>
      </c>
      <c r="R116" s="51"/>
      <c r="S116" s="51"/>
      <c r="T116" s="51"/>
      <c r="U116" s="51"/>
      <c r="V116" s="51"/>
      <c r="W116" s="51"/>
      <c r="X116" s="51"/>
      <c r="Y116" s="51"/>
    </row>
    <row r="117" spans="1:25" ht="14.25" customHeight="1" x14ac:dyDescent="0.2">
      <c r="A117" s="63"/>
      <c r="B117" s="63"/>
      <c r="C117" s="744"/>
      <c r="D117" s="740" t="s">
        <v>252</v>
      </c>
      <c r="E117" s="33" t="s">
        <v>253</v>
      </c>
      <c r="F117" s="614">
        <v>1.0760000000000001</v>
      </c>
      <c r="G117" s="615" t="s">
        <v>433</v>
      </c>
      <c r="H117" s="151">
        <v>1.25</v>
      </c>
      <c r="I117" s="152">
        <v>2.5499999999999998E-2</v>
      </c>
      <c r="J117" s="152">
        <v>5.2499999999999998E-2</v>
      </c>
      <c r="K117" s="152">
        <v>7.3550000000000004E-2</v>
      </c>
      <c r="L117" s="151">
        <v>0.14799999999999999</v>
      </c>
      <c r="M117" s="152">
        <v>7.3999999999999999E-4</v>
      </c>
      <c r="N117" s="151">
        <v>0</v>
      </c>
      <c r="O117" s="152">
        <v>0</v>
      </c>
      <c r="P117" s="152">
        <v>3.9260000000000003E-2</v>
      </c>
      <c r="Q117" s="152">
        <v>0.10716000000000001</v>
      </c>
      <c r="R117" s="51"/>
      <c r="S117" s="51"/>
      <c r="T117" s="51"/>
      <c r="U117" s="51"/>
      <c r="V117" s="51"/>
      <c r="W117" s="51"/>
      <c r="X117" s="51"/>
      <c r="Y117" s="51"/>
    </row>
    <row r="118" spans="1:25" ht="14.25" customHeight="1" x14ac:dyDescent="0.2">
      <c r="A118" s="63"/>
      <c r="B118" s="63"/>
      <c r="C118" s="744"/>
      <c r="D118" s="741"/>
      <c r="E118" s="34" t="s">
        <v>586</v>
      </c>
      <c r="F118" s="616">
        <v>1.0760000000000001</v>
      </c>
      <c r="G118" s="617" t="s">
        <v>433</v>
      </c>
      <c r="H118" s="153">
        <v>1.25</v>
      </c>
      <c r="I118" s="154">
        <v>2.5499999999999998E-2</v>
      </c>
      <c r="J118" s="154">
        <v>5.2499999999999998E-2</v>
      </c>
      <c r="K118" s="154">
        <v>7.3550000000000004E-2</v>
      </c>
      <c r="L118" s="153">
        <v>0.14799999999999999</v>
      </c>
      <c r="M118" s="154">
        <v>7.3999999999999999E-4</v>
      </c>
      <c r="N118" s="153">
        <v>0</v>
      </c>
      <c r="O118" s="154">
        <v>0</v>
      </c>
      <c r="P118" s="154">
        <v>0</v>
      </c>
      <c r="Q118" s="154">
        <v>0</v>
      </c>
      <c r="R118" s="51"/>
      <c r="S118" s="51"/>
      <c r="T118" s="51"/>
      <c r="U118" s="51"/>
      <c r="V118" s="51"/>
      <c r="W118" s="51"/>
      <c r="X118" s="51"/>
      <c r="Y118" s="51"/>
    </row>
    <row r="119" spans="1:25" ht="14.25" customHeight="1" x14ac:dyDescent="0.2">
      <c r="A119" s="63"/>
      <c r="B119" s="63"/>
      <c r="C119" s="744"/>
      <c r="D119" s="741"/>
      <c r="E119" s="34" t="s">
        <v>587</v>
      </c>
      <c r="F119" s="616">
        <v>1.0760000000000001</v>
      </c>
      <c r="G119" s="617" t="s">
        <v>433</v>
      </c>
      <c r="H119" s="153">
        <v>1.25</v>
      </c>
      <c r="I119" s="154">
        <v>2.5499999999999998E-2</v>
      </c>
      <c r="J119" s="154">
        <v>5.2499999999999998E-2</v>
      </c>
      <c r="K119" s="154">
        <v>7.3550000000000004E-2</v>
      </c>
      <c r="L119" s="153">
        <v>0.14799999999999999</v>
      </c>
      <c r="M119" s="154">
        <v>7.3999999999999999E-4</v>
      </c>
      <c r="N119" s="153">
        <v>0</v>
      </c>
      <c r="O119" s="154">
        <v>0</v>
      </c>
      <c r="P119" s="154">
        <v>3.9260000000000003E-2</v>
      </c>
      <c r="Q119" s="154">
        <v>0</v>
      </c>
      <c r="R119" s="51"/>
      <c r="S119" s="51"/>
      <c r="T119" s="51"/>
      <c r="U119" s="51"/>
      <c r="V119" s="51"/>
      <c r="W119" s="51"/>
      <c r="X119" s="51"/>
      <c r="Y119" s="51"/>
    </row>
    <row r="120" spans="1:25" ht="14.25" customHeight="1" x14ac:dyDescent="0.2">
      <c r="A120" s="63"/>
      <c r="B120" s="63"/>
      <c r="C120" s="745"/>
      <c r="D120" s="742"/>
      <c r="E120" s="603" t="s">
        <v>588</v>
      </c>
      <c r="F120" s="618">
        <v>1.0760000000000001</v>
      </c>
      <c r="G120" s="619" t="s">
        <v>433</v>
      </c>
      <c r="H120" s="155">
        <v>1.25</v>
      </c>
      <c r="I120" s="156">
        <v>2.5499999999999998E-2</v>
      </c>
      <c r="J120" s="156">
        <v>5.2499999999999998E-2</v>
      </c>
      <c r="K120" s="156">
        <v>7.3550000000000004E-2</v>
      </c>
      <c r="L120" s="155">
        <v>0.14799999999999999</v>
      </c>
      <c r="M120" s="156">
        <v>7.3999999999999999E-4</v>
      </c>
      <c r="N120" s="155">
        <v>0</v>
      </c>
      <c r="O120" s="156">
        <v>0</v>
      </c>
      <c r="P120" s="156">
        <v>0</v>
      </c>
      <c r="Q120" s="156">
        <v>0.10716000000000001</v>
      </c>
      <c r="R120" s="51"/>
      <c r="S120" s="51"/>
      <c r="T120" s="51"/>
      <c r="U120" s="51"/>
      <c r="V120" s="51"/>
      <c r="W120" s="51"/>
      <c r="X120" s="51"/>
      <c r="Y120" s="51"/>
    </row>
    <row r="121" spans="1:25" ht="12.75" customHeight="1" x14ac:dyDescent="0.2">
      <c r="A121" s="63"/>
      <c r="B121" s="63"/>
      <c r="C121" s="57"/>
      <c r="D121" s="57"/>
      <c r="E121" s="57"/>
      <c r="F121" s="57"/>
      <c r="G121" s="57"/>
      <c r="H121" s="57"/>
      <c r="I121" s="57"/>
      <c r="J121" s="69"/>
      <c r="K121" s="69"/>
      <c r="L121" s="69"/>
      <c r="M121" s="57"/>
      <c r="N121" s="57"/>
      <c r="O121" s="57"/>
      <c r="P121" s="60"/>
      <c r="Q121" s="51"/>
      <c r="R121" s="51"/>
      <c r="S121" s="51"/>
      <c r="T121" s="51"/>
      <c r="U121" s="51"/>
      <c r="V121" s="51"/>
      <c r="W121" s="51"/>
      <c r="X121" s="51"/>
      <c r="Y121" s="51"/>
    </row>
    <row r="122" spans="1:25" s="657" customFormat="1" x14ac:dyDescent="0.2">
      <c r="A122" s="566"/>
      <c r="B122" s="566"/>
      <c r="C122" s="8" t="s">
        <v>96</v>
      </c>
      <c r="D122" s="567"/>
      <c r="E122" s="568"/>
      <c r="F122" s="568"/>
      <c r="G122" s="568"/>
      <c r="H122" s="568"/>
      <c r="I122" s="568"/>
      <c r="J122" s="568"/>
      <c r="K122" s="569"/>
      <c r="L122" s="569"/>
      <c r="M122" s="569"/>
      <c r="N122" s="569"/>
      <c r="O122" s="569"/>
      <c r="P122" s="60"/>
      <c r="Q122" s="57"/>
      <c r="R122" s="57"/>
      <c r="S122" s="57"/>
      <c r="T122" s="57"/>
      <c r="U122" s="57"/>
      <c r="V122" s="57"/>
      <c r="W122" s="57"/>
      <c r="X122" s="57"/>
      <c r="Y122" s="57"/>
    </row>
    <row r="123" spans="1:25" s="657" customFormat="1" x14ac:dyDescent="0.2">
      <c r="A123" s="566"/>
      <c r="B123" s="566"/>
      <c r="C123" s="30" t="s">
        <v>97</v>
      </c>
      <c r="D123" s="570"/>
      <c r="E123" s="570"/>
      <c r="F123" s="570"/>
      <c r="G123" s="570"/>
      <c r="H123" s="570"/>
      <c r="I123" s="570"/>
      <c r="J123" s="570"/>
      <c r="K123" s="570"/>
      <c r="L123" s="570"/>
      <c r="M123" s="570"/>
      <c r="N123" s="570"/>
      <c r="O123" s="570"/>
      <c r="P123" s="60"/>
      <c r="Q123" s="57"/>
      <c r="R123" s="57"/>
      <c r="S123" s="57"/>
      <c r="T123" s="57"/>
      <c r="U123" s="57"/>
      <c r="V123" s="57"/>
      <c r="W123" s="57"/>
      <c r="X123" s="57"/>
      <c r="Y123" s="57"/>
    </row>
    <row r="124" spans="1:25" s="657" customFormat="1" x14ac:dyDescent="0.2">
      <c r="A124" s="566"/>
      <c r="B124" s="566"/>
      <c r="C124" s="571"/>
      <c r="D124" s="571"/>
      <c r="E124" s="568"/>
      <c r="F124" s="568"/>
      <c r="G124" s="568"/>
      <c r="H124" s="568"/>
      <c r="I124" s="568"/>
      <c r="J124" s="568"/>
      <c r="K124" s="569"/>
      <c r="L124" s="569"/>
      <c r="M124" s="569"/>
      <c r="N124" s="569"/>
      <c r="O124" s="569"/>
      <c r="P124" s="60"/>
      <c r="Q124" s="57"/>
      <c r="R124" s="57"/>
      <c r="S124" s="57"/>
      <c r="T124" s="57"/>
      <c r="U124" s="57"/>
      <c r="V124" s="57"/>
      <c r="W124" s="57"/>
      <c r="X124" s="57"/>
      <c r="Y124" s="57"/>
    </row>
    <row r="125" spans="1:25" s="107" customFormat="1" ht="14.25" customHeight="1" x14ac:dyDescent="0.2">
      <c r="A125" s="71"/>
      <c r="B125" s="71"/>
      <c r="C125" s="749" t="s">
        <v>1637</v>
      </c>
      <c r="D125" s="750"/>
      <c r="E125" s="750"/>
      <c r="F125" s="750"/>
      <c r="G125" s="750"/>
      <c r="H125" s="750"/>
      <c r="I125" s="750"/>
      <c r="J125" s="750"/>
      <c r="K125" s="750"/>
      <c r="L125" s="750"/>
      <c r="M125" s="750"/>
      <c r="N125" s="750"/>
      <c r="O125" s="750"/>
      <c r="P125" s="751"/>
      <c r="Q125" s="71"/>
      <c r="R125" s="71"/>
      <c r="S125" s="71"/>
      <c r="T125" s="71"/>
      <c r="U125" s="71"/>
      <c r="V125" s="71"/>
      <c r="W125" s="71"/>
      <c r="X125" s="71"/>
      <c r="Y125" s="71"/>
    </row>
    <row r="126" spans="1:25" s="107" customFormat="1" ht="41.25" customHeight="1" x14ac:dyDescent="0.2">
      <c r="A126" s="71"/>
      <c r="B126" s="71"/>
      <c r="C126" s="746" t="s">
        <v>254</v>
      </c>
      <c r="D126" s="747"/>
      <c r="E126" s="747"/>
      <c r="F126" s="747"/>
      <c r="G126" s="747"/>
      <c r="H126" s="747"/>
      <c r="I126" s="747"/>
      <c r="J126" s="747"/>
      <c r="K126" s="747"/>
      <c r="L126" s="747"/>
      <c r="M126" s="747"/>
      <c r="N126" s="747"/>
      <c r="O126" s="747"/>
      <c r="P126" s="748"/>
      <c r="Q126" s="71"/>
      <c r="R126" s="71"/>
      <c r="S126" s="71"/>
      <c r="T126" s="71"/>
      <c r="U126" s="71"/>
      <c r="V126" s="71"/>
      <c r="W126" s="71"/>
      <c r="X126" s="71"/>
      <c r="Y126" s="71"/>
    </row>
    <row r="127" spans="1:25" s="107" customFormat="1" ht="30" customHeight="1" x14ac:dyDescent="0.2">
      <c r="A127" s="71"/>
      <c r="B127" s="71"/>
      <c r="C127" s="769" t="s">
        <v>24</v>
      </c>
      <c r="D127" s="769" t="s">
        <v>25</v>
      </c>
      <c r="E127" s="769" t="s">
        <v>2</v>
      </c>
      <c r="F127" s="772" t="s">
        <v>26</v>
      </c>
      <c r="G127" s="773"/>
      <c r="H127" s="736" t="s">
        <v>27</v>
      </c>
      <c r="I127" s="789"/>
      <c r="J127" s="737"/>
      <c r="K127" s="782" t="s">
        <v>28</v>
      </c>
      <c r="L127" s="760"/>
      <c r="M127" s="783" t="s">
        <v>29</v>
      </c>
      <c r="N127" s="784"/>
      <c r="O127" s="725" t="s">
        <v>444</v>
      </c>
      <c r="P127" s="726"/>
      <c r="Q127" s="71"/>
      <c r="R127" s="71"/>
      <c r="S127" s="71"/>
      <c r="T127" s="71"/>
      <c r="U127" s="71"/>
      <c r="V127" s="71"/>
      <c r="W127" s="71"/>
      <c r="X127" s="71"/>
      <c r="Y127" s="71"/>
    </row>
    <row r="128" spans="1:25" s="107" customFormat="1" ht="39.950000000000003" customHeight="1" x14ac:dyDescent="0.2">
      <c r="A128" s="71"/>
      <c r="B128" s="71"/>
      <c r="C128" s="770"/>
      <c r="D128" s="770"/>
      <c r="E128" s="770"/>
      <c r="F128" s="774"/>
      <c r="G128" s="775"/>
      <c r="H128" s="785" t="s">
        <v>3</v>
      </c>
      <c r="I128" s="736" t="s">
        <v>195</v>
      </c>
      <c r="J128" s="737"/>
      <c r="K128" s="765" t="s">
        <v>255</v>
      </c>
      <c r="L128" s="765" t="s">
        <v>256</v>
      </c>
      <c r="M128" s="767" t="s">
        <v>32</v>
      </c>
      <c r="N128" s="767" t="s">
        <v>33</v>
      </c>
      <c r="O128" s="727" t="s">
        <v>445</v>
      </c>
      <c r="P128" s="727" t="s">
        <v>446</v>
      </c>
      <c r="Q128" s="71"/>
      <c r="R128" s="71"/>
      <c r="S128" s="71"/>
      <c r="T128" s="71"/>
      <c r="U128" s="71"/>
      <c r="V128" s="71"/>
      <c r="W128" s="71"/>
      <c r="X128" s="71"/>
      <c r="Y128" s="71"/>
    </row>
    <row r="129" spans="1:25" s="107" customFormat="1" ht="39.950000000000003" customHeight="1" x14ac:dyDescent="0.2">
      <c r="A129" s="71"/>
      <c r="B129" s="71"/>
      <c r="C129" s="770"/>
      <c r="D129" s="770"/>
      <c r="E129" s="770"/>
      <c r="F129" s="776"/>
      <c r="G129" s="777"/>
      <c r="H129" s="785"/>
      <c r="I129" s="463" t="s">
        <v>257</v>
      </c>
      <c r="J129" s="50" t="s">
        <v>258</v>
      </c>
      <c r="K129" s="766"/>
      <c r="L129" s="766"/>
      <c r="M129" s="768"/>
      <c r="N129" s="768"/>
      <c r="O129" s="728"/>
      <c r="P129" s="728"/>
      <c r="Q129" s="71"/>
      <c r="R129" s="71"/>
      <c r="S129" s="71"/>
      <c r="T129" s="71"/>
      <c r="U129" s="71"/>
      <c r="V129" s="71"/>
      <c r="W129" s="71"/>
      <c r="X129" s="71"/>
      <c r="Y129" s="71"/>
    </row>
    <row r="130" spans="1:25" s="107" customFormat="1" ht="30" customHeight="1" x14ac:dyDescent="0.2">
      <c r="A130" s="71"/>
      <c r="B130" s="71"/>
      <c r="C130" s="771"/>
      <c r="D130" s="771"/>
      <c r="E130" s="771"/>
      <c r="F130" s="461" t="s">
        <v>11</v>
      </c>
      <c r="G130" s="462" t="s">
        <v>12</v>
      </c>
      <c r="H130" s="13" t="s">
        <v>13</v>
      </c>
      <c r="I130" s="14" t="s">
        <v>16</v>
      </c>
      <c r="J130" s="14" t="s">
        <v>16</v>
      </c>
      <c r="K130" s="459" t="s">
        <v>13</v>
      </c>
      <c r="L130" s="61" t="s">
        <v>16</v>
      </c>
      <c r="M130" s="62" t="s">
        <v>13</v>
      </c>
      <c r="N130" s="18" t="s">
        <v>16</v>
      </c>
      <c r="O130" s="105" t="s">
        <v>13</v>
      </c>
      <c r="P130" s="105" t="s">
        <v>13</v>
      </c>
      <c r="Q130" s="71"/>
      <c r="R130" s="71"/>
      <c r="S130" s="71"/>
      <c r="T130" s="71"/>
      <c r="U130" s="71"/>
      <c r="V130" s="71"/>
      <c r="W130" s="71"/>
      <c r="X130" s="71"/>
      <c r="Y130" s="71"/>
    </row>
    <row r="131" spans="1:25" ht="13.5" customHeight="1" x14ac:dyDescent="0.2">
      <c r="A131" s="51"/>
      <c r="B131" s="51"/>
      <c r="C131" s="743" t="s">
        <v>259</v>
      </c>
      <c r="D131" s="740" t="s">
        <v>260</v>
      </c>
      <c r="E131" s="33" t="s">
        <v>261</v>
      </c>
      <c r="F131" s="614">
        <v>1.097</v>
      </c>
      <c r="G131" s="624" t="s">
        <v>431</v>
      </c>
      <c r="H131" s="151">
        <v>1.25</v>
      </c>
      <c r="I131" s="152">
        <v>0.40443000000000001</v>
      </c>
      <c r="J131" s="152">
        <v>4.1579999999999999E-2</v>
      </c>
      <c r="K131" s="151">
        <v>0.1</v>
      </c>
      <c r="L131" s="152">
        <v>9.3299999999999998E-3</v>
      </c>
      <c r="M131" s="151">
        <v>0</v>
      </c>
      <c r="N131" s="152">
        <v>0</v>
      </c>
      <c r="O131" s="621">
        <v>3.9260000000000003E-2</v>
      </c>
      <c r="P131" s="152">
        <v>0.10716000000000001</v>
      </c>
      <c r="Q131" s="51"/>
      <c r="R131" s="51"/>
      <c r="S131" s="51"/>
      <c r="T131" s="51"/>
      <c r="U131" s="51"/>
      <c r="V131" s="51"/>
      <c r="W131" s="51"/>
      <c r="X131" s="51"/>
      <c r="Y131" s="51"/>
    </row>
    <row r="132" spans="1:25" ht="13.5" customHeight="1" x14ac:dyDescent="0.2">
      <c r="A132" s="51"/>
      <c r="B132" s="51"/>
      <c r="C132" s="744"/>
      <c r="D132" s="741"/>
      <c r="E132" s="34" t="s">
        <v>589</v>
      </c>
      <c r="F132" s="616">
        <v>1.097</v>
      </c>
      <c r="G132" s="601" t="s">
        <v>431</v>
      </c>
      <c r="H132" s="153">
        <v>1.25</v>
      </c>
      <c r="I132" s="154">
        <v>0.40443000000000001</v>
      </c>
      <c r="J132" s="154">
        <v>4.1579999999999999E-2</v>
      </c>
      <c r="K132" s="153">
        <v>0.1</v>
      </c>
      <c r="L132" s="154">
        <v>9.3299999999999998E-3</v>
      </c>
      <c r="M132" s="153">
        <v>0</v>
      </c>
      <c r="N132" s="154">
        <v>0</v>
      </c>
      <c r="O132" s="622">
        <v>0</v>
      </c>
      <c r="P132" s="154">
        <v>0</v>
      </c>
      <c r="Q132" s="51"/>
      <c r="R132" s="51"/>
      <c r="S132" s="51"/>
      <c r="T132" s="51"/>
      <c r="U132" s="51"/>
      <c r="V132" s="51"/>
      <c r="W132" s="51"/>
      <c r="X132" s="51"/>
      <c r="Y132" s="51"/>
    </row>
    <row r="133" spans="1:25" ht="13.5" customHeight="1" x14ac:dyDescent="0.2">
      <c r="A133" s="51"/>
      <c r="B133" s="51"/>
      <c r="C133" s="744"/>
      <c r="D133" s="741"/>
      <c r="E133" s="34" t="s">
        <v>593</v>
      </c>
      <c r="F133" s="616">
        <v>1.097</v>
      </c>
      <c r="G133" s="601" t="s">
        <v>431</v>
      </c>
      <c r="H133" s="153">
        <v>1.25</v>
      </c>
      <c r="I133" s="154">
        <v>0.40443000000000001</v>
      </c>
      <c r="J133" s="154">
        <v>4.1579999999999999E-2</v>
      </c>
      <c r="K133" s="153">
        <v>0.1</v>
      </c>
      <c r="L133" s="154">
        <v>9.3299999999999998E-3</v>
      </c>
      <c r="M133" s="153">
        <v>0</v>
      </c>
      <c r="N133" s="154">
        <v>0</v>
      </c>
      <c r="O133" s="622">
        <v>3.9260000000000003E-2</v>
      </c>
      <c r="P133" s="154">
        <v>0</v>
      </c>
      <c r="Q133" s="51"/>
      <c r="R133" s="51"/>
      <c r="S133" s="51"/>
      <c r="T133" s="51"/>
      <c r="U133" s="51"/>
      <c r="V133" s="51"/>
      <c r="W133" s="51"/>
      <c r="X133" s="51"/>
      <c r="Y133" s="51"/>
    </row>
    <row r="134" spans="1:25" ht="13.5" customHeight="1" x14ac:dyDescent="0.2">
      <c r="A134" s="51"/>
      <c r="B134" s="51"/>
      <c r="C134" s="744"/>
      <c r="D134" s="742"/>
      <c r="E134" s="603" t="s">
        <v>1751</v>
      </c>
      <c r="F134" s="618">
        <v>1.097</v>
      </c>
      <c r="G134" s="602" t="s">
        <v>431</v>
      </c>
      <c r="H134" s="155">
        <v>1.25</v>
      </c>
      <c r="I134" s="156">
        <v>0.40443000000000001</v>
      </c>
      <c r="J134" s="156">
        <v>4.1579999999999999E-2</v>
      </c>
      <c r="K134" s="155">
        <v>0.1</v>
      </c>
      <c r="L134" s="156">
        <v>9.3299999999999998E-3</v>
      </c>
      <c r="M134" s="155">
        <v>0</v>
      </c>
      <c r="N134" s="156">
        <v>0</v>
      </c>
      <c r="O134" s="623">
        <v>0</v>
      </c>
      <c r="P134" s="156">
        <v>0.10716000000000001</v>
      </c>
      <c r="Q134" s="51"/>
      <c r="R134" s="51"/>
      <c r="S134" s="51"/>
      <c r="T134" s="51"/>
      <c r="U134" s="51"/>
      <c r="V134" s="51"/>
      <c r="W134" s="51"/>
      <c r="X134" s="51"/>
      <c r="Y134" s="51"/>
    </row>
    <row r="135" spans="1:25" s="106" customFormat="1" ht="13.5" customHeight="1" x14ac:dyDescent="0.2">
      <c r="A135" s="3"/>
      <c r="B135" s="3"/>
      <c r="C135" s="744"/>
      <c r="D135" s="740" t="s">
        <v>262</v>
      </c>
      <c r="E135" s="33" t="s">
        <v>263</v>
      </c>
      <c r="F135" s="614">
        <v>1.097</v>
      </c>
      <c r="G135" s="624" t="s">
        <v>431</v>
      </c>
      <c r="H135" s="151">
        <v>1.25</v>
      </c>
      <c r="I135" s="152">
        <v>0.40443000000000001</v>
      </c>
      <c r="J135" s="152">
        <v>4.1579999999999999E-2</v>
      </c>
      <c r="K135" s="151">
        <v>0.17499999999999999</v>
      </c>
      <c r="L135" s="152">
        <v>1.1010000000000001E-2</v>
      </c>
      <c r="M135" s="151">
        <v>0</v>
      </c>
      <c r="N135" s="152">
        <v>0</v>
      </c>
      <c r="O135" s="621">
        <v>3.9260000000000003E-2</v>
      </c>
      <c r="P135" s="152">
        <v>0.10716000000000001</v>
      </c>
      <c r="Q135" s="9"/>
      <c r="R135" s="9"/>
      <c r="S135" s="3"/>
      <c r="T135" s="3"/>
      <c r="U135" s="3"/>
      <c r="V135" s="3"/>
      <c r="W135" s="3"/>
      <c r="X135" s="3"/>
      <c r="Y135" s="3"/>
    </row>
    <row r="136" spans="1:25" s="106" customFormat="1" ht="13.5" customHeight="1" x14ac:dyDescent="0.2">
      <c r="A136" s="3"/>
      <c r="B136" s="3"/>
      <c r="C136" s="744"/>
      <c r="D136" s="741"/>
      <c r="E136" s="34" t="s">
        <v>589</v>
      </c>
      <c r="F136" s="616">
        <v>1.097</v>
      </c>
      <c r="G136" s="601" t="s">
        <v>431</v>
      </c>
      <c r="H136" s="153">
        <v>1.25</v>
      </c>
      <c r="I136" s="154">
        <v>0.40443000000000001</v>
      </c>
      <c r="J136" s="154">
        <v>4.1579999999999999E-2</v>
      </c>
      <c r="K136" s="153">
        <v>0.17499999999999999</v>
      </c>
      <c r="L136" s="154">
        <v>1.1010000000000001E-2</v>
      </c>
      <c r="M136" s="153">
        <v>0</v>
      </c>
      <c r="N136" s="154">
        <v>0</v>
      </c>
      <c r="O136" s="622">
        <v>0</v>
      </c>
      <c r="P136" s="154">
        <v>0</v>
      </c>
      <c r="Q136" s="9"/>
      <c r="R136" s="9"/>
      <c r="S136" s="3"/>
      <c r="T136" s="3"/>
      <c r="U136" s="3"/>
      <c r="V136" s="3"/>
      <c r="W136" s="3"/>
      <c r="X136" s="3"/>
      <c r="Y136" s="3"/>
    </row>
    <row r="137" spans="1:25" s="106" customFormat="1" ht="13.5" customHeight="1" x14ac:dyDescent="0.2">
      <c r="A137" s="3"/>
      <c r="B137" s="3"/>
      <c r="C137" s="744"/>
      <c r="D137" s="741"/>
      <c r="E137" s="34" t="s">
        <v>590</v>
      </c>
      <c r="F137" s="616">
        <v>1.097</v>
      </c>
      <c r="G137" s="601" t="s">
        <v>431</v>
      </c>
      <c r="H137" s="153">
        <v>1.25</v>
      </c>
      <c r="I137" s="154">
        <v>0.40443000000000001</v>
      </c>
      <c r="J137" s="154">
        <v>4.1579999999999999E-2</v>
      </c>
      <c r="K137" s="153">
        <v>0.17499999999999999</v>
      </c>
      <c r="L137" s="154">
        <v>1.1010000000000001E-2</v>
      </c>
      <c r="M137" s="153">
        <v>0</v>
      </c>
      <c r="N137" s="154">
        <v>0</v>
      </c>
      <c r="O137" s="622">
        <v>3.9260000000000003E-2</v>
      </c>
      <c r="P137" s="154">
        <v>0</v>
      </c>
      <c r="Q137" s="9"/>
      <c r="R137" s="9"/>
      <c r="S137" s="3"/>
      <c r="T137" s="3"/>
      <c r="U137" s="3"/>
      <c r="V137" s="3"/>
      <c r="W137" s="3"/>
      <c r="X137" s="3"/>
      <c r="Y137" s="3"/>
    </row>
    <row r="138" spans="1:25" s="106" customFormat="1" ht="13.5" customHeight="1" x14ac:dyDescent="0.2">
      <c r="A138" s="3"/>
      <c r="B138" s="3"/>
      <c r="C138" s="744"/>
      <c r="D138" s="742"/>
      <c r="E138" s="603" t="s">
        <v>591</v>
      </c>
      <c r="F138" s="618">
        <v>1.097</v>
      </c>
      <c r="G138" s="602" t="s">
        <v>431</v>
      </c>
      <c r="H138" s="155">
        <v>1.25</v>
      </c>
      <c r="I138" s="156">
        <v>0.40443000000000001</v>
      </c>
      <c r="J138" s="156">
        <v>4.1579999999999999E-2</v>
      </c>
      <c r="K138" s="155">
        <v>0.17499999999999999</v>
      </c>
      <c r="L138" s="156">
        <v>1.1010000000000001E-2</v>
      </c>
      <c r="M138" s="155">
        <v>0</v>
      </c>
      <c r="N138" s="156">
        <v>0</v>
      </c>
      <c r="O138" s="623">
        <v>0</v>
      </c>
      <c r="P138" s="156">
        <v>0.10716000000000001</v>
      </c>
      <c r="Q138" s="9"/>
      <c r="R138" s="9"/>
      <c r="S138" s="3"/>
      <c r="T138" s="3"/>
      <c r="U138" s="3"/>
      <c r="V138" s="3"/>
      <c r="W138" s="3"/>
      <c r="X138" s="3"/>
      <c r="Y138" s="3"/>
    </row>
    <row r="139" spans="1:25" x14ac:dyDescent="0.2">
      <c r="A139" s="51"/>
      <c r="B139" s="51"/>
      <c r="C139" s="744"/>
      <c r="D139" s="740" t="s">
        <v>264</v>
      </c>
      <c r="E139" s="33" t="s">
        <v>265</v>
      </c>
      <c r="F139" s="614">
        <v>1.097</v>
      </c>
      <c r="G139" s="624" t="s">
        <v>431</v>
      </c>
      <c r="H139" s="151">
        <v>1.25</v>
      </c>
      <c r="I139" s="152">
        <v>0.40443000000000001</v>
      </c>
      <c r="J139" s="152">
        <v>4.1579999999999999E-2</v>
      </c>
      <c r="K139" s="151">
        <v>0.28599999999999998</v>
      </c>
      <c r="L139" s="152">
        <v>1.346E-2</v>
      </c>
      <c r="M139" s="151">
        <v>0</v>
      </c>
      <c r="N139" s="152">
        <v>0</v>
      </c>
      <c r="O139" s="621">
        <v>3.9260000000000003E-2</v>
      </c>
      <c r="P139" s="152">
        <v>0.10716000000000001</v>
      </c>
      <c r="Q139" s="3"/>
      <c r="R139" s="3"/>
      <c r="S139" s="51"/>
      <c r="T139" s="51"/>
      <c r="U139" s="51"/>
      <c r="V139" s="51"/>
      <c r="W139" s="51"/>
      <c r="X139" s="51"/>
      <c r="Y139" s="51"/>
    </row>
    <row r="140" spans="1:25" x14ac:dyDescent="0.2">
      <c r="A140" s="51"/>
      <c r="B140" s="51"/>
      <c r="C140" s="744"/>
      <c r="D140" s="741"/>
      <c r="E140" s="34" t="s">
        <v>592</v>
      </c>
      <c r="F140" s="616">
        <v>1.097</v>
      </c>
      <c r="G140" s="601" t="s">
        <v>431</v>
      </c>
      <c r="H140" s="153">
        <v>1.25</v>
      </c>
      <c r="I140" s="154">
        <v>0.40443000000000001</v>
      </c>
      <c r="J140" s="154">
        <v>4.1579999999999999E-2</v>
      </c>
      <c r="K140" s="153">
        <v>0.28599999999999998</v>
      </c>
      <c r="L140" s="154">
        <v>1.346E-2</v>
      </c>
      <c r="M140" s="153">
        <v>0</v>
      </c>
      <c r="N140" s="154">
        <v>0</v>
      </c>
      <c r="O140" s="622">
        <v>0</v>
      </c>
      <c r="P140" s="154">
        <v>0</v>
      </c>
      <c r="Q140" s="3"/>
      <c r="R140" s="3"/>
      <c r="S140" s="51"/>
      <c r="T140" s="51"/>
      <c r="U140" s="51"/>
      <c r="V140" s="51"/>
      <c r="W140" s="51"/>
      <c r="X140" s="51"/>
      <c r="Y140" s="51"/>
    </row>
    <row r="141" spans="1:25" x14ac:dyDescent="0.2">
      <c r="A141" s="51"/>
      <c r="B141" s="51"/>
      <c r="C141" s="744"/>
      <c r="D141" s="741"/>
      <c r="E141" s="34" t="s">
        <v>593</v>
      </c>
      <c r="F141" s="616">
        <v>1.097</v>
      </c>
      <c r="G141" s="601" t="s">
        <v>431</v>
      </c>
      <c r="H141" s="153">
        <v>1.25</v>
      </c>
      <c r="I141" s="154">
        <v>0.40443000000000001</v>
      </c>
      <c r="J141" s="154">
        <v>4.1579999999999999E-2</v>
      </c>
      <c r="K141" s="153">
        <v>0.28599999999999998</v>
      </c>
      <c r="L141" s="154">
        <v>1.346E-2</v>
      </c>
      <c r="M141" s="153">
        <v>0</v>
      </c>
      <c r="N141" s="154">
        <v>0</v>
      </c>
      <c r="O141" s="622">
        <v>3.9260000000000003E-2</v>
      </c>
      <c r="P141" s="154">
        <v>0</v>
      </c>
      <c r="Q141" s="3"/>
      <c r="R141" s="3"/>
      <c r="S141" s="51"/>
      <c r="T141" s="51"/>
      <c r="U141" s="51"/>
      <c r="V141" s="51"/>
      <c r="W141" s="51"/>
      <c r="X141" s="51"/>
      <c r="Y141" s="51"/>
    </row>
    <row r="142" spans="1:25" x14ac:dyDescent="0.2">
      <c r="A142" s="51"/>
      <c r="B142" s="51"/>
      <c r="C142" s="744"/>
      <c r="D142" s="742"/>
      <c r="E142" s="603" t="s">
        <v>594</v>
      </c>
      <c r="F142" s="618">
        <v>1.097</v>
      </c>
      <c r="G142" s="602" t="s">
        <v>431</v>
      </c>
      <c r="H142" s="155">
        <v>1.25</v>
      </c>
      <c r="I142" s="156">
        <v>0.40443000000000001</v>
      </c>
      <c r="J142" s="156">
        <v>4.1579999999999999E-2</v>
      </c>
      <c r="K142" s="155">
        <v>0.28599999999999998</v>
      </c>
      <c r="L142" s="156">
        <v>1.346E-2</v>
      </c>
      <c r="M142" s="155">
        <v>0</v>
      </c>
      <c r="N142" s="156">
        <v>0</v>
      </c>
      <c r="O142" s="623">
        <v>0</v>
      </c>
      <c r="P142" s="156">
        <v>0.10716000000000001</v>
      </c>
      <c r="Q142" s="3"/>
      <c r="R142" s="3"/>
      <c r="S142" s="51"/>
      <c r="T142" s="51"/>
      <c r="U142" s="51"/>
      <c r="V142" s="51"/>
      <c r="W142" s="51"/>
      <c r="X142" s="51"/>
      <c r="Y142" s="51"/>
    </row>
    <row r="143" spans="1:25" x14ac:dyDescent="0.2">
      <c r="A143" s="51"/>
      <c r="B143" s="51"/>
      <c r="C143" s="744"/>
      <c r="D143" s="740" t="s">
        <v>266</v>
      </c>
      <c r="E143" s="33" t="s">
        <v>267</v>
      </c>
      <c r="F143" s="614">
        <v>1.329</v>
      </c>
      <c r="G143" s="624" t="s">
        <v>432</v>
      </c>
      <c r="H143" s="151">
        <v>2</v>
      </c>
      <c r="I143" s="152">
        <v>1.01244</v>
      </c>
      <c r="J143" s="152">
        <v>0.21779999999999999</v>
      </c>
      <c r="K143" s="151">
        <v>0.1</v>
      </c>
      <c r="L143" s="152">
        <v>9.3299999999999998E-3</v>
      </c>
      <c r="M143" s="151">
        <v>0</v>
      </c>
      <c r="N143" s="152">
        <v>0</v>
      </c>
      <c r="O143" s="621">
        <v>3.9260000000000003E-2</v>
      </c>
      <c r="P143" s="152">
        <v>0.10716000000000001</v>
      </c>
      <c r="Q143" s="3"/>
      <c r="R143" s="3"/>
      <c r="S143" s="51"/>
      <c r="T143" s="51"/>
      <c r="U143" s="51"/>
      <c r="V143" s="51"/>
      <c r="W143" s="51"/>
      <c r="X143" s="51"/>
      <c r="Y143" s="51"/>
    </row>
    <row r="144" spans="1:25" x14ac:dyDescent="0.2">
      <c r="A144" s="51"/>
      <c r="B144" s="51"/>
      <c r="C144" s="744"/>
      <c r="D144" s="741"/>
      <c r="E144" s="34" t="s">
        <v>595</v>
      </c>
      <c r="F144" s="616">
        <v>1.329</v>
      </c>
      <c r="G144" s="601" t="s">
        <v>432</v>
      </c>
      <c r="H144" s="153">
        <v>2</v>
      </c>
      <c r="I144" s="154">
        <v>1.01244</v>
      </c>
      <c r="J144" s="154">
        <v>0.21779999999999999</v>
      </c>
      <c r="K144" s="153">
        <v>0.1</v>
      </c>
      <c r="L144" s="154">
        <v>9.3299999999999998E-3</v>
      </c>
      <c r="M144" s="153">
        <v>0</v>
      </c>
      <c r="N144" s="154">
        <v>0</v>
      </c>
      <c r="O144" s="622">
        <v>0</v>
      </c>
      <c r="P144" s="154">
        <v>0</v>
      </c>
      <c r="Q144" s="3"/>
      <c r="R144" s="3"/>
      <c r="S144" s="51"/>
      <c r="T144" s="51"/>
      <c r="U144" s="51"/>
      <c r="V144" s="51"/>
      <c r="W144" s="51"/>
      <c r="X144" s="51"/>
      <c r="Y144" s="51"/>
    </row>
    <row r="145" spans="1:25" x14ac:dyDescent="0.2">
      <c r="A145" s="51"/>
      <c r="B145" s="51"/>
      <c r="C145" s="744"/>
      <c r="D145" s="741"/>
      <c r="E145" s="34" t="s">
        <v>596</v>
      </c>
      <c r="F145" s="616">
        <v>1.329</v>
      </c>
      <c r="G145" s="601" t="s">
        <v>432</v>
      </c>
      <c r="H145" s="153">
        <v>2</v>
      </c>
      <c r="I145" s="154">
        <v>1.01244</v>
      </c>
      <c r="J145" s="154">
        <v>0.21779999999999999</v>
      </c>
      <c r="K145" s="153">
        <v>0.1</v>
      </c>
      <c r="L145" s="154">
        <v>9.3299999999999998E-3</v>
      </c>
      <c r="M145" s="153">
        <v>0</v>
      </c>
      <c r="N145" s="154">
        <v>0</v>
      </c>
      <c r="O145" s="622">
        <v>3.9260000000000003E-2</v>
      </c>
      <c r="P145" s="154">
        <v>0</v>
      </c>
      <c r="Q145" s="3"/>
      <c r="R145" s="3"/>
      <c r="S145" s="51"/>
      <c r="T145" s="51"/>
      <c r="U145" s="51"/>
      <c r="V145" s="51"/>
      <c r="W145" s="51"/>
      <c r="X145" s="51"/>
      <c r="Y145" s="51"/>
    </row>
    <row r="146" spans="1:25" x14ac:dyDescent="0.2">
      <c r="A146" s="51"/>
      <c r="B146" s="51"/>
      <c r="C146" s="744"/>
      <c r="D146" s="742"/>
      <c r="E146" s="603" t="s">
        <v>597</v>
      </c>
      <c r="F146" s="618">
        <v>1.329</v>
      </c>
      <c r="G146" s="602" t="s">
        <v>432</v>
      </c>
      <c r="H146" s="155">
        <v>2</v>
      </c>
      <c r="I146" s="156">
        <v>1.01244</v>
      </c>
      <c r="J146" s="156">
        <v>0.21779999999999999</v>
      </c>
      <c r="K146" s="155">
        <v>0.1</v>
      </c>
      <c r="L146" s="156">
        <v>9.3299999999999998E-3</v>
      </c>
      <c r="M146" s="155">
        <v>0</v>
      </c>
      <c r="N146" s="156">
        <v>0</v>
      </c>
      <c r="O146" s="623">
        <v>0</v>
      </c>
      <c r="P146" s="156">
        <v>0.10716000000000001</v>
      </c>
      <c r="Q146" s="3"/>
      <c r="R146" s="3"/>
      <c r="S146" s="51"/>
      <c r="T146" s="51"/>
      <c r="U146" s="51"/>
      <c r="V146" s="51"/>
      <c r="W146" s="51"/>
      <c r="X146" s="51"/>
      <c r="Y146" s="51"/>
    </row>
    <row r="147" spans="1:25" x14ac:dyDescent="0.2">
      <c r="A147" s="51"/>
      <c r="B147" s="51"/>
      <c r="C147" s="744"/>
      <c r="D147" s="740" t="s">
        <v>268</v>
      </c>
      <c r="E147" s="33" t="s">
        <v>269</v>
      </c>
      <c r="F147" s="614">
        <v>1.329</v>
      </c>
      <c r="G147" s="624" t="s">
        <v>432</v>
      </c>
      <c r="H147" s="151">
        <v>2</v>
      </c>
      <c r="I147" s="152">
        <v>1.01244</v>
      </c>
      <c r="J147" s="152">
        <v>0.21779999999999999</v>
      </c>
      <c r="K147" s="151">
        <v>0.17499999999999999</v>
      </c>
      <c r="L147" s="152">
        <v>1.1010000000000001E-2</v>
      </c>
      <c r="M147" s="151">
        <v>0</v>
      </c>
      <c r="N147" s="152">
        <v>0</v>
      </c>
      <c r="O147" s="621">
        <v>3.9260000000000003E-2</v>
      </c>
      <c r="P147" s="152">
        <v>0.10716000000000001</v>
      </c>
      <c r="Q147" s="3"/>
      <c r="R147" s="3"/>
      <c r="S147" s="51"/>
      <c r="T147" s="51"/>
      <c r="U147" s="51"/>
      <c r="V147" s="51"/>
      <c r="W147" s="51"/>
      <c r="X147" s="51"/>
      <c r="Y147" s="51"/>
    </row>
    <row r="148" spans="1:25" x14ac:dyDescent="0.2">
      <c r="A148" s="51"/>
      <c r="B148" s="51"/>
      <c r="C148" s="744"/>
      <c r="D148" s="741"/>
      <c r="E148" s="34" t="s">
        <v>598</v>
      </c>
      <c r="F148" s="616">
        <v>1.329</v>
      </c>
      <c r="G148" s="601" t="s">
        <v>432</v>
      </c>
      <c r="H148" s="153">
        <v>2</v>
      </c>
      <c r="I148" s="154">
        <v>1.01244</v>
      </c>
      <c r="J148" s="154">
        <v>0.21779999999999999</v>
      </c>
      <c r="K148" s="153">
        <v>0.17499999999999999</v>
      </c>
      <c r="L148" s="154">
        <v>1.1010000000000001E-2</v>
      </c>
      <c r="M148" s="153">
        <v>0</v>
      </c>
      <c r="N148" s="154">
        <v>0</v>
      </c>
      <c r="O148" s="622">
        <v>0</v>
      </c>
      <c r="P148" s="154">
        <v>0</v>
      </c>
      <c r="Q148" s="3"/>
      <c r="R148" s="3"/>
      <c r="S148" s="51"/>
      <c r="T148" s="51"/>
      <c r="U148" s="51"/>
      <c r="V148" s="51"/>
      <c r="W148" s="51"/>
      <c r="X148" s="51"/>
      <c r="Y148" s="51"/>
    </row>
    <row r="149" spans="1:25" x14ac:dyDescent="0.2">
      <c r="A149" s="51"/>
      <c r="B149" s="51"/>
      <c r="C149" s="744"/>
      <c r="D149" s="741"/>
      <c r="E149" s="34" t="s">
        <v>599</v>
      </c>
      <c r="F149" s="616">
        <v>1.329</v>
      </c>
      <c r="G149" s="601" t="s">
        <v>432</v>
      </c>
      <c r="H149" s="153">
        <v>2</v>
      </c>
      <c r="I149" s="154">
        <v>1.01244</v>
      </c>
      <c r="J149" s="154">
        <v>0.21779999999999999</v>
      </c>
      <c r="K149" s="153">
        <v>0.17499999999999999</v>
      </c>
      <c r="L149" s="154">
        <v>1.1010000000000001E-2</v>
      </c>
      <c r="M149" s="153">
        <v>0</v>
      </c>
      <c r="N149" s="154">
        <v>0</v>
      </c>
      <c r="O149" s="622">
        <v>3.9260000000000003E-2</v>
      </c>
      <c r="P149" s="154">
        <v>0</v>
      </c>
      <c r="Q149" s="3"/>
      <c r="R149" s="3"/>
      <c r="S149" s="51"/>
      <c r="T149" s="51"/>
      <c r="U149" s="51"/>
      <c r="V149" s="51"/>
      <c r="W149" s="51"/>
      <c r="X149" s="51"/>
      <c r="Y149" s="51"/>
    </row>
    <row r="150" spans="1:25" x14ac:dyDescent="0.2">
      <c r="A150" s="51"/>
      <c r="B150" s="51"/>
      <c r="C150" s="744"/>
      <c r="D150" s="742"/>
      <c r="E150" s="603" t="s">
        <v>600</v>
      </c>
      <c r="F150" s="618">
        <v>1.329</v>
      </c>
      <c r="G150" s="602" t="s">
        <v>432</v>
      </c>
      <c r="H150" s="155">
        <v>2</v>
      </c>
      <c r="I150" s="156">
        <v>1.01244</v>
      </c>
      <c r="J150" s="156">
        <v>0.21779999999999999</v>
      </c>
      <c r="K150" s="155">
        <v>0.17499999999999999</v>
      </c>
      <c r="L150" s="156">
        <v>1.1010000000000001E-2</v>
      </c>
      <c r="M150" s="155">
        <v>0</v>
      </c>
      <c r="N150" s="156">
        <v>0</v>
      </c>
      <c r="O150" s="623">
        <v>0</v>
      </c>
      <c r="P150" s="156">
        <v>0.10716000000000001</v>
      </c>
      <c r="Q150" s="3"/>
      <c r="R150" s="3"/>
      <c r="S150" s="51"/>
      <c r="T150" s="51"/>
      <c r="U150" s="51"/>
      <c r="V150" s="51"/>
      <c r="W150" s="51"/>
      <c r="X150" s="51"/>
      <c r="Y150" s="51"/>
    </row>
    <row r="151" spans="1:25" x14ac:dyDescent="0.2">
      <c r="A151" s="51"/>
      <c r="B151" s="51"/>
      <c r="C151" s="744"/>
      <c r="D151" s="740" t="s">
        <v>270</v>
      </c>
      <c r="E151" s="33" t="s">
        <v>271</v>
      </c>
      <c r="F151" s="614">
        <v>1.329</v>
      </c>
      <c r="G151" s="624" t="s">
        <v>432</v>
      </c>
      <c r="H151" s="151">
        <v>2</v>
      </c>
      <c r="I151" s="152">
        <v>1.01244</v>
      </c>
      <c r="J151" s="152">
        <v>0.21779999999999999</v>
      </c>
      <c r="K151" s="151">
        <v>0.28599999999999998</v>
      </c>
      <c r="L151" s="152">
        <v>1.346E-2</v>
      </c>
      <c r="M151" s="151">
        <v>0</v>
      </c>
      <c r="N151" s="152">
        <v>0</v>
      </c>
      <c r="O151" s="621">
        <v>3.9260000000000003E-2</v>
      </c>
      <c r="P151" s="152">
        <v>0.10716000000000001</v>
      </c>
      <c r="Q151" s="3"/>
      <c r="R151" s="3"/>
      <c r="S151" s="51"/>
      <c r="T151" s="51"/>
      <c r="U151" s="51"/>
      <c r="V151" s="51"/>
      <c r="W151" s="51"/>
      <c r="X151" s="51"/>
      <c r="Y151" s="51"/>
    </row>
    <row r="152" spans="1:25" x14ac:dyDescent="0.2">
      <c r="A152" s="51"/>
      <c r="B152" s="51"/>
      <c r="C152" s="744"/>
      <c r="D152" s="741"/>
      <c r="E152" s="34" t="s">
        <v>601</v>
      </c>
      <c r="F152" s="616">
        <v>1.329</v>
      </c>
      <c r="G152" s="601" t="s">
        <v>432</v>
      </c>
      <c r="H152" s="153">
        <v>2</v>
      </c>
      <c r="I152" s="154">
        <v>1.01244</v>
      </c>
      <c r="J152" s="154">
        <v>0.21779999999999999</v>
      </c>
      <c r="K152" s="153">
        <v>0.28599999999999998</v>
      </c>
      <c r="L152" s="154">
        <v>1.346E-2</v>
      </c>
      <c r="M152" s="153">
        <v>0</v>
      </c>
      <c r="N152" s="154">
        <v>0</v>
      </c>
      <c r="O152" s="622">
        <v>0</v>
      </c>
      <c r="P152" s="154">
        <v>0</v>
      </c>
      <c r="Q152" s="3"/>
      <c r="R152" s="3"/>
      <c r="S152" s="51"/>
      <c r="T152" s="51"/>
      <c r="U152" s="51"/>
      <c r="V152" s="51"/>
      <c r="W152" s="51"/>
      <c r="X152" s="51"/>
      <c r="Y152" s="51"/>
    </row>
    <row r="153" spans="1:25" x14ac:dyDescent="0.2">
      <c r="A153" s="51"/>
      <c r="B153" s="51"/>
      <c r="C153" s="744"/>
      <c r="D153" s="741"/>
      <c r="E153" s="34" t="s">
        <v>602</v>
      </c>
      <c r="F153" s="616">
        <v>1.329</v>
      </c>
      <c r="G153" s="601" t="s">
        <v>432</v>
      </c>
      <c r="H153" s="153">
        <v>2</v>
      </c>
      <c r="I153" s="154">
        <v>1.01244</v>
      </c>
      <c r="J153" s="154">
        <v>0.21779999999999999</v>
      </c>
      <c r="K153" s="153">
        <v>0.28599999999999998</v>
      </c>
      <c r="L153" s="154">
        <v>1.346E-2</v>
      </c>
      <c r="M153" s="153">
        <v>0</v>
      </c>
      <c r="N153" s="154">
        <v>0</v>
      </c>
      <c r="O153" s="622">
        <v>3.9260000000000003E-2</v>
      </c>
      <c r="P153" s="154">
        <v>0</v>
      </c>
      <c r="Q153" s="3"/>
      <c r="R153" s="3"/>
      <c r="S153" s="51"/>
      <c r="T153" s="51"/>
      <c r="U153" s="51"/>
      <c r="V153" s="51"/>
      <c r="W153" s="51"/>
      <c r="X153" s="51"/>
      <c r="Y153" s="51"/>
    </row>
    <row r="154" spans="1:25" x14ac:dyDescent="0.2">
      <c r="A154" s="51"/>
      <c r="B154" s="51"/>
      <c r="C154" s="744"/>
      <c r="D154" s="742"/>
      <c r="E154" s="603" t="s">
        <v>603</v>
      </c>
      <c r="F154" s="618">
        <v>1.329</v>
      </c>
      <c r="G154" s="602" t="s">
        <v>432</v>
      </c>
      <c r="H154" s="155">
        <v>2</v>
      </c>
      <c r="I154" s="156">
        <v>1.01244</v>
      </c>
      <c r="J154" s="156">
        <v>0.21779999999999999</v>
      </c>
      <c r="K154" s="155">
        <v>0.28599999999999998</v>
      </c>
      <c r="L154" s="156">
        <v>1.346E-2</v>
      </c>
      <c r="M154" s="155">
        <v>0</v>
      </c>
      <c r="N154" s="156">
        <v>0</v>
      </c>
      <c r="O154" s="623">
        <v>0</v>
      </c>
      <c r="P154" s="156">
        <v>0.10716000000000001</v>
      </c>
      <c r="Q154" s="3"/>
      <c r="R154" s="3"/>
      <c r="S154" s="51"/>
      <c r="T154" s="51"/>
      <c r="U154" s="51"/>
      <c r="V154" s="51"/>
      <c r="W154" s="51"/>
      <c r="X154" s="51"/>
      <c r="Y154" s="51"/>
    </row>
    <row r="155" spans="1:25" x14ac:dyDescent="0.2">
      <c r="A155" s="51"/>
      <c r="B155" s="51"/>
      <c r="C155" s="744"/>
      <c r="D155" s="740" t="s">
        <v>272</v>
      </c>
      <c r="E155" s="33" t="s">
        <v>273</v>
      </c>
      <c r="F155" s="614">
        <v>1.0760000000000001</v>
      </c>
      <c r="G155" s="624" t="s">
        <v>433</v>
      </c>
      <c r="H155" s="151">
        <v>1.25</v>
      </c>
      <c r="I155" s="152">
        <v>0.40428999999999998</v>
      </c>
      <c r="J155" s="152">
        <v>1.089E-2</v>
      </c>
      <c r="K155" s="151">
        <v>0.14799999999999999</v>
      </c>
      <c r="L155" s="152">
        <v>7.3999999999999999E-4</v>
      </c>
      <c r="M155" s="151">
        <v>0</v>
      </c>
      <c r="N155" s="152">
        <v>0</v>
      </c>
      <c r="O155" s="621">
        <v>3.9260000000000003E-2</v>
      </c>
      <c r="P155" s="152">
        <v>0.10716000000000001</v>
      </c>
      <c r="Q155" s="3"/>
      <c r="R155" s="3"/>
      <c r="S155" s="51"/>
      <c r="T155" s="51"/>
      <c r="U155" s="51"/>
      <c r="V155" s="51"/>
      <c r="W155" s="51"/>
      <c r="X155" s="51"/>
      <c r="Y155" s="51"/>
    </row>
    <row r="156" spans="1:25" x14ac:dyDescent="0.2">
      <c r="A156" s="51"/>
      <c r="B156" s="51"/>
      <c r="C156" s="744"/>
      <c r="D156" s="741"/>
      <c r="E156" s="34" t="s">
        <v>604</v>
      </c>
      <c r="F156" s="616">
        <v>1.0760000000000001</v>
      </c>
      <c r="G156" s="601" t="s">
        <v>433</v>
      </c>
      <c r="H156" s="153">
        <v>1.25</v>
      </c>
      <c r="I156" s="154">
        <v>0.40428999999999998</v>
      </c>
      <c r="J156" s="154">
        <v>1.089E-2</v>
      </c>
      <c r="K156" s="153">
        <v>0.14799999999999999</v>
      </c>
      <c r="L156" s="154">
        <v>7.3999999999999999E-4</v>
      </c>
      <c r="M156" s="153">
        <v>0</v>
      </c>
      <c r="N156" s="154">
        <v>0</v>
      </c>
      <c r="O156" s="622">
        <v>0</v>
      </c>
      <c r="P156" s="154">
        <v>0</v>
      </c>
      <c r="Q156" s="3"/>
      <c r="R156" s="3"/>
      <c r="S156" s="51"/>
      <c r="T156" s="51"/>
      <c r="U156" s="51"/>
      <c r="V156" s="51"/>
      <c r="W156" s="51"/>
      <c r="X156" s="51"/>
      <c r="Y156" s="51"/>
    </row>
    <row r="157" spans="1:25" x14ac:dyDescent="0.2">
      <c r="A157" s="51"/>
      <c r="B157" s="51"/>
      <c r="C157" s="744"/>
      <c r="D157" s="741"/>
      <c r="E157" s="34" t="s">
        <v>605</v>
      </c>
      <c r="F157" s="616">
        <v>1.0760000000000001</v>
      </c>
      <c r="G157" s="601" t="s">
        <v>433</v>
      </c>
      <c r="H157" s="153">
        <v>1.25</v>
      </c>
      <c r="I157" s="154">
        <v>0.40428999999999998</v>
      </c>
      <c r="J157" s="154">
        <v>1.089E-2</v>
      </c>
      <c r="K157" s="153">
        <v>0.14799999999999999</v>
      </c>
      <c r="L157" s="154">
        <v>7.3999999999999999E-4</v>
      </c>
      <c r="M157" s="153">
        <v>0</v>
      </c>
      <c r="N157" s="154">
        <v>0</v>
      </c>
      <c r="O157" s="622">
        <v>3.9260000000000003E-2</v>
      </c>
      <c r="P157" s="154">
        <v>0</v>
      </c>
      <c r="Q157" s="3"/>
      <c r="R157" s="3"/>
      <c r="S157" s="51"/>
      <c r="T157" s="51"/>
      <c r="U157" s="51"/>
      <c r="V157" s="51"/>
      <c r="W157" s="51"/>
      <c r="X157" s="51"/>
      <c r="Y157" s="51"/>
    </row>
    <row r="158" spans="1:25" x14ac:dyDescent="0.2">
      <c r="A158" s="51"/>
      <c r="B158" s="51"/>
      <c r="C158" s="745"/>
      <c r="D158" s="742"/>
      <c r="E158" s="603" t="s">
        <v>606</v>
      </c>
      <c r="F158" s="618">
        <v>1.0760000000000001</v>
      </c>
      <c r="G158" s="602" t="s">
        <v>433</v>
      </c>
      <c r="H158" s="155">
        <v>1.25</v>
      </c>
      <c r="I158" s="156">
        <v>0.40428999999999998</v>
      </c>
      <c r="J158" s="156">
        <v>1.089E-2</v>
      </c>
      <c r="K158" s="155">
        <v>0.14799999999999999</v>
      </c>
      <c r="L158" s="156">
        <v>7.3999999999999999E-4</v>
      </c>
      <c r="M158" s="155">
        <v>0</v>
      </c>
      <c r="N158" s="156">
        <v>0</v>
      </c>
      <c r="O158" s="623">
        <v>0</v>
      </c>
      <c r="P158" s="156">
        <v>0.10716000000000001</v>
      </c>
      <c r="Q158" s="3"/>
      <c r="R158" s="3"/>
      <c r="S158" s="51"/>
      <c r="T158" s="51"/>
      <c r="U158" s="51"/>
      <c r="V158" s="51"/>
      <c r="W158" s="51"/>
      <c r="X158" s="51"/>
      <c r="Y158" s="51"/>
    </row>
    <row r="159" spans="1:25" ht="12.75" customHeight="1" x14ac:dyDescent="0.2">
      <c r="A159" s="51"/>
      <c r="B159" s="51"/>
      <c r="C159" s="743" t="s">
        <v>274</v>
      </c>
      <c r="D159" s="740" t="s">
        <v>275</v>
      </c>
      <c r="E159" s="33" t="s">
        <v>276</v>
      </c>
      <c r="F159" s="614">
        <v>1.097</v>
      </c>
      <c r="G159" s="624" t="s">
        <v>431</v>
      </c>
      <c r="H159" s="151">
        <v>1.25</v>
      </c>
      <c r="I159" s="152">
        <v>0.45789000000000002</v>
      </c>
      <c r="J159" s="152">
        <v>7.9200000000000007E-2</v>
      </c>
      <c r="K159" s="151">
        <v>0.1</v>
      </c>
      <c r="L159" s="152">
        <v>9.3299999999999998E-3</v>
      </c>
      <c r="M159" s="151">
        <v>0</v>
      </c>
      <c r="N159" s="152">
        <v>0</v>
      </c>
      <c r="O159" s="621">
        <v>3.9260000000000003E-2</v>
      </c>
      <c r="P159" s="152">
        <v>0.10716000000000001</v>
      </c>
      <c r="Q159" s="3"/>
      <c r="R159" s="3"/>
      <c r="S159" s="51"/>
      <c r="T159" s="51"/>
      <c r="U159" s="51"/>
      <c r="V159" s="51"/>
      <c r="W159" s="51"/>
      <c r="X159" s="51"/>
      <c r="Y159" s="51"/>
    </row>
    <row r="160" spans="1:25" x14ac:dyDescent="0.2">
      <c r="A160" s="51"/>
      <c r="B160" s="51"/>
      <c r="C160" s="744"/>
      <c r="D160" s="741"/>
      <c r="E160" s="34" t="s">
        <v>607</v>
      </c>
      <c r="F160" s="616">
        <v>1.097</v>
      </c>
      <c r="G160" s="601" t="s">
        <v>431</v>
      </c>
      <c r="H160" s="153">
        <v>1.25</v>
      </c>
      <c r="I160" s="154">
        <v>0.45789000000000002</v>
      </c>
      <c r="J160" s="154">
        <v>7.9200000000000007E-2</v>
      </c>
      <c r="K160" s="153">
        <v>0.1</v>
      </c>
      <c r="L160" s="154">
        <v>9.3299999999999998E-3</v>
      </c>
      <c r="M160" s="153">
        <v>0</v>
      </c>
      <c r="N160" s="154">
        <v>0</v>
      </c>
      <c r="O160" s="622">
        <v>0</v>
      </c>
      <c r="P160" s="154">
        <v>0</v>
      </c>
      <c r="Q160" s="3"/>
      <c r="R160" s="3"/>
      <c r="S160" s="51"/>
      <c r="T160" s="51"/>
      <c r="U160" s="51"/>
      <c r="V160" s="51"/>
      <c r="W160" s="51"/>
      <c r="X160" s="51"/>
      <c r="Y160" s="51"/>
    </row>
    <row r="161" spans="1:25" x14ac:dyDescent="0.2">
      <c r="A161" s="51"/>
      <c r="B161" s="51"/>
      <c r="C161" s="744"/>
      <c r="D161" s="741"/>
      <c r="E161" s="34" t="s">
        <v>608</v>
      </c>
      <c r="F161" s="616">
        <v>1.097</v>
      </c>
      <c r="G161" s="601" t="s">
        <v>431</v>
      </c>
      <c r="H161" s="153">
        <v>1.25</v>
      </c>
      <c r="I161" s="154">
        <v>0.45789000000000002</v>
      </c>
      <c r="J161" s="154">
        <v>7.9200000000000007E-2</v>
      </c>
      <c r="K161" s="153">
        <v>0.1</v>
      </c>
      <c r="L161" s="154">
        <v>9.3299999999999998E-3</v>
      </c>
      <c r="M161" s="153">
        <v>0</v>
      </c>
      <c r="N161" s="154">
        <v>0</v>
      </c>
      <c r="O161" s="622">
        <v>3.9260000000000003E-2</v>
      </c>
      <c r="P161" s="154">
        <v>0</v>
      </c>
      <c r="Q161" s="3"/>
      <c r="R161" s="3"/>
      <c r="S161" s="51"/>
      <c r="T161" s="51"/>
      <c r="U161" s="51"/>
      <c r="V161" s="51"/>
      <c r="W161" s="51"/>
      <c r="X161" s="51"/>
      <c r="Y161" s="51"/>
    </row>
    <row r="162" spans="1:25" x14ac:dyDescent="0.2">
      <c r="A162" s="51"/>
      <c r="B162" s="51"/>
      <c r="C162" s="744"/>
      <c r="D162" s="742"/>
      <c r="E162" s="603" t="s">
        <v>609</v>
      </c>
      <c r="F162" s="618">
        <v>1.097</v>
      </c>
      <c r="G162" s="602" t="s">
        <v>431</v>
      </c>
      <c r="H162" s="155">
        <v>1.25</v>
      </c>
      <c r="I162" s="156">
        <v>0.45789000000000002</v>
      </c>
      <c r="J162" s="156">
        <v>7.9200000000000007E-2</v>
      </c>
      <c r="K162" s="155">
        <v>0.1</v>
      </c>
      <c r="L162" s="156">
        <v>9.3299999999999998E-3</v>
      </c>
      <c r="M162" s="155">
        <v>0</v>
      </c>
      <c r="N162" s="156">
        <v>0</v>
      </c>
      <c r="O162" s="623">
        <v>0</v>
      </c>
      <c r="P162" s="156">
        <v>0.10716000000000001</v>
      </c>
      <c r="Q162" s="3"/>
      <c r="R162" s="3"/>
      <c r="S162" s="51"/>
      <c r="T162" s="51"/>
      <c r="U162" s="51"/>
      <c r="V162" s="51"/>
      <c r="W162" s="51"/>
      <c r="X162" s="51"/>
      <c r="Y162" s="51"/>
    </row>
    <row r="163" spans="1:25" x14ac:dyDescent="0.2">
      <c r="A163" s="51"/>
      <c r="B163" s="51"/>
      <c r="C163" s="744"/>
      <c r="D163" s="740" t="s">
        <v>277</v>
      </c>
      <c r="E163" s="33" t="s">
        <v>278</v>
      </c>
      <c r="F163" s="614">
        <v>1.097</v>
      </c>
      <c r="G163" s="624" t="s">
        <v>431</v>
      </c>
      <c r="H163" s="151">
        <v>1.25</v>
      </c>
      <c r="I163" s="152">
        <v>0.45789000000000002</v>
      </c>
      <c r="J163" s="152">
        <v>7.9200000000000007E-2</v>
      </c>
      <c r="K163" s="151">
        <v>0.17499999999999999</v>
      </c>
      <c r="L163" s="152">
        <v>1.1010000000000001E-2</v>
      </c>
      <c r="M163" s="151">
        <v>0</v>
      </c>
      <c r="N163" s="152">
        <v>0</v>
      </c>
      <c r="O163" s="621">
        <v>3.9260000000000003E-2</v>
      </c>
      <c r="P163" s="152">
        <v>0.10716000000000001</v>
      </c>
      <c r="Q163" s="3"/>
      <c r="R163" s="3"/>
      <c r="S163" s="51"/>
      <c r="T163" s="51"/>
      <c r="U163" s="51"/>
      <c r="V163" s="51"/>
      <c r="W163" s="51"/>
      <c r="X163" s="51"/>
      <c r="Y163" s="51"/>
    </row>
    <row r="164" spans="1:25" x14ac:dyDescent="0.2">
      <c r="A164" s="51"/>
      <c r="B164" s="51"/>
      <c r="C164" s="744"/>
      <c r="D164" s="741"/>
      <c r="E164" s="34" t="s">
        <v>610</v>
      </c>
      <c r="F164" s="616">
        <v>1.097</v>
      </c>
      <c r="G164" s="601" t="s">
        <v>431</v>
      </c>
      <c r="H164" s="153">
        <v>1.25</v>
      </c>
      <c r="I164" s="154">
        <v>0.45789000000000002</v>
      </c>
      <c r="J164" s="154">
        <v>7.9200000000000007E-2</v>
      </c>
      <c r="K164" s="153">
        <v>0.17499999999999999</v>
      </c>
      <c r="L164" s="154">
        <v>1.1010000000000001E-2</v>
      </c>
      <c r="M164" s="153">
        <v>0</v>
      </c>
      <c r="N164" s="154">
        <v>0</v>
      </c>
      <c r="O164" s="622">
        <v>0</v>
      </c>
      <c r="P164" s="154">
        <v>0</v>
      </c>
      <c r="Q164" s="3"/>
      <c r="R164" s="3"/>
      <c r="S164" s="51"/>
      <c r="T164" s="51"/>
      <c r="U164" s="51"/>
      <c r="V164" s="51"/>
      <c r="W164" s="51"/>
      <c r="X164" s="51"/>
      <c r="Y164" s="51"/>
    </row>
    <row r="165" spans="1:25" x14ac:dyDescent="0.2">
      <c r="A165" s="51"/>
      <c r="B165" s="51"/>
      <c r="C165" s="744"/>
      <c r="D165" s="741"/>
      <c r="E165" s="34" t="s">
        <v>611</v>
      </c>
      <c r="F165" s="616">
        <v>1.097</v>
      </c>
      <c r="G165" s="601" t="s">
        <v>431</v>
      </c>
      <c r="H165" s="153">
        <v>1.25</v>
      </c>
      <c r="I165" s="154">
        <v>0.45789000000000002</v>
      </c>
      <c r="J165" s="154">
        <v>7.9200000000000007E-2</v>
      </c>
      <c r="K165" s="153">
        <v>0.17499999999999999</v>
      </c>
      <c r="L165" s="154">
        <v>1.1010000000000001E-2</v>
      </c>
      <c r="M165" s="153">
        <v>0</v>
      </c>
      <c r="N165" s="154">
        <v>0</v>
      </c>
      <c r="O165" s="622">
        <v>3.9260000000000003E-2</v>
      </c>
      <c r="P165" s="154">
        <v>0</v>
      </c>
      <c r="Q165" s="3"/>
      <c r="R165" s="3"/>
      <c r="S165" s="51"/>
      <c r="T165" s="51"/>
      <c r="U165" s="51"/>
      <c r="V165" s="51"/>
      <c r="W165" s="51"/>
      <c r="X165" s="51"/>
      <c r="Y165" s="51"/>
    </row>
    <row r="166" spans="1:25" x14ac:dyDescent="0.2">
      <c r="A166" s="51"/>
      <c r="B166" s="51"/>
      <c r="C166" s="744"/>
      <c r="D166" s="742"/>
      <c r="E166" s="603" t="s">
        <v>612</v>
      </c>
      <c r="F166" s="618">
        <v>1.097</v>
      </c>
      <c r="G166" s="602" t="s">
        <v>431</v>
      </c>
      <c r="H166" s="155">
        <v>1.25</v>
      </c>
      <c r="I166" s="156">
        <v>0.45789000000000002</v>
      </c>
      <c r="J166" s="156">
        <v>7.9200000000000007E-2</v>
      </c>
      <c r="K166" s="155">
        <v>0.17499999999999999</v>
      </c>
      <c r="L166" s="156">
        <v>1.1010000000000001E-2</v>
      </c>
      <c r="M166" s="155">
        <v>0</v>
      </c>
      <c r="N166" s="156">
        <v>0</v>
      </c>
      <c r="O166" s="623">
        <v>0</v>
      </c>
      <c r="P166" s="156">
        <v>0.10716000000000001</v>
      </c>
      <c r="Q166" s="3"/>
      <c r="R166" s="3"/>
      <c r="S166" s="51"/>
      <c r="T166" s="51"/>
      <c r="U166" s="51"/>
      <c r="V166" s="51"/>
      <c r="W166" s="51"/>
      <c r="X166" s="51"/>
      <c r="Y166" s="51"/>
    </row>
    <row r="167" spans="1:25" x14ac:dyDescent="0.2">
      <c r="A167" s="51"/>
      <c r="B167" s="51"/>
      <c r="C167" s="744"/>
      <c r="D167" s="740" t="s">
        <v>279</v>
      </c>
      <c r="E167" s="33" t="s">
        <v>280</v>
      </c>
      <c r="F167" s="614">
        <v>1.097</v>
      </c>
      <c r="G167" s="624" t="s">
        <v>431</v>
      </c>
      <c r="H167" s="151">
        <v>1.25</v>
      </c>
      <c r="I167" s="152">
        <v>0.45789000000000002</v>
      </c>
      <c r="J167" s="152">
        <v>7.9200000000000007E-2</v>
      </c>
      <c r="K167" s="151">
        <v>0.28599999999999998</v>
      </c>
      <c r="L167" s="152">
        <v>1.346E-2</v>
      </c>
      <c r="M167" s="151">
        <v>0</v>
      </c>
      <c r="N167" s="152">
        <v>0</v>
      </c>
      <c r="O167" s="621">
        <v>3.9260000000000003E-2</v>
      </c>
      <c r="P167" s="152">
        <v>0.10716000000000001</v>
      </c>
      <c r="Q167" s="3"/>
      <c r="R167" s="3"/>
      <c r="S167" s="51"/>
      <c r="T167" s="51"/>
      <c r="U167" s="51"/>
      <c r="V167" s="51"/>
      <c r="W167" s="51"/>
      <c r="X167" s="51"/>
      <c r="Y167" s="51"/>
    </row>
    <row r="168" spans="1:25" x14ac:dyDescent="0.2">
      <c r="A168" s="51"/>
      <c r="B168" s="51"/>
      <c r="C168" s="744"/>
      <c r="D168" s="741"/>
      <c r="E168" s="34" t="s">
        <v>613</v>
      </c>
      <c r="F168" s="616">
        <v>1.097</v>
      </c>
      <c r="G168" s="601" t="s">
        <v>431</v>
      </c>
      <c r="H168" s="153">
        <v>1.25</v>
      </c>
      <c r="I168" s="154">
        <v>0.45789000000000002</v>
      </c>
      <c r="J168" s="154">
        <v>7.9200000000000007E-2</v>
      </c>
      <c r="K168" s="153">
        <v>0.28599999999999998</v>
      </c>
      <c r="L168" s="154">
        <v>1.346E-2</v>
      </c>
      <c r="M168" s="153">
        <v>0</v>
      </c>
      <c r="N168" s="154">
        <v>0</v>
      </c>
      <c r="O168" s="622">
        <v>0</v>
      </c>
      <c r="P168" s="154">
        <v>0</v>
      </c>
      <c r="Q168" s="3"/>
      <c r="R168" s="3"/>
      <c r="S168" s="51"/>
      <c r="T168" s="51"/>
      <c r="U168" s="51"/>
      <c r="V168" s="51"/>
      <c r="W168" s="51"/>
      <c r="X168" s="51"/>
      <c r="Y168" s="51"/>
    </row>
    <row r="169" spans="1:25" x14ac:dyDescent="0.2">
      <c r="A169" s="51"/>
      <c r="B169" s="51"/>
      <c r="C169" s="744"/>
      <c r="D169" s="741"/>
      <c r="E169" s="34" t="s">
        <v>614</v>
      </c>
      <c r="F169" s="616">
        <v>1.097</v>
      </c>
      <c r="G169" s="601" t="s">
        <v>431</v>
      </c>
      <c r="H169" s="153">
        <v>1.25</v>
      </c>
      <c r="I169" s="154">
        <v>0.45789000000000002</v>
      </c>
      <c r="J169" s="154">
        <v>7.9200000000000007E-2</v>
      </c>
      <c r="K169" s="153">
        <v>0.28599999999999998</v>
      </c>
      <c r="L169" s="154">
        <v>1.346E-2</v>
      </c>
      <c r="M169" s="153">
        <v>0</v>
      </c>
      <c r="N169" s="154">
        <v>0</v>
      </c>
      <c r="O169" s="622">
        <v>3.9260000000000003E-2</v>
      </c>
      <c r="P169" s="154">
        <v>0</v>
      </c>
      <c r="Q169" s="3"/>
      <c r="R169" s="3"/>
      <c r="S169" s="51"/>
      <c r="T169" s="51"/>
      <c r="U169" s="51"/>
      <c r="V169" s="51"/>
      <c r="W169" s="51"/>
      <c r="X169" s="51"/>
      <c r="Y169" s="51"/>
    </row>
    <row r="170" spans="1:25" x14ac:dyDescent="0.2">
      <c r="A170" s="51"/>
      <c r="B170" s="51"/>
      <c r="C170" s="744"/>
      <c r="D170" s="742"/>
      <c r="E170" s="603" t="s">
        <v>615</v>
      </c>
      <c r="F170" s="618">
        <v>1.097</v>
      </c>
      <c r="G170" s="602" t="s">
        <v>431</v>
      </c>
      <c r="H170" s="155">
        <v>1.25</v>
      </c>
      <c r="I170" s="156">
        <v>0.45789000000000002</v>
      </c>
      <c r="J170" s="156">
        <v>7.9200000000000007E-2</v>
      </c>
      <c r="K170" s="155">
        <v>0.28599999999999998</v>
      </c>
      <c r="L170" s="156">
        <v>1.346E-2</v>
      </c>
      <c r="M170" s="155">
        <v>0</v>
      </c>
      <c r="N170" s="156">
        <v>0</v>
      </c>
      <c r="O170" s="623">
        <v>0</v>
      </c>
      <c r="P170" s="156">
        <v>0.10716000000000001</v>
      </c>
      <c r="Q170" s="3"/>
      <c r="R170" s="3"/>
      <c r="S170" s="51"/>
      <c r="T170" s="51"/>
      <c r="U170" s="51"/>
      <c r="V170" s="51"/>
      <c r="W170" s="51"/>
      <c r="X170" s="51"/>
      <c r="Y170" s="51"/>
    </row>
    <row r="171" spans="1:25" x14ac:dyDescent="0.2">
      <c r="A171" s="51"/>
      <c r="B171" s="51"/>
      <c r="C171" s="744"/>
      <c r="D171" s="740" t="s">
        <v>281</v>
      </c>
      <c r="E171" s="33" t="s">
        <v>282</v>
      </c>
      <c r="F171" s="614">
        <v>1.329</v>
      </c>
      <c r="G171" s="624" t="s">
        <v>432</v>
      </c>
      <c r="H171" s="151">
        <v>2</v>
      </c>
      <c r="I171" s="152">
        <v>1.14625</v>
      </c>
      <c r="J171" s="152">
        <v>0.23760000000000001</v>
      </c>
      <c r="K171" s="151">
        <v>0.1</v>
      </c>
      <c r="L171" s="152">
        <v>9.3299999999999998E-3</v>
      </c>
      <c r="M171" s="151">
        <v>0</v>
      </c>
      <c r="N171" s="152">
        <v>0</v>
      </c>
      <c r="O171" s="621">
        <v>3.9260000000000003E-2</v>
      </c>
      <c r="P171" s="152">
        <v>0.10716000000000001</v>
      </c>
      <c r="Q171" s="3"/>
      <c r="R171" s="3"/>
      <c r="S171" s="51"/>
      <c r="T171" s="51"/>
      <c r="U171" s="51"/>
      <c r="V171" s="51"/>
      <c r="W171" s="51"/>
      <c r="X171" s="51"/>
      <c r="Y171" s="51"/>
    </row>
    <row r="172" spans="1:25" x14ac:dyDescent="0.2">
      <c r="A172" s="51"/>
      <c r="B172" s="51"/>
      <c r="C172" s="744"/>
      <c r="D172" s="741"/>
      <c r="E172" s="34" t="s">
        <v>616</v>
      </c>
      <c r="F172" s="616">
        <v>1.329</v>
      </c>
      <c r="G172" s="601" t="s">
        <v>432</v>
      </c>
      <c r="H172" s="153">
        <v>2</v>
      </c>
      <c r="I172" s="154">
        <v>1.14625</v>
      </c>
      <c r="J172" s="154">
        <v>0.23760000000000001</v>
      </c>
      <c r="K172" s="153">
        <v>0.1</v>
      </c>
      <c r="L172" s="154">
        <v>9.3299999999999998E-3</v>
      </c>
      <c r="M172" s="153">
        <v>0</v>
      </c>
      <c r="N172" s="154">
        <v>0</v>
      </c>
      <c r="O172" s="622">
        <v>0</v>
      </c>
      <c r="P172" s="154">
        <v>0</v>
      </c>
      <c r="Q172" s="3"/>
      <c r="R172" s="3"/>
      <c r="S172" s="51"/>
      <c r="T172" s="51"/>
      <c r="U172" s="51"/>
      <c r="V172" s="51"/>
      <c r="W172" s="51"/>
      <c r="X172" s="51"/>
      <c r="Y172" s="51"/>
    </row>
    <row r="173" spans="1:25" x14ac:dyDescent="0.2">
      <c r="A173" s="51"/>
      <c r="B173" s="51"/>
      <c r="C173" s="744"/>
      <c r="D173" s="741"/>
      <c r="E173" s="34" t="s">
        <v>617</v>
      </c>
      <c r="F173" s="616">
        <v>1.329</v>
      </c>
      <c r="G173" s="601" t="s">
        <v>432</v>
      </c>
      <c r="H173" s="153">
        <v>2</v>
      </c>
      <c r="I173" s="154">
        <v>1.14625</v>
      </c>
      <c r="J173" s="154">
        <v>0.23760000000000001</v>
      </c>
      <c r="K173" s="153">
        <v>0.1</v>
      </c>
      <c r="L173" s="154">
        <v>9.3299999999999998E-3</v>
      </c>
      <c r="M173" s="153">
        <v>0</v>
      </c>
      <c r="N173" s="154">
        <v>0</v>
      </c>
      <c r="O173" s="622">
        <v>3.9260000000000003E-2</v>
      </c>
      <c r="P173" s="154">
        <v>0</v>
      </c>
      <c r="Q173" s="3"/>
      <c r="R173" s="3"/>
      <c r="S173" s="51"/>
      <c r="T173" s="51"/>
      <c r="U173" s="51"/>
      <c r="V173" s="51"/>
      <c r="W173" s="51"/>
      <c r="X173" s="51"/>
      <c r="Y173" s="51"/>
    </row>
    <row r="174" spans="1:25" x14ac:dyDescent="0.2">
      <c r="A174" s="51"/>
      <c r="B174" s="51"/>
      <c r="C174" s="744"/>
      <c r="D174" s="742"/>
      <c r="E174" s="603" t="s">
        <v>618</v>
      </c>
      <c r="F174" s="618">
        <v>1.329</v>
      </c>
      <c r="G174" s="602" t="s">
        <v>432</v>
      </c>
      <c r="H174" s="155">
        <v>2</v>
      </c>
      <c r="I174" s="156">
        <v>1.14625</v>
      </c>
      <c r="J174" s="156">
        <v>0.23760000000000001</v>
      </c>
      <c r="K174" s="155">
        <v>0.1</v>
      </c>
      <c r="L174" s="156">
        <v>9.3299999999999998E-3</v>
      </c>
      <c r="M174" s="155">
        <v>0</v>
      </c>
      <c r="N174" s="156">
        <v>0</v>
      </c>
      <c r="O174" s="623">
        <v>0</v>
      </c>
      <c r="P174" s="156">
        <v>0.10716000000000001</v>
      </c>
      <c r="Q174" s="3"/>
      <c r="R174" s="3"/>
      <c r="S174" s="51"/>
      <c r="T174" s="51"/>
      <c r="U174" s="51"/>
      <c r="V174" s="51"/>
      <c r="W174" s="51"/>
      <c r="X174" s="51"/>
      <c r="Y174" s="51"/>
    </row>
    <row r="175" spans="1:25" x14ac:dyDescent="0.2">
      <c r="A175" s="51"/>
      <c r="B175" s="51"/>
      <c r="C175" s="744"/>
      <c r="D175" s="762" t="s">
        <v>283</v>
      </c>
      <c r="E175" s="33" t="s">
        <v>284</v>
      </c>
      <c r="F175" s="614">
        <v>1.329</v>
      </c>
      <c r="G175" s="624" t="s">
        <v>432</v>
      </c>
      <c r="H175" s="151">
        <v>2</v>
      </c>
      <c r="I175" s="152">
        <v>1.14625</v>
      </c>
      <c r="J175" s="152">
        <v>0.23760000000000001</v>
      </c>
      <c r="K175" s="151">
        <v>0.17499999999999999</v>
      </c>
      <c r="L175" s="152">
        <v>1.1010000000000001E-2</v>
      </c>
      <c r="M175" s="151">
        <v>0</v>
      </c>
      <c r="N175" s="152">
        <v>0</v>
      </c>
      <c r="O175" s="621">
        <v>3.9260000000000003E-2</v>
      </c>
      <c r="P175" s="152">
        <v>0.10716000000000001</v>
      </c>
      <c r="Q175" s="3"/>
      <c r="R175" s="3"/>
      <c r="S175" s="51"/>
      <c r="T175" s="51"/>
      <c r="U175" s="51"/>
      <c r="V175" s="51"/>
      <c r="W175" s="51"/>
      <c r="X175" s="51"/>
      <c r="Y175" s="51"/>
    </row>
    <row r="176" spans="1:25" x14ac:dyDescent="0.2">
      <c r="A176" s="51"/>
      <c r="B176" s="51"/>
      <c r="C176" s="744"/>
      <c r="D176" s="763"/>
      <c r="E176" s="34" t="s">
        <v>619</v>
      </c>
      <c r="F176" s="616">
        <v>1.329</v>
      </c>
      <c r="G176" s="601" t="s">
        <v>432</v>
      </c>
      <c r="H176" s="153">
        <v>2</v>
      </c>
      <c r="I176" s="154">
        <v>1.14625</v>
      </c>
      <c r="J176" s="154">
        <v>0.23760000000000001</v>
      </c>
      <c r="K176" s="153">
        <v>0.17499999999999999</v>
      </c>
      <c r="L176" s="154">
        <v>1.1010000000000001E-2</v>
      </c>
      <c r="M176" s="153">
        <v>0</v>
      </c>
      <c r="N176" s="154">
        <v>0</v>
      </c>
      <c r="O176" s="622">
        <v>0</v>
      </c>
      <c r="P176" s="154">
        <v>0</v>
      </c>
      <c r="Q176" s="3"/>
      <c r="R176" s="3"/>
      <c r="S176" s="51"/>
      <c r="T176" s="51"/>
      <c r="U176" s="51"/>
      <c r="V176" s="51"/>
      <c r="W176" s="51"/>
      <c r="X176" s="51"/>
      <c r="Y176" s="51"/>
    </row>
    <row r="177" spans="1:25" x14ac:dyDescent="0.2">
      <c r="A177" s="51"/>
      <c r="B177" s="51"/>
      <c r="C177" s="744"/>
      <c r="D177" s="763"/>
      <c r="E177" s="34" t="s">
        <v>620</v>
      </c>
      <c r="F177" s="616">
        <v>1.329</v>
      </c>
      <c r="G177" s="601" t="s">
        <v>432</v>
      </c>
      <c r="H177" s="153">
        <v>2</v>
      </c>
      <c r="I177" s="154">
        <v>1.14625</v>
      </c>
      <c r="J177" s="154">
        <v>0.23760000000000001</v>
      </c>
      <c r="K177" s="153">
        <v>0.17499999999999999</v>
      </c>
      <c r="L177" s="154">
        <v>1.1010000000000001E-2</v>
      </c>
      <c r="M177" s="153">
        <v>0</v>
      </c>
      <c r="N177" s="154">
        <v>0</v>
      </c>
      <c r="O177" s="622">
        <v>3.9260000000000003E-2</v>
      </c>
      <c r="P177" s="154">
        <v>0</v>
      </c>
      <c r="Q177" s="3"/>
      <c r="R177" s="3"/>
      <c r="S177" s="51"/>
      <c r="T177" s="51"/>
      <c r="U177" s="51"/>
      <c r="V177" s="51"/>
      <c r="W177" s="51"/>
      <c r="X177" s="51"/>
      <c r="Y177" s="51"/>
    </row>
    <row r="178" spans="1:25" x14ac:dyDescent="0.2">
      <c r="A178" s="51"/>
      <c r="B178" s="51"/>
      <c r="C178" s="744"/>
      <c r="D178" s="764"/>
      <c r="E178" s="603" t="s">
        <v>621</v>
      </c>
      <c r="F178" s="618">
        <v>1.329</v>
      </c>
      <c r="G178" s="602" t="s">
        <v>432</v>
      </c>
      <c r="H178" s="155">
        <v>2</v>
      </c>
      <c r="I178" s="156">
        <v>1.14625</v>
      </c>
      <c r="J178" s="156">
        <v>0.23760000000000001</v>
      </c>
      <c r="K178" s="155">
        <v>0.17499999999999999</v>
      </c>
      <c r="L178" s="156">
        <v>1.1010000000000001E-2</v>
      </c>
      <c r="M178" s="155">
        <v>0</v>
      </c>
      <c r="N178" s="156">
        <v>0</v>
      </c>
      <c r="O178" s="623">
        <v>0</v>
      </c>
      <c r="P178" s="156">
        <v>0.10716000000000001</v>
      </c>
      <c r="Q178" s="3"/>
      <c r="R178" s="3"/>
      <c r="S178" s="51"/>
      <c r="T178" s="51"/>
      <c r="U178" s="51"/>
      <c r="V178" s="51"/>
      <c r="W178" s="51"/>
      <c r="X178" s="51"/>
      <c r="Y178" s="51"/>
    </row>
    <row r="179" spans="1:25" x14ac:dyDescent="0.2">
      <c r="A179" s="51"/>
      <c r="B179" s="51"/>
      <c r="C179" s="744"/>
      <c r="D179" s="740" t="s">
        <v>285</v>
      </c>
      <c r="E179" s="33" t="s">
        <v>286</v>
      </c>
      <c r="F179" s="614">
        <v>1.329</v>
      </c>
      <c r="G179" s="624" t="s">
        <v>432</v>
      </c>
      <c r="H179" s="151">
        <v>2</v>
      </c>
      <c r="I179" s="152">
        <v>1.14625</v>
      </c>
      <c r="J179" s="152">
        <v>0.23760000000000001</v>
      </c>
      <c r="K179" s="151">
        <v>0.28599999999999998</v>
      </c>
      <c r="L179" s="152">
        <v>1.346E-2</v>
      </c>
      <c r="M179" s="151">
        <v>0</v>
      </c>
      <c r="N179" s="152">
        <v>0</v>
      </c>
      <c r="O179" s="621">
        <v>3.9260000000000003E-2</v>
      </c>
      <c r="P179" s="152">
        <v>0.10716000000000001</v>
      </c>
      <c r="Q179" s="3"/>
      <c r="R179" s="3"/>
      <c r="S179" s="51"/>
      <c r="T179" s="51"/>
      <c r="U179" s="51"/>
      <c r="V179" s="51"/>
      <c r="W179" s="51"/>
      <c r="X179" s="51"/>
      <c r="Y179" s="51"/>
    </row>
    <row r="180" spans="1:25" x14ac:dyDescent="0.2">
      <c r="A180" s="51"/>
      <c r="B180" s="51"/>
      <c r="C180" s="744"/>
      <c r="D180" s="741"/>
      <c r="E180" s="34" t="s">
        <v>622</v>
      </c>
      <c r="F180" s="616">
        <v>1.329</v>
      </c>
      <c r="G180" s="601" t="s">
        <v>432</v>
      </c>
      <c r="H180" s="153">
        <v>2</v>
      </c>
      <c r="I180" s="154">
        <v>1.14625</v>
      </c>
      <c r="J180" s="154">
        <v>0.23760000000000001</v>
      </c>
      <c r="K180" s="153">
        <v>0.28599999999999998</v>
      </c>
      <c r="L180" s="154">
        <v>1.346E-2</v>
      </c>
      <c r="M180" s="153">
        <v>0</v>
      </c>
      <c r="N180" s="154">
        <v>0</v>
      </c>
      <c r="O180" s="622">
        <v>0</v>
      </c>
      <c r="P180" s="154">
        <v>0</v>
      </c>
      <c r="Q180" s="3"/>
      <c r="R180" s="3"/>
      <c r="S180" s="51"/>
      <c r="T180" s="51"/>
      <c r="U180" s="51"/>
      <c r="V180" s="51"/>
      <c r="W180" s="51"/>
      <c r="X180" s="51"/>
      <c r="Y180" s="51"/>
    </row>
    <row r="181" spans="1:25" x14ac:dyDescent="0.2">
      <c r="A181" s="51"/>
      <c r="B181" s="51"/>
      <c r="C181" s="744"/>
      <c r="D181" s="741"/>
      <c r="E181" s="34" t="s">
        <v>623</v>
      </c>
      <c r="F181" s="616">
        <v>1.329</v>
      </c>
      <c r="G181" s="601" t="s">
        <v>432</v>
      </c>
      <c r="H181" s="153">
        <v>2</v>
      </c>
      <c r="I181" s="154">
        <v>1.14625</v>
      </c>
      <c r="J181" s="154">
        <v>0.23760000000000001</v>
      </c>
      <c r="K181" s="153">
        <v>0.28599999999999998</v>
      </c>
      <c r="L181" s="154">
        <v>1.346E-2</v>
      </c>
      <c r="M181" s="153">
        <v>0</v>
      </c>
      <c r="N181" s="154">
        <v>0</v>
      </c>
      <c r="O181" s="622">
        <v>3.9260000000000003E-2</v>
      </c>
      <c r="P181" s="154">
        <v>0</v>
      </c>
      <c r="Q181" s="3"/>
      <c r="R181" s="3"/>
      <c r="S181" s="51"/>
      <c r="T181" s="51"/>
      <c r="U181" s="51"/>
      <c r="V181" s="51"/>
      <c r="W181" s="51"/>
      <c r="X181" s="51"/>
      <c r="Y181" s="51"/>
    </row>
    <row r="182" spans="1:25" x14ac:dyDescent="0.2">
      <c r="A182" s="51"/>
      <c r="B182" s="51"/>
      <c r="C182" s="744"/>
      <c r="D182" s="742"/>
      <c r="E182" s="603" t="s">
        <v>624</v>
      </c>
      <c r="F182" s="618">
        <v>1.329</v>
      </c>
      <c r="G182" s="602" t="s">
        <v>432</v>
      </c>
      <c r="H182" s="155">
        <v>2</v>
      </c>
      <c r="I182" s="156">
        <v>1.14625</v>
      </c>
      <c r="J182" s="156">
        <v>0.23760000000000001</v>
      </c>
      <c r="K182" s="155">
        <v>0.28599999999999998</v>
      </c>
      <c r="L182" s="156">
        <v>1.346E-2</v>
      </c>
      <c r="M182" s="155">
        <v>0</v>
      </c>
      <c r="N182" s="156">
        <v>0</v>
      </c>
      <c r="O182" s="623">
        <v>0</v>
      </c>
      <c r="P182" s="156">
        <v>0.10716000000000001</v>
      </c>
      <c r="Q182" s="3"/>
      <c r="R182" s="3"/>
      <c r="S182" s="51"/>
      <c r="T182" s="51"/>
      <c r="U182" s="51"/>
      <c r="V182" s="51"/>
      <c r="W182" s="51"/>
      <c r="X182" s="51"/>
      <c r="Y182" s="51"/>
    </row>
    <row r="183" spans="1:25" x14ac:dyDescent="0.2">
      <c r="A183" s="51"/>
      <c r="B183" s="51"/>
      <c r="C183" s="744"/>
      <c r="D183" s="740" t="s">
        <v>287</v>
      </c>
      <c r="E183" s="33" t="s">
        <v>288</v>
      </c>
      <c r="F183" s="614">
        <v>1.0760000000000001</v>
      </c>
      <c r="G183" s="624" t="s">
        <v>433</v>
      </c>
      <c r="H183" s="151">
        <v>1.25</v>
      </c>
      <c r="I183" s="152">
        <v>0.45772000000000002</v>
      </c>
      <c r="J183" s="152">
        <v>4.0590000000000001E-2</v>
      </c>
      <c r="K183" s="151">
        <v>0.14799999999999999</v>
      </c>
      <c r="L183" s="152">
        <v>7.3999999999999999E-4</v>
      </c>
      <c r="M183" s="151">
        <v>0</v>
      </c>
      <c r="N183" s="152">
        <v>0</v>
      </c>
      <c r="O183" s="621">
        <v>3.9260000000000003E-2</v>
      </c>
      <c r="P183" s="152">
        <v>0.10716000000000001</v>
      </c>
      <c r="Q183" s="3"/>
      <c r="R183" s="3"/>
      <c r="S183" s="51"/>
      <c r="T183" s="51"/>
      <c r="U183" s="51"/>
      <c r="V183" s="51"/>
      <c r="W183" s="51"/>
      <c r="X183" s="51"/>
      <c r="Y183" s="51"/>
    </row>
    <row r="184" spans="1:25" x14ac:dyDescent="0.2">
      <c r="A184" s="51"/>
      <c r="B184" s="51"/>
      <c r="C184" s="744"/>
      <c r="D184" s="741"/>
      <c r="E184" s="34" t="s">
        <v>625</v>
      </c>
      <c r="F184" s="616">
        <v>1.0760000000000001</v>
      </c>
      <c r="G184" s="601" t="s">
        <v>433</v>
      </c>
      <c r="H184" s="153">
        <v>1.25</v>
      </c>
      <c r="I184" s="154">
        <v>0.45772000000000002</v>
      </c>
      <c r="J184" s="154">
        <v>4.0590000000000001E-2</v>
      </c>
      <c r="K184" s="153">
        <v>0.14799999999999999</v>
      </c>
      <c r="L184" s="154">
        <v>7.3999999999999999E-4</v>
      </c>
      <c r="M184" s="153">
        <v>0</v>
      </c>
      <c r="N184" s="154">
        <v>0</v>
      </c>
      <c r="O184" s="622">
        <v>0</v>
      </c>
      <c r="P184" s="154">
        <v>0</v>
      </c>
      <c r="Q184" s="3"/>
      <c r="R184" s="3"/>
      <c r="S184" s="51"/>
      <c r="T184" s="51"/>
      <c r="U184" s="51"/>
      <c r="V184" s="51"/>
      <c r="W184" s="51"/>
      <c r="X184" s="51"/>
      <c r="Y184" s="51"/>
    </row>
    <row r="185" spans="1:25" x14ac:dyDescent="0.2">
      <c r="A185" s="51"/>
      <c r="B185" s="51"/>
      <c r="C185" s="744"/>
      <c r="D185" s="741"/>
      <c r="E185" s="34" t="s">
        <v>626</v>
      </c>
      <c r="F185" s="616">
        <v>1.0760000000000001</v>
      </c>
      <c r="G185" s="601" t="s">
        <v>433</v>
      </c>
      <c r="H185" s="153">
        <v>1.25</v>
      </c>
      <c r="I185" s="154">
        <v>0.45772000000000002</v>
      </c>
      <c r="J185" s="154">
        <v>4.0590000000000001E-2</v>
      </c>
      <c r="K185" s="153">
        <v>0.14799999999999999</v>
      </c>
      <c r="L185" s="154">
        <v>7.3999999999999999E-4</v>
      </c>
      <c r="M185" s="153">
        <v>0</v>
      </c>
      <c r="N185" s="154">
        <v>0</v>
      </c>
      <c r="O185" s="622">
        <v>3.9260000000000003E-2</v>
      </c>
      <c r="P185" s="154">
        <v>0</v>
      </c>
      <c r="Q185" s="3"/>
      <c r="R185" s="3"/>
      <c r="S185" s="51"/>
      <c r="T185" s="51"/>
      <c r="U185" s="51"/>
      <c r="V185" s="51"/>
      <c r="W185" s="51"/>
      <c r="X185" s="51"/>
      <c r="Y185" s="51"/>
    </row>
    <row r="186" spans="1:25" x14ac:dyDescent="0.2">
      <c r="A186" s="51"/>
      <c r="B186" s="51"/>
      <c r="C186" s="745"/>
      <c r="D186" s="742"/>
      <c r="E186" s="32" t="s">
        <v>627</v>
      </c>
      <c r="F186" s="633">
        <v>1.0760000000000001</v>
      </c>
      <c r="G186" s="67" t="s">
        <v>433</v>
      </c>
      <c r="H186" s="26">
        <v>1.25</v>
      </c>
      <c r="I186" s="27">
        <v>0.45772000000000002</v>
      </c>
      <c r="J186" s="27">
        <v>4.0590000000000001E-2</v>
      </c>
      <c r="K186" s="155">
        <v>0.14799999999999999</v>
      </c>
      <c r="L186" s="156">
        <v>7.3999999999999999E-4</v>
      </c>
      <c r="M186" s="26">
        <v>0</v>
      </c>
      <c r="N186" s="27">
        <v>0</v>
      </c>
      <c r="O186" s="623">
        <v>0</v>
      </c>
      <c r="P186" s="156">
        <v>0.10716000000000001</v>
      </c>
      <c r="Q186" s="3"/>
      <c r="R186" s="3"/>
      <c r="S186" s="51"/>
      <c r="T186" s="51"/>
      <c r="U186" s="51"/>
      <c r="V186" s="51"/>
      <c r="W186" s="51"/>
      <c r="X186" s="51"/>
      <c r="Y186" s="51"/>
    </row>
    <row r="187" spans="1:25" x14ac:dyDescent="0.2">
      <c r="A187" s="51"/>
      <c r="B187" s="51"/>
      <c r="C187" s="51"/>
      <c r="D187" s="51"/>
      <c r="E187" s="51"/>
      <c r="F187" s="51"/>
      <c r="G187" s="51"/>
      <c r="H187" s="51"/>
      <c r="I187" s="51"/>
      <c r="J187" s="51"/>
      <c r="K187" s="51"/>
      <c r="L187" s="51"/>
      <c r="M187" s="51"/>
      <c r="N187" s="51"/>
      <c r="O187" s="3"/>
      <c r="P187" s="3"/>
      <c r="Q187" s="3"/>
      <c r="R187" s="3"/>
      <c r="S187" s="51"/>
      <c r="T187" s="51"/>
      <c r="U187" s="51"/>
      <c r="V187" s="51"/>
      <c r="W187" s="51"/>
      <c r="X187" s="51"/>
      <c r="Y187" s="51"/>
    </row>
    <row r="188" spans="1:25" s="657" customFormat="1" x14ac:dyDescent="0.2">
      <c r="A188" s="57"/>
      <c r="B188" s="57"/>
      <c r="C188" s="8" t="s">
        <v>96</v>
      </c>
      <c r="D188" s="567"/>
      <c r="E188" s="572"/>
      <c r="F188" s="572"/>
      <c r="G188" s="572"/>
      <c r="H188" s="572"/>
      <c r="I188" s="572"/>
      <c r="J188" s="572"/>
      <c r="K188" s="572"/>
      <c r="L188" s="572"/>
      <c r="M188" s="572"/>
      <c r="N188" s="572"/>
      <c r="O188" s="6"/>
      <c r="P188" s="6"/>
      <c r="Q188" s="6"/>
      <c r="R188" s="6"/>
      <c r="S188" s="57"/>
      <c r="T188" s="57"/>
      <c r="U188" s="57"/>
      <c r="V188" s="57"/>
      <c r="W188" s="57"/>
      <c r="X188" s="57"/>
      <c r="Y188" s="57"/>
    </row>
    <row r="189" spans="1:25" s="657" customFormat="1" x14ac:dyDescent="0.2">
      <c r="A189" s="57"/>
      <c r="B189" s="57"/>
      <c r="C189" s="30" t="s">
        <v>97</v>
      </c>
      <c r="D189" s="6"/>
      <c r="E189" s="572"/>
      <c r="F189" s="572"/>
      <c r="G189" s="572"/>
      <c r="H189" s="572"/>
      <c r="I189" s="572"/>
      <c r="J189" s="572"/>
      <c r="K189" s="572"/>
      <c r="L189" s="572"/>
      <c r="M189" s="572"/>
      <c r="N189" s="572"/>
      <c r="O189" s="6"/>
      <c r="P189" s="6"/>
      <c r="Q189" s="6"/>
      <c r="R189" s="6"/>
      <c r="S189" s="57"/>
      <c r="T189" s="57"/>
      <c r="U189" s="57"/>
      <c r="V189" s="57"/>
      <c r="W189" s="57"/>
      <c r="X189" s="57"/>
      <c r="Y189" s="57"/>
    </row>
    <row r="190" spans="1:25" x14ac:dyDescent="0.2">
      <c r="A190" s="51"/>
      <c r="B190" s="51"/>
      <c r="C190" s="51"/>
      <c r="D190" s="51"/>
      <c r="E190" s="51"/>
      <c r="F190" s="51"/>
      <c r="G190" s="51"/>
      <c r="H190" s="51"/>
      <c r="I190" s="51"/>
      <c r="J190" s="51"/>
      <c r="K190" s="51"/>
      <c r="L190" s="51"/>
      <c r="M190" s="51"/>
      <c r="N190" s="51"/>
      <c r="O190" s="51"/>
      <c r="P190" s="51"/>
      <c r="Q190" s="51"/>
      <c r="R190" s="51"/>
      <c r="S190" s="51"/>
      <c r="T190" s="51"/>
      <c r="U190" s="51"/>
      <c r="V190" s="51"/>
      <c r="W190" s="51"/>
      <c r="X190" s="51"/>
      <c r="Y190" s="51"/>
    </row>
    <row r="191" spans="1:25" s="657" customFormat="1" x14ac:dyDescent="0.2">
      <c r="A191" s="57"/>
      <c r="B191" s="57"/>
      <c r="C191" s="749" t="s">
        <v>1637</v>
      </c>
      <c r="D191" s="750"/>
      <c r="E191" s="750"/>
      <c r="F191" s="750"/>
      <c r="G191" s="750"/>
      <c r="H191" s="750"/>
      <c r="I191" s="750"/>
      <c r="J191" s="750"/>
      <c r="K191" s="750"/>
      <c r="L191" s="750"/>
      <c r="M191" s="750"/>
      <c r="N191" s="750"/>
      <c r="O191" s="750"/>
      <c r="P191" s="751"/>
      <c r="Q191" s="75"/>
      <c r="R191" s="29"/>
      <c r="S191" s="57"/>
      <c r="T191" s="57"/>
      <c r="U191" s="57"/>
      <c r="V191" s="57"/>
      <c r="W191" s="57"/>
      <c r="X191" s="57"/>
      <c r="Y191" s="57"/>
    </row>
    <row r="192" spans="1:25" s="657" customFormat="1" ht="41.25" customHeight="1" x14ac:dyDescent="0.2">
      <c r="A192" s="57"/>
      <c r="B192" s="57"/>
      <c r="C192" s="746" t="s">
        <v>325</v>
      </c>
      <c r="D192" s="747"/>
      <c r="E192" s="747"/>
      <c r="F192" s="747"/>
      <c r="G192" s="747"/>
      <c r="H192" s="747"/>
      <c r="I192" s="747"/>
      <c r="J192" s="747"/>
      <c r="K192" s="747"/>
      <c r="L192" s="747"/>
      <c r="M192" s="747"/>
      <c r="N192" s="747"/>
      <c r="O192" s="747"/>
      <c r="P192" s="748"/>
      <c r="Q192" s="573"/>
      <c r="R192" s="29"/>
      <c r="S192" s="57"/>
      <c r="T192" s="57"/>
      <c r="U192" s="57"/>
      <c r="V192" s="57"/>
      <c r="W192" s="57"/>
      <c r="X192" s="57"/>
      <c r="Y192" s="57"/>
    </row>
    <row r="193" spans="1:25" s="657" customFormat="1" ht="30" customHeight="1" x14ac:dyDescent="0.2">
      <c r="A193" s="57"/>
      <c r="B193" s="57"/>
      <c r="C193" s="769" t="s">
        <v>24</v>
      </c>
      <c r="D193" s="769" t="s">
        <v>25</v>
      </c>
      <c r="E193" s="769" t="s">
        <v>2</v>
      </c>
      <c r="F193" s="772" t="s">
        <v>26</v>
      </c>
      <c r="G193" s="773"/>
      <c r="H193" s="780" t="s">
        <v>27</v>
      </c>
      <c r="I193" s="792"/>
      <c r="J193" s="781"/>
      <c r="K193" s="782" t="s">
        <v>28</v>
      </c>
      <c r="L193" s="760"/>
      <c r="M193" s="783" t="s">
        <v>29</v>
      </c>
      <c r="N193" s="784"/>
      <c r="O193" s="725" t="s">
        <v>444</v>
      </c>
      <c r="P193" s="726"/>
      <c r="Q193" s="573"/>
      <c r="R193" s="6"/>
      <c r="S193" s="57"/>
      <c r="T193" s="57"/>
      <c r="U193" s="57"/>
      <c r="V193" s="57"/>
      <c r="W193" s="57"/>
      <c r="X193" s="57"/>
      <c r="Y193" s="57"/>
    </row>
    <row r="194" spans="1:25" s="657" customFormat="1" ht="39.950000000000003" customHeight="1" x14ac:dyDescent="0.2">
      <c r="A194" s="57"/>
      <c r="B194" s="57"/>
      <c r="C194" s="770"/>
      <c r="D194" s="770"/>
      <c r="E194" s="770"/>
      <c r="F194" s="774"/>
      <c r="G194" s="775"/>
      <c r="H194" s="758" t="s">
        <v>1166</v>
      </c>
      <c r="I194" s="758" t="s">
        <v>6</v>
      </c>
      <c r="J194" s="758" t="s">
        <v>865</v>
      </c>
      <c r="K194" s="765" t="s">
        <v>866</v>
      </c>
      <c r="L194" s="765" t="s">
        <v>256</v>
      </c>
      <c r="M194" s="767" t="s">
        <v>32</v>
      </c>
      <c r="N194" s="767" t="s">
        <v>33</v>
      </c>
      <c r="O194" s="727" t="s">
        <v>445</v>
      </c>
      <c r="P194" s="727" t="s">
        <v>446</v>
      </c>
      <c r="Q194" s="44"/>
      <c r="R194" s="6"/>
      <c r="S194" s="57"/>
      <c r="T194" s="57"/>
      <c r="U194" s="57"/>
      <c r="V194" s="57"/>
      <c r="W194" s="57"/>
      <c r="X194" s="57"/>
      <c r="Y194" s="57"/>
    </row>
    <row r="195" spans="1:25" s="657" customFormat="1" ht="39.950000000000003" customHeight="1" x14ac:dyDescent="0.2">
      <c r="A195" s="57"/>
      <c r="B195" s="57"/>
      <c r="C195" s="770"/>
      <c r="D195" s="770"/>
      <c r="E195" s="770"/>
      <c r="F195" s="776"/>
      <c r="G195" s="777"/>
      <c r="H195" s="759"/>
      <c r="I195" s="759"/>
      <c r="J195" s="759"/>
      <c r="K195" s="766"/>
      <c r="L195" s="766"/>
      <c r="M195" s="768"/>
      <c r="N195" s="768"/>
      <c r="O195" s="728"/>
      <c r="P195" s="728"/>
      <c r="Q195" s="44"/>
      <c r="R195" s="57"/>
      <c r="S195" s="57"/>
      <c r="T195" s="57"/>
      <c r="U195" s="57"/>
      <c r="V195" s="57"/>
      <c r="W195" s="57"/>
      <c r="X195" s="57"/>
      <c r="Y195" s="57"/>
    </row>
    <row r="196" spans="1:25" s="657" customFormat="1" ht="39" customHeight="1" x14ac:dyDescent="0.2">
      <c r="A196" s="57"/>
      <c r="B196" s="57"/>
      <c r="C196" s="771"/>
      <c r="D196" s="771"/>
      <c r="E196" s="770"/>
      <c r="F196" s="456" t="s">
        <v>11</v>
      </c>
      <c r="G196" s="458" t="s">
        <v>12</v>
      </c>
      <c r="H196" s="74" t="s">
        <v>326</v>
      </c>
      <c r="I196" s="103" t="s">
        <v>16</v>
      </c>
      <c r="J196" s="103" t="s">
        <v>1744</v>
      </c>
      <c r="K196" s="574" t="s">
        <v>326</v>
      </c>
      <c r="L196" s="575" t="s">
        <v>16</v>
      </c>
      <c r="M196" s="576" t="s">
        <v>13</v>
      </c>
      <c r="N196" s="104" t="s">
        <v>16</v>
      </c>
      <c r="O196" s="105" t="s">
        <v>13</v>
      </c>
      <c r="P196" s="105" t="s">
        <v>13</v>
      </c>
      <c r="Q196" s="464"/>
      <c r="R196" s="57"/>
      <c r="S196" s="57"/>
      <c r="T196" s="57"/>
      <c r="U196" s="57"/>
      <c r="V196" s="57"/>
      <c r="W196" s="57"/>
      <c r="X196" s="57"/>
      <c r="Y196" s="57"/>
    </row>
    <row r="197" spans="1:25" s="657" customFormat="1" x14ac:dyDescent="0.2">
      <c r="A197" s="57"/>
      <c r="B197" s="57"/>
      <c r="C197" s="755" t="s">
        <v>327</v>
      </c>
      <c r="D197" s="752" t="s">
        <v>1745</v>
      </c>
      <c r="E197" s="634" t="s">
        <v>1752</v>
      </c>
      <c r="F197" s="637">
        <v>1.097</v>
      </c>
      <c r="G197" s="637" t="s">
        <v>431</v>
      </c>
      <c r="H197" s="579">
        <v>25.569598598142235</v>
      </c>
      <c r="I197" s="577">
        <v>1.6335490361498162E-2</v>
      </c>
      <c r="J197" s="579">
        <v>8.2520000000000007</v>
      </c>
      <c r="K197" s="151">
        <v>3.0437499999999997</v>
      </c>
      <c r="L197" s="152">
        <v>9.3299999999999998E-3</v>
      </c>
      <c r="M197" s="151">
        <v>0</v>
      </c>
      <c r="N197" s="152">
        <v>0</v>
      </c>
      <c r="O197" s="152">
        <v>0</v>
      </c>
      <c r="P197" s="152">
        <v>0</v>
      </c>
      <c r="Q197" s="44"/>
      <c r="R197" s="57"/>
      <c r="S197" s="57"/>
      <c r="T197" s="57"/>
      <c r="U197" s="57"/>
      <c r="V197" s="57"/>
      <c r="W197" s="57"/>
      <c r="X197" s="57"/>
      <c r="Y197" s="57"/>
    </row>
    <row r="198" spans="1:25" s="657" customFormat="1" x14ac:dyDescent="0.2">
      <c r="A198" s="57"/>
      <c r="B198" s="57"/>
      <c r="C198" s="756"/>
      <c r="D198" s="753"/>
      <c r="E198" s="635" t="s">
        <v>1755</v>
      </c>
      <c r="F198" s="638">
        <v>1.097</v>
      </c>
      <c r="G198" s="638" t="s">
        <v>431</v>
      </c>
      <c r="H198" s="580">
        <v>25.569598598142235</v>
      </c>
      <c r="I198" s="578">
        <v>1.6335490361498162E-2</v>
      </c>
      <c r="J198" s="580">
        <v>8.2520000000000007</v>
      </c>
      <c r="K198" s="153">
        <v>3.0437499999999997</v>
      </c>
      <c r="L198" s="154">
        <v>9.3299999999999998E-3</v>
      </c>
      <c r="M198" s="153">
        <v>0</v>
      </c>
      <c r="N198" s="154">
        <v>0</v>
      </c>
      <c r="O198" s="154">
        <v>3.9260000000000003E-2</v>
      </c>
      <c r="P198" s="154">
        <v>0</v>
      </c>
      <c r="Q198" s="44"/>
      <c r="R198" s="57"/>
      <c r="S198" s="57"/>
      <c r="T198" s="57"/>
      <c r="U198" s="57"/>
      <c r="V198" s="57"/>
      <c r="W198" s="57"/>
      <c r="X198" s="57"/>
      <c r="Y198" s="57"/>
    </row>
    <row r="199" spans="1:25" s="657" customFormat="1" x14ac:dyDescent="0.2">
      <c r="A199" s="57"/>
      <c r="B199" s="57"/>
      <c r="C199" s="756"/>
      <c r="D199" s="753"/>
      <c r="E199" s="635" t="s">
        <v>1753</v>
      </c>
      <c r="F199" s="638">
        <v>1.097</v>
      </c>
      <c r="G199" s="638" t="s">
        <v>431</v>
      </c>
      <c r="H199" s="580">
        <v>25.569598598142235</v>
      </c>
      <c r="I199" s="578">
        <v>1.6335490361498162E-2</v>
      </c>
      <c r="J199" s="580">
        <v>8.2520000000000007</v>
      </c>
      <c r="K199" s="153">
        <v>5.3265624999999996</v>
      </c>
      <c r="L199" s="154">
        <v>1.1010000000000001E-2</v>
      </c>
      <c r="M199" s="153">
        <v>0</v>
      </c>
      <c r="N199" s="154">
        <v>0</v>
      </c>
      <c r="O199" s="154">
        <v>0</v>
      </c>
      <c r="P199" s="154">
        <v>0</v>
      </c>
      <c r="Q199" s="70"/>
      <c r="R199" s="70"/>
      <c r="S199" s="57"/>
      <c r="T199" s="57"/>
      <c r="U199" s="57"/>
      <c r="V199" s="57"/>
      <c r="W199" s="57"/>
      <c r="X199" s="57"/>
      <c r="Y199" s="57"/>
    </row>
    <row r="200" spans="1:25" s="657" customFormat="1" x14ac:dyDescent="0.2">
      <c r="A200" s="57"/>
      <c r="B200" s="57"/>
      <c r="C200" s="756"/>
      <c r="D200" s="753"/>
      <c r="E200" s="635" t="s">
        <v>1754</v>
      </c>
      <c r="F200" s="638">
        <v>1.097</v>
      </c>
      <c r="G200" s="638" t="s">
        <v>431</v>
      </c>
      <c r="H200" s="580">
        <v>25.569598598142235</v>
      </c>
      <c r="I200" s="578">
        <v>1.6335490361498162E-2</v>
      </c>
      <c r="J200" s="580">
        <v>8.2520000000000007</v>
      </c>
      <c r="K200" s="153">
        <v>5.3265624999999996</v>
      </c>
      <c r="L200" s="154">
        <v>1.1010000000000001E-2</v>
      </c>
      <c r="M200" s="153">
        <v>0</v>
      </c>
      <c r="N200" s="154">
        <v>0</v>
      </c>
      <c r="O200" s="154">
        <v>3.9260000000000003E-2</v>
      </c>
      <c r="P200" s="154">
        <v>0</v>
      </c>
      <c r="Q200" s="70"/>
      <c r="R200" s="70"/>
      <c r="S200" s="57"/>
      <c r="T200" s="57"/>
      <c r="U200" s="57"/>
      <c r="V200" s="57"/>
      <c r="W200" s="57"/>
      <c r="X200" s="57"/>
      <c r="Y200" s="57"/>
    </row>
    <row r="201" spans="1:25" s="657" customFormat="1" x14ac:dyDescent="0.2">
      <c r="A201" s="57"/>
      <c r="B201" s="57"/>
      <c r="C201" s="756"/>
      <c r="D201" s="753"/>
      <c r="E201" s="635" t="s">
        <v>1756</v>
      </c>
      <c r="F201" s="638">
        <v>1.097</v>
      </c>
      <c r="G201" s="638" t="s">
        <v>431</v>
      </c>
      <c r="H201" s="580">
        <v>25.569598598142235</v>
      </c>
      <c r="I201" s="578">
        <v>1.6335490361498162E-2</v>
      </c>
      <c r="J201" s="580">
        <v>8.2520000000000007</v>
      </c>
      <c r="K201" s="153">
        <v>8.7051249999999989</v>
      </c>
      <c r="L201" s="154">
        <v>1.346E-2</v>
      </c>
      <c r="M201" s="153">
        <v>0</v>
      </c>
      <c r="N201" s="154">
        <v>0</v>
      </c>
      <c r="O201" s="154">
        <v>0</v>
      </c>
      <c r="P201" s="154">
        <v>0</v>
      </c>
      <c r="Q201" s="70"/>
      <c r="R201" s="70"/>
      <c r="S201" s="57"/>
      <c r="T201" s="57"/>
      <c r="U201" s="57"/>
      <c r="V201" s="57"/>
      <c r="W201" s="57"/>
      <c r="X201" s="57"/>
      <c r="Y201" s="57"/>
    </row>
    <row r="202" spans="1:25" s="657" customFormat="1" x14ac:dyDescent="0.2">
      <c r="A202" s="57"/>
      <c r="B202" s="57"/>
      <c r="C202" s="756"/>
      <c r="D202" s="754"/>
      <c r="E202" s="636" t="s">
        <v>1757</v>
      </c>
      <c r="F202" s="639">
        <v>1.097</v>
      </c>
      <c r="G202" s="639" t="s">
        <v>431</v>
      </c>
      <c r="H202" s="581">
        <v>25.569598598142235</v>
      </c>
      <c r="I202" s="582">
        <v>1.6335490361498162E-2</v>
      </c>
      <c r="J202" s="581">
        <v>8.2520000000000007</v>
      </c>
      <c r="K202" s="155">
        <v>8.7051249999999989</v>
      </c>
      <c r="L202" s="156">
        <v>1.346E-2</v>
      </c>
      <c r="M202" s="155">
        <v>0</v>
      </c>
      <c r="N202" s="156">
        <v>0</v>
      </c>
      <c r="O202" s="156">
        <v>3.9260000000000003E-2</v>
      </c>
      <c r="P202" s="156">
        <v>0</v>
      </c>
      <c r="Q202" s="70"/>
      <c r="R202" s="70"/>
      <c r="S202" s="57"/>
      <c r="T202" s="57"/>
      <c r="U202" s="57"/>
      <c r="V202" s="57"/>
      <c r="W202" s="57"/>
      <c r="X202" s="57"/>
      <c r="Y202" s="57"/>
    </row>
    <row r="203" spans="1:25" s="657" customFormat="1" x14ac:dyDescent="0.2">
      <c r="A203" s="57"/>
      <c r="B203" s="57"/>
      <c r="C203" s="756"/>
      <c r="D203" s="752" t="s">
        <v>1746</v>
      </c>
      <c r="E203" s="634" t="s">
        <v>1758</v>
      </c>
      <c r="F203" s="637">
        <v>1.097</v>
      </c>
      <c r="G203" s="637" t="s">
        <v>431</v>
      </c>
      <c r="H203" s="579">
        <v>41.199598598142231</v>
      </c>
      <c r="I203" s="577">
        <v>1.6335490361498162E-2</v>
      </c>
      <c r="J203" s="579">
        <v>8.2520000000000007</v>
      </c>
      <c r="K203" s="151">
        <v>3.0437499999999997</v>
      </c>
      <c r="L203" s="152">
        <v>9.3299999999999998E-3</v>
      </c>
      <c r="M203" s="151">
        <v>0</v>
      </c>
      <c r="N203" s="152">
        <v>0</v>
      </c>
      <c r="O203" s="152">
        <v>0</v>
      </c>
      <c r="P203" s="152">
        <v>0</v>
      </c>
      <c r="Q203" s="562"/>
      <c r="R203" s="562"/>
      <c r="S203" s="57"/>
      <c r="T203" s="57"/>
      <c r="U203" s="57"/>
      <c r="V203" s="57"/>
      <c r="W203" s="57"/>
      <c r="X203" s="57"/>
      <c r="Y203" s="57"/>
    </row>
    <row r="204" spans="1:25" s="657" customFormat="1" x14ac:dyDescent="0.2">
      <c r="A204" s="57"/>
      <c r="B204" s="57"/>
      <c r="C204" s="756"/>
      <c r="D204" s="753"/>
      <c r="E204" s="635" t="s">
        <v>1759</v>
      </c>
      <c r="F204" s="638">
        <v>1.097</v>
      </c>
      <c r="G204" s="638" t="s">
        <v>431</v>
      </c>
      <c r="H204" s="580">
        <v>41.199598598142231</v>
      </c>
      <c r="I204" s="578">
        <v>1.6335490361498162E-2</v>
      </c>
      <c r="J204" s="580">
        <v>8.2520000000000007</v>
      </c>
      <c r="K204" s="153">
        <v>3.0437499999999997</v>
      </c>
      <c r="L204" s="154">
        <v>9.3299999999999998E-3</v>
      </c>
      <c r="M204" s="153">
        <v>0</v>
      </c>
      <c r="N204" s="154">
        <v>0</v>
      </c>
      <c r="O204" s="154">
        <v>3.9260000000000003E-2</v>
      </c>
      <c r="P204" s="154">
        <v>0</v>
      </c>
      <c r="Q204" s="562"/>
      <c r="R204" s="562"/>
      <c r="S204" s="57"/>
      <c r="T204" s="57"/>
      <c r="U204" s="57"/>
      <c r="V204" s="57"/>
      <c r="W204" s="57"/>
      <c r="X204" s="57"/>
      <c r="Y204" s="57"/>
    </row>
    <row r="205" spans="1:25" s="657" customFormat="1" x14ac:dyDescent="0.2">
      <c r="A205" s="57"/>
      <c r="B205" s="57"/>
      <c r="C205" s="756"/>
      <c r="D205" s="753"/>
      <c r="E205" s="635" t="s">
        <v>1760</v>
      </c>
      <c r="F205" s="638">
        <v>1.097</v>
      </c>
      <c r="G205" s="638" t="s">
        <v>431</v>
      </c>
      <c r="H205" s="580">
        <v>41.199598598142231</v>
      </c>
      <c r="I205" s="578">
        <v>1.6335490361498162E-2</v>
      </c>
      <c r="J205" s="580">
        <v>8.2520000000000007</v>
      </c>
      <c r="K205" s="153">
        <v>5.3265624999999996</v>
      </c>
      <c r="L205" s="154">
        <v>1.1010000000000001E-2</v>
      </c>
      <c r="M205" s="153">
        <v>0</v>
      </c>
      <c r="N205" s="154">
        <v>0</v>
      </c>
      <c r="O205" s="154">
        <v>0</v>
      </c>
      <c r="P205" s="154">
        <v>0</v>
      </c>
      <c r="Q205" s="70"/>
      <c r="R205" s="57"/>
      <c r="S205" s="57"/>
      <c r="T205" s="57"/>
      <c r="U205" s="57"/>
      <c r="V205" s="57"/>
      <c r="W205" s="57"/>
      <c r="X205" s="57"/>
      <c r="Y205" s="57"/>
    </row>
    <row r="206" spans="1:25" s="657" customFormat="1" x14ac:dyDescent="0.2">
      <c r="A206" s="57"/>
      <c r="B206" s="57"/>
      <c r="C206" s="756"/>
      <c r="D206" s="753"/>
      <c r="E206" s="635" t="s">
        <v>1761</v>
      </c>
      <c r="F206" s="638">
        <v>1.097</v>
      </c>
      <c r="G206" s="638" t="s">
        <v>431</v>
      </c>
      <c r="H206" s="580">
        <v>41.199598598142231</v>
      </c>
      <c r="I206" s="578">
        <v>1.6335490361498162E-2</v>
      </c>
      <c r="J206" s="580">
        <v>8.2520000000000007</v>
      </c>
      <c r="K206" s="153">
        <v>5.3265624999999996</v>
      </c>
      <c r="L206" s="154">
        <v>1.1010000000000001E-2</v>
      </c>
      <c r="M206" s="153">
        <v>0</v>
      </c>
      <c r="N206" s="154">
        <v>0</v>
      </c>
      <c r="O206" s="154">
        <v>3.9260000000000003E-2</v>
      </c>
      <c r="P206" s="154">
        <v>0</v>
      </c>
      <c r="Q206" s="70"/>
      <c r="R206" s="57"/>
      <c r="S206" s="57"/>
      <c r="T206" s="57"/>
      <c r="U206" s="57"/>
      <c r="V206" s="57"/>
      <c r="W206" s="57"/>
      <c r="X206" s="57"/>
      <c r="Y206" s="57"/>
    </row>
    <row r="207" spans="1:25" s="657" customFormat="1" x14ac:dyDescent="0.2">
      <c r="A207" s="57"/>
      <c r="B207" s="57"/>
      <c r="C207" s="756"/>
      <c r="D207" s="753"/>
      <c r="E207" s="635" t="s">
        <v>1762</v>
      </c>
      <c r="F207" s="638">
        <v>1.097</v>
      </c>
      <c r="G207" s="638" t="s">
        <v>431</v>
      </c>
      <c r="H207" s="580">
        <v>41.199598598142231</v>
      </c>
      <c r="I207" s="578">
        <v>1.6335490361498162E-2</v>
      </c>
      <c r="J207" s="580">
        <v>8.2520000000000007</v>
      </c>
      <c r="K207" s="153">
        <v>8.7051249999999989</v>
      </c>
      <c r="L207" s="154">
        <v>1.346E-2</v>
      </c>
      <c r="M207" s="153">
        <v>0</v>
      </c>
      <c r="N207" s="154">
        <v>0</v>
      </c>
      <c r="O207" s="154">
        <v>0</v>
      </c>
      <c r="P207" s="154">
        <v>0</v>
      </c>
      <c r="Q207" s="70"/>
      <c r="R207" s="57"/>
      <c r="S207" s="57"/>
      <c r="T207" s="57"/>
      <c r="U207" s="57"/>
      <c r="V207" s="57"/>
      <c r="W207" s="57"/>
      <c r="X207" s="57"/>
      <c r="Y207" s="57"/>
    </row>
    <row r="208" spans="1:25" s="657" customFormat="1" x14ac:dyDescent="0.2">
      <c r="A208" s="57"/>
      <c r="B208" s="57"/>
      <c r="C208" s="756"/>
      <c r="D208" s="754"/>
      <c r="E208" s="636" t="s">
        <v>1763</v>
      </c>
      <c r="F208" s="639">
        <v>1.097</v>
      </c>
      <c r="G208" s="639" t="s">
        <v>431</v>
      </c>
      <c r="H208" s="581">
        <v>41.199598598142231</v>
      </c>
      <c r="I208" s="582">
        <v>1.6335490361498162E-2</v>
      </c>
      <c r="J208" s="581">
        <v>8.2520000000000007</v>
      </c>
      <c r="K208" s="155">
        <v>8.7051249999999989</v>
      </c>
      <c r="L208" s="156">
        <v>1.346E-2</v>
      </c>
      <c r="M208" s="155">
        <v>0</v>
      </c>
      <c r="N208" s="156">
        <v>0</v>
      </c>
      <c r="O208" s="156">
        <v>3.9260000000000003E-2</v>
      </c>
      <c r="P208" s="156">
        <v>0</v>
      </c>
      <c r="Q208" s="70"/>
      <c r="R208" s="57"/>
      <c r="S208" s="57"/>
      <c r="T208" s="57"/>
      <c r="U208" s="57"/>
      <c r="V208" s="57"/>
      <c r="W208" s="57"/>
      <c r="X208" s="57"/>
      <c r="Y208" s="57"/>
    </row>
    <row r="209" spans="1:25" s="657" customFormat="1" x14ac:dyDescent="0.2">
      <c r="A209" s="57"/>
      <c r="B209" s="57"/>
      <c r="C209" s="756"/>
      <c r="D209" s="752" t="s">
        <v>1747</v>
      </c>
      <c r="E209" s="634" t="s">
        <v>1764</v>
      </c>
      <c r="F209" s="637">
        <v>1.097</v>
      </c>
      <c r="G209" s="637" t="s">
        <v>431</v>
      </c>
      <c r="H209" s="579">
        <v>56.829598598142233</v>
      </c>
      <c r="I209" s="577">
        <v>1.6335490361498162E-2</v>
      </c>
      <c r="J209" s="579">
        <v>8.2520000000000007</v>
      </c>
      <c r="K209" s="151">
        <v>3.0437499999999997</v>
      </c>
      <c r="L209" s="152">
        <v>9.3299999999999998E-3</v>
      </c>
      <c r="M209" s="151">
        <v>0</v>
      </c>
      <c r="N209" s="152">
        <v>0</v>
      </c>
      <c r="O209" s="152">
        <v>0</v>
      </c>
      <c r="P209" s="152">
        <v>0</v>
      </c>
      <c r="Q209" s="70"/>
      <c r="R209" s="57"/>
      <c r="S209" s="57"/>
      <c r="T209" s="57"/>
      <c r="U209" s="57"/>
      <c r="V209" s="57"/>
      <c r="W209" s="57"/>
      <c r="X209" s="57"/>
      <c r="Y209" s="57"/>
    </row>
    <row r="210" spans="1:25" s="657" customFormat="1" x14ac:dyDescent="0.2">
      <c r="A210" s="57"/>
      <c r="B210" s="57"/>
      <c r="C210" s="756"/>
      <c r="D210" s="753"/>
      <c r="E210" s="635" t="s">
        <v>1765</v>
      </c>
      <c r="F210" s="638">
        <v>1.097</v>
      </c>
      <c r="G210" s="638" t="s">
        <v>431</v>
      </c>
      <c r="H210" s="580">
        <v>56.829598598142233</v>
      </c>
      <c r="I210" s="578">
        <v>1.6335490361498162E-2</v>
      </c>
      <c r="J210" s="580">
        <v>8.2520000000000007</v>
      </c>
      <c r="K210" s="153">
        <v>3.0437499999999997</v>
      </c>
      <c r="L210" s="154">
        <v>9.3299999999999998E-3</v>
      </c>
      <c r="M210" s="153">
        <v>0</v>
      </c>
      <c r="N210" s="154">
        <v>0</v>
      </c>
      <c r="O210" s="154">
        <v>3.9260000000000003E-2</v>
      </c>
      <c r="P210" s="154">
        <v>0</v>
      </c>
      <c r="Q210" s="70"/>
      <c r="R210" s="57"/>
      <c r="S210" s="57"/>
      <c r="T210" s="57"/>
      <c r="U210" s="57"/>
      <c r="V210" s="57"/>
      <c r="W210" s="57"/>
      <c r="X210" s="57"/>
      <c r="Y210" s="57"/>
    </row>
    <row r="211" spans="1:25" s="657" customFormat="1" x14ac:dyDescent="0.2">
      <c r="A211" s="57"/>
      <c r="B211" s="57"/>
      <c r="C211" s="756"/>
      <c r="D211" s="753"/>
      <c r="E211" s="635" t="s">
        <v>1766</v>
      </c>
      <c r="F211" s="638">
        <v>1.097</v>
      </c>
      <c r="G211" s="638" t="s">
        <v>431</v>
      </c>
      <c r="H211" s="580">
        <v>56.829598598142233</v>
      </c>
      <c r="I211" s="578">
        <v>1.6335490361498162E-2</v>
      </c>
      <c r="J211" s="580">
        <v>8.2520000000000007</v>
      </c>
      <c r="K211" s="153">
        <v>5.3265624999999996</v>
      </c>
      <c r="L211" s="154">
        <v>1.1010000000000001E-2</v>
      </c>
      <c r="M211" s="153">
        <v>0</v>
      </c>
      <c r="N211" s="154">
        <v>0</v>
      </c>
      <c r="O211" s="154">
        <v>0</v>
      </c>
      <c r="P211" s="154">
        <v>0</v>
      </c>
      <c r="Q211" s="70"/>
      <c r="R211" s="57"/>
      <c r="S211" s="57"/>
      <c r="T211" s="57"/>
      <c r="U211" s="57"/>
      <c r="V211" s="57"/>
      <c r="W211" s="57"/>
      <c r="X211" s="57"/>
      <c r="Y211" s="57"/>
    </row>
    <row r="212" spans="1:25" s="657" customFormat="1" x14ac:dyDescent="0.2">
      <c r="A212" s="57"/>
      <c r="B212" s="57"/>
      <c r="C212" s="756"/>
      <c r="D212" s="753"/>
      <c r="E212" s="635" t="s">
        <v>1767</v>
      </c>
      <c r="F212" s="638">
        <v>1.097</v>
      </c>
      <c r="G212" s="638" t="s">
        <v>431</v>
      </c>
      <c r="H212" s="580">
        <v>56.829598598142233</v>
      </c>
      <c r="I212" s="578">
        <v>1.6335490361498162E-2</v>
      </c>
      <c r="J212" s="580">
        <v>8.2520000000000007</v>
      </c>
      <c r="K212" s="153">
        <v>5.3265624999999996</v>
      </c>
      <c r="L212" s="154">
        <v>1.1010000000000001E-2</v>
      </c>
      <c r="M212" s="153">
        <v>0</v>
      </c>
      <c r="N212" s="154">
        <v>0</v>
      </c>
      <c r="O212" s="154">
        <v>3.9260000000000003E-2</v>
      </c>
      <c r="P212" s="154">
        <v>0</v>
      </c>
      <c r="Q212" s="70"/>
      <c r="R212" s="57"/>
      <c r="S212" s="57"/>
      <c r="T212" s="57"/>
      <c r="U212" s="57"/>
      <c r="V212" s="57"/>
      <c r="W212" s="57"/>
      <c r="X212" s="57"/>
      <c r="Y212" s="57"/>
    </row>
    <row r="213" spans="1:25" s="657" customFormat="1" x14ac:dyDescent="0.2">
      <c r="A213" s="57"/>
      <c r="B213" s="57"/>
      <c r="C213" s="756"/>
      <c r="D213" s="753"/>
      <c r="E213" s="635" t="s">
        <v>1768</v>
      </c>
      <c r="F213" s="638">
        <v>1.097</v>
      </c>
      <c r="G213" s="638" t="s">
        <v>431</v>
      </c>
      <c r="H213" s="580">
        <v>56.829598598142233</v>
      </c>
      <c r="I213" s="578">
        <v>1.6335490361498162E-2</v>
      </c>
      <c r="J213" s="580">
        <v>8.2520000000000007</v>
      </c>
      <c r="K213" s="153">
        <v>8.7051249999999989</v>
      </c>
      <c r="L213" s="154">
        <v>1.346E-2</v>
      </c>
      <c r="M213" s="153">
        <v>0</v>
      </c>
      <c r="N213" s="154">
        <v>0</v>
      </c>
      <c r="O213" s="154">
        <v>0</v>
      </c>
      <c r="P213" s="154">
        <v>0</v>
      </c>
      <c r="Q213" s="70"/>
      <c r="R213" s="57"/>
      <c r="S213" s="57"/>
      <c r="T213" s="57"/>
      <c r="U213" s="57"/>
      <c r="V213" s="57"/>
      <c r="W213" s="57"/>
      <c r="X213" s="57"/>
      <c r="Y213" s="57"/>
    </row>
    <row r="214" spans="1:25" s="657" customFormat="1" x14ac:dyDescent="0.2">
      <c r="A214" s="57"/>
      <c r="B214" s="57"/>
      <c r="C214" s="756"/>
      <c r="D214" s="754"/>
      <c r="E214" s="636" t="s">
        <v>1769</v>
      </c>
      <c r="F214" s="639">
        <v>1.097</v>
      </c>
      <c r="G214" s="639" t="s">
        <v>431</v>
      </c>
      <c r="H214" s="581">
        <v>56.829598598142233</v>
      </c>
      <c r="I214" s="582">
        <v>1.6335490361498162E-2</v>
      </c>
      <c r="J214" s="581">
        <v>8.2520000000000007</v>
      </c>
      <c r="K214" s="155">
        <v>8.7051249999999989</v>
      </c>
      <c r="L214" s="156">
        <v>1.346E-2</v>
      </c>
      <c r="M214" s="155">
        <v>0</v>
      </c>
      <c r="N214" s="156">
        <v>0</v>
      </c>
      <c r="O214" s="156">
        <v>3.9260000000000003E-2</v>
      </c>
      <c r="P214" s="156">
        <v>0</v>
      </c>
      <c r="Q214" s="70"/>
      <c r="R214" s="57"/>
      <c r="S214" s="57"/>
      <c r="T214" s="57"/>
      <c r="U214" s="57"/>
      <c r="V214" s="57"/>
      <c r="W214" s="57"/>
      <c r="X214" s="57"/>
      <c r="Y214" s="57"/>
    </row>
    <row r="215" spans="1:25" s="657" customFormat="1" x14ac:dyDescent="0.2">
      <c r="A215" s="57"/>
      <c r="B215" s="57"/>
      <c r="C215" s="756"/>
      <c r="D215" s="752" t="s">
        <v>1748</v>
      </c>
      <c r="E215" s="634" t="s">
        <v>1770</v>
      </c>
      <c r="F215" s="637">
        <v>1.097</v>
      </c>
      <c r="G215" s="637" t="s">
        <v>431</v>
      </c>
      <c r="H215" s="579">
        <v>72.459598598142236</v>
      </c>
      <c r="I215" s="577">
        <v>1.6335490361498162E-2</v>
      </c>
      <c r="J215" s="579">
        <v>8.2520000000000007</v>
      </c>
      <c r="K215" s="151">
        <v>3.0437499999999997</v>
      </c>
      <c r="L215" s="152">
        <v>9.3299999999999998E-3</v>
      </c>
      <c r="M215" s="151">
        <v>0</v>
      </c>
      <c r="N215" s="152">
        <v>0</v>
      </c>
      <c r="O215" s="152">
        <v>0</v>
      </c>
      <c r="P215" s="152">
        <v>0</v>
      </c>
      <c r="Q215" s="70"/>
      <c r="R215" s="57"/>
      <c r="S215" s="57"/>
      <c r="T215" s="57"/>
      <c r="U215" s="57"/>
      <c r="V215" s="57"/>
      <c r="W215" s="57"/>
      <c r="X215" s="57"/>
      <c r="Y215" s="57"/>
    </row>
    <row r="216" spans="1:25" s="657" customFormat="1" x14ac:dyDescent="0.2">
      <c r="A216" s="57"/>
      <c r="B216" s="57"/>
      <c r="C216" s="756"/>
      <c r="D216" s="753"/>
      <c r="E216" s="635" t="s">
        <v>1771</v>
      </c>
      <c r="F216" s="638">
        <v>1.097</v>
      </c>
      <c r="G216" s="638" t="s">
        <v>431</v>
      </c>
      <c r="H216" s="580">
        <v>72.459598598142236</v>
      </c>
      <c r="I216" s="578">
        <v>1.6335490361498162E-2</v>
      </c>
      <c r="J216" s="580">
        <v>8.2520000000000007</v>
      </c>
      <c r="K216" s="153">
        <v>3.0437499999999997</v>
      </c>
      <c r="L216" s="154">
        <v>9.3299999999999998E-3</v>
      </c>
      <c r="M216" s="153">
        <v>0</v>
      </c>
      <c r="N216" s="154">
        <v>0</v>
      </c>
      <c r="O216" s="154">
        <v>3.9260000000000003E-2</v>
      </c>
      <c r="P216" s="154">
        <v>0</v>
      </c>
      <c r="Q216" s="70"/>
      <c r="R216" s="57"/>
      <c r="S216" s="57"/>
      <c r="T216" s="57"/>
      <c r="U216" s="57"/>
      <c r="V216" s="57"/>
      <c r="W216" s="57"/>
      <c r="X216" s="57"/>
      <c r="Y216" s="57"/>
    </row>
    <row r="217" spans="1:25" s="657" customFormat="1" x14ac:dyDescent="0.2">
      <c r="A217" s="57"/>
      <c r="B217" s="57"/>
      <c r="C217" s="756"/>
      <c r="D217" s="753"/>
      <c r="E217" s="635" t="s">
        <v>1772</v>
      </c>
      <c r="F217" s="638">
        <v>1.097</v>
      </c>
      <c r="G217" s="638" t="s">
        <v>431</v>
      </c>
      <c r="H217" s="580">
        <v>72.459598598142236</v>
      </c>
      <c r="I217" s="578">
        <v>1.6335490361498162E-2</v>
      </c>
      <c r="J217" s="580">
        <v>8.2520000000000007</v>
      </c>
      <c r="K217" s="153">
        <v>5.3265624999999996</v>
      </c>
      <c r="L217" s="154">
        <v>1.1010000000000001E-2</v>
      </c>
      <c r="M217" s="153">
        <v>0</v>
      </c>
      <c r="N217" s="154">
        <v>0</v>
      </c>
      <c r="O217" s="154">
        <v>0</v>
      </c>
      <c r="P217" s="154">
        <v>0</v>
      </c>
      <c r="Q217" s="70"/>
      <c r="R217" s="57"/>
      <c r="S217" s="57"/>
      <c r="T217" s="57"/>
      <c r="U217" s="57"/>
      <c r="V217" s="57"/>
      <c r="W217" s="57"/>
      <c r="X217" s="57"/>
      <c r="Y217" s="57"/>
    </row>
    <row r="218" spans="1:25" s="657" customFormat="1" x14ac:dyDescent="0.2">
      <c r="A218" s="57"/>
      <c r="B218" s="57"/>
      <c r="C218" s="756"/>
      <c r="D218" s="753"/>
      <c r="E218" s="635" t="s">
        <v>1773</v>
      </c>
      <c r="F218" s="638">
        <v>1.097</v>
      </c>
      <c r="G218" s="638" t="s">
        <v>431</v>
      </c>
      <c r="H218" s="580">
        <v>72.459598598142236</v>
      </c>
      <c r="I218" s="578">
        <v>1.6335490361498162E-2</v>
      </c>
      <c r="J218" s="580">
        <v>8.2520000000000007</v>
      </c>
      <c r="K218" s="153">
        <v>5.3265624999999996</v>
      </c>
      <c r="L218" s="154">
        <v>1.1010000000000001E-2</v>
      </c>
      <c r="M218" s="153">
        <v>0</v>
      </c>
      <c r="N218" s="154">
        <v>0</v>
      </c>
      <c r="O218" s="154">
        <v>3.9260000000000003E-2</v>
      </c>
      <c r="P218" s="154">
        <v>0</v>
      </c>
      <c r="Q218" s="70"/>
      <c r="R218" s="57"/>
      <c r="S218" s="57"/>
      <c r="T218" s="57"/>
      <c r="U218" s="57"/>
      <c r="V218" s="57"/>
      <c r="W218" s="57"/>
      <c r="X218" s="57"/>
      <c r="Y218" s="57"/>
    </row>
    <row r="219" spans="1:25" s="657" customFormat="1" x14ac:dyDescent="0.2">
      <c r="A219" s="57"/>
      <c r="B219" s="57"/>
      <c r="C219" s="756"/>
      <c r="D219" s="753"/>
      <c r="E219" s="635" t="s">
        <v>1774</v>
      </c>
      <c r="F219" s="638">
        <v>1.097</v>
      </c>
      <c r="G219" s="638" t="s">
        <v>431</v>
      </c>
      <c r="H219" s="580">
        <v>72.459598598142236</v>
      </c>
      <c r="I219" s="578">
        <v>1.6335490361498162E-2</v>
      </c>
      <c r="J219" s="580">
        <v>8.2520000000000007</v>
      </c>
      <c r="K219" s="153">
        <v>8.7051249999999989</v>
      </c>
      <c r="L219" s="154">
        <v>1.346E-2</v>
      </c>
      <c r="M219" s="153">
        <v>0</v>
      </c>
      <c r="N219" s="154">
        <v>0</v>
      </c>
      <c r="O219" s="154">
        <v>0</v>
      </c>
      <c r="P219" s="154">
        <v>0</v>
      </c>
      <c r="Q219" s="70"/>
      <c r="R219" s="57"/>
      <c r="S219" s="57"/>
      <c r="T219" s="57"/>
      <c r="U219" s="57"/>
      <c r="V219" s="57"/>
      <c r="W219" s="57"/>
      <c r="X219" s="57"/>
      <c r="Y219" s="57"/>
    </row>
    <row r="220" spans="1:25" s="657" customFormat="1" x14ac:dyDescent="0.2">
      <c r="A220" s="57"/>
      <c r="B220" s="57"/>
      <c r="C220" s="756"/>
      <c r="D220" s="754"/>
      <c r="E220" s="636" t="s">
        <v>1775</v>
      </c>
      <c r="F220" s="639">
        <v>1.097</v>
      </c>
      <c r="G220" s="639" t="s">
        <v>431</v>
      </c>
      <c r="H220" s="581">
        <v>72.459598598142236</v>
      </c>
      <c r="I220" s="582">
        <v>1.6335490361498162E-2</v>
      </c>
      <c r="J220" s="581">
        <v>8.2520000000000007</v>
      </c>
      <c r="K220" s="155">
        <v>8.7051249999999989</v>
      </c>
      <c r="L220" s="156">
        <v>1.346E-2</v>
      </c>
      <c r="M220" s="155">
        <v>0</v>
      </c>
      <c r="N220" s="156">
        <v>0</v>
      </c>
      <c r="O220" s="156">
        <v>3.9260000000000003E-2</v>
      </c>
      <c r="P220" s="156">
        <v>0</v>
      </c>
      <c r="Q220" s="70"/>
      <c r="R220" s="57"/>
      <c r="S220" s="57"/>
      <c r="T220" s="57"/>
      <c r="U220" s="57"/>
      <c r="V220" s="57"/>
      <c r="W220" s="57"/>
      <c r="X220" s="57"/>
      <c r="Y220" s="57"/>
    </row>
    <row r="221" spans="1:25" s="657" customFormat="1" x14ac:dyDescent="0.2">
      <c r="A221" s="57"/>
      <c r="B221" s="57"/>
      <c r="C221" s="756"/>
      <c r="D221" s="752" t="s">
        <v>1749</v>
      </c>
      <c r="E221" s="634" t="s">
        <v>1776</v>
      </c>
      <c r="F221" s="637">
        <v>1.097</v>
      </c>
      <c r="G221" s="637" t="s">
        <v>431</v>
      </c>
      <c r="H221" s="579">
        <v>88.089598598142231</v>
      </c>
      <c r="I221" s="577">
        <v>1.6335490361498162E-2</v>
      </c>
      <c r="J221" s="579">
        <v>8.2520000000000007</v>
      </c>
      <c r="K221" s="151">
        <v>3.0437499999999997</v>
      </c>
      <c r="L221" s="152">
        <v>9.3299999999999998E-3</v>
      </c>
      <c r="M221" s="151">
        <v>0</v>
      </c>
      <c r="N221" s="152">
        <v>0</v>
      </c>
      <c r="O221" s="152">
        <v>0</v>
      </c>
      <c r="P221" s="152">
        <v>0</v>
      </c>
      <c r="Q221" s="70"/>
      <c r="R221" s="57"/>
      <c r="S221" s="57"/>
      <c r="T221" s="57"/>
      <c r="U221" s="57"/>
      <c r="V221" s="57"/>
      <c r="W221" s="57"/>
      <c r="X221" s="57"/>
      <c r="Y221" s="57"/>
    </row>
    <row r="222" spans="1:25" s="657" customFormat="1" x14ac:dyDescent="0.2">
      <c r="A222" s="57"/>
      <c r="B222" s="57"/>
      <c r="C222" s="756"/>
      <c r="D222" s="753"/>
      <c r="E222" s="635" t="s">
        <v>1777</v>
      </c>
      <c r="F222" s="638">
        <v>1.097</v>
      </c>
      <c r="G222" s="638" t="s">
        <v>431</v>
      </c>
      <c r="H222" s="580">
        <v>88.089598598142231</v>
      </c>
      <c r="I222" s="578">
        <v>1.6335490361498162E-2</v>
      </c>
      <c r="J222" s="580">
        <v>8.2520000000000007</v>
      </c>
      <c r="K222" s="153">
        <v>3.0437499999999997</v>
      </c>
      <c r="L222" s="154">
        <v>9.3299999999999998E-3</v>
      </c>
      <c r="M222" s="153">
        <v>0</v>
      </c>
      <c r="N222" s="154">
        <v>0</v>
      </c>
      <c r="O222" s="154">
        <v>3.9260000000000003E-2</v>
      </c>
      <c r="P222" s="154">
        <v>0</v>
      </c>
      <c r="Q222" s="70"/>
      <c r="R222" s="57"/>
      <c r="S222" s="57"/>
      <c r="T222" s="57"/>
      <c r="U222" s="57"/>
      <c r="V222" s="57"/>
      <c r="W222" s="57"/>
      <c r="X222" s="57"/>
      <c r="Y222" s="57"/>
    </row>
    <row r="223" spans="1:25" s="657" customFormat="1" x14ac:dyDescent="0.2">
      <c r="A223" s="57"/>
      <c r="B223" s="57"/>
      <c r="C223" s="756"/>
      <c r="D223" s="753"/>
      <c r="E223" s="635" t="s">
        <v>1778</v>
      </c>
      <c r="F223" s="638">
        <v>1.097</v>
      </c>
      <c r="G223" s="638" t="s">
        <v>431</v>
      </c>
      <c r="H223" s="580">
        <v>88.089598598142231</v>
      </c>
      <c r="I223" s="578">
        <v>1.6335490361498162E-2</v>
      </c>
      <c r="J223" s="580">
        <v>8.2520000000000007</v>
      </c>
      <c r="K223" s="153">
        <v>5.3265624999999996</v>
      </c>
      <c r="L223" s="154">
        <v>1.1010000000000001E-2</v>
      </c>
      <c r="M223" s="153">
        <v>0</v>
      </c>
      <c r="N223" s="154">
        <v>0</v>
      </c>
      <c r="O223" s="154">
        <v>0</v>
      </c>
      <c r="P223" s="154">
        <v>0</v>
      </c>
      <c r="Q223" s="70"/>
      <c r="R223" s="57"/>
      <c r="S223" s="57"/>
      <c r="T223" s="57"/>
      <c r="U223" s="57"/>
      <c r="V223" s="57"/>
      <c r="W223" s="57"/>
      <c r="X223" s="57"/>
      <c r="Y223" s="57"/>
    </row>
    <row r="224" spans="1:25" s="657" customFormat="1" x14ac:dyDescent="0.2">
      <c r="A224" s="57"/>
      <c r="B224" s="57"/>
      <c r="C224" s="756"/>
      <c r="D224" s="753"/>
      <c r="E224" s="635" t="s">
        <v>1779</v>
      </c>
      <c r="F224" s="638">
        <v>1.097</v>
      </c>
      <c r="G224" s="638" t="s">
        <v>431</v>
      </c>
      <c r="H224" s="580">
        <v>88.089598598142231</v>
      </c>
      <c r="I224" s="578">
        <v>1.6335490361498162E-2</v>
      </c>
      <c r="J224" s="580">
        <v>8.2520000000000007</v>
      </c>
      <c r="K224" s="153">
        <v>5.3265624999999996</v>
      </c>
      <c r="L224" s="154">
        <v>1.1010000000000001E-2</v>
      </c>
      <c r="M224" s="153">
        <v>0</v>
      </c>
      <c r="N224" s="154">
        <v>0</v>
      </c>
      <c r="O224" s="154">
        <v>3.9260000000000003E-2</v>
      </c>
      <c r="P224" s="154">
        <v>0</v>
      </c>
      <c r="Q224" s="70"/>
      <c r="R224" s="57"/>
      <c r="S224" s="57"/>
      <c r="T224" s="57"/>
      <c r="U224" s="57"/>
      <c r="V224" s="57"/>
      <c r="W224" s="57"/>
      <c r="X224" s="57"/>
      <c r="Y224" s="57"/>
    </row>
    <row r="225" spans="1:25" s="657" customFormat="1" x14ac:dyDescent="0.2">
      <c r="A225" s="57"/>
      <c r="B225" s="57"/>
      <c r="C225" s="756"/>
      <c r="D225" s="753"/>
      <c r="E225" s="635" t="s">
        <v>1780</v>
      </c>
      <c r="F225" s="638">
        <v>1.097</v>
      </c>
      <c r="G225" s="638" t="s">
        <v>431</v>
      </c>
      <c r="H225" s="580">
        <v>88.089598598142231</v>
      </c>
      <c r="I225" s="578">
        <v>1.6335490361498162E-2</v>
      </c>
      <c r="J225" s="580">
        <v>8.2520000000000007</v>
      </c>
      <c r="K225" s="153">
        <v>8.7051249999999989</v>
      </c>
      <c r="L225" s="154">
        <v>1.346E-2</v>
      </c>
      <c r="M225" s="153">
        <v>0</v>
      </c>
      <c r="N225" s="154">
        <v>0</v>
      </c>
      <c r="O225" s="154">
        <v>0</v>
      </c>
      <c r="P225" s="154">
        <v>0</v>
      </c>
      <c r="Q225" s="70"/>
      <c r="R225" s="70"/>
      <c r="S225" s="57"/>
      <c r="T225" s="57"/>
      <c r="U225" s="57"/>
      <c r="V225" s="57"/>
      <c r="W225" s="57"/>
      <c r="X225" s="57"/>
      <c r="Y225" s="57"/>
    </row>
    <row r="226" spans="1:25" s="657" customFormat="1" x14ac:dyDescent="0.2">
      <c r="A226" s="57"/>
      <c r="B226" s="57"/>
      <c r="C226" s="757"/>
      <c r="D226" s="754"/>
      <c r="E226" s="636" t="s">
        <v>1781</v>
      </c>
      <c r="F226" s="639">
        <v>1.097</v>
      </c>
      <c r="G226" s="639" t="s">
        <v>431</v>
      </c>
      <c r="H226" s="581">
        <v>88.089598598142231</v>
      </c>
      <c r="I226" s="582">
        <v>1.6335490361498162E-2</v>
      </c>
      <c r="J226" s="581">
        <v>8.2520000000000007</v>
      </c>
      <c r="K226" s="155">
        <v>8.7051249999999989</v>
      </c>
      <c r="L226" s="156">
        <v>1.346E-2</v>
      </c>
      <c r="M226" s="155">
        <v>0</v>
      </c>
      <c r="N226" s="156">
        <v>0</v>
      </c>
      <c r="O226" s="156">
        <v>3.9260000000000003E-2</v>
      </c>
      <c r="P226" s="156">
        <v>0</v>
      </c>
      <c r="Q226" s="70"/>
      <c r="R226" s="70"/>
      <c r="S226" s="57"/>
      <c r="T226" s="57"/>
      <c r="U226" s="57"/>
      <c r="V226" s="57"/>
      <c r="W226" s="57"/>
      <c r="X226" s="57"/>
      <c r="Y226" s="57"/>
    </row>
    <row r="227" spans="1:25" s="657" customFormat="1" x14ac:dyDescent="0.2">
      <c r="A227" s="57"/>
      <c r="B227" s="57"/>
      <c r="C227" s="583"/>
      <c r="D227" s="570"/>
      <c r="E227" s="570"/>
      <c r="F227" s="570"/>
      <c r="G227" s="570"/>
      <c r="H227" s="570"/>
      <c r="I227" s="570"/>
      <c r="J227" s="570"/>
      <c r="K227" s="570"/>
      <c r="L227" s="570"/>
      <c r="M227" s="570"/>
      <c r="N227" s="570"/>
      <c r="O227" s="570"/>
      <c r="P227" s="570"/>
      <c r="Q227" s="570"/>
      <c r="R227" s="57"/>
      <c r="S227" s="57"/>
      <c r="T227" s="57"/>
      <c r="U227" s="57"/>
      <c r="V227" s="57"/>
      <c r="W227" s="57"/>
      <c r="X227" s="57"/>
      <c r="Y227" s="57"/>
    </row>
    <row r="228" spans="1:25" s="657" customFormat="1" x14ac:dyDescent="0.2">
      <c r="A228" s="57"/>
      <c r="B228" s="57"/>
      <c r="C228" s="8" t="s">
        <v>96</v>
      </c>
      <c r="D228" s="584"/>
      <c r="E228" s="584"/>
      <c r="F228" s="584"/>
      <c r="G228" s="584"/>
      <c r="H228" s="584"/>
      <c r="I228" s="584"/>
      <c r="J228" s="584"/>
      <c r="K228" s="584"/>
      <c r="L228" s="584"/>
      <c r="M228" s="584"/>
      <c r="N228" s="584"/>
      <c r="O228" s="584"/>
      <c r="P228" s="584"/>
      <c r="Q228" s="584"/>
      <c r="R228" s="57"/>
      <c r="S228" s="57"/>
      <c r="T228" s="57"/>
      <c r="U228" s="57"/>
      <c r="V228" s="57"/>
      <c r="W228" s="57"/>
      <c r="X228" s="57"/>
      <c r="Y228" s="57"/>
    </row>
    <row r="229" spans="1:25" s="657" customFormat="1" x14ac:dyDescent="0.2">
      <c r="A229" s="57"/>
      <c r="B229" s="57"/>
      <c r="C229" s="30" t="s">
        <v>97</v>
      </c>
      <c r="D229" s="70"/>
      <c r="E229" s="70"/>
      <c r="F229" s="70"/>
      <c r="G229" s="70"/>
      <c r="H229" s="70"/>
      <c r="I229" s="70"/>
      <c r="J229" s="70"/>
      <c r="K229" s="70"/>
      <c r="L229" s="70"/>
      <c r="M229" s="70"/>
      <c r="N229" s="70"/>
      <c r="O229" s="70"/>
      <c r="P229" s="70"/>
      <c r="Q229" s="70"/>
      <c r="R229" s="57"/>
      <c r="S229" s="57"/>
      <c r="T229" s="57"/>
      <c r="U229" s="57"/>
      <c r="V229" s="57"/>
      <c r="W229" s="57"/>
      <c r="X229" s="57"/>
      <c r="Y229" s="57"/>
    </row>
    <row r="230" spans="1:25" x14ac:dyDescent="0.2">
      <c r="A230" s="51"/>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row>
    <row r="231" spans="1:25" ht="15" customHeight="1" x14ac:dyDescent="0.2">
      <c r="A231" s="51"/>
      <c r="B231" s="51"/>
      <c r="C231" s="749" t="s">
        <v>1637</v>
      </c>
      <c r="D231" s="750"/>
      <c r="E231" s="750"/>
      <c r="F231" s="750"/>
      <c r="G231" s="750"/>
      <c r="H231" s="750"/>
      <c r="I231" s="750"/>
      <c r="J231" s="750"/>
      <c r="K231" s="750"/>
      <c r="L231" s="750"/>
      <c r="M231" s="750"/>
      <c r="N231" s="750"/>
      <c r="O231" s="751"/>
      <c r="P231" s="51"/>
      <c r="Q231" s="51"/>
      <c r="R231" s="51"/>
      <c r="S231" s="51"/>
      <c r="T231" s="51"/>
      <c r="U231" s="51"/>
      <c r="V231" s="51"/>
      <c r="W231" s="51"/>
      <c r="X231" s="51"/>
      <c r="Y231" s="51"/>
    </row>
    <row r="232" spans="1:25" ht="41.25" customHeight="1" x14ac:dyDescent="0.2">
      <c r="A232" s="51"/>
      <c r="B232" s="51"/>
      <c r="C232" s="746" t="s">
        <v>328</v>
      </c>
      <c r="D232" s="747"/>
      <c r="E232" s="747"/>
      <c r="F232" s="747"/>
      <c r="G232" s="747"/>
      <c r="H232" s="747"/>
      <c r="I232" s="747"/>
      <c r="J232" s="747"/>
      <c r="K232" s="747"/>
      <c r="L232" s="747"/>
      <c r="M232" s="747"/>
      <c r="N232" s="747"/>
      <c r="O232" s="748"/>
      <c r="P232" s="51"/>
      <c r="Q232" s="51"/>
      <c r="R232" s="51"/>
      <c r="S232" s="51"/>
      <c r="T232" s="51"/>
      <c r="U232" s="51"/>
      <c r="V232" s="51"/>
      <c r="W232" s="51"/>
      <c r="X232" s="51"/>
      <c r="Y232" s="51"/>
    </row>
    <row r="233" spans="1:25" ht="30" customHeight="1" x14ac:dyDescent="0.2">
      <c r="A233" s="51"/>
      <c r="B233" s="51"/>
      <c r="C233" s="778" t="s">
        <v>24</v>
      </c>
      <c r="D233" s="769" t="s">
        <v>25</v>
      </c>
      <c r="E233" s="778" t="s">
        <v>2</v>
      </c>
      <c r="F233" s="778" t="s">
        <v>26</v>
      </c>
      <c r="G233" s="779"/>
      <c r="H233" s="780" t="s">
        <v>27</v>
      </c>
      <c r="I233" s="781"/>
      <c r="J233" s="782" t="s">
        <v>28</v>
      </c>
      <c r="K233" s="760"/>
      <c r="L233" s="783" t="s">
        <v>29</v>
      </c>
      <c r="M233" s="784"/>
      <c r="N233" s="725" t="s">
        <v>444</v>
      </c>
      <c r="O233" s="726"/>
      <c r="P233" s="51"/>
      <c r="Q233" s="51"/>
      <c r="R233" s="51"/>
      <c r="S233" s="51"/>
      <c r="T233" s="51"/>
      <c r="U233" s="51"/>
      <c r="V233" s="51"/>
      <c r="W233" s="51"/>
      <c r="X233" s="51"/>
      <c r="Y233" s="51"/>
    </row>
    <row r="234" spans="1:25" ht="39.950000000000003" customHeight="1" x14ac:dyDescent="0.2">
      <c r="A234" s="51"/>
      <c r="B234" s="51"/>
      <c r="C234" s="778"/>
      <c r="D234" s="770"/>
      <c r="E234" s="778"/>
      <c r="F234" s="778"/>
      <c r="G234" s="779"/>
      <c r="H234" s="785" t="s">
        <v>3</v>
      </c>
      <c r="I234" s="758" t="s">
        <v>6</v>
      </c>
      <c r="J234" s="760" t="s">
        <v>8</v>
      </c>
      <c r="K234" s="761" t="s">
        <v>256</v>
      </c>
      <c r="L234" s="767" t="s">
        <v>32</v>
      </c>
      <c r="M234" s="767" t="s">
        <v>33</v>
      </c>
      <c r="N234" s="727" t="s">
        <v>628</v>
      </c>
      <c r="O234" s="727" t="s">
        <v>629</v>
      </c>
      <c r="P234" s="51"/>
      <c r="Q234" s="51"/>
      <c r="R234" s="51"/>
      <c r="S234" s="51"/>
      <c r="T234" s="51"/>
      <c r="U234" s="51"/>
      <c r="V234" s="51"/>
      <c r="W234" s="51"/>
      <c r="X234" s="51"/>
      <c r="Y234" s="51"/>
    </row>
    <row r="235" spans="1:25" ht="39.950000000000003" customHeight="1" x14ac:dyDescent="0.2">
      <c r="A235" s="51"/>
      <c r="B235" s="51"/>
      <c r="C235" s="778"/>
      <c r="D235" s="770"/>
      <c r="E235" s="778"/>
      <c r="F235" s="778"/>
      <c r="G235" s="779"/>
      <c r="H235" s="785"/>
      <c r="I235" s="759"/>
      <c r="J235" s="760"/>
      <c r="K235" s="761"/>
      <c r="L235" s="768"/>
      <c r="M235" s="768"/>
      <c r="N235" s="728"/>
      <c r="O235" s="728"/>
      <c r="P235" s="51"/>
      <c r="Q235" s="51"/>
      <c r="R235" s="51"/>
      <c r="S235" s="51"/>
      <c r="T235" s="51"/>
      <c r="U235" s="51"/>
      <c r="V235" s="51"/>
      <c r="W235" s="51"/>
      <c r="X235" s="51"/>
      <c r="Y235" s="51"/>
    </row>
    <row r="236" spans="1:25" ht="30" customHeight="1" x14ac:dyDescent="0.2">
      <c r="A236" s="51"/>
      <c r="B236" s="51"/>
      <c r="C236" s="778"/>
      <c r="D236" s="771"/>
      <c r="E236" s="778"/>
      <c r="F236" s="461" t="s">
        <v>11</v>
      </c>
      <c r="G236" s="462" t="s">
        <v>12</v>
      </c>
      <c r="H236" s="13" t="s">
        <v>13</v>
      </c>
      <c r="I236" s="14" t="s">
        <v>16</v>
      </c>
      <c r="J236" s="459" t="s">
        <v>13</v>
      </c>
      <c r="K236" s="61" t="s">
        <v>16</v>
      </c>
      <c r="L236" s="62" t="s">
        <v>13</v>
      </c>
      <c r="M236" s="18" t="s">
        <v>16</v>
      </c>
      <c r="N236" s="105" t="s">
        <v>13</v>
      </c>
      <c r="O236" s="105" t="s">
        <v>13</v>
      </c>
      <c r="P236" s="51"/>
      <c r="Q236" s="51"/>
      <c r="R236" s="51"/>
      <c r="S236" s="51"/>
      <c r="T236" s="51"/>
      <c r="U236" s="51"/>
      <c r="V236" s="51"/>
      <c r="W236" s="51"/>
      <c r="X236" s="51"/>
      <c r="Y236" s="51"/>
    </row>
    <row r="237" spans="1:25" ht="12.75" customHeight="1" x14ac:dyDescent="0.2">
      <c r="A237" s="51"/>
      <c r="B237" s="51"/>
      <c r="C237" s="743" t="s">
        <v>329</v>
      </c>
      <c r="D237" s="740" t="s">
        <v>330</v>
      </c>
      <c r="E237" s="33" t="s">
        <v>331</v>
      </c>
      <c r="F237" s="614">
        <v>1.097</v>
      </c>
      <c r="G237" s="615" t="s">
        <v>431</v>
      </c>
      <c r="H237" s="151">
        <v>9.4E-2</v>
      </c>
      <c r="I237" s="152">
        <v>4.1820000000000003E-2</v>
      </c>
      <c r="J237" s="640"/>
      <c r="K237" s="152">
        <v>9.3299999999999998E-3</v>
      </c>
      <c r="L237" s="640"/>
      <c r="M237" s="152">
        <v>0</v>
      </c>
      <c r="N237" s="152">
        <v>1.443E-2</v>
      </c>
      <c r="O237" s="152">
        <v>3.9399999999999998E-2</v>
      </c>
      <c r="P237" s="51"/>
      <c r="Q237" s="51"/>
      <c r="R237" s="51"/>
      <c r="S237" s="51"/>
      <c r="T237" s="51"/>
      <c r="U237" s="51"/>
      <c r="V237" s="51"/>
      <c r="W237" s="51"/>
      <c r="X237" s="51"/>
      <c r="Y237" s="51"/>
    </row>
    <row r="238" spans="1:25" x14ac:dyDescent="0.2">
      <c r="A238" s="51"/>
      <c r="B238" s="51"/>
      <c r="C238" s="744"/>
      <c r="D238" s="741"/>
      <c r="E238" s="34" t="s">
        <v>630</v>
      </c>
      <c r="F238" s="616">
        <v>1.097</v>
      </c>
      <c r="G238" s="617" t="s">
        <v>431</v>
      </c>
      <c r="H238" s="153">
        <v>9.4E-2</v>
      </c>
      <c r="I238" s="154">
        <v>4.1820000000000003E-2</v>
      </c>
      <c r="J238" s="641"/>
      <c r="K238" s="154">
        <v>9.3299999999999998E-3</v>
      </c>
      <c r="L238" s="641"/>
      <c r="M238" s="154">
        <v>0</v>
      </c>
      <c r="N238" s="154">
        <v>0</v>
      </c>
      <c r="O238" s="154">
        <v>0</v>
      </c>
      <c r="P238" s="51"/>
      <c r="Q238" s="51"/>
      <c r="R238" s="51"/>
      <c r="S238" s="51"/>
      <c r="T238" s="51"/>
      <c r="U238" s="51"/>
      <c r="V238" s="51"/>
      <c r="W238" s="51"/>
      <c r="X238" s="51"/>
      <c r="Y238" s="51"/>
    </row>
    <row r="239" spans="1:25" x14ac:dyDescent="0.2">
      <c r="A239" s="51"/>
      <c r="B239" s="51"/>
      <c r="C239" s="744"/>
      <c r="D239" s="741"/>
      <c r="E239" s="34" t="s">
        <v>631</v>
      </c>
      <c r="F239" s="616">
        <v>1.097</v>
      </c>
      <c r="G239" s="617" t="s">
        <v>431</v>
      </c>
      <c r="H239" s="153">
        <v>9.4E-2</v>
      </c>
      <c r="I239" s="154">
        <v>4.1820000000000003E-2</v>
      </c>
      <c r="J239" s="641"/>
      <c r="K239" s="154">
        <v>9.3299999999999998E-3</v>
      </c>
      <c r="L239" s="641"/>
      <c r="M239" s="154">
        <v>0</v>
      </c>
      <c r="N239" s="154">
        <v>1.443E-2</v>
      </c>
      <c r="O239" s="154">
        <v>0</v>
      </c>
      <c r="P239" s="51"/>
      <c r="Q239" s="51"/>
      <c r="R239" s="51"/>
      <c r="S239" s="51"/>
      <c r="T239" s="51"/>
      <c r="U239" s="51"/>
      <c r="V239" s="51"/>
      <c r="W239" s="51"/>
      <c r="X239" s="51"/>
      <c r="Y239" s="51"/>
    </row>
    <row r="240" spans="1:25" x14ac:dyDescent="0.2">
      <c r="A240" s="51"/>
      <c r="B240" s="51"/>
      <c r="C240" s="744"/>
      <c r="D240" s="742"/>
      <c r="E240" s="603" t="s">
        <v>632</v>
      </c>
      <c r="F240" s="618">
        <v>1.097</v>
      </c>
      <c r="G240" s="619" t="s">
        <v>431</v>
      </c>
      <c r="H240" s="155">
        <v>9.4E-2</v>
      </c>
      <c r="I240" s="156">
        <v>4.1820000000000003E-2</v>
      </c>
      <c r="J240" s="642"/>
      <c r="K240" s="156">
        <v>9.3299999999999998E-3</v>
      </c>
      <c r="L240" s="642"/>
      <c r="M240" s="156">
        <v>0</v>
      </c>
      <c r="N240" s="156">
        <v>0</v>
      </c>
      <c r="O240" s="156">
        <v>3.9399999999999998E-2</v>
      </c>
      <c r="P240" s="51"/>
      <c r="Q240" s="51"/>
      <c r="R240" s="51"/>
      <c r="S240" s="51"/>
      <c r="T240" s="51"/>
      <c r="U240" s="51"/>
      <c r="V240" s="51"/>
      <c r="W240" s="51"/>
      <c r="X240" s="51"/>
      <c r="Y240" s="51"/>
    </row>
    <row r="241" spans="1:25" x14ac:dyDescent="0.2">
      <c r="A241" s="51"/>
      <c r="B241" s="51"/>
      <c r="C241" s="744"/>
      <c r="D241" s="740" t="s">
        <v>332</v>
      </c>
      <c r="E241" s="33" t="s">
        <v>333</v>
      </c>
      <c r="F241" s="614">
        <v>1.097</v>
      </c>
      <c r="G241" s="615" t="s">
        <v>431</v>
      </c>
      <c r="H241" s="151">
        <v>9.4E-2</v>
      </c>
      <c r="I241" s="152">
        <v>4.1820000000000003E-2</v>
      </c>
      <c r="J241" s="640"/>
      <c r="K241" s="152">
        <v>1.1010000000000001E-2</v>
      </c>
      <c r="L241" s="640"/>
      <c r="M241" s="152">
        <v>0</v>
      </c>
      <c r="N241" s="152">
        <v>1.443E-2</v>
      </c>
      <c r="O241" s="152">
        <v>3.9399999999999998E-2</v>
      </c>
      <c r="P241" s="51"/>
      <c r="Q241" s="51"/>
      <c r="R241" s="51"/>
      <c r="S241" s="51"/>
      <c r="T241" s="51"/>
      <c r="U241" s="51"/>
      <c r="V241" s="51"/>
      <c r="W241" s="51"/>
      <c r="X241" s="51"/>
      <c r="Y241" s="51"/>
    </row>
    <row r="242" spans="1:25" x14ac:dyDescent="0.2">
      <c r="A242" s="51"/>
      <c r="B242" s="51"/>
      <c r="C242" s="744"/>
      <c r="D242" s="741"/>
      <c r="E242" s="34" t="s">
        <v>633</v>
      </c>
      <c r="F242" s="616">
        <v>1.097</v>
      </c>
      <c r="G242" s="617" t="s">
        <v>431</v>
      </c>
      <c r="H242" s="153">
        <v>9.4E-2</v>
      </c>
      <c r="I242" s="154">
        <v>4.1820000000000003E-2</v>
      </c>
      <c r="J242" s="641"/>
      <c r="K242" s="154">
        <v>1.1010000000000001E-2</v>
      </c>
      <c r="L242" s="641"/>
      <c r="M242" s="154">
        <v>0</v>
      </c>
      <c r="N242" s="154">
        <v>0</v>
      </c>
      <c r="O242" s="154">
        <v>0</v>
      </c>
      <c r="P242" s="51"/>
      <c r="Q242" s="51"/>
      <c r="R242" s="51"/>
      <c r="S242" s="51"/>
      <c r="T242" s="51"/>
      <c r="U242" s="51"/>
      <c r="V242" s="51"/>
      <c r="W242" s="51"/>
      <c r="X242" s="51"/>
      <c r="Y242" s="51"/>
    </row>
    <row r="243" spans="1:25" x14ac:dyDescent="0.2">
      <c r="A243" s="51"/>
      <c r="B243" s="51"/>
      <c r="C243" s="744"/>
      <c r="D243" s="741"/>
      <c r="E243" s="34" t="s">
        <v>634</v>
      </c>
      <c r="F243" s="616">
        <v>1.097</v>
      </c>
      <c r="G243" s="617" t="s">
        <v>431</v>
      </c>
      <c r="H243" s="153">
        <v>9.4E-2</v>
      </c>
      <c r="I243" s="154">
        <v>4.1820000000000003E-2</v>
      </c>
      <c r="J243" s="641"/>
      <c r="K243" s="154">
        <v>1.1010000000000001E-2</v>
      </c>
      <c r="L243" s="641"/>
      <c r="M243" s="154">
        <v>0</v>
      </c>
      <c r="N243" s="154">
        <v>1.443E-2</v>
      </c>
      <c r="O243" s="154">
        <v>0</v>
      </c>
      <c r="P243" s="51"/>
      <c r="Q243" s="51"/>
      <c r="R243" s="51"/>
      <c r="S243" s="51"/>
      <c r="T243" s="51"/>
      <c r="U243" s="51"/>
      <c r="V243" s="51"/>
      <c r="W243" s="51"/>
      <c r="X243" s="51"/>
      <c r="Y243" s="51"/>
    </row>
    <row r="244" spans="1:25" x14ac:dyDescent="0.2">
      <c r="A244" s="51"/>
      <c r="B244" s="51"/>
      <c r="C244" s="744"/>
      <c r="D244" s="742"/>
      <c r="E244" s="603" t="s">
        <v>635</v>
      </c>
      <c r="F244" s="618">
        <v>1.097</v>
      </c>
      <c r="G244" s="619" t="s">
        <v>431</v>
      </c>
      <c r="H244" s="155">
        <v>9.4E-2</v>
      </c>
      <c r="I244" s="156">
        <v>4.1820000000000003E-2</v>
      </c>
      <c r="J244" s="642"/>
      <c r="K244" s="156">
        <v>1.1010000000000001E-2</v>
      </c>
      <c r="L244" s="642"/>
      <c r="M244" s="156">
        <v>0</v>
      </c>
      <c r="N244" s="156">
        <v>0</v>
      </c>
      <c r="O244" s="156">
        <v>3.9399999999999998E-2</v>
      </c>
      <c r="P244" s="51"/>
      <c r="Q244" s="51"/>
      <c r="R244" s="51"/>
      <c r="S244" s="51"/>
      <c r="T244" s="51"/>
      <c r="U244" s="51"/>
      <c r="V244" s="51"/>
      <c r="W244" s="51"/>
      <c r="X244" s="51"/>
      <c r="Y244" s="51"/>
    </row>
    <row r="245" spans="1:25" x14ac:dyDescent="0.2">
      <c r="A245" s="51"/>
      <c r="B245" s="51"/>
      <c r="C245" s="744"/>
      <c r="D245" s="740" t="s">
        <v>334</v>
      </c>
      <c r="E245" s="33" t="s">
        <v>335</v>
      </c>
      <c r="F245" s="614">
        <v>1.097</v>
      </c>
      <c r="G245" s="615" t="s">
        <v>431</v>
      </c>
      <c r="H245" s="151">
        <v>9.4E-2</v>
      </c>
      <c r="I245" s="152">
        <v>4.1820000000000003E-2</v>
      </c>
      <c r="J245" s="640"/>
      <c r="K245" s="152">
        <v>1.346E-2</v>
      </c>
      <c r="L245" s="640"/>
      <c r="M245" s="152">
        <v>0</v>
      </c>
      <c r="N245" s="152">
        <v>1.443E-2</v>
      </c>
      <c r="O245" s="152">
        <v>3.9399999999999998E-2</v>
      </c>
      <c r="P245" s="51"/>
      <c r="Q245" s="51"/>
      <c r="R245" s="51"/>
      <c r="S245" s="51"/>
      <c r="T245" s="51"/>
      <c r="U245" s="51"/>
      <c r="V245" s="51"/>
      <c r="W245" s="51"/>
      <c r="X245" s="51"/>
      <c r="Y245" s="51"/>
    </row>
    <row r="246" spans="1:25" x14ac:dyDescent="0.2">
      <c r="A246" s="51"/>
      <c r="B246" s="51"/>
      <c r="C246" s="744"/>
      <c r="D246" s="741"/>
      <c r="E246" s="34" t="s">
        <v>636</v>
      </c>
      <c r="F246" s="616">
        <v>1.097</v>
      </c>
      <c r="G246" s="617" t="s">
        <v>431</v>
      </c>
      <c r="H246" s="153">
        <v>9.4E-2</v>
      </c>
      <c r="I246" s="154">
        <v>4.1820000000000003E-2</v>
      </c>
      <c r="J246" s="641"/>
      <c r="K246" s="154">
        <v>1.346E-2</v>
      </c>
      <c r="L246" s="641"/>
      <c r="M246" s="154">
        <v>0</v>
      </c>
      <c r="N246" s="154">
        <v>0</v>
      </c>
      <c r="O246" s="154">
        <v>0</v>
      </c>
      <c r="P246" s="51"/>
      <c r="Q246" s="51"/>
      <c r="R246" s="51"/>
      <c r="S246" s="51"/>
      <c r="T246" s="51"/>
      <c r="U246" s="51"/>
      <c r="V246" s="51"/>
      <c r="W246" s="51"/>
      <c r="X246" s="51"/>
      <c r="Y246" s="51"/>
    </row>
    <row r="247" spans="1:25" x14ac:dyDescent="0.2">
      <c r="A247" s="51"/>
      <c r="B247" s="51"/>
      <c r="C247" s="744"/>
      <c r="D247" s="741"/>
      <c r="E247" s="34" t="s">
        <v>637</v>
      </c>
      <c r="F247" s="616">
        <v>1.097</v>
      </c>
      <c r="G247" s="617" t="s">
        <v>431</v>
      </c>
      <c r="H247" s="153">
        <v>9.4E-2</v>
      </c>
      <c r="I247" s="154">
        <v>4.1820000000000003E-2</v>
      </c>
      <c r="J247" s="641"/>
      <c r="K247" s="154">
        <v>1.346E-2</v>
      </c>
      <c r="L247" s="641"/>
      <c r="M247" s="154">
        <v>0</v>
      </c>
      <c r="N247" s="154">
        <v>1.443E-2</v>
      </c>
      <c r="O247" s="154">
        <v>0</v>
      </c>
      <c r="P247" s="51"/>
      <c r="Q247" s="51"/>
      <c r="R247" s="51"/>
      <c r="S247" s="51"/>
      <c r="T247" s="51"/>
      <c r="U247" s="51"/>
      <c r="V247" s="51"/>
      <c r="W247" s="51"/>
      <c r="X247" s="51"/>
      <c r="Y247" s="51"/>
    </row>
    <row r="248" spans="1:25" x14ac:dyDescent="0.2">
      <c r="A248" s="51"/>
      <c r="B248" s="51"/>
      <c r="C248" s="744"/>
      <c r="D248" s="742"/>
      <c r="E248" s="603" t="s">
        <v>638</v>
      </c>
      <c r="F248" s="618">
        <v>1.097</v>
      </c>
      <c r="G248" s="619" t="s">
        <v>431</v>
      </c>
      <c r="H248" s="155">
        <v>9.4E-2</v>
      </c>
      <c r="I248" s="156">
        <v>4.1820000000000003E-2</v>
      </c>
      <c r="J248" s="642"/>
      <c r="K248" s="156">
        <v>1.346E-2</v>
      </c>
      <c r="L248" s="642"/>
      <c r="M248" s="156">
        <v>0</v>
      </c>
      <c r="N248" s="156">
        <v>0</v>
      </c>
      <c r="O248" s="156">
        <v>3.9399999999999998E-2</v>
      </c>
      <c r="P248" s="51"/>
      <c r="Q248" s="51"/>
      <c r="R248" s="51"/>
      <c r="S248" s="51"/>
      <c r="T248" s="51"/>
      <c r="U248" s="51"/>
      <c r="V248" s="51"/>
      <c r="W248" s="51"/>
      <c r="X248" s="51"/>
      <c r="Y248" s="51"/>
    </row>
    <row r="249" spans="1:25" x14ac:dyDescent="0.2">
      <c r="A249" s="51"/>
      <c r="B249" s="51"/>
      <c r="C249" s="744"/>
      <c r="D249" s="740" t="s">
        <v>336</v>
      </c>
      <c r="E249" s="33" t="s">
        <v>337</v>
      </c>
      <c r="F249" s="614">
        <v>1.329</v>
      </c>
      <c r="G249" s="615" t="s">
        <v>432</v>
      </c>
      <c r="H249" s="151">
        <v>0.11799999999999999</v>
      </c>
      <c r="I249" s="152">
        <v>8.3650000000000002E-2</v>
      </c>
      <c r="J249" s="640"/>
      <c r="K249" s="152">
        <v>9.3299999999999998E-3</v>
      </c>
      <c r="L249" s="640"/>
      <c r="M249" s="152">
        <v>0</v>
      </c>
      <c r="N249" s="152">
        <v>1.443E-2</v>
      </c>
      <c r="O249" s="152">
        <v>3.9399999999999998E-2</v>
      </c>
      <c r="P249" s="51"/>
      <c r="Q249" s="51"/>
      <c r="R249" s="51"/>
      <c r="S249" s="51"/>
      <c r="T249" s="51"/>
      <c r="U249" s="51"/>
      <c r="V249" s="51"/>
      <c r="W249" s="51"/>
      <c r="X249" s="51"/>
      <c r="Y249" s="51"/>
    </row>
    <row r="250" spans="1:25" x14ac:dyDescent="0.2">
      <c r="A250" s="51"/>
      <c r="B250" s="51"/>
      <c r="C250" s="744"/>
      <c r="D250" s="741"/>
      <c r="E250" s="34" t="s">
        <v>639</v>
      </c>
      <c r="F250" s="616">
        <v>1.329</v>
      </c>
      <c r="G250" s="617" t="s">
        <v>432</v>
      </c>
      <c r="H250" s="153">
        <v>0.11799999999999999</v>
      </c>
      <c r="I250" s="154">
        <v>8.3650000000000002E-2</v>
      </c>
      <c r="J250" s="641"/>
      <c r="K250" s="154">
        <v>9.3299999999999998E-3</v>
      </c>
      <c r="L250" s="641"/>
      <c r="M250" s="154">
        <v>0</v>
      </c>
      <c r="N250" s="154">
        <v>0</v>
      </c>
      <c r="O250" s="154">
        <v>0</v>
      </c>
      <c r="P250" s="51"/>
      <c r="Q250" s="51"/>
      <c r="R250" s="51"/>
      <c r="S250" s="51"/>
      <c r="T250" s="51"/>
      <c r="U250" s="51"/>
      <c r="V250" s="51"/>
      <c r="W250" s="51"/>
      <c r="X250" s="51"/>
      <c r="Y250" s="51"/>
    </row>
    <row r="251" spans="1:25" x14ac:dyDescent="0.2">
      <c r="A251" s="51"/>
      <c r="B251" s="51"/>
      <c r="C251" s="744"/>
      <c r="D251" s="741"/>
      <c r="E251" s="34" t="s">
        <v>640</v>
      </c>
      <c r="F251" s="616">
        <v>1.329</v>
      </c>
      <c r="G251" s="617" t="s">
        <v>432</v>
      </c>
      <c r="H251" s="153">
        <v>0.11799999999999999</v>
      </c>
      <c r="I251" s="154">
        <v>8.3650000000000002E-2</v>
      </c>
      <c r="J251" s="641"/>
      <c r="K251" s="154">
        <v>9.3299999999999998E-3</v>
      </c>
      <c r="L251" s="641"/>
      <c r="M251" s="154">
        <v>0</v>
      </c>
      <c r="N251" s="154">
        <v>1.443E-2</v>
      </c>
      <c r="O251" s="154">
        <v>0</v>
      </c>
      <c r="P251" s="51"/>
      <c r="Q251" s="51"/>
      <c r="R251" s="51"/>
      <c r="S251" s="51"/>
      <c r="T251" s="51"/>
      <c r="U251" s="51"/>
      <c r="V251" s="51"/>
      <c r="W251" s="51"/>
      <c r="X251" s="51"/>
      <c r="Y251" s="51"/>
    </row>
    <row r="252" spans="1:25" x14ac:dyDescent="0.2">
      <c r="A252" s="51"/>
      <c r="B252" s="51"/>
      <c r="C252" s="744"/>
      <c r="D252" s="742"/>
      <c r="E252" s="603" t="s">
        <v>641</v>
      </c>
      <c r="F252" s="618">
        <v>1.329</v>
      </c>
      <c r="G252" s="619" t="s">
        <v>432</v>
      </c>
      <c r="H252" s="155">
        <v>0.11799999999999999</v>
      </c>
      <c r="I252" s="156">
        <v>8.3650000000000002E-2</v>
      </c>
      <c r="J252" s="642"/>
      <c r="K252" s="156">
        <v>9.3299999999999998E-3</v>
      </c>
      <c r="L252" s="642"/>
      <c r="M252" s="156">
        <v>0</v>
      </c>
      <c r="N252" s="156">
        <v>0</v>
      </c>
      <c r="O252" s="156">
        <v>3.9399999999999998E-2</v>
      </c>
      <c r="P252" s="51"/>
      <c r="Q252" s="51"/>
      <c r="R252" s="51"/>
      <c r="S252" s="51"/>
      <c r="T252" s="51"/>
      <c r="U252" s="51"/>
      <c r="V252" s="51"/>
      <c r="W252" s="51"/>
      <c r="X252" s="51"/>
      <c r="Y252" s="51"/>
    </row>
    <row r="253" spans="1:25" x14ac:dyDescent="0.2">
      <c r="A253" s="51"/>
      <c r="B253" s="51"/>
      <c r="C253" s="744"/>
      <c r="D253" s="740" t="s">
        <v>338</v>
      </c>
      <c r="E253" s="33" t="s">
        <v>339</v>
      </c>
      <c r="F253" s="614">
        <v>1.329</v>
      </c>
      <c r="G253" s="615" t="s">
        <v>432</v>
      </c>
      <c r="H253" s="151">
        <v>0.11799999999999999</v>
      </c>
      <c r="I253" s="152">
        <v>8.3650000000000002E-2</v>
      </c>
      <c r="J253" s="640"/>
      <c r="K253" s="152">
        <v>1.1010000000000001E-2</v>
      </c>
      <c r="L253" s="640"/>
      <c r="M253" s="152">
        <v>0</v>
      </c>
      <c r="N253" s="152">
        <v>1.443E-2</v>
      </c>
      <c r="O253" s="152">
        <v>3.9399999999999998E-2</v>
      </c>
      <c r="P253" s="3"/>
      <c r="Q253" s="3"/>
      <c r="R253" s="3"/>
      <c r="S253" s="51"/>
      <c r="T253" s="51"/>
      <c r="U253" s="51"/>
      <c r="V253" s="51"/>
      <c r="W253" s="51"/>
      <c r="X253" s="51"/>
      <c r="Y253" s="51"/>
    </row>
    <row r="254" spans="1:25" x14ac:dyDescent="0.2">
      <c r="A254" s="51"/>
      <c r="B254" s="51"/>
      <c r="C254" s="744"/>
      <c r="D254" s="741"/>
      <c r="E254" s="34" t="s">
        <v>642</v>
      </c>
      <c r="F254" s="616">
        <v>1.329</v>
      </c>
      <c r="G254" s="617" t="s">
        <v>432</v>
      </c>
      <c r="H254" s="153">
        <v>0.11799999999999999</v>
      </c>
      <c r="I254" s="154">
        <v>8.3650000000000002E-2</v>
      </c>
      <c r="J254" s="641"/>
      <c r="K254" s="154">
        <v>1.1010000000000001E-2</v>
      </c>
      <c r="L254" s="641"/>
      <c r="M254" s="154">
        <v>0</v>
      </c>
      <c r="N254" s="154">
        <v>0</v>
      </c>
      <c r="O254" s="154">
        <v>0</v>
      </c>
      <c r="P254" s="3"/>
      <c r="Q254" s="3"/>
      <c r="R254" s="3"/>
      <c r="S254" s="51"/>
      <c r="T254" s="51"/>
      <c r="U254" s="51"/>
      <c r="V254" s="51"/>
      <c r="W254" s="51"/>
      <c r="X254" s="51"/>
      <c r="Y254" s="51"/>
    </row>
    <row r="255" spans="1:25" x14ac:dyDescent="0.2">
      <c r="A255" s="51"/>
      <c r="B255" s="51"/>
      <c r="C255" s="744"/>
      <c r="D255" s="741"/>
      <c r="E255" s="34" t="s">
        <v>643</v>
      </c>
      <c r="F255" s="616">
        <v>1.329</v>
      </c>
      <c r="G255" s="617" t="s">
        <v>432</v>
      </c>
      <c r="H255" s="153">
        <v>0.11799999999999999</v>
      </c>
      <c r="I255" s="154">
        <v>8.3650000000000002E-2</v>
      </c>
      <c r="J255" s="641"/>
      <c r="K255" s="154">
        <v>1.1010000000000001E-2</v>
      </c>
      <c r="L255" s="641"/>
      <c r="M255" s="154">
        <v>0</v>
      </c>
      <c r="N255" s="154">
        <v>1.443E-2</v>
      </c>
      <c r="O255" s="154">
        <v>0</v>
      </c>
      <c r="P255" s="3"/>
      <c r="Q255" s="3"/>
      <c r="R255" s="3"/>
      <c r="S255" s="51"/>
      <c r="T255" s="51"/>
      <c r="U255" s="51"/>
      <c r="V255" s="51"/>
      <c r="W255" s="51"/>
      <c r="X255" s="51"/>
      <c r="Y255" s="51"/>
    </row>
    <row r="256" spans="1:25" x14ac:dyDescent="0.2">
      <c r="A256" s="51"/>
      <c r="B256" s="51"/>
      <c r="C256" s="744"/>
      <c r="D256" s="742"/>
      <c r="E256" s="603" t="s">
        <v>644</v>
      </c>
      <c r="F256" s="618">
        <v>1.329</v>
      </c>
      <c r="G256" s="619" t="s">
        <v>432</v>
      </c>
      <c r="H256" s="155">
        <v>0.11799999999999999</v>
      </c>
      <c r="I256" s="156">
        <v>8.3650000000000002E-2</v>
      </c>
      <c r="J256" s="642"/>
      <c r="K256" s="156">
        <v>1.1010000000000001E-2</v>
      </c>
      <c r="L256" s="642"/>
      <c r="M256" s="156">
        <v>0</v>
      </c>
      <c r="N256" s="156">
        <v>0</v>
      </c>
      <c r="O256" s="156">
        <v>3.9399999999999998E-2</v>
      </c>
      <c r="P256" s="3"/>
      <c r="Q256" s="3"/>
      <c r="R256" s="3"/>
      <c r="S256" s="51"/>
      <c r="T256" s="51"/>
      <c r="U256" s="51"/>
      <c r="V256" s="51"/>
      <c r="W256" s="51"/>
      <c r="X256" s="51"/>
      <c r="Y256" s="51"/>
    </row>
    <row r="257" spans="1:25" x14ac:dyDescent="0.2">
      <c r="A257" s="51"/>
      <c r="B257" s="51"/>
      <c r="C257" s="744"/>
      <c r="D257" s="740" t="s">
        <v>340</v>
      </c>
      <c r="E257" s="33" t="s">
        <v>341</v>
      </c>
      <c r="F257" s="614">
        <v>1.329</v>
      </c>
      <c r="G257" s="615" t="s">
        <v>432</v>
      </c>
      <c r="H257" s="151">
        <v>0.11799999999999999</v>
      </c>
      <c r="I257" s="152">
        <v>8.3650000000000002E-2</v>
      </c>
      <c r="J257" s="640"/>
      <c r="K257" s="152">
        <v>1.346E-2</v>
      </c>
      <c r="L257" s="640"/>
      <c r="M257" s="152">
        <v>0</v>
      </c>
      <c r="N257" s="152">
        <v>1.443E-2</v>
      </c>
      <c r="O257" s="152">
        <v>3.9399999999999998E-2</v>
      </c>
      <c r="P257" s="51"/>
      <c r="Q257" s="51"/>
      <c r="R257" s="51"/>
      <c r="S257" s="51"/>
      <c r="T257" s="51"/>
      <c r="U257" s="51"/>
      <c r="V257" s="51"/>
      <c r="W257" s="51"/>
      <c r="X257" s="51"/>
      <c r="Y257" s="51"/>
    </row>
    <row r="258" spans="1:25" x14ac:dyDescent="0.2">
      <c r="A258" s="51"/>
      <c r="B258" s="51"/>
      <c r="C258" s="744"/>
      <c r="D258" s="741"/>
      <c r="E258" s="34" t="s">
        <v>645</v>
      </c>
      <c r="F258" s="616">
        <v>1.329</v>
      </c>
      <c r="G258" s="617" t="s">
        <v>432</v>
      </c>
      <c r="H258" s="153">
        <v>0.11799999999999999</v>
      </c>
      <c r="I258" s="154">
        <v>8.3650000000000002E-2</v>
      </c>
      <c r="J258" s="641"/>
      <c r="K258" s="154">
        <v>1.346E-2</v>
      </c>
      <c r="L258" s="641"/>
      <c r="M258" s="154">
        <v>0</v>
      </c>
      <c r="N258" s="154">
        <v>0</v>
      </c>
      <c r="O258" s="154">
        <v>0</v>
      </c>
      <c r="P258" s="51"/>
      <c r="Q258" s="51"/>
      <c r="R258" s="51"/>
      <c r="S258" s="51"/>
      <c r="T258" s="51"/>
      <c r="U258" s="51"/>
      <c r="V258" s="51"/>
      <c r="W258" s="51"/>
      <c r="X258" s="51"/>
      <c r="Y258" s="51"/>
    </row>
    <row r="259" spans="1:25" x14ac:dyDescent="0.2">
      <c r="A259" s="51"/>
      <c r="B259" s="51"/>
      <c r="C259" s="744"/>
      <c r="D259" s="741"/>
      <c r="E259" s="34" t="s">
        <v>646</v>
      </c>
      <c r="F259" s="616">
        <v>1.329</v>
      </c>
      <c r="G259" s="617" t="s">
        <v>432</v>
      </c>
      <c r="H259" s="153">
        <v>0.11799999999999999</v>
      </c>
      <c r="I259" s="154">
        <v>8.3650000000000002E-2</v>
      </c>
      <c r="J259" s="641"/>
      <c r="K259" s="154">
        <v>1.346E-2</v>
      </c>
      <c r="L259" s="641"/>
      <c r="M259" s="154">
        <v>0</v>
      </c>
      <c r="N259" s="154">
        <v>1.443E-2</v>
      </c>
      <c r="O259" s="154">
        <v>0</v>
      </c>
      <c r="P259" s="51"/>
      <c r="Q259" s="51"/>
      <c r="R259" s="51"/>
      <c r="S259" s="51"/>
      <c r="T259" s="51"/>
      <c r="U259" s="51"/>
      <c r="V259" s="51"/>
      <c r="W259" s="51"/>
      <c r="X259" s="51"/>
      <c r="Y259" s="51"/>
    </row>
    <row r="260" spans="1:25" x14ac:dyDescent="0.2">
      <c r="A260" s="51"/>
      <c r="B260" s="51"/>
      <c r="C260" s="744"/>
      <c r="D260" s="742"/>
      <c r="E260" s="603" t="s">
        <v>647</v>
      </c>
      <c r="F260" s="618">
        <v>1.329</v>
      </c>
      <c r="G260" s="619" t="s">
        <v>432</v>
      </c>
      <c r="H260" s="155">
        <v>0.11799999999999999</v>
      </c>
      <c r="I260" s="156">
        <v>8.3650000000000002E-2</v>
      </c>
      <c r="J260" s="642"/>
      <c r="K260" s="156">
        <v>1.346E-2</v>
      </c>
      <c r="L260" s="642"/>
      <c r="M260" s="156">
        <v>0</v>
      </c>
      <c r="N260" s="156">
        <v>0</v>
      </c>
      <c r="O260" s="156">
        <v>3.9399999999999998E-2</v>
      </c>
      <c r="P260" s="51"/>
      <c r="Q260" s="51"/>
      <c r="R260" s="51"/>
      <c r="S260" s="51"/>
      <c r="T260" s="51"/>
      <c r="U260" s="51"/>
      <c r="V260" s="51"/>
      <c r="W260" s="51"/>
      <c r="X260" s="51"/>
      <c r="Y260" s="51"/>
    </row>
    <row r="261" spans="1:25" x14ac:dyDescent="0.2">
      <c r="A261" s="51"/>
      <c r="B261" s="51"/>
      <c r="C261" s="744"/>
      <c r="D261" s="740" t="s">
        <v>342</v>
      </c>
      <c r="E261" s="33" t="s">
        <v>343</v>
      </c>
      <c r="F261" s="614">
        <v>1.0760000000000001</v>
      </c>
      <c r="G261" s="615" t="s">
        <v>433</v>
      </c>
      <c r="H261" s="151">
        <v>0.126</v>
      </c>
      <c r="I261" s="152">
        <v>4.1820000000000003E-2</v>
      </c>
      <c r="J261" s="640"/>
      <c r="K261" s="152">
        <v>7.3999999999999999E-4</v>
      </c>
      <c r="L261" s="640"/>
      <c r="M261" s="152">
        <v>0</v>
      </c>
      <c r="N261" s="152">
        <v>1.443E-2</v>
      </c>
      <c r="O261" s="152">
        <v>3.9399999999999998E-2</v>
      </c>
      <c r="P261" s="51"/>
      <c r="Q261" s="51"/>
      <c r="R261" s="51"/>
      <c r="S261" s="51"/>
      <c r="T261" s="51"/>
      <c r="U261" s="51"/>
      <c r="V261" s="51"/>
      <c r="W261" s="51"/>
      <c r="X261" s="51"/>
      <c r="Y261" s="51"/>
    </row>
    <row r="262" spans="1:25" x14ac:dyDescent="0.2">
      <c r="A262" s="51"/>
      <c r="B262" s="51"/>
      <c r="C262" s="744"/>
      <c r="D262" s="741"/>
      <c r="E262" s="34" t="s">
        <v>648</v>
      </c>
      <c r="F262" s="616">
        <v>1.0760000000000001</v>
      </c>
      <c r="G262" s="617" t="s">
        <v>433</v>
      </c>
      <c r="H262" s="153">
        <v>0.126</v>
      </c>
      <c r="I262" s="154">
        <v>4.1820000000000003E-2</v>
      </c>
      <c r="J262" s="641"/>
      <c r="K262" s="154">
        <v>7.3999999999999999E-4</v>
      </c>
      <c r="L262" s="641"/>
      <c r="M262" s="154">
        <v>0</v>
      </c>
      <c r="N262" s="154">
        <v>0</v>
      </c>
      <c r="O262" s="154">
        <v>0</v>
      </c>
      <c r="P262" s="51"/>
      <c r="Q262" s="51"/>
      <c r="R262" s="51"/>
      <c r="S262" s="51"/>
      <c r="T262" s="51"/>
      <c r="U262" s="51"/>
      <c r="V262" s="51"/>
      <c r="W262" s="51"/>
      <c r="X262" s="51"/>
      <c r="Y262" s="51"/>
    </row>
    <row r="263" spans="1:25" x14ac:dyDescent="0.2">
      <c r="A263" s="51"/>
      <c r="B263" s="51"/>
      <c r="C263" s="744"/>
      <c r="D263" s="741"/>
      <c r="E263" s="34" t="s">
        <v>649</v>
      </c>
      <c r="F263" s="616">
        <v>1.0760000000000001</v>
      </c>
      <c r="G263" s="617" t="s">
        <v>433</v>
      </c>
      <c r="H263" s="153">
        <v>0.126</v>
      </c>
      <c r="I263" s="154">
        <v>4.1820000000000003E-2</v>
      </c>
      <c r="J263" s="641"/>
      <c r="K263" s="154">
        <v>7.3999999999999999E-4</v>
      </c>
      <c r="L263" s="641"/>
      <c r="M263" s="154">
        <v>0</v>
      </c>
      <c r="N263" s="154">
        <v>1.443E-2</v>
      </c>
      <c r="O263" s="154">
        <v>0</v>
      </c>
      <c r="P263" s="51"/>
      <c r="Q263" s="51"/>
      <c r="R263" s="51"/>
      <c r="S263" s="51"/>
      <c r="T263" s="51"/>
      <c r="U263" s="51"/>
      <c r="V263" s="51"/>
      <c r="W263" s="51"/>
      <c r="X263" s="51"/>
      <c r="Y263" s="51"/>
    </row>
    <row r="264" spans="1:25" x14ac:dyDescent="0.2">
      <c r="A264" s="51"/>
      <c r="B264" s="51"/>
      <c r="C264" s="745"/>
      <c r="D264" s="742"/>
      <c r="E264" s="603" t="s">
        <v>650</v>
      </c>
      <c r="F264" s="618">
        <v>1.0760000000000001</v>
      </c>
      <c r="G264" s="619" t="s">
        <v>433</v>
      </c>
      <c r="H264" s="155">
        <v>0.126</v>
      </c>
      <c r="I264" s="156">
        <v>4.1820000000000003E-2</v>
      </c>
      <c r="J264" s="642"/>
      <c r="K264" s="156">
        <v>7.3999999999999999E-4</v>
      </c>
      <c r="L264" s="642"/>
      <c r="M264" s="156">
        <v>0</v>
      </c>
      <c r="N264" s="156">
        <v>0</v>
      </c>
      <c r="O264" s="156">
        <v>3.9399999999999998E-2</v>
      </c>
      <c r="P264" s="51"/>
      <c r="Q264" s="51"/>
      <c r="R264" s="51"/>
      <c r="S264" s="51"/>
      <c r="T264" s="51"/>
      <c r="U264" s="51"/>
      <c r="V264" s="51"/>
      <c r="W264" s="51"/>
      <c r="X264" s="51"/>
      <c r="Y264" s="51"/>
    </row>
    <row r="265" spans="1:25" x14ac:dyDescent="0.2">
      <c r="A265" s="51"/>
      <c r="B265" s="51"/>
      <c r="C265" s="743" t="s">
        <v>344</v>
      </c>
      <c r="D265" s="740" t="s">
        <v>345</v>
      </c>
      <c r="E265" s="33" t="s">
        <v>346</v>
      </c>
      <c r="F265" s="614">
        <v>1.097</v>
      </c>
      <c r="G265" s="615" t="s">
        <v>431</v>
      </c>
      <c r="H265" s="151">
        <v>9.4E-2</v>
      </c>
      <c r="I265" s="152">
        <v>4.6920000000000003E-2</v>
      </c>
      <c r="J265" s="640"/>
      <c r="K265" s="152">
        <v>9.3299999999999998E-3</v>
      </c>
      <c r="L265" s="640"/>
      <c r="M265" s="152">
        <v>0</v>
      </c>
      <c r="N265" s="152">
        <v>1.443E-2</v>
      </c>
      <c r="O265" s="152">
        <v>3.9399999999999998E-2</v>
      </c>
      <c r="P265" s="51"/>
      <c r="Q265" s="51"/>
      <c r="R265" s="51"/>
      <c r="S265" s="51"/>
      <c r="T265" s="51"/>
      <c r="U265" s="51"/>
      <c r="V265" s="51"/>
      <c r="W265" s="51"/>
      <c r="X265" s="51"/>
      <c r="Y265" s="51"/>
    </row>
    <row r="266" spans="1:25" x14ac:dyDescent="0.2">
      <c r="A266" s="51"/>
      <c r="B266" s="51"/>
      <c r="C266" s="744"/>
      <c r="D266" s="741"/>
      <c r="E266" s="34" t="s">
        <v>651</v>
      </c>
      <c r="F266" s="616">
        <v>1.097</v>
      </c>
      <c r="G266" s="617" t="s">
        <v>431</v>
      </c>
      <c r="H266" s="153">
        <v>9.4E-2</v>
      </c>
      <c r="I266" s="154">
        <v>4.6920000000000003E-2</v>
      </c>
      <c r="J266" s="641"/>
      <c r="K266" s="154">
        <v>9.3299999999999998E-3</v>
      </c>
      <c r="L266" s="641"/>
      <c r="M266" s="154">
        <v>0</v>
      </c>
      <c r="N266" s="154">
        <v>0</v>
      </c>
      <c r="O266" s="154">
        <v>0</v>
      </c>
      <c r="P266" s="51"/>
      <c r="Q266" s="51"/>
      <c r="R266" s="51"/>
      <c r="S266" s="51"/>
      <c r="T266" s="51"/>
      <c r="U266" s="51"/>
      <c r="V266" s="51"/>
      <c r="W266" s="51"/>
      <c r="X266" s="51"/>
      <c r="Y266" s="51"/>
    </row>
    <row r="267" spans="1:25" x14ac:dyDescent="0.2">
      <c r="A267" s="51"/>
      <c r="B267" s="51"/>
      <c r="C267" s="744"/>
      <c r="D267" s="741"/>
      <c r="E267" s="34" t="s">
        <v>652</v>
      </c>
      <c r="F267" s="616">
        <v>1.097</v>
      </c>
      <c r="G267" s="617" t="s">
        <v>431</v>
      </c>
      <c r="H267" s="153">
        <v>9.4E-2</v>
      </c>
      <c r="I267" s="154">
        <v>4.6920000000000003E-2</v>
      </c>
      <c r="J267" s="641"/>
      <c r="K267" s="154">
        <v>9.3299999999999998E-3</v>
      </c>
      <c r="L267" s="641"/>
      <c r="M267" s="154">
        <v>0</v>
      </c>
      <c r="N267" s="154">
        <v>1.443E-2</v>
      </c>
      <c r="O267" s="154">
        <v>0</v>
      </c>
      <c r="P267" s="51"/>
      <c r="Q267" s="51"/>
      <c r="R267" s="51"/>
      <c r="S267" s="51"/>
      <c r="T267" s="51"/>
      <c r="U267" s="51"/>
      <c r="V267" s="51"/>
      <c r="W267" s="51"/>
      <c r="X267" s="51"/>
      <c r="Y267" s="51"/>
    </row>
    <row r="268" spans="1:25" x14ac:dyDescent="0.2">
      <c r="A268" s="51"/>
      <c r="B268" s="51"/>
      <c r="C268" s="744"/>
      <c r="D268" s="742"/>
      <c r="E268" s="603" t="s">
        <v>653</v>
      </c>
      <c r="F268" s="618">
        <v>1.097</v>
      </c>
      <c r="G268" s="619" t="s">
        <v>431</v>
      </c>
      <c r="H268" s="155">
        <v>9.4E-2</v>
      </c>
      <c r="I268" s="156">
        <v>4.6920000000000003E-2</v>
      </c>
      <c r="J268" s="642"/>
      <c r="K268" s="156">
        <v>9.3299999999999998E-3</v>
      </c>
      <c r="L268" s="642"/>
      <c r="M268" s="156">
        <v>0</v>
      </c>
      <c r="N268" s="156">
        <v>0</v>
      </c>
      <c r="O268" s="156">
        <v>3.9399999999999998E-2</v>
      </c>
      <c r="P268" s="51"/>
      <c r="Q268" s="51"/>
      <c r="R268" s="51"/>
      <c r="S268" s="51"/>
      <c r="T268" s="51"/>
      <c r="U268" s="51"/>
      <c r="V268" s="51"/>
      <c r="W268" s="51"/>
      <c r="X268" s="51"/>
      <c r="Y268" s="51"/>
    </row>
    <row r="269" spans="1:25" x14ac:dyDescent="0.2">
      <c r="A269" s="51"/>
      <c r="B269" s="51"/>
      <c r="C269" s="744"/>
      <c r="D269" s="740" t="s">
        <v>347</v>
      </c>
      <c r="E269" s="33" t="s">
        <v>348</v>
      </c>
      <c r="F269" s="614">
        <v>1.097</v>
      </c>
      <c r="G269" s="615" t="s">
        <v>431</v>
      </c>
      <c r="H269" s="151">
        <v>9.4E-2</v>
      </c>
      <c r="I269" s="152">
        <v>4.6920000000000003E-2</v>
      </c>
      <c r="J269" s="640"/>
      <c r="K269" s="152">
        <v>1.1010000000000001E-2</v>
      </c>
      <c r="L269" s="640"/>
      <c r="M269" s="152">
        <v>0</v>
      </c>
      <c r="N269" s="152">
        <v>1.443E-2</v>
      </c>
      <c r="O269" s="152">
        <v>3.9399999999999998E-2</v>
      </c>
      <c r="P269" s="51"/>
      <c r="Q269" s="51"/>
      <c r="R269" s="51"/>
      <c r="S269" s="51"/>
      <c r="T269" s="51"/>
      <c r="U269" s="51"/>
      <c r="V269" s="51"/>
      <c r="W269" s="51"/>
      <c r="X269" s="51"/>
      <c r="Y269" s="51"/>
    </row>
    <row r="270" spans="1:25" x14ac:dyDescent="0.2">
      <c r="A270" s="51"/>
      <c r="B270" s="51"/>
      <c r="C270" s="744"/>
      <c r="D270" s="741"/>
      <c r="E270" s="34" t="s">
        <v>654</v>
      </c>
      <c r="F270" s="616">
        <v>1.097</v>
      </c>
      <c r="G270" s="617" t="s">
        <v>431</v>
      </c>
      <c r="H270" s="153">
        <v>9.4E-2</v>
      </c>
      <c r="I270" s="154">
        <v>4.6920000000000003E-2</v>
      </c>
      <c r="J270" s="641"/>
      <c r="K270" s="154">
        <v>1.1010000000000001E-2</v>
      </c>
      <c r="L270" s="641"/>
      <c r="M270" s="154">
        <v>0</v>
      </c>
      <c r="N270" s="154">
        <v>0</v>
      </c>
      <c r="O270" s="154">
        <v>0</v>
      </c>
      <c r="P270" s="51"/>
      <c r="Q270" s="51"/>
      <c r="R270" s="51"/>
      <c r="S270" s="51"/>
      <c r="T270" s="51"/>
      <c r="U270" s="51"/>
      <c r="V270" s="51"/>
      <c r="W270" s="51"/>
      <c r="X270" s="51"/>
      <c r="Y270" s="51"/>
    </row>
    <row r="271" spans="1:25" x14ac:dyDescent="0.2">
      <c r="A271" s="51"/>
      <c r="B271" s="51"/>
      <c r="C271" s="744"/>
      <c r="D271" s="741"/>
      <c r="E271" s="34" t="s">
        <v>655</v>
      </c>
      <c r="F271" s="616">
        <v>1.097</v>
      </c>
      <c r="G271" s="617" t="s">
        <v>431</v>
      </c>
      <c r="H271" s="153">
        <v>9.4E-2</v>
      </c>
      <c r="I271" s="154">
        <v>4.6920000000000003E-2</v>
      </c>
      <c r="J271" s="641"/>
      <c r="K271" s="154">
        <v>1.1010000000000001E-2</v>
      </c>
      <c r="L271" s="641"/>
      <c r="M271" s="154">
        <v>0</v>
      </c>
      <c r="N271" s="154">
        <v>1.443E-2</v>
      </c>
      <c r="O271" s="154">
        <v>0</v>
      </c>
      <c r="P271" s="51"/>
      <c r="Q271" s="51"/>
      <c r="R271" s="51"/>
      <c r="S271" s="51"/>
      <c r="T271" s="51"/>
      <c r="U271" s="51"/>
      <c r="V271" s="51"/>
      <c r="W271" s="51"/>
      <c r="X271" s="51"/>
      <c r="Y271" s="51"/>
    </row>
    <row r="272" spans="1:25" x14ac:dyDescent="0.2">
      <c r="A272" s="51"/>
      <c r="B272" s="51"/>
      <c r="C272" s="744"/>
      <c r="D272" s="742"/>
      <c r="E272" s="603" t="s">
        <v>656</v>
      </c>
      <c r="F272" s="618">
        <v>1.097</v>
      </c>
      <c r="G272" s="619" t="s">
        <v>431</v>
      </c>
      <c r="H272" s="155">
        <v>9.4E-2</v>
      </c>
      <c r="I272" s="156">
        <v>4.6920000000000003E-2</v>
      </c>
      <c r="J272" s="642"/>
      <c r="K272" s="156">
        <v>1.1010000000000001E-2</v>
      </c>
      <c r="L272" s="642"/>
      <c r="M272" s="156">
        <v>0</v>
      </c>
      <c r="N272" s="156">
        <v>0</v>
      </c>
      <c r="O272" s="156">
        <v>3.9399999999999998E-2</v>
      </c>
      <c r="P272" s="51"/>
      <c r="Q272" s="51"/>
      <c r="R272" s="51"/>
      <c r="S272" s="51"/>
      <c r="T272" s="51"/>
      <c r="U272" s="51"/>
      <c r="V272" s="51"/>
      <c r="W272" s="51"/>
      <c r="X272" s="51"/>
      <c r="Y272" s="51"/>
    </row>
    <row r="273" spans="1:25" x14ac:dyDescent="0.2">
      <c r="A273" s="51"/>
      <c r="B273" s="51"/>
      <c r="C273" s="744"/>
      <c r="D273" s="740" t="s">
        <v>349</v>
      </c>
      <c r="E273" s="33" t="s">
        <v>350</v>
      </c>
      <c r="F273" s="614">
        <v>1.097</v>
      </c>
      <c r="G273" s="615" t="s">
        <v>431</v>
      </c>
      <c r="H273" s="151">
        <v>9.4E-2</v>
      </c>
      <c r="I273" s="152">
        <v>4.6920000000000003E-2</v>
      </c>
      <c r="J273" s="640"/>
      <c r="K273" s="152">
        <v>1.346E-2</v>
      </c>
      <c r="L273" s="640"/>
      <c r="M273" s="152">
        <v>0</v>
      </c>
      <c r="N273" s="152">
        <v>1.443E-2</v>
      </c>
      <c r="O273" s="152">
        <v>3.9399999999999998E-2</v>
      </c>
      <c r="P273" s="51"/>
      <c r="Q273" s="51"/>
      <c r="R273" s="51"/>
      <c r="S273" s="51"/>
      <c r="T273" s="51"/>
      <c r="U273" s="51"/>
      <c r="V273" s="51"/>
      <c r="W273" s="51"/>
      <c r="X273" s="51"/>
      <c r="Y273" s="51"/>
    </row>
    <row r="274" spans="1:25" x14ac:dyDescent="0.2">
      <c r="A274" s="51"/>
      <c r="B274" s="51"/>
      <c r="C274" s="744"/>
      <c r="D274" s="741"/>
      <c r="E274" s="34" t="s">
        <v>657</v>
      </c>
      <c r="F274" s="616">
        <v>1.097</v>
      </c>
      <c r="G274" s="617" t="s">
        <v>431</v>
      </c>
      <c r="H274" s="153">
        <v>9.4E-2</v>
      </c>
      <c r="I274" s="154">
        <v>4.6920000000000003E-2</v>
      </c>
      <c r="J274" s="641"/>
      <c r="K274" s="154">
        <v>1.346E-2</v>
      </c>
      <c r="L274" s="641"/>
      <c r="M274" s="154">
        <v>0</v>
      </c>
      <c r="N274" s="154">
        <v>0</v>
      </c>
      <c r="O274" s="154">
        <v>0</v>
      </c>
      <c r="P274" s="51"/>
      <c r="Q274" s="51"/>
      <c r="R274" s="51"/>
      <c r="S274" s="51"/>
      <c r="T274" s="51"/>
      <c r="U274" s="51"/>
      <c r="V274" s="51"/>
      <c r="W274" s="51"/>
      <c r="X274" s="51"/>
      <c r="Y274" s="51"/>
    </row>
    <row r="275" spans="1:25" x14ac:dyDescent="0.2">
      <c r="A275" s="51"/>
      <c r="B275" s="51"/>
      <c r="C275" s="744"/>
      <c r="D275" s="741"/>
      <c r="E275" s="34" t="s">
        <v>658</v>
      </c>
      <c r="F275" s="616">
        <v>1.097</v>
      </c>
      <c r="G275" s="617" t="s">
        <v>431</v>
      </c>
      <c r="H275" s="153">
        <v>9.4E-2</v>
      </c>
      <c r="I275" s="154">
        <v>4.6920000000000003E-2</v>
      </c>
      <c r="J275" s="641"/>
      <c r="K275" s="154">
        <v>1.346E-2</v>
      </c>
      <c r="L275" s="641"/>
      <c r="M275" s="154">
        <v>0</v>
      </c>
      <c r="N275" s="154">
        <v>1.443E-2</v>
      </c>
      <c r="O275" s="154">
        <v>0</v>
      </c>
      <c r="P275" s="51"/>
      <c r="Q275" s="51"/>
      <c r="R275" s="51"/>
      <c r="S275" s="51"/>
      <c r="T275" s="51"/>
      <c r="U275" s="51"/>
      <c r="V275" s="51"/>
      <c r="W275" s="51"/>
      <c r="X275" s="51"/>
      <c r="Y275" s="51"/>
    </row>
    <row r="276" spans="1:25" x14ac:dyDescent="0.2">
      <c r="A276" s="51"/>
      <c r="B276" s="51"/>
      <c r="C276" s="744"/>
      <c r="D276" s="742"/>
      <c r="E276" s="603" t="s">
        <v>659</v>
      </c>
      <c r="F276" s="618">
        <v>1.097</v>
      </c>
      <c r="G276" s="619" t="s">
        <v>431</v>
      </c>
      <c r="H276" s="155">
        <v>9.4E-2</v>
      </c>
      <c r="I276" s="156">
        <v>4.6920000000000003E-2</v>
      </c>
      <c r="J276" s="642"/>
      <c r="K276" s="156">
        <v>1.346E-2</v>
      </c>
      <c r="L276" s="642"/>
      <c r="M276" s="156">
        <v>0</v>
      </c>
      <c r="N276" s="156">
        <v>0</v>
      </c>
      <c r="O276" s="156">
        <v>3.9399999999999998E-2</v>
      </c>
      <c r="P276" s="51"/>
      <c r="Q276" s="51"/>
      <c r="R276" s="51"/>
      <c r="S276" s="51"/>
      <c r="T276" s="51"/>
      <c r="U276" s="51"/>
      <c r="V276" s="51"/>
      <c r="W276" s="51"/>
      <c r="X276" s="51"/>
      <c r="Y276" s="51"/>
    </row>
    <row r="277" spans="1:25" x14ac:dyDescent="0.2">
      <c r="A277" s="51"/>
      <c r="B277" s="51"/>
      <c r="C277" s="744"/>
      <c r="D277" s="740" t="s">
        <v>351</v>
      </c>
      <c r="E277" s="33" t="s">
        <v>352</v>
      </c>
      <c r="F277" s="614">
        <v>1.329</v>
      </c>
      <c r="G277" s="615" t="s">
        <v>432</v>
      </c>
      <c r="H277" s="151">
        <v>0.11799999999999999</v>
      </c>
      <c r="I277" s="152">
        <v>0.10915</v>
      </c>
      <c r="J277" s="640"/>
      <c r="K277" s="152">
        <v>9.3299999999999998E-3</v>
      </c>
      <c r="L277" s="640"/>
      <c r="M277" s="152">
        <v>0</v>
      </c>
      <c r="N277" s="152">
        <v>1.443E-2</v>
      </c>
      <c r="O277" s="152">
        <v>3.9399999999999998E-2</v>
      </c>
      <c r="P277" s="51"/>
      <c r="Q277" s="51"/>
      <c r="R277" s="51"/>
      <c r="S277" s="51"/>
      <c r="T277" s="51"/>
      <c r="U277" s="51"/>
      <c r="V277" s="51"/>
      <c r="W277" s="51"/>
      <c r="X277" s="51"/>
      <c r="Y277" s="51"/>
    </row>
    <row r="278" spans="1:25" x14ac:dyDescent="0.2">
      <c r="A278" s="51"/>
      <c r="B278" s="51"/>
      <c r="C278" s="744"/>
      <c r="D278" s="741"/>
      <c r="E278" s="34" t="s">
        <v>660</v>
      </c>
      <c r="F278" s="616">
        <v>1.329</v>
      </c>
      <c r="G278" s="617" t="s">
        <v>432</v>
      </c>
      <c r="H278" s="153">
        <v>0.11799999999999999</v>
      </c>
      <c r="I278" s="154">
        <v>0.10915</v>
      </c>
      <c r="J278" s="641"/>
      <c r="K278" s="154">
        <v>9.3299999999999998E-3</v>
      </c>
      <c r="L278" s="641"/>
      <c r="M278" s="154">
        <v>0</v>
      </c>
      <c r="N278" s="154">
        <v>0</v>
      </c>
      <c r="O278" s="154">
        <v>0</v>
      </c>
      <c r="P278" s="51"/>
      <c r="Q278" s="51"/>
      <c r="R278" s="51"/>
      <c r="S278" s="51"/>
      <c r="T278" s="51"/>
      <c r="U278" s="51"/>
      <c r="V278" s="51"/>
      <c r="W278" s="51"/>
      <c r="X278" s="51"/>
      <c r="Y278" s="51"/>
    </row>
    <row r="279" spans="1:25" x14ac:dyDescent="0.2">
      <c r="A279" s="51"/>
      <c r="B279" s="51"/>
      <c r="C279" s="744"/>
      <c r="D279" s="741"/>
      <c r="E279" s="34" t="s">
        <v>661</v>
      </c>
      <c r="F279" s="616">
        <v>1.329</v>
      </c>
      <c r="G279" s="617" t="s">
        <v>432</v>
      </c>
      <c r="H279" s="153">
        <v>0.11799999999999999</v>
      </c>
      <c r="I279" s="154">
        <v>0.10915</v>
      </c>
      <c r="J279" s="641"/>
      <c r="K279" s="154">
        <v>9.3299999999999998E-3</v>
      </c>
      <c r="L279" s="641"/>
      <c r="M279" s="154">
        <v>0</v>
      </c>
      <c r="N279" s="154">
        <v>1.443E-2</v>
      </c>
      <c r="O279" s="154">
        <v>0</v>
      </c>
      <c r="P279" s="51"/>
      <c r="Q279" s="51"/>
      <c r="R279" s="51"/>
      <c r="S279" s="51"/>
      <c r="T279" s="51"/>
      <c r="U279" s="51"/>
      <c r="V279" s="51"/>
      <c r="W279" s="51"/>
      <c r="X279" s="51"/>
      <c r="Y279" s="51"/>
    </row>
    <row r="280" spans="1:25" x14ac:dyDescent="0.2">
      <c r="A280" s="51"/>
      <c r="B280" s="51"/>
      <c r="C280" s="744"/>
      <c r="D280" s="742"/>
      <c r="E280" s="603" t="s">
        <v>662</v>
      </c>
      <c r="F280" s="618">
        <v>1.329</v>
      </c>
      <c r="G280" s="619" t="s">
        <v>432</v>
      </c>
      <c r="H280" s="155">
        <v>0.11799999999999999</v>
      </c>
      <c r="I280" s="156">
        <v>0.10915</v>
      </c>
      <c r="J280" s="642"/>
      <c r="K280" s="156">
        <v>9.3299999999999998E-3</v>
      </c>
      <c r="L280" s="642"/>
      <c r="M280" s="156">
        <v>0</v>
      </c>
      <c r="N280" s="156">
        <v>0</v>
      </c>
      <c r="O280" s="156">
        <v>3.9399999999999998E-2</v>
      </c>
      <c r="P280" s="51"/>
      <c r="Q280" s="51"/>
      <c r="R280" s="51"/>
      <c r="S280" s="51"/>
      <c r="T280" s="51"/>
      <c r="U280" s="51"/>
      <c r="V280" s="51"/>
      <c r="W280" s="51"/>
      <c r="X280" s="51"/>
      <c r="Y280" s="51"/>
    </row>
    <row r="281" spans="1:25" x14ac:dyDescent="0.2">
      <c r="A281" s="51"/>
      <c r="B281" s="51"/>
      <c r="C281" s="744"/>
      <c r="D281" s="740" t="s">
        <v>353</v>
      </c>
      <c r="E281" s="33" t="s">
        <v>354</v>
      </c>
      <c r="F281" s="614">
        <v>1.329</v>
      </c>
      <c r="G281" s="615" t="s">
        <v>432</v>
      </c>
      <c r="H281" s="151">
        <v>0.11799999999999999</v>
      </c>
      <c r="I281" s="152">
        <v>0.10915</v>
      </c>
      <c r="J281" s="640"/>
      <c r="K281" s="152">
        <v>1.1010000000000001E-2</v>
      </c>
      <c r="L281" s="640"/>
      <c r="M281" s="152">
        <v>0</v>
      </c>
      <c r="N281" s="152">
        <v>1.443E-2</v>
      </c>
      <c r="O281" s="152">
        <v>3.9399999999999998E-2</v>
      </c>
      <c r="P281" s="51"/>
      <c r="Q281" s="51"/>
      <c r="R281" s="51"/>
      <c r="S281" s="51"/>
      <c r="T281" s="51"/>
      <c r="U281" s="51"/>
      <c r="V281" s="51"/>
      <c r="W281" s="51"/>
      <c r="X281" s="51"/>
      <c r="Y281" s="51"/>
    </row>
    <row r="282" spans="1:25" x14ac:dyDescent="0.2">
      <c r="A282" s="51"/>
      <c r="B282" s="51"/>
      <c r="C282" s="744"/>
      <c r="D282" s="741"/>
      <c r="E282" s="34" t="s">
        <v>663</v>
      </c>
      <c r="F282" s="616">
        <v>1.329</v>
      </c>
      <c r="G282" s="617" t="s">
        <v>432</v>
      </c>
      <c r="H282" s="153">
        <v>0.11799999999999999</v>
      </c>
      <c r="I282" s="154">
        <v>0.10915</v>
      </c>
      <c r="J282" s="641"/>
      <c r="K282" s="154">
        <v>1.1010000000000001E-2</v>
      </c>
      <c r="L282" s="641"/>
      <c r="M282" s="154">
        <v>0</v>
      </c>
      <c r="N282" s="154">
        <v>0</v>
      </c>
      <c r="O282" s="154">
        <v>0</v>
      </c>
      <c r="P282" s="51"/>
      <c r="Q282" s="51"/>
      <c r="R282" s="51"/>
      <c r="S282" s="51"/>
      <c r="T282" s="51"/>
      <c r="U282" s="51"/>
      <c r="V282" s="51"/>
      <c r="W282" s="51"/>
      <c r="X282" s="51"/>
      <c r="Y282" s="51"/>
    </row>
    <row r="283" spans="1:25" x14ac:dyDescent="0.2">
      <c r="A283" s="51"/>
      <c r="B283" s="51"/>
      <c r="C283" s="744"/>
      <c r="D283" s="741"/>
      <c r="E283" s="34" t="s">
        <v>664</v>
      </c>
      <c r="F283" s="616">
        <v>1.329</v>
      </c>
      <c r="G283" s="617" t="s">
        <v>432</v>
      </c>
      <c r="H283" s="153">
        <v>0.11799999999999999</v>
      </c>
      <c r="I283" s="154">
        <v>0.10915</v>
      </c>
      <c r="J283" s="641"/>
      <c r="K283" s="154">
        <v>1.1010000000000001E-2</v>
      </c>
      <c r="L283" s="641"/>
      <c r="M283" s="154">
        <v>0</v>
      </c>
      <c r="N283" s="154">
        <v>1.443E-2</v>
      </c>
      <c r="O283" s="154">
        <v>0</v>
      </c>
      <c r="P283" s="51"/>
      <c r="Q283" s="51"/>
      <c r="R283" s="51"/>
      <c r="S283" s="51"/>
      <c r="T283" s="51"/>
      <c r="U283" s="51"/>
      <c r="V283" s="51"/>
      <c r="W283" s="51"/>
      <c r="X283" s="51"/>
      <c r="Y283" s="51"/>
    </row>
    <row r="284" spans="1:25" x14ac:dyDescent="0.2">
      <c r="A284" s="51"/>
      <c r="B284" s="51"/>
      <c r="C284" s="744"/>
      <c r="D284" s="742"/>
      <c r="E284" s="603" t="s">
        <v>665</v>
      </c>
      <c r="F284" s="618">
        <v>1.329</v>
      </c>
      <c r="G284" s="619" t="s">
        <v>432</v>
      </c>
      <c r="H284" s="155">
        <v>0.11799999999999999</v>
      </c>
      <c r="I284" s="156">
        <v>0.10915</v>
      </c>
      <c r="J284" s="642"/>
      <c r="K284" s="156">
        <v>1.1010000000000001E-2</v>
      </c>
      <c r="L284" s="642"/>
      <c r="M284" s="156">
        <v>0</v>
      </c>
      <c r="N284" s="156">
        <v>0</v>
      </c>
      <c r="O284" s="156">
        <v>3.9399999999999998E-2</v>
      </c>
      <c r="P284" s="51"/>
      <c r="Q284" s="51"/>
      <c r="R284" s="51"/>
      <c r="S284" s="51"/>
      <c r="T284" s="51"/>
      <c r="U284" s="51"/>
      <c r="V284" s="51"/>
      <c r="W284" s="51"/>
      <c r="X284" s="51"/>
      <c r="Y284" s="51"/>
    </row>
    <row r="285" spans="1:25" x14ac:dyDescent="0.2">
      <c r="A285" s="51"/>
      <c r="B285" s="51"/>
      <c r="C285" s="744"/>
      <c r="D285" s="740" t="s">
        <v>355</v>
      </c>
      <c r="E285" s="33" t="s">
        <v>356</v>
      </c>
      <c r="F285" s="614">
        <v>1.329</v>
      </c>
      <c r="G285" s="615" t="s">
        <v>432</v>
      </c>
      <c r="H285" s="151">
        <v>0.11799999999999999</v>
      </c>
      <c r="I285" s="152">
        <v>0.10915</v>
      </c>
      <c r="J285" s="640"/>
      <c r="K285" s="152">
        <v>1.346E-2</v>
      </c>
      <c r="L285" s="640"/>
      <c r="M285" s="152">
        <v>0</v>
      </c>
      <c r="N285" s="152">
        <v>1.443E-2</v>
      </c>
      <c r="O285" s="152">
        <v>3.9399999999999998E-2</v>
      </c>
      <c r="P285" s="51"/>
      <c r="Q285" s="51"/>
      <c r="R285" s="51"/>
      <c r="S285" s="51"/>
      <c r="T285" s="51"/>
      <c r="U285" s="51"/>
      <c r="V285" s="51"/>
      <c r="W285" s="51"/>
      <c r="X285" s="51"/>
      <c r="Y285" s="51"/>
    </row>
    <row r="286" spans="1:25" x14ac:dyDescent="0.2">
      <c r="A286" s="51"/>
      <c r="B286" s="51"/>
      <c r="C286" s="744"/>
      <c r="D286" s="741"/>
      <c r="E286" s="34" t="s">
        <v>666</v>
      </c>
      <c r="F286" s="616">
        <v>1.329</v>
      </c>
      <c r="G286" s="617" t="s">
        <v>432</v>
      </c>
      <c r="H286" s="153">
        <v>0.11799999999999999</v>
      </c>
      <c r="I286" s="154">
        <v>0.10915</v>
      </c>
      <c r="J286" s="641"/>
      <c r="K286" s="154">
        <v>1.346E-2</v>
      </c>
      <c r="L286" s="641"/>
      <c r="M286" s="154">
        <v>0</v>
      </c>
      <c r="N286" s="154">
        <v>0</v>
      </c>
      <c r="O286" s="154">
        <v>0</v>
      </c>
      <c r="P286" s="51"/>
      <c r="Q286" s="51"/>
      <c r="R286" s="51"/>
      <c r="S286" s="51"/>
      <c r="T286" s="51"/>
      <c r="U286" s="51"/>
      <c r="V286" s="51"/>
      <c r="W286" s="51"/>
      <c r="X286" s="51"/>
      <c r="Y286" s="51"/>
    </row>
    <row r="287" spans="1:25" x14ac:dyDescent="0.2">
      <c r="A287" s="51"/>
      <c r="B287" s="51"/>
      <c r="C287" s="744"/>
      <c r="D287" s="741"/>
      <c r="E287" s="34" t="s">
        <v>667</v>
      </c>
      <c r="F287" s="616">
        <v>1.329</v>
      </c>
      <c r="G287" s="617" t="s">
        <v>432</v>
      </c>
      <c r="H287" s="153">
        <v>0.11799999999999999</v>
      </c>
      <c r="I287" s="154">
        <v>0.10915</v>
      </c>
      <c r="J287" s="641"/>
      <c r="K287" s="154">
        <v>1.346E-2</v>
      </c>
      <c r="L287" s="641"/>
      <c r="M287" s="154">
        <v>0</v>
      </c>
      <c r="N287" s="154">
        <v>1.443E-2</v>
      </c>
      <c r="O287" s="154">
        <v>0</v>
      </c>
      <c r="P287" s="51"/>
      <c r="Q287" s="51"/>
      <c r="R287" s="51"/>
      <c r="S287" s="51"/>
      <c r="T287" s="51"/>
      <c r="U287" s="51"/>
      <c r="V287" s="51"/>
      <c r="W287" s="51"/>
      <c r="X287" s="51"/>
      <c r="Y287" s="51"/>
    </row>
    <row r="288" spans="1:25" x14ac:dyDescent="0.2">
      <c r="A288" s="51"/>
      <c r="B288" s="51"/>
      <c r="C288" s="744"/>
      <c r="D288" s="742"/>
      <c r="E288" s="603" t="s">
        <v>668</v>
      </c>
      <c r="F288" s="618">
        <v>1.329</v>
      </c>
      <c r="G288" s="619" t="s">
        <v>432</v>
      </c>
      <c r="H288" s="155">
        <v>0.11799999999999999</v>
      </c>
      <c r="I288" s="156">
        <v>0.10915</v>
      </c>
      <c r="J288" s="642"/>
      <c r="K288" s="156">
        <v>1.346E-2</v>
      </c>
      <c r="L288" s="642"/>
      <c r="M288" s="156">
        <v>0</v>
      </c>
      <c r="N288" s="156">
        <v>0</v>
      </c>
      <c r="O288" s="156">
        <v>3.9399999999999998E-2</v>
      </c>
      <c r="P288" s="51"/>
      <c r="Q288" s="51"/>
      <c r="R288" s="51"/>
      <c r="S288" s="51"/>
      <c r="T288" s="51"/>
      <c r="U288" s="51"/>
      <c r="V288" s="51"/>
      <c r="W288" s="51"/>
      <c r="X288" s="51"/>
      <c r="Y288" s="51"/>
    </row>
    <row r="289" spans="1:25" x14ac:dyDescent="0.2">
      <c r="A289" s="51"/>
      <c r="B289" s="51"/>
      <c r="C289" s="744"/>
      <c r="D289" s="740" t="s">
        <v>357</v>
      </c>
      <c r="E289" s="33" t="s">
        <v>358</v>
      </c>
      <c r="F289" s="614">
        <v>1.0760000000000001</v>
      </c>
      <c r="G289" s="615" t="s">
        <v>433</v>
      </c>
      <c r="H289" s="151">
        <v>0.126</v>
      </c>
      <c r="I289" s="152">
        <v>4.6920000000000003E-2</v>
      </c>
      <c r="J289" s="640"/>
      <c r="K289" s="152">
        <v>7.3999999999999999E-4</v>
      </c>
      <c r="L289" s="640"/>
      <c r="M289" s="152">
        <v>0</v>
      </c>
      <c r="N289" s="152">
        <v>1.443E-2</v>
      </c>
      <c r="O289" s="152">
        <v>3.9399999999999998E-2</v>
      </c>
      <c r="P289" s="51"/>
      <c r="Q289" s="51"/>
      <c r="R289" s="51"/>
      <c r="S289" s="51"/>
      <c r="T289" s="51"/>
      <c r="U289" s="51"/>
      <c r="V289" s="51"/>
      <c r="W289" s="51"/>
      <c r="X289" s="51"/>
      <c r="Y289" s="51"/>
    </row>
    <row r="290" spans="1:25" x14ac:dyDescent="0.2">
      <c r="A290" s="51"/>
      <c r="B290" s="51"/>
      <c r="C290" s="744"/>
      <c r="D290" s="741"/>
      <c r="E290" s="34" t="s">
        <v>669</v>
      </c>
      <c r="F290" s="616">
        <v>1.0760000000000001</v>
      </c>
      <c r="G290" s="617" t="s">
        <v>433</v>
      </c>
      <c r="H290" s="153">
        <v>0.126</v>
      </c>
      <c r="I290" s="154">
        <v>4.6920000000000003E-2</v>
      </c>
      <c r="J290" s="641"/>
      <c r="K290" s="154">
        <v>7.3999999999999999E-4</v>
      </c>
      <c r="L290" s="641"/>
      <c r="M290" s="154">
        <v>0</v>
      </c>
      <c r="N290" s="154">
        <v>0</v>
      </c>
      <c r="O290" s="154">
        <v>0</v>
      </c>
      <c r="P290" s="51"/>
      <c r="Q290" s="51"/>
      <c r="R290" s="51"/>
      <c r="S290" s="51"/>
      <c r="T290" s="51"/>
      <c r="U290" s="51"/>
      <c r="V290" s="51"/>
      <c r="W290" s="51"/>
      <c r="X290" s="51"/>
      <c r="Y290" s="51"/>
    </row>
    <row r="291" spans="1:25" x14ac:dyDescent="0.2">
      <c r="A291" s="51"/>
      <c r="B291" s="51"/>
      <c r="C291" s="744"/>
      <c r="D291" s="741"/>
      <c r="E291" s="34" t="s">
        <v>670</v>
      </c>
      <c r="F291" s="616">
        <v>1.0760000000000001</v>
      </c>
      <c r="G291" s="617" t="s">
        <v>433</v>
      </c>
      <c r="H291" s="153">
        <v>0.126</v>
      </c>
      <c r="I291" s="154">
        <v>4.6920000000000003E-2</v>
      </c>
      <c r="J291" s="641"/>
      <c r="K291" s="154">
        <v>7.3999999999999999E-4</v>
      </c>
      <c r="L291" s="641"/>
      <c r="M291" s="154">
        <v>0</v>
      </c>
      <c r="N291" s="154">
        <v>1.443E-2</v>
      </c>
      <c r="O291" s="154">
        <v>0</v>
      </c>
      <c r="P291" s="51"/>
      <c r="Q291" s="51"/>
      <c r="R291" s="51"/>
      <c r="S291" s="51"/>
      <c r="T291" s="51"/>
      <c r="U291" s="51"/>
      <c r="V291" s="51"/>
      <c r="W291" s="51"/>
      <c r="X291" s="51"/>
      <c r="Y291" s="51"/>
    </row>
    <row r="292" spans="1:25" x14ac:dyDescent="0.2">
      <c r="A292" s="51"/>
      <c r="B292" s="51"/>
      <c r="C292" s="745"/>
      <c r="D292" s="742"/>
      <c r="E292" s="603" t="s">
        <v>671</v>
      </c>
      <c r="F292" s="618">
        <v>1.0760000000000001</v>
      </c>
      <c r="G292" s="619" t="s">
        <v>433</v>
      </c>
      <c r="H292" s="155">
        <v>0.126</v>
      </c>
      <c r="I292" s="156">
        <v>4.6920000000000003E-2</v>
      </c>
      <c r="J292" s="642"/>
      <c r="K292" s="156">
        <v>7.3999999999999999E-4</v>
      </c>
      <c r="L292" s="642"/>
      <c r="M292" s="156">
        <v>0</v>
      </c>
      <c r="N292" s="156">
        <v>0</v>
      </c>
      <c r="O292" s="156">
        <v>3.9399999999999998E-2</v>
      </c>
      <c r="P292" s="51"/>
      <c r="Q292" s="51"/>
      <c r="R292" s="51"/>
      <c r="S292" s="51"/>
      <c r="T292" s="51"/>
      <c r="U292" s="51"/>
      <c r="V292" s="51"/>
      <c r="W292" s="51"/>
      <c r="X292" s="51"/>
      <c r="Y292" s="51"/>
    </row>
    <row r="293" spans="1:25" x14ac:dyDescent="0.2">
      <c r="A293" s="51"/>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row>
    <row r="294" spans="1:25" s="657" customFormat="1" x14ac:dyDescent="0.2">
      <c r="A294" s="57"/>
      <c r="B294" s="57"/>
      <c r="C294" s="8" t="s">
        <v>96</v>
      </c>
      <c r="D294" s="585"/>
      <c r="E294" s="585"/>
      <c r="F294" s="585"/>
      <c r="G294" s="585"/>
      <c r="H294" s="585"/>
      <c r="I294" s="585"/>
      <c r="J294" s="585"/>
      <c r="K294" s="585"/>
      <c r="L294" s="585"/>
      <c r="M294" s="585"/>
      <c r="N294" s="57"/>
      <c r="O294" s="57"/>
      <c r="P294" s="57"/>
      <c r="Q294" s="57"/>
      <c r="R294" s="57"/>
      <c r="S294" s="57"/>
      <c r="T294" s="57"/>
      <c r="U294" s="57"/>
      <c r="V294" s="57"/>
      <c r="W294" s="57"/>
      <c r="X294" s="57"/>
      <c r="Y294" s="57"/>
    </row>
    <row r="295" spans="1:25" s="657" customFormat="1" x14ac:dyDescent="0.2">
      <c r="A295" s="57"/>
      <c r="B295" s="57"/>
      <c r="C295" s="30" t="s">
        <v>97</v>
      </c>
      <c r="D295" s="586"/>
      <c r="E295" s="6"/>
      <c r="F295" s="6"/>
      <c r="G295" s="6"/>
      <c r="H295" s="6"/>
      <c r="I295" s="6"/>
      <c r="J295" s="6"/>
      <c r="K295" s="6"/>
      <c r="L295" s="6"/>
      <c r="M295" s="6"/>
      <c r="N295" s="57"/>
      <c r="O295" s="57"/>
      <c r="P295" s="57"/>
      <c r="Q295" s="57"/>
      <c r="R295" s="57"/>
      <c r="S295" s="57"/>
      <c r="T295" s="57"/>
      <c r="U295" s="57"/>
      <c r="V295" s="57"/>
      <c r="W295" s="57"/>
      <c r="X295" s="57"/>
      <c r="Y295" s="57"/>
    </row>
    <row r="296" spans="1:25" s="657" customFormat="1" x14ac:dyDescent="0.2">
      <c r="A296" s="57"/>
      <c r="B296" s="57"/>
      <c r="C296" s="587"/>
      <c r="D296" s="587"/>
      <c r="E296" s="6"/>
      <c r="F296" s="6"/>
      <c r="G296" s="6"/>
      <c r="H296" s="6"/>
      <c r="I296" s="6"/>
      <c r="J296" s="6"/>
      <c r="K296" s="6"/>
      <c r="L296" s="6"/>
      <c r="M296" s="6"/>
      <c r="N296" s="57"/>
      <c r="O296" s="57"/>
      <c r="P296" s="57"/>
      <c r="Q296" s="57"/>
      <c r="R296" s="57"/>
      <c r="S296" s="57"/>
      <c r="T296" s="57"/>
      <c r="U296" s="57"/>
      <c r="V296" s="57"/>
      <c r="W296" s="57"/>
      <c r="X296" s="57"/>
      <c r="Y296" s="57"/>
    </row>
    <row r="297" spans="1:25" s="657" customFormat="1" x14ac:dyDescent="0.2">
      <c r="A297" s="57"/>
      <c r="B297" s="57"/>
      <c r="C297" s="70"/>
      <c r="D297" s="70"/>
      <c r="E297" s="70"/>
      <c r="F297" s="70"/>
      <c r="G297" s="70"/>
      <c r="H297" s="70"/>
      <c r="I297" s="70"/>
      <c r="J297" s="70"/>
      <c r="K297" s="70"/>
      <c r="L297" s="70"/>
      <c r="M297" s="70"/>
      <c r="N297" s="57"/>
      <c r="O297" s="57"/>
      <c r="P297" s="57"/>
      <c r="Q297" s="57"/>
      <c r="R297" s="57"/>
      <c r="S297" s="57"/>
      <c r="T297" s="57"/>
      <c r="U297" s="57"/>
      <c r="V297" s="57"/>
      <c r="W297" s="57"/>
      <c r="X297" s="57"/>
      <c r="Y297" s="57"/>
    </row>
    <row r="298" spans="1:25" s="657" customFormat="1" x14ac:dyDescent="0.2">
      <c r="A298" s="57"/>
      <c r="B298" s="57"/>
      <c r="C298" s="587"/>
      <c r="D298" s="588"/>
      <c r="E298" s="588"/>
      <c r="F298" s="588"/>
      <c r="G298" s="588"/>
      <c r="H298" s="588"/>
      <c r="I298" s="588"/>
      <c r="J298" s="588"/>
      <c r="K298" s="588"/>
      <c r="L298" s="588"/>
      <c r="M298" s="588"/>
      <c r="N298" s="57"/>
      <c r="O298" s="57"/>
      <c r="P298" s="57"/>
      <c r="Q298" s="57"/>
      <c r="R298" s="57"/>
      <c r="S298" s="57"/>
      <c r="T298" s="57"/>
      <c r="U298" s="57"/>
      <c r="V298" s="57"/>
      <c r="W298" s="57"/>
      <c r="X298" s="57"/>
      <c r="Y298" s="57"/>
    </row>
    <row r="299" spans="1:25" s="657" customFormat="1" x14ac:dyDescent="0.2">
      <c r="A299" s="57"/>
      <c r="B299" s="57"/>
      <c r="C299" s="70"/>
      <c r="D299" s="70"/>
      <c r="E299" s="70"/>
      <c r="F299" s="70"/>
      <c r="G299" s="70"/>
      <c r="H299" s="70"/>
      <c r="I299" s="70"/>
      <c r="J299" s="70"/>
      <c r="K299" s="70"/>
      <c r="L299" s="70"/>
      <c r="M299" s="70"/>
      <c r="N299" s="57"/>
      <c r="O299" s="57"/>
      <c r="P299" s="57"/>
      <c r="Q299" s="57"/>
      <c r="R299" s="57"/>
      <c r="S299" s="57"/>
      <c r="T299" s="57"/>
      <c r="U299" s="57"/>
      <c r="V299" s="57"/>
      <c r="W299" s="57"/>
      <c r="X299" s="57"/>
      <c r="Y299" s="57"/>
    </row>
    <row r="300" spans="1:25" x14ac:dyDescent="0.2">
      <c r="A300" s="51"/>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row>
  </sheetData>
  <mergeCells count="163">
    <mergeCell ref="C193:C196"/>
    <mergeCell ref="D193:D196"/>
    <mergeCell ref="E193:E196"/>
    <mergeCell ref="F193:G195"/>
    <mergeCell ref="H193:J193"/>
    <mergeCell ref="K193:L193"/>
    <mergeCell ref="C61:C64"/>
    <mergeCell ref="D61:D64"/>
    <mergeCell ref="E61:E64"/>
    <mergeCell ref="F61:G63"/>
    <mergeCell ref="H61:K61"/>
    <mergeCell ref="L61:M61"/>
    <mergeCell ref="H62:H63"/>
    <mergeCell ref="D93:D96"/>
    <mergeCell ref="D155:D158"/>
    <mergeCell ref="D159:D162"/>
    <mergeCell ref="D163:D166"/>
    <mergeCell ref="D167:D170"/>
    <mergeCell ref="D97:D100"/>
    <mergeCell ref="D101:D104"/>
    <mergeCell ref="D105:D108"/>
    <mergeCell ref="D109:D112"/>
    <mergeCell ref="D113:D116"/>
    <mergeCell ref="E127:E130"/>
    <mergeCell ref="K10:L10"/>
    <mergeCell ref="M10:N10"/>
    <mergeCell ref="O10:O11"/>
    <mergeCell ref="P10:P11"/>
    <mergeCell ref="Q10:Q11"/>
    <mergeCell ref="R10:R11"/>
    <mergeCell ref="M127:N127"/>
    <mergeCell ref="I62:K62"/>
    <mergeCell ref="L62:L63"/>
    <mergeCell ref="M62:M63"/>
    <mergeCell ref="N62:N63"/>
    <mergeCell ref="N61:O61"/>
    <mergeCell ref="H127:J127"/>
    <mergeCell ref="K127:L127"/>
    <mergeCell ref="F9:G11"/>
    <mergeCell ref="H9:I11"/>
    <mergeCell ref="J9:N9"/>
    <mergeCell ref="H128:H129"/>
    <mergeCell ref="I128:J128"/>
    <mergeCell ref="K128:K129"/>
    <mergeCell ref="C60:Q60"/>
    <mergeCell ref="C59:Q59"/>
    <mergeCell ref="C65:C92"/>
    <mergeCell ref="C93:C120"/>
    <mergeCell ref="D65:D68"/>
    <mergeCell ref="D69:D72"/>
    <mergeCell ref="D73:D76"/>
    <mergeCell ref="D77:D80"/>
    <mergeCell ref="P61:Q61"/>
    <mergeCell ref="P62:P63"/>
    <mergeCell ref="Q62:Q63"/>
    <mergeCell ref="O62:O63"/>
    <mergeCell ref="D81:D84"/>
    <mergeCell ref="D85:D88"/>
    <mergeCell ref="D89:D92"/>
    <mergeCell ref="O9:P9"/>
    <mergeCell ref="Q9:R9"/>
    <mergeCell ref="J10:J11"/>
    <mergeCell ref="D203:D208"/>
    <mergeCell ref="D209:D214"/>
    <mergeCell ref="D215:D220"/>
    <mergeCell ref="D221:D226"/>
    <mergeCell ref="M193:N193"/>
    <mergeCell ref="H194:H195"/>
    <mergeCell ref="I194:I195"/>
    <mergeCell ref="J194:J195"/>
    <mergeCell ref="K194:K195"/>
    <mergeCell ref="L194:L195"/>
    <mergeCell ref="M194:M195"/>
    <mergeCell ref="N194:N195"/>
    <mergeCell ref="L234:L235"/>
    <mergeCell ref="M234:M235"/>
    <mergeCell ref="D261:D264"/>
    <mergeCell ref="C233:C236"/>
    <mergeCell ref="D233:D236"/>
    <mergeCell ref="E233:E236"/>
    <mergeCell ref="F233:G235"/>
    <mergeCell ref="H233:I233"/>
    <mergeCell ref="J233:K233"/>
    <mergeCell ref="L233:M233"/>
    <mergeCell ref="H234:H235"/>
    <mergeCell ref="C8:T8"/>
    <mergeCell ref="C7:T7"/>
    <mergeCell ref="D34:D36"/>
    <mergeCell ref="D37:D39"/>
    <mergeCell ref="D40:D42"/>
    <mergeCell ref="D43:D45"/>
    <mergeCell ref="C13:C33"/>
    <mergeCell ref="C34:C54"/>
    <mergeCell ref="D13:D15"/>
    <mergeCell ref="D16:D18"/>
    <mergeCell ref="D19:D21"/>
    <mergeCell ref="D22:D24"/>
    <mergeCell ref="D25:D27"/>
    <mergeCell ref="D28:D30"/>
    <mergeCell ref="D31:D33"/>
    <mergeCell ref="D46:D48"/>
    <mergeCell ref="S9:T9"/>
    <mergeCell ref="S10:S11"/>
    <mergeCell ref="T10:T11"/>
    <mergeCell ref="D49:D51"/>
    <mergeCell ref="D52:D54"/>
    <mergeCell ref="C9:C12"/>
    <mergeCell ref="D9:D12"/>
    <mergeCell ref="E9:E12"/>
    <mergeCell ref="D171:D174"/>
    <mergeCell ref="D175:D178"/>
    <mergeCell ref="D117:D120"/>
    <mergeCell ref="C126:P126"/>
    <mergeCell ref="C125:P125"/>
    <mergeCell ref="C131:C158"/>
    <mergeCell ref="D131:D134"/>
    <mergeCell ref="D135:D138"/>
    <mergeCell ref="D139:D142"/>
    <mergeCell ref="D143:D146"/>
    <mergeCell ref="D147:D150"/>
    <mergeCell ref="D151:D154"/>
    <mergeCell ref="P128:P129"/>
    <mergeCell ref="O127:P127"/>
    <mergeCell ref="O128:O129"/>
    <mergeCell ref="L128:L129"/>
    <mergeCell ref="M128:M129"/>
    <mergeCell ref="N128:N129"/>
    <mergeCell ref="C127:C130"/>
    <mergeCell ref="D127:D130"/>
    <mergeCell ref="F127:G129"/>
    <mergeCell ref="C232:O232"/>
    <mergeCell ref="C231:O231"/>
    <mergeCell ref="D237:D240"/>
    <mergeCell ref="D241:D244"/>
    <mergeCell ref="D245:D248"/>
    <mergeCell ref="D249:D252"/>
    <mergeCell ref="D253:D256"/>
    <mergeCell ref="D257:D260"/>
    <mergeCell ref="D179:D182"/>
    <mergeCell ref="D183:D186"/>
    <mergeCell ref="C159:C186"/>
    <mergeCell ref="C192:P192"/>
    <mergeCell ref="C191:P191"/>
    <mergeCell ref="D197:D202"/>
    <mergeCell ref="C197:C226"/>
    <mergeCell ref="O193:P193"/>
    <mergeCell ref="O194:O195"/>
    <mergeCell ref="P194:P195"/>
    <mergeCell ref="N233:O233"/>
    <mergeCell ref="N234:N235"/>
    <mergeCell ref="O234:O235"/>
    <mergeCell ref="I234:I235"/>
    <mergeCell ref="J234:J235"/>
    <mergeCell ref="K234:K235"/>
    <mergeCell ref="D289:D292"/>
    <mergeCell ref="D265:D268"/>
    <mergeCell ref="D269:D272"/>
    <mergeCell ref="D273:D276"/>
    <mergeCell ref="D277:D280"/>
    <mergeCell ref="D281:D284"/>
    <mergeCell ref="D285:D288"/>
    <mergeCell ref="C265:C292"/>
    <mergeCell ref="C237:C264"/>
  </mergeCells>
  <conditionalFormatting sqref="L62:M62 K128:L128 J234:K234 O10:P10">
    <cfRule type="cellIs" dxfId="4" priority="2" stopIfTrue="1" operator="equal">
      <formula>"ERROR"</formula>
    </cfRule>
  </conditionalFormatting>
  <conditionalFormatting sqref="K194:L194">
    <cfRule type="cellIs" dxfId="3" priority="1" stopIfTrue="1" operator="equal">
      <formula>"ERROR"</formula>
    </cfRule>
  </conditionalFormatting>
  <hyperlinks>
    <hyperlink ref="C123" r:id="rId1"/>
    <hyperlink ref="C189" r:id="rId2"/>
    <hyperlink ref="C57" r:id="rId3"/>
    <hyperlink ref="C295" r:id="rId4"/>
    <hyperlink ref="C229" r:id="rId5"/>
  </hyperlinks>
  <pageMargins left="0.25" right="0.25" top="0.75" bottom="0.75" header="0.3" footer="0.3"/>
  <pageSetup paperSize="9" scale="56" fitToHeight="0" orientation="landscape" r:id="rId6"/>
  <headerFooter alignWithMargins="0">
    <oddFooter>Page &amp;P of &amp;N</oddFooter>
  </headerFooter>
  <rowBreaks count="7" manualBreakCount="7">
    <brk id="57" min="2" max="19" man="1"/>
    <brk id="92" min="2" max="19" man="1"/>
    <brk id="124" min="2" max="19" man="1"/>
    <brk id="158" min="2" max="19" man="1"/>
    <brk id="190" min="2" max="19" man="1"/>
    <brk id="230" min="2" max="19" man="1"/>
    <brk id="264" min="2" max="19" man="1"/>
  </rowBreaks>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5">
    <pageSetUpPr fitToPage="1"/>
  </sheetPr>
  <dimension ref="A1:N242"/>
  <sheetViews>
    <sheetView zoomScale="80" zoomScaleNormal="80" workbookViewId="0"/>
  </sheetViews>
  <sheetFormatPr defaultColWidth="9.140625" defaultRowHeight="12.75" x14ac:dyDescent="0.2"/>
  <cols>
    <col min="1" max="2" width="3.7109375" style="77" customWidth="1"/>
    <col min="3" max="3" width="20.5703125" style="77" customWidth="1"/>
    <col min="4" max="4" width="53.7109375" style="77" customWidth="1"/>
    <col min="5" max="5" width="14.140625" style="77" customWidth="1"/>
    <col min="6" max="7" width="7.5703125" style="77" customWidth="1"/>
    <col min="8" max="12" width="11.7109375" style="77" customWidth="1"/>
    <col min="13" max="43" width="9.140625" style="77"/>
    <col min="44" max="16356" width="9.140625" style="77" customWidth="1"/>
    <col min="16357" max="16384" width="9.140625" style="77"/>
  </cols>
  <sheetData>
    <row r="1" spans="1:14" s="108" customFormat="1" x14ac:dyDescent="0.2">
      <c r="A1" s="78"/>
      <c r="B1" s="78"/>
      <c r="C1" s="79"/>
      <c r="D1" s="79"/>
      <c r="E1" s="79"/>
      <c r="F1" s="79"/>
      <c r="G1" s="79"/>
      <c r="H1" s="79"/>
      <c r="I1" s="79"/>
      <c r="J1" s="79"/>
      <c r="K1" s="79"/>
      <c r="L1" s="79"/>
      <c r="M1" s="589"/>
      <c r="N1" s="589"/>
    </row>
    <row r="2" spans="1:14" s="102" customFormat="1" ht="18" x14ac:dyDescent="0.2">
      <c r="A2" s="10"/>
      <c r="B2" s="9"/>
      <c r="C2" s="9"/>
      <c r="D2" s="9"/>
      <c r="E2" s="4"/>
      <c r="F2" s="11"/>
      <c r="G2" s="11"/>
      <c r="H2" s="11"/>
      <c r="I2" s="11"/>
      <c r="J2" s="11"/>
      <c r="K2" s="11"/>
      <c r="L2" s="11"/>
      <c r="M2" s="9"/>
      <c r="N2" s="9"/>
    </row>
    <row r="3" spans="1:14" s="102" customFormat="1" ht="18" x14ac:dyDescent="0.2">
      <c r="A3" s="10"/>
      <c r="B3" s="9"/>
      <c r="C3" s="4" t="s">
        <v>0</v>
      </c>
      <c r="D3" s="9"/>
      <c r="E3" s="5"/>
      <c r="F3" s="11"/>
      <c r="G3" s="11"/>
      <c r="H3" s="11"/>
      <c r="I3" s="11"/>
      <c r="J3" s="11"/>
      <c r="K3" s="11"/>
      <c r="L3" s="11"/>
      <c r="M3" s="9"/>
      <c r="N3" s="9"/>
    </row>
    <row r="4" spans="1:14" ht="18" x14ac:dyDescent="0.25">
      <c r="A4" s="51"/>
      <c r="B4" s="54"/>
      <c r="C4" s="5" t="s">
        <v>1641</v>
      </c>
      <c r="D4" s="51"/>
      <c r="E4" s="51"/>
      <c r="F4" s="51"/>
      <c r="G4" s="51"/>
      <c r="H4" s="51"/>
      <c r="I4" s="51"/>
      <c r="J4" s="55"/>
      <c r="K4" s="51"/>
      <c r="L4" s="51"/>
      <c r="M4" s="51"/>
      <c r="N4" s="51"/>
    </row>
    <row r="5" spans="1:14" ht="14.25" x14ac:dyDescent="0.2">
      <c r="A5" s="51"/>
      <c r="B5" s="51"/>
      <c r="C5" s="51"/>
      <c r="D5" s="51"/>
      <c r="E5" s="51"/>
      <c r="F5" s="51"/>
      <c r="G5" s="51"/>
      <c r="H5" s="51"/>
      <c r="I5" s="59"/>
      <c r="J5" s="51"/>
      <c r="K5" s="51"/>
      <c r="L5" s="51"/>
      <c r="M5" s="51"/>
      <c r="N5" s="51"/>
    </row>
    <row r="6" spans="1:14" s="106" customFormat="1" ht="12" x14ac:dyDescent="0.2">
      <c r="A6" s="3"/>
      <c r="B6" s="3"/>
      <c r="C6" s="3"/>
      <c r="D6" s="3"/>
      <c r="E6" s="3"/>
      <c r="F6" s="3"/>
      <c r="G6" s="3"/>
      <c r="H6" s="3"/>
      <c r="I6" s="80"/>
      <c r="J6" s="3"/>
      <c r="K6" s="3"/>
      <c r="L6" s="3"/>
      <c r="M6" s="3"/>
      <c r="N6" s="3"/>
    </row>
    <row r="7" spans="1:14" ht="15" customHeight="1" x14ac:dyDescent="0.2">
      <c r="A7" s="51"/>
      <c r="B7" s="51"/>
      <c r="C7" s="749" t="s">
        <v>1637</v>
      </c>
      <c r="D7" s="750"/>
      <c r="E7" s="750"/>
      <c r="F7" s="750"/>
      <c r="G7" s="750"/>
      <c r="H7" s="750"/>
      <c r="I7" s="750"/>
      <c r="J7" s="750"/>
      <c r="K7" s="751"/>
      <c r="L7" s="9"/>
      <c r="M7" s="51"/>
      <c r="N7" s="51"/>
    </row>
    <row r="8" spans="1:14" ht="34.5" customHeight="1" x14ac:dyDescent="0.2">
      <c r="A8" s="1"/>
      <c r="B8" s="1"/>
      <c r="C8" s="746" t="s">
        <v>359</v>
      </c>
      <c r="D8" s="747"/>
      <c r="E8" s="747"/>
      <c r="F8" s="747"/>
      <c r="G8" s="747"/>
      <c r="H8" s="747"/>
      <c r="I8" s="747"/>
      <c r="J8" s="747"/>
      <c r="K8" s="748"/>
      <c r="L8" s="9"/>
      <c r="M8" s="51"/>
      <c r="N8" s="51"/>
    </row>
    <row r="9" spans="1:14" ht="35.1" customHeight="1" x14ac:dyDescent="0.2">
      <c r="A9" s="1"/>
      <c r="B9" s="1"/>
      <c r="C9" s="769" t="s">
        <v>24</v>
      </c>
      <c r="D9" s="769" t="s">
        <v>25</v>
      </c>
      <c r="E9" s="769" t="s">
        <v>2</v>
      </c>
      <c r="F9" s="772" t="s">
        <v>26</v>
      </c>
      <c r="G9" s="773"/>
      <c r="H9" s="736" t="s">
        <v>27</v>
      </c>
      <c r="I9" s="737"/>
      <c r="J9" s="782" t="s">
        <v>28</v>
      </c>
      <c r="K9" s="760"/>
      <c r="L9" s="9"/>
      <c r="M9" s="51"/>
      <c r="N9" s="51"/>
    </row>
    <row r="10" spans="1:14" ht="30" customHeight="1" x14ac:dyDescent="0.2">
      <c r="A10" s="1"/>
      <c r="B10" s="1"/>
      <c r="C10" s="770"/>
      <c r="D10" s="770"/>
      <c r="E10" s="770"/>
      <c r="F10" s="774"/>
      <c r="G10" s="775"/>
      <c r="H10" s="758" t="s">
        <v>3</v>
      </c>
      <c r="I10" s="794" t="s">
        <v>360</v>
      </c>
      <c r="J10" s="765" t="s">
        <v>8</v>
      </c>
      <c r="K10" s="765" t="s">
        <v>256</v>
      </c>
      <c r="L10" s="9"/>
      <c r="M10" s="51"/>
      <c r="N10" s="51"/>
    </row>
    <row r="11" spans="1:14" ht="30" customHeight="1" x14ac:dyDescent="0.2">
      <c r="A11" s="1"/>
      <c r="B11" s="1"/>
      <c r="C11" s="770"/>
      <c r="D11" s="770"/>
      <c r="E11" s="770"/>
      <c r="F11" s="776"/>
      <c r="G11" s="777"/>
      <c r="H11" s="759"/>
      <c r="I11" s="795"/>
      <c r="J11" s="766"/>
      <c r="K11" s="766"/>
      <c r="L11" s="9"/>
      <c r="M11" s="51"/>
      <c r="N11" s="51"/>
    </row>
    <row r="12" spans="1:14" ht="30" customHeight="1" x14ac:dyDescent="0.2">
      <c r="A12" s="1"/>
      <c r="B12" s="1"/>
      <c r="C12" s="771"/>
      <c r="D12" s="771"/>
      <c r="E12" s="771"/>
      <c r="F12" s="456" t="s">
        <v>11</v>
      </c>
      <c r="G12" s="456" t="s">
        <v>12</v>
      </c>
      <c r="H12" s="13" t="s">
        <v>13</v>
      </c>
      <c r="I12" s="14" t="s">
        <v>16</v>
      </c>
      <c r="J12" s="81" t="s">
        <v>13</v>
      </c>
      <c r="K12" s="575" t="s">
        <v>16</v>
      </c>
      <c r="L12" s="9"/>
      <c r="M12" s="51"/>
      <c r="N12" s="51"/>
    </row>
    <row r="13" spans="1:14" ht="14.25" customHeight="1" x14ac:dyDescent="0.2">
      <c r="A13" s="1"/>
      <c r="B13" s="1"/>
      <c r="C13" s="743" t="s">
        <v>361</v>
      </c>
      <c r="D13" s="73" t="s">
        <v>362</v>
      </c>
      <c r="E13" s="73" t="s">
        <v>363</v>
      </c>
      <c r="F13" s="82">
        <v>1.097</v>
      </c>
      <c r="G13" s="83" t="s">
        <v>431</v>
      </c>
      <c r="H13" s="82">
        <v>5.0000000000000001E-3</v>
      </c>
      <c r="I13" s="590">
        <v>0.14622000000000002</v>
      </c>
      <c r="J13" s="84"/>
      <c r="K13" s="590">
        <v>9.3299999999999998E-3</v>
      </c>
      <c r="L13" s="9"/>
      <c r="M13" s="51"/>
      <c r="N13" s="51"/>
    </row>
    <row r="14" spans="1:14" ht="14.25" customHeight="1" x14ac:dyDescent="0.2">
      <c r="A14" s="63"/>
      <c r="B14" s="63"/>
      <c r="C14" s="744"/>
      <c r="D14" s="72" t="s">
        <v>364</v>
      </c>
      <c r="E14" s="72" t="s">
        <v>365</v>
      </c>
      <c r="F14" s="85">
        <v>1.097</v>
      </c>
      <c r="G14" s="47" t="s">
        <v>431</v>
      </c>
      <c r="H14" s="85">
        <v>5.0000000000000001E-3</v>
      </c>
      <c r="I14" s="591">
        <v>0.14622000000000002</v>
      </c>
      <c r="J14" s="86"/>
      <c r="K14" s="591">
        <v>9.3299999999999998E-3</v>
      </c>
      <c r="L14" s="9"/>
      <c r="M14" s="51"/>
      <c r="N14" s="51"/>
    </row>
    <row r="15" spans="1:14" ht="14.25" customHeight="1" x14ac:dyDescent="0.2">
      <c r="A15" s="63"/>
      <c r="B15" s="63"/>
      <c r="C15" s="744"/>
      <c r="D15" s="72" t="s">
        <v>366</v>
      </c>
      <c r="E15" s="72" t="s">
        <v>367</v>
      </c>
      <c r="F15" s="85">
        <v>1.097</v>
      </c>
      <c r="G15" s="47" t="s">
        <v>431</v>
      </c>
      <c r="H15" s="85">
        <v>5.0000000000000001E-3</v>
      </c>
      <c r="I15" s="591">
        <v>0.14622000000000002</v>
      </c>
      <c r="J15" s="86"/>
      <c r="K15" s="591">
        <v>9.3299999999999998E-3</v>
      </c>
      <c r="L15" s="9"/>
      <c r="M15" s="51"/>
      <c r="N15" s="51"/>
    </row>
    <row r="16" spans="1:14" ht="14.25" customHeight="1" x14ac:dyDescent="0.2">
      <c r="A16" s="63"/>
      <c r="B16" s="63"/>
      <c r="C16" s="744"/>
      <c r="D16" s="72" t="s">
        <v>368</v>
      </c>
      <c r="E16" s="72" t="s">
        <v>369</v>
      </c>
      <c r="F16" s="85">
        <v>1.097</v>
      </c>
      <c r="G16" s="47" t="s">
        <v>431</v>
      </c>
      <c r="H16" s="85">
        <v>5.0000000000000001E-3</v>
      </c>
      <c r="I16" s="591">
        <v>0.14622000000000002</v>
      </c>
      <c r="J16" s="86"/>
      <c r="K16" s="591">
        <v>1.1010000000000001E-2</v>
      </c>
      <c r="L16" s="9"/>
      <c r="M16" s="51"/>
      <c r="N16" s="51"/>
    </row>
    <row r="17" spans="1:14" ht="14.25" customHeight="1" x14ac:dyDescent="0.2">
      <c r="A17" s="63"/>
      <c r="B17" s="63"/>
      <c r="C17" s="744"/>
      <c r="D17" s="72" t="s">
        <v>370</v>
      </c>
      <c r="E17" s="72" t="s">
        <v>371</v>
      </c>
      <c r="F17" s="85">
        <v>1.097</v>
      </c>
      <c r="G17" s="47" t="s">
        <v>431</v>
      </c>
      <c r="H17" s="85">
        <v>5.0000000000000001E-3</v>
      </c>
      <c r="I17" s="591">
        <v>0.14622000000000002</v>
      </c>
      <c r="J17" s="86"/>
      <c r="K17" s="591">
        <v>1.1010000000000001E-2</v>
      </c>
      <c r="L17" s="9"/>
      <c r="M17" s="51"/>
      <c r="N17" s="51"/>
    </row>
    <row r="18" spans="1:14" ht="14.25" customHeight="1" x14ac:dyDescent="0.2">
      <c r="A18" s="63"/>
      <c r="B18" s="63"/>
      <c r="C18" s="744"/>
      <c r="D18" s="72" t="s">
        <v>372</v>
      </c>
      <c r="E18" s="72" t="s">
        <v>373</v>
      </c>
      <c r="F18" s="85">
        <v>1.097</v>
      </c>
      <c r="G18" s="47" t="s">
        <v>431</v>
      </c>
      <c r="H18" s="85">
        <v>5.0000000000000001E-3</v>
      </c>
      <c r="I18" s="591">
        <v>0.14622000000000002</v>
      </c>
      <c r="J18" s="86"/>
      <c r="K18" s="591">
        <v>1.1010000000000001E-2</v>
      </c>
      <c r="L18" s="9"/>
      <c r="M18" s="51"/>
      <c r="N18" s="51"/>
    </row>
    <row r="19" spans="1:14" ht="14.25" customHeight="1" x14ac:dyDescent="0.2">
      <c r="A19" s="63"/>
      <c r="B19" s="63"/>
      <c r="C19" s="744"/>
      <c r="D19" s="72" t="s">
        <v>374</v>
      </c>
      <c r="E19" s="72" t="s">
        <v>375</v>
      </c>
      <c r="F19" s="85">
        <v>1.097</v>
      </c>
      <c r="G19" s="47" t="s">
        <v>431</v>
      </c>
      <c r="H19" s="85">
        <v>5.0000000000000001E-3</v>
      </c>
      <c r="I19" s="591">
        <v>0.14622000000000002</v>
      </c>
      <c r="J19" s="86"/>
      <c r="K19" s="591">
        <v>1.346E-2</v>
      </c>
      <c r="L19" s="9"/>
      <c r="M19" s="51"/>
      <c r="N19" s="51"/>
    </row>
    <row r="20" spans="1:14" ht="14.25" customHeight="1" x14ac:dyDescent="0.2">
      <c r="A20" s="63"/>
      <c r="B20" s="63"/>
      <c r="C20" s="744"/>
      <c r="D20" s="72" t="s">
        <v>376</v>
      </c>
      <c r="E20" s="72" t="s">
        <v>377</v>
      </c>
      <c r="F20" s="85">
        <v>1.097</v>
      </c>
      <c r="G20" s="47" t="s">
        <v>431</v>
      </c>
      <c r="H20" s="85">
        <v>5.0000000000000001E-3</v>
      </c>
      <c r="I20" s="591">
        <v>0.14622000000000002</v>
      </c>
      <c r="J20" s="86"/>
      <c r="K20" s="591">
        <v>1.346E-2</v>
      </c>
      <c r="L20" s="9"/>
      <c r="M20" s="51"/>
      <c r="N20" s="51"/>
    </row>
    <row r="21" spans="1:14" ht="14.25" customHeight="1" x14ac:dyDescent="0.2">
      <c r="A21" s="63"/>
      <c r="B21" s="63"/>
      <c r="C21" s="744"/>
      <c r="D21" s="72" t="s">
        <v>378</v>
      </c>
      <c r="E21" s="72" t="s">
        <v>379</v>
      </c>
      <c r="F21" s="85">
        <v>1.097</v>
      </c>
      <c r="G21" s="47" t="s">
        <v>431</v>
      </c>
      <c r="H21" s="85">
        <v>5.0000000000000001E-3</v>
      </c>
      <c r="I21" s="591">
        <v>0.14622000000000002</v>
      </c>
      <c r="J21" s="86"/>
      <c r="K21" s="591">
        <v>1.346E-2</v>
      </c>
      <c r="L21" s="9"/>
      <c r="M21" s="51"/>
      <c r="N21" s="51"/>
    </row>
    <row r="22" spans="1:14" ht="14.25" customHeight="1" x14ac:dyDescent="0.2">
      <c r="A22" s="63"/>
      <c r="B22" s="63"/>
      <c r="C22" s="744"/>
      <c r="D22" s="72" t="s">
        <v>380</v>
      </c>
      <c r="E22" s="72" t="s">
        <v>381</v>
      </c>
      <c r="F22" s="85">
        <v>1.329</v>
      </c>
      <c r="G22" s="47" t="s">
        <v>432</v>
      </c>
      <c r="H22" s="85">
        <v>0.24099999999999999</v>
      </c>
      <c r="I22" s="591">
        <v>0.17946000000000001</v>
      </c>
      <c r="J22" s="86"/>
      <c r="K22" s="591">
        <v>9.3299999999999998E-3</v>
      </c>
      <c r="L22" s="9"/>
      <c r="M22" s="51"/>
      <c r="N22" s="51"/>
    </row>
    <row r="23" spans="1:14" ht="14.25" customHeight="1" x14ac:dyDescent="0.2">
      <c r="A23" s="63"/>
      <c r="B23" s="63"/>
      <c r="C23" s="744"/>
      <c r="D23" s="72" t="s">
        <v>382</v>
      </c>
      <c r="E23" s="72" t="s">
        <v>383</v>
      </c>
      <c r="F23" s="85">
        <v>1.329</v>
      </c>
      <c r="G23" s="47" t="s">
        <v>432</v>
      </c>
      <c r="H23" s="85">
        <v>0.24099999999999999</v>
      </c>
      <c r="I23" s="591">
        <v>0.17946000000000001</v>
      </c>
      <c r="J23" s="86"/>
      <c r="K23" s="591">
        <v>9.3299999999999998E-3</v>
      </c>
      <c r="L23" s="9"/>
      <c r="M23" s="51"/>
      <c r="N23" s="51"/>
    </row>
    <row r="24" spans="1:14" ht="14.25" customHeight="1" x14ac:dyDescent="0.2">
      <c r="A24" s="63"/>
      <c r="B24" s="63"/>
      <c r="C24" s="744"/>
      <c r="D24" s="72" t="s">
        <v>384</v>
      </c>
      <c r="E24" s="72" t="s">
        <v>385</v>
      </c>
      <c r="F24" s="85">
        <v>1.329</v>
      </c>
      <c r="G24" s="47" t="s">
        <v>432</v>
      </c>
      <c r="H24" s="85">
        <v>0.24099999999999999</v>
      </c>
      <c r="I24" s="591">
        <v>0.17946000000000001</v>
      </c>
      <c r="J24" s="86"/>
      <c r="K24" s="591">
        <v>9.3299999999999998E-3</v>
      </c>
      <c r="L24" s="9"/>
      <c r="M24" s="51"/>
      <c r="N24" s="51"/>
    </row>
    <row r="25" spans="1:14" ht="14.25" customHeight="1" x14ac:dyDescent="0.2">
      <c r="A25" s="63"/>
      <c r="B25" s="63"/>
      <c r="C25" s="744"/>
      <c r="D25" s="72" t="s">
        <v>386</v>
      </c>
      <c r="E25" s="72" t="s">
        <v>387</v>
      </c>
      <c r="F25" s="85">
        <v>1.329</v>
      </c>
      <c r="G25" s="47" t="s">
        <v>432</v>
      </c>
      <c r="H25" s="85">
        <v>0.24099999999999999</v>
      </c>
      <c r="I25" s="591">
        <v>0.17946000000000001</v>
      </c>
      <c r="J25" s="86"/>
      <c r="K25" s="591">
        <v>1.1010000000000001E-2</v>
      </c>
      <c r="L25" s="9"/>
      <c r="M25" s="51"/>
      <c r="N25" s="51"/>
    </row>
    <row r="26" spans="1:14" ht="14.25" customHeight="1" x14ac:dyDescent="0.2">
      <c r="A26" s="63"/>
      <c r="B26" s="63"/>
      <c r="C26" s="744"/>
      <c r="D26" s="72" t="s">
        <v>388</v>
      </c>
      <c r="E26" s="72" t="s">
        <v>389</v>
      </c>
      <c r="F26" s="85">
        <v>1.329</v>
      </c>
      <c r="G26" s="47" t="s">
        <v>432</v>
      </c>
      <c r="H26" s="85">
        <v>0.24099999999999999</v>
      </c>
      <c r="I26" s="591">
        <v>0.17946000000000001</v>
      </c>
      <c r="J26" s="86"/>
      <c r="K26" s="591">
        <v>1.1010000000000001E-2</v>
      </c>
      <c r="L26" s="9"/>
      <c r="M26" s="51"/>
      <c r="N26" s="51"/>
    </row>
    <row r="27" spans="1:14" ht="14.25" customHeight="1" x14ac:dyDescent="0.2">
      <c r="A27" s="63"/>
      <c r="B27" s="63"/>
      <c r="C27" s="744"/>
      <c r="D27" s="72" t="s">
        <v>390</v>
      </c>
      <c r="E27" s="72" t="s">
        <v>391</v>
      </c>
      <c r="F27" s="85">
        <v>1.329</v>
      </c>
      <c r="G27" s="47" t="s">
        <v>432</v>
      </c>
      <c r="H27" s="85">
        <v>0.24099999999999999</v>
      </c>
      <c r="I27" s="591">
        <v>0.17946000000000001</v>
      </c>
      <c r="J27" s="86"/>
      <c r="K27" s="591">
        <v>1.1010000000000001E-2</v>
      </c>
      <c r="L27" s="9"/>
      <c r="M27" s="51"/>
      <c r="N27" s="51"/>
    </row>
    <row r="28" spans="1:14" ht="12.75" customHeight="1" x14ac:dyDescent="0.2">
      <c r="A28" s="63"/>
      <c r="B28" s="63"/>
      <c r="C28" s="744"/>
      <c r="D28" s="72" t="s">
        <v>392</v>
      </c>
      <c r="E28" s="72" t="s">
        <v>393</v>
      </c>
      <c r="F28" s="85">
        <v>1.329</v>
      </c>
      <c r="G28" s="47" t="s">
        <v>432</v>
      </c>
      <c r="H28" s="85">
        <v>0.24099999999999999</v>
      </c>
      <c r="I28" s="591">
        <v>0.17946000000000001</v>
      </c>
      <c r="J28" s="86"/>
      <c r="K28" s="591">
        <v>1.346E-2</v>
      </c>
      <c r="L28" s="9"/>
      <c r="M28" s="51"/>
      <c r="N28" s="51"/>
    </row>
    <row r="29" spans="1:14" x14ac:dyDescent="0.2">
      <c r="A29" s="63"/>
      <c r="B29" s="63"/>
      <c r="C29" s="744"/>
      <c r="D29" s="72" t="s">
        <v>394</v>
      </c>
      <c r="E29" s="72" t="s">
        <v>395</v>
      </c>
      <c r="F29" s="85">
        <v>1.329</v>
      </c>
      <c r="G29" s="47" t="s">
        <v>432</v>
      </c>
      <c r="H29" s="85">
        <v>0.24099999999999999</v>
      </c>
      <c r="I29" s="591">
        <v>0.17946000000000001</v>
      </c>
      <c r="J29" s="86"/>
      <c r="K29" s="591">
        <v>1.346E-2</v>
      </c>
      <c r="L29" s="9"/>
      <c r="M29" s="51"/>
      <c r="N29" s="51"/>
    </row>
    <row r="30" spans="1:14" x14ac:dyDescent="0.2">
      <c r="A30" s="63"/>
      <c r="B30" s="63"/>
      <c r="C30" s="744"/>
      <c r="D30" s="72" t="s">
        <v>396</v>
      </c>
      <c r="E30" s="72" t="s">
        <v>397</v>
      </c>
      <c r="F30" s="85">
        <v>1.329</v>
      </c>
      <c r="G30" s="47" t="s">
        <v>432</v>
      </c>
      <c r="H30" s="85">
        <v>0.24099999999999999</v>
      </c>
      <c r="I30" s="591">
        <v>0.17946000000000001</v>
      </c>
      <c r="J30" s="86"/>
      <c r="K30" s="591">
        <v>1.346E-2</v>
      </c>
      <c r="L30" s="9"/>
      <c r="M30" s="51"/>
      <c r="N30" s="51"/>
    </row>
    <row r="31" spans="1:14" x14ac:dyDescent="0.2">
      <c r="A31" s="63"/>
      <c r="B31" s="63"/>
      <c r="C31" s="744"/>
      <c r="D31" s="72" t="s">
        <v>398</v>
      </c>
      <c r="E31" s="72" t="s">
        <v>399</v>
      </c>
      <c r="F31" s="85">
        <v>1.0760000000000001</v>
      </c>
      <c r="G31" s="47" t="s">
        <v>433</v>
      </c>
      <c r="H31" s="85">
        <v>0.193</v>
      </c>
      <c r="I31" s="591">
        <v>1.329E-2</v>
      </c>
      <c r="J31" s="86"/>
      <c r="K31" s="591">
        <v>7.3999999999999999E-4</v>
      </c>
      <c r="L31" s="9"/>
      <c r="M31" s="51"/>
      <c r="N31" s="51"/>
    </row>
    <row r="32" spans="1:14" x14ac:dyDescent="0.2">
      <c r="A32" s="63"/>
      <c r="B32" s="63"/>
      <c r="C32" s="744"/>
      <c r="D32" s="72" t="s">
        <v>400</v>
      </c>
      <c r="E32" s="72" t="s">
        <v>401</v>
      </c>
      <c r="F32" s="85">
        <v>1.0760000000000001</v>
      </c>
      <c r="G32" s="47" t="s">
        <v>433</v>
      </c>
      <c r="H32" s="85">
        <v>0.193</v>
      </c>
      <c r="I32" s="591">
        <v>1.329E-2</v>
      </c>
      <c r="J32" s="86"/>
      <c r="K32" s="591">
        <v>7.3999999999999999E-4</v>
      </c>
      <c r="L32" s="9"/>
      <c r="M32" s="51"/>
      <c r="N32" s="51"/>
    </row>
    <row r="33" spans="1:14" x14ac:dyDescent="0.2">
      <c r="A33" s="63"/>
      <c r="B33" s="63"/>
      <c r="C33" s="745"/>
      <c r="D33" s="72" t="s">
        <v>402</v>
      </c>
      <c r="E33" s="66" t="s">
        <v>403</v>
      </c>
      <c r="F33" s="87">
        <v>1.0760000000000001</v>
      </c>
      <c r="G33" s="48" t="s">
        <v>433</v>
      </c>
      <c r="H33" s="87">
        <v>0.193</v>
      </c>
      <c r="I33" s="592">
        <v>1.329E-2</v>
      </c>
      <c r="J33" s="88"/>
      <c r="K33" s="592">
        <v>7.3999999999999999E-4</v>
      </c>
      <c r="L33" s="9"/>
      <c r="M33" s="51"/>
      <c r="N33" s="51"/>
    </row>
    <row r="34" spans="1:14" x14ac:dyDescent="0.2">
      <c r="A34" s="63"/>
      <c r="B34" s="63"/>
      <c r="C34" s="89"/>
      <c r="D34" s="89"/>
      <c r="E34" s="89"/>
      <c r="F34" s="89"/>
      <c r="G34" s="89"/>
      <c r="H34" s="89"/>
      <c r="I34" s="89"/>
      <c r="J34" s="89"/>
      <c r="K34" s="89"/>
      <c r="L34" s="9"/>
      <c r="M34" s="51"/>
      <c r="N34" s="51"/>
    </row>
    <row r="35" spans="1:14" s="657" customFormat="1" x14ac:dyDescent="0.2">
      <c r="A35" s="566"/>
      <c r="B35" s="566"/>
      <c r="C35" s="8" t="s">
        <v>96</v>
      </c>
      <c r="D35" s="585"/>
      <c r="E35" s="6"/>
      <c r="F35" s="6"/>
      <c r="G35" s="6"/>
      <c r="H35" s="6"/>
      <c r="I35" s="6"/>
      <c r="J35" s="6"/>
      <c r="K35" s="6"/>
      <c r="L35" s="42"/>
      <c r="M35" s="57"/>
      <c r="N35" s="57"/>
    </row>
    <row r="36" spans="1:14" s="657" customFormat="1" x14ac:dyDescent="0.2">
      <c r="A36" s="566"/>
      <c r="B36" s="566"/>
      <c r="C36" s="30" t="s">
        <v>97</v>
      </c>
      <c r="D36" s="571"/>
      <c r="E36" s="6"/>
      <c r="F36" s="6"/>
      <c r="G36" s="6"/>
      <c r="H36" s="6"/>
      <c r="I36" s="6"/>
      <c r="J36" s="6"/>
      <c r="K36" s="6"/>
      <c r="L36" s="42"/>
      <c r="M36" s="57"/>
      <c r="N36" s="57"/>
    </row>
    <row r="37" spans="1:14" s="657" customFormat="1" x14ac:dyDescent="0.2">
      <c r="A37" s="566"/>
      <c r="B37" s="566"/>
      <c r="C37" s="70"/>
      <c r="D37" s="70"/>
      <c r="E37" s="70"/>
      <c r="F37" s="70"/>
      <c r="G37" s="70"/>
      <c r="H37" s="70"/>
      <c r="I37" s="70"/>
      <c r="J37" s="70"/>
      <c r="K37" s="70"/>
      <c r="L37" s="42"/>
      <c r="M37" s="57"/>
      <c r="N37" s="57"/>
    </row>
    <row r="38" spans="1:14" x14ac:dyDescent="0.2">
      <c r="A38" s="63"/>
      <c r="B38" s="63"/>
      <c r="C38" s="9"/>
      <c r="D38" s="9"/>
      <c r="E38" s="9"/>
      <c r="F38" s="9"/>
      <c r="G38" s="9"/>
      <c r="H38" s="9"/>
      <c r="I38" s="9"/>
      <c r="J38" s="9"/>
      <c r="K38" s="9"/>
      <c r="L38" s="9"/>
      <c r="M38" s="51"/>
      <c r="N38" s="51"/>
    </row>
    <row r="39" spans="1:14" x14ac:dyDescent="0.2">
      <c r="A39" s="63"/>
      <c r="B39" s="63"/>
      <c r="C39" s="9"/>
      <c r="D39" s="9"/>
      <c r="E39" s="9"/>
      <c r="F39" s="9"/>
      <c r="G39" s="9"/>
      <c r="H39" s="9"/>
      <c r="I39" s="9"/>
      <c r="J39" s="9"/>
      <c r="K39" s="9"/>
      <c r="L39" s="9"/>
      <c r="M39" s="51"/>
      <c r="N39" s="51"/>
    </row>
    <row r="40" spans="1:14" x14ac:dyDescent="0.2">
      <c r="A40" s="63"/>
      <c r="B40" s="63"/>
      <c r="C40" s="9"/>
      <c r="D40" s="9"/>
      <c r="E40" s="9"/>
      <c r="F40" s="9"/>
      <c r="G40" s="9"/>
      <c r="H40" s="9"/>
      <c r="I40" s="9"/>
      <c r="J40" s="9"/>
      <c r="K40" s="9"/>
      <c r="L40" s="9"/>
      <c r="M40" s="51"/>
      <c r="N40" s="51"/>
    </row>
    <row r="41" spans="1:14" s="107" customFormat="1" x14ac:dyDescent="0.2">
      <c r="A41" s="71"/>
      <c r="B41" s="71"/>
      <c r="C41" s="9"/>
      <c r="D41" s="9"/>
      <c r="E41" s="9"/>
      <c r="F41" s="9"/>
      <c r="G41" s="9"/>
      <c r="H41" s="9"/>
      <c r="I41" s="9"/>
      <c r="J41" s="9"/>
      <c r="K41" s="9"/>
      <c r="L41" s="9"/>
      <c r="M41" s="71"/>
      <c r="N41" s="71"/>
    </row>
    <row r="42" spans="1:14" s="107" customFormat="1" x14ac:dyDescent="0.2">
      <c r="A42" s="71"/>
      <c r="B42" s="71"/>
      <c r="C42" s="9"/>
      <c r="D42" s="9"/>
      <c r="E42" s="9"/>
      <c r="F42" s="9"/>
      <c r="G42" s="9"/>
      <c r="H42" s="9"/>
      <c r="I42" s="9"/>
      <c r="J42" s="9"/>
      <c r="K42" s="9"/>
      <c r="L42" s="9"/>
      <c r="M42" s="71"/>
      <c r="N42" s="71"/>
    </row>
    <row r="43" spans="1:14" s="107" customFormat="1" x14ac:dyDescent="0.2">
      <c r="A43" s="71"/>
      <c r="B43" s="71"/>
      <c r="C43" s="9"/>
      <c r="D43" s="9"/>
      <c r="E43" s="9"/>
      <c r="F43" s="9"/>
      <c r="G43" s="9"/>
      <c r="H43" s="9"/>
      <c r="I43" s="9"/>
      <c r="J43" s="9"/>
      <c r="K43" s="9"/>
      <c r="L43" s="9"/>
      <c r="M43" s="71"/>
      <c r="N43" s="71"/>
    </row>
    <row r="44" spans="1:14" s="107" customFormat="1" x14ac:dyDescent="0.2">
      <c r="A44" s="71"/>
      <c r="B44" s="71"/>
      <c r="C44" s="9"/>
      <c r="D44" s="9"/>
      <c r="E44" s="9"/>
      <c r="F44" s="9"/>
      <c r="G44" s="9"/>
      <c r="H44" s="9"/>
      <c r="I44" s="9"/>
      <c r="J44" s="9"/>
      <c r="K44" s="9"/>
      <c r="L44" s="9"/>
      <c r="M44" s="71"/>
      <c r="N44" s="71"/>
    </row>
    <row r="45" spans="1:14" s="107" customFormat="1" x14ac:dyDescent="0.2">
      <c r="A45" s="71"/>
      <c r="B45" s="71"/>
      <c r="C45" s="9"/>
      <c r="D45" s="9"/>
      <c r="E45" s="9"/>
      <c r="F45" s="9"/>
      <c r="G45" s="9"/>
      <c r="H45" s="9"/>
      <c r="I45" s="9"/>
      <c r="J45" s="9"/>
      <c r="K45" s="9"/>
      <c r="L45" s="9"/>
      <c r="M45" s="71"/>
      <c r="N45" s="71"/>
    </row>
    <row r="46" spans="1:14" s="107" customFormat="1" x14ac:dyDescent="0.2">
      <c r="C46" s="102"/>
      <c r="D46" s="102"/>
      <c r="E46" s="102"/>
      <c r="F46" s="102"/>
      <c r="G46" s="102"/>
      <c r="H46" s="102"/>
      <c r="I46" s="102"/>
      <c r="J46" s="102"/>
      <c r="K46" s="102"/>
      <c r="L46" s="102"/>
    </row>
    <row r="47" spans="1:14" s="107" customFormat="1" x14ac:dyDescent="0.2">
      <c r="C47" s="102"/>
      <c r="D47" s="102"/>
      <c r="E47" s="102"/>
      <c r="F47" s="102"/>
      <c r="G47" s="102"/>
      <c r="H47" s="102"/>
      <c r="I47" s="102"/>
      <c r="J47" s="102"/>
      <c r="K47" s="102"/>
      <c r="L47" s="102"/>
    </row>
    <row r="48" spans="1:14" s="107" customFormat="1" x14ac:dyDescent="0.2">
      <c r="C48" s="102"/>
      <c r="D48" s="102"/>
      <c r="E48" s="102"/>
      <c r="F48" s="102"/>
      <c r="G48" s="102"/>
      <c r="H48" s="102"/>
      <c r="I48" s="102"/>
      <c r="J48" s="102"/>
      <c r="K48" s="102"/>
      <c r="L48" s="102"/>
    </row>
    <row r="49" spans="3:12" s="107" customFormat="1" x14ac:dyDescent="0.2">
      <c r="C49" s="102"/>
      <c r="D49" s="102"/>
      <c r="E49" s="102"/>
      <c r="F49" s="102"/>
      <c r="G49" s="102"/>
      <c r="H49" s="102"/>
      <c r="I49" s="102"/>
      <c r="J49" s="102"/>
      <c r="K49" s="102"/>
      <c r="L49" s="102"/>
    </row>
    <row r="50" spans="3:12" x14ac:dyDescent="0.2">
      <c r="C50" s="102"/>
      <c r="D50" s="102"/>
      <c r="E50" s="102"/>
      <c r="F50" s="102"/>
      <c r="G50" s="102"/>
      <c r="H50" s="102"/>
      <c r="I50" s="102"/>
      <c r="J50" s="102"/>
      <c r="K50" s="102"/>
      <c r="L50" s="102"/>
    </row>
    <row r="51" spans="3:12" s="106" customFormat="1" x14ac:dyDescent="0.2">
      <c r="C51" s="102"/>
      <c r="D51" s="102"/>
      <c r="E51" s="102"/>
      <c r="F51" s="102"/>
      <c r="G51" s="102"/>
      <c r="H51" s="102"/>
      <c r="I51" s="102"/>
      <c r="J51" s="102"/>
      <c r="K51" s="102"/>
      <c r="L51" s="102"/>
    </row>
    <row r="52" spans="3:12" x14ac:dyDescent="0.2">
      <c r="C52" s="102"/>
      <c r="D52" s="102"/>
      <c r="E52" s="102"/>
      <c r="F52" s="102"/>
      <c r="G52" s="102"/>
      <c r="H52" s="102"/>
      <c r="I52" s="102"/>
      <c r="J52" s="102"/>
      <c r="K52" s="102"/>
      <c r="L52" s="102"/>
    </row>
    <row r="53" spans="3:12" x14ac:dyDescent="0.2">
      <c r="C53" s="102"/>
      <c r="D53" s="102"/>
      <c r="E53" s="102"/>
      <c r="F53" s="102"/>
      <c r="G53" s="102"/>
      <c r="H53" s="102"/>
      <c r="I53" s="102"/>
      <c r="J53" s="102"/>
      <c r="K53" s="102"/>
      <c r="L53" s="102"/>
    </row>
    <row r="54" spans="3:12" x14ac:dyDescent="0.2">
      <c r="C54" s="102"/>
      <c r="D54" s="102"/>
      <c r="E54" s="102"/>
      <c r="F54" s="102"/>
      <c r="G54" s="102"/>
      <c r="H54" s="102"/>
      <c r="I54" s="102"/>
      <c r="J54" s="102"/>
      <c r="K54" s="102"/>
      <c r="L54" s="102"/>
    </row>
    <row r="55" spans="3:12" x14ac:dyDescent="0.2">
      <c r="C55" s="102"/>
      <c r="D55" s="102"/>
      <c r="E55" s="102"/>
      <c r="F55" s="102"/>
      <c r="G55" s="102"/>
      <c r="H55" s="102"/>
      <c r="I55" s="102"/>
      <c r="J55" s="102"/>
      <c r="K55" s="102"/>
      <c r="L55" s="102"/>
    </row>
    <row r="56" spans="3:12" x14ac:dyDescent="0.2">
      <c r="C56" s="102"/>
      <c r="D56" s="102"/>
      <c r="E56" s="102"/>
      <c r="F56" s="102"/>
      <c r="G56" s="102"/>
      <c r="H56" s="102"/>
      <c r="I56" s="102"/>
      <c r="J56" s="102"/>
      <c r="K56" s="102"/>
      <c r="L56" s="102"/>
    </row>
    <row r="57" spans="3:12" x14ac:dyDescent="0.2">
      <c r="C57" s="102"/>
      <c r="D57" s="102"/>
      <c r="E57" s="102"/>
      <c r="F57" s="102"/>
      <c r="G57" s="102"/>
      <c r="H57" s="102"/>
      <c r="I57" s="102"/>
      <c r="J57" s="102"/>
      <c r="K57" s="102"/>
      <c r="L57" s="102"/>
    </row>
    <row r="58" spans="3:12" x14ac:dyDescent="0.2">
      <c r="C58" s="102"/>
      <c r="D58" s="102"/>
      <c r="E58" s="102"/>
      <c r="F58" s="102"/>
      <c r="G58" s="102"/>
      <c r="H58" s="102"/>
      <c r="I58" s="102"/>
      <c r="J58" s="102"/>
      <c r="K58" s="102"/>
      <c r="L58" s="102"/>
    </row>
    <row r="59" spans="3:12" x14ac:dyDescent="0.2">
      <c r="C59" s="102"/>
      <c r="D59" s="102"/>
      <c r="E59" s="102"/>
      <c r="F59" s="102"/>
      <c r="G59" s="102"/>
      <c r="H59" s="102"/>
      <c r="I59" s="102"/>
      <c r="J59" s="102"/>
      <c r="K59" s="102"/>
      <c r="L59" s="102"/>
    </row>
    <row r="60" spans="3:12" x14ac:dyDescent="0.2">
      <c r="C60" s="102"/>
      <c r="D60" s="102"/>
      <c r="E60" s="102"/>
      <c r="F60" s="102"/>
      <c r="G60" s="102"/>
      <c r="H60" s="102"/>
      <c r="I60" s="102"/>
      <c r="J60" s="102"/>
      <c r="K60" s="102"/>
      <c r="L60" s="102"/>
    </row>
    <row r="61" spans="3:12" x14ac:dyDescent="0.2">
      <c r="C61" s="102"/>
      <c r="D61" s="102"/>
      <c r="E61" s="102"/>
      <c r="F61" s="102"/>
      <c r="G61" s="102"/>
      <c r="H61" s="102"/>
      <c r="I61" s="102"/>
      <c r="J61" s="102"/>
      <c r="K61" s="102"/>
      <c r="L61" s="102"/>
    </row>
    <row r="62" spans="3:12" x14ac:dyDescent="0.2">
      <c r="C62" s="102"/>
      <c r="D62" s="102"/>
      <c r="E62" s="102"/>
      <c r="F62" s="102"/>
      <c r="G62" s="102"/>
      <c r="H62" s="102"/>
      <c r="I62" s="102"/>
      <c r="J62" s="102"/>
      <c r="K62" s="102"/>
      <c r="L62" s="102"/>
    </row>
    <row r="63" spans="3:12" x14ac:dyDescent="0.2">
      <c r="C63" s="102"/>
      <c r="D63" s="102"/>
      <c r="E63" s="102"/>
      <c r="F63" s="102"/>
      <c r="G63" s="102"/>
      <c r="H63" s="102"/>
      <c r="I63" s="102"/>
      <c r="J63" s="102"/>
      <c r="K63" s="102"/>
      <c r="L63" s="102"/>
    </row>
    <row r="64" spans="3:12" x14ac:dyDescent="0.2">
      <c r="C64" s="102"/>
      <c r="D64" s="102"/>
      <c r="E64" s="102"/>
      <c r="F64" s="102"/>
      <c r="G64" s="102"/>
      <c r="H64" s="102"/>
      <c r="I64" s="102"/>
      <c r="J64" s="102"/>
      <c r="K64" s="102"/>
      <c r="L64" s="102"/>
    </row>
    <row r="65" spans="3:12" x14ac:dyDescent="0.2">
      <c r="C65" s="102"/>
      <c r="D65" s="102"/>
      <c r="E65" s="102"/>
      <c r="F65" s="102"/>
      <c r="G65" s="102"/>
      <c r="H65" s="102"/>
      <c r="I65" s="102"/>
      <c r="J65" s="102"/>
      <c r="K65" s="102"/>
      <c r="L65" s="102"/>
    </row>
    <row r="66" spans="3:12" x14ac:dyDescent="0.2">
      <c r="C66" s="102"/>
      <c r="D66" s="102"/>
      <c r="E66" s="102"/>
      <c r="F66" s="102"/>
      <c r="G66" s="102"/>
      <c r="H66" s="102"/>
      <c r="I66" s="102"/>
      <c r="J66" s="102"/>
      <c r="K66" s="102"/>
      <c r="L66" s="102"/>
    </row>
    <row r="67" spans="3:12" x14ac:dyDescent="0.2">
      <c r="C67" s="102"/>
      <c r="D67" s="102"/>
      <c r="E67" s="102"/>
      <c r="F67" s="102"/>
      <c r="G67" s="102"/>
      <c r="H67" s="102"/>
      <c r="I67" s="102"/>
      <c r="J67" s="102"/>
      <c r="K67" s="102"/>
      <c r="L67" s="102"/>
    </row>
    <row r="68" spans="3:12" x14ac:dyDescent="0.2">
      <c r="C68" s="102"/>
      <c r="D68" s="102"/>
      <c r="E68" s="102"/>
      <c r="F68" s="102"/>
      <c r="G68" s="102"/>
      <c r="H68" s="102"/>
      <c r="I68" s="102"/>
      <c r="J68" s="102"/>
      <c r="K68" s="102"/>
      <c r="L68" s="102"/>
    </row>
    <row r="69" spans="3:12" x14ac:dyDescent="0.2">
      <c r="C69" s="102"/>
      <c r="D69" s="102"/>
      <c r="E69" s="102"/>
      <c r="F69" s="102"/>
      <c r="G69" s="102"/>
      <c r="H69" s="102"/>
      <c r="I69" s="102"/>
      <c r="J69" s="102"/>
      <c r="K69" s="102"/>
      <c r="L69" s="102"/>
    </row>
    <row r="70" spans="3:12" x14ac:dyDescent="0.2">
      <c r="C70" s="102"/>
      <c r="D70" s="102"/>
      <c r="E70" s="102"/>
      <c r="F70" s="102"/>
      <c r="G70" s="102"/>
      <c r="H70" s="102"/>
      <c r="I70" s="102"/>
      <c r="J70" s="102"/>
      <c r="K70" s="102"/>
      <c r="L70" s="102"/>
    </row>
    <row r="71" spans="3:12" x14ac:dyDescent="0.2">
      <c r="C71" s="102"/>
      <c r="D71" s="102"/>
      <c r="E71" s="102"/>
      <c r="F71" s="102"/>
      <c r="G71" s="102"/>
      <c r="H71" s="102"/>
      <c r="I71" s="102"/>
      <c r="J71" s="102"/>
      <c r="K71" s="102"/>
      <c r="L71" s="102"/>
    </row>
    <row r="72" spans="3:12" x14ac:dyDescent="0.2">
      <c r="C72" s="102"/>
      <c r="D72" s="102"/>
      <c r="E72" s="102"/>
      <c r="F72" s="102"/>
      <c r="G72" s="102"/>
      <c r="H72" s="102"/>
      <c r="I72" s="102"/>
      <c r="J72" s="102"/>
      <c r="K72" s="102"/>
      <c r="L72" s="102"/>
    </row>
    <row r="73" spans="3:12" x14ac:dyDescent="0.2">
      <c r="C73" s="102"/>
      <c r="D73" s="102"/>
      <c r="E73" s="102"/>
      <c r="F73" s="102"/>
      <c r="G73" s="102"/>
      <c r="H73" s="102"/>
      <c r="I73" s="102"/>
      <c r="J73" s="102"/>
      <c r="K73" s="102"/>
      <c r="L73" s="102"/>
    </row>
    <row r="74" spans="3:12" x14ac:dyDescent="0.2">
      <c r="C74" s="102"/>
      <c r="D74" s="102"/>
      <c r="E74" s="102"/>
      <c r="F74" s="102"/>
      <c r="G74" s="102"/>
      <c r="H74" s="102"/>
      <c r="I74" s="102"/>
      <c r="J74" s="102"/>
      <c r="K74" s="102"/>
      <c r="L74" s="102"/>
    </row>
    <row r="75" spans="3:12" x14ac:dyDescent="0.2">
      <c r="C75" s="102"/>
      <c r="D75" s="102"/>
      <c r="E75" s="102"/>
      <c r="F75" s="102"/>
      <c r="G75" s="102"/>
      <c r="H75" s="102"/>
      <c r="I75" s="102"/>
      <c r="J75" s="102"/>
      <c r="K75" s="102"/>
      <c r="L75" s="102"/>
    </row>
    <row r="76" spans="3:12" x14ac:dyDescent="0.2">
      <c r="C76" s="102"/>
      <c r="D76" s="102"/>
      <c r="E76" s="102"/>
      <c r="F76" s="102"/>
      <c r="G76" s="102"/>
      <c r="H76" s="102"/>
      <c r="I76" s="102"/>
      <c r="J76" s="102"/>
      <c r="K76" s="102"/>
      <c r="L76" s="102"/>
    </row>
    <row r="77" spans="3:12" x14ac:dyDescent="0.2">
      <c r="C77" s="102"/>
      <c r="D77" s="102"/>
      <c r="E77" s="102"/>
      <c r="F77" s="102"/>
      <c r="G77" s="102"/>
      <c r="H77" s="102"/>
      <c r="I77" s="102"/>
      <c r="J77" s="102"/>
      <c r="K77" s="102"/>
      <c r="L77" s="102"/>
    </row>
    <row r="78" spans="3:12" x14ac:dyDescent="0.2">
      <c r="C78" s="102"/>
      <c r="D78" s="102"/>
      <c r="E78" s="102"/>
      <c r="F78" s="102"/>
      <c r="G78" s="102"/>
      <c r="H78" s="102"/>
      <c r="I78" s="102"/>
      <c r="J78" s="102"/>
      <c r="K78" s="102"/>
      <c r="L78" s="102"/>
    </row>
    <row r="79" spans="3:12" ht="30" customHeight="1" x14ac:dyDescent="0.2">
      <c r="C79" s="102"/>
      <c r="D79" s="102"/>
      <c r="E79" s="102"/>
      <c r="F79" s="102"/>
      <c r="G79" s="102"/>
      <c r="H79" s="102"/>
      <c r="I79" s="102"/>
      <c r="J79" s="102"/>
      <c r="K79" s="102"/>
      <c r="L79" s="102"/>
    </row>
    <row r="80" spans="3:12" ht="30" customHeight="1" x14ac:dyDescent="0.2">
      <c r="C80" s="102"/>
      <c r="D80" s="102"/>
      <c r="E80" s="102"/>
      <c r="F80" s="102"/>
      <c r="G80" s="102"/>
      <c r="H80" s="102"/>
      <c r="I80" s="102"/>
      <c r="J80" s="102"/>
      <c r="K80" s="102"/>
      <c r="L80" s="102"/>
    </row>
    <row r="81" spans="3:12" ht="30" customHeight="1" x14ac:dyDescent="0.2">
      <c r="C81" s="102"/>
      <c r="D81" s="102"/>
      <c r="E81" s="102"/>
      <c r="F81" s="102"/>
      <c r="G81" s="102"/>
      <c r="H81" s="102"/>
      <c r="I81" s="102"/>
      <c r="J81" s="102"/>
      <c r="K81" s="102"/>
      <c r="L81" s="102"/>
    </row>
    <row r="82" spans="3:12" ht="30" customHeight="1" x14ac:dyDescent="0.2">
      <c r="C82" s="102"/>
      <c r="D82" s="102"/>
      <c r="E82" s="102"/>
      <c r="F82" s="102"/>
      <c r="G82" s="102"/>
      <c r="H82" s="102"/>
      <c r="I82" s="102"/>
      <c r="J82" s="102"/>
      <c r="K82" s="102"/>
      <c r="L82" s="102"/>
    </row>
    <row r="83" spans="3:12" x14ac:dyDescent="0.2">
      <c r="C83" s="102"/>
      <c r="D83" s="102"/>
      <c r="E83" s="102"/>
      <c r="F83" s="102"/>
      <c r="G83" s="102"/>
      <c r="H83" s="102"/>
      <c r="I83" s="102"/>
      <c r="J83" s="102"/>
      <c r="K83" s="102"/>
      <c r="L83" s="102"/>
    </row>
    <row r="84" spans="3:12" x14ac:dyDescent="0.2">
      <c r="C84" s="102"/>
      <c r="D84" s="102"/>
      <c r="E84" s="102"/>
      <c r="F84" s="102"/>
      <c r="G84" s="102"/>
      <c r="H84" s="102"/>
      <c r="I84" s="102"/>
      <c r="J84" s="102"/>
      <c r="K84" s="102"/>
      <c r="L84" s="102"/>
    </row>
    <row r="85" spans="3:12" x14ac:dyDescent="0.2">
      <c r="C85" s="102"/>
      <c r="D85" s="102"/>
      <c r="E85" s="102"/>
      <c r="F85" s="102"/>
      <c r="G85" s="102"/>
      <c r="H85" s="102"/>
      <c r="I85" s="102"/>
      <c r="J85" s="102"/>
      <c r="K85" s="102"/>
      <c r="L85" s="102"/>
    </row>
    <row r="86" spans="3:12" x14ac:dyDescent="0.2">
      <c r="C86" s="102"/>
      <c r="D86" s="102"/>
      <c r="E86" s="102"/>
      <c r="F86" s="102"/>
      <c r="G86" s="102"/>
      <c r="H86" s="102"/>
      <c r="I86" s="102"/>
      <c r="J86" s="102"/>
      <c r="K86" s="102"/>
      <c r="L86" s="102"/>
    </row>
    <row r="87" spans="3:12" x14ac:dyDescent="0.2">
      <c r="C87" s="102"/>
      <c r="D87" s="102"/>
      <c r="E87" s="102"/>
      <c r="F87" s="102"/>
      <c r="G87" s="102"/>
      <c r="H87" s="102"/>
      <c r="I87" s="102"/>
      <c r="J87" s="102"/>
      <c r="K87" s="102"/>
      <c r="L87" s="102"/>
    </row>
    <row r="88" spans="3:12" x14ac:dyDescent="0.2">
      <c r="C88" s="102"/>
      <c r="D88" s="102"/>
      <c r="E88" s="102"/>
      <c r="F88" s="102"/>
      <c r="G88" s="102"/>
      <c r="H88" s="102"/>
      <c r="I88" s="102"/>
      <c r="J88" s="102"/>
      <c r="K88" s="102"/>
      <c r="L88" s="102"/>
    </row>
    <row r="89" spans="3:12" x14ac:dyDescent="0.2">
      <c r="C89" s="102"/>
      <c r="D89" s="102"/>
      <c r="E89" s="102"/>
      <c r="F89" s="102"/>
      <c r="G89" s="102"/>
      <c r="H89" s="102"/>
      <c r="I89" s="102"/>
      <c r="J89" s="102"/>
      <c r="K89" s="102"/>
      <c r="L89" s="102"/>
    </row>
    <row r="90" spans="3:12" x14ac:dyDescent="0.2">
      <c r="C90" s="102"/>
      <c r="D90" s="102"/>
      <c r="E90" s="102"/>
      <c r="F90" s="102"/>
      <c r="G90" s="102"/>
      <c r="H90" s="102"/>
      <c r="I90" s="102"/>
      <c r="J90" s="102"/>
      <c r="K90" s="102"/>
      <c r="L90" s="102"/>
    </row>
    <row r="91" spans="3:12" x14ac:dyDescent="0.2">
      <c r="C91" s="102"/>
      <c r="D91" s="102"/>
      <c r="E91" s="102"/>
      <c r="F91" s="102"/>
      <c r="G91" s="102"/>
      <c r="H91" s="102"/>
      <c r="I91" s="102"/>
      <c r="J91" s="102"/>
      <c r="K91" s="102"/>
      <c r="L91" s="102"/>
    </row>
    <row r="92" spans="3:12" x14ac:dyDescent="0.2">
      <c r="C92" s="102"/>
      <c r="D92" s="102"/>
      <c r="E92" s="102"/>
      <c r="F92" s="102"/>
      <c r="G92" s="102"/>
      <c r="H92" s="102"/>
      <c r="I92" s="102"/>
      <c r="J92" s="102"/>
      <c r="K92" s="102"/>
      <c r="L92" s="102"/>
    </row>
    <row r="93" spans="3:12" x14ac:dyDescent="0.2">
      <c r="C93" s="102"/>
      <c r="D93" s="102"/>
      <c r="E93" s="102"/>
      <c r="F93" s="102"/>
      <c r="G93" s="102"/>
      <c r="H93" s="102"/>
      <c r="I93" s="102"/>
      <c r="J93" s="102"/>
      <c r="K93" s="102"/>
      <c r="L93" s="102"/>
    </row>
    <row r="94" spans="3:12" x14ac:dyDescent="0.2">
      <c r="C94" s="102"/>
      <c r="D94" s="102"/>
      <c r="E94" s="102"/>
      <c r="F94" s="102"/>
      <c r="G94" s="102"/>
      <c r="H94" s="102"/>
      <c r="I94" s="102"/>
      <c r="J94" s="102"/>
      <c r="K94" s="102"/>
      <c r="L94" s="102"/>
    </row>
    <row r="95" spans="3:12" x14ac:dyDescent="0.2">
      <c r="C95" s="102"/>
      <c r="D95" s="102"/>
      <c r="E95" s="102"/>
      <c r="F95" s="102"/>
      <c r="G95" s="102"/>
      <c r="H95" s="102"/>
      <c r="I95" s="102"/>
      <c r="J95" s="102"/>
      <c r="K95" s="102"/>
      <c r="L95" s="102"/>
    </row>
    <row r="96" spans="3:12" x14ac:dyDescent="0.2">
      <c r="C96" s="102"/>
      <c r="D96" s="102"/>
      <c r="E96" s="102"/>
      <c r="F96" s="102"/>
      <c r="G96" s="102"/>
      <c r="H96" s="102"/>
      <c r="I96" s="102"/>
      <c r="J96" s="102"/>
      <c r="K96" s="102"/>
      <c r="L96" s="102"/>
    </row>
    <row r="97" spans="3:12" x14ac:dyDescent="0.2">
      <c r="C97" s="102"/>
      <c r="D97" s="102"/>
      <c r="E97" s="102"/>
      <c r="F97" s="102"/>
      <c r="G97" s="102"/>
      <c r="H97" s="102"/>
      <c r="I97" s="102"/>
      <c r="J97" s="102"/>
      <c r="K97" s="102"/>
      <c r="L97" s="102"/>
    </row>
    <row r="98" spans="3:12" x14ac:dyDescent="0.2">
      <c r="C98" s="102"/>
      <c r="D98" s="102"/>
      <c r="E98" s="102"/>
      <c r="F98" s="102"/>
      <c r="G98" s="102"/>
      <c r="H98" s="102"/>
      <c r="I98" s="102"/>
      <c r="J98" s="102"/>
      <c r="K98" s="102"/>
      <c r="L98" s="102"/>
    </row>
    <row r="99" spans="3:12" x14ac:dyDescent="0.2">
      <c r="C99" s="102"/>
      <c r="D99" s="102"/>
      <c r="E99" s="102"/>
      <c r="F99" s="102"/>
      <c r="G99" s="102"/>
      <c r="H99" s="102"/>
      <c r="I99" s="102"/>
      <c r="J99" s="102"/>
      <c r="K99" s="102"/>
      <c r="L99" s="102"/>
    </row>
    <row r="100" spans="3:12" x14ac:dyDescent="0.2">
      <c r="C100" s="102"/>
      <c r="D100" s="102"/>
      <c r="E100" s="102"/>
      <c r="F100" s="102"/>
      <c r="G100" s="102"/>
      <c r="H100" s="102"/>
      <c r="I100" s="102"/>
      <c r="J100" s="102"/>
      <c r="K100" s="102"/>
      <c r="L100" s="102"/>
    </row>
    <row r="101" spans="3:12" x14ac:dyDescent="0.2">
      <c r="C101" s="102"/>
      <c r="D101" s="102"/>
      <c r="E101" s="102"/>
      <c r="F101" s="102"/>
      <c r="G101" s="102"/>
      <c r="H101" s="102"/>
      <c r="I101" s="102"/>
      <c r="J101" s="102"/>
      <c r="K101" s="102"/>
      <c r="L101" s="102"/>
    </row>
    <row r="102" spans="3:12" x14ac:dyDescent="0.2">
      <c r="C102" s="102"/>
      <c r="D102" s="102"/>
      <c r="E102" s="102"/>
      <c r="F102" s="102"/>
      <c r="G102" s="102"/>
      <c r="H102" s="102"/>
      <c r="I102" s="102"/>
      <c r="J102" s="102"/>
      <c r="K102" s="102"/>
      <c r="L102" s="102"/>
    </row>
    <row r="103" spans="3:12" x14ac:dyDescent="0.2">
      <c r="C103" s="102"/>
      <c r="D103" s="102"/>
      <c r="E103" s="102"/>
      <c r="F103" s="102"/>
      <c r="G103" s="102"/>
      <c r="H103" s="102"/>
      <c r="I103" s="102"/>
      <c r="J103" s="102"/>
      <c r="K103" s="102"/>
      <c r="L103" s="102"/>
    </row>
    <row r="104" spans="3:12" x14ac:dyDescent="0.2">
      <c r="C104" s="102"/>
      <c r="D104" s="102"/>
      <c r="E104" s="102"/>
      <c r="F104" s="102"/>
      <c r="G104" s="102"/>
      <c r="H104" s="102"/>
      <c r="I104" s="102"/>
      <c r="J104" s="102"/>
      <c r="K104" s="102"/>
      <c r="L104" s="102"/>
    </row>
    <row r="105" spans="3:12" x14ac:dyDescent="0.2">
      <c r="C105" s="102"/>
      <c r="D105" s="102"/>
      <c r="E105" s="102"/>
      <c r="F105" s="102"/>
      <c r="G105" s="102"/>
      <c r="H105" s="102"/>
      <c r="I105" s="102"/>
      <c r="J105" s="102"/>
      <c r="K105" s="102"/>
      <c r="L105" s="102"/>
    </row>
    <row r="106" spans="3:12" x14ac:dyDescent="0.2">
      <c r="C106" s="102"/>
      <c r="D106" s="102"/>
      <c r="E106" s="102"/>
      <c r="F106" s="102"/>
      <c r="G106" s="102"/>
      <c r="H106" s="102"/>
      <c r="I106" s="102"/>
      <c r="J106" s="102"/>
      <c r="K106" s="102"/>
      <c r="L106" s="102"/>
    </row>
    <row r="107" spans="3:12" x14ac:dyDescent="0.2">
      <c r="C107" s="102"/>
      <c r="D107" s="102"/>
      <c r="E107" s="102"/>
      <c r="F107" s="102"/>
      <c r="G107" s="102"/>
      <c r="H107" s="102"/>
      <c r="I107" s="102"/>
      <c r="J107" s="102"/>
      <c r="K107" s="102"/>
      <c r="L107" s="102"/>
    </row>
    <row r="108" spans="3:12" x14ac:dyDescent="0.2">
      <c r="C108" s="102"/>
      <c r="D108" s="102"/>
      <c r="E108" s="102"/>
      <c r="F108" s="102"/>
      <c r="G108" s="102"/>
      <c r="H108" s="102"/>
      <c r="I108" s="102"/>
      <c r="J108" s="102"/>
      <c r="K108" s="102"/>
      <c r="L108" s="102"/>
    </row>
    <row r="109" spans="3:12" x14ac:dyDescent="0.2">
      <c r="C109" s="102"/>
      <c r="D109" s="102"/>
      <c r="E109" s="102"/>
      <c r="F109" s="102"/>
      <c r="G109" s="102"/>
      <c r="H109" s="102"/>
      <c r="I109" s="102"/>
      <c r="J109" s="102"/>
      <c r="K109" s="102"/>
      <c r="L109" s="102"/>
    </row>
    <row r="110" spans="3:12" x14ac:dyDescent="0.2">
      <c r="C110" s="102"/>
      <c r="D110" s="102"/>
      <c r="E110" s="102"/>
      <c r="F110" s="102"/>
      <c r="G110" s="102"/>
      <c r="H110" s="102"/>
      <c r="I110" s="102"/>
      <c r="J110" s="102"/>
      <c r="K110" s="102"/>
      <c r="L110" s="102"/>
    </row>
    <row r="111" spans="3:12" x14ac:dyDescent="0.2">
      <c r="C111" s="102"/>
      <c r="D111" s="102"/>
      <c r="E111" s="102"/>
      <c r="F111" s="102"/>
      <c r="G111" s="102"/>
      <c r="H111" s="102"/>
      <c r="I111" s="102"/>
      <c r="J111" s="102"/>
      <c r="K111" s="102"/>
      <c r="L111" s="102"/>
    </row>
    <row r="112" spans="3:12" x14ac:dyDescent="0.2">
      <c r="C112" s="102"/>
      <c r="D112" s="102"/>
      <c r="E112" s="102"/>
      <c r="F112" s="102"/>
      <c r="G112" s="102"/>
      <c r="H112" s="102"/>
      <c r="I112" s="102"/>
      <c r="J112" s="102"/>
      <c r="K112" s="102"/>
      <c r="L112" s="102"/>
    </row>
    <row r="113" spans="3:12" x14ac:dyDescent="0.2">
      <c r="C113" s="102"/>
      <c r="D113" s="102"/>
      <c r="E113" s="102"/>
      <c r="F113" s="102"/>
      <c r="G113" s="102"/>
      <c r="H113" s="102"/>
      <c r="I113" s="102"/>
      <c r="J113" s="102"/>
      <c r="K113" s="102"/>
      <c r="L113" s="102"/>
    </row>
    <row r="114" spans="3:12" x14ac:dyDescent="0.2">
      <c r="C114" s="102"/>
      <c r="D114" s="102"/>
      <c r="E114" s="102"/>
      <c r="F114" s="102"/>
      <c r="G114" s="102"/>
      <c r="H114" s="102"/>
      <c r="I114" s="102"/>
      <c r="J114" s="102"/>
      <c r="K114" s="102"/>
      <c r="L114" s="102"/>
    </row>
    <row r="115" spans="3:12" x14ac:dyDescent="0.2">
      <c r="C115" s="102"/>
      <c r="D115" s="102"/>
      <c r="E115" s="102"/>
      <c r="F115" s="102"/>
      <c r="G115" s="102"/>
      <c r="H115" s="102"/>
      <c r="I115" s="102"/>
      <c r="J115" s="102"/>
      <c r="K115" s="102"/>
      <c r="L115" s="102"/>
    </row>
    <row r="116" spans="3:12" x14ac:dyDescent="0.2">
      <c r="C116" s="102"/>
      <c r="D116" s="102"/>
      <c r="E116" s="102"/>
      <c r="F116" s="102"/>
      <c r="G116" s="102"/>
      <c r="H116" s="102"/>
      <c r="I116" s="102"/>
      <c r="J116" s="102"/>
      <c r="K116" s="102"/>
      <c r="L116" s="102"/>
    </row>
    <row r="117" spans="3:12" x14ac:dyDescent="0.2">
      <c r="C117" s="102"/>
      <c r="D117" s="102"/>
      <c r="E117" s="102"/>
      <c r="F117" s="102"/>
      <c r="G117" s="102"/>
      <c r="H117" s="102"/>
      <c r="I117" s="102"/>
      <c r="J117" s="102"/>
      <c r="K117" s="102"/>
      <c r="L117" s="102"/>
    </row>
    <row r="118" spans="3:12" x14ac:dyDescent="0.2">
      <c r="C118" s="102"/>
      <c r="D118" s="102"/>
      <c r="E118" s="102"/>
      <c r="F118" s="102"/>
      <c r="G118" s="102"/>
      <c r="H118" s="102"/>
      <c r="I118" s="102"/>
      <c r="J118" s="102"/>
      <c r="K118" s="102"/>
      <c r="L118" s="102"/>
    </row>
    <row r="119" spans="3:12" x14ac:dyDescent="0.2">
      <c r="C119" s="102"/>
      <c r="D119" s="102"/>
      <c r="E119" s="102"/>
      <c r="F119" s="102"/>
      <c r="G119" s="102"/>
      <c r="H119" s="102"/>
      <c r="I119" s="102"/>
      <c r="J119" s="102"/>
      <c r="K119" s="102"/>
      <c r="L119" s="102"/>
    </row>
    <row r="120" spans="3:12" x14ac:dyDescent="0.2">
      <c r="C120" s="102"/>
      <c r="D120" s="102"/>
      <c r="E120" s="102"/>
      <c r="F120" s="102"/>
      <c r="G120" s="102"/>
      <c r="H120" s="102"/>
      <c r="I120" s="102"/>
      <c r="J120" s="102"/>
      <c r="K120" s="102"/>
      <c r="L120" s="102"/>
    </row>
    <row r="121" spans="3:12" x14ac:dyDescent="0.2">
      <c r="C121" s="102"/>
      <c r="D121" s="102"/>
      <c r="E121" s="102"/>
      <c r="F121" s="102"/>
      <c r="G121" s="102"/>
      <c r="H121" s="102"/>
      <c r="I121" s="102"/>
      <c r="J121" s="102"/>
      <c r="K121" s="102"/>
      <c r="L121" s="102"/>
    </row>
    <row r="122" spans="3:12" x14ac:dyDescent="0.2">
      <c r="C122" s="102"/>
      <c r="D122" s="102"/>
      <c r="E122" s="102"/>
      <c r="F122" s="102"/>
      <c r="G122" s="102"/>
      <c r="H122" s="102"/>
      <c r="I122" s="102"/>
      <c r="J122" s="102"/>
      <c r="K122" s="102"/>
      <c r="L122" s="102"/>
    </row>
    <row r="123" spans="3:12" x14ac:dyDescent="0.2">
      <c r="C123" s="102"/>
      <c r="D123" s="102"/>
      <c r="E123" s="102"/>
      <c r="F123" s="102"/>
      <c r="G123" s="102"/>
      <c r="H123" s="102"/>
      <c r="I123" s="102"/>
      <c r="J123" s="102"/>
      <c r="K123" s="102"/>
      <c r="L123" s="102"/>
    </row>
    <row r="124" spans="3:12" x14ac:dyDescent="0.2">
      <c r="C124" s="102"/>
      <c r="D124" s="102"/>
      <c r="E124" s="102"/>
      <c r="F124" s="102"/>
      <c r="G124" s="102"/>
      <c r="H124" s="102"/>
      <c r="I124" s="102"/>
      <c r="J124" s="102"/>
      <c r="K124" s="102"/>
      <c r="L124" s="102"/>
    </row>
    <row r="125" spans="3:12" ht="30" customHeight="1" x14ac:dyDescent="0.2">
      <c r="C125" s="102"/>
      <c r="D125" s="102"/>
      <c r="E125" s="102"/>
      <c r="F125" s="102"/>
      <c r="G125" s="102"/>
      <c r="H125" s="102"/>
      <c r="I125" s="102"/>
      <c r="J125" s="102"/>
      <c r="K125" s="102"/>
      <c r="L125" s="102"/>
    </row>
    <row r="126" spans="3:12" ht="30" customHeight="1" x14ac:dyDescent="0.2">
      <c r="C126" s="102"/>
      <c r="D126" s="102"/>
      <c r="E126" s="102"/>
      <c r="F126" s="102"/>
      <c r="G126" s="102"/>
      <c r="H126" s="102"/>
      <c r="I126" s="102"/>
      <c r="J126" s="102"/>
      <c r="K126" s="102"/>
      <c r="L126" s="102"/>
    </row>
    <row r="127" spans="3:12" ht="30" customHeight="1" x14ac:dyDescent="0.2">
      <c r="C127" s="102"/>
      <c r="D127" s="102"/>
      <c r="E127" s="102"/>
      <c r="F127" s="102"/>
      <c r="G127" s="102"/>
      <c r="H127" s="102"/>
      <c r="I127" s="102"/>
      <c r="J127" s="102"/>
      <c r="K127" s="102"/>
      <c r="L127" s="102"/>
    </row>
    <row r="128" spans="3:12" ht="30" customHeight="1" x14ac:dyDescent="0.2">
      <c r="C128" s="102"/>
      <c r="D128" s="102"/>
      <c r="E128" s="102"/>
      <c r="F128" s="102"/>
      <c r="G128" s="102"/>
      <c r="H128" s="102"/>
      <c r="I128" s="102"/>
      <c r="J128" s="102"/>
      <c r="K128" s="102"/>
      <c r="L128" s="102"/>
    </row>
    <row r="129" spans="3:12" x14ac:dyDescent="0.2">
      <c r="C129" s="102"/>
      <c r="D129" s="102"/>
      <c r="E129" s="102"/>
      <c r="F129" s="102"/>
      <c r="G129" s="102"/>
      <c r="H129" s="102"/>
      <c r="I129" s="102"/>
      <c r="J129" s="102"/>
      <c r="K129" s="102"/>
      <c r="L129" s="102"/>
    </row>
    <row r="130" spans="3:12" x14ac:dyDescent="0.2">
      <c r="C130" s="102"/>
      <c r="D130" s="102"/>
      <c r="E130" s="102"/>
      <c r="F130" s="102"/>
      <c r="G130" s="102"/>
      <c r="H130" s="102"/>
      <c r="I130" s="102"/>
      <c r="J130" s="102"/>
      <c r="K130" s="102"/>
      <c r="L130" s="102"/>
    </row>
    <row r="131" spans="3:12" x14ac:dyDescent="0.2">
      <c r="C131" s="102"/>
      <c r="D131" s="102"/>
      <c r="E131" s="102"/>
      <c r="F131" s="102"/>
      <c r="G131" s="102"/>
      <c r="H131" s="102"/>
      <c r="I131" s="102"/>
      <c r="J131" s="102"/>
      <c r="K131" s="102"/>
      <c r="L131" s="102"/>
    </row>
    <row r="132" spans="3:12" x14ac:dyDescent="0.2">
      <c r="C132" s="102"/>
      <c r="D132" s="102"/>
      <c r="E132" s="102"/>
      <c r="F132" s="102"/>
      <c r="G132" s="102"/>
      <c r="H132" s="102"/>
      <c r="I132" s="102"/>
      <c r="J132" s="102"/>
      <c r="K132" s="102"/>
      <c r="L132" s="102"/>
    </row>
    <row r="133" spans="3:12" x14ac:dyDescent="0.2">
      <c r="C133" s="102"/>
      <c r="D133" s="102"/>
      <c r="E133" s="102"/>
      <c r="F133" s="102"/>
      <c r="G133" s="102"/>
      <c r="H133" s="102"/>
      <c r="I133" s="102"/>
      <c r="J133" s="102"/>
      <c r="K133" s="102"/>
      <c r="L133" s="102"/>
    </row>
    <row r="134" spans="3:12" x14ac:dyDescent="0.2">
      <c r="C134" s="102"/>
      <c r="D134" s="102"/>
      <c r="E134" s="102"/>
      <c r="F134" s="102"/>
      <c r="G134" s="102"/>
      <c r="H134" s="102"/>
      <c r="I134" s="102"/>
      <c r="J134" s="102"/>
      <c r="K134" s="102"/>
      <c r="L134" s="102"/>
    </row>
    <row r="135" spans="3:12" x14ac:dyDescent="0.2">
      <c r="C135" s="102"/>
      <c r="D135" s="102"/>
      <c r="E135" s="102"/>
      <c r="F135" s="102"/>
      <c r="G135" s="102"/>
      <c r="H135" s="102"/>
      <c r="I135" s="102"/>
      <c r="J135" s="102"/>
      <c r="K135" s="102"/>
      <c r="L135" s="102"/>
    </row>
    <row r="136" spans="3:12" x14ac:dyDescent="0.2">
      <c r="C136" s="102"/>
      <c r="D136" s="102"/>
      <c r="E136" s="102"/>
      <c r="F136" s="102"/>
      <c r="G136" s="102"/>
      <c r="H136" s="102"/>
      <c r="I136" s="102"/>
      <c r="J136" s="102"/>
      <c r="K136" s="102"/>
      <c r="L136" s="102"/>
    </row>
    <row r="137" spans="3:12" x14ac:dyDescent="0.2">
      <c r="C137" s="102"/>
      <c r="D137" s="102"/>
      <c r="E137" s="102"/>
      <c r="F137" s="102"/>
      <c r="G137" s="102"/>
      <c r="H137" s="102"/>
      <c r="I137" s="102"/>
      <c r="J137" s="102"/>
      <c r="K137" s="102"/>
      <c r="L137" s="102"/>
    </row>
    <row r="138" spans="3:12" x14ac:dyDescent="0.2">
      <c r="C138" s="102"/>
      <c r="D138" s="102"/>
      <c r="E138" s="102"/>
      <c r="F138" s="102"/>
      <c r="G138" s="102"/>
      <c r="H138" s="102"/>
      <c r="I138" s="102"/>
      <c r="J138" s="102"/>
      <c r="K138" s="102"/>
      <c r="L138" s="102"/>
    </row>
    <row r="139" spans="3:12" x14ac:dyDescent="0.2">
      <c r="C139" s="102"/>
      <c r="D139" s="102"/>
      <c r="E139" s="102"/>
      <c r="F139" s="102"/>
      <c r="G139" s="102"/>
      <c r="H139" s="102"/>
      <c r="I139" s="102"/>
      <c r="J139" s="102"/>
      <c r="K139" s="102"/>
      <c r="L139" s="102"/>
    </row>
    <row r="140" spans="3:12" x14ac:dyDescent="0.2">
      <c r="C140" s="102"/>
      <c r="D140" s="102"/>
      <c r="E140" s="102"/>
      <c r="F140" s="102"/>
      <c r="G140" s="102"/>
      <c r="H140" s="102"/>
      <c r="I140" s="102"/>
      <c r="J140" s="102"/>
      <c r="K140" s="102"/>
      <c r="L140" s="102"/>
    </row>
    <row r="141" spans="3:12" x14ac:dyDescent="0.2">
      <c r="C141" s="102"/>
      <c r="D141" s="102"/>
      <c r="E141" s="102"/>
      <c r="F141" s="102"/>
      <c r="G141" s="102"/>
      <c r="H141" s="102"/>
      <c r="I141" s="102"/>
      <c r="J141" s="102"/>
      <c r="K141" s="102"/>
      <c r="L141" s="102"/>
    </row>
    <row r="142" spans="3:12" x14ac:dyDescent="0.2">
      <c r="C142" s="102"/>
      <c r="D142" s="102"/>
      <c r="E142" s="102"/>
      <c r="F142" s="102"/>
      <c r="G142" s="102"/>
      <c r="H142" s="102"/>
      <c r="I142" s="102"/>
      <c r="J142" s="102"/>
      <c r="K142" s="102"/>
      <c r="L142" s="102"/>
    </row>
    <row r="143" spans="3:12" x14ac:dyDescent="0.2">
      <c r="C143" s="102"/>
      <c r="D143" s="102"/>
      <c r="E143" s="102"/>
      <c r="F143" s="102"/>
      <c r="G143" s="102"/>
      <c r="H143" s="102"/>
      <c r="I143" s="102"/>
      <c r="J143" s="102"/>
      <c r="K143" s="102"/>
      <c r="L143" s="102"/>
    </row>
    <row r="144" spans="3:12" x14ac:dyDescent="0.2">
      <c r="C144" s="102"/>
      <c r="D144" s="102"/>
      <c r="E144" s="102"/>
      <c r="F144" s="102"/>
      <c r="G144" s="102"/>
      <c r="H144" s="102"/>
      <c r="I144" s="102"/>
      <c r="J144" s="102"/>
      <c r="K144" s="102"/>
      <c r="L144" s="102"/>
    </row>
    <row r="145" spans="3:12" x14ac:dyDescent="0.2">
      <c r="C145" s="102"/>
      <c r="D145" s="102"/>
      <c r="E145" s="102"/>
      <c r="F145" s="102"/>
      <c r="G145" s="102"/>
      <c r="H145" s="102"/>
      <c r="I145" s="102"/>
      <c r="J145" s="102"/>
      <c r="K145" s="102"/>
      <c r="L145" s="102"/>
    </row>
    <row r="146" spans="3:12" x14ac:dyDescent="0.2">
      <c r="C146" s="102"/>
      <c r="D146" s="102"/>
      <c r="E146" s="102"/>
      <c r="F146" s="102"/>
      <c r="G146" s="102"/>
      <c r="H146" s="102"/>
      <c r="I146" s="102"/>
      <c r="J146" s="102"/>
      <c r="K146" s="102"/>
      <c r="L146" s="102"/>
    </row>
    <row r="147" spans="3:12" x14ac:dyDescent="0.2">
      <c r="C147" s="102"/>
      <c r="D147" s="102"/>
      <c r="E147" s="102"/>
      <c r="F147" s="102"/>
      <c r="G147" s="102"/>
      <c r="H147" s="102"/>
      <c r="I147" s="102"/>
      <c r="J147" s="102"/>
      <c r="K147" s="102"/>
      <c r="L147" s="102"/>
    </row>
    <row r="148" spans="3:12" x14ac:dyDescent="0.2">
      <c r="C148" s="102"/>
      <c r="D148" s="102"/>
      <c r="E148" s="102"/>
      <c r="F148" s="102"/>
      <c r="G148" s="102"/>
      <c r="H148" s="102"/>
      <c r="I148" s="102"/>
      <c r="J148" s="102"/>
      <c r="K148" s="102"/>
      <c r="L148" s="102"/>
    </row>
    <row r="149" spans="3:12" x14ac:dyDescent="0.2">
      <c r="C149" s="102"/>
      <c r="D149" s="102"/>
      <c r="E149" s="102"/>
      <c r="F149" s="102"/>
      <c r="G149" s="102"/>
      <c r="H149" s="102"/>
      <c r="I149" s="102"/>
      <c r="J149" s="102"/>
      <c r="K149" s="102"/>
      <c r="L149" s="102"/>
    </row>
    <row r="150" spans="3:12" x14ac:dyDescent="0.2">
      <c r="C150" s="102"/>
      <c r="D150" s="102"/>
      <c r="E150" s="102"/>
      <c r="F150" s="102"/>
      <c r="G150" s="102"/>
      <c r="H150" s="102"/>
      <c r="I150" s="102"/>
      <c r="J150" s="102"/>
      <c r="K150" s="102"/>
      <c r="L150" s="102"/>
    </row>
    <row r="151" spans="3:12" x14ac:dyDescent="0.2">
      <c r="C151" s="102"/>
      <c r="D151" s="102"/>
      <c r="E151" s="102"/>
      <c r="F151" s="102"/>
      <c r="G151" s="102"/>
      <c r="H151" s="102"/>
      <c r="I151" s="102"/>
      <c r="J151" s="102"/>
      <c r="K151" s="102"/>
      <c r="L151" s="102"/>
    </row>
    <row r="152" spans="3:12" x14ac:dyDescent="0.2">
      <c r="C152" s="102"/>
      <c r="D152" s="102"/>
      <c r="E152" s="102"/>
      <c r="F152" s="102"/>
      <c r="G152" s="102"/>
      <c r="H152" s="102"/>
      <c r="I152" s="102"/>
      <c r="J152" s="102"/>
      <c r="K152" s="102"/>
      <c r="L152" s="102"/>
    </row>
    <row r="153" spans="3:12" x14ac:dyDescent="0.2">
      <c r="C153" s="102"/>
      <c r="D153" s="102"/>
      <c r="E153" s="102"/>
      <c r="F153" s="102"/>
      <c r="G153" s="102"/>
      <c r="H153" s="102"/>
      <c r="I153" s="102"/>
      <c r="J153" s="102"/>
      <c r="K153" s="102"/>
      <c r="L153" s="102"/>
    </row>
    <row r="154" spans="3:12" x14ac:dyDescent="0.2">
      <c r="C154" s="102"/>
      <c r="D154" s="102"/>
      <c r="E154" s="102"/>
      <c r="F154" s="102"/>
      <c r="G154" s="102"/>
      <c r="H154" s="102"/>
      <c r="I154" s="102"/>
      <c r="J154" s="102"/>
      <c r="K154" s="102"/>
      <c r="L154" s="102"/>
    </row>
    <row r="155" spans="3:12" x14ac:dyDescent="0.2">
      <c r="C155" s="102"/>
      <c r="D155" s="102"/>
      <c r="E155" s="102"/>
      <c r="F155" s="102"/>
      <c r="G155" s="102"/>
      <c r="H155" s="102"/>
      <c r="I155" s="102"/>
      <c r="J155" s="102"/>
      <c r="K155" s="102"/>
      <c r="L155" s="102"/>
    </row>
    <row r="156" spans="3:12" x14ac:dyDescent="0.2">
      <c r="C156" s="102"/>
      <c r="D156" s="102"/>
      <c r="E156" s="102"/>
      <c r="F156" s="102"/>
      <c r="G156" s="102"/>
      <c r="H156" s="102"/>
      <c r="I156" s="102"/>
      <c r="J156" s="102"/>
      <c r="K156" s="102"/>
      <c r="L156" s="102"/>
    </row>
    <row r="157" spans="3:12" x14ac:dyDescent="0.2">
      <c r="C157" s="102"/>
      <c r="D157" s="102"/>
      <c r="E157" s="102"/>
      <c r="F157" s="102"/>
      <c r="G157" s="102"/>
      <c r="H157" s="102"/>
      <c r="I157" s="102"/>
      <c r="J157" s="102"/>
      <c r="K157" s="102"/>
      <c r="L157" s="102"/>
    </row>
    <row r="158" spans="3:12" x14ac:dyDescent="0.2">
      <c r="C158" s="102"/>
      <c r="D158" s="102"/>
      <c r="E158" s="102"/>
      <c r="F158" s="102"/>
      <c r="G158" s="102"/>
      <c r="H158" s="102"/>
      <c r="I158" s="102"/>
      <c r="J158" s="102"/>
      <c r="K158" s="102"/>
      <c r="L158" s="102"/>
    </row>
    <row r="159" spans="3:12" x14ac:dyDescent="0.2">
      <c r="C159" s="102"/>
      <c r="D159" s="102"/>
      <c r="E159" s="102"/>
      <c r="F159" s="102"/>
      <c r="G159" s="102"/>
      <c r="H159" s="102"/>
      <c r="I159" s="102"/>
      <c r="J159" s="102"/>
      <c r="K159" s="102"/>
      <c r="L159" s="102"/>
    </row>
    <row r="160" spans="3:12" x14ac:dyDescent="0.2">
      <c r="C160" s="102"/>
      <c r="D160" s="102"/>
      <c r="E160" s="102"/>
      <c r="F160" s="102"/>
      <c r="G160" s="102"/>
      <c r="H160" s="102"/>
      <c r="I160" s="102"/>
      <c r="J160" s="102"/>
      <c r="K160" s="102"/>
      <c r="L160" s="102"/>
    </row>
    <row r="161" spans="3:12" x14ac:dyDescent="0.2">
      <c r="C161" s="102"/>
      <c r="D161" s="102"/>
      <c r="E161" s="102"/>
      <c r="F161" s="102"/>
      <c r="G161" s="102"/>
      <c r="H161" s="102"/>
      <c r="I161" s="102"/>
      <c r="J161" s="102"/>
      <c r="K161" s="102"/>
      <c r="L161" s="102"/>
    </row>
    <row r="162" spans="3:12" x14ac:dyDescent="0.2">
      <c r="C162" s="102"/>
      <c r="D162" s="102"/>
      <c r="E162" s="102"/>
      <c r="F162" s="102"/>
      <c r="G162" s="102"/>
      <c r="H162" s="102"/>
      <c r="I162" s="102"/>
      <c r="J162" s="102"/>
      <c r="K162" s="102"/>
      <c r="L162" s="102"/>
    </row>
    <row r="163" spans="3:12" x14ac:dyDescent="0.2">
      <c r="C163" s="102"/>
      <c r="D163" s="102"/>
      <c r="E163" s="102"/>
      <c r="F163" s="102"/>
      <c r="G163" s="102"/>
      <c r="H163" s="102"/>
      <c r="I163" s="102"/>
      <c r="J163" s="102"/>
      <c r="K163" s="102"/>
      <c r="L163" s="102"/>
    </row>
    <row r="164" spans="3:12" x14ac:dyDescent="0.2">
      <c r="C164" s="102"/>
      <c r="D164" s="102"/>
      <c r="E164" s="102"/>
      <c r="F164" s="102"/>
      <c r="G164" s="102"/>
      <c r="H164" s="102"/>
      <c r="I164" s="102"/>
      <c r="J164" s="102"/>
      <c r="K164" s="102"/>
      <c r="L164" s="102"/>
    </row>
    <row r="165" spans="3:12" x14ac:dyDescent="0.2">
      <c r="C165" s="102"/>
      <c r="D165" s="102"/>
      <c r="E165" s="102"/>
      <c r="F165" s="102"/>
      <c r="G165" s="102"/>
      <c r="H165" s="102"/>
      <c r="I165" s="102"/>
      <c r="J165" s="102"/>
      <c r="K165" s="102"/>
      <c r="L165" s="102"/>
    </row>
    <row r="166" spans="3:12" x14ac:dyDescent="0.2">
      <c r="C166" s="102"/>
      <c r="D166" s="102"/>
      <c r="E166" s="102"/>
      <c r="F166" s="102"/>
      <c r="G166" s="102"/>
      <c r="H166" s="102"/>
      <c r="I166" s="102"/>
      <c r="J166" s="102"/>
      <c r="K166" s="102"/>
      <c r="L166" s="102"/>
    </row>
    <row r="167" spans="3:12" x14ac:dyDescent="0.2">
      <c r="C167" s="102"/>
      <c r="D167" s="102"/>
      <c r="E167" s="102"/>
      <c r="F167" s="102"/>
      <c r="G167" s="102"/>
      <c r="H167" s="102"/>
      <c r="I167" s="102"/>
      <c r="J167" s="102"/>
      <c r="K167" s="102"/>
      <c r="L167" s="102"/>
    </row>
    <row r="168" spans="3:12" x14ac:dyDescent="0.2">
      <c r="C168" s="102"/>
      <c r="D168" s="102"/>
      <c r="E168" s="102"/>
      <c r="F168" s="102"/>
      <c r="G168" s="102"/>
      <c r="H168" s="102"/>
      <c r="I168" s="102"/>
      <c r="J168" s="102"/>
      <c r="K168" s="102"/>
      <c r="L168" s="102"/>
    </row>
    <row r="169" spans="3:12" x14ac:dyDescent="0.2">
      <c r="C169" s="102"/>
      <c r="D169" s="102"/>
      <c r="E169" s="102"/>
      <c r="F169" s="102"/>
      <c r="G169" s="102"/>
      <c r="H169" s="102"/>
      <c r="I169" s="102"/>
      <c r="J169" s="102"/>
      <c r="K169" s="102"/>
      <c r="L169" s="102"/>
    </row>
    <row r="170" spans="3:12" x14ac:dyDescent="0.2">
      <c r="C170" s="102"/>
      <c r="D170" s="102"/>
      <c r="E170" s="102"/>
      <c r="F170" s="102"/>
      <c r="G170" s="102"/>
      <c r="H170" s="102"/>
      <c r="I170" s="102"/>
      <c r="J170" s="102"/>
      <c r="K170" s="102"/>
      <c r="L170" s="102"/>
    </row>
    <row r="171" spans="3:12" x14ac:dyDescent="0.2">
      <c r="C171" s="102"/>
      <c r="D171" s="102"/>
      <c r="E171" s="102"/>
      <c r="F171" s="102"/>
      <c r="G171" s="102"/>
      <c r="H171" s="102"/>
      <c r="I171" s="102"/>
      <c r="J171" s="102"/>
      <c r="K171" s="102"/>
      <c r="L171" s="102"/>
    </row>
    <row r="172" spans="3:12" x14ac:dyDescent="0.2">
      <c r="C172" s="102"/>
      <c r="D172" s="102"/>
      <c r="E172" s="102"/>
      <c r="F172" s="102"/>
      <c r="G172" s="102"/>
      <c r="H172" s="102"/>
      <c r="I172" s="102"/>
      <c r="J172" s="102"/>
      <c r="K172" s="102"/>
      <c r="L172" s="102"/>
    </row>
    <row r="173" spans="3:12" x14ac:dyDescent="0.2">
      <c r="C173" s="102"/>
      <c r="D173" s="102"/>
      <c r="E173" s="102"/>
      <c r="F173" s="102"/>
      <c r="G173" s="102"/>
      <c r="H173" s="102"/>
      <c r="I173" s="102"/>
      <c r="J173" s="102"/>
      <c r="K173" s="102"/>
      <c r="L173" s="102"/>
    </row>
    <row r="174" spans="3:12" x14ac:dyDescent="0.2">
      <c r="C174" s="102"/>
      <c r="D174" s="102"/>
      <c r="E174" s="102"/>
      <c r="F174" s="102"/>
      <c r="G174" s="102"/>
      <c r="H174" s="102"/>
      <c r="I174" s="102"/>
      <c r="J174" s="102"/>
      <c r="K174" s="102"/>
      <c r="L174" s="102"/>
    </row>
    <row r="175" spans="3:12" x14ac:dyDescent="0.2">
      <c r="C175" s="102"/>
      <c r="D175" s="102"/>
      <c r="E175" s="102"/>
      <c r="F175" s="102"/>
      <c r="G175" s="102"/>
      <c r="H175" s="102"/>
      <c r="I175" s="102"/>
      <c r="J175" s="102"/>
      <c r="K175" s="102"/>
      <c r="L175" s="102"/>
    </row>
    <row r="176" spans="3:12" x14ac:dyDescent="0.2">
      <c r="C176" s="102"/>
      <c r="D176" s="102"/>
      <c r="E176" s="102"/>
      <c r="F176" s="102"/>
      <c r="G176" s="102"/>
      <c r="H176" s="102"/>
      <c r="I176" s="102"/>
      <c r="J176" s="102"/>
      <c r="K176" s="102"/>
      <c r="L176" s="102"/>
    </row>
    <row r="177" spans="3:12" x14ac:dyDescent="0.2">
      <c r="C177" s="102"/>
      <c r="D177" s="102"/>
      <c r="E177" s="102"/>
      <c r="F177" s="102"/>
      <c r="G177" s="102"/>
      <c r="H177" s="102"/>
      <c r="I177" s="102"/>
      <c r="J177" s="102"/>
      <c r="K177" s="102"/>
      <c r="L177" s="102"/>
    </row>
    <row r="178" spans="3:12" x14ac:dyDescent="0.2">
      <c r="C178" s="102"/>
      <c r="D178" s="102"/>
      <c r="E178" s="102"/>
      <c r="F178" s="102"/>
      <c r="G178" s="102"/>
      <c r="H178" s="102"/>
      <c r="I178" s="102"/>
      <c r="J178" s="102"/>
      <c r="K178" s="102"/>
      <c r="L178" s="102"/>
    </row>
    <row r="179" spans="3:12" x14ac:dyDescent="0.2">
      <c r="C179" s="102"/>
      <c r="D179" s="102"/>
      <c r="E179" s="102"/>
      <c r="F179" s="102"/>
      <c r="G179" s="102"/>
      <c r="H179" s="102"/>
      <c r="I179" s="102"/>
      <c r="J179" s="102"/>
      <c r="K179" s="102"/>
      <c r="L179" s="102"/>
    </row>
    <row r="180" spans="3:12" x14ac:dyDescent="0.2">
      <c r="C180" s="102"/>
      <c r="D180" s="102"/>
      <c r="E180" s="102"/>
      <c r="F180" s="102"/>
      <c r="G180" s="102"/>
      <c r="H180" s="102"/>
      <c r="I180" s="102"/>
      <c r="J180" s="102"/>
      <c r="K180" s="102"/>
      <c r="L180" s="102"/>
    </row>
    <row r="181" spans="3:12" x14ac:dyDescent="0.2">
      <c r="C181" s="102"/>
      <c r="D181" s="102"/>
      <c r="E181" s="102"/>
      <c r="F181" s="102"/>
      <c r="G181" s="102"/>
      <c r="H181" s="102"/>
      <c r="I181" s="102"/>
      <c r="J181" s="102"/>
      <c r="K181" s="102"/>
      <c r="L181" s="102"/>
    </row>
    <row r="182" spans="3:12" x14ac:dyDescent="0.2">
      <c r="C182" s="102"/>
      <c r="D182" s="102"/>
      <c r="E182" s="102"/>
      <c r="F182" s="102"/>
      <c r="G182" s="102"/>
      <c r="H182" s="102"/>
      <c r="I182" s="102"/>
      <c r="J182" s="102"/>
      <c r="K182" s="102"/>
      <c r="L182" s="102"/>
    </row>
    <row r="183" spans="3:12" x14ac:dyDescent="0.2">
      <c r="C183" s="102"/>
      <c r="D183" s="102"/>
      <c r="E183" s="102"/>
      <c r="F183" s="102"/>
      <c r="G183" s="102"/>
      <c r="H183" s="102"/>
      <c r="I183" s="102"/>
      <c r="J183" s="102"/>
      <c r="K183" s="102"/>
      <c r="L183" s="102"/>
    </row>
    <row r="184" spans="3:12" x14ac:dyDescent="0.2">
      <c r="C184" s="102"/>
      <c r="D184" s="102"/>
      <c r="E184" s="102"/>
      <c r="F184" s="102"/>
      <c r="G184" s="102"/>
      <c r="H184" s="102"/>
      <c r="I184" s="102"/>
      <c r="J184" s="102"/>
      <c r="K184" s="102"/>
      <c r="L184" s="102"/>
    </row>
    <row r="185" spans="3:12" x14ac:dyDescent="0.2">
      <c r="C185" s="102"/>
      <c r="D185" s="102"/>
      <c r="E185" s="102"/>
      <c r="F185" s="102"/>
      <c r="G185" s="102"/>
      <c r="H185" s="102"/>
      <c r="I185" s="102"/>
      <c r="J185" s="102"/>
      <c r="K185" s="102"/>
      <c r="L185" s="102"/>
    </row>
    <row r="186" spans="3:12" x14ac:dyDescent="0.2">
      <c r="C186" s="102"/>
      <c r="D186" s="102"/>
      <c r="E186" s="102"/>
      <c r="F186" s="102"/>
      <c r="G186" s="102"/>
      <c r="H186" s="102"/>
      <c r="I186" s="102"/>
      <c r="J186" s="102"/>
      <c r="K186" s="102"/>
      <c r="L186" s="102"/>
    </row>
    <row r="187" spans="3:12" x14ac:dyDescent="0.2">
      <c r="C187" s="102"/>
      <c r="D187" s="102"/>
      <c r="E187" s="102"/>
      <c r="F187" s="102"/>
      <c r="G187" s="102"/>
      <c r="H187" s="102"/>
      <c r="I187" s="102"/>
      <c r="J187" s="102"/>
      <c r="K187" s="102"/>
      <c r="L187" s="102"/>
    </row>
    <row r="188" spans="3:12" x14ac:dyDescent="0.2">
      <c r="C188" s="102"/>
      <c r="D188" s="102"/>
      <c r="E188" s="102"/>
      <c r="F188" s="102"/>
      <c r="G188" s="102"/>
      <c r="H188" s="102"/>
      <c r="I188" s="102"/>
      <c r="J188" s="102"/>
      <c r="K188" s="102"/>
      <c r="L188" s="102"/>
    </row>
    <row r="189" spans="3:12" x14ac:dyDescent="0.2">
      <c r="C189" s="102"/>
      <c r="D189" s="102"/>
      <c r="E189" s="102"/>
      <c r="F189" s="102"/>
      <c r="G189" s="102"/>
      <c r="H189" s="102"/>
      <c r="I189" s="102"/>
      <c r="J189" s="102"/>
      <c r="K189" s="102"/>
      <c r="L189" s="102"/>
    </row>
    <row r="190" spans="3:12" x14ac:dyDescent="0.2">
      <c r="C190" s="102"/>
      <c r="D190" s="102"/>
      <c r="E190" s="102"/>
      <c r="F190" s="102"/>
      <c r="G190" s="102"/>
      <c r="H190" s="102"/>
      <c r="I190" s="102"/>
      <c r="J190" s="102"/>
      <c r="K190" s="102"/>
      <c r="L190" s="102"/>
    </row>
    <row r="191" spans="3:12" x14ac:dyDescent="0.2">
      <c r="C191" s="102"/>
      <c r="D191" s="102"/>
      <c r="E191" s="102"/>
      <c r="F191" s="102"/>
      <c r="G191" s="102"/>
      <c r="H191" s="102"/>
      <c r="I191" s="102"/>
      <c r="J191" s="102"/>
      <c r="K191" s="102"/>
      <c r="L191" s="102"/>
    </row>
    <row r="192" spans="3:12" x14ac:dyDescent="0.2">
      <c r="C192" s="102"/>
      <c r="D192" s="102"/>
      <c r="E192" s="102"/>
      <c r="F192" s="102"/>
      <c r="G192" s="102"/>
      <c r="H192" s="102"/>
      <c r="I192" s="102"/>
      <c r="J192" s="102"/>
      <c r="K192" s="102"/>
      <c r="L192" s="102"/>
    </row>
    <row r="193" spans="3:12" x14ac:dyDescent="0.2">
      <c r="C193" s="102"/>
      <c r="D193" s="102"/>
      <c r="E193" s="102"/>
      <c r="F193" s="102"/>
      <c r="G193" s="102"/>
      <c r="H193" s="102"/>
      <c r="I193" s="102"/>
      <c r="J193" s="102"/>
      <c r="K193" s="102"/>
      <c r="L193" s="102"/>
    </row>
    <row r="194" spans="3:12" x14ac:dyDescent="0.2">
      <c r="C194" s="102"/>
      <c r="D194" s="102"/>
      <c r="E194" s="102"/>
      <c r="F194" s="102"/>
      <c r="G194" s="102"/>
      <c r="H194" s="102"/>
      <c r="I194" s="102"/>
      <c r="J194" s="102"/>
      <c r="K194" s="102"/>
      <c r="L194" s="102"/>
    </row>
    <row r="195" spans="3:12" x14ac:dyDescent="0.2">
      <c r="C195" s="102"/>
      <c r="D195" s="102"/>
      <c r="E195" s="102"/>
      <c r="F195" s="102"/>
      <c r="G195" s="102"/>
      <c r="H195" s="102"/>
      <c r="I195" s="102"/>
      <c r="J195" s="102"/>
      <c r="K195" s="102"/>
      <c r="L195" s="102"/>
    </row>
    <row r="196" spans="3:12" x14ac:dyDescent="0.2">
      <c r="C196" s="102"/>
      <c r="D196" s="102"/>
      <c r="E196" s="102"/>
      <c r="F196" s="102"/>
      <c r="G196" s="102"/>
      <c r="H196" s="102"/>
      <c r="I196" s="102"/>
      <c r="J196" s="102"/>
      <c r="K196" s="102"/>
      <c r="L196" s="102"/>
    </row>
    <row r="197" spans="3:12" x14ac:dyDescent="0.2">
      <c r="C197" s="102"/>
      <c r="D197" s="102"/>
      <c r="E197" s="102"/>
      <c r="F197" s="102"/>
      <c r="G197" s="102"/>
      <c r="H197" s="102"/>
      <c r="I197" s="102"/>
      <c r="J197" s="102"/>
      <c r="K197" s="102"/>
      <c r="L197" s="102"/>
    </row>
    <row r="198" spans="3:12" x14ac:dyDescent="0.2">
      <c r="C198" s="102"/>
      <c r="D198" s="102"/>
      <c r="E198" s="102"/>
      <c r="F198" s="102"/>
      <c r="G198" s="102"/>
      <c r="H198" s="102"/>
      <c r="I198" s="102"/>
      <c r="J198" s="102"/>
      <c r="K198" s="102"/>
      <c r="L198" s="102"/>
    </row>
    <row r="199" spans="3:12" x14ac:dyDescent="0.2">
      <c r="C199" s="102"/>
      <c r="D199" s="102"/>
      <c r="E199" s="102"/>
      <c r="F199" s="102"/>
      <c r="G199" s="102"/>
      <c r="H199" s="102"/>
      <c r="I199" s="102"/>
      <c r="J199" s="102"/>
      <c r="K199" s="102"/>
      <c r="L199" s="102"/>
    </row>
    <row r="200" spans="3:12" x14ac:dyDescent="0.2">
      <c r="C200" s="102"/>
      <c r="D200" s="102"/>
      <c r="E200" s="102"/>
      <c r="F200" s="102"/>
      <c r="G200" s="102"/>
      <c r="H200" s="102"/>
      <c r="I200" s="102"/>
      <c r="J200" s="102"/>
      <c r="K200" s="102"/>
      <c r="L200" s="102"/>
    </row>
    <row r="201" spans="3:12" x14ac:dyDescent="0.2">
      <c r="C201" s="102"/>
      <c r="D201" s="102"/>
      <c r="E201" s="102"/>
      <c r="F201" s="102"/>
      <c r="G201" s="102"/>
      <c r="H201" s="102"/>
      <c r="I201" s="102"/>
      <c r="J201" s="102"/>
      <c r="K201" s="102"/>
      <c r="L201" s="102"/>
    </row>
    <row r="202" spans="3:12" x14ac:dyDescent="0.2">
      <c r="C202" s="102"/>
      <c r="D202" s="102"/>
      <c r="E202" s="102"/>
      <c r="F202" s="102"/>
      <c r="G202" s="102"/>
      <c r="H202" s="102"/>
      <c r="I202" s="102"/>
      <c r="J202" s="102"/>
      <c r="K202" s="102"/>
      <c r="L202" s="102"/>
    </row>
    <row r="203" spans="3:12" x14ac:dyDescent="0.2">
      <c r="C203" s="102"/>
      <c r="D203" s="102"/>
      <c r="E203" s="102"/>
      <c r="F203" s="102"/>
      <c r="G203" s="102"/>
      <c r="H203" s="102"/>
      <c r="I203" s="102"/>
      <c r="J203" s="102"/>
      <c r="K203" s="102"/>
      <c r="L203" s="102"/>
    </row>
    <row r="204" spans="3:12" x14ac:dyDescent="0.2">
      <c r="C204" s="102"/>
      <c r="D204" s="102"/>
      <c r="E204" s="102"/>
      <c r="F204" s="102"/>
      <c r="G204" s="102"/>
      <c r="H204" s="102"/>
      <c r="I204" s="102"/>
      <c r="J204" s="102"/>
      <c r="K204" s="102"/>
      <c r="L204" s="102"/>
    </row>
    <row r="205" spans="3:12" x14ac:dyDescent="0.2">
      <c r="C205" s="102"/>
      <c r="D205" s="102"/>
      <c r="E205" s="102"/>
      <c r="F205" s="102"/>
      <c r="G205" s="102"/>
      <c r="H205" s="102"/>
      <c r="I205" s="102"/>
      <c r="J205" s="102"/>
      <c r="K205" s="102"/>
      <c r="L205" s="102"/>
    </row>
    <row r="206" spans="3:12" x14ac:dyDescent="0.2">
      <c r="C206" s="102"/>
      <c r="D206" s="102"/>
      <c r="E206" s="102"/>
      <c r="F206" s="102"/>
      <c r="G206" s="102"/>
      <c r="H206" s="102"/>
      <c r="I206" s="102"/>
      <c r="J206" s="102"/>
      <c r="K206" s="102"/>
      <c r="L206" s="102"/>
    </row>
    <row r="207" spans="3:12" x14ac:dyDescent="0.2">
      <c r="C207" s="102"/>
      <c r="D207" s="102"/>
      <c r="E207" s="102"/>
      <c r="F207" s="102"/>
      <c r="G207" s="102"/>
      <c r="H207" s="102"/>
      <c r="I207" s="102"/>
      <c r="J207" s="102"/>
      <c r="K207" s="102"/>
      <c r="L207" s="102"/>
    </row>
    <row r="208" spans="3:12" x14ac:dyDescent="0.2">
      <c r="C208" s="102"/>
      <c r="D208" s="102"/>
      <c r="E208" s="102"/>
      <c r="F208" s="102"/>
      <c r="G208" s="102"/>
      <c r="H208" s="102"/>
      <c r="I208" s="102"/>
      <c r="J208" s="102"/>
      <c r="K208" s="102"/>
      <c r="L208" s="102"/>
    </row>
    <row r="209" spans="3:12" x14ac:dyDescent="0.2">
      <c r="C209" s="102"/>
      <c r="D209" s="102"/>
      <c r="E209" s="102"/>
      <c r="F209" s="102"/>
      <c r="G209" s="102"/>
      <c r="H209" s="102"/>
      <c r="I209" s="102"/>
      <c r="J209" s="102"/>
      <c r="K209" s="102"/>
      <c r="L209" s="102"/>
    </row>
    <row r="210" spans="3:12" x14ac:dyDescent="0.2">
      <c r="C210" s="102"/>
      <c r="D210" s="102"/>
      <c r="E210" s="102"/>
      <c r="F210" s="102"/>
      <c r="G210" s="102"/>
      <c r="H210" s="102"/>
      <c r="I210" s="102"/>
      <c r="J210" s="102"/>
      <c r="K210" s="102"/>
      <c r="L210" s="102"/>
    </row>
    <row r="211" spans="3:12" x14ac:dyDescent="0.2">
      <c r="C211" s="102"/>
      <c r="D211" s="102"/>
      <c r="E211" s="102"/>
      <c r="F211" s="102"/>
      <c r="G211" s="102"/>
      <c r="H211" s="102"/>
      <c r="I211" s="102"/>
      <c r="J211" s="102"/>
      <c r="K211" s="102"/>
      <c r="L211" s="102"/>
    </row>
    <row r="212" spans="3:12" x14ac:dyDescent="0.2">
      <c r="C212" s="102"/>
      <c r="D212" s="102"/>
      <c r="E212" s="102"/>
      <c r="F212" s="102"/>
      <c r="G212" s="102"/>
      <c r="H212" s="102"/>
      <c r="I212" s="102"/>
      <c r="J212" s="102"/>
      <c r="K212" s="102"/>
      <c r="L212" s="102"/>
    </row>
    <row r="213" spans="3:12" x14ac:dyDescent="0.2">
      <c r="C213" s="102"/>
      <c r="D213" s="102"/>
      <c r="E213" s="102"/>
      <c r="F213" s="102"/>
      <c r="G213" s="102"/>
      <c r="H213" s="102"/>
      <c r="I213" s="102"/>
      <c r="J213" s="102"/>
      <c r="K213" s="102"/>
      <c r="L213" s="102"/>
    </row>
    <row r="214" spans="3:12" x14ac:dyDescent="0.2">
      <c r="C214" s="102"/>
      <c r="D214" s="102"/>
      <c r="E214" s="102"/>
      <c r="F214" s="102"/>
      <c r="G214" s="102"/>
      <c r="H214" s="102"/>
      <c r="I214" s="102"/>
      <c r="J214" s="102"/>
      <c r="K214" s="102"/>
      <c r="L214" s="102"/>
    </row>
    <row r="215" spans="3:12" x14ac:dyDescent="0.2">
      <c r="C215" s="102"/>
      <c r="D215" s="102"/>
      <c r="E215" s="102"/>
      <c r="F215" s="102"/>
      <c r="G215" s="102"/>
      <c r="H215" s="102"/>
      <c r="I215" s="102"/>
      <c r="J215" s="102"/>
      <c r="K215" s="102"/>
      <c r="L215" s="102"/>
    </row>
    <row r="216" spans="3:12" x14ac:dyDescent="0.2">
      <c r="C216" s="102"/>
      <c r="D216" s="102"/>
      <c r="E216" s="102"/>
      <c r="F216" s="102"/>
      <c r="G216" s="102"/>
      <c r="H216" s="102"/>
      <c r="I216" s="102"/>
      <c r="J216" s="102"/>
      <c r="K216" s="102"/>
      <c r="L216" s="102"/>
    </row>
    <row r="217" spans="3:12" x14ac:dyDescent="0.2">
      <c r="C217" s="102"/>
      <c r="D217" s="102"/>
      <c r="E217" s="102"/>
      <c r="F217" s="102"/>
      <c r="G217" s="102"/>
      <c r="H217" s="102"/>
      <c r="I217" s="102"/>
      <c r="J217" s="102"/>
      <c r="K217" s="102"/>
      <c r="L217" s="102"/>
    </row>
    <row r="218" spans="3:12" x14ac:dyDescent="0.2">
      <c r="C218" s="102"/>
      <c r="D218" s="102"/>
      <c r="E218" s="102"/>
      <c r="F218" s="102"/>
      <c r="G218" s="102"/>
      <c r="H218" s="102"/>
      <c r="I218" s="102"/>
      <c r="J218" s="102"/>
      <c r="K218" s="102"/>
      <c r="L218" s="102"/>
    </row>
    <row r="219" spans="3:12" x14ac:dyDescent="0.2">
      <c r="C219" s="102"/>
      <c r="D219" s="102"/>
      <c r="E219" s="102"/>
      <c r="F219" s="102"/>
      <c r="G219" s="102"/>
      <c r="H219" s="102"/>
      <c r="I219" s="102"/>
      <c r="J219" s="102"/>
      <c r="K219" s="102"/>
      <c r="L219" s="102"/>
    </row>
    <row r="220" spans="3:12" x14ac:dyDescent="0.2">
      <c r="C220" s="102"/>
      <c r="D220" s="102"/>
      <c r="E220" s="102"/>
      <c r="F220" s="102"/>
      <c r="G220" s="102"/>
      <c r="H220" s="102"/>
      <c r="I220" s="102"/>
      <c r="J220" s="102"/>
      <c r="K220" s="102"/>
      <c r="L220" s="102"/>
    </row>
    <row r="221" spans="3:12" x14ac:dyDescent="0.2">
      <c r="C221" s="102"/>
      <c r="D221" s="102"/>
      <c r="E221" s="102"/>
      <c r="F221" s="102"/>
      <c r="G221" s="102"/>
      <c r="H221" s="102"/>
      <c r="I221" s="102"/>
      <c r="J221" s="102"/>
      <c r="K221" s="102"/>
      <c r="L221" s="102"/>
    </row>
    <row r="222" spans="3:12" x14ac:dyDescent="0.2">
      <c r="C222" s="102"/>
      <c r="D222" s="102"/>
      <c r="E222" s="102"/>
      <c r="F222" s="102"/>
      <c r="G222" s="102"/>
      <c r="H222" s="102"/>
      <c r="I222" s="102"/>
      <c r="J222" s="102"/>
      <c r="K222" s="102"/>
      <c r="L222" s="102"/>
    </row>
    <row r="223" spans="3:12" x14ac:dyDescent="0.2">
      <c r="C223" s="102"/>
      <c r="D223" s="102"/>
      <c r="E223" s="102"/>
      <c r="F223" s="102"/>
      <c r="G223" s="102"/>
      <c r="H223" s="102"/>
      <c r="I223" s="102"/>
      <c r="J223" s="102"/>
      <c r="K223" s="102"/>
      <c r="L223" s="102"/>
    </row>
    <row r="224" spans="3:12" x14ac:dyDescent="0.2">
      <c r="C224" s="102"/>
      <c r="D224" s="102"/>
      <c r="E224" s="102"/>
      <c r="F224" s="102"/>
      <c r="G224" s="102"/>
      <c r="H224" s="102"/>
      <c r="I224" s="102"/>
      <c r="J224" s="102"/>
      <c r="K224" s="102"/>
      <c r="L224" s="102"/>
    </row>
    <row r="225" spans="3:12" x14ac:dyDescent="0.2">
      <c r="C225" s="102"/>
      <c r="D225" s="102"/>
      <c r="E225" s="102"/>
      <c r="F225" s="102"/>
      <c r="G225" s="102"/>
      <c r="H225" s="102"/>
      <c r="I225" s="102"/>
      <c r="J225" s="102"/>
      <c r="K225" s="102"/>
      <c r="L225" s="102"/>
    </row>
    <row r="226" spans="3:12" x14ac:dyDescent="0.2">
      <c r="C226" s="102"/>
      <c r="D226" s="102"/>
      <c r="E226" s="102"/>
      <c r="F226" s="102"/>
      <c r="G226" s="102"/>
      <c r="H226" s="102"/>
      <c r="I226" s="102"/>
      <c r="J226" s="102"/>
      <c r="K226" s="102"/>
      <c r="L226" s="102"/>
    </row>
    <row r="227" spans="3:12" x14ac:dyDescent="0.2">
      <c r="C227" s="102"/>
      <c r="D227" s="102"/>
      <c r="E227" s="102"/>
      <c r="F227" s="102"/>
      <c r="G227" s="102"/>
      <c r="H227" s="102"/>
      <c r="I227" s="102"/>
      <c r="J227" s="102"/>
      <c r="K227" s="102"/>
      <c r="L227" s="102"/>
    </row>
    <row r="228" spans="3:12" x14ac:dyDescent="0.2">
      <c r="C228" s="102"/>
      <c r="D228" s="102"/>
      <c r="E228" s="102"/>
      <c r="F228" s="102"/>
      <c r="G228" s="102"/>
      <c r="H228" s="102"/>
      <c r="I228" s="102"/>
      <c r="J228" s="102"/>
      <c r="K228" s="102"/>
      <c r="L228" s="102"/>
    </row>
    <row r="229" spans="3:12" x14ac:dyDescent="0.2">
      <c r="C229" s="102"/>
      <c r="D229" s="102"/>
      <c r="E229" s="102"/>
      <c r="F229" s="102"/>
      <c r="G229" s="102"/>
      <c r="H229" s="102"/>
      <c r="I229" s="102"/>
      <c r="J229" s="102"/>
      <c r="K229" s="102"/>
      <c r="L229" s="102"/>
    </row>
    <row r="230" spans="3:12" x14ac:dyDescent="0.2">
      <c r="C230" s="102"/>
      <c r="D230" s="102"/>
      <c r="E230" s="102"/>
      <c r="F230" s="102"/>
      <c r="G230" s="102"/>
      <c r="H230" s="102"/>
      <c r="I230" s="102"/>
      <c r="J230" s="102"/>
      <c r="K230" s="102"/>
      <c r="L230" s="102"/>
    </row>
    <row r="231" spans="3:12" x14ac:dyDescent="0.2">
      <c r="C231" s="102"/>
      <c r="D231" s="102"/>
      <c r="E231" s="102"/>
      <c r="F231" s="102"/>
      <c r="G231" s="102"/>
      <c r="H231" s="102"/>
      <c r="I231" s="102"/>
      <c r="J231" s="102"/>
      <c r="K231" s="102"/>
      <c r="L231" s="102"/>
    </row>
    <row r="232" spans="3:12" x14ac:dyDescent="0.2">
      <c r="C232" s="102"/>
      <c r="D232" s="102"/>
      <c r="E232" s="102"/>
      <c r="F232" s="102"/>
      <c r="G232" s="102"/>
      <c r="H232" s="102"/>
      <c r="I232" s="102"/>
      <c r="J232" s="102"/>
      <c r="K232" s="102"/>
      <c r="L232" s="102"/>
    </row>
    <row r="233" spans="3:12" x14ac:dyDescent="0.2">
      <c r="C233" s="102"/>
      <c r="D233" s="102"/>
      <c r="E233" s="102"/>
      <c r="F233" s="102"/>
      <c r="G233" s="102"/>
      <c r="H233" s="102"/>
      <c r="I233" s="102"/>
      <c r="J233" s="102"/>
      <c r="K233" s="102"/>
      <c r="L233" s="102"/>
    </row>
    <row r="234" spans="3:12" x14ac:dyDescent="0.2">
      <c r="C234" s="102"/>
      <c r="D234" s="102"/>
      <c r="E234" s="102"/>
      <c r="F234" s="102"/>
      <c r="G234" s="102"/>
      <c r="H234" s="102"/>
      <c r="I234" s="102"/>
      <c r="J234" s="102"/>
      <c r="K234" s="102"/>
      <c r="L234" s="102"/>
    </row>
    <row r="235" spans="3:12" x14ac:dyDescent="0.2">
      <c r="C235" s="102"/>
      <c r="D235" s="102"/>
      <c r="E235" s="102"/>
      <c r="F235" s="102"/>
      <c r="G235" s="102"/>
      <c r="H235" s="102"/>
      <c r="I235" s="102"/>
      <c r="J235" s="102"/>
      <c r="K235" s="102"/>
      <c r="L235" s="102"/>
    </row>
    <row r="236" spans="3:12" x14ac:dyDescent="0.2">
      <c r="C236" s="102"/>
      <c r="D236" s="102"/>
      <c r="E236" s="102"/>
      <c r="F236" s="102"/>
      <c r="G236" s="102"/>
      <c r="H236" s="102"/>
      <c r="I236" s="102"/>
      <c r="J236" s="102"/>
      <c r="K236" s="102"/>
      <c r="L236" s="102"/>
    </row>
    <row r="237" spans="3:12" x14ac:dyDescent="0.2">
      <c r="C237" s="102"/>
      <c r="D237" s="102"/>
      <c r="E237" s="102"/>
      <c r="F237" s="102"/>
      <c r="G237" s="102"/>
      <c r="H237" s="102"/>
      <c r="I237" s="102"/>
      <c r="J237" s="102"/>
      <c r="K237" s="102"/>
      <c r="L237" s="102"/>
    </row>
    <row r="238" spans="3:12" x14ac:dyDescent="0.2">
      <c r="C238" s="102"/>
      <c r="D238" s="102"/>
      <c r="E238" s="102"/>
      <c r="F238" s="102"/>
      <c r="G238" s="102"/>
      <c r="H238" s="102"/>
      <c r="I238" s="102"/>
      <c r="J238" s="102"/>
      <c r="K238" s="102"/>
      <c r="L238" s="102"/>
    </row>
    <row r="239" spans="3:12" x14ac:dyDescent="0.2">
      <c r="C239" s="102"/>
      <c r="D239" s="102"/>
      <c r="E239" s="102"/>
      <c r="F239" s="102"/>
      <c r="G239" s="102"/>
      <c r="H239" s="102"/>
      <c r="I239" s="102"/>
      <c r="J239" s="102"/>
      <c r="K239" s="102"/>
      <c r="L239" s="102"/>
    </row>
    <row r="240" spans="3:12" x14ac:dyDescent="0.2">
      <c r="C240" s="102"/>
      <c r="D240" s="102"/>
      <c r="E240" s="102"/>
      <c r="F240" s="102"/>
      <c r="G240" s="102"/>
      <c r="H240" s="102"/>
      <c r="I240" s="102"/>
      <c r="J240" s="102"/>
      <c r="K240" s="102"/>
      <c r="L240" s="102"/>
    </row>
    <row r="241" spans="3:12" x14ac:dyDescent="0.2">
      <c r="C241" s="102"/>
      <c r="D241" s="102"/>
      <c r="E241" s="102"/>
      <c r="F241" s="102"/>
      <c r="G241" s="102"/>
      <c r="H241" s="102"/>
      <c r="I241" s="102"/>
      <c r="J241" s="102"/>
      <c r="K241" s="102"/>
      <c r="L241" s="102"/>
    </row>
    <row r="242" spans="3:12" x14ac:dyDescent="0.2">
      <c r="C242" s="102"/>
      <c r="D242" s="102"/>
      <c r="E242" s="102"/>
      <c r="F242" s="102"/>
      <c r="G242" s="102"/>
      <c r="H242" s="102"/>
      <c r="I242" s="102"/>
      <c r="J242" s="102"/>
      <c r="K242" s="102"/>
      <c r="L242" s="102"/>
    </row>
  </sheetData>
  <mergeCells count="13">
    <mergeCell ref="J10:J11"/>
    <mergeCell ref="K10:K11"/>
    <mergeCell ref="C13:C33"/>
    <mergeCell ref="C7:K7"/>
    <mergeCell ref="C8:K8"/>
    <mergeCell ref="C9:C12"/>
    <mergeCell ref="D9:D12"/>
    <mergeCell ref="E9:E12"/>
    <mergeCell ref="F9:G11"/>
    <mergeCell ref="H9:I9"/>
    <mergeCell ref="J9:K9"/>
    <mergeCell ref="H10:H11"/>
    <mergeCell ref="I10:I11"/>
  </mergeCells>
  <conditionalFormatting sqref="J10:K10">
    <cfRule type="cellIs" dxfId="2" priority="1" stopIfTrue="1" operator="equal">
      <formula>"ERROR"</formula>
    </cfRule>
  </conditionalFormatting>
  <hyperlinks>
    <hyperlink ref="C36" r:id="rId1"/>
  </hyperlinks>
  <pageMargins left="0.25" right="0.25" top="0.75" bottom="0.75" header="0.3" footer="0.3"/>
  <pageSetup paperSize="9" scale="83" orientation="landscape" r:id="rId2"/>
  <headerFooter alignWithMargins="0">
    <oddFooter>Page &amp;P of &amp;N</oddFooter>
  </headerFooter>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8">
    <pageSetUpPr fitToPage="1"/>
  </sheetPr>
  <dimension ref="A1:L100"/>
  <sheetViews>
    <sheetView zoomScale="80" zoomScaleNormal="80" workbookViewId="0"/>
  </sheetViews>
  <sheetFormatPr defaultColWidth="9.140625" defaultRowHeight="12.75" x14ac:dyDescent="0.2"/>
  <cols>
    <col min="1" max="2" width="3.7109375" style="77" customWidth="1"/>
    <col min="3" max="3" width="35.42578125" style="77" bestFit="1" customWidth="1"/>
    <col min="4" max="9" width="15.7109375" style="77" customWidth="1"/>
    <col min="10" max="16384" width="9.140625" style="77"/>
  </cols>
  <sheetData>
    <row r="1" spans="1:12" s="102" customFormat="1" x14ac:dyDescent="0.2">
      <c r="A1" s="9"/>
      <c r="B1" s="9"/>
      <c r="C1" s="9"/>
      <c r="D1" s="9"/>
      <c r="E1" s="9"/>
      <c r="F1" s="9"/>
      <c r="G1" s="9"/>
      <c r="H1" s="9"/>
      <c r="I1" s="9"/>
      <c r="J1" s="9"/>
      <c r="K1" s="9"/>
      <c r="L1" s="9"/>
    </row>
    <row r="2" spans="1:12" s="102" customFormat="1" x14ac:dyDescent="0.2">
      <c r="A2" s="9"/>
      <c r="B2" s="9"/>
      <c r="C2" s="9"/>
      <c r="D2" s="9"/>
      <c r="E2" s="9"/>
      <c r="F2" s="9"/>
      <c r="G2" s="9"/>
      <c r="H2" s="9"/>
      <c r="I2" s="9"/>
      <c r="J2" s="9"/>
      <c r="K2" s="9"/>
      <c r="L2" s="9"/>
    </row>
    <row r="3" spans="1:12" s="102" customFormat="1" ht="18" x14ac:dyDescent="0.2">
      <c r="A3" s="9"/>
      <c r="B3" s="9"/>
      <c r="C3" s="4" t="s">
        <v>0</v>
      </c>
      <c r="D3" s="9"/>
      <c r="E3" s="9"/>
      <c r="F3" s="9"/>
      <c r="G3" s="9"/>
      <c r="H3" s="9"/>
      <c r="I3" s="9"/>
      <c r="J3" s="9"/>
      <c r="K3" s="9"/>
      <c r="L3" s="9"/>
    </row>
    <row r="4" spans="1:12" s="102" customFormat="1" ht="18" x14ac:dyDescent="0.2">
      <c r="A4" s="9"/>
      <c r="B4" s="9"/>
      <c r="C4" s="5" t="s">
        <v>1642</v>
      </c>
      <c r="D4" s="9"/>
      <c r="E4" s="9"/>
      <c r="F4" s="9"/>
      <c r="G4" s="9"/>
      <c r="H4" s="9"/>
      <c r="I4" s="9"/>
      <c r="J4" s="9"/>
      <c r="K4" s="9"/>
      <c r="L4" s="9"/>
    </row>
    <row r="5" spans="1:12" s="102" customFormat="1" ht="15.75" customHeight="1" x14ac:dyDescent="0.2">
      <c r="A5" s="9"/>
      <c r="B5" s="9"/>
      <c r="C5" s="9"/>
      <c r="D5" s="9"/>
      <c r="E5" s="9"/>
      <c r="F5" s="9"/>
      <c r="G5" s="9"/>
      <c r="H5" s="9"/>
      <c r="I5" s="9"/>
      <c r="J5" s="9"/>
      <c r="K5" s="9"/>
      <c r="L5" s="9"/>
    </row>
    <row r="6" spans="1:12" s="102" customFormat="1" ht="15.75" customHeight="1" x14ac:dyDescent="0.2">
      <c r="A6" s="9"/>
      <c r="B6" s="9"/>
      <c r="C6" s="9"/>
      <c r="D6" s="9"/>
      <c r="E6" s="9"/>
      <c r="F6" s="9"/>
      <c r="G6" s="9"/>
      <c r="H6" s="9"/>
      <c r="I6" s="9"/>
      <c r="J6" s="9"/>
      <c r="K6" s="9"/>
      <c r="L6" s="9"/>
    </row>
    <row r="7" spans="1:12" x14ac:dyDescent="0.2">
      <c r="A7" s="51"/>
      <c r="B7" s="51"/>
      <c r="C7" s="90" t="s">
        <v>404</v>
      </c>
      <c r="D7" s="51"/>
      <c r="E7" s="51"/>
      <c r="F7" s="51"/>
      <c r="G7" s="51"/>
      <c r="H7" s="51"/>
      <c r="I7" s="51"/>
      <c r="J7" s="51"/>
      <c r="K7" s="51"/>
      <c r="L7" s="51"/>
    </row>
    <row r="8" spans="1:12" x14ac:dyDescent="0.2">
      <c r="A8" s="51"/>
      <c r="B8" s="51"/>
      <c r="C8" s="51"/>
      <c r="D8" s="51"/>
      <c r="E8" s="51"/>
      <c r="F8" s="51"/>
      <c r="G8" s="51"/>
      <c r="H8" s="51"/>
      <c r="I8" s="51"/>
      <c r="J8" s="51"/>
      <c r="K8" s="51"/>
      <c r="L8" s="51"/>
    </row>
    <row r="9" spans="1:12" ht="16.5" x14ac:dyDescent="0.25">
      <c r="A9" s="51"/>
      <c r="B9" s="51"/>
      <c r="C9" s="12" t="s">
        <v>405</v>
      </c>
      <c r="D9" s="51"/>
      <c r="E9" s="51"/>
      <c r="F9" s="51"/>
      <c r="G9" s="51"/>
      <c r="H9" s="51"/>
      <c r="I9" s="51"/>
      <c r="J9" s="51"/>
      <c r="K9" s="51"/>
      <c r="L9" s="51"/>
    </row>
    <row r="10" spans="1:12" x14ac:dyDescent="0.2">
      <c r="A10" s="51"/>
      <c r="B10" s="51"/>
      <c r="C10" s="91"/>
      <c r="D10" s="91"/>
      <c r="E10" s="91"/>
      <c r="F10" s="91"/>
      <c r="G10" s="51"/>
      <c r="H10" s="51"/>
      <c r="I10" s="51"/>
      <c r="J10" s="51"/>
      <c r="K10" s="51"/>
      <c r="L10" s="51"/>
    </row>
    <row r="11" spans="1:12" ht="18" customHeight="1" x14ac:dyDescent="0.25">
      <c r="A11" s="51"/>
      <c r="B11" s="92"/>
      <c r="C11" s="796" t="s">
        <v>1647</v>
      </c>
      <c r="D11" s="797"/>
      <c r="E11" s="797"/>
      <c r="F11" s="797"/>
      <c r="G11" s="797"/>
      <c r="H11" s="797"/>
      <c r="I11" s="798"/>
      <c r="J11" s="51"/>
      <c r="K11" s="51"/>
      <c r="L11" s="51"/>
    </row>
    <row r="12" spans="1:12" x14ac:dyDescent="0.2">
      <c r="A12" s="51"/>
      <c r="B12" s="51"/>
      <c r="C12" s="778" t="s">
        <v>406</v>
      </c>
      <c r="D12" s="778" t="s">
        <v>407</v>
      </c>
      <c r="E12" s="778"/>
      <c r="F12" s="778" t="s">
        <v>408</v>
      </c>
      <c r="G12" s="778"/>
      <c r="H12" s="778" t="s">
        <v>409</v>
      </c>
      <c r="I12" s="778"/>
      <c r="J12" s="51"/>
      <c r="K12" s="51"/>
      <c r="L12" s="51"/>
    </row>
    <row r="13" spans="1:12" x14ac:dyDescent="0.2">
      <c r="A13" s="51"/>
      <c r="B13" s="51"/>
      <c r="C13" s="778"/>
      <c r="D13" s="461" t="s">
        <v>1</v>
      </c>
      <c r="E13" s="461" t="s">
        <v>12</v>
      </c>
      <c r="F13" s="461" t="s">
        <v>1</v>
      </c>
      <c r="G13" s="461" t="s">
        <v>12</v>
      </c>
      <c r="H13" s="461" t="s">
        <v>1</v>
      </c>
      <c r="I13" s="461" t="s">
        <v>12</v>
      </c>
      <c r="J13" s="51"/>
      <c r="K13" s="51"/>
      <c r="L13" s="51"/>
    </row>
    <row r="14" spans="1:12" x14ac:dyDescent="0.2">
      <c r="A14" s="51"/>
      <c r="B14" s="51"/>
      <c r="C14" s="93" t="s">
        <v>410</v>
      </c>
      <c r="D14" s="94">
        <v>1.006</v>
      </c>
      <c r="E14" s="95" t="s">
        <v>411</v>
      </c>
      <c r="F14" s="94">
        <v>1.0369999999999999</v>
      </c>
      <c r="G14" s="95" t="s">
        <v>412</v>
      </c>
      <c r="H14" s="94">
        <v>1</v>
      </c>
      <c r="I14" s="95" t="s">
        <v>413</v>
      </c>
      <c r="J14" s="51"/>
      <c r="K14" s="51"/>
      <c r="L14" s="51"/>
    </row>
    <row r="15" spans="1:12" x14ac:dyDescent="0.2">
      <c r="A15" s="51"/>
      <c r="B15" s="51"/>
      <c r="C15" s="96" t="s">
        <v>414</v>
      </c>
      <c r="D15" s="97">
        <v>1.012</v>
      </c>
      <c r="E15" s="98" t="s">
        <v>415</v>
      </c>
      <c r="F15" s="97">
        <v>1.0640000000000001</v>
      </c>
      <c r="G15" s="98" t="s">
        <v>416</v>
      </c>
      <c r="H15" s="97">
        <v>1.004</v>
      </c>
      <c r="I15" s="98" t="s">
        <v>417</v>
      </c>
      <c r="J15" s="51"/>
      <c r="K15" s="51"/>
      <c r="L15" s="51"/>
    </row>
    <row r="16" spans="1:12" x14ac:dyDescent="0.2">
      <c r="A16" s="51"/>
      <c r="B16" s="51"/>
      <c r="C16" s="96" t="s">
        <v>418</v>
      </c>
      <c r="D16" s="97">
        <v>1.016</v>
      </c>
      <c r="E16" s="98" t="s">
        <v>419</v>
      </c>
      <c r="F16" s="97">
        <v>1.0660000000000001</v>
      </c>
      <c r="G16" s="97" t="s">
        <v>420</v>
      </c>
      <c r="H16" s="97">
        <v>1.0069999999999999</v>
      </c>
      <c r="I16" s="97" t="s">
        <v>421</v>
      </c>
      <c r="J16" s="51"/>
      <c r="K16" s="51"/>
      <c r="L16" s="51"/>
    </row>
    <row r="17" spans="1:12" x14ac:dyDescent="0.2">
      <c r="A17" s="51"/>
      <c r="B17" s="51"/>
      <c r="C17" s="96" t="s">
        <v>422</v>
      </c>
      <c r="D17" s="97">
        <v>1.036</v>
      </c>
      <c r="E17" s="98" t="s">
        <v>423</v>
      </c>
      <c r="F17" s="97">
        <v>1.1000000000000001</v>
      </c>
      <c r="G17" s="98" t="s">
        <v>424</v>
      </c>
      <c r="H17" s="97">
        <v>1.0349999999999999</v>
      </c>
      <c r="I17" s="98" t="s">
        <v>425</v>
      </c>
      <c r="J17" s="51"/>
      <c r="K17" s="51"/>
      <c r="L17" s="51"/>
    </row>
    <row r="18" spans="1:12" x14ac:dyDescent="0.2">
      <c r="A18" s="51"/>
      <c r="B18" s="51"/>
      <c r="C18" s="96" t="s">
        <v>426</v>
      </c>
      <c r="D18" s="97">
        <v>1.0720000000000001</v>
      </c>
      <c r="E18" s="98" t="s">
        <v>427</v>
      </c>
      <c r="F18" s="97">
        <v>1.143</v>
      </c>
      <c r="G18" s="97" t="s">
        <v>428</v>
      </c>
      <c r="H18" s="97">
        <v>1.0640000000000001</v>
      </c>
      <c r="I18" s="97" t="s">
        <v>429</v>
      </c>
      <c r="J18" s="51"/>
      <c r="K18" s="51"/>
      <c r="L18" s="51"/>
    </row>
    <row r="19" spans="1:12" x14ac:dyDescent="0.2">
      <c r="A19" s="51"/>
      <c r="B19" s="51"/>
      <c r="C19" s="99" t="s">
        <v>430</v>
      </c>
      <c r="D19" s="100">
        <v>1.097</v>
      </c>
      <c r="E19" s="101" t="s">
        <v>431</v>
      </c>
      <c r="F19" s="100">
        <v>1.329</v>
      </c>
      <c r="G19" s="101" t="s">
        <v>432</v>
      </c>
      <c r="H19" s="100">
        <v>1.0760000000000001</v>
      </c>
      <c r="I19" s="101" t="s">
        <v>433</v>
      </c>
      <c r="J19" s="51"/>
      <c r="K19" s="51"/>
      <c r="L19" s="51"/>
    </row>
    <row r="20" spans="1:12" x14ac:dyDescent="0.2">
      <c r="A20" s="51"/>
      <c r="B20" s="51"/>
      <c r="C20" s="51"/>
      <c r="D20" s="51"/>
      <c r="E20" s="51"/>
      <c r="F20" s="51"/>
      <c r="G20" s="51"/>
      <c r="H20" s="51"/>
      <c r="I20" s="51"/>
      <c r="J20" s="51"/>
      <c r="K20" s="51"/>
      <c r="L20" s="51"/>
    </row>
    <row r="21" spans="1:12" x14ac:dyDescent="0.2">
      <c r="A21" s="51"/>
      <c r="B21" s="90"/>
      <c r="C21" s="90"/>
      <c r="D21" s="90"/>
      <c r="E21" s="90"/>
      <c r="F21" s="90"/>
      <c r="G21" s="90"/>
      <c r="H21" s="90"/>
      <c r="I21" s="90"/>
      <c r="J21" s="51"/>
      <c r="K21" s="51"/>
      <c r="L21" s="51"/>
    </row>
    <row r="22" spans="1:12" ht="16.5" x14ac:dyDescent="0.25">
      <c r="A22" s="51"/>
      <c r="B22" s="90"/>
      <c r="C22" s="12" t="s">
        <v>1648</v>
      </c>
      <c r="D22" s="90"/>
      <c r="E22" s="90"/>
      <c r="F22" s="90"/>
      <c r="G22" s="90"/>
      <c r="H22" s="90"/>
      <c r="I22" s="90"/>
      <c r="J22" s="51"/>
      <c r="K22" s="51"/>
      <c r="L22" s="51"/>
    </row>
    <row r="23" spans="1:12" x14ac:dyDescent="0.2">
      <c r="A23" s="51"/>
      <c r="B23" s="90"/>
      <c r="C23" s="90"/>
      <c r="D23" s="90"/>
      <c r="E23" s="90"/>
      <c r="F23" s="90"/>
      <c r="G23" s="90"/>
      <c r="H23" s="90"/>
      <c r="I23" s="90"/>
      <c r="J23" s="51"/>
      <c r="K23" s="51"/>
      <c r="L23" s="51"/>
    </row>
    <row r="24" spans="1:12" ht="12.75" customHeight="1" x14ac:dyDescent="0.2">
      <c r="A24" s="51"/>
      <c r="B24" s="90"/>
      <c r="C24" s="461" t="s">
        <v>1649</v>
      </c>
      <c r="D24" s="461" t="s">
        <v>1650</v>
      </c>
      <c r="E24" s="461" t="s">
        <v>1</v>
      </c>
      <c r="F24" s="90"/>
      <c r="G24" s="90"/>
      <c r="H24" s="90"/>
      <c r="I24" s="51"/>
      <c r="J24" s="51"/>
      <c r="K24" s="51"/>
      <c r="L24" s="51"/>
    </row>
    <row r="25" spans="1:12" x14ac:dyDescent="0.2">
      <c r="A25" s="51"/>
      <c r="B25" s="90"/>
      <c r="C25" s="477">
        <v>3051111985</v>
      </c>
      <c r="D25" s="478" t="s">
        <v>1651</v>
      </c>
      <c r="E25" s="479">
        <v>1.0029999999999999</v>
      </c>
      <c r="F25" s="90"/>
      <c r="G25" s="90"/>
      <c r="H25" s="90"/>
      <c r="I25" s="51"/>
      <c r="J25" s="51"/>
      <c r="K25" s="51"/>
      <c r="L25" s="51"/>
    </row>
    <row r="26" spans="1:12" x14ac:dyDescent="0.2">
      <c r="A26" s="51"/>
      <c r="B26" s="90"/>
      <c r="C26" s="480">
        <v>3051467399</v>
      </c>
      <c r="D26" s="481" t="s">
        <v>1652</v>
      </c>
      <c r="E26" s="482">
        <v>1.0129999999999999</v>
      </c>
      <c r="F26" s="90"/>
      <c r="G26" s="90"/>
      <c r="H26" s="90"/>
      <c r="I26" s="51"/>
      <c r="J26" s="51"/>
      <c r="K26" s="51"/>
      <c r="L26" s="51"/>
    </row>
    <row r="27" spans="1:12" ht="13.5" customHeight="1" x14ac:dyDescent="0.2">
      <c r="A27" s="51"/>
      <c r="B27" s="90"/>
      <c r="C27" s="480">
        <v>3051492237</v>
      </c>
      <c r="D27" s="481" t="s">
        <v>1653</v>
      </c>
      <c r="E27" s="482">
        <v>1</v>
      </c>
      <c r="F27" s="90"/>
      <c r="G27" s="90"/>
      <c r="H27" s="90"/>
      <c r="I27" s="51"/>
      <c r="J27" s="51"/>
      <c r="K27" s="51"/>
      <c r="L27" s="51"/>
    </row>
    <row r="28" spans="1:12" x14ac:dyDescent="0.2">
      <c r="A28" s="51"/>
      <c r="B28" s="90"/>
      <c r="C28" s="480">
        <v>3051526841</v>
      </c>
      <c r="D28" s="481" t="s">
        <v>1654</v>
      </c>
      <c r="E28" s="482">
        <v>1</v>
      </c>
      <c r="F28" s="90"/>
      <c r="G28" s="90"/>
      <c r="H28" s="90"/>
      <c r="I28" s="51"/>
      <c r="J28" s="51"/>
      <c r="K28" s="51"/>
      <c r="L28" s="51"/>
    </row>
    <row r="29" spans="1:12" x14ac:dyDescent="0.2">
      <c r="A29" s="51"/>
      <c r="B29" s="90"/>
      <c r="C29" s="480">
        <v>3051526859</v>
      </c>
      <c r="D29" s="481" t="s">
        <v>1654</v>
      </c>
      <c r="E29" s="482">
        <v>1</v>
      </c>
      <c r="F29" s="90"/>
      <c r="G29" s="90"/>
      <c r="H29" s="90"/>
      <c r="I29" s="51"/>
      <c r="J29" s="51"/>
      <c r="K29" s="51"/>
      <c r="L29" s="51"/>
    </row>
    <row r="30" spans="1:12" x14ac:dyDescent="0.2">
      <c r="A30" s="51"/>
      <c r="B30" s="90"/>
      <c r="C30" s="480">
        <v>3051526883</v>
      </c>
      <c r="D30" s="481" t="s">
        <v>1654</v>
      </c>
      <c r="E30" s="482">
        <v>1</v>
      </c>
      <c r="F30" s="90"/>
      <c r="G30" s="90"/>
      <c r="H30" s="90"/>
      <c r="I30" s="51"/>
      <c r="J30" s="51"/>
      <c r="K30" s="51"/>
      <c r="L30" s="51"/>
    </row>
    <row r="31" spans="1:12" ht="13.5" customHeight="1" x14ac:dyDescent="0.2">
      <c r="A31" s="51"/>
      <c r="B31" s="90"/>
      <c r="C31" s="480">
        <v>3051526891</v>
      </c>
      <c r="D31" s="481" t="s">
        <v>1654</v>
      </c>
      <c r="E31" s="482">
        <v>1</v>
      </c>
      <c r="F31" s="90"/>
      <c r="G31" s="90"/>
      <c r="H31" s="90"/>
      <c r="I31" s="51"/>
      <c r="J31" s="51"/>
      <c r="K31" s="51"/>
      <c r="L31" s="51"/>
    </row>
    <row r="32" spans="1:12" x14ac:dyDescent="0.2">
      <c r="A32" s="51"/>
      <c r="B32" s="90"/>
      <c r="C32" s="480">
        <v>3051745071</v>
      </c>
      <c r="D32" s="481" t="s">
        <v>1655</v>
      </c>
      <c r="E32" s="482">
        <v>1</v>
      </c>
      <c r="F32" s="90"/>
      <c r="G32" s="90"/>
      <c r="H32" s="90"/>
      <c r="I32" s="51"/>
      <c r="J32" s="51"/>
      <c r="K32" s="51"/>
      <c r="L32" s="51"/>
    </row>
    <row r="33" spans="1:12" x14ac:dyDescent="0.2">
      <c r="A33" s="51"/>
      <c r="B33" s="90"/>
      <c r="C33" s="480">
        <v>3051844184</v>
      </c>
      <c r="D33" s="481" t="s">
        <v>1656</v>
      </c>
      <c r="E33" s="482">
        <v>1.0009999999999999</v>
      </c>
      <c r="F33" s="90"/>
      <c r="G33" s="90"/>
      <c r="H33" s="90"/>
      <c r="I33" s="51"/>
      <c r="J33" s="51"/>
      <c r="K33" s="51"/>
      <c r="L33" s="51"/>
    </row>
    <row r="34" spans="1:12" x14ac:dyDescent="0.2">
      <c r="A34" s="51"/>
      <c r="B34" s="90"/>
      <c r="C34" s="480">
        <v>3051988348</v>
      </c>
      <c r="D34" s="481" t="s">
        <v>1657</v>
      </c>
      <c r="E34" s="482">
        <v>1.0009999999999999</v>
      </c>
      <c r="F34" s="90"/>
      <c r="G34" s="90"/>
      <c r="H34" s="90"/>
      <c r="I34" s="51"/>
      <c r="J34" s="51"/>
      <c r="K34" s="51"/>
      <c r="L34" s="51"/>
    </row>
    <row r="35" spans="1:12" ht="12.75" customHeight="1" x14ac:dyDescent="0.2">
      <c r="A35" s="51"/>
      <c r="B35" s="90"/>
      <c r="C35" s="480">
        <v>3052261476</v>
      </c>
      <c r="D35" s="481" t="s">
        <v>1654</v>
      </c>
      <c r="E35" s="482">
        <v>1</v>
      </c>
      <c r="F35" s="90"/>
      <c r="G35" s="90"/>
      <c r="H35" s="90"/>
      <c r="I35" s="51"/>
      <c r="J35" s="51"/>
      <c r="K35" s="51"/>
      <c r="L35" s="51"/>
    </row>
    <row r="36" spans="1:12" ht="12.75" customHeight="1" x14ac:dyDescent="0.2">
      <c r="A36" s="51"/>
      <c r="B36" s="90"/>
      <c r="C36" s="480">
        <v>3052303675</v>
      </c>
      <c r="D36" s="481" t="s">
        <v>1654</v>
      </c>
      <c r="E36" s="482">
        <v>1</v>
      </c>
      <c r="F36" s="90"/>
      <c r="G36" s="90"/>
      <c r="H36" s="90"/>
      <c r="I36" s="51"/>
      <c r="J36" s="51"/>
      <c r="K36" s="51"/>
      <c r="L36" s="51"/>
    </row>
    <row r="37" spans="1:12" x14ac:dyDescent="0.2">
      <c r="A37" s="51"/>
      <c r="B37" s="90"/>
      <c r="C37" s="480" t="s">
        <v>1658</v>
      </c>
      <c r="D37" s="481" t="s">
        <v>1654</v>
      </c>
      <c r="E37" s="482">
        <v>1</v>
      </c>
      <c r="F37" s="90"/>
      <c r="G37" s="90"/>
      <c r="H37" s="90"/>
      <c r="I37" s="51"/>
      <c r="J37" s="51"/>
      <c r="K37" s="51"/>
      <c r="L37" s="51"/>
    </row>
    <row r="38" spans="1:12" ht="12.75" customHeight="1" x14ac:dyDescent="0.2">
      <c r="A38" s="51"/>
      <c r="B38" s="90"/>
      <c r="C38" s="480" t="s">
        <v>1659</v>
      </c>
      <c r="D38" s="481" t="s">
        <v>1660</v>
      </c>
      <c r="E38" s="482">
        <v>1</v>
      </c>
      <c r="F38" s="90"/>
      <c r="G38" s="90"/>
      <c r="H38" s="90"/>
      <c r="I38" s="51"/>
      <c r="J38" s="51"/>
      <c r="K38" s="51"/>
      <c r="L38" s="51"/>
    </row>
    <row r="39" spans="1:12" x14ac:dyDescent="0.2">
      <c r="A39" s="51"/>
      <c r="B39" s="90"/>
      <c r="C39" s="480" t="s">
        <v>1661</v>
      </c>
      <c r="D39" s="481" t="s">
        <v>1662</v>
      </c>
      <c r="E39" s="482">
        <v>1.0089999999999999</v>
      </c>
      <c r="F39" s="90"/>
      <c r="G39" s="90"/>
      <c r="H39" s="90"/>
      <c r="I39" s="51"/>
      <c r="J39" s="51"/>
      <c r="K39" s="51"/>
      <c r="L39" s="51"/>
    </row>
    <row r="40" spans="1:12" x14ac:dyDescent="0.2">
      <c r="A40" s="51"/>
      <c r="B40" s="90"/>
      <c r="C40" s="480" t="s">
        <v>1663</v>
      </c>
      <c r="D40" s="481" t="s">
        <v>1664</v>
      </c>
      <c r="E40" s="482">
        <v>1.0129999999999999</v>
      </c>
      <c r="F40" s="90"/>
      <c r="G40" s="90"/>
      <c r="H40" s="90"/>
      <c r="I40" s="51"/>
      <c r="J40" s="51"/>
      <c r="K40" s="51"/>
      <c r="L40" s="51"/>
    </row>
    <row r="41" spans="1:12" x14ac:dyDescent="0.2">
      <c r="A41" s="51"/>
      <c r="B41" s="90"/>
      <c r="C41" s="480" t="s">
        <v>1665</v>
      </c>
      <c r="D41" s="481" t="s">
        <v>1666</v>
      </c>
      <c r="E41" s="482">
        <v>1</v>
      </c>
      <c r="F41" s="90"/>
      <c r="G41" s="90"/>
      <c r="H41" s="90"/>
      <c r="I41" s="51"/>
      <c r="J41" s="51"/>
      <c r="K41" s="51"/>
      <c r="L41" s="51"/>
    </row>
    <row r="42" spans="1:12" x14ac:dyDescent="0.2">
      <c r="A42" s="51"/>
      <c r="B42" s="90"/>
      <c r="C42" s="480" t="s">
        <v>1667</v>
      </c>
      <c r="D42" s="481" t="s">
        <v>1668</v>
      </c>
      <c r="E42" s="482">
        <v>1.0009999999999999</v>
      </c>
      <c r="F42" s="90"/>
      <c r="G42" s="90"/>
      <c r="H42" s="90"/>
      <c r="I42" s="51"/>
      <c r="J42" s="51"/>
      <c r="K42" s="51"/>
      <c r="L42" s="51"/>
    </row>
    <row r="43" spans="1:12" x14ac:dyDescent="0.2">
      <c r="A43" s="51"/>
      <c r="B43" s="90"/>
      <c r="C43" s="480" t="s">
        <v>1669</v>
      </c>
      <c r="D43" s="481" t="s">
        <v>1654</v>
      </c>
      <c r="E43" s="482">
        <v>1</v>
      </c>
      <c r="F43" s="90"/>
      <c r="G43" s="90"/>
      <c r="H43" s="90"/>
      <c r="I43" s="51"/>
      <c r="J43" s="51"/>
      <c r="K43" s="51"/>
      <c r="L43" s="51"/>
    </row>
    <row r="44" spans="1:12" x14ac:dyDescent="0.2">
      <c r="A44" s="51"/>
      <c r="B44" s="90"/>
      <c r="C44" s="480" t="s">
        <v>1670</v>
      </c>
      <c r="D44" s="481" t="s">
        <v>1654</v>
      </c>
      <c r="E44" s="482">
        <v>1</v>
      </c>
      <c r="F44" s="90"/>
      <c r="G44" s="90"/>
      <c r="H44" s="90"/>
      <c r="I44" s="51"/>
      <c r="J44" s="51"/>
      <c r="K44" s="51"/>
      <c r="L44" s="51"/>
    </row>
    <row r="45" spans="1:12" x14ac:dyDescent="0.2">
      <c r="A45" s="51"/>
      <c r="B45" s="90"/>
      <c r="C45" s="480" t="s">
        <v>1671</v>
      </c>
      <c r="D45" s="481" t="s">
        <v>1654</v>
      </c>
      <c r="E45" s="482">
        <v>1</v>
      </c>
      <c r="F45" s="90"/>
      <c r="G45" s="90"/>
      <c r="H45" s="90"/>
      <c r="I45" s="51"/>
      <c r="J45" s="51"/>
      <c r="K45" s="51"/>
      <c r="L45" s="51"/>
    </row>
    <row r="46" spans="1:12" x14ac:dyDescent="0.2">
      <c r="A46" s="51"/>
      <c r="B46" s="90"/>
      <c r="C46" s="480" t="s">
        <v>1672</v>
      </c>
      <c r="D46" s="481" t="s">
        <v>1654</v>
      </c>
      <c r="E46" s="482">
        <v>1</v>
      </c>
      <c r="F46" s="90"/>
      <c r="G46" s="90"/>
      <c r="H46" s="90"/>
      <c r="I46" s="51"/>
      <c r="J46" s="51"/>
      <c r="K46" s="51"/>
      <c r="L46" s="51"/>
    </row>
    <row r="47" spans="1:12" x14ac:dyDescent="0.2">
      <c r="A47" s="51"/>
      <c r="B47" s="90"/>
      <c r="C47" s="480" t="s">
        <v>1673</v>
      </c>
      <c r="D47" s="481" t="s">
        <v>1674</v>
      </c>
      <c r="E47" s="482">
        <v>1.014</v>
      </c>
      <c r="F47" s="90"/>
      <c r="G47" s="90"/>
      <c r="H47" s="90"/>
      <c r="I47" s="51"/>
      <c r="J47" s="51"/>
      <c r="K47" s="51"/>
      <c r="L47" s="51"/>
    </row>
    <row r="48" spans="1:12" x14ac:dyDescent="0.2">
      <c r="A48" s="51"/>
      <c r="B48" s="90"/>
      <c r="C48" s="480" t="s">
        <v>1675</v>
      </c>
      <c r="D48" s="481" t="s">
        <v>1654</v>
      </c>
      <c r="E48" s="482">
        <v>1</v>
      </c>
      <c r="F48" s="90"/>
      <c r="G48" s="90"/>
      <c r="H48" s="90"/>
      <c r="I48" s="51"/>
      <c r="J48" s="51"/>
      <c r="K48" s="51"/>
      <c r="L48" s="51"/>
    </row>
    <row r="49" spans="1:12" x14ac:dyDescent="0.2">
      <c r="A49" s="51"/>
      <c r="B49" s="90"/>
      <c r="C49" s="480" t="s">
        <v>1676</v>
      </c>
      <c r="D49" s="481" t="s">
        <v>1677</v>
      </c>
      <c r="E49" s="482">
        <v>1</v>
      </c>
      <c r="F49" s="90"/>
      <c r="G49" s="90"/>
      <c r="H49" s="90"/>
      <c r="I49" s="51"/>
      <c r="J49" s="51"/>
      <c r="K49" s="51"/>
      <c r="L49" s="51"/>
    </row>
    <row r="50" spans="1:12" x14ac:dyDescent="0.2">
      <c r="A50" s="51"/>
      <c r="B50" s="90"/>
      <c r="C50" s="480" t="s">
        <v>1678</v>
      </c>
      <c r="D50" s="481" t="s">
        <v>1679</v>
      </c>
      <c r="E50" s="482">
        <v>1.004</v>
      </c>
      <c r="F50" s="90"/>
      <c r="G50" s="90"/>
      <c r="H50" s="90"/>
      <c r="I50" s="51"/>
      <c r="J50" s="51"/>
      <c r="K50" s="51"/>
      <c r="L50" s="51"/>
    </row>
    <row r="51" spans="1:12" x14ac:dyDescent="0.2">
      <c r="A51" s="51"/>
      <c r="B51" s="90"/>
      <c r="C51" s="480" t="s">
        <v>1680</v>
      </c>
      <c r="D51" s="481" t="s">
        <v>1681</v>
      </c>
      <c r="E51" s="482">
        <v>1</v>
      </c>
      <c r="F51" s="90"/>
      <c r="G51" s="90"/>
      <c r="H51" s="90"/>
      <c r="I51" s="51"/>
      <c r="J51" s="51"/>
      <c r="K51" s="51"/>
      <c r="L51" s="51"/>
    </row>
    <row r="52" spans="1:12" ht="12.75" customHeight="1" x14ac:dyDescent="0.2">
      <c r="A52" s="51"/>
      <c r="B52" s="90"/>
      <c r="C52" s="480" t="s">
        <v>1682</v>
      </c>
      <c r="D52" s="481" t="s">
        <v>1654</v>
      </c>
      <c r="E52" s="482">
        <v>1</v>
      </c>
      <c r="F52" s="90"/>
      <c r="G52" s="90"/>
      <c r="H52" s="90"/>
      <c r="I52" s="51"/>
      <c r="J52" s="51"/>
      <c r="K52" s="51"/>
      <c r="L52" s="51"/>
    </row>
    <row r="53" spans="1:12" x14ac:dyDescent="0.2">
      <c r="A53" s="51"/>
      <c r="B53" s="90"/>
      <c r="C53" s="480" t="s">
        <v>1683</v>
      </c>
      <c r="D53" s="481" t="s">
        <v>1684</v>
      </c>
      <c r="E53" s="482">
        <v>1.069</v>
      </c>
      <c r="F53" s="90"/>
      <c r="G53" s="90"/>
      <c r="H53" s="90"/>
      <c r="I53" s="51"/>
      <c r="J53" s="51"/>
      <c r="K53" s="51"/>
      <c r="L53" s="51"/>
    </row>
    <row r="54" spans="1:12" x14ac:dyDescent="0.2">
      <c r="A54" s="51"/>
      <c r="B54" s="90"/>
      <c r="C54" s="480" t="s">
        <v>1685</v>
      </c>
      <c r="D54" s="481" t="s">
        <v>1686</v>
      </c>
      <c r="E54" s="482">
        <v>1.0960000000000001</v>
      </c>
      <c r="F54" s="90"/>
      <c r="G54" s="90"/>
      <c r="H54" s="90"/>
      <c r="I54" s="51"/>
      <c r="J54" s="51"/>
      <c r="K54" s="51"/>
      <c r="L54" s="51"/>
    </row>
    <row r="55" spans="1:12" x14ac:dyDescent="0.2">
      <c r="A55" s="51"/>
      <c r="B55" s="90"/>
      <c r="C55" s="480" t="s">
        <v>1687</v>
      </c>
      <c r="D55" s="481" t="s">
        <v>1688</v>
      </c>
      <c r="E55" s="482">
        <v>1.0009999999999999</v>
      </c>
      <c r="F55" s="90"/>
      <c r="G55" s="90"/>
      <c r="H55" s="90"/>
      <c r="I55" s="51"/>
      <c r="J55" s="51"/>
      <c r="K55" s="51"/>
      <c r="L55" s="51"/>
    </row>
    <row r="56" spans="1:12" x14ac:dyDescent="0.2">
      <c r="A56" s="51"/>
      <c r="B56" s="90"/>
      <c r="C56" s="480" t="s">
        <v>1689</v>
      </c>
      <c r="D56" s="481" t="s">
        <v>1690</v>
      </c>
      <c r="E56" s="482">
        <v>1.0089999999999999</v>
      </c>
      <c r="F56" s="90"/>
      <c r="G56" s="90"/>
      <c r="H56" s="90"/>
      <c r="I56" s="51"/>
      <c r="J56" s="51"/>
      <c r="K56" s="51"/>
      <c r="L56" s="51"/>
    </row>
    <row r="57" spans="1:12" x14ac:dyDescent="0.2">
      <c r="A57" s="51"/>
      <c r="B57" s="90"/>
      <c r="C57" s="480" t="s">
        <v>1691</v>
      </c>
      <c r="D57" s="481" t="s">
        <v>1692</v>
      </c>
      <c r="E57" s="482">
        <v>1.0009999999999999</v>
      </c>
      <c r="F57" s="90"/>
      <c r="G57" s="90"/>
      <c r="H57" s="90"/>
      <c r="I57" s="51"/>
      <c r="J57" s="51"/>
      <c r="K57" s="51"/>
      <c r="L57" s="51"/>
    </row>
    <row r="58" spans="1:12" ht="14.25" customHeight="1" x14ac:dyDescent="0.2">
      <c r="A58" s="51"/>
      <c r="B58" s="90"/>
      <c r="C58" s="480" t="s">
        <v>1693</v>
      </c>
      <c r="D58" s="481" t="s">
        <v>1654</v>
      </c>
      <c r="E58" s="482">
        <v>1</v>
      </c>
      <c r="F58" s="90"/>
      <c r="G58" s="90"/>
      <c r="H58" s="90"/>
      <c r="I58" s="51"/>
      <c r="J58" s="51"/>
      <c r="K58" s="51"/>
      <c r="L58" s="51"/>
    </row>
    <row r="59" spans="1:12" x14ac:dyDescent="0.2">
      <c r="A59" s="51"/>
      <c r="B59" s="90"/>
      <c r="C59" s="480" t="s">
        <v>1694</v>
      </c>
      <c r="D59" s="481" t="s">
        <v>1695</v>
      </c>
      <c r="E59" s="482">
        <v>1.0069999999999999</v>
      </c>
      <c r="F59" s="90"/>
      <c r="G59" s="90"/>
      <c r="H59" s="90"/>
      <c r="I59" s="51"/>
      <c r="J59" s="51"/>
      <c r="K59" s="51"/>
      <c r="L59" s="51"/>
    </row>
    <row r="60" spans="1:12" ht="12.75" customHeight="1" x14ac:dyDescent="0.2">
      <c r="A60" s="51"/>
      <c r="B60" s="90"/>
      <c r="C60" s="480" t="s">
        <v>1696</v>
      </c>
      <c r="D60" s="481" t="s">
        <v>1697</v>
      </c>
      <c r="E60" s="482">
        <v>1.0169999999999999</v>
      </c>
      <c r="F60" s="90"/>
      <c r="G60" s="90"/>
      <c r="H60" s="90"/>
      <c r="I60" s="51"/>
      <c r="J60" s="51"/>
      <c r="K60" s="51"/>
      <c r="L60" s="51"/>
    </row>
    <row r="61" spans="1:12" ht="12.75" customHeight="1" x14ac:dyDescent="0.2">
      <c r="A61" s="51"/>
      <c r="B61" s="90"/>
      <c r="C61" s="480" t="s">
        <v>1698</v>
      </c>
      <c r="D61" s="481" t="s">
        <v>1699</v>
      </c>
      <c r="E61" s="482">
        <v>1.0089999999999999</v>
      </c>
      <c r="F61" s="90"/>
      <c r="G61" s="90"/>
      <c r="H61" s="90"/>
      <c r="I61" s="51"/>
      <c r="J61" s="51"/>
      <c r="K61" s="51"/>
      <c r="L61" s="51"/>
    </row>
    <row r="62" spans="1:12" ht="12.75" customHeight="1" x14ac:dyDescent="0.2">
      <c r="A62" s="51"/>
      <c r="B62" s="90"/>
      <c r="C62" s="480" t="s">
        <v>1700</v>
      </c>
      <c r="D62" s="481" t="s">
        <v>1701</v>
      </c>
      <c r="E62" s="482">
        <v>1.008</v>
      </c>
      <c r="F62" s="90"/>
      <c r="G62" s="90"/>
      <c r="H62" s="90"/>
      <c r="I62" s="51"/>
      <c r="J62" s="51"/>
      <c r="K62" s="51"/>
      <c r="L62" s="51"/>
    </row>
    <row r="63" spans="1:12" ht="12.75" customHeight="1" x14ac:dyDescent="0.2">
      <c r="A63" s="51"/>
      <c r="B63" s="90"/>
      <c r="C63" s="480" t="s">
        <v>1702</v>
      </c>
      <c r="D63" s="481" t="s">
        <v>1703</v>
      </c>
      <c r="E63" s="482">
        <v>1.095</v>
      </c>
      <c r="F63" s="90"/>
      <c r="G63" s="90"/>
      <c r="H63" s="90"/>
      <c r="I63" s="51"/>
      <c r="J63" s="51"/>
      <c r="K63" s="51"/>
      <c r="L63" s="51"/>
    </row>
    <row r="64" spans="1:12" ht="12.75" customHeight="1" x14ac:dyDescent="0.2">
      <c r="A64" s="51"/>
      <c r="B64" s="90"/>
      <c r="C64" s="480" t="s">
        <v>1704</v>
      </c>
      <c r="D64" s="481" t="s">
        <v>1705</v>
      </c>
      <c r="E64" s="482">
        <v>1.0049999999999999</v>
      </c>
      <c r="F64" s="90"/>
      <c r="G64" s="90"/>
      <c r="H64" s="90"/>
      <c r="I64" s="51"/>
      <c r="J64" s="51"/>
      <c r="K64" s="51"/>
      <c r="L64" s="51"/>
    </row>
    <row r="65" spans="1:12" ht="12.75" customHeight="1" x14ac:dyDescent="0.2">
      <c r="A65" s="51"/>
      <c r="B65" s="90"/>
      <c r="C65" s="483" t="s">
        <v>1706</v>
      </c>
      <c r="D65" s="484" t="s">
        <v>1707</v>
      </c>
      <c r="E65" s="485">
        <v>1.0009999999999999</v>
      </c>
      <c r="F65" s="90"/>
      <c r="G65" s="90"/>
      <c r="H65" s="90"/>
      <c r="I65" s="51"/>
      <c r="J65" s="51"/>
      <c r="K65" s="51"/>
      <c r="L65" s="51"/>
    </row>
    <row r="66" spans="1:12" x14ac:dyDescent="0.2">
      <c r="A66" s="51"/>
      <c r="B66" s="51"/>
      <c r="C66" s="51"/>
      <c r="D66" s="51"/>
      <c r="E66" s="51"/>
      <c r="F66" s="51"/>
      <c r="G66" s="51"/>
      <c r="H66" s="51"/>
      <c r="I66" s="51"/>
      <c r="J66" s="51"/>
      <c r="K66" s="51"/>
      <c r="L66" s="51"/>
    </row>
    <row r="67" spans="1:12" ht="18" customHeight="1" x14ac:dyDescent="0.25">
      <c r="A67" s="51"/>
      <c r="B67" s="51"/>
      <c r="C67" s="12" t="s">
        <v>1708</v>
      </c>
      <c r="D67" s="51"/>
      <c r="E67" s="51"/>
      <c r="F67" s="51"/>
      <c r="G67" s="51"/>
      <c r="H67" s="51"/>
      <c r="I67" s="51"/>
      <c r="J67" s="51"/>
      <c r="K67" s="51"/>
      <c r="L67" s="51"/>
    </row>
    <row r="68" spans="1:12" ht="12.75" customHeight="1" x14ac:dyDescent="0.2">
      <c r="A68" s="51"/>
      <c r="B68" s="51"/>
      <c r="C68" s="51"/>
      <c r="D68" s="51"/>
      <c r="E68" s="51"/>
      <c r="F68" s="51"/>
      <c r="G68" s="51"/>
      <c r="H68" s="51"/>
      <c r="I68" s="51"/>
      <c r="J68" s="51"/>
      <c r="K68" s="51"/>
      <c r="L68" s="51"/>
    </row>
    <row r="69" spans="1:12" ht="12.75" customHeight="1" x14ac:dyDescent="0.2">
      <c r="A69" s="51"/>
      <c r="B69" s="51"/>
      <c r="C69" s="461" t="s">
        <v>1649</v>
      </c>
      <c r="D69" s="461" t="s">
        <v>1650</v>
      </c>
      <c r="E69" s="461" t="s">
        <v>1</v>
      </c>
      <c r="F69" s="51"/>
      <c r="G69" s="51"/>
      <c r="H69" s="51"/>
      <c r="I69" s="51"/>
      <c r="J69" s="51"/>
      <c r="K69" s="51"/>
      <c r="L69" s="51"/>
    </row>
    <row r="70" spans="1:12" ht="12.75" customHeight="1" x14ac:dyDescent="0.2">
      <c r="A70" s="51"/>
      <c r="B70" s="51"/>
      <c r="C70" s="477">
        <v>3051393689</v>
      </c>
      <c r="D70" s="478" t="s">
        <v>1709</v>
      </c>
      <c r="E70" s="486">
        <v>0.93899999999999995</v>
      </c>
      <c r="F70" s="51"/>
      <c r="G70" s="51"/>
      <c r="H70" s="51"/>
      <c r="I70" s="51"/>
      <c r="J70" s="51"/>
      <c r="K70" s="51"/>
      <c r="L70" s="51"/>
    </row>
    <row r="71" spans="1:12" x14ac:dyDescent="0.2">
      <c r="A71" s="51"/>
      <c r="B71" s="51"/>
      <c r="C71" s="480">
        <v>3051532166</v>
      </c>
      <c r="D71" s="481" t="s">
        <v>1710</v>
      </c>
      <c r="E71" s="487">
        <v>0.99099999999999999</v>
      </c>
      <c r="F71" s="51"/>
      <c r="G71" s="51"/>
      <c r="H71" s="51"/>
      <c r="I71" s="51"/>
      <c r="J71" s="51"/>
      <c r="K71" s="51"/>
      <c r="L71" s="51"/>
    </row>
    <row r="72" spans="1:12" x14ac:dyDescent="0.2">
      <c r="A72" s="51"/>
      <c r="B72" s="51"/>
      <c r="C72" s="480">
        <v>3051745577</v>
      </c>
      <c r="D72" s="481" t="s">
        <v>1711</v>
      </c>
      <c r="E72" s="487">
        <v>0.998</v>
      </c>
      <c r="F72" s="51"/>
      <c r="G72" s="51"/>
      <c r="H72" s="51"/>
      <c r="I72" s="51"/>
      <c r="J72" s="51"/>
      <c r="K72" s="51"/>
      <c r="L72" s="51"/>
    </row>
    <row r="73" spans="1:12" ht="12.75" customHeight="1" x14ac:dyDescent="0.2">
      <c r="A73" s="51"/>
      <c r="B73" s="51"/>
      <c r="C73" s="480">
        <v>3052323901</v>
      </c>
      <c r="D73" s="481" t="s">
        <v>1654</v>
      </c>
      <c r="E73" s="487">
        <v>1</v>
      </c>
      <c r="F73" s="51"/>
      <c r="G73" s="51"/>
      <c r="H73" s="51"/>
      <c r="I73" s="51"/>
      <c r="J73" s="51"/>
      <c r="K73" s="51"/>
      <c r="L73" s="51"/>
    </row>
    <row r="74" spans="1:12" x14ac:dyDescent="0.2">
      <c r="A74" s="51"/>
      <c r="B74" s="51"/>
      <c r="C74" s="480">
        <v>3052368025</v>
      </c>
      <c r="D74" s="481" t="s">
        <v>1712</v>
      </c>
      <c r="E74" s="487">
        <v>0.89</v>
      </c>
      <c r="F74" s="51"/>
      <c r="G74" s="51"/>
      <c r="H74" s="51"/>
      <c r="I74" s="51"/>
      <c r="J74" s="51"/>
      <c r="K74" s="51"/>
      <c r="L74" s="51"/>
    </row>
    <row r="75" spans="1:12" x14ac:dyDescent="0.2">
      <c r="A75" s="51"/>
      <c r="B75" s="51"/>
      <c r="C75" s="480">
        <v>3053000490</v>
      </c>
      <c r="D75" s="481" t="s">
        <v>1713</v>
      </c>
      <c r="E75" s="487">
        <v>1.0049999999999999</v>
      </c>
      <c r="F75" s="51"/>
      <c r="G75" s="51"/>
      <c r="H75" s="51"/>
      <c r="I75" s="51"/>
      <c r="J75" s="51"/>
      <c r="K75" s="51"/>
      <c r="L75" s="51"/>
    </row>
    <row r="76" spans="1:12" x14ac:dyDescent="0.2">
      <c r="A76" s="51"/>
      <c r="B76" s="51"/>
      <c r="C76" s="480" t="s">
        <v>1714</v>
      </c>
      <c r="D76" s="481" t="s">
        <v>1715</v>
      </c>
      <c r="E76" s="487">
        <v>0.98099999999999998</v>
      </c>
      <c r="F76" s="51"/>
      <c r="G76" s="488"/>
      <c r="H76" s="51"/>
      <c r="I76" s="51"/>
      <c r="J76" s="51"/>
      <c r="K76" s="51"/>
      <c r="L76" s="51"/>
    </row>
    <row r="77" spans="1:12" x14ac:dyDescent="0.2">
      <c r="A77" s="51"/>
      <c r="B77" s="51"/>
      <c r="C77" s="480" t="s">
        <v>1716</v>
      </c>
      <c r="D77" s="481" t="s">
        <v>1717</v>
      </c>
      <c r="E77" s="487">
        <v>0.98399999999999999</v>
      </c>
      <c r="F77" s="51"/>
      <c r="G77" s="51"/>
      <c r="H77" s="51"/>
      <c r="I77" s="51"/>
      <c r="J77" s="51"/>
      <c r="K77" s="51"/>
      <c r="L77" s="51"/>
    </row>
    <row r="78" spans="1:12" x14ac:dyDescent="0.2">
      <c r="A78" s="51"/>
      <c r="B78" s="51"/>
      <c r="C78" s="480" t="s">
        <v>1718</v>
      </c>
      <c r="D78" s="481" t="s">
        <v>1719</v>
      </c>
      <c r="E78" s="487">
        <v>0.98499999999999999</v>
      </c>
      <c r="F78" s="51"/>
      <c r="G78" s="51"/>
      <c r="H78" s="51"/>
      <c r="I78" s="51"/>
      <c r="J78" s="51"/>
      <c r="K78" s="51"/>
      <c r="L78" s="51"/>
    </row>
    <row r="79" spans="1:12" x14ac:dyDescent="0.2">
      <c r="A79" s="51"/>
      <c r="B79" s="51"/>
      <c r="C79" s="480" t="s">
        <v>1720</v>
      </c>
      <c r="D79" s="481" t="s">
        <v>1721</v>
      </c>
      <c r="E79" s="487">
        <v>0.998</v>
      </c>
      <c r="F79" s="51"/>
      <c r="G79" s="51"/>
      <c r="H79" s="51"/>
      <c r="I79" s="51"/>
      <c r="J79" s="51"/>
      <c r="K79" s="51"/>
      <c r="L79" s="51"/>
    </row>
    <row r="80" spans="1:12" x14ac:dyDescent="0.2">
      <c r="A80" s="51"/>
      <c r="B80" s="51"/>
      <c r="C80" s="480" t="s">
        <v>1722</v>
      </c>
      <c r="D80" s="481" t="s">
        <v>1723</v>
      </c>
      <c r="E80" s="487">
        <v>0.98699999999999999</v>
      </c>
      <c r="F80" s="51"/>
      <c r="G80" s="51"/>
      <c r="H80" s="51"/>
      <c r="I80" s="51"/>
      <c r="J80" s="51"/>
      <c r="K80" s="51"/>
      <c r="L80" s="51"/>
    </row>
    <row r="81" spans="1:12" x14ac:dyDescent="0.2">
      <c r="A81" s="51"/>
      <c r="B81" s="51"/>
      <c r="C81" s="480" t="s">
        <v>1724</v>
      </c>
      <c r="D81" s="481" t="s">
        <v>1725</v>
      </c>
      <c r="E81" s="487">
        <v>0.97399999999999998</v>
      </c>
      <c r="F81" s="51"/>
      <c r="G81" s="51"/>
      <c r="H81" s="51"/>
      <c r="I81" s="51"/>
      <c r="J81" s="51"/>
      <c r="K81" s="51"/>
      <c r="L81" s="51"/>
    </row>
    <row r="82" spans="1:12" ht="13.5" customHeight="1" x14ac:dyDescent="0.2">
      <c r="A82" s="51"/>
      <c r="B82" s="51"/>
      <c r="C82" s="480" t="s">
        <v>1726</v>
      </c>
      <c r="D82" s="481" t="s">
        <v>1727</v>
      </c>
      <c r="E82" s="487">
        <v>0.999</v>
      </c>
      <c r="F82" s="51"/>
      <c r="G82" s="51"/>
      <c r="H82" s="51"/>
      <c r="I82" s="51"/>
      <c r="J82" s="51"/>
      <c r="K82" s="51"/>
      <c r="L82" s="51"/>
    </row>
    <row r="83" spans="1:12" x14ac:dyDescent="0.2">
      <c r="A83" s="51"/>
      <c r="B83" s="51"/>
      <c r="C83" s="480" t="s">
        <v>1728</v>
      </c>
      <c r="D83" s="481" t="s">
        <v>1729</v>
      </c>
      <c r="E83" s="487">
        <v>0.95</v>
      </c>
      <c r="F83" s="57"/>
      <c r="G83" s="57"/>
      <c r="H83" s="57"/>
      <c r="I83" s="51"/>
      <c r="J83" s="51"/>
      <c r="K83" s="51"/>
      <c r="L83" s="51"/>
    </row>
    <row r="84" spans="1:12" x14ac:dyDescent="0.2">
      <c r="A84" s="51"/>
      <c r="B84" s="51"/>
      <c r="C84" s="480" t="s">
        <v>1730</v>
      </c>
      <c r="D84" s="481" t="s">
        <v>1731</v>
      </c>
      <c r="E84" s="487">
        <v>0.95</v>
      </c>
      <c r="F84" s="57"/>
      <c r="G84" s="57"/>
      <c r="H84" s="57"/>
      <c r="I84" s="51"/>
      <c r="J84" s="51"/>
      <c r="K84" s="51"/>
      <c r="L84" s="51"/>
    </row>
    <row r="85" spans="1:12" x14ac:dyDescent="0.2">
      <c r="A85" s="51"/>
      <c r="B85" s="51"/>
      <c r="C85" s="480" t="s">
        <v>1732</v>
      </c>
      <c r="D85" s="481" t="s">
        <v>1733</v>
      </c>
      <c r="E85" s="487">
        <v>0.998</v>
      </c>
      <c r="F85" s="57"/>
      <c r="G85" s="57"/>
      <c r="H85" s="57"/>
      <c r="I85" s="51"/>
      <c r="J85" s="51"/>
      <c r="K85" s="51"/>
      <c r="L85" s="51"/>
    </row>
    <row r="86" spans="1:12" x14ac:dyDescent="0.2">
      <c r="A86" s="51"/>
      <c r="B86" s="51"/>
      <c r="C86" s="480" t="s">
        <v>1734</v>
      </c>
      <c r="D86" s="481" t="s">
        <v>1654</v>
      </c>
      <c r="E86" s="487">
        <v>1</v>
      </c>
      <c r="F86" s="57"/>
      <c r="G86" s="57"/>
      <c r="H86" s="57"/>
      <c r="I86" s="51"/>
      <c r="J86" s="51"/>
      <c r="K86" s="51"/>
      <c r="L86" s="51"/>
    </row>
    <row r="87" spans="1:12" x14ac:dyDescent="0.2">
      <c r="A87" s="51"/>
      <c r="B87" s="51"/>
      <c r="C87" s="480">
        <v>3052060420</v>
      </c>
      <c r="D87" s="481" t="s">
        <v>1735</v>
      </c>
      <c r="E87" s="487">
        <v>1</v>
      </c>
      <c r="F87" s="57"/>
      <c r="G87" s="57"/>
      <c r="H87" s="57"/>
      <c r="I87" s="51"/>
      <c r="J87" s="51"/>
      <c r="K87" s="51"/>
      <c r="L87" s="51"/>
    </row>
    <row r="88" spans="1:12" x14ac:dyDescent="0.2">
      <c r="A88" s="51"/>
      <c r="B88" s="51"/>
      <c r="C88" s="480">
        <v>3053005598</v>
      </c>
      <c r="D88" s="481" t="s">
        <v>1736</v>
      </c>
      <c r="E88" s="487">
        <v>0.98799999999999999</v>
      </c>
      <c r="F88" s="57"/>
      <c r="G88" s="57"/>
      <c r="H88" s="57"/>
      <c r="I88" s="51"/>
      <c r="J88" s="51"/>
      <c r="K88" s="51"/>
      <c r="L88" s="51"/>
    </row>
    <row r="89" spans="1:12" x14ac:dyDescent="0.2">
      <c r="A89" s="51"/>
      <c r="B89" s="51"/>
      <c r="C89" s="480">
        <v>3053006353</v>
      </c>
      <c r="D89" s="481" t="s">
        <v>1737</v>
      </c>
      <c r="E89" s="487">
        <v>0.876</v>
      </c>
      <c r="F89" s="57"/>
      <c r="G89" s="57"/>
      <c r="H89" s="57"/>
      <c r="I89" s="51"/>
      <c r="J89" s="51"/>
      <c r="K89" s="51"/>
      <c r="L89" s="51"/>
    </row>
    <row r="90" spans="1:12" x14ac:dyDescent="0.2">
      <c r="A90" s="51"/>
      <c r="B90" s="51"/>
      <c r="C90" s="480">
        <v>3053007186</v>
      </c>
      <c r="D90" s="481" t="s">
        <v>1738</v>
      </c>
      <c r="E90" s="487">
        <v>0.95399999999999996</v>
      </c>
      <c r="F90" s="57"/>
      <c r="G90" s="57"/>
      <c r="H90" s="57"/>
      <c r="I90" s="51"/>
      <c r="J90" s="51"/>
      <c r="K90" s="51"/>
      <c r="L90" s="51"/>
    </row>
    <row r="91" spans="1:12" x14ac:dyDescent="0.2">
      <c r="A91" s="51"/>
      <c r="B91" s="51"/>
      <c r="C91" s="480">
        <v>3053010873</v>
      </c>
      <c r="D91" s="481" t="s">
        <v>1739</v>
      </c>
      <c r="E91" s="487">
        <v>0.95199999999999996</v>
      </c>
      <c r="F91" s="57"/>
      <c r="G91" s="57"/>
      <c r="H91" s="57"/>
      <c r="I91" s="51"/>
      <c r="J91" s="51"/>
      <c r="K91" s="51"/>
      <c r="L91" s="51"/>
    </row>
    <row r="92" spans="1:12" x14ac:dyDescent="0.2">
      <c r="A92" s="51"/>
      <c r="B92" s="51"/>
      <c r="C92" s="480">
        <v>3053012322</v>
      </c>
      <c r="D92" s="481" t="s">
        <v>1740</v>
      </c>
      <c r="E92" s="487">
        <v>0.99099999999999999</v>
      </c>
      <c r="F92" s="57"/>
      <c r="G92" s="57"/>
      <c r="H92" s="57"/>
      <c r="I92" s="51"/>
      <c r="J92" s="51"/>
      <c r="K92" s="51"/>
      <c r="L92" s="51"/>
    </row>
    <row r="93" spans="1:12" x14ac:dyDescent="0.2">
      <c r="A93" s="51"/>
      <c r="B93" s="51"/>
      <c r="C93" s="483">
        <v>3053012323</v>
      </c>
      <c r="D93" s="484" t="s">
        <v>1741</v>
      </c>
      <c r="E93" s="489">
        <v>0.99299999999999999</v>
      </c>
      <c r="F93" s="57"/>
      <c r="G93" s="57"/>
      <c r="H93" s="57"/>
      <c r="I93" s="51"/>
      <c r="J93" s="51"/>
      <c r="K93" s="51"/>
      <c r="L93" s="51"/>
    </row>
    <row r="94" spans="1:12" x14ac:dyDescent="0.2">
      <c r="A94" s="51"/>
      <c r="B94" s="57"/>
      <c r="C94" s="57"/>
      <c r="D94" s="57"/>
      <c r="E94" s="57"/>
      <c r="F94" s="57"/>
      <c r="G94" s="57"/>
      <c r="H94" s="57"/>
      <c r="I94" s="57"/>
      <c r="J94" s="51"/>
      <c r="K94" s="51"/>
      <c r="L94" s="51"/>
    </row>
    <row r="95" spans="1:12" x14ac:dyDescent="0.2">
      <c r="A95" s="51"/>
      <c r="B95" s="57"/>
      <c r="C95" s="57"/>
      <c r="D95" s="57"/>
      <c r="E95" s="57"/>
      <c r="F95" s="57"/>
      <c r="G95" s="57"/>
      <c r="H95" s="57"/>
      <c r="I95" s="57"/>
      <c r="J95" s="51"/>
      <c r="K95" s="51"/>
      <c r="L95" s="51"/>
    </row>
    <row r="96" spans="1:12" x14ac:dyDescent="0.2">
      <c r="A96" s="51"/>
      <c r="B96" s="57"/>
      <c r="C96" s="57"/>
      <c r="D96" s="57"/>
      <c r="E96" s="57"/>
      <c r="F96" s="57"/>
      <c r="G96" s="57"/>
      <c r="H96" s="57"/>
      <c r="I96" s="57"/>
      <c r="J96" s="51"/>
      <c r="K96" s="51"/>
      <c r="L96" s="51"/>
    </row>
    <row r="97" spans="1:12" x14ac:dyDescent="0.2">
      <c r="A97" s="51"/>
      <c r="B97" s="57"/>
      <c r="C97" s="57"/>
      <c r="D97" s="57"/>
      <c r="E97" s="57"/>
      <c r="F97" s="57"/>
      <c r="G97" s="57"/>
      <c r="H97" s="57"/>
      <c r="I97" s="57"/>
      <c r="J97" s="51"/>
      <c r="K97" s="51"/>
      <c r="L97" s="51"/>
    </row>
    <row r="98" spans="1:12" x14ac:dyDescent="0.2">
      <c r="A98" s="51"/>
      <c r="B98" s="57"/>
      <c r="C98" s="57"/>
      <c r="D98" s="57"/>
      <c r="E98" s="57"/>
      <c r="F98" s="57"/>
      <c r="G98" s="57"/>
      <c r="H98" s="57"/>
      <c r="I98" s="57"/>
      <c r="J98" s="51"/>
      <c r="K98" s="51"/>
      <c r="L98" s="51"/>
    </row>
    <row r="99" spans="1:12" ht="12.75" customHeight="1" x14ac:dyDescent="0.2">
      <c r="A99" s="51"/>
      <c r="B99" s="57"/>
      <c r="C99" s="57"/>
      <c r="D99" s="57"/>
      <c r="E99" s="57"/>
      <c r="F99" s="57"/>
      <c r="G99" s="57"/>
      <c r="H99" s="57"/>
      <c r="I99" s="57"/>
      <c r="J99" s="51"/>
      <c r="K99" s="51"/>
      <c r="L99" s="51"/>
    </row>
    <row r="100" spans="1:12" x14ac:dyDescent="0.2">
      <c r="A100" s="51"/>
      <c r="B100" s="51"/>
      <c r="C100" s="51"/>
      <c r="D100" s="51"/>
      <c r="E100" s="51"/>
      <c r="F100" s="51"/>
      <c r="G100" s="51"/>
      <c r="H100" s="51"/>
      <c r="I100" s="51"/>
      <c r="J100" s="51"/>
      <c r="K100" s="51"/>
      <c r="L100" s="51"/>
    </row>
  </sheetData>
  <mergeCells count="5">
    <mergeCell ref="C11:I11"/>
    <mergeCell ref="C12:C13"/>
    <mergeCell ref="D12:E12"/>
    <mergeCell ref="F12:G12"/>
    <mergeCell ref="H12:I12"/>
  </mergeCells>
  <pageMargins left="0.25" right="0.25" top="0.75" bottom="0.75" header="0.3" footer="0.3"/>
  <pageSetup paperSize="9" scale="59" fitToWidth="0" orientation="portrait" verticalDpi="300" r:id="rId1"/>
  <headerFooter alignWithMargins="0">
    <oddFooter>Page &amp;P of &amp;N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32"/>
  <sheetViews>
    <sheetView zoomScale="80" zoomScaleNormal="80" zoomScaleSheetLayoutView="90" zoomScalePageLayoutView="60" workbookViewId="0"/>
  </sheetViews>
  <sheetFormatPr defaultColWidth="9.140625" defaultRowHeight="12.75" x14ac:dyDescent="0.2"/>
  <cols>
    <col min="1" max="2" width="3.7109375" style="77" customWidth="1"/>
    <col min="3" max="9" width="12.7109375" style="77" customWidth="1"/>
    <col min="10" max="11" width="11.7109375" style="77" customWidth="1"/>
    <col min="12" max="56" width="9.140625" style="77"/>
    <col min="57" max="16369" width="9.140625" style="77" customWidth="1"/>
    <col min="16370" max="16384" width="9.140625" style="77"/>
  </cols>
  <sheetData>
    <row r="1" spans="1:13" s="108" customFormat="1" x14ac:dyDescent="0.2">
      <c r="A1" s="78"/>
      <c r="B1" s="78"/>
      <c r="C1" s="79"/>
      <c r="D1" s="79"/>
      <c r="E1" s="79"/>
      <c r="F1" s="79"/>
      <c r="G1" s="79"/>
      <c r="H1" s="79"/>
      <c r="I1" s="79"/>
      <c r="J1" s="79"/>
      <c r="K1" s="79"/>
      <c r="L1" s="589"/>
      <c r="M1" s="589"/>
    </row>
    <row r="2" spans="1:13" s="102" customFormat="1" ht="18.75" customHeight="1" x14ac:dyDescent="0.2">
      <c r="A2" s="10"/>
      <c r="B2" s="9"/>
      <c r="C2" s="9"/>
      <c r="D2" s="9"/>
      <c r="E2" s="4"/>
      <c r="F2" s="11"/>
      <c r="G2" s="11"/>
      <c r="H2" s="11"/>
      <c r="I2" s="11"/>
      <c r="J2" s="11"/>
      <c r="K2" s="11"/>
      <c r="L2" s="9"/>
      <c r="M2" s="9"/>
    </row>
    <row r="3" spans="1:13" s="102" customFormat="1" ht="18.75" customHeight="1" x14ac:dyDescent="0.2">
      <c r="A3" s="10"/>
      <c r="B3" s="9"/>
      <c r="C3" s="4" t="s">
        <v>23</v>
      </c>
      <c r="D3" s="9"/>
      <c r="E3" s="5"/>
      <c r="F3" s="11"/>
      <c r="G3" s="11"/>
      <c r="H3" s="11"/>
      <c r="I3" s="11"/>
      <c r="J3" s="11"/>
      <c r="K3" s="11"/>
      <c r="L3" s="9"/>
      <c r="M3" s="9"/>
    </row>
    <row r="4" spans="1:13" ht="18" x14ac:dyDescent="0.25">
      <c r="A4" s="51"/>
      <c r="B4" s="54"/>
      <c r="C4" s="5" t="s">
        <v>1643</v>
      </c>
      <c r="D4" s="51"/>
      <c r="E4" s="51"/>
      <c r="F4" s="51"/>
      <c r="G4" s="51"/>
      <c r="H4" s="51"/>
      <c r="I4" s="51"/>
      <c r="J4" s="55"/>
      <c r="K4" s="51"/>
      <c r="L4" s="51"/>
      <c r="M4" s="51"/>
    </row>
    <row r="5" spans="1:13" ht="18" x14ac:dyDescent="0.2">
      <c r="A5" s="51"/>
      <c r="B5" s="51"/>
      <c r="C5" s="5" t="s">
        <v>672</v>
      </c>
      <c r="D5" s="51"/>
      <c r="E5" s="51"/>
      <c r="F5" s="51"/>
      <c r="G5" s="51"/>
      <c r="H5" s="51"/>
      <c r="I5" s="59"/>
      <c r="J5" s="51"/>
      <c r="K5" s="51"/>
      <c r="L5" s="51"/>
      <c r="M5" s="51"/>
    </row>
    <row r="6" spans="1:13" ht="15.75" customHeight="1" x14ac:dyDescent="0.2">
      <c r="A6" s="63"/>
      <c r="B6" s="63"/>
      <c r="C6" s="9"/>
      <c r="D6" s="9"/>
      <c r="E6" s="9"/>
      <c r="F6" s="9"/>
      <c r="G6" s="9"/>
      <c r="H6" s="9"/>
      <c r="I6" s="9"/>
      <c r="J6" s="9"/>
      <c r="K6" s="9"/>
      <c r="L6" s="51"/>
      <c r="M6" s="51"/>
    </row>
    <row r="7" spans="1:13" ht="67.5" customHeight="1" x14ac:dyDescent="0.2">
      <c r="A7" s="63"/>
      <c r="B7" s="63"/>
      <c r="C7" s="802" t="s">
        <v>673</v>
      </c>
      <c r="D7" s="803"/>
      <c r="E7" s="803"/>
      <c r="F7" s="803"/>
      <c r="G7" s="803"/>
      <c r="H7" s="803"/>
      <c r="I7" s="804"/>
      <c r="J7" s="9"/>
      <c r="K7" s="9"/>
      <c r="L7" s="51"/>
      <c r="M7" s="51"/>
    </row>
    <row r="8" spans="1:13" s="107" customFormat="1" ht="30" customHeight="1" x14ac:dyDescent="0.2">
      <c r="A8" s="71"/>
      <c r="B8" s="71"/>
      <c r="C8" s="769" t="s">
        <v>2</v>
      </c>
      <c r="D8" s="805" t="s">
        <v>27</v>
      </c>
      <c r="E8" s="806"/>
      <c r="F8" s="807" t="s">
        <v>28</v>
      </c>
      <c r="G8" s="808"/>
      <c r="H8" s="725" t="s">
        <v>444</v>
      </c>
      <c r="I8" s="726"/>
      <c r="J8" s="9"/>
      <c r="K8" s="9"/>
      <c r="L8" s="71"/>
      <c r="M8" s="71"/>
    </row>
    <row r="9" spans="1:13" s="107" customFormat="1" ht="80.099999999999994" customHeight="1" x14ac:dyDescent="0.2">
      <c r="A9" s="71"/>
      <c r="B9" s="71"/>
      <c r="C9" s="770"/>
      <c r="D9" s="109" t="s">
        <v>3</v>
      </c>
      <c r="E9" s="109" t="s">
        <v>6</v>
      </c>
      <c r="F9" s="110" t="s">
        <v>8</v>
      </c>
      <c r="G9" s="110" t="s">
        <v>10</v>
      </c>
      <c r="H9" s="111" t="s">
        <v>674</v>
      </c>
      <c r="I9" s="111" t="s">
        <v>675</v>
      </c>
      <c r="J9" s="9"/>
      <c r="K9" s="9"/>
      <c r="L9" s="71"/>
      <c r="M9" s="71"/>
    </row>
    <row r="10" spans="1:13" s="107" customFormat="1" ht="30" customHeight="1" x14ac:dyDescent="0.2">
      <c r="A10" s="71"/>
      <c r="B10" s="71"/>
      <c r="C10" s="771"/>
      <c r="D10" s="112" t="s">
        <v>13</v>
      </c>
      <c r="E10" s="112" t="s">
        <v>16</v>
      </c>
      <c r="F10" s="113" t="s">
        <v>13</v>
      </c>
      <c r="G10" s="114" t="s">
        <v>16</v>
      </c>
      <c r="H10" s="105" t="s">
        <v>13</v>
      </c>
      <c r="I10" s="105" t="s">
        <v>13</v>
      </c>
      <c r="J10" s="9"/>
      <c r="K10" s="9"/>
      <c r="L10" s="71"/>
      <c r="M10" s="71"/>
    </row>
    <row r="11" spans="1:13" s="107" customFormat="1" ht="14.25" customHeight="1" x14ac:dyDescent="0.2">
      <c r="A11" s="71"/>
      <c r="B11" s="71"/>
      <c r="C11" s="115" t="s">
        <v>676</v>
      </c>
      <c r="D11" s="116"/>
      <c r="E11" s="117">
        <v>0</v>
      </c>
      <c r="F11" s="116"/>
      <c r="G11" s="116"/>
      <c r="H11" s="604">
        <v>9.7599999999999996E-3</v>
      </c>
      <c r="I11" s="605">
        <v>2.665E-2</v>
      </c>
      <c r="J11" s="9"/>
      <c r="K11" s="9"/>
      <c r="L11" s="71"/>
      <c r="M11" s="71"/>
    </row>
    <row r="12" spans="1:13" s="107" customFormat="1" ht="14.25" customHeight="1" x14ac:dyDescent="0.2">
      <c r="A12" s="71"/>
      <c r="B12" s="71"/>
      <c r="C12" s="118" t="s">
        <v>677</v>
      </c>
      <c r="D12" s="119"/>
      <c r="E12" s="120">
        <v>0</v>
      </c>
      <c r="F12" s="119"/>
      <c r="G12" s="119"/>
      <c r="H12" s="606">
        <v>0</v>
      </c>
      <c r="I12" s="607">
        <v>0</v>
      </c>
      <c r="J12" s="9"/>
      <c r="K12" s="9"/>
      <c r="L12" s="71"/>
      <c r="M12" s="71"/>
    </row>
    <row r="13" spans="1:13" s="107" customFormat="1" ht="14.25" customHeight="1" x14ac:dyDescent="0.2">
      <c r="A13" s="71"/>
      <c r="B13" s="71"/>
      <c r="C13" s="118" t="s">
        <v>678</v>
      </c>
      <c r="D13" s="119"/>
      <c r="E13" s="120">
        <v>0</v>
      </c>
      <c r="F13" s="119"/>
      <c r="G13" s="119"/>
      <c r="H13" s="606">
        <v>9.7599999999999996E-3</v>
      </c>
      <c r="I13" s="607">
        <v>0</v>
      </c>
      <c r="J13" s="9"/>
      <c r="K13" s="9"/>
      <c r="L13" s="71"/>
      <c r="M13" s="71"/>
    </row>
    <row r="14" spans="1:13" s="107" customFormat="1" ht="14.25" customHeight="1" x14ac:dyDescent="0.2">
      <c r="A14" s="71"/>
      <c r="B14" s="71"/>
      <c r="C14" s="121" t="s">
        <v>679</v>
      </c>
      <c r="D14" s="122"/>
      <c r="E14" s="123">
        <v>0</v>
      </c>
      <c r="F14" s="122"/>
      <c r="G14" s="122"/>
      <c r="H14" s="608">
        <v>0</v>
      </c>
      <c r="I14" s="49">
        <v>2.665E-2</v>
      </c>
      <c r="J14" s="9"/>
      <c r="K14" s="9"/>
      <c r="L14" s="71"/>
      <c r="M14" s="71"/>
    </row>
    <row r="15" spans="1:13" s="107" customFormat="1" ht="14.25" customHeight="1" x14ac:dyDescent="0.2">
      <c r="A15" s="71"/>
      <c r="B15" s="71"/>
      <c r="C15" s="115" t="s">
        <v>680</v>
      </c>
      <c r="D15" s="116"/>
      <c r="E15" s="124">
        <v>-0.44</v>
      </c>
      <c r="F15" s="116"/>
      <c r="G15" s="116"/>
      <c r="H15" s="604">
        <v>9.7599999999999996E-3</v>
      </c>
      <c r="I15" s="605">
        <v>2.665E-2</v>
      </c>
      <c r="J15" s="9"/>
      <c r="K15" s="9"/>
      <c r="L15" s="71"/>
      <c r="M15" s="71"/>
    </row>
    <row r="16" spans="1:13" s="107" customFormat="1" ht="14.25" customHeight="1" x14ac:dyDescent="0.2">
      <c r="A16" s="71"/>
      <c r="B16" s="71"/>
      <c r="C16" s="118" t="s">
        <v>681</v>
      </c>
      <c r="D16" s="119"/>
      <c r="E16" s="120">
        <v>-0.44</v>
      </c>
      <c r="F16" s="119"/>
      <c r="G16" s="119"/>
      <c r="H16" s="606">
        <v>0</v>
      </c>
      <c r="I16" s="607">
        <v>0</v>
      </c>
      <c r="J16" s="9"/>
      <c r="K16" s="9"/>
      <c r="L16" s="71"/>
      <c r="M16" s="71"/>
    </row>
    <row r="17" spans="1:13" s="107" customFormat="1" ht="14.25" customHeight="1" x14ac:dyDescent="0.2">
      <c r="A17" s="71"/>
      <c r="B17" s="71"/>
      <c r="C17" s="118" t="s">
        <v>682</v>
      </c>
      <c r="D17" s="119"/>
      <c r="E17" s="120">
        <v>-0.44</v>
      </c>
      <c r="F17" s="119"/>
      <c r="G17" s="119"/>
      <c r="H17" s="606">
        <v>9.7599999999999996E-3</v>
      </c>
      <c r="I17" s="607">
        <v>0</v>
      </c>
      <c r="J17" s="9"/>
      <c r="K17" s="9"/>
      <c r="L17" s="71"/>
      <c r="M17" s="71"/>
    </row>
    <row r="18" spans="1:13" s="107" customFormat="1" ht="14.25" customHeight="1" x14ac:dyDescent="0.2">
      <c r="A18" s="71"/>
      <c r="B18" s="71"/>
      <c r="C18" s="121" t="s">
        <v>683</v>
      </c>
      <c r="D18" s="122"/>
      <c r="E18" s="123">
        <v>-0.44</v>
      </c>
      <c r="F18" s="122"/>
      <c r="G18" s="122"/>
      <c r="H18" s="608">
        <v>0</v>
      </c>
      <c r="I18" s="49">
        <v>2.665E-2</v>
      </c>
      <c r="J18" s="9"/>
      <c r="K18" s="9"/>
      <c r="L18" s="71"/>
      <c r="M18" s="71"/>
    </row>
    <row r="19" spans="1:13" s="107" customFormat="1" ht="14.25" customHeight="1" x14ac:dyDescent="0.2">
      <c r="A19" s="71"/>
      <c r="B19" s="71"/>
      <c r="C19" s="115" t="s">
        <v>684</v>
      </c>
      <c r="D19" s="116"/>
      <c r="E19" s="124">
        <v>0</v>
      </c>
      <c r="F19" s="116"/>
      <c r="G19" s="116"/>
      <c r="H19" s="604">
        <v>9.7599999999999996E-3</v>
      </c>
      <c r="I19" s="605">
        <v>2.665E-2</v>
      </c>
      <c r="J19" s="9"/>
      <c r="K19" s="9"/>
      <c r="L19" s="71"/>
      <c r="M19" s="71"/>
    </row>
    <row r="20" spans="1:13" s="107" customFormat="1" ht="14.25" customHeight="1" x14ac:dyDescent="0.2">
      <c r="A20" s="71"/>
      <c r="B20" s="71"/>
      <c r="C20" s="118" t="s">
        <v>685</v>
      </c>
      <c r="D20" s="119"/>
      <c r="E20" s="120">
        <v>0</v>
      </c>
      <c r="F20" s="119"/>
      <c r="G20" s="119"/>
      <c r="H20" s="606">
        <v>0</v>
      </c>
      <c r="I20" s="607">
        <v>0</v>
      </c>
      <c r="J20" s="9"/>
      <c r="K20" s="9"/>
      <c r="L20" s="71"/>
      <c r="M20" s="71"/>
    </row>
    <row r="21" spans="1:13" s="107" customFormat="1" ht="14.25" customHeight="1" x14ac:dyDescent="0.2">
      <c r="A21" s="71"/>
      <c r="B21" s="71"/>
      <c r="C21" s="118" t="s">
        <v>686</v>
      </c>
      <c r="D21" s="119"/>
      <c r="E21" s="120">
        <v>0</v>
      </c>
      <c r="F21" s="119"/>
      <c r="G21" s="119"/>
      <c r="H21" s="606">
        <v>9.7599999999999996E-3</v>
      </c>
      <c r="I21" s="607">
        <v>0</v>
      </c>
      <c r="J21" s="9"/>
      <c r="K21" s="9"/>
      <c r="L21" s="71"/>
      <c r="M21" s="71"/>
    </row>
    <row r="22" spans="1:13" s="107" customFormat="1" ht="14.25" customHeight="1" x14ac:dyDescent="0.2">
      <c r="A22" s="71"/>
      <c r="B22" s="71"/>
      <c r="C22" s="121" t="s">
        <v>687</v>
      </c>
      <c r="D22" s="122"/>
      <c r="E22" s="123">
        <v>0</v>
      </c>
      <c r="F22" s="122"/>
      <c r="G22" s="122"/>
      <c r="H22" s="608">
        <v>0</v>
      </c>
      <c r="I22" s="49">
        <v>2.665E-2</v>
      </c>
      <c r="J22" s="9"/>
      <c r="K22" s="9"/>
      <c r="L22" s="71"/>
      <c r="M22" s="71"/>
    </row>
    <row r="23" spans="1:13" s="107" customFormat="1" ht="14.25" customHeight="1" x14ac:dyDescent="0.2">
      <c r="A23" s="71"/>
      <c r="B23" s="71"/>
      <c r="C23" s="125" t="s">
        <v>688</v>
      </c>
      <c r="D23" s="126"/>
      <c r="E23" s="117">
        <v>0</v>
      </c>
      <c r="F23" s="126"/>
      <c r="G23" s="126"/>
      <c r="H23" s="604">
        <v>9.7599999999999996E-3</v>
      </c>
      <c r="I23" s="605">
        <v>2.665E-2</v>
      </c>
      <c r="J23" s="9"/>
      <c r="K23" s="9"/>
      <c r="L23" s="71"/>
      <c r="M23" s="71"/>
    </row>
    <row r="24" spans="1:13" s="107" customFormat="1" ht="14.25" customHeight="1" x14ac:dyDescent="0.2">
      <c r="A24" s="71"/>
      <c r="B24" s="71"/>
      <c r="C24" s="127" t="s">
        <v>689</v>
      </c>
      <c r="D24" s="128"/>
      <c r="E24" s="129">
        <v>0</v>
      </c>
      <c r="F24" s="128"/>
      <c r="G24" s="128"/>
      <c r="H24" s="606">
        <v>0</v>
      </c>
      <c r="I24" s="607">
        <v>0</v>
      </c>
      <c r="J24" s="9"/>
      <c r="K24" s="9"/>
      <c r="L24" s="71"/>
      <c r="M24" s="71"/>
    </row>
    <row r="25" spans="1:13" s="107" customFormat="1" ht="14.25" customHeight="1" x14ac:dyDescent="0.2">
      <c r="A25" s="71"/>
      <c r="B25" s="71"/>
      <c r="C25" s="127" t="s">
        <v>690</v>
      </c>
      <c r="D25" s="128"/>
      <c r="E25" s="129">
        <v>0</v>
      </c>
      <c r="F25" s="128"/>
      <c r="G25" s="128"/>
      <c r="H25" s="606">
        <v>9.7599999999999996E-3</v>
      </c>
      <c r="I25" s="607">
        <v>0</v>
      </c>
      <c r="J25" s="9"/>
      <c r="K25" s="9"/>
      <c r="L25" s="71"/>
      <c r="M25" s="71"/>
    </row>
    <row r="26" spans="1:13" s="107" customFormat="1" ht="14.25" customHeight="1" x14ac:dyDescent="0.2">
      <c r="A26" s="71"/>
      <c r="B26" s="71"/>
      <c r="C26" s="121" t="s">
        <v>691</v>
      </c>
      <c r="D26" s="122"/>
      <c r="E26" s="123">
        <v>0</v>
      </c>
      <c r="F26" s="122"/>
      <c r="G26" s="122"/>
      <c r="H26" s="608">
        <v>0</v>
      </c>
      <c r="I26" s="49">
        <v>2.665E-2</v>
      </c>
      <c r="J26" s="9"/>
      <c r="K26" s="9"/>
      <c r="L26" s="71"/>
      <c r="M26" s="71"/>
    </row>
    <row r="27" spans="1:13" s="107" customFormat="1" x14ac:dyDescent="0.2">
      <c r="A27" s="71"/>
      <c r="B27" s="71"/>
      <c r="C27" s="130"/>
      <c r="D27" s="131"/>
      <c r="E27" s="132"/>
      <c r="F27" s="131"/>
      <c r="G27" s="131"/>
      <c r="H27" s="9"/>
      <c r="I27" s="9"/>
      <c r="J27" s="9"/>
      <c r="K27" s="9"/>
      <c r="L27" s="71"/>
      <c r="M27" s="71"/>
    </row>
    <row r="28" spans="1:13" s="107" customFormat="1" x14ac:dyDescent="0.2">
      <c r="A28" s="71"/>
      <c r="B28" s="71"/>
      <c r="C28" s="133" t="s">
        <v>692</v>
      </c>
      <c r="D28" s="134"/>
      <c r="E28" s="135"/>
      <c r="F28" s="134"/>
      <c r="G28" s="134"/>
      <c r="H28" s="136"/>
      <c r="I28" s="137"/>
      <c r="J28" s="9"/>
      <c r="K28" s="9"/>
      <c r="L28" s="71"/>
      <c r="M28" s="71"/>
    </row>
    <row r="29" spans="1:13" s="106" customFormat="1" ht="51.75" customHeight="1" x14ac:dyDescent="0.2">
      <c r="A29" s="3"/>
      <c r="B29" s="3"/>
      <c r="C29" s="799" t="s">
        <v>693</v>
      </c>
      <c r="D29" s="800"/>
      <c r="E29" s="800"/>
      <c r="F29" s="800"/>
      <c r="G29" s="800"/>
      <c r="H29" s="800"/>
      <c r="I29" s="801"/>
      <c r="J29" s="9"/>
      <c r="K29" s="9"/>
      <c r="L29" s="3"/>
      <c r="M29" s="3"/>
    </row>
    <row r="30" spans="1:13" x14ac:dyDescent="0.2">
      <c r="A30" s="51"/>
      <c r="B30" s="51"/>
      <c r="C30" s="9"/>
      <c r="D30" s="9"/>
      <c r="E30" s="9"/>
      <c r="F30" s="9"/>
      <c r="G30" s="9"/>
      <c r="H30" s="9"/>
      <c r="I30" s="9"/>
      <c r="J30" s="9"/>
      <c r="K30" s="9"/>
      <c r="L30" s="51"/>
      <c r="M30" s="51"/>
    </row>
    <row r="31" spans="1:13" x14ac:dyDescent="0.2">
      <c r="A31" s="51"/>
      <c r="B31" s="51"/>
      <c r="C31" s="51"/>
      <c r="D31" s="51"/>
      <c r="E31" s="51"/>
      <c r="F31" s="51"/>
      <c r="G31" s="51"/>
      <c r="H31" s="51"/>
      <c r="I31" s="51"/>
      <c r="J31" s="51"/>
      <c r="K31" s="51"/>
      <c r="L31" s="51"/>
      <c r="M31" s="51"/>
    </row>
    <row r="32" spans="1:13" x14ac:dyDescent="0.2">
      <c r="A32" s="51"/>
      <c r="B32" s="51"/>
      <c r="C32" s="51"/>
      <c r="D32" s="51"/>
      <c r="E32" s="51"/>
      <c r="F32" s="51"/>
      <c r="G32" s="51"/>
      <c r="H32" s="51"/>
      <c r="I32" s="51"/>
      <c r="J32" s="51"/>
      <c r="K32" s="51"/>
      <c r="L32" s="51"/>
      <c r="M32" s="51"/>
    </row>
  </sheetData>
  <mergeCells count="6">
    <mergeCell ref="C29:I29"/>
    <mergeCell ref="C7:I7"/>
    <mergeCell ref="C8:C10"/>
    <mergeCell ref="D8:E8"/>
    <mergeCell ref="F8:G8"/>
    <mergeCell ref="H8:I8"/>
  </mergeCells>
  <conditionalFormatting sqref="F9">
    <cfRule type="cellIs" dxfId="1" priority="3" stopIfTrue="1" operator="equal">
      <formula>"ERROR"</formula>
    </cfRule>
  </conditionalFormatting>
  <conditionalFormatting sqref="G9">
    <cfRule type="cellIs" dxfId="0" priority="4" stopIfTrue="1" operator="equal">
      <formula>"ERROR"</formula>
    </cfRule>
  </conditionalFormatting>
  <pageMargins left="0.23622047244094491" right="0.23622047244094491" top="0.74803149606299213" bottom="0.74803149606299213" header="0.31496062992125984" footer="0.31496062992125984"/>
  <pageSetup paperSize="9" scale="89" fitToHeight="0" orientation="portrait" r:id="rId1"/>
  <headerFooter alignWithMargins="0">
    <oddFooter>Page &amp;P of &amp;N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10"/>
  <sheetViews>
    <sheetView zoomScale="80" zoomScaleNormal="80" workbookViewId="0"/>
  </sheetViews>
  <sheetFormatPr defaultRowHeight="12.75" x14ac:dyDescent="0.2"/>
  <cols>
    <col min="1" max="1" width="4" style="102" customWidth="1"/>
    <col min="2" max="2" width="4.85546875" style="102" customWidth="1"/>
    <col min="3" max="3" width="38.7109375" style="102" customWidth="1"/>
    <col min="4" max="4" width="47.28515625" style="102" customWidth="1"/>
    <col min="5" max="8" width="40.42578125" style="102" customWidth="1"/>
    <col min="9" max="16384" width="9.140625" style="102"/>
  </cols>
  <sheetData>
    <row r="1" spans="1:10" x14ac:dyDescent="0.2">
      <c r="A1" s="9"/>
      <c r="B1" s="9"/>
      <c r="C1" s="9"/>
      <c r="D1" s="9"/>
      <c r="E1" s="9"/>
      <c r="F1" s="9"/>
      <c r="G1" s="9"/>
      <c r="H1" s="9"/>
      <c r="I1" s="9"/>
      <c r="J1" s="9"/>
    </row>
    <row r="2" spans="1:10" x14ac:dyDescent="0.2">
      <c r="A2" s="9"/>
      <c r="B2" s="9"/>
      <c r="C2" s="9"/>
      <c r="D2" s="9"/>
      <c r="E2" s="9"/>
      <c r="F2" s="9"/>
      <c r="G2" s="9"/>
      <c r="H2" s="9"/>
      <c r="I2" s="9"/>
      <c r="J2" s="9"/>
    </row>
    <row r="3" spans="1:10" ht="18" x14ac:dyDescent="0.2">
      <c r="A3" s="9"/>
      <c r="B3" s="9"/>
      <c r="C3" s="4" t="s">
        <v>0</v>
      </c>
      <c r="D3" s="9"/>
      <c r="E3" s="138"/>
      <c r="F3" s="9"/>
      <c r="G3" s="9"/>
      <c r="H3" s="9"/>
      <c r="I3" s="9"/>
      <c r="J3" s="9"/>
    </row>
    <row r="4" spans="1:10" ht="18" x14ac:dyDescent="0.2">
      <c r="A4" s="9"/>
      <c r="B4" s="9"/>
      <c r="C4" s="5" t="s">
        <v>1644</v>
      </c>
      <c r="D4" s="9"/>
      <c r="E4" s="9"/>
      <c r="F4" s="9"/>
      <c r="G4" s="9"/>
      <c r="H4" s="9"/>
      <c r="I4" s="9"/>
      <c r="J4" s="9"/>
    </row>
    <row r="5" spans="1:10" ht="15.75" customHeight="1" x14ac:dyDescent="0.2">
      <c r="A5" s="9"/>
      <c r="B5" s="9"/>
      <c r="C5" s="9"/>
      <c r="D5" s="9"/>
      <c r="E5" s="9"/>
      <c r="F5" s="9"/>
      <c r="G5" s="9"/>
      <c r="H5" s="9"/>
      <c r="I5" s="9"/>
      <c r="J5" s="9"/>
    </row>
    <row r="6" spans="1:10" ht="15.75" customHeight="1" x14ac:dyDescent="0.2">
      <c r="A6" s="9"/>
      <c r="B6" s="9"/>
      <c r="C6" s="9"/>
      <c r="D6" s="9"/>
      <c r="E6" s="9"/>
      <c r="F6" s="9"/>
      <c r="G6" s="9"/>
      <c r="H6" s="9"/>
      <c r="I6" s="9"/>
      <c r="J6" s="9"/>
    </row>
    <row r="7" spans="1:10" ht="18.75" customHeight="1" x14ac:dyDescent="0.25">
      <c r="A7" s="9"/>
      <c r="B7" s="9"/>
      <c r="C7" s="12" t="s">
        <v>694</v>
      </c>
      <c r="D7" s="9"/>
      <c r="E7" s="9"/>
      <c r="F7" s="9"/>
      <c r="G7" s="9"/>
      <c r="H7" s="138"/>
      <c r="I7" s="9"/>
      <c r="J7" s="9"/>
    </row>
    <row r="8" spans="1:10" ht="17.25" thickBot="1" x14ac:dyDescent="0.3">
      <c r="A8" s="9"/>
      <c r="B8" s="9"/>
      <c r="C8" s="12"/>
      <c r="D8" s="9"/>
      <c r="E8" s="9"/>
      <c r="F8" s="9"/>
      <c r="G8" s="9"/>
      <c r="H8" s="9"/>
      <c r="I8" s="9"/>
      <c r="J8" s="9"/>
    </row>
    <row r="9" spans="1:10" ht="73.5" customHeight="1" x14ac:dyDescent="0.2">
      <c r="A9" s="9"/>
      <c r="B9" s="9"/>
      <c r="C9" s="139" t="s">
        <v>695</v>
      </c>
      <c r="D9" s="139" t="s">
        <v>696</v>
      </c>
      <c r="E9" s="140" t="s">
        <v>697</v>
      </c>
      <c r="F9" s="141" t="s">
        <v>698</v>
      </c>
      <c r="G9" s="141" t="s">
        <v>699</v>
      </c>
      <c r="H9" s="141" t="s">
        <v>700</v>
      </c>
      <c r="I9" s="9"/>
      <c r="J9" s="9"/>
    </row>
    <row r="10" spans="1:10" ht="16.5" customHeight="1" x14ac:dyDescent="0.2">
      <c r="A10" s="9"/>
      <c r="B10" s="9"/>
      <c r="C10" s="809" t="s">
        <v>701</v>
      </c>
      <c r="D10" s="142" t="s">
        <v>146</v>
      </c>
      <c r="E10" s="142" t="s">
        <v>702</v>
      </c>
      <c r="F10" s="142" t="s">
        <v>703</v>
      </c>
      <c r="G10" s="142" t="s">
        <v>704</v>
      </c>
      <c r="H10" s="142" t="s">
        <v>705</v>
      </c>
      <c r="I10" s="9"/>
      <c r="J10" s="9"/>
    </row>
    <row r="11" spans="1:10" ht="16.5" customHeight="1" x14ac:dyDescent="0.2">
      <c r="A11" s="9"/>
      <c r="B11" s="9"/>
      <c r="C11" s="810"/>
      <c r="D11" s="142" t="s">
        <v>147</v>
      </c>
      <c r="E11" s="142" t="s">
        <v>706</v>
      </c>
      <c r="F11" s="142" t="s">
        <v>707</v>
      </c>
      <c r="G11" s="142" t="s">
        <v>708</v>
      </c>
      <c r="H11" s="142" t="s">
        <v>709</v>
      </c>
      <c r="I11" s="9"/>
      <c r="J11" s="9"/>
    </row>
    <row r="12" spans="1:10" ht="16.5" customHeight="1" x14ac:dyDescent="0.2">
      <c r="A12" s="9"/>
      <c r="B12" s="9"/>
      <c r="C12" s="810"/>
      <c r="D12" s="142" t="s">
        <v>149</v>
      </c>
      <c r="E12" s="142" t="s">
        <v>710</v>
      </c>
      <c r="F12" s="142" t="s">
        <v>711</v>
      </c>
      <c r="G12" s="142" t="s">
        <v>712</v>
      </c>
      <c r="H12" s="142" t="s">
        <v>713</v>
      </c>
      <c r="I12" s="9"/>
      <c r="J12" s="9"/>
    </row>
    <row r="13" spans="1:10" ht="16.5" customHeight="1" x14ac:dyDescent="0.2">
      <c r="A13" s="9"/>
      <c r="B13" s="9"/>
      <c r="C13" s="810"/>
      <c r="D13" s="143" t="s">
        <v>205</v>
      </c>
      <c r="E13" s="143" t="s">
        <v>714</v>
      </c>
      <c r="F13" s="143" t="s">
        <v>715</v>
      </c>
      <c r="G13" s="143" t="s">
        <v>716</v>
      </c>
      <c r="H13" s="143" t="s">
        <v>717</v>
      </c>
      <c r="I13" s="9"/>
      <c r="J13" s="9"/>
    </row>
    <row r="14" spans="1:10" ht="16.5" customHeight="1" x14ac:dyDescent="0.2">
      <c r="A14" s="9"/>
      <c r="B14" s="9"/>
      <c r="C14" s="809" t="s">
        <v>718</v>
      </c>
      <c r="D14" s="144" t="s">
        <v>146</v>
      </c>
      <c r="E14" s="144" t="s">
        <v>719</v>
      </c>
      <c r="F14" s="144" t="s">
        <v>720</v>
      </c>
      <c r="G14" s="144" t="s">
        <v>721</v>
      </c>
      <c r="H14" s="144" t="s">
        <v>722</v>
      </c>
      <c r="I14" s="9"/>
      <c r="J14" s="9"/>
    </row>
    <row r="15" spans="1:10" ht="16.5" customHeight="1" x14ac:dyDescent="0.2">
      <c r="A15" s="9"/>
      <c r="B15" s="9"/>
      <c r="C15" s="810"/>
      <c r="D15" s="142" t="s">
        <v>147</v>
      </c>
      <c r="E15" s="142" t="s">
        <v>723</v>
      </c>
      <c r="F15" s="142" t="s">
        <v>724</v>
      </c>
      <c r="G15" s="142" t="s">
        <v>725</v>
      </c>
      <c r="H15" s="142" t="s">
        <v>726</v>
      </c>
      <c r="I15" s="9"/>
      <c r="J15" s="9"/>
    </row>
    <row r="16" spans="1:10" ht="16.5" customHeight="1" x14ac:dyDescent="0.2">
      <c r="A16" s="9"/>
      <c r="B16" s="9"/>
      <c r="C16" s="810"/>
      <c r="D16" s="142" t="s">
        <v>149</v>
      </c>
      <c r="E16" s="142" t="s">
        <v>727</v>
      </c>
      <c r="F16" s="142" t="s">
        <v>728</v>
      </c>
      <c r="G16" s="142" t="s">
        <v>729</v>
      </c>
      <c r="H16" s="142" t="s">
        <v>730</v>
      </c>
      <c r="I16" s="9"/>
      <c r="J16" s="9"/>
    </row>
    <row r="17" spans="1:10" ht="16.5" customHeight="1" x14ac:dyDescent="0.2">
      <c r="A17" s="9"/>
      <c r="B17" s="9"/>
      <c r="C17" s="810"/>
      <c r="D17" s="143" t="s">
        <v>205</v>
      </c>
      <c r="E17" s="143" t="s">
        <v>714</v>
      </c>
      <c r="F17" s="143" t="s">
        <v>731</v>
      </c>
      <c r="G17" s="143" t="s">
        <v>732</v>
      </c>
      <c r="H17" s="143" t="s">
        <v>733</v>
      </c>
      <c r="I17" s="9"/>
      <c r="J17" s="9"/>
    </row>
    <row r="18" spans="1:10" ht="16.5" customHeight="1" x14ac:dyDescent="0.2">
      <c r="A18" s="9"/>
      <c r="B18" s="9"/>
      <c r="C18" s="809" t="s">
        <v>734</v>
      </c>
      <c r="D18" s="144" t="s">
        <v>146</v>
      </c>
      <c r="E18" s="144" t="s">
        <v>164</v>
      </c>
      <c r="F18" s="144" t="s">
        <v>478</v>
      </c>
      <c r="G18" s="144" t="s">
        <v>479</v>
      </c>
      <c r="H18" s="144" t="s">
        <v>480</v>
      </c>
      <c r="I18" s="9"/>
      <c r="J18" s="9"/>
    </row>
    <row r="19" spans="1:10" ht="16.5" customHeight="1" x14ac:dyDescent="0.2">
      <c r="A19" s="9"/>
      <c r="B19" s="9"/>
      <c r="C19" s="810"/>
      <c r="D19" s="142" t="s">
        <v>147</v>
      </c>
      <c r="E19" s="142" t="s">
        <v>178</v>
      </c>
      <c r="F19" s="142" t="s">
        <v>496</v>
      </c>
      <c r="G19" s="142" t="s">
        <v>497</v>
      </c>
      <c r="H19" s="142" t="s">
        <v>498</v>
      </c>
      <c r="I19" s="9"/>
      <c r="J19" s="9"/>
    </row>
    <row r="20" spans="1:10" ht="16.5" customHeight="1" x14ac:dyDescent="0.2">
      <c r="A20" s="9"/>
      <c r="B20" s="9"/>
      <c r="C20" s="810"/>
      <c r="D20" s="142" t="s">
        <v>149</v>
      </c>
      <c r="E20" s="142" t="s">
        <v>192</v>
      </c>
      <c r="F20" s="142" t="s">
        <v>516</v>
      </c>
      <c r="G20" s="142" t="s">
        <v>517</v>
      </c>
      <c r="H20" s="142" t="s">
        <v>518</v>
      </c>
      <c r="I20" s="9"/>
      <c r="J20" s="9"/>
    </row>
    <row r="21" spans="1:10" ht="16.5" customHeight="1" x14ac:dyDescent="0.2">
      <c r="A21" s="9"/>
      <c r="B21" s="9"/>
      <c r="C21" s="810"/>
      <c r="D21" s="143" t="s">
        <v>205</v>
      </c>
      <c r="E21" s="143" t="s">
        <v>714</v>
      </c>
      <c r="F21" s="143" t="s">
        <v>219</v>
      </c>
      <c r="G21" s="143" t="s">
        <v>459</v>
      </c>
      <c r="H21" s="143" t="s">
        <v>460</v>
      </c>
      <c r="I21" s="9"/>
      <c r="J21" s="9"/>
    </row>
    <row r="22" spans="1:10" ht="16.5" customHeight="1" x14ac:dyDescent="0.2">
      <c r="A22" s="9"/>
      <c r="B22" s="9"/>
      <c r="C22" s="809" t="s">
        <v>735</v>
      </c>
      <c r="D22" s="144" t="s">
        <v>239</v>
      </c>
      <c r="E22" s="144" t="s">
        <v>736</v>
      </c>
      <c r="F22" s="144" t="s">
        <v>737</v>
      </c>
      <c r="G22" s="144" t="s">
        <v>738</v>
      </c>
      <c r="H22" s="144" t="s">
        <v>739</v>
      </c>
      <c r="I22" s="9"/>
      <c r="J22" s="9"/>
    </row>
    <row r="23" spans="1:10" ht="16.5" customHeight="1" x14ac:dyDescent="0.2">
      <c r="A23" s="9"/>
      <c r="B23" s="9"/>
      <c r="C23" s="810"/>
      <c r="D23" s="142" t="s">
        <v>740</v>
      </c>
      <c r="E23" s="142" t="s">
        <v>741</v>
      </c>
      <c r="F23" s="142" t="s">
        <v>742</v>
      </c>
      <c r="G23" s="142" t="s">
        <v>743</v>
      </c>
      <c r="H23" s="142" t="s">
        <v>744</v>
      </c>
      <c r="I23" s="9"/>
      <c r="J23" s="9"/>
    </row>
    <row r="24" spans="1:10" ht="16.5" customHeight="1" x14ac:dyDescent="0.2">
      <c r="A24" s="9"/>
      <c r="B24" s="9"/>
      <c r="C24" s="810"/>
      <c r="D24" s="142" t="s">
        <v>745</v>
      </c>
      <c r="E24" s="145" t="s">
        <v>714</v>
      </c>
      <c r="F24" s="142" t="s">
        <v>746</v>
      </c>
      <c r="G24" s="142" t="s">
        <v>747</v>
      </c>
      <c r="H24" s="142" t="s">
        <v>748</v>
      </c>
      <c r="I24" s="9"/>
      <c r="J24" s="9"/>
    </row>
    <row r="25" spans="1:10" ht="16.5" customHeight="1" x14ac:dyDescent="0.2">
      <c r="A25" s="9"/>
      <c r="B25" s="9"/>
      <c r="C25" s="810"/>
      <c r="D25" s="142" t="s">
        <v>224</v>
      </c>
      <c r="E25" s="146" t="s">
        <v>749</v>
      </c>
      <c r="F25" s="142" t="s">
        <v>750</v>
      </c>
      <c r="G25" s="142" t="s">
        <v>751</v>
      </c>
      <c r="H25" s="142" t="s">
        <v>752</v>
      </c>
      <c r="I25" s="9"/>
      <c r="J25" s="9"/>
    </row>
    <row r="26" spans="1:10" ht="16.5" customHeight="1" x14ac:dyDescent="0.2">
      <c r="A26" s="9"/>
      <c r="B26" s="9"/>
      <c r="C26" s="810"/>
      <c r="D26" s="142" t="s">
        <v>753</v>
      </c>
      <c r="E26" s="142" t="s">
        <v>754</v>
      </c>
      <c r="F26" s="142" t="s">
        <v>755</v>
      </c>
      <c r="G26" s="142" t="s">
        <v>756</v>
      </c>
      <c r="H26" s="142" t="s">
        <v>757</v>
      </c>
      <c r="I26" s="9"/>
      <c r="J26" s="9"/>
    </row>
    <row r="27" spans="1:10" ht="16.5" customHeight="1" x14ac:dyDescent="0.2">
      <c r="A27" s="9"/>
      <c r="B27" s="9"/>
      <c r="C27" s="810"/>
      <c r="D27" s="142" t="s">
        <v>758</v>
      </c>
      <c r="E27" s="145" t="s">
        <v>714</v>
      </c>
      <c r="F27" s="142" t="s">
        <v>759</v>
      </c>
      <c r="G27" s="142" t="s">
        <v>760</v>
      </c>
      <c r="H27" s="142" t="s">
        <v>761</v>
      </c>
      <c r="I27" s="9"/>
      <c r="J27" s="9"/>
    </row>
    <row r="28" spans="1:10" ht="16.5" customHeight="1" x14ac:dyDescent="0.2">
      <c r="A28" s="9"/>
      <c r="B28" s="9"/>
      <c r="C28" s="810"/>
      <c r="D28" s="142" t="s">
        <v>762</v>
      </c>
      <c r="E28" s="146" t="s">
        <v>763</v>
      </c>
      <c r="F28" s="142" t="s">
        <v>764</v>
      </c>
      <c r="G28" s="142" t="s">
        <v>765</v>
      </c>
      <c r="H28" s="142" t="s">
        <v>766</v>
      </c>
      <c r="I28" s="9"/>
      <c r="J28" s="9"/>
    </row>
    <row r="29" spans="1:10" ht="16.5" customHeight="1" x14ac:dyDescent="0.2">
      <c r="A29" s="9"/>
      <c r="B29" s="9"/>
      <c r="C29" s="810"/>
      <c r="D29" s="142" t="s">
        <v>767</v>
      </c>
      <c r="E29" s="142" t="s">
        <v>768</v>
      </c>
      <c r="F29" s="142" t="s">
        <v>769</v>
      </c>
      <c r="G29" s="142" t="s">
        <v>770</v>
      </c>
      <c r="H29" s="142" t="s">
        <v>771</v>
      </c>
      <c r="I29" s="9"/>
      <c r="J29" s="9"/>
    </row>
    <row r="30" spans="1:10" ht="16.5" customHeight="1" x14ac:dyDescent="0.2">
      <c r="A30" s="9"/>
      <c r="B30" s="9"/>
      <c r="C30" s="809" t="s">
        <v>772</v>
      </c>
      <c r="D30" s="144" t="s">
        <v>239</v>
      </c>
      <c r="E30" s="144" t="s">
        <v>773</v>
      </c>
      <c r="F30" s="144" t="s">
        <v>774</v>
      </c>
      <c r="G30" s="144" t="s">
        <v>775</v>
      </c>
      <c r="H30" s="144" t="s">
        <v>776</v>
      </c>
      <c r="I30" s="9"/>
      <c r="J30" s="9"/>
    </row>
    <row r="31" spans="1:10" ht="16.5" customHeight="1" x14ac:dyDescent="0.2">
      <c r="A31" s="9"/>
      <c r="B31" s="9"/>
      <c r="C31" s="810"/>
      <c r="D31" s="142" t="s">
        <v>740</v>
      </c>
      <c r="E31" s="142" t="s">
        <v>777</v>
      </c>
      <c r="F31" s="142" t="s">
        <v>778</v>
      </c>
      <c r="G31" s="142" t="s">
        <v>779</v>
      </c>
      <c r="H31" s="142" t="s">
        <v>780</v>
      </c>
      <c r="I31" s="9"/>
      <c r="J31" s="9"/>
    </row>
    <row r="32" spans="1:10" ht="16.5" customHeight="1" x14ac:dyDescent="0.2">
      <c r="A32" s="9"/>
      <c r="B32" s="9"/>
      <c r="C32" s="810"/>
      <c r="D32" s="142" t="s">
        <v>745</v>
      </c>
      <c r="E32" s="145" t="s">
        <v>714</v>
      </c>
      <c r="F32" s="142" t="s">
        <v>781</v>
      </c>
      <c r="G32" s="142" t="s">
        <v>782</v>
      </c>
      <c r="H32" s="142" t="s">
        <v>783</v>
      </c>
      <c r="I32" s="9"/>
      <c r="J32" s="9"/>
    </row>
    <row r="33" spans="1:10" ht="16.5" customHeight="1" x14ac:dyDescent="0.2">
      <c r="A33" s="9"/>
      <c r="B33" s="9"/>
      <c r="C33" s="810"/>
      <c r="D33" s="142" t="s">
        <v>224</v>
      </c>
      <c r="E33" s="146" t="s">
        <v>784</v>
      </c>
      <c r="F33" s="142" t="s">
        <v>785</v>
      </c>
      <c r="G33" s="142" t="s">
        <v>786</v>
      </c>
      <c r="H33" s="142" t="s">
        <v>787</v>
      </c>
      <c r="I33" s="9"/>
      <c r="J33" s="9"/>
    </row>
    <row r="34" spans="1:10" ht="16.5" customHeight="1" x14ac:dyDescent="0.2">
      <c r="A34" s="9"/>
      <c r="B34" s="9"/>
      <c r="C34" s="810"/>
      <c r="D34" s="142" t="s">
        <v>753</v>
      </c>
      <c r="E34" s="142" t="s">
        <v>788</v>
      </c>
      <c r="F34" s="142" t="s">
        <v>789</v>
      </c>
      <c r="G34" s="142" t="s">
        <v>790</v>
      </c>
      <c r="H34" s="142" t="s">
        <v>791</v>
      </c>
      <c r="I34" s="9"/>
      <c r="J34" s="9"/>
    </row>
    <row r="35" spans="1:10" ht="16.5" customHeight="1" x14ac:dyDescent="0.2">
      <c r="A35" s="9"/>
      <c r="B35" s="9"/>
      <c r="C35" s="810"/>
      <c r="D35" s="142" t="s">
        <v>758</v>
      </c>
      <c r="E35" s="145" t="s">
        <v>714</v>
      </c>
      <c r="F35" s="142" t="s">
        <v>792</v>
      </c>
      <c r="G35" s="142" t="s">
        <v>793</v>
      </c>
      <c r="H35" s="142" t="s">
        <v>794</v>
      </c>
      <c r="I35" s="9"/>
      <c r="J35" s="9"/>
    </row>
    <row r="36" spans="1:10" ht="16.5" customHeight="1" x14ac:dyDescent="0.2">
      <c r="A36" s="9"/>
      <c r="B36" s="9"/>
      <c r="C36" s="810"/>
      <c r="D36" s="142" t="s">
        <v>762</v>
      </c>
      <c r="E36" s="146" t="s">
        <v>795</v>
      </c>
      <c r="F36" s="142" t="s">
        <v>796</v>
      </c>
      <c r="G36" s="142" t="s">
        <v>797</v>
      </c>
      <c r="H36" s="142" t="s">
        <v>798</v>
      </c>
      <c r="I36" s="9"/>
      <c r="J36" s="9"/>
    </row>
    <row r="37" spans="1:10" ht="16.5" customHeight="1" x14ac:dyDescent="0.2">
      <c r="A37" s="9"/>
      <c r="B37" s="9"/>
      <c r="C37" s="810"/>
      <c r="D37" s="142" t="s">
        <v>767</v>
      </c>
      <c r="E37" s="142" t="s">
        <v>799</v>
      </c>
      <c r="F37" s="142" t="s">
        <v>800</v>
      </c>
      <c r="G37" s="142" t="s">
        <v>801</v>
      </c>
      <c r="H37" s="142" t="s">
        <v>802</v>
      </c>
      <c r="I37" s="9"/>
      <c r="J37" s="9"/>
    </row>
    <row r="38" spans="1:10" ht="16.5" customHeight="1" x14ac:dyDescent="0.2">
      <c r="A38" s="9"/>
      <c r="B38" s="9"/>
      <c r="C38" s="809" t="s">
        <v>803</v>
      </c>
      <c r="D38" s="144" t="s">
        <v>239</v>
      </c>
      <c r="E38" s="144" t="s">
        <v>253</v>
      </c>
      <c r="F38" s="144" t="s">
        <v>586</v>
      </c>
      <c r="G38" s="144" t="s">
        <v>587</v>
      </c>
      <c r="H38" s="144" t="s">
        <v>588</v>
      </c>
      <c r="I38" s="9"/>
      <c r="J38" s="9"/>
    </row>
    <row r="39" spans="1:10" ht="16.5" customHeight="1" x14ac:dyDescent="0.2">
      <c r="A39" s="9"/>
      <c r="B39" s="9"/>
      <c r="C39" s="810" t="s">
        <v>804</v>
      </c>
      <c r="D39" s="142" t="s">
        <v>740</v>
      </c>
      <c r="E39" s="142" t="s">
        <v>288</v>
      </c>
      <c r="F39" s="142" t="s">
        <v>625</v>
      </c>
      <c r="G39" s="142" t="s">
        <v>626</v>
      </c>
      <c r="H39" s="142" t="s">
        <v>627</v>
      </c>
      <c r="I39" s="9"/>
      <c r="J39" s="9"/>
    </row>
    <row r="40" spans="1:10" ht="16.5" customHeight="1" x14ac:dyDescent="0.2">
      <c r="A40" s="9"/>
      <c r="B40" s="9"/>
      <c r="C40" s="810"/>
      <c r="D40" s="142" t="s">
        <v>745</v>
      </c>
      <c r="E40" s="145" t="s">
        <v>714</v>
      </c>
      <c r="F40" s="142" t="s">
        <v>324</v>
      </c>
      <c r="G40" s="142" t="s">
        <v>545</v>
      </c>
      <c r="H40" s="142" t="s">
        <v>546</v>
      </c>
      <c r="I40" s="9"/>
      <c r="J40" s="9"/>
    </row>
    <row r="41" spans="1:10" ht="16.5" customHeight="1" x14ac:dyDescent="0.2">
      <c r="A41" s="9"/>
      <c r="B41" s="9"/>
      <c r="C41" s="810"/>
      <c r="D41" s="142" t="s">
        <v>224</v>
      </c>
      <c r="E41" s="146" t="s">
        <v>238</v>
      </c>
      <c r="F41" s="142" t="s">
        <v>565</v>
      </c>
      <c r="G41" s="142" t="s">
        <v>566</v>
      </c>
      <c r="H41" s="142" t="s">
        <v>567</v>
      </c>
      <c r="I41" s="9"/>
      <c r="J41" s="9"/>
    </row>
    <row r="42" spans="1:10" ht="16.5" customHeight="1" x14ac:dyDescent="0.2">
      <c r="A42" s="9"/>
      <c r="B42" s="9"/>
      <c r="C42" s="810"/>
      <c r="D42" s="142" t="s">
        <v>753</v>
      </c>
      <c r="E42" s="142" t="s">
        <v>273</v>
      </c>
      <c r="F42" s="142" t="s">
        <v>604</v>
      </c>
      <c r="G42" s="142" t="s">
        <v>605</v>
      </c>
      <c r="H42" s="142" t="s">
        <v>606</v>
      </c>
      <c r="I42" s="9"/>
      <c r="J42" s="9"/>
    </row>
    <row r="43" spans="1:10" ht="16.5" customHeight="1" x14ac:dyDescent="0.2">
      <c r="A43" s="9"/>
      <c r="B43" s="9"/>
      <c r="C43" s="810"/>
      <c r="D43" s="142" t="s">
        <v>758</v>
      </c>
      <c r="E43" s="145" t="s">
        <v>714</v>
      </c>
      <c r="F43" s="142" t="s">
        <v>309</v>
      </c>
      <c r="G43" s="142" t="s">
        <v>531</v>
      </c>
      <c r="H43" s="142" t="s">
        <v>532</v>
      </c>
      <c r="I43" s="9"/>
      <c r="J43" s="9"/>
    </row>
    <row r="44" spans="1:10" ht="16.5" customHeight="1" x14ac:dyDescent="0.2">
      <c r="A44" s="9"/>
      <c r="B44" s="9"/>
      <c r="C44" s="810"/>
      <c r="D44" s="142" t="s">
        <v>762</v>
      </c>
      <c r="E44" s="146" t="s">
        <v>358</v>
      </c>
      <c r="F44" s="142" t="s">
        <v>669</v>
      </c>
      <c r="G44" s="142" t="s">
        <v>670</v>
      </c>
      <c r="H44" s="142" t="s">
        <v>671</v>
      </c>
      <c r="I44" s="9"/>
      <c r="J44" s="9"/>
    </row>
    <row r="45" spans="1:10" ht="16.5" customHeight="1" x14ac:dyDescent="0.2">
      <c r="A45" s="9"/>
      <c r="B45" s="9"/>
      <c r="C45" s="810"/>
      <c r="D45" s="142" t="s">
        <v>767</v>
      </c>
      <c r="E45" s="142" t="s">
        <v>343</v>
      </c>
      <c r="F45" s="142" t="s">
        <v>648</v>
      </c>
      <c r="G45" s="142" t="s">
        <v>649</v>
      </c>
      <c r="H45" s="142" t="s">
        <v>650</v>
      </c>
      <c r="I45" s="9"/>
      <c r="J45" s="9"/>
    </row>
    <row r="46" spans="1:10" ht="16.5" customHeight="1" x14ac:dyDescent="0.2">
      <c r="A46" s="9"/>
      <c r="B46" s="9"/>
      <c r="C46" s="809" t="s">
        <v>805</v>
      </c>
      <c r="D46" s="812" t="s">
        <v>361</v>
      </c>
      <c r="E46" s="144" t="s">
        <v>806</v>
      </c>
      <c r="F46" s="144" t="s">
        <v>807</v>
      </c>
      <c r="G46" s="144" t="s">
        <v>807</v>
      </c>
      <c r="H46" s="144" t="s">
        <v>807</v>
      </c>
      <c r="I46" s="9"/>
      <c r="J46" s="9"/>
    </row>
    <row r="47" spans="1:10" ht="16.5" customHeight="1" x14ac:dyDescent="0.2">
      <c r="A47" s="9"/>
      <c r="B47" s="9"/>
      <c r="C47" s="810"/>
      <c r="D47" s="813"/>
      <c r="E47" s="142" t="s">
        <v>808</v>
      </c>
      <c r="F47" s="142" t="s">
        <v>807</v>
      </c>
      <c r="G47" s="142" t="s">
        <v>807</v>
      </c>
      <c r="H47" s="142" t="s">
        <v>807</v>
      </c>
      <c r="I47" s="9"/>
      <c r="J47" s="9"/>
    </row>
    <row r="48" spans="1:10" ht="16.5" customHeight="1" x14ac:dyDescent="0.2">
      <c r="A48" s="9"/>
      <c r="B48" s="9"/>
      <c r="C48" s="811"/>
      <c r="D48" s="814"/>
      <c r="E48" s="143" t="s">
        <v>809</v>
      </c>
      <c r="F48" s="147" t="s">
        <v>807</v>
      </c>
      <c r="G48" s="147" t="s">
        <v>807</v>
      </c>
      <c r="H48" s="147" t="s">
        <v>807</v>
      </c>
      <c r="I48" s="9"/>
      <c r="J48" s="9"/>
    </row>
    <row r="49" spans="1:10" ht="16.5" customHeight="1" x14ac:dyDescent="0.2">
      <c r="A49" s="9"/>
      <c r="B49" s="9"/>
      <c r="C49" s="810" t="s">
        <v>810</v>
      </c>
      <c r="D49" s="812" t="s">
        <v>361</v>
      </c>
      <c r="E49" s="144" t="s">
        <v>811</v>
      </c>
      <c r="F49" s="144" t="s">
        <v>807</v>
      </c>
      <c r="G49" s="144" t="s">
        <v>807</v>
      </c>
      <c r="H49" s="144" t="s">
        <v>807</v>
      </c>
      <c r="I49" s="9"/>
      <c r="J49" s="9"/>
    </row>
    <row r="50" spans="1:10" ht="16.5" customHeight="1" x14ac:dyDescent="0.2">
      <c r="A50" s="9"/>
      <c r="B50" s="9"/>
      <c r="C50" s="815"/>
      <c r="D50" s="813"/>
      <c r="E50" s="142" t="s">
        <v>812</v>
      </c>
      <c r="F50" s="142" t="s">
        <v>807</v>
      </c>
      <c r="G50" s="142" t="s">
        <v>807</v>
      </c>
      <c r="H50" s="142" t="s">
        <v>807</v>
      </c>
      <c r="I50" s="9"/>
      <c r="J50" s="9"/>
    </row>
    <row r="51" spans="1:10" ht="16.5" customHeight="1" x14ac:dyDescent="0.2">
      <c r="A51" s="9"/>
      <c r="B51" s="9"/>
      <c r="C51" s="810"/>
      <c r="D51" s="814"/>
      <c r="E51" s="143" t="s">
        <v>813</v>
      </c>
      <c r="F51" s="147" t="s">
        <v>807</v>
      </c>
      <c r="G51" s="147" t="s">
        <v>807</v>
      </c>
      <c r="H51" s="147" t="s">
        <v>807</v>
      </c>
      <c r="I51" s="9"/>
      <c r="J51" s="9"/>
    </row>
    <row r="52" spans="1:10" ht="16.5" customHeight="1" x14ac:dyDescent="0.2">
      <c r="A52" s="9"/>
      <c r="B52" s="9"/>
      <c r="C52" s="816" t="s">
        <v>814</v>
      </c>
      <c r="D52" s="812" t="s">
        <v>361</v>
      </c>
      <c r="E52" s="144" t="s">
        <v>399</v>
      </c>
      <c r="F52" s="144" t="s">
        <v>807</v>
      </c>
      <c r="G52" s="144" t="s">
        <v>807</v>
      </c>
      <c r="H52" s="144" t="s">
        <v>807</v>
      </c>
      <c r="I52" s="9"/>
      <c r="J52" s="9"/>
    </row>
    <row r="53" spans="1:10" ht="16.5" customHeight="1" x14ac:dyDescent="0.2">
      <c r="A53" s="9"/>
      <c r="B53" s="9"/>
      <c r="C53" s="817"/>
      <c r="D53" s="813"/>
      <c r="E53" s="142" t="s">
        <v>401</v>
      </c>
      <c r="F53" s="142" t="s">
        <v>807</v>
      </c>
      <c r="G53" s="142" t="s">
        <v>807</v>
      </c>
      <c r="H53" s="142" t="s">
        <v>807</v>
      </c>
      <c r="I53" s="9"/>
      <c r="J53" s="9"/>
    </row>
    <row r="54" spans="1:10" ht="16.5" customHeight="1" x14ac:dyDescent="0.2">
      <c r="A54" s="9"/>
      <c r="B54" s="9"/>
      <c r="C54" s="818"/>
      <c r="D54" s="814"/>
      <c r="E54" s="143" t="s">
        <v>403</v>
      </c>
      <c r="F54" s="147" t="s">
        <v>807</v>
      </c>
      <c r="G54" s="147" t="s">
        <v>807</v>
      </c>
      <c r="H54" s="147" t="s">
        <v>807</v>
      </c>
      <c r="I54" s="9"/>
      <c r="J54" s="9"/>
    </row>
    <row r="55" spans="1:10" ht="15.75" customHeight="1" x14ac:dyDescent="0.25">
      <c r="A55" s="9"/>
      <c r="B55" s="9"/>
      <c r="C55" s="12"/>
      <c r="D55" s="9"/>
      <c r="E55" s="9"/>
      <c r="F55" s="9"/>
      <c r="G55" s="9"/>
      <c r="H55" s="9"/>
      <c r="I55" s="9"/>
      <c r="J55" s="9"/>
    </row>
    <row r="56" spans="1:10" ht="15.75" customHeight="1" x14ac:dyDescent="0.2">
      <c r="A56" s="9"/>
      <c r="B56" s="9"/>
      <c r="C56" s="148"/>
      <c r="D56" s="9"/>
      <c r="E56" s="9"/>
      <c r="F56" s="9"/>
      <c r="G56" s="9"/>
      <c r="H56" s="9"/>
      <c r="I56" s="9"/>
      <c r="J56" s="9"/>
    </row>
    <row r="57" spans="1:10" ht="19.5" customHeight="1" x14ac:dyDescent="0.25">
      <c r="A57" s="9"/>
      <c r="B57" s="9"/>
      <c r="C57" s="12" t="s">
        <v>815</v>
      </c>
      <c r="D57" s="9"/>
      <c r="E57" s="9"/>
      <c r="F57" s="9"/>
      <c r="G57" s="9"/>
      <c r="H57" s="9"/>
      <c r="I57" s="9"/>
      <c r="J57" s="9"/>
    </row>
    <row r="58" spans="1:10" ht="19.5" customHeight="1" x14ac:dyDescent="0.2">
      <c r="A58" s="9"/>
      <c r="B58" s="9"/>
      <c r="C58" s="149" t="s">
        <v>816</v>
      </c>
      <c r="D58" s="9"/>
      <c r="E58" s="9"/>
      <c r="F58" s="9"/>
      <c r="G58" s="9"/>
      <c r="H58" s="9"/>
      <c r="I58" s="9"/>
      <c r="J58" s="9"/>
    </row>
    <row r="59" spans="1:10" ht="13.5" thickBot="1" x14ac:dyDescent="0.25">
      <c r="A59" s="9"/>
      <c r="B59" s="9"/>
      <c r="C59" s="9"/>
      <c r="D59" s="9"/>
      <c r="E59" s="9"/>
      <c r="F59" s="9"/>
      <c r="G59" s="9"/>
      <c r="H59" s="9"/>
      <c r="I59" s="9"/>
      <c r="J59" s="9"/>
    </row>
    <row r="60" spans="1:10" ht="30" customHeight="1" x14ac:dyDescent="0.2">
      <c r="A60" s="9"/>
      <c r="B60" s="9"/>
      <c r="C60" s="139" t="s">
        <v>695</v>
      </c>
      <c r="D60" s="139" t="s">
        <v>25</v>
      </c>
      <c r="E60" s="139" t="s">
        <v>817</v>
      </c>
      <c r="F60" s="9"/>
      <c r="G60" s="9"/>
      <c r="H60" s="9"/>
      <c r="I60" s="9"/>
      <c r="J60" s="9"/>
    </row>
    <row r="61" spans="1:10" ht="15.75" customHeight="1" x14ac:dyDescent="0.2">
      <c r="A61" s="9"/>
      <c r="B61" s="9"/>
      <c r="C61" s="809" t="s">
        <v>818</v>
      </c>
      <c r="D61" s="809" t="s">
        <v>437</v>
      </c>
      <c r="E61" s="144" t="s">
        <v>819</v>
      </c>
      <c r="F61" s="9"/>
      <c r="G61" s="9"/>
      <c r="H61" s="9"/>
      <c r="I61" s="9"/>
      <c r="J61" s="9"/>
    </row>
    <row r="62" spans="1:10" ht="15.75" customHeight="1" x14ac:dyDescent="0.2">
      <c r="A62" s="9"/>
      <c r="B62" s="9"/>
      <c r="C62" s="811"/>
      <c r="D62" s="811"/>
      <c r="E62" s="143" t="s">
        <v>820</v>
      </c>
      <c r="F62" s="9"/>
      <c r="G62" s="9"/>
      <c r="H62" s="9"/>
      <c r="I62" s="9"/>
      <c r="J62" s="9"/>
    </row>
    <row r="63" spans="1:10" ht="15.75" customHeight="1" x14ac:dyDescent="0.2">
      <c r="A63" s="9"/>
      <c r="B63" s="9"/>
      <c r="C63" s="809" t="s">
        <v>821</v>
      </c>
      <c r="D63" s="809" t="s">
        <v>437</v>
      </c>
      <c r="E63" s="144" t="s">
        <v>822</v>
      </c>
      <c r="F63" s="9"/>
      <c r="G63" s="9"/>
      <c r="H63" s="9"/>
      <c r="I63" s="9"/>
      <c r="J63" s="9"/>
    </row>
    <row r="64" spans="1:10" ht="15.75" customHeight="1" x14ac:dyDescent="0.2">
      <c r="A64" s="9"/>
      <c r="B64" s="9"/>
      <c r="C64" s="811"/>
      <c r="D64" s="811"/>
      <c r="E64" s="143" t="s">
        <v>823</v>
      </c>
      <c r="F64" s="9"/>
      <c r="G64" s="9"/>
      <c r="H64" s="9"/>
      <c r="I64" s="9"/>
      <c r="J64" s="9"/>
    </row>
    <row r="65" spans="1:10" ht="15.75" customHeight="1" x14ac:dyDescent="0.2">
      <c r="A65" s="9"/>
      <c r="B65" s="9"/>
      <c r="C65" s="809" t="s">
        <v>824</v>
      </c>
      <c r="D65" s="809" t="s">
        <v>437</v>
      </c>
      <c r="E65" s="144" t="s">
        <v>825</v>
      </c>
      <c r="F65" s="9"/>
      <c r="G65" s="9"/>
      <c r="H65" s="9"/>
      <c r="I65" s="9"/>
      <c r="J65" s="9"/>
    </row>
    <row r="66" spans="1:10" ht="15.75" customHeight="1" x14ac:dyDescent="0.2">
      <c r="A66" s="9"/>
      <c r="B66" s="9"/>
      <c r="C66" s="811"/>
      <c r="D66" s="811"/>
      <c r="E66" s="143" t="s">
        <v>826</v>
      </c>
      <c r="F66" s="9"/>
      <c r="G66" s="9"/>
      <c r="H66" s="9"/>
      <c r="I66" s="9"/>
      <c r="J66" s="9"/>
    </row>
    <row r="67" spans="1:10" ht="26.25" customHeight="1" x14ac:dyDescent="0.2">
      <c r="A67" s="9"/>
      <c r="B67" s="9"/>
      <c r="C67" s="809" t="s">
        <v>827</v>
      </c>
      <c r="D67" s="144" t="s">
        <v>828</v>
      </c>
      <c r="E67" s="142" t="s">
        <v>829</v>
      </c>
      <c r="F67" s="8"/>
      <c r="G67" s="9"/>
      <c r="H67" s="9"/>
      <c r="I67" s="9"/>
      <c r="J67" s="9"/>
    </row>
    <row r="68" spans="1:10" ht="26.25" customHeight="1" x14ac:dyDescent="0.2">
      <c r="A68" s="9"/>
      <c r="B68" s="9"/>
      <c r="C68" s="810"/>
      <c r="D68" s="142" t="s">
        <v>830</v>
      </c>
      <c r="E68" s="142" t="s">
        <v>831</v>
      </c>
      <c r="F68" s="9"/>
      <c r="G68" s="9"/>
      <c r="H68" s="9"/>
      <c r="I68" s="9"/>
      <c r="J68" s="9"/>
    </row>
    <row r="69" spans="1:10" ht="24" x14ac:dyDescent="0.2">
      <c r="A69" s="9"/>
      <c r="B69" s="9"/>
      <c r="C69" s="810"/>
      <c r="D69" s="142" t="s">
        <v>832</v>
      </c>
      <c r="E69" s="142" t="s">
        <v>833</v>
      </c>
      <c r="F69" s="9"/>
      <c r="G69" s="9"/>
      <c r="H69" s="9"/>
      <c r="I69" s="9"/>
      <c r="J69" s="9"/>
    </row>
    <row r="70" spans="1:10" ht="44.25" customHeight="1" x14ac:dyDescent="0.2">
      <c r="A70" s="9"/>
      <c r="B70" s="9"/>
      <c r="C70" s="810"/>
      <c r="D70" s="142" t="s">
        <v>834</v>
      </c>
      <c r="E70" s="142" t="s">
        <v>835</v>
      </c>
      <c r="F70" s="9"/>
      <c r="G70" s="9"/>
      <c r="H70" s="9"/>
      <c r="I70" s="9"/>
      <c r="J70" s="9"/>
    </row>
    <row r="71" spans="1:10" ht="15.75" customHeight="1" x14ac:dyDescent="0.2">
      <c r="A71" s="9"/>
      <c r="B71" s="9"/>
      <c r="C71" s="810"/>
      <c r="D71" s="142" t="s">
        <v>836</v>
      </c>
      <c r="E71" s="142" t="s">
        <v>837</v>
      </c>
      <c r="F71" s="9"/>
      <c r="G71" s="9"/>
      <c r="H71" s="9"/>
      <c r="I71" s="9"/>
      <c r="J71" s="9"/>
    </row>
    <row r="72" spans="1:10" ht="15.75" customHeight="1" x14ac:dyDescent="0.2">
      <c r="A72" s="9"/>
      <c r="B72" s="9"/>
      <c r="C72" s="810"/>
      <c r="D72" s="142" t="s">
        <v>838</v>
      </c>
      <c r="E72" s="142" t="s">
        <v>839</v>
      </c>
      <c r="F72" s="9"/>
      <c r="G72" s="9"/>
      <c r="H72" s="9"/>
      <c r="I72" s="9"/>
      <c r="J72" s="9"/>
    </row>
    <row r="73" spans="1:10" ht="15.75" customHeight="1" x14ac:dyDescent="0.2">
      <c r="A73" s="9"/>
      <c r="B73" s="9"/>
      <c r="C73" s="811"/>
      <c r="D73" s="143" t="s">
        <v>840</v>
      </c>
      <c r="E73" s="143" t="s">
        <v>841</v>
      </c>
      <c r="F73" s="9"/>
      <c r="G73" s="9"/>
      <c r="H73" s="9"/>
      <c r="I73" s="9"/>
      <c r="J73" s="9"/>
    </row>
    <row r="74" spans="1:10" ht="15.75" customHeight="1" x14ac:dyDescent="0.2">
      <c r="A74" s="9"/>
      <c r="B74" s="9"/>
      <c r="C74" s="809" t="s">
        <v>842</v>
      </c>
      <c r="D74" s="144" t="s">
        <v>828</v>
      </c>
      <c r="E74" s="144" t="s">
        <v>843</v>
      </c>
      <c r="F74" s="9"/>
      <c r="G74" s="9"/>
      <c r="H74" s="9"/>
      <c r="I74" s="9"/>
      <c r="J74" s="9"/>
    </row>
    <row r="75" spans="1:10" ht="15.75" customHeight="1" x14ac:dyDescent="0.2">
      <c r="A75" s="9"/>
      <c r="B75" s="9"/>
      <c r="C75" s="810"/>
      <c r="D75" s="142" t="s">
        <v>830</v>
      </c>
      <c r="E75" s="142" t="s">
        <v>844</v>
      </c>
      <c r="F75" s="9"/>
      <c r="G75" s="9"/>
      <c r="H75" s="9"/>
      <c r="I75" s="9"/>
      <c r="J75" s="9"/>
    </row>
    <row r="76" spans="1:10" ht="15.75" customHeight="1" x14ac:dyDescent="0.2">
      <c r="A76" s="9"/>
      <c r="B76" s="9"/>
      <c r="C76" s="810"/>
      <c r="D76" s="142" t="s">
        <v>832</v>
      </c>
      <c r="E76" s="142" t="s">
        <v>845</v>
      </c>
      <c r="F76" s="9"/>
      <c r="G76" s="9"/>
      <c r="H76" s="9"/>
      <c r="I76" s="9"/>
      <c r="J76" s="9"/>
    </row>
    <row r="77" spans="1:10" ht="15.75" customHeight="1" x14ac:dyDescent="0.2">
      <c r="A77" s="9"/>
      <c r="B77" s="9"/>
      <c r="C77" s="810"/>
      <c r="D77" s="142" t="s">
        <v>834</v>
      </c>
      <c r="E77" s="142" t="s">
        <v>846</v>
      </c>
      <c r="F77" s="9"/>
      <c r="G77" s="9"/>
      <c r="H77" s="9"/>
      <c r="I77" s="9"/>
      <c r="J77" s="9"/>
    </row>
    <row r="78" spans="1:10" ht="15.75" customHeight="1" x14ac:dyDescent="0.2">
      <c r="A78" s="9"/>
      <c r="B78" s="9"/>
      <c r="C78" s="810"/>
      <c r="D78" s="142" t="s">
        <v>836</v>
      </c>
      <c r="E78" s="142" t="s">
        <v>847</v>
      </c>
      <c r="F78" s="9"/>
      <c r="G78" s="9"/>
      <c r="H78" s="9"/>
      <c r="I78" s="9"/>
      <c r="J78" s="9"/>
    </row>
    <row r="79" spans="1:10" ht="15.75" customHeight="1" x14ac:dyDescent="0.2">
      <c r="A79" s="9"/>
      <c r="B79" s="9"/>
      <c r="C79" s="810"/>
      <c r="D79" s="142" t="s">
        <v>838</v>
      </c>
      <c r="E79" s="142" t="s">
        <v>848</v>
      </c>
      <c r="F79" s="9"/>
      <c r="G79" s="9"/>
      <c r="H79" s="9"/>
      <c r="I79" s="9"/>
      <c r="J79" s="9"/>
    </row>
    <row r="80" spans="1:10" ht="15.75" customHeight="1" x14ac:dyDescent="0.2">
      <c r="A80" s="9"/>
      <c r="B80" s="9"/>
      <c r="C80" s="811"/>
      <c r="D80" s="143" t="s">
        <v>840</v>
      </c>
      <c r="E80" s="143" t="s">
        <v>849</v>
      </c>
      <c r="F80" s="9"/>
      <c r="G80" s="9"/>
      <c r="H80" s="9"/>
      <c r="I80" s="9"/>
      <c r="J80" s="9"/>
    </row>
    <row r="81" spans="1:10" ht="15.75" customHeight="1" x14ac:dyDescent="0.2">
      <c r="A81" s="9"/>
      <c r="B81" s="9"/>
      <c r="C81" s="809" t="s">
        <v>850</v>
      </c>
      <c r="D81" s="144" t="s">
        <v>828</v>
      </c>
      <c r="E81" s="144" t="s">
        <v>50</v>
      </c>
      <c r="F81" s="9"/>
      <c r="G81" s="9"/>
      <c r="H81" s="9"/>
      <c r="I81" s="9"/>
      <c r="J81" s="9"/>
    </row>
    <row r="82" spans="1:10" ht="15.75" customHeight="1" x14ac:dyDescent="0.2">
      <c r="A82" s="9"/>
      <c r="B82" s="9"/>
      <c r="C82" s="810"/>
      <c r="D82" s="142" t="s">
        <v>830</v>
      </c>
      <c r="E82" s="142" t="s">
        <v>65</v>
      </c>
      <c r="F82" s="9"/>
      <c r="G82" s="9"/>
      <c r="H82" s="9"/>
      <c r="I82" s="9"/>
      <c r="J82" s="9"/>
    </row>
    <row r="83" spans="1:10" ht="15.75" customHeight="1" x14ac:dyDescent="0.2">
      <c r="A83" s="9"/>
      <c r="B83" s="9"/>
      <c r="C83" s="810"/>
      <c r="D83" s="142" t="s">
        <v>832</v>
      </c>
      <c r="E83" s="142" t="s">
        <v>80</v>
      </c>
      <c r="F83" s="9"/>
      <c r="G83" s="9"/>
      <c r="H83" s="9"/>
      <c r="I83" s="9"/>
      <c r="J83" s="9"/>
    </row>
    <row r="84" spans="1:10" ht="15.75" customHeight="1" x14ac:dyDescent="0.2">
      <c r="A84" s="9"/>
      <c r="B84" s="9"/>
      <c r="C84" s="810"/>
      <c r="D84" s="142" t="s">
        <v>834</v>
      </c>
      <c r="E84" s="142" t="s">
        <v>95</v>
      </c>
      <c r="F84" s="9"/>
      <c r="G84" s="9"/>
      <c r="H84" s="9"/>
      <c r="I84" s="9"/>
      <c r="J84" s="9"/>
    </row>
    <row r="85" spans="1:10" ht="15.75" customHeight="1" x14ac:dyDescent="0.2">
      <c r="A85" s="9"/>
      <c r="B85" s="9"/>
      <c r="C85" s="810"/>
      <c r="D85" s="142" t="s">
        <v>836</v>
      </c>
      <c r="E85" s="142" t="s">
        <v>115</v>
      </c>
      <c r="F85" s="9"/>
      <c r="G85" s="9"/>
      <c r="H85" s="9"/>
      <c r="I85" s="9"/>
      <c r="J85" s="9"/>
    </row>
    <row r="86" spans="1:10" ht="15.75" customHeight="1" x14ac:dyDescent="0.2">
      <c r="A86" s="9"/>
      <c r="B86" s="9"/>
      <c r="C86" s="810"/>
      <c r="D86" s="142" t="s">
        <v>838</v>
      </c>
      <c r="E86" s="142" t="s">
        <v>130</v>
      </c>
      <c r="F86" s="9"/>
      <c r="G86" s="9"/>
      <c r="H86" s="9"/>
      <c r="I86" s="9"/>
      <c r="J86" s="9"/>
    </row>
    <row r="87" spans="1:10" ht="15.75" customHeight="1" x14ac:dyDescent="0.2">
      <c r="A87" s="9"/>
      <c r="B87" s="9"/>
      <c r="C87" s="811"/>
      <c r="D87" s="143" t="s">
        <v>840</v>
      </c>
      <c r="E87" s="143" t="s">
        <v>145</v>
      </c>
      <c r="F87" s="9"/>
      <c r="G87" s="9"/>
      <c r="H87" s="9"/>
      <c r="I87" s="9"/>
      <c r="J87" s="9"/>
    </row>
    <row r="88" spans="1:10" ht="15.75" customHeight="1" x14ac:dyDescent="0.2">
      <c r="A88" s="9"/>
      <c r="B88" s="9"/>
      <c r="C88" s="809" t="s">
        <v>851</v>
      </c>
      <c r="D88" s="809" t="s">
        <v>852</v>
      </c>
      <c r="E88" s="144" t="s">
        <v>853</v>
      </c>
      <c r="F88" s="9"/>
      <c r="G88" s="9"/>
      <c r="H88" s="9"/>
      <c r="I88" s="9"/>
      <c r="J88" s="9"/>
    </row>
    <row r="89" spans="1:10" ht="15.75" customHeight="1" x14ac:dyDescent="0.2">
      <c r="A89" s="9"/>
      <c r="B89" s="9"/>
      <c r="C89" s="811"/>
      <c r="D89" s="811"/>
      <c r="E89" s="143" t="s">
        <v>854</v>
      </c>
      <c r="F89" s="9"/>
      <c r="G89" s="9"/>
      <c r="H89" s="9"/>
      <c r="I89" s="9"/>
      <c r="J89" s="9"/>
    </row>
    <row r="90" spans="1:10" ht="15.75" customHeight="1" x14ac:dyDescent="0.2">
      <c r="A90" s="9"/>
      <c r="B90" s="9"/>
      <c r="C90" s="809" t="s">
        <v>855</v>
      </c>
      <c r="D90" s="809" t="s">
        <v>852</v>
      </c>
      <c r="E90" s="144" t="s">
        <v>856</v>
      </c>
      <c r="F90" s="9"/>
      <c r="G90" s="9"/>
      <c r="H90" s="9"/>
      <c r="I90" s="9"/>
      <c r="J90" s="9"/>
    </row>
    <row r="91" spans="1:10" ht="15.75" customHeight="1" x14ac:dyDescent="0.2">
      <c r="A91" s="9"/>
      <c r="B91" s="9"/>
      <c r="C91" s="811"/>
      <c r="D91" s="811"/>
      <c r="E91" s="143" t="s">
        <v>857</v>
      </c>
      <c r="F91" s="9"/>
      <c r="G91" s="9"/>
      <c r="H91" s="9"/>
      <c r="I91" s="9"/>
      <c r="J91" s="9"/>
    </row>
    <row r="92" spans="1:10" ht="15.75" customHeight="1" x14ac:dyDescent="0.2">
      <c r="A92" s="9"/>
      <c r="B92" s="9"/>
      <c r="C92" s="809" t="s">
        <v>858</v>
      </c>
      <c r="D92" s="809" t="s">
        <v>852</v>
      </c>
      <c r="E92" s="144" t="s">
        <v>859</v>
      </c>
      <c r="F92" s="9"/>
      <c r="G92" s="9"/>
      <c r="H92" s="9"/>
      <c r="I92" s="9"/>
      <c r="J92" s="9"/>
    </row>
    <row r="93" spans="1:10" ht="15.75" customHeight="1" x14ac:dyDescent="0.2">
      <c r="A93" s="9"/>
      <c r="B93" s="9"/>
      <c r="C93" s="811"/>
      <c r="D93" s="811"/>
      <c r="E93" s="143" t="s">
        <v>860</v>
      </c>
      <c r="F93" s="9"/>
      <c r="G93" s="9"/>
      <c r="H93" s="9"/>
      <c r="I93" s="9"/>
      <c r="J93" s="9"/>
    </row>
    <row r="94" spans="1:10" ht="30" customHeight="1" x14ac:dyDescent="0.2">
      <c r="A94" s="9"/>
      <c r="B94" s="9"/>
      <c r="C94" s="45" t="s">
        <v>861</v>
      </c>
      <c r="D94" s="76"/>
      <c r="E94" s="150"/>
      <c r="F94" s="9"/>
      <c r="G94" s="9"/>
      <c r="H94" s="9"/>
      <c r="I94" s="9"/>
      <c r="J94" s="9"/>
    </row>
    <row r="95" spans="1:10" x14ac:dyDescent="0.2">
      <c r="A95" s="9"/>
      <c r="B95" s="9"/>
      <c r="C95" s="9"/>
      <c r="D95" s="9"/>
      <c r="E95" s="9"/>
      <c r="F95" s="9"/>
      <c r="G95" s="9"/>
      <c r="H95" s="9"/>
      <c r="I95" s="9"/>
      <c r="J95" s="9"/>
    </row>
    <row r="96" spans="1:10" x14ac:dyDescent="0.2">
      <c r="A96" s="9"/>
      <c r="B96" s="9"/>
      <c r="C96" s="9"/>
      <c r="D96" s="9"/>
      <c r="E96" s="9"/>
      <c r="F96" s="9"/>
      <c r="G96" s="9"/>
      <c r="H96" s="9"/>
      <c r="I96" s="9"/>
      <c r="J96" s="9"/>
    </row>
    <row r="97" spans="1:10" ht="18.75" customHeight="1" x14ac:dyDescent="0.25">
      <c r="A97" s="9"/>
      <c r="B97" s="9"/>
      <c r="C97" s="12" t="s">
        <v>862</v>
      </c>
      <c r="D97" s="9"/>
      <c r="E97" s="9"/>
      <c r="F97" s="138"/>
      <c r="G97" s="9"/>
      <c r="H97" s="9"/>
      <c r="I97" s="9"/>
      <c r="J97" s="9"/>
    </row>
    <row r="98" spans="1:10" ht="18" customHeight="1" thickBot="1" x14ac:dyDescent="0.25">
      <c r="A98" s="9"/>
      <c r="B98" s="9"/>
      <c r="C98" s="9"/>
      <c r="D98" s="9"/>
      <c r="E98" s="9"/>
      <c r="F98" s="9"/>
      <c r="G98" s="9"/>
      <c r="H98" s="9"/>
      <c r="I98" s="9"/>
      <c r="J98" s="9"/>
    </row>
    <row r="99" spans="1:10" ht="57.75" customHeight="1" x14ac:dyDescent="0.2">
      <c r="A99" s="9"/>
      <c r="B99" s="9"/>
      <c r="C99" s="140" t="s">
        <v>697</v>
      </c>
      <c r="D99" s="141" t="s">
        <v>863</v>
      </c>
      <c r="E99" s="141" t="s">
        <v>699</v>
      </c>
      <c r="F99" s="141" t="s">
        <v>864</v>
      </c>
      <c r="G99" s="9"/>
      <c r="H99" s="9"/>
      <c r="I99" s="9"/>
      <c r="J99" s="9"/>
    </row>
    <row r="100" spans="1:10" x14ac:dyDescent="0.2">
      <c r="A100" s="9"/>
      <c r="B100" s="9"/>
      <c r="C100" s="144" t="s">
        <v>676</v>
      </c>
      <c r="D100" s="144" t="s">
        <v>677</v>
      </c>
      <c r="E100" s="144" t="s">
        <v>678</v>
      </c>
      <c r="F100" s="144" t="s">
        <v>679</v>
      </c>
      <c r="G100" s="9"/>
      <c r="H100" s="9"/>
      <c r="I100" s="9"/>
      <c r="J100" s="9"/>
    </row>
    <row r="101" spans="1:10" x14ac:dyDescent="0.2">
      <c r="A101" s="9"/>
      <c r="B101" s="9"/>
      <c r="C101" s="142" t="s">
        <v>680</v>
      </c>
      <c r="D101" s="142" t="s">
        <v>681</v>
      </c>
      <c r="E101" s="142" t="s">
        <v>682</v>
      </c>
      <c r="F101" s="142" t="s">
        <v>683</v>
      </c>
      <c r="G101" s="9"/>
      <c r="H101" s="9"/>
      <c r="I101" s="9"/>
      <c r="J101" s="9"/>
    </row>
    <row r="102" spans="1:10" x14ac:dyDescent="0.2">
      <c r="A102" s="9"/>
      <c r="B102" s="9"/>
      <c r="C102" s="142" t="s">
        <v>684</v>
      </c>
      <c r="D102" s="142" t="s">
        <v>685</v>
      </c>
      <c r="E102" s="142" t="s">
        <v>686</v>
      </c>
      <c r="F102" s="142" t="s">
        <v>687</v>
      </c>
      <c r="G102" s="9"/>
      <c r="H102" s="9"/>
      <c r="I102" s="9"/>
      <c r="J102" s="9"/>
    </row>
    <row r="103" spans="1:10" x14ac:dyDescent="0.2">
      <c r="A103" s="9"/>
      <c r="B103" s="9"/>
      <c r="C103" s="143" t="s">
        <v>688</v>
      </c>
      <c r="D103" s="143" t="s">
        <v>689</v>
      </c>
      <c r="E103" s="143" t="s">
        <v>690</v>
      </c>
      <c r="F103" s="143" t="s">
        <v>691</v>
      </c>
      <c r="G103" s="9"/>
      <c r="H103" s="9"/>
      <c r="I103" s="9"/>
      <c r="J103" s="9"/>
    </row>
    <row r="104" spans="1:10" x14ac:dyDescent="0.2">
      <c r="A104" s="9"/>
      <c r="B104" s="9"/>
      <c r="C104" s="9"/>
      <c r="D104" s="9"/>
      <c r="E104" s="9"/>
      <c r="F104" s="9"/>
      <c r="G104" s="9"/>
      <c r="H104" s="9"/>
      <c r="I104" s="9"/>
      <c r="J104" s="9"/>
    </row>
    <row r="105" spans="1:10" x14ac:dyDescent="0.2">
      <c r="A105" s="9"/>
      <c r="B105" s="9"/>
      <c r="C105" s="9"/>
      <c r="D105" s="9"/>
      <c r="E105" s="9"/>
      <c r="F105" s="9"/>
      <c r="G105" s="9"/>
      <c r="H105" s="9"/>
      <c r="I105" s="9"/>
      <c r="J105" s="9"/>
    </row>
    <row r="106" spans="1:10" x14ac:dyDescent="0.2">
      <c r="A106" s="9"/>
      <c r="B106" s="9"/>
      <c r="C106" s="9"/>
      <c r="D106" s="9"/>
      <c r="E106" s="9"/>
      <c r="F106" s="9"/>
      <c r="G106" s="9"/>
      <c r="H106" s="9"/>
      <c r="I106" s="9"/>
      <c r="J106" s="9"/>
    </row>
    <row r="107" spans="1:10" x14ac:dyDescent="0.2">
      <c r="A107" s="9"/>
      <c r="B107" s="9"/>
      <c r="C107" s="9"/>
      <c r="D107" s="9"/>
      <c r="E107" s="9"/>
      <c r="F107" s="9"/>
      <c r="G107" s="9"/>
      <c r="H107" s="9"/>
      <c r="I107" s="9"/>
      <c r="J107" s="9"/>
    </row>
    <row r="108" spans="1:10" x14ac:dyDescent="0.2">
      <c r="A108" s="9"/>
      <c r="B108" s="9"/>
      <c r="C108" s="9"/>
      <c r="D108" s="9"/>
      <c r="E108" s="9"/>
      <c r="F108" s="9"/>
      <c r="G108" s="9"/>
      <c r="H108" s="9"/>
      <c r="I108" s="9"/>
      <c r="J108" s="9"/>
    </row>
    <row r="109" spans="1:10" x14ac:dyDescent="0.2">
      <c r="A109" s="9"/>
      <c r="B109" s="9"/>
      <c r="C109" s="9"/>
      <c r="D109" s="9"/>
      <c r="E109" s="9"/>
      <c r="F109" s="9"/>
      <c r="G109" s="9"/>
      <c r="H109" s="9"/>
      <c r="I109" s="9"/>
      <c r="J109" s="9"/>
    </row>
    <row r="110" spans="1:10" x14ac:dyDescent="0.2">
      <c r="A110" s="9"/>
      <c r="B110" s="9"/>
      <c r="C110" s="9"/>
      <c r="D110" s="9"/>
      <c r="E110" s="9"/>
      <c r="F110" s="9"/>
      <c r="G110" s="9"/>
      <c r="H110" s="9"/>
      <c r="I110" s="9"/>
      <c r="J110" s="9"/>
    </row>
  </sheetData>
  <mergeCells count="27">
    <mergeCell ref="C92:C93"/>
    <mergeCell ref="D92:D93"/>
    <mergeCell ref="C67:C73"/>
    <mergeCell ref="C74:C80"/>
    <mergeCell ref="C81:C87"/>
    <mergeCell ref="C88:C89"/>
    <mergeCell ref="D88:D89"/>
    <mergeCell ref="C90:C91"/>
    <mergeCell ref="D90:D91"/>
    <mergeCell ref="C61:C62"/>
    <mergeCell ref="D61:D62"/>
    <mergeCell ref="C63:C64"/>
    <mergeCell ref="D63:D64"/>
    <mergeCell ref="C65:C66"/>
    <mergeCell ref="D65:D66"/>
    <mergeCell ref="C46:C48"/>
    <mergeCell ref="D46:D48"/>
    <mergeCell ref="C49:C51"/>
    <mergeCell ref="D49:D51"/>
    <mergeCell ref="C52:C54"/>
    <mergeCell ref="D52:D54"/>
    <mergeCell ref="C38:C45"/>
    <mergeCell ref="C10:C13"/>
    <mergeCell ref="C14:C17"/>
    <mergeCell ref="C18:C21"/>
    <mergeCell ref="C22:C29"/>
    <mergeCell ref="C30:C37"/>
  </mergeCells>
  <pageMargins left="0.23622047244094491" right="0.23622047244094491" top="0.74803149606299213" bottom="0.74803149606299213" header="0.31496062992125984" footer="0.31496062992125984"/>
  <pageSetup paperSize="9" scale="59" fitToHeight="0" orientation="landscape" r:id="rId1"/>
  <headerFooter>
    <oddFooter>Page &amp;P of &amp;N</oddFooter>
  </headerFooter>
  <rowBreaks count="2" manualBreakCount="2">
    <brk id="45" min="2" max="7" man="1"/>
    <brk id="87"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fitToPage="1"/>
  </sheetPr>
  <dimension ref="A1:BH215"/>
  <sheetViews>
    <sheetView tabSelected="1" showRuler="0" zoomScaleNormal="100" zoomScaleSheetLayoutView="70" zoomScalePageLayoutView="90" workbookViewId="0">
      <pane ySplit="8" topLeftCell="A153" activePane="bottomLeft" state="frozen"/>
      <selection pane="bottomLeft" activeCell="B5" sqref="B5:G5"/>
    </sheetView>
  </sheetViews>
  <sheetFormatPr defaultColWidth="9.140625" defaultRowHeight="12.75" zeroHeight="1" x14ac:dyDescent="0.2"/>
  <cols>
    <col min="1" max="1" width="5.85546875" style="419" bestFit="1" customWidth="1"/>
    <col min="2" max="2" width="33.85546875" style="420" customWidth="1"/>
    <col min="3" max="3" width="49.42578125" style="420" customWidth="1"/>
    <col min="4" max="7" width="11.7109375" style="420" customWidth="1"/>
    <col min="8" max="8" width="14.28515625" style="421" customWidth="1"/>
    <col min="9" max="10" width="10.7109375" style="419" customWidth="1"/>
    <col min="11" max="12" width="10.7109375" style="420" customWidth="1"/>
    <col min="13" max="13" width="19.140625" style="422" customWidth="1"/>
    <col min="14" max="14" width="33.28515625" style="211" customWidth="1"/>
    <col min="15" max="15" width="14.5703125" style="212" customWidth="1"/>
    <col min="16" max="16" width="12.5703125" style="213" customWidth="1"/>
    <col min="17" max="17" width="28" style="213" bestFit="1" customWidth="1"/>
    <col min="18" max="18" width="11.42578125" style="214" customWidth="1"/>
    <col min="19" max="19" width="13" style="214" customWidth="1"/>
    <col min="20" max="20" width="12.28515625" style="214" customWidth="1"/>
    <col min="21" max="21" width="9.5703125" style="214" customWidth="1"/>
    <col min="22" max="22" width="7.140625" style="214" customWidth="1"/>
    <col min="23" max="16384" width="9.140625" style="214"/>
  </cols>
  <sheetData>
    <row r="1" spans="1:60" x14ac:dyDescent="0.2">
      <c r="A1" s="215"/>
      <c r="B1" s="222"/>
      <c r="C1" s="222"/>
      <c r="D1" s="215"/>
      <c r="E1" s="219"/>
      <c r="F1" s="219"/>
      <c r="G1" s="215"/>
      <c r="H1" s="223"/>
      <c r="I1" s="224"/>
      <c r="J1" s="219"/>
      <c r="K1" s="215"/>
      <c r="L1" s="219"/>
      <c r="M1" s="219"/>
      <c r="N1" s="215"/>
      <c r="O1" s="215"/>
      <c r="P1" s="218"/>
      <c r="Q1" s="218"/>
      <c r="R1" s="219"/>
      <c r="S1" s="219"/>
    </row>
    <row r="2" spans="1:60" ht="20.25" x14ac:dyDescent="0.2">
      <c r="A2" s="215"/>
      <c r="B2" s="841" t="s">
        <v>867</v>
      </c>
      <c r="C2" s="841"/>
      <c r="D2" s="841"/>
      <c r="E2" s="841"/>
      <c r="F2" s="841"/>
      <c r="G2" s="841"/>
      <c r="H2" s="225"/>
      <c r="I2" s="225"/>
      <c r="J2" s="224"/>
      <c r="K2" s="226"/>
      <c r="L2" s="226"/>
      <c r="M2" s="226"/>
      <c r="N2" s="226"/>
      <c r="O2" s="227"/>
      <c r="P2" s="218"/>
      <c r="Q2" s="218"/>
      <c r="R2" s="219"/>
      <c r="S2" s="219"/>
      <c r="AB2" s="830"/>
      <c r="AC2" s="830"/>
      <c r="AE2" s="830"/>
      <c r="AF2" s="830"/>
    </row>
    <row r="3" spans="1:60" ht="52.5" customHeight="1" x14ac:dyDescent="0.2">
      <c r="A3" s="215"/>
      <c r="B3" s="841" t="s">
        <v>1645</v>
      </c>
      <c r="C3" s="841"/>
      <c r="D3" s="841"/>
      <c r="E3" s="841"/>
      <c r="F3" s="841"/>
      <c r="G3" s="841"/>
      <c r="H3" s="228" t="s">
        <v>868</v>
      </c>
      <c r="I3" s="229"/>
      <c r="J3" s="845" t="s">
        <v>869</v>
      </c>
      <c r="K3" s="845"/>
      <c r="L3" s="845"/>
      <c r="M3" s="845"/>
      <c r="N3" s="845"/>
      <c r="O3" s="454" t="s">
        <v>1627</v>
      </c>
      <c r="P3" s="218"/>
      <c r="Q3" s="218"/>
      <c r="R3" s="219"/>
      <c r="S3" s="219"/>
      <c r="U3" s="231"/>
      <c r="AB3" s="232"/>
      <c r="AC3" s="233"/>
      <c r="AE3" s="232"/>
      <c r="AF3" s="233"/>
    </row>
    <row r="4" spans="1:60" ht="55.5" customHeight="1" x14ac:dyDescent="0.25">
      <c r="A4" s="234"/>
      <c r="B4" s="843" t="s">
        <v>1628</v>
      </c>
      <c r="C4" s="843"/>
      <c r="D4" s="843" t="s">
        <v>1189</v>
      </c>
      <c r="E4" s="843"/>
      <c r="F4" s="843" t="s">
        <v>1189</v>
      </c>
      <c r="G4" s="843"/>
      <c r="H4" s="235"/>
      <c r="I4" s="236"/>
      <c r="J4" s="845" t="s">
        <v>870</v>
      </c>
      <c r="K4" s="845"/>
      <c r="L4" s="845"/>
      <c r="M4" s="845"/>
      <c r="N4" s="845"/>
      <c r="O4" s="454" t="s">
        <v>1627</v>
      </c>
      <c r="P4" s="218"/>
      <c r="Q4" s="218"/>
      <c r="R4" s="219"/>
      <c r="S4" s="219"/>
      <c r="AB4" s="232"/>
      <c r="AC4" s="233"/>
      <c r="AE4" s="232"/>
      <c r="AF4" s="233"/>
    </row>
    <row r="5" spans="1:60" ht="18" x14ac:dyDescent="0.25">
      <c r="A5" s="234"/>
      <c r="B5" s="844"/>
      <c r="C5" s="844"/>
      <c r="D5" s="844"/>
      <c r="E5" s="844"/>
      <c r="F5" s="844"/>
      <c r="G5" s="844"/>
      <c r="H5" s="237"/>
      <c r="I5" s="238"/>
      <c r="J5" s="219"/>
      <c r="K5" s="239"/>
      <c r="L5" s="842"/>
      <c r="M5" s="842"/>
      <c r="N5" s="842"/>
      <c r="O5" s="230"/>
      <c r="P5" s="218"/>
      <c r="Q5" s="218"/>
      <c r="R5" s="219"/>
      <c r="S5" s="219"/>
      <c r="U5" s="240"/>
      <c r="V5" s="240"/>
      <c r="AB5" s="233"/>
      <c r="AC5" s="233"/>
      <c r="AE5" s="233"/>
      <c r="AF5" s="233"/>
    </row>
    <row r="6" spans="1:60" x14ac:dyDescent="0.2">
      <c r="A6" s="215"/>
      <c r="B6" s="219"/>
      <c r="C6" s="219"/>
      <c r="D6" s="219"/>
      <c r="E6" s="219"/>
      <c r="F6" s="241"/>
      <c r="G6" s="219"/>
      <c r="H6" s="235"/>
      <c r="I6" s="242"/>
      <c r="J6" s="242"/>
      <c r="K6" s="243"/>
      <c r="L6" s="243"/>
      <c r="M6" s="239"/>
      <c r="N6" s="220"/>
      <c r="O6" s="221"/>
      <c r="P6" s="244"/>
      <c r="Q6" s="244"/>
      <c r="R6" s="245"/>
      <c r="S6" s="219"/>
      <c r="U6" s="232"/>
      <c r="V6" s="233"/>
    </row>
    <row r="7" spans="1:60" ht="57" customHeight="1" x14ac:dyDescent="0.2">
      <c r="A7" s="819" t="s">
        <v>871</v>
      </c>
      <c r="B7" s="819" t="s">
        <v>872</v>
      </c>
      <c r="C7" s="819" t="s">
        <v>873</v>
      </c>
      <c r="D7" s="819" t="s">
        <v>874</v>
      </c>
      <c r="E7" s="819"/>
      <c r="F7" s="819"/>
      <c r="G7" s="819"/>
      <c r="H7" s="821" t="s">
        <v>875</v>
      </c>
      <c r="I7" s="823" t="s">
        <v>876</v>
      </c>
      <c r="J7" s="823"/>
      <c r="K7" s="823" t="s">
        <v>877</v>
      </c>
      <c r="L7" s="823"/>
      <c r="M7" s="819" t="s">
        <v>878</v>
      </c>
      <c r="N7" s="819" t="s">
        <v>879</v>
      </c>
      <c r="O7" s="246" t="s">
        <v>880</v>
      </c>
      <c r="P7" s="819" t="s">
        <v>881</v>
      </c>
      <c r="Q7" s="819" t="s">
        <v>882</v>
      </c>
      <c r="R7" s="219"/>
      <c r="S7" s="219"/>
      <c r="U7" s="232"/>
      <c r="V7" s="233"/>
    </row>
    <row r="8" spans="1:60" s="233" customFormat="1" ht="14.25" x14ac:dyDescent="0.2">
      <c r="A8" s="820"/>
      <c r="B8" s="820"/>
      <c r="C8" s="820"/>
      <c r="D8" s="247" t="s">
        <v>883</v>
      </c>
      <c r="E8" s="247" t="s">
        <v>884</v>
      </c>
      <c r="F8" s="247" t="s">
        <v>885</v>
      </c>
      <c r="G8" s="247" t="s">
        <v>886</v>
      </c>
      <c r="H8" s="822"/>
      <c r="I8" s="247" t="s">
        <v>887</v>
      </c>
      <c r="J8" s="247" t="s">
        <v>888</v>
      </c>
      <c r="K8" s="247" t="s">
        <v>887</v>
      </c>
      <c r="L8" s="247" t="s">
        <v>888</v>
      </c>
      <c r="M8" s="820"/>
      <c r="N8" s="820"/>
      <c r="O8" s="248" t="s">
        <v>434</v>
      </c>
      <c r="P8" s="820"/>
      <c r="Q8" s="820"/>
      <c r="R8" s="249"/>
      <c r="S8" s="249"/>
      <c r="AB8" s="250"/>
      <c r="AC8" s="250"/>
      <c r="AD8" s="250"/>
      <c r="AE8" s="250"/>
      <c r="AF8" s="250"/>
      <c r="AG8" s="250"/>
      <c r="AH8" s="250"/>
      <c r="AI8" s="251"/>
      <c r="AJ8" s="826"/>
      <c r="AK8" s="826"/>
      <c r="AL8" s="826"/>
      <c r="AM8" s="826"/>
      <c r="AN8" s="824"/>
      <c r="AO8" s="824"/>
      <c r="AP8" s="252"/>
      <c r="AQ8" s="824"/>
      <c r="AS8" s="824"/>
      <c r="AT8" s="824"/>
      <c r="AU8" s="824"/>
      <c r="AV8" s="824"/>
      <c r="AW8" s="824"/>
      <c r="AX8" s="824"/>
      <c r="AY8" s="824"/>
      <c r="AZ8" s="825"/>
      <c r="BA8" s="826"/>
      <c r="BB8" s="826"/>
      <c r="BC8" s="826"/>
      <c r="BD8" s="826"/>
      <c r="BE8" s="824"/>
      <c r="BF8" s="824"/>
      <c r="BG8" s="252"/>
      <c r="BH8" s="824"/>
    </row>
    <row r="9" spans="1:60" s="233" customFormat="1" ht="20.25" customHeight="1" x14ac:dyDescent="0.2">
      <c r="A9" s="253" t="s">
        <v>889</v>
      </c>
      <c r="B9" s="254"/>
      <c r="C9" s="255"/>
      <c r="D9" s="256"/>
      <c r="E9" s="256"/>
      <c r="F9" s="256"/>
      <c r="G9" s="256"/>
      <c r="H9" s="257"/>
      <c r="I9" s="256"/>
      <c r="J9" s="256"/>
      <c r="K9" s="256"/>
      <c r="L9" s="256"/>
      <c r="M9" s="255"/>
      <c r="N9" s="255"/>
      <c r="O9" s="255"/>
      <c r="P9" s="255"/>
      <c r="Q9" s="258"/>
      <c r="R9" s="249"/>
      <c r="S9" s="249"/>
      <c r="AB9" s="250"/>
      <c r="AC9" s="250"/>
      <c r="AD9" s="250"/>
      <c r="AE9" s="250"/>
      <c r="AF9" s="250"/>
      <c r="AG9" s="250"/>
      <c r="AH9" s="250"/>
      <c r="AI9" s="251"/>
      <c r="AJ9" s="259"/>
      <c r="AK9" s="259"/>
      <c r="AL9" s="259"/>
      <c r="AM9" s="259"/>
      <c r="AN9" s="824"/>
      <c r="AO9" s="824"/>
      <c r="AP9" s="252"/>
      <c r="AQ9" s="824"/>
      <c r="AS9" s="824"/>
      <c r="AT9" s="824"/>
      <c r="AU9" s="824"/>
      <c r="AV9" s="252"/>
      <c r="AW9" s="252"/>
      <c r="AX9" s="252"/>
      <c r="AY9" s="252"/>
      <c r="AZ9" s="825"/>
      <c r="BA9" s="259"/>
      <c r="BB9" s="259"/>
      <c r="BC9" s="259"/>
      <c r="BD9" s="259"/>
      <c r="BE9" s="824"/>
      <c r="BF9" s="824"/>
      <c r="BG9" s="252"/>
      <c r="BH9" s="824"/>
    </row>
    <row r="10" spans="1:60" s="233" customFormat="1" ht="14.25" x14ac:dyDescent="0.2">
      <c r="A10" s="260"/>
      <c r="B10" s="261" t="s">
        <v>890</v>
      </c>
      <c r="C10" s="262"/>
      <c r="D10" s="263"/>
      <c r="E10" s="263"/>
      <c r="F10" s="263"/>
      <c r="G10" s="263"/>
      <c r="H10" s="264"/>
      <c r="I10" s="265"/>
      <c r="J10" s="265"/>
      <c r="K10" s="263"/>
      <c r="L10" s="263"/>
      <c r="M10" s="266"/>
      <c r="N10" s="266"/>
      <c r="O10" s="266"/>
      <c r="P10" s="266"/>
      <c r="Q10" s="267"/>
      <c r="R10" s="249"/>
      <c r="S10" s="249"/>
      <c r="AB10" s="250"/>
      <c r="AC10" s="250"/>
      <c r="AD10" s="250"/>
      <c r="AE10" s="268"/>
      <c r="AF10" s="268"/>
      <c r="AG10" s="268"/>
      <c r="AH10" s="268"/>
      <c r="AI10" s="251"/>
      <c r="AJ10" s="268"/>
      <c r="AK10" s="268"/>
      <c r="AL10" s="268"/>
      <c r="AM10" s="268"/>
      <c r="AN10" s="824"/>
      <c r="AO10" s="824"/>
      <c r="AP10" s="252"/>
      <c r="AQ10" s="824"/>
      <c r="AS10" s="824"/>
      <c r="AT10" s="824"/>
      <c r="AU10" s="824"/>
      <c r="AV10" s="268"/>
      <c r="AW10" s="268"/>
      <c r="AX10" s="268"/>
      <c r="AY10" s="268"/>
      <c r="AZ10" s="825"/>
      <c r="BA10" s="268"/>
      <c r="BB10" s="268"/>
      <c r="BC10" s="268"/>
      <c r="BD10" s="268"/>
      <c r="BE10" s="824"/>
      <c r="BF10" s="824"/>
      <c r="BG10" s="252"/>
      <c r="BH10" s="824"/>
    </row>
    <row r="11" spans="1:60" ht="78.75" x14ac:dyDescent="0.2">
      <c r="A11" s="269">
        <v>1</v>
      </c>
      <c r="B11" s="270" t="s">
        <v>891</v>
      </c>
      <c r="C11" s="270" t="s">
        <v>1190</v>
      </c>
      <c r="D11" s="838" t="s">
        <v>892</v>
      </c>
      <c r="E11" s="838"/>
      <c r="F11" s="838"/>
      <c r="G11" s="838"/>
      <c r="H11" s="271">
        <v>8000</v>
      </c>
      <c r="I11" s="465">
        <v>937.02</v>
      </c>
      <c r="J11" s="465">
        <f>ROUND(I11*1.1,2)</f>
        <v>1030.72</v>
      </c>
      <c r="K11" s="465">
        <v>937.02</v>
      </c>
      <c r="L11" s="465">
        <f>ROUND(K11*1.1,2)</f>
        <v>1030.72</v>
      </c>
      <c r="M11" s="160" t="s">
        <v>893</v>
      </c>
      <c r="N11" s="272" t="s">
        <v>894</v>
      </c>
      <c r="O11" s="273" t="s">
        <v>434</v>
      </c>
      <c r="P11" s="274" t="s">
        <v>435</v>
      </c>
      <c r="Q11" s="273" t="s">
        <v>895</v>
      </c>
      <c r="R11" s="275"/>
      <c r="S11" s="275"/>
      <c r="T11" s="276"/>
      <c r="U11" s="232"/>
      <c r="V11" s="232"/>
      <c r="W11" s="232"/>
      <c r="X11" s="232"/>
      <c r="AB11" s="277"/>
      <c r="AC11" s="278"/>
      <c r="AD11" s="278"/>
      <c r="AE11" s="279"/>
      <c r="AF11" s="279"/>
      <c r="AG11" s="279"/>
      <c r="AH11" s="279"/>
      <c r="AI11" s="280"/>
      <c r="AJ11" s="161"/>
      <c r="AK11" s="161"/>
      <c r="AL11" s="161"/>
      <c r="AM11" s="161"/>
      <c r="AN11" s="162"/>
      <c r="AO11" s="281"/>
      <c r="AP11" s="282"/>
      <c r="AQ11" s="283"/>
    </row>
    <row r="12" spans="1:60" ht="90" x14ac:dyDescent="0.2">
      <c r="A12" s="284">
        <v>2</v>
      </c>
      <c r="B12" s="285" t="s">
        <v>896</v>
      </c>
      <c r="C12" s="285" t="s">
        <v>1191</v>
      </c>
      <c r="D12" s="834" t="s">
        <v>897</v>
      </c>
      <c r="E12" s="834"/>
      <c r="F12" s="834"/>
      <c r="G12" s="834"/>
      <c r="H12" s="286">
        <v>8001</v>
      </c>
      <c r="I12" s="465">
        <v>51.26</v>
      </c>
      <c r="J12" s="465">
        <f>ROUND(I12*1.1,2)</f>
        <v>56.39</v>
      </c>
      <c r="K12" s="465">
        <v>51.26</v>
      </c>
      <c r="L12" s="465">
        <f>ROUND(K12*1.1,2)</f>
        <v>56.39</v>
      </c>
      <c r="M12" s="163" t="s">
        <v>893</v>
      </c>
      <c r="N12" s="287" t="s">
        <v>894</v>
      </c>
      <c r="O12" s="288" t="s">
        <v>434</v>
      </c>
      <c r="P12" s="289" t="s">
        <v>435</v>
      </c>
      <c r="Q12" s="288" t="s">
        <v>895</v>
      </c>
      <c r="R12" s="275"/>
      <c r="S12" s="275"/>
      <c r="U12" s="232"/>
      <c r="V12" s="232"/>
      <c r="W12" s="232"/>
      <c r="X12" s="232"/>
      <c r="AB12" s="277"/>
      <c r="AC12" s="278"/>
      <c r="AD12" s="278"/>
      <c r="AE12" s="279"/>
      <c r="AF12" s="279"/>
      <c r="AG12" s="279"/>
      <c r="AH12" s="279"/>
      <c r="AI12" s="280"/>
      <c r="AJ12" s="161"/>
      <c r="AK12" s="161"/>
      <c r="AL12" s="161"/>
      <c r="AM12" s="161"/>
      <c r="AN12" s="162"/>
      <c r="AO12" s="281"/>
      <c r="AP12" s="282"/>
      <c r="AQ12" s="283"/>
    </row>
    <row r="13" spans="1:60" ht="90" x14ac:dyDescent="0.2">
      <c r="A13" s="284">
        <v>3</v>
      </c>
      <c r="B13" s="285" t="s">
        <v>898</v>
      </c>
      <c r="C13" s="285" t="s">
        <v>1192</v>
      </c>
      <c r="D13" s="834" t="s">
        <v>899</v>
      </c>
      <c r="E13" s="834"/>
      <c r="F13" s="834"/>
      <c r="G13" s="834"/>
      <c r="H13" s="286">
        <v>8002</v>
      </c>
      <c r="I13" s="465">
        <v>232.77</v>
      </c>
      <c r="J13" s="465">
        <f>ROUND(I13*1.1,2)</f>
        <v>256.05</v>
      </c>
      <c r="K13" s="465">
        <v>232.77</v>
      </c>
      <c r="L13" s="465">
        <f>ROUND(K13*1.1,2)</f>
        <v>256.05</v>
      </c>
      <c r="M13" s="163" t="s">
        <v>893</v>
      </c>
      <c r="N13" s="287" t="s">
        <v>894</v>
      </c>
      <c r="O13" s="288" t="s">
        <v>434</v>
      </c>
      <c r="P13" s="289" t="s">
        <v>435</v>
      </c>
      <c r="Q13" s="288" t="s">
        <v>895</v>
      </c>
      <c r="R13" s="275"/>
      <c r="S13" s="275"/>
      <c r="U13" s="232"/>
      <c r="V13" s="232"/>
      <c r="W13" s="232"/>
      <c r="X13" s="232"/>
      <c r="AB13" s="277"/>
      <c r="AC13" s="278"/>
      <c r="AD13" s="278"/>
      <c r="AE13" s="279"/>
      <c r="AF13" s="279"/>
      <c r="AG13" s="279"/>
      <c r="AH13" s="279"/>
      <c r="AI13" s="280"/>
      <c r="AJ13" s="161"/>
      <c r="AK13" s="161"/>
      <c r="AL13" s="161"/>
      <c r="AM13" s="161"/>
      <c r="AN13" s="162"/>
      <c r="AO13" s="281"/>
      <c r="AP13" s="282"/>
      <c r="AQ13" s="283"/>
    </row>
    <row r="14" spans="1:60" ht="56.25" x14ac:dyDescent="0.2">
      <c r="A14" s="284">
        <v>4</v>
      </c>
      <c r="B14" s="285" t="s">
        <v>900</v>
      </c>
      <c r="C14" s="285" t="s">
        <v>901</v>
      </c>
      <c r="D14" s="834" t="s">
        <v>902</v>
      </c>
      <c r="E14" s="834"/>
      <c r="F14" s="834"/>
      <c r="G14" s="834"/>
      <c r="H14" s="286">
        <v>8003</v>
      </c>
      <c r="I14" s="465">
        <v>981.08</v>
      </c>
      <c r="J14" s="465">
        <f>ROUND(I14*1.1,2)</f>
        <v>1079.19</v>
      </c>
      <c r="K14" s="465">
        <v>981.08</v>
      </c>
      <c r="L14" s="465">
        <f>ROUND(K14*1.1,2)</f>
        <v>1079.19</v>
      </c>
      <c r="M14" s="163" t="s">
        <v>893</v>
      </c>
      <c r="N14" s="287" t="s">
        <v>894</v>
      </c>
      <c r="O14" s="288" t="s">
        <v>434</v>
      </c>
      <c r="P14" s="289" t="s">
        <v>435</v>
      </c>
      <c r="Q14" s="288" t="s">
        <v>895</v>
      </c>
      <c r="R14" s="275"/>
      <c r="S14" s="275"/>
      <c r="U14" s="232"/>
      <c r="V14" s="232"/>
      <c r="W14" s="232"/>
      <c r="X14" s="232"/>
      <c r="AB14" s="277"/>
      <c r="AC14" s="278"/>
      <c r="AD14" s="278"/>
      <c r="AE14" s="279"/>
      <c r="AF14" s="279"/>
      <c r="AG14" s="279"/>
      <c r="AH14" s="279"/>
      <c r="AI14" s="280"/>
      <c r="AJ14" s="161"/>
      <c r="AK14" s="161"/>
      <c r="AL14" s="161"/>
      <c r="AM14" s="161"/>
      <c r="AN14" s="162"/>
      <c r="AO14" s="281"/>
      <c r="AP14" s="282"/>
      <c r="AQ14" s="283"/>
    </row>
    <row r="15" spans="1:60" ht="33.75" x14ac:dyDescent="0.2">
      <c r="A15" s="284">
        <v>5</v>
      </c>
      <c r="B15" s="285" t="s">
        <v>903</v>
      </c>
      <c r="C15" s="285" t="s">
        <v>904</v>
      </c>
      <c r="D15" s="834" t="s">
        <v>905</v>
      </c>
      <c r="E15" s="834"/>
      <c r="F15" s="834"/>
      <c r="G15" s="834"/>
      <c r="H15" s="286">
        <v>8004</v>
      </c>
      <c r="I15" s="465">
        <v>1452.04</v>
      </c>
      <c r="J15" s="465">
        <f>ROUND(I15*1.1,2)</f>
        <v>1597.24</v>
      </c>
      <c r="K15" s="465">
        <v>1452.04</v>
      </c>
      <c r="L15" s="465">
        <f>ROUND(K15*1.1,2)</f>
        <v>1597.24</v>
      </c>
      <c r="M15" s="163" t="s">
        <v>893</v>
      </c>
      <c r="N15" s="287" t="s">
        <v>894</v>
      </c>
      <c r="O15" s="288" t="s">
        <v>434</v>
      </c>
      <c r="P15" s="289" t="s">
        <v>435</v>
      </c>
      <c r="Q15" s="288" t="s">
        <v>895</v>
      </c>
      <c r="R15" s="275"/>
      <c r="S15" s="275"/>
      <c r="U15" s="232"/>
      <c r="V15" s="232"/>
      <c r="W15" s="232"/>
      <c r="X15" s="232"/>
      <c r="AB15" s="277"/>
      <c r="AC15" s="278"/>
      <c r="AD15" s="278"/>
      <c r="AE15" s="279"/>
      <c r="AF15" s="279"/>
      <c r="AG15" s="279"/>
      <c r="AH15" s="279"/>
      <c r="AI15" s="280"/>
      <c r="AJ15" s="161"/>
      <c r="AK15" s="161"/>
      <c r="AL15" s="161"/>
      <c r="AM15" s="161"/>
      <c r="AN15" s="162"/>
      <c r="AO15" s="281"/>
      <c r="AP15" s="282"/>
      <c r="AQ15" s="283"/>
    </row>
    <row r="16" spans="1:60" ht="90" x14ac:dyDescent="0.2">
      <c r="A16" s="284">
        <v>40</v>
      </c>
      <c r="B16" s="285" t="s">
        <v>1193</v>
      </c>
      <c r="C16" s="285" t="s">
        <v>1194</v>
      </c>
      <c r="D16" s="834" t="s">
        <v>1195</v>
      </c>
      <c r="E16" s="834"/>
      <c r="F16" s="834"/>
      <c r="G16" s="834"/>
      <c r="H16" s="286">
        <v>8005</v>
      </c>
      <c r="I16" s="831" t="s">
        <v>443</v>
      </c>
      <c r="J16" s="831"/>
      <c r="K16" s="831" t="s">
        <v>443</v>
      </c>
      <c r="L16" s="831"/>
      <c r="M16" s="163" t="s">
        <v>1196</v>
      </c>
      <c r="N16" s="287" t="s">
        <v>1197</v>
      </c>
      <c r="O16" s="288" t="s">
        <v>434</v>
      </c>
      <c r="P16" s="289" t="s">
        <v>435</v>
      </c>
      <c r="Q16" s="288" t="s">
        <v>895</v>
      </c>
      <c r="R16" s="290"/>
      <c r="S16" s="290"/>
      <c r="U16" s="232"/>
      <c r="V16" s="232"/>
      <c r="W16" s="232"/>
      <c r="X16" s="232"/>
      <c r="AB16" s="277"/>
      <c r="AC16" s="278"/>
      <c r="AD16" s="278"/>
      <c r="AE16" s="279"/>
      <c r="AF16" s="279"/>
      <c r="AG16" s="279"/>
      <c r="AH16" s="279"/>
      <c r="AI16" s="280"/>
      <c r="AJ16" s="829"/>
      <c r="AK16" s="829"/>
      <c r="AL16" s="829"/>
      <c r="AM16" s="829"/>
      <c r="AN16" s="162"/>
      <c r="AO16" s="281"/>
      <c r="AP16" s="282"/>
      <c r="AQ16" s="283"/>
    </row>
    <row r="17" spans="1:43" ht="90" x14ac:dyDescent="0.2">
      <c r="A17" s="284">
        <v>41</v>
      </c>
      <c r="B17" s="285" t="s">
        <v>1198</v>
      </c>
      <c r="C17" s="285" t="s">
        <v>1199</v>
      </c>
      <c r="D17" s="834" t="s">
        <v>1195</v>
      </c>
      <c r="E17" s="834"/>
      <c r="F17" s="834"/>
      <c r="G17" s="834"/>
      <c r="H17" s="286">
        <v>8006</v>
      </c>
      <c r="I17" s="831" t="s">
        <v>443</v>
      </c>
      <c r="J17" s="831"/>
      <c r="K17" s="831" t="s">
        <v>443</v>
      </c>
      <c r="L17" s="831"/>
      <c r="M17" s="163" t="s">
        <v>1196</v>
      </c>
      <c r="N17" s="287" t="s">
        <v>1197</v>
      </c>
      <c r="O17" s="288" t="s">
        <v>434</v>
      </c>
      <c r="P17" s="289" t="s">
        <v>435</v>
      </c>
      <c r="Q17" s="288" t="s">
        <v>895</v>
      </c>
      <c r="R17" s="290"/>
      <c r="S17" s="290"/>
      <c r="U17" s="232"/>
      <c r="V17" s="232"/>
      <c r="W17" s="232"/>
      <c r="X17" s="232"/>
      <c r="AB17" s="277"/>
      <c r="AC17" s="278"/>
      <c r="AD17" s="278"/>
      <c r="AE17" s="279"/>
      <c r="AF17" s="279"/>
      <c r="AG17" s="279"/>
      <c r="AH17" s="279"/>
      <c r="AI17" s="280"/>
      <c r="AJ17" s="829"/>
      <c r="AK17" s="829"/>
      <c r="AL17" s="829"/>
      <c r="AM17" s="829"/>
      <c r="AN17" s="162"/>
      <c r="AO17" s="281"/>
      <c r="AP17" s="282"/>
      <c r="AQ17" s="283"/>
    </row>
    <row r="18" spans="1:43" ht="101.25" x14ac:dyDescent="0.2">
      <c r="A18" s="284">
        <v>42</v>
      </c>
      <c r="B18" s="285" t="s">
        <v>1200</v>
      </c>
      <c r="C18" s="285" t="s">
        <v>1201</v>
      </c>
      <c r="D18" s="834" t="s">
        <v>1195</v>
      </c>
      <c r="E18" s="834"/>
      <c r="F18" s="834"/>
      <c r="G18" s="834"/>
      <c r="H18" s="286">
        <v>8007</v>
      </c>
      <c r="I18" s="831" t="s">
        <v>443</v>
      </c>
      <c r="J18" s="831"/>
      <c r="K18" s="831" t="s">
        <v>443</v>
      </c>
      <c r="L18" s="831"/>
      <c r="M18" s="163" t="s">
        <v>1196</v>
      </c>
      <c r="N18" s="287" t="s">
        <v>1197</v>
      </c>
      <c r="O18" s="288" t="s">
        <v>434</v>
      </c>
      <c r="P18" s="291" t="s">
        <v>435</v>
      </c>
      <c r="Q18" s="292" t="s">
        <v>895</v>
      </c>
      <c r="R18" s="290"/>
      <c r="S18" s="290"/>
      <c r="U18" s="232"/>
      <c r="V18" s="232"/>
      <c r="W18" s="232"/>
      <c r="X18" s="232"/>
      <c r="AB18" s="277"/>
      <c r="AC18" s="278"/>
      <c r="AD18" s="278"/>
      <c r="AE18" s="279"/>
      <c r="AF18" s="279"/>
      <c r="AG18" s="279"/>
      <c r="AH18" s="279"/>
      <c r="AI18" s="280"/>
      <c r="AJ18" s="829"/>
      <c r="AK18" s="829"/>
      <c r="AL18" s="829"/>
      <c r="AM18" s="829"/>
      <c r="AN18" s="162"/>
      <c r="AO18" s="281"/>
      <c r="AP18" s="282"/>
      <c r="AQ18" s="283"/>
    </row>
    <row r="19" spans="1:43" ht="112.5" x14ac:dyDescent="0.2">
      <c r="A19" s="284">
        <v>43</v>
      </c>
      <c r="B19" s="285" t="s">
        <v>1202</v>
      </c>
      <c r="C19" s="285" t="s">
        <v>1203</v>
      </c>
      <c r="D19" s="834" t="s">
        <v>1195</v>
      </c>
      <c r="E19" s="834"/>
      <c r="F19" s="834"/>
      <c r="G19" s="834"/>
      <c r="H19" s="286">
        <v>8008</v>
      </c>
      <c r="I19" s="831" t="s">
        <v>443</v>
      </c>
      <c r="J19" s="831"/>
      <c r="K19" s="831" t="s">
        <v>443</v>
      </c>
      <c r="L19" s="831"/>
      <c r="M19" s="163" t="s">
        <v>1196</v>
      </c>
      <c r="N19" s="287" t="s">
        <v>1197</v>
      </c>
      <c r="O19" s="288" t="s">
        <v>434</v>
      </c>
      <c r="P19" s="291" t="s">
        <v>435</v>
      </c>
      <c r="Q19" s="292" t="s">
        <v>895</v>
      </c>
      <c r="R19" s="290"/>
      <c r="S19" s="290"/>
      <c r="U19" s="232"/>
      <c r="V19" s="232"/>
      <c r="W19" s="232"/>
      <c r="X19" s="232"/>
      <c r="AB19" s="277"/>
      <c r="AC19" s="278"/>
      <c r="AD19" s="278"/>
      <c r="AE19" s="279"/>
      <c r="AF19" s="279"/>
      <c r="AG19" s="279"/>
      <c r="AH19" s="279"/>
      <c r="AI19" s="280"/>
      <c r="AJ19" s="829"/>
      <c r="AK19" s="829"/>
      <c r="AL19" s="829"/>
      <c r="AM19" s="829"/>
      <c r="AN19" s="162"/>
      <c r="AO19" s="281"/>
      <c r="AP19" s="282"/>
      <c r="AQ19" s="283"/>
    </row>
    <row r="20" spans="1:43" ht="56.25" x14ac:dyDescent="0.2">
      <c r="A20" s="284">
        <v>44</v>
      </c>
      <c r="B20" s="285" t="s">
        <v>1204</v>
      </c>
      <c r="C20" s="285" t="s">
        <v>1205</v>
      </c>
      <c r="D20" s="834" t="s">
        <v>1195</v>
      </c>
      <c r="E20" s="834"/>
      <c r="F20" s="834"/>
      <c r="G20" s="834"/>
      <c r="H20" s="286">
        <v>8009</v>
      </c>
      <c r="I20" s="831" t="s">
        <v>443</v>
      </c>
      <c r="J20" s="831"/>
      <c r="K20" s="831" t="s">
        <v>443</v>
      </c>
      <c r="L20" s="831"/>
      <c r="M20" s="163" t="s">
        <v>1196</v>
      </c>
      <c r="N20" s="287" t="s">
        <v>1197</v>
      </c>
      <c r="O20" s="288" t="s">
        <v>434</v>
      </c>
      <c r="P20" s="291" t="s">
        <v>435</v>
      </c>
      <c r="Q20" s="292" t="s">
        <v>895</v>
      </c>
      <c r="R20" s="290"/>
      <c r="S20" s="290"/>
      <c r="U20" s="232"/>
      <c r="V20" s="232"/>
      <c r="W20" s="232"/>
      <c r="X20" s="232"/>
      <c r="AB20" s="277"/>
      <c r="AC20" s="278"/>
      <c r="AD20" s="278"/>
      <c r="AE20" s="279"/>
      <c r="AF20" s="279"/>
      <c r="AG20" s="279"/>
      <c r="AH20" s="279"/>
      <c r="AI20" s="280"/>
      <c r="AJ20" s="829"/>
      <c r="AK20" s="829"/>
      <c r="AL20" s="829"/>
      <c r="AM20" s="829"/>
      <c r="AN20" s="162"/>
      <c r="AO20" s="281"/>
      <c r="AP20" s="282"/>
      <c r="AQ20" s="283"/>
    </row>
    <row r="21" spans="1:43" ht="56.25" x14ac:dyDescent="0.2">
      <c r="A21" s="284">
        <v>45</v>
      </c>
      <c r="B21" s="285" t="s">
        <v>1206</v>
      </c>
      <c r="C21" s="285" t="s">
        <v>1207</v>
      </c>
      <c r="D21" s="834" t="s">
        <v>1195</v>
      </c>
      <c r="E21" s="834"/>
      <c r="F21" s="834"/>
      <c r="G21" s="834"/>
      <c r="H21" s="286">
        <v>8010</v>
      </c>
      <c r="I21" s="831" t="s">
        <v>443</v>
      </c>
      <c r="J21" s="831"/>
      <c r="K21" s="831" t="s">
        <v>443</v>
      </c>
      <c r="L21" s="831"/>
      <c r="M21" s="163" t="s">
        <v>1196</v>
      </c>
      <c r="N21" s="287" t="s">
        <v>1197</v>
      </c>
      <c r="O21" s="288" t="s">
        <v>434</v>
      </c>
      <c r="P21" s="291" t="s">
        <v>435</v>
      </c>
      <c r="Q21" s="292" t="s">
        <v>895</v>
      </c>
      <c r="R21" s="290"/>
      <c r="S21" s="290"/>
      <c r="U21" s="232"/>
      <c r="V21" s="232"/>
      <c r="W21" s="232"/>
      <c r="X21" s="232"/>
      <c r="AB21" s="277"/>
      <c r="AC21" s="278"/>
      <c r="AD21" s="278"/>
      <c r="AE21" s="279"/>
      <c r="AF21" s="279"/>
      <c r="AG21" s="279"/>
      <c r="AH21" s="279"/>
      <c r="AI21" s="280"/>
      <c r="AJ21" s="829"/>
      <c r="AK21" s="829"/>
      <c r="AL21" s="829"/>
      <c r="AM21" s="829"/>
      <c r="AN21" s="162"/>
      <c r="AO21" s="281"/>
      <c r="AP21" s="282"/>
      <c r="AQ21" s="283"/>
    </row>
    <row r="22" spans="1:43" ht="22.5" x14ac:dyDescent="0.2">
      <c r="A22" s="284">
        <v>46</v>
      </c>
      <c r="B22" s="285" t="s">
        <v>1208</v>
      </c>
      <c r="C22" s="285" t="s">
        <v>1209</v>
      </c>
      <c r="D22" s="834" t="s">
        <v>1195</v>
      </c>
      <c r="E22" s="834"/>
      <c r="F22" s="834"/>
      <c r="G22" s="834"/>
      <c r="H22" s="286">
        <v>8011</v>
      </c>
      <c r="I22" s="831" t="s">
        <v>443</v>
      </c>
      <c r="J22" s="831"/>
      <c r="K22" s="831" t="s">
        <v>443</v>
      </c>
      <c r="L22" s="831"/>
      <c r="M22" s="163" t="s">
        <v>1196</v>
      </c>
      <c r="N22" s="287" t="s">
        <v>1197</v>
      </c>
      <c r="O22" s="288" t="s">
        <v>434</v>
      </c>
      <c r="P22" s="291" t="s">
        <v>435</v>
      </c>
      <c r="Q22" s="292" t="s">
        <v>895</v>
      </c>
      <c r="R22" s="290"/>
      <c r="S22" s="290"/>
      <c r="U22" s="232"/>
      <c r="V22" s="232"/>
      <c r="W22" s="232"/>
      <c r="X22" s="232"/>
      <c r="AB22" s="277"/>
      <c r="AC22" s="278"/>
      <c r="AD22" s="278"/>
      <c r="AE22" s="279"/>
      <c r="AF22" s="279"/>
      <c r="AG22" s="279"/>
      <c r="AH22" s="279"/>
      <c r="AI22" s="280"/>
      <c r="AJ22" s="829"/>
      <c r="AK22" s="829"/>
      <c r="AL22" s="829"/>
      <c r="AM22" s="829"/>
      <c r="AN22" s="162"/>
      <c r="AO22" s="281"/>
      <c r="AP22" s="282"/>
      <c r="AQ22" s="283"/>
    </row>
    <row r="23" spans="1:43" ht="135" x14ac:dyDescent="0.2">
      <c r="A23" s="284">
        <v>47</v>
      </c>
      <c r="B23" s="285" t="s">
        <v>1210</v>
      </c>
      <c r="C23" s="285" t="s">
        <v>1211</v>
      </c>
      <c r="D23" s="834" t="s">
        <v>1195</v>
      </c>
      <c r="E23" s="834"/>
      <c r="F23" s="834"/>
      <c r="G23" s="834"/>
      <c r="H23" s="286">
        <v>8012</v>
      </c>
      <c r="I23" s="831" t="s">
        <v>443</v>
      </c>
      <c r="J23" s="831"/>
      <c r="K23" s="831" t="s">
        <v>443</v>
      </c>
      <c r="L23" s="831"/>
      <c r="M23" s="163" t="s">
        <v>1196</v>
      </c>
      <c r="N23" s="287" t="s">
        <v>1197</v>
      </c>
      <c r="O23" s="288" t="s">
        <v>434</v>
      </c>
      <c r="P23" s="291" t="s">
        <v>435</v>
      </c>
      <c r="Q23" s="292" t="s">
        <v>895</v>
      </c>
      <c r="R23" s="290"/>
      <c r="S23" s="290"/>
      <c r="U23" s="232"/>
      <c r="V23" s="232"/>
      <c r="W23" s="232"/>
      <c r="X23" s="232"/>
      <c r="AB23" s="277"/>
      <c r="AC23" s="278"/>
      <c r="AD23" s="278"/>
      <c r="AE23" s="279"/>
      <c r="AF23" s="279"/>
      <c r="AG23" s="279"/>
      <c r="AH23" s="279"/>
      <c r="AI23" s="280"/>
      <c r="AJ23" s="829"/>
      <c r="AK23" s="829"/>
      <c r="AL23" s="829"/>
      <c r="AM23" s="829"/>
      <c r="AN23" s="162"/>
      <c r="AO23" s="281"/>
      <c r="AP23" s="282"/>
      <c r="AQ23" s="283"/>
    </row>
    <row r="24" spans="1:43" ht="45" x14ac:dyDescent="0.2">
      <c r="A24" s="284">
        <v>48</v>
      </c>
      <c r="B24" s="285" t="s">
        <v>1212</v>
      </c>
      <c r="C24" s="285" t="s">
        <v>1213</v>
      </c>
      <c r="D24" s="834" t="s">
        <v>1195</v>
      </c>
      <c r="E24" s="834"/>
      <c r="F24" s="834"/>
      <c r="G24" s="834"/>
      <c r="H24" s="286">
        <v>8013</v>
      </c>
      <c r="I24" s="831" t="s">
        <v>443</v>
      </c>
      <c r="J24" s="831"/>
      <c r="K24" s="831" t="s">
        <v>443</v>
      </c>
      <c r="L24" s="831"/>
      <c r="M24" s="163" t="s">
        <v>1196</v>
      </c>
      <c r="N24" s="287" t="s">
        <v>1197</v>
      </c>
      <c r="O24" s="288" t="s">
        <v>434</v>
      </c>
      <c r="P24" s="291" t="s">
        <v>435</v>
      </c>
      <c r="Q24" s="292" t="s">
        <v>895</v>
      </c>
      <c r="R24" s="290"/>
      <c r="S24" s="290"/>
      <c r="U24" s="232"/>
      <c r="V24" s="232"/>
      <c r="W24" s="232"/>
      <c r="X24" s="232"/>
      <c r="AB24" s="277"/>
      <c r="AC24" s="278"/>
      <c r="AD24" s="278"/>
      <c r="AE24" s="279"/>
      <c r="AF24" s="279"/>
      <c r="AG24" s="279"/>
      <c r="AH24" s="279"/>
      <c r="AI24" s="280"/>
      <c r="AJ24" s="829"/>
      <c r="AK24" s="829"/>
      <c r="AL24" s="829"/>
      <c r="AM24" s="829"/>
      <c r="AN24" s="162"/>
      <c r="AO24" s="281"/>
      <c r="AP24" s="282"/>
      <c r="AQ24" s="283"/>
    </row>
    <row r="25" spans="1:43" ht="33.75" x14ac:dyDescent="0.2">
      <c r="A25" s="284">
        <v>49</v>
      </c>
      <c r="B25" s="285" t="s">
        <v>1214</v>
      </c>
      <c r="C25" s="285" t="s">
        <v>1215</v>
      </c>
      <c r="D25" s="834" t="s">
        <v>1195</v>
      </c>
      <c r="E25" s="834"/>
      <c r="F25" s="834"/>
      <c r="G25" s="834"/>
      <c r="H25" s="286">
        <v>8014</v>
      </c>
      <c r="I25" s="831" t="s">
        <v>443</v>
      </c>
      <c r="J25" s="831"/>
      <c r="K25" s="831" t="s">
        <v>443</v>
      </c>
      <c r="L25" s="831"/>
      <c r="M25" s="163" t="s">
        <v>1196</v>
      </c>
      <c r="N25" s="287" t="s">
        <v>1197</v>
      </c>
      <c r="O25" s="288" t="s">
        <v>434</v>
      </c>
      <c r="P25" s="291" t="s">
        <v>435</v>
      </c>
      <c r="Q25" s="292" t="s">
        <v>895</v>
      </c>
      <c r="R25" s="290"/>
      <c r="S25" s="290"/>
      <c r="U25" s="232"/>
      <c r="V25" s="232"/>
      <c r="W25" s="232"/>
      <c r="X25" s="232"/>
      <c r="AB25" s="277"/>
      <c r="AC25" s="278"/>
      <c r="AD25" s="278"/>
      <c r="AE25" s="279"/>
      <c r="AF25" s="279"/>
      <c r="AG25" s="279"/>
      <c r="AH25" s="279"/>
      <c r="AI25" s="280"/>
      <c r="AJ25" s="829"/>
      <c r="AK25" s="829"/>
      <c r="AL25" s="829"/>
      <c r="AM25" s="829"/>
      <c r="AN25" s="162"/>
      <c r="AO25" s="281"/>
      <c r="AP25" s="282"/>
      <c r="AQ25" s="283"/>
    </row>
    <row r="26" spans="1:43" ht="78.75" x14ac:dyDescent="0.2">
      <c r="A26" s="293">
        <v>50</v>
      </c>
      <c r="B26" s="294" t="s">
        <v>1216</v>
      </c>
      <c r="C26" s="294" t="s">
        <v>1217</v>
      </c>
      <c r="D26" s="846" t="s">
        <v>1195</v>
      </c>
      <c r="E26" s="846"/>
      <c r="F26" s="846"/>
      <c r="G26" s="846"/>
      <c r="H26" s="295">
        <v>8015</v>
      </c>
      <c r="I26" s="835" t="s">
        <v>443</v>
      </c>
      <c r="J26" s="835"/>
      <c r="K26" s="835" t="s">
        <v>443</v>
      </c>
      <c r="L26" s="835"/>
      <c r="M26" s="203" t="s">
        <v>1196</v>
      </c>
      <c r="N26" s="296" t="s">
        <v>1197</v>
      </c>
      <c r="O26" s="297" t="s">
        <v>434</v>
      </c>
      <c r="P26" s="298" t="s">
        <v>435</v>
      </c>
      <c r="Q26" s="299" t="s">
        <v>895</v>
      </c>
      <c r="R26" s="290"/>
      <c r="S26" s="290"/>
      <c r="U26" s="232"/>
      <c r="V26" s="232"/>
      <c r="W26" s="232"/>
      <c r="X26" s="232"/>
      <c r="AB26" s="277"/>
      <c r="AC26" s="278"/>
      <c r="AD26" s="278"/>
      <c r="AE26" s="279"/>
      <c r="AF26" s="279"/>
      <c r="AG26" s="279"/>
      <c r="AH26" s="279"/>
      <c r="AI26" s="280"/>
      <c r="AJ26" s="829"/>
      <c r="AK26" s="829"/>
      <c r="AL26" s="829"/>
      <c r="AM26" s="829"/>
      <c r="AN26" s="162"/>
      <c r="AO26" s="281"/>
      <c r="AP26" s="282"/>
      <c r="AQ26" s="283"/>
    </row>
    <row r="27" spans="1:43" s="233" customFormat="1" x14ac:dyDescent="0.2">
      <c r="A27" s="300"/>
      <c r="B27" s="301" t="s">
        <v>906</v>
      </c>
      <c r="C27" s="302"/>
      <c r="D27" s="303"/>
      <c r="E27" s="303"/>
      <c r="F27" s="303"/>
      <c r="G27" s="303"/>
      <c r="H27" s="304"/>
      <c r="I27" s="305"/>
      <c r="J27" s="305"/>
      <c r="K27" s="303"/>
      <c r="L27" s="303"/>
      <c r="M27" s="306"/>
      <c r="N27" s="306"/>
      <c r="O27" s="306"/>
      <c r="P27" s="306"/>
      <c r="Q27" s="307"/>
      <c r="R27" s="165"/>
      <c r="S27" s="165"/>
      <c r="U27" s="232"/>
      <c r="V27" s="232"/>
      <c r="W27" s="232"/>
      <c r="X27" s="232"/>
      <c r="AB27" s="283"/>
      <c r="AC27" s="308"/>
      <c r="AD27" s="309"/>
      <c r="AE27" s="283"/>
      <c r="AF27" s="283"/>
      <c r="AG27" s="283"/>
      <c r="AH27" s="283"/>
      <c r="AI27" s="280"/>
      <c r="AJ27" s="166"/>
      <c r="AK27" s="166"/>
      <c r="AL27" s="166"/>
      <c r="AM27" s="166"/>
      <c r="AN27" s="167"/>
      <c r="AO27" s="167"/>
      <c r="AP27" s="167"/>
      <c r="AQ27" s="281"/>
    </row>
    <row r="28" spans="1:43" ht="95.25" customHeight="1" x14ac:dyDescent="0.2">
      <c r="A28" s="310">
        <v>6</v>
      </c>
      <c r="B28" s="311" t="s">
        <v>907</v>
      </c>
      <c r="C28" s="311" t="s">
        <v>908</v>
      </c>
      <c r="D28" s="312" t="s">
        <v>909</v>
      </c>
      <c r="E28" s="312" t="s">
        <v>910</v>
      </c>
      <c r="F28" s="312"/>
      <c r="G28" s="312"/>
      <c r="H28" s="313">
        <v>8020</v>
      </c>
      <c r="I28" s="171">
        <v>493.56</v>
      </c>
      <c r="J28" s="168">
        <f>ROUND(I28*1.1,2)</f>
        <v>542.91999999999996</v>
      </c>
      <c r="K28" s="168"/>
      <c r="L28" s="168"/>
      <c r="M28" s="169" t="s">
        <v>893</v>
      </c>
      <c r="N28" s="314" t="s">
        <v>911</v>
      </c>
      <c r="O28" s="315" t="s">
        <v>880</v>
      </c>
      <c r="P28" s="315" t="s">
        <v>436</v>
      </c>
      <c r="Q28" s="315" t="s">
        <v>912</v>
      </c>
      <c r="R28" s="275"/>
      <c r="S28" s="275"/>
      <c r="U28" s="232"/>
      <c r="V28" s="232"/>
      <c r="W28" s="232"/>
      <c r="X28" s="232"/>
      <c r="AB28" s="277"/>
      <c r="AC28" s="278"/>
      <c r="AD28" s="278"/>
      <c r="AE28" s="283"/>
      <c r="AF28" s="283"/>
      <c r="AG28" s="283"/>
      <c r="AH28" s="283"/>
      <c r="AI28" s="280"/>
      <c r="AJ28" s="161"/>
      <c r="AK28" s="161"/>
      <c r="AL28" s="161"/>
      <c r="AM28" s="161"/>
      <c r="AN28" s="162"/>
      <c r="AO28" s="281"/>
      <c r="AP28" s="282"/>
      <c r="AQ28" s="283"/>
    </row>
    <row r="29" spans="1:43" ht="33.75" x14ac:dyDescent="0.2">
      <c r="A29" s="284" t="s">
        <v>913</v>
      </c>
      <c r="B29" s="285" t="s">
        <v>914</v>
      </c>
      <c r="C29" s="285" t="s">
        <v>915</v>
      </c>
      <c r="D29" s="289" t="s">
        <v>916</v>
      </c>
      <c r="E29" s="289" t="s">
        <v>917</v>
      </c>
      <c r="F29" s="316"/>
      <c r="G29" s="316"/>
      <c r="H29" s="286">
        <v>8021</v>
      </c>
      <c r="I29" s="466">
        <v>123.39</v>
      </c>
      <c r="J29" s="467">
        <f>ROUND(I29*1.1,2)</f>
        <v>135.72999999999999</v>
      </c>
      <c r="K29" s="170"/>
      <c r="L29" s="170"/>
      <c r="M29" s="163" t="s">
        <v>893</v>
      </c>
      <c r="N29" s="287" t="s">
        <v>894</v>
      </c>
      <c r="O29" s="288" t="s">
        <v>880</v>
      </c>
      <c r="P29" s="289" t="s">
        <v>895</v>
      </c>
      <c r="Q29" s="288" t="s">
        <v>895</v>
      </c>
      <c r="R29" s="275"/>
      <c r="S29" s="275"/>
      <c r="U29" s="232"/>
      <c r="V29" s="232"/>
      <c r="W29" s="232"/>
      <c r="X29" s="232"/>
      <c r="AB29" s="277"/>
      <c r="AC29" s="278"/>
      <c r="AD29" s="278"/>
      <c r="AE29" s="283"/>
      <c r="AF29" s="283"/>
      <c r="AG29" s="283"/>
      <c r="AH29" s="283"/>
      <c r="AI29" s="280"/>
      <c r="AJ29" s="161"/>
      <c r="AK29" s="161"/>
      <c r="AL29" s="161"/>
      <c r="AM29" s="161"/>
      <c r="AN29" s="162"/>
      <c r="AO29" s="281"/>
      <c r="AP29" s="282"/>
      <c r="AQ29" s="283"/>
    </row>
    <row r="30" spans="1:43" ht="33.75" x14ac:dyDescent="0.2">
      <c r="A30" s="317">
        <v>7</v>
      </c>
      <c r="B30" s="318" t="s">
        <v>918</v>
      </c>
      <c r="C30" s="318" t="s">
        <v>908</v>
      </c>
      <c r="D30" s="319"/>
      <c r="E30" s="319"/>
      <c r="F30" s="319" t="s">
        <v>919</v>
      </c>
      <c r="G30" s="319" t="s">
        <v>920</v>
      </c>
      <c r="H30" s="320">
        <v>8022</v>
      </c>
      <c r="I30" s="171"/>
      <c r="J30" s="171"/>
      <c r="K30" s="171">
        <v>863.73</v>
      </c>
      <c r="L30" s="168">
        <f>ROUND(K30*1.1,2)</f>
        <v>950.1</v>
      </c>
      <c r="M30" s="172" t="s">
        <v>893</v>
      </c>
      <c r="N30" s="321" t="s">
        <v>911</v>
      </c>
      <c r="O30" s="322" t="s">
        <v>880</v>
      </c>
      <c r="P30" s="322" t="s">
        <v>436</v>
      </c>
      <c r="Q30" s="322" t="s">
        <v>912</v>
      </c>
      <c r="R30" s="164"/>
      <c r="S30" s="275"/>
      <c r="U30" s="232"/>
      <c r="V30" s="232"/>
      <c r="W30" s="232"/>
      <c r="X30" s="232"/>
      <c r="AB30" s="277"/>
      <c r="AC30" s="278"/>
      <c r="AD30" s="278"/>
      <c r="AE30" s="283"/>
      <c r="AF30" s="283"/>
      <c r="AG30" s="283"/>
      <c r="AH30" s="283"/>
      <c r="AI30" s="280"/>
      <c r="AJ30" s="161"/>
      <c r="AK30" s="161"/>
      <c r="AL30" s="161"/>
      <c r="AM30" s="161"/>
      <c r="AN30" s="162"/>
      <c r="AO30" s="281"/>
      <c r="AP30" s="282"/>
      <c r="AQ30" s="283"/>
    </row>
    <row r="31" spans="1:43" ht="45" x14ac:dyDescent="0.2">
      <c r="A31" s="317" t="s">
        <v>921</v>
      </c>
      <c r="B31" s="318" t="s">
        <v>922</v>
      </c>
      <c r="C31" s="318" t="s">
        <v>923</v>
      </c>
      <c r="D31" s="319"/>
      <c r="E31" s="319"/>
      <c r="F31" s="319" t="s">
        <v>924</v>
      </c>
      <c r="G31" s="319" t="s">
        <v>925</v>
      </c>
      <c r="H31" s="320">
        <v>8023</v>
      </c>
      <c r="I31" s="171"/>
      <c r="J31" s="171"/>
      <c r="K31" s="171">
        <v>493.56</v>
      </c>
      <c r="L31" s="168">
        <f>ROUND(K31*1.1,2)</f>
        <v>542.91999999999996</v>
      </c>
      <c r="M31" s="172" t="s">
        <v>893</v>
      </c>
      <c r="N31" s="321" t="s">
        <v>926</v>
      </c>
      <c r="O31" s="322" t="s">
        <v>880</v>
      </c>
      <c r="P31" s="322" t="s">
        <v>895</v>
      </c>
      <c r="Q31" s="322" t="s">
        <v>895</v>
      </c>
      <c r="R31" s="164"/>
      <c r="S31" s="275"/>
      <c r="U31" s="232"/>
      <c r="V31" s="232"/>
      <c r="W31" s="232"/>
      <c r="X31" s="232"/>
      <c r="AB31" s="277"/>
      <c r="AC31" s="278"/>
      <c r="AD31" s="278"/>
      <c r="AE31" s="283"/>
      <c r="AF31" s="283"/>
      <c r="AG31" s="283"/>
      <c r="AH31" s="283"/>
      <c r="AI31" s="280"/>
      <c r="AJ31" s="161"/>
      <c r="AK31" s="161"/>
      <c r="AL31" s="161"/>
      <c r="AM31" s="161"/>
      <c r="AN31" s="162"/>
      <c r="AO31" s="281"/>
      <c r="AP31" s="282"/>
      <c r="AQ31" s="283"/>
    </row>
    <row r="32" spans="1:43" ht="33.75" x14ac:dyDescent="0.2">
      <c r="A32" s="173">
        <v>8</v>
      </c>
      <c r="B32" s="174" t="s">
        <v>927</v>
      </c>
      <c r="C32" s="174" t="s">
        <v>928</v>
      </c>
      <c r="D32" s="319" t="s">
        <v>929</v>
      </c>
      <c r="E32" s="319" t="s">
        <v>930</v>
      </c>
      <c r="F32" s="319"/>
      <c r="G32" s="319"/>
      <c r="H32" s="320">
        <v>8024</v>
      </c>
      <c r="I32" s="171">
        <v>493.56</v>
      </c>
      <c r="J32" s="168">
        <f>ROUND(I32*1.1,2)</f>
        <v>542.91999999999996</v>
      </c>
      <c r="K32" s="171"/>
      <c r="L32" s="171"/>
      <c r="M32" s="172" t="s">
        <v>893</v>
      </c>
      <c r="N32" s="321" t="s">
        <v>911</v>
      </c>
      <c r="O32" s="322" t="s">
        <v>880</v>
      </c>
      <c r="P32" s="322" t="s">
        <v>436</v>
      </c>
      <c r="Q32" s="322" t="s">
        <v>912</v>
      </c>
      <c r="R32" s="275"/>
      <c r="S32" s="164"/>
      <c r="U32" s="232"/>
      <c r="V32" s="232"/>
      <c r="W32" s="232"/>
      <c r="X32" s="232"/>
      <c r="AB32" s="277"/>
      <c r="AC32" s="278"/>
      <c r="AD32" s="278"/>
      <c r="AE32" s="283"/>
      <c r="AF32" s="283"/>
      <c r="AG32" s="283"/>
      <c r="AH32" s="283"/>
      <c r="AI32" s="280"/>
      <c r="AJ32" s="161"/>
      <c r="AK32" s="161"/>
      <c r="AL32" s="161"/>
      <c r="AM32" s="161"/>
      <c r="AN32" s="162"/>
      <c r="AO32" s="281"/>
      <c r="AP32" s="282"/>
      <c r="AQ32" s="283"/>
    </row>
    <row r="33" spans="1:43" ht="33.75" x14ac:dyDescent="0.2">
      <c r="A33" s="284" t="s">
        <v>931</v>
      </c>
      <c r="B33" s="285" t="s">
        <v>932</v>
      </c>
      <c r="C33" s="285" t="s">
        <v>933</v>
      </c>
      <c r="D33" s="289" t="s">
        <v>934</v>
      </c>
      <c r="E33" s="289" t="s">
        <v>935</v>
      </c>
      <c r="F33" s="316"/>
      <c r="G33" s="316"/>
      <c r="H33" s="286">
        <v>8025</v>
      </c>
      <c r="I33" s="466">
        <v>123.39</v>
      </c>
      <c r="J33" s="467">
        <f>ROUND(I33*1.1,2)</f>
        <v>135.72999999999999</v>
      </c>
      <c r="K33" s="170"/>
      <c r="L33" s="170"/>
      <c r="M33" s="163" t="s">
        <v>893</v>
      </c>
      <c r="N33" s="287" t="s">
        <v>894</v>
      </c>
      <c r="O33" s="288" t="s">
        <v>880</v>
      </c>
      <c r="P33" s="289" t="s">
        <v>895</v>
      </c>
      <c r="Q33" s="288" t="s">
        <v>895</v>
      </c>
      <c r="R33" s="275"/>
      <c r="S33" s="164"/>
      <c r="U33" s="232"/>
      <c r="V33" s="232"/>
      <c r="W33" s="232"/>
      <c r="X33" s="232"/>
      <c r="AB33" s="277"/>
      <c r="AC33" s="278"/>
      <c r="AD33" s="278"/>
      <c r="AE33" s="283"/>
      <c r="AF33" s="283"/>
      <c r="AG33" s="283"/>
      <c r="AH33" s="283"/>
      <c r="AI33" s="280"/>
      <c r="AJ33" s="161"/>
      <c r="AK33" s="161"/>
      <c r="AL33" s="161"/>
      <c r="AM33" s="161"/>
      <c r="AN33" s="162"/>
      <c r="AO33" s="281"/>
      <c r="AP33" s="282"/>
      <c r="AQ33" s="283"/>
    </row>
    <row r="34" spans="1:43" ht="33.75" x14ac:dyDescent="0.2">
      <c r="A34" s="173">
        <v>9</v>
      </c>
      <c r="B34" s="174" t="s">
        <v>936</v>
      </c>
      <c r="C34" s="174" t="s">
        <v>928</v>
      </c>
      <c r="D34" s="319"/>
      <c r="E34" s="319"/>
      <c r="F34" s="319" t="s">
        <v>937</v>
      </c>
      <c r="G34" s="319" t="s">
        <v>938</v>
      </c>
      <c r="H34" s="320">
        <v>8026</v>
      </c>
      <c r="I34" s="171"/>
      <c r="J34" s="171"/>
      <c r="K34" s="171">
        <v>863.73</v>
      </c>
      <c r="L34" s="171">
        <f t="shared" ref="L34:L36" si="0">ROUND(K34*1.1,2)</f>
        <v>950.1</v>
      </c>
      <c r="M34" s="172" t="s">
        <v>893</v>
      </c>
      <c r="N34" s="321" t="s">
        <v>911</v>
      </c>
      <c r="O34" s="322" t="s">
        <v>880</v>
      </c>
      <c r="P34" s="322" t="s">
        <v>436</v>
      </c>
      <c r="Q34" s="322" t="s">
        <v>912</v>
      </c>
      <c r="R34" s="164"/>
      <c r="S34" s="275"/>
      <c r="U34" s="232"/>
      <c r="V34" s="232"/>
      <c r="W34" s="232"/>
      <c r="X34" s="232"/>
      <c r="AB34" s="277"/>
      <c r="AC34" s="278"/>
      <c r="AD34" s="278"/>
      <c r="AE34" s="283"/>
      <c r="AF34" s="283"/>
      <c r="AG34" s="283"/>
      <c r="AH34" s="283"/>
      <c r="AI34" s="280"/>
      <c r="AJ34" s="161"/>
      <c r="AK34" s="161"/>
      <c r="AL34" s="161"/>
      <c r="AM34" s="161"/>
      <c r="AN34" s="162"/>
      <c r="AO34" s="281"/>
      <c r="AP34" s="282"/>
      <c r="AQ34" s="283"/>
    </row>
    <row r="35" spans="1:43" ht="45" x14ac:dyDescent="0.2">
      <c r="A35" s="317" t="s">
        <v>939</v>
      </c>
      <c r="B35" s="318" t="s">
        <v>940</v>
      </c>
      <c r="C35" s="318" t="s">
        <v>933</v>
      </c>
      <c r="D35" s="319"/>
      <c r="E35" s="319"/>
      <c r="F35" s="319" t="s">
        <v>941</v>
      </c>
      <c r="G35" s="319" t="s">
        <v>942</v>
      </c>
      <c r="H35" s="320">
        <v>8027</v>
      </c>
      <c r="I35" s="171"/>
      <c r="J35" s="171"/>
      <c r="K35" s="171">
        <v>493.56</v>
      </c>
      <c r="L35" s="171">
        <f t="shared" si="0"/>
        <v>542.91999999999996</v>
      </c>
      <c r="M35" s="172" t="s">
        <v>893</v>
      </c>
      <c r="N35" s="321" t="s">
        <v>926</v>
      </c>
      <c r="O35" s="322" t="s">
        <v>880</v>
      </c>
      <c r="P35" s="322" t="s">
        <v>895</v>
      </c>
      <c r="Q35" s="322" t="s">
        <v>895</v>
      </c>
      <c r="R35" s="164"/>
      <c r="S35" s="275"/>
      <c r="U35" s="232"/>
      <c r="V35" s="232"/>
      <c r="W35" s="232"/>
      <c r="X35" s="232"/>
      <c r="AB35" s="277"/>
      <c r="AC35" s="278"/>
      <c r="AD35" s="278"/>
      <c r="AE35" s="283"/>
      <c r="AF35" s="283"/>
      <c r="AG35" s="283"/>
      <c r="AH35" s="283"/>
      <c r="AI35" s="280"/>
      <c r="AJ35" s="161"/>
      <c r="AK35" s="161"/>
      <c r="AL35" s="161"/>
      <c r="AM35" s="161"/>
      <c r="AN35" s="162"/>
      <c r="AO35" s="281"/>
      <c r="AP35" s="282"/>
      <c r="AQ35" s="283"/>
    </row>
    <row r="36" spans="1:43" ht="78.75" customHeight="1" x14ac:dyDescent="0.2">
      <c r="A36" s="173" t="s">
        <v>943</v>
      </c>
      <c r="B36" s="174" t="s">
        <v>944</v>
      </c>
      <c r="C36" s="174" t="s">
        <v>945</v>
      </c>
      <c r="D36" s="175" t="s">
        <v>946</v>
      </c>
      <c r="E36" s="175" t="s">
        <v>947</v>
      </c>
      <c r="F36" s="175" t="s">
        <v>948</v>
      </c>
      <c r="G36" s="175" t="s">
        <v>949</v>
      </c>
      <c r="H36" s="176">
        <v>8033</v>
      </c>
      <c r="I36" s="168">
        <v>123.39</v>
      </c>
      <c r="J36" s="168">
        <f>ROUND(I36*1.1,2)</f>
        <v>135.72999999999999</v>
      </c>
      <c r="K36" s="171">
        <v>123.39</v>
      </c>
      <c r="L36" s="171">
        <f t="shared" si="0"/>
        <v>135.72999999999999</v>
      </c>
      <c r="M36" s="172" t="s">
        <v>893</v>
      </c>
      <c r="N36" s="321" t="s">
        <v>950</v>
      </c>
      <c r="O36" s="322" t="s">
        <v>880</v>
      </c>
      <c r="P36" s="322" t="s">
        <v>436</v>
      </c>
      <c r="Q36" s="322" t="s">
        <v>912</v>
      </c>
      <c r="R36" s="275"/>
      <c r="S36" s="275"/>
      <c r="U36" s="232"/>
      <c r="V36" s="232"/>
      <c r="W36" s="232"/>
      <c r="X36" s="232"/>
      <c r="AB36" s="277"/>
      <c r="AC36" s="278"/>
      <c r="AD36" s="278"/>
      <c r="AE36" s="283"/>
      <c r="AF36" s="283"/>
      <c r="AG36" s="283"/>
      <c r="AH36" s="283"/>
      <c r="AI36" s="280"/>
      <c r="AJ36" s="161"/>
      <c r="AK36" s="161"/>
      <c r="AL36" s="161"/>
      <c r="AM36" s="161"/>
      <c r="AN36" s="162"/>
      <c r="AO36" s="281"/>
      <c r="AP36" s="282"/>
      <c r="AQ36" s="283"/>
    </row>
    <row r="37" spans="1:43" ht="56.25" x14ac:dyDescent="0.2">
      <c r="A37" s="284">
        <v>51</v>
      </c>
      <c r="B37" s="285" t="s">
        <v>1218</v>
      </c>
      <c r="C37" s="285" t="s">
        <v>1219</v>
      </c>
      <c r="D37" s="834" t="s">
        <v>1195</v>
      </c>
      <c r="E37" s="834"/>
      <c r="F37" s="834"/>
      <c r="G37" s="834"/>
      <c r="H37" s="286">
        <v>8028</v>
      </c>
      <c r="I37" s="831" t="s">
        <v>443</v>
      </c>
      <c r="J37" s="831"/>
      <c r="K37" s="831" t="s">
        <v>443</v>
      </c>
      <c r="L37" s="831"/>
      <c r="M37" s="163" t="s">
        <v>1196</v>
      </c>
      <c r="N37" s="287" t="s">
        <v>1197</v>
      </c>
      <c r="O37" s="288" t="s">
        <v>434</v>
      </c>
      <c r="P37" s="291" t="s">
        <v>435</v>
      </c>
      <c r="Q37" s="292" t="s">
        <v>895</v>
      </c>
      <c r="R37" s="290"/>
      <c r="S37" s="290"/>
      <c r="U37" s="232"/>
      <c r="V37" s="232"/>
      <c r="W37" s="232"/>
      <c r="X37" s="232"/>
      <c r="AB37" s="277"/>
      <c r="AC37" s="278"/>
      <c r="AD37" s="278"/>
      <c r="AE37" s="279"/>
      <c r="AF37" s="279"/>
      <c r="AG37" s="279"/>
      <c r="AH37" s="279"/>
      <c r="AI37" s="280"/>
      <c r="AJ37" s="829"/>
      <c r="AK37" s="829"/>
      <c r="AL37" s="829"/>
      <c r="AM37" s="829"/>
      <c r="AN37" s="162"/>
      <c r="AO37" s="281"/>
      <c r="AP37" s="282"/>
      <c r="AQ37" s="283"/>
    </row>
    <row r="38" spans="1:43" ht="157.5" x14ac:dyDescent="0.2">
      <c r="A38" s="284">
        <v>52</v>
      </c>
      <c r="B38" s="285" t="s">
        <v>1220</v>
      </c>
      <c r="C38" s="285" t="s">
        <v>1221</v>
      </c>
      <c r="D38" s="834" t="s">
        <v>1195</v>
      </c>
      <c r="E38" s="834"/>
      <c r="F38" s="834"/>
      <c r="G38" s="834"/>
      <c r="H38" s="286">
        <v>8029</v>
      </c>
      <c r="I38" s="831" t="s">
        <v>443</v>
      </c>
      <c r="J38" s="831"/>
      <c r="K38" s="831" t="s">
        <v>443</v>
      </c>
      <c r="L38" s="831"/>
      <c r="M38" s="180" t="s">
        <v>1196</v>
      </c>
      <c r="N38" s="287" t="s">
        <v>1197</v>
      </c>
      <c r="O38" s="288" t="s">
        <v>434</v>
      </c>
      <c r="P38" s="291" t="s">
        <v>435</v>
      </c>
      <c r="Q38" s="292" t="s">
        <v>895</v>
      </c>
      <c r="R38" s="290"/>
      <c r="S38" s="290"/>
      <c r="U38" s="232"/>
      <c r="V38" s="232"/>
      <c r="W38" s="232"/>
      <c r="X38" s="232"/>
      <c r="AB38" s="277"/>
      <c r="AC38" s="278"/>
      <c r="AD38" s="278"/>
      <c r="AE38" s="279"/>
      <c r="AF38" s="279"/>
      <c r="AG38" s="279"/>
      <c r="AH38" s="279"/>
      <c r="AI38" s="280"/>
      <c r="AJ38" s="829"/>
      <c r="AK38" s="829"/>
      <c r="AL38" s="829"/>
      <c r="AM38" s="829"/>
      <c r="AN38" s="162"/>
      <c r="AO38" s="281"/>
      <c r="AP38" s="282"/>
      <c r="AQ38" s="283"/>
    </row>
    <row r="39" spans="1:43" ht="56.25" x14ac:dyDescent="0.2">
      <c r="A39" s="284">
        <v>53</v>
      </c>
      <c r="B39" s="285" t="s">
        <v>1222</v>
      </c>
      <c r="C39" s="285" t="s">
        <v>1223</v>
      </c>
      <c r="D39" s="834" t="s">
        <v>1195</v>
      </c>
      <c r="E39" s="834"/>
      <c r="F39" s="834"/>
      <c r="G39" s="834"/>
      <c r="H39" s="286">
        <v>8030</v>
      </c>
      <c r="I39" s="831" t="s">
        <v>443</v>
      </c>
      <c r="J39" s="831"/>
      <c r="K39" s="831" t="s">
        <v>443</v>
      </c>
      <c r="L39" s="831"/>
      <c r="M39" s="180" t="s">
        <v>1196</v>
      </c>
      <c r="N39" s="287" t="s">
        <v>1197</v>
      </c>
      <c r="O39" s="288" t="s">
        <v>434</v>
      </c>
      <c r="P39" s="291" t="s">
        <v>435</v>
      </c>
      <c r="Q39" s="292" t="s">
        <v>895</v>
      </c>
      <c r="R39" s="290"/>
      <c r="S39" s="290"/>
      <c r="U39" s="232"/>
      <c r="V39" s="232"/>
      <c r="W39" s="232"/>
      <c r="X39" s="232"/>
      <c r="AB39" s="277"/>
      <c r="AC39" s="278"/>
      <c r="AD39" s="278"/>
      <c r="AE39" s="279"/>
      <c r="AF39" s="279"/>
      <c r="AG39" s="279"/>
      <c r="AH39" s="279"/>
      <c r="AI39" s="280"/>
      <c r="AJ39" s="829"/>
      <c r="AK39" s="829"/>
      <c r="AL39" s="829"/>
      <c r="AM39" s="829"/>
      <c r="AN39" s="162"/>
      <c r="AO39" s="281"/>
      <c r="AP39" s="282"/>
      <c r="AQ39" s="283"/>
    </row>
    <row r="40" spans="1:43" ht="101.25" x14ac:dyDescent="0.2">
      <c r="A40" s="284">
        <v>54</v>
      </c>
      <c r="B40" s="285" t="s">
        <v>1224</v>
      </c>
      <c r="C40" s="285" t="s">
        <v>1225</v>
      </c>
      <c r="D40" s="834" t="s">
        <v>1195</v>
      </c>
      <c r="E40" s="834"/>
      <c r="F40" s="834"/>
      <c r="G40" s="834"/>
      <c r="H40" s="286">
        <v>8031</v>
      </c>
      <c r="I40" s="831" t="s">
        <v>443</v>
      </c>
      <c r="J40" s="831"/>
      <c r="K40" s="831" t="s">
        <v>443</v>
      </c>
      <c r="L40" s="831"/>
      <c r="M40" s="180" t="s">
        <v>1196</v>
      </c>
      <c r="N40" s="287" t="s">
        <v>1197</v>
      </c>
      <c r="O40" s="288" t="s">
        <v>434</v>
      </c>
      <c r="P40" s="291" t="s">
        <v>436</v>
      </c>
      <c r="Q40" s="292" t="s">
        <v>895</v>
      </c>
      <c r="R40" s="290"/>
      <c r="S40" s="290"/>
      <c r="U40" s="232"/>
      <c r="V40" s="232"/>
      <c r="W40" s="232"/>
      <c r="X40" s="232"/>
      <c r="AB40" s="277"/>
      <c r="AC40" s="278"/>
      <c r="AD40" s="278"/>
      <c r="AE40" s="279"/>
      <c r="AF40" s="279"/>
      <c r="AG40" s="279"/>
      <c r="AH40" s="279"/>
      <c r="AI40" s="280"/>
      <c r="AJ40" s="829"/>
      <c r="AK40" s="829"/>
      <c r="AL40" s="829"/>
      <c r="AM40" s="829"/>
      <c r="AN40" s="162"/>
      <c r="AO40" s="281"/>
      <c r="AP40" s="282"/>
      <c r="AQ40" s="283"/>
    </row>
    <row r="41" spans="1:43" ht="22.5" x14ac:dyDescent="0.2">
      <c r="A41" s="293">
        <v>55</v>
      </c>
      <c r="B41" s="294" t="s">
        <v>1226</v>
      </c>
      <c r="C41" s="294" t="s">
        <v>1227</v>
      </c>
      <c r="D41" s="846" t="s">
        <v>1195</v>
      </c>
      <c r="E41" s="846"/>
      <c r="F41" s="846"/>
      <c r="G41" s="846"/>
      <c r="H41" s="295">
        <v>8032</v>
      </c>
      <c r="I41" s="835" t="s">
        <v>443</v>
      </c>
      <c r="J41" s="835"/>
      <c r="K41" s="835" t="s">
        <v>443</v>
      </c>
      <c r="L41" s="835"/>
      <c r="M41" s="323" t="s">
        <v>1196</v>
      </c>
      <c r="N41" s="296" t="s">
        <v>1197</v>
      </c>
      <c r="O41" s="297" t="s">
        <v>434</v>
      </c>
      <c r="P41" s="298" t="s">
        <v>435</v>
      </c>
      <c r="Q41" s="299" t="s">
        <v>895</v>
      </c>
      <c r="R41" s="290"/>
      <c r="S41" s="290"/>
      <c r="U41" s="232"/>
      <c r="V41" s="232"/>
      <c r="W41" s="232"/>
      <c r="X41" s="232"/>
      <c r="AB41" s="277"/>
      <c r="AC41" s="278"/>
      <c r="AD41" s="278"/>
      <c r="AE41" s="279"/>
      <c r="AF41" s="279"/>
      <c r="AG41" s="279"/>
      <c r="AH41" s="279"/>
      <c r="AI41" s="280"/>
      <c r="AJ41" s="829"/>
      <c r="AK41" s="829"/>
      <c r="AL41" s="829"/>
      <c r="AM41" s="829"/>
      <c r="AN41" s="162"/>
      <c r="AO41" s="281"/>
      <c r="AP41" s="282"/>
      <c r="AQ41" s="283"/>
    </row>
    <row r="42" spans="1:43" s="233" customFormat="1" x14ac:dyDescent="0.2">
      <c r="A42" s="300"/>
      <c r="B42" s="301" t="s">
        <v>951</v>
      </c>
      <c r="C42" s="302"/>
      <c r="D42" s="303"/>
      <c r="E42" s="303"/>
      <c r="F42" s="303"/>
      <c r="G42" s="303"/>
      <c r="H42" s="304"/>
      <c r="I42" s="305"/>
      <c r="J42" s="305"/>
      <c r="K42" s="303"/>
      <c r="L42" s="303"/>
      <c r="M42" s="306"/>
      <c r="N42" s="306"/>
      <c r="O42" s="306"/>
      <c r="P42" s="306"/>
      <c r="Q42" s="307"/>
      <c r="R42" s="165"/>
      <c r="S42" s="165"/>
      <c r="U42" s="232"/>
      <c r="V42" s="232"/>
      <c r="W42" s="232"/>
      <c r="X42" s="232"/>
      <c r="AB42" s="283"/>
      <c r="AC42" s="308"/>
      <c r="AD42" s="309"/>
      <c r="AE42" s="283"/>
      <c r="AF42" s="283"/>
      <c r="AG42" s="283"/>
      <c r="AH42" s="283"/>
      <c r="AI42" s="280"/>
      <c r="AJ42" s="166"/>
      <c r="AK42" s="166"/>
      <c r="AL42" s="166"/>
      <c r="AM42" s="166"/>
      <c r="AN42" s="167"/>
      <c r="AO42" s="167"/>
      <c r="AP42" s="167"/>
      <c r="AQ42" s="281"/>
    </row>
    <row r="43" spans="1:43" ht="67.5" x14ac:dyDescent="0.2">
      <c r="A43" s="269">
        <v>10</v>
      </c>
      <c r="B43" s="324" t="s">
        <v>952</v>
      </c>
      <c r="C43" s="177" t="s">
        <v>953</v>
      </c>
      <c r="D43" s="274" t="s">
        <v>954</v>
      </c>
      <c r="E43" s="274" t="s">
        <v>955</v>
      </c>
      <c r="F43" s="325"/>
      <c r="G43" s="325"/>
      <c r="H43" s="271">
        <v>8040</v>
      </c>
      <c r="I43" s="467">
        <v>308.48</v>
      </c>
      <c r="J43" s="467">
        <f>ROUND(I43*1.1,2)</f>
        <v>339.33</v>
      </c>
      <c r="K43" s="178"/>
      <c r="L43" s="178"/>
      <c r="M43" s="160" t="s">
        <v>893</v>
      </c>
      <c r="N43" s="272" t="s">
        <v>894</v>
      </c>
      <c r="O43" s="273" t="s">
        <v>880</v>
      </c>
      <c r="P43" s="274" t="s">
        <v>435</v>
      </c>
      <c r="Q43" s="326" t="s">
        <v>956</v>
      </c>
      <c r="R43" s="275"/>
      <c r="S43" s="275"/>
      <c r="U43" s="232"/>
      <c r="V43" s="232"/>
      <c r="W43" s="232"/>
      <c r="X43" s="232"/>
      <c r="AB43" s="277"/>
      <c r="AC43" s="327"/>
      <c r="AD43" s="327"/>
      <c r="AE43" s="283"/>
      <c r="AF43" s="283"/>
      <c r="AG43" s="283"/>
      <c r="AH43" s="283"/>
      <c r="AI43" s="280"/>
      <c r="AJ43" s="161"/>
      <c r="AK43" s="161"/>
      <c r="AL43" s="161"/>
      <c r="AM43" s="161"/>
      <c r="AN43" s="162"/>
      <c r="AO43" s="281"/>
      <c r="AP43" s="282"/>
      <c r="AQ43" s="283"/>
    </row>
    <row r="44" spans="1:43" ht="33.75" x14ac:dyDescent="0.2">
      <c r="A44" s="284" t="s">
        <v>957</v>
      </c>
      <c r="B44" s="328" t="s">
        <v>958</v>
      </c>
      <c r="C44" s="179" t="s">
        <v>959</v>
      </c>
      <c r="D44" s="289" t="s">
        <v>960</v>
      </c>
      <c r="E44" s="289" t="s">
        <v>961</v>
      </c>
      <c r="F44" s="316"/>
      <c r="G44" s="316"/>
      <c r="H44" s="286">
        <v>8041</v>
      </c>
      <c r="I44" s="467">
        <v>123.39</v>
      </c>
      <c r="J44" s="466">
        <f>ROUND(I44*1.1,2)</f>
        <v>135.72999999999999</v>
      </c>
      <c r="K44" s="170"/>
      <c r="L44" s="170"/>
      <c r="M44" s="163" t="s">
        <v>893</v>
      </c>
      <c r="N44" s="287" t="s">
        <v>894</v>
      </c>
      <c r="O44" s="288" t="s">
        <v>880</v>
      </c>
      <c r="P44" s="289" t="s">
        <v>895</v>
      </c>
      <c r="Q44" s="292" t="s">
        <v>895</v>
      </c>
      <c r="R44" s="275"/>
      <c r="S44" s="275"/>
      <c r="U44" s="232"/>
      <c r="V44" s="232"/>
      <c r="W44" s="232"/>
      <c r="X44" s="232"/>
      <c r="AB44" s="277"/>
      <c r="AC44" s="327"/>
      <c r="AD44" s="327"/>
      <c r="AE44" s="283"/>
      <c r="AF44" s="283"/>
      <c r="AG44" s="283"/>
      <c r="AH44" s="283"/>
      <c r="AI44" s="280"/>
      <c r="AJ44" s="161"/>
      <c r="AK44" s="161"/>
      <c r="AL44" s="161"/>
      <c r="AM44" s="161"/>
      <c r="AN44" s="162"/>
      <c r="AO44" s="281"/>
      <c r="AP44" s="282"/>
      <c r="AQ44" s="283"/>
    </row>
    <row r="45" spans="1:43" ht="67.5" x14ac:dyDescent="0.2">
      <c r="A45" s="329">
        <v>11</v>
      </c>
      <c r="B45" s="330" t="s">
        <v>1167</v>
      </c>
      <c r="C45" s="331" t="s">
        <v>953</v>
      </c>
      <c r="D45" s="332"/>
      <c r="E45" s="332"/>
      <c r="F45" s="332" t="s">
        <v>1172</v>
      </c>
      <c r="G45" s="332" t="s">
        <v>1173</v>
      </c>
      <c r="H45" s="333">
        <v>8042</v>
      </c>
      <c r="I45" s="334"/>
      <c r="J45" s="334"/>
      <c r="K45" s="334">
        <v>678.65</v>
      </c>
      <c r="L45" s="334">
        <f t="shared" ref="L45:L47" si="1">ROUND(K45*1.1,2)</f>
        <v>746.52</v>
      </c>
      <c r="M45" s="183" t="s">
        <v>893</v>
      </c>
      <c r="N45" s="335" t="s">
        <v>1056</v>
      </c>
      <c r="O45" s="336" t="s">
        <v>880</v>
      </c>
      <c r="P45" s="336" t="s">
        <v>435</v>
      </c>
      <c r="Q45" s="336" t="s">
        <v>956</v>
      </c>
      <c r="R45" s="164"/>
      <c r="S45" s="275"/>
      <c r="U45" s="232"/>
      <c r="V45" s="232"/>
      <c r="W45" s="232"/>
      <c r="X45" s="232"/>
      <c r="AB45" s="277"/>
      <c r="AC45" s="327"/>
      <c r="AD45" s="327"/>
      <c r="AE45" s="283"/>
      <c r="AF45" s="283"/>
      <c r="AG45" s="283"/>
      <c r="AH45" s="283"/>
      <c r="AI45" s="280"/>
      <c r="AJ45" s="161"/>
      <c r="AK45" s="161"/>
      <c r="AL45" s="161"/>
      <c r="AM45" s="161"/>
      <c r="AN45" s="162"/>
      <c r="AO45" s="281"/>
      <c r="AP45" s="282"/>
      <c r="AQ45" s="283"/>
    </row>
    <row r="46" spans="1:43" ht="33.75" x14ac:dyDescent="0.2">
      <c r="A46" s="329" t="s">
        <v>1168</v>
      </c>
      <c r="B46" s="330" t="s">
        <v>1169</v>
      </c>
      <c r="C46" s="331" t="s">
        <v>959</v>
      </c>
      <c r="D46" s="332"/>
      <c r="E46" s="332"/>
      <c r="F46" s="332" t="s">
        <v>1174</v>
      </c>
      <c r="G46" s="332" t="s">
        <v>1175</v>
      </c>
      <c r="H46" s="333">
        <v>8043</v>
      </c>
      <c r="I46" s="334"/>
      <c r="J46" s="334"/>
      <c r="K46" s="334">
        <v>493.56</v>
      </c>
      <c r="L46" s="334">
        <f t="shared" si="1"/>
        <v>542.91999999999996</v>
      </c>
      <c r="M46" s="183" t="s">
        <v>893</v>
      </c>
      <c r="N46" s="335" t="s">
        <v>1061</v>
      </c>
      <c r="O46" s="336" t="s">
        <v>880</v>
      </c>
      <c r="P46" s="336" t="s">
        <v>895</v>
      </c>
      <c r="Q46" s="336" t="s">
        <v>895</v>
      </c>
      <c r="R46" s="164"/>
      <c r="S46" s="275"/>
      <c r="U46" s="232"/>
      <c r="V46" s="232"/>
      <c r="W46" s="232"/>
      <c r="X46" s="232"/>
      <c r="AB46" s="277"/>
      <c r="AC46" s="327"/>
      <c r="AD46" s="327"/>
      <c r="AE46" s="283"/>
      <c r="AF46" s="283"/>
      <c r="AG46" s="283"/>
      <c r="AH46" s="283"/>
      <c r="AI46" s="280"/>
      <c r="AJ46" s="161"/>
      <c r="AK46" s="161"/>
      <c r="AL46" s="161"/>
      <c r="AM46" s="161"/>
      <c r="AN46" s="162"/>
      <c r="AO46" s="281"/>
      <c r="AP46" s="282"/>
      <c r="AQ46" s="283"/>
    </row>
    <row r="47" spans="1:43" ht="78.75" x14ac:dyDescent="0.2">
      <c r="A47" s="329" t="s">
        <v>1170</v>
      </c>
      <c r="B47" s="331" t="s">
        <v>1171</v>
      </c>
      <c r="C47" s="331" t="s">
        <v>1228</v>
      </c>
      <c r="D47" s="337" t="s">
        <v>1176</v>
      </c>
      <c r="E47" s="337" t="s">
        <v>1177</v>
      </c>
      <c r="F47" s="337" t="s">
        <v>1178</v>
      </c>
      <c r="G47" s="337" t="s">
        <v>1179</v>
      </c>
      <c r="H47" s="338">
        <v>8039</v>
      </c>
      <c r="I47" s="334">
        <v>61.7</v>
      </c>
      <c r="J47" s="334">
        <f>ROUND(I47*1.1,2)</f>
        <v>67.87</v>
      </c>
      <c r="K47" s="334">
        <v>61.7</v>
      </c>
      <c r="L47" s="334">
        <f t="shared" si="1"/>
        <v>67.87</v>
      </c>
      <c r="M47" s="183" t="s">
        <v>893</v>
      </c>
      <c r="N47" s="335" t="s">
        <v>1056</v>
      </c>
      <c r="O47" s="336" t="s">
        <v>880</v>
      </c>
      <c r="P47" s="336" t="s">
        <v>895</v>
      </c>
      <c r="Q47" s="336" t="s">
        <v>956</v>
      </c>
      <c r="R47" s="275"/>
      <c r="S47" s="275"/>
      <c r="U47" s="232"/>
      <c r="V47" s="232"/>
      <c r="W47" s="232"/>
      <c r="X47" s="232"/>
      <c r="AB47" s="277"/>
      <c r="AC47" s="327"/>
      <c r="AD47" s="327"/>
      <c r="AE47" s="283"/>
      <c r="AF47" s="283"/>
      <c r="AG47" s="283"/>
      <c r="AH47" s="283"/>
      <c r="AI47" s="280"/>
      <c r="AJ47" s="161"/>
      <c r="AK47" s="161"/>
      <c r="AL47" s="161"/>
      <c r="AM47" s="161"/>
      <c r="AN47" s="162"/>
      <c r="AO47" s="281"/>
      <c r="AP47" s="282"/>
      <c r="AQ47" s="283"/>
    </row>
    <row r="48" spans="1:43" ht="56.25" x14ac:dyDescent="0.2">
      <c r="A48" s="317">
        <v>12</v>
      </c>
      <c r="B48" s="339" t="s">
        <v>962</v>
      </c>
      <c r="C48" s="318" t="s">
        <v>963</v>
      </c>
      <c r="D48" s="319" t="s">
        <v>964</v>
      </c>
      <c r="E48" s="319" t="s">
        <v>965</v>
      </c>
      <c r="F48" s="319"/>
      <c r="G48" s="319"/>
      <c r="H48" s="320">
        <v>8044</v>
      </c>
      <c r="I48" s="171">
        <v>103.39</v>
      </c>
      <c r="J48" s="171">
        <f>ROUND(I48*1.1,2)</f>
        <v>113.73</v>
      </c>
      <c r="K48" s="171"/>
      <c r="L48" s="171"/>
      <c r="M48" s="172" t="s">
        <v>893</v>
      </c>
      <c r="N48" s="321" t="s">
        <v>966</v>
      </c>
      <c r="O48" s="322" t="s">
        <v>880</v>
      </c>
      <c r="P48" s="322" t="s">
        <v>435</v>
      </c>
      <c r="Q48" s="322" t="s">
        <v>967</v>
      </c>
      <c r="R48" s="275"/>
      <c r="S48" s="164"/>
      <c r="U48" s="232"/>
      <c r="V48" s="232"/>
      <c r="W48" s="232"/>
      <c r="X48" s="232"/>
      <c r="AB48" s="277"/>
      <c r="AC48" s="327"/>
      <c r="AD48" s="278"/>
      <c r="AE48" s="283"/>
      <c r="AF48" s="283"/>
      <c r="AG48" s="283"/>
      <c r="AH48" s="283"/>
      <c r="AI48" s="280"/>
      <c r="AJ48" s="161"/>
      <c r="AK48" s="161"/>
      <c r="AL48" s="161"/>
      <c r="AM48" s="161"/>
      <c r="AN48" s="162"/>
      <c r="AO48" s="281"/>
      <c r="AP48" s="282"/>
      <c r="AQ48" s="283"/>
    </row>
    <row r="49" spans="1:43" ht="45" x14ac:dyDescent="0.2">
      <c r="A49" s="317" t="s">
        <v>968</v>
      </c>
      <c r="B49" s="339" t="s">
        <v>969</v>
      </c>
      <c r="C49" s="318" t="s">
        <v>970</v>
      </c>
      <c r="D49" s="319" t="s">
        <v>971</v>
      </c>
      <c r="E49" s="319" t="s">
        <v>972</v>
      </c>
      <c r="F49" s="319"/>
      <c r="G49" s="319"/>
      <c r="H49" s="320">
        <v>8045</v>
      </c>
      <c r="I49" s="171">
        <v>41.1</v>
      </c>
      <c r="J49" s="171">
        <f>ROUND(I49*1.1,2)</f>
        <v>45.21</v>
      </c>
      <c r="K49" s="171"/>
      <c r="L49" s="171"/>
      <c r="M49" s="172" t="s">
        <v>893</v>
      </c>
      <c r="N49" s="321" t="s">
        <v>926</v>
      </c>
      <c r="O49" s="322" t="s">
        <v>880</v>
      </c>
      <c r="P49" s="322" t="s">
        <v>895</v>
      </c>
      <c r="Q49" s="322" t="s">
        <v>895</v>
      </c>
      <c r="R49" s="275"/>
      <c r="S49" s="164"/>
      <c r="U49" s="232"/>
      <c r="V49" s="232"/>
      <c r="W49" s="232"/>
      <c r="X49" s="232"/>
      <c r="AB49" s="277"/>
      <c r="AC49" s="327"/>
      <c r="AD49" s="278"/>
      <c r="AE49" s="283"/>
      <c r="AF49" s="283"/>
      <c r="AG49" s="283"/>
      <c r="AH49" s="283"/>
      <c r="AI49" s="280"/>
      <c r="AJ49" s="161"/>
      <c r="AK49" s="161"/>
      <c r="AL49" s="161"/>
      <c r="AM49" s="161"/>
      <c r="AN49" s="162"/>
      <c r="AO49" s="281"/>
      <c r="AP49" s="282"/>
      <c r="AQ49" s="283"/>
    </row>
    <row r="50" spans="1:43" ht="56.25" x14ac:dyDescent="0.2">
      <c r="A50" s="317">
        <v>13</v>
      </c>
      <c r="B50" s="339" t="s">
        <v>973</v>
      </c>
      <c r="C50" s="318" t="s">
        <v>963</v>
      </c>
      <c r="D50" s="319"/>
      <c r="E50" s="319"/>
      <c r="F50" s="319" t="s">
        <v>974</v>
      </c>
      <c r="G50" s="319" t="s">
        <v>975</v>
      </c>
      <c r="H50" s="320">
        <v>8046</v>
      </c>
      <c r="I50" s="171"/>
      <c r="J50" s="171"/>
      <c r="K50" s="171">
        <v>616.95000000000005</v>
      </c>
      <c r="L50" s="171">
        <f t="shared" ref="L50:L51" si="2">ROUND(K50*1.1,2)</f>
        <v>678.65</v>
      </c>
      <c r="M50" s="172" t="s">
        <v>893</v>
      </c>
      <c r="N50" s="321" t="s">
        <v>976</v>
      </c>
      <c r="O50" s="322" t="s">
        <v>880</v>
      </c>
      <c r="P50" s="322" t="s">
        <v>435</v>
      </c>
      <c r="Q50" s="322" t="s">
        <v>967</v>
      </c>
      <c r="R50" s="164"/>
      <c r="S50" s="275"/>
      <c r="U50" s="232"/>
      <c r="V50" s="232"/>
      <c r="W50" s="232"/>
      <c r="X50" s="232"/>
      <c r="AB50" s="277"/>
      <c r="AC50" s="327"/>
      <c r="AD50" s="278"/>
      <c r="AE50" s="283"/>
      <c r="AF50" s="283"/>
      <c r="AG50" s="283"/>
      <c r="AH50" s="283"/>
      <c r="AI50" s="280"/>
      <c r="AJ50" s="161"/>
      <c r="AK50" s="161"/>
      <c r="AL50" s="161"/>
      <c r="AM50" s="161"/>
      <c r="AN50" s="162"/>
      <c r="AO50" s="281"/>
      <c r="AP50" s="282"/>
      <c r="AQ50" s="283"/>
    </row>
    <row r="51" spans="1:43" ht="45" x14ac:dyDescent="0.2">
      <c r="A51" s="317" t="s">
        <v>977</v>
      </c>
      <c r="B51" s="339" t="s">
        <v>978</v>
      </c>
      <c r="C51" s="318" t="s">
        <v>970</v>
      </c>
      <c r="D51" s="319"/>
      <c r="E51" s="319"/>
      <c r="F51" s="319" t="s">
        <v>979</v>
      </c>
      <c r="G51" s="319" t="s">
        <v>980</v>
      </c>
      <c r="H51" s="320">
        <v>8047</v>
      </c>
      <c r="I51" s="171"/>
      <c r="J51" s="171"/>
      <c r="K51" s="171">
        <v>493.56</v>
      </c>
      <c r="L51" s="171">
        <f t="shared" si="2"/>
        <v>542.91999999999996</v>
      </c>
      <c r="M51" s="172" t="s">
        <v>893</v>
      </c>
      <c r="N51" s="321" t="s">
        <v>926</v>
      </c>
      <c r="O51" s="322" t="s">
        <v>880</v>
      </c>
      <c r="P51" s="322" t="s">
        <v>895</v>
      </c>
      <c r="Q51" s="322" t="s">
        <v>895</v>
      </c>
      <c r="R51" s="164"/>
      <c r="S51" s="275"/>
      <c r="U51" s="232"/>
      <c r="V51" s="232"/>
      <c r="W51" s="232"/>
      <c r="X51" s="232"/>
      <c r="AB51" s="277"/>
      <c r="AC51" s="327"/>
      <c r="AD51" s="278"/>
      <c r="AE51" s="283"/>
      <c r="AF51" s="283"/>
      <c r="AG51" s="283"/>
      <c r="AH51" s="283"/>
      <c r="AI51" s="280"/>
      <c r="AJ51" s="161"/>
      <c r="AK51" s="161"/>
      <c r="AL51" s="161"/>
      <c r="AM51" s="161"/>
      <c r="AN51" s="162"/>
      <c r="AO51" s="281"/>
      <c r="AP51" s="282"/>
      <c r="AQ51" s="283"/>
    </row>
    <row r="52" spans="1:43" ht="56.25" x14ac:dyDescent="0.2">
      <c r="A52" s="317">
        <v>14</v>
      </c>
      <c r="B52" s="339" t="s">
        <v>981</v>
      </c>
      <c r="C52" s="318" t="s">
        <v>982</v>
      </c>
      <c r="D52" s="319" t="s">
        <v>983</v>
      </c>
      <c r="E52" s="319" t="s">
        <v>984</v>
      </c>
      <c r="F52" s="319"/>
      <c r="G52" s="319"/>
      <c r="H52" s="320">
        <v>8048</v>
      </c>
      <c r="I52" s="171">
        <v>82.21</v>
      </c>
      <c r="J52" s="171">
        <f>ROUND(I52*1.1,2)</f>
        <v>90.43</v>
      </c>
      <c r="K52" s="171"/>
      <c r="L52" s="171"/>
      <c r="M52" s="172" t="s">
        <v>893</v>
      </c>
      <c r="N52" s="321" t="s">
        <v>966</v>
      </c>
      <c r="O52" s="322" t="s">
        <v>880</v>
      </c>
      <c r="P52" s="322" t="s">
        <v>435</v>
      </c>
      <c r="Q52" s="322" t="s">
        <v>985</v>
      </c>
      <c r="R52" s="275"/>
      <c r="S52" s="164"/>
      <c r="U52" s="232"/>
      <c r="V52" s="232"/>
      <c r="W52" s="232"/>
      <c r="X52" s="232"/>
      <c r="AB52" s="277"/>
      <c r="AC52" s="327"/>
      <c r="AD52" s="278"/>
      <c r="AE52" s="283"/>
      <c r="AF52" s="283"/>
      <c r="AG52" s="283"/>
      <c r="AH52" s="283"/>
      <c r="AI52" s="280"/>
      <c r="AJ52" s="161"/>
      <c r="AK52" s="161"/>
      <c r="AL52" s="161"/>
      <c r="AM52" s="161"/>
      <c r="AN52" s="162"/>
      <c r="AO52" s="281"/>
      <c r="AP52" s="282"/>
      <c r="AQ52" s="283"/>
    </row>
    <row r="53" spans="1:43" ht="33.75" x14ac:dyDescent="0.2">
      <c r="A53" s="317" t="s">
        <v>986</v>
      </c>
      <c r="B53" s="339" t="s">
        <v>987</v>
      </c>
      <c r="C53" s="318" t="s">
        <v>988</v>
      </c>
      <c r="D53" s="319" t="s">
        <v>989</v>
      </c>
      <c r="E53" s="319" t="s">
        <v>990</v>
      </c>
      <c r="F53" s="319"/>
      <c r="G53" s="319"/>
      <c r="H53" s="320">
        <v>2050</v>
      </c>
      <c r="I53" s="171">
        <v>82.21</v>
      </c>
      <c r="J53" s="171">
        <f>ROUND(I53*1.1,2)</f>
        <v>90.43</v>
      </c>
      <c r="K53" s="171"/>
      <c r="L53" s="171"/>
      <c r="M53" s="172" t="s">
        <v>893</v>
      </c>
      <c r="N53" s="321" t="s">
        <v>991</v>
      </c>
      <c r="O53" s="322" t="s">
        <v>880</v>
      </c>
      <c r="P53" s="322" t="s">
        <v>435</v>
      </c>
      <c r="Q53" s="322" t="s">
        <v>985</v>
      </c>
      <c r="R53" s="275"/>
      <c r="S53" s="164"/>
      <c r="U53" s="232"/>
      <c r="V53" s="232"/>
      <c r="W53" s="232"/>
      <c r="X53" s="232"/>
      <c r="AB53" s="277"/>
      <c r="AC53" s="327"/>
      <c r="AD53" s="278"/>
      <c r="AE53" s="283"/>
      <c r="AF53" s="283"/>
      <c r="AG53" s="283"/>
      <c r="AH53" s="283"/>
      <c r="AI53" s="280"/>
      <c r="AJ53" s="161"/>
      <c r="AK53" s="161"/>
      <c r="AL53" s="161"/>
      <c r="AM53" s="161"/>
      <c r="AN53" s="162"/>
      <c r="AO53" s="281"/>
      <c r="AP53" s="282"/>
      <c r="AQ53" s="283"/>
    </row>
    <row r="54" spans="1:43" ht="45" x14ac:dyDescent="0.2">
      <c r="A54" s="317" t="s">
        <v>992</v>
      </c>
      <c r="B54" s="339" t="s">
        <v>993</v>
      </c>
      <c r="C54" s="318" t="s">
        <v>994</v>
      </c>
      <c r="D54" s="319" t="s">
        <v>995</v>
      </c>
      <c r="E54" s="319" t="s">
        <v>996</v>
      </c>
      <c r="F54" s="319"/>
      <c r="G54" s="319"/>
      <c r="H54" s="320">
        <v>8049</v>
      </c>
      <c r="I54" s="171">
        <v>41.1</v>
      </c>
      <c r="J54" s="171">
        <f>ROUND(I54*1.1,2)</f>
        <v>45.21</v>
      </c>
      <c r="K54" s="171"/>
      <c r="L54" s="171"/>
      <c r="M54" s="172" t="s">
        <v>893</v>
      </c>
      <c r="N54" s="321" t="s">
        <v>926</v>
      </c>
      <c r="O54" s="322" t="s">
        <v>880</v>
      </c>
      <c r="P54" s="322" t="s">
        <v>895</v>
      </c>
      <c r="Q54" s="322" t="s">
        <v>895</v>
      </c>
      <c r="R54" s="275"/>
      <c r="S54" s="164"/>
      <c r="U54" s="232"/>
      <c r="V54" s="232"/>
      <c r="W54" s="232"/>
      <c r="X54" s="232"/>
      <c r="AB54" s="277"/>
      <c r="AC54" s="327"/>
      <c r="AD54" s="278"/>
      <c r="AE54" s="283"/>
      <c r="AF54" s="283"/>
      <c r="AG54" s="283"/>
      <c r="AH54" s="283"/>
      <c r="AI54" s="280"/>
      <c r="AJ54" s="161"/>
      <c r="AK54" s="161"/>
      <c r="AL54" s="161"/>
      <c r="AM54" s="161"/>
      <c r="AN54" s="162"/>
      <c r="AO54" s="281"/>
      <c r="AP54" s="282"/>
      <c r="AQ54" s="283"/>
    </row>
    <row r="55" spans="1:43" ht="56.25" x14ac:dyDescent="0.2">
      <c r="A55" s="317">
        <v>15</v>
      </c>
      <c r="B55" s="339" t="s">
        <v>997</v>
      </c>
      <c r="C55" s="318" t="s">
        <v>982</v>
      </c>
      <c r="D55" s="319"/>
      <c r="E55" s="319"/>
      <c r="F55" s="319" t="s">
        <v>998</v>
      </c>
      <c r="G55" s="319" t="s">
        <v>999</v>
      </c>
      <c r="H55" s="320">
        <v>8050</v>
      </c>
      <c r="I55" s="171"/>
      <c r="J55" s="171"/>
      <c r="K55" s="171">
        <v>575</v>
      </c>
      <c r="L55" s="171">
        <f t="shared" ref="L55:L57" si="3">ROUND(K55*1.1,2)</f>
        <v>632.5</v>
      </c>
      <c r="M55" s="172" t="s">
        <v>893</v>
      </c>
      <c r="N55" s="321" t="s">
        <v>966</v>
      </c>
      <c r="O55" s="322" t="s">
        <v>880</v>
      </c>
      <c r="P55" s="322" t="s">
        <v>435</v>
      </c>
      <c r="Q55" s="322" t="s">
        <v>985</v>
      </c>
      <c r="R55" s="164"/>
      <c r="S55" s="275"/>
      <c r="U55" s="232"/>
      <c r="V55" s="232"/>
      <c r="W55" s="232"/>
      <c r="X55" s="232"/>
      <c r="AB55" s="277"/>
      <c r="AC55" s="327"/>
      <c r="AD55" s="278"/>
      <c r="AE55" s="283"/>
      <c r="AF55" s="283"/>
      <c r="AG55" s="283"/>
      <c r="AH55" s="283"/>
      <c r="AI55" s="280"/>
      <c r="AJ55" s="161"/>
      <c r="AK55" s="161"/>
      <c r="AL55" s="161"/>
      <c r="AM55" s="161"/>
      <c r="AN55" s="162"/>
      <c r="AO55" s="281"/>
      <c r="AP55" s="282"/>
      <c r="AQ55" s="283"/>
    </row>
    <row r="56" spans="1:43" ht="38.25" customHeight="1" x14ac:dyDescent="0.2">
      <c r="A56" s="317" t="s">
        <v>1000</v>
      </c>
      <c r="B56" s="339" t="s">
        <v>1001</v>
      </c>
      <c r="C56" s="318" t="s">
        <v>988</v>
      </c>
      <c r="D56" s="319"/>
      <c r="E56" s="319"/>
      <c r="F56" s="319" t="s">
        <v>1002</v>
      </c>
      <c r="G56" s="319" t="s">
        <v>1003</v>
      </c>
      <c r="H56" s="320">
        <v>2051</v>
      </c>
      <c r="I56" s="171"/>
      <c r="J56" s="171"/>
      <c r="K56" s="171">
        <v>575</v>
      </c>
      <c r="L56" s="171">
        <f t="shared" si="3"/>
        <v>632.5</v>
      </c>
      <c r="M56" s="172" t="s">
        <v>893</v>
      </c>
      <c r="N56" s="321" t="s">
        <v>991</v>
      </c>
      <c r="O56" s="322" t="s">
        <v>880</v>
      </c>
      <c r="P56" s="322" t="s">
        <v>435</v>
      </c>
      <c r="Q56" s="322" t="s">
        <v>985</v>
      </c>
      <c r="R56" s="164"/>
      <c r="S56" s="275"/>
      <c r="U56" s="232"/>
      <c r="V56" s="232"/>
      <c r="W56" s="232"/>
      <c r="X56" s="232"/>
      <c r="AB56" s="277"/>
      <c r="AC56" s="327"/>
      <c r="AD56" s="278"/>
      <c r="AE56" s="283"/>
      <c r="AF56" s="283"/>
      <c r="AG56" s="283"/>
      <c r="AH56" s="283"/>
      <c r="AI56" s="280"/>
      <c r="AJ56" s="161"/>
      <c r="AK56" s="161"/>
      <c r="AL56" s="161"/>
      <c r="AM56" s="161"/>
      <c r="AN56" s="162"/>
      <c r="AO56" s="281"/>
      <c r="AP56" s="282"/>
      <c r="AQ56" s="283"/>
    </row>
    <row r="57" spans="1:43" ht="45" x14ac:dyDescent="0.2">
      <c r="A57" s="317" t="s">
        <v>1004</v>
      </c>
      <c r="B57" s="339" t="s">
        <v>1005</v>
      </c>
      <c r="C57" s="318" t="s">
        <v>1006</v>
      </c>
      <c r="D57" s="319"/>
      <c r="E57" s="319"/>
      <c r="F57" s="319" t="s">
        <v>1007</v>
      </c>
      <c r="G57" s="319" t="s">
        <v>1008</v>
      </c>
      <c r="H57" s="320">
        <v>8051</v>
      </c>
      <c r="I57" s="171"/>
      <c r="J57" s="171"/>
      <c r="K57" s="171">
        <v>493.56</v>
      </c>
      <c r="L57" s="171">
        <f t="shared" si="3"/>
        <v>542.91999999999996</v>
      </c>
      <c r="M57" s="172" t="s">
        <v>893</v>
      </c>
      <c r="N57" s="321" t="s">
        <v>926</v>
      </c>
      <c r="O57" s="322" t="s">
        <v>880</v>
      </c>
      <c r="P57" s="322" t="s">
        <v>895</v>
      </c>
      <c r="Q57" s="322" t="s">
        <v>895</v>
      </c>
      <c r="R57" s="164"/>
      <c r="S57" s="275"/>
      <c r="U57" s="232"/>
      <c r="V57" s="232"/>
      <c r="W57" s="232"/>
      <c r="X57" s="232"/>
      <c r="AB57" s="277"/>
      <c r="AC57" s="327"/>
      <c r="AD57" s="278"/>
      <c r="AE57" s="283"/>
      <c r="AF57" s="283"/>
      <c r="AG57" s="283"/>
      <c r="AH57" s="283"/>
      <c r="AI57" s="280"/>
      <c r="AJ57" s="161"/>
      <c r="AK57" s="161"/>
      <c r="AL57" s="161"/>
      <c r="AM57" s="161"/>
      <c r="AN57" s="162"/>
      <c r="AO57" s="281"/>
      <c r="AP57" s="282"/>
      <c r="AQ57" s="283"/>
    </row>
    <row r="58" spans="1:43" ht="33.75" x14ac:dyDescent="0.2">
      <c r="A58" s="317">
        <v>16</v>
      </c>
      <c r="B58" s="339" t="s">
        <v>1009</v>
      </c>
      <c r="C58" s="318" t="s">
        <v>1010</v>
      </c>
      <c r="D58" s="340" t="s">
        <v>1011</v>
      </c>
      <c r="E58" s="340" t="s">
        <v>1012</v>
      </c>
      <c r="F58" s="319"/>
      <c r="G58" s="319"/>
      <c r="H58" s="320">
        <v>8052</v>
      </c>
      <c r="I58" s="171">
        <v>82.21</v>
      </c>
      <c r="J58" s="171">
        <f t="shared" ref="J58:J60" si="4">ROUND(I58*1.1,2)</f>
        <v>90.43</v>
      </c>
      <c r="K58" s="171"/>
      <c r="L58" s="171"/>
      <c r="M58" s="172" t="s">
        <v>893</v>
      </c>
      <c r="N58" s="321" t="s">
        <v>966</v>
      </c>
      <c r="O58" s="322" t="s">
        <v>880</v>
      </c>
      <c r="P58" s="322" t="s">
        <v>435</v>
      </c>
      <c r="Q58" s="322" t="s">
        <v>1013</v>
      </c>
      <c r="R58" s="275"/>
      <c r="S58" s="164"/>
      <c r="U58" s="232"/>
      <c r="V58" s="232"/>
      <c r="W58" s="232"/>
      <c r="X58" s="232"/>
      <c r="AB58" s="277"/>
      <c r="AC58" s="327"/>
      <c r="AD58" s="278"/>
      <c r="AE58" s="341"/>
      <c r="AF58" s="341"/>
      <c r="AG58" s="283"/>
      <c r="AH58" s="283"/>
      <c r="AI58" s="280"/>
      <c r="AJ58" s="161"/>
      <c r="AK58" s="161"/>
      <c r="AL58" s="161"/>
      <c r="AM58" s="161"/>
      <c r="AN58" s="162"/>
      <c r="AO58" s="281"/>
      <c r="AP58" s="282"/>
      <c r="AQ58" s="283"/>
    </row>
    <row r="59" spans="1:43" ht="49.5" customHeight="1" x14ac:dyDescent="0.2">
      <c r="A59" s="317" t="s">
        <v>1014</v>
      </c>
      <c r="B59" s="339" t="s">
        <v>1015</v>
      </c>
      <c r="C59" s="318" t="s">
        <v>1016</v>
      </c>
      <c r="D59" s="342" t="s">
        <v>1017</v>
      </c>
      <c r="E59" s="342" t="s">
        <v>1018</v>
      </c>
      <c r="F59" s="319"/>
      <c r="G59" s="319"/>
      <c r="H59" s="320">
        <v>2052</v>
      </c>
      <c r="I59" s="171">
        <v>82.21</v>
      </c>
      <c r="J59" s="171">
        <f t="shared" si="4"/>
        <v>90.43</v>
      </c>
      <c r="K59" s="171"/>
      <c r="L59" s="171"/>
      <c r="M59" s="172" t="s">
        <v>893</v>
      </c>
      <c r="N59" s="321" t="s">
        <v>991</v>
      </c>
      <c r="O59" s="322" t="s">
        <v>880</v>
      </c>
      <c r="P59" s="322" t="s">
        <v>435</v>
      </c>
      <c r="Q59" s="322" t="s">
        <v>1013</v>
      </c>
      <c r="R59" s="275"/>
      <c r="S59" s="164"/>
      <c r="U59" s="232"/>
      <c r="V59" s="232"/>
      <c r="W59" s="232"/>
      <c r="X59" s="232"/>
      <c r="AB59" s="277"/>
      <c r="AC59" s="327"/>
      <c r="AD59" s="278"/>
      <c r="AE59" s="341"/>
      <c r="AF59" s="341"/>
      <c r="AG59" s="283"/>
      <c r="AH59" s="283"/>
      <c r="AI59" s="280"/>
      <c r="AJ59" s="161"/>
      <c r="AK59" s="161"/>
      <c r="AL59" s="161"/>
      <c r="AM59" s="161"/>
      <c r="AN59" s="162"/>
      <c r="AO59" s="281"/>
      <c r="AP59" s="282"/>
      <c r="AQ59" s="283"/>
    </row>
    <row r="60" spans="1:43" ht="33.75" x14ac:dyDescent="0.2">
      <c r="A60" s="284" t="s">
        <v>1019</v>
      </c>
      <c r="B60" s="328" t="s">
        <v>1020</v>
      </c>
      <c r="C60" s="328" t="s">
        <v>1021</v>
      </c>
      <c r="D60" s="289" t="s">
        <v>1022</v>
      </c>
      <c r="E60" s="289" t="s">
        <v>1023</v>
      </c>
      <c r="F60" s="316"/>
      <c r="G60" s="316"/>
      <c r="H60" s="286">
        <v>8053</v>
      </c>
      <c r="I60" s="466">
        <v>41.1</v>
      </c>
      <c r="J60" s="466">
        <f t="shared" si="4"/>
        <v>45.21</v>
      </c>
      <c r="K60" s="170"/>
      <c r="L60" s="170"/>
      <c r="M60" s="163" t="s">
        <v>893</v>
      </c>
      <c r="N60" s="287" t="s">
        <v>894</v>
      </c>
      <c r="O60" s="288" t="s">
        <v>880</v>
      </c>
      <c r="P60" s="288" t="s">
        <v>895</v>
      </c>
      <c r="Q60" s="288" t="s">
        <v>895</v>
      </c>
      <c r="R60" s="275"/>
      <c r="S60" s="164"/>
      <c r="U60" s="232"/>
      <c r="V60" s="232"/>
      <c r="W60" s="232"/>
      <c r="X60" s="232"/>
      <c r="AB60" s="277"/>
      <c r="AC60" s="327"/>
      <c r="AD60" s="327"/>
      <c r="AE60" s="283"/>
      <c r="AF60" s="283"/>
      <c r="AG60" s="283"/>
      <c r="AH60" s="283"/>
      <c r="AI60" s="280"/>
      <c r="AJ60" s="161"/>
      <c r="AK60" s="161"/>
      <c r="AL60" s="161"/>
      <c r="AM60" s="161"/>
      <c r="AN60" s="162"/>
      <c r="AO60" s="281"/>
      <c r="AP60" s="282"/>
      <c r="AQ60" s="283"/>
    </row>
    <row r="61" spans="1:43" ht="33.75" x14ac:dyDescent="0.2">
      <c r="A61" s="317">
        <v>17</v>
      </c>
      <c r="B61" s="339" t="s">
        <v>1024</v>
      </c>
      <c r="C61" s="318" t="s">
        <v>1010</v>
      </c>
      <c r="D61" s="319"/>
      <c r="E61" s="319"/>
      <c r="F61" s="319" t="s">
        <v>1025</v>
      </c>
      <c r="G61" s="319" t="s">
        <v>1026</v>
      </c>
      <c r="H61" s="320">
        <v>8054</v>
      </c>
      <c r="I61" s="171"/>
      <c r="J61" s="171"/>
      <c r="K61" s="171">
        <v>575</v>
      </c>
      <c r="L61" s="171">
        <f t="shared" ref="L61:L63" si="5">ROUND(K61*1.1,2)</f>
        <v>632.5</v>
      </c>
      <c r="M61" s="172" t="s">
        <v>893</v>
      </c>
      <c r="N61" s="321" t="s">
        <v>966</v>
      </c>
      <c r="O61" s="322" t="s">
        <v>880</v>
      </c>
      <c r="P61" s="322" t="s">
        <v>435</v>
      </c>
      <c r="Q61" s="322" t="s">
        <v>1013</v>
      </c>
      <c r="R61" s="164"/>
      <c r="S61" s="275"/>
      <c r="U61" s="232"/>
      <c r="V61" s="232"/>
      <c r="W61" s="232"/>
      <c r="X61" s="232"/>
      <c r="AB61" s="277"/>
      <c r="AC61" s="327"/>
      <c r="AD61" s="278"/>
      <c r="AE61" s="283"/>
      <c r="AF61" s="283"/>
      <c r="AG61" s="283"/>
      <c r="AH61" s="283"/>
      <c r="AI61" s="280"/>
      <c r="AJ61" s="161"/>
      <c r="AK61" s="161"/>
      <c r="AL61" s="161"/>
      <c r="AM61" s="161"/>
      <c r="AN61" s="162"/>
      <c r="AO61" s="281"/>
      <c r="AP61" s="282"/>
      <c r="AQ61" s="283"/>
    </row>
    <row r="62" spans="1:43" ht="51.75" customHeight="1" x14ac:dyDescent="0.2">
      <c r="A62" s="317" t="s">
        <v>1027</v>
      </c>
      <c r="B62" s="339" t="s">
        <v>1028</v>
      </c>
      <c r="C62" s="318" t="s">
        <v>1016</v>
      </c>
      <c r="D62" s="319"/>
      <c r="E62" s="319"/>
      <c r="F62" s="319" t="s">
        <v>1029</v>
      </c>
      <c r="G62" s="319" t="s">
        <v>1030</v>
      </c>
      <c r="H62" s="320">
        <v>2053</v>
      </c>
      <c r="I62" s="171"/>
      <c r="J62" s="171"/>
      <c r="K62" s="171">
        <v>575</v>
      </c>
      <c r="L62" s="171">
        <f t="shared" si="5"/>
        <v>632.5</v>
      </c>
      <c r="M62" s="172" t="s">
        <v>893</v>
      </c>
      <c r="N62" s="321" t="s">
        <v>1031</v>
      </c>
      <c r="O62" s="322" t="s">
        <v>880</v>
      </c>
      <c r="P62" s="322" t="s">
        <v>435</v>
      </c>
      <c r="Q62" s="322" t="s">
        <v>1013</v>
      </c>
      <c r="R62" s="164"/>
      <c r="S62" s="275"/>
      <c r="U62" s="232"/>
      <c r="V62" s="232"/>
      <c r="W62" s="232"/>
      <c r="X62" s="232"/>
      <c r="AB62" s="277"/>
      <c r="AC62" s="327"/>
      <c r="AD62" s="278"/>
      <c r="AE62" s="341"/>
      <c r="AF62" s="341"/>
      <c r="AG62" s="283"/>
      <c r="AH62" s="283"/>
      <c r="AI62" s="280"/>
      <c r="AJ62" s="161"/>
      <c r="AK62" s="161"/>
      <c r="AL62" s="161"/>
      <c r="AM62" s="161"/>
      <c r="AN62" s="162"/>
      <c r="AO62" s="281"/>
      <c r="AP62" s="282"/>
      <c r="AQ62" s="283"/>
    </row>
    <row r="63" spans="1:43" ht="45" x14ac:dyDescent="0.2">
      <c r="A63" s="317" t="s">
        <v>1032</v>
      </c>
      <c r="B63" s="339" t="s">
        <v>1033</v>
      </c>
      <c r="C63" s="318" t="s">
        <v>1034</v>
      </c>
      <c r="D63" s="319"/>
      <c r="E63" s="319"/>
      <c r="F63" s="319" t="s">
        <v>1035</v>
      </c>
      <c r="G63" s="319" t="s">
        <v>1036</v>
      </c>
      <c r="H63" s="320">
        <v>8055</v>
      </c>
      <c r="I63" s="171"/>
      <c r="J63" s="171"/>
      <c r="K63" s="171">
        <v>493.56</v>
      </c>
      <c r="L63" s="171">
        <f t="shared" si="5"/>
        <v>542.91999999999996</v>
      </c>
      <c r="M63" s="172" t="s">
        <v>893</v>
      </c>
      <c r="N63" s="321" t="s">
        <v>926</v>
      </c>
      <c r="O63" s="322" t="s">
        <v>880</v>
      </c>
      <c r="P63" s="322" t="s">
        <v>895</v>
      </c>
      <c r="Q63" s="322" t="s">
        <v>895</v>
      </c>
      <c r="R63" s="164"/>
      <c r="S63" s="275"/>
      <c r="U63" s="232"/>
      <c r="V63" s="232"/>
      <c r="W63" s="232"/>
      <c r="X63" s="232"/>
      <c r="AB63" s="277"/>
      <c r="AC63" s="327"/>
      <c r="AD63" s="278"/>
      <c r="AE63" s="283"/>
      <c r="AF63" s="283"/>
      <c r="AG63" s="283"/>
      <c r="AH63" s="283"/>
      <c r="AI63" s="280"/>
      <c r="AJ63" s="161"/>
      <c r="AK63" s="161"/>
      <c r="AL63" s="161"/>
      <c r="AM63" s="161"/>
      <c r="AN63" s="162"/>
      <c r="AO63" s="281"/>
      <c r="AP63" s="282"/>
      <c r="AQ63" s="283"/>
    </row>
    <row r="64" spans="1:43" ht="36" customHeight="1" x14ac:dyDescent="0.2">
      <c r="A64" s="284">
        <v>56</v>
      </c>
      <c r="B64" s="285" t="s">
        <v>1229</v>
      </c>
      <c r="C64" s="285" t="s">
        <v>1230</v>
      </c>
      <c r="D64" s="343" t="s">
        <v>1231</v>
      </c>
      <c r="E64" s="343" t="s">
        <v>1232</v>
      </c>
      <c r="F64" s="343" t="s">
        <v>1233</v>
      </c>
      <c r="G64" s="343" t="s">
        <v>1234</v>
      </c>
      <c r="H64" s="286">
        <v>8056</v>
      </c>
      <c r="I64" s="831" t="s">
        <v>443</v>
      </c>
      <c r="J64" s="831"/>
      <c r="K64" s="831" t="s">
        <v>443</v>
      </c>
      <c r="L64" s="831"/>
      <c r="M64" s="163" t="s">
        <v>1196</v>
      </c>
      <c r="N64" s="287" t="s">
        <v>1197</v>
      </c>
      <c r="O64" s="288" t="s">
        <v>880</v>
      </c>
      <c r="P64" s="288" t="s">
        <v>436</v>
      </c>
      <c r="Q64" s="288" t="s">
        <v>1235</v>
      </c>
      <c r="R64" s="290"/>
      <c r="S64" s="290"/>
      <c r="U64" s="232"/>
      <c r="V64" s="232"/>
      <c r="W64" s="232"/>
      <c r="X64" s="232"/>
      <c r="AB64" s="277"/>
      <c r="AC64" s="278"/>
      <c r="AD64" s="278"/>
      <c r="AE64" s="344"/>
      <c r="AF64" s="344"/>
      <c r="AG64" s="344"/>
      <c r="AH64" s="344"/>
      <c r="AI64" s="280"/>
      <c r="AJ64" s="829"/>
      <c r="AK64" s="829"/>
      <c r="AL64" s="829"/>
      <c r="AM64" s="829"/>
      <c r="AN64" s="162"/>
      <c r="AO64" s="281"/>
      <c r="AP64" s="282"/>
      <c r="AQ64" s="283"/>
    </row>
    <row r="65" spans="1:43" ht="33.75" x14ac:dyDescent="0.2">
      <c r="A65" s="284">
        <v>57</v>
      </c>
      <c r="B65" s="285" t="s">
        <v>1236</v>
      </c>
      <c r="C65" s="285" t="s">
        <v>1237</v>
      </c>
      <c r="D65" s="834" t="s">
        <v>1195</v>
      </c>
      <c r="E65" s="834"/>
      <c r="F65" s="834"/>
      <c r="G65" s="834"/>
      <c r="H65" s="286">
        <v>8057</v>
      </c>
      <c r="I65" s="831" t="s">
        <v>443</v>
      </c>
      <c r="J65" s="831"/>
      <c r="K65" s="831" t="s">
        <v>443</v>
      </c>
      <c r="L65" s="831"/>
      <c r="M65" s="163" t="s">
        <v>1196</v>
      </c>
      <c r="N65" s="287" t="s">
        <v>1197</v>
      </c>
      <c r="O65" s="288" t="s">
        <v>880</v>
      </c>
      <c r="P65" s="288" t="s">
        <v>436</v>
      </c>
      <c r="Q65" s="288" t="s">
        <v>1235</v>
      </c>
      <c r="R65" s="290"/>
      <c r="S65" s="290"/>
      <c r="U65" s="232"/>
      <c r="V65" s="232"/>
      <c r="W65" s="232"/>
      <c r="X65" s="232"/>
      <c r="AB65" s="277"/>
      <c r="AC65" s="278"/>
      <c r="AD65" s="278"/>
      <c r="AE65" s="279"/>
      <c r="AF65" s="279"/>
      <c r="AG65" s="279"/>
      <c r="AH65" s="279"/>
      <c r="AI65" s="280"/>
      <c r="AJ65" s="829"/>
      <c r="AK65" s="829"/>
      <c r="AL65" s="829"/>
      <c r="AM65" s="829"/>
      <c r="AN65" s="162"/>
      <c r="AO65" s="281"/>
      <c r="AP65" s="282"/>
      <c r="AQ65" s="283"/>
    </row>
    <row r="66" spans="1:43" ht="22.5" x14ac:dyDescent="0.2">
      <c r="A66" s="284">
        <v>58</v>
      </c>
      <c r="B66" s="285" t="s">
        <v>1238</v>
      </c>
      <c r="C66" s="285" t="s">
        <v>1239</v>
      </c>
      <c r="D66" s="834" t="s">
        <v>1195</v>
      </c>
      <c r="E66" s="834"/>
      <c r="F66" s="834"/>
      <c r="G66" s="834"/>
      <c r="H66" s="286">
        <v>8058</v>
      </c>
      <c r="I66" s="831" t="s">
        <v>443</v>
      </c>
      <c r="J66" s="831"/>
      <c r="K66" s="831" t="s">
        <v>443</v>
      </c>
      <c r="L66" s="831"/>
      <c r="M66" s="163" t="s">
        <v>1196</v>
      </c>
      <c r="N66" s="287" t="s">
        <v>1197</v>
      </c>
      <c r="O66" s="288" t="s">
        <v>434</v>
      </c>
      <c r="P66" s="288" t="s">
        <v>435</v>
      </c>
      <c r="Q66" s="288" t="s">
        <v>895</v>
      </c>
      <c r="R66" s="290"/>
      <c r="S66" s="290"/>
      <c r="U66" s="232"/>
      <c r="V66" s="232"/>
      <c r="W66" s="232"/>
      <c r="X66" s="232"/>
      <c r="AB66" s="277"/>
      <c r="AC66" s="278"/>
      <c r="AD66" s="278"/>
      <c r="AE66" s="279"/>
      <c r="AF66" s="279"/>
      <c r="AG66" s="279"/>
      <c r="AH66" s="279"/>
      <c r="AI66" s="280"/>
      <c r="AJ66" s="829"/>
      <c r="AK66" s="829"/>
      <c r="AL66" s="829"/>
      <c r="AM66" s="829"/>
      <c r="AN66" s="162"/>
      <c r="AO66" s="281"/>
      <c r="AP66" s="282"/>
      <c r="AQ66" s="283"/>
    </row>
    <row r="67" spans="1:43" ht="45.75" customHeight="1" x14ac:dyDescent="0.2">
      <c r="A67" s="284">
        <v>59</v>
      </c>
      <c r="B67" s="285" t="s">
        <v>1240</v>
      </c>
      <c r="C67" s="285" t="s">
        <v>1241</v>
      </c>
      <c r="D67" s="289" t="s">
        <v>1242</v>
      </c>
      <c r="E67" s="289" t="s">
        <v>1243</v>
      </c>
      <c r="F67" s="289" t="s">
        <v>1244</v>
      </c>
      <c r="G67" s="289" t="s">
        <v>1245</v>
      </c>
      <c r="H67" s="286">
        <v>8059</v>
      </c>
      <c r="I67" s="831" t="s">
        <v>443</v>
      </c>
      <c r="J67" s="831"/>
      <c r="K67" s="831" t="s">
        <v>443</v>
      </c>
      <c r="L67" s="831"/>
      <c r="M67" s="163" t="s">
        <v>1196</v>
      </c>
      <c r="N67" s="287" t="s">
        <v>1197</v>
      </c>
      <c r="O67" s="288" t="s">
        <v>880</v>
      </c>
      <c r="P67" s="288" t="s">
        <v>435</v>
      </c>
      <c r="Q67" s="288" t="s">
        <v>1246</v>
      </c>
      <c r="R67" s="290"/>
      <c r="S67" s="290"/>
      <c r="U67" s="232"/>
      <c r="V67" s="232"/>
      <c r="W67" s="232"/>
      <c r="X67" s="232"/>
      <c r="AB67" s="277"/>
      <c r="AC67" s="278"/>
      <c r="AD67" s="278"/>
      <c r="AE67" s="283"/>
      <c r="AF67" s="283"/>
      <c r="AG67" s="283"/>
      <c r="AH67" s="283"/>
      <c r="AI67" s="280"/>
      <c r="AJ67" s="829"/>
      <c r="AK67" s="829"/>
      <c r="AL67" s="829"/>
      <c r="AM67" s="829"/>
      <c r="AN67" s="162"/>
      <c r="AO67" s="281"/>
      <c r="AP67" s="282"/>
      <c r="AQ67" s="283"/>
    </row>
    <row r="68" spans="1:43" ht="45" customHeight="1" x14ac:dyDescent="0.2">
      <c r="A68" s="284">
        <v>60</v>
      </c>
      <c r="B68" s="285" t="s">
        <v>1247</v>
      </c>
      <c r="C68" s="285" t="s">
        <v>1248</v>
      </c>
      <c r="D68" s="289" t="s">
        <v>1249</v>
      </c>
      <c r="E68" s="289" t="s">
        <v>1250</v>
      </c>
      <c r="F68" s="289" t="s">
        <v>1251</v>
      </c>
      <c r="G68" s="289" t="s">
        <v>1252</v>
      </c>
      <c r="H68" s="286">
        <v>8060</v>
      </c>
      <c r="I68" s="831" t="s">
        <v>443</v>
      </c>
      <c r="J68" s="831"/>
      <c r="K68" s="831" t="s">
        <v>443</v>
      </c>
      <c r="L68" s="831"/>
      <c r="M68" s="163" t="s">
        <v>1196</v>
      </c>
      <c r="N68" s="287" t="s">
        <v>1197</v>
      </c>
      <c r="O68" s="288" t="s">
        <v>880</v>
      </c>
      <c r="P68" s="288" t="s">
        <v>435</v>
      </c>
      <c r="Q68" s="288" t="s">
        <v>1246</v>
      </c>
      <c r="R68" s="290"/>
      <c r="S68" s="290"/>
      <c r="U68" s="232"/>
      <c r="V68" s="232"/>
      <c r="W68" s="232"/>
      <c r="X68" s="232"/>
      <c r="AB68" s="277"/>
      <c r="AC68" s="278"/>
      <c r="AD68" s="278"/>
      <c r="AE68" s="283"/>
      <c r="AF68" s="283"/>
      <c r="AG68" s="283"/>
      <c r="AH68" s="283"/>
      <c r="AI68" s="280"/>
      <c r="AJ68" s="829"/>
      <c r="AK68" s="829"/>
      <c r="AL68" s="829"/>
      <c r="AM68" s="829"/>
      <c r="AN68" s="162"/>
      <c r="AO68" s="281"/>
      <c r="AP68" s="282"/>
      <c r="AQ68" s="283"/>
    </row>
    <row r="69" spans="1:43" ht="29.25" customHeight="1" x14ac:dyDescent="0.2">
      <c r="A69" s="284">
        <v>61</v>
      </c>
      <c r="B69" s="285" t="s">
        <v>1253</v>
      </c>
      <c r="C69" s="285" t="s">
        <v>1254</v>
      </c>
      <c r="D69" s="289" t="s">
        <v>1255</v>
      </c>
      <c r="E69" s="289" t="s">
        <v>1256</v>
      </c>
      <c r="F69" s="289" t="s">
        <v>1257</v>
      </c>
      <c r="G69" s="289" t="s">
        <v>1258</v>
      </c>
      <c r="H69" s="286">
        <v>8061</v>
      </c>
      <c r="I69" s="831" t="s">
        <v>443</v>
      </c>
      <c r="J69" s="831"/>
      <c r="K69" s="831" t="s">
        <v>443</v>
      </c>
      <c r="L69" s="831"/>
      <c r="M69" s="163" t="s">
        <v>1196</v>
      </c>
      <c r="N69" s="287" t="s">
        <v>1197</v>
      </c>
      <c r="O69" s="288" t="s">
        <v>880</v>
      </c>
      <c r="P69" s="288" t="s">
        <v>435</v>
      </c>
      <c r="Q69" s="288" t="s">
        <v>1246</v>
      </c>
      <c r="R69" s="290"/>
      <c r="S69" s="290"/>
      <c r="U69" s="232"/>
      <c r="V69" s="232"/>
      <c r="W69" s="232"/>
      <c r="X69" s="232"/>
      <c r="AB69" s="277"/>
      <c r="AC69" s="278"/>
      <c r="AD69" s="278"/>
      <c r="AE69" s="283"/>
      <c r="AF69" s="283"/>
      <c r="AG69" s="283"/>
      <c r="AH69" s="283"/>
      <c r="AI69" s="280"/>
      <c r="AJ69" s="829"/>
      <c r="AK69" s="829"/>
      <c r="AL69" s="829"/>
      <c r="AM69" s="829"/>
      <c r="AN69" s="162"/>
      <c r="AO69" s="281"/>
      <c r="AP69" s="282"/>
      <c r="AQ69" s="283"/>
    </row>
    <row r="70" spans="1:43" ht="33.75" x14ac:dyDescent="0.2">
      <c r="A70" s="284">
        <v>62</v>
      </c>
      <c r="B70" s="285" t="s">
        <v>1259</v>
      </c>
      <c r="C70" s="198" t="s">
        <v>1260</v>
      </c>
      <c r="D70" s="289" t="s">
        <v>1261</v>
      </c>
      <c r="E70" s="289" t="s">
        <v>1262</v>
      </c>
      <c r="F70" s="289" t="s">
        <v>1263</v>
      </c>
      <c r="G70" s="289" t="s">
        <v>1264</v>
      </c>
      <c r="H70" s="286">
        <v>8062</v>
      </c>
      <c r="I70" s="831" t="s">
        <v>443</v>
      </c>
      <c r="J70" s="831"/>
      <c r="K70" s="831" t="s">
        <v>443</v>
      </c>
      <c r="L70" s="831"/>
      <c r="M70" s="163" t="s">
        <v>1196</v>
      </c>
      <c r="N70" s="287" t="s">
        <v>1197</v>
      </c>
      <c r="O70" s="288" t="s">
        <v>880</v>
      </c>
      <c r="P70" s="288" t="s">
        <v>436</v>
      </c>
      <c r="Q70" s="288" t="s">
        <v>1235</v>
      </c>
      <c r="R70" s="290"/>
      <c r="S70" s="290"/>
      <c r="U70" s="232"/>
      <c r="V70" s="232"/>
      <c r="W70" s="232"/>
      <c r="X70" s="232"/>
      <c r="AB70" s="277"/>
      <c r="AC70" s="278"/>
      <c r="AD70" s="278"/>
      <c r="AE70" s="283"/>
      <c r="AF70" s="283"/>
      <c r="AG70" s="283"/>
      <c r="AH70" s="283"/>
      <c r="AI70" s="280"/>
      <c r="AJ70" s="829"/>
      <c r="AK70" s="829"/>
      <c r="AL70" s="829"/>
      <c r="AM70" s="829"/>
      <c r="AN70" s="162"/>
      <c r="AO70" s="281"/>
      <c r="AP70" s="282"/>
      <c r="AQ70" s="283"/>
    </row>
    <row r="71" spans="1:43" ht="33.75" x14ac:dyDescent="0.2">
      <c r="A71" s="284">
        <v>63</v>
      </c>
      <c r="B71" s="285" t="s">
        <v>1265</v>
      </c>
      <c r="C71" s="198" t="s">
        <v>1266</v>
      </c>
      <c r="D71" s="834" t="s">
        <v>1195</v>
      </c>
      <c r="E71" s="834"/>
      <c r="F71" s="834"/>
      <c r="G71" s="834"/>
      <c r="H71" s="286">
        <v>8063</v>
      </c>
      <c r="I71" s="831" t="s">
        <v>443</v>
      </c>
      <c r="J71" s="831"/>
      <c r="K71" s="831" t="s">
        <v>443</v>
      </c>
      <c r="L71" s="831"/>
      <c r="M71" s="163" t="s">
        <v>1196</v>
      </c>
      <c r="N71" s="287" t="s">
        <v>1197</v>
      </c>
      <c r="O71" s="288" t="s">
        <v>434</v>
      </c>
      <c r="P71" s="288" t="s">
        <v>435</v>
      </c>
      <c r="Q71" s="288" t="s">
        <v>895</v>
      </c>
      <c r="R71" s="290"/>
      <c r="S71" s="290"/>
      <c r="U71" s="232"/>
      <c r="V71" s="232"/>
      <c r="W71" s="232"/>
      <c r="X71" s="232"/>
      <c r="AB71" s="277"/>
      <c r="AC71" s="278"/>
      <c r="AD71" s="278"/>
      <c r="AE71" s="279"/>
      <c r="AF71" s="279"/>
      <c r="AG71" s="279"/>
      <c r="AH71" s="279"/>
      <c r="AI71" s="280"/>
      <c r="AJ71" s="829"/>
      <c r="AK71" s="829"/>
      <c r="AL71" s="829"/>
      <c r="AM71" s="829"/>
      <c r="AN71" s="162"/>
      <c r="AO71" s="281"/>
      <c r="AP71" s="282"/>
      <c r="AQ71" s="283"/>
    </row>
    <row r="72" spans="1:43" ht="33.75" x14ac:dyDescent="0.2">
      <c r="A72" s="284">
        <v>64</v>
      </c>
      <c r="B72" s="285" t="s">
        <v>1267</v>
      </c>
      <c r="C72" s="198" t="s">
        <v>1268</v>
      </c>
      <c r="D72" s="834" t="s">
        <v>1195</v>
      </c>
      <c r="E72" s="834"/>
      <c r="F72" s="834"/>
      <c r="G72" s="834"/>
      <c r="H72" s="286">
        <v>8064</v>
      </c>
      <c r="I72" s="831" t="s">
        <v>443</v>
      </c>
      <c r="J72" s="831"/>
      <c r="K72" s="831" t="s">
        <v>443</v>
      </c>
      <c r="L72" s="831"/>
      <c r="M72" s="163" t="s">
        <v>1196</v>
      </c>
      <c r="N72" s="287" t="s">
        <v>1197</v>
      </c>
      <c r="O72" s="288" t="s">
        <v>434</v>
      </c>
      <c r="P72" s="288" t="s">
        <v>436</v>
      </c>
      <c r="Q72" s="288" t="s">
        <v>1235</v>
      </c>
      <c r="R72" s="290"/>
      <c r="S72" s="290"/>
      <c r="U72" s="232"/>
      <c r="V72" s="232"/>
      <c r="W72" s="232"/>
      <c r="X72" s="232"/>
      <c r="AB72" s="277"/>
      <c r="AC72" s="278"/>
      <c r="AD72" s="278"/>
      <c r="AE72" s="279"/>
      <c r="AF72" s="279"/>
      <c r="AG72" s="279"/>
      <c r="AH72" s="279"/>
      <c r="AI72" s="280"/>
      <c r="AJ72" s="829"/>
      <c r="AK72" s="829"/>
      <c r="AL72" s="829"/>
      <c r="AM72" s="829"/>
      <c r="AN72" s="162"/>
      <c r="AO72" s="281"/>
      <c r="AP72" s="282"/>
      <c r="AQ72" s="283"/>
    </row>
    <row r="73" spans="1:43" ht="33.75" x14ac:dyDescent="0.2">
      <c r="A73" s="284">
        <v>65</v>
      </c>
      <c r="B73" s="285" t="s">
        <v>1269</v>
      </c>
      <c r="C73" s="285" t="s">
        <v>1270</v>
      </c>
      <c r="D73" s="834" t="s">
        <v>1195</v>
      </c>
      <c r="E73" s="834"/>
      <c r="F73" s="834"/>
      <c r="G73" s="834"/>
      <c r="H73" s="286">
        <v>8065</v>
      </c>
      <c r="I73" s="831" t="s">
        <v>443</v>
      </c>
      <c r="J73" s="831"/>
      <c r="K73" s="831" t="s">
        <v>443</v>
      </c>
      <c r="L73" s="831"/>
      <c r="M73" s="163" t="s">
        <v>1196</v>
      </c>
      <c r="N73" s="287" t="s">
        <v>1197</v>
      </c>
      <c r="O73" s="288" t="s">
        <v>434</v>
      </c>
      <c r="P73" s="288" t="s">
        <v>435</v>
      </c>
      <c r="Q73" s="288" t="s">
        <v>895</v>
      </c>
      <c r="R73" s="290"/>
      <c r="S73" s="290"/>
      <c r="U73" s="232"/>
      <c r="V73" s="232"/>
      <c r="W73" s="232"/>
      <c r="X73" s="232"/>
      <c r="AB73" s="277"/>
      <c r="AC73" s="278"/>
      <c r="AD73" s="278"/>
      <c r="AE73" s="279"/>
      <c r="AF73" s="279"/>
      <c r="AG73" s="279"/>
      <c r="AH73" s="279"/>
      <c r="AI73" s="280"/>
      <c r="AJ73" s="829"/>
      <c r="AK73" s="829"/>
      <c r="AL73" s="829"/>
      <c r="AM73" s="829"/>
      <c r="AN73" s="162"/>
      <c r="AO73" s="281"/>
      <c r="AP73" s="282"/>
      <c r="AQ73" s="283"/>
    </row>
    <row r="74" spans="1:43" ht="90" x14ac:dyDescent="0.2">
      <c r="A74" s="284" t="s">
        <v>1271</v>
      </c>
      <c r="B74" s="285" t="s">
        <v>1272</v>
      </c>
      <c r="C74" s="285" t="s">
        <v>1273</v>
      </c>
      <c r="D74" s="289" t="s">
        <v>1274</v>
      </c>
      <c r="E74" s="289" t="s">
        <v>1275</v>
      </c>
      <c r="F74" s="289" t="s">
        <v>1276</v>
      </c>
      <c r="G74" s="289" t="s">
        <v>1277</v>
      </c>
      <c r="H74" s="286">
        <v>8077</v>
      </c>
      <c r="I74" s="831" t="s">
        <v>443</v>
      </c>
      <c r="J74" s="831"/>
      <c r="K74" s="831" t="s">
        <v>443</v>
      </c>
      <c r="L74" s="831"/>
      <c r="M74" s="163" t="s">
        <v>1196</v>
      </c>
      <c r="N74" s="287" t="s">
        <v>1197</v>
      </c>
      <c r="O74" s="288" t="s">
        <v>1045</v>
      </c>
      <c r="P74" s="288" t="s">
        <v>1045</v>
      </c>
      <c r="Q74" s="288" t="s">
        <v>1045</v>
      </c>
      <c r="R74" s="206"/>
      <c r="S74" s="206"/>
      <c r="U74" s="232"/>
      <c r="V74" s="232"/>
      <c r="W74" s="232"/>
      <c r="X74" s="232"/>
      <c r="AB74" s="277"/>
      <c r="AC74" s="278"/>
      <c r="AD74" s="278"/>
      <c r="AE74" s="283"/>
      <c r="AF74" s="283"/>
      <c r="AG74" s="283"/>
      <c r="AH74" s="283"/>
      <c r="AI74" s="280"/>
      <c r="AJ74" s="345"/>
      <c r="AK74" s="345"/>
      <c r="AL74" s="345"/>
      <c r="AM74" s="345"/>
      <c r="AN74" s="162"/>
      <c r="AO74" s="281"/>
      <c r="AP74" s="282"/>
      <c r="AQ74" s="283"/>
    </row>
    <row r="75" spans="1:43" ht="56.25" x14ac:dyDescent="0.2">
      <c r="A75" s="317">
        <v>66</v>
      </c>
      <c r="B75" s="318" t="s">
        <v>1278</v>
      </c>
      <c r="C75" s="318" t="s">
        <v>1279</v>
      </c>
      <c r="D75" s="340" t="s">
        <v>1280</v>
      </c>
      <c r="E75" s="340" t="s">
        <v>1281</v>
      </c>
      <c r="F75" s="340" t="s">
        <v>1282</v>
      </c>
      <c r="G75" s="340" t="s">
        <v>1283</v>
      </c>
      <c r="H75" s="320">
        <v>8066</v>
      </c>
      <c r="I75" s="171" t="s">
        <v>443</v>
      </c>
      <c r="J75" s="171" t="s">
        <v>443</v>
      </c>
      <c r="K75" s="171" t="s">
        <v>443</v>
      </c>
      <c r="L75" s="171" t="s">
        <v>443</v>
      </c>
      <c r="M75" s="172" t="s">
        <v>1196</v>
      </c>
      <c r="N75" s="321" t="s">
        <v>966</v>
      </c>
      <c r="O75" s="322" t="s">
        <v>880</v>
      </c>
      <c r="P75" s="322" t="s">
        <v>435</v>
      </c>
      <c r="Q75" s="322" t="s">
        <v>1284</v>
      </c>
      <c r="R75" s="164"/>
      <c r="S75" s="164"/>
      <c r="U75" s="232"/>
      <c r="V75" s="232"/>
      <c r="W75" s="232"/>
      <c r="X75" s="232"/>
      <c r="AB75" s="277"/>
      <c r="AC75" s="278"/>
      <c r="AD75" s="278"/>
      <c r="AE75" s="341"/>
      <c r="AF75" s="341"/>
      <c r="AG75" s="341"/>
      <c r="AH75" s="341"/>
      <c r="AI75" s="280"/>
      <c r="AJ75" s="161"/>
      <c r="AK75" s="161"/>
      <c r="AL75" s="161"/>
      <c r="AM75" s="161"/>
      <c r="AN75" s="162"/>
      <c r="AO75" s="281"/>
      <c r="AP75" s="282"/>
      <c r="AQ75" s="283"/>
    </row>
    <row r="76" spans="1:43" ht="45" x14ac:dyDescent="0.2">
      <c r="A76" s="317" t="s">
        <v>1285</v>
      </c>
      <c r="B76" s="318" t="s">
        <v>1286</v>
      </c>
      <c r="C76" s="318" t="s">
        <v>1287</v>
      </c>
      <c r="D76" s="340" t="s">
        <v>1288</v>
      </c>
      <c r="E76" s="340" t="s">
        <v>1289</v>
      </c>
      <c r="F76" s="340" t="s">
        <v>1290</v>
      </c>
      <c r="G76" s="340" t="s">
        <v>1291</v>
      </c>
      <c r="H76" s="320">
        <v>8075</v>
      </c>
      <c r="I76" s="171" t="s">
        <v>443</v>
      </c>
      <c r="J76" s="171" t="s">
        <v>443</v>
      </c>
      <c r="K76" s="171" t="s">
        <v>443</v>
      </c>
      <c r="L76" s="171" t="s">
        <v>443</v>
      </c>
      <c r="M76" s="172" t="s">
        <v>1196</v>
      </c>
      <c r="N76" s="321" t="s">
        <v>926</v>
      </c>
      <c r="O76" s="322" t="s">
        <v>880</v>
      </c>
      <c r="P76" s="322" t="s">
        <v>895</v>
      </c>
      <c r="Q76" s="322" t="s">
        <v>895</v>
      </c>
      <c r="R76" s="164"/>
      <c r="S76" s="164"/>
      <c r="U76" s="232"/>
      <c r="V76" s="232"/>
      <c r="W76" s="232"/>
      <c r="X76" s="232"/>
      <c r="AB76" s="277"/>
      <c r="AC76" s="278"/>
      <c r="AD76" s="278"/>
      <c r="AE76" s="341"/>
      <c r="AF76" s="341"/>
      <c r="AG76" s="341"/>
      <c r="AH76" s="341"/>
      <c r="AI76" s="280"/>
      <c r="AJ76" s="161"/>
      <c r="AK76" s="161"/>
      <c r="AL76" s="161"/>
      <c r="AM76" s="161"/>
      <c r="AN76" s="162"/>
      <c r="AO76" s="281"/>
      <c r="AP76" s="282"/>
      <c r="AQ76" s="283"/>
    </row>
    <row r="77" spans="1:43" ht="76.5" customHeight="1" x14ac:dyDescent="0.2">
      <c r="A77" s="317">
        <v>67</v>
      </c>
      <c r="B77" s="318" t="s">
        <v>1292</v>
      </c>
      <c r="C77" s="318" t="s">
        <v>1293</v>
      </c>
      <c r="D77" s="346" t="s">
        <v>1294</v>
      </c>
      <c r="E77" s="346" t="s">
        <v>1295</v>
      </c>
      <c r="F77" s="346" t="s">
        <v>1296</v>
      </c>
      <c r="G77" s="346" t="s">
        <v>1297</v>
      </c>
      <c r="H77" s="320">
        <v>8067</v>
      </c>
      <c r="I77" s="171" t="s">
        <v>443</v>
      </c>
      <c r="J77" s="171" t="s">
        <v>443</v>
      </c>
      <c r="K77" s="171" t="s">
        <v>443</v>
      </c>
      <c r="L77" s="171" t="s">
        <v>443</v>
      </c>
      <c r="M77" s="172" t="s">
        <v>1196</v>
      </c>
      <c r="N77" s="321" t="s">
        <v>966</v>
      </c>
      <c r="O77" s="322" t="s">
        <v>880</v>
      </c>
      <c r="P77" s="322" t="s">
        <v>435</v>
      </c>
      <c r="Q77" s="322" t="s">
        <v>1298</v>
      </c>
      <c r="R77" s="164"/>
      <c r="S77" s="164"/>
      <c r="U77" s="232"/>
      <c r="V77" s="232"/>
      <c r="W77" s="232"/>
      <c r="X77" s="232"/>
      <c r="AB77" s="277"/>
      <c r="AC77" s="278"/>
      <c r="AD77" s="278"/>
      <c r="AE77" s="344"/>
      <c r="AF77" s="344"/>
      <c r="AG77" s="344"/>
      <c r="AH77" s="344"/>
      <c r="AI77" s="280"/>
      <c r="AJ77" s="161"/>
      <c r="AK77" s="161"/>
      <c r="AL77" s="161"/>
      <c r="AM77" s="161"/>
      <c r="AN77" s="162"/>
      <c r="AO77" s="281"/>
      <c r="AP77" s="282"/>
      <c r="AQ77" s="283"/>
    </row>
    <row r="78" spans="1:43" ht="58.5" customHeight="1" x14ac:dyDescent="0.2">
      <c r="A78" s="317" t="s">
        <v>1299</v>
      </c>
      <c r="B78" s="339" t="s">
        <v>1300</v>
      </c>
      <c r="C78" s="318" t="s">
        <v>1301</v>
      </c>
      <c r="D78" s="319" t="s">
        <v>1302</v>
      </c>
      <c r="E78" s="319" t="s">
        <v>1303</v>
      </c>
      <c r="F78" s="319" t="s">
        <v>1304</v>
      </c>
      <c r="G78" s="319" t="s">
        <v>1305</v>
      </c>
      <c r="H78" s="320">
        <v>8254</v>
      </c>
      <c r="I78" s="171" t="s">
        <v>443</v>
      </c>
      <c r="J78" s="171" t="s">
        <v>443</v>
      </c>
      <c r="K78" s="171" t="s">
        <v>443</v>
      </c>
      <c r="L78" s="171" t="s">
        <v>443</v>
      </c>
      <c r="M78" s="172" t="s">
        <v>1196</v>
      </c>
      <c r="N78" s="321" t="s">
        <v>1306</v>
      </c>
      <c r="O78" s="322" t="s">
        <v>880</v>
      </c>
      <c r="P78" s="322" t="s">
        <v>435</v>
      </c>
      <c r="Q78" s="322" t="s">
        <v>1298</v>
      </c>
      <c r="R78" s="164"/>
      <c r="S78" s="164"/>
      <c r="U78" s="232"/>
      <c r="V78" s="232"/>
      <c r="W78" s="232"/>
      <c r="X78" s="232"/>
      <c r="AB78" s="277"/>
      <c r="AC78" s="278"/>
      <c r="AD78" s="278"/>
      <c r="AE78" s="344"/>
      <c r="AF78" s="344"/>
      <c r="AG78" s="344"/>
      <c r="AH78" s="344"/>
      <c r="AI78" s="280"/>
      <c r="AJ78" s="161"/>
      <c r="AK78" s="161"/>
      <c r="AL78" s="161"/>
      <c r="AM78" s="161"/>
      <c r="AN78" s="162"/>
      <c r="AO78" s="281"/>
      <c r="AP78" s="282"/>
      <c r="AQ78" s="283"/>
    </row>
    <row r="79" spans="1:43" ht="48" customHeight="1" x14ac:dyDescent="0.2">
      <c r="A79" s="317" t="s">
        <v>1307</v>
      </c>
      <c r="B79" s="318" t="s">
        <v>1308</v>
      </c>
      <c r="C79" s="318" t="s">
        <v>1309</v>
      </c>
      <c r="D79" s="346" t="s">
        <v>1310</v>
      </c>
      <c r="E79" s="346" t="s">
        <v>1311</v>
      </c>
      <c r="F79" s="346" t="s">
        <v>1312</v>
      </c>
      <c r="G79" s="346" t="s">
        <v>1313</v>
      </c>
      <c r="H79" s="320">
        <v>8076</v>
      </c>
      <c r="I79" s="171" t="s">
        <v>443</v>
      </c>
      <c r="J79" s="171" t="s">
        <v>443</v>
      </c>
      <c r="K79" s="171" t="s">
        <v>443</v>
      </c>
      <c r="L79" s="171" t="s">
        <v>443</v>
      </c>
      <c r="M79" s="172" t="s">
        <v>1196</v>
      </c>
      <c r="N79" s="321" t="s">
        <v>1306</v>
      </c>
      <c r="O79" s="322" t="s">
        <v>880</v>
      </c>
      <c r="P79" s="322" t="s">
        <v>895</v>
      </c>
      <c r="Q79" s="322" t="s">
        <v>895</v>
      </c>
      <c r="R79" s="164"/>
      <c r="S79" s="164"/>
      <c r="U79" s="232"/>
      <c r="V79" s="232"/>
      <c r="W79" s="232"/>
      <c r="X79" s="232"/>
      <c r="AB79" s="277"/>
      <c r="AC79" s="278"/>
      <c r="AD79" s="278"/>
      <c r="AE79" s="344"/>
      <c r="AF79" s="344"/>
      <c r="AG79" s="344"/>
      <c r="AH79" s="344"/>
      <c r="AI79" s="280"/>
      <c r="AJ79" s="161"/>
      <c r="AK79" s="161"/>
      <c r="AL79" s="161"/>
      <c r="AM79" s="161"/>
      <c r="AN79" s="162"/>
      <c r="AO79" s="281"/>
      <c r="AP79" s="282"/>
      <c r="AQ79" s="283"/>
    </row>
    <row r="80" spans="1:43" ht="56.25" x14ac:dyDescent="0.2">
      <c r="A80" s="284">
        <v>68</v>
      </c>
      <c r="B80" s="328" t="s">
        <v>1314</v>
      </c>
      <c r="C80" s="328" t="s">
        <v>1315</v>
      </c>
      <c r="D80" s="833" t="s">
        <v>1195</v>
      </c>
      <c r="E80" s="833"/>
      <c r="F80" s="833"/>
      <c r="G80" s="833"/>
      <c r="H80" s="347">
        <v>8068</v>
      </c>
      <c r="I80" s="831" t="s">
        <v>443</v>
      </c>
      <c r="J80" s="831"/>
      <c r="K80" s="831" t="s">
        <v>443</v>
      </c>
      <c r="L80" s="831"/>
      <c r="M80" s="180" t="s">
        <v>1196</v>
      </c>
      <c r="N80" s="287" t="s">
        <v>1197</v>
      </c>
      <c r="O80" s="288" t="s">
        <v>434</v>
      </c>
      <c r="P80" s="288" t="s">
        <v>435</v>
      </c>
      <c r="Q80" s="288" t="s">
        <v>895</v>
      </c>
      <c r="R80" s="290"/>
      <c r="S80" s="290"/>
      <c r="U80" s="232"/>
      <c r="V80" s="232"/>
      <c r="W80" s="232"/>
      <c r="X80" s="232"/>
      <c r="AB80" s="277"/>
      <c r="AC80" s="327"/>
      <c r="AD80" s="327"/>
      <c r="AE80" s="281"/>
      <c r="AF80" s="281"/>
      <c r="AG80" s="281"/>
      <c r="AH80" s="281"/>
      <c r="AI80" s="348"/>
      <c r="AJ80" s="829"/>
      <c r="AK80" s="829"/>
      <c r="AL80" s="829"/>
      <c r="AM80" s="829"/>
      <c r="AN80" s="162"/>
      <c r="AO80" s="281"/>
      <c r="AP80" s="282"/>
      <c r="AQ80" s="283"/>
    </row>
    <row r="81" spans="1:43" ht="33.75" x14ac:dyDescent="0.2">
      <c r="A81" s="284">
        <v>18</v>
      </c>
      <c r="B81" s="328" t="s">
        <v>1037</v>
      </c>
      <c r="C81" s="328" t="s">
        <v>1316</v>
      </c>
      <c r="D81" s="847" t="s">
        <v>1038</v>
      </c>
      <c r="E81" s="847"/>
      <c r="F81" s="847"/>
      <c r="G81" s="847"/>
      <c r="H81" s="347">
        <v>8069</v>
      </c>
      <c r="I81" s="466">
        <v>952.9</v>
      </c>
      <c r="J81" s="466">
        <f t="shared" ref="J81:L81" si="6">ROUND(I81*1.1,2)</f>
        <v>1048.19</v>
      </c>
      <c r="K81" s="466">
        <v>952.9</v>
      </c>
      <c r="L81" s="466">
        <f t="shared" si="6"/>
        <v>1048.19</v>
      </c>
      <c r="M81" s="180" t="s">
        <v>893</v>
      </c>
      <c r="N81" s="287" t="s">
        <v>894</v>
      </c>
      <c r="O81" s="288" t="s">
        <v>434</v>
      </c>
      <c r="P81" s="288" t="s">
        <v>435</v>
      </c>
      <c r="Q81" s="288" t="s">
        <v>895</v>
      </c>
      <c r="R81" s="275"/>
      <c r="S81" s="275"/>
      <c r="U81" s="232"/>
      <c r="V81" s="232"/>
      <c r="W81" s="232"/>
      <c r="X81" s="232"/>
      <c r="AB81" s="277"/>
      <c r="AC81" s="327"/>
      <c r="AD81" s="327"/>
      <c r="AE81" s="349"/>
      <c r="AF81" s="349"/>
      <c r="AG81" s="349"/>
      <c r="AH81" s="349"/>
      <c r="AI81" s="348"/>
      <c r="AJ81" s="161"/>
      <c r="AK81" s="161"/>
      <c r="AL81" s="161"/>
      <c r="AM81" s="161"/>
      <c r="AN81" s="162"/>
      <c r="AO81" s="281"/>
      <c r="AP81" s="282"/>
      <c r="AQ81" s="283"/>
    </row>
    <row r="82" spans="1:43" ht="67.5" x14ac:dyDescent="0.2">
      <c r="A82" s="284">
        <v>69</v>
      </c>
      <c r="B82" s="285" t="s">
        <v>1317</v>
      </c>
      <c r="C82" s="285" t="s">
        <v>1318</v>
      </c>
      <c r="D82" s="834" t="s">
        <v>1195</v>
      </c>
      <c r="E82" s="834"/>
      <c r="F82" s="834"/>
      <c r="G82" s="834"/>
      <c r="H82" s="286">
        <v>8070</v>
      </c>
      <c r="I82" s="831" t="s">
        <v>443</v>
      </c>
      <c r="J82" s="831"/>
      <c r="K82" s="831" t="s">
        <v>443</v>
      </c>
      <c r="L82" s="831"/>
      <c r="M82" s="180" t="s">
        <v>1196</v>
      </c>
      <c r="N82" s="287" t="s">
        <v>1197</v>
      </c>
      <c r="O82" s="288" t="s">
        <v>434</v>
      </c>
      <c r="P82" s="288" t="s">
        <v>435</v>
      </c>
      <c r="Q82" s="288" t="s">
        <v>895</v>
      </c>
      <c r="R82" s="290"/>
      <c r="S82" s="290"/>
      <c r="U82" s="232"/>
      <c r="V82" s="232"/>
      <c r="W82" s="232"/>
      <c r="X82" s="232"/>
      <c r="AB82" s="277"/>
      <c r="AC82" s="278"/>
      <c r="AD82" s="278"/>
      <c r="AE82" s="279"/>
      <c r="AF82" s="279"/>
      <c r="AG82" s="279"/>
      <c r="AH82" s="279"/>
      <c r="AI82" s="280"/>
      <c r="AJ82" s="829"/>
      <c r="AK82" s="829"/>
      <c r="AL82" s="829"/>
      <c r="AM82" s="829"/>
      <c r="AN82" s="162"/>
      <c r="AO82" s="281"/>
      <c r="AP82" s="282"/>
      <c r="AQ82" s="283"/>
    </row>
    <row r="83" spans="1:43" ht="45" x14ac:dyDescent="0.2">
      <c r="A83" s="284">
        <v>70</v>
      </c>
      <c r="B83" s="285" t="s">
        <v>1319</v>
      </c>
      <c r="C83" s="285" t="s">
        <v>1320</v>
      </c>
      <c r="D83" s="834" t="s">
        <v>1195</v>
      </c>
      <c r="E83" s="834"/>
      <c r="F83" s="834"/>
      <c r="G83" s="834"/>
      <c r="H83" s="286">
        <v>8071</v>
      </c>
      <c r="I83" s="831" t="s">
        <v>443</v>
      </c>
      <c r="J83" s="831"/>
      <c r="K83" s="831" t="s">
        <v>443</v>
      </c>
      <c r="L83" s="831"/>
      <c r="M83" s="180" t="s">
        <v>1196</v>
      </c>
      <c r="N83" s="287" t="s">
        <v>1197</v>
      </c>
      <c r="O83" s="288" t="s">
        <v>434</v>
      </c>
      <c r="P83" s="288" t="s">
        <v>435</v>
      </c>
      <c r="Q83" s="288" t="s">
        <v>895</v>
      </c>
      <c r="R83" s="290"/>
      <c r="S83" s="290"/>
      <c r="U83" s="232"/>
      <c r="V83" s="232"/>
      <c r="W83" s="232"/>
      <c r="X83" s="232"/>
      <c r="AB83" s="277"/>
      <c r="AC83" s="278"/>
      <c r="AD83" s="278"/>
      <c r="AE83" s="279"/>
      <c r="AF83" s="279"/>
      <c r="AG83" s="279"/>
      <c r="AH83" s="279"/>
      <c r="AI83" s="280"/>
      <c r="AJ83" s="829"/>
      <c r="AK83" s="829"/>
      <c r="AL83" s="829"/>
      <c r="AM83" s="829"/>
      <c r="AN83" s="162"/>
      <c r="AO83" s="281"/>
      <c r="AP83" s="282"/>
      <c r="AQ83" s="283"/>
    </row>
    <row r="84" spans="1:43" ht="67.5" x14ac:dyDescent="0.2">
      <c r="A84" s="284">
        <v>71</v>
      </c>
      <c r="B84" s="285" t="s">
        <v>1321</v>
      </c>
      <c r="C84" s="285" t="s">
        <v>1322</v>
      </c>
      <c r="D84" s="834" t="s">
        <v>1195</v>
      </c>
      <c r="E84" s="834"/>
      <c r="F84" s="834"/>
      <c r="G84" s="834"/>
      <c r="H84" s="286">
        <v>8072</v>
      </c>
      <c r="I84" s="831" t="s">
        <v>443</v>
      </c>
      <c r="J84" s="831"/>
      <c r="K84" s="831" t="s">
        <v>443</v>
      </c>
      <c r="L84" s="831"/>
      <c r="M84" s="180" t="s">
        <v>1196</v>
      </c>
      <c r="N84" s="287" t="s">
        <v>1197</v>
      </c>
      <c r="O84" s="288" t="s">
        <v>434</v>
      </c>
      <c r="P84" s="288" t="s">
        <v>435</v>
      </c>
      <c r="Q84" s="288" t="s">
        <v>895</v>
      </c>
      <c r="R84" s="290"/>
      <c r="S84" s="290"/>
      <c r="U84" s="232"/>
      <c r="V84" s="232"/>
      <c r="W84" s="232"/>
      <c r="X84" s="232"/>
      <c r="AB84" s="277"/>
      <c r="AC84" s="278"/>
      <c r="AD84" s="278"/>
      <c r="AE84" s="279"/>
      <c r="AF84" s="279"/>
      <c r="AG84" s="279"/>
      <c r="AH84" s="279"/>
      <c r="AI84" s="280"/>
      <c r="AJ84" s="829"/>
      <c r="AK84" s="829"/>
      <c r="AL84" s="829"/>
      <c r="AM84" s="829"/>
      <c r="AN84" s="162"/>
      <c r="AO84" s="281"/>
      <c r="AP84" s="282"/>
      <c r="AQ84" s="283"/>
    </row>
    <row r="85" spans="1:43" ht="45" x14ac:dyDescent="0.2">
      <c r="A85" s="284">
        <v>72</v>
      </c>
      <c r="B85" s="285" t="s">
        <v>1323</v>
      </c>
      <c r="C85" s="285" t="s">
        <v>1324</v>
      </c>
      <c r="D85" s="834" t="s">
        <v>1195</v>
      </c>
      <c r="E85" s="834"/>
      <c r="F85" s="834"/>
      <c r="G85" s="834"/>
      <c r="H85" s="286">
        <v>8073</v>
      </c>
      <c r="I85" s="831" t="s">
        <v>443</v>
      </c>
      <c r="J85" s="831"/>
      <c r="K85" s="831" t="s">
        <v>443</v>
      </c>
      <c r="L85" s="831"/>
      <c r="M85" s="180" t="s">
        <v>1196</v>
      </c>
      <c r="N85" s="287" t="s">
        <v>1197</v>
      </c>
      <c r="O85" s="288" t="s">
        <v>434</v>
      </c>
      <c r="P85" s="288" t="s">
        <v>435</v>
      </c>
      <c r="Q85" s="288" t="s">
        <v>895</v>
      </c>
      <c r="R85" s="290"/>
      <c r="S85" s="290"/>
      <c r="U85" s="232"/>
      <c r="V85" s="232"/>
      <c r="W85" s="232"/>
      <c r="X85" s="232"/>
      <c r="AB85" s="277"/>
      <c r="AC85" s="278"/>
      <c r="AD85" s="278"/>
      <c r="AE85" s="279"/>
      <c r="AF85" s="279"/>
      <c r="AG85" s="279"/>
      <c r="AH85" s="279"/>
      <c r="AI85" s="280"/>
      <c r="AJ85" s="829"/>
      <c r="AK85" s="829"/>
      <c r="AL85" s="829"/>
      <c r="AM85" s="829"/>
      <c r="AN85" s="162"/>
      <c r="AO85" s="281"/>
      <c r="AP85" s="282"/>
      <c r="AQ85" s="283"/>
    </row>
    <row r="86" spans="1:43" ht="22.5" x14ac:dyDescent="0.2">
      <c r="A86" s="293">
        <v>73</v>
      </c>
      <c r="B86" s="294" t="s">
        <v>1325</v>
      </c>
      <c r="C86" s="294" t="s">
        <v>1326</v>
      </c>
      <c r="D86" s="846" t="s">
        <v>1195</v>
      </c>
      <c r="E86" s="846"/>
      <c r="F86" s="846"/>
      <c r="G86" s="846"/>
      <c r="H86" s="295">
        <v>8074</v>
      </c>
      <c r="I86" s="835" t="s">
        <v>443</v>
      </c>
      <c r="J86" s="835"/>
      <c r="K86" s="835" t="s">
        <v>443</v>
      </c>
      <c r="L86" s="835"/>
      <c r="M86" s="323" t="s">
        <v>1196</v>
      </c>
      <c r="N86" s="296" t="s">
        <v>1197</v>
      </c>
      <c r="O86" s="297" t="s">
        <v>434</v>
      </c>
      <c r="P86" s="297" t="s">
        <v>435</v>
      </c>
      <c r="Q86" s="297" t="s">
        <v>895</v>
      </c>
      <c r="R86" s="290"/>
      <c r="S86" s="290"/>
      <c r="U86" s="232"/>
      <c r="V86" s="232"/>
      <c r="W86" s="232"/>
      <c r="X86" s="232"/>
      <c r="AB86" s="277"/>
      <c r="AC86" s="278"/>
      <c r="AD86" s="278"/>
      <c r="AE86" s="279"/>
      <c r="AF86" s="279"/>
      <c r="AG86" s="279"/>
      <c r="AH86" s="279"/>
      <c r="AI86" s="280"/>
      <c r="AJ86" s="829"/>
      <c r="AK86" s="829"/>
      <c r="AL86" s="829"/>
      <c r="AM86" s="829"/>
      <c r="AN86" s="162"/>
      <c r="AO86" s="281"/>
      <c r="AP86" s="282"/>
      <c r="AQ86" s="283"/>
    </row>
    <row r="87" spans="1:43" s="233" customFormat="1" ht="19.5" customHeight="1" x14ac:dyDescent="0.2">
      <c r="A87" s="188"/>
      <c r="B87" s="188" t="s">
        <v>1567</v>
      </c>
      <c r="C87" s="189"/>
      <c r="D87" s="398"/>
      <c r="E87" s="398"/>
      <c r="F87" s="398"/>
      <c r="G87" s="398"/>
      <c r="H87" s="399"/>
      <c r="I87" s="190"/>
      <c r="J87" s="190"/>
      <c r="K87" s="190"/>
      <c r="L87" s="190"/>
      <c r="M87" s="191"/>
      <c r="N87" s="191"/>
      <c r="O87" s="191"/>
      <c r="P87" s="191"/>
      <c r="Q87" s="192"/>
      <c r="R87" s="193"/>
      <c r="S87" s="193"/>
      <c r="U87" s="232"/>
      <c r="V87" s="232"/>
      <c r="W87" s="232"/>
      <c r="X87" s="232"/>
      <c r="AB87" s="400"/>
      <c r="AC87" s="401"/>
      <c r="AD87" s="402"/>
      <c r="AE87" s="400"/>
      <c r="AF87" s="400"/>
      <c r="AG87" s="400"/>
      <c r="AH87" s="400"/>
      <c r="AI87" s="403"/>
      <c r="AJ87" s="194"/>
      <c r="AK87" s="194"/>
      <c r="AL87" s="194"/>
      <c r="AM87" s="194"/>
      <c r="AN87" s="195"/>
      <c r="AO87" s="195"/>
      <c r="AP87" s="195"/>
      <c r="AQ87" s="404"/>
    </row>
    <row r="88" spans="1:43" ht="22.5" x14ac:dyDescent="0.2">
      <c r="A88" s="269">
        <v>89</v>
      </c>
      <c r="B88" s="196" t="s">
        <v>1568</v>
      </c>
      <c r="C88" s="196" t="s">
        <v>1569</v>
      </c>
      <c r="D88" s="832" t="s">
        <v>1195</v>
      </c>
      <c r="E88" s="832"/>
      <c r="F88" s="832"/>
      <c r="G88" s="832"/>
      <c r="H88" s="271">
        <v>8100</v>
      </c>
      <c r="I88" s="840" t="s">
        <v>443</v>
      </c>
      <c r="J88" s="840"/>
      <c r="K88" s="840" t="s">
        <v>443</v>
      </c>
      <c r="L88" s="840"/>
      <c r="M88" s="160" t="s">
        <v>1196</v>
      </c>
      <c r="N88" s="272" t="s">
        <v>1197</v>
      </c>
      <c r="O88" s="273" t="s">
        <v>895</v>
      </c>
      <c r="P88" s="273" t="s">
        <v>435</v>
      </c>
      <c r="Q88" s="273" t="s">
        <v>895</v>
      </c>
      <c r="R88" s="290"/>
      <c r="S88" s="290"/>
      <c r="U88" s="232"/>
      <c r="V88" s="232"/>
      <c r="W88" s="232"/>
      <c r="X88" s="232"/>
      <c r="AB88" s="277"/>
      <c r="AC88" s="278"/>
      <c r="AD88" s="278"/>
      <c r="AE88" s="281"/>
      <c r="AF88" s="281"/>
      <c r="AG88" s="281"/>
      <c r="AH88" s="281"/>
      <c r="AI88" s="280"/>
      <c r="AJ88" s="829"/>
      <c r="AK88" s="829"/>
      <c r="AL88" s="829"/>
      <c r="AM88" s="829"/>
      <c r="AN88" s="162"/>
      <c r="AO88" s="281"/>
      <c r="AP88" s="282"/>
      <c r="AQ88" s="283"/>
    </row>
    <row r="89" spans="1:43" ht="33.75" x14ac:dyDescent="0.2">
      <c r="A89" s="284">
        <v>90</v>
      </c>
      <c r="B89" s="198" t="s">
        <v>1570</v>
      </c>
      <c r="C89" s="198" t="s">
        <v>1571</v>
      </c>
      <c r="D89" s="833" t="s">
        <v>1195</v>
      </c>
      <c r="E89" s="833"/>
      <c r="F89" s="833"/>
      <c r="G89" s="833"/>
      <c r="H89" s="286">
        <v>8101</v>
      </c>
      <c r="I89" s="831" t="s">
        <v>443</v>
      </c>
      <c r="J89" s="831"/>
      <c r="K89" s="831" t="s">
        <v>443</v>
      </c>
      <c r="L89" s="831"/>
      <c r="M89" s="163" t="s">
        <v>1196</v>
      </c>
      <c r="N89" s="287" t="s">
        <v>1197</v>
      </c>
      <c r="O89" s="288" t="s">
        <v>434</v>
      </c>
      <c r="P89" s="288" t="s">
        <v>435</v>
      </c>
      <c r="Q89" s="288" t="s">
        <v>895</v>
      </c>
      <c r="R89" s="290"/>
      <c r="S89" s="290"/>
      <c r="U89" s="232"/>
      <c r="V89" s="232"/>
      <c r="W89" s="232"/>
      <c r="X89" s="232"/>
      <c r="AB89" s="277"/>
      <c r="AC89" s="278"/>
      <c r="AD89" s="278"/>
      <c r="AE89" s="281"/>
      <c r="AF89" s="281"/>
      <c r="AG89" s="281"/>
      <c r="AH89" s="281"/>
      <c r="AI89" s="280"/>
      <c r="AJ89" s="829"/>
      <c r="AK89" s="829"/>
      <c r="AL89" s="829"/>
      <c r="AM89" s="829"/>
      <c r="AN89" s="162"/>
      <c r="AO89" s="281"/>
      <c r="AP89" s="282"/>
      <c r="AQ89" s="283"/>
    </row>
    <row r="90" spans="1:43" ht="67.5" x14ac:dyDescent="0.2">
      <c r="A90" s="284">
        <v>91</v>
      </c>
      <c r="B90" s="198" t="s">
        <v>1572</v>
      </c>
      <c r="C90" s="198" t="s">
        <v>1573</v>
      </c>
      <c r="D90" s="289" t="s">
        <v>1574</v>
      </c>
      <c r="E90" s="289" t="s">
        <v>1575</v>
      </c>
      <c r="F90" s="289" t="s">
        <v>1576</v>
      </c>
      <c r="G90" s="289" t="s">
        <v>1577</v>
      </c>
      <c r="H90" s="387">
        <v>8102</v>
      </c>
      <c r="I90" s="831" t="s">
        <v>443</v>
      </c>
      <c r="J90" s="831"/>
      <c r="K90" s="831" t="s">
        <v>443</v>
      </c>
      <c r="L90" s="831"/>
      <c r="M90" s="163" t="s">
        <v>1196</v>
      </c>
      <c r="N90" s="287" t="s">
        <v>1197</v>
      </c>
      <c r="O90" s="288" t="s">
        <v>434</v>
      </c>
      <c r="P90" s="288" t="s">
        <v>436</v>
      </c>
      <c r="Q90" s="288" t="s">
        <v>895</v>
      </c>
      <c r="R90" s="391"/>
      <c r="S90" s="290"/>
      <c r="U90" s="232"/>
      <c r="V90" s="232"/>
      <c r="W90" s="232"/>
      <c r="X90" s="232"/>
      <c r="AB90" s="277"/>
      <c r="AC90" s="278"/>
      <c r="AD90" s="278"/>
      <c r="AE90" s="283"/>
      <c r="AF90" s="283"/>
      <c r="AG90" s="283"/>
      <c r="AH90" s="283"/>
      <c r="AI90" s="389"/>
      <c r="AJ90" s="829"/>
      <c r="AK90" s="829"/>
      <c r="AL90" s="829"/>
      <c r="AM90" s="829"/>
      <c r="AN90" s="162"/>
      <c r="AO90" s="281"/>
      <c r="AP90" s="282"/>
      <c r="AQ90" s="283"/>
    </row>
    <row r="91" spans="1:43" ht="165" customHeight="1" x14ac:dyDescent="0.2">
      <c r="A91" s="284" t="s">
        <v>1578</v>
      </c>
      <c r="B91" s="198" t="s">
        <v>1579</v>
      </c>
      <c r="C91" s="198" t="s">
        <v>1580</v>
      </c>
      <c r="D91" s="289" t="s">
        <v>1581</v>
      </c>
      <c r="E91" s="289" t="s">
        <v>1582</v>
      </c>
      <c r="F91" s="289" t="s">
        <v>1583</v>
      </c>
      <c r="G91" s="289" t="s">
        <v>1584</v>
      </c>
      <c r="H91" s="286">
        <v>8103</v>
      </c>
      <c r="I91" s="831" t="s">
        <v>443</v>
      </c>
      <c r="J91" s="831"/>
      <c r="K91" s="831" t="s">
        <v>443</v>
      </c>
      <c r="L91" s="831"/>
      <c r="M91" s="163" t="s">
        <v>1196</v>
      </c>
      <c r="N91" s="287" t="s">
        <v>1197</v>
      </c>
      <c r="O91" s="288" t="s">
        <v>1045</v>
      </c>
      <c r="P91" s="288" t="s">
        <v>1045</v>
      </c>
      <c r="Q91" s="288" t="s">
        <v>1045</v>
      </c>
      <c r="R91" s="391"/>
      <c r="S91" s="290"/>
      <c r="U91" s="232"/>
      <c r="V91" s="232"/>
      <c r="W91" s="232"/>
      <c r="X91" s="232"/>
      <c r="AB91" s="277"/>
      <c r="AC91" s="278"/>
      <c r="AD91" s="278"/>
      <c r="AE91" s="283"/>
      <c r="AF91" s="283"/>
      <c r="AG91" s="283"/>
      <c r="AH91" s="283"/>
      <c r="AI91" s="280"/>
      <c r="AJ91" s="829"/>
      <c r="AK91" s="829"/>
      <c r="AL91" s="829"/>
      <c r="AM91" s="829"/>
      <c r="AN91" s="162"/>
      <c r="AO91" s="281"/>
      <c r="AP91" s="282"/>
      <c r="AQ91" s="282"/>
    </row>
    <row r="92" spans="1:43" ht="102" customHeight="1" x14ac:dyDescent="0.2">
      <c r="A92" s="284" t="s">
        <v>1585</v>
      </c>
      <c r="B92" s="198" t="s">
        <v>1586</v>
      </c>
      <c r="C92" s="198" t="s">
        <v>1587</v>
      </c>
      <c r="D92" s="289" t="s">
        <v>1588</v>
      </c>
      <c r="E92" s="289" t="s">
        <v>1589</v>
      </c>
      <c r="F92" s="289" t="s">
        <v>1590</v>
      </c>
      <c r="G92" s="289" t="s">
        <v>1591</v>
      </c>
      <c r="H92" s="286">
        <v>8113</v>
      </c>
      <c r="I92" s="831" t="s">
        <v>443</v>
      </c>
      <c r="J92" s="831"/>
      <c r="K92" s="831" t="s">
        <v>443</v>
      </c>
      <c r="L92" s="831"/>
      <c r="M92" s="163" t="s">
        <v>1196</v>
      </c>
      <c r="N92" s="287" t="s">
        <v>1197</v>
      </c>
      <c r="O92" s="288" t="s">
        <v>1045</v>
      </c>
      <c r="P92" s="288" t="s">
        <v>1045</v>
      </c>
      <c r="Q92" s="288" t="s">
        <v>1045</v>
      </c>
      <c r="R92" s="206"/>
      <c r="S92" s="206"/>
      <c r="U92" s="232"/>
      <c r="V92" s="232"/>
      <c r="W92" s="232"/>
      <c r="X92" s="232"/>
      <c r="AB92" s="277"/>
      <c r="AC92" s="278"/>
      <c r="AD92" s="278"/>
      <c r="AE92" s="283"/>
      <c r="AF92" s="283"/>
      <c r="AG92" s="283"/>
      <c r="AH92" s="283"/>
      <c r="AI92" s="280"/>
      <c r="AJ92" s="345"/>
      <c r="AK92" s="345"/>
      <c r="AL92" s="345"/>
      <c r="AM92" s="345"/>
      <c r="AN92" s="162"/>
      <c r="AO92" s="281"/>
      <c r="AP92" s="282"/>
      <c r="AQ92" s="282"/>
    </row>
    <row r="93" spans="1:43" ht="33.75" x14ac:dyDescent="0.2">
      <c r="A93" s="284">
        <v>93</v>
      </c>
      <c r="B93" s="198" t="s">
        <v>1592</v>
      </c>
      <c r="C93" s="198" t="s">
        <v>1593</v>
      </c>
      <c r="D93" s="833" t="s">
        <v>1195</v>
      </c>
      <c r="E93" s="833"/>
      <c r="F93" s="833"/>
      <c r="G93" s="833"/>
      <c r="H93" s="286">
        <v>8108</v>
      </c>
      <c r="I93" s="831" t="s">
        <v>443</v>
      </c>
      <c r="J93" s="831"/>
      <c r="K93" s="831" t="s">
        <v>443</v>
      </c>
      <c r="L93" s="831"/>
      <c r="M93" s="163" t="s">
        <v>1196</v>
      </c>
      <c r="N93" s="287" t="s">
        <v>1197</v>
      </c>
      <c r="O93" s="288" t="s">
        <v>434</v>
      </c>
      <c r="P93" s="288" t="s">
        <v>435</v>
      </c>
      <c r="Q93" s="288" t="s">
        <v>895</v>
      </c>
      <c r="R93" s="391"/>
      <c r="S93" s="290"/>
      <c r="U93" s="232"/>
      <c r="V93" s="232"/>
      <c r="W93" s="232"/>
      <c r="X93" s="232"/>
      <c r="AB93" s="277"/>
      <c r="AC93" s="278"/>
      <c r="AD93" s="278"/>
      <c r="AE93" s="828"/>
      <c r="AF93" s="828"/>
      <c r="AG93" s="828"/>
      <c r="AH93" s="828"/>
      <c r="AI93" s="280"/>
      <c r="AJ93" s="829"/>
      <c r="AK93" s="829"/>
      <c r="AL93" s="829"/>
      <c r="AM93" s="829"/>
      <c r="AN93" s="162"/>
      <c r="AO93" s="281"/>
      <c r="AP93" s="282"/>
      <c r="AQ93" s="283"/>
    </row>
    <row r="94" spans="1:43" ht="22.5" x14ac:dyDescent="0.2">
      <c r="A94" s="284">
        <v>94</v>
      </c>
      <c r="B94" s="198" t="s">
        <v>1594</v>
      </c>
      <c r="C94" s="198" t="s">
        <v>1595</v>
      </c>
      <c r="D94" s="833" t="s">
        <v>1195</v>
      </c>
      <c r="E94" s="833"/>
      <c r="F94" s="833"/>
      <c r="G94" s="833"/>
      <c r="H94" s="286">
        <v>8109</v>
      </c>
      <c r="I94" s="831" t="s">
        <v>443</v>
      </c>
      <c r="J94" s="831"/>
      <c r="K94" s="831" t="s">
        <v>443</v>
      </c>
      <c r="L94" s="831"/>
      <c r="M94" s="163" t="s">
        <v>1196</v>
      </c>
      <c r="N94" s="287" t="s">
        <v>1197</v>
      </c>
      <c r="O94" s="288" t="s">
        <v>434</v>
      </c>
      <c r="P94" s="288" t="s">
        <v>435</v>
      </c>
      <c r="Q94" s="288" t="s">
        <v>895</v>
      </c>
      <c r="R94" s="391"/>
      <c r="S94" s="290"/>
      <c r="U94" s="232"/>
      <c r="V94" s="232"/>
      <c r="W94" s="232"/>
      <c r="X94" s="232"/>
      <c r="AB94" s="277"/>
      <c r="AC94" s="278"/>
      <c r="AD94" s="278"/>
      <c r="AE94" s="828"/>
      <c r="AF94" s="828"/>
      <c r="AG94" s="828"/>
      <c r="AH94" s="828"/>
      <c r="AI94" s="280"/>
      <c r="AJ94" s="829"/>
      <c r="AK94" s="829"/>
      <c r="AL94" s="829"/>
      <c r="AM94" s="829"/>
      <c r="AN94" s="162"/>
      <c r="AO94" s="281"/>
      <c r="AP94" s="282"/>
      <c r="AQ94" s="283"/>
    </row>
    <row r="95" spans="1:43" x14ac:dyDescent="0.2">
      <c r="A95" s="284">
        <v>95</v>
      </c>
      <c r="B95" s="198" t="s">
        <v>1596</v>
      </c>
      <c r="C95" s="198" t="s">
        <v>1597</v>
      </c>
      <c r="D95" s="833" t="s">
        <v>1195</v>
      </c>
      <c r="E95" s="833"/>
      <c r="F95" s="833"/>
      <c r="G95" s="833"/>
      <c r="H95" s="387">
        <v>8110</v>
      </c>
      <c r="I95" s="831" t="s">
        <v>443</v>
      </c>
      <c r="J95" s="831"/>
      <c r="K95" s="831" t="s">
        <v>443</v>
      </c>
      <c r="L95" s="831"/>
      <c r="M95" s="163" t="s">
        <v>1196</v>
      </c>
      <c r="N95" s="287" t="s">
        <v>1197</v>
      </c>
      <c r="O95" s="288" t="s">
        <v>434</v>
      </c>
      <c r="P95" s="288" t="s">
        <v>435</v>
      </c>
      <c r="Q95" s="288" t="s">
        <v>895</v>
      </c>
      <c r="R95" s="391"/>
      <c r="S95" s="290"/>
      <c r="U95" s="232"/>
      <c r="V95" s="232"/>
      <c r="W95" s="232"/>
      <c r="X95" s="232"/>
      <c r="AB95" s="277"/>
      <c r="AC95" s="278"/>
      <c r="AD95" s="278"/>
      <c r="AE95" s="828"/>
      <c r="AF95" s="828"/>
      <c r="AG95" s="828"/>
      <c r="AH95" s="828"/>
      <c r="AI95" s="389"/>
      <c r="AJ95" s="829"/>
      <c r="AK95" s="829"/>
      <c r="AL95" s="829"/>
      <c r="AM95" s="829"/>
      <c r="AN95" s="162"/>
      <c r="AO95" s="281"/>
      <c r="AP95" s="282"/>
      <c r="AQ95" s="283"/>
    </row>
    <row r="96" spans="1:43" ht="33.75" x14ac:dyDescent="0.2">
      <c r="A96" s="284">
        <v>96</v>
      </c>
      <c r="B96" s="198" t="s">
        <v>1598</v>
      </c>
      <c r="C96" s="198" t="s">
        <v>1599</v>
      </c>
      <c r="D96" s="833" t="s">
        <v>1195</v>
      </c>
      <c r="E96" s="833"/>
      <c r="F96" s="833"/>
      <c r="G96" s="833"/>
      <c r="H96" s="286">
        <v>8111</v>
      </c>
      <c r="I96" s="831" t="s">
        <v>443</v>
      </c>
      <c r="J96" s="831"/>
      <c r="K96" s="831" t="s">
        <v>443</v>
      </c>
      <c r="L96" s="831"/>
      <c r="M96" s="163" t="s">
        <v>1196</v>
      </c>
      <c r="N96" s="287" t="s">
        <v>1197</v>
      </c>
      <c r="O96" s="288" t="s">
        <v>434</v>
      </c>
      <c r="P96" s="288" t="s">
        <v>435</v>
      </c>
      <c r="Q96" s="288" t="s">
        <v>895</v>
      </c>
      <c r="R96" s="391"/>
      <c r="S96" s="290"/>
      <c r="U96" s="232"/>
      <c r="V96" s="232"/>
      <c r="W96" s="232"/>
      <c r="X96" s="232"/>
      <c r="AB96" s="277"/>
      <c r="AC96" s="278"/>
      <c r="AD96" s="278"/>
      <c r="AE96" s="828"/>
      <c r="AF96" s="828"/>
      <c r="AG96" s="828"/>
      <c r="AH96" s="828"/>
      <c r="AI96" s="280"/>
      <c r="AJ96" s="829"/>
      <c r="AK96" s="829"/>
      <c r="AL96" s="829"/>
      <c r="AM96" s="829"/>
      <c r="AN96" s="162"/>
      <c r="AO96" s="281"/>
      <c r="AP96" s="282"/>
      <c r="AQ96" s="283"/>
    </row>
    <row r="97" spans="1:43" ht="45" x14ac:dyDescent="0.2">
      <c r="A97" s="293">
        <v>97</v>
      </c>
      <c r="B97" s="201" t="s">
        <v>1600</v>
      </c>
      <c r="C97" s="201" t="s">
        <v>1601</v>
      </c>
      <c r="D97" s="836" t="s">
        <v>1195</v>
      </c>
      <c r="E97" s="836"/>
      <c r="F97" s="836"/>
      <c r="G97" s="836"/>
      <c r="H97" s="295">
        <v>8112</v>
      </c>
      <c r="I97" s="835" t="s">
        <v>443</v>
      </c>
      <c r="J97" s="835"/>
      <c r="K97" s="835" t="s">
        <v>443</v>
      </c>
      <c r="L97" s="835"/>
      <c r="M97" s="203" t="s">
        <v>1196</v>
      </c>
      <c r="N97" s="296" t="s">
        <v>1197</v>
      </c>
      <c r="O97" s="297" t="s">
        <v>434</v>
      </c>
      <c r="P97" s="297" t="s">
        <v>435</v>
      </c>
      <c r="Q97" s="297" t="s">
        <v>895</v>
      </c>
      <c r="R97" s="391"/>
      <c r="S97" s="290"/>
      <c r="U97" s="232"/>
      <c r="V97" s="232"/>
      <c r="W97" s="232"/>
      <c r="X97" s="232"/>
      <c r="AB97" s="277"/>
      <c r="AC97" s="278"/>
      <c r="AD97" s="278"/>
      <c r="AE97" s="828"/>
      <c r="AF97" s="828"/>
      <c r="AG97" s="828"/>
      <c r="AH97" s="828"/>
      <c r="AI97" s="280"/>
      <c r="AJ97" s="829"/>
      <c r="AK97" s="829"/>
      <c r="AL97" s="829"/>
      <c r="AM97" s="829"/>
      <c r="AN97" s="162"/>
      <c r="AO97" s="281"/>
      <c r="AP97" s="282"/>
      <c r="AQ97" s="283"/>
    </row>
    <row r="98" spans="1:43" s="233" customFormat="1" ht="15.75" x14ac:dyDescent="0.2">
      <c r="A98" s="188"/>
      <c r="B98" s="188" t="s">
        <v>1039</v>
      </c>
      <c r="C98" s="189"/>
      <c r="D98" s="398"/>
      <c r="E98" s="398"/>
      <c r="F98" s="398"/>
      <c r="G98" s="398"/>
      <c r="H98" s="399"/>
      <c r="I98" s="190"/>
      <c r="J98" s="190"/>
      <c r="K98" s="190"/>
      <c r="L98" s="190"/>
      <c r="M98" s="191"/>
      <c r="N98" s="191"/>
      <c r="O98" s="191"/>
      <c r="P98" s="191"/>
      <c r="Q98" s="192"/>
      <c r="R98" s="193"/>
      <c r="S98" s="193"/>
      <c r="U98" s="232"/>
      <c r="V98" s="232"/>
      <c r="W98" s="232"/>
      <c r="X98" s="232"/>
      <c r="AB98" s="400"/>
      <c r="AC98" s="401"/>
      <c r="AD98" s="402"/>
      <c r="AE98" s="400"/>
      <c r="AF98" s="400"/>
      <c r="AG98" s="400"/>
      <c r="AH98" s="400"/>
      <c r="AI98" s="403"/>
      <c r="AJ98" s="194"/>
      <c r="AK98" s="194"/>
      <c r="AL98" s="194"/>
      <c r="AM98" s="194"/>
      <c r="AN98" s="195"/>
      <c r="AO98" s="195"/>
      <c r="AP98" s="195"/>
      <c r="AQ98" s="404"/>
    </row>
    <row r="99" spans="1:43" s="233" customFormat="1" x14ac:dyDescent="0.2">
      <c r="A99" s="300"/>
      <c r="B99" s="301" t="s">
        <v>1040</v>
      </c>
      <c r="C99" s="302"/>
      <c r="D99" s="303"/>
      <c r="E99" s="303"/>
      <c r="F99" s="303"/>
      <c r="G99" s="303"/>
      <c r="H99" s="304"/>
      <c r="I99" s="305"/>
      <c r="J99" s="305"/>
      <c r="K99" s="303"/>
      <c r="L99" s="303"/>
      <c r="M99" s="306"/>
      <c r="N99" s="306"/>
      <c r="O99" s="306"/>
      <c r="P99" s="306"/>
      <c r="Q99" s="307"/>
      <c r="R99" s="165"/>
      <c r="S99" s="165"/>
      <c r="U99" s="232"/>
      <c r="V99" s="232"/>
      <c r="W99" s="232"/>
      <c r="X99" s="232"/>
      <c r="AB99" s="283"/>
      <c r="AC99" s="308"/>
      <c r="AD99" s="309"/>
      <c r="AE99" s="283"/>
      <c r="AF99" s="283"/>
      <c r="AG99" s="283"/>
      <c r="AH99" s="283"/>
      <c r="AI99" s="280"/>
      <c r="AJ99" s="166"/>
      <c r="AK99" s="166"/>
      <c r="AL99" s="166"/>
      <c r="AM99" s="166"/>
      <c r="AN99" s="167"/>
      <c r="AO99" s="167"/>
      <c r="AP99" s="167"/>
      <c r="AQ99" s="281"/>
    </row>
    <row r="100" spans="1:43" ht="56.25" x14ac:dyDescent="0.2">
      <c r="A100" s="269">
        <v>19</v>
      </c>
      <c r="B100" s="324" t="s">
        <v>1041</v>
      </c>
      <c r="C100" s="177" t="s">
        <v>1042</v>
      </c>
      <c r="D100" s="350" t="s">
        <v>1043</v>
      </c>
      <c r="E100" s="350" t="s">
        <v>1044</v>
      </c>
      <c r="F100" s="325"/>
      <c r="G100" s="325"/>
      <c r="H100" s="351">
        <v>8193</v>
      </c>
      <c r="I100" s="470">
        <v>360.87</v>
      </c>
      <c r="J100" s="466">
        <f t="shared" ref="J100:L130" si="7">ROUND(I100*1.1,2)</f>
        <v>396.96</v>
      </c>
      <c r="K100" s="352"/>
      <c r="L100" s="352"/>
      <c r="M100" s="160" t="s">
        <v>893</v>
      </c>
      <c r="N100" s="272" t="s">
        <v>894</v>
      </c>
      <c r="O100" s="273" t="s">
        <v>880</v>
      </c>
      <c r="P100" s="273" t="s">
        <v>1045</v>
      </c>
      <c r="Q100" s="273" t="s">
        <v>1046</v>
      </c>
      <c r="R100" s="275"/>
      <c r="S100" s="353"/>
      <c r="U100" s="232"/>
      <c r="V100" s="232"/>
      <c r="W100" s="232"/>
      <c r="X100" s="232"/>
      <c r="AB100" s="277"/>
      <c r="AC100" s="327"/>
      <c r="AD100" s="327"/>
      <c r="AE100" s="344"/>
      <c r="AF100" s="344"/>
      <c r="AG100" s="283"/>
      <c r="AH100" s="283"/>
      <c r="AI100" s="354"/>
      <c r="AJ100" s="181"/>
      <c r="AK100" s="181"/>
      <c r="AL100" s="355"/>
      <c r="AM100" s="355"/>
      <c r="AN100" s="162"/>
      <c r="AO100" s="281"/>
      <c r="AP100" s="282"/>
      <c r="AQ100" s="282"/>
    </row>
    <row r="101" spans="1:43" ht="67.5" x14ac:dyDescent="0.2">
      <c r="A101" s="284" t="s">
        <v>1047</v>
      </c>
      <c r="B101" s="328" t="s">
        <v>1048</v>
      </c>
      <c r="C101" s="328" t="s">
        <v>1049</v>
      </c>
      <c r="D101" s="356" t="s">
        <v>1050</v>
      </c>
      <c r="E101" s="356" t="s">
        <v>1051</v>
      </c>
      <c r="F101" s="316"/>
      <c r="G101" s="316"/>
      <c r="H101" s="357">
        <v>8194</v>
      </c>
      <c r="I101" s="469">
        <v>66.91</v>
      </c>
      <c r="J101" s="466">
        <f t="shared" si="7"/>
        <v>73.599999999999994</v>
      </c>
      <c r="K101" s="358"/>
      <c r="L101" s="358"/>
      <c r="M101" s="163" t="s">
        <v>893</v>
      </c>
      <c r="N101" s="287" t="s">
        <v>894</v>
      </c>
      <c r="O101" s="288" t="s">
        <v>880</v>
      </c>
      <c r="P101" s="288" t="s">
        <v>895</v>
      </c>
      <c r="Q101" s="288" t="s">
        <v>895</v>
      </c>
      <c r="R101" s="275"/>
      <c r="S101" s="353"/>
      <c r="U101" s="232"/>
      <c r="V101" s="232"/>
      <c r="W101" s="232"/>
      <c r="X101" s="232"/>
      <c r="AB101" s="277"/>
      <c r="AC101" s="327"/>
      <c r="AD101" s="327"/>
      <c r="AE101" s="344"/>
      <c r="AF101" s="344"/>
      <c r="AG101" s="283"/>
      <c r="AH101" s="283"/>
      <c r="AI101" s="354"/>
      <c r="AJ101" s="181"/>
      <c r="AK101" s="181"/>
      <c r="AL101" s="355"/>
      <c r="AM101" s="355"/>
      <c r="AN101" s="162"/>
      <c r="AO101" s="281"/>
      <c r="AP101" s="282"/>
      <c r="AQ101" s="283"/>
    </row>
    <row r="102" spans="1:43" ht="56.25" x14ac:dyDescent="0.2">
      <c r="A102" s="329">
        <v>20</v>
      </c>
      <c r="B102" s="182" t="s">
        <v>1052</v>
      </c>
      <c r="C102" s="182" t="s">
        <v>1053</v>
      </c>
      <c r="D102" s="332"/>
      <c r="E102" s="332"/>
      <c r="F102" s="332" t="s">
        <v>1054</v>
      </c>
      <c r="G102" s="332" t="s">
        <v>1055</v>
      </c>
      <c r="H102" s="333">
        <v>8195</v>
      </c>
      <c r="I102" s="359"/>
      <c r="J102" s="359"/>
      <c r="K102" s="334">
        <v>559.48</v>
      </c>
      <c r="L102" s="334">
        <f t="shared" si="7"/>
        <v>615.42999999999995</v>
      </c>
      <c r="M102" s="183" t="s">
        <v>893</v>
      </c>
      <c r="N102" s="335" t="s">
        <v>1056</v>
      </c>
      <c r="O102" s="336" t="s">
        <v>880</v>
      </c>
      <c r="P102" s="336" t="s">
        <v>1045</v>
      </c>
      <c r="Q102" s="336" t="s">
        <v>1046</v>
      </c>
      <c r="R102" s="184"/>
      <c r="S102" s="275"/>
      <c r="U102" s="232"/>
      <c r="V102" s="232"/>
      <c r="W102" s="232"/>
      <c r="X102" s="232"/>
      <c r="AB102" s="277"/>
      <c r="AC102" s="278"/>
      <c r="AD102" s="278"/>
      <c r="AE102" s="283"/>
      <c r="AF102" s="283"/>
      <c r="AG102" s="283"/>
      <c r="AH102" s="283"/>
      <c r="AI102" s="280"/>
      <c r="AJ102" s="185"/>
      <c r="AK102" s="185"/>
      <c r="AL102" s="181"/>
      <c r="AM102" s="181"/>
      <c r="AN102" s="162"/>
      <c r="AO102" s="281"/>
      <c r="AP102" s="282"/>
      <c r="AQ102" s="282"/>
    </row>
    <row r="103" spans="1:43" ht="67.5" x14ac:dyDescent="0.2">
      <c r="A103" s="329" t="s">
        <v>1057</v>
      </c>
      <c r="B103" s="182" t="s">
        <v>1058</v>
      </c>
      <c r="C103" s="182" t="s">
        <v>1049</v>
      </c>
      <c r="D103" s="332"/>
      <c r="E103" s="332"/>
      <c r="F103" s="332" t="s">
        <v>1059</v>
      </c>
      <c r="G103" s="332" t="s">
        <v>1060</v>
      </c>
      <c r="H103" s="333">
        <v>8196</v>
      </c>
      <c r="I103" s="359"/>
      <c r="J103" s="359"/>
      <c r="K103" s="334">
        <v>267.61</v>
      </c>
      <c r="L103" s="334">
        <f t="shared" si="7"/>
        <v>294.37</v>
      </c>
      <c r="M103" s="183" t="s">
        <v>893</v>
      </c>
      <c r="N103" s="335" t="s">
        <v>1061</v>
      </c>
      <c r="O103" s="336" t="s">
        <v>880</v>
      </c>
      <c r="P103" s="336" t="s">
        <v>895</v>
      </c>
      <c r="Q103" s="336" t="s">
        <v>895</v>
      </c>
      <c r="R103" s="184"/>
      <c r="S103" s="275"/>
      <c r="U103" s="232"/>
      <c r="V103" s="232"/>
      <c r="W103" s="232"/>
      <c r="X103" s="232"/>
      <c r="AB103" s="277"/>
      <c r="AC103" s="278"/>
      <c r="AD103" s="278"/>
      <c r="AE103" s="283"/>
      <c r="AF103" s="283"/>
      <c r="AG103" s="283"/>
      <c r="AH103" s="283"/>
      <c r="AI103" s="280"/>
      <c r="AJ103" s="185"/>
      <c r="AK103" s="185"/>
      <c r="AL103" s="181"/>
      <c r="AM103" s="181"/>
      <c r="AN103" s="162"/>
      <c r="AO103" s="281"/>
      <c r="AP103" s="282"/>
      <c r="AQ103" s="283"/>
    </row>
    <row r="104" spans="1:43" ht="56.25" x14ac:dyDescent="0.2">
      <c r="A104" s="284">
        <v>21</v>
      </c>
      <c r="B104" s="179" t="s">
        <v>1062</v>
      </c>
      <c r="C104" s="179" t="s">
        <v>1063</v>
      </c>
      <c r="D104" s="356" t="s">
        <v>1064</v>
      </c>
      <c r="E104" s="356" t="s">
        <v>1065</v>
      </c>
      <c r="F104" s="316"/>
      <c r="G104" s="316"/>
      <c r="H104" s="357">
        <v>8197</v>
      </c>
      <c r="I104" s="468">
        <v>442</v>
      </c>
      <c r="J104" s="468">
        <f t="shared" si="7"/>
        <v>486.2</v>
      </c>
      <c r="K104" s="358"/>
      <c r="L104" s="358"/>
      <c r="M104" s="163" t="s">
        <v>893</v>
      </c>
      <c r="N104" s="287" t="s">
        <v>894</v>
      </c>
      <c r="O104" s="288" t="s">
        <v>880</v>
      </c>
      <c r="P104" s="288" t="s">
        <v>1045</v>
      </c>
      <c r="Q104" s="288" t="s">
        <v>1046</v>
      </c>
      <c r="R104" s="275"/>
      <c r="S104" s="353"/>
      <c r="U104" s="232"/>
      <c r="V104" s="232"/>
      <c r="W104" s="232"/>
      <c r="X104" s="232"/>
      <c r="AB104" s="277"/>
      <c r="AC104" s="327"/>
      <c r="AD104" s="327"/>
      <c r="AE104" s="344"/>
      <c r="AF104" s="344"/>
      <c r="AG104" s="283"/>
      <c r="AH104" s="283"/>
      <c r="AI104" s="354"/>
      <c r="AJ104" s="181"/>
      <c r="AK104" s="181"/>
      <c r="AL104" s="355"/>
      <c r="AM104" s="355"/>
      <c r="AN104" s="162"/>
      <c r="AO104" s="281"/>
      <c r="AP104" s="282"/>
      <c r="AQ104" s="282"/>
    </row>
    <row r="105" spans="1:43" ht="78.75" x14ac:dyDescent="0.2">
      <c r="A105" s="284" t="s">
        <v>1066</v>
      </c>
      <c r="B105" s="179" t="s">
        <v>1067</v>
      </c>
      <c r="C105" s="179" t="s">
        <v>1068</v>
      </c>
      <c r="D105" s="356" t="s">
        <v>1069</v>
      </c>
      <c r="E105" s="356" t="s">
        <v>1070</v>
      </c>
      <c r="F105" s="316"/>
      <c r="G105" s="316"/>
      <c r="H105" s="357">
        <v>8198</v>
      </c>
      <c r="I105" s="468">
        <v>66.91</v>
      </c>
      <c r="J105" s="468">
        <f t="shared" si="7"/>
        <v>73.599999999999994</v>
      </c>
      <c r="K105" s="358"/>
      <c r="L105" s="358"/>
      <c r="M105" s="163" t="s">
        <v>893</v>
      </c>
      <c r="N105" s="287" t="s">
        <v>894</v>
      </c>
      <c r="O105" s="288" t="s">
        <v>880</v>
      </c>
      <c r="P105" s="288" t="s">
        <v>895</v>
      </c>
      <c r="Q105" s="288" t="s">
        <v>895</v>
      </c>
      <c r="R105" s="275"/>
      <c r="S105" s="353"/>
      <c r="U105" s="232"/>
      <c r="V105" s="232"/>
      <c r="W105" s="232"/>
      <c r="X105" s="232"/>
      <c r="AB105" s="277"/>
      <c r="AC105" s="327"/>
      <c r="AD105" s="327"/>
      <c r="AE105" s="344"/>
      <c r="AF105" s="344"/>
      <c r="AG105" s="283"/>
      <c r="AH105" s="283"/>
      <c r="AI105" s="354"/>
      <c r="AJ105" s="181"/>
      <c r="AK105" s="181"/>
      <c r="AL105" s="355"/>
      <c r="AM105" s="355"/>
      <c r="AN105" s="162"/>
      <c r="AO105" s="281"/>
      <c r="AP105" s="282"/>
      <c r="AQ105" s="283"/>
    </row>
    <row r="106" spans="1:43" ht="56.25" x14ac:dyDescent="0.2">
      <c r="A106" s="329">
        <v>22</v>
      </c>
      <c r="B106" s="182" t="s">
        <v>1071</v>
      </c>
      <c r="C106" s="182" t="s">
        <v>1063</v>
      </c>
      <c r="D106" s="332"/>
      <c r="E106" s="332"/>
      <c r="F106" s="332" t="s">
        <v>1072</v>
      </c>
      <c r="G106" s="332" t="s">
        <v>1073</v>
      </c>
      <c r="H106" s="333">
        <v>8199</v>
      </c>
      <c r="I106" s="359"/>
      <c r="J106" s="359"/>
      <c r="K106" s="334">
        <v>640.61</v>
      </c>
      <c r="L106" s="334">
        <f t="shared" si="7"/>
        <v>704.67</v>
      </c>
      <c r="M106" s="183" t="s">
        <v>893</v>
      </c>
      <c r="N106" s="335" t="s">
        <v>1056</v>
      </c>
      <c r="O106" s="336" t="s">
        <v>880</v>
      </c>
      <c r="P106" s="336" t="s">
        <v>1045</v>
      </c>
      <c r="Q106" s="336" t="s">
        <v>1046</v>
      </c>
      <c r="R106" s="184"/>
      <c r="S106" s="275"/>
      <c r="U106" s="232"/>
      <c r="V106" s="232"/>
      <c r="W106" s="232"/>
      <c r="X106" s="232"/>
      <c r="AB106" s="277"/>
      <c r="AC106" s="278"/>
      <c r="AD106" s="278"/>
      <c r="AE106" s="283"/>
      <c r="AF106" s="283"/>
      <c r="AG106" s="283"/>
      <c r="AH106" s="283"/>
      <c r="AI106" s="280"/>
      <c r="AJ106" s="185"/>
      <c r="AK106" s="185"/>
      <c r="AL106" s="181"/>
      <c r="AM106" s="181"/>
      <c r="AN106" s="162"/>
      <c r="AO106" s="281"/>
      <c r="AP106" s="282"/>
      <c r="AQ106" s="282"/>
    </row>
    <row r="107" spans="1:43" ht="67.5" x14ac:dyDescent="0.2">
      <c r="A107" s="329" t="s">
        <v>1074</v>
      </c>
      <c r="B107" s="182" t="s">
        <v>1075</v>
      </c>
      <c r="C107" s="182" t="s">
        <v>1076</v>
      </c>
      <c r="D107" s="332"/>
      <c r="E107" s="332"/>
      <c r="F107" s="332" t="s">
        <v>1077</v>
      </c>
      <c r="G107" s="332" t="s">
        <v>1078</v>
      </c>
      <c r="H107" s="333">
        <v>8200</v>
      </c>
      <c r="I107" s="359"/>
      <c r="J107" s="359"/>
      <c r="K107" s="334">
        <v>267.61</v>
      </c>
      <c r="L107" s="334">
        <f t="shared" si="7"/>
        <v>294.37</v>
      </c>
      <c r="M107" s="183" t="s">
        <v>893</v>
      </c>
      <c r="N107" s="335" t="s">
        <v>1061</v>
      </c>
      <c r="O107" s="336" t="s">
        <v>880</v>
      </c>
      <c r="P107" s="336" t="s">
        <v>895</v>
      </c>
      <c r="Q107" s="336" t="s">
        <v>895</v>
      </c>
      <c r="R107" s="184"/>
      <c r="S107" s="275"/>
      <c r="U107" s="232"/>
      <c r="V107" s="232"/>
      <c r="W107" s="232"/>
      <c r="X107" s="232"/>
      <c r="AB107" s="277"/>
      <c r="AC107" s="278"/>
      <c r="AD107" s="278"/>
      <c r="AE107" s="283"/>
      <c r="AF107" s="283"/>
      <c r="AG107" s="283"/>
      <c r="AH107" s="283"/>
      <c r="AI107" s="280"/>
      <c r="AJ107" s="185"/>
      <c r="AK107" s="185"/>
      <c r="AL107" s="181"/>
      <c r="AM107" s="181"/>
      <c r="AN107" s="162"/>
      <c r="AO107" s="281"/>
      <c r="AP107" s="282"/>
      <c r="AQ107" s="283"/>
    </row>
    <row r="108" spans="1:43" ht="56.25" x14ac:dyDescent="0.2">
      <c r="A108" s="284">
        <v>23</v>
      </c>
      <c r="B108" s="179" t="s">
        <v>1079</v>
      </c>
      <c r="C108" s="179" t="s">
        <v>1080</v>
      </c>
      <c r="D108" s="356" t="s">
        <v>1081</v>
      </c>
      <c r="E108" s="356" t="s">
        <v>1082</v>
      </c>
      <c r="F108" s="316"/>
      <c r="G108" s="316"/>
      <c r="H108" s="357">
        <v>8201</v>
      </c>
      <c r="I108" s="468">
        <v>555.58000000000004</v>
      </c>
      <c r="J108" s="468">
        <f t="shared" si="7"/>
        <v>611.14</v>
      </c>
      <c r="K108" s="358"/>
      <c r="L108" s="358"/>
      <c r="M108" s="163" t="s">
        <v>893</v>
      </c>
      <c r="N108" s="287" t="s">
        <v>894</v>
      </c>
      <c r="O108" s="288" t="s">
        <v>880</v>
      </c>
      <c r="P108" s="288" t="s">
        <v>1045</v>
      </c>
      <c r="Q108" s="288" t="s">
        <v>1046</v>
      </c>
      <c r="R108" s="275"/>
      <c r="S108" s="353"/>
      <c r="U108" s="232"/>
      <c r="V108" s="232"/>
      <c r="W108" s="232"/>
      <c r="X108" s="232"/>
      <c r="AB108" s="277"/>
      <c r="AC108" s="327"/>
      <c r="AD108" s="327"/>
      <c r="AE108" s="344"/>
      <c r="AF108" s="344"/>
      <c r="AG108" s="283"/>
      <c r="AH108" s="283"/>
      <c r="AI108" s="354"/>
      <c r="AJ108" s="181"/>
      <c r="AK108" s="181"/>
      <c r="AL108" s="355"/>
      <c r="AM108" s="355"/>
      <c r="AN108" s="162"/>
      <c r="AO108" s="281"/>
      <c r="AP108" s="282"/>
      <c r="AQ108" s="282"/>
    </row>
    <row r="109" spans="1:43" ht="67.5" x14ac:dyDescent="0.2">
      <c r="A109" s="284" t="s">
        <v>1083</v>
      </c>
      <c r="B109" s="179" t="s">
        <v>1084</v>
      </c>
      <c r="C109" s="179" t="s">
        <v>1085</v>
      </c>
      <c r="D109" s="356" t="s">
        <v>1086</v>
      </c>
      <c r="E109" s="356" t="s">
        <v>1087</v>
      </c>
      <c r="F109" s="316"/>
      <c r="G109" s="316"/>
      <c r="H109" s="357">
        <v>8202</v>
      </c>
      <c r="I109" s="468">
        <v>66.91</v>
      </c>
      <c r="J109" s="468">
        <f t="shared" si="7"/>
        <v>73.599999999999994</v>
      </c>
      <c r="K109" s="358"/>
      <c r="L109" s="358"/>
      <c r="M109" s="163" t="s">
        <v>893</v>
      </c>
      <c r="N109" s="287" t="s">
        <v>894</v>
      </c>
      <c r="O109" s="288" t="s">
        <v>880</v>
      </c>
      <c r="P109" s="288" t="s">
        <v>895</v>
      </c>
      <c r="Q109" s="288" t="s">
        <v>895</v>
      </c>
      <c r="R109" s="275"/>
      <c r="S109" s="353"/>
      <c r="U109" s="232"/>
      <c r="V109" s="232"/>
      <c r="W109" s="232"/>
      <c r="X109" s="232"/>
      <c r="AB109" s="277"/>
      <c r="AC109" s="327"/>
      <c r="AD109" s="327"/>
      <c r="AE109" s="344"/>
      <c r="AF109" s="344"/>
      <c r="AG109" s="283"/>
      <c r="AH109" s="283"/>
      <c r="AI109" s="354"/>
      <c r="AJ109" s="181"/>
      <c r="AK109" s="181"/>
      <c r="AL109" s="355"/>
      <c r="AM109" s="355"/>
      <c r="AN109" s="162"/>
      <c r="AO109" s="281"/>
      <c r="AP109" s="282"/>
      <c r="AQ109" s="283"/>
    </row>
    <row r="110" spans="1:43" ht="56.25" x14ac:dyDescent="0.2">
      <c r="A110" s="329">
        <v>24</v>
      </c>
      <c r="B110" s="182" t="s">
        <v>1088</v>
      </c>
      <c r="C110" s="182" t="s">
        <v>1080</v>
      </c>
      <c r="D110" s="332"/>
      <c r="E110" s="332"/>
      <c r="F110" s="332" t="s">
        <v>1089</v>
      </c>
      <c r="G110" s="332" t="s">
        <v>1090</v>
      </c>
      <c r="H110" s="333">
        <v>8203</v>
      </c>
      <c r="I110" s="359"/>
      <c r="J110" s="359"/>
      <c r="K110" s="334">
        <v>754.19</v>
      </c>
      <c r="L110" s="334">
        <f t="shared" si="7"/>
        <v>829.61</v>
      </c>
      <c r="M110" s="183" t="s">
        <v>893</v>
      </c>
      <c r="N110" s="335" t="s">
        <v>1056</v>
      </c>
      <c r="O110" s="336" t="s">
        <v>880</v>
      </c>
      <c r="P110" s="336" t="s">
        <v>1045</v>
      </c>
      <c r="Q110" s="336" t="s">
        <v>1046</v>
      </c>
      <c r="R110" s="184"/>
      <c r="S110" s="275"/>
      <c r="U110" s="232"/>
      <c r="V110" s="232"/>
      <c r="W110" s="232"/>
      <c r="X110" s="232"/>
      <c r="AB110" s="277"/>
      <c r="AC110" s="278"/>
      <c r="AD110" s="278"/>
      <c r="AE110" s="283"/>
      <c r="AF110" s="283"/>
      <c r="AG110" s="283"/>
      <c r="AH110" s="283"/>
      <c r="AI110" s="280"/>
      <c r="AJ110" s="185"/>
      <c r="AK110" s="185"/>
      <c r="AL110" s="181"/>
      <c r="AM110" s="181"/>
      <c r="AN110" s="162"/>
      <c r="AO110" s="281"/>
      <c r="AP110" s="282"/>
      <c r="AQ110" s="282"/>
    </row>
    <row r="111" spans="1:43" ht="67.5" x14ac:dyDescent="0.2">
      <c r="A111" s="329" t="s">
        <v>1091</v>
      </c>
      <c r="B111" s="182" t="s">
        <v>1092</v>
      </c>
      <c r="C111" s="182" t="s">
        <v>1093</v>
      </c>
      <c r="D111" s="332"/>
      <c r="E111" s="332"/>
      <c r="F111" s="332" t="s">
        <v>1094</v>
      </c>
      <c r="G111" s="332" t="s">
        <v>1095</v>
      </c>
      <c r="H111" s="333">
        <v>8204</v>
      </c>
      <c r="I111" s="359"/>
      <c r="J111" s="359"/>
      <c r="K111" s="334">
        <v>267.61</v>
      </c>
      <c r="L111" s="334">
        <f t="shared" si="7"/>
        <v>294.37</v>
      </c>
      <c r="M111" s="183" t="s">
        <v>893</v>
      </c>
      <c r="N111" s="335" t="s">
        <v>1061</v>
      </c>
      <c r="O111" s="336" t="s">
        <v>880</v>
      </c>
      <c r="P111" s="336" t="s">
        <v>895</v>
      </c>
      <c r="Q111" s="336" t="s">
        <v>895</v>
      </c>
      <c r="R111" s="184"/>
      <c r="S111" s="275"/>
      <c r="U111" s="232"/>
      <c r="V111" s="232"/>
      <c r="W111" s="232"/>
      <c r="X111" s="232"/>
      <c r="AB111" s="277"/>
      <c r="AC111" s="278"/>
      <c r="AD111" s="278"/>
      <c r="AE111" s="283"/>
      <c r="AF111" s="283"/>
      <c r="AG111" s="283"/>
      <c r="AH111" s="283"/>
      <c r="AI111" s="280"/>
      <c r="AJ111" s="185"/>
      <c r="AK111" s="185"/>
      <c r="AL111" s="181"/>
      <c r="AM111" s="181"/>
      <c r="AN111" s="162"/>
      <c r="AO111" s="281"/>
      <c r="AP111" s="282"/>
      <c r="AQ111" s="283"/>
    </row>
    <row r="112" spans="1:43" ht="45" x14ac:dyDescent="0.2">
      <c r="A112" s="284">
        <v>25</v>
      </c>
      <c r="B112" s="179" t="s">
        <v>1096</v>
      </c>
      <c r="C112" s="179" t="s">
        <v>1097</v>
      </c>
      <c r="D112" s="356" t="s">
        <v>1098</v>
      </c>
      <c r="E112" s="356" t="s">
        <v>1099</v>
      </c>
      <c r="F112" s="316"/>
      <c r="G112" s="316"/>
      <c r="H112" s="357">
        <v>8205</v>
      </c>
      <c r="I112" s="469">
        <v>2639.47</v>
      </c>
      <c r="J112" s="469">
        <f t="shared" si="7"/>
        <v>2903.42</v>
      </c>
      <c r="K112" s="358"/>
      <c r="L112" s="358"/>
      <c r="M112" s="163" t="s">
        <v>893</v>
      </c>
      <c r="N112" s="287" t="s">
        <v>894</v>
      </c>
      <c r="O112" s="288" t="s">
        <v>880</v>
      </c>
      <c r="P112" s="288" t="s">
        <v>1045</v>
      </c>
      <c r="Q112" s="288" t="s">
        <v>1046</v>
      </c>
      <c r="R112" s="275"/>
      <c r="S112" s="353"/>
      <c r="U112" s="232"/>
      <c r="V112" s="232"/>
      <c r="W112" s="232"/>
      <c r="X112" s="232"/>
      <c r="AB112" s="277"/>
      <c r="AC112" s="327"/>
      <c r="AD112" s="327"/>
      <c r="AE112" s="344"/>
      <c r="AF112" s="344"/>
      <c r="AG112" s="283"/>
      <c r="AH112" s="283"/>
      <c r="AI112" s="354"/>
      <c r="AJ112" s="181"/>
      <c r="AK112" s="181"/>
      <c r="AL112" s="355"/>
      <c r="AM112" s="355"/>
      <c r="AN112" s="162"/>
      <c r="AO112" s="281"/>
      <c r="AP112" s="282"/>
      <c r="AQ112" s="282"/>
    </row>
    <row r="113" spans="1:43" ht="67.5" x14ac:dyDescent="0.2">
      <c r="A113" s="284" t="s">
        <v>1100</v>
      </c>
      <c r="B113" s="179" t="s">
        <v>1101</v>
      </c>
      <c r="C113" s="179" t="s">
        <v>1093</v>
      </c>
      <c r="D113" s="356" t="s">
        <v>1102</v>
      </c>
      <c r="E113" s="356" t="s">
        <v>1103</v>
      </c>
      <c r="F113" s="316"/>
      <c r="G113" s="316"/>
      <c r="H113" s="357">
        <v>8206</v>
      </c>
      <c r="I113" s="469">
        <v>128.02000000000001</v>
      </c>
      <c r="J113" s="469">
        <f t="shared" si="7"/>
        <v>140.82</v>
      </c>
      <c r="K113" s="358"/>
      <c r="L113" s="358"/>
      <c r="M113" s="163" t="s">
        <v>893</v>
      </c>
      <c r="N113" s="287" t="s">
        <v>894</v>
      </c>
      <c r="O113" s="288" t="s">
        <v>880</v>
      </c>
      <c r="P113" s="288" t="s">
        <v>895</v>
      </c>
      <c r="Q113" s="288" t="s">
        <v>895</v>
      </c>
      <c r="R113" s="275"/>
      <c r="S113" s="353"/>
      <c r="U113" s="232"/>
      <c r="V113" s="232"/>
      <c r="W113" s="232"/>
      <c r="X113" s="232"/>
      <c r="AB113" s="277"/>
      <c r="AC113" s="327"/>
      <c r="AD113" s="327"/>
      <c r="AE113" s="344"/>
      <c r="AF113" s="344"/>
      <c r="AG113" s="283"/>
      <c r="AH113" s="283"/>
      <c r="AI113" s="354"/>
      <c r="AJ113" s="181"/>
      <c r="AK113" s="181"/>
      <c r="AL113" s="355"/>
      <c r="AM113" s="355"/>
      <c r="AN113" s="162"/>
      <c r="AO113" s="281"/>
      <c r="AP113" s="282"/>
      <c r="AQ113" s="283"/>
    </row>
    <row r="114" spans="1:43" ht="45" x14ac:dyDescent="0.2">
      <c r="A114" s="329">
        <v>26</v>
      </c>
      <c r="B114" s="182" t="s">
        <v>1104</v>
      </c>
      <c r="C114" s="182" t="s">
        <v>1097</v>
      </c>
      <c r="D114" s="332"/>
      <c r="E114" s="332"/>
      <c r="F114" s="332" t="s">
        <v>1105</v>
      </c>
      <c r="G114" s="332" t="s">
        <v>1106</v>
      </c>
      <c r="H114" s="333">
        <v>8207</v>
      </c>
      <c r="I114" s="359"/>
      <c r="J114" s="359"/>
      <c r="K114" s="334">
        <v>3019.48</v>
      </c>
      <c r="L114" s="334">
        <f t="shared" si="7"/>
        <v>3321.43</v>
      </c>
      <c r="M114" s="183" t="s">
        <v>893</v>
      </c>
      <c r="N114" s="335" t="s">
        <v>1056</v>
      </c>
      <c r="O114" s="336" t="s">
        <v>880</v>
      </c>
      <c r="P114" s="336" t="s">
        <v>1045</v>
      </c>
      <c r="Q114" s="336" t="s">
        <v>1046</v>
      </c>
      <c r="R114" s="184"/>
      <c r="S114" s="275"/>
      <c r="U114" s="232"/>
      <c r="V114" s="232"/>
      <c r="W114" s="232"/>
      <c r="X114" s="232"/>
      <c r="AB114" s="277"/>
      <c r="AC114" s="278"/>
      <c r="AD114" s="278"/>
      <c r="AE114" s="283"/>
      <c r="AF114" s="283"/>
      <c r="AG114" s="283"/>
      <c r="AH114" s="283"/>
      <c r="AI114" s="280"/>
      <c r="AJ114" s="185"/>
      <c r="AK114" s="185"/>
      <c r="AL114" s="181"/>
      <c r="AM114" s="181"/>
      <c r="AN114" s="162"/>
      <c r="AO114" s="281"/>
      <c r="AP114" s="282"/>
      <c r="AQ114" s="282"/>
    </row>
    <row r="115" spans="1:43" ht="67.5" x14ac:dyDescent="0.2">
      <c r="A115" s="360" t="s">
        <v>1107</v>
      </c>
      <c r="B115" s="186" t="s">
        <v>1108</v>
      </c>
      <c r="C115" s="186" t="s">
        <v>1109</v>
      </c>
      <c r="D115" s="361"/>
      <c r="E115" s="361"/>
      <c r="F115" s="361" t="s">
        <v>1110</v>
      </c>
      <c r="G115" s="361" t="s">
        <v>1111</v>
      </c>
      <c r="H115" s="362">
        <v>8208</v>
      </c>
      <c r="I115" s="363"/>
      <c r="J115" s="363"/>
      <c r="K115" s="334">
        <v>512.04999999999995</v>
      </c>
      <c r="L115" s="334">
        <f t="shared" si="7"/>
        <v>563.26</v>
      </c>
      <c r="M115" s="187" t="s">
        <v>893</v>
      </c>
      <c r="N115" s="364" t="s">
        <v>1061</v>
      </c>
      <c r="O115" s="365" t="s">
        <v>880</v>
      </c>
      <c r="P115" s="365" t="s">
        <v>895</v>
      </c>
      <c r="Q115" s="365" t="s">
        <v>895</v>
      </c>
      <c r="R115" s="184"/>
      <c r="S115" s="275"/>
      <c r="U115" s="232"/>
      <c r="V115" s="232"/>
      <c r="W115" s="232"/>
      <c r="X115" s="232"/>
      <c r="AB115" s="277"/>
      <c r="AC115" s="278"/>
      <c r="AD115" s="278"/>
      <c r="AE115" s="283"/>
      <c r="AF115" s="283"/>
      <c r="AG115" s="283"/>
      <c r="AH115" s="283"/>
      <c r="AI115" s="280"/>
      <c r="AJ115" s="185"/>
      <c r="AK115" s="185"/>
      <c r="AL115" s="181"/>
      <c r="AM115" s="181"/>
      <c r="AN115" s="162"/>
      <c r="AO115" s="281"/>
      <c r="AP115" s="282"/>
      <c r="AQ115" s="283"/>
    </row>
    <row r="116" spans="1:43" s="233" customFormat="1" x14ac:dyDescent="0.2">
      <c r="A116" s="300"/>
      <c r="B116" s="301" t="s">
        <v>1182</v>
      </c>
      <c r="C116" s="302"/>
      <c r="D116" s="303"/>
      <c r="E116" s="303"/>
      <c r="F116" s="303"/>
      <c r="G116" s="303"/>
      <c r="H116" s="304"/>
      <c r="I116" s="305"/>
      <c r="J116" s="305"/>
      <c r="K116" s="303"/>
      <c r="L116" s="303"/>
      <c r="M116" s="306"/>
      <c r="N116" s="306"/>
      <c r="O116" s="306"/>
      <c r="P116" s="306"/>
      <c r="Q116" s="307"/>
      <c r="R116" s="165"/>
      <c r="S116" s="165"/>
      <c r="U116" s="232"/>
      <c r="V116" s="232"/>
      <c r="W116" s="232"/>
      <c r="X116" s="232"/>
      <c r="AB116" s="283"/>
      <c r="AC116" s="308"/>
      <c r="AD116" s="309"/>
      <c r="AE116" s="283"/>
      <c r="AF116" s="283"/>
      <c r="AG116" s="283"/>
      <c r="AH116" s="283"/>
      <c r="AI116" s="280"/>
      <c r="AJ116" s="166"/>
      <c r="AK116" s="166"/>
      <c r="AL116" s="166"/>
      <c r="AM116" s="166"/>
      <c r="AN116" s="167"/>
      <c r="AO116" s="167"/>
      <c r="AP116" s="167"/>
      <c r="AQ116" s="281"/>
    </row>
    <row r="117" spans="1:43" ht="67.5" x14ac:dyDescent="0.2">
      <c r="A117" s="366">
        <v>140</v>
      </c>
      <c r="B117" s="367" t="s">
        <v>1183</v>
      </c>
      <c r="C117" s="367" t="s">
        <v>1184</v>
      </c>
      <c r="D117" s="368" t="s">
        <v>1185</v>
      </c>
      <c r="E117" s="368" t="s">
        <v>1186</v>
      </c>
      <c r="F117" s="368" t="s">
        <v>1187</v>
      </c>
      <c r="G117" s="368" t="s">
        <v>1188</v>
      </c>
      <c r="H117" s="369">
        <v>8172</v>
      </c>
      <c r="I117" s="334">
        <v>360.87</v>
      </c>
      <c r="J117" s="334">
        <f t="shared" si="7"/>
        <v>396.96</v>
      </c>
      <c r="K117" s="334">
        <v>559.48</v>
      </c>
      <c r="L117" s="334">
        <f t="shared" si="7"/>
        <v>615.42999999999995</v>
      </c>
      <c r="M117" s="370" t="s">
        <v>893</v>
      </c>
      <c r="N117" s="371" t="s">
        <v>1180</v>
      </c>
      <c r="O117" s="372" t="s">
        <v>880</v>
      </c>
      <c r="P117" s="372" t="s">
        <v>1045</v>
      </c>
      <c r="Q117" s="372" t="s">
        <v>1327</v>
      </c>
      <c r="R117" s="275"/>
      <c r="S117" s="275"/>
      <c r="U117" s="232"/>
      <c r="V117" s="232"/>
      <c r="W117" s="232"/>
      <c r="X117" s="232"/>
      <c r="AB117" s="277"/>
      <c r="AC117" s="278"/>
      <c r="AD117" s="278"/>
      <c r="AE117" s="283"/>
      <c r="AF117" s="283"/>
      <c r="AG117" s="283"/>
      <c r="AH117" s="283"/>
      <c r="AI117" s="280"/>
      <c r="AJ117" s="181"/>
      <c r="AK117" s="181"/>
      <c r="AL117" s="181"/>
      <c r="AM117" s="181"/>
      <c r="AN117" s="162"/>
      <c r="AO117" s="281"/>
      <c r="AP117" s="282"/>
      <c r="AQ117" s="282"/>
    </row>
    <row r="118" spans="1:43" ht="67.5" x14ac:dyDescent="0.2">
      <c r="A118" s="329">
        <v>141</v>
      </c>
      <c r="B118" s="373" t="s">
        <v>1328</v>
      </c>
      <c r="C118" s="374" t="s">
        <v>1329</v>
      </c>
      <c r="D118" s="375" t="s">
        <v>1330</v>
      </c>
      <c r="E118" s="375" t="s">
        <v>1331</v>
      </c>
      <c r="F118" s="332" t="s">
        <v>1332</v>
      </c>
      <c r="G118" s="332" t="s">
        <v>1333</v>
      </c>
      <c r="H118" s="376">
        <v>8173</v>
      </c>
      <c r="I118" s="334">
        <v>360.87</v>
      </c>
      <c r="J118" s="334">
        <f t="shared" si="7"/>
        <v>396.96</v>
      </c>
      <c r="K118" s="334">
        <v>559.48</v>
      </c>
      <c r="L118" s="334">
        <f t="shared" si="7"/>
        <v>615.42999999999995</v>
      </c>
      <c r="M118" s="183" t="s">
        <v>893</v>
      </c>
      <c r="N118" s="335" t="s">
        <v>1180</v>
      </c>
      <c r="O118" s="336" t="s">
        <v>880</v>
      </c>
      <c r="P118" s="336" t="s">
        <v>1045</v>
      </c>
      <c r="Q118" s="336" t="s">
        <v>1327</v>
      </c>
      <c r="R118" s="275"/>
      <c r="S118" s="275"/>
      <c r="U118" s="232"/>
      <c r="V118" s="232"/>
      <c r="W118" s="232"/>
      <c r="X118" s="232"/>
      <c r="AB118" s="277"/>
      <c r="AC118" s="278"/>
      <c r="AD118" s="278"/>
      <c r="AE118" s="283"/>
      <c r="AF118" s="283"/>
      <c r="AG118" s="283"/>
      <c r="AH118" s="283"/>
      <c r="AI118" s="280"/>
      <c r="AJ118" s="181"/>
      <c r="AK118" s="181"/>
      <c r="AL118" s="181"/>
      <c r="AM118" s="181"/>
      <c r="AN118" s="162"/>
      <c r="AO118" s="281"/>
      <c r="AP118" s="282"/>
      <c r="AQ118" s="282"/>
    </row>
    <row r="119" spans="1:43" ht="67.5" x14ac:dyDescent="0.2">
      <c r="A119" s="329">
        <v>142</v>
      </c>
      <c r="B119" s="373" t="s">
        <v>1334</v>
      </c>
      <c r="C119" s="374" t="s">
        <v>1335</v>
      </c>
      <c r="D119" s="375" t="s">
        <v>1336</v>
      </c>
      <c r="E119" s="375" t="s">
        <v>1337</v>
      </c>
      <c r="F119" s="332" t="s">
        <v>1338</v>
      </c>
      <c r="G119" s="332" t="s">
        <v>1339</v>
      </c>
      <c r="H119" s="376">
        <v>8174</v>
      </c>
      <c r="I119" s="334">
        <v>442</v>
      </c>
      <c r="J119" s="334">
        <f t="shared" si="7"/>
        <v>486.2</v>
      </c>
      <c r="K119" s="334">
        <v>640.61</v>
      </c>
      <c r="L119" s="334">
        <f t="shared" si="7"/>
        <v>704.67</v>
      </c>
      <c r="M119" s="183" t="s">
        <v>893</v>
      </c>
      <c r="N119" s="335" t="s">
        <v>1180</v>
      </c>
      <c r="O119" s="336" t="s">
        <v>880</v>
      </c>
      <c r="P119" s="336" t="s">
        <v>1045</v>
      </c>
      <c r="Q119" s="336" t="s">
        <v>1327</v>
      </c>
      <c r="R119" s="275"/>
      <c r="S119" s="275"/>
      <c r="U119" s="232"/>
      <c r="V119" s="232"/>
      <c r="W119" s="232"/>
      <c r="X119" s="232"/>
      <c r="AB119" s="277"/>
      <c r="AC119" s="278"/>
      <c r="AD119" s="278"/>
      <c r="AE119" s="283"/>
      <c r="AF119" s="283"/>
      <c r="AG119" s="283"/>
      <c r="AH119" s="283"/>
      <c r="AI119" s="280"/>
      <c r="AJ119" s="181"/>
      <c r="AK119" s="181"/>
      <c r="AL119" s="181"/>
      <c r="AM119" s="181"/>
      <c r="AN119" s="162"/>
      <c r="AO119" s="281"/>
      <c r="AP119" s="282"/>
      <c r="AQ119" s="282"/>
    </row>
    <row r="120" spans="1:43" ht="67.5" x14ac:dyDescent="0.2">
      <c r="A120" s="329">
        <v>143</v>
      </c>
      <c r="B120" s="373" t="s">
        <v>1340</v>
      </c>
      <c r="C120" s="374" t="s">
        <v>1341</v>
      </c>
      <c r="D120" s="375" t="s">
        <v>1342</v>
      </c>
      <c r="E120" s="375" t="s">
        <v>1343</v>
      </c>
      <c r="F120" s="332" t="s">
        <v>1344</v>
      </c>
      <c r="G120" s="332" t="s">
        <v>1345</v>
      </c>
      <c r="H120" s="376">
        <v>8175</v>
      </c>
      <c r="I120" s="334">
        <v>442</v>
      </c>
      <c r="J120" s="334">
        <f t="shared" si="7"/>
        <v>486.2</v>
      </c>
      <c r="K120" s="334">
        <v>640.61</v>
      </c>
      <c r="L120" s="334">
        <f t="shared" si="7"/>
        <v>704.67</v>
      </c>
      <c r="M120" s="183" t="s">
        <v>893</v>
      </c>
      <c r="N120" s="335" t="s">
        <v>1180</v>
      </c>
      <c r="O120" s="336" t="s">
        <v>880</v>
      </c>
      <c r="P120" s="336" t="s">
        <v>1045</v>
      </c>
      <c r="Q120" s="336" t="s">
        <v>1327</v>
      </c>
      <c r="R120" s="275"/>
      <c r="S120" s="275"/>
      <c r="U120" s="232"/>
      <c r="V120" s="232"/>
      <c r="W120" s="232"/>
      <c r="X120" s="232"/>
      <c r="AB120" s="277"/>
      <c r="AC120" s="278"/>
      <c r="AD120" s="278"/>
      <c r="AE120" s="283"/>
      <c r="AF120" s="283"/>
      <c r="AG120" s="283"/>
      <c r="AH120" s="283"/>
      <c r="AI120" s="280"/>
      <c r="AJ120" s="181"/>
      <c r="AK120" s="181"/>
      <c r="AL120" s="181"/>
      <c r="AM120" s="181"/>
      <c r="AN120" s="162"/>
      <c r="AO120" s="281"/>
      <c r="AP120" s="282"/>
      <c r="AQ120" s="282"/>
    </row>
    <row r="121" spans="1:43" ht="67.5" x14ac:dyDescent="0.2">
      <c r="A121" s="329">
        <v>144</v>
      </c>
      <c r="B121" s="373" t="s">
        <v>1346</v>
      </c>
      <c r="C121" s="374" t="s">
        <v>1347</v>
      </c>
      <c r="D121" s="375" t="s">
        <v>1348</v>
      </c>
      <c r="E121" s="375" t="s">
        <v>1349</v>
      </c>
      <c r="F121" s="332" t="s">
        <v>1350</v>
      </c>
      <c r="G121" s="332" t="s">
        <v>1351</v>
      </c>
      <c r="H121" s="376">
        <v>8176</v>
      </c>
      <c r="I121" s="334">
        <v>555.58000000000004</v>
      </c>
      <c r="J121" s="334">
        <f t="shared" si="7"/>
        <v>611.14</v>
      </c>
      <c r="K121" s="334">
        <v>754.19</v>
      </c>
      <c r="L121" s="334">
        <f t="shared" si="7"/>
        <v>829.61</v>
      </c>
      <c r="M121" s="183" t="s">
        <v>893</v>
      </c>
      <c r="N121" s="335" t="s">
        <v>1180</v>
      </c>
      <c r="O121" s="336" t="s">
        <v>880</v>
      </c>
      <c r="P121" s="336" t="s">
        <v>1045</v>
      </c>
      <c r="Q121" s="336" t="s">
        <v>1327</v>
      </c>
      <c r="R121" s="275"/>
      <c r="S121" s="275"/>
      <c r="U121" s="232"/>
      <c r="V121" s="232"/>
      <c r="W121" s="232"/>
      <c r="X121" s="232"/>
      <c r="AB121" s="277"/>
      <c r="AC121" s="278"/>
      <c r="AD121" s="278"/>
      <c r="AE121" s="283"/>
      <c r="AF121" s="283"/>
      <c r="AG121" s="283"/>
      <c r="AH121" s="283"/>
      <c r="AI121" s="280"/>
      <c r="AJ121" s="181"/>
      <c r="AK121" s="181"/>
      <c r="AL121" s="181"/>
      <c r="AM121" s="181"/>
      <c r="AN121" s="162"/>
      <c r="AO121" s="281"/>
      <c r="AP121" s="282"/>
      <c r="AQ121" s="282"/>
    </row>
    <row r="122" spans="1:43" ht="67.5" x14ac:dyDescent="0.2">
      <c r="A122" s="329">
        <v>145</v>
      </c>
      <c r="B122" s="373" t="s">
        <v>1352</v>
      </c>
      <c r="C122" s="374" t="s">
        <v>1353</v>
      </c>
      <c r="D122" s="375" t="s">
        <v>1354</v>
      </c>
      <c r="E122" s="375" t="s">
        <v>1355</v>
      </c>
      <c r="F122" s="332" t="s">
        <v>1356</v>
      </c>
      <c r="G122" s="332" t="s">
        <v>1357</v>
      </c>
      <c r="H122" s="376">
        <v>8177</v>
      </c>
      <c r="I122" s="334">
        <v>555.58000000000004</v>
      </c>
      <c r="J122" s="334">
        <f t="shared" si="7"/>
        <v>611.14</v>
      </c>
      <c r="K122" s="334">
        <v>754.19</v>
      </c>
      <c r="L122" s="334">
        <f t="shared" si="7"/>
        <v>829.61</v>
      </c>
      <c r="M122" s="183" t="s">
        <v>893</v>
      </c>
      <c r="N122" s="335" t="s">
        <v>1180</v>
      </c>
      <c r="O122" s="336" t="s">
        <v>880</v>
      </c>
      <c r="P122" s="336" t="s">
        <v>1045</v>
      </c>
      <c r="Q122" s="336" t="s">
        <v>1327</v>
      </c>
      <c r="R122" s="275"/>
      <c r="S122" s="275"/>
      <c r="U122" s="232"/>
      <c r="V122" s="232"/>
      <c r="W122" s="232"/>
      <c r="X122" s="232"/>
      <c r="AB122" s="277"/>
      <c r="AC122" s="278"/>
      <c r="AD122" s="278"/>
      <c r="AE122" s="283"/>
      <c r="AF122" s="283"/>
      <c r="AG122" s="283"/>
      <c r="AH122" s="283"/>
      <c r="AI122" s="280"/>
      <c r="AJ122" s="181"/>
      <c r="AK122" s="181"/>
      <c r="AL122" s="181"/>
      <c r="AM122" s="181"/>
      <c r="AN122" s="162"/>
      <c r="AO122" s="281"/>
      <c r="AP122" s="282"/>
      <c r="AQ122" s="282"/>
    </row>
    <row r="123" spans="1:43" ht="56.25" x14ac:dyDescent="0.2">
      <c r="A123" s="329">
        <v>146</v>
      </c>
      <c r="B123" s="377" t="s">
        <v>1358</v>
      </c>
      <c r="C123" s="374" t="s">
        <v>1359</v>
      </c>
      <c r="D123" s="375" t="s">
        <v>1360</v>
      </c>
      <c r="E123" s="375" t="s">
        <v>1361</v>
      </c>
      <c r="F123" s="332" t="s">
        <v>1362</v>
      </c>
      <c r="G123" s="332" t="s">
        <v>1363</v>
      </c>
      <c r="H123" s="376">
        <v>8178</v>
      </c>
      <c r="I123" s="334">
        <v>2639.47</v>
      </c>
      <c r="J123" s="334">
        <f t="shared" si="7"/>
        <v>2903.42</v>
      </c>
      <c r="K123" s="334">
        <v>3019.48</v>
      </c>
      <c r="L123" s="334">
        <f t="shared" si="7"/>
        <v>3321.43</v>
      </c>
      <c r="M123" s="183" t="s">
        <v>893</v>
      </c>
      <c r="N123" s="335" t="s">
        <v>1180</v>
      </c>
      <c r="O123" s="336" t="s">
        <v>880</v>
      </c>
      <c r="P123" s="336" t="s">
        <v>1045</v>
      </c>
      <c r="Q123" s="336" t="s">
        <v>1327</v>
      </c>
      <c r="R123" s="275"/>
      <c r="S123" s="275"/>
      <c r="U123" s="232"/>
      <c r="V123" s="232"/>
      <c r="W123" s="232"/>
      <c r="X123" s="232"/>
      <c r="AB123" s="277"/>
      <c r="AC123" s="278"/>
      <c r="AD123" s="278"/>
      <c r="AE123" s="283"/>
      <c r="AF123" s="283"/>
      <c r="AG123" s="283"/>
      <c r="AH123" s="283"/>
      <c r="AI123" s="280"/>
      <c r="AJ123" s="181"/>
      <c r="AK123" s="181"/>
      <c r="AL123" s="181"/>
      <c r="AM123" s="181"/>
      <c r="AN123" s="162"/>
      <c r="AO123" s="281"/>
      <c r="AP123" s="282"/>
      <c r="AQ123" s="282"/>
    </row>
    <row r="124" spans="1:43" ht="67.5" x14ac:dyDescent="0.2">
      <c r="A124" s="329">
        <v>147</v>
      </c>
      <c r="B124" s="377" t="s">
        <v>1364</v>
      </c>
      <c r="C124" s="374" t="s">
        <v>1365</v>
      </c>
      <c r="D124" s="378" t="s">
        <v>1366</v>
      </c>
      <c r="E124" s="378" t="s">
        <v>1367</v>
      </c>
      <c r="F124" s="332" t="s">
        <v>1368</v>
      </c>
      <c r="G124" s="332" t="s">
        <v>1369</v>
      </c>
      <c r="H124" s="376">
        <v>8179</v>
      </c>
      <c r="I124" s="334">
        <v>2639.47</v>
      </c>
      <c r="J124" s="334">
        <f t="shared" si="7"/>
        <v>2903.42</v>
      </c>
      <c r="K124" s="334">
        <v>3019.48</v>
      </c>
      <c r="L124" s="334">
        <f t="shared" si="7"/>
        <v>3321.43</v>
      </c>
      <c r="M124" s="183" t="s">
        <v>893</v>
      </c>
      <c r="N124" s="335" t="s">
        <v>1180</v>
      </c>
      <c r="O124" s="336" t="s">
        <v>880</v>
      </c>
      <c r="P124" s="336" t="s">
        <v>1045</v>
      </c>
      <c r="Q124" s="336" t="s">
        <v>1327</v>
      </c>
      <c r="R124" s="275"/>
      <c r="S124" s="275"/>
      <c r="U124" s="232"/>
      <c r="V124" s="232"/>
      <c r="W124" s="232"/>
      <c r="X124" s="232"/>
      <c r="AB124" s="277"/>
      <c r="AC124" s="278"/>
      <c r="AD124" s="278"/>
      <c r="AE124" s="283"/>
      <c r="AF124" s="283"/>
      <c r="AG124" s="283"/>
      <c r="AH124" s="283"/>
      <c r="AI124" s="280"/>
      <c r="AJ124" s="181"/>
      <c r="AK124" s="181"/>
      <c r="AL124" s="181"/>
      <c r="AM124" s="181"/>
      <c r="AN124" s="162"/>
      <c r="AO124" s="281"/>
      <c r="AP124" s="282"/>
      <c r="AQ124" s="282"/>
    </row>
    <row r="125" spans="1:43" ht="56.25" x14ac:dyDescent="0.2">
      <c r="A125" s="329">
        <v>148</v>
      </c>
      <c r="B125" s="373" t="s">
        <v>1370</v>
      </c>
      <c r="C125" s="374" t="s">
        <v>1371</v>
      </c>
      <c r="D125" s="375" t="s">
        <v>1372</v>
      </c>
      <c r="E125" s="375" t="s">
        <v>1373</v>
      </c>
      <c r="F125" s="332" t="s">
        <v>1374</v>
      </c>
      <c r="G125" s="332" t="s">
        <v>1375</v>
      </c>
      <c r="H125" s="376">
        <v>8180</v>
      </c>
      <c r="I125" s="334">
        <v>360.87</v>
      </c>
      <c r="J125" s="334">
        <f t="shared" si="7"/>
        <v>396.96</v>
      </c>
      <c r="K125" s="334">
        <v>559.48</v>
      </c>
      <c r="L125" s="334">
        <f t="shared" si="7"/>
        <v>615.42999999999995</v>
      </c>
      <c r="M125" s="183" t="s">
        <v>893</v>
      </c>
      <c r="N125" s="335" t="s">
        <v>1180</v>
      </c>
      <c r="O125" s="336" t="s">
        <v>880</v>
      </c>
      <c r="P125" s="336" t="s">
        <v>1045</v>
      </c>
      <c r="Q125" s="336" t="s">
        <v>1327</v>
      </c>
      <c r="R125" s="275"/>
      <c r="S125" s="275"/>
      <c r="U125" s="232"/>
      <c r="V125" s="232"/>
      <c r="W125" s="232"/>
      <c r="X125" s="232"/>
      <c r="AB125" s="277"/>
      <c r="AC125" s="278"/>
      <c r="AD125" s="278"/>
      <c r="AE125" s="283"/>
      <c r="AF125" s="283"/>
      <c r="AG125" s="283"/>
      <c r="AH125" s="283"/>
      <c r="AI125" s="280"/>
      <c r="AJ125" s="181"/>
      <c r="AK125" s="181"/>
      <c r="AL125" s="181"/>
      <c r="AM125" s="181"/>
      <c r="AN125" s="162"/>
      <c r="AO125" s="281"/>
      <c r="AP125" s="282"/>
      <c r="AQ125" s="282"/>
    </row>
    <row r="126" spans="1:43" ht="56.25" x14ac:dyDescent="0.2">
      <c r="A126" s="329">
        <v>149</v>
      </c>
      <c r="B126" s="373" t="s">
        <v>1376</v>
      </c>
      <c r="C126" s="374" t="s">
        <v>1377</v>
      </c>
      <c r="D126" s="375" t="s">
        <v>1378</v>
      </c>
      <c r="E126" s="375" t="s">
        <v>1379</v>
      </c>
      <c r="F126" s="332" t="s">
        <v>1380</v>
      </c>
      <c r="G126" s="332" t="s">
        <v>1381</v>
      </c>
      <c r="H126" s="376">
        <v>8181</v>
      </c>
      <c r="I126" s="334">
        <v>555.58000000000004</v>
      </c>
      <c r="J126" s="334">
        <f t="shared" si="7"/>
        <v>611.14</v>
      </c>
      <c r="K126" s="334">
        <v>754.19</v>
      </c>
      <c r="L126" s="334">
        <f t="shared" si="7"/>
        <v>829.61</v>
      </c>
      <c r="M126" s="183" t="s">
        <v>893</v>
      </c>
      <c r="N126" s="335" t="s">
        <v>1180</v>
      </c>
      <c r="O126" s="336" t="s">
        <v>880</v>
      </c>
      <c r="P126" s="336" t="s">
        <v>1045</v>
      </c>
      <c r="Q126" s="336" t="s">
        <v>1327</v>
      </c>
      <c r="R126" s="275"/>
      <c r="S126" s="275"/>
      <c r="U126" s="232"/>
      <c r="V126" s="232"/>
      <c r="W126" s="232"/>
      <c r="X126" s="232"/>
      <c r="AB126" s="277"/>
      <c r="AC126" s="278"/>
      <c r="AD126" s="278"/>
      <c r="AE126" s="283"/>
      <c r="AF126" s="283"/>
      <c r="AG126" s="283"/>
      <c r="AH126" s="283"/>
      <c r="AI126" s="280"/>
      <c r="AJ126" s="181"/>
      <c r="AK126" s="181"/>
      <c r="AL126" s="181"/>
      <c r="AM126" s="181"/>
      <c r="AN126" s="162"/>
      <c r="AO126" s="281"/>
      <c r="AP126" s="282"/>
      <c r="AQ126" s="282"/>
    </row>
    <row r="127" spans="1:43" ht="56.25" x14ac:dyDescent="0.2">
      <c r="A127" s="329">
        <v>150</v>
      </c>
      <c r="B127" s="379" t="s">
        <v>1382</v>
      </c>
      <c r="C127" s="374" t="s">
        <v>1383</v>
      </c>
      <c r="D127" s="375" t="s">
        <v>1384</v>
      </c>
      <c r="E127" s="375" t="s">
        <v>1385</v>
      </c>
      <c r="F127" s="332" t="s">
        <v>1386</v>
      </c>
      <c r="G127" s="332" t="s">
        <v>1387</v>
      </c>
      <c r="H127" s="376">
        <v>8182</v>
      </c>
      <c r="I127" s="334">
        <v>2639.47</v>
      </c>
      <c r="J127" s="334">
        <f t="shared" si="7"/>
        <v>2903.42</v>
      </c>
      <c r="K127" s="334">
        <v>3019.48</v>
      </c>
      <c r="L127" s="334">
        <f t="shared" si="7"/>
        <v>3321.43</v>
      </c>
      <c r="M127" s="183" t="s">
        <v>893</v>
      </c>
      <c r="N127" s="335" t="s">
        <v>1180</v>
      </c>
      <c r="O127" s="336" t="s">
        <v>880</v>
      </c>
      <c r="P127" s="336" t="s">
        <v>1045</v>
      </c>
      <c r="Q127" s="336" t="s">
        <v>1327</v>
      </c>
      <c r="R127" s="275"/>
      <c r="S127" s="275"/>
      <c r="U127" s="232"/>
      <c r="V127" s="232"/>
      <c r="W127" s="232"/>
      <c r="X127" s="232"/>
      <c r="AB127" s="277"/>
      <c r="AC127" s="278"/>
      <c r="AD127" s="278"/>
      <c r="AE127" s="283"/>
      <c r="AF127" s="283"/>
      <c r="AG127" s="283"/>
      <c r="AH127" s="283"/>
      <c r="AI127" s="280"/>
      <c r="AJ127" s="181"/>
      <c r="AK127" s="181"/>
      <c r="AL127" s="181"/>
      <c r="AM127" s="181"/>
      <c r="AN127" s="162"/>
      <c r="AO127" s="281"/>
      <c r="AP127" s="282"/>
      <c r="AQ127" s="282"/>
    </row>
    <row r="128" spans="1:43" ht="56.25" x14ac:dyDescent="0.2">
      <c r="A128" s="329">
        <v>151</v>
      </c>
      <c r="B128" s="373" t="s">
        <v>1388</v>
      </c>
      <c r="C128" s="374" t="s">
        <v>1389</v>
      </c>
      <c r="D128" s="375" t="s">
        <v>1390</v>
      </c>
      <c r="E128" s="375" t="s">
        <v>1391</v>
      </c>
      <c r="F128" s="332" t="s">
        <v>1392</v>
      </c>
      <c r="G128" s="332" t="s">
        <v>1393</v>
      </c>
      <c r="H128" s="376">
        <v>8183</v>
      </c>
      <c r="I128" s="334">
        <v>360.87</v>
      </c>
      <c r="J128" s="334">
        <f t="shared" si="7"/>
        <v>396.96</v>
      </c>
      <c r="K128" s="334">
        <v>559.48</v>
      </c>
      <c r="L128" s="334">
        <f t="shared" si="7"/>
        <v>615.42999999999995</v>
      </c>
      <c r="M128" s="183" t="s">
        <v>893</v>
      </c>
      <c r="N128" s="335" t="s">
        <v>1180</v>
      </c>
      <c r="O128" s="336" t="s">
        <v>880</v>
      </c>
      <c r="P128" s="336" t="s">
        <v>1045</v>
      </c>
      <c r="Q128" s="336" t="s">
        <v>1327</v>
      </c>
      <c r="R128" s="275"/>
      <c r="S128" s="275"/>
      <c r="U128" s="232"/>
      <c r="V128" s="232"/>
      <c r="W128" s="232"/>
      <c r="X128" s="232"/>
      <c r="AB128" s="277"/>
      <c r="AC128" s="278"/>
      <c r="AD128" s="278"/>
      <c r="AE128" s="283"/>
      <c r="AF128" s="283"/>
      <c r="AG128" s="283"/>
      <c r="AH128" s="283"/>
      <c r="AI128" s="280"/>
      <c r="AJ128" s="181"/>
      <c r="AK128" s="181"/>
      <c r="AL128" s="181"/>
      <c r="AM128" s="181"/>
      <c r="AN128" s="162"/>
      <c r="AO128" s="281"/>
      <c r="AP128" s="282"/>
      <c r="AQ128" s="282"/>
    </row>
    <row r="129" spans="1:43" ht="56.25" x14ac:dyDescent="0.2">
      <c r="A129" s="329">
        <v>152</v>
      </c>
      <c r="B129" s="373" t="s">
        <v>1394</v>
      </c>
      <c r="C129" s="374" t="s">
        <v>1395</v>
      </c>
      <c r="D129" s="375" t="s">
        <v>1396</v>
      </c>
      <c r="E129" s="375" t="s">
        <v>1397</v>
      </c>
      <c r="F129" s="332" t="s">
        <v>1398</v>
      </c>
      <c r="G129" s="332" t="s">
        <v>1399</v>
      </c>
      <c r="H129" s="376">
        <v>8184</v>
      </c>
      <c r="I129" s="334">
        <v>555.58000000000004</v>
      </c>
      <c r="J129" s="334">
        <f t="shared" si="7"/>
        <v>611.14</v>
      </c>
      <c r="K129" s="334">
        <v>754.19</v>
      </c>
      <c r="L129" s="334">
        <f t="shared" si="7"/>
        <v>829.61</v>
      </c>
      <c r="M129" s="183" t="s">
        <v>893</v>
      </c>
      <c r="N129" s="335" t="s">
        <v>1180</v>
      </c>
      <c r="O129" s="336" t="s">
        <v>880</v>
      </c>
      <c r="P129" s="336" t="s">
        <v>1045</v>
      </c>
      <c r="Q129" s="336" t="s">
        <v>1327</v>
      </c>
      <c r="R129" s="275"/>
      <c r="S129" s="275"/>
      <c r="U129" s="232"/>
      <c r="V129" s="232"/>
      <c r="W129" s="232"/>
      <c r="X129" s="232"/>
      <c r="AB129" s="277"/>
      <c r="AC129" s="278"/>
      <c r="AD129" s="278"/>
      <c r="AE129" s="283"/>
      <c r="AF129" s="283"/>
      <c r="AG129" s="283"/>
      <c r="AH129" s="283"/>
      <c r="AI129" s="280"/>
      <c r="AJ129" s="181"/>
      <c r="AK129" s="181"/>
      <c r="AL129" s="181"/>
      <c r="AM129" s="181"/>
      <c r="AN129" s="162"/>
      <c r="AO129" s="281"/>
      <c r="AP129" s="282"/>
      <c r="AQ129" s="282"/>
    </row>
    <row r="130" spans="1:43" ht="56.25" x14ac:dyDescent="0.2">
      <c r="A130" s="329">
        <v>153</v>
      </c>
      <c r="B130" s="379" t="s">
        <v>1400</v>
      </c>
      <c r="C130" s="374" t="s">
        <v>1401</v>
      </c>
      <c r="D130" s="375" t="s">
        <v>1402</v>
      </c>
      <c r="E130" s="375" t="s">
        <v>1403</v>
      </c>
      <c r="F130" s="332" t="s">
        <v>1404</v>
      </c>
      <c r="G130" s="332" t="s">
        <v>1405</v>
      </c>
      <c r="H130" s="376">
        <v>8185</v>
      </c>
      <c r="I130" s="334">
        <v>2639.47</v>
      </c>
      <c r="J130" s="334">
        <f t="shared" si="7"/>
        <v>2903.42</v>
      </c>
      <c r="K130" s="334">
        <v>3019.48</v>
      </c>
      <c r="L130" s="334">
        <f t="shared" si="7"/>
        <v>3321.43</v>
      </c>
      <c r="M130" s="183" t="s">
        <v>893</v>
      </c>
      <c r="N130" s="335" t="s">
        <v>1180</v>
      </c>
      <c r="O130" s="336" t="s">
        <v>880</v>
      </c>
      <c r="P130" s="336" t="s">
        <v>1045</v>
      </c>
      <c r="Q130" s="336" t="s">
        <v>1327</v>
      </c>
      <c r="R130" s="275"/>
      <c r="S130" s="275"/>
      <c r="U130" s="232"/>
      <c r="V130" s="232"/>
      <c r="W130" s="232"/>
      <c r="X130" s="232"/>
      <c r="AB130" s="277"/>
      <c r="AC130" s="278"/>
      <c r="AD130" s="278"/>
      <c r="AE130" s="283"/>
      <c r="AF130" s="283"/>
      <c r="AG130" s="283"/>
      <c r="AH130" s="283"/>
      <c r="AI130" s="280"/>
      <c r="AJ130" s="181"/>
      <c r="AK130" s="181"/>
      <c r="AL130" s="181"/>
      <c r="AM130" s="181"/>
      <c r="AN130" s="162"/>
      <c r="AO130" s="281"/>
      <c r="AP130" s="282"/>
      <c r="AQ130" s="282"/>
    </row>
    <row r="131" spans="1:43" ht="56.25" x14ac:dyDescent="0.2">
      <c r="A131" s="329">
        <v>154</v>
      </c>
      <c r="B131" s="373" t="s">
        <v>1406</v>
      </c>
      <c r="C131" s="374" t="s">
        <v>1407</v>
      </c>
      <c r="D131" s="375" t="s">
        <v>1408</v>
      </c>
      <c r="E131" s="375" t="s">
        <v>1409</v>
      </c>
      <c r="F131" s="332" t="s">
        <v>1410</v>
      </c>
      <c r="G131" s="332" t="s">
        <v>1411</v>
      </c>
      <c r="H131" s="376">
        <v>8186</v>
      </c>
      <c r="I131" s="334">
        <v>360.87</v>
      </c>
      <c r="J131" s="334">
        <f t="shared" ref="J131:J137" si="8">ROUND(I131*1.1,2)</f>
        <v>396.96</v>
      </c>
      <c r="K131" s="334">
        <v>559.48</v>
      </c>
      <c r="L131" s="334">
        <f t="shared" ref="L131:L137" si="9">ROUND(K131*1.1,2)</f>
        <v>615.42999999999995</v>
      </c>
      <c r="M131" s="183" t="s">
        <v>893</v>
      </c>
      <c r="N131" s="335" t="s">
        <v>1180</v>
      </c>
      <c r="O131" s="336" t="s">
        <v>880</v>
      </c>
      <c r="P131" s="336" t="s">
        <v>1045</v>
      </c>
      <c r="Q131" s="336" t="s">
        <v>1327</v>
      </c>
      <c r="R131" s="275"/>
      <c r="S131" s="275"/>
      <c r="U131" s="232"/>
      <c r="V131" s="232"/>
      <c r="W131" s="232"/>
      <c r="X131" s="232"/>
      <c r="AB131" s="277"/>
      <c r="AC131" s="278"/>
      <c r="AD131" s="278"/>
      <c r="AE131" s="283"/>
      <c r="AF131" s="283"/>
      <c r="AG131" s="283"/>
      <c r="AH131" s="283"/>
      <c r="AI131" s="280"/>
      <c r="AJ131" s="181"/>
      <c r="AK131" s="181"/>
      <c r="AL131" s="181"/>
      <c r="AM131" s="181"/>
      <c r="AN131" s="162"/>
      <c r="AO131" s="281"/>
      <c r="AP131" s="282"/>
      <c r="AQ131" s="282"/>
    </row>
    <row r="132" spans="1:43" ht="56.25" x14ac:dyDescent="0.2">
      <c r="A132" s="329">
        <v>155</v>
      </c>
      <c r="B132" s="373" t="s">
        <v>1412</v>
      </c>
      <c r="C132" s="374" t="s">
        <v>1413</v>
      </c>
      <c r="D132" s="375" t="s">
        <v>1414</v>
      </c>
      <c r="E132" s="375" t="s">
        <v>1415</v>
      </c>
      <c r="F132" s="332" t="s">
        <v>1416</v>
      </c>
      <c r="G132" s="332" t="s">
        <v>1417</v>
      </c>
      <c r="H132" s="376">
        <v>8187</v>
      </c>
      <c r="I132" s="334">
        <v>555.58000000000004</v>
      </c>
      <c r="J132" s="334">
        <f t="shared" si="8"/>
        <v>611.14</v>
      </c>
      <c r="K132" s="334">
        <v>754.19</v>
      </c>
      <c r="L132" s="334">
        <f t="shared" si="9"/>
        <v>829.61</v>
      </c>
      <c r="M132" s="183" t="s">
        <v>893</v>
      </c>
      <c r="N132" s="335" t="s">
        <v>1180</v>
      </c>
      <c r="O132" s="336" t="s">
        <v>880</v>
      </c>
      <c r="P132" s="336" t="s">
        <v>1045</v>
      </c>
      <c r="Q132" s="336" t="s">
        <v>1327</v>
      </c>
      <c r="R132" s="275"/>
      <c r="S132" s="275"/>
      <c r="U132" s="232"/>
      <c r="V132" s="232"/>
      <c r="W132" s="232"/>
      <c r="X132" s="232"/>
      <c r="AB132" s="277"/>
      <c r="AC132" s="278"/>
      <c r="AD132" s="278"/>
      <c r="AE132" s="283"/>
      <c r="AF132" s="283"/>
      <c r="AG132" s="283"/>
      <c r="AH132" s="283"/>
      <c r="AI132" s="280"/>
      <c r="AJ132" s="181"/>
      <c r="AK132" s="181"/>
      <c r="AL132" s="181"/>
      <c r="AM132" s="181"/>
      <c r="AN132" s="162"/>
      <c r="AO132" s="281"/>
      <c r="AP132" s="282"/>
      <c r="AQ132" s="282"/>
    </row>
    <row r="133" spans="1:43" ht="56.25" x14ac:dyDescent="0.2">
      <c r="A133" s="329">
        <v>156</v>
      </c>
      <c r="B133" s="379" t="s">
        <v>1418</v>
      </c>
      <c r="C133" s="374" t="s">
        <v>1419</v>
      </c>
      <c r="D133" s="375" t="s">
        <v>1420</v>
      </c>
      <c r="E133" s="375" t="s">
        <v>1421</v>
      </c>
      <c r="F133" s="332" t="s">
        <v>1422</v>
      </c>
      <c r="G133" s="332" t="s">
        <v>1423</v>
      </c>
      <c r="H133" s="376">
        <v>8188</v>
      </c>
      <c r="I133" s="334">
        <v>2639.47</v>
      </c>
      <c r="J133" s="334">
        <f t="shared" si="8"/>
        <v>2903.42</v>
      </c>
      <c r="K133" s="334">
        <v>3019.48</v>
      </c>
      <c r="L133" s="334">
        <f t="shared" si="9"/>
        <v>3321.43</v>
      </c>
      <c r="M133" s="183" t="s">
        <v>893</v>
      </c>
      <c r="N133" s="335" t="s">
        <v>1180</v>
      </c>
      <c r="O133" s="336" t="s">
        <v>880</v>
      </c>
      <c r="P133" s="336" t="s">
        <v>1045</v>
      </c>
      <c r="Q133" s="336" t="s">
        <v>1327</v>
      </c>
      <c r="R133" s="275"/>
      <c r="S133" s="275"/>
      <c r="U133" s="232"/>
      <c r="V133" s="232"/>
      <c r="W133" s="232"/>
      <c r="X133" s="232"/>
      <c r="AB133" s="277"/>
      <c r="AC133" s="278"/>
      <c r="AD133" s="278"/>
      <c r="AE133" s="283"/>
      <c r="AF133" s="283"/>
      <c r="AG133" s="283"/>
      <c r="AH133" s="283"/>
      <c r="AI133" s="280"/>
      <c r="AJ133" s="181"/>
      <c r="AK133" s="181"/>
      <c r="AL133" s="181"/>
      <c r="AM133" s="181"/>
      <c r="AN133" s="162"/>
      <c r="AO133" s="281"/>
      <c r="AP133" s="282"/>
      <c r="AQ133" s="282"/>
    </row>
    <row r="134" spans="1:43" ht="67.5" x14ac:dyDescent="0.2">
      <c r="A134" s="329" t="s">
        <v>1424</v>
      </c>
      <c r="B134" s="379" t="s">
        <v>1425</v>
      </c>
      <c r="C134" s="374" t="s">
        <v>1426</v>
      </c>
      <c r="D134" s="375" t="s">
        <v>1427</v>
      </c>
      <c r="E134" s="375" t="s">
        <v>1428</v>
      </c>
      <c r="F134" s="332" t="s">
        <v>1429</v>
      </c>
      <c r="G134" s="332" t="s">
        <v>1430</v>
      </c>
      <c r="H134" s="376">
        <v>8189</v>
      </c>
      <c r="I134" s="334">
        <v>66.91</v>
      </c>
      <c r="J134" s="334">
        <f t="shared" si="8"/>
        <v>73.599999999999994</v>
      </c>
      <c r="K134" s="334">
        <v>267.61</v>
      </c>
      <c r="L134" s="334">
        <f t="shared" si="9"/>
        <v>294.37</v>
      </c>
      <c r="M134" s="183" t="s">
        <v>893</v>
      </c>
      <c r="N134" s="335" t="s">
        <v>1181</v>
      </c>
      <c r="O134" s="336" t="s">
        <v>880</v>
      </c>
      <c r="P134" s="336" t="s">
        <v>895</v>
      </c>
      <c r="Q134" s="336" t="s">
        <v>895</v>
      </c>
      <c r="R134" s="275"/>
      <c r="S134" s="275"/>
      <c r="U134" s="232"/>
      <c r="V134" s="232"/>
      <c r="W134" s="232"/>
      <c r="X134" s="232"/>
      <c r="AB134" s="277"/>
      <c r="AC134" s="278"/>
      <c r="AD134" s="278"/>
      <c r="AE134" s="283"/>
      <c r="AF134" s="283"/>
      <c r="AG134" s="283"/>
      <c r="AH134" s="283"/>
      <c r="AI134" s="280"/>
      <c r="AJ134" s="181"/>
      <c r="AK134" s="181"/>
      <c r="AL134" s="181"/>
      <c r="AM134" s="181"/>
      <c r="AN134" s="162"/>
      <c r="AO134" s="281"/>
      <c r="AP134" s="282"/>
      <c r="AQ134" s="282"/>
    </row>
    <row r="135" spans="1:43" ht="67.5" x14ac:dyDescent="0.2">
      <c r="A135" s="329" t="s">
        <v>1431</v>
      </c>
      <c r="B135" s="379" t="s">
        <v>1432</v>
      </c>
      <c r="C135" s="374" t="s">
        <v>1433</v>
      </c>
      <c r="D135" s="375" t="s">
        <v>1434</v>
      </c>
      <c r="E135" s="375" t="s">
        <v>1435</v>
      </c>
      <c r="F135" s="332" t="s">
        <v>1436</v>
      </c>
      <c r="G135" s="332" t="s">
        <v>1437</v>
      </c>
      <c r="H135" s="376">
        <v>8190</v>
      </c>
      <c r="I135" s="334">
        <v>66.91</v>
      </c>
      <c r="J135" s="334">
        <f t="shared" si="8"/>
        <v>73.599999999999994</v>
      </c>
      <c r="K135" s="334">
        <v>267.61</v>
      </c>
      <c r="L135" s="334">
        <f t="shared" si="9"/>
        <v>294.37</v>
      </c>
      <c r="M135" s="183" t="s">
        <v>893</v>
      </c>
      <c r="N135" s="335" t="s">
        <v>1181</v>
      </c>
      <c r="O135" s="336" t="s">
        <v>880</v>
      </c>
      <c r="P135" s="336" t="s">
        <v>895</v>
      </c>
      <c r="Q135" s="336" t="s">
        <v>895</v>
      </c>
      <c r="R135" s="275"/>
      <c r="S135" s="275"/>
      <c r="U135" s="232"/>
      <c r="V135" s="232"/>
      <c r="W135" s="232"/>
      <c r="X135" s="232"/>
      <c r="AB135" s="277"/>
      <c r="AC135" s="278"/>
      <c r="AD135" s="278"/>
      <c r="AE135" s="283"/>
      <c r="AF135" s="283"/>
      <c r="AG135" s="283"/>
      <c r="AH135" s="283"/>
      <c r="AI135" s="280"/>
      <c r="AJ135" s="181"/>
      <c r="AK135" s="181"/>
      <c r="AL135" s="181"/>
      <c r="AM135" s="181"/>
      <c r="AN135" s="162"/>
      <c r="AO135" s="281"/>
      <c r="AP135" s="282"/>
      <c r="AQ135" s="282"/>
    </row>
    <row r="136" spans="1:43" ht="67.5" x14ac:dyDescent="0.2">
      <c r="A136" s="329" t="s">
        <v>1438</v>
      </c>
      <c r="B136" s="379" t="s">
        <v>1439</v>
      </c>
      <c r="C136" s="374" t="s">
        <v>1440</v>
      </c>
      <c r="D136" s="375" t="s">
        <v>1441</v>
      </c>
      <c r="E136" s="375" t="s">
        <v>1442</v>
      </c>
      <c r="F136" s="332" t="s">
        <v>1443</v>
      </c>
      <c r="G136" s="332" t="s">
        <v>1444</v>
      </c>
      <c r="H136" s="376">
        <v>8191</v>
      </c>
      <c r="I136" s="334">
        <v>66.91</v>
      </c>
      <c r="J136" s="334">
        <f t="shared" si="8"/>
        <v>73.599999999999994</v>
      </c>
      <c r="K136" s="334">
        <v>267.61</v>
      </c>
      <c r="L136" s="334">
        <f t="shared" si="9"/>
        <v>294.37</v>
      </c>
      <c r="M136" s="183" t="s">
        <v>893</v>
      </c>
      <c r="N136" s="335" t="s">
        <v>1181</v>
      </c>
      <c r="O136" s="336" t="s">
        <v>880</v>
      </c>
      <c r="P136" s="336" t="s">
        <v>895</v>
      </c>
      <c r="Q136" s="336" t="s">
        <v>895</v>
      </c>
      <c r="R136" s="275"/>
      <c r="S136" s="275"/>
      <c r="U136" s="232"/>
      <c r="V136" s="232"/>
      <c r="W136" s="232"/>
      <c r="X136" s="232"/>
      <c r="AB136" s="277"/>
      <c r="AC136" s="278"/>
      <c r="AD136" s="278"/>
      <c r="AE136" s="283"/>
      <c r="AF136" s="283"/>
      <c r="AG136" s="283"/>
      <c r="AH136" s="283"/>
      <c r="AI136" s="280"/>
      <c r="AJ136" s="181"/>
      <c r="AK136" s="181"/>
      <c r="AL136" s="181"/>
      <c r="AM136" s="181"/>
      <c r="AN136" s="162"/>
      <c r="AO136" s="281"/>
      <c r="AP136" s="282"/>
      <c r="AQ136" s="282"/>
    </row>
    <row r="137" spans="1:43" ht="67.5" x14ac:dyDescent="0.2">
      <c r="A137" s="360" t="s">
        <v>1445</v>
      </c>
      <c r="B137" s="380" t="s">
        <v>1446</v>
      </c>
      <c r="C137" s="381" t="s">
        <v>1447</v>
      </c>
      <c r="D137" s="382" t="s">
        <v>1448</v>
      </c>
      <c r="E137" s="382" t="s">
        <v>1449</v>
      </c>
      <c r="F137" s="361" t="s">
        <v>1450</v>
      </c>
      <c r="G137" s="361" t="s">
        <v>1451</v>
      </c>
      <c r="H137" s="383">
        <v>8192</v>
      </c>
      <c r="I137" s="334">
        <v>66.91</v>
      </c>
      <c r="J137" s="334">
        <f t="shared" si="8"/>
        <v>73.599999999999994</v>
      </c>
      <c r="K137" s="334">
        <v>267.61</v>
      </c>
      <c r="L137" s="334">
        <f t="shared" si="9"/>
        <v>294.37</v>
      </c>
      <c r="M137" s="187" t="s">
        <v>893</v>
      </c>
      <c r="N137" s="364" t="s">
        <v>1181</v>
      </c>
      <c r="O137" s="365" t="s">
        <v>880</v>
      </c>
      <c r="P137" s="365" t="s">
        <v>895</v>
      </c>
      <c r="Q137" s="365" t="s">
        <v>895</v>
      </c>
      <c r="R137" s="275"/>
      <c r="S137" s="275"/>
      <c r="U137" s="232"/>
      <c r="V137" s="232"/>
      <c r="W137" s="232"/>
      <c r="X137" s="232"/>
      <c r="AB137" s="277"/>
      <c r="AC137" s="278"/>
      <c r="AD137" s="278"/>
      <c r="AE137" s="283"/>
      <c r="AF137" s="283"/>
      <c r="AG137" s="283"/>
      <c r="AH137" s="283"/>
      <c r="AI137" s="280"/>
      <c r="AJ137" s="181"/>
      <c r="AK137" s="181"/>
      <c r="AL137" s="181"/>
      <c r="AM137" s="181"/>
      <c r="AN137" s="162"/>
      <c r="AO137" s="281"/>
      <c r="AP137" s="282"/>
      <c r="AQ137" s="282"/>
    </row>
    <row r="138" spans="1:43" s="233" customFormat="1" x14ac:dyDescent="0.2">
      <c r="A138" s="300"/>
      <c r="B138" s="301" t="s">
        <v>1452</v>
      </c>
      <c r="C138" s="302"/>
      <c r="D138" s="303"/>
      <c r="E138" s="303"/>
      <c r="F138" s="303"/>
      <c r="G138" s="303"/>
      <c r="H138" s="304"/>
      <c r="I138" s="305"/>
      <c r="J138" s="305"/>
      <c r="K138" s="303"/>
      <c r="L138" s="303"/>
      <c r="M138" s="306"/>
      <c r="N138" s="306"/>
      <c r="O138" s="306"/>
      <c r="P138" s="306"/>
      <c r="Q138" s="307"/>
      <c r="R138" s="165"/>
      <c r="S138" s="165"/>
      <c r="U138" s="232"/>
      <c r="V138" s="232"/>
      <c r="W138" s="232"/>
      <c r="X138" s="232"/>
      <c r="AB138" s="283"/>
      <c r="AC138" s="308"/>
      <c r="AD138" s="309"/>
      <c r="AE138" s="283"/>
      <c r="AF138" s="283"/>
      <c r="AG138" s="283"/>
      <c r="AH138" s="283"/>
      <c r="AI138" s="280"/>
      <c r="AJ138" s="166"/>
      <c r="AK138" s="166"/>
      <c r="AL138" s="166"/>
      <c r="AM138" s="166"/>
      <c r="AN138" s="167"/>
      <c r="AO138" s="167"/>
      <c r="AP138" s="167"/>
      <c r="AQ138" s="281"/>
    </row>
    <row r="139" spans="1:43" ht="67.5" x14ac:dyDescent="0.2">
      <c r="A139" s="310">
        <v>74</v>
      </c>
      <c r="B139" s="384" t="s">
        <v>1453</v>
      </c>
      <c r="C139" s="384" t="s">
        <v>1454</v>
      </c>
      <c r="D139" s="312" t="s">
        <v>1455</v>
      </c>
      <c r="E139" s="312" t="s">
        <v>1456</v>
      </c>
      <c r="F139" s="312" t="s">
        <v>1457</v>
      </c>
      <c r="G139" s="312" t="s">
        <v>1458</v>
      </c>
      <c r="H139" s="313">
        <v>8080</v>
      </c>
      <c r="I139" s="171" t="s">
        <v>443</v>
      </c>
      <c r="J139" s="171" t="s">
        <v>443</v>
      </c>
      <c r="K139" s="171" t="s">
        <v>443</v>
      </c>
      <c r="L139" s="171" t="s">
        <v>443</v>
      </c>
      <c r="M139" s="169" t="s">
        <v>1196</v>
      </c>
      <c r="N139" s="314" t="s">
        <v>966</v>
      </c>
      <c r="O139" s="315" t="s">
        <v>880</v>
      </c>
      <c r="P139" s="315" t="s">
        <v>435</v>
      </c>
      <c r="Q139" s="315" t="s">
        <v>1459</v>
      </c>
      <c r="R139" s="164"/>
      <c r="S139" s="164"/>
      <c r="U139" s="232"/>
      <c r="V139" s="232"/>
      <c r="W139" s="232"/>
      <c r="X139" s="232"/>
      <c r="AB139" s="277"/>
      <c r="AC139" s="278"/>
      <c r="AD139" s="278"/>
      <c r="AE139" s="283"/>
      <c r="AF139" s="283"/>
      <c r="AG139" s="283"/>
      <c r="AH139" s="283"/>
      <c r="AI139" s="280"/>
      <c r="AJ139" s="161"/>
      <c r="AK139" s="161"/>
      <c r="AL139" s="161"/>
      <c r="AM139" s="161"/>
      <c r="AN139" s="162"/>
      <c r="AO139" s="281"/>
      <c r="AP139" s="282"/>
      <c r="AQ139" s="283"/>
    </row>
    <row r="140" spans="1:43" ht="60.75" customHeight="1" x14ac:dyDescent="0.2">
      <c r="A140" s="317" t="s">
        <v>1460</v>
      </c>
      <c r="B140" s="174" t="s">
        <v>1461</v>
      </c>
      <c r="C140" s="174" t="s">
        <v>1462</v>
      </c>
      <c r="D140" s="319" t="s">
        <v>1463</v>
      </c>
      <c r="E140" s="319" t="s">
        <v>1464</v>
      </c>
      <c r="F140" s="319" t="s">
        <v>1465</v>
      </c>
      <c r="G140" s="319" t="s">
        <v>1466</v>
      </c>
      <c r="H140" s="320">
        <v>8078</v>
      </c>
      <c r="I140" s="171" t="s">
        <v>443</v>
      </c>
      <c r="J140" s="171" t="s">
        <v>443</v>
      </c>
      <c r="K140" s="171" t="s">
        <v>443</v>
      </c>
      <c r="L140" s="171" t="s">
        <v>443</v>
      </c>
      <c r="M140" s="172" t="s">
        <v>1196</v>
      </c>
      <c r="N140" s="321" t="s">
        <v>926</v>
      </c>
      <c r="O140" s="322" t="s">
        <v>880</v>
      </c>
      <c r="P140" s="322" t="s">
        <v>895</v>
      </c>
      <c r="Q140" s="322" t="s">
        <v>895</v>
      </c>
      <c r="R140" s="164"/>
      <c r="S140" s="164"/>
      <c r="U140" s="232"/>
      <c r="V140" s="232"/>
      <c r="W140" s="232"/>
      <c r="X140" s="232"/>
      <c r="AB140" s="277"/>
      <c r="AC140" s="278"/>
      <c r="AD140" s="278"/>
      <c r="AE140" s="283"/>
      <c r="AF140" s="283"/>
      <c r="AG140" s="283"/>
      <c r="AH140" s="283"/>
      <c r="AI140" s="280"/>
      <c r="AJ140" s="161"/>
      <c r="AK140" s="161"/>
      <c r="AL140" s="161"/>
      <c r="AM140" s="161"/>
      <c r="AN140" s="162"/>
      <c r="AO140" s="281"/>
      <c r="AP140" s="282"/>
      <c r="AQ140" s="283"/>
    </row>
    <row r="141" spans="1:43" ht="90" x14ac:dyDescent="0.2">
      <c r="A141" s="317">
        <v>75</v>
      </c>
      <c r="B141" s="174" t="s">
        <v>1467</v>
      </c>
      <c r="C141" s="174" t="s">
        <v>1468</v>
      </c>
      <c r="D141" s="322" t="s">
        <v>1469</v>
      </c>
      <c r="E141" s="322" t="s">
        <v>1470</v>
      </c>
      <c r="F141" s="322" t="s">
        <v>1471</v>
      </c>
      <c r="G141" s="322" t="s">
        <v>1472</v>
      </c>
      <c r="H141" s="385">
        <v>8081</v>
      </c>
      <c r="I141" s="171" t="s">
        <v>443</v>
      </c>
      <c r="J141" s="171" t="s">
        <v>443</v>
      </c>
      <c r="K141" s="171" t="s">
        <v>443</v>
      </c>
      <c r="L141" s="171" t="s">
        <v>443</v>
      </c>
      <c r="M141" s="172" t="s">
        <v>1196</v>
      </c>
      <c r="N141" s="321" t="s">
        <v>966</v>
      </c>
      <c r="O141" s="322" t="s">
        <v>880</v>
      </c>
      <c r="P141" s="322" t="s">
        <v>435</v>
      </c>
      <c r="Q141" s="322" t="s">
        <v>1473</v>
      </c>
      <c r="R141" s="164"/>
      <c r="S141" s="164"/>
      <c r="U141" s="232"/>
      <c r="V141" s="232"/>
      <c r="W141" s="232"/>
      <c r="X141" s="232"/>
      <c r="AB141" s="277"/>
      <c r="AC141" s="278"/>
      <c r="AD141" s="278"/>
      <c r="AE141" s="282"/>
      <c r="AF141" s="282"/>
      <c r="AG141" s="282"/>
      <c r="AH141" s="282"/>
      <c r="AI141" s="348"/>
      <c r="AJ141" s="161"/>
      <c r="AK141" s="161"/>
      <c r="AL141" s="161"/>
      <c r="AM141" s="161"/>
      <c r="AN141" s="162"/>
      <c r="AO141" s="281"/>
      <c r="AP141" s="282"/>
      <c r="AQ141" s="283"/>
    </row>
    <row r="142" spans="1:43" ht="45" x14ac:dyDescent="0.2">
      <c r="A142" s="317" t="s">
        <v>1474</v>
      </c>
      <c r="B142" s="174" t="s">
        <v>1475</v>
      </c>
      <c r="C142" s="174" t="s">
        <v>1476</v>
      </c>
      <c r="D142" s="319" t="s">
        <v>1477</v>
      </c>
      <c r="E142" s="319" t="s">
        <v>1478</v>
      </c>
      <c r="F142" s="319" t="s">
        <v>1479</v>
      </c>
      <c r="G142" s="319" t="s">
        <v>1480</v>
      </c>
      <c r="H142" s="320">
        <v>8079</v>
      </c>
      <c r="I142" s="171" t="s">
        <v>443</v>
      </c>
      <c r="J142" s="171" t="s">
        <v>443</v>
      </c>
      <c r="K142" s="171" t="s">
        <v>443</v>
      </c>
      <c r="L142" s="171" t="s">
        <v>443</v>
      </c>
      <c r="M142" s="172" t="s">
        <v>1196</v>
      </c>
      <c r="N142" s="321" t="s">
        <v>926</v>
      </c>
      <c r="O142" s="322" t="s">
        <v>880</v>
      </c>
      <c r="P142" s="322" t="s">
        <v>895</v>
      </c>
      <c r="Q142" s="322" t="s">
        <v>895</v>
      </c>
      <c r="R142" s="164"/>
      <c r="S142" s="164"/>
      <c r="U142" s="232"/>
      <c r="V142" s="232"/>
      <c r="W142" s="232"/>
      <c r="X142" s="232"/>
      <c r="AB142" s="277"/>
      <c r="AC142" s="278"/>
      <c r="AD142" s="278"/>
      <c r="AE142" s="283"/>
      <c r="AF142" s="283"/>
      <c r="AG142" s="283"/>
      <c r="AH142" s="283"/>
      <c r="AI142" s="280"/>
      <c r="AJ142" s="161"/>
      <c r="AK142" s="161"/>
      <c r="AL142" s="161"/>
      <c r="AM142" s="161"/>
      <c r="AN142" s="162"/>
      <c r="AO142" s="281"/>
      <c r="AP142" s="282"/>
      <c r="AQ142" s="283"/>
    </row>
    <row r="143" spans="1:43" ht="81.75" customHeight="1" x14ac:dyDescent="0.2">
      <c r="A143" s="284">
        <v>76</v>
      </c>
      <c r="B143" s="198" t="s">
        <v>1481</v>
      </c>
      <c r="C143" s="198" t="s">
        <v>1482</v>
      </c>
      <c r="D143" s="289" t="s">
        <v>1483</v>
      </c>
      <c r="E143" s="289" t="s">
        <v>1484</v>
      </c>
      <c r="F143" s="289" t="s">
        <v>1485</v>
      </c>
      <c r="G143" s="289" t="s">
        <v>1486</v>
      </c>
      <c r="H143" s="286">
        <v>8082</v>
      </c>
      <c r="I143" s="831" t="s">
        <v>443</v>
      </c>
      <c r="J143" s="831"/>
      <c r="K143" s="831" t="s">
        <v>443</v>
      </c>
      <c r="L143" s="831"/>
      <c r="M143" s="163" t="s">
        <v>1196</v>
      </c>
      <c r="N143" s="287" t="s">
        <v>1197</v>
      </c>
      <c r="O143" s="288" t="s">
        <v>880</v>
      </c>
      <c r="P143" s="288" t="s">
        <v>435</v>
      </c>
      <c r="Q143" s="288" t="s">
        <v>1487</v>
      </c>
      <c r="R143" s="290"/>
      <c r="S143" s="290"/>
      <c r="U143" s="232"/>
      <c r="V143" s="232"/>
      <c r="W143" s="232"/>
      <c r="X143" s="232"/>
      <c r="AB143" s="277"/>
      <c r="AC143" s="278"/>
      <c r="AD143" s="278"/>
      <c r="AE143" s="283"/>
      <c r="AF143" s="283"/>
      <c r="AG143" s="283"/>
      <c r="AH143" s="283"/>
      <c r="AI143" s="280"/>
      <c r="AJ143" s="829"/>
      <c r="AK143" s="829"/>
      <c r="AL143" s="829"/>
      <c r="AM143" s="829"/>
      <c r="AN143" s="162"/>
      <c r="AO143" s="281"/>
      <c r="AP143" s="282"/>
      <c r="AQ143" s="283"/>
    </row>
    <row r="144" spans="1:43" ht="78.75" customHeight="1" x14ac:dyDescent="0.2">
      <c r="A144" s="284">
        <v>77</v>
      </c>
      <c r="B144" s="198" t="s">
        <v>1488</v>
      </c>
      <c r="C144" s="198" t="s">
        <v>1489</v>
      </c>
      <c r="D144" s="289" t="s">
        <v>1490</v>
      </c>
      <c r="E144" s="289" t="s">
        <v>1491</v>
      </c>
      <c r="F144" s="289" t="s">
        <v>1492</v>
      </c>
      <c r="G144" s="289" t="s">
        <v>1493</v>
      </c>
      <c r="H144" s="286">
        <v>8083</v>
      </c>
      <c r="I144" s="831" t="s">
        <v>443</v>
      </c>
      <c r="J144" s="831"/>
      <c r="K144" s="831" t="s">
        <v>443</v>
      </c>
      <c r="L144" s="831"/>
      <c r="M144" s="163" t="s">
        <v>1196</v>
      </c>
      <c r="N144" s="287" t="s">
        <v>1197</v>
      </c>
      <c r="O144" s="288" t="s">
        <v>880</v>
      </c>
      <c r="P144" s="288" t="s">
        <v>436</v>
      </c>
      <c r="Q144" s="288" t="s">
        <v>1494</v>
      </c>
      <c r="R144" s="290"/>
      <c r="S144" s="290"/>
      <c r="U144" s="232"/>
      <c r="V144" s="232"/>
      <c r="W144" s="232"/>
      <c r="X144" s="232"/>
      <c r="AB144" s="277"/>
      <c r="AC144" s="278"/>
      <c r="AD144" s="278"/>
      <c r="AE144" s="283"/>
      <c r="AF144" s="283"/>
      <c r="AG144" s="283"/>
      <c r="AH144" s="283"/>
      <c r="AI144" s="280"/>
      <c r="AJ144" s="829"/>
      <c r="AK144" s="829"/>
      <c r="AL144" s="829"/>
      <c r="AM144" s="829"/>
      <c r="AN144" s="162"/>
      <c r="AO144" s="281"/>
      <c r="AP144" s="282"/>
      <c r="AQ144" s="283"/>
    </row>
    <row r="145" spans="1:43" ht="56.25" x14ac:dyDescent="0.2">
      <c r="A145" s="284">
        <v>78</v>
      </c>
      <c r="B145" s="198" t="s">
        <v>1495</v>
      </c>
      <c r="C145" s="198" t="s">
        <v>1496</v>
      </c>
      <c r="D145" s="289" t="s">
        <v>1497</v>
      </c>
      <c r="E145" s="289" t="s">
        <v>1498</v>
      </c>
      <c r="F145" s="289" t="s">
        <v>1499</v>
      </c>
      <c r="G145" s="289" t="s">
        <v>1500</v>
      </c>
      <c r="H145" s="286">
        <v>8084</v>
      </c>
      <c r="I145" s="831" t="s">
        <v>443</v>
      </c>
      <c r="J145" s="831"/>
      <c r="K145" s="831" t="s">
        <v>443</v>
      </c>
      <c r="L145" s="831"/>
      <c r="M145" s="163" t="s">
        <v>1196</v>
      </c>
      <c r="N145" s="287" t="s">
        <v>1197</v>
      </c>
      <c r="O145" s="288" t="s">
        <v>880</v>
      </c>
      <c r="P145" s="288" t="s">
        <v>435</v>
      </c>
      <c r="Q145" s="288" t="s">
        <v>1501</v>
      </c>
      <c r="R145" s="290"/>
      <c r="S145" s="290"/>
      <c r="U145" s="232"/>
      <c r="V145" s="232"/>
      <c r="W145" s="232"/>
      <c r="X145" s="232"/>
      <c r="AB145" s="277"/>
      <c r="AC145" s="278"/>
      <c r="AD145" s="278"/>
      <c r="AE145" s="283"/>
      <c r="AF145" s="283"/>
      <c r="AG145" s="283"/>
      <c r="AH145" s="283"/>
      <c r="AI145" s="280"/>
      <c r="AJ145" s="829"/>
      <c r="AK145" s="829"/>
      <c r="AL145" s="829"/>
      <c r="AM145" s="829"/>
      <c r="AN145" s="162"/>
      <c r="AO145" s="281"/>
      <c r="AP145" s="282"/>
      <c r="AQ145" s="283"/>
    </row>
    <row r="146" spans="1:43" ht="191.25" x14ac:dyDescent="0.2">
      <c r="A146" s="284">
        <v>79</v>
      </c>
      <c r="B146" s="198" t="s">
        <v>1502</v>
      </c>
      <c r="C146" s="198" t="s">
        <v>1503</v>
      </c>
      <c r="D146" s="834" t="s">
        <v>1195</v>
      </c>
      <c r="E146" s="834"/>
      <c r="F146" s="834"/>
      <c r="G146" s="834"/>
      <c r="H146" s="286">
        <v>8085</v>
      </c>
      <c r="I146" s="831" t="s">
        <v>443</v>
      </c>
      <c r="J146" s="831"/>
      <c r="K146" s="831" t="s">
        <v>443</v>
      </c>
      <c r="L146" s="831"/>
      <c r="M146" s="163" t="s">
        <v>1196</v>
      </c>
      <c r="N146" s="287" t="s">
        <v>1197</v>
      </c>
      <c r="O146" s="288" t="s">
        <v>434</v>
      </c>
      <c r="P146" s="288" t="s">
        <v>1045</v>
      </c>
      <c r="Q146" s="288" t="s">
        <v>895</v>
      </c>
      <c r="R146" s="290"/>
      <c r="S146" s="290"/>
      <c r="U146" s="232"/>
      <c r="V146" s="232"/>
      <c r="W146" s="232"/>
      <c r="X146" s="232"/>
      <c r="AB146" s="277"/>
      <c r="AC146" s="278"/>
      <c r="AD146" s="278"/>
      <c r="AE146" s="279"/>
      <c r="AF146" s="279"/>
      <c r="AG146" s="279"/>
      <c r="AH146" s="279"/>
      <c r="AI146" s="280"/>
      <c r="AJ146" s="829"/>
      <c r="AK146" s="829"/>
      <c r="AL146" s="829"/>
      <c r="AM146" s="829"/>
      <c r="AN146" s="162"/>
      <c r="AO146" s="281"/>
      <c r="AP146" s="282"/>
      <c r="AQ146" s="282"/>
    </row>
    <row r="147" spans="1:43" ht="67.5" x14ac:dyDescent="0.2">
      <c r="A147" s="284">
        <v>80</v>
      </c>
      <c r="B147" s="198" t="s">
        <v>1504</v>
      </c>
      <c r="C147" s="198" t="s">
        <v>1505</v>
      </c>
      <c r="D147" s="386" t="s">
        <v>1506</v>
      </c>
      <c r="E147" s="386" t="s">
        <v>1507</v>
      </c>
      <c r="F147" s="386" t="s">
        <v>1508</v>
      </c>
      <c r="G147" s="386" t="s">
        <v>1509</v>
      </c>
      <c r="H147" s="387">
        <v>8086</v>
      </c>
      <c r="I147" s="831" t="s">
        <v>443</v>
      </c>
      <c r="J147" s="831"/>
      <c r="K147" s="831" t="s">
        <v>443</v>
      </c>
      <c r="L147" s="831"/>
      <c r="M147" s="163" t="s">
        <v>1196</v>
      </c>
      <c r="N147" s="287" t="s">
        <v>1197</v>
      </c>
      <c r="O147" s="288" t="s">
        <v>880</v>
      </c>
      <c r="P147" s="288" t="s">
        <v>436</v>
      </c>
      <c r="Q147" s="288" t="s">
        <v>1510</v>
      </c>
      <c r="R147" s="290"/>
      <c r="S147" s="290"/>
      <c r="U147" s="232"/>
      <c r="V147" s="232"/>
      <c r="W147" s="232"/>
      <c r="X147" s="232"/>
      <c r="AB147" s="277"/>
      <c r="AC147" s="278"/>
      <c r="AD147" s="278"/>
      <c r="AE147" s="388"/>
      <c r="AF147" s="388"/>
      <c r="AG147" s="388"/>
      <c r="AH147" s="388"/>
      <c r="AI147" s="389"/>
      <c r="AJ147" s="829"/>
      <c r="AK147" s="829"/>
      <c r="AL147" s="829"/>
      <c r="AM147" s="829"/>
      <c r="AN147" s="162"/>
      <c r="AO147" s="281"/>
      <c r="AP147" s="282"/>
      <c r="AQ147" s="283"/>
    </row>
    <row r="148" spans="1:43" ht="56.25" x14ac:dyDescent="0.2">
      <c r="A148" s="284">
        <v>81</v>
      </c>
      <c r="B148" s="198" t="s">
        <v>1511</v>
      </c>
      <c r="C148" s="198" t="s">
        <v>1512</v>
      </c>
      <c r="D148" s="289" t="s">
        <v>1513</v>
      </c>
      <c r="E148" s="289" t="s">
        <v>1514</v>
      </c>
      <c r="F148" s="289" t="s">
        <v>1515</v>
      </c>
      <c r="G148" s="289" t="s">
        <v>1516</v>
      </c>
      <c r="H148" s="286">
        <v>8087</v>
      </c>
      <c r="I148" s="831" t="s">
        <v>443</v>
      </c>
      <c r="J148" s="831"/>
      <c r="K148" s="831" t="s">
        <v>443</v>
      </c>
      <c r="L148" s="831"/>
      <c r="M148" s="163" t="s">
        <v>1196</v>
      </c>
      <c r="N148" s="287" t="s">
        <v>1197</v>
      </c>
      <c r="O148" s="288" t="s">
        <v>880</v>
      </c>
      <c r="P148" s="288" t="s">
        <v>436</v>
      </c>
      <c r="Q148" s="288" t="s">
        <v>1517</v>
      </c>
      <c r="R148" s="290"/>
      <c r="S148" s="290"/>
      <c r="U148" s="232"/>
      <c r="V148" s="232"/>
      <c r="W148" s="232"/>
      <c r="X148" s="232"/>
      <c r="AB148" s="277"/>
      <c r="AC148" s="278"/>
      <c r="AD148" s="278"/>
      <c r="AE148" s="283"/>
      <c r="AF148" s="283"/>
      <c r="AG148" s="283"/>
      <c r="AH148" s="283"/>
      <c r="AI148" s="280"/>
      <c r="AJ148" s="829"/>
      <c r="AK148" s="829"/>
      <c r="AL148" s="829"/>
      <c r="AM148" s="829"/>
      <c r="AN148" s="162"/>
      <c r="AO148" s="281"/>
      <c r="AP148" s="282"/>
      <c r="AQ148" s="283"/>
    </row>
    <row r="149" spans="1:43" ht="56.25" x14ac:dyDescent="0.2">
      <c r="A149" s="284">
        <v>82</v>
      </c>
      <c r="B149" s="198" t="s">
        <v>1518</v>
      </c>
      <c r="C149" s="198" t="s">
        <v>1519</v>
      </c>
      <c r="D149" s="289" t="s">
        <v>1520</v>
      </c>
      <c r="E149" s="289" t="s">
        <v>1521</v>
      </c>
      <c r="F149" s="289" t="s">
        <v>1522</v>
      </c>
      <c r="G149" s="289" t="s">
        <v>1523</v>
      </c>
      <c r="H149" s="286">
        <v>8088</v>
      </c>
      <c r="I149" s="831" t="s">
        <v>443</v>
      </c>
      <c r="J149" s="831"/>
      <c r="K149" s="831" t="s">
        <v>443</v>
      </c>
      <c r="L149" s="831"/>
      <c r="M149" s="163" t="s">
        <v>1196</v>
      </c>
      <c r="N149" s="287" t="s">
        <v>1197</v>
      </c>
      <c r="O149" s="288" t="s">
        <v>880</v>
      </c>
      <c r="P149" s="288" t="s">
        <v>436</v>
      </c>
      <c r="Q149" s="288" t="s">
        <v>1524</v>
      </c>
      <c r="R149" s="290"/>
      <c r="S149" s="290"/>
      <c r="U149" s="232"/>
      <c r="V149" s="232"/>
      <c r="W149" s="232"/>
      <c r="X149" s="232"/>
      <c r="AB149" s="277"/>
      <c r="AC149" s="278"/>
      <c r="AD149" s="278"/>
      <c r="AE149" s="283"/>
      <c r="AF149" s="283"/>
      <c r="AG149" s="283"/>
      <c r="AH149" s="283"/>
      <c r="AI149" s="280"/>
      <c r="AJ149" s="829"/>
      <c r="AK149" s="829"/>
      <c r="AL149" s="829"/>
      <c r="AM149" s="829"/>
      <c r="AN149" s="162"/>
      <c r="AO149" s="281"/>
      <c r="AP149" s="282"/>
      <c r="AQ149" s="283"/>
    </row>
    <row r="150" spans="1:43" ht="22.5" x14ac:dyDescent="0.2">
      <c r="A150" s="284">
        <v>83</v>
      </c>
      <c r="B150" s="198" t="s">
        <v>1525</v>
      </c>
      <c r="C150" s="198" t="s">
        <v>1526</v>
      </c>
      <c r="D150" s="289" t="s">
        <v>1527</v>
      </c>
      <c r="E150" s="289" t="s">
        <v>1528</v>
      </c>
      <c r="F150" s="289" t="s">
        <v>1529</v>
      </c>
      <c r="G150" s="289" t="s">
        <v>1530</v>
      </c>
      <c r="H150" s="286">
        <v>8089</v>
      </c>
      <c r="I150" s="831" t="s">
        <v>443</v>
      </c>
      <c r="J150" s="831"/>
      <c r="K150" s="831" t="s">
        <v>443</v>
      </c>
      <c r="L150" s="831"/>
      <c r="M150" s="163" t="s">
        <v>1196</v>
      </c>
      <c r="N150" s="287" t="s">
        <v>1197</v>
      </c>
      <c r="O150" s="288" t="s">
        <v>880</v>
      </c>
      <c r="P150" s="288" t="s">
        <v>435</v>
      </c>
      <c r="Q150" s="288" t="s">
        <v>1531</v>
      </c>
      <c r="R150" s="290"/>
      <c r="S150" s="290"/>
      <c r="U150" s="232"/>
      <c r="V150" s="232"/>
      <c r="W150" s="232"/>
      <c r="X150" s="232"/>
      <c r="AB150" s="277"/>
      <c r="AC150" s="278"/>
      <c r="AD150" s="278"/>
      <c r="AE150" s="283"/>
      <c r="AF150" s="283"/>
      <c r="AG150" s="283"/>
      <c r="AH150" s="283"/>
      <c r="AI150" s="280"/>
      <c r="AJ150" s="829"/>
      <c r="AK150" s="829"/>
      <c r="AL150" s="829"/>
      <c r="AM150" s="829"/>
      <c r="AN150" s="162"/>
      <c r="AO150" s="281"/>
      <c r="AP150" s="282"/>
      <c r="AQ150" s="283"/>
    </row>
    <row r="151" spans="1:43" ht="112.5" x14ac:dyDescent="0.2">
      <c r="A151" s="284">
        <v>84</v>
      </c>
      <c r="B151" s="198" t="s">
        <v>1532</v>
      </c>
      <c r="C151" s="198" t="s">
        <v>1533</v>
      </c>
      <c r="D151" s="289" t="s">
        <v>1534</v>
      </c>
      <c r="E151" s="289" t="s">
        <v>1535</v>
      </c>
      <c r="F151" s="289" t="s">
        <v>1536</v>
      </c>
      <c r="G151" s="289" t="s">
        <v>1537</v>
      </c>
      <c r="H151" s="286">
        <v>8090</v>
      </c>
      <c r="I151" s="831" t="s">
        <v>443</v>
      </c>
      <c r="J151" s="831"/>
      <c r="K151" s="831" t="s">
        <v>443</v>
      </c>
      <c r="L151" s="831"/>
      <c r="M151" s="163" t="s">
        <v>1196</v>
      </c>
      <c r="N151" s="287" t="s">
        <v>1197</v>
      </c>
      <c r="O151" s="288" t="s">
        <v>880</v>
      </c>
      <c r="P151" s="288" t="s">
        <v>435</v>
      </c>
      <c r="Q151" s="288" t="s">
        <v>1538</v>
      </c>
      <c r="R151" s="290"/>
      <c r="S151" s="290"/>
      <c r="U151" s="232"/>
      <c r="V151" s="232"/>
      <c r="W151" s="232"/>
      <c r="X151" s="232"/>
      <c r="AB151" s="277"/>
      <c r="AC151" s="278"/>
      <c r="AD151" s="278"/>
      <c r="AE151" s="283"/>
      <c r="AF151" s="283"/>
      <c r="AG151" s="283"/>
      <c r="AH151" s="283"/>
      <c r="AI151" s="280"/>
      <c r="AJ151" s="829"/>
      <c r="AK151" s="829"/>
      <c r="AL151" s="829"/>
      <c r="AM151" s="829"/>
      <c r="AN151" s="162"/>
      <c r="AO151" s="281"/>
      <c r="AP151" s="282"/>
      <c r="AQ151" s="283"/>
    </row>
    <row r="152" spans="1:43" ht="56.25" x14ac:dyDescent="0.2">
      <c r="A152" s="284">
        <v>85</v>
      </c>
      <c r="B152" s="198" t="s">
        <v>1539</v>
      </c>
      <c r="C152" s="198" t="s">
        <v>1540</v>
      </c>
      <c r="D152" s="289" t="s">
        <v>1541</v>
      </c>
      <c r="E152" s="289" t="s">
        <v>1542</v>
      </c>
      <c r="F152" s="289" t="s">
        <v>1543</v>
      </c>
      <c r="G152" s="289" t="s">
        <v>1544</v>
      </c>
      <c r="H152" s="286">
        <v>8091</v>
      </c>
      <c r="I152" s="831" t="s">
        <v>443</v>
      </c>
      <c r="J152" s="831"/>
      <c r="K152" s="831" t="s">
        <v>443</v>
      </c>
      <c r="L152" s="831"/>
      <c r="M152" s="163" t="s">
        <v>1196</v>
      </c>
      <c r="N152" s="287" t="s">
        <v>1197</v>
      </c>
      <c r="O152" s="288" t="s">
        <v>880</v>
      </c>
      <c r="P152" s="288" t="s">
        <v>435</v>
      </c>
      <c r="Q152" s="288" t="s">
        <v>1545</v>
      </c>
      <c r="R152" s="290"/>
      <c r="S152" s="290"/>
      <c r="U152" s="232"/>
      <c r="V152" s="232"/>
      <c r="W152" s="232"/>
      <c r="X152" s="232"/>
      <c r="AB152" s="277"/>
      <c r="AC152" s="278"/>
      <c r="AD152" s="278"/>
      <c r="AE152" s="283"/>
      <c r="AF152" s="283"/>
      <c r="AG152" s="283"/>
      <c r="AH152" s="283"/>
      <c r="AI152" s="280"/>
      <c r="AJ152" s="829"/>
      <c r="AK152" s="829"/>
      <c r="AL152" s="829"/>
      <c r="AM152" s="829"/>
      <c r="AN152" s="162"/>
      <c r="AO152" s="281"/>
      <c r="AP152" s="282"/>
      <c r="AQ152" s="283"/>
    </row>
    <row r="153" spans="1:43" ht="67.5" x14ac:dyDescent="0.2">
      <c r="A153" s="284">
        <v>86</v>
      </c>
      <c r="B153" s="198" t="s">
        <v>1546</v>
      </c>
      <c r="C153" s="198" t="s">
        <v>1547</v>
      </c>
      <c r="D153" s="289" t="s">
        <v>1548</v>
      </c>
      <c r="E153" s="289" t="s">
        <v>1549</v>
      </c>
      <c r="F153" s="289" t="s">
        <v>1550</v>
      </c>
      <c r="G153" s="289" t="s">
        <v>1551</v>
      </c>
      <c r="H153" s="286">
        <v>8092</v>
      </c>
      <c r="I153" s="831" t="s">
        <v>443</v>
      </c>
      <c r="J153" s="831"/>
      <c r="K153" s="831" t="s">
        <v>443</v>
      </c>
      <c r="L153" s="831"/>
      <c r="M153" s="163" t="s">
        <v>1196</v>
      </c>
      <c r="N153" s="287" t="s">
        <v>1197</v>
      </c>
      <c r="O153" s="288" t="s">
        <v>880</v>
      </c>
      <c r="P153" s="288" t="s">
        <v>436</v>
      </c>
      <c r="Q153" s="288" t="s">
        <v>1552</v>
      </c>
      <c r="R153" s="290"/>
      <c r="S153" s="290"/>
      <c r="U153" s="232"/>
      <c r="V153" s="232"/>
      <c r="W153" s="232"/>
      <c r="X153" s="232"/>
      <c r="AB153" s="277"/>
      <c r="AC153" s="278"/>
      <c r="AD153" s="278"/>
      <c r="AE153" s="283"/>
      <c r="AF153" s="283"/>
      <c r="AG153" s="283"/>
      <c r="AH153" s="283"/>
      <c r="AI153" s="280"/>
      <c r="AJ153" s="829"/>
      <c r="AK153" s="829"/>
      <c r="AL153" s="829"/>
      <c r="AM153" s="829"/>
      <c r="AN153" s="162"/>
      <c r="AO153" s="281"/>
      <c r="AP153" s="282"/>
      <c r="AQ153" s="283"/>
    </row>
    <row r="154" spans="1:43" ht="22.5" x14ac:dyDescent="0.2">
      <c r="A154" s="284">
        <v>87</v>
      </c>
      <c r="B154" s="198" t="s">
        <v>1553</v>
      </c>
      <c r="C154" s="198" t="s">
        <v>1554</v>
      </c>
      <c r="D154" s="386" t="s">
        <v>1555</v>
      </c>
      <c r="E154" s="386" t="s">
        <v>1556</v>
      </c>
      <c r="F154" s="386" t="s">
        <v>1557</v>
      </c>
      <c r="G154" s="386" t="s">
        <v>1558</v>
      </c>
      <c r="H154" s="387">
        <v>8093</v>
      </c>
      <c r="I154" s="831" t="s">
        <v>443</v>
      </c>
      <c r="J154" s="831"/>
      <c r="K154" s="831" t="s">
        <v>443</v>
      </c>
      <c r="L154" s="831"/>
      <c r="M154" s="163" t="s">
        <v>1196</v>
      </c>
      <c r="N154" s="287" t="s">
        <v>1197</v>
      </c>
      <c r="O154" s="288" t="s">
        <v>880</v>
      </c>
      <c r="P154" s="288" t="s">
        <v>436</v>
      </c>
      <c r="Q154" s="288" t="s">
        <v>1559</v>
      </c>
      <c r="R154" s="290"/>
      <c r="S154" s="290"/>
      <c r="U154" s="232"/>
      <c r="V154" s="232"/>
      <c r="W154" s="232"/>
      <c r="X154" s="232"/>
      <c r="AB154" s="277"/>
      <c r="AC154" s="278"/>
      <c r="AD154" s="278"/>
      <c r="AE154" s="388"/>
      <c r="AF154" s="388"/>
      <c r="AG154" s="388"/>
      <c r="AH154" s="388"/>
      <c r="AI154" s="389"/>
      <c r="AJ154" s="829"/>
      <c r="AK154" s="829"/>
      <c r="AL154" s="829"/>
      <c r="AM154" s="829"/>
      <c r="AN154" s="162"/>
      <c r="AO154" s="281"/>
      <c r="AP154" s="282"/>
      <c r="AQ154" s="283"/>
    </row>
    <row r="155" spans="1:43" ht="40.5" customHeight="1" x14ac:dyDescent="0.2">
      <c r="A155" s="293">
        <v>88</v>
      </c>
      <c r="B155" s="201" t="s">
        <v>1560</v>
      </c>
      <c r="C155" s="201" t="s">
        <v>1561</v>
      </c>
      <c r="D155" s="390" t="s">
        <v>1562</v>
      </c>
      <c r="E155" s="390" t="s">
        <v>1563</v>
      </c>
      <c r="F155" s="390" t="s">
        <v>1564</v>
      </c>
      <c r="G155" s="390" t="s">
        <v>1565</v>
      </c>
      <c r="H155" s="295">
        <v>8094</v>
      </c>
      <c r="I155" s="835" t="s">
        <v>443</v>
      </c>
      <c r="J155" s="835"/>
      <c r="K155" s="835" t="s">
        <v>443</v>
      </c>
      <c r="L155" s="835"/>
      <c r="M155" s="203" t="s">
        <v>1196</v>
      </c>
      <c r="N155" s="296" t="s">
        <v>1197</v>
      </c>
      <c r="O155" s="297" t="s">
        <v>880</v>
      </c>
      <c r="P155" s="297" t="s">
        <v>435</v>
      </c>
      <c r="Q155" s="297" t="s">
        <v>1566</v>
      </c>
      <c r="R155" s="290"/>
      <c r="S155" s="290"/>
      <c r="U155" s="232"/>
      <c r="V155" s="232"/>
      <c r="W155" s="232"/>
      <c r="X155" s="232"/>
      <c r="AB155" s="277"/>
      <c r="AC155" s="278"/>
      <c r="AD155" s="278"/>
      <c r="AE155" s="283"/>
      <c r="AF155" s="283"/>
      <c r="AG155" s="283"/>
      <c r="AH155" s="283"/>
      <c r="AI155" s="280"/>
      <c r="AJ155" s="829"/>
      <c r="AK155" s="829"/>
      <c r="AL155" s="829"/>
      <c r="AM155" s="829"/>
      <c r="AN155" s="162"/>
      <c r="AO155" s="281"/>
      <c r="AP155" s="282"/>
      <c r="AQ155" s="283"/>
    </row>
    <row r="156" spans="1:43" s="233" customFormat="1" ht="18.75" customHeight="1" x14ac:dyDescent="0.2">
      <c r="A156" s="300"/>
      <c r="B156" s="301" t="s">
        <v>1631</v>
      </c>
      <c r="C156" s="302"/>
      <c r="D156" s="303"/>
      <c r="E156" s="303"/>
      <c r="F156" s="303"/>
      <c r="G156" s="303"/>
      <c r="H156" s="304"/>
      <c r="I156" s="305"/>
      <c r="J156" s="305"/>
      <c r="K156" s="303"/>
      <c r="L156" s="303"/>
      <c r="M156" s="306"/>
      <c r="N156" s="306"/>
      <c r="O156" s="306"/>
      <c r="P156" s="306"/>
      <c r="Q156" s="307"/>
      <c r="R156" s="165"/>
      <c r="S156" s="165"/>
      <c r="U156" s="232"/>
      <c r="V156" s="232"/>
      <c r="W156" s="232"/>
      <c r="X156" s="232"/>
      <c r="AB156" s="283"/>
      <c r="AC156" s="308"/>
      <c r="AD156" s="309"/>
      <c r="AE156" s="283"/>
      <c r="AF156" s="283"/>
      <c r="AG156" s="283"/>
      <c r="AH156" s="283"/>
      <c r="AI156" s="280"/>
      <c r="AJ156" s="166"/>
      <c r="AK156" s="166"/>
      <c r="AL156" s="166"/>
      <c r="AM156" s="166"/>
      <c r="AN156" s="167"/>
      <c r="AO156" s="167"/>
      <c r="AP156" s="167"/>
      <c r="AQ156" s="281"/>
    </row>
    <row r="157" spans="1:43" ht="33.75" x14ac:dyDescent="0.2">
      <c r="A157" s="284" t="s">
        <v>1129</v>
      </c>
      <c r="B157" s="199" t="s">
        <v>1130</v>
      </c>
      <c r="C157" s="198" t="s">
        <v>1131</v>
      </c>
      <c r="D157" s="356" t="s">
        <v>1132</v>
      </c>
      <c r="E157" s="356" t="s">
        <v>1133</v>
      </c>
      <c r="F157" s="316"/>
      <c r="G157" s="316"/>
      <c r="H157" s="357">
        <v>8095</v>
      </c>
      <c r="I157" s="466">
        <v>57.6</v>
      </c>
      <c r="J157" s="466">
        <f t="shared" ref="J157:L158" si="10">ROUND(I157*1.1,2)</f>
        <v>63.36</v>
      </c>
      <c r="K157" s="358"/>
      <c r="L157" s="358"/>
      <c r="M157" s="163" t="s">
        <v>1116</v>
      </c>
      <c r="N157" s="287" t="s">
        <v>894</v>
      </c>
      <c r="O157" s="288" t="s">
        <v>880</v>
      </c>
      <c r="P157" s="289" t="s">
        <v>895</v>
      </c>
      <c r="Q157" s="292" t="s">
        <v>895</v>
      </c>
      <c r="R157" s="275"/>
      <c r="S157" s="353"/>
      <c r="U157" s="232"/>
      <c r="V157" s="232"/>
      <c r="W157" s="232"/>
      <c r="X157" s="232"/>
      <c r="AB157" s="277"/>
      <c r="AC157" s="405"/>
      <c r="AD157" s="278"/>
      <c r="AE157" s="344"/>
      <c r="AF157" s="344"/>
      <c r="AG157" s="283"/>
      <c r="AH157" s="283"/>
      <c r="AI157" s="354"/>
      <c r="AJ157" s="161"/>
      <c r="AK157" s="161"/>
      <c r="AL157" s="355"/>
      <c r="AM157" s="355"/>
      <c r="AN157" s="162"/>
      <c r="AO157" s="281"/>
      <c r="AP157" s="282"/>
      <c r="AQ157" s="283"/>
    </row>
    <row r="158" spans="1:43" ht="33.75" x14ac:dyDescent="0.2">
      <c r="A158" s="293" t="s">
        <v>1134</v>
      </c>
      <c r="B158" s="200" t="s">
        <v>1135</v>
      </c>
      <c r="C158" s="201" t="s">
        <v>1131</v>
      </c>
      <c r="D158" s="406"/>
      <c r="E158" s="406"/>
      <c r="F158" s="390" t="s">
        <v>1136</v>
      </c>
      <c r="G158" s="390" t="s">
        <v>1137</v>
      </c>
      <c r="H158" s="407">
        <v>8096</v>
      </c>
      <c r="I158" s="202"/>
      <c r="J158" s="202"/>
      <c r="K158" s="864">
        <v>230.6</v>
      </c>
      <c r="L158" s="466">
        <f t="shared" si="10"/>
        <v>253.66</v>
      </c>
      <c r="M158" s="203" t="s">
        <v>1116</v>
      </c>
      <c r="N158" s="296" t="s">
        <v>894</v>
      </c>
      <c r="O158" s="297" t="s">
        <v>880</v>
      </c>
      <c r="P158" s="390" t="s">
        <v>895</v>
      </c>
      <c r="Q158" s="299" t="s">
        <v>895</v>
      </c>
      <c r="R158" s="164"/>
      <c r="S158" s="275"/>
      <c r="U158" s="232"/>
      <c r="V158" s="232"/>
      <c r="W158" s="232"/>
      <c r="X158" s="232"/>
      <c r="AB158" s="277"/>
      <c r="AC158" s="405"/>
      <c r="AD158" s="278"/>
      <c r="AE158" s="283"/>
      <c r="AF158" s="283"/>
      <c r="AG158" s="283"/>
      <c r="AH158" s="283"/>
      <c r="AI158" s="354"/>
      <c r="AJ158" s="161"/>
      <c r="AK158" s="161"/>
      <c r="AL158" s="161"/>
      <c r="AM158" s="161"/>
      <c r="AN158" s="162"/>
      <c r="AO158" s="281"/>
      <c r="AP158" s="282"/>
      <c r="AQ158" s="283"/>
    </row>
    <row r="159" spans="1:43" s="233" customFormat="1" ht="21.75" customHeight="1" x14ac:dyDescent="0.2">
      <c r="A159" s="188" t="s">
        <v>1112</v>
      </c>
      <c r="B159" s="188"/>
      <c r="C159" s="189"/>
      <c r="D159" s="398"/>
      <c r="E159" s="398"/>
      <c r="F159" s="398"/>
      <c r="G159" s="398"/>
      <c r="H159" s="399"/>
      <c r="I159" s="190"/>
      <c r="J159" s="190"/>
      <c r="K159" s="190"/>
      <c r="L159" s="190"/>
      <c r="M159" s="191"/>
      <c r="N159" s="191"/>
      <c r="O159" s="191"/>
      <c r="P159" s="191"/>
      <c r="Q159" s="192"/>
      <c r="R159" s="193"/>
      <c r="S159" s="193"/>
      <c r="U159" s="232"/>
      <c r="V159" s="232"/>
      <c r="W159" s="232"/>
      <c r="X159" s="232"/>
      <c r="AB159" s="400"/>
      <c r="AC159" s="401"/>
      <c r="AD159" s="402"/>
      <c r="AE159" s="400"/>
      <c r="AF159" s="400"/>
      <c r="AG159" s="400"/>
      <c r="AH159" s="400"/>
      <c r="AI159" s="403"/>
      <c r="AJ159" s="194"/>
      <c r="AK159" s="194"/>
      <c r="AL159" s="194"/>
      <c r="AM159" s="194"/>
      <c r="AN159" s="195"/>
      <c r="AO159" s="195"/>
      <c r="AP159" s="195"/>
      <c r="AQ159" s="404"/>
    </row>
    <row r="160" spans="1:43" ht="22.5" x14ac:dyDescent="0.2">
      <c r="A160" s="269">
        <v>100</v>
      </c>
      <c r="B160" s="177" t="s">
        <v>1113</v>
      </c>
      <c r="C160" s="196" t="s">
        <v>1114</v>
      </c>
      <c r="D160" s="838" t="s">
        <v>1115</v>
      </c>
      <c r="E160" s="838"/>
      <c r="F160" s="838"/>
      <c r="G160" s="838"/>
      <c r="H160" s="271">
        <v>8120</v>
      </c>
      <c r="I160" s="471">
        <v>0.10716000000000001</v>
      </c>
      <c r="J160" s="471">
        <f>ROUND(I160*1.1,5)</f>
        <v>0.11788</v>
      </c>
      <c r="K160" s="471">
        <v>0.10716000000000001</v>
      </c>
      <c r="L160" s="471">
        <f t="shared" ref="L160:L165" si="11">ROUND(K160*1.1,5)</f>
        <v>0.11788</v>
      </c>
      <c r="M160" s="160" t="s">
        <v>1116</v>
      </c>
      <c r="N160" s="272" t="s">
        <v>1117</v>
      </c>
      <c r="O160" s="273" t="s">
        <v>1118</v>
      </c>
      <c r="P160" s="274" t="s">
        <v>895</v>
      </c>
      <c r="Q160" s="326" t="s">
        <v>895</v>
      </c>
      <c r="R160" s="659"/>
      <c r="S160" s="659"/>
      <c r="U160" s="232"/>
      <c r="V160" s="232"/>
      <c r="W160" s="232"/>
      <c r="X160" s="232"/>
      <c r="AB160" s="277"/>
      <c r="AC160" s="327"/>
      <c r="AD160" s="278"/>
      <c r="AE160" s="827"/>
      <c r="AF160" s="827"/>
      <c r="AG160" s="827"/>
      <c r="AH160" s="827"/>
      <c r="AI160" s="280"/>
      <c r="AJ160" s="197"/>
      <c r="AK160" s="197"/>
      <c r="AL160" s="197"/>
      <c r="AM160" s="197"/>
      <c r="AN160" s="162"/>
      <c r="AO160" s="281"/>
      <c r="AP160" s="282"/>
      <c r="AQ160" s="283"/>
    </row>
    <row r="161" spans="1:43" ht="90" x14ac:dyDescent="0.2">
      <c r="A161" s="284">
        <v>101</v>
      </c>
      <c r="B161" s="179" t="s">
        <v>1119</v>
      </c>
      <c r="C161" s="198" t="s">
        <v>1604</v>
      </c>
      <c r="D161" s="834" t="s">
        <v>1120</v>
      </c>
      <c r="E161" s="834"/>
      <c r="F161" s="834"/>
      <c r="G161" s="834"/>
      <c r="H161" s="286">
        <v>8121</v>
      </c>
      <c r="I161" s="472">
        <v>3.925E-2</v>
      </c>
      <c r="J161" s="471">
        <f t="shared" ref="J161:L170" si="12">ROUND(I161*1.1,5)</f>
        <v>4.3180000000000003E-2</v>
      </c>
      <c r="K161" s="472">
        <v>3.925E-2</v>
      </c>
      <c r="L161" s="471">
        <f t="shared" si="11"/>
        <v>4.3180000000000003E-2</v>
      </c>
      <c r="M161" s="163" t="s">
        <v>1116</v>
      </c>
      <c r="N161" s="287" t="s">
        <v>1117</v>
      </c>
      <c r="O161" s="288" t="s">
        <v>1118</v>
      </c>
      <c r="P161" s="289" t="s">
        <v>895</v>
      </c>
      <c r="Q161" s="292" t="s">
        <v>895</v>
      </c>
      <c r="R161" s="659"/>
      <c r="S161" s="659"/>
      <c r="U161" s="232"/>
      <c r="V161" s="232"/>
      <c r="W161" s="232"/>
      <c r="X161" s="232"/>
      <c r="AB161" s="277"/>
      <c r="AC161" s="327"/>
      <c r="AD161" s="278"/>
      <c r="AE161" s="827"/>
      <c r="AF161" s="827"/>
      <c r="AG161" s="827"/>
      <c r="AH161" s="827"/>
      <c r="AI161" s="280"/>
      <c r="AJ161" s="197"/>
      <c r="AK161" s="197"/>
      <c r="AL161" s="197"/>
      <c r="AM161" s="197"/>
      <c r="AN161" s="162"/>
      <c r="AO161" s="281"/>
      <c r="AP161" s="282"/>
      <c r="AQ161" s="283"/>
    </row>
    <row r="162" spans="1:43" ht="22.5" x14ac:dyDescent="0.2">
      <c r="A162" s="284">
        <v>102</v>
      </c>
      <c r="B162" s="198" t="s">
        <v>1121</v>
      </c>
      <c r="C162" s="198" t="s">
        <v>1122</v>
      </c>
      <c r="D162" s="834" t="s">
        <v>1115</v>
      </c>
      <c r="E162" s="834"/>
      <c r="F162" s="834"/>
      <c r="G162" s="834"/>
      <c r="H162" s="286">
        <v>8122</v>
      </c>
      <c r="I162" s="472">
        <v>3.9399999999999998E-2</v>
      </c>
      <c r="J162" s="471">
        <f t="shared" si="12"/>
        <v>4.3339999999999997E-2</v>
      </c>
      <c r="K162" s="472">
        <v>3.9399999999999998E-2</v>
      </c>
      <c r="L162" s="471">
        <f t="shared" si="11"/>
        <v>4.3339999999999997E-2</v>
      </c>
      <c r="M162" s="163" t="s">
        <v>1116</v>
      </c>
      <c r="N162" s="287" t="s">
        <v>1123</v>
      </c>
      <c r="O162" s="288" t="s">
        <v>1118</v>
      </c>
      <c r="P162" s="289" t="s">
        <v>895</v>
      </c>
      <c r="Q162" s="292" t="s">
        <v>895</v>
      </c>
      <c r="R162" s="659"/>
      <c r="S162" s="659"/>
      <c r="U162" s="232"/>
      <c r="V162" s="232"/>
      <c r="W162" s="232"/>
      <c r="X162" s="232"/>
      <c r="AB162" s="277"/>
      <c r="AC162" s="278"/>
      <c r="AD162" s="278"/>
      <c r="AE162" s="827"/>
      <c r="AF162" s="827"/>
      <c r="AG162" s="827"/>
      <c r="AH162" s="827"/>
      <c r="AI162" s="280"/>
      <c r="AJ162" s="197"/>
      <c r="AK162" s="197"/>
      <c r="AL162" s="197"/>
      <c r="AM162" s="197"/>
      <c r="AN162" s="162"/>
      <c r="AO162" s="281"/>
      <c r="AP162" s="282"/>
      <c r="AQ162" s="283"/>
    </row>
    <row r="163" spans="1:43" ht="90" x14ac:dyDescent="0.2">
      <c r="A163" s="284">
        <v>103</v>
      </c>
      <c r="B163" s="198" t="s">
        <v>1124</v>
      </c>
      <c r="C163" s="198" t="s">
        <v>1605</v>
      </c>
      <c r="D163" s="834" t="s">
        <v>1120</v>
      </c>
      <c r="E163" s="834"/>
      <c r="F163" s="834"/>
      <c r="G163" s="834"/>
      <c r="H163" s="286">
        <v>8123</v>
      </c>
      <c r="I163" s="472">
        <v>1.443E-2</v>
      </c>
      <c r="J163" s="471">
        <f t="shared" si="12"/>
        <v>1.5869999999999999E-2</v>
      </c>
      <c r="K163" s="472">
        <v>1.443E-2</v>
      </c>
      <c r="L163" s="471">
        <f t="shared" si="11"/>
        <v>1.5869999999999999E-2</v>
      </c>
      <c r="M163" s="163" t="s">
        <v>1116</v>
      </c>
      <c r="N163" s="287" t="s">
        <v>1123</v>
      </c>
      <c r="O163" s="288" t="s">
        <v>1118</v>
      </c>
      <c r="P163" s="289" t="s">
        <v>895</v>
      </c>
      <c r="Q163" s="292" t="s">
        <v>895</v>
      </c>
      <c r="R163" s="659"/>
      <c r="S163" s="659"/>
      <c r="U163" s="232"/>
      <c r="V163" s="232"/>
      <c r="W163" s="232"/>
      <c r="X163" s="232"/>
      <c r="AB163" s="277"/>
      <c r="AC163" s="278"/>
      <c r="AD163" s="278"/>
      <c r="AE163" s="827"/>
      <c r="AF163" s="827"/>
      <c r="AG163" s="827"/>
      <c r="AH163" s="827"/>
      <c r="AI163" s="280"/>
      <c r="AJ163" s="197"/>
      <c r="AK163" s="197"/>
      <c r="AL163" s="197"/>
      <c r="AM163" s="197"/>
      <c r="AN163" s="162"/>
      <c r="AO163" s="281"/>
      <c r="AP163" s="282"/>
      <c r="AQ163" s="283"/>
    </row>
    <row r="164" spans="1:43" ht="45" x14ac:dyDescent="0.2">
      <c r="A164" s="284">
        <v>104</v>
      </c>
      <c r="B164" s="179" t="s">
        <v>1125</v>
      </c>
      <c r="C164" s="198" t="s">
        <v>1126</v>
      </c>
      <c r="D164" s="834" t="s">
        <v>1115</v>
      </c>
      <c r="E164" s="834"/>
      <c r="F164" s="834"/>
      <c r="G164" s="834"/>
      <c r="H164" s="286">
        <v>8124</v>
      </c>
      <c r="I164" s="472">
        <v>2.665E-2</v>
      </c>
      <c r="J164" s="471">
        <f t="shared" si="12"/>
        <v>2.9319999999999999E-2</v>
      </c>
      <c r="K164" s="472">
        <v>2.665E-2</v>
      </c>
      <c r="L164" s="471">
        <f t="shared" si="11"/>
        <v>2.9319999999999999E-2</v>
      </c>
      <c r="M164" s="163" t="s">
        <v>1116</v>
      </c>
      <c r="N164" s="287" t="s">
        <v>1123</v>
      </c>
      <c r="O164" s="288" t="s">
        <v>1118</v>
      </c>
      <c r="P164" s="289" t="s">
        <v>895</v>
      </c>
      <c r="Q164" s="292" t="s">
        <v>895</v>
      </c>
      <c r="R164" s="659"/>
      <c r="S164" s="659"/>
      <c r="U164" s="232"/>
      <c r="V164" s="232"/>
      <c r="W164" s="232"/>
      <c r="X164" s="232"/>
      <c r="AB164" s="277"/>
      <c r="AC164" s="327"/>
      <c r="AD164" s="278"/>
      <c r="AE164" s="827"/>
      <c r="AF164" s="827"/>
      <c r="AG164" s="827"/>
      <c r="AH164" s="827"/>
      <c r="AI164" s="280"/>
      <c r="AJ164" s="197"/>
      <c r="AK164" s="197"/>
      <c r="AL164" s="197"/>
      <c r="AM164" s="197"/>
      <c r="AN164" s="162"/>
      <c r="AO164" s="281"/>
      <c r="AP164" s="282"/>
      <c r="AQ164" s="283"/>
    </row>
    <row r="165" spans="1:43" ht="101.25" x14ac:dyDescent="0.2">
      <c r="A165" s="284">
        <v>105</v>
      </c>
      <c r="B165" s="179" t="s">
        <v>1127</v>
      </c>
      <c r="C165" s="198" t="s">
        <v>1128</v>
      </c>
      <c r="D165" s="834" t="s">
        <v>1120</v>
      </c>
      <c r="E165" s="834"/>
      <c r="F165" s="834"/>
      <c r="G165" s="834"/>
      <c r="H165" s="286">
        <v>8125</v>
      </c>
      <c r="I165" s="472">
        <v>9.7599999999999996E-3</v>
      </c>
      <c r="J165" s="471">
        <f t="shared" si="12"/>
        <v>1.074E-2</v>
      </c>
      <c r="K165" s="472">
        <v>9.7599999999999996E-3</v>
      </c>
      <c r="L165" s="471">
        <f t="shared" si="11"/>
        <v>1.074E-2</v>
      </c>
      <c r="M165" s="163" t="s">
        <v>1116</v>
      </c>
      <c r="N165" s="287" t="s">
        <v>1123</v>
      </c>
      <c r="O165" s="288" t="s">
        <v>1118</v>
      </c>
      <c r="P165" s="289" t="s">
        <v>895</v>
      </c>
      <c r="Q165" s="292" t="s">
        <v>895</v>
      </c>
      <c r="R165" s="659"/>
      <c r="S165" s="659"/>
      <c r="U165" s="232"/>
      <c r="V165" s="232"/>
      <c r="W165" s="232"/>
      <c r="X165" s="232"/>
      <c r="AB165" s="277"/>
      <c r="AC165" s="327"/>
      <c r="AD165" s="278"/>
      <c r="AE165" s="827"/>
      <c r="AF165" s="827"/>
      <c r="AG165" s="827"/>
      <c r="AH165" s="827"/>
      <c r="AI165" s="280"/>
      <c r="AJ165" s="197"/>
      <c r="AK165" s="197"/>
      <c r="AL165" s="197"/>
      <c r="AM165" s="197"/>
      <c r="AN165" s="162"/>
      <c r="AO165" s="281"/>
      <c r="AP165" s="282"/>
      <c r="AQ165" s="283"/>
    </row>
    <row r="166" spans="1:43" s="233" customFormat="1" ht="29.25" customHeight="1" x14ac:dyDescent="0.2">
      <c r="A166" s="188" t="s">
        <v>1138</v>
      </c>
      <c r="B166" s="188"/>
      <c r="C166" s="189"/>
      <c r="D166" s="398"/>
      <c r="E166" s="398"/>
      <c r="F166" s="398"/>
      <c r="G166" s="398"/>
      <c r="H166" s="399"/>
      <c r="I166" s="190"/>
      <c r="J166" s="190"/>
      <c r="K166" s="190"/>
      <c r="L166" s="190"/>
      <c r="M166" s="191"/>
      <c r="N166" s="191"/>
      <c r="O166" s="191"/>
      <c r="P166" s="191"/>
      <c r="Q166" s="192"/>
      <c r="R166" s="193"/>
      <c r="S166" s="193"/>
      <c r="U166" s="232"/>
      <c r="V166" s="232"/>
      <c r="W166" s="232"/>
      <c r="X166" s="232"/>
      <c r="AB166" s="400"/>
      <c r="AC166" s="401"/>
      <c r="AD166" s="402"/>
      <c r="AE166" s="400"/>
      <c r="AF166" s="400"/>
      <c r="AG166" s="400"/>
      <c r="AH166" s="400"/>
      <c r="AI166" s="403"/>
      <c r="AJ166" s="194"/>
      <c r="AK166" s="194"/>
      <c r="AL166" s="194"/>
      <c r="AM166" s="194"/>
      <c r="AN166" s="195"/>
      <c r="AO166" s="195"/>
      <c r="AP166" s="195"/>
      <c r="AQ166" s="404"/>
    </row>
    <row r="167" spans="1:43" ht="45" x14ac:dyDescent="0.2">
      <c r="A167" s="269">
        <v>130</v>
      </c>
      <c r="B167" s="177" t="s">
        <v>1139</v>
      </c>
      <c r="C167" s="196" t="s">
        <v>1140</v>
      </c>
      <c r="D167" s="838" t="s">
        <v>1141</v>
      </c>
      <c r="E167" s="838"/>
      <c r="F167" s="838"/>
      <c r="G167" s="838"/>
      <c r="H167" s="271">
        <v>8130</v>
      </c>
      <c r="I167" s="473">
        <v>1.30966</v>
      </c>
      <c r="J167" s="474">
        <f t="shared" si="12"/>
        <v>1.4406300000000001</v>
      </c>
      <c r="K167" s="473">
        <v>1.30966</v>
      </c>
      <c r="L167" s="474">
        <f t="shared" si="12"/>
        <v>1.4406300000000001</v>
      </c>
      <c r="M167" s="160" t="s">
        <v>1142</v>
      </c>
      <c r="N167" s="272" t="s">
        <v>1143</v>
      </c>
      <c r="O167" s="273" t="s">
        <v>1118</v>
      </c>
      <c r="P167" s="274" t="s">
        <v>895</v>
      </c>
      <c r="Q167" s="326" t="s">
        <v>895</v>
      </c>
      <c r="R167" s="659"/>
      <c r="S167" s="659"/>
      <c r="U167" s="232"/>
      <c r="V167" s="232"/>
      <c r="W167" s="232"/>
      <c r="X167" s="232"/>
      <c r="AB167" s="277"/>
      <c r="AC167" s="327"/>
      <c r="AD167" s="278"/>
      <c r="AE167" s="827"/>
      <c r="AF167" s="827"/>
      <c r="AG167" s="827"/>
      <c r="AH167" s="827"/>
      <c r="AI167" s="280"/>
      <c r="AJ167" s="204"/>
      <c r="AK167" s="204"/>
      <c r="AL167" s="204"/>
      <c r="AM167" s="204"/>
      <c r="AN167" s="162"/>
      <c r="AO167" s="281"/>
      <c r="AP167" s="282"/>
      <c r="AQ167" s="283"/>
    </row>
    <row r="168" spans="1:43" ht="45" x14ac:dyDescent="0.2">
      <c r="A168" s="284">
        <v>131</v>
      </c>
      <c r="B168" s="198" t="s">
        <v>1144</v>
      </c>
      <c r="C168" s="198" t="s">
        <v>1145</v>
      </c>
      <c r="D168" s="834" t="s">
        <v>1146</v>
      </c>
      <c r="E168" s="834"/>
      <c r="F168" s="834"/>
      <c r="G168" s="834"/>
      <c r="H168" s="286">
        <v>8131</v>
      </c>
      <c r="I168" s="475">
        <v>0.78027999999999997</v>
      </c>
      <c r="J168" s="476">
        <f t="shared" si="12"/>
        <v>0.85831000000000002</v>
      </c>
      <c r="K168" s="475">
        <v>0.78027999999999997</v>
      </c>
      <c r="L168" s="476">
        <f t="shared" si="12"/>
        <v>0.85831000000000002</v>
      </c>
      <c r="M168" s="163" t="s">
        <v>1142</v>
      </c>
      <c r="N168" s="287" t="s">
        <v>1143</v>
      </c>
      <c r="O168" s="288" t="s">
        <v>1118</v>
      </c>
      <c r="P168" s="289" t="s">
        <v>895</v>
      </c>
      <c r="Q168" s="292" t="s">
        <v>895</v>
      </c>
      <c r="R168" s="659"/>
      <c r="S168" s="659"/>
      <c r="U168" s="232"/>
      <c r="V168" s="232"/>
      <c r="W168" s="232"/>
      <c r="X168" s="232"/>
      <c r="AB168" s="277"/>
      <c r="AC168" s="278"/>
      <c r="AD168" s="278"/>
      <c r="AE168" s="827"/>
      <c r="AF168" s="827"/>
      <c r="AG168" s="827"/>
      <c r="AH168" s="827"/>
      <c r="AI168" s="280"/>
      <c r="AJ168" s="204"/>
      <c r="AK168" s="204"/>
      <c r="AL168" s="204"/>
      <c r="AM168" s="204"/>
      <c r="AN168" s="162"/>
      <c r="AO168" s="281"/>
      <c r="AP168" s="282"/>
      <c r="AQ168" s="283"/>
    </row>
    <row r="169" spans="1:43" ht="45" x14ac:dyDescent="0.2">
      <c r="A169" s="284">
        <v>132</v>
      </c>
      <c r="B169" s="179" t="s">
        <v>1147</v>
      </c>
      <c r="C169" s="198" t="s">
        <v>1148</v>
      </c>
      <c r="D169" s="834" t="s">
        <v>1149</v>
      </c>
      <c r="E169" s="834"/>
      <c r="F169" s="834"/>
      <c r="G169" s="834"/>
      <c r="H169" s="286">
        <v>8132</v>
      </c>
      <c r="I169" s="475">
        <v>0.52886999999999995</v>
      </c>
      <c r="J169" s="476">
        <f t="shared" si="12"/>
        <v>0.58176000000000005</v>
      </c>
      <c r="K169" s="476">
        <v>0.52886999999999995</v>
      </c>
      <c r="L169" s="476">
        <f t="shared" si="12"/>
        <v>0.58176000000000005</v>
      </c>
      <c r="M169" s="163" t="s">
        <v>1142</v>
      </c>
      <c r="N169" s="287" t="s">
        <v>1143</v>
      </c>
      <c r="O169" s="288" t="s">
        <v>1118</v>
      </c>
      <c r="P169" s="289" t="s">
        <v>895</v>
      </c>
      <c r="Q169" s="292" t="s">
        <v>895</v>
      </c>
      <c r="R169" s="659"/>
      <c r="S169" s="659"/>
      <c r="U169" s="232"/>
      <c r="V169" s="232"/>
      <c r="W169" s="232"/>
      <c r="X169" s="232"/>
      <c r="AB169" s="277"/>
      <c r="AC169" s="327"/>
      <c r="AD169" s="278"/>
      <c r="AE169" s="827"/>
      <c r="AF169" s="827"/>
      <c r="AG169" s="827"/>
      <c r="AH169" s="827"/>
      <c r="AI169" s="280"/>
      <c r="AJ169" s="204"/>
      <c r="AK169" s="204"/>
      <c r="AL169" s="204"/>
      <c r="AM169" s="204"/>
      <c r="AN169" s="162"/>
      <c r="AO169" s="281"/>
      <c r="AP169" s="282"/>
      <c r="AQ169" s="283"/>
    </row>
    <row r="170" spans="1:43" ht="45" x14ac:dyDescent="0.2">
      <c r="A170" s="284">
        <v>133</v>
      </c>
      <c r="B170" s="198" t="s">
        <v>1150</v>
      </c>
      <c r="C170" s="198" t="s">
        <v>1151</v>
      </c>
      <c r="D170" s="834" t="s">
        <v>1152</v>
      </c>
      <c r="E170" s="834"/>
      <c r="F170" s="834"/>
      <c r="G170" s="834"/>
      <c r="H170" s="286">
        <v>8133</v>
      </c>
      <c r="I170" s="475">
        <v>0.34644999999999998</v>
      </c>
      <c r="J170" s="476">
        <f t="shared" si="12"/>
        <v>0.38109999999999999</v>
      </c>
      <c r="K170" s="476">
        <v>0.34644999999999998</v>
      </c>
      <c r="L170" s="476">
        <f t="shared" si="12"/>
        <v>0.38109999999999999</v>
      </c>
      <c r="M170" s="163" t="s">
        <v>1142</v>
      </c>
      <c r="N170" s="287" t="s">
        <v>1143</v>
      </c>
      <c r="O170" s="288" t="s">
        <v>1118</v>
      </c>
      <c r="P170" s="289" t="s">
        <v>895</v>
      </c>
      <c r="Q170" s="292" t="s">
        <v>895</v>
      </c>
      <c r="R170" s="659"/>
      <c r="S170" s="659"/>
      <c r="U170" s="232"/>
      <c r="V170" s="232"/>
      <c r="W170" s="232"/>
      <c r="X170" s="232"/>
      <c r="AB170" s="277"/>
      <c r="AC170" s="278"/>
      <c r="AD170" s="278"/>
      <c r="AE170" s="827"/>
      <c r="AF170" s="827"/>
      <c r="AG170" s="827"/>
      <c r="AH170" s="827"/>
      <c r="AI170" s="280"/>
      <c r="AJ170" s="204"/>
      <c r="AK170" s="204"/>
      <c r="AL170" s="204"/>
      <c r="AM170" s="204"/>
      <c r="AN170" s="162"/>
      <c r="AO170" s="281"/>
      <c r="AP170" s="282"/>
      <c r="AQ170" s="283"/>
    </row>
    <row r="171" spans="1:43" s="233" customFormat="1" x14ac:dyDescent="0.2">
      <c r="A171" s="300"/>
      <c r="B171" s="301" t="s">
        <v>1630</v>
      </c>
      <c r="C171" s="302"/>
      <c r="D171" s="303"/>
      <c r="E171" s="303"/>
      <c r="F171" s="303"/>
      <c r="G171" s="303"/>
      <c r="H171" s="304"/>
      <c r="I171" s="305"/>
      <c r="J171" s="305"/>
      <c r="K171" s="303"/>
      <c r="L171" s="303"/>
      <c r="M171" s="306"/>
      <c r="N171" s="306"/>
      <c r="O171" s="306"/>
      <c r="P171" s="306"/>
      <c r="Q171" s="307"/>
      <c r="R171" s="165"/>
      <c r="S171" s="165"/>
      <c r="U171" s="232"/>
      <c r="V171" s="232"/>
      <c r="W171" s="232"/>
      <c r="X171" s="232"/>
      <c r="AB171" s="283"/>
      <c r="AC171" s="308"/>
      <c r="AD171" s="309"/>
      <c r="AE171" s="283"/>
      <c r="AF171" s="283"/>
      <c r="AG171" s="283"/>
      <c r="AH171" s="283"/>
      <c r="AI171" s="280"/>
      <c r="AJ171" s="166"/>
      <c r="AK171" s="166"/>
      <c r="AL171" s="166"/>
      <c r="AM171" s="166"/>
      <c r="AN171" s="167"/>
      <c r="AO171" s="167"/>
      <c r="AP171" s="167"/>
      <c r="AQ171" s="281"/>
    </row>
    <row r="172" spans="1:43" ht="22.5" x14ac:dyDescent="0.2">
      <c r="A172" s="392">
        <v>98</v>
      </c>
      <c r="B172" s="393" t="s">
        <v>1602</v>
      </c>
      <c r="C172" s="393" t="s">
        <v>1603</v>
      </c>
      <c r="D172" s="839" t="s">
        <v>1195</v>
      </c>
      <c r="E172" s="839"/>
      <c r="F172" s="839"/>
      <c r="G172" s="839"/>
      <c r="H172" s="394">
        <v>8138</v>
      </c>
      <c r="I172" s="837" t="s">
        <v>443</v>
      </c>
      <c r="J172" s="837"/>
      <c r="K172" s="837" t="s">
        <v>443</v>
      </c>
      <c r="L172" s="837"/>
      <c r="M172" s="395" t="s">
        <v>1196</v>
      </c>
      <c r="N172" s="396" t="s">
        <v>1197</v>
      </c>
      <c r="O172" s="397" t="s">
        <v>434</v>
      </c>
      <c r="P172" s="397" t="s">
        <v>436</v>
      </c>
      <c r="Q172" s="397" t="s">
        <v>895</v>
      </c>
      <c r="R172" s="391"/>
      <c r="S172" s="290"/>
      <c r="U172" s="232"/>
      <c r="V172" s="232"/>
      <c r="W172" s="232"/>
      <c r="X172" s="232"/>
      <c r="AB172" s="277"/>
      <c r="AC172" s="278"/>
      <c r="AD172" s="278"/>
      <c r="AE172" s="828"/>
      <c r="AF172" s="828"/>
      <c r="AG172" s="828"/>
      <c r="AH172" s="828"/>
      <c r="AI172" s="348"/>
      <c r="AJ172" s="829"/>
      <c r="AK172" s="829"/>
      <c r="AL172" s="829"/>
      <c r="AM172" s="829"/>
      <c r="AN172" s="162"/>
      <c r="AO172" s="281"/>
      <c r="AP172" s="282"/>
      <c r="AQ172" s="283"/>
    </row>
    <row r="173" spans="1:43" s="233" customFormat="1" x14ac:dyDescent="0.2">
      <c r="A173" s="300"/>
      <c r="B173" s="301" t="s">
        <v>1629</v>
      </c>
      <c r="C173" s="302"/>
      <c r="D173" s="303"/>
      <c r="E173" s="303"/>
      <c r="F173" s="303"/>
      <c r="G173" s="303"/>
      <c r="H173" s="304"/>
      <c r="I173" s="305"/>
      <c r="J173" s="305"/>
      <c r="K173" s="303"/>
      <c r="L173" s="303"/>
      <c r="M173" s="306"/>
      <c r="N173" s="306"/>
      <c r="O173" s="306"/>
      <c r="P173" s="306"/>
      <c r="Q173" s="307"/>
      <c r="R173" s="165"/>
      <c r="S173" s="165"/>
      <c r="U173" s="232"/>
      <c r="V173" s="232"/>
      <c r="W173" s="232"/>
      <c r="X173" s="232"/>
      <c r="AB173" s="283"/>
      <c r="AC173" s="308"/>
      <c r="AD173" s="309"/>
      <c r="AE173" s="283"/>
      <c r="AF173" s="283"/>
      <c r="AG173" s="283"/>
      <c r="AH173" s="283"/>
      <c r="AI173" s="280"/>
      <c r="AJ173" s="166"/>
      <c r="AK173" s="166"/>
      <c r="AL173" s="166"/>
      <c r="AM173" s="166"/>
      <c r="AN173" s="167"/>
      <c r="AO173" s="167"/>
      <c r="AP173" s="167"/>
      <c r="AQ173" s="281"/>
    </row>
    <row r="174" spans="1:43" ht="33.75" x14ac:dyDescent="0.2">
      <c r="A174" s="284">
        <v>134</v>
      </c>
      <c r="B174" s="179" t="s">
        <v>1153</v>
      </c>
      <c r="C174" s="198" t="s">
        <v>1154</v>
      </c>
      <c r="D174" s="834" t="s">
        <v>1155</v>
      </c>
      <c r="E174" s="834"/>
      <c r="F174" s="834"/>
      <c r="G174" s="834"/>
      <c r="H174" s="286">
        <v>8134</v>
      </c>
      <c r="I174" s="469">
        <v>1513.47</v>
      </c>
      <c r="J174" s="466">
        <f t="shared" ref="J174:J177" si="13">ROUND(I174*1.1,2)</f>
        <v>1664.82</v>
      </c>
      <c r="K174" s="469">
        <v>1513.47</v>
      </c>
      <c r="L174" s="466">
        <f t="shared" ref="L174:L177" si="14">ROUND(K174*1.1,2)</f>
        <v>1664.82</v>
      </c>
      <c r="M174" s="163" t="s">
        <v>1142</v>
      </c>
      <c r="N174" s="287" t="s">
        <v>1156</v>
      </c>
      <c r="O174" s="288" t="s">
        <v>880</v>
      </c>
      <c r="P174" s="289" t="s">
        <v>895</v>
      </c>
      <c r="Q174" s="292" t="s">
        <v>895</v>
      </c>
      <c r="R174" s="275"/>
      <c r="S174" s="275"/>
      <c r="U174" s="232"/>
      <c r="V174" s="232"/>
      <c r="W174" s="232"/>
      <c r="X174" s="232"/>
      <c r="AB174" s="277"/>
      <c r="AC174" s="327"/>
      <c r="AD174" s="278"/>
      <c r="AE174" s="827"/>
      <c r="AF174" s="827"/>
      <c r="AG174" s="827"/>
      <c r="AH174" s="827"/>
      <c r="AI174" s="280"/>
      <c r="AJ174" s="205"/>
      <c r="AK174" s="205"/>
      <c r="AL174" s="205"/>
      <c r="AM174" s="205"/>
      <c r="AN174" s="162"/>
      <c r="AO174" s="281"/>
      <c r="AP174" s="282"/>
      <c r="AQ174" s="283"/>
    </row>
    <row r="175" spans="1:43" ht="33.75" x14ac:dyDescent="0.2">
      <c r="A175" s="284">
        <v>135</v>
      </c>
      <c r="B175" s="198" t="s">
        <v>1157</v>
      </c>
      <c r="C175" s="198" t="s">
        <v>1158</v>
      </c>
      <c r="D175" s="834" t="s">
        <v>1159</v>
      </c>
      <c r="E175" s="834"/>
      <c r="F175" s="834"/>
      <c r="G175" s="834"/>
      <c r="H175" s="286">
        <v>8135</v>
      </c>
      <c r="I175" s="469">
        <v>914.61</v>
      </c>
      <c r="J175" s="466">
        <f t="shared" si="13"/>
        <v>1006.07</v>
      </c>
      <c r="K175" s="469">
        <v>914.61</v>
      </c>
      <c r="L175" s="466">
        <f t="shared" si="14"/>
        <v>1006.07</v>
      </c>
      <c r="M175" s="163" t="s">
        <v>1142</v>
      </c>
      <c r="N175" s="287" t="s">
        <v>1156</v>
      </c>
      <c r="O175" s="288" t="s">
        <v>880</v>
      </c>
      <c r="P175" s="289" t="s">
        <v>895</v>
      </c>
      <c r="Q175" s="292" t="s">
        <v>895</v>
      </c>
      <c r="R175" s="275"/>
      <c r="S175" s="275"/>
      <c r="U175" s="232"/>
      <c r="V175" s="232"/>
      <c r="W175" s="232"/>
      <c r="X175" s="232"/>
      <c r="AB175" s="277"/>
      <c r="AC175" s="278"/>
      <c r="AD175" s="278"/>
      <c r="AE175" s="827"/>
      <c r="AF175" s="827"/>
      <c r="AG175" s="827"/>
      <c r="AH175" s="827"/>
      <c r="AI175" s="280"/>
      <c r="AJ175" s="205"/>
      <c r="AK175" s="205"/>
      <c r="AL175" s="205"/>
      <c r="AM175" s="205"/>
      <c r="AN175" s="162"/>
      <c r="AO175" s="281"/>
      <c r="AP175" s="282"/>
      <c r="AQ175" s="283"/>
    </row>
    <row r="176" spans="1:43" ht="33.75" x14ac:dyDescent="0.2">
      <c r="A176" s="284">
        <v>136</v>
      </c>
      <c r="B176" s="179" t="s">
        <v>1160</v>
      </c>
      <c r="C176" s="198" t="s">
        <v>1161</v>
      </c>
      <c r="D176" s="834" t="s">
        <v>1162</v>
      </c>
      <c r="E176" s="834"/>
      <c r="F176" s="834"/>
      <c r="G176" s="834"/>
      <c r="H176" s="286">
        <v>8136</v>
      </c>
      <c r="I176" s="469">
        <v>250.43</v>
      </c>
      <c r="J176" s="466">
        <f t="shared" si="13"/>
        <v>275.47000000000003</v>
      </c>
      <c r="K176" s="469">
        <v>250.43</v>
      </c>
      <c r="L176" s="466">
        <f t="shared" si="14"/>
        <v>275.47000000000003</v>
      </c>
      <c r="M176" s="163" t="s">
        <v>1142</v>
      </c>
      <c r="N176" s="287" t="s">
        <v>1156</v>
      </c>
      <c r="O176" s="288" t="s">
        <v>880</v>
      </c>
      <c r="P176" s="289" t="s">
        <v>895</v>
      </c>
      <c r="Q176" s="292" t="s">
        <v>895</v>
      </c>
      <c r="R176" s="275"/>
      <c r="S176" s="275"/>
      <c r="U176" s="232"/>
      <c r="V176" s="232"/>
      <c r="W176" s="232"/>
      <c r="X176" s="232"/>
      <c r="AB176" s="277"/>
      <c r="AC176" s="327"/>
      <c r="AD176" s="278"/>
      <c r="AE176" s="827"/>
      <c r="AF176" s="827"/>
      <c r="AG176" s="827"/>
      <c r="AH176" s="827"/>
      <c r="AI176" s="280"/>
      <c r="AJ176" s="205"/>
      <c r="AK176" s="205"/>
      <c r="AL176" s="205"/>
      <c r="AM176" s="205"/>
      <c r="AN176" s="162"/>
      <c r="AO176" s="281"/>
      <c r="AP176" s="282"/>
      <c r="AQ176" s="283"/>
    </row>
    <row r="177" spans="1:43" ht="33.75" x14ac:dyDescent="0.2">
      <c r="A177" s="284">
        <v>137</v>
      </c>
      <c r="B177" s="198" t="s">
        <v>1163</v>
      </c>
      <c r="C177" s="198" t="s">
        <v>1164</v>
      </c>
      <c r="D177" s="834" t="s">
        <v>1165</v>
      </c>
      <c r="E177" s="834"/>
      <c r="F177" s="834"/>
      <c r="G177" s="834"/>
      <c r="H177" s="286">
        <v>8137</v>
      </c>
      <c r="I177" s="469">
        <v>212.32</v>
      </c>
      <c r="J177" s="466">
        <f t="shared" si="13"/>
        <v>233.55</v>
      </c>
      <c r="K177" s="469">
        <v>212.32</v>
      </c>
      <c r="L177" s="466">
        <f t="shared" si="14"/>
        <v>233.55</v>
      </c>
      <c r="M177" s="163" t="s">
        <v>1142</v>
      </c>
      <c r="N177" s="287" t="s">
        <v>1156</v>
      </c>
      <c r="O177" s="288" t="s">
        <v>880</v>
      </c>
      <c r="P177" s="289" t="s">
        <v>895</v>
      </c>
      <c r="Q177" s="292" t="s">
        <v>895</v>
      </c>
      <c r="R177" s="275"/>
      <c r="S177" s="275"/>
      <c r="U177" s="232"/>
      <c r="V177" s="232"/>
      <c r="W177" s="232"/>
      <c r="X177" s="232"/>
      <c r="Y177" s="232"/>
      <c r="AB177" s="277"/>
      <c r="AC177" s="278"/>
      <c r="AD177" s="278"/>
      <c r="AE177" s="827"/>
      <c r="AF177" s="827"/>
      <c r="AG177" s="827"/>
      <c r="AH177" s="827"/>
      <c r="AI177" s="280"/>
      <c r="AJ177" s="205"/>
      <c r="AK177" s="205"/>
      <c r="AL177" s="205"/>
      <c r="AM177" s="205"/>
      <c r="AN177" s="162"/>
      <c r="AO177" s="281"/>
      <c r="AP177" s="282"/>
      <c r="AQ177" s="283"/>
    </row>
    <row r="178" spans="1:43" x14ac:dyDescent="0.2">
      <c r="A178" s="408"/>
      <c r="B178" s="409"/>
      <c r="C178" s="409"/>
      <c r="D178" s="244"/>
      <c r="E178" s="244"/>
      <c r="F178" s="244"/>
      <c r="G178" s="244"/>
      <c r="H178" s="410"/>
      <c r="I178" s="206"/>
      <c r="J178" s="206"/>
      <c r="K178" s="206"/>
      <c r="L178" s="206"/>
      <c r="M178" s="207"/>
      <c r="N178" s="411"/>
      <c r="O178" s="412"/>
      <c r="P178" s="244"/>
      <c r="Q178" s="244"/>
      <c r="R178" s="219"/>
      <c r="S178" s="219"/>
    </row>
    <row r="179" spans="1:43" x14ac:dyDescent="0.2">
      <c r="A179" s="224"/>
      <c r="B179" s="222"/>
      <c r="C179" s="222"/>
      <c r="D179" s="222"/>
      <c r="E179" s="222"/>
      <c r="F179" s="222"/>
      <c r="G179" s="222"/>
      <c r="H179" s="413"/>
      <c r="I179" s="224"/>
      <c r="J179" s="224"/>
      <c r="K179" s="222"/>
      <c r="L179" s="222"/>
      <c r="M179" s="414"/>
      <c r="N179" s="216"/>
      <c r="O179" s="217"/>
      <c r="P179" s="218"/>
      <c r="Q179" s="218"/>
      <c r="R179" s="219"/>
      <c r="S179" s="219"/>
    </row>
    <row r="180" spans="1:43" x14ac:dyDescent="0.2">
      <c r="A180" s="224"/>
      <c r="B180" s="415" t="s">
        <v>1606</v>
      </c>
      <c r="C180" s="222"/>
      <c r="D180" s="222"/>
      <c r="E180" s="222"/>
      <c r="F180" s="222"/>
      <c r="G180" s="222"/>
      <c r="H180" s="413"/>
      <c r="I180" s="224"/>
      <c r="J180" s="224"/>
      <c r="K180" s="222"/>
      <c r="L180" s="222"/>
      <c r="M180" s="414"/>
      <c r="N180" s="216"/>
      <c r="O180" s="217"/>
      <c r="P180" s="218"/>
      <c r="Q180" s="218"/>
      <c r="R180" s="219"/>
      <c r="S180" s="219"/>
    </row>
    <row r="181" spans="1:43" x14ac:dyDescent="0.2">
      <c r="A181" s="224"/>
      <c r="B181" s="416" t="s">
        <v>1607</v>
      </c>
      <c r="C181" s="416"/>
      <c r="D181" s="848" t="s">
        <v>1608</v>
      </c>
      <c r="E181" s="848"/>
      <c r="F181" s="848"/>
      <c r="G181" s="848"/>
      <c r="H181" s="417">
        <v>8150</v>
      </c>
      <c r="I181" s="224"/>
      <c r="J181" s="224"/>
      <c r="K181" s="222"/>
      <c r="L181" s="222"/>
      <c r="M181" s="414"/>
      <c r="N181" s="216"/>
      <c r="O181" s="217"/>
      <c r="P181" s="218"/>
      <c r="Q181" s="218"/>
      <c r="R181" s="219"/>
      <c r="S181" s="219"/>
    </row>
    <row r="182" spans="1:43" x14ac:dyDescent="0.2">
      <c r="A182" s="224"/>
      <c r="B182" s="416" t="s">
        <v>1609</v>
      </c>
      <c r="C182" s="416"/>
      <c r="D182" s="848" t="s">
        <v>1610</v>
      </c>
      <c r="E182" s="848"/>
      <c r="F182" s="848"/>
      <c r="G182" s="848"/>
      <c r="H182" s="417">
        <v>8152</v>
      </c>
      <c r="I182" s="224"/>
      <c r="J182" s="224"/>
      <c r="K182" s="222"/>
      <c r="L182" s="222"/>
      <c r="M182" s="414"/>
      <c r="N182" s="216"/>
      <c r="O182" s="217"/>
      <c r="P182" s="218"/>
      <c r="Q182" s="218"/>
      <c r="R182" s="219"/>
      <c r="S182" s="219"/>
    </row>
    <row r="183" spans="1:43" x14ac:dyDescent="0.2">
      <c r="A183" s="224"/>
      <c r="B183" s="416" t="s">
        <v>1611</v>
      </c>
      <c r="C183" s="416"/>
      <c r="D183" s="416"/>
      <c r="E183" s="416"/>
      <c r="F183" s="416"/>
      <c r="G183" s="416"/>
      <c r="H183" s="417">
        <v>8151</v>
      </c>
      <c r="I183" s="224"/>
      <c r="J183" s="224"/>
      <c r="K183" s="222"/>
      <c r="L183" s="222"/>
      <c r="M183" s="414"/>
      <c r="N183" s="216"/>
      <c r="O183" s="217"/>
      <c r="P183" s="218"/>
      <c r="Q183" s="218"/>
      <c r="R183" s="219"/>
      <c r="S183" s="219"/>
    </row>
    <row r="184" spans="1:43" x14ac:dyDescent="0.2">
      <c r="A184" s="224"/>
      <c r="B184" s="418" t="s">
        <v>1612</v>
      </c>
      <c r="C184" s="416"/>
      <c r="D184" s="416"/>
      <c r="E184" s="416"/>
      <c r="F184" s="416"/>
      <c r="G184" s="416"/>
      <c r="H184" s="417">
        <v>3200</v>
      </c>
      <c r="I184" s="224"/>
      <c r="J184" s="224"/>
      <c r="K184" s="222"/>
      <c r="L184" s="222"/>
      <c r="M184" s="414"/>
      <c r="N184" s="216"/>
      <c r="O184" s="217"/>
      <c r="P184" s="218"/>
      <c r="Q184" s="218"/>
      <c r="R184" s="219"/>
      <c r="S184" s="219"/>
    </row>
    <row r="185" spans="1:43" x14ac:dyDescent="0.2">
      <c r="A185" s="224"/>
      <c r="B185" s="222"/>
      <c r="C185" s="222"/>
      <c r="D185" s="222"/>
      <c r="E185" s="222"/>
      <c r="F185" s="222"/>
      <c r="G185" s="222"/>
      <c r="H185" s="413"/>
      <c r="I185" s="224"/>
      <c r="J185" s="224"/>
      <c r="K185" s="222"/>
      <c r="L185" s="222"/>
      <c r="M185" s="414"/>
      <c r="N185" s="216"/>
      <c r="O185" s="217"/>
      <c r="P185" s="218"/>
      <c r="Q185" s="218"/>
      <c r="R185" s="219"/>
      <c r="S185" s="219"/>
    </row>
    <row r="186" spans="1:43" x14ac:dyDescent="0.2">
      <c r="A186" s="224"/>
      <c r="B186" s="222"/>
      <c r="C186" s="222"/>
      <c r="D186" s="222"/>
      <c r="E186" s="222"/>
      <c r="F186" s="222"/>
      <c r="G186" s="222"/>
      <c r="H186" s="413"/>
      <c r="I186" s="224"/>
      <c r="J186" s="224"/>
      <c r="K186" s="222"/>
      <c r="L186" s="222"/>
      <c r="M186" s="414"/>
      <c r="N186" s="216"/>
      <c r="O186" s="217"/>
      <c r="P186" s="218"/>
      <c r="Q186" s="218"/>
      <c r="R186" s="219"/>
      <c r="S186" s="219"/>
    </row>
    <row r="187" spans="1:43" x14ac:dyDescent="0.2">
      <c r="A187" s="224"/>
      <c r="B187" s="222"/>
      <c r="C187" s="222"/>
      <c r="D187" s="222"/>
      <c r="E187" s="222"/>
      <c r="F187" s="222"/>
      <c r="G187" s="222"/>
      <c r="H187" s="413"/>
      <c r="I187" s="224"/>
      <c r="J187" s="224"/>
      <c r="K187" s="222"/>
      <c r="L187" s="222"/>
      <c r="M187" s="414"/>
      <c r="N187" s="216"/>
      <c r="O187" s="217"/>
      <c r="P187" s="218"/>
      <c r="Q187" s="218"/>
      <c r="R187" s="219"/>
      <c r="S187" s="219"/>
    </row>
    <row r="188" spans="1:43" x14ac:dyDescent="0.2">
      <c r="A188" s="224"/>
      <c r="B188" s="222"/>
      <c r="C188" s="222"/>
      <c r="D188" s="222"/>
      <c r="E188" s="222"/>
      <c r="F188" s="222"/>
      <c r="G188" s="222"/>
      <c r="H188" s="413"/>
      <c r="I188" s="224"/>
      <c r="J188" s="224"/>
      <c r="K188" s="222"/>
      <c r="L188" s="222"/>
      <c r="M188" s="414"/>
      <c r="N188" s="216"/>
      <c r="O188" s="217"/>
      <c r="P188" s="218"/>
      <c r="Q188" s="218"/>
      <c r="R188" s="219"/>
    </row>
    <row r="189" spans="1:43" x14ac:dyDescent="0.2">
      <c r="A189" s="224"/>
      <c r="B189" s="222"/>
      <c r="C189" s="222"/>
      <c r="D189" s="222"/>
      <c r="E189" s="222"/>
      <c r="F189" s="222"/>
      <c r="G189" s="222"/>
      <c r="H189" s="413"/>
      <c r="I189" s="224"/>
      <c r="J189" s="224"/>
      <c r="K189" s="222"/>
      <c r="L189" s="222"/>
      <c r="M189" s="414"/>
      <c r="N189" s="216"/>
      <c r="O189" s="217"/>
      <c r="P189" s="218"/>
      <c r="Q189" s="218"/>
      <c r="R189" s="219"/>
    </row>
    <row r="190" spans="1:43" x14ac:dyDescent="0.2"/>
    <row r="191" spans="1:43" x14ac:dyDescent="0.2"/>
    <row r="192" spans="1:43" x14ac:dyDescent="0.2"/>
    <row r="193" x14ac:dyDescent="0.2"/>
    <row r="194" x14ac:dyDescent="0.2"/>
    <row r="195" x14ac:dyDescent="0.2"/>
    <row r="196" x14ac:dyDescent="0.2"/>
    <row r="197" x14ac:dyDescent="0.2"/>
    <row r="198" x14ac:dyDescent="0.2"/>
    <row r="199" x14ac:dyDescent="0.2"/>
    <row r="200" x14ac:dyDescent="0.2"/>
    <row r="201" x14ac:dyDescent="0.2"/>
    <row r="202" x14ac:dyDescent="0.2"/>
    <row r="203" x14ac:dyDescent="0.2"/>
    <row r="204" x14ac:dyDescent="0.2"/>
    <row r="205" x14ac:dyDescent="0.2"/>
    <row r="206" x14ac:dyDescent="0.2"/>
    <row r="207" x14ac:dyDescent="0.2"/>
    <row r="208" x14ac:dyDescent="0.2"/>
    <row r="209" x14ac:dyDescent="0.2"/>
    <row r="210" x14ac:dyDescent="0.2"/>
    <row r="211" x14ac:dyDescent="0.2"/>
    <row r="212" x14ac:dyDescent="0.2"/>
    <row r="213" x14ac:dyDescent="0.2"/>
    <row r="214" x14ac:dyDescent="0.2"/>
    <row r="215" x14ac:dyDescent="0.2"/>
  </sheetData>
  <mergeCells count="337">
    <mergeCell ref="D181:G181"/>
    <mergeCell ref="D182:G182"/>
    <mergeCell ref="D146:G146"/>
    <mergeCell ref="I153:J153"/>
    <mergeCell ref="K153:L153"/>
    <mergeCell ref="K154:L154"/>
    <mergeCell ref="K149:L149"/>
    <mergeCell ref="I150:J150"/>
    <mergeCell ref="K150:L150"/>
    <mergeCell ref="I151:J151"/>
    <mergeCell ref="K172:L172"/>
    <mergeCell ref="K151:L151"/>
    <mergeCell ref="I152:J152"/>
    <mergeCell ref="K152:L152"/>
    <mergeCell ref="D177:G177"/>
    <mergeCell ref="D162:G162"/>
    <mergeCell ref="D163:G163"/>
    <mergeCell ref="D164:G164"/>
    <mergeCell ref="D165:G165"/>
    <mergeCell ref="I149:J149"/>
    <mergeCell ref="I148:J148"/>
    <mergeCell ref="K155:L155"/>
    <mergeCell ref="K146:L146"/>
    <mergeCell ref="K147:L147"/>
    <mergeCell ref="K148:L148"/>
    <mergeCell ref="D80:G80"/>
    <mergeCell ref="I80:J80"/>
    <mergeCell ref="K84:L84"/>
    <mergeCell ref="D82:G82"/>
    <mergeCell ref="I82:J82"/>
    <mergeCell ref="I83:J83"/>
    <mergeCell ref="D81:G81"/>
    <mergeCell ref="D83:G83"/>
    <mergeCell ref="D84:G84"/>
    <mergeCell ref="I92:J92"/>
    <mergeCell ref="K92:L92"/>
    <mergeCell ref="I147:J147"/>
    <mergeCell ref="K97:L97"/>
    <mergeCell ref="I96:J96"/>
    <mergeCell ref="K143:L143"/>
    <mergeCell ref="K144:L144"/>
    <mergeCell ref="K145:L145"/>
    <mergeCell ref="I88:J88"/>
    <mergeCell ref="I94:J94"/>
    <mergeCell ref="I86:J86"/>
    <mergeCell ref="I143:J143"/>
    <mergeCell ref="D86:G86"/>
    <mergeCell ref="D85:G85"/>
    <mergeCell ref="D39:G39"/>
    <mergeCell ref="I39:J39"/>
    <mergeCell ref="K73:L73"/>
    <mergeCell ref="K70:L70"/>
    <mergeCell ref="K71:L71"/>
    <mergeCell ref="K66:L66"/>
    <mergeCell ref="K67:L67"/>
    <mergeCell ref="K72:L72"/>
    <mergeCell ref="K38:L38"/>
    <mergeCell ref="D40:G40"/>
    <mergeCell ref="D41:G41"/>
    <mergeCell ref="I41:J41"/>
    <mergeCell ref="I64:J64"/>
    <mergeCell ref="K39:L39"/>
    <mergeCell ref="I40:J40"/>
    <mergeCell ref="D73:G73"/>
    <mergeCell ref="I73:J73"/>
    <mergeCell ref="K40:L40"/>
    <mergeCell ref="K41:L41"/>
    <mergeCell ref="K64:L64"/>
    <mergeCell ref="I65:J65"/>
    <mergeCell ref="I69:J69"/>
    <mergeCell ref="I68:J68"/>
    <mergeCell ref="D65:G65"/>
    <mergeCell ref="D38:G38"/>
    <mergeCell ref="I38:J38"/>
    <mergeCell ref="K23:L23"/>
    <mergeCell ref="K24:L24"/>
    <mergeCell ref="K25:L25"/>
    <mergeCell ref="D37:G37"/>
    <mergeCell ref="D23:G23"/>
    <mergeCell ref="D22:G22"/>
    <mergeCell ref="I22:J22"/>
    <mergeCell ref="D24:G24"/>
    <mergeCell ref="I24:J24"/>
    <mergeCell ref="D25:G25"/>
    <mergeCell ref="I25:J25"/>
    <mergeCell ref="K26:L26"/>
    <mergeCell ref="D26:G26"/>
    <mergeCell ref="I26:J26"/>
    <mergeCell ref="K37:L37"/>
    <mergeCell ref="K22:L22"/>
    <mergeCell ref="I37:J37"/>
    <mergeCell ref="B2:G2"/>
    <mergeCell ref="D16:G16"/>
    <mergeCell ref="I16:J16"/>
    <mergeCell ref="K16:L16"/>
    <mergeCell ref="D17:G17"/>
    <mergeCell ref="I17:J17"/>
    <mergeCell ref="K17:L17"/>
    <mergeCell ref="D18:G18"/>
    <mergeCell ref="I18:J18"/>
    <mergeCell ref="L5:N5"/>
    <mergeCell ref="D13:G13"/>
    <mergeCell ref="D14:G14"/>
    <mergeCell ref="D15:G15"/>
    <mergeCell ref="B3:G3"/>
    <mergeCell ref="B4:G4"/>
    <mergeCell ref="B5:G5"/>
    <mergeCell ref="J3:N3"/>
    <mergeCell ref="J4:N4"/>
    <mergeCell ref="I7:J7"/>
    <mergeCell ref="D7:G7"/>
    <mergeCell ref="I20:J20"/>
    <mergeCell ref="D11:G11"/>
    <mergeCell ref="D12:G12"/>
    <mergeCell ref="I23:J23"/>
    <mergeCell ref="D19:G19"/>
    <mergeCell ref="I19:J19"/>
    <mergeCell ref="K18:L18"/>
    <mergeCell ref="D20:G20"/>
    <mergeCell ref="D21:G21"/>
    <mergeCell ref="I21:J21"/>
    <mergeCell ref="K19:L19"/>
    <mergeCell ref="K20:L20"/>
    <mergeCell ref="K21:L21"/>
    <mergeCell ref="AL16:AM16"/>
    <mergeCell ref="AJ17:AK17"/>
    <mergeCell ref="K88:L88"/>
    <mergeCell ref="K89:L89"/>
    <mergeCell ref="AJ16:AK16"/>
    <mergeCell ref="AJ21:AK21"/>
    <mergeCell ref="K86:L86"/>
    <mergeCell ref="K94:L94"/>
    <mergeCell ref="K95:L95"/>
    <mergeCell ref="AL38:AM38"/>
    <mergeCell ref="AL26:AM26"/>
    <mergeCell ref="AL21:AM21"/>
    <mergeCell ref="AL22:AM22"/>
    <mergeCell ref="AL23:AM23"/>
    <mergeCell ref="AL24:AM24"/>
    <mergeCell ref="AL25:AM25"/>
    <mergeCell ref="AJ86:AK86"/>
    <mergeCell ref="AL17:AM17"/>
    <mergeCell ref="AJ18:AK18"/>
    <mergeCell ref="AL18:AM18"/>
    <mergeCell ref="AJ19:AK19"/>
    <mergeCell ref="AL19:AM19"/>
    <mergeCell ref="AJ20:AK20"/>
    <mergeCell ref="AL20:AM20"/>
    <mergeCell ref="D176:G176"/>
    <mergeCell ref="I155:J155"/>
    <mergeCell ref="I154:J154"/>
    <mergeCell ref="I95:J95"/>
    <mergeCell ref="I97:J97"/>
    <mergeCell ref="D97:G97"/>
    <mergeCell ref="I89:J89"/>
    <mergeCell ref="I93:J93"/>
    <mergeCell ref="D95:G95"/>
    <mergeCell ref="I172:J172"/>
    <mergeCell ref="D167:G167"/>
    <mergeCell ref="D168:G168"/>
    <mergeCell ref="D169:G169"/>
    <mergeCell ref="D170:G170"/>
    <mergeCell ref="D174:G174"/>
    <mergeCell ref="D175:G175"/>
    <mergeCell ref="D160:G160"/>
    <mergeCell ref="D161:G161"/>
    <mergeCell ref="I144:J144"/>
    <mergeCell ref="D172:G172"/>
    <mergeCell ref="D96:G96"/>
    <mergeCell ref="I145:J145"/>
    <mergeCell ref="I146:J146"/>
    <mergeCell ref="K65:L65"/>
    <mergeCell ref="K80:L80"/>
    <mergeCell ref="K82:L82"/>
    <mergeCell ref="K83:L83"/>
    <mergeCell ref="I66:J66"/>
    <mergeCell ref="I71:J71"/>
    <mergeCell ref="I70:J70"/>
    <mergeCell ref="I67:J67"/>
    <mergeCell ref="I84:J84"/>
    <mergeCell ref="I85:J85"/>
    <mergeCell ref="K68:L68"/>
    <mergeCell ref="K69:L69"/>
    <mergeCell ref="I74:J74"/>
    <mergeCell ref="K74:L74"/>
    <mergeCell ref="D66:G66"/>
    <mergeCell ref="D71:G71"/>
    <mergeCell ref="D72:G72"/>
    <mergeCell ref="I72:J72"/>
    <mergeCell ref="K85:L85"/>
    <mergeCell ref="K93:L93"/>
    <mergeCell ref="K96:L96"/>
    <mergeCell ref="D88:G88"/>
    <mergeCell ref="D89:G89"/>
    <mergeCell ref="I90:J90"/>
    <mergeCell ref="K90:L90"/>
    <mergeCell ref="I91:J91"/>
    <mergeCell ref="K91:L91"/>
    <mergeCell ref="D93:G93"/>
    <mergeCell ref="D94:G94"/>
    <mergeCell ref="AL37:AM37"/>
    <mergeCell ref="AJ38:AK38"/>
    <mergeCell ref="AJ22:AK22"/>
    <mergeCell ref="AJ23:AK23"/>
    <mergeCell ref="AJ24:AK24"/>
    <mergeCell ref="AJ25:AK25"/>
    <mergeCell ref="AJ39:AK39"/>
    <mergeCell ref="AJ67:AK67"/>
    <mergeCell ref="AJ26:AK26"/>
    <mergeCell ref="AL65:AM65"/>
    <mergeCell ref="AJ66:AK66"/>
    <mergeCell ref="AL66:AM66"/>
    <mergeCell ref="AL67:AM67"/>
    <mergeCell ref="AJ37:AK37"/>
    <mergeCell ref="AJ65:AK65"/>
    <mergeCell ref="AL68:AM68"/>
    <mergeCell ref="AJ69:AK69"/>
    <mergeCell ref="AL69:AM69"/>
    <mergeCell ref="AL39:AM39"/>
    <mergeCell ref="AJ40:AK40"/>
    <mergeCell ref="AL40:AM40"/>
    <mergeCell ref="AL41:AM41"/>
    <mergeCell ref="AJ64:AK64"/>
    <mergeCell ref="AL64:AM64"/>
    <mergeCell ref="AJ41:AK41"/>
    <mergeCell ref="AJ68:AK68"/>
    <mergeCell ref="AL80:AM80"/>
    <mergeCell ref="AJ82:AK82"/>
    <mergeCell ref="AL82:AM82"/>
    <mergeCell ref="AJ83:AK83"/>
    <mergeCell ref="AL83:AM83"/>
    <mergeCell ref="AJ70:AK70"/>
    <mergeCell ref="AL70:AM70"/>
    <mergeCell ref="AL71:AM71"/>
    <mergeCell ref="AJ72:AK72"/>
    <mergeCell ref="AL72:AM72"/>
    <mergeCell ref="AL73:AM73"/>
    <mergeCell ref="AJ73:AK73"/>
    <mergeCell ref="AJ71:AK71"/>
    <mergeCell ref="AJ80:AK80"/>
    <mergeCell ref="AJ145:AK145"/>
    <mergeCell ref="AL145:AM145"/>
    <mergeCell ref="AL146:AM146"/>
    <mergeCell ref="AJ147:AK147"/>
    <mergeCell ref="AL147:AM147"/>
    <mergeCell ref="AJ148:AK148"/>
    <mergeCell ref="AL148:AM148"/>
    <mergeCell ref="AL84:AM84"/>
    <mergeCell ref="AL85:AM85"/>
    <mergeCell ref="AL86:AM86"/>
    <mergeCell ref="AJ143:AK143"/>
    <mergeCell ref="AL143:AM143"/>
    <mergeCell ref="AJ144:AK144"/>
    <mergeCell ref="AL144:AM144"/>
    <mergeCell ref="AJ85:AK85"/>
    <mergeCell ref="AJ146:AK146"/>
    <mergeCell ref="AL96:AM96"/>
    <mergeCell ref="AJ84:AK84"/>
    <mergeCell ref="AJ153:AK153"/>
    <mergeCell ref="AL153:AM153"/>
    <mergeCell ref="AJ154:AK154"/>
    <mergeCell ref="AL154:AM154"/>
    <mergeCell ref="AJ155:AK155"/>
    <mergeCell ref="AL155:AM155"/>
    <mergeCell ref="AJ149:AK149"/>
    <mergeCell ref="AL149:AM149"/>
    <mergeCell ref="AJ150:AK150"/>
    <mergeCell ref="AL150:AM150"/>
    <mergeCell ref="AL151:AM151"/>
    <mergeCell ref="AJ152:AK152"/>
    <mergeCell ref="AL152:AM152"/>
    <mergeCell ref="AJ151:AK151"/>
    <mergeCell ref="AE93:AH93"/>
    <mergeCell ref="AJ93:AK93"/>
    <mergeCell ref="AL93:AM93"/>
    <mergeCell ref="AJ88:AK88"/>
    <mergeCell ref="AL94:AM94"/>
    <mergeCell ref="AE94:AH94"/>
    <mergeCell ref="AJ94:AK94"/>
    <mergeCell ref="AL88:AM88"/>
    <mergeCell ref="AJ89:AK89"/>
    <mergeCell ref="AL89:AM89"/>
    <mergeCell ref="AJ90:AK90"/>
    <mergeCell ref="AL90:AM90"/>
    <mergeCell ref="AJ91:AK91"/>
    <mergeCell ref="AL91:AM91"/>
    <mergeCell ref="AE176:AH176"/>
    <mergeCell ref="AE177:AH177"/>
    <mergeCell ref="AE163:AH163"/>
    <mergeCell ref="AE164:AH164"/>
    <mergeCell ref="AE165:AH165"/>
    <mergeCell ref="AE167:AH167"/>
    <mergeCell ref="AE168:AH168"/>
    <mergeCell ref="AE169:AH169"/>
    <mergeCell ref="AE170:AH170"/>
    <mergeCell ref="BE8:BE10"/>
    <mergeCell ref="BF8:BF10"/>
    <mergeCell ref="AE174:AH174"/>
    <mergeCell ref="AE175:AH175"/>
    <mergeCell ref="AE172:AH172"/>
    <mergeCell ref="AJ172:AK172"/>
    <mergeCell ref="BH8:BH10"/>
    <mergeCell ref="AB2:AC2"/>
    <mergeCell ref="AE2:AF2"/>
    <mergeCell ref="AS8:AS10"/>
    <mergeCell ref="AT8:AT10"/>
    <mergeCell ref="AU8:AU10"/>
    <mergeCell ref="AE162:AH162"/>
    <mergeCell ref="AE97:AH97"/>
    <mergeCell ref="AJ97:AK97"/>
    <mergeCell ref="AL97:AM97"/>
    <mergeCell ref="AL172:AM172"/>
    <mergeCell ref="AE160:AH160"/>
    <mergeCell ref="AE161:AH161"/>
    <mergeCell ref="AE95:AH95"/>
    <mergeCell ref="AJ95:AK95"/>
    <mergeCell ref="AL95:AM95"/>
    <mergeCell ref="AE96:AH96"/>
    <mergeCell ref="AJ96:AK96"/>
    <mergeCell ref="A7:A8"/>
    <mergeCell ref="B7:B8"/>
    <mergeCell ref="C7:C8"/>
    <mergeCell ref="H7:H8"/>
    <mergeCell ref="K7:L7"/>
    <mergeCell ref="AV8:AY8"/>
    <mergeCell ref="AZ8:AZ10"/>
    <mergeCell ref="BA8:BB8"/>
    <mergeCell ref="BC8:BD8"/>
    <mergeCell ref="M7:M8"/>
    <mergeCell ref="N7:N8"/>
    <mergeCell ref="P7:P8"/>
    <mergeCell ref="Q7:Q8"/>
    <mergeCell ref="AJ8:AK8"/>
    <mergeCell ref="AL8:AM8"/>
    <mergeCell ref="AN8:AN10"/>
    <mergeCell ref="AO8:AO10"/>
    <mergeCell ref="AQ8:AQ10"/>
  </mergeCells>
  <pageMargins left="0.23622047244094491" right="0.23622047244094491" top="0.74803149606299213" bottom="0.74803149606299213" header="0.31496062992125984" footer="0.31496062992125984"/>
  <pageSetup paperSize="8" scale="49" fitToHeight="0" orientation="portrait" horizontalDpi="300" verticalDpi="300" r:id="rId1"/>
  <headerFooter alignWithMargins="0">
    <oddFooter>Page &amp;P of &amp;N</oddFooter>
  </headerFooter>
  <rowBreaks count="4" manualBreakCount="4">
    <brk id="39" max="16" man="1"/>
    <brk id="86" max="16" man="1"/>
    <brk id="126" max="16" man="1"/>
    <brk id="158" max="16"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165"/>
  <sheetViews>
    <sheetView zoomScale="80" zoomScaleNormal="80" workbookViewId="0"/>
  </sheetViews>
  <sheetFormatPr defaultRowHeight="12.75" x14ac:dyDescent="0.2"/>
  <cols>
    <col min="1" max="1" width="9.140625" style="9"/>
    <col min="2" max="2" width="38.7109375" style="9" customWidth="1"/>
    <col min="3" max="3" width="75.28515625" style="9" customWidth="1"/>
    <col min="4" max="15" width="13.28515625" style="9" customWidth="1"/>
    <col min="16" max="17" width="9.140625" style="9"/>
    <col min="18" max="18" width="0" style="9" hidden="1" customWidth="1"/>
    <col min="19" max="16384" width="9.140625" style="9"/>
  </cols>
  <sheetData>
    <row r="1" spans="1:18" s="658" customFormat="1" x14ac:dyDescent="0.2"/>
    <row r="3" spans="1:18" ht="18" x14ac:dyDescent="0.2">
      <c r="B3" s="423" t="s">
        <v>0</v>
      </c>
      <c r="G3" s="138"/>
      <c r="H3" s="138"/>
      <c r="I3" s="138"/>
      <c r="J3" s="138"/>
      <c r="K3" s="138"/>
      <c r="L3" s="138"/>
      <c r="M3" s="138"/>
      <c r="N3" s="138"/>
      <c r="O3" s="138"/>
    </row>
    <row r="4" spans="1:18" ht="18" x14ac:dyDescent="0.2">
      <c r="B4" s="424" t="s">
        <v>1646</v>
      </c>
    </row>
    <row r="7" spans="1:18" ht="16.5" x14ac:dyDescent="0.25">
      <c r="B7" s="12"/>
    </row>
    <row r="8" spans="1:18" x14ac:dyDescent="0.2">
      <c r="A8" s="42"/>
      <c r="B8" s="852" t="s">
        <v>695</v>
      </c>
      <c r="C8" s="852" t="s">
        <v>25</v>
      </c>
      <c r="D8" s="855" t="s">
        <v>874</v>
      </c>
      <c r="E8" s="856"/>
      <c r="F8" s="856"/>
      <c r="G8" s="856"/>
      <c r="H8" s="856"/>
      <c r="I8" s="856"/>
      <c r="J8" s="856"/>
      <c r="K8" s="856"/>
      <c r="L8" s="856"/>
      <c r="M8" s="856"/>
      <c r="N8" s="856"/>
      <c r="O8" s="857"/>
    </row>
    <row r="9" spans="1:18" ht="12.75" customHeight="1" x14ac:dyDescent="0.2">
      <c r="A9" s="42"/>
      <c r="B9" s="853"/>
      <c r="C9" s="853"/>
      <c r="D9" s="858" t="s">
        <v>1613</v>
      </c>
      <c r="E9" s="859"/>
      <c r="F9" s="859"/>
      <c r="G9" s="859"/>
      <c r="H9" s="859"/>
      <c r="I9" s="859"/>
      <c r="J9" s="859"/>
      <c r="K9" s="859"/>
      <c r="L9" s="859" t="s">
        <v>1614</v>
      </c>
      <c r="M9" s="859"/>
      <c r="N9" s="859"/>
      <c r="O9" s="860"/>
    </row>
    <row r="10" spans="1:18" ht="12.75" customHeight="1" x14ac:dyDescent="0.2">
      <c r="A10" s="42"/>
      <c r="B10" s="854"/>
      <c r="C10" s="854"/>
      <c r="D10" s="861" t="s">
        <v>1615</v>
      </c>
      <c r="E10" s="862"/>
      <c r="F10" s="862"/>
      <c r="G10" s="862"/>
      <c r="H10" s="862" t="s">
        <v>1616</v>
      </c>
      <c r="I10" s="862"/>
      <c r="J10" s="862"/>
      <c r="K10" s="862"/>
      <c r="L10" s="862" t="s">
        <v>1617</v>
      </c>
      <c r="M10" s="862"/>
      <c r="N10" s="862"/>
      <c r="O10" s="863"/>
    </row>
    <row r="11" spans="1:18" x14ac:dyDescent="0.2">
      <c r="A11" s="426"/>
      <c r="B11" s="849" t="s">
        <v>1618</v>
      </c>
      <c r="C11" s="427" t="s">
        <v>891</v>
      </c>
      <c r="D11" s="430" t="s">
        <v>892</v>
      </c>
      <c r="E11" s="430" t="s">
        <v>1632</v>
      </c>
      <c r="F11" s="430"/>
      <c r="G11" s="442"/>
      <c r="H11" s="430" t="s">
        <v>1632</v>
      </c>
      <c r="I11" s="430" t="s">
        <v>1632</v>
      </c>
      <c r="J11" s="430"/>
      <c r="K11" s="442"/>
      <c r="L11" s="430" t="s">
        <v>1632</v>
      </c>
      <c r="M11" s="430" t="s">
        <v>1632</v>
      </c>
      <c r="N11" s="430"/>
      <c r="O11" s="431"/>
      <c r="R11" s="9">
        <f>COUNTA(D11:D45,E16:E23,H16:H18,I16:I18,L16:M23,L25:M45,E25:E45)</f>
        <v>128</v>
      </c>
    </row>
    <row r="12" spans="1:18" x14ac:dyDescent="0.2">
      <c r="A12" s="426"/>
      <c r="B12" s="849"/>
      <c r="C12" s="432" t="s">
        <v>896</v>
      </c>
      <c r="D12" s="428" t="s">
        <v>897</v>
      </c>
      <c r="E12" s="428" t="s">
        <v>1632</v>
      </c>
      <c r="F12" s="428"/>
      <c r="G12" s="429"/>
      <c r="H12" s="428" t="s">
        <v>1632</v>
      </c>
      <c r="I12" s="428" t="s">
        <v>1632</v>
      </c>
      <c r="J12" s="428"/>
      <c r="K12" s="429"/>
      <c r="L12" s="428" t="s">
        <v>1632</v>
      </c>
      <c r="M12" s="428" t="s">
        <v>1632</v>
      </c>
      <c r="N12" s="428"/>
      <c r="O12" s="433"/>
    </row>
    <row r="13" spans="1:18" ht="24" x14ac:dyDescent="0.2">
      <c r="A13" s="426"/>
      <c r="B13" s="849"/>
      <c r="C13" s="432" t="s">
        <v>898</v>
      </c>
      <c r="D13" s="428" t="s">
        <v>899</v>
      </c>
      <c r="E13" s="428" t="s">
        <v>1632</v>
      </c>
      <c r="F13" s="428"/>
      <c r="G13" s="429"/>
      <c r="H13" s="428" t="s">
        <v>1632</v>
      </c>
      <c r="I13" s="428" t="s">
        <v>1632</v>
      </c>
      <c r="J13" s="428"/>
      <c r="K13" s="429"/>
      <c r="L13" s="428" t="s">
        <v>1632</v>
      </c>
      <c r="M13" s="428" t="s">
        <v>1632</v>
      </c>
      <c r="N13" s="428"/>
      <c r="O13" s="433"/>
    </row>
    <row r="14" spans="1:18" x14ac:dyDescent="0.2">
      <c r="A14" s="426"/>
      <c r="B14" s="849"/>
      <c r="C14" s="432" t="s">
        <v>900</v>
      </c>
      <c r="D14" s="428" t="s">
        <v>902</v>
      </c>
      <c r="E14" s="428" t="s">
        <v>1632</v>
      </c>
      <c r="F14" s="428"/>
      <c r="G14" s="429"/>
      <c r="H14" s="428" t="s">
        <v>1632</v>
      </c>
      <c r="I14" s="428" t="s">
        <v>1632</v>
      </c>
      <c r="J14" s="428"/>
      <c r="K14" s="429"/>
      <c r="L14" s="428" t="s">
        <v>1632</v>
      </c>
      <c r="M14" s="428" t="s">
        <v>1632</v>
      </c>
      <c r="N14" s="428"/>
      <c r="O14" s="433"/>
    </row>
    <row r="15" spans="1:18" x14ac:dyDescent="0.2">
      <c r="A15" s="426"/>
      <c r="B15" s="849"/>
      <c r="C15" s="432" t="s">
        <v>903</v>
      </c>
      <c r="D15" s="428" t="s">
        <v>905</v>
      </c>
      <c r="E15" s="428" t="s">
        <v>1632</v>
      </c>
      <c r="F15" s="428"/>
      <c r="G15" s="429"/>
      <c r="H15" s="428" t="s">
        <v>1632</v>
      </c>
      <c r="I15" s="428" t="s">
        <v>1632</v>
      </c>
      <c r="J15" s="428"/>
      <c r="K15" s="429"/>
      <c r="L15" s="428" t="s">
        <v>1632</v>
      </c>
      <c r="M15" s="428" t="s">
        <v>1632</v>
      </c>
      <c r="N15" s="428"/>
      <c r="O15" s="433"/>
    </row>
    <row r="16" spans="1:18" ht="24" x14ac:dyDescent="0.2">
      <c r="A16" s="426"/>
      <c r="B16" s="849"/>
      <c r="C16" s="432" t="s">
        <v>907</v>
      </c>
      <c r="D16" s="428" t="s">
        <v>909</v>
      </c>
      <c r="E16" s="428" t="s">
        <v>910</v>
      </c>
      <c r="F16" s="428"/>
      <c r="G16" s="429"/>
      <c r="H16" s="428" t="s">
        <v>946</v>
      </c>
      <c r="I16" s="428" t="s">
        <v>947</v>
      </c>
      <c r="J16" s="428"/>
      <c r="K16" s="429"/>
      <c r="L16" s="428" t="s">
        <v>916</v>
      </c>
      <c r="M16" s="428" t="s">
        <v>917</v>
      </c>
      <c r="N16" s="428"/>
      <c r="O16" s="433"/>
    </row>
    <row r="17" spans="1:15" ht="24" x14ac:dyDescent="0.2">
      <c r="A17" s="426"/>
      <c r="B17" s="849"/>
      <c r="C17" s="432" t="s">
        <v>1633</v>
      </c>
      <c r="D17" s="428" t="s">
        <v>929</v>
      </c>
      <c r="E17" s="428" t="s">
        <v>930</v>
      </c>
      <c r="F17" s="428"/>
      <c r="G17" s="429"/>
      <c r="H17" s="428" t="s">
        <v>946</v>
      </c>
      <c r="I17" s="428" t="s">
        <v>947</v>
      </c>
      <c r="J17" s="428"/>
      <c r="K17" s="429"/>
      <c r="L17" s="428" t="s">
        <v>934</v>
      </c>
      <c r="M17" s="428" t="s">
        <v>935</v>
      </c>
      <c r="N17" s="428"/>
      <c r="O17" s="433"/>
    </row>
    <row r="18" spans="1:15" x14ac:dyDescent="0.2">
      <c r="A18" s="426"/>
      <c r="B18" s="849"/>
      <c r="C18" s="432" t="s">
        <v>952</v>
      </c>
      <c r="D18" s="428" t="s">
        <v>954</v>
      </c>
      <c r="E18" s="428" t="s">
        <v>955</v>
      </c>
      <c r="F18" s="428"/>
      <c r="G18" s="429"/>
      <c r="H18" s="428" t="s">
        <v>1176</v>
      </c>
      <c r="I18" s="428" t="s">
        <v>1177</v>
      </c>
      <c r="J18" s="428"/>
      <c r="K18" s="429"/>
      <c r="L18" s="428" t="s">
        <v>960</v>
      </c>
      <c r="M18" s="428" t="s">
        <v>961</v>
      </c>
      <c r="N18" s="428"/>
      <c r="O18" s="433"/>
    </row>
    <row r="19" spans="1:15" x14ac:dyDescent="0.2">
      <c r="A19" s="426"/>
      <c r="B19" s="849"/>
      <c r="C19" s="432" t="s">
        <v>962</v>
      </c>
      <c r="D19" s="428" t="s">
        <v>964</v>
      </c>
      <c r="E19" s="428" t="s">
        <v>965</v>
      </c>
      <c r="F19" s="428"/>
      <c r="G19" s="429"/>
      <c r="H19" s="428" t="s">
        <v>1632</v>
      </c>
      <c r="I19" s="428" t="s">
        <v>1632</v>
      </c>
      <c r="J19" s="428"/>
      <c r="K19" s="429"/>
      <c r="L19" s="428" t="s">
        <v>971</v>
      </c>
      <c r="M19" s="428" t="s">
        <v>972</v>
      </c>
      <c r="N19" s="428"/>
      <c r="O19" s="433"/>
    </row>
    <row r="20" spans="1:15" x14ac:dyDescent="0.2">
      <c r="A20" s="426"/>
      <c r="B20" s="849"/>
      <c r="C20" s="432" t="s">
        <v>981</v>
      </c>
      <c r="D20" s="428" t="s">
        <v>983</v>
      </c>
      <c r="E20" s="428" t="s">
        <v>984</v>
      </c>
      <c r="F20" s="428"/>
      <c r="G20" s="429"/>
      <c r="H20" s="428" t="s">
        <v>1632</v>
      </c>
      <c r="I20" s="428" t="s">
        <v>1632</v>
      </c>
      <c r="J20" s="428"/>
      <c r="K20" s="429"/>
      <c r="L20" s="428" t="s">
        <v>995</v>
      </c>
      <c r="M20" s="428" t="s">
        <v>996</v>
      </c>
      <c r="N20" s="428"/>
      <c r="O20" s="433"/>
    </row>
    <row r="21" spans="1:15" ht="24" x14ac:dyDescent="0.2">
      <c r="A21" s="426"/>
      <c r="B21" s="849"/>
      <c r="C21" s="432" t="s">
        <v>987</v>
      </c>
      <c r="D21" s="428" t="s">
        <v>989</v>
      </c>
      <c r="E21" s="428" t="s">
        <v>990</v>
      </c>
      <c r="F21" s="428"/>
      <c r="G21" s="429"/>
      <c r="H21" s="428" t="s">
        <v>1632</v>
      </c>
      <c r="I21" s="428" t="s">
        <v>1632</v>
      </c>
      <c r="J21" s="428"/>
      <c r="K21" s="429"/>
      <c r="L21" s="428" t="s">
        <v>995</v>
      </c>
      <c r="M21" s="428" t="s">
        <v>996</v>
      </c>
      <c r="N21" s="428"/>
      <c r="O21" s="433"/>
    </row>
    <row r="22" spans="1:15" ht="24" x14ac:dyDescent="0.2">
      <c r="A22" s="426"/>
      <c r="B22" s="849"/>
      <c r="C22" s="432" t="s">
        <v>1009</v>
      </c>
      <c r="D22" s="428" t="s">
        <v>1011</v>
      </c>
      <c r="E22" s="428" t="s">
        <v>1012</v>
      </c>
      <c r="F22" s="428"/>
      <c r="G22" s="429"/>
      <c r="H22" s="428" t="s">
        <v>1632</v>
      </c>
      <c r="I22" s="428" t="s">
        <v>1632</v>
      </c>
      <c r="J22" s="428"/>
      <c r="K22" s="429"/>
      <c r="L22" s="428" t="s">
        <v>1022</v>
      </c>
      <c r="M22" s="428" t="s">
        <v>1023</v>
      </c>
      <c r="N22" s="428"/>
      <c r="O22" s="433"/>
    </row>
    <row r="23" spans="1:15" ht="24" x14ac:dyDescent="0.2">
      <c r="A23" s="426"/>
      <c r="B23" s="849"/>
      <c r="C23" s="432" t="s">
        <v>1015</v>
      </c>
      <c r="D23" s="428" t="s">
        <v>1017</v>
      </c>
      <c r="E23" s="428" t="s">
        <v>1018</v>
      </c>
      <c r="F23" s="428"/>
      <c r="G23" s="429"/>
      <c r="H23" s="428" t="s">
        <v>1632</v>
      </c>
      <c r="I23" s="428" t="s">
        <v>1632</v>
      </c>
      <c r="J23" s="428"/>
      <c r="K23" s="429"/>
      <c r="L23" s="428" t="s">
        <v>1022</v>
      </c>
      <c r="M23" s="428" t="s">
        <v>1023</v>
      </c>
      <c r="N23" s="428"/>
      <c r="O23" s="433"/>
    </row>
    <row r="24" spans="1:15" x14ac:dyDescent="0.2">
      <c r="A24" s="426"/>
      <c r="B24" s="849"/>
      <c r="C24" s="432" t="s">
        <v>1037</v>
      </c>
      <c r="D24" s="428" t="s">
        <v>1038</v>
      </c>
      <c r="E24" s="428" t="s">
        <v>1632</v>
      </c>
      <c r="F24" s="428"/>
      <c r="G24" s="429"/>
      <c r="H24" s="428" t="s">
        <v>1632</v>
      </c>
      <c r="I24" s="428" t="s">
        <v>1632</v>
      </c>
      <c r="J24" s="428"/>
      <c r="K24" s="429"/>
      <c r="L24" s="428" t="s">
        <v>1632</v>
      </c>
      <c r="M24" s="428" t="s">
        <v>1632</v>
      </c>
      <c r="N24" s="428"/>
      <c r="O24" s="433"/>
    </row>
    <row r="25" spans="1:15" x14ac:dyDescent="0.2">
      <c r="A25" s="426"/>
      <c r="B25" s="849"/>
      <c r="C25" s="432" t="s">
        <v>1041</v>
      </c>
      <c r="D25" s="428" t="s">
        <v>1043</v>
      </c>
      <c r="E25" s="428" t="s">
        <v>1044</v>
      </c>
      <c r="F25" s="428"/>
      <c r="G25" s="429"/>
      <c r="H25" s="428" t="s">
        <v>1632</v>
      </c>
      <c r="I25" s="428" t="s">
        <v>1632</v>
      </c>
      <c r="J25" s="428"/>
      <c r="K25" s="429"/>
      <c r="L25" s="428" t="s">
        <v>1050</v>
      </c>
      <c r="M25" s="428" t="s">
        <v>1051</v>
      </c>
      <c r="N25" s="428"/>
      <c r="O25" s="433"/>
    </row>
    <row r="26" spans="1:15" x14ac:dyDescent="0.2">
      <c r="A26" s="426"/>
      <c r="B26" s="849"/>
      <c r="C26" s="432" t="s">
        <v>1062</v>
      </c>
      <c r="D26" s="428" t="s">
        <v>1064</v>
      </c>
      <c r="E26" s="428" t="s">
        <v>1065</v>
      </c>
      <c r="F26" s="428"/>
      <c r="G26" s="429"/>
      <c r="H26" s="428" t="s">
        <v>1632</v>
      </c>
      <c r="I26" s="428" t="s">
        <v>1632</v>
      </c>
      <c r="J26" s="428"/>
      <c r="K26" s="429"/>
      <c r="L26" s="428" t="s">
        <v>1069</v>
      </c>
      <c r="M26" s="428" t="s">
        <v>1070</v>
      </c>
      <c r="N26" s="428"/>
      <c r="O26" s="433"/>
    </row>
    <row r="27" spans="1:15" x14ac:dyDescent="0.2">
      <c r="A27" s="426"/>
      <c r="B27" s="849"/>
      <c r="C27" s="432" t="s">
        <v>1079</v>
      </c>
      <c r="D27" s="428" t="s">
        <v>1081</v>
      </c>
      <c r="E27" s="428" t="s">
        <v>1082</v>
      </c>
      <c r="F27" s="428"/>
      <c r="G27" s="429"/>
      <c r="H27" s="428" t="s">
        <v>1632</v>
      </c>
      <c r="I27" s="428" t="s">
        <v>1632</v>
      </c>
      <c r="J27" s="428"/>
      <c r="K27" s="429"/>
      <c r="L27" s="428" t="s">
        <v>1086</v>
      </c>
      <c r="M27" s="428" t="s">
        <v>1087</v>
      </c>
      <c r="N27" s="428"/>
      <c r="O27" s="433"/>
    </row>
    <row r="28" spans="1:15" x14ac:dyDescent="0.2">
      <c r="A28" s="426"/>
      <c r="B28" s="849"/>
      <c r="C28" s="432" t="s">
        <v>1096</v>
      </c>
      <c r="D28" s="428" t="s">
        <v>1098</v>
      </c>
      <c r="E28" s="428" t="s">
        <v>1099</v>
      </c>
      <c r="F28" s="428"/>
      <c r="G28" s="429"/>
      <c r="H28" s="428" t="s">
        <v>1632</v>
      </c>
      <c r="I28" s="428" t="s">
        <v>1632</v>
      </c>
      <c r="J28" s="428"/>
      <c r="K28" s="429"/>
      <c r="L28" s="428" t="s">
        <v>1102</v>
      </c>
      <c r="M28" s="428" t="s">
        <v>1103</v>
      </c>
      <c r="N28" s="428"/>
      <c r="O28" s="433"/>
    </row>
    <row r="29" spans="1:15" x14ac:dyDescent="0.2">
      <c r="A29" s="426"/>
      <c r="B29" s="849"/>
      <c r="C29" s="432" t="s">
        <v>1183</v>
      </c>
      <c r="D29" s="428" t="s">
        <v>1185</v>
      </c>
      <c r="E29" s="428" t="s">
        <v>1186</v>
      </c>
      <c r="F29" s="428"/>
      <c r="G29" s="429"/>
      <c r="H29" s="428" t="s">
        <v>1632</v>
      </c>
      <c r="I29" s="428" t="s">
        <v>1632</v>
      </c>
      <c r="J29" s="428"/>
      <c r="K29" s="429"/>
      <c r="L29" s="428" t="s">
        <v>1427</v>
      </c>
      <c r="M29" s="428" t="s">
        <v>1428</v>
      </c>
      <c r="N29" s="428"/>
      <c r="O29" s="433"/>
    </row>
    <row r="30" spans="1:15" x14ac:dyDescent="0.2">
      <c r="A30" s="426"/>
      <c r="B30" s="849"/>
      <c r="C30" s="432" t="s">
        <v>1328</v>
      </c>
      <c r="D30" s="428" t="s">
        <v>1330</v>
      </c>
      <c r="E30" s="428" t="s">
        <v>1331</v>
      </c>
      <c r="F30" s="428"/>
      <c r="G30" s="429"/>
      <c r="H30" s="428" t="s">
        <v>1632</v>
      </c>
      <c r="I30" s="428" t="s">
        <v>1632</v>
      </c>
      <c r="J30" s="428"/>
      <c r="K30" s="429"/>
      <c r="L30" s="428" t="s">
        <v>1427</v>
      </c>
      <c r="M30" s="428" t="s">
        <v>1428</v>
      </c>
      <c r="N30" s="428"/>
      <c r="O30" s="433"/>
    </row>
    <row r="31" spans="1:15" x14ac:dyDescent="0.2">
      <c r="A31" s="426"/>
      <c r="B31" s="849"/>
      <c r="C31" s="432" t="s">
        <v>1334</v>
      </c>
      <c r="D31" s="428" t="s">
        <v>1336</v>
      </c>
      <c r="E31" s="428" t="s">
        <v>1337</v>
      </c>
      <c r="F31" s="428"/>
      <c r="G31" s="429"/>
      <c r="H31" s="428" t="s">
        <v>1632</v>
      </c>
      <c r="I31" s="428" t="s">
        <v>1632</v>
      </c>
      <c r="J31" s="428"/>
      <c r="K31" s="429"/>
      <c r="L31" s="428" t="s">
        <v>1434</v>
      </c>
      <c r="M31" s="428" t="s">
        <v>1435</v>
      </c>
      <c r="N31" s="428"/>
      <c r="O31" s="433"/>
    </row>
    <row r="32" spans="1:15" ht="24" x14ac:dyDescent="0.2">
      <c r="A32" s="426"/>
      <c r="B32" s="849"/>
      <c r="C32" s="432" t="s">
        <v>1340</v>
      </c>
      <c r="D32" s="428" t="s">
        <v>1342</v>
      </c>
      <c r="E32" s="428" t="s">
        <v>1343</v>
      </c>
      <c r="F32" s="428"/>
      <c r="G32" s="429"/>
      <c r="H32" s="428" t="s">
        <v>1632</v>
      </c>
      <c r="I32" s="428" t="s">
        <v>1632</v>
      </c>
      <c r="J32" s="428"/>
      <c r="K32" s="429"/>
      <c r="L32" s="428" t="s">
        <v>1434</v>
      </c>
      <c r="M32" s="428" t="s">
        <v>1435</v>
      </c>
      <c r="N32" s="428"/>
      <c r="O32" s="433"/>
    </row>
    <row r="33" spans="1:18" x14ac:dyDescent="0.2">
      <c r="A33" s="426"/>
      <c r="B33" s="849"/>
      <c r="C33" s="432" t="s">
        <v>1346</v>
      </c>
      <c r="D33" s="428" t="s">
        <v>1348</v>
      </c>
      <c r="E33" s="428" t="s">
        <v>1349</v>
      </c>
      <c r="F33" s="428"/>
      <c r="G33" s="429"/>
      <c r="H33" s="428" t="s">
        <v>1632</v>
      </c>
      <c r="I33" s="428" t="s">
        <v>1632</v>
      </c>
      <c r="J33" s="428"/>
      <c r="K33" s="429"/>
      <c r="L33" s="428" t="s">
        <v>1441</v>
      </c>
      <c r="M33" s="428" t="s">
        <v>1442</v>
      </c>
      <c r="N33" s="428"/>
      <c r="O33" s="433"/>
    </row>
    <row r="34" spans="1:18" x14ac:dyDescent="0.2">
      <c r="A34" s="426"/>
      <c r="B34" s="849"/>
      <c r="C34" s="432" t="s">
        <v>1352</v>
      </c>
      <c r="D34" s="428" t="s">
        <v>1354</v>
      </c>
      <c r="E34" s="428" t="s">
        <v>1355</v>
      </c>
      <c r="F34" s="428"/>
      <c r="G34" s="429"/>
      <c r="H34" s="428" t="s">
        <v>1632</v>
      </c>
      <c r="I34" s="428" t="s">
        <v>1632</v>
      </c>
      <c r="J34" s="428"/>
      <c r="K34" s="429"/>
      <c r="L34" s="428" t="s">
        <v>1441</v>
      </c>
      <c r="M34" s="428" t="s">
        <v>1442</v>
      </c>
      <c r="N34" s="428"/>
      <c r="O34" s="433"/>
    </row>
    <row r="35" spans="1:18" x14ac:dyDescent="0.2">
      <c r="A35" s="426"/>
      <c r="B35" s="849"/>
      <c r="C35" s="432" t="s">
        <v>1358</v>
      </c>
      <c r="D35" s="428" t="s">
        <v>1360</v>
      </c>
      <c r="E35" s="428" t="s">
        <v>1361</v>
      </c>
      <c r="F35" s="428"/>
      <c r="G35" s="429"/>
      <c r="H35" s="428" t="s">
        <v>1632</v>
      </c>
      <c r="I35" s="428" t="s">
        <v>1632</v>
      </c>
      <c r="J35" s="428"/>
      <c r="K35" s="429"/>
      <c r="L35" s="428" t="s">
        <v>1448</v>
      </c>
      <c r="M35" s="428" t="s">
        <v>1449</v>
      </c>
      <c r="N35" s="428"/>
      <c r="O35" s="433"/>
    </row>
    <row r="36" spans="1:18" x14ac:dyDescent="0.2">
      <c r="A36" s="426"/>
      <c r="B36" s="849"/>
      <c r="C36" s="432" t="s">
        <v>1364</v>
      </c>
      <c r="D36" s="428" t="s">
        <v>1366</v>
      </c>
      <c r="E36" s="428" t="s">
        <v>1367</v>
      </c>
      <c r="F36" s="428"/>
      <c r="G36" s="429"/>
      <c r="H36" s="428" t="s">
        <v>1632</v>
      </c>
      <c r="I36" s="428" t="s">
        <v>1632</v>
      </c>
      <c r="J36" s="428"/>
      <c r="K36" s="429"/>
      <c r="L36" s="428" t="s">
        <v>1448</v>
      </c>
      <c r="M36" s="428" t="s">
        <v>1449</v>
      </c>
      <c r="N36" s="428"/>
      <c r="O36" s="433"/>
    </row>
    <row r="37" spans="1:18" x14ac:dyDescent="0.2">
      <c r="A37" s="426"/>
      <c r="B37" s="849"/>
      <c r="C37" s="432" t="s">
        <v>1370</v>
      </c>
      <c r="D37" s="428" t="s">
        <v>1372</v>
      </c>
      <c r="E37" s="428" t="s">
        <v>1373</v>
      </c>
      <c r="F37" s="428"/>
      <c r="G37" s="429"/>
      <c r="H37" s="428" t="s">
        <v>1632</v>
      </c>
      <c r="I37" s="428" t="s">
        <v>1632</v>
      </c>
      <c r="J37" s="428"/>
      <c r="K37" s="429"/>
      <c r="L37" s="428" t="s">
        <v>1427</v>
      </c>
      <c r="M37" s="428" t="s">
        <v>1428</v>
      </c>
      <c r="N37" s="428"/>
      <c r="O37" s="433"/>
    </row>
    <row r="38" spans="1:18" x14ac:dyDescent="0.2">
      <c r="A38" s="426"/>
      <c r="B38" s="849"/>
      <c r="C38" s="432" t="s">
        <v>1376</v>
      </c>
      <c r="D38" s="428" t="s">
        <v>1378</v>
      </c>
      <c r="E38" s="428" t="s">
        <v>1379</v>
      </c>
      <c r="F38" s="428"/>
      <c r="G38" s="429"/>
      <c r="H38" s="428" t="s">
        <v>1632</v>
      </c>
      <c r="I38" s="428" t="s">
        <v>1632</v>
      </c>
      <c r="J38" s="428"/>
      <c r="K38" s="429"/>
      <c r="L38" s="428" t="s">
        <v>1441</v>
      </c>
      <c r="M38" s="428" t="s">
        <v>1442</v>
      </c>
      <c r="N38" s="428"/>
      <c r="O38" s="433"/>
    </row>
    <row r="39" spans="1:18" x14ac:dyDescent="0.2">
      <c r="A39" s="426"/>
      <c r="B39" s="849"/>
      <c r="C39" s="432" t="s">
        <v>1382</v>
      </c>
      <c r="D39" s="428" t="s">
        <v>1384</v>
      </c>
      <c r="E39" s="428" t="s">
        <v>1385</v>
      </c>
      <c r="F39" s="428"/>
      <c r="G39" s="429"/>
      <c r="H39" s="428" t="s">
        <v>1632</v>
      </c>
      <c r="I39" s="428" t="s">
        <v>1632</v>
      </c>
      <c r="J39" s="428"/>
      <c r="K39" s="429"/>
      <c r="L39" s="428" t="s">
        <v>1448</v>
      </c>
      <c r="M39" s="428" t="s">
        <v>1449</v>
      </c>
      <c r="N39" s="428"/>
      <c r="O39" s="433"/>
    </row>
    <row r="40" spans="1:18" ht="24" x14ac:dyDescent="0.2">
      <c r="A40" s="426"/>
      <c r="B40" s="849"/>
      <c r="C40" s="432" t="s">
        <v>1388</v>
      </c>
      <c r="D40" s="428" t="s">
        <v>1390</v>
      </c>
      <c r="E40" s="428" t="s">
        <v>1391</v>
      </c>
      <c r="F40" s="428"/>
      <c r="G40" s="429"/>
      <c r="H40" s="428" t="s">
        <v>1632</v>
      </c>
      <c r="I40" s="428" t="s">
        <v>1632</v>
      </c>
      <c r="J40" s="428"/>
      <c r="K40" s="429"/>
      <c r="L40" s="428" t="s">
        <v>1427</v>
      </c>
      <c r="M40" s="428" t="s">
        <v>1428</v>
      </c>
      <c r="N40" s="428"/>
      <c r="O40" s="433"/>
    </row>
    <row r="41" spans="1:18" ht="24" x14ac:dyDescent="0.2">
      <c r="A41" s="426"/>
      <c r="B41" s="849"/>
      <c r="C41" s="432" t="s">
        <v>1394</v>
      </c>
      <c r="D41" s="428" t="s">
        <v>1396</v>
      </c>
      <c r="E41" s="428" t="s">
        <v>1397</v>
      </c>
      <c r="F41" s="428"/>
      <c r="G41" s="429"/>
      <c r="H41" s="428" t="s">
        <v>1632</v>
      </c>
      <c r="I41" s="428" t="s">
        <v>1632</v>
      </c>
      <c r="J41" s="428"/>
      <c r="K41" s="429"/>
      <c r="L41" s="428" t="s">
        <v>1441</v>
      </c>
      <c r="M41" s="428" t="s">
        <v>1442</v>
      </c>
      <c r="N41" s="428"/>
      <c r="O41" s="433"/>
    </row>
    <row r="42" spans="1:18" x14ac:dyDescent="0.2">
      <c r="A42" s="426"/>
      <c r="B42" s="849"/>
      <c r="C42" s="432" t="s">
        <v>1400</v>
      </c>
      <c r="D42" s="428" t="s">
        <v>1402</v>
      </c>
      <c r="E42" s="428" t="s">
        <v>1403</v>
      </c>
      <c r="F42" s="428"/>
      <c r="G42" s="429"/>
      <c r="H42" s="428" t="s">
        <v>1632</v>
      </c>
      <c r="I42" s="428" t="s">
        <v>1632</v>
      </c>
      <c r="J42" s="428"/>
      <c r="K42" s="429"/>
      <c r="L42" s="428" t="s">
        <v>1448</v>
      </c>
      <c r="M42" s="428" t="s">
        <v>1449</v>
      </c>
      <c r="N42" s="428"/>
      <c r="O42" s="433"/>
    </row>
    <row r="43" spans="1:18" x14ac:dyDescent="0.2">
      <c r="A43" s="426"/>
      <c r="B43" s="849"/>
      <c r="C43" s="432" t="s">
        <v>1406</v>
      </c>
      <c r="D43" s="428" t="s">
        <v>1408</v>
      </c>
      <c r="E43" s="428" t="s">
        <v>1409</v>
      </c>
      <c r="F43" s="428"/>
      <c r="G43" s="429"/>
      <c r="H43" s="428" t="s">
        <v>1632</v>
      </c>
      <c r="I43" s="428" t="s">
        <v>1632</v>
      </c>
      <c r="J43" s="428"/>
      <c r="K43" s="429"/>
      <c r="L43" s="428" t="s">
        <v>1427</v>
      </c>
      <c r="M43" s="428" t="s">
        <v>1428</v>
      </c>
      <c r="N43" s="428"/>
      <c r="O43" s="433"/>
    </row>
    <row r="44" spans="1:18" x14ac:dyDescent="0.2">
      <c r="A44" s="426"/>
      <c r="B44" s="849"/>
      <c r="C44" s="432" t="s">
        <v>1412</v>
      </c>
      <c r="D44" s="428" t="s">
        <v>1414</v>
      </c>
      <c r="E44" s="428" t="s">
        <v>1415</v>
      </c>
      <c r="F44" s="428"/>
      <c r="G44" s="429"/>
      <c r="H44" s="428" t="s">
        <v>1632</v>
      </c>
      <c r="I44" s="428" t="s">
        <v>1632</v>
      </c>
      <c r="J44" s="428"/>
      <c r="K44" s="429"/>
      <c r="L44" s="428" t="s">
        <v>1441</v>
      </c>
      <c r="M44" s="428" t="s">
        <v>1442</v>
      </c>
      <c r="N44" s="428"/>
      <c r="O44" s="433"/>
    </row>
    <row r="45" spans="1:18" x14ac:dyDescent="0.2">
      <c r="A45" s="426"/>
      <c r="B45" s="850"/>
      <c r="C45" s="434" t="s">
        <v>1418</v>
      </c>
      <c r="D45" s="435" t="s">
        <v>1420</v>
      </c>
      <c r="E45" s="435" t="s">
        <v>1421</v>
      </c>
      <c r="F45" s="435"/>
      <c r="G45" s="436"/>
      <c r="H45" s="437" t="s">
        <v>1632</v>
      </c>
      <c r="I45" s="437" t="s">
        <v>1632</v>
      </c>
      <c r="J45" s="428"/>
      <c r="K45" s="436"/>
      <c r="L45" s="428" t="s">
        <v>1448</v>
      </c>
      <c r="M45" s="428" t="s">
        <v>1449</v>
      </c>
      <c r="N45" s="428"/>
      <c r="O45" s="433"/>
    </row>
    <row r="46" spans="1:18" x14ac:dyDescent="0.2">
      <c r="A46" s="426"/>
      <c r="B46" s="851" t="s">
        <v>1619</v>
      </c>
      <c r="C46" s="438" t="s">
        <v>891</v>
      </c>
      <c r="D46" s="430" t="s">
        <v>892</v>
      </c>
      <c r="E46" s="430" t="s">
        <v>1632</v>
      </c>
      <c r="F46" s="430"/>
      <c r="G46" s="439"/>
      <c r="H46" s="430" t="s">
        <v>1632</v>
      </c>
      <c r="I46" s="430" t="s">
        <v>1632</v>
      </c>
      <c r="J46" s="440"/>
      <c r="K46" s="439"/>
      <c r="L46" s="440"/>
      <c r="M46" s="440"/>
      <c r="N46" s="440"/>
      <c r="O46" s="441"/>
      <c r="R46" s="9">
        <f>COUNTA(D46:D80,E51:E58,E60:E80,H51:H53,I51:I53,L51:L58,M51:M58,L60:L80,M60:M80)</f>
        <v>128</v>
      </c>
    </row>
    <row r="47" spans="1:18" x14ac:dyDescent="0.2">
      <c r="A47" s="426"/>
      <c r="B47" s="849"/>
      <c r="C47" s="432" t="s">
        <v>896</v>
      </c>
      <c r="D47" s="430" t="s">
        <v>897</v>
      </c>
      <c r="E47" s="430" t="s">
        <v>1632</v>
      </c>
      <c r="F47" s="430"/>
      <c r="G47" s="442"/>
      <c r="H47" s="428" t="s">
        <v>1632</v>
      </c>
      <c r="I47" s="428" t="s">
        <v>1632</v>
      </c>
      <c r="J47" s="430"/>
      <c r="K47" s="442"/>
      <c r="L47" s="430"/>
      <c r="M47" s="430"/>
      <c r="N47" s="430"/>
      <c r="O47" s="431"/>
    </row>
    <row r="48" spans="1:18" ht="24" x14ac:dyDescent="0.2">
      <c r="A48" s="426"/>
      <c r="B48" s="849"/>
      <c r="C48" s="427" t="s">
        <v>898</v>
      </c>
      <c r="D48" s="430" t="s">
        <v>899</v>
      </c>
      <c r="E48" s="430" t="s">
        <v>1632</v>
      </c>
      <c r="F48" s="430"/>
      <c r="G48" s="442"/>
      <c r="H48" s="428" t="s">
        <v>1632</v>
      </c>
      <c r="I48" s="428" t="s">
        <v>1632</v>
      </c>
      <c r="J48" s="430"/>
      <c r="K48" s="442"/>
      <c r="L48" s="430"/>
      <c r="M48" s="430"/>
      <c r="N48" s="430"/>
      <c r="O48" s="431"/>
    </row>
    <row r="49" spans="1:15" x14ac:dyDescent="0.2">
      <c r="A49" s="426"/>
      <c r="B49" s="849"/>
      <c r="C49" s="427" t="s">
        <v>900</v>
      </c>
      <c r="D49" s="430" t="s">
        <v>902</v>
      </c>
      <c r="E49" s="430" t="s">
        <v>1632</v>
      </c>
      <c r="F49" s="430"/>
      <c r="G49" s="442"/>
      <c r="H49" s="428" t="s">
        <v>1632</v>
      </c>
      <c r="I49" s="428" t="s">
        <v>1632</v>
      </c>
      <c r="J49" s="430"/>
      <c r="K49" s="442"/>
      <c r="L49" s="430"/>
      <c r="M49" s="430"/>
      <c r="N49" s="430"/>
      <c r="O49" s="431"/>
    </row>
    <row r="50" spans="1:15" x14ac:dyDescent="0.2">
      <c r="A50" s="426"/>
      <c r="B50" s="849"/>
      <c r="C50" s="427" t="s">
        <v>903</v>
      </c>
      <c r="D50" s="430" t="s">
        <v>905</v>
      </c>
      <c r="E50" s="430" t="s">
        <v>1632</v>
      </c>
      <c r="F50" s="430"/>
      <c r="G50" s="442"/>
      <c r="H50" s="428" t="s">
        <v>1632</v>
      </c>
      <c r="I50" s="428" t="s">
        <v>1632</v>
      </c>
      <c r="J50" s="430"/>
      <c r="K50" s="442"/>
      <c r="L50" s="430"/>
      <c r="M50" s="430"/>
      <c r="N50" s="430"/>
      <c r="O50" s="431"/>
    </row>
    <row r="51" spans="1:15" ht="24" x14ac:dyDescent="0.2">
      <c r="A51" s="426"/>
      <c r="B51" s="849"/>
      <c r="C51" s="427" t="s">
        <v>918</v>
      </c>
      <c r="D51" s="430" t="s">
        <v>919</v>
      </c>
      <c r="E51" s="430" t="s">
        <v>920</v>
      </c>
      <c r="F51" s="430"/>
      <c r="G51" s="442"/>
      <c r="H51" s="428" t="s">
        <v>948</v>
      </c>
      <c r="I51" s="428" t="s">
        <v>949</v>
      </c>
      <c r="J51" s="430"/>
      <c r="K51" s="442"/>
      <c r="L51" s="430" t="s">
        <v>924</v>
      </c>
      <c r="M51" s="430" t="s">
        <v>925</v>
      </c>
      <c r="N51" s="430"/>
      <c r="O51" s="431"/>
    </row>
    <row r="52" spans="1:15" ht="24" x14ac:dyDescent="0.2">
      <c r="A52" s="426"/>
      <c r="B52" s="849"/>
      <c r="C52" s="427" t="s">
        <v>936</v>
      </c>
      <c r="D52" s="430" t="s">
        <v>937</v>
      </c>
      <c r="E52" s="430" t="s">
        <v>938</v>
      </c>
      <c r="F52" s="430"/>
      <c r="G52" s="442"/>
      <c r="H52" s="428" t="s">
        <v>948</v>
      </c>
      <c r="I52" s="428" t="s">
        <v>949</v>
      </c>
      <c r="J52" s="430"/>
      <c r="K52" s="442"/>
      <c r="L52" s="430" t="s">
        <v>941</v>
      </c>
      <c r="M52" s="430" t="s">
        <v>942</v>
      </c>
      <c r="N52" s="430"/>
      <c r="O52" s="431"/>
    </row>
    <row r="53" spans="1:15" x14ac:dyDescent="0.2">
      <c r="A53" s="426"/>
      <c r="B53" s="849"/>
      <c r="C53" s="427" t="s">
        <v>1167</v>
      </c>
      <c r="D53" s="430" t="s">
        <v>1172</v>
      </c>
      <c r="E53" s="430" t="s">
        <v>1173</v>
      </c>
      <c r="F53" s="430"/>
      <c r="G53" s="442"/>
      <c r="H53" s="428" t="s">
        <v>1178</v>
      </c>
      <c r="I53" s="428" t="s">
        <v>1179</v>
      </c>
      <c r="J53" s="430"/>
      <c r="K53" s="442"/>
      <c r="L53" s="430" t="s">
        <v>1174</v>
      </c>
      <c r="M53" s="430" t="s">
        <v>1175</v>
      </c>
      <c r="N53" s="430"/>
      <c r="O53" s="431"/>
    </row>
    <row r="54" spans="1:15" x14ac:dyDescent="0.2">
      <c r="A54" s="426"/>
      <c r="B54" s="849"/>
      <c r="C54" s="427" t="s">
        <v>973</v>
      </c>
      <c r="D54" s="430" t="s">
        <v>974</v>
      </c>
      <c r="E54" s="430" t="s">
        <v>975</v>
      </c>
      <c r="F54" s="430"/>
      <c r="G54" s="442"/>
      <c r="H54" s="428" t="s">
        <v>1632</v>
      </c>
      <c r="I54" s="428" t="s">
        <v>1632</v>
      </c>
      <c r="J54" s="430"/>
      <c r="K54" s="442"/>
      <c r="L54" s="430" t="s">
        <v>979</v>
      </c>
      <c r="M54" s="430" t="s">
        <v>980</v>
      </c>
      <c r="N54" s="430"/>
      <c r="O54" s="431"/>
    </row>
    <row r="55" spans="1:15" x14ac:dyDescent="0.2">
      <c r="A55" s="426"/>
      <c r="B55" s="849"/>
      <c r="C55" s="427" t="s">
        <v>997</v>
      </c>
      <c r="D55" s="430" t="s">
        <v>998</v>
      </c>
      <c r="E55" s="430" t="s">
        <v>999</v>
      </c>
      <c r="F55" s="430"/>
      <c r="G55" s="442"/>
      <c r="H55" s="428" t="s">
        <v>1632</v>
      </c>
      <c r="I55" s="428" t="s">
        <v>1632</v>
      </c>
      <c r="J55" s="430"/>
      <c r="K55" s="442"/>
      <c r="L55" s="430" t="s">
        <v>1007</v>
      </c>
      <c r="M55" s="430" t="s">
        <v>1008</v>
      </c>
      <c r="N55" s="430"/>
      <c r="O55" s="431"/>
    </row>
    <row r="56" spans="1:15" ht="24" x14ac:dyDescent="0.2">
      <c r="A56" s="426"/>
      <c r="B56" s="849"/>
      <c r="C56" s="427" t="s">
        <v>1001</v>
      </c>
      <c r="D56" s="430" t="s">
        <v>1002</v>
      </c>
      <c r="E56" s="430" t="s">
        <v>1003</v>
      </c>
      <c r="F56" s="430"/>
      <c r="G56" s="442"/>
      <c r="H56" s="428" t="s">
        <v>1632</v>
      </c>
      <c r="I56" s="428" t="s">
        <v>1632</v>
      </c>
      <c r="J56" s="430"/>
      <c r="K56" s="442"/>
      <c r="L56" s="430" t="s">
        <v>1007</v>
      </c>
      <c r="M56" s="430" t="s">
        <v>1008</v>
      </c>
      <c r="N56" s="430"/>
      <c r="O56" s="431"/>
    </row>
    <row r="57" spans="1:15" ht="24" x14ac:dyDescent="0.2">
      <c r="A57" s="426"/>
      <c r="B57" s="849"/>
      <c r="C57" s="427" t="s">
        <v>1024</v>
      </c>
      <c r="D57" s="430" t="s">
        <v>1025</v>
      </c>
      <c r="E57" s="430" t="s">
        <v>1026</v>
      </c>
      <c r="F57" s="430"/>
      <c r="G57" s="442"/>
      <c r="H57" s="428" t="s">
        <v>1632</v>
      </c>
      <c r="I57" s="428" t="s">
        <v>1632</v>
      </c>
      <c r="J57" s="430"/>
      <c r="K57" s="442"/>
      <c r="L57" s="430" t="s">
        <v>1035</v>
      </c>
      <c r="M57" s="430" t="s">
        <v>1036</v>
      </c>
      <c r="N57" s="430"/>
      <c r="O57" s="431"/>
    </row>
    <row r="58" spans="1:15" ht="24" x14ac:dyDescent="0.2">
      <c r="A58" s="426"/>
      <c r="B58" s="849"/>
      <c r="C58" s="427" t="s">
        <v>1028</v>
      </c>
      <c r="D58" s="430" t="s">
        <v>1029</v>
      </c>
      <c r="E58" s="430" t="s">
        <v>1030</v>
      </c>
      <c r="F58" s="430"/>
      <c r="G58" s="442"/>
      <c r="H58" s="428" t="s">
        <v>1632</v>
      </c>
      <c r="I58" s="428" t="s">
        <v>1632</v>
      </c>
      <c r="J58" s="430"/>
      <c r="K58" s="442"/>
      <c r="L58" s="430" t="s">
        <v>1035</v>
      </c>
      <c r="M58" s="430" t="s">
        <v>1036</v>
      </c>
      <c r="N58" s="430"/>
      <c r="O58" s="431"/>
    </row>
    <row r="59" spans="1:15" x14ac:dyDescent="0.2">
      <c r="A59" s="426"/>
      <c r="B59" s="849"/>
      <c r="C59" s="427" t="s">
        <v>1037</v>
      </c>
      <c r="D59" s="430" t="s">
        <v>1038</v>
      </c>
      <c r="E59" s="430" t="s">
        <v>1632</v>
      </c>
      <c r="F59" s="430"/>
      <c r="G59" s="442"/>
      <c r="H59" s="428" t="s">
        <v>1632</v>
      </c>
      <c r="I59" s="428" t="s">
        <v>1632</v>
      </c>
      <c r="J59" s="430"/>
      <c r="K59" s="442"/>
      <c r="L59" s="430" t="s">
        <v>1632</v>
      </c>
      <c r="M59" s="430" t="s">
        <v>1632</v>
      </c>
      <c r="N59" s="430"/>
      <c r="O59" s="431"/>
    </row>
    <row r="60" spans="1:15" x14ac:dyDescent="0.2">
      <c r="A60" s="426"/>
      <c r="B60" s="849"/>
      <c r="C60" s="432" t="s">
        <v>1052</v>
      </c>
      <c r="D60" s="428" t="s">
        <v>1054</v>
      </c>
      <c r="E60" s="428" t="s">
        <v>1055</v>
      </c>
      <c r="F60" s="428"/>
      <c r="G60" s="429"/>
      <c r="H60" s="428" t="s">
        <v>1632</v>
      </c>
      <c r="I60" s="428" t="s">
        <v>1632</v>
      </c>
      <c r="J60" s="428"/>
      <c r="K60" s="429"/>
      <c r="L60" s="430" t="s">
        <v>1059</v>
      </c>
      <c r="M60" s="430" t="s">
        <v>1060</v>
      </c>
      <c r="N60" s="428"/>
      <c r="O60" s="433"/>
    </row>
    <row r="61" spans="1:15" x14ac:dyDescent="0.2">
      <c r="A61" s="426"/>
      <c r="B61" s="849"/>
      <c r="C61" s="432" t="s">
        <v>1071</v>
      </c>
      <c r="D61" s="428" t="s">
        <v>1072</v>
      </c>
      <c r="E61" s="428" t="s">
        <v>1073</v>
      </c>
      <c r="F61" s="428"/>
      <c r="G61" s="429"/>
      <c r="H61" s="428" t="s">
        <v>1632</v>
      </c>
      <c r="I61" s="428" t="s">
        <v>1632</v>
      </c>
      <c r="J61" s="428"/>
      <c r="K61" s="429"/>
      <c r="L61" s="430" t="s">
        <v>1077</v>
      </c>
      <c r="M61" s="430" t="s">
        <v>1078</v>
      </c>
      <c r="N61" s="428"/>
      <c r="O61" s="433"/>
    </row>
    <row r="62" spans="1:15" x14ac:dyDescent="0.2">
      <c r="A62" s="426"/>
      <c r="B62" s="849"/>
      <c r="C62" s="443" t="s">
        <v>1088</v>
      </c>
      <c r="D62" s="444" t="s">
        <v>1089</v>
      </c>
      <c r="E62" s="444" t="s">
        <v>1090</v>
      </c>
      <c r="F62" s="444"/>
      <c r="G62" s="445"/>
      <c r="H62" s="428" t="s">
        <v>1632</v>
      </c>
      <c r="I62" s="428" t="s">
        <v>1632</v>
      </c>
      <c r="J62" s="444"/>
      <c r="K62" s="445"/>
      <c r="L62" s="430" t="s">
        <v>1094</v>
      </c>
      <c r="M62" s="430" t="s">
        <v>1095</v>
      </c>
      <c r="N62" s="444"/>
      <c r="O62" s="446"/>
    </row>
    <row r="63" spans="1:15" x14ac:dyDescent="0.2">
      <c r="A63" s="426"/>
      <c r="B63" s="849"/>
      <c r="C63" s="443" t="s">
        <v>1104</v>
      </c>
      <c r="D63" s="444" t="s">
        <v>1105</v>
      </c>
      <c r="E63" s="444" t="s">
        <v>1106</v>
      </c>
      <c r="F63" s="444"/>
      <c r="G63" s="445"/>
      <c r="H63" s="428" t="s">
        <v>1632</v>
      </c>
      <c r="I63" s="428" t="s">
        <v>1632</v>
      </c>
      <c r="J63" s="444"/>
      <c r="K63" s="445"/>
      <c r="L63" s="430" t="s">
        <v>1110</v>
      </c>
      <c r="M63" s="430" t="s">
        <v>1111</v>
      </c>
      <c r="N63" s="444"/>
      <c r="O63" s="446"/>
    </row>
    <row r="64" spans="1:15" x14ac:dyDescent="0.2">
      <c r="A64" s="426"/>
      <c r="B64" s="849"/>
      <c r="C64" s="443" t="s">
        <v>1183</v>
      </c>
      <c r="D64" s="444" t="s">
        <v>1187</v>
      </c>
      <c r="E64" s="444" t="s">
        <v>1188</v>
      </c>
      <c r="F64" s="444"/>
      <c r="G64" s="445"/>
      <c r="H64" s="428" t="s">
        <v>1632</v>
      </c>
      <c r="I64" s="428" t="s">
        <v>1632</v>
      </c>
      <c r="J64" s="444"/>
      <c r="K64" s="445"/>
      <c r="L64" s="430" t="s">
        <v>1429</v>
      </c>
      <c r="M64" s="430" t="s">
        <v>1430</v>
      </c>
      <c r="N64" s="444"/>
      <c r="O64" s="446"/>
    </row>
    <row r="65" spans="1:15" x14ac:dyDescent="0.2">
      <c r="A65" s="426"/>
      <c r="B65" s="849"/>
      <c r="C65" s="443" t="s">
        <v>1328</v>
      </c>
      <c r="D65" s="444" t="s">
        <v>1332</v>
      </c>
      <c r="E65" s="444" t="s">
        <v>1333</v>
      </c>
      <c r="F65" s="444"/>
      <c r="G65" s="445"/>
      <c r="H65" s="428" t="s">
        <v>1632</v>
      </c>
      <c r="I65" s="428" t="s">
        <v>1632</v>
      </c>
      <c r="J65" s="444"/>
      <c r="K65" s="445"/>
      <c r="L65" s="430" t="s">
        <v>1429</v>
      </c>
      <c r="M65" s="430" t="s">
        <v>1430</v>
      </c>
      <c r="N65" s="444"/>
      <c r="O65" s="446"/>
    </row>
    <row r="66" spans="1:15" x14ac:dyDescent="0.2">
      <c r="A66" s="426"/>
      <c r="B66" s="849"/>
      <c r="C66" s="443" t="s">
        <v>1334</v>
      </c>
      <c r="D66" s="444" t="s">
        <v>1338</v>
      </c>
      <c r="E66" s="444" t="s">
        <v>1339</v>
      </c>
      <c r="F66" s="444"/>
      <c r="G66" s="445"/>
      <c r="H66" s="428" t="s">
        <v>1632</v>
      </c>
      <c r="I66" s="428" t="s">
        <v>1632</v>
      </c>
      <c r="J66" s="444"/>
      <c r="K66" s="445"/>
      <c r="L66" s="430" t="s">
        <v>1436</v>
      </c>
      <c r="M66" s="430" t="s">
        <v>1437</v>
      </c>
      <c r="N66" s="444"/>
      <c r="O66" s="446"/>
    </row>
    <row r="67" spans="1:15" ht="24" x14ac:dyDescent="0.2">
      <c r="A67" s="426"/>
      <c r="B67" s="849"/>
      <c r="C67" s="443" t="s">
        <v>1340</v>
      </c>
      <c r="D67" s="444" t="s">
        <v>1344</v>
      </c>
      <c r="E67" s="444" t="s">
        <v>1345</v>
      </c>
      <c r="F67" s="444"/>
      <c r="G67" s="445"/>
      <c r="H67" s="428" t="s">
        <v>1632</v>
      </c>
      <c r="I67" s="428" t="s">
        <v>1632</v>
      </c>
      <c r="J67" s="444"/>
      <c r="K67" s="445"/>
      <c r="L67" s="430" t="s">
        <v>1436</v>
      </c>
      <c r="M67" s="430" t="s">
        <v>1437</v>
      </c>
      <c r="N67" s="444"/>
      <c r="O67" s="446"/>
    </row>
    <row r="68" spans="1:15" x14ac:dyDescent="0.2">
      <c r="A68" s="426"/>
      <c r="B68" s="849"/>
      <c r="C68" s="443" t="s">
        <v>1346</v>
      </c>
      <c r="D68" s="444" t="s">
        <v>1350</v>
      </c>
      <c r="E68" s="444" t="s">
        <v>1351</v>
      </c>
      <c r="F68" s="444"/>
      <c r="G68" s="445"/>
      <c r="H68" s="428" t="s">
        <v>1632</v>
      </c>
      <c r="I68" s="428" t="s">
        <v>1632</v>
      </c>
      <c r="J68" s="444"/>
      <c r="K68" s="445"/>
      <c r="L68" s="430" t="s">
        <v>1443</v>
      </c>
      <c r="M68" s="430" t="s">
        <v>1444</v>
      </c>
      <c r="N68" s="444"/>
      <c r="O68" s="446"/>
    </row>
    <row r="69" spans="1:15" x14ac:dyDescent="0.2">
      <c r="A69" s="426"/>
      <c r="B69" s="849"/>
      <c r="C69" s="443" t="s">
        <v>1352</v>
      </c>
      <c r="D69" s="444" t="s">
        <v>1356</v>
      </c>
      <c r="E69" s="444" t="s">
        <v>1357</v>
      </c>
      <c r="F69" s="444"/>
      <c r="G69" s="445"/>
      <c r="H69" s="428" t="s">
        <v>1632</v>
      </c>
      <c r="I69" s="428" t="s">
        <v>1632</v>
      </c>
      <c r="J69" s="444"/>
      <c r="K69" s="445"/>
      <c r="L69" s="430" t="s">
        <v>1443</v>
      </c>
      <c r="M69" s="430" t="s">
        <v>1444</v>
      </c>
      <c r="N69" s="444"/>
      <c r="O69" s="446"/>
    </row>
    <row r="70" spans="1:15" x14ac:dyDescent="0.2">
      <c r="A70" s="426"/>
      <c r="B70" s="849"/>
      <c r="C70" s="443" t="s">
        <v>1358</v>
      </c>
      <c r="D70" s="444" t="s">
        <v>1362</v>
      </c>
      <c r="E70" s="444" t="s">
        <v>1363</v>
      </c>
      <c r="F70" s="444"/>
      <c r="G70" s="445"/>
      <c r="H70" s="428" t="s">
        <v>1632</v>
      </c>
      <c r="I70" s="428" t="s">
        <v>1632</v>
      </c>
      <c r="J70" s="444"/>
      <c r="K70" s="445"/>
      <c r="L70" s="430" t="s">
        <v>1450</v>
      </c>
      <c r="M70" s="430" t="s">
        <v>1451</v>
      </c>
      <c r="N70" s="444"/>
      <c r="O70" s="446"/>
    </row>
    <row r="71" spans="1:15" x14ac:dyDescent="0.2">
      <c r="A71" s="426"/>
      <c r="B71" s="849"/>
      <c r="C71" s="443" t="s">
        <v>1364</v>
      </c>
      <c r="D71" s="444" t="s">
        <v>1368</v>
      </c>
      <c r="E71" s="444" t="s">
        <v>1369</v>
      </c>
      <c r="F71" s="444"/>
      <c r="G71" s="445"/>
      <c r="H71" s="428" t="s">
        <v>1632</v>
      </c>
      <c r="I71" s="428" t="s">
        <v>1632</v>
      </c>
      <c r="J71" s="444"/>
      <c r="K71" s="445"/>
      <c r="L71" s="430" t="s">
        <v>1450</v>
      </c>
      <c r="M71" s="430" t="s">
        <v>1451</v>
      </c>
      <c r="N71" s="444"/>
      <c r="O71" s="446"/>
    </row>
    <row r="72" spans="1:15" x14ac:dyDescent="0.2">
      <c r="A72" s="426"/>
      <c r="B72" s="849"/>
      <c r="C72" s="443" t="s">
        <v>1370</v>
      </c>
      <c r="D72" s="444" t="s">
        <v>1374</v>
      </c>
      <c r="E72" s="444" t="s">
        <v>1375</v>
      </c>
      <c r="F72" s="444"/>
      <c r="G72" s="445"/>
      <c r="H72" s="428" t="s">
        <v>1632</v>
      </c>
      <c r="I72" s="428" t="s">
        <v>1632</v>
      </c>
      <c r="J72" s="444"/>
      <c r="K72" s="445"/>
      <c r="L72" s="430" t="s">
        <v>1429</v>
      </c>
      <c r="M72" s="430" t="s">
        <v>1430</v>
      </c>
      <c r="N72" s="444"/>
      <c r="O72" s="446"/>
    </row>
    <row r="73" spans="1:15" x14ac:dyDescent="0.2">
      <c r="A73" s="426"/>
      <c r="B73" s="849"/>
      <c r="C73" s="443" t="s">
        <v>1376</v>
      </c>
      <c r="D73" s="444" t="s">
        <v>1380</v>
      </c>
      <c r="E73" s="444" t="s">
        <v>1381</v>
      </c>
      <c r="F73" s="444"/>
      <c r="G73" s="445"/>
      <c r="H73" s="428" t="s">
        <v>1632</v>
      </c>
      <c r="I73" s="428" t="s">
        <v>1632</v>
      </c>
      <c r="J73" s="444"/>
      <c r="K73" s="445"/>
      <c r="L73" s="430" t="s">
        <v>1443</v>
      </c>
      <c r="M73" s="430" t="s">
        <v>1444</v>
      </c>
      <c r="N73" s="444"/>
      <c r="O73" s="446"/>
    </row>
    <row r="74" spans="1:15" x14ac:dyDescent="0.2">
      <c r="A74" s="426"/>
      <c r="B74" s="849"/>
      <c r="C74" s="443" t="s">
        <v>1382</v>
      </c>
      <c r="D74" s="444" t="s">
        <v>1386</v>
      </c>
      <c r="E74" s="444" t="s">
        <v>1387</v>
      </c>
      <c r="F74" s="444"/>
      <c r="G74" s="445"/>
      <c r="H74" s="428" t="s">
        <v>1632</v>
      </c>
      <c r="I74" s="428" t="s">
        <v>1632</v>
      </c>
      <c r="J74" s="444"/>
      <c r="K74" s="445"/>
      <c r="L74" s="430" t="s">
        <v>1450</v>
      </c>
      <c r="M74" s="430" t="s">
        <v>1451</v>
      </c>
      <c r="N74" s="444"/>
      <c r="O74" s="446"/>
    </row>
    <row r="75" spans="1:15" ht="24" x14ac:dyDescent="0.2">
      <c r="A75" s="426"/>
      <c r="B75" s="849"/>
      <c r="C75" s="443" t="s">
        <v>1388</v>
      </c>
      <c r="D75" s="444" t="s">
        <v>1392</v>
      </c>
      <c r="E75" s="444" t="s">
        <v>1393</v>
      </c>
      <c r="F75" s="444"/>
      <c r="G75" s="445"/>
      <c r="H75" s="428" t="s">
        <v>1632</v>
      </c>
      <c r="I75" s="428" t="s">
        <v>1632</v>
      </c>
      <c r="J75" s="444"/>
      <c r="K75" s="445"/>
      <c r="L75" s="430" t="s">
        <v>1429</v>
      </c>
      <c r="M75" s="430" t="s">
        <v>1430</v>
      </c>
      <c r="N75" s="444"/>
      <c r="O75" s="446"/>
    </row>
    <row r="76" spans="1:15" ht="24" x14ac:dyDescent="0.2">
      <c r="A76" s="426"/>
      <c r="B76" s="849"/>
      <c r="C76" s="443" t="s">
        <v>1394</v>
      </c>
      <c r="D76" s="444" t="s">
        <v>1398</v>
      </c>
      <c r="E76" s="444" t="s">
        <v>1399</v>
      </c>
      <c r="F76" s="444"/>
      <c r="G76" s="445"/>
      <c r="H76" s="428" t="s">
        <v>1632</v>
      </c>
      <c r="I76" s="428" t="s">
        <v>1632</v>
      </c>
      <c r="J76" s="444"/>
      <c r="K76" s="445"/>
      <c r="L76" s="430" t="s">
        <v>1443</v>
      </c>
      <c r="M76" s="430" t="s">
        <v>1444</v>
      </c>
      <c r="N76" s="444"/>
      <c r="O76" s="446"/>
    </row>
    <row r="77" spans="1:15" x14ac:dyDescent="0.2">
      <c r="A77" s="426"/>
      <c r="B77" s="849"/>
      <c r="C77" s="443" t="s">
        <v>1400</v>
      </c>
      <c r="D77" s="444" t="s">
        <v>1404</v>
      </c>
      <c r="E77" s="444" t="s">
        <v>1405</v>
      </c>
      <c r="F77" s="444"/>
      <c r="G77" s="445"/>
      <c r="H77" s="428" t="s">
        <v>1632</v>
      </c>
      <c r="I77" s="428" t="s">
        <v>1632</v>
      </c>
      <c r="J77" s="444"/>
      <c r="K77" s="445"/>
      <c r="L77" s="430" t="s">
        <v>1450</v>
      </c>
      <c r="M77" s="430" t="s">
        <v>1451</v>
      </c>
      <c r="N77" s="444"/>
      <c r="O77" s="446"/>
    </row>
    <row r="78" spans="1:15" x14ac:dyDescent="0.2">
      <c r="A78" s="426"/>
      <c r="B78" s="849"/>
      <c r="C78" s="443" t="s">
        <v>1406</v>
      </c>
      <c r="D78" s="444" t="s">
        <v>1410</v>
      </c>
      <c r="E78" s="444" t="s">
        <v>1411</v>
      </c>
      <c r="F78" s="444"/>
      <c r="G78" s="445"/>
      <c r="H78" s="428" t="s">
        <v>1632</v>
      </c>
      <c r="I78" s="428" t="s">
        <v>1632</v>
      </c>
      <c r="J78" s="444"/>
      <c r="K78" s="445"/>
      <c r="L78" s="430" t="s">
        <v>1429</v>
      </c>
      <c r="M78" s="430" t="s">
        <v>1430</v>
      </c>
      <c r="N78" s="444"/>
      <c r="O78" s="446"/>
    </row>
    <row r="79" spans="1:15" x14ac:dyDescent="0.2">
      <c r="A79" s="426"/>
      <c r="B79" s="849"/>
      <c r="C79" s="443" t="s">
        <v>1412</v>
      </c>
      <c r="D79" s="444" t="s">
        <v>1416</v>
      </c>
      <c r="E79" s="444" t="s">
        <v>1417</v>
      </c>
      <c r="F79" s="444"/>
      <c r="G79" s="445"/>
      <c r="H79" s="428" t="s">
        <v>1632</v>
      </c>
      <c r="I79" s="428" t="s">
        <v>1632</v>
      </c>
      <c r="J79" s="444"/>
      <c r="K79" s="445"/>
      <c r="L79" s="430" t="s">
        <v>1443</v>
      </c>
      <c r="M79" s="430" t="s">
        <v>1444</v>
      </c>
      <c r="N79" s="444"/>
      <c r="O79" s="446"/>
    </row>
    <row r="80" spans="1:15" x14ac:dyDescent="0.2">
      <c r="A80" s="426"/>
      <c r="B80" s="850"/>
      <c r="C80" s="434" t="s">
        <v>1418</v>
      </c>
      <c r="D80" s="444" t="s">
        <v>1422</v>
      </c>
      <c r="E80" s="444" t="s">
        <v>1423</v>
      </c>
      <c r="F80" s="444"/>
      <c r="G80" s="436"/>
      <c r="H80" s="437" t="s">
        <v>1632</v>
      </c>
      <c r="I80" s="428" t="s">
        <v>1632</v>
      </c>
      <c r="J80" s="444"/>
      <c r="K80" s="436"/>
      <c r="L80" s="430" t="s">
        <v>1450</v>
      </c>
      <c r="M80" s="430" t="s">
        <v>1451</v>
      </c>
      <c r="N80" s="444"/>
      <c r="O80" s="446"/>
    </row>
    <row r="81" spans="1:18" x14ac:dyDescent="0.2">
      <c r="A81" s="426"/>
      <c r="B81" s="851" t="s">
        <v>1620</v>
      </c>
      <c r="C81" s="439" t="s">
        <v>1193</v>
      </c>
      <c r="D81" s="440" t="s">
        <v>1195</v>
      </c>
      <c r="E81" s="440" t="s">
        <v>1632</v>
      </c>
      <c r="F81" s="440" t="s">
        <v>1632</v>
      </c>
      <c r="G81" s="439" t="s">
        <v>1632</v>
      </c>
      <c r="H81" s="447" t="s">
        <v>1632</v>
      </c>
      <c r="I81" s="440"/>
      <c r="J81" s="440"/>
      <c r="K81" s="439"/>
      <c r="L81" s="440" t="s">
        <v>1621</v>
      </c>
      <c r="M81" s="448" t="s">
        <v>1622</v>
      </c>
      <c r="N81" s="440" t="s">
        <v>1632</v>
      </c>
      <c r="O81" s="441" t="s">
        <v>1632</v>
      </c>
      <c r="R81" s="9">
        <f>COUNTA(D81:D141,E97:G97,E100:G103,,E107:G109,E116:G120,E122:G130,E133:G135,L107:O109,L116:O117)</f>
        <v>157</v>
      </c>
    </row>
    <row r="82" spans="1:18" x14ac:dyDescent="0.2">
      <c r="A82" s="426"/>
      <c r="B82" s="849"/>
      <c r="C82" s="429" t="s">
        <v>1198</v>
      </c>
      <c r="D82" s="428" t="s">
        <v>1195</v>
      </c>
      <c r="E82" s="428" t="s">
        <v>1632</v>
      </c>
      <c r="F82" s="428" t="s">
        <v>1632</v>
      </c>
      <c r="G82" s="429" t="s">
        <v>1632</v>
      </c>
      <c r="H82" s="449" t="s">
        <v>1632</v>
      </c>
      <c r="I82" s="428"/>
      <c r="J82" s="428"/>
      <c r="K82" s="429"/>
      <c r="L82" s="428" t="s">
        <v>1621</v>
      </c>
      <c r="M82" s="428" t="s">
        <v>1622</v>
      </c>
      <c r="N82" s="428" t="s">
        <v>1632</v>
      </c>
      <c r="O82" s="433" t="s">
        <v>1632</v>
      </c>
    </row>
    <row r="83" spans="1:18" x14ac:dyDescent="0.2">
      <c r="A83" s="426"/>
      <c r="B83" s="849"/>
      <c r="C83" s="429" t="s">
        <v>1200</v>
      </c>
      <c r="D83" s="428" t="s">
        <v>1195</v>
      </c>
      <c r="E83" s="428" t="s">
        <v>1632</v>
      </c>
      <c r="F83" s="428" t="s">
        <v>1632</v>
      </c>
      <c r="G83" s="429" t="s">
        <v>1632</v>
      </c>
      <c r="H83" s="449" t="s">
        <v>1632</v>
      </c>
      <c r="I83" s="428"/>
      <c r="J83" s="428"/>
      <c r="K83" s="429"/>
      <c r="L83" s="428" t="s">
        <v>1621</v>
      </c>
      <c r="M83" s="428" t="s">
        <v>1622</v>
      </c>
      <c r="N83" s="428" t="s">
        <v>1632</v>
      </c>
      <c r="O83" s="433" t="s">
        <v>1632</v>
      </c>
    </row>
    <row r="84" spans="1:18" x14ac:dyDescent="0.2">
      <c r="A84" s="426"/>
      <c r="B84" s="849"/>
      <c r="C84" s="429" t="s">
        <v>1202</v>
      </c>
      <c r="D84" s="428" t="s">
        <v>1195</v>
      </c>
      <c r="E84" s="428" t="s">
        <v>1632</v>
      </c>
      <c r="F84" s="428" t="s">
        <v>1632</v>
      </c>
      <c r="G84" s="429" t="s">
        <v>1632</v>
      </c>
      <c r="H84" s="449" t="s">
        <v>1632</v>
      </c>
      <c r="I84" s="428"/>
      <c r="J84" s="428"/>
      <c r="K84" s="429"/>
      <c r="L84" s="428" t="s">
        <v>1621</v>
      </c>
      <c r="M84" s="428" t="s">
        <v>1622</v>
      </c>
      <c r="N84" s="428" t="s">
        <v>1632</v>
      </c>
      <c r="O84" s="433" t="s">
        <v>1632</v>
      </c>
    </row>
    <row r="85" spans="1:18" ht="24" x14ac:dyDescent="0.2">
      <c r="A85" s="426"/>
      <c r="B85" s="849"/>
      <c r="C85" s="429" t="s">
        <v>1204</v>
      </c>
      <c r="D85" s="428" t="s">
        <v>1195</v>
      </c>
      <c r="E85" s="428" t="s">
        <v>1632</v>
      </c>
      <c r="F85" s="428" t="s">
        <v>1632</v>
      </c>
      <c r="G85" s="429" t="s">
        <v>1632</v>
      </c>
      <c r="H85" s="449" t="s">
        <v>1632</v>
      </c>
      <c r="I85" s="428"/>
      <c r="J85" s="428"/>
      <c r="K85" s="429"/>
      <c r="L85" s="428" t="s">
        <v>1621</v>
      </c>
      <c r="M85" s="428" t="s">
        <v>1622</v>
      </c>
      <c r="N85" s="428" t="s">
        <v>1632</v>
      </c>
      <c r="O85" s="433" t="s">
        <v>1632</v>
      </c>
    </row>
    <row r="86" spans="1:18" x14ac:dyDescent="0.2">
      <c r="A86" s="426"/>
      <c r="B86" s="849"/>
      <c r="C86" s="429" t="s">
        <v>1206</v>
      </c>
      <c r="D86" s="428" t="s">
        <v>1195</v>
      </c>
      <c r="E86" s="428" t="s">
        <v>1632</v>
      </c>
      <c r="F86" s="428" t="s">
        <v>1632</v>
      </c>
      <c r="G86" s="429" t="s">
        <v>1632</v>
      </c>
      <c r="H86" s="449" t="s">
        <v>1632</v>
      </c>
      <c r="I86" s="428"/>
      <c r="J86" s="428"/>
      <c r="K86" s="429"/>
      <c r="L86" s="428" t="s">
        <v>1621</v>
      </c>
      <c r="M86" s="428" t="s">
        <v>1622</v>
      </c>
      <c r="N86" s="428" t="s">
        <v>1632</v>
      </c>
      <c r="O86" s="433" t="s">
        <v>1632</v>
      </c>
    </row>
    <row r="87" spans="1:18" x14ac:dyDescent="0.2">
      <c r="A87" s="426"/>
      <c r="B87" s="849"/>
      <c r="C87" s="429" t="s">
        <v>1208</v>
      </c>
      <c r="D87" s="428" t="s">
        <v>1195</v>
      </c>
      <c r="E87" s="428" t="s">
        <v>1632</v>
      </c>
      <c r="F87" s="428" t="s">
        <v>1632</v>
      </c>
      <c r="G87" s="429" t="s">
        <v>1632</v>
      </c>
      <c r="H87" s="449" t="s">
        <v>1632</v>
      </c>
      <c r="I87" s="428"/>
      <c r="J87" s="428"/>
      <c r="K87" s="429"/>
      <c r="L87" s="428" t="s">
        <v>1621</v>
      </c>
      <c r="M87" s="428" t="s">
        <v>1622</v>
      </c>
      <c r="N87" s="428" t="s">
        <v>1632</v>
      </c>
      <c r="O87" s="433" t="s">
        <v>1632</v>
      </c>
    </row>
    <row r="88" spans="1:18" x14ac:dyDescent="0.2">
      <c r="A88" s="426"/>
      <c r="B88" s="849"/>
      <c r="C88" s="429" t="s">
        <v>1210</v>
      </c>
      <c r="D88" s="428" t="s">
        <v>1195</v>
      </c>
      <c r="E88" s="428" t="s">
        <v>1632</v>
      </c>
      <c r="F88" s="428" t="s">
        <v>1632</v>
      </c>
      <c r="G88" s="429" t="s">
        <v>1632</v>
      </c>
      <c r="H88" s="449" t="s">
        <v>1632</v>
      </c>
      <c r="I88" s="428"/>
      <c r="J88" s="428"/>
      <c r="K88" s="429"/>
      <c r="L88" s="428" t="s">
        <v>1621</v>
      </c>
      <c r="M88" s="428" t="s">
        <v>1622</v>
      </c>
      <c r="N88" s="428" t="s">
        <v>1632</v>
      </c>
      <c r="O88" s="433" t="s">
        <v>1632</v>
      </c>
    </row>
    <row r="89" spans="1:18" ht="24" x14ac:dyDescent="0.2">
      <c r="A89" s="426"/>
      <c r="B89" s="849"/>
      <c r="C89" s="429" t="s">
        <v>1212</v>
      </c>
      <c r="D89" s="428" t="s">
        <v>1195</v>
      </c>
      <c r="E89" s="428" t="s">
        <v>1632</v>
      </c>
      <c r="F89" s="428" t="s">
        <v>1632</v>
      </c>
      <c r="G89" s="429" t="s">
        <v>1632</v>
      </c>
      <c r="H89" s="449" t="s">
        <v>1632</v>
      </c>
      <c r="I89" s="428"/>
      <c r="J89" s="428"/>
      <c r="K89" s="429"/>
      <c r="L89" s="428" t="s">
        <v>1621</v>
      </c>
      <c r="M89" s="428" t="s">
        <v>1622</v>
      </c>
      <c r="N89" s="428" t="s">
        <v>1632</v>
      </c>
      <c r="O89" s="433" t="s">
        <v>1632</v>
      </c>
    </row>
    <row r="90" spans="1:18" x14ac:dyDescent="0.2">
      <c r="A90" s="426"/>
      <c r="B90" s="849"/>
      <c r="C90" s="429" t="s">
        <v>1214</v>
      </c>
      <c r="D90" s="428" t="s">
        <v>1195</v>
      </c>
      <c r="E90" s="428" t="s">
        <v>1632</v>
      </c>
      <c r="F90" s="428" t="s">
        <v>1632</v>
      </c>
      <c r="G90" s="429" t="s">
        <v>1632</v>
      </c>
      <c r="H90" s="449" t="s">
        <v>1632</v>
      </c>
      <c r="I90" s="428"/>
      <c r="J90" s="428"/>
      <c r="K90" s="429"/>
      <c r="L90" s="428" t="s">
        <v>1621</v>
      </c>
      <c r="M90" s="428" t="s">
        <v>1622</v>
      </c>
      <c r="N90" s="428" t="s">
        <v>1632</v>
      </c>
      <c r="O90" s="433" t="s">
        <v>1632</v>
      </c>
    </row>
    <row r="91" spans="1:18" x14ac:dyDescent="0.2">
      <c r="A91" s="426"/>
      <c r="B91" s="849"/>
      <c r="C91" s="429" t="s">
        <v>1216</v>
      </c>
      <c r="D91" s="428" t="s">
        <v>1195</v>
      </c>
      <c r="E91" s="428" t="s">
        <v>1632</v>
      </c>
      <c r="F91" s="428" t="s">
        <v>1632</v>
      </c>
      <c r="G91" s="429" t="s">
        <v>1632</v>
      </c>
      <c r="H91" s="449" t="s">
        <v>1632</v>
      </c>
      <c r="I91" s="428"/>
      <c r="J91" s="428"/>
      <c r="K91" s="429"/>
      <c r="L91" s="428" t="s">
        <v>1621</v>
      </c>
      <c r="M91" s="428" t="s">
        <v>1622</v>
      </c>
      <c r="N91" s="428" t="s">
        <v>1632</v>
      </c>
      <c r="O91" s="433" t="s">
        <v>1632</v>
      </c>
    </row>
    <row r="92" spans="1:18" x14ac:dyDescent="0.2">
      <c r="A92" s="426"/>
      <c r="B92" s="849"/>
      <c r="C92" s="429" t="s">
        <v>1218</v>
      </c>
      <c r="D92" s="428" t="s">
        <v>1195</v>
      </c>
      <c r="E92" s="428" t="s">
        <v>1632</v>
      </c>
      <c r="F92" s="428" t="s">
        <v>1632</v>
      </c>
      <c r="G92" s="429" t="s">
        <v>1632</v>
      </c>
      <c r="H92" s="449" t="s">
        <v>1632</v>
      </c>
      <c r="I92" s="428"/>
      <c r="J92" s="428"/>
      <c r="K92" s="429"/>
      <c r="L92" s="428" t="s">
        <v>1621</v>
      </c>
      <c r="M92" s="428" t="s">
        <v>1622</v>
      </c>
      <c r="N92" s="428" t="s">
        <v>1632</v>
      </c>
      <c r="O92" s="433" t="s">
        <v>1632</v>
      </c>
    </row>
    <row r="93" spans="1:18" x14ac:dyDescent="0.2">
      <c r="A93" s="426"/>
      <c r="B93" s="849"/>
      <c r="C93" s="429" t="s">
        <v>1220</v>
      </c>
      <c r="D93" s="428" t="s">
        <v>1195</v>
      </c>
      <c r="E93" s="428" t="s">
        <v>1632</v>
      </c>
      <c r="F93" s="428" t="s">
        <v>1632</v>
      </c>
      <c r="G93" s="429" t="s">
        <v>1632</v>
      </c>
      <c r="H93" s="449" t="s">
        <v>1632</v>
      </c>
      <c r="I93" s="428"/>
      <c r="J93" s="428"/>
      <c r="K93" s="429"/>
      <c r="L93" s="428" t="s">
        <v>1621</v>
      </c>
      <c r="M93" s="428" t="s">
        <v>1622</v>
      </c>
      <c r="N93" s="428" t="s">
        <v>1632</v>
      </c>
      <c r="O93" s="433" t="s">
        <v>1632</v>
      </c>
    </row>
    <row r="94" spans="1:18" x14ac:dyDescent="0.2">
      <c r="A94" s="426"/>
      <c r="B94" s="849"/>
      <c r="C94" s="429" t="s">
        <v>1222</v>
      </c>
      <c r="D94" s="428" t="s">
        <v>1195</v>
      </c>
      <c r="E94" s="428" t="s">
        <v>1632</v>
      </c>
      <c r="F94" s="428" t="s">
        <v>1632</v>
      </c>
      <c r="G94" s="429" t="s">
        <v>1632</v>
      </c>
      <c r="H94" s="449" t="s">
        <v>1632</v>
      </c>
      <c r="I94" s="428"/>
      <c r="J94" s="428"/>
      <c r="K94" s="429"/>
      <c r="L94" s="428" t="s">
        <v>1621</v>
      </c>
      <c r="M94" s="428" t="s">
        <v>1622</v>
      </c>
      <c r="N94" s="428" t="s">
        <v>1632</v>
      </c>
      <c r="O94" s="433" t="s">
        <v>1632</v>
      </c>
    </row>
    <row r="95" spans="1:18" x14ac:dyDescent="0.2">
      <c r="A95" s="426"/>
      <c r="B95" s="849"/>
      <c r="C95" s="429" t="s">
        <v>1224</v>
      </c>
      <c r="D95" s="428" t="s">
        <v>1195</v>
      </c>
      <c r="E95" s="428" t="s">
        <v>1632</v>
      </c>
      <c r="F95" s="428" t="s">
        <v>1632</v>
      </c>
      <c r="G95" s="429" t="s">
        <v>1632</v>
      </c>
      <c r="H95" s="449" t="s">
        <v>1632</v>
      </c>
      <c r="I95" s="428"/>
      <c r="J95" s="428"/>
      <c r="K95" s="429"/>
      <c r="L95" s="428" t="s">
        <v>1621</v>
      </c>
      <c r="M95" s="428" t="s">
        <v>1622</v>
      </c>
      <c r="N95" s="428" t="s">
        <v>1632</v>
      </c>
      <c r="O95" s="433" t="s">
        <v>1632</v>
      </c>
    </row>
    <row r="96" spans="1:18" x14ac:dyDescent="0.2">
      <c r="A96" s="426"/>
      <c r="B96" s="849"/>
      <c r="C96" s="429" t="s">
        <v>1226</v>
      </c>
      <c r="D96" s="428" t="s">
        <v>1195</v>
      </c>
      <c r="E96" s="428" t="s">
        <v>1632</v>
      </c>
      <c r="F96" s="428" t="s">
        <v>1632</v>
      </c>
      <c r="G96" s="429" t="s">
        <v>1632</v>
      </c>
      <c r="H96" s="449" t="s">
        <v>1632</v>
      </c>
      <c r="I96" s="428"/>
      <c r="J96" s="428"/>
      <c r="K96" s="429"/>
      <c r="L96" s="428" t="s">
        <v>1621</v>
      </c>
      <c r="M96" s="428" t="s">
        <v>1622</v>
      </c>
      <c r="N96" s="428" t="s">
        <v>1632</v>
      </c>
      <c r="O96" s="433" t="s">
        <v>1632</v>
      </c>
    </row>
    <row r="97" spans="1:15" x14ac:dyDescent="0.2">
      <c r="A97" s="426"/>
      <c r="B97" s="849"/>
      <c r="C97" s="429" t="s">
        <v>1229</v>
      </c>
      <c r="D97" s="428" t="s">
        <v>1231</v>
      </c>
      <c r="E97" s="428" t="s">
        <v>1232</v>
      </c>
      <c r="F97" s="428" t="s">
        <v>1233</v>
      </c>
      <c r="G97" s="429" t="s">
        <v>1234</v>
      </c>
      <c r="H97" s="449" t="s">
        <v>1634</v>
      </c>
      <c r="I97" s="428"/>
      <c r="J97" s="428"/>
      <c r="K97" s="429"/>
      <c r="L97" s="428" t="s">
        <v>1621</v>
      </c>
      <c r="M97" s="428" t="s">
        <v>1622</v>
      </c>
      <c r="N97" s="428" t="s">
        <v>1632</v>
      </c>
      <c r="O97" s="433" t="s">
        <v>1632</v>
      </c>
    </row>
    <row r="98" spans="1:15" x14ac:dyDescent="0.2">
      <c r="A98" s="426"/>
      <c r="B98" s="849"/>
      <c r="C98" s="429" t="s">
        <v>1236</v>
      </c>
      <c r="D98" s="428" t="s">
        <v>1195</v>
      </c>
      <c r="E98" s="428" t="s">
        <v>1632</v>
      </c>
      <c r="F98" s="428" t="s">
        <v>1632</v>
      </c>
      <c r="G98" s="429" t="s">
        <v>1632</v>
      </c>
      <c r="H98" s="449" t="s">
        <v>1634</v>
      </c>
      <c r="I98" s="428"/>
      <c r="J98" s="428"/>
      <c r="K98" s="429"/>
      <c r="L98" s="428" t="s">
        <v>1621</v>
      </c>
      <c r="M98" s="428" t="s">
        <v>1622</v>
      </c>
      <c r="N98" s="428" t="s">
        <v>1632</v>
      </c>
      <c r="O98" s="433" t="s">
        <v>1632</v>
      </c>
    </row>
    <row r="99" spans="1:15" x14ac:dyDescent="0.2">
      <c r="A99" s="426"/>
      <c r="B99" s="849"/>
      <c r="C99" s="429" t="s">
        <v>1238</v>
      </c>
      <c r="D99" s="428" t="s">
        <v>1195</v>
      </c>
      <c r="E99" s="428" t="s">
        <v>1632</v>
      </c>
      <c r="F99" s="428" t="s">
        <v>1632</v>
      </c>
      <c r="G99" s="429" t="s">
        <v>1632</v>
      </c>
      <c r="H99" s="449" t="s">
        <v>1634</v>
      </c>
      <c r="I99" s="428"/>
      <c r="J99" s="428"/>
      <c r="K99" s="429"/>
      <c r="L99" s="428" t="s">
        <v>1621</v>
      </c>
      <c r="M99" s="428" t="s">
        <v>1622</v>
      </c>
      <c r="N99" s="428" t="s">
        <v>1632</v>
      </c>
      <c r="O99" s="433" t="s">
        <v>1632</v>
      </c>
    </row>
    <row r="100" spans="1:15" x14ac:dyDescent="0.2">
      <c r="A100" s="426"/>
      <c r="B100" s="849"/>
      <c r="C100" s="429" t="s">
        <v>1240</v>
      </c>
      <c r="D100" s="428" t="s">
        <v>1242</v>
      </c>
      <c r="E100" s="428" t="s">
        <v>1243</v>
      </c>
      <c r="F100" s="428" t="s">
        <v>1244</v>
      </c>
      <c r="G100" s="429" t="s">
        <v>1245</v>
      </c>
      <c r="H100" s="449" t="s">
        <v>1634</v>
      </c>
      <c r="I100" s="428"/>
      <c r="J100" s="428"/>
      <c r="K100" s="429"/>
      <c r="L100" s="428" t="s">
        <v>1621</v>
      </c>
      <c r="M100" s="428" t="s">
        <v>1622</v>
      </c>
      <c r="N100" s="428" t="s">
        <v>1632</v>
      </c>
      <c r="O100" s="433" t="s">
        <v>1632</v>
      </c>
    </row>
    <row r="101" spans="1:15" x14ac:dyDescent="0.2">
      <c r="A101" s="426"/>
      <c r="B101" s="849"/>
      <c r="C101" s="429" t="s">
        <v>1247</v>
      </c>
      <c r="D101" s="428" t="s">
        <v>1249</v>
      </c>
      <c r="E101" s="428" t="s">
        <v>1250</v>
      </c>
      <c r="F101" s="428" t="s">
        <v>1251</v>
      </c>
      <c r="G101" s="429" t="s">
        <v>1252</v>
      </c>
      <c r="H101" s="449" t="s">
        <v>1634</v>
      </c>
      <c r="I101" s="428"/>
      <c r="J101" s="428"/>
      <c r="K101" s="429"/>
      <c r="L101" s="428" t="s">
        <v>1621</v>
      </c>
      <c r="M101" s="428" t="s">
        <v>1622</v>
      </c>
      <c r="N101" s="428" t="s">
        <v>1632</v>
      </c>
      <c r="O101" s="433" t="s">
        <v>1632</v>
      </c>
    </row>
    <row r="102" spans="1:15" x14ac:dyDescent="0.2">
      <c r="A102" s="426"/>
      <c r="B102" s="849"/>
      <c r="C102" s="429" t="s">
        <v>1253</v>
      </c>
      <c r="D102" s="428" t="s">
        <v>1255</v>
      </c>
      <c r="E102" s="428" t="s">
        <v>1256</v>
      </c>
      <c r="F102" s="428" t="s">
        <v>1257</v>
      </c>
      <c r="G102" s="429" t="s">
        <v>1258</v>
      </c>
      <c r="H102" s="449" t="s">
        <v>1634</v>
      </c>
      <c r="I102" s="428"/>
      <c r="J102" s="428"/>
      <c r="K102" s="429"/>
      <c r="L102" s="428" t="s">
        <v>1621</v>
      </c>
      <c r="M102" s="428" t="s">
        <v>1622</v>
      </c>
      <c r="N102" s="428" t="s">
        <v>1632</v>
      </c>
      <c r="O102" s="433" t="s">
        <v>1632</v>
      </c>
    </row>
    <row r="103" spans="1:15" x14ac:dyDescent="0.2">
      <c r="A103" s="426"/>
      <c r="B103" s="849"/>
      <c r="C103" s="429" t="s">
        <v>1259</v>
      </c>
      <c r="D103" s="428" t="s">
        <v>1261</v>
      </c>
      <c r="E103" s="428" t="s">
        <v>1262</v>
      </c>
      <c r="F103" s="428" t="s">
        <v>1263</v>
      </c>
      <c r="G103" s="429" t="s">
        <v>1264</v>
      </c>
      <c r="H103" s="449" t="s">
        <v>1634</v>
      </c>
      <c r="I103" s="428"/>
      <c r="J103" s="428"/>
      <c r="K103" s="429"/>
      <c r="L103" s="428" t="s">
        <v>1621</v>
      </c>
      <c r="M103" s="428" t="s">
        <v>1622</v>
      </c>
      <c r="N103" s="428" t="s">
        <v>1632</v>
      </c>
      <c r="O103" s="433" t="s">
        <v>1632</v>
      </c>
    </row>
    <row r="104" spans="1:15" x14ac:dyDescent="0.2">
      <c r="A104" s="426"/>
      <c r="B104" s="849"/>
      <c r="C104" s="429" t="s">
        <v>1265</v>
      </c>
      <c r="D104" s="428" t="s">
        <v>1195</v>
      </c>
      <c r="E104" s="428" t="s">
        <v>1632</v>
      </c>
      <c r="F104" s="428" t="s">
        <v>1632</v>
      </c>
      <c r="G104" s="429" t="s">
        <v>1632</v>
      </c>
      <c r="H104" s="449" t="s">
        <v>1634</v>
      </c>
      <c r="I104" s="428"/>
      <c r="J104" s="428"/>
      <c r="K104" s="429"/>
      <c r="L104" s="428" t="s">
        <v>1621</v>
      </c>
      <c r="M104" s="428" t="s">
        <v>1622</v>
      </c>
      <c r="N104" s="428" t="s">
        <v>1632</v>
      </c>
      <c r="O104" s="433" t="s">
        <v>1632</v>
      </c>
    </row>
    <row r="105" spans="1:15" x14ac:dyDescent="0.2">
      <c r="A105" s="426"/>
      <c r="B105" s="849"/>
      <c r="C105" s="429" t="s">
        <v>1267</v>
      </c>
      <c r="D105" s="428" t="s">
        <v>1195</v>
      </c>
      <c r="E105" s="428" t="s">
        <v>1632</v>
      </c>
      <c r="F105" s="428" t="s">
        <v>1632</v>
      </c>
      <c r="G105" s="429" t="s">
        <v>1632</v>
      </c>
      <c r="H105" s="449" t="s">
        <v>1634</v>
      </c>
      <c r="I105" s="428"/>
      <c r="J105" s="428"/>
      <c r="K105" s="429"/>
      <c r="L105" s="428" t="s">
        <v>1621</v>
      </c>
      <c r="M105" s="428" t="s">
        <v>1622</v>
      </c>
      <c r="N105" s="428" t="s">
        <v>1632</v>
      </c>
      <c r="O105" s="433" t="s">
        <v>1632</v>
      </c>
    </row>
    <row r="106" spans="1:15" x14ac:dyDescent="0.2">
      <c r="A106" s="426"/>
      <c r="B106" s="849"/>
      <c r="C106" s="429" t="s">
        <v>1269</v>
      </c>
      <c r="D106" s="428" t="s">
        <v>1195</v>
      </c>
      <c r="E106" s="428" t="s">
        <v>1632</v>
      </c>
      <c r="F106" s="428" t="s">
        <v>1632</v>
      </c>
      <c r="G106" s="429" t="s">
        <v>1632</v>
      </c>
      <c r="H106" s="449" t="s">
        <v>1634</v>
      </c>
      <c r="I106" s="428"/>
      <c r="J106" s="428"/>
      <c r="K106" s="429"/>
      <c r="L106" s="428" t="s">
        <v>1621</v>
      </c>
      <c r="M106" s="428" t="s">
        <v>1622</v>
      </c>
      <c r="N106" s="428" t="s">
        <v>1632</v>
      </c>
      <c r="O106" s="433" t="s">
        <v>1632</v>
      </c>
    </row>
    <row r="107" spans="1:15" x14ac:dyDescent="0.2">
      <c r="A107" s="426"/>
      <c r="B107" s="849"/>
      <c r="C107" s="429" t="s">
        <v>1278</v>
      </c>
      <c r="D107" s="428" t="s">
        <v>1280</v>
      </c>
      <c r="E107" s="428" t="s">
        <v>1281</v>
      </c>
      <c r="F107" s="428" t="s">
        <v>1282</v>
      </c>
      <c r="G107" s="429" t="s">
        <v>1283</v>
      </c>
      <c r="H107" s="449" t="s">
        <v>1632</v>
      </c>
      <c r="I107" s="428"/>
      <c r="J107" s="428"/>
      <c r="K107" s="429"/>
      <c r="L107" s="428" t="s">
        <v>1288</v>
      </c>
      <c r="M107" s="428" t="s">
        <v>1289</v>
      </c>
      <c r="N107" s="428" t="s">
        <v>1290</v>
      </c>
      <c r="O107" s="433" t="s">
        <v>1291</v>
      </c>
    </row>
    <row r="108" spans="1:15" x14ac:dyDescent="0.2">
      <c r="A108" s="426"/>
      <c r="B108" s="849"/>
      <c r="C108" s="429" t="s">
        <v>1292</v>
      </c>
      <c r="D108" s="428" t="s">
        <v>1294</v>
      </c>
      <c r="E108" s="428" t="s">
        <v>1295</v>
      </c>
      <c r="F108" s="428" t="s">
        <v>1296</v>
      </c>
      <c r="G108" s="429" t="s">
        <v>1297</v>
      </c>
      <c r="H108" s="449" t="s">
        <v>1632</v>
      </c>
      <c r="I108" s="428"/>
      <c r="J108" s="428"/>
      <c r="K108" s="429"/>
      <c r="L108" s="428" t="s">
        <v>1310</v>
      </c>
      <c r="M108" s="428" t="s">
        <v>1311</v>
      </c>
      <c r="N108" s="428" t="s">
        <v>1312</v>
      </c>
      <c r="O108" s="433" t="s">
        <v>1313</v>
      </c>
    </row>
    <row r="109" spans="1:15" x14ac:dyDescent="0.2">
      <c r="A109" s="426"/>
      <c r="B109" s="849"/>
      <c r="C109" s="429" t="s">
        <v>1300</v>
      </c>
      <c r="D109" s="428" t="s">
        <v>1302</v>
      </c>
      <c r="E109" s="428" t="s">
        <v>1303</v>
      </c>
      <c r="F109" s="428" t="s">
        <v>1304</v>
      </c>
      <c r="G109" s="429" t="s">
        <v>1305</v>
      </c>
      <c r="H109" s="449" t="s">
        <v>1632</v>
      </c>
      <c r="I109" s="428"/>
      <c r="J109" s="428"/>
      <c r="K109" s="429"/>
      <c r="L109" s="428" t="s">
        <v>1310</v>
      </c>
      <c r="M109" s="428" t="s">
        <v>1311</v>
      </c>
      <c r="N109" s="428" t="s">
        <v>1312</v>
      </c>
      <c r="O109" s="433" t="s">
        <v>1313</v>
      </c>
    </row>
    <row r="110" spans="1:15" x14ac:dyDescent="0.2">
      <c r="A110" s="426"/>
      <c r="B110" s="849"/>
      <c r="C110" s="429" t="s">
        <v>1314</v>
      </c>
      <c r="D110" s="428" t="s">
        <v>1195</v>
      </c>
      <c r="E110" s="428" t="s">
        <v>1632</v>
      </c>
      <c r="F110" s="428" t="s">
        <v>1632</v>
      </c>
      <c r="G110" s="429" t="s">
        <v>1632</v>
      </c>
      <c r="H110" s="449" t="s">
        <v>1632</v>
      </c>
      <c r="I110" s="428"/>
      <c r="J110" s="428"/>
      <c r="K110" s="429"/>
      <c r="L110" s="428" t="s">
        <v>1621</v>
      </c>
      <c r="M110" s="428" t="s">
        <v>1622</v>
      </c>
      <c r="N110" s="428" t="s">
        <v>1632</v>
      </c>
      <c r="O110" s="433" t="s">
        <v>1632</v>
      </c>
    </row>
    <row r="111" spans="1:15" x14ac:dyDescent="0.2">
      <c r="A111" s="426"/>
      <c r="B111" s="849"/>
      <c r="C111" s="429" t="s">
        <v>1317</v>
      </c>
      <c r="D111" s="428" t="s">
        <v>1195</v>
      </c>
      <c r="E111" s="428" t="s">
        <v>1632</v>
      </c>
      <c r="F111" s="428" t="s">
        <v>1632</v>
      </c>
      <c r="G111" s="429" t="s">
        <v>1632</v>
      </c>
      <c r="H111" s="449" t="s">
        <v>1632</v>
      </c>
      <c r="I111" s="428"/>
      <c r="J111" s="428"/>
      <c r="K111" s="429"/>
      <c r="L111" s="428" t="s">
        <v>1621</v>
      </c>
      <c r="M111" s="428" t="s">
        <v>1622</v>
      </c>
      <c r="N111" s="428" t="s">
        <v>1632</v>
      </c>
      <c r="O111" s="433" t="s">
        <v>1632</v>
      </c>
    </row>
    <row r="112" spans="1:15" x14ac:dyDescent="0.2">
      <c r="A112" s="426"/>
      <c r="B112" s="849"/>
      <c r="C112" s="429" t="s">
        <v>1319</v>
      </c>
      <c r="D112" s="428" t="s">
        <v>1195</v>
      </c>
      <c r="E112" s="428" t="s">
        <v>1632</v>
      </c>
      <c r="F112" s="428" t="s">
        <v>1632</v>
      </c>
      <c r="G112" s="429" t="s">
        <v>1632</v>
      </c>
      <c r="H112" s="449" t="s">
        <v>1632</v>
      </c>
      <c r="I112" s="428"/>
      <c r="J112" s="428"/>
      <c r="K112" s="429"/>
      <c r="L112" s="428" t="s">
        <v>1621</v>
      </c>
      <c r="M112" s="428" t="s">
        <v>1622</v>
      </c>
      <c r="N112" s="428" t="s">
        <v>1632</v>
      </c>
      <c r="O112" s="433" t="s">
        <v>1632</v>
      </c>
    </row>
    <row r="113" spans="1:15" x14ac:dyDescent="0.2">
      <c r="A113" s="426"/>
      <c r="B113" s="849"/>
      <c r="C113" s="429" t="s">
        <v>1321</v>
      </c>
      <c r="D113" s="428" t="s">
        <v>1195</v>
      </c>
      <c r="E113" s="428" t="s">
        <v>1632</v>
      </c>
      <c r="F113" s="428" t="s">
        <v>1632</v>
      </c>
      <c r="G113" s="429" t="s">
        <v>1632</v>
      </c>
      <c r="H113" s="449" t="s">
        <v>1632</v>
      </c>
      <c r="I113" s="428"/>
      <c r="J113" s="428"/>
      <c r="K113" s="429"/>
      <c r="L113" s="428" t="s">
        <v>1621</v>
      </c>
      <c r="M113" s="428" t="s">
        <v>1622</v>
      </c>
      <c r="N113" s="428" t="s">
        <v>1632</v>
      </c>
      <c r="O113" s="433" t="s">
        <v>1632</v>
      </c>
    </row>
    <row r="114" spans="1:15" x14ac:dyDescent="0.2">
      <c r="A114" s="426"/>
      <c r="B114" s="849"/>
      <c r="C114" s="429" t="s">
        <v>1323</v>
      </c>
      <c r="D114" s="428" t="s">
        <v>1195</v>
      </c>
      <c r="E114" s="428" t="s">
        <v>1632</v>
      </c>
      <c r="F114" s="428" t="s">
        <v>1632</v>
      </c>
      <c r="G114" s="429" t="s">
        <v>1632</v>
      </c>
      <c r="H114" s="449" t="s">
        <v>1632</v>
      </c>
      <c r="I114" s="428"/>
      <c r="J114" s="428"/>
      <c r="K114" s="429"/>
      <c r="L114" s="428" t="s">
        <v>1621</v>
      </c>
      <c r="M114" s="428" t="s">
        <v>1622</v>
      </c>
      <c r="N114" s="428" t="s">
        <v>1632</v>
      </c>
      <c r="O114" s="433" t="s">
        <v>1632</v>
      </c>
    </row>
    <row r="115" spans="1:15" x14ac:dyDescent="0.2">
      <c r="A115" s="426"/>
      <c r="B115" s="849"/>
      <c r="C115" s="429" t="s">
        <v>1325</v>
      </c>
      <c r="D115" s="428" t="s">
        <v>1195</v>
      </c>
      <c r="E115" s="428" t="s">
        <v>1632</v>
      </c>
      <c r="F115" s="428" t="s">
        <v>1632</v>
      </c>
      <c r="G115" s="429" t="s">
        <v>1632</v>
      </c>
      <c r="H115" s="449" t="s">
        <v>1632</v>
      </c>
      <c r="I115" s="428"/>
      <c r="J115" s="428"/>
      <c r="K115" s="429"/>
      <c r="L115" s="428" t="s">
        <v>1621</v>
      </c>
      <c r="M115" s="428" t="s">
        <v>1622</v>
      </c>
      <c r="N115" s="428" t="s">
        <v>1632</v>
      </c>
      <c r="O115" s="433" t="s">
        <v>1632</v>
      </c>
    </row>
    <row r="116" spans="1:15" x14ac:dyDescent="0.2">
      <c r="A116" s="426"/>
      <c r="B116" s="849"/>
      <c r="C116" s="429" t="s">
        <v>1453</v>
      </c>
      <c r="D116" s="428" t="s">
        <v>1455</v>
      </c>
      <c r="E116" s="428" t="s">
        <v>1456</v>
      </c>
      <c r="F116" s="428" t="s">
        <v>1457</v>
      </c>
      <c r="G116" s="429" t="s">
        <v>1458</v>
      </c>
      <c r="H116" s="449" t="s">
        <v>1632</v>
      </c>
      <c r="I116" s="428"/>
      <c r="J116" s="428"/>
      <c r="K116" s="429"/>
      <c r="L116" s="428" t="s">
        <v>1463</v>
      </c>
      <c r="M116" s="428" t="s">
        <v>1464</v>
      </c>
      <c r="N116" s="428" t="s">
        <v>1465</v>
      </c>
      <c r="O116" s="433" t="s">
        <v>1466</v>
      </c>
    </row>
    <row r="117" spans="1:15" x14ac:dyDescent="0.2">
      <c r="A117" s="426"/>
      <c r="B117" s="849"/>
      <c r="C117" s="429" t="s">
        <v>1467</v>
      </c>
      <c r="D117" s="428" t="s">
        <v>1469</v>
      </c>
      <c r="E117" s="428" t="s">
        <v>1470</v>
      </c>
      <c r="F117" s="428" t="s">
        <v>1471</v>
      </c>
      <c r="G117" s="429" t="s">
        <v>1472</v>
      </c>
      <c r="H117" s="449" t="s">
        <v>1632</v>
      </c>
      <c r="I117" s="428"/>
      <c r="J117" s="428"/>
      <c r="K117" s="429"/>
      <c r="L117" s="428" t="s">
        <v>1477</v>
      </c>
      <c r="M117" s="428" t="s">
        <v>1478</v>
      </c>
      <c r="N117" s="428" t="s">
        <v>1479</v>
      </c>
      <c r="O117" s="433" t="s">
        <v>1480</v>
      </c>
    </row>
    <row r="118" spans="1:15" x14ac:dyDescent="0.2">
      <c r="A118" s="426"/>
      <c r="B118" s="849"/>
      <c r="C118" s="429" t="s">
        <v>1481</v>
      </c>
      <c r="D118" s="428" t="s">
        <v>1483</v>
      </c>
      <c r="E118" s="428" t="s">
        <v>1484</v>
      </c>
      <c r="F118" s="428" t="s">
        <v>1485</v>
      </c>
      <c r="G118" s="429" t="s">
        <v>1486</v>
      </c>
      <c r="H118" s="449" t="s">
        <v>1632</v>
      </c>
      <c r="I118" s="428"/>
      <c r="J118" s="428"/>
      <c r="K118" s="429"/>
      <c r="L118" s="428" t="s">
        <v>1621</v>
      </c>
      <c r="M118" s="428" t="s">
        <v>1622</v>
      </c>
      <c r="N118" s="428" t="s">
        <v>1632</v>
      </c>
      <c r="O118" s="433" t="s">
        <v>1632</v>
      </c>
    </row>
    <row r="119" spans="1:15" x14ac:dyDescent="0.2">
      <c r="A119" s="426"/>
      <c r="B119" s="849"/>
      <c r="C119" s="429" t="s">
        <v>1488</v>
      </c>
      <c r="D119" s="428" t="s">
        <v>1490</v>
      </c>
      <c r="E119" s="428" t="s">
        <v>1491</v>
      </c>
      <c r="F119" s="428" t="s">
        <v>1492</v>
      </c>
      <c r="G119" s="429" t="s">
        <v>1493</v>
      </c>
      <c r="H119" s="449" t="s">
        <v>1632</v>
      </c>
      <c r="I119" s="428"/>
      <c r="J119" s="428"/>
      <c r="K119" s="429"/>
      <c r="L119" s="428" t="s">
        <v>1621</v>
      </c>
      <c r="M119" s="428" t="s">
        <v>1622</v>
      </c>
      <c r="N119" s="428" t="s">
        <v>1632</v>
      </c>
      <c r="O119" s="433" t="s">
        <v>1632</v>
      </c>
    </row>
    <row r="120" spans="1:15" x14ac:dyDescent="0.2">
      <c r="A120" s="426"/>
      <c r="B120" s="849"/>
      <c r="C120" s="429" t="s">
        <v>1495</v>
      </c>
      <c r="D120" s="428" t="s">
        <v>1497</v>
      </c>
      <c r="E120" s="428" t="s">
        <v>1498</v>
      </c>
      <c r="F120" s="428" t="s">
        <v>1499</v>
      </c>
      <c r="G120" s="429" t="s">
        <v>1500</v>
      </c>
      <c r="H120" s="449" t="s">
        <v>1632</v>
      </c>
      <c r="I120" s="428"/>
      <c r="J120" s="428"/>
      <c r="K120" s="429"/>
      <c r="L120" s="428" t="s">
        <v>1621</v>
      </c>
      <c r="M120" s="428" t="s">
        <v>1622</v>
      </c>
      <c r="N120" s="428" t="s">
        <v>1632</v>
      </c>
      <c r="O120" s="433" t="s">
        <v>1632</v>
      </c>
    </row>
    <row r="121" spans="1:15" x14ac:dyDescent="0.2">
      <c r="A121" s="426"/>
      <c r="B121" s="849"/>
      <c r="C121" s="429" t="s">
        <v>1502</v>
      </c>
      <c r="D121" s="428" t="s">
        <v>1195</v>
      </c>
      <c r="E121" s="428" t="s">
        <v>1632</v>
      </c>
      <c r="F121" s="428" t="s">
        <v>1632</v>
      </c>
      <c r="G121" s="429" t="s">
        <v>1632</v>
      </c>
      <c r="H121" s="449" t="s">
        <v>1632</v>
      </c>
      <c r="I121" s="428"/>
      <c r="J121" s="428"/>
      <c r="K121" s="429"/>
      <c r="L121" s="428" t="s">
        <v>1621</v>
      </c>
      <c r="M121" s="428" t="s">
        <v>1622</v>
      </c>
      <c r="N121" s="428" t="s">
        <v>1632</v>
      </c>
      <c r="O121" s="433" t="s">
        <v>1632</v>
      </c>
    </row>
    <row r="122" spans="1:15" x14ac:dyDescent="0.2">
      <c r="A122" s="426"/>
      <c r="B122" s="849"/>
      <c r="C122" s="429" t="s">
        <v>1504</v>
      </c>
      <c r="D122" s="428" t="s">
        <v>1506</v>
      </c>
      <c r="E122" s="428" t="s">
        <v>1507</v>
      </c>
      <c r="F122" s="428" t="s">
        <v>1508</v>
      </c>
      <c r="G122" s="429" t="s">
        <v>1509</v>
      </c>
      <c r="H122" s="449" t="s">
        <v>1632</v>
      </c>
      <c r="I122" s="428"/>
      <c r="J122" s="428"/>
      <c r="K122" s="429"/>
      <c r="L122" s="428" t="s">
        <v>1621</v>
      </c>
      <c r="M122" s="428" t="s">
        <v>1622</v>
      </c>
      <c r="N122" s="428" t="s">
        <v>1632</v>
      </c>
      <c r="O122" s="433" t="s">
        <v>1632</v>
      </c>
    </row>
    <row r="123" spans="1:15" x14ac:dyDescent="0.2">
      <c r="A123" s="426"/>
      <c r="B123" s="849"/>
      <c r="C123" s="429" t="s">
        <v>1511</v>
      </c>
      <c r="D123" s="428" t="s">
        <v>1513</v>
      </c>
      <c r="E123" s="428" t="s">
        <v>1514</v>
      </c>
      <c r="F123" s="428" t="s">
        <v>1515</v>
      </c>
      <c r="G123" s="429" t="s">
        <v>1516</v>
      </c>
      <c r="H123" s="449" t="s">
        <v>1632</v>
      </c>
      <c r="I123" s="428"/>
      <c r="J123" s="428"/>
      <c r="K123" s="429"/>
      <c r="L123" s="428" t="s">
        <v>1621</v>
      </c>
      <c r="M123" s="428" t="s">
        <v>1622</v>
      </c>
      <c r="N123" s="428" t="s">
        <v>1632</v>
      </c>
      <c r="O123" s="433" t="s">
        <v>1632</v>
      </c>
    </row>
    <row r="124" spans="1:15" x14ac:dyDescent="0.2">
      <c r="A124" s="426"/>
      <c r="B124" s="849"/>
      <c r="C124" s="429" t="s">
        <v>1518</v>
      </c>
      <c r="D124" s="428" t="s">
        <v>1520</v>
      </c>
      <c r="E124" s="428" t="s">
        <v>1521</v>
      </c>
      <c r="F124" s="428" t="s">
        <v>1522</v>
      </c>
      <c r="G124" s="429" t="s">
        <v>1523</v>
      </c>
      <c r="H124" s="449" t="s">
        <v>1632</v>
      </c>
      <c r="I124" s="428"/>
      <c r="J124" s="428"/>
      <c r="K124" s="429"/>
      <c r="L124" s="428" t="s">
        <v>1621</v>
      </c>
      <c r="M124" s="428" t="s">
        <v>1622</v>
      </c>
      <c r="N124" s="428" t="s">
        <v>1632</v>
      </c>
      <c r="O124" s="433" t="s">
        <v>1632</v>
      </c>
    </row>
    <row r="125" spans="1:15" x14ac:dyDescent="0.2">
      <c r="A125" s="426"/>
      <c r="B125" s="849"/>
      <c r="C125" s="429" t="s">
        <v>1525</v>
      </c>
      <c r="D125" s="428" t="s">
        <v>1527</v>
      </c>
      <c r="E125" s="428" t="s">
        <v>1528</v>
      </c>
      <c r="F125" s="428" t="s">
        <v>1529</v>
      </c>
      <c r="G125" s="429" t="s">
        <v>1530</v>
      </c>
      <c r="H125" s="449" t="s">
        <v>1632</v>
      </c>
      <c r="I125" s="428"/>
      <c r="J125" s="428"/>
      <c r="K125" s="429"/>
      <c r="L125" s="428" t="s">
        <v>1621</v>
      </c>
      <c r="M125" s="428" t="s">
        <v>1622</v>
      </c>
      <c r="N125" s="428" t="s">
        <v>1632</v>
      </c>
      <c r="O125" s="433" t="s">
        <v>1632</v>
      </c>
    </row>
    <row r="126" spans="1:15" x14ac:dyDescent="0.2">
      <c r="A126" s="426"/>
      <c r="B126" s="849"/>
      <c r="C126" s="429" t="s">
        <v>1532</v>
      </c>
      <c r="D126" s="428" t="s">
        <v>1534</v>
      </c>
      <c r="E126" s="428" t="s">
        <v>1535</v>
      </c>
      <c r="F126" s="428" t="s">
        <v>1536</v>
      </c>
      <c r="G126" s="429" t="s">
        <v>1537</v>
      </c>
      <c r="H126" s="449" t="s">
        <v>1632</v>
      </c>
      <c r="I126" s="428"/>
      <c r="J126" s="428"/>
      <c r="K126" s="429"/>
      <c r="L126" s="428" t="s">
        <v>1621</v>
      </c>
      <c r="M126" s="428" t="s">
        <v>1622</v>
      </c>
      <c r="N126" s="428" t="s">
        <v>1632</v>
      </c>
      <c r="O126" s="433" t="s">
        <v>1632</v>
      </c>
    </row>
    <row r="127" spans="1:15" x14ac:dyDescent="0.2">
      <c r="A127" s="426"/>
      <c r="B127" s="849"/>
      <c r="C127" s="429" t="s">
        <v>1539</v>
      </c>
      <c r="D127" s="428" t="s">
        <v>1541</v>
      </c>
      <c r="E127" s="428" t="s">
        <v>1542</v>
      </c>
      <c r="F127" s="428" t="s">
        <v>1543</v>
      </c>
      <c r="G127" s="429" t="s">
        <v>1544</v>
      </c>
      <c r="H127" s="449" t="s">
        <v>1632</v>
      </c>
      <c r="I127" s="428"/>
      <c r="J127" s="428"/>
      <c r="K127" s="429"/>
      <c r="L127" s="428" t="s">
        <v>1621</v>
      </c>
      <c r="M127" s="428" t="s">
        <v>1622</v>
      </c>
      <c r="N127" s="428" t="s">
        <v>1632</v>
      </c>
      <c r="O127" s="433" t="s">
        <v>1632</v>
      </c>
    </row>
    <row r="128" spans="1:15" x14ac:dyDescent="0.2">
      <c r="A128" s="426"/>
      <c r="B128" s="849"/>
      <c r="C128" s="429" t="s">
        <v>1546</v>
      </c>
      <c r="D128" s="428" t="s">
        <v>1548</v>
      </c>
      <c r="E128" s="428" t="s">
        <v>1549</v>
      </c>
      <c r="F128" s="428" t="s">
        <v>1550</v>
      </c>
      <c r="G128" s="429" t="s">
        <v>1551</v>
      </c>
      <c r="H128" s="449" t="s">
        <v>1632</v>
      </c>
      <c r="I128" s="428"/>
      <c r="J128" s="428"/>
      <c r="K128" s="429"/>
      <c r="L128" s="428" t="s">
        <v>1621</v>
      </c>
      <c r="M128" s="428" t="s">
        <v>1622</v>
      </c>
      <c r="N128" s="428" t="s">
        <v>1632</v>
      </c>
      <c r="O128" s="433" t="s">
        <v>1632</v>
      </c>
    </row>
    <row r="129" spans="1:18" x14ac:dyDescent="0.2">
      <c r="A129" s="426"/>
      <c r="B129" s="849"/>
      <c r="C129" s="429" t="s">
        <v>1553</v>
      </c>
      <c r="D129" s="428" t="s">
        <v>1555</v>
      </c>
      <c r="E129" s="428" t="s">
        <v>1556</v>
      </c>
      <c r="F129" s="428" t="s">
        <v>1557</v>
      </c>
      <c r="G129" s="429" t="s">
        <v>1558</v>
      </c>
      <c r="H129" s="449" t="s">
        <v>1632</v>
      </c>
      <c r="I129" s="428"/>
      <c r="J129" s="428"/>
      <c r="K129" s="429"/>
      <c r="L129" s="428" t="s">
        <v>1621</v>
      </c>
      <c r="M129" s="428" t="s">
        <v>1622</v>
      </c>
      <c r="N129" s="428" t="s">
        <v>1632</v>
      </c>
      <c r="O129" s="433" t="s">
        <v>1632</v>
      </c>
    </row>
    <row r="130" spans="1:18" x14ac:dyDescent="0.2">
      <c r="A130" s="426"/>
      <c r="B130" s="849"/>
      <c r="C130" s="429" t="s">
        <v>1560</v>
      </c>
      <c r="D130" s="428" t="s">
        <v>1562</v>
      </c>
      <c r="E130" s="428" t="s">
        <v>1563</v>
      </c>
      <c r="F130" s="428" t="s">
        <v>1564</v>
      </c>
      <c r="G130" s="429" t="s">
        <v>1565</v>
      </c>
      <c r="H130" s="449" t="s">
        <v>1632</v>
      </c>
      <c r="I130" s="428"/>
      <c r="J130" s="428"/>
      <c r="K130" s="429"/>
      <c r="L130" s="428" t="s">
        <v>1621</v>
      </c>
      <c r="M130" s="428" t="s">
        <v>1622</v>
      </c>
      <c r="N130" s="428" t="s">
        <v>1632</v>
      </c>
      <c r="O130" s="433" t="s">
        <v>1632</v>
      </c>
    </row>
    <row r="131" spans="1:18" x14ac:dyDescent="0.2">
      <c r="A131" s="426"/>
      <c r="B131" s="849"/>
      <c r="C131" s="429" t="s">
        <v>1568</v>
      </c>
      <c r="D131" s="428" t="s">
        <v>1195</v>
      </c>
      <c r="E131" s="428" t="s">
        <v>1632</v>
      </c>
      <c r="F131" s="428" t="s">
        <v>1632</v>
      </c>
      <c r="G131" s="429" t="s">
        <v>1632</v>
      </c>
      <c r="H131" s="449" t="s">
        <v>1632</v>
      </c>
      <c r="I131" s="428"/>
      <c r="J131" s="428"/>
      <c r="K131" s="429"/>
      <c r="L131" s="428" t="s">
        <v>1621</v>
      </c>
      <c r="M131" s="428" t="s">
        <v>1622</v>
      </c>
      <c r="N131" s="428" t="s">
        <v>1632</v>
      </c>
      <c r="O131" s="433" t="s">
        <v>1632</v>
      </c>
    </row>
    <row r="132" spans="1:18" x14ac:dyDescent="0.2">
      <c r="A132" s="426"/>
      <c r="B132" s="849"/>
      <c r="C132" s="429" t="s">
        <v>1570</v>
      </c>
      <c r="D132" s="428" t="s">
        <v>1195</v>
      </c>
      <c r="E132" s="428" t="s">
        <v>1632</v>
      </c>
      <c r="F132" s="428" t="s">
        <v>1632</v>
      </c>
      <c r="G132" s="429" t="s">
        <v>1632</v>
      </c>
      <c r="H132" s="449" t="s">
        <v>1632</v>
      </c>
      <c r="I132" s="428"/>
      <c r="J132" s="428"/>
      <c r="K132" s="429"/>
      <c r="L132" s="428" t="s">
        <v>1621</v>
      </c>
      <c r="M132" s="428" t="s">
        <v>1622</v>
      </c>
      <c r="N132" s="428" t="s">
        <v>1632</v>
      </c>
      <c r="O132" s="433" t="s">
        <v>1632</v>
      </c>
    </row>
    <row r="133" spans="1:18" x14ac:dyDescent="0.2">
      <c r="A133" s="426"/>
      <c r="B133" s="849"/>
      <c r="C133" s="429" t="s">
        <v>1572</v>
      </c>
      <c r="D133" s="428" t="s">
        <v>1574</v>
      </c>
      <c r="E133" s="428" t="s">
        <v>1575</v>
      </c>
      <c r="F133" s="428" t="s">
        <v>1576</v>
      </c>
      <c r="G133" s="429" t="s">
        <v>1577</v>
      </c>
      <c r="H133" s="449" t="s">
        <v>1632</v>
      </c>
      <c r="I133" s="428"/>
      <c r="J133" s="428"/>
      <c r="K133" s="429"/>
      <c r="L133" s="428" t="s">
        <v>1621</v>
      </c>
      <c r="M133" s="428" t="s">
        <v>1622</v>
      </c>
      <c r="N133" s="428" t="s">
        <v>1632</v>
      </c>
      <c r="O133" s="433" t="s">
        <v>1632</v>
      </c>
    </row>
    <row r="134" spans="1:18" x14ac:dyDescent="0.2">
      <c r="A134" s="426"/>
      <c r="B134" s="849"/>
      <c r="C134" s="429" t="s">
        <v>1579</v>
      </c>
      <c r="D134" s="428" t="s">
        <v>1581</v>
      </c>
      <c r="E134" s="428" t="s">
        <v>1582</v>
      </c>
      <c r="F134" s="428" t="s">
        <v>1583</v>
      </c>
      <c r="G134" s="429" t="s">
        <v>1584</v>
      </c>
      <c r="H134" s="449" t="s">
        <v>1632</v>
      </c>
      <c r="I134" s="428"/>
      <c r="J134" s="428"/>
      <c r="K134" s="429"/>
      <c r="L134" s="428" t="s">
        <v>1621</v>
      </c>
      <c r="M134" s="428" t="s">
        <v>1622</v>
      </c>
      <c r="N134" s="428" t="s">
        <v>1632</v>
      </c>
      <c r="O134" s="433" t="s">
        <v>1632</v>
      </c>
    </row>
    <row r="135" spans="1:18" x14ac:dyDescent="0.2">
      <c r="A135" s="426"/>
      <c r="B135" s="849"/>
      <c r="C135" s="429" t="s">
        <v>1586</v>
      </c>
      <c r="D135" s="428" t="s">
        <v>1588</v>
      </c>
      <c r="E135" s="428" t="s">
        <v>1589</v>
      </c>
      <c r="F135" s="428" t="s">
        <v>1590</v>
      </c>
      <c r="G135" s="429" t="s">
        <v>1591</v>
      </c>
      <c r="H135" s="449" t="s">
        <v>1632</v>
      </c>
      <c r="I135" s="428"/>
      <c r="J135" s="428"/>
      <c r="K135" s="429"/>
      <c r="L135" s="428" t="s">
        <v>1621</v>
      </c>
      <c r="M135" s="428" t="s">
        <v>1622</v>
      </c>
      <c r="N135" s="428" t="s">
        <v>1632</v>
      </c>
      <c r="O135" s="433" t="s">
        <v>1632</v>
      </c>
    </row>
    <row r="136" spans="1:18" x14ac:dyDescent="0.2">
      <c r="A136" s="426"/>
      <c r="B136" s="849"/>
      <c r="C136" s="429" t="s">
        <v>1592</v>
      </c>
      <c r="D136" s="428" t="s">
        <v>1195</v>
      </c>
      <c r="E136" s="428" t="s">
        <v>1632</v>
      </c>
      <c r="F136" s="428" t="s">
        <v>1632</v>
      </c>
      <c r="G136" s="429" t="s">
        <v>1632</v>
      </c>
      <c r="H136" s="449" t="s">
        <v>1632</v>
      </c>
      <c r="I136" s="428"/>
      <c r="J136" s="428"/>
      <c r="K136" s="429"/>
      <c r="L136" s="428" t="s">
        <v>1621</v>
      </c>
      <c r="M136" s="428" t="s">
        <v>1622</v>
      </c>
      <c r="N136" s="428" t="s">
        <v>1632</v>
      </c>
      <c r="O136" s="433" t="s">
        <v>1632</v>
      </c>
    </row>
    <row r="137" spans="1:18" x14ac:dyDescent="0.2">
      <c r="A137" s="426"/>
      <c r="B137" s="849"/>
      <c r="C137" s="429" t="s">
        <v>1594</v>
      </c>
      <c r="D137" s="428" t="s">
        <v>1195</v>
      </c>
      <c r="E137" s="428" t="s">
        <v>1632</v>
      </c>
      <c r="F137" s="428" t="s">
        <v>1632</v>
      </c>
      <c r="G137" s="429" t="s">
        <v>1632</v>
      </c>
      <c r="H137" s="449" t="s">
        <v>1632</v>
      </c>
      <c r="I137" s="428"/>
      <c r="J137" s="428"/>
      <c r="K137" s="429"/>
      <c r="L137" s="428" t="s">
        <v>1621</v>
      </c>
      <c r="M137" s="428" t="s">
        <v>1622</v>
      </c>
      <c r="N137" s="428" t="s">
        <v>1632</v>
      </c>
      <c r="O137" s="433" t="s">
        <v>1632</v>
      </c>
    </row>
    <row r="138" spans="1:18" x14ac:dyDescent="0.2">
      <c r="A138" s="426"/>
      <c r="B138" s="849"/>
      <c r="C138" s="429" t="s">
        <v>1596</v>
      </c>
      <c r="D138" s="428" t="s">
        <v>1195</v>
      </c>
      <c r="E138" s="428" t="s">
        <v>1632</v>
      </c>
      <c r="F138" s="428" t="s">
        <v>1632</v>
      </c>
      <c r="G138" s="429" t="s">
        <v>1632</v>
      </c>
      <c r="H138" s="449" t="s">
        <v>1632</v>
      </c>
      <c r="I138" s="428"/>
      <c r="J138" s="428"/>
      <c r="K138" s="429"/>
      <c r="L138" s="428" t="s">
        <v>1621</v>
      </c>
      <c r="M138" s="428" t="s">
        <v>1622</v>
      </c>
      <c r="N138" s="428" t="s">
        <v>1632</v>
      </c>
      <c r="O138" s="433" t="s">
        <v>1632</v>
      </c>
    </row>
    <row r="139" spans="1:18" x14ac:dyDescent="0.2">
      <c r="A139" s="426"/>
      <c r="B139" s="849"/>
      <c r="C139" s="429" t="s">
        <v>1598</v>
      </c>
      <c r="D139" s="428" t="s">
        <v>1195</v>
      </c>
      <c r="E139" s="428" t="s">
        <v>1632</v>
      </c>
      <c r="F139" s="428" t="s">
        <v>1632</v>
      </c>
      <c r="G139" s="429" t="s">
        <v>1632</v>
      </c>
      <c r="H139" s="449" t="s">
        <v>1632</v>
      </c>
      <c r="I139" s="428"/>
      <c r="J139" s="428"/>
      <c r="K139" s="429"/>
      <c r="L139" s="428" t="s">
        <v>1621</v>
      </c>
      <c r="M139" s="428" t="s">
        <v>1622</v>
      </c>
      <c r="N139" s="428" t="s">
        <v>1632</v>
      </c>
      <c r="O139" s="433" t="s">
        <v>1632</v>
      </c>
    </row>
    <row r="140" spans="1:18" x14ac:dyDescent="0.2">
      <c r="A140" s="426"/>
      <c r="B140" s="849"/>
      <c r="C140" s="429" t="s">
        <v>1600</v>
      </c>
      <c r="D140" s="428" t="s">
        <v>1195</v>
      </c>
      <c r="E140" s="428" t="s">
        <v>1632</v>
      </c>
      <c r="F140" s="428" t="s">
        <v>1632</v>
      </c>
      <c r="G140" s="429" t="s">
        <v>1632</v>
      </c>
      <c r="H140" s="449" t="s">
        <v>1632</v>
      </c>
      <c r="I140" s="428"/>
      <c r="J140" s="428"/>
      <c r="K140" s="429"/>
      <c r="L140" s="428" t="s">
        <v>1621</v>
      </c>
      <c r="M140" s="428" t="s">
        <v>1622</v>
      </c>
      <c r="N140" s="428" t="s">
        <v>1632</v>
      </c>
      <c r="O140" s="433" t="s">
        <v>1632</v>
      </c>
    </row>
    <row r="141" spans="1:18" x14ac:dyDescent="0.2">
      <c r="A141" s="426"/>
      <c r="B141" s="850"/>
      <c r="C141" s="436" t="s">
        <v>1602</v>
      </c>
      <c r="D141" s="435" t="s">
        <v>1195</v>
      </c>
      <c r="E141" s="435" t="s">
        <v>1632</v>
      </c>
      <c r="F141" s="435" t="s">
        <v>1632</v>
      </c>
      <c r="G141" s="436" t="s">
        <v>1632</v>
      </c>
      <c r="H141" s="147" t="s">
        <v>1632</v>
      </c>
      <c r="I141" s="435"/>
      <c r="J141" s="435"/>
      <c r="K141" s="436"/>
      <c r="L141" s="435" t="s">
        <v>1621</v>
      </c>
      <c r="M141" s="428" t="s">
        <v>1622</v>
      </c>
      <c r="N141" s="428" t="s">
        <v>1632</v>
      </c>
      <c r="O141" s="433" t="s">
        <v>1632</v>
      </c>
    </row>
    <row r="142" spans="1:18" x14ac:dyDescent="0.2">
      <c r="A142" s="426"/>
      <c r="B142" s="851" t="s">
        <v>1112</v>
      </c>
      <c r="C142" s="438" t="s">
        <v>1113</v>
      </c>
      <c r="D142" s="430" t="s">
        <v>1115</v>
      </c>
      <c r="E142" s="430" t="s">
        <v>1632</v>
      </c>
      <c r="F142" s="430" t="s">
        <v>1632</v>
      </c>
      <c r="G142" s="439" t="s">
        <v>1632</v>
      </c>
      <c r="H142" s="430"/>
      <c r="I142" s="430"/>
      <c r="J142" s="430"/>
      <c r="K142" s="439"/>
      <c r="L142" s="430"/>
      <c r="M142" s="440"/>
      <c r="N142" s="440"/>
      <c r="O142" s="441"/>
      <c r="R142" s="9">
        <f>COUNTA(D142:D147,L148:M148,N149:O149)</f>
        <v>10</v>
      </c>
    </row>
    <row r="143" spans="1:18" x14ac:dyDescent="0.2">
      <c r="A143" s="426"/>
      <c r="B143" s="849"/>
      <c r="C143" s="432" t="s">
        <v>1119</v>
      </c>
      <c r="D143" s="428" t="s">
        <v>1120</v>
      </c>
      <c r="E143" s="428" t="s">
        <v>1632</v>
      </c>
      <c r="F143" s="428" t="s">
        <v>1632</v>
      </c>
      <c r="G143" s="429" t="s">
        <v>1632</v>
      </c>
      <c r="H143" s="428"/>
      <c r="I143" s="428"/>
      <c r="J143" s="428"/>
      <c r="K143" s="429"/>
      <c r="L143" s="428"/>
      <c r="M143" s="428"/>
      <c r="N143" s="428"/>
      <c r="O143" s="433"/>
    </row>
    <row r="144" spans="1:18" x14ac:dyDescent="0.2">
      <c r="A144" s="426"/>
      <c r="B144" s="849"/>
      <c r="C144" s="432" t="s">
        <v>1121</v>
      </c>
      <c r="D144" s="428" t="s">
        <v>1115</v>
      </c>
      <c r="E144" s="428" t="s">
        <v>1632</v>
      </c>
      <c r="F144" s="428" t="s">
        <v>1632</v>
      </c>
      <c r="G144" s="429" t="s">
        <v>1632</v>
      </c>
      <c r="H144" s="429"/>
      <c r="I144" s="429"/>
      <c r="J144" s="429"/>
      <c r="K144" s="429"/>
      <c r="L144" s="450"/>
      <c r="M144" s="450"/>
      <c r="N144" s="450"/>
      <c r="O144" s="451"/>
    </row>
    <row r="145" spans="1:18" x14ac:dyDescent="0.2">
      <c r="A145" s="426"/>
      <c r="B145" s="849"/>
      <c r="C145" s="432" t="s">
        <v>1124</v>
      </c>
      <c r="D145" s="428" t="s">
        <v>1120</v>
      </c>
      <c r="E145" s="428" t="s">
        <v>1632</v>
      </c>
      <c r="F145" s="428" t="s">
        <v>1632</v>
      </c>
      <c r="G145" s="429" t="s">
        <v>1632</v>
      </c>
      <c r="H145" s="430"/>
      <c r="I145" s="430"/>
      <c r="J145" s="430"/>
      <c r="K145" s="442"/>
      <c r="L145" s="430"/>
      <c r="M145" s="430"/>
      <c r="N145" s="430"/>
      <c r="O145" s="431"/>
    </row>
    <row r="146" spans="1:18" x14ac:dyDescent="0.2">
      <c r="A146" s="426"/>
      <c r="B146" s="849"/>
      <c r="C146" s="432" t="s">
        <v>1125</v>
      </c>
      <c r="D146" s="428" t="s">
        <v>1115</v>
      </c>
      <c r="E146" s="428" t="s">
        <v>1632</v>
      </c>
      <c r="F146" s="428" t="s">
        <v>1632</v>
      </c>
      <c r="G146" s="429" t="s">
        <v>1632</v>
      </c>
      <c r="H146" s="428"/>
      <c r="I146" s="428"/>
      <c r="J146" s="428"/>
      <c r="K146" s="429"/>
      <c r="L146" s="428"/>
      <c r="M146" s="428"/>
      <c r="N146" s="428"/>
      <c r="O146" s="433"/>
    </row>
    <row r="147" spans="1:18" x14ac:dyDescent="0.2">
      <c r="A147" s="426"/>
      <c r="B147" s="849"/>
      <c r="C147" s="432" t="s">
        <v>1127</v>
      </c>
      <c r="D147" s="428" t="s">
        <v>1120</v>
      </c>
      <c r="E147" s="428" t="s">
        <v>1632</v>
      </c>
      <c r="F147" s="428" t="s">
        <v>1632</v>
      </c>
      <c r="G147" s="429" t="s">
        <v>1632</v>
      </c>
      <c r="H147" s="444"/>
      <c r="I147" s="444"/>
      <c r="J147" s="444"/>
      <c r="K147" s="445"/>
      <c r="L147" s="450"/>
      <c r="M147" s="450"/>
      <c r="N147" s="450"/>
      <c r="O147" s="451"/>
    </row>
    <row r="148" spans="1:18" x14ac:dyDescent="0.2">
      <c r="A148" s="426"/>
      <c r="B148" s="849"/>
      <c r="C148" s="432" t="s">
        <v>1130</v>
      </c>
      <c r="D148" s="428"/>
      <c r="E148" s="428"/>
      <c r="F148" s="428"/>
      <c r="G148" s="429"/>
      <c r="H148" s="428"/>
      <c r="I148" s="428"/>
      <c r="J148" s="428"/>
      <c r="K148" s="429"/>
      <c r="L148" s="428" t="s">
        <v>1132</v>
      </c>
      <c r="M148" s="428" t="s">
        <v>1133</v>
      </c>
      <c r="N148" s="428" t="s">
        <v>1632</v>
      </c>
      <c r="O148" s="433" t="s">
        <v>1632</v>
      </c>
    </row>
    <row r="149" spans="1:18" x14ac:dyDescent="0.2">
      <c r="A149" s="426"/>
      <c r="B149" s="849"/>
      <c r="C149" s="432" t="s">
        <v>1135</v>
      </c>
      <c r="D149" s="428"/>
      <c r="E149" s="428"/>
      <c r="F149" s="428"/>
      <c r="G149" s="429"/>
      <c r="H149" s="428"/>
      <c r="I149" s="428"/>
      <c r="J149" s="428"/>
      <c r="K149" s="429"/>
      <c r="L149" s="428" t="s">
        <v>1632</v>
      </c>
      <c r="M149" s="428" t="s">
        <v>1632</v>
      </c>
      <c r="N149" s="428" t="s">
        <v>1136</v>
      </c>
      <c r="O149" s="433" t="s">
        <v>1137</v>
      </c>
    </row>
    <row r="150" spans="1:18" x14ac:dyDescent="0.2">
      <c r="A150" s="426"/>
      <c r="B150" s="851" t="s">
        <v>1138</v>
      </c>
      <c r="C150" s="438" t="s">
        <v>1139</v>
      </c>
      <c r="D150" s="440" t="s">
        <v>1141</v>
      </c>
      <c r="E150" s="440" t="s">
        <v>1632</v>
      </c>
      <c r="F150" s="440" t="s">
        <v>1632</v>
      </c>
      <c r="G150" s="439" t="s">
        <v>1632</v>
      </c>
      <c r="H150" s="440"/>
      <c r="I150" s="440"/>
      <c r="J150" s="440"/>
      <c r="K150" s="439"/>
      <c r="L150" s="440"/>
      <c r="M150" s="440"/>
      <c r="N150" s="440"/>
      <c r="O150" s="441"/>
      <c r="R150" s="9">
        <f>COUNTA(D150:D157)</f>
        <v>8</v>
      </c>
    </row>
    <row r="151" spans="1:18" x14ac:dyDescent="0.2">
      <c r="A151" s="426"/>
      <c r="B151" s="849"/>
      <c r="C151" s="432" t="s">
        <v>1144</v>
      </c>
      <c r="D151" s="428" t="s">
        <v>1146</v>
      </c>
      <c r="E151" s="428" t="s">
        <v>1632</v>
      </c>
      <c r="F151" s="428" t="s">
        <v>1632</v>
      </c>
      <c r="G151" s="429" t="s">
        <v>1632</v>
      </c>
      <c r="H151" s="428"/>
      <c r="I151" s="428"/>
      <c r="J151" s="428"/>
      <c r="K151" s="429"/>
      <c r="L151" s="428"/>
      <c r="M151" s="428"/>
      <c r="N151" s="428"/>
      <c r="O151" s="433"/>
    </row>
    <row r="152" spans="1:18" x14ac:dyDescent="0.2">
      <c r="A152" s="426"/>
      <c r="B152" s="849"/>
      <c r="C152" s="432" t="s">
        <v>1147</v>
      </c>
      <c r="D152" s="428" t="s">
        <v>1149</v>
      </c>
      <c r="E152" s="428" t="s">
        <v>1632</v>
      </c>
      <c r="F152" s="428" t="s">
        <v>1632</v>
      </c>
      <c r="G152" s="429" t="s">
        <v>1632</v>
      </c>
      <c r="H152" s="429"/>
      <c r="I152" s="429"/>
      <c r="J152" s="429"/>
      <c r="K152" s="429"/>
      <c r="L152" s="450"/>
      <c r="M152" s="450"/>
      <c r="N152" s="450"/>
      <c r="O152" s="451"/>
    </row>
    <row r="153" spans="1:18" x14ac:dyDescent="0.2">
      <c r="A153" s="426"/>
      <c r="B153" s="849"/>
      <c r="C153" s="432" t="s">
        <v>1150</v>
      </c>
      <c r="D153" s="428" t="s">
        <v>1152</v>
      </c>
      <c r="E153" s="428" t="s">
        <v>1632</v>
      </c>
      <c r="F153" s="428" t="s">
        <v>1632</v>
      </c>
      <c r="G153" s="429" t="s">
        <v>1632</v>
      </c>
      <c r="H153" s="430"/>
      <c r="I153" s="430"/>
      <c r="J153" s="430"/>
      <c r="K153" s="442"/>
      <c r="L153" s="430"/>
      <c r="M153" s="430"/>
      <c r="N153" s="430"/>
      <c r="O153" s="431"/>
    </row>
    <row r="154" spans="1:18" x14ac:dyDescent="0.2">
      <c r="A154" s="426"/>
      <c r="B154" s="849"/>
      <c r="C154" s="432" t="s">
        <v>1153</v>
      </c>
      <c r="D154" s="428" t="s">
        <v>1155</v>
      </c>
      <c r="E154" s="428" t="s">
        <v>1632</v>
      </c>
      <c r="F154" s="428" t="s">
        <v>1632</v>
      </c>
      <c r="G154" s="429" t="s">
        <v>1632</v>
      </c>
      <c r="H154" s="428"/>
      <c r="I154" s="428"/>
      <c r="J154" s="428"/>
      <c r="K154" s="429"/>
      <c r="L154" s="428"/>
      <c r="M154" s="428"/>
      <c r="N154" s="428"/>
      <c r="O154" s="433"/>
    </row>
    <row r="155" spans="1:18" x14ac:dyDescent="0.2">
      <c r="A155" s="426"/>
      <c r="B155" s="849"/>
      <c r="C155" s="432" t="s">
        <v>1157</v>
      </c>
      <c r="D155" s="428" t="s">
        <v>1159</v>
      </c>
      <c r="E155" s="428" t="s">
        <v>1632</v>
      </c>
      <c r="F155" s="428" t="s">
        <v>1632</v>
      </c>
      <c r="G155" s="429" t="s">
        <v>1632</v>
      </c>
      <c r="H155" s="429"/>
      <c r="I155" s="429"/>
      <c r="J155" s="429"/>
      <c r="K155" s="429"/>
      <c r="L155" s="450"/>
      <c r="M155" s="450"/>
      <c r="N155" s="450"/>
      <c r="O155" s="451"/>
    </row>
    <row r="156" spans="1:18" x14ac:dyDescent="0.2">
      <c r="A156" s="426"/>
      <c r="B156" s="849"/>
      <c r="C156" s="432" t="s">
        <v>1160</v>
      </c>
      <c r="D156" s="428" t="s">
        <v>1162</v>
      </c>
      <c r="E156" s="428" t="s">
        <v>1632</v>
      </c>
      <c r="F156" s="428" t="s">
        <v>1632</v>
      </c>
      <c r="G156" s="429" t="s">
        <v>1632</v>
      </c>
      <c r="H156" s="430"/>
      <c r="I156" s="430"/>
      <c r="J156" s="430"/>
      <c r="K156" s="442"/>
      <c r="L156" s="430"/>
      <c r="M156" s="430"/>
      <c r="N156" s="430"/>
      <c r="O156" s="431"/>
    </row>
    <row r="157" spans="1:18" x14ac:dyDescent="0.2">
      <c r="A157" s="426"/>
      <c r="B157" s="850"/>
      <c r="C157" s="434" t="s">
        <v>1163</v>
      </c>
      <c r="D157" s="435" t="s">
        <v>1165</v>
      </c>
      <c r="E157" s="435" t="s">
        <v>1632</v>
      </c>
      <c r="F157" s="435" t="s">
        <v>1632</v>
      </c>
      <c r="G157" s="436" t="s">
        <v>1632</v>
      </c>
      <c r="H157" s="435"/>
      <c r="I157" s="435"/>
      <c r="J157" s="435"/>
      <c r="K157" s="436"/>
      <c r="L157" s="435"/>
      <c r="M157" s="435"/>
      <c r="N157" s="435"/>
      <c r="O157" s="452"/>
      <c r="P157" s="453"/>
    </row>
    <row r="158" spans="1:18" x14ac:dyDescent="0.2">
      <c r="A158" s="425"/>
    </row>
    <row r="160" spans="1:18" x14ac:dyDescent="0.2">
      <c r="B160" s="10" t="s">
        <v>1623</v>
      </c>
      <c r="C160" s="10" t="s">
        <v>1624</v>
      </c>
      <c r="R160" s="9">
        <f>COUNTA(C160:C161,C163)</f>
        <v>3</v>
      </c>
    </row>
    <row r="161" spans="3:18" x14ac:dyDescent="0.2">
      <c r="C161" s="10" t="s">
        <v>1625</v>
      </c>
    </row>
    <row r="163" spans="3:18" x14ac:dyDescent="0.2">
      <c r="C163" s="10" t="s">
        <v>1626</v>
      </c>
    </row>
    <row r="165" spans="3:18" x14ac:dyDescent="0.2">
      <c r="R165" s="9">
        <f>SUM(R11:R160)</f>
        <v>434</v>
      </c>
    </row>
  </sheetData>
  <mergeCells count="13">
    <mergeCell ref="B8:B10"/>
    <mergeCell ref="C8:C10"/>
    <mergeCell ref="D8:O8"/>
    <mergeCell ref="D9:K9"/>
    <mergeCell ref="L9:O9"/>
    <mergeCell ref="D10:G10"/>
    <mergeCell ref="H10:K10"/>
    <mergeCell ref="L10:O10"/>
    <mergeCell ref="B11:B45"/>
    <mergeCell ref="B46:B80"/>
    <mergeCell ref="B81:B141"/>
    <mergeCell ref="B142:B149"/>
    <mergeCell ref="B150:B157"/>
  </mergeCells>
  <pageMargins left="0.23622047244094491" right="0.23622047244094491" top="0.74803149606299213" bottom="0.74803149606299213" header="0.31496062992125984" footer="0.31496062992125984"/>
  <pageSetup paperSize="9" scale="53" fitToHeight="0" orientation="landscape" r:id="rId1"/>
  <headerFooter>
    <oddFooter>Page &amp;P of &amp;N</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9</vt:i4>
      </vt:variant>
    </vt:vector>
  </HeadingPairs>
  <TitlesOfParts>
    <vt:vector size="18" baseType="lpstr">
      <vt:lpstr>CAC Tariff Rates</vt:lpstr>
      <vt:lpstr>SAC Large Tariff Rates</vt:lpstr>
      <vt:lpstr>SAC Small Tariff Rates</vt:lpstr>
      <vt:lpstr>SAC Unmetered Rates</vt:lpstr>
      <vt:lpstr>DLFs</vt:lpstr>
      <vt:lpstr>Additional MEG NTCs</vt:lpstr>
      <vt:lpstr>List of Network Tariff Codes</vt:lpstr>
      <vt:lpstr>ACS Price List</vt:lpstr>
      <vt:lpstr>ACS Tariff classes &amp; tariffs</vt:lpstr>
      <vt:lpstr>'ACS Price List'!Print_Area</vt:lpstr>
      <vt:lpstr>'ACS Tariff classes &amp; tariffs'!Print_Area</vt:lpstr>
      <vt:lpstr>'Additional MEG NTCs'!Print_Area</vt:lpstr>
      <vt:lpstr>'CAC Tariff Rates'!Print_Area</vt:lpstr>
      <vt:lpstr>DLFs!Print_Area</vt:lpstr>
      <vt:lpstr>'List of Network Tariff Codes'!Print_Area</vt:lpstr>
      <vt:lpstr>'SAC Large Tariff Rates'!Print_Area</vt:lpstr>
      <vt:lpstr>'SAC Small Tariff Rates'!Print_Area</vt:lpstr>
      <vt:lpstr>'SAC Unmetered Rates'!Print_Area</vt:lpstr>
    </vt:vector>
  </TitlesOfParts>
  <Company>SPARQ Solutions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alynch</dc:creator>
  <cp:lastModifiedBy>ag125</cp:lastModifiedBy>
  <cp:lastPrinted>2019-03-13T04:45:13Z</cp:lastPrinted>
  <dcterms:created xsi:type="dcterms:W3CDTF">2018-03-11T21:35:33Z</dcterms:created>
  <dcterms:modified xsi:type="dcterms:W3CDTF">2019-04-30T01:29:03Z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voidable" linkTarget="prop_avoidable">
    <vt:r8>0</vt:r8>
  </property>
  <property fmtid="{D5CDD505-2E9C-101B-9397-08002B2CF9AE}" pid="3" name="avoidable_C" linkTarget="prop_avoidable_C">
    <vt:r8>0</vt:r8>
  </property>
  <property fmtid="{D5CDD505-2E9C-101B-9397-08002B2CF9AE}" pid="4" name="avoidable_R" linkTarget="prop_avoidable_R">
    <vt:r8>0</vt:r8>
  </property>
  <property fmtid="{D5CDD505-2E9C-101B-9397-08002B2CF9AE}" pid="5" name="charge_JS" linkTarget="prop_charge_JS">
    <vt:r8>0</vt:r8>
  </property>
  <property fmtid="{D5CDD505-2E9C-101B-9397-08002B2CF9AE}" pid="6" name="charge_JS_C" linkTarget="prop_charge_JS_C">
    <vt:r8>0</vt:r8>
  </property>
  <property fmtid="{D5CDD505-2E9C-101B-9397-08002B2CF9AE}" pid="7" name="standalone" linkTarget="prop_standalone">
    <vt:r8>0</vt:r8>
  </property>
  <property fmtid="{D5CDD505-2E9C-101B-9397-08002B2CF9AE}" pid="8" name="standalone_C" linkTarget="prop_standalone_C">
    <vt:r8>0</vt:r8>
  </property>
  <property fmtid="{D5CDD505-2E9C-101B-9397-08002B2CF9AE}" pid="9" name="standalone_R" linkTarget="prop_standalone_R">
    <vt:r8>0</vt:r8>
  </property>
</Properties>
</file>