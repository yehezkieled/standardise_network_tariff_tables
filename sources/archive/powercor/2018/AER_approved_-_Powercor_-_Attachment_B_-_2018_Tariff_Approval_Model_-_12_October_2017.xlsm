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filterPrivacy="1" codeName="ThisWorkbook" defaultThemeVersion="124226"/>
  <bookViews>
    <workbookView xWindow="22905" yWindow="-15" windowWidth="11460" windowHeight="12645" tabRatio="864" firstSheet="3" activeTab="4"/>
  </bookViews>
  <sheets>
    <sheet name="NOTES" sheetId="29" r:id="rId1"/>
    <sheet name="Formulae" sheetId="1" r:id="rId2"/>
    <sheet name="Model update" sheetId="4" r:id="rId3"/>
    <sheet name="Metering" sheetId="28" r:id="rId4"/>
    <sheet name="Prop2018DistTar" sheetId="5" r:id="rId5"/>
    <sheet name="Vol" sheetId="35" r:id="rId6"/>
    <sheet name="2018DistRevCapForm" sheetId="2" r:id="rId7"/>
    <sheet name="2018DistTarRebalCont" sheetId="9" r:id="rId8"/>
    <sheet name="Est2017DistRev" sheetId="13" r:id="rId9"/>
    <sheet name="Prop2018TransTar" sheetId="15" r:id="rId10"/>
    <sheet name="Est2017TransRev" sheetId="14" r:id="rId11"/>
    <sheet name="2018TransRevCont" sheetId="23" r:id="rId12"/>
    <sheet name="TUoS cost audit template" sheetId="20" r:id="rId13"/>
    <sheet name="Prop2018JSTar" sheetId="17" r:id="rId14"/>
    <sheet name="Est2017JSRev" sheetId="18" r:id="rId15"/>
    <sheet name="2018JSRevCont" sheetId="27" r:id="rId16"/>
    <sheet name="JS cost audit template" sheetId="24" r:id="rId17"/>
    <sheet name="Prop2018TSSComp" sheetId="32" r:id="rId18"/>
  </sheets>
  <definedNames>
    <definedName name="_xlnm._FilterDatabase" localSheetId="7" hidden="1">'2018DistTarRebalCont'!$B$38:$DO$98</definedName>
    <definedName name="_ftn1" localSheetId="1">Formulae!#REF!</definedName>
    <definedName name="_ftnref1" localSheetId="1">Formulae!#REF!</definedName>
    <definedName name="_Ref432575057" localSheetId="1">Formulae!#REF!</definedName>
    <definedName name="_Ref432594810" localSheetId="1">Formulae!#REF!</definedName>
    <definedName name="_Ref433108207" localSheetId="1">Formulae!#REF!</definedName>
  </definedNames>
  <calcPr calcId="145621"/>
</workbook>
</file>

<file path=xl/calcChain.xml><?xml version="1.0" encoding="utf-8"?>
<calcChain xmlns="http://schemas.openxmlformats.org/spreadsheetml/2006/main">
  <c r="DI36" i="5" l="1"/>
  <c r="DH36" i="5"/>
  <c r="DG36" i="5"/>
  <c r="DF36" i="5"/>
  <c r="DE36" i="5"/>
  <c r="DD36" i="5"/>
  <c r="DC36" i="5"/>
  <c r="DB36" i="5"/>
  <c r="DA36" i="5"/>
  <c r="CZ36" i="5"/>
  <c r="CY36" i="5"/>
  <c r="CX36" i="5"/>
  <c r="CW36" i="5"/>
  <c r="CV36" i="5"/>
  <c r="CU36" i="5"/>
  <c r="CT36" i="5"/>
  <c r="CS36" i="5"/>
  <c r="CR36" i="5"/>
  <c r="CQ36" i="5"/>
  <c r="CP36" i="5"/>
  <c r="CO36" i="5"/>
  <c r="DJ36" i="5" s="1"/>
  <c r="DI35" i="5"/>
  <c r="DH35" i="5"/>
  <c r="DG35" i="5"/>
  <c r="DF35" i="5"/>
  <c r="DE35" i="5"/>
  <c r="DD35" i="5"/>
  <c r="DC35" i="5"/>
  <c r="DB35" i="5"/>
  <c r="DA35" i="5"/>
  <c r="CZ35" i="5"/>
  <c r="CY35" i="5"/>
  <c r="CX35" i="5"/>
  <c r="CW35" i="5"/>
  <c r="CV35" i="5"/>
  <c r="CU35" i="5"/>
  <c r="CT35" i="5"/>
  <c r="CS35" i="5"/>
  <c r="CR35" i="5"/>
  <c r="CQ35" i="5"/>
  <c r="CP35" i="5"/>
  <c r="CO35" i="5"/>
  <c r="DJ35" i="5" s="1"/>
  <c r="DI34" i="5"/>
  <c r="DH34" i="5"/>
  <c r="DG34" i="5"/>
  <c r="DF34" i="5"/>
  <c r="DE34" i="5"/>
  <c r="DD34" i="5"/>
  <c r="DC34" i="5"/>
  <c r="DB34" i="5"/>
  <c r="DA34" i="5"/>
  <c r="CZ34" i="5"/>
  <c r="CY34" i="5"/>
  <c r="CX34" i="5"/>
  <c r="CW34" i="5"/>
  <c r="CV34" i="5"/>
  <c r="CU34" i="5"/>
  <c r="CT34" i="5"/>
  <c r="CS34" i="5"/>
  <c r="CR34" i="5"/>
  <c r="CQ34" i="5"/>
  <c r="CP34" i="5"/>
  <c r="CO34" i="5"/>
  <c r="DJ34" i="5" s="1"/>
  <c r="DI33" i="5"/>
  <c r="DH33" i="5"/>
  <c r="DG33" i="5"/>
  <c r="DF33" i="5"/>
  <c r="DE33" i="5"/>
  <c r="DD33" i="5"/>
  <c r="DC33" i="5"/>
  <c r="DB33" i="5"/>
  <c r="DA33" i="5"/>
  <c r="CZ33" i="5"/>
  <c r="CY33" i="5"/>
  <c r="CX33" i="5"/>
  <c r="CW33" i="5"/>
  <c r="CV33" i="5"/>
  <c r="CU33" i="5"/>
  <c r="CT33" i="5"/>
  <c r="CS33" i="5"/>
  <c r="CR33" i="5"/>
  <c r="CQ33" i="5"/>
  <c r="CP33" i="5"/>
  <c r="CO33" i="5"/>
  <c r="DJ33" i="5" s="1"/>
  <c r="DI32" i="5"/>
  <c r="DH32" i="5"/>
  <c r="DG32" i="5"/>
  <c r="DF32" i="5"/>
  <c r="DE32" i="5"/>
  <c r="DD32" i="5"/>
  <c r="DC32" i="5"/>
  <c r="DB32" i="5"/>
  <c r="DA32" i="5"/>
  <c r="CZ32" i="5"/>
  <c r="CY32" i="5"/>
  <c r="CX32" i="5"/>
  <c r="CW32" i="5"/>
  <c r="CV32" i="5"/>
  <c r="CU32" i="5"/>
  <c r="CT32" i="5"/>
  <c r="CS32" i="5"/>
  <c r="CR32" i="5"/>
  <c r="CQ32" i="5"/>
  <c r="CP32" i="5"/>
  <c r="CO32" i="5"/>
  <c r="DJ32" i="5" s="1"/>
  <c r="DI31" i="5"/>
  <c r="DH31" i="5"/>
  <c r="DG31" i="5"/>
  <c r="DF31" i="5"/>
  <c r="DE31" i="5"/>
  <c r="DD31" i="5"/>
  <c r="DC31" i="5"/>
  <c r="DB31" i="5"/>
  <c r="DA31" i="5"/>
  <c r="CZ31" i="5"/>
  <c r="CY31" i="5"/>
  <c r="CX31" i="5"/>
  <c r="CW31" i="5"/>
  <c r="CV31" i="5"/>
  <c r="CU31" i="5"/>
  <c r="CT31" i="5"/>
  <c r="CS31" i="5"/>
  <c r="CR31" i="5"/>
  <c r="CQ31" i="5"/>
  <c r="CP31" i="5"/>
  <c r="CO31" i="5"/>
  <c r="DJ31" i="5" s="1"/>
  <c r="DI30" i="5"/>
  <c r="DH30" i="5"/>
  <c r="DG30" i="5"/>
  <c r="DF30" i="5"/>
  <c r="DE30" i="5"/>
  <c r="DD30" i="5"/>
  <c r="DC30" i="5"/>
  <c r="DB30" i="5"/>
  <c r="DA30" i="5"/>
  <c r="CZ30" i="5"/>
  <c r="CY30" i="5"/>
  <c r="CX30" i="5"/>
  <c r="CW30" i="5"/>
  <c r="CV30" i="5"/>
  <c r="CU30" i="5"/>
  <c r="CT30" i="5"/>
  <c r="CS30" i="5"/>
  <c r="CR30" i="5"/>
  <c r="CQ30" i="5"/>
  <c r="CP30" i="5"/>
  <c r="CO30" i="5"/>
  <c r="DJ30" i="5" s="1"/>
  <c r="DI29" i="5"/>
  <c r="DH29" i="5"/>
  <c r="DG29" i="5"/>
  <c r="DF29" i="5"/>
  <c r="DE29" i="5"/>
  <c r="DD29" i="5"/>
  <c r="DC29" i="5"/>
  <c r="DB29" i="5"/>
  <c r="DA29" i="5"/>
  <c r="CZ29" i="5"/>
  <c r="CY29" i="5"/>
  <c r="CX29" i="5"/>
  <c r="CW29" i="5"/>
  <c r="CV29" i="5"/>
  <c r="CU29" i="5"/>
  <c r="CT29" i="5"/>
  <c r="CS29" i="5"/>
  <c r="CR29" i="5"/>
  <c r="CQ29" i="5"/>
  <c r="CP29" i="5"/>
  <c r="CO29" i="5"/>
  <c r="DJ29" i="5" s="1"/>
  <c r="DI28" i="5"/>
  <c r="DH28" i="5"/>
  <c r="DG28" i="5"/>
  <c r="DF28" i="5"/>
  <c r="DE28" i="5"/>
  <c r="DD28" i="5"/>
  <c r="DC28" i="5"/>
  <c r="DB28" i="5"/>
  <c r="DA28" i="5"/>
  <c r="CZ28" i="5"/>
  <c r="CY28" i="5"/>
  <c r="CX28" i="5"/>
  <c r="CW28" i="5"/>
  <c r="CV28" i="5"/>
  <c r="CU28" i="5"/>
  <c r="CT28" i="5"/>
  <c r="CS28" i="5"/>
  <c r="CR28" i="5"/>
  <c r="CQ28" i="5"/>
  <c r="CP28" i="5"/>
  <c r="CO28" i="5"/>
  <c r="DJ28" i="5" s="1"/>
  <c r="DI27" i="5"/>
  <c r="DH27" i="5"/>
  <c r="DG27" i="5"/>
  <c r="DF27" i="5"/>
  <c r="DE27" i="5"/>
  <c r="DD27" i="5"/>
  <c r="DC27" i="5"/>
  <c r="DB27" i="5"/>
  <c r="DA27" i="5"/>
  <c r="CZ27" i="5"/>
  <c r="CY27" i="5"/>
  <c r="CX27" i="5"/>
  <c r="CW27" i="5"/>
  <c r="CV27" i="5"/>
  <c r="CU27" i="5"/>
  <c r="CT27" i="5"/>
  <c r="CS27" i="5"/>
  <c r="CR27" i="5"/>
  <c r="CQ27" i="5"/>
  <c r="CP27" i="5"/>
  <c r="CO27" i="5"/>
  <c r="DJ27" i="5" s="1"/>
  <c r="DI26" i="5"/>
  <c r="DH26" i="5"/>
  <c r="DG26" i="5"/>
  <c r="DF26" i="5"/>
  <c r="DE26" i="5"/>
  <c r="DD26" i="5"/>
  <c r="DC26" i="5"/>
  <c r="DB26" i="5"/>
  <c r="DA26" i="5"/>
  <c r="CZ26" i="5"/>
  <c r="CY26" i="5"/>
  <c r="CX26" i="5"/>
  <c r="CW26" i="5"/>
  <c r="CV26" i="5"/>
  <c r="CU26" i="5"/>
  <c r="CT26" i="5"/>
  <c r="CS26" i="5"/>
  <c r="CR26" i="5"/>
  <c r="CQ26" i="5"/>
  <c r="CP26" i="5"/>
  <c r="CO26" i="5"/>
  <c r="DJ26" i="5" s="1"/>
  <c r="DI25" i="5"/>
  <c r="DH25" i="5"/>
  <c r="DG25" i="5"/>
  <c r="DF25" i="5"/>
  <c r="DE25" i="5"/>
  <c r="DD25" i="5"/>
  <c r="DC25" i="5"/>
  <c r="DB25" i="5"/>
  <c r="DA25" i="5"/>
  <c r="CZ25" i="5"/>
  <c r="CY25" i="5"/>
  <c r="CX25" i="5"/>
  <c r="CW25" i="5"/>
  <c r="CV25" i="5"/>
  <c r="CU25" i="5"/>
  <c r="CT25" i="5"/>
  <c r="CS25" i="5"/>
  <c r="CR25" i="5"/>
  <c r="CQ25" i="5"/>
  <c r="CP25" i="5"/>
  <c r="CO25" i="5"/>
  <c r="DJ25" i="5" s="1"/>
  <c r="DI24" i="5"/>
  <c r="DH24" i="5"/>
  <c r="DG24" i="5"/>
  <c r="DF24" i="5"/>
  <c r="DE24" i="5"/>
  <c r="DD24" i="5"/>
  <c r="DC24" i="5"/>
  <c r="DB24" i="5"/>
  <c r="DA24" i="5"/>
  <c r="CZ24" i="5"/>
  <c r="CY24" i="5"/>
  <c r="CX24" i="5"/>
  <c r="CW24" i="5"/>
  <c r="CV24" i="5"/>
  <c r="CU24" i="5"/>
  <c r="CT24" i="5"/>
  <c r="CS24" i="5"/>
  <c r="CR24" i="5"/>
  <c r="CQ24" i="5"/>
  <c r="CP24" i="5"/>
  <c r="CO24" i="5"/>
  <c r="DJ24" i="5" s="1"/>
  <c r="DI23" i="5"/>
  <c r="DH23" i="5"/>
  <c r="DG23" i="5"/>
  <c r="DF23" i="5"/>
  <c r="DE23" i="5"/>
  <c r="DD23" i="5"/>
  <c r="DC23" i="5"/>
  <c r="DB23" i="5"/>
  <c r="DA23" i="5"/>
  <c r="CZ23" i="5"/>
  <c r="CY23" i="5"/>
  <c r="CX23" i="5"/>
  <c r="CW23" i="5"/>
  <c r="CV23" i="5"/>
  <c r="CU23" i="5"/>
  <c r="CT23" i="5"/>
  <c r="CS23" i="5"/>
  <c r="CR23" i="5"/>
  <c r="CQ23" i="5"/>
  <c r="CP23" i="5"/>
  <c r="CO23" i="5"/>
  <c r="DJ23" i="5" s="1"/>
  <c r="DI22" i="5"/>
  <c r="DH22" i="5"/>
  <c r="DG22" i="5"/>
  <c r="DF22" i="5"/>
  <c r="DE22" i="5"/>
  <c r="DD22" i="5"/>
  <c r="DC22" i="5"/>
  <c r="DB22" i="5"/>
  <c r="DA22" i="5"/>
  <c r="CZ22" i="5"/>
  <c r="CY22" i="5"/>
  <c r="CX22" i="5"/>
  <c r="CW22" i="5"/>
  <c r="CV22" i="5"/>
  <c r="CU22" i="5"/>
  <c r="CT22" i="5"/>
  <c r="CS22" i="5"/>
  <c r="CR22" i="5"/>
  <c r="CQ22" i="5"/>
  <c r="CP22" i="5"/>
  <c r="CO22" i="5"/>
  <c r="DJ22" i="5" s="1"/>
  <c r="DI21" i="5"/>
  <c r="DH21" i="5"/>
  <c r="DG21" i="5"/>
  <c r="DF21" i="5"/>
  <c r="DE21" i="5"/>
  <c r="DD21" i="5"/>
  <c r="DC21" i="5"/>
  <c r="DB21" i="5"/>
  <c r="DA21" i="5"/>
  <c r="CZ21" i="5"/>
  <c r="CY21" i="5"/>
  <c r="CX21" i="5"/>
  <c r="CW21" i="5"/>
  <c r="CV21" i="5"/>
  <c r="CU21" i="5"/>
  <c r="CT21" i="5"/>
  <c r="CS21" i="5"/>
  <c r="CR21" i="5"/>
  <c r="CQ21" i="5"/>
  <c r="CP21" i="5"/>
  <c r="CO21" i="5"/>
  <c r="DJ21" i="5" s="1"/>
  <c r="DI20" i="5"/>
  <c r="DH20" i="5"/>
  <c r="DG20" i="5"/>
  <c r="DF20" i="5"/>
  <c r="DE20" i="5"/>
  <c r="DD20" i="5"/>
  <c r="DC20" i="5"/>
  <c r="DB20" i="5"/>
  <c r="DA20" i="5"/>
  <c r="CZ20" i="5"/>
  <c r="CY20" i="5"/>
  <c r="CX20" i="5"/>
  <c r="CW20" i="5"/>
  <c r="CV20" i="5"/>
  <c r="CU20" i="5"/>
  <c r="CT20" i="5"/>
  <c r="CS20" i="5"/>
  <c r="CR20" i="5"/>
  <c r="CQ20" i="5"/>
  <c r="CP20" i="5"/>
  <c r="CO20" i="5"/>
  <c r="DJ20" i="5" s="1"/>
  <c r="DI19" i="5"/>
  <c r="DH19" i="5"/>
  <c r="DG19" i="5"/>
  <c r="DF19" i="5"/>
  <c r="DE19" i="5"/>
  <c r="DD19" i="5"/>
  <c r="DC19" i="5"/>
  <c r="DB19" i="5"/>
  <c r="DA19" i="5"/>
  <c r="CZ19" i="5"/>
  <c r="CY19" i="5"/>
  <c r="CX19" i="5"/>
  <c r="CW19" i="5"/>
  <c r="CV19" i="5"/>
  <c r="CU19" i="5"/>
  <c r="CT19" i="5"/>
  <c r="CS19" i="5"/>
  <c r="CR19" i="5"/>
  <c r="CQ19" i="5"/>
  <c r="CP19" i="5"/>
  <c r="CO19" i="5"/>
  <c r="DJ19" i="5" s="1"/>
  <c r="DI18" i="5"/>
  <c r="DH18" i="5"/>
  <c r="DG18" i="5"/>
  <c r="DF18" i="5"/>
  <c r="DE18" i="5"/>
  <c r="DD18" i="5"/>
  <c r="DC18" i="5"/>
  <c r="DB18" i="5"/>
  <c r="DA18" i="5"/>
  <c r="CZ18" i="5"/>
  <c r="CY18" i="5"/>
  <c r="CX18" i="5"/>
  <c r="CW18" i="5"/>
  <c r="CV18" i="5"/>
  <c r="CU18" i="5"/>
  <c r="CT18" i="5"/>
  <c r="CS18" i="5"/>
  <c r="CR18" i="5"/>
  <c r="CQ18" i="5"/>
  <c r="CP18" i="5"/>
  <c r="CO18" i="5"/>
  <c r="DJ18" i="5" s="1"/>
  <c r="DI17" i="5"/>
  <c r="DH17" i="5"/>
  <c r="DG17" i="5"/>
  <c r="DF17" i="5"/>
  <c r="DE17" i="5"/>
  <c r="DD17" i="5"/>
  <c r="DC17" i="5"/>
  <c r="DB17" i="5"/>
  <c r="DA17" i="5"/>
  <c r="CZ17" i="5"/>
  <c r="CY17" i="5"/>
  <c r="CX17" i="5"/>
  <c r="CW17" i="5"/>
  <c r="CV17" i="5"/>
  <c r="CU17" i="5"/>
  <c r="CT17" i="5"/>
  <c r="CS17" i="5"/>
  <c r="CR17" i="5"/>
  <c r="CQ17" i="5"/>
  <c r="CP17" i="5"/>
  <c r="CO17" i="5"/>
  <c r="DJ17" i="5" s="1"/>
  <c r="DI16" i="5"/>
  <c r="DH16" i="5"/>
  <c r="DG16" i="5"/>
  <c r="DF16" i="5"/>
  <c r="DE16" i="5"/>
  <c r="DD16" i="5"/>
  <c r="DC16" i="5"/>
  <c r="DB16" i="5"/>
  <c r="DA16" i="5"/>
  <c r="CZ16" i="5"/>
  <c r="CY16" i="5"/>
  <c r="CX16" i="5"/>
  <c r="CW16" i="5"/>
  <c r="CV16" i="5"/>
  <c r="CU16" i="5"/>
  <c r="CT16" i="5"/>
  <c r="CS16" i="5"/>
  <c r="CR16" i="5"/>
  <c r="CQ16" i="5"/>
  <c r="CP16" i="5"/>
  <c r="CO16" i="5"/>
  <c r="DJ16" i="5" s="1"/>
  <c r="DI15" i="5"/>
  <c r="DH15" i="5"/>
  <c r="DG15" i="5"/>
  <c r="DF15" i="5"/>
  <c r="DE15" i="5"/>
  <c r="DD15" i="5"/>
  <c r="DC15" i="5"/>
  <c r="DB15" i="5"/>
  <c r="DA15" i="5"/>
  <c r="CZ15" i="5"/>
  <c r="CY15" i="5"/>
  <c r="CX15" i="5"/>
  <c r="CW15" i="5"/>
  <c r="CV15" i="5"/>
  <c r="CU15" i="5"/>
  <c r="CT15" i="5"/>
  <c r="CS15" i="5"/>
  <c r="CR15" i="5"/>
  <c r="CQ15" i="5"/>
  <c r="CP15" i="5"/>
  <c r="CO15" i="5"/>
  <c r="DJ15" i="5" s="1"/>
  <c r="DI14" i="5"/>
  <c r="DH14" i="5"/>
  <c r="DG14" i="5"/>
  <c r="DF14" i="5"/>
  <c r="DE14" i="5"/>
  <c r="DD14" i="5"/>
  <c r="DC14" i="5"/>
  <c r="DB14" i="5"/>
  <c r="DA14" i="5"/>
  <c r="CZ14" i="5"/>
  <c r="CY14" i="5"/>
  <c r="CX14" i="5"/>
  <c r="CW14" i="5"/>
  <c r="CV14" i="5"/>
  <c r="CU14" i="5"/>
  <c r="CT14" i="5"/>
  <c r="CS14" i="5"/>
  <c r="CR14" i="5"/>
  <c r="CQ14" i="5"/>
  <c r="CP14" i="5"/>
  <c r="CO14" i="5"/>
  <c r="DJ14" i="5" s="1"/>
  <c r="DI13" i="5"/>
  <c r="DH13" i="5"/>
  <c r="DG13" i="5"/>
  <c r="DF13" i="5"/>
  <c r="DE13" i="5"/>
  <c r="DD13" i="5"/>
  <c r="DC13" i="5"/>
  <c r="DB13" i="5"/>
  <c r="DA13" i="5"/>
  <c r="CZ13" i="5"/>
  <c r="CY13" i="5"/>
  <c r="CX13" i="5"/>
  <c r="CW13" i="5"/>
  <c r="CV13" i="5"/>
  <c r="CU13" i="5"/>
  <c r="CT13" i="5"/>
  <c r="CS13" i="5"/>
  <c r="CR13" i="5"/>
  <c r="CQ13" i="5"/>
  <c r="CP13" i="5"/>
  <c r="CO13" i="5"/>
  <c r="DJ13" i="5" s="1"/>
  <c r="DI12" i="5"/>
  <c r="DH12" i="5"/>
  <c r="DG12" i="5"/>
  <c r="DF12" i="5"/>
  <c r="DE12" i="5"/>
  <c r="DD12" i="5"/>
  <c r="DC12" i="5"/>
  <c r="DB12" i="5"/>
  <c r="DA12" i="5"/>
  <c r="CZ12" i="5"/>
  <c r="CY12" i="5"/>
  <c r="CX12" i="5"/>
  <c r="CW12" i="5"/>
  <c r="CV12" i="5"/>
  <c r="CU12" i="5"/>
  <c r="CT12" i="5"/>
  <c r="CS12" i="5"/>
  <c r="CR12" i="5"/>
  <c r="CQ12" i="5"/>
  <c r="CP12" i="5"/>
  <c r="CO12" i="5"/>
  <c r="DJ12" i="5" s="1"/>
  <c r="DI11" i="5"/>
  <c r="DH11" i="5"/>
  <c r="DG11" i="5"/>
  <c r="DF11" i="5"/>
  <c r="DE11" i="5"/>
  <c r="DD11" i="5"/>
  <c r="DC11" i="5"/>
  <c r="DB11" i="5"/>
  <c r="DA11" i="5"/>
  <c r="CZ11" i="5"/>
  <c r="CY11" i="5"/>
  <c r="CX11" i="5"/>
  <c r="CW11" i="5"/>
  <c r="CV11" i="5"/>
  <c r="CU11" i="5"/>
  <c r="CT11" i="5"/>
  <c r="CS11" i="5"/>
  <c r="CR11" i="5"/>
  <c r="CQ11" i="5"/>
  <c r="CP11" i="5"/>
  <c r="CO11" i="5"/>
  <c r="DJ11" i="5" s="1"/>
  <c r="DI10" i="5"/>
  <c r="DH10" i="5"/>
  <c r="DG10" i="5"/>
  <c r="DF10" i="5"/>
  <c r="DE10" i="5"/>
  <c r="DD10" i="5"/>
  <c r="DC10" i="5"/>
  <c r="DB10" i="5"/>
  <c r="DA10" i="5"/>
  <c r="CZ10" i="5"/>
  <c r="CY10" i="5"/>
  <c r="CX10" i="5"/>
  <c r="CW10" i="5"/>
  <c r="CV10" i="5"/>
  <c r="CU10" i="5"/>
  <c r="CT10" i="5"/>
  <c r="CS10" i="5"/>
  <c r="CR10" i="5"/>
  <c r="CQ10" i="5"/>
  <c r="CP10" i="5"/>
  <c r="CO10" i="5"/>
  <c r="DJ10" i="5" s="1"/>
  <c r="DI9" i="5"/>
  <c r="DH9" i="5"/>
  <c r="DG9" i="5"/>
  <c r="DF9" i="5"/>
  <c r="DE9" i="5"/>
  <c r="DD9" i="5"/>
  <c r="DC9" i="5"/>
  <c r="DB9" i="5"/>
  <c r="DA9" i="5"/>
  <c r="CZ9" i="5"/>
  <c r="CY9" i="5"/>
  <c r="CX9" i="5"/>
  <c r="CW9" i="5"/>
  <c r="CV9" i="5"/>
  <c r="CU9" i="5"/>
  <c r="CT9" i="5"/>
  <c r="CS9" i="5"/>
  <c r="CR9" i="5"/>
  <c r="CQ9" i="5"/>
  <c r="CP9" i="5"/>
  <c r="CO9" i="5"/>
  <c r="DJ9" i="5" s="1"/>
  <c r="DI8" i="5"/>
  <c r="DH8" i="5"/>
  <c r="DG8" i="5"/>
  <c r="DF8" i="5"/>
  <c r="DE8" i="5"/>
  <c r="DD8" i="5"/>
  <c r="DC8" i="5"/>
  <c r="DB8" i="5"/>
  <c r="DA8" i="5"/>
  <c r="CZ8" i="5"/>
  <c r="CY8" i="5"/>
  <c r="CX8" i="5"/>
  <c r="CW8" i="5"/>
  <c r="CV8" i="5"/>
  <c r="CU8" i="5"/>
  <c r="CT8" i="5"/>
  <c r="CS8" i="5"/>
  <c r="CR8" i="5"/>
  <c r="CQ8" i="5"/>
  <c r="CP8" i="5"/>
  <c r="CO8" i="5"/>
  <c r="DJ8" i="5" s="1"/>
  <c r="DI7" i="5"/>
  <c r="DH7" i="5"/>
  <c r="DG7" i="5"/>
  <c r="DF7" i="5"/>
  <c r="DE7" i="5"/>
  <c r="DD7" i="5"/>
  <c r="DC7" i="5"/>
  <c r="DB7" i="5"/>
  <c r="DA7" i="5"/>
  <c r="CZ7" i="5"/>
  <c r="CY7" i="5"/>
  <c r="CX7" i="5"/>
  <c r="CW7" i="5"/>
  <c r="CV7" i="5"/>
  <c r="CU7" i="5"/>
  <c r="CT7" i="5"/>
  <c r="CS7" i="5"/>
  <c r="CR7" i="5"/>
  <c r="CQ7" i="5"/>
  <c r="CP7" i="5"/>
  <c r="CO7" i="5"/>
  <c r="DJ7" i="5" s="1"/>
  <c r="AT22" i="5" l="1"/>
  <c r="AS22" i="5"/>
  <c r="AR22" i="5"/>
  <c r="AQ22" i="5"/>
  <c r="AP22" i="5"/>
  <c r="AO22" i="5"/>
  <c r="AN22" i="5"/>
  <c r="AM22" i="5"/>
  <c r="AL22" i="5"/>
  <c r="AK22" i="5"/>
  <c r="AJ22" i="5"/>
  <c r="AI22" i="5"/>
  <c r="AH22" i="5"/>
  <c r="AG22" i="5"/>
  <c r="AF22" i="5"/>
  <c r="AE22" i="5"/>
  <c r="AD22" i="5"/>
  <c r="AC22" i="5"/>
  <c r="AB22" i="5"/>
  <c r="AA22" i="5"/>
  <c r="Z22" i="5"/>
  <c r="C22" i="5"/>
  <c r="AT30" i="5"/>
  <c r="AS30" i="5"/>
  <c r="AR30" i="5"/>
  <c r="AQ30" i="5"/>
  <c r="AP30" i="5"/>
  <c r="AO30" i="5"/>
  <c r="AN30" i="5"/>
  <c r="AM30" i="5"/>
  <c r="AL30" i="5"/>
  <c r="AK30" i="5"/>
  <c r="AJ30" i="5"/>
  <c r="AI30" i="5"/>
  <c r="AH30" i="5"/>
  <c r="AG30" i="5"/>
  <c r="AF30" i="5"/>
  <c r="AE30" i="5"/>
  <c r="AD30" i="5"/>
  <c r="AC30" i="5"/>
  <c r="AB30" i="5"/>
  <c r="AA30" i="5"/>
  <c r="Z30" i="5"/>
  <c r="C30" i="5"/>
  <c r="DC6" i="5" l="1"/>
  <c r="DD6" i="5"/>
  <c r="DE6" i="5"/>
  <c r="DF6" i="5"/>
  <c r="DG6" i="5"/>
  <c r="DH6" i="5"/>
  <c r="P66" i="35"/>
  <c r="J66" i="35"/>
  <c r="G66" i="35"/>
  <c r="E66" i="35"/>
  <c r="Y66" i="35"/>
  <c r="X66" i="35"/>
  <c r="W66" i="35"/>
  <c r="V66" i="35"/>
  <c r="U66" i="35"/>
  <c r="T66" i="35"/>
  <c r="S66" i="35"/>
  <c r="R66" i="35"/>
  <c r="Q66" i="35"/>
  <c r="O66" i="35"/>
  <c r="N66" i="35"/>
  <c r="M66" i="35"/>
  <c r="L66" i="35"/>
  <c r="K66" i="35"/>
  <c r="I66" i="35"/>
  <c r="H66" i="35"/>
  <c r="F66" i="35"/>
  <c r="E4" i="35"/>
  <c r="B1" i="35"/>
  <c r="C29" i="32" l="1"/>
  <c r="C8" i="32" l="1"/>
  <c r="C9" i="32"/>
  <c r="C10" i="32"/>
  <c r="C11" i="32"/>
  <c r="C12" i="32"/>
  <c r="C13" i="32"/>
  <c r="C14" i="32"/>
  <c r="C15" i="32"/>
  <c r="C16" i="32"/>
  <c r="C17" i="32"/>
  <c r="C18" i="32"/>
  <c r="C19" i="32"/>
  <c r="C20" i="32"/>
  <c r="C21" i="32"/>
  <c r="C22" i="32"/>
  <c r="C23" i="32"/>
  <c r="C24" i="32"/>
  <c r="C25" i="32"/>
  <c r="C26" i="32"/>
  <c r="C27" i="32"/>
  <c r="C28" i="32"/>
  <c r="C30" i="32"/>
  <c r="C31" i="32"/>
  <c r="C32" i="32"/>
  <c r="C33" i="32"/>
  <c r="C34" i="32"/>
  <c r="C35" i="32"/>
  <c r="C7" i="32"/>
  <c r="D21" i="32"/>
  <c r="E21" i="32"/>
  <c r="F21" i="32"/>
  <c r="AY21" i="32" s="1"/>
  <c r="G21" i="32"/>
  <c r="AZ21" i="32" s="1"/>
  <c r="H21" i="32"/>
  <c r="BA21" i="32" s="1"/>
  <c r="I21" i="32"/>
  <c r="J21" i="32"/>
  <c r="BC21" i="32" s="1"/>
  <c r="K21" i="32"/>
  <c r="BD21" i="32" s="1"/>
  <c r="L21" i="32"/>
  <c r="M21" i="32"/>
  <c r="BF21" i="32" s="1"/>
  <c r="N21" i="32"/>
  <c r="BG21" i="32" s="1"/>
  <c r="O21" i="32"/>
  <c r="BH21" i="32" s="1"/>
  <c r="P21" i="32"/>
  <c r="Q21" i="32"/>
  <c r="BJ21" i="32" s="1"/>
  <c r="R21" i="32"/>
  <c r="BK21" i="32" s="1"/>
  <c r="S21" i="32"/>
  <c r="BL21" i="32" s="1"/>
  <c r="T21" i="32"/>
  <c r="U21" i="32"/>
  <c r="V21" i="32"/>
  <c r="BO21" i="32" s="1"/>
  <c r="W21" i="32"/>
  <c r="BP21" i="32" s="1"/>
  <c r="X21" i="32"/>
  <c r="BQ21" i="32" s="1"/>
  <c r="D22" i="32"/>
  <c r="E22" i="32"/>
  <c r="AX22" i="32" s="1"/>
  <c r="F22" i="32"/>
  <c r="G22" i="32"/>
  <c r="AZ22" i="32" s="1"/>
  <c r="H22" i="32"/>
  <c r="I22" i="32"/>
  <c r="BB22" i="32" s="1"/>
  <c r="J22" i="32"/>
  <c r="BC22" i="32" s="1"/>
  <c r="K22" i="32"/>
  <c r="BD22" i="32" s="1"/>
  <c r="L22" i="32"/>
  <c r="BE22" i="32" s="1"/>
  <c r="M22" i="32"/>
  <c r="BF22" i="32" s="1"/>
  <c r="N22" i="32"/>
  <c r="O22" i="32"/>
  <c r="BH22" i="32" s="1"/>
  <c r="P22" i="32"/>
  <c r="Q22" i="32"/>
  <c r="BJ22" i="32" s="1"/>
  <c r="R22" i="32"/>
  <c r="BK22" i="32" s="1"/>
  <c r="S22" i="32"/>
  <c r="BL22" i="32" s="1"/>
  <c r="T22" i="32"/>
  <c r="BM22" i="32" s="1"/>
  <c r="U22" i="32"/>
  <c r="BN22" i="32" s="1"/>
  <c r="V22" i="32"/>
  <c r="W22" i="32"/>
  <c r="X22" i="32"/>
  <c r="D23" i="32"/>
  <c r="AW23" i="32" s="1"/>
  <c r="E23" i="32"/>
  <c r="AX23" i="32" s="1"/>
  <c r="F23" i="32"/>
  <c r="AY23" i="32" s="1"/>
  <c r="G23" i="32"/>
  <c r="AZ23" i="32" s="1"/>
  <c r="H23" i="32"/>
  <c r="BA23" i="32" s="1"/>
  <c r="I23" i="32"/>
  <c r="J23" i="32"/>
  <c r="K23" i="32"/>
  <c r="L23" i="32"/>
  <c r="BE23" i="32" s="1"/>
  <c r="M23" i="32"/>
  <c r="BF23" i="32" s="1"/>
  <c r="N23" i="32"/>
  <c r="BG23" i="32" s="1"/>
  <c r="O23" i="32"/>
  <c r="P23" i="32"/>
  <c r="BI23" i="32" s="1"/>
  <c r="Q23" i="32"/>
  <c r="R23" i="32"/>
  <c r="BK23" i="32" s="1"/>
  <c r="S23" i="32"/>
  <c r="BL23" i="32" s="1"/>
  <c r="T23" i="32"/>
  <c r="BM23" i="32" s="1"/>
  <c r="U23" i="32"/>
  <c r="BN23" i="32" s="1"/>
  <c r="V23" i="32"/>
  <c r="BO23" i="32" s="1"/>
  <c r="W23" i="32"/>
  <c r="X23" i="32"/>
  <c r="BQ23" i="32" s="1"/>
  <c r="D24" i="32"/>
  <c r="AW24" i="32" s="1"/>
  <c r="E24" i="32"/>
  <c r="AX24" i="32" s="1"/>
  <c r="F24" i="32"/>
  <c r="AY24" i="32" s="1"/>
  <c r="G24" i="32"/>
  <c r="AZ24" i="32" s="1"/>
  <c r="H24" i="32"/>
  <c r="BA24" i="32" s="1"/>
  <c r="I24" i="32"/>
  <c r="BB24" i="32" s="1"/>
  <c r="J24" i="32"/>
  <c r="K24" i="32"/>
  <c r="BD24" i="32" s="1"/>
  <c r="L24" i="32"/>
  <c r="BE24" i="32" s="1"/>
  <c r="M24" i="32"/>
  <c r="N24" i="32"/>
  <c r="O24" i="32"/>
  <c r="BH24" i="32" s="1"/>
  <c r="P24" i="32"/>
  <c r="BI24" i="32" s="1"/>
  <c r="Q24" i="32"/>
  <c r="R24" i="32"/>
  <c r="BK24" i="32" s="1"/>
  <c r="S24" i="32"/>
  <c r="BL24" i="32" s="1"/>
  <c r="T24" i="32"/>
  <c r="BM24" i="32" s="1"/>
  <c r="U24" i="32"/>
  <c r="BN24" i="32" s="1"/>
  <c r="V24" i="32"/>
  <c r="W24" i="32"/>
  <c r="BP24" i="32" s="1"/>
  <c r="X24" i="32"/>
  <c r="BQ24" i="32" s="1"/>
  <c r="D25" i="32"/>
  <c r="AW25" i="32" s="1"/>
  <c r="E25" i="32"/>
  <c r="AX25" i="32" s="1"/>
  <c r="F25" i="32"/>
  <c r="AY25" i="32" s="1"/>
  <c r="G25" i="32"/>
  <c r="AZ25" i="32" s="1"/>
  <c r="H25" i="32"/>
  <c r="BA25" i="32" s="1"/>
  <c r="I25" i="32"/>
  <c r="J25" i="32"/>
  <c r="BC25" i="32" s="1"/>
  <c r="K25" i="32"/>
  <c r="BD25" i="32" s="1"/>
  <c r="L25" i="32"/>
  <c r="BE25" i="32" s="1"/>
  <c r="M25" i="32"/>
  <c r="N25" i="32"/>
  <c r="BG25" i="32" s="1"/>
  <c r="O25" i="32"/>
  <c r="BH25" i="32" s="1"/>
  <c r="P25" i="32"/>
  <c r="Q25" i="32"/>
  <c r="R25" i="32"/>
  <c r="BK25" i="32" s="1"/>
  <c r="S25" i="32"/>
  <c r="BL25" i="32" s="1"/>
  <c r="T25" i="32"/>
  <c r="BM25" i="32" s="1"/>
  <c r="U25" i="32"/>
  <c r="BN25" i="32" s="1"/>
  <c r="V25" i="32"/>
  <c r="BO25" i="32" s="1"/>
  <c r="W25" i="32"/>
  <c r="BP25" i="32" s="1"/>
  <c r="X25" i="32"/>
  <c r="BQ25" i="32" s="1"/>
  <c r="D26" i="32"/>
  <c r="E26" i="32"/>
  <c r="AX26" i="32" s="1"/>
  <c r="F26" i="32"/>
  <c r="AY26" i="32" s="1"/>
  <c r="G26" i="32"/>
  <c r="AZ26" i="32" s="1"/>
  <c r="H26" i="32"/>
  <c r="BA26" i="32" s="1"/>
  <c r="I26" i="32"/>
  <c r="BB26" i="32" s="1"/>
  <c r="J26" i="32"/>
  <c r="BC26" i="32" s="1"/>
  <c r="K26" i="32"/>
  <c r="BD26" i="32" s="1"/>
  <c r="L26" i="32"/>
  <c r="M26" i="32"/>
  <c r="BF26" i="32" s="1"/>
  <c r="N26" i="32"/>
  <c r="BG26" i="32" s="1"/>
  <c r="O26" i="32"/>
  <c r="P26" i="32"/>
  <c r="BI26" i="32" s="1"/>
  <c r="Q26" i="32"/>
  <c r="BJ26" i="32" s="1"/>
  <c r="R26" i="32"/>
  <c r="BK26" i="32" s="1"/>
  <c r="S26" i="32"/>
  <c r="BL26" i="32" s="1"/>
  <c r="T26" i="32"/>
  <c r="BM26" i="32" s="1"/>
  <c r="U26" i="32"/>
  <c r="BN26" i="32" s="1"/>
  <c r="V26" i="32"/>
  <c r="W26" i="32"/>
  <c r="BP26" i="32" s="1"/>
  <c r="X26" i="32"/>
  <c r="BQ26" i="32" s="1"/>
  <c r="D27" i="32"/>
  <c r="AW27" i="32" s="1"/>
  <c r="E27" i="32"/>
  <c r="AX27" i="32" s="1"/>
  <c r="F27" i="32"/>
  <c r="AY27" i="32" s="1"/>
  <c r="G27" i="32"/>
  <c r="AZ27" i="32" s="1"/>
  <c r="H27" i="32"/>
  <c r="BA27" i="32" s="1"/>
  <c r="I27" i="32"/>
  <c r="BB27" i="32" s="1"/>
  <c r="J27" i="32"/>
  <c r="BC27" i="32" s="1"/>
  <c r="K27" i="32"/>
  <c r="BD27" i="32" s="1"/>
  <c r="L27" i="32"/>
  <c r="BE27" i="32" s="1"/>
  <c r="M27" i="32"/>
  <c r="BF27" i="32" s="1"/>
  <c r="N27" i="32"/>
  <c r="O27" i="32"/>
  <c r="BH27" i="32" s="1"/>
  <c r="P27" i="32"/>
  <c r="BI27" i="32" s="1"/>
  <c r="Q27" i="32"/>
  <c r="BJ27" i="32" s="1"/>
  <c r="R27" i="32"/>
  <c r="BK27" i="32" s="1"/>
  <c r="S27" i="32"/>
  <c r="T27" i="32"/>
  <c r="BM27" i="32" s="1"/>
  <c r="U27" i="32"/>
  <c r="BN27" i="32" s="1"/>
  <c r="V27" i="32"/>
  <c r="BO27" i="32" s="1"/>
  <c r="W27" i="32"/>
  <c r="X27" i="32"/>
  <c r="BQ27" i="32" s="1"/>
  <c r="D28" i="32"/>
  <c r="AW28" i="32" s="1"/>
  <c r="E28" i="32"/>
  <c r="AX28" i="32" s="1"/>
  <c r="F28" i="32"/>
  <c r="AY28" i="32" s="1"/>
  <c r="G28" i="32"/>
  <c r="AZ28" i="32" s="1"/>
  <c r="H28" i="32"/>
  <c r="BA28" i="32" s="1"/>
  <c r="I28" i="32"/>
  <c r="BB28" i="32" s="1"/>
  <c r="J28" i="32"/>
  <c r="BC28" i="32" s="1"/>
  <c r="K28" i="32"/>
  <c r="BD28" i="32" s="1"/>
  <c r="L28" i="32"/>
  <c r="BE28" i="32" s="1"/>
  <c r="M28" i="32"/>
  <c r="BF28" i="32" s="1"/>
  <c r="N28" i="32"/>
  <c r="O28" i="32"/>
  <c r="BH28" i="32" s="1"/>
  <c r="P28" i="32"/>
  <c r="BI28" i="32" s="1"/>
  <c r="Q28" i="32"/>
  <c r="BJ28" i="32" s="1"/>
  <c r="R28" i="32"/>
  <c r="BK28" i="32" s="1"/>
  <c r="S28" i="32"/>
  <c r="BL28" i="32" s="1"/>
  <c r="T28" i="32"/>
  <c r="BM28" i="32" s="1"/>
  <c r="U28" i="32"/>
  <c r="BN28" i="32" s="1"/>
  <c r="V28" i="32"/>
  <c r="W28" i="32"/>
  <c r="BP28" i="32" s="1"/>
  <c r="X28" i="32"/>
  <c r="BQ28" i="32" s="1"/>
  <c r="D29" i="32"/>
  <c r="AW29" i="32" s="1"/>
  <c r="E29" i="32"/>
  <c r="AX29" i="32" s="1"/>
  <c r="F29" i="32"/>
  <c r="AY29" i="32" s="1"/>
  <c r="G29" i="32"/>
  <c r="AZ29" i="32" s="1"/>
  <c r="H29" i="32"/>
  <c r="I29" i="32"/>
  <c r="BB29" i="32" s="1"/>
  <c r="J29" i="32"/>
  <c r="BC29" i="32" s="1"/>
  <c r="K29" i="32"/>
  <c r="BD29" i="32" s="1"/>
  <c r="L29" i="32"/>
  <c r="M29" i="32"/>
  <c r="BF29" i="32" s="1"/>
  <c r="N29" i="32"/>
  <c r="BG29" i="32" s="1"/>
  <c r="O29" i="32"/>
  <c r="BH29" i="32" s="1"/>
  <c r="P29" i="32"/>
  <c r="BI29" i="32" s="1"/>
  <c r="Q29" i="32"/>
  <c r="BJ29" i="32" s="1"/>
  <c r="R29" i="32"/>
  <c r="BK29" i="32" s="1"/>
  <c r="S29" i="32"/>
  <c r="BL29" i="32" s="1"/>
  <c r="T29" i="32"/>
  <c r="BM29" i="32" s="1"/>
  <c r="U29" i="32"/>
  <c r="V29" i="32"/>
  <c r="BO29" i="32" s="1"/>
  <c r="W29" i="32"/>
  <c r="BP29" i="32" s="1"/>
  <c r="X29" i="32"/>
  <c r="BQ29" i="32" s="1"/>
  <c r="D30" i="32"/>
  <c r="AW30" i="32" s="1"/>
  <c r="E30" i="32"/>
  <c r="AX30" i="32" s="1"/>
  <c r="F30" i="32"/>
  <c r="G30" i="32"/>
  <c r="AZ30" i="32" s="1"/>
  <c r="H30" i="32"/>
  <c r="BA30" i="32" s="1"/>
  <c r="I30" i="32"/>
  <c r="BB30" i="32" s="1"/>
  <c r="J30" i="32"/>
  <c r="BC30" i="32" s="1"/>
  <c r="K30" i="32"/>
  <c r="BD30" i="32" s="1"/>
  <c r="L30" i="32"/>
  <c r="BE30" i="32" s="1"/>
  <c r="M30" i="32"/>
  <c r="BF30" i="32" s="1"/>
  <c r="N30" i="32"/>
  <c r="BG30" i="32" s="1"/>
  <c r="O30" i="32"/>
  <c r="BH30" i="32" s="1"/>
  <c r="P30" i="32"/>
  <c r="BI30" i="32" s="1"/>
  <c r="Q30" i="32"/>
  <c r="BJ30" i="32" s="1"/>
  <c r="R30" i="32"/>
  <c r="BK30" i="32" s="1"/>
  <c r="S30" i="32"/>
  <c r="BL30" i="32" s="1"/>
  <c r="T30" i="32"/>
  <c r="U30" i="32"/>
  <c r="BN30" i="32" s="1"/>
  <c r="V30" i="32"/>
  <c r="BO30" i="32" s="1"/>
  <c r="W30" i="32"/>
  <c r="BP30" i="32" s="1"/>
  <c r="X30" i="32"/>
  <c r="BQ30" i="32" s="1"/>
  <c r="D31" i="32"/>
  <c r="AW31" i="32" s="1"/>
  <c r="E31" i="32"/>
  <c r="AX31" i="32" s="1"/>
  <c r="F31" i="32"/>
  <c r="AY31" i="32" s="1"/>
  <c r="G31" i="32"/>
  <c r="AZ31" i="32" s="1"/>
  <c r="H31" i="32"/>
  <c r="BA31" i="32" s="1"/>
  <c r="I31" i="32"/>
  <c r="BB31" i="32" s="1"/>
  <c r="J31" i="32"/>
  <c r="BC31" i="32" s="1"/>
  <c r="K31" i="32"/>
  <c r="BD31" i="32" s="1"/>
  <c r="L31" i="32"/>
  <c r="BE31" i="32" s="1"/>
  <c r="M31" i="32"/>
  <c r="BF31" i="32" s="1"/>
  <c r="N31" i="32"/>
  <c r="BG31" i="32" s="1"/>
  <c r="O31" i="32"/>
  <c r="BH31" i="32" s="1"/>
  <c r="P31" i="32"/>
  <c r="BI31" i="32" s="1"/>
  <c r="Q31" i="32"/>
  <c r="BJ31" i="32" s="1"/>
  <c r="R31" i="32"/>
  <c r="BK31" i="32" s="1"/>
  <c r="S31" i="32"/>
  <c r="T31" i="32"/>
  <c r="BM31" i="32" s="1"/>
  <c r="U31" i="32"/>
  <c r="BN31" i="32" s="1"/>
  <c r="V31" i="32"/>
  <c r="BO31" i="32" s="1"/>
  <c r="W31" i="32"/>
  <c r="X31" i="32"/>
  <c r="BQ31" i="32" s="1"/>
  <c r="D32" i="32"/>
  <c r="AW32" i="32" s="1"/>
  <c r="E32" i="32"/>
  <c r="AX32" i="32" s="1"/>
  <c r="F32" i="32"/>
  <c r="AY32" i="32" s="1"/>
  <c r="G32" i="32"/>
  <c r="AZ32" i="32" s="1"/>
  <c r="H32" i="32"/>
  <c r="BA32" i="32" s="1"/>
  <c r="I32" i="32"/>
  <c r="BB32" i="32" s="1"/>
  <c r="J32" i="32"/>
  <c r="BC32" i="32" s="1"/>
  <c r="K32" i="32"/>
  <c r="BD32" i="32" s="1"/>
  <c r="L32" i="32"/>
  <c r="BE32" i="32" s="1"/>
  <c r="M32" i="32"/>
  <c r="BF32" i="32" s="1"/>
  <c r="N32" i="32"/>
  <c r="BG32" i="32" s="1"/>
  <c r="O32" i="32"/>
  <c r="BH32" i="32" s="1"/>
  <c r="P32" i="32"/>
  <c r="BI32" i="32" s="1"/>
  <c r="Q32" i="32"/>
  <c r="BJ32" i="32" s="1"/>
  <c r="R32" i="32"/>
  <c r="BK32" i="32" s="1"/>
  <c r="S32" i="32"/>
  <c r="BL32" i="32" s="1"/>
  <c r="T32" i="32"/>
  <c r="BM32" i="32" s="1"/>
  <c r="U32" i="32"/>
  <c r="BN32" i="32" s="1"/>
  <c r="V32" i="32"/>
  <c r="BO32" i="32" s="1"/>
  <c r="W32" i="32"/>
  <c r="BP32" i="32" s="1"/>
  <c r="X32" i="32"/>
  <c r="BQ32" i="32" s="1"/>
  <c r="D33" i="32"/>
  <c r="AW33" i="32" s="1"/>
  <c r="E33" i="32"/>
  <c r="F33" i="32"/>
  <c r="AY33" i="32" s="1"/>
  <c r="G33" i="32"/>
  <c r="AZ33" i="32" s="1"/>
  <c r="H33" i="32"/>
  <c r="BA33" i="32" s="1"/>
  <c r="I33" i="32"/>
  <c r="BB33" i="32" s="1"/>
  <c r="J33" i="32"/>
  <c r="BC33" i="32" s="1"/>
  <c r="K33" i="32"/>
  <c r="L33" i="32"/>
  <c r="BE33" i="32" s="1"/>
  <c r="M33" i="32"/>
  <c r="BF33" i="32" s="1"/>
  <c r="N33" i="32"/>
  <c r="BG33" i="32" s="1"/>
  <c r="O33" i="32"/>
  <c r="BH33" i="32" s="1"/>
  <c r="P33" i="32"/>
  <c r="BI33" i="32" s="1"/>
  <c r="Q33" i="32"/>
  <c r="BJ33" i="32" s="1"/>
  <c r="R33" i="32"/>
  <c r="BK33" i="32" s="1"/>
  <c r="S33" i="32"/>
  <c r="BL33" i="32" s="1"/>
  <c r="T33" i="32"/>
  <c r="BM33" i="32" s="1"/>
  <c r="U33" i="32"/>
  <c r="BN33" i="32" s="1"/>
  <c r="V33" i="32"/>
  <c r="BO33" i="32" s="1"/>
  <c r="W33" i="32"/>
  <c r="BP33" i="32" s="1"/>
  <c r="X33" i="32"/>
  <c r="BQ33" i="32" s="1"/>
  <c r="D34" i="32"/>
  <c r="AW34" i="32" s="1"/>
  <c r="E34" i="32"/>
  <c r="AX34" i="32" s="1"/>
  <c r="F34" i="32"/>
  <c r="G34" i="32"/>
  <c r="AZ34" i="32" s="1"/>
  <c r="H34" i="32"/>
  <c r="I34" i="32"/>
  <c r="BB34" i="32" s="1"/>
  <c r="J34" i="32"/>
  <c r="BC34" i="32" s="1"/>
  <c r="K34" i="32"/>
  <c r="BD34" i="32" s="1"/>
  <c r="L34" i="32"/>
  <c r="BE34" i="32" s="1"/>
  <c r="M34" i="32"/>
  <c r="BF34" i="32" s="1"/>
  <c r="N34" i="32"/>
  <c r="O34" i="32"/>
  <c r="BH34" i="32" s="1"/>
  <c r="P34" i="32"/>
  <c r="BI34" i="32" s="1"/>
  <c r="Q34" i="32"/>
  <c r="BJ34" i="32" s="1"/>
  <c r="R34" i="32"/>
  <c r="BK34" i="32" s="1"/>
  <c r="S34" i="32"/>
  <c r="BL34" i="32" s="1"/>
  <c r="T34" i="32"/>
  <c r="BM34" i="32" s="1"/>
  <c r="U34" i="32"/>
  <c r="BN34" i="32" s="1"/>
  <c r="V34" i="32"/>
  <c r="W34" i="32"/>
  <c r="BP34" i="32" s="1"/>
  <c r="X34" i="32"/>
  <c r="D35" i="32"/>
  <c r="AW35" i="32" s="1"/>
  <c r="E35" i="32"/>
  <c r="AX35" i="32" s="1"/>
  <c r="F35" i="32"/>
  <c r="AY35" i="32" s="1"/>
  <c r="G35" i="32"/>
  <c r="AZ35" i="32" s="1"/>
  <c r="H35" i="32"/>
  <c r="BA35" i="32" s="1"/>
  <c r="I35" i="32"/>
  <c r="BB35" i="32" s="1"/>
  <c r="J35" i="32"/>
  <c r="BC35" i="32" s="1"/>
  <c r="K35" i="32"/>
  <c r="L35" i="32"/>
  <c r="BE35" i="32" s="1"/>
  <c r="M35" i="32"/>
  <c r="BF35" i="32" s="1"/>
  <c r="N35" i="32"/>
  <c r="BG35" i="32" s="1"/>
  <c r="O35" i="32"/>
  <c r="BH35" i="32" s="1"/>
  <c r="P35" i="32"/>
  <c r="BI35" i="32" s="1"/>
  <c r="Q35" i="32"/>
  <c r="R35" i="32"/>
  <c r="BK35" i="32" s="1"/>
  <c r="S35" i="32"/>
  <c r="BL35" i="32" s="1"/>
  <c r="T35" i="32"/>
  <c r="BM35" i="32" s="1"/>
  <c r="U35" i="32"/>
  <c r="BN35" i="32" s="1"/>
  <c r="V35" i="32"/>
  <c r="BO35" i="32" s="1"/>
  <c r="W35" i="32"/>
  <c r="BP35" i="32" s="1"/>
  <c r="X35" i="32"/>
  <c r="BQ35" i="32" s="1"/>
  <c r="D36" i="32"/>
  <c r="AW36" i="32" s="1"/>
  <c r="E36" i="32"/>
  <c r="F36" i="32"/>
  <c r="AY36" i="32" s="1"/>
  <c r="G36" i="32"/>
  <c r="AZ36" i="32" s="1"/>
  <c r="H36" i="32"/>
  <c r="I36" i="32"/>
  <c r="J36" i="32"/>
  <c r="K36" i="32"/>
  <c r="BD36" i="32" s="1"/>
  <c r="L36" i="32"/>
  <c r="BE36" i="32" s="1"/>
  <c r="M36" i="32"/>
  <c r="BF36" i="32" s="1"/>
  <c r="N36" i="32"/>
  <c r="BG36" i="32" s="1"/>
  <c r="O36" i="32"/>
  <c r="BH36" i="32" s="1"/>
  <c r="P36" i="32"/>
  <c r="Q36" i="32"/>
  <c r="BJ36" i="32" s="1"/>
  <c r="R36" i="32"/>
  <c r="BK36" i="32" s="1"/>
  <c r="S36" i="32"/>
  <c r="BL36" i="32" s="1"/>
  <c r="T36" i="32"/>
  <c r="BM36" i="32" s="1"/>
  <c r="U36" i="32"/>
  <c r="BN36" i="32" s="1"/>
  <c r="V36" i="32"/>
  <c r="BO36" i="32" s="1"/>
  <c r="W36" i="32"/>
  <c r="BP36" i="32" s="1"/>
  <c r="X36" i="32"/>
  <c r="D37" i="32"/>
  <c r="E37" i="32"/>
  <c r="AX37" i="32" s="1"/>
  <c r="F37" i="32"/>
  <c r="AY37" i="32" s="1"/>
  <c r="G37" i="32"/>
  <c r="AZ37" i="32" s="1"/>
  <c r="H37" i="32"/>
  <c r="I37" i="32"/>
  <c r="J37" i="32"/>
  <c r="BC37" i="32" s="1"/>
  <c r="K37" i="32"/>
  <c r="BD37" i="32" s="1"/>
  <c r="L37" i="32"/>
  <c r="BE37" i="32" s="1"/>
  <c r="M37" i="32"/>
  <c r="N37" i="32"/>
  <c r="BG37" i="32" s="1"/>
  <c r="O37" i="32"/>
  <c r="BH37" i="32" s="1"/>
  <c r="P37" i="32"/>
  <c r="BI37" i="32" s="1"/>
  <c r="Q37" i="32"/>
  <c r="BJ37" i="32" s="1"/>
  <c r="R37" i="32"/>
  <c r="BK37" i="32" s="1"/>
  <c r="S37" i="32"/>
  <c r="BL37" i="32" s="1"/>
  <c r="T37" i="32"/>
  <c r="U37" i="32"/>
  <c r="BN37" i="32" s="1"/>
  <c r="V37" i="32"/>
  <c r="BO37" i="32" s="1"/>
  <c r="W37" i="32"/>
  <c r="BP37" i="32" s="1"/>
  <c r="X37" i="32"/>
  <c r="BQ37" i="32" s="1"/>
  <c r="D38" i="32"/>
  <c r="AW38" i="32" s="1"/>
  <c r="E38" i="32"/>
  <c r="AX38" i="32" s="1"/>
  <c r="F38" i="32"/>
  <c r="AY38" i="32" s="1"/>
  <c r="G38" i="32"/>
  <c r="H38" i="32"/>
  <c r="BA38" i="32" s="1"/>
  <c r="I38" i="32"/>
  <c r="BB38" i="32" s="1"/>
  <c r="J38" i="32"/>
  <c r="BC38" i="32" s="1"/>
  <c r="K38" i="32"/>
  <c r="BD38" i="32" s="1"/>
  <c r="L38" i="32"/>
  <c r="BE38" i="32" s="1"/>
  <c r="M38" i="32"/>
  <c r="BF38" i="32" s="1"/>
  <c r="N38" i="32"/>
  <c r="BG38" i="32" s="1"/>
  <c r="O38" i="32"/>
  <c r="BH38" i="32" s="1"/>
  <c r="P38" i="32"/>
  <c r="BI38" i="32" s="1"/>
  <c r="Q38" i="32"/>
  <c r="BJ38" i="32" s="1"/>
  <c r="R38" i="32"/>
  <c r="BK38" i="32" s="1"/>
  <c r="S38" i="32"/>
  <c r="T38" i="32"/>
  <c r="BM38" i="32" s="1"/>
  <c r="U38" i="32"/>
  <c r="BN38" i="32" s="1"/>
  <c r="V38" i="32"/>
  <c r="BO38" i="32" s="1"/>
  <c r="W38" i="32"/>
  <c r="BP38" i="32" s="1"/>
  <c r="X38" i="32"/>
  <c r="D39" i="32"/>
  <c r="AW39" i="32" s="1"/>
  <c r="E39" i="32"/>
  <c r="AX39" i="32" s="1"/>
  <c r="F39" i="32"/>
  <c r="AY39" i="32" s="1"/>
  <c r="G39" i="32"/>
  <c r="AZ39" i="32" s="1"/>
  <c r="H39" i="32"/>
  <c r="BA39" i="32" s="1"/>
  <c r="I39" i="32"/>
  <c r="BB39" i="32" s="1"/>
  <c r="J39" i="32"/>
  <c r="BC39" i="32" s="1"/>
  <c r="K39" i="32"/>
  <c r="BD39" i="32" s="1"/>
  <c r="L39" i="32"/>
  <c r="BE39" i="32" s="1"/>
  <c r="M39" i="32"/>
  <c r="BF39" i="32" s="1"/>
  <c r="N39" i="32"/>
  <c r="O39" i="32"/>
  <c r="P39" i="32"/>
  <c r="BI39" i="32" s="1"/>
  <c r="Q39" i="32"/>
  <c r="BJ39" i="32" s="1"/>
  <c r="R39" i="32"/>
  <c r="BK39" i="32" s="1"/>
  <c r="S39" i="32"/>
  <c r="BL39" i="32" s="1"/>
  <c r="T39" i="32"/>
  <c r="BM39" i="32" s="1"/>
  <c r="U39" i="32"/>
  <c r="BN39" i="32" s="1"/>
  <c r="V39" i="32"/>
  <c r="BO39" i="32" s="1"/>
  <c r="W39" i="32"/>
  <c r="BP39" i="32" s="1"/>
  <c r="X39" i="32"/>
  <c r="BQ39" i="32" s="1"/>
  <c r="D40" i="32"/>
  <c r="AW40" i="32" s="1"/>
  <c r="E40" i="32"/>
  <c r="F40" i="32"/>
  <c r="G40" i="32"/>
  <c r="AZ40" i="32" s="1"/>
  <c r="H40" i="32"/>
  <c r="BA40" i="32" s="1"/>
  <c r="I40" i="32"/>
  <c r="J40" i="32"/>
  <c r="BC40" i="32" s="1"/>
  <c r="K40" i="32"/>
  <c r="BD40" i="32" s="1"/>
  <c r="L40" i="32"/>
  <c r="BE40" i="32" s="1"/>
  <c r="M40" i="32"/>
  <c r="BF40" i="32" s="1"/>
  <c r="N40" i="32"/>
  <c r="BG40" i="32" s="1"/>
  <c r="O40" i="32"/>
  <c r="BH40" i="32" s="1"/>
  <c r="P40" i="32"/>
  <c r="BI40" i="32" s="1"/>
  <c r="Q40" i="32"/>
  <c r="R40" i="32"/>
  <c r="BK40" i="32" s="1"/>
  <c r="S40" i="32"/>
  <c r="BL40" i="32" s="1"/>
  <c r="T40" i="32"/>
  <c r="U40" i="32"/>
  <c r="BN40" i="32" s="1"/>
  <c r="V40" i="32"/>
  <c r="BO40" i="32" s="1"/>
  <c r="W40" i="32"/>
  <c r="BP40" i="32" s="1"/>
  <c r="X40" i="32"/>
  <c r="BQ40" i="32" s="1"/>
  <c r="D41" i="32"/>
  <c r="AW41" i="32" s="1"/>
  <c r="E41" i="32"/>
  <c r="AX41" i="32" s="1"/>
  <c r="F41" i="32"/>
  <c r="AY41" i="32" s="1"/>
  <c r="G41" i="32"/>
  <c r="H41" i="32"/>
  <c r="BA41" i="32" s="1"/>
  <c r="I41" i="32"/>
  <c r="J41" i="32"/>
  <c r="BC41" i="32" s="1"/>
  <c r="K41" i="32"/>
  <c r="L41" i="32"/>
  <c r="BE41" i="32" s="1"/>
  <c r="M41" i="32"/>
  <c r="BF41" i="32" s="1"/>
  <c r="N41" i="32"/>
  <c r="BG41" i="32" s="1"/>
  <c r="O41" i="32"/>
  <c r="BH41" i="32" s="1"/>
  <c r="P41" i="32"/>
  <c r="BI41" i="32" s="1"/>
  <c r="Q41" i="32"/>
  <c r="BJ41" i="32" s="1"/>
  <c r="R41" i="32"/>
  <c r="S41" i="32"/>
  <c r="BL41" i="32" s="1"/>
  <c r="T41" i="32"/>
  <c r="BM41" i="32" s="1"/>
  <c r="U41" i="32"/>
  <c r="BN41" i="32" s="1"/>
  <c r="V41" i="32"/>
  <c r="BO41" i="32" s="1"/>
  <c r="W41" i="32"/>
  <c r="BP41" i="32" s="1"/>
  <c r="X41" i="32"/>
  <c r="D42" i="32"/>
  <c r="AW42" i="32" s="1"/>
  <c r="E42" i="32"/>
  <c r="AX42" i="32" s="1"/>
  <c r="F42" i="32"/>
  <c r="AY42" i="32" s="1"/>
  <c r="G42" i="32"/>
  <c r="AZ42" i="32" s="1"/>
  <c r="H42" i="32"/>
  <c r="BA42" i="32" s="1"/>
  <c r="I42" i="32"/>
  <c r="BB42" i="32" s="1"/>
  <c r="J42" i="32"/>
  <c r="BC42" i="32" s="1"/>
  <c r="K42" i="32"/>
  <c r="BD42" i="32" s="1"/>
  <c r="L42" i="32"/>
  <c r="BE42" i="32" s="1"/>
  <c r="M42" i="32"/>
  <c r="BF42" i="32" s="1"/>
  <c r="N42" i="32"/>
  <c r="BG42" i="32" s="1"/>
  <c r="O42" i="32"/>
  <c r="P42" i="32"/>
  <c r="BI42" i="32" s="1"/>
  <c r="Q42" i="32"/>
  <c r="BJ42" i="32" s="1"/>
  <c r="R42" i="32"/>
  <c r="S42" i="32"/>
  <c r="T42" i="32"/>
  <c r="BM42" i="32" s="1"/>
  <c r="U42" i="32"/>
  <c r="BN42" i="32" s="1"/>
  <c r="V42" i="32"/>
  <c r="BO42" i="32" s="1"/>
  <c r="W42" i="32"/>
  <c r="BP42" i="32" s="1"/>
  <c r="X42" i="32"/>
  <c r="BQ42" i="32" s="1"/>
  <c r="D43" i="32"/>
  <c r="AW43" i="32" s="1"/>
  <c r="E43" i="32"/>
  <c r="AX43" i="32" s="1"/>
  <c r="F43" i="32"/>
  <c r="AY43" i="32" s="1"/>
  <c r="G43" i="32"/>
  <c r="AZ43" i="32" s="1"/>
  <c r="H43" i="32"/>
  <c r="BA43" i="32" s="1"/>
  <c r="I43" i="32"/>
  <c r="BB43" i="32" s="1"/>
  <c r="J43" i="32"/>
  <c r="BC43" i="32" s="1"/>
  <c r="K43" i="32"/>
  <c r="BD43" i="32" s="1"/>
  <c r="L43" i="32"/>
  <c r="M43" i="32"/>
  <c r="N43" i="32"/>
  <c r="BG43" i="32" s="1"/>
  <c r="O43" i="32"/>
  <c r="BH43" i="32" s="1"/>
  <c r="P43" i="32"/>
  <c r="BI43" i="32" s="1"/>
  <c r="Q43" i="32"/>
  <c r="BJ43" i="32" s="1"/>
  <c r="R43" i="32"/>
  <c r="S43" i="32"/>
  <c r="BL43" i="32" s="1"/>
  <c r="T43" i="32"/>
  <c r="BM43" i="32" s="1"/>
  <c r="U43" i="32"/>
  <c r="BN43" i="32" s="1"/>
  <c r="V43" i="32"/>
  <c r="BO43" i="32" s="1"/>
  <c r="W43" i="32"/>
  <c r="BP43" i="32" s="1"/>
  <c r="X43" i="32"/>
  <c r="BQ43" i="32" s="1"/>
  <c r="D44" i="32"/>
  <c r="AW44" i="32" s="1"/>
  <c r="E44" i="32"/>
  <c r="F44" i="32"/>
  <c r="G44" i="32"/>
  <c r="AZ44" i="32" s="1"/>
  <c r="H44" i="32"/>
  <c r="BA44" i="32" s="1"/>
  <c r="I44" i="32"/>
  <c r="BB44" i="32" s="1"/>
  <c r="J44" i="32"/>
  <c r="BC44" i="32" s="1"/>
  <c r="K44" i="32"/>
  <c r="BD44" i="32" s="1"/>
  <c r="L44" i="32"/>
  <c r="BE44" i="32" s="1"/>
  <c r="M44" i="32"/>
  <c r="BF44" i="32" s="1"/>
  <c r="N44" i="32"/>
  <c r="O44" i="32"/>
  <c r="BH44" i="32" s="1"/>
  <c r="P44" i="32"/>
  <c r="BI44" i="32" s="1"/>
  <c r="Q44" i="32"/>
  <c r="R44" i="32"/>
  <c r="S44" i="32"/>
  <c r="BL44" i="32" s="1"/>
  <c r="T44" i="32"/>
  <c r="BM44" i="32" s="1"/>
  <c r="U44" i="32"/>
  <c r="BN44" i="32" s="1"/>
  <c r="V44" i="32"/>
  <c r="W44" i="32"/>
  <c r="BP44" i="32" s="1"/>
  <c r="X44" i="32"/>
  <c r="BQ44" i="32" s="1"/>
  <c r="D45" i="32"/>
  <c r="AW45" i="32" s="1"/>
  <c r="E45" i="32"/>
  <c r="AX45" i="32" s="1"/>
  <c r="F45" i="32"/>
  <c r="G45" i="32"/>
  <c r="AZ45" i="32" s="1"/>
  <c r="H45" i="32"/>
  <c r="BA45" i="32" s="1"/>
  <c r="I45" i="32"/>
  <c r="J45" i="32"/>
  <c r="BC45" i="32" s="1"/>
  <c r="K45" i="32"/>
  <c r="BD45" i="32" s="1"/>
  <c r="L45" i="32"/>
  <c r="M45" i="32"/>
  <c r="N45" i="32"/>
  <c r="BG45" i="32" s="1"/>
  <c r="O45" i="32"/>
  <c r="BH45" i="32" s="1"/>
  <c r="P45" i="32"/>
  <c r="Q45" i="32"/>
  <c r="R45" i="32"/>
  <c r="BK45" i="32" s="1"/>
  <c r="S45" i="32"/>
  <c r="BL45" i="32" s="1"/>
  <c r="T45" i="32"/>
  <c r="BM45" i="32" s="1"/>
  <c r="U45" i="32"/>
  <c r="BN45" i="32" s="1"/>
  <c r="V45" i="32"/>
  <c r="BO45" i="32" s="1"/>
  <c r="W45" i="32"/>
  <c r="BP45" i="32" s="1"/>
  <c r="X45" i="32"/>
  <c r="BQ45" i="32" s="1"/>
  <c r="D46" i="32"/>
  <c r="AW46" i="32" s="1"/>
  <c r="E46" i="32"/>
  <c r="AX46" i="32" s="1"/>
  <c r="F46" i="32"/>
  <c r="AY46" i="32" s="1"/>
  <c r="G46" i="32"/>
  <c r="AZ46" i="32" s="1"/>
  <c r="H46" i="32"/>
  <c r="BA46" i="32" s="1"/>
  <c r="I46" i="32"/>
  <c r="BB46" i="32" s="1"/>
  <c r="J46" i="32"/>
  <c r="K46" i="32"/>
  <c r="BD46" i="32" s="1"/>
  <c r="L46" i="32"/>
  <c r="BE46" i="32" s="1"/>
  <c r="M46" i="32"/>
  <c r="N46" i="32"/>
  <c r="BG46" i="32" s="1"/>
  <c r="O46" i="32"/>
  <c r="BH46" i="32" s="1"/>
  <c r="P46" i="32"/>
  <c r="BI46" i="32" s="1"/>
  <c r="Q46" i="32"/>
  <c r="BJ46" i="32" s="1"/>
  <c r="R46" i="32"/>
  <c r="BK46" i="32" s="1"/>
  <c r="S46" i="32"/>
  <c r="T46" i="32"/>
  <c r="BM46" i="32" s="1"/>
  <c r="U46" i="32"/>
  <c r="BN46" i="32" s="1"/>
  <c r="V46" i="32"/>
  <c r="BO46" i="32" s="1"/>
  <c r="W46" i="32"/>
  <c r="BP46" i="32" s="1"/>
  <c r="X46" i="32"/>
  <c r="BQ46" i="32" s="1"/>
  <c r="D47" i="32"/>
  <c r="AW47" i="32" s="1"/>
  <c r="E47" i="32"/>
  <c r="F47" i="32"/>
  <c r="AY47" i="32" s="1"/>
  <c r="G47" i="32"/>
  <c r="AZ47" i="32" s="1"/>
  <c r="H47" i="32"/>
  <c r="BA47" i="32" s="1"/>
  <c r="I47" i="32"/>
  <c r="BB47" i="32" s="1"/>
  <c r="J47" i="32"/>
  <c r="BC47" i="32" s="1"/>
  <c r="K47" i="32"/>
  <c r="BD47" i="32" s="1"/>
  <c r="L47" i="32"/>
  <c r="M47" i="32"/>
  <c r="BF47" i="32" s="1"/>
  <c r="N47" i="32"/>
  <c r="BG47" i="32" s="1"/>
  <c r="O47" i="32"/>
  <c r="BH47" i="32" s="1"/>
  <c r="P47" i="32"/>
  <c r="BI47" i="32" s="1"/>
  <c r="Q47" i="32"/>
  <c r="BJ47" i="32" s="1"/>
  <c r="R47" i="32"/>
  <c r="S47" i="32"/>
  <c r="BL47" i="32" s="1"/>
  <c r="T47" i="32"/>
  <c r="BM47" i="32" s="1"/>
  <c r="U47" i="32"/>
  <c r="V47" i="32"/>
  <c r="W47" i="32"/>
  <c r="BP47" i="32" s="1"/>
  <c r="X47" i="32"/>
  <c r="BQ47" i="32" s="1"/>
  <c r="D48" i="32"/>
  <c r="AW48" i="32" s="1"/>
  <c r="E48" i="32"/>
  <c r="AX48" i="32" s="1"/>
  <c r="F48" i="32"/>
  <c r="G48" i="32"/>
  <c r="AZ48" i="32" s="1"/>
  <c r="H48" i="32"/>
  <c r="BA48" i="32" s="1"/>
  <c r="I48" i="32"/>
  <c r="J48" i="32"/>
  <c r="K48" i="32"/>
  <c r="BD48" i="32" s="1"/>
  <c r="L48" i="32"/>
  <c r="BE48" i="32" s="1"/>
  <c r="M48" i="32"/>
  <c r="N48" i="32"/>
  <c r="O48" i="32"/>
  <c r="BH48" i="32" s="1"/>
  <c r="P48" i="32"/>
  <c r="BI48" i="32" s="1"/>
  <c r="Q48" i="32"/>
  <c r="BJ48" i="32" s="1"/>
  <c r="R48" i="32"/>
  <c r="BK48" i="32" s="1"/>
  <c r="S48" i="32"/>
  <c r="BL48" i="32" s="1"/>
  <c r="T48" i="32"/>
  <c r="BM48" i="32" s="1"/>
  <c r="U48" i="32"/>
  <c r="BN48" i="32" s="1"/>
  <c r="V48" i="32"/>
  <c r="W48" i="32"/>
  <c r="BP48" i="32" s="1"/>
  <c r="X48" i="32"/>
  <c r="BQ48" i="32" s="1"/>
  <c r="D49" i="32"/>
  <c r="E49" i="32"/>
  <c r="F49" i="32"/>
  <c r="AY49" i="32" s="1"/>
  <c r="G49" i="32"/>
  <c r="AZ49" i="32" s="1"/>
  <c r="H49" i="32"/>
  <c r="I49" i="32"/>
  <c r="J49" i="32"/>
  <c r="BC49" i="32" s="1"/>
  <c r="K49" i="32"/>
  <c r="BD49" i="32" s="1"/>
  <c r="L49" i="32"/>
  <c r="BE49" i="32" s="1"/>
  <c r="M49" i="32"/>
  <c r="BF49" i="32" s="1"/>
  <c r="N49" i="32"/>
  <c r="BG49" i="32" s="1"/>
  <c r="O49" i="32"/>
  <c r="BH49" i="32" s="1"/>
  <c r="P49" i="32"/>
  <c r="BI49" i="32" s="1"/>
  <c r="Q49" i="32"/>
  <c r="R49" i="32"/>
  <c r="BK49" i="32" s="1"/>
  <c r="S49" i="32"/>
  <c r="BL49" i="32" s="1"/>
  <c r="T49" i="32"/>
  <c r="BM49" i="32" s="1"/>
  <c r="U49" i="32"/>
  <c r="V49" i="32"/>
  <c r="BO49" i="32" s="1"/>
  <c r="W49" i="32"/>
  <c r="BP49" i="32" s="1"/>
  <c r="X49" i="32"/>
  <c r="D50" i="32"/>
  <c r="AW50" i="32" s="1"/>
  <c r="E50" i="32"/>
  <c r="AX50" i="32" s="1"/>
  <c r="F50" i="32"/>
  <c r="AY50" i="32" s="1"/>
  <c r="G50" i="32"/>
  <c r="AZ50" i="32" s="1"/>
  <c r="H50" i="32"/>
  <c r="BA50" i="32" s="1"/>
  <c r="I50" i="32"/>
  <c r="BB50" i="32" s="1"/>
  <c r="J50" i="32"/>
  <c r="BC50" i="32" s="1"/>
  <c r="K50" i="32"/>
  <c r="BD50" i="32" s="1"/>
  <c r="L50" i="32"/>
  <c r="BE50" i="32" s="1"/>
  <c r="M50" i="32"/>
  <c r="BF50" i="32" s="1"/>
  <c r="N50" i="32"/>
  <c r="BG50" i="32" s="1"/>
  <c r="O50" i="32"/>
  <c r="P50" i="32"/>
  <c r="BI50" i="32" s="1"/>
  <c r="Q50" i="32"/>
  <c r="BJ50" i="32" s="1"/>
  <c r="R50" i="32"/>
  <c r="S50" i="32"/>
  <c r="BL50" i="32" s="1"/>
  <c r="T50" i="32"/>
  <c r="BM50" i="32" s="1"/>
  <c r="U50" i="32"/>
  <c r="BN50" i="32" s="1"/>
  <c r="V50" i="32"/>
  <c r="BO50" i="32" s="1"/>
  <c r="W50" i="32"/>
  <c r="BP50" i="32" s="1"/>
  <c r="X50" i="32"/>
  <c r="BQ50" i="32" s="1"/>
  <c r="D51" i="32"/>
  <c r="AW51" i="32" s="1"/>
  <c r="E51" i="32"/>
  <c r="AX51" i="32" s="1"/>
  <c r="F51" i="32"/>
  <c r="AY51" i="32" s="1"/>
  <c r="G51" i="32"/>
  <c r="AZ51" i="32" s="1"/>
  <c r="H51" i="32"/>
  <c r="BA51" i="32" s="1"/>
  <c r="I51" i="32"/>
  <c r="BB51" i="32" s="1"/>
  <c r="J51" i="32"/>
  <c r="BC51" i="32" s="1"/>
  <c r="K51" i="32"/>
  <c r="BD51" i="32" s="1"/>
  <c r="L51" i="32"/>
  <c r="BE51" i="32" s="1"/>
  <c r="M51" i="32"/>
  <c r="N51" i="32"/>
  <c r="BG51" i="32" s="1"/>
  <c r="O51" i="32"/>
  <c r="BH51" i="32" s="1"/>
  <c r="P51" i="32"/>
  <c r="BI51" i="32" s="1"/>
  <c r="Q51" i="32"/>
  <c r="BJ51" i="32" s="1"/>
  <c r="R51" i="32"/>
  <c r="BK51" i="32" s="1"/>
  <c r="S51" i="32"/>
  <c r="BL51" i="32" s="1"/>
  <c r="T51" i="32"/>
  <c r="BM51" i="32" s="1"/>
  <c r="U51" i="32"/>
  <c r="BN51" i="32" s="1"/>
  <c r="V51" i="32"/>
  <c r="BO51" i="32" s="1"/>
  <c r="W51" i="32"/>
  <c r="BP51" i="32" s="1"/>
  <c r="X51" i="32"/>
  <c r="D52" i="32"/>
  <c r="AW52" i="32" s="1"/>
  <c r="E52" i="32"/>
  <c r="AX52" i="32" s="1"/>
  <c r="F52" i="32"/>
  <c r="AY52" i="32" s="1"/>
  <c r="G52" i="32"/>
  <c r="AZ52" i="32" s="1"/>
  <c r="H52" i="32"/>
  <c r="BA52" i="32" s="1"/>
  <c r="I52" i="32"/>
  <c r="BB52" i="32" s="1"/>
  <c r="J52" i="32"/>
  <c r="K52" i="32"/>
  <c r="BD52" i="32" s="1"/>
  <c r="L52" i="32"/>
  <c r="BE52" i="32" s="1"/>
  <c r="M52" i="32"/>
  <c r="BF52" i="32" s="1"/>
  <c r="N52" i="32"/>
  <c r="O52" i="32"/>
  <c r="BH52" i="32" s="1"/>
  <c r="P52" i="32"/>
  <c r="BI52" i="32" s="1"/>
  <c r="Q52" i="32"/>
  <c r="BJ52" i="32" s="1"/>
  <c r="R52" i="32"/>
  <c r="S52" i="32"/>
  <c r="BL52" i="32" s="1"/>
  <c r="T52" i="32"/>
  <c r="BM52" i="32" s="1"/>
  <c r="U52" i="32"/>
  <c r="BN52" i="32" s="1"/>
  <c r="V52" i="32"/>
  <c r="BO52" i="32" s="1"/>
  <c r="W52" i="32"/>
  <c r="X52" i="32"/>
  <c r="BQ52" i="32" s="1"/>
  <c r="D53" i="32"/>
  <c r="E53" i="32"/>
  <c r="F53" i="32"/>
  <c r="AY53" i="32" s="1"/>
  <c r="G53" i="32"/>
  <c r="AZ53" i="32" s="1"/>
  <c r="H53" i="32"/>
  <c r="BA53" i="32" s="1"/>
  <c r="I53" i="32"/>
  <c r="J53" i="32"/>
  <c r="BC53" i="32" s="1"/>
  <c r="K53" i="32"/>
  <c r="BD53" i="32" s="1"/>
  <c r="L53" i="32"/>
  <c r="BE53" i="32" s="1"/>
  <c r="M53" i="32"/>
  <c r="BF53" i="32" s="1"/>
  <c r="N53" i="32"/>
  <c r="BG53" i="32" s="1"/>
  <c r="O53" i="32"/>
  <c r="BH53" i="32" s="1"/>
  <c r="P53" i="32"/>
  <c r="BI53" i="32" s="1"/>
  <c r="Q53" i="32"/>
  <c r="R53" i="32"/>
  <c r="BK53" i="32" s="1"/>
  <c r="S53" i="32"/>
  <c r="BL53" i="32" s="1"/>
  <c r="T53" i="32"/>
  <c r="BM53" i="32" s="1"/>
  <c r="U53" i="32"/>
  <c r="V53" i="32"/>
  <c r="BO53" i="32" s="1"/>
  <c r="W53" i="32"/>
  <c r="BP53" i="32" s="1"/>
  <c r="X53" i="32"/>
  <c r="BQ53" i="32" s="1"/>
  <c r="D54" i="32"/>
  <c r="AW54" i="32" s="1"/>
  <c r="E54" i="32"/>
  <c r="AX54" i="32" s="1"/>
  <c r="F54" i="32"/>
  <c r="AY54" i="32" s="1"/>
  <c r="G54" i="32"/>
  <c r="AZ54" i="32" s="1"/>
  <c r="H54" i="32"/>
  <c r="BA54" i="32" s="1"/>
  <c r="I54" i="32"/>
  <c r="J54" i="32"/>
  <c r="BC54" i="32" s="1"/>
  <c r="K54" i="32"/>
  <c r="BD54" i="32" s="1"/>
  <c r="L54" i="32"/>
  <c r="BE54" i="32" s="1"/>
  <c r="M54" i="32"/>
  <c r="BF54" i="32" s="1"/>
  <c r="N54" i="32"/>
  <c r="BG54" i="32" s="1"/>
  <c r="O54" i="32"/>
  <c r="P54" i="32"/>
  <c r="BI54" i="32" s="1"/>
  <c r="Q54" i="32"/>
  <c r="BJ54" i="32" s="1"/>
  <c r="R54" i="32"/>
  <c r="S54" i="32"/>
  <c r="BL54" i="32" s="1"/>
  <c r="T54" i="32"/>
  <c r="BM54" i="32" s="1"/>
  <c r="U54" i="32"/>
  <c r="BN54" i="32" s="1"/>
  <c r="V54" i="32"/>
  <c r="BO54" i="32" s="1"/>
  <c r="W54" i="32"/>
  <c r="BP54" i="32" s="1"/>
  <c r="X54" i="32"/>
  <c r="BQ54" i="32" s="1"/>
  <c r="D8" i="32"/>
  <c r="AW8" i="32" s="1"/>
  <c r="E8" i="32"/>
  <c r="AX8" i="32" s="1"/>
  <c r="F8" i="32"/>
  <c r="AY8" i="32" s="1"/>
  <c r="G8" i="32"/>
  <c r="H8" i="32"/>
  <c r="BA8" i="32" s="1"/>
  <c r="I8" i="32"/>
  <c r="BB8" i="32" s="1"/>
  <c r="J8" i="32"/>
  <c r="BC8" i="32" s="1"/>
  <c r="K8" i="32"/>
  <c r="BD8" i="32" s="1"/>
  <c r="L8" i="32"/>
  <c r="BE8" i="32" s="1"/>
  <c r="M8" i="32"/>
  <c r="BF8" i="32" s="1"/>
  <c r="N8" i="32"/>
  <c r="O8" i="32"/>
  <c r="BH8" i="32" s="1"/>
  <c r="P8" i="32"/>
  <c r="BI8" i="32" s="1"/>
  <c r="Q8" i="32"/>
  <c r="BJ8" i="32" s="1"/>
  <c r="R8" i="32"/>
  <c r="BK8" i="32" s="1"/>
  <c r="S8" i="32"/>
  <c r="BL8" i="32" s="1"/>
  <c r="T8" i="32"/>
  <c r="BM8" i="32" s="1"/>
  <c r="U8" i="32"/>
  <c r="BN8" i="32" s="1"/>
  <c r="V8" i="32"/>
  <c r="BO8" i="32" s="1"/>
  <c r="W8" i="32"/>
  <c r="X8" i="32"/>
  <c r="BQ8" i="32" s="1"/>
  <c r="D9" i="32"/>
  <c r="E9" i="32"/>
  <c r="AX9" i="32" s="1"/>
  <c r="F9" i="32"/>
  <c r="AY9" i="32" s="1"/>
  <c r="G9" i="32"/>
  <c r="AZ9" i="32" s="1"/>
  <c r="H9" i="32"/>
  <c r="I9" i="32"/>
  <c r="J9" i="32"/>
  <c r="BC9" i="32" s="1"/>
  <c r="K9" i="32"/>
  <c r="BD9" i="32" s="1"/>
  <c r="L9" i="32"/>
  <c r="M9" i="32"/>
  <c r="BF9" i="32" s="1"/>
  <c r="N9" i="32"/>
  <c r="O9" i="32"/>
  <c r="BH9" i="32" s="1"/>
  <c r="P9" i="32"/>
  <c r="Q9" i="32"/>
  <c r="BJ9" i="32" s="1"/>
  <c r="R9" i="32"/>
  <c r="BK9" i="32" s="1"/>
  <c r="S9" i="32"/>
  <c r="BL9" i="32" s="1"/>
  <c r="T9" i="32"/>
  <c r="U9" i="32"/>
  <c r="BN9" i="32" s="1"/>
  <c r="V9" i="32"/>
  <c r="BO9" i="32" s="1"/>
  <c r="W9" i="32"/>
  <c r="BP9" i="32" s="1"/>
  <c r="X9" i="32"/>
  <c r="D10" i="32"/>
  <c r="AW10" i="32" s="1"/>
  <c r="E10" i="32"/>
  <c r="AX10" i="32" s="1"/>
  <c r="F10" i="32"/>
  <c r="AY10" i="32" s="1"/>
  <c r="G10" i="32"/>
  <c r="AZ10" i="32" s="1"/>
  <c r="H10" i="32"/>
  <c r="BA10" i="32" s="1"/>
  <c r="I10" i="32"/>
  <c r="J10" i="32"/>
  <c r="BC10" i="32" s="1"/>
  <c r="K10" i="32"/>
  <c r="BD10" i="32" s="1"/>
  <c r="L10" i="32"/>
  <c r="M10" i="32"/>
  <c r="N10" i="32"/>
  <c r="BG10" i="32" s="1"/>
  <c r="O10" i="32"/>
  <c r="BH10" i="32" s="1"/>
  <c r="P10" i="32"/>
  <c r="BI10" i="32" s="1"/>
  <c r="Q10" i="32"/>
  <c r="BJ10" i="32" s="1"/>
  <c r="R10" i="32"/>
  <c r="BK10" i="32" s="1"/>
  <c r="S10" i="32"/>
  <c r="BL10" i="32" s="1"/>
  <c r="T10" i="32"/>
  <c r="BM10" i="32" s="1"/>
  <c r="U10" i="32"/>
  <c r="BN10" i="32" s="1"/>
  <c r="V10" i="32"/>
  <c r="BO10" i="32" s="1"/>
  <c r="W10" i="32"/>
  <c r="BP10" i="32" s="1"/>
  <c r="X10" i="32"/>
  <c r="BQ10" i="32" s="1"/>
  <c r="D11" i="32"/>
  <c r="AW11" i="32" s="1"/>
  <c r="E11" i="32"/>
  <c r="AX11" i="32" s="1"/>
  <c r="F11" i="32"/>
  <c r="AY11" i="32" s="1"/>
  <c r="G11" i="32"/>
  <c r="AZ11" i="32" s="1"/>
  <c r="H11" i="32"/>
  <c r="BA11" i="32" s="1"/>
  <c r="I11" i="32"/>
  <c r="BB11" i="32" s="1"/>
  <c r="J11" i="32"/>
  <c r="BC11" i="32" s="1"/>
  <c r="K11" i="32"/>
  <c r="BD11" i="32" s="1"/>
  <c r="L11" i="32"/>
  <c r="M11" i="32"/>
  <c r="BF11" i="32" s="1"/>
  <c r="N11" i="32"/>
  <c r="BG11" i="32" s="1"/>
  <c r="O11" i="32"/>
  <c r="P11" i="32"/>
  <c r="BI11" i="32" s="1"/>
  <c r="Q11" i="32"/>
  <c r="BJ11" i="32" s="1"/>
  <c r="R11" i="32"/>
  <c r="BK11" i="32" s="1"/>
  <c r="S11" i="32"/>
  <c r="BL11" i="32" s="1"/>
  <c r="T11" i="32"/>
  <c r="BM11" i="32" s="1"/>
  <c r="U11" i="32"/>
  <c r="BN11" i="32" s="1"/>
  <c r="V11" i="32"/>
  <c r="BO11" i="32" s="1"/>
  <c r="W11" i="32"/>
  <c r="BP11" i="32" s="1"/>
  <c r="X11" i="32"/>
  <c r="D12" i="32"/>
  <c r="AW12" i="32" s="1"/>
  <c r="E12" i="32"/>
  <c r="AX12" i="32" s="1"/>
  <c r="F12" i="32"/>
  <c r="AY12" i="32" s="1"/>
  <c r="G12" i="32"/>
  <c r="AZ12" i="32" s="1"/>
  <c r="H12" i="32"/>
  <c r="BA12" i="32" s="1"/>
  <c r="I12" i="32"/>
  <c r="BB12" i="32" s="1"/>
  <c r="J12" i="32"/>
  <c r="BC12" i="32" s="1"/>
  <c r="K12" i="32"/>
  <c r="BD12" i="32" s="1"/>
  <c r="L12" i="32"/>
  <c r="BE12" i="32" s="1"/>
  <c r="M12" i="32"/>
  <c r="BF12" i="32" s="1"/>
  <c r="N12" i="32"/>
  <c r="BG12" i="32" s="1"/>
  <c r="O12" i="32"/>
  <c r="BH12" i="32" s="1"/>
  <c r="P12" i="32"/>
  <c r="BI12" i="32" s="1"/>
  <c r="Q12" i="32"/>
  <c r="BJ12" i="32" s="1"/>
  <c r="R12" i="32"/>
  <c r="S12" i="32"/>
  <c r="BL12" i="32" s="1"/>
  <c r="T12" i="32"/>
  <c r="BM12" i="32" s="1"/>
  <c r="U12" i="32"/>
  <c r="BN12" i="32" s="1"/>
  <c r="V12" i="32"/>
  <c r="BO12" i="32" s="1"/>
  <c r="W12" i="32"/>
  <c r="BP12" i="32" s="1"/>
  <c r="X12" i="32"/>
  <c r="BQ12" i="32" s="1"/>
  <c r="D13" i="32"/>
  <c r="E13" i="32"/>
  <c r="AX13" i="32" s="1"/>
  <c r="F13" i="32"/>
  <c r="AY13" i="32" s="1"/>
  <c r="G13" i="32"/>
  <c r="AZ13" i="32" s="1"/>
  <c r="H13" i="32"/>
  <c r="I13" i="32"/>
  <c r="BB13" i="32" s="1"/>
  <c r="J13" i="32"/>
  <c r="K13" i="32"/>
  <c r="BD13" i="32" s="1"/>
  <c r="L13" i="32"/>
  <c r="M13" i="32"/>
  <c r="BF13" i="32" s="1"/>
  <c r="N13" i="32"/>
  <c r="BG13" i="32" s="1"/>
  <c r="O13" i="32"/>
  <c r="BH13" i="32" s="1"/>
  <c r="P13" i="32"/>
  <c r="Q13" i="32"/>
  <c r="BJ13" i="32" s="1"/>
  <c r="R13" i="32"/>
  <c r="BK13" i="32" s="1"/>
  <c r="S13" i="32"/>
  <c r="BL13" i="32" s="1"/>
  <c r="T13" i="32"/>
  <c r="U13" i="32"/>
  <c r="BN13" i="32" s="1"/>
  <c r="V13" i="32"/>
  <c r="BO13" i="32" s="1"/>
  <c r="W13" i="32"/>
  <c r="BP13" i="32" s="1"/>
  <c r="X13" i="32"/>
  <c r="D14" i="32"/>
  <c r="AW14" i="32" s="1"/>
  <c r="E14" i="32"/>
  <c r="AX14" i="32" s="1"/>
  <c r="F14" i="32"/>
  <c r="AY14" i="32" s="1"/>
  <c r="G14" i="32"/>
  <c r="H14" i="32"/>
  <c r="BA14" i="32" s="1"/>
  <c r="I14" i="32"/>
  <c r="BB14" i="32" s="1"/>
  <c r="J14" i="32"/>
  <c r="BC14" i="32" s="1"/>
  <c r="K14" i="32"/>
  <c r="L14" i="32"/>
  <c r="BE14" i="32" s="1"/>
  <c r="M14" i="32"/>
  <c r="BF14" i="32" s="1"/>
  <c r="N14" i="32"/>
  <c r="BG14" i="32" s="1"/>
  <c r="O14" i="32"/>
  <c r="P14" i="32"/>
  <c r="Q14" i="32"/>
  <c r="BJ14" i="32" s="1"/>
  <c r="R14" i="32"/>
  <c r="BK14" i="32" s="1"/>
  <c r="S14" i="32"/>
  <c r="BL14" i="32" s="1"/>
  <c r="T14" i="32"/>
  <c r="BM14" i="32" s="1"/>
  <c r="U14" i="32"/>
  <c r="V14" i="32"/>
  <c r="BO14" i="32" s="1"/>
  <c r="W14" i="32"/>
  <c r="X14" i="32"/>
  <c r="D15" i="32"/>
  <c r="E15" i="32"/>
  <c r="AX15" i="32" s="1"/>
  <c r="F15" i="32"/>
  <c r="G15" i="32"/>
  <c r="AZ15" i="32" s="1"/>
  <c r="H15" i="32"/>
  <c r="BA15" i="32" s="1"/>
  <c r="I15" i="32"/>
  <c r="BB15" i="32" s="1"/>
  <c r="J15" i="32"/>
  <c r="BC15" i="32" s="1"/>
  <c r="K15" i="32"/>
  <c r="L15" i="32"/>
  <c r="BE15" i="32" s="1"/>
  <c r="M15" i="32"/>
  <c r="BF15" i="32" s="1"/>
  <c r="N15" i="32"/>
  <c r="BG15" i="32" s="1"/>
  <c r="O15" i="32"/>
  <c r="BH15" i="32" s="1"/>
  <c r="P15" i="32"/>
  <c r="BI15" i="32" s="1"/>
  <c r="Q15" i="32"/>
  <c r="BJ15" i="32" s="1"/>
  <c r="R15" i="32"/>
  <c r="S15" i="32"/>
  <c r="BL15" i="32" s="1"/>
  <c r="T15" i="32"/>
  <c r="BM15" i="32" s="1"/>
  <c r="U15" i="32"/>
  <c r="BN15" i="32" s="1"/>
  <c r="V15" i="32"/>
  <c r="BO15" i="32" s="1"/>
  <c r="W15" i="32"/>
  <c r="BP15" i="32" s="1"/>
  <c r="X15" i="32"/>
  <c r="D16" i="32"/>
  <c r="AW16" i="32" s="1"/>
  <c r="E16" i="32"/>
  <c r="AX16" i="32" s="1"/>
  <c r="F16" i="32"/>
  <c r="AY16" i="32" s="1"/>
  <c r="G16" i="32"/>
  <c r="AZ16" i="32" s="1"/>
  <c r="H16" i="32"/>
  <c r="BA16" i="32" s="1"/>
  <c r="I16" i="32"/>
  <c r="BB16" i="32" s="1"/>
  <c r="J16" i="32"/>
  <c r="BC16" i="32" s="1"/>
  <c r="K16" i="32"/>
  <c r="BD16" i="32" s="1"/>
  <c r="L16" i="32"/>
  <c r="BE16" i="32" s="1"/>
  <c r="M16" i="32"/>
  <c r="BF16" i="32" s="1"/>
  <c r="N16" i="32"/>
  <c r="O16" i="32"/>
  <c r="BH16" i="32" s="1"/>
  <c r="P16" i="32"/>
  <c r="BI16" i="32" s="1"/>
  <c r="Q16" i="32"/>
  <c r="R16" i="32"/>
  <c r="BK16" i="32" s="1"/>
  <c r="S16" i="32"/>
  <c r="BL16" i="32" s="1"/>
  <c r="T16" i="32"/>
  <c r="BM16" i="32" s="1"/>
  <c r="U16" i="32"/>
  <c r="BN16" i="32" s="1"/>
  <c r="V16" i="32"/>
  <c r="BO16" i="32" s="1"/>
  <c r="W16" i="32"/>
  <c r="BP16" i="32" s="1"/>
  <c r="X16" i="32"/>
  <c r="BQ16" i="32" s="1"/>
  <c r="D17" i="32"/>
  <c r="E17" i="32"/>
  <c r="AX17" i="32" s="1"/>
  <c r="F17" i="32"/>
  <c r="AY17" i="32" s="1"/>
  <c r="G17" i="32"/>
  <c r="AZ17" i="32" s="1"/>
  <c r="H17" i="32"/>
  <c r="BA17" i="32" s="1"/>
  <c r="I17" i="32"/>
  <c r="BB17" i="32" s="1"/>
  <c r="J17" i="32"/>
  <c r="BC17" i="32" s="1"/>
  <c r="K17" i="32"/>
  <c r="BD17" i="32" s="1"/>
  <c r="L17" i="32"/>
  <c r="BE17" i="32" s="1"/>
  <c r="M17" i="32"/>
  <c r="BF17" i="32" s="1"/>
  <c r="N17" i="32"/>
  <c r="BG17" i="32" s="1"/>
  <c r="O17" i="32"/>
  <c r="BH17" i="32" s="1"/>
  <c r="P17" i="32"/>
  <c r="Q17" i="32"/>
  <c r="R17" i="32"/>
  <c r="BK17" i="32" s="1"/>
  <c r="S17" i="32"/>
  <c r="BL17" i="32" s="1"/>
  <c r="T17" i="32"/>
  <c r="BM17" i="32" s="1"/>
  <c r="U17" i="32"/>
  <c r="BN17" i="32" s="1"/>
  <c r="V17" i="32"/>
  <c r="W17" i="32"/>
  <c r="BP17" i="32" s="1"/>
  <c r="X17" i="32"/>
  <c r="D18" i="32"/>
  <c r="AW18" i="32" s="1"/>
  <c r="E18" i="32"/>
  <c r="AX18" i="32" s="1"/>
  <c r="F18" i="32"/>
  <c r="AY18" i="32" s="1"/>
  <c r="G18" i="32"/>
  <c r="H18" i="32"/>
  <c r="BA18" i="32" s="1"/>
  <c r="I18" i="32"/>
  <c r="BB18" i="32" s="1"/>
  <c r="J18" i="32"/>
  <c r="BC18" i="32" s="1"/>
  <c r="K18" i="32"/>
  <c r="BD18" i="32" s="1"/>
  <c r="L18" i="32"/>
  <c r="M18" i="32"/>
  <c r="BF18" i="32" s="1"/>
  <c r="N18" i="32"/>
  <c r="BG18" i="32" s="1"/>
  <c r="O18" i="32"/>
  <c r="BH18" i="32" s="1"/>
  <c r="P18" i="32"/>
  <c r="BI18" i="32" s="1"/>
  <c r="Q18" i="32"/>
  <c r="BJ18" i="32" s="1"/>
  <c r="R18" i="32"/>
  <c r="BK18" i="32" s="1"/>
  <c r="S18" i="32"/>
  <c r="BL18" i="32" s="1"/>
  <c r="T18" i="32"/>
  <c r="BM18" i="32" s="1"/>
  <c r="U18" i="32"/>
  <c r="BN18" i="32" s="1"/>
  <c r="V18" i="32"/>
  <c r="BO18" i="32" s="1"/>
  <c r="W18" i="32"/>
  <c r="BP18" i="32" s="1"/>
  <c r="X18" i="32"/>
  <c r="BQ18" i="32" s="1"/>
  <c r="D19" i="32"/>
  <c r="E19" i="32"/>
  <c r="AX19" i="32" s="1"/>
  <c r="F19" i="32"/>
  <c r="AY19" i="32" s="1"/>
  <c r="G19" i="32"/>
  <c r="AZ19" i="32" s="1"/>
  <c r="H19" i="32"/>
  <c r="BA19" i="32" s="1"/>
  <c r="I19" i="32"/>
  <c r="BB19" i="32" s="1"/>
  <c r="J19" i="32"/>
  <c r="BC19" i="32" s="1"/>
  <c r="K19" i="32"/>
  <c r="BD19" i="32" s="1"/>
  <c r="L19" i="32"/>
  <c r="BE19" i="32" s="1"/>
  <c r="M19" i="32"/>
  <c r="BF19" i="32" s="1"/>
  <c r="N19" i="32"/>
  <c r="BG19" i="32" s="1"/>
  <c r="O19" i="32"/>
  <c r="P19" i="32"/>
  <c r="BI19" i="32" s="1"/>
  <c r="Q19" i="32"/>
  <c r="BJ19" i="32" s="1"/>
  <c r="R19" i="32"/>
  <c r="BK19" i="32" s="1"/>
  <c r="S19" i="32"/>
  <c r="BL19" i="32" s="1"/>
  <c r="T19" i="32"/>
  <c r="BM19" i="32" s="1"/>
  <c r="U19" i="32"/>
  <c r="BN19" i="32" s="1"/>
  <c r="V19" i="32"/>
  <c r="BO19" i="32" s="1"/>
  <c r="W19" i="32"/>
  <c r="X19" i="32"/>
  <c r="BQ19" i="32" s="1"/>
  <c r="D20" i="32"/>
  <c r="AW20" i="32" s="1"/>
  <c r="E20" i="32"/>
  <c r="AX20" i="32" s="1"/>
  <c r="F20" i="32"/>
  <c r="AY20" i="32" s="1"/>
  <c r="G20" i="32"/>
  <c r="AZ20" i="32" s="1"/>
  <c r="H20" i="32"/>
  <c r="BA20" i="32" s="1"/>
  <c r="I20" i="32"/>
  <c r="J20" i="32"/>
  <c r="K20" i="32"/>
  <c r="BD20" i="32" s="1"/>
  <c r="L20" i="32"/>
  <c r="BE20" i="32" s="1"/>
  <c r="M20" i="32"/>
  <c r="BF20" i="32" s="1"/>
  <c r="N20" i="32"/>
  <c r="BG20" i="32" s="1"/>
  <c r="O20" i="32"/>
  <c r="BH20" i="32" s="1"/>
  <c r="P20" i="32"/>
  <c r="BI20" i="32" s="1"/>
  <c r="Q20" i="32"/>
  <c r="BJ20" i="32" s="1"/>
  <c r="R20" i="32"/>
  <c r="BK20" i="32" s="1"/>
  <c r="S20" i="32"/>
  <c r="BL20" i="32" s="1"/>
  <c r="T20" i="32"/>
  <c r="BM20" i="32" s="1"/>
  <c r="U20" i="32"/>
  <c r="BN20" i="32" s="1"/>
  <c r="V20" i="32"/>
  <c r="BO20" i="32" s="1"/>
  <c r="W20" i="32"/>
  <c r="BP20" i="32" s="1"/>
  <c r="X20" i="32"/>
  <c r="BQ20" i="32" s="1"/>
  <c r="E7" i="32"/>
  <c r="AX7" i="32" s="1"/>
  <c r="F7" i="32"/>
  <c r="AY7" i="32" s="1"/>
  <c r="G7" i="32"/>
  <c r="AZ7" i="32" s="1"/>
  <c r="H7" i="32"/>
  <c r="BA7" i="32" s="1"/>
  <c r="I7" i="32"/>
  <c r="J7" i="32"/>
  <c r="BC7" i="32" s="1"/>
  <c r="K7" i="32"/>
  <c r="BD7" i="32" s="1"/>
  <c r="L7" i="32"/>
  <c r="BE7" i="32" s="1"/>
  <c r="M7" i="32"/>
  <c r="N7" i="32"/>
  <c r="BG7" i="32" s="1"/>
  <c r="O7" i="32"/>
  <c r="BH7" i="32" s="1"/>
  <c r="P7" i="32"/>
  <c r="BI7" i="32" s="1"/>
  <c r="Q7" i="32"/>
  <c r="R7" i="32"/>
  <c r="BK7" i="32" s="1"/>
  <c r="S7" i="32"/>
  <c r="BL7" i="32" s="1"/>
  <c r="T7" i="32"/>
  <c r="BM7" i="32" s="1"/>
  <c r="U7" i="32"/>
  <c r="BN7" i="32" s="1"/>
  <c r="V7" i="32"/>
  <c r="W7" i="32"/>
  <c r="BP7" i="32" s="1"/>
  <c r="X7" i="32"/>
  <c r="BQ7" i="32" s="1"/>
  <c r="D7" i="32"/>
  <c r="AW7" i="32" s="1"/>
  <c r="BQ65" i="32"/>
  <c r="BP65" i="32"/>
  <c r="BO65" i="32"/>
  <c r="BN65" i="32"/>
  <c r="BM65" i="32"/>
  <c r="BL65" i="32"/>
  <c r="BK65" i="32"/>
  <c r="BJ65" i="32"/>
  <c r="BI65" i="32"/>
  <c r="BH65" i="32"/>
  <c r="BG65" i="32"/>
  <c r="BF65" i="32"/>
  <c r="BE65" i="32"/>
  <c r="BD65" i="32"/>
  <c r="BC65" i="32"/>
  <c r="BB65" i="32"/>
  <c r="BA65" i="32"/>
  <c r="AZ65" i="32"/>
  <c r="AY65" i="32"/>
  <c r="AX65" i="32"/>
  <c r="AW65" i="32"/>
  <c r="BQ64" i="32"/>
  <c r="BP64" i="32"/>
  <c r="BO64" i="32"/>
  <c r="BN64" i="32"/>
  <c r="BM64" i="32"/>
  <c r="BL64" i="32"/>
  <c r="BK64" i="32"/>
  <c r="BJ64" i="32"/>
  <c r="BI64" i="32"/>
  <c r="BH64" i="32"/>
  <c r="BG64" i="32"/>
  <c r="BF64" i="32"/>
  <c r="BE64" i="32"/>
  <c r="BD64" i="32"/>
  <c r="BC64" i="32"/>
  <c r="BB64" i="32"/>
  <c r="BA64" i="32"/>
  <c r="AZ64" i="32"/>
  <c r="AY64" i="32"/>
  <c r="AX64" i="32"/>
  <c r="AW64" i="32"/>
  <c r="BQ63" i="32"/>
  <c r="BP63" i="32"/>
  <c r="BO63" i="32"/>
  <c r="BN63" i="32"/>
  <c r="BM63" i="32"/>
  <c r="BL63" i="32"/>
  <c r="BK63" i="32"/>
  <c r="BJ63" i="32"/>
  <c r="BI63" i="32"/>
  <c r="BH63" i="32"/>
  <c r="BG63" i="32"/>
  <c r="BF63" i="32"/>
  <c r="BE63" i="32"/>
  <c r="BD63" i="32"/>
  <c r="BC63" i="32"/>
  <c r="BB63" i="32"/>
  <c r="BA63" i="32"/>
  <c r="AZ63" i="32"/>
  <c r="AY63" i="32"/>
  <c r="AX63" i="32"/>
  <c r="AW63" i="32"/>
  <c r="BQ62" i="32"/>
  <c r="BP62" i="32"/>
  <c r="BO62" i="32"/>
  <c r="BN62" i="32"/>
  <c r="BM62" i="32"/>
  <c r="BL62" i="32"/>
  <c r="BK62" i="32"/>
  <c r="BJ62" i="32"/>
  <c r="BI62" i="32"/>
  <c r="BH62" i="32"/>
  <c r="BG62" i="32"/>
  <c r="BF62" i="32"/>
  <c r="BE62" i="32"/>
  <c r="BD62" i="32"/>
  <c r="BC62" i="32"/>
  <c r="BB62" i="32"/>
  <c r="BA62" i="32"/>
  <c r="AZ62" i="32"/>
  <c r="AY62" i="32"/>
  <c r="AX62" i="32"/>
  <c r="AW62" i="32"/>
  <c r="BR62" i="32" s="1" a="1"/>
  <c r="BR62" i="32" s="1"/>
  <c r="BQ61" i="32"/>
  <c r="BP61" i="32"/>
  <c r="BO61" i="32"/>
  <c r="BN61" i="32"/>
  <c r="BM61" i="32"/>
  <c r="BL61" i="32"/>
  <c r="BK61" i="32"/>
  <c r="BJ61" i="32"/>
  <c r="BI61" i="32"/>
  <c r="BH61" i="32"/>
  <c r="BG61" i="32"/>
  <c r="BF61" i="32"/>
  <c r="BE61" i="32"/>
  <c r="BD61" i="32"/>
  <c r="BC61" i="32"/>
  <c r="BB61" i="32"/>
  <c r="BA61" i="32"/>
  <c r="AZ61" i="32"/>
  <c r="AY61" i="32"/>
  <c r="AX61" i="32"/>
  <c r="AW61" i="32"/>
  <c r="BQ60" i="32"/>
  <c r="BP60" i="32"/>
  <c r="BO60" i="32"/>
  <c r="BN60" i="32"/>
  <c r="BM60" i="32"/>
  <c r="BL60" i="32"/>
  <c r="BK60" i="32"/>
  <c r="BJ60" i="32"/>
  <c r="BI60" i="32"/>
  <c r="BH60" i="32"/>
  <c r="BG60" i="32"/>
  <c r="BF60" i="32"/>
  <c r="BE60" i="32"/>
  <c r="BD60" i="32"/>
  <c r="BC60" i="32"/>
  <c r="BB60" i="32"/>
  <c r="BA60" i="32"/>
  <c r="AZ60" i="32"/>
  <c r="AY60" i="32"/>
  <c r="AX60" i="32"/>
  <c r="AW60" i="32"/>
  <c r="BQ59" i="32"/>
  <c r="BP59" i="32"/>
  <c r="BO59" i="32"/>
  <c r="BN59" i="32"/>
  <c r="BM59" i="32"/>
  <c r="BL59" i="32"/>
  <c r="BK59" i="32"/>
  <c r="BJ59" i="32"/>
  <c r="BI59" i="32"/>
  <c r="BH59" i="32"/>
  <c r="BG59" i="32"/>
  <c r="BF59" i="32"/>
  <c r="BE59" i="32"/>
  <c r="BD59" i="32"/>
  <c r="BC59" i="32"/>
  <c r="BB59" i="32"/>
  <c r="BA59" i="32"/>
  <c r="AZ59" i="32"/>
  <c r="AY59" i="32"/>
  <c r="AX59" i="32"/>
  <c r="AW59" i="32"/>
  <c r="BQ58" i="32"/>
  <c r="BP58" i="32"/>
  <c r="BO58" i="32"/>
  <c r="BN58" i="32"/>
  <c r="BM58" i="32"/>
  <c r="BL58" i="32"/>
  <c r="BK58" i="32"/>
  <c r="BJ58" i="32"/>
  <c r="BI58" i="32"/>
  <c r="BH58" i="32"/>
  <c r="BG58" i="32"/>
  <c r="BF58" i="32"/>
  <c r="BE58" i="32"/>
  <c r="BD58" i="32"/>
  <c r="BC58" i="32"/>
  <c r="BB58" i="32"/>
  <c r="BA58" i="32"/>
  <c r="AZ58" i="32"/>
  <c r="AY58" i="32"/>
  <c r="AX58" i="32"/>
  <c r="AW58" i="32"/>
  <c r="BQ57" i="32"/>
  <c r="BP57" i="32"/>
  <c r="BO57" i="32"/>
  <c r="BN57" i="32"/>
  <c r="BM57" i="32"/>
  <c r="BL57" i="32"/>
  <c r="BK57" i="32"/>
  <c r="BJ57" i="32"/>
  <c r="BI57" i="32"/>
  <c r="BH57" i="32"/>
  <c r="BG57" i="32"/>
  <c r="BF57" i="32"/>
  <c r="BE57" i="32"/>
  <c r="BD57" i="32"/>
  <c r="BC57" i="32"/>
  <c r="BB57" i="32"/>
  <c r="BA57" i="32"/>
  <c r="AZ57" i="32"/>
  <c r="AY57" i="32"/>
  <c r="AX57" i="32"/>
  <c r="AW57" i="32"/>
  <c r="BQ56" i="32"/>
  <c r="BP56" i="32"/>
  <c r="BO56" i="32"/>
  <c r="BN56" i="32"/>
  <c r="BM56" i="32"/>
  <c r="BL56" i="32"/>
  <c r="BK56" i="32"/>
  <c r="BJ56" i="32"/>
  <c r="BI56" i="32"/>
  <c r="BH56" i="32"/>
  <c r="BG56" i="32"/>
  <c r="BF56" i="32"/>
  <c r="BE56" i="32"/>
  <c r="BD56" i="32"/>
  <c r="BC56" i="32"/>
  <c r="BB56" i="32"/>
  <c r="BA56" i="32"/>
  <c r="AZ56" i="32"/>
  <c r="AY56" i="32"/>
  <c r="AX56" i="32"/>
  <c r="AW56" i="32"/>
  <c r="BR56" i="32" s="1" a="1"/>
  <c r="BR56" i="32" s="1"/>
  <c r="BQ55" i="32"/>
  <c r="BP55" i="32"/>
  <c r="BO55" i="32"/>
  <c r="BN55" i="32"/>
  <c r="BM55" i="32"/>
  <c r="BL55" i="32"/>
  <c r="BK55" i="32"/>
  <c r="BJ55" i="32"/>
  <c r="BI55" i="32"/>
  <c r="BH55" i="32"/>
  <c r="BG55" i="32"/>
  <c r="BF55" i="32"/>
  <c r="BE55" i="32"/>
  <c r="BD55" i="32"/>
  <c r="BC55" i="32"/>
  <c r="BB55" i="32"/>
  <c r="BA55" i="32"/>
  <c r="AZ55" i="32"/>
  <c r="AY55" i="32"/>
  <c r="AX55" i="32"/>
  <c r="AW55" i="32"/>
  <c r="BK54" i="32"/>
  <c r="BH54" i="32"/>
  <c r="BB54" i="32"/>
  <c r="BN53" i="32"/>
  <c r="BJ53" i="32"/>
  <c r="BB53" i="32"/>
  <c r="AX53" i="32"/>
  <c r="AW53" i="32"/>
  <c r="BK52" i="32"/>
  <c r="BG52" i="32"/>
  <c r="BC52" i="32"/>
  <c r="BP52" i="32"/>
  <c r="BF51" i="32"/>
  <c r="BQ51" i="32"/>
  <c r="BK50" i="32"/>
  <c r="BH50" i="32"/>
  <c r="BN49" i="32"/>
  <c r="BJ49" i="32"/>
  <c r="BB49" i="32"/>
  <c r="AX49" i="32"/>
  <c r="BQ49" i="32"/>
  <c r="BA49" i="32"/>
  <c r="AW49" i="32"/>
  <c r="BO48" i="32"/>
  <c r="BG48" i="32"/>
  <c r="BC48" i="32"/>
  <c r="AY48" i="32"/>
  <c r="BF48" i="32"/>
  <c r="BB48" i="32"/>
  <c r="BN47" i="32"/>
  <c r="AX47" i="32"/>
  <c r="BO47" i="32"/>
  <c r="BK47" i="32"/>
  <c r="BE47" i="32"/>
  <c r="BC46" i="32"/>
  <c r="BL46" i="32"/>
  <c r="BF46" i="32"/>
  <c r="BJ45" i="32"/>
  <c r="BF45" i="32"/>
  <c r="BB45" i="32"/>
  <c r="BI45" i="32"/>
  <c r="BE45" i="32"/>
  <c r="AY45" i="32"/>
  <c r="BO44" i="32"/>
  <c r="BK44" i="32"/>
  <c r="BG44" i="32"/>
  <c r="AY44" i="32"/>
  <c r="BJ44" i="32"/>
  <c r="AX44" i="32"/>
  <c r="BF43" i="32"/>
  <c r="BK43" i="32"/>
  <c r="BE43" i="32"/>
  <c r="BK42" i="32"/>
  <c r="BL42" i="32"/>
  <c r="BH42" i="32"/>
  <c r="BQ41" i="32"/>
  <c r="BK41" i="32"/>
  <c r="BD41" i="32"/>
  <c r="BB41" i="32"/>
  <c r="AZ41" i="32"/>
  <c r="BJ40" i="32"/>
  <c r="AX40" i="32"/>
  <c r="BM40" i="32"/>
  <c r="BB40" i="32"/>
  <c r="AY40" i="32"/>
  <c r="BH39" i="32"/>
  <c r="BG39" i="32"/>
  <c r="AZ38" i="32"/>
  <c r="BQ38" i="32"/>
  <c r="BL38" i="32"/>
  <c r="BA37" i="32"/>
  <c r="BM37" i="32"/>
  <c r="BF37" i="32"/>
  <c r="BB37" i="32"/>
  <c r="AW37" i="32"/>
  <c r="BB36" i="32"/>
  <c r="BQ36" i="32"/>
  <c r="BI36" i="32"/>
  <c r="BC36" i="32"/>
  <c r="BA36" i="32"/>
  <c r="AX36" i="32"/>
  <c r="BJ35" i="32"/>
  <c r="BD35" i="32"/>
  <c r="BQ34" i="32"/>
  <c r="BO34" i="32"/>
  <c r="BG34" i="32"/>
  <c r="BA34" i="32"/>
  <c r="AY34" i="32"/>
  <c r="BD33" i="32"/>
  <c r="AX33" i="32"/>
  <c r="BP31" i="32"/>
  <c r="BL31" i="32"/>
  <c r="BM30" i="32"/>
  <c r="AY30" i="32"/>
  <c r="BN29" i="32"/>
  <c r="BE29" i="32"/>
  <c r="BA29" i="32"/>
  <c r="BO28" i="32"/>
  <c r="BG28" i="32"/>
  <c r="BP27" i="32"/>
  <c r="BL27" i="32"/>
  <c r="BG27" i="32"/>
  <c r="BO26" i="32"/>
  <c r="BE26" i="32"/>
  <c r="AW26" i="32"/>
  <c r="BH26" i="32"/>
  <c r="BJ25" i="32"/>
  <c r="BF25" i="32"/>
  <c r="BB25" i="32"/>
  <c r="BI25" i="32"/>
  <c r="BO24" i="32"/>
  <c r="BG24" i="32"/>
  <c r="BC24" i="32"/>
  <c r="BJ24" i="32"/>
  <c r="BF24" i="32"/>
  <c r="BP23" i="32"/>
  <c r="BJ23" i="32"/>
  <c r="BH23" i="32"/>
  <c r="BD23" i="32"/>
  <c r="BB23" i="32"/>
  <c r="BC23" i="32"/>
  <c r="BQ22" i="32"/>
  <c r="BO22" i="32"/>
  <c r="BI22" i="32"/>
  <c r="BG22" i="32"/>
  <c r="BA22" i="32"/>
  <c r="AY22" i="32"/>
  <c r="AW22" i="32"/>
  <c r="BP22" i="32"/>
  <c r="BN21" i="32"/>
  <c r="BB21" i="32"/>
  <c r="AX21" i="32"/>
  <c r="BM21" i="32"/>
  <c r="BI21" i="32"/>
  <c r="BE21" i="32"/>
  <c r="AW21" i="32"/>
  <c r="BC20" i="32"/>
  <c r="BB20" i="32"/>
  <c r="BP19" i="32"/>
  <c r="BH19" i="32"/>
  <c r="AW19" i="32"/>
  <c r="BE18" i="32"/>
  <c r="AZ18" i="32"/>
  <c r="BJ17" i="32"/>
  <c r="BQ17" i="32"/>
  <c r="BO17" i="32"/>
  <c r="BI17" i="32"/>
  <c r="AW17" i="32"/>
  <c r="BG16" i="32"/>
  <c r="BJ16" i="32"/>
  <c r="BD15" i="32"/>
  <c r="BQ15" i="32"/>
  <c r="BK15" i="32"/>
  <c r="AY15" i="32"/>
  <c r="AW15" i="32"/>
  <c r="BQ14" i="32"/>
  <c r="AZ14" i="32"/>
  <c r="BP14" i="32"/>
  <c r="BN14" i="32"/>
  <c r="BI14" i="32"/>
  <c r="BH14" i="32"/>
  <c r="BD14" i="32"/>
  <c r="BQ13" i="32"/>
  <c r="BM13" i="32"/>
  <c r="BI13" i="32"/>
  <c r="BE13" i="32"/>
  <c r="BA13" i="32"/>
  <c r="AW13" i="32"/>
  <c r="BC13" i="32"/>
  <c r="BK12" i="32"/>
  <c r="BH11" i="32"/>
  <c r="BQ11" i="32"/>
  <c r="BE11" i="32"/>
  <c r="BE10" i="32"/>
  <c r="BF10" i="32"/>
  <c r="BB10" i="32"/>
  <c r="BQ9" i="32"/>
  <c r="BM9" i="32"/>
  <c r="BI9" i="32"/>
  <c r="BE9" i="32"/>
  <c r="BB9" i="32"/>
  <c r="BA9" i="32"/>
  <c r="AW9" i="32"/>
  <c r="BG9" i="32"/>
  <c r="BG8" i="32"/>
  <c r="BP8" i="32"/>
  <c r="AZ8" i="32"/>
  <c r="BO7" i="32"/>
  <c r="BJ7" i="32"/>
  <c r="BF7" i="32"/>
  <c r="BB7" i="32"/>
  <c r="BQ6" i="32"/>
  <c r="BP6" i="32"/>
  <c r="BO6" i="32"/>
  <c r="BN6" i="32"/>
  <c r="BM6" i="32"/>
  <c r="BL6" i="32"/>
  <c r="BK6" i="32"/>
  <c r="BJ6" i="32"/>
  <c r="BI6" i="32"/>
  <c r="BH6" i="32"/>
  <c r="BG6" i="32"/>
  <c r="BF6" i="32"/>
  <c r="BE6" i="32"/>
  <c r="BD6" i="32"/>
  <c r="BC6" i="32"/>
  <c r="BB6" i="32"/>
  <c r="BA6" i="32"/>
  <c r="AZ6" i="32"/>
  <c r="AY6" i="32"/>
  <c r="AX6" i="32"/>
  <c r="AW6" i="32"/>
  <c r="BR6" i="32" l="1" a="1"/>
  <c r="BR6" i="32" s="1"/>
  <c r="BR64" i="32" a="1"/>
  <c r="BR64" i="32" s="1"/>
  <c r="BR58" i="32" a="1"/>
  <c r="BR58" i="32" s="1"/>
  <c r="BR59" i="32" a="1"/>
  <c r="BR59" i="32" s="1"/>
  <c r="BR60" i="32" a="1"/>
  <c r="BR60" i="32" s="1"/>
  <c r="BR65" i="32" a="1"/>
  <c r="BR65" i="32" s="1"/>
  <c r="BR51" i="32" a="1"/>
  <c r="BR51" i="32" s="1"/>
  <c r="BR43" i="32" a="1"/>
  <c r="BR43" i="32" s="1"/>
  <c r="BR27" i="32" a="1"/>
  <c r="BR27" i="32" s="1"/>
  <c r="BR21" i="32" a="1"/>
  <c r="BR21" i="32" s="1"/>
  <c r="BR23" i="32" a="1"/>
  <c r="BR23" i="32" s="1"/>
  <c r="BR34" i="32" a="1"/>
  <c r="BR34" i="32" s="1"/>
  <c r="BR49" i="32" a="1"/>
  <c r="BR49" i="32" s="1"/>
  <c r="BR25" i="32" a="1"/>
  <c r="BR25" i="32" s="1"/>
  <c r="BR36" i="32" a="1"/>
  <c r="BR36" i="32" s="1"/>
  <c r="BR12" i="32" a="1"/>
  <c r="BR12" i="32" s="1"/>
  <c r="BR11" i="32" a="1"/>
  <c r="BR11" i="32" s="1"/>
  <c r="BR8" i="32" a="1"/>
  <c r="BR8" i="32" s="1"/>
  <c r="BR20" i="32" a="1"/>
  <c r="BR20" i="32" s="1"/>
  <c r="BR7" i="32" a="1"/>
  <c r="BR7" i="32" s="1"/>
  <c r="BR13" i="32" a="1"/>
  <c r="BR13" i="32" s="1"/>
  <c r="BR14" i="32" a="1"/>
  <c r="BR14" i="32" s="1"/>
  <c r="BR17" i="32" a="1"/>
  <c r="BR17" i="32" s="1"/>
  <c r="BR28" i="32" a="1"/>
  <c r="BR28" i="32" s="1"/>
  <c r="BR18" i="32" a="1"/>
  <c r="BR18" i="32" s="1"/>
  <c r="BR9" i="32" a="1"/>
  <c r="BR9" i="32" s="1"/>
  <c r="BR10" i="32" a="1"/>
  <c r="BR10" i="32" s="1"/>
  <c r="BR35" i="32" a="1"/>
  <c r="BR35" i="32" s="1"/>
  <c r="BR15" i="32" a="1"/>
  <c r="BR15" i="32" s="1"/>
  <c r="BR19" i="32" a="1"/>
  <c r="BR19" i="32" s="1"/>
  <c r="BR16" i="32" a="1"/>
  <c r="BR16" i="32" s="1"/>
  <c r="BR31" i="32" a="1"/>
  <c r="BR31" i="32" s="1"/>
  <c r="BR29" i="32" a="1"/>
  <c r="BR29" i="32" s="1"/>
  <c r="BR30" i="32" a="1"/>
  <c r="BR30" i="32" s="1"/>
  <c r="BR32" i="32" a="1"/>
  <c r="BR32" i="32" s="1"/>
  <c r="BR39" i="32" a="1"/>
  <c r="BR39" i="32" s="1"/>
  <c r="BR26" i="32" a="1"/>
  <c r="BR26" i="32" s="1"/>
  <c r="BR37" i="32" a="1"/>
  <c r="BR37" i="32" s="1"/>
  <c r="BR41" i="32" a="1"/>
  <c r="BR41" i="32" s="1"/>
  <c r="BR42" i="32" a="1"/>
  <c r="BR42" i="32" s="1"/>
  <c r="BR48" i="32" a="1"/>
  <c r="BR48" i="32" s="1"/>
  <c r="BR57" i="32" a="1"/>
  <c r="BR57" i="32" s="1"/>
  <c r="BR22" i="32" a="1"/>
  <c r="BR22" i="32" s="1"/>
  <c r="BR24" i="32" a="1"/>
  <c r="BR24" i="32" s="1"/>
  <c r="BR33" i="32" a="1"/>
  <c r="BR33" i="32" s="1"/>
  <c r="BR38" i="32" a="1"/>
  <c r="BR38" i="32" s="1"/>
  <c r="BR40" i="32" a="1"/>
  <c r="BR40" i="32" s="1"/>
  <c r="BR61" i="32" a="1"/>
  <c r="BR61" i="32" s="1"/>
  <c r="BR47" i="32" a="1"/>
  <c r="BR47" i="32" s="1"/>
  <c r="BR50" i="32" a="1"/>
  <c r="BR50" i="32" s="1"/>
  <c r="BR55" i="32" a="1"/>
  <c r="BR55" i="32" s="1"/>
  <c r="BR63" i="32" a="1"/>
  <c r="BR63" i="32" s="1"/>
  <c r="BR45" i="32" a="1"/>
  <c r="BR45" i="32" s="1"/>
  <c r="BR53" i="32" a="1"/>
  <c r="BR53" i="32" s="1"/>
  <c r="BR46" i="32" a="1"/>
  <c r="BR46" i="32" s="1"/>
  <c r="BR54" i="32" a="1"/>
  <c r="BR54" i="32" s="1"/>
  <c r="BR44" i="32" a="1"/>
  <c r="BR44" i="32" s="1"/>
  <c r="BR52" i="32" a="1"/>
  <c r="BR52" i="32" s="1"/>
  <c r="F54" i="28" l="1"/>
  <c r="BQ7" i="5" l="1"/>
  <c r="BQ12" i="5"/>
  <c r="BQ13" i="5"/>
  <c r="BQ14" i="5"/>
  <c r="BQ15" i="5"/>
  <c r="BQ16" i="5"/>
  <c r="BQ17" i="5"/>
  <c r="BQ18" i="5"/>
  <c r="BQ19" i="5"/>
  <c r="BQ20" i="5"/>
  <c r="BQ21" i="5"/>
  <c r="BQ22" i="5"/>
  <c r="BQ23" i="5"/>
  <c r="BQ24" i="5"/>
  <c r="BQ25" i="5"/>
  <c r="BQ26" i="5"/>
  <c r="BQ27" i="5"/>
  <c r="BQ28" i="5"/>
  <c r="BQ29" i="5"/>
  <c r="BQ30" i="5"/>
  <c r="BQ31" i="5"/>
  <c r="BQ32" i="5"/>
  <c r="BQ33" i="5"/>
  <c r="BQ34" i="5"/>
  <c r="BQ35" i="5"/>
  <c r="BQ36" i="5"/>
  <c r="BQ37" i="5"/>
  <c r="BQ38" i="5"/>
  <c r="BQ39" i="5"/>
  <c r="BQ40" i="5"/>
  <c r="BQ41" i="5"/>
  <c r="BQ42" i="5"/>
  <c r="BQ43" i="5"/>
  <c r="BQ44" i="5"/>
  <c r="BQ45" i="5"/>
  <c r="BQ46" i="5"/>
  <c r="BQ47" i="5"/>
  <c r="BQ48" i="5"/>
  <c r="BQ49" i="5"/>
  <c r="BQ50" i="5"/>
  <c r="BQ51" i="5"/>
  <c r="BQ52" i="5"/>
  <c r="BQ53" i="5"/>
  <c r="BQ54" i="5"/>
  <c r="BQ55" i="5"/>
  <c r="BQ56" i="5"/>
  <c r="BQ57" i="5"/>
  <c r="BQ58" i="5"/>
  <c r="BQ59" i="5"/>
  <c r="BQ60" i="5"/>
  <c r="BQ61" i="5"/>
  <c r="BQ62" i="5"/>
  <c r="BQ63" i="5"/>
  <c r="BQ64" i="5"/>
  <c r="BQ65" i="5"/>
  <c r="BQ11" i="5"/>
  <c r="BQ10" i="5"/>
  <c r="BQ9" i="5"/>
  <c r="BQ8" i="5"/>
  <c r="D43" i="23" l="1"/>
  <c r="C21" i="23"/>
  <c r="D8" i="13"/>
  <c r="E8" i="13"/>
  <c r="F8" i="13"/>
  <c r="G8" i="13"/>
  <c r="H8" i="13"/>
  <c r="I8" i="13"/>
  <c r="J8" i="13"/>
  <c r="K8" i="13"/>
  <c r="L8" i="13"/>
  <c r="M8" i="13"/>
  <c r="N8" i="13"/>
  <c r="O8" i="13"/>
  <c r="P8" i="13"/>
  <c r="Q8" i="13"/>
  <c r="R8" i="13"/>
  <c r="S8" i="13"/>
  <c r="T8" i="13"/>
  <c r="U8" i="13"/>
  <c r="V8" i="13"/>
  <c r="W8" i="13"/>
  <c r="D9" i="13"/>
  <c r="E9" i="13"/>
  <c r="F9" i="13"/>
  <c r="G9" i="13"/>
  <c r="H9" i="13"/>
  <c r="I9" i="13"/>
  <c r="J9" i="13"/>
  <c r="K9" i="13"/>
  <c r="L9" i="13"/>
  <c r="M9" i="13"/>
  <c r="N9" i="13"/>
  <c r="O9" i="13"/>
  <c r="P9" i="13"/>
  <c r="Q9" i="13"/>
  <c r="R9" i="13"/>
  <c r="S9" i="13"/>
  <c r="T9" i="13"/>
  <c r="U9" i="13"/>
  <c r="V9" i="13"/>
  <c r="W9" i="13"/>
  <c r="D10" i="13"/>
  <c r="E10" i="13"/>
  <c r="F10" i="13"/>
  <c r="G10" i="13"/>
  <c r="H10" i="13"/>
  <c r="I10" i="13"/>
  <c r="J10" i="13"/>
  <c r="K10" i="13"/>
  <c r="L10" i="13"/>
  <c r="M10" i="13"/>
  <c r="N10" i="13"/>
  <c r="O10" i="13"/>
  <c r="P10" i="13"/>
  <c r="Q10" i="13"/>
  <c r="R10" i="13"/>
  <c r="S10" i="13"/>
  <c r="T10" i="13"/>
  <c r="U10" i="13"/>
  <c r="V10" i="13"/>
  <c r="W10" i="13"/>
  <c r="D11" i="13"/>
  <c r="E11" i="13"/>
  <c r="F11" i="13"/>
  <c r="G11" i="13"/>
  <c r="H11" i="13"/>
  <c r="I11" i="13"/>
  <c r="J11" i="13"/>
  <c r="K11" i="13"/>
  <c r="L11" i="13"/>
  <c r="M11" i="13"/>
  <c r="N11" i="13"/>
  <c r="O11" i="13"/>
  <c r="P11" i="13"/>
  <c r="Q11" i="13"/>
  <c r="R11" i="13"/>
  <c r="S11" i="13"/>
  <c r="T11" i="13"/>
  <c r="U11" i="13"/>
  <c r="V11" i="13"/>
  <c r="W11" i="13"/>
  <c r="D12" i="13"/>
  <c r="E12" i="13"/>
  <c r="F12" i="13"/>
  <c r="G12" i="13"/>
  <c r="H12" i="13"/>
  <c r="I12" i="13"/>
  <c r="J12" i="13"/>
  <c r="K12" i="13"/>
  <c r="L12" i="13"/>
  <c r="M12" i="13"/>
  <c r="N12" i="13"/>
  <c r="O12" i="13"/>
  <c r="P12" i="13"/>
  <c r="Q12" i="13"/>
  <c r="R12" i="13"/>
  <c r="S12" i="13"/>
  <c r="T12" i="13"/>
  <c r="U12" i="13"/>
  <c r="V12" i="13"/>
  <c r="W12" i="13"/>
  <c r="D13" i="13"/>
  <c r="E13" i="13"/>
  <c r="F13" i="13"/>
  <c r="G13" i="13"/>
  <c r="H13" i="13"/>
  <c r="I13" i="13"/>
  <c r="J13" i="13"/>
  <c r="K13" i="13"/>
  <c r="L13" i="13"/>
  <c r="M13" i="13"/>
  <c r="N13" i="13"/>
  <c r="O13" i="13"/>
  <c r="P13" i="13"/>
  <c r="Q13" i="13"/>
  <c r="R13" i="13"/>
  <c r="S13" i="13"/>
  <c r="T13" i="13"/>
  <c r="U13" i="13"/>
  <c r="V13" i="13"/>
  <c r="W13" i="13"/>
  <c r="D14" i="13"/>
  <c r="E14" i="13"/>
  <c r="F14" i="13"/>
  <c r="G14" i="13"/>
  <c r="H14" i="13"/>
  <c r="I14" i="13"/>
  <c r="J14" i="13"/>
  <c r="K14" i="13"/>
  <c r="L14" i="13"/>
  <c r="M14" i="13"/>
  <c r="N14" i="13"/>
  <c r="O14" i="13"/>
  <c r="P14" i="13"/>
  <c r="Q14" i="13"/>
  <c r="R14" i="13"/>
  <c r="S14" i="13"/>
  <c r="T14" i="13"/>
  <c r="U14" i="13"/>
  <c r="V14" i="13"/>
  <c r="W14" i="13"/>
  <c r="D15" i="13"/>
  <c r="E15" i="13"/>
  <c r="F15" i="13"/>
  <c r="G15" i="13"/>
  <c r="H15" i="13"/>
  <c r="I15" i="13"/>
  <c r="J15" i="13"/>
  <c r="K15" i="13"/>
  <c r="L15" i="13"/>
  <c r="M15" i="13"/>
  <c r="N15" i="13"/>
  <c r="O15" i="13"/>
  <c r="P15" i="13"/>
  <c r="Q15" i="13"/>
  <c r="R15" i="13"/>
  <c r="S15" i="13"/>
  <c r="T15" i="13"/>
  <c r="U15" i="13"/>
  <c r="V15" i="13"/>
  <c r="W15" i="13"/>
  <c r="D16" i="13"/>
  <c r="E16" i="13"/>
  <c r="F16" i="13"/>
  <c r="G16" i="13"/>
  <c r="H16" i="13"/>
  <c r="I16" i="13"/>
  <c r="J16" i="13"/>
  <c r="K16" i="13"/>
  <c r="L16" i="13"/>
  <c r="M16" i="13"/>
  <c r="N16" i="13"/>
  <c r="O16" i="13"/>
  <c r="P16" i="13"/>
  <c r="Q16" i="13"/>
  <c r="R16" i="13"/>
  <c r="S16" i="13"/>
  <c r="T16" i="13"/>
  <c r="U16" i="13"/>
  <c r="V16" i="13"/>
  <c r="W16" i="13"/>
  <c r="D17" i="13"/>
  <c r="E17" i="13"/>
  <c r="F17" i="13"/>
  <c r="G17" i="13"/>
  <c r="H17" i="13"/>
  <c r="I17" i="13"/>
  <c r="J17" i="13"/>
  <c r="K17" i="13"/>
  <c r="L17" i="13"/>
  <c r="M17" i="13"/>
  <c r="N17" i="13"/>
  <c r="O17" i="13"/>
  <c r="P17" i="13"/>
  <c r="Q17" i="13"/>
  <c r="R17" i="13"/>
  <c r="S17" i="13"/>
  <c r="T17" i="13"/>
  <c r="U17" i="13"/>
  <c r="V17" i="13"/>
  <c r="W17" i="13"/>
  <c r="D18" i="13"/>
  <c r="E18" i="13"/>
  <c r="F18" i="13"/>
  <c r="G18" i="13"/>
  <c r="H18" i="13"/>
  <c r="I18" i="13"/>
  <c r="J18" i="13"/>
  <c r="K18" i="13"/>
  <c r="L18" i="13"/>
  <c r="M18" i="13"/>
  <c r="N18" i="13"/>
  <c r="O18" i="13"/>
  <c r="P18" i="13"/>
  <c r="Q18" i="13"/>
  <c r="R18" i="13"/>
  <c r="S18" i="13"/>
  <c r="T18" i="13"/>
  <c r="U18" i="13"/>
  <c r="V18" i="13"/>
  <c r="W18" i="13"/>
  <c r="D19" i="13"/>
  <c r="E19" i="13"/>
  <c r="F19" i="13"/>
  <c r="G19" i="13"/>
  <c r="H19" i="13"/>
  <c r="I19" i="13"/>
  <c r="J19" i="13"/>
  <c r="K19" i="13"/>
  <c r="L19" i="13"/>
  <c r="M19" i="13"/>
  <c r="N19" i="13"/>
  <c r="O19" i="13"/>
  <c r="P19" i="13"/>
  <c r="Q19" i="13"/>
  <c r="R19" i="13"/>
  <c r="S19" i="13"/>
  <c r="T19" i="13"/>
  <c r="U19" i="13"/>
  <c r="V19" i="13"/>
  <c r="W19" i="13"/>
  <c r="D20" i="13"/>
  <c r="E20" i="13"/>
  <c r="F20" i="13"/>
  <c r="G20" i="13"/>
  <c r="H20" i="13"/>
  <c r="I20" i="13"/>
  <c r="J20" i="13"/>
  <c r="K20" i="13"/>
  <c r="L20" i="13"/>
  <c r="M20" i="13"/>
  <c r="N20" i="13"/>
  <c r="O20" i="13"/>
  <c r="P20" i="13"/>
  <c r="Q20" i="13"/>
  <c r="R20" i="13"/>
  <c r="S20" i="13"/>
  <c r="T20" i="13"/>
  <c r="U20" i="13"/>
  <c r="V20" i="13"/>
  <c r="W20" i="13"/>
  <c r="D21" i="13"/>
  <c r="E21" i="13"/>
  <c r="F21" i="13"/>
  <c r="G21" i="13"/>
  <c r="H21" i="13"/>
  <c r="I21" i="13"/>
  <c r="J21" i="13"/>
  <c r="K21" i="13"/>
  <c r="L21" i="13"/>
  <c r="M21" i="13"/>
  <c r="N21" i="13"/>
  <c r="O21" i="13"/>
  <c r="P21" i="13"/>
  <c r="Q21" i="13"/>
  <c r="R21" i="13"/>
  <c r="S21" i="13"/>
  <c r="T21" i="13"/>
  <c r="U21" i="13"/>
  <c r="V21" i="13"/>
  <c r="W21" i="13"/>
  <c r="D22" i="13"/>
  <c r="E22" i="13"/>
  <c r="F22" i="13"/>
  <c r="G22" i="13"/>
  <c r="H22" i="13"/>
  <c r="I22" i="13"/>
  <c r="J22" i="13"/>
  <c r="K22" i="13"/>
  <c r="L22" i="13"/>
  <c r="M22" i="13"/>
  <c r="N22" i="13"/>
  <c r="O22" i="13"/>
  <c r="P22" i="13"/>
  <c r="Q22" i="13"/>
  <c r="R22" i="13"/>
  <c r="S22" i="13"/>
  <c r="T22" i="13"/>
  <c r="U22" i="13"/>
  <c r="V22" i="13"/>
  <c r="W22" i="13"/>
  <c r="D23" i="13"/>
  <c r="E23" i="13"/>
  <c r="F23" i="13"/>
  <c r="G23" i="13"/>
  <c r="H23" i="13"/>
  <c r="I23" i="13"/>
  <c r="J23" i="13"/>
  <c r="K23" i="13"/>
  <c r="L23" i="13"/>
  <c r="M23" i="13"/>
  <c r="N23" i="13"/>
  <c r="O23" i="13"/>
  <c r="P23" i="13"/>
  <c r="Q23" i="13"/>
  <c r="R23" i="13"/>
  <c r="S23" i="13"/>
  <c r="T23" i="13"/>
  <c r="U23" i="13"/>
  <c r="V23" i="13"/>
  <c r="W23" i="13"/>
  <c r="D24" i="13"/>
  <c r="E24" i="13"/>
  <c r="F24" i="13"/>
  <c r="G24" i="13"/>
  <c r="H24" i="13"/>
  <c r="I24" i="13"/>
  <c r="J24" i="13"/>
  <c r="K24" i="13"/>
  <c r="L24" i="13"/>
  <c r="M24" i="13"/>
  <c r="N24" i="13"/>
  <c r="O24" i="13"/>
  <c r="P24" i="13"/>
  <c r="Q24" i="13"/>
  <c r="R24" i="13"/>
  <c r="S24" i="13"/>
  <c r="T24" i="13"/>
  <c r="U24" i="13"/>
  <c r="V24" i="13"/>
  <c r="W24" i="13"/>
  <c r="D25" i="13"/>
  <c r="E25" i="13"/>
  <c r="F25" i="13"/>
  <c r="G25" i="13"/>
  <c r="H25" i="13"/>
  <c r="I25" i="13"/>
  <c r="J25" i="13"/>
  <c r="K25" i="13"/>
  <c r="L25" i="13"/>
  <c r="M25" i="13"/>
  <c r="N25" i="13"/>
  <c r="O25" i="13"/>
  <c r="P25" i="13"/>
  <c r="Q25" i="13"/>
  <c r="R25" i="13"/>
  <c r="S25" i="13"/>
  <c r="T25" i="13"/>
  <c r="U25" i="13"/>
  <c r="V25" i="13"/>
  <c r="W25" i="13"/>
  <c r="D26" i="13"/>
  <c r="E26" i="13"/>
  <c r="F26" i="13"/>
  <c r="G26" i="13"/>
  <c r="H26" i="13"/>
  <c r="I26" i="13"/>
  <c r="J26" i="13"/>
  <c r="K26" i="13"/>
  <c r="L26" i="13"/>
  <c r="M26" i="13"/>
  <c r="N26" i="13"/>
  <c r="O26" i="13"/>
  <c r="P26" i="13"/>
  <c r="Q26" i="13"/>
  <c r="R26" i="13"/>
  <c r="S26" i="13"/>
  <c r="T26" i="13"/>
  <c r="U26" i="13"/>
  <c r="V26" i="13"/>
  <c r="W26" i="13"/>
  <c r="D27" i="13"/>
  <c r="E27" i="13"/>
  <c r="F27" i="13"/>
  <c r="G27" i="13"/>
  <c r="H27" i="13"/>
  <c r="I27" i="13"/>
  <c r="J27" i="13"/>
  <c r="K27" i="13"/>
  <c r="L27" i="13"/>
  <c r="M27" i="13"/>
  <c r="N27" i="13"/>
  <c r="O27" i="13"/>
  <c r="P27" i="13"/>
  <c r="Q27" i="13"/>
  <c r="R27" i="13"/>
  <c r="S27" i="13"/>
  <c r="T27" i="13"/>
  <c r="U27" i="13"/>
  <c r="V27" i="13"/>
  <c r="W27" i="13"/>
  <c r="D28" i="13"/>
  <c r="E28" i="13"/>
  <c r="F28" i="13"/>
  <c r="G28" i="13"/>
  <c r="H28" i="13"/>
  <c r="I28" i="13"/>
  <c r="J28" i="13"/>
  <c r="K28" i="13"/>
  <c r="L28" i="13"/>
  <c r="M28" i="13"/>
  <c r="N28" i="13"/>
  <c r="O28" i="13"/>
  <c r="P28" i="13"/>
  <c r="Q28" i="13"/>
  <c r="R28" i="13"/>
  <c r="S28" i="13"/>
  <c r="T28" i="13"/>
  <c r="U28" i="13"/>
  <c r="V28" i="13"/>
  <c r="W28" i="13"/>
  <c r="D29" i="13"/>
  <c r="E29" i="13"/>
  <c r="F29" i="13"/>
  <c r="G29" i="13"/>
  <c r="H29" i="13"/>
  <c r="I29" i="13"/>
  <c r="J29" i="13"/>
  <c r="K29" i="13"/>
  <c r="L29" i="13"/>
  <c r="M29" i="13"/>
  <c r="N29" i="13"/>
  <c r="O29" i="13"/>
  <c r="P29" i="13"/>
  <c r="Q29" i="13"/>
  <c r="R29" i="13"/>
  <c r="S29" i="13"/>
  <c r="T29" i="13"/>
  <c r="U29" i="13"/>
  <c r="V29" i="13"/>
  <c r="W29" i="13"/>
  <c r="D30" i="13"/>
  <c r="E30" i="13"/>
  <c r="F30" i="13"/>
  <c r="G30" i="13"/>
  <c r="H30" i="13"/>
  <c r="I30" i="13"/>
  <c r="J30" i="13"/>
  <c r="K30" i="13"/>
  <c r="L30" i="13"/>
  <c r="M30" i="13"/>
  <c r="N30" i="13"/>
  <c r="O30" i="13"/>
  <c r="P30" i="13"/>
  <c r="Q30" i="13"/>
  <c r="R30" i="13"/>
  <c r="S30" i="13"/>
  <c r="T30" i="13"/>
  <c r="U30" i="13"/>
  <c r="V30" i="13"/>
  <c r="W30" i="13"/>
  <c r="D31" i="13"/>
  <c r="E31" i="13"/>
  <c r="F31" i="13"/>
  <c r="G31" i="13"/>
  <c r="H31" i="13"/>
  <c r="I31" i="13"/>
  <c r="J31" i="13"/>
  <c r="K31" i="13"/>
  <c r="L31" i="13"/>
  <c r="M31" i="13"/>
  <c r="N31" i="13"/>
  <c r="O31" i="13"/>
  <c r="P31" i="13"/>
  <c r="Q31" i="13"/>
  <c r="R31" i="13"/>
  <c r="S31" i="13"/>
  <c r="T31" i="13"/>
  <c r="U31" i="13"/>
  <c r="V31" i="13"/>
  <c r="W31" i="13"/>
  <c r="D32" i="13"/>
  <c r="E32" i="13"/>
  <c r="F32" i="13"/>
  <c r="G32" i="13"/>
  <c r="H32" i="13"/>
  <c r="I32" i="13"/>
  <c r="J32" i="13"/>
  <c r="K32" i="13"/>
  <c r="L32" i="13"/>
  <c r="M32" i="13"/>
  <c r="N32" i="13"/>
  <c r="O32" i="13"/>
  <c r="P32" i="13"/>
  <c r="Q32" i="13"/>
  <c r="R32" i="13"/>
  <c r="S32" i="13"/>
  <c r="T32" i="13"/>
  <c r="U32" i="13"/>
  <c r="V32" i="13"/>
  <c r="W32" i="13"/>
  <c r="D33" i="13"/>
  <c r="E33" i="13"/>
  <c r="F33" i="13"/>
  <c r="G33" i="13"/>
  <c r="H33" i="13"/>
  <c r="I33" i="13"/>
  <c r="J33" i="13"/>
  <c r="K33" i="13"/>
  <c r="L33" i="13"/>
  <c r="M33" i="13"/>
  <c r="N33" i="13"/>
  <c r="O33" i="13"/>
  <c r="P33" i="13"/>
  <c r="Q33" i="13"/>
  <c r="R33" i="13"/>
  <c r="S33" i="13"/>
  <c r="T33" i="13"/>
  <c r="U33" i="13"/>
  <c r="V33" i="13"/>
  <c r="W33" i="13"/>
  <c r="D34" i="13"/>
  <c r="E34" i="13"/>
  <c r="F34" i="13"/>
  <c r="G34" i="13"/>
  <c r="H34" i="13"/>
  <c r="I34" i="13"/>
  <c r="J34" i="13"/>
  <c r="K34" i="13"/>
  <c r="L34" i="13"/>
  <c r="M34" i="13"/>
  <c r="N34" i="13"/>
  <c r="O34" i="13"/>
  <c r="P34" i="13"/>
  <c r="Q34" i="13"/>
  <c r="R34" i="13"/>
  <c r="S34" i="13"/>
  <c r="T34" i="13"/>
  <c r="U34" i="13"/>
  <c r="V34" i="13"/>
  <c r="W34" i="13"/>
  <c r="D35" i="13"/>
  <c r="E35" i="13"/>
  <c r="F35" i="13"/>
  <c r="G35" i="13"/>
  <c r="H35" i="13"/>
  <c r="I35" i="13"/>
  <c r="J35" i="13"/>
  <c r="K35" i="13"/>
  <c r="L35" i="13"/>
  <c r="M35" i="13"/>
  <c r="N35" i="13"/>
  <c r="O35" i="13"/>
  <c r="P35" i="13"/>
  <c r="Q35" i="13"/>
  <c r="R35" i="13"/>
  <c r="S35" i="13"/>
  <c r="T35" i="13"/>
  <c r="U35" i="13"/>
  <c r="V35" i="13"/>
  <c r="W35" i="13"/>
  <c r="D36" i="13"/>
  <c r="E36" i="13"/>
  <c r="F36" i="13"/>
  <c r="G36" i="13"/>
  <c r="H36" i="13"/>
  <c r="I36" i="13"/>
  <c r="J36" i="13"/>
  <c r="K36" i="13"/>
  <c r="L36" i="13"/>
  <c r="M36" i="13"/>
  <c r="N36" i="13"/>
  <c r="O36" i="13"/>
  <c r="P36" i="13"/>
  <c r="Q36" i="13"/>
  <c r="R36" i="13"/>
  <c r="S36" i="13"/>
  <c r="T36" i="13"/>
  <c r="U36" i="13"/>
  <c r="V36" i="13"/>
  <c r="W36" i="13"/>
  <c r="D37" i="13"/>
  <c r="E37" i="13"/>
  <c r="F37" i="13"/>
  <c r="G37" i="13"/>
  <c r="H37" i="13"/>
  <c r="I37" i="13"/>
  <c r="J37" i="13"/>
  <c r="K37" i="13"/>
  <c r="L37" i="13"/>
  <c r="M37" i="13"/>
  <c r="N37" i="13"/>
  <c r="O37" i="13"/>
  <c r="P37" i="13"/>
  <c r="Q37" i="13"/>
  <c r="R37" i="13"/>
  <c r="S37" i="13"/>
  <c r="T37" i="13"/>
  <c r="U37" i="13"/>
  <c r="V37" i="13"/>
  <c r="W37" i="13"/>
  <c r="D38" i="13"/>
  <c r="E38" i="13"/>
  <c r="F38" i="13"/>
  <c r="G38" i="13"/>
  <c r="H38" i="13"/>
  <c r="I38" i="13"/>
  <c r="J38" i="13"/>
  <c r="K38" i="13"/>
  <c r="L38" i="13"/>
  <c r="M38" i="13"/>
  <c r="N38" i="13"/>
  <c r="O38" i="13"/>
  <c r="P38" i="13"/>
  <c r="Q38" i="13"/>
  <c r="R38" i="13"/>
  <c r="S38" i="13"/>
  <c r="T38" i="13"/>
  <c r="U38" i="13"/>
  <c r="V38" i="13"/>
  <c r="W38" i="13"/>
  <c r="D39" i="13"/>
  <c r="E39" i="13"/>
  <c r="F39" i="13"/>
  <c r="G39" i="13"/>
  <c r="H39" i="13"/>
  <c r="I39" i="13"/>
  <c r="J39" i="13"/>
  <c r="K39" i="13"/>
  <c r="L39" i="13"/>
  <c r="M39" i="13"/>
  <c r="N39" i="13"/>
  <c r="O39" i="13"/>
  <c r="P39" i="13"/>
  <c r="Q39" i="13"/>
  <c r="R39" i="13"/>
  <c r="S39" i="13"/>
  <c r="T39" i="13"/>
  <c r="U39" i="13"/>
  <c r="V39" i="13"/>
  <c r="W39" i="13"/>
  <c r="D40" i="13"/>
  <c r="E40" i="13"/>
  <c r="F40" i="13"/>
  <c r="G40" i="13"/>
  <c r="H40" i="13"/>
  <c r="I40" i="13"/>
  <c r="J40" i="13"/>
  <c r="K40" i="13"/>
  <c r="L40" i="13"/>
  <c r="M40" i="13"/>
  <c r="N40" i="13"/>
  <c r="O40" i="13"/>
  <c r="P40" i="13"/>
  <c r="Q40" i="13"/>
  <c r="R40" i="13"/>
  <c r="S40" i="13"/>
  <c r="T40" i="13"/>
  <c r="U40" i="13"/>
  <c r="V40" i="13"/>
  <c r="W40" i="13"/>
  <c r="D41" i="13"/>
  <c r="E41" i="13"/>
  <c r="F41" i="13"/>
  <c r="G41" i="13"/>
  <c r="H41" i="13"/>
  <c r="I41" i="13"/>
  <c r="J41" i="13"/>
  <c r="K41" i="13"/>
  <c r="L41" i="13"/>
  <c r="M41" i="13"/>
  <c r="N41" i="13"/>
  <c r="O41" i="13"/>
  <c r="P41" i="13"/>
  <c r="Q41" i="13"/>
  <c r="R41" i="13"/>
  <c r="S41" i="13"/>
  <c r="T41" i="13"/>
  <c r="U41" i="13"/>
  <c r="V41" i="13"/>
  <c r="W41" i="13"/>
  <c r="D42" i="13"/>
  <c r="E42" i="13"/>
  <c r="F42" i="13"/>
  <c r="G42" i="13"/>
  <c r="H42" i="13"/>
  <c r="I42" i="13"/>
  <c r="J42" i="13"/>
  <c r="K42" i="13"/>
  <c r="L42" i="13"/>
  <c r="M42" i="13"/>
  <c r="N42" i="13"/>
  <c r="O42" i="13"/>
  <c r="P42" i="13"/>
  <c r="Q42" i="13"/>
  <c r="R42" i="13"/>
  <c r="S42" i="13"/>
  <c r="T42" i="13"/>
  <c r="U42" i="13"/>
  <c r="V42" i="13"/>
  <c r="W42" i="13"/>
  <c r="D43" i="13"/>
  <c r="E43" i="13"/>
  <c r="F43" i="13"/>
  <c r="G43" i="13"/>
  <c r="H43" i="13"/>
  <c r="I43" i="13"/>
  <c r="J43" i="13"/>
  <c r="K43" i="13"/>
  <c r="L43" i="13"/>
  <c r="M43" i="13"/>
  <c r="N43" i="13"/>
  <c r="O43" i="13"/>
  <c r="P43" i="13"/>
  <c r="Q43" i="13"/>
  <c r="R43" i="13"/>
  <c r="S43" i="13"/>
  <c r="T43" i="13"/>
  <c r="U43" i="13"/>
  <c r="V43" i="13"/>
  <c r="W43" i="13"/>
  <c r="D44" i="13"/>
  <c r="E44" i="13"/>
  <c r="F44" i="13"/>
  <c r="G44" i="13"/>
  <c r="H44" i="13"/>
  <c r="I44" i="13"/>
  <c r="J44" i="13"/>
  <c r="K44" i="13"/>
  <c r="L44" i="13"/>
  <c r="M44" i="13"/>
  <c r="N44" i="13"/>
  <c r="O44" i="13"/>
  <c r="P44" i="13"/>
  <c r="Q44" i="13"/>
  <c r="R44" i="13"/>
  <c r="S44" i="13"/>
  <c r="T44" i="13"/>
  <c r="U44" i="13"/>
  <c r="V44" i="13"/>
  <c r="W44" i="13"/>
  <c r="D45" i="13"/>
  <c r="E45" i="13"/>
  <c r="F45" i="13"/>
  <c r="G45" i="13"/>
  <c r="H45" i="13"/>
  <c r="I45" i="13"/>
  <c r="J45" i="13"/>
  <c r="K45" i="13"/>
  <c r="L45" i="13"/>
  <c r="M45" i="13"/>
  <c r="N45" i="13"/>
  <c r="O45" i="13"/>
  <c r="P45" i="13"/>
  <c r="Q45" i="13"/>
  <c r="R45" i="13"/>
  <c r="S45" i="13"/>
  <c r="T45" i="13"/>
  <c r="U45" i="13"/>
  <c r="V45" i="13"/>
  <c r="W45" i="13"/>
  <c r="D46" i="13"/>
  <c r="E46" i="13"/>
  <c r="F46" i="13"/>
  <c r="G46" i="13"/>
  <c r="H46" i="13"/>
  <c r="I46" i="13"/>
  <c r="J46" i="13"/>
  <c r="K46" i="13"/>
  <c r="L46" i="13"/>
  <c r="M46" i="13"/>
  <c r="N46" i="13"/>
  <c r="O46" i="13"/>
  <c r="P46" i="13"/>
  <c r="Q46" i="13"/>
  <c r="R46" i="13"/>
  <c r="S46" i="13"/>
  <c r="T46" i="13"/>
  <c r="U46" i="13"/>
  <c r="V46" i="13"/>
  <c r="W46" i="13"/>
  <c r="D47" i="13"/>
  <c r="E47" i="13"/>
  <c r="F47" i="13"/>
  <c r="G47" i="13"/>
  <c r="H47" i="13"/>
  <c r="I47" i="13"/>
  <c r="J47" i="13"/>
  <c r="K47" i="13"/>
  <c r="L47" i="13"/>
  <c r="M47" i="13"/>
  <c r="N47" i="13"/>
  <c r="O47" i="13"/>
  <c r="P47" i="13"/>
  <c r="Q47" i="13"/>
  <c r="R47" i="13"/>
  <c r="S47" i="13"/>
  <c r="T47" i="13"/>
  <c r="U47" i="13"/>
  <c r="V47" i="13"/>
  <c r="W47" i="13"/>
  <c r="D48" i="13"/>
  <c r="E48" i="13"/>
  <c r="F48" i="13"/>
  <c r="G48" i="13"/>
  <c r="H48" i="13"/>
  <c r="I48" i="13"/>
  <c r="J48" i="13"/>
  <c r="K48" i="13"/>
  <c r="L48" i="13"/>
  <c r="M48" i="13"/>
  <c r="N48" i="13"/>
  <c r="O48" i="13"/>
  <c r="P48" i="13"/>
  <c r="Q48" i="13"/>
  <c r="R48" i="13"/>
  <c r="S48" i="13"/>
  <c r="T48" i="13"/>
  <c r="U48" i="13"/>
  <c r="V48" i="13"/>
  <c r="W48" i="13"/>
  <c r="D49" i="13"/>
  <c r="E49" i="13"/>
  <c r="F49" i="13"/>
  <c r="G49" i="13"/>
  <c r="H49" i="13"/>
  <c r="I49" i="13"/>
  <c r="J49" i="13"/>
  <c r="K49" i="13"/>
  <c r="L49" i="13"/>
  <c r="M49" i="13"/>
  <c r="N49" i="13"/>
  <c r="O49" i="13"/>
  <c r="P49" i="13"/>
  <c r="Q49" i="13"/>
  <c r="R49" i="13"/>
  <c r="S49" i="13"/>
  <c r="T49" i="13"/>
  <c r="U49" i="13"/>
  <c r="V49" i="13"/>
  <c r="W49" i="13"/>
  <c r="D50" i="13"/>
  <c r="E50" i="13"/>
  <c r="F50" i="13"/>
  <c r="G50" i="13"/>
  <c r="H50" i="13"/>
  <c r="I50" i="13"/>
  <c r="J50" i="13"/>
  <c r="K50" i="13"/>
  <c r="L50" i="13"/>
  <c r="M50" i="13"/>
  <c r="N50" i="13"/>
  <c r="O50" i="13"/>
  <c r="P50" i="13"/>
  <c r="Q50" i="13"/>
  <c r="R50" i="13"/>
  <c r="S50" i="13"/>
  <c r="T50" i="13"/>
  <c r="U50" i="13"/>
  <c r="V50" i="13"/>
  <c r="W50" i="13"/>
  <c r="D51" i="13"/>
  <c r="E51" i="13"/>
  <c r="F51" i="13"/>
  <c r="G51" i="13"/>
  <c r="H51" i="13"/>
  <c r="I51" i="13"/>
  <c r="J51" i="13"/>
  <c r="K51" i="13"/>
  <c r="L51" i="13"/>
  <c r="M51" i="13"/>
  <c r="N51" i="13"/>
  <c r="O51" i="13"/>
  <c r="P51" i="13"/>
  <c r="Q51" i="13"/>
  <c r="R51" i="13"/>
  <c r="S51" i="13"/>
  <c r="T51" i="13"/>
  <c r="U51" i="13"/>
  <c r="V51" i="13"/>
  <c r="W51" i="13"/>
  <c r="D52" i="13"/>
  <c r="E52" i="13"/>
  <c r="F52" i="13"/>
  <c r="G52" i="13"/>
  <c r="H52" i="13"/>
  <c r="I52" i="13"/>
  <c r="J52" i="13"/>
  <c r="K52" i="13"/>
  <c r="L52" i="13"/>
  <c r="M52" i="13"/>
  <c r="N52" i="13"/>
  <c r="O52" i="13"/>
  <c r="P52" i="13"/>
  <c r="Q52" i="13"/>
  <c r="R52" i="13"/>
  <c r="S52" i="13"/>
  <c r="T52" i="13"/>
  <c r="U52" i="13"/>
  <c r="V52" i="13"/>
  <c r="W52" i="13"/>
  <c r="D53" i="13"/>
  <c r="E53" i="13"/>
  <c r="F53" i="13"/>
  <c r="G53" i="13"/>
  <c r="H53" i="13"/>
  <c r="I53" i="13"/>
  <c r="J53" i="13"/>
  <c r="K53" i="13"/>
  <c r="L53" i="13"/>
  <c r="M53" i="13"/>
  <c r="N53" i="13"/>
  <c r="O53" i="13"/>
  <c r="P53" i="13"/>
  <c r="Q53" i="13"/>
  <c r="R53" i="13"/>
  <c r="S53" i="13"/>
  <c r="T53" i="13"/>
  <c r="U53" i="13"/>
  <c r="V53" i="13"/>
  <c r="W53" i="13"/>
  <c r="D54" i="13"/>
  <c r="E54" i="13"/>
  <c r="F54" i="13"/>
  <c r="G54" i="13"/>
  <c r="H54" i="13"/>
  <c r="I54" i="13"/>
  <c r="J54" i="13"/>
  <c r="K54" i="13"/>
  <c r="L54" i="13"/>
  <c r="M54" i="13"/>
  <c r="N54" i="13"/>
  <c r="O54" i="13"/>
  <c r="P54" i="13"/>
  <c r="Q54" i="13"/>
  <c r="R54" i="13"/>
  <c r="S54" i="13"/>
  <c r="T54" i="13"/>
  <c r="U54" i="13"/>
  <c r="V54" i="13"/>
  <c r="W54" i="13"/>
  <c r="E7" i="13"/>
  <c r="F7" i="13"/>
  <c r="G7" i="13"/>
  <c r="H7" i="13"/>
  <c r="I7" i="13"/>
  <c r="J7" i="13"/>
  <c r="K7" i="13"/>
  <c r="L7" i="13"/>
  <c r="M7" i="13"/>
  <c r="N7" i="13"/>
  <c r="O7" i="13"/>
  <c r="P7" i="13"/>
  <c r="Q7" i="13"/>
  <c r="R7" i="13"/>
  <c r="S7" i="13"/>
  <c r="T7" i="13"/>
  <c r="U7" i="13"/>
  <c r="V7" i="13"/>
  <c r="W7" i="13"/>
  <c r="D7" i="13"/>
  <c r="C45" i="23" l="1"/>
  <c r="C44" i="23"/>
  <c r="C43" i="23"/>
  <c r="C42" i="23"/>
  <c r="A7" i="29" l="1"/>
  <c r="A9" i="29" s="1"/>
  <c r="A11" i="29" s="1"/>
  <c r="A13" i="29" s="1"/>
  <c r="A15" i="29" s="1"/>
  <c r="A17" i="29" s="1"/>
  <c r="BP65" i="13" l="1"/>
  <c r="BO65" i="13"/>
  <c r="BN65" i="13"/>
  <c r="BM65" i="13"/>
  <c r="BL65" i="13"/>
  <c r="BK65" i="13"/>
  <c r="BJ65" i="13"/>
  <c r="BI65" i="13"/>
  <c r="BH65" i="13"/>
  <c r="BG65" i="13"/>
  <c r="BF65" i="13"/>
  <c r="BE65" i="13"/>
  <c r="BD65" i="13"/>
  <c r="BC65" i="13"/>
  <c r="BB65" i="13"/>
  <c r="BA65" i="13"/>
  <c r="AZ65" i="13"/>
  <c r="AY65" i="13"/>
  <c r="AX65" i="13"/>
  <c r="AW65" i="13"/>
  <c r="AV65" i="13"/>
  <c r="BP64" i="13"/>
  <c r="BO64" i="13"/>
  <c r="BN64" i="13"/>
  <c r="BM64" i="13"/>
  <c r="BL64" i="13"/>
  <c r="BK64" i="13"/>
  <c r="BJ64" i="13"/>
  <c r="BI64" i="13"/>
  <c r="BH64" i="13"/>
  <c r="BG64" i="13"/>
  <c r="BF64" i="13"/>
  <c r="BE64" i="13"/>
  <c r="BD64" i="13"/>
  <c r="BC64" i="13"/>
  <c r="BB64" i="13"/>
  <c r="BA64" i="13"/>
  <c r="AZ64" i="13"/>
  <c r="AY64" i="13"/>
  <c r="AX64" i="13"/>
  <c r="AW64" i="13"/>
  <c r="AV64" i="13"/>
  <c r="BP63" i="13"/>
  <c r="BO63" i="13"/>
  <c r="BN63" i="13"/>
  <c r="BM63" i="13"/>
  <c r="BL63" i="13"/>
  <c r="BK63" i="13"/>
  <c r="BJ63" i="13"/>
  <c r="BI63" i="13"/>
  <c r="BH63" i="13"/>
  <c r="BG63" i="13"/>
  <c r="BF63" i="13"/>
  <c r="BE63" i="13"/>
  <c r="BD63" i="13"/>
  <c r="BC63" i="13"/>
  <c r="BB63" i="13"/>
  <c r="BA63" i="13"/>
  <c r="AZ63" i="13"/>
  <c r="AY63" i="13"/>
  <c r="AX63" i="13"/>
  <c r="AW63" i="13"/>
  <c r="AV63" i="13"/>
  <c r="BP62" i="13"/>
  <c r="BO62" i="13"/>
  <c r="BN62" i="13"/>
  <c r="BM62" i="13"/>
  <c r="BL62" i="13"/>
  <c r="BK62" i="13"/>
  <c r="BJ62" i="13"/>
  <c r="BI62" i="13"/>
  <c r="BH62" i="13"/>
  <c r="BG62" i="13"/>
  <c r="BF62" i="13"/>
  <c r="BE62" i="13"/>
  <c r="BD62" i="13"/>
  <c r="BC62" i="13"/>
  <c r="BB62" i="13"/>
  <c r="BA62" i="13"/>
  <c r="AZ62" i="13"/>
  <c r="AY62" i="13"/>
  <c r="AX62" i="13"/>
  <c r="AW62" i="13"/>
  <c r="AV62" i="13"/>
  <c r="BQ62" i="13" s="1"/>
  <c r="BP61" i="13"/>
  <c r="BO61" i="13"/>
  <c r="BN61" i="13"/>
  <c r="BM61" i="13"/>
  <c r="BL61" i="13"/>
  <c r="BK61" i="13"/>
  <c r="BJ61" i="13"/>
  <c r="BI61" i="13"/>
  <c r="BH61" i="13"/>
  <c r="BG61" i="13"/>
  <c r="BF61" i="13"/>
  <c r="BE61" i="13"/>
  <c r="BD61" i="13"/>
  <c r="BC61" i="13"/>
  <c r="BB61" i="13"/>
  <c r="BA61" i="13"/>
  <c r="AZ61" i="13"/>
  <c r="AY61" i="13"/>
  <c r="AX61" i="13"/>
  <c r="AW61" i="13"/>
  <c r="AV61" i="13"/>
  <c r="BP60" i="13"/>
  <c r="BO60" i="13"/>
  <c r="BN60" i="13"/>
  <c r="BM60" i="13"/>
  <c r="BL60" i="13"/>
  <c r="BK60" i="13"/>
  <c r="BJ60" i="13"/>
  <c r="BI60" i="13"/>
  <c r="BH60" i="13"/>
  <c r="BG60" i="13"/>
  <c r="BF60" i="13"/>
  <c r="BE60" i="13"/>
  <c r="BD60" i="13"/>
  <c r="BC60" i="13"/>
  <c r="BB60" i="13"/>
  <c r="BA60" i="13"/>
  <c r="AZ60" i="13"/>
  <c r="AY60" i="13"/>
  <c r="AX60" i="13"/>
  <c r="AW60" i="13"/>
  <c r="AV60" i="13"/>
  <c r="BP59" i="13"/>
  <c r="BO59" i="13"/>
  <c r="BN59" i="13"/>
  <c r="BM59" i="13"/>
  <c r="BL59" i="13"/>
  <c r="BK59" i="13"/>
  <c r="BJ59" i="13"/>
  <c r="BI59" i="13"/>
  <c r="BH59" i="13"/>
  <c r="BG59" i="13"/>
  <c r="BF59" i="13"/>
  <c r="BE59" i="13"/>
  <c r="BD59" i="13"/>
  <c r="BC59" i="13"/>
  <c r="BB59" i="13"/>
  <c r="BA59" i="13"/>
  <c r="AZ59" i="13"/>
  <c r="AY59" i="13"/>
  <c r="AX59" i="13"/>
  <c r="AW59" i="13"/>
  <c r="AV59" i="13"/>
  <c r="BP58" i="13"/>
  <c r="BO58" i="13"/>
  <c r="BN58" i="13"/>
  <c r="BM58" i="13"/>
  <c r="BL58" i="13"/>
  <c r="BK58" i="13"/>
  <c r="BJ58" i="13"/>
  <c r="BI58" i="13"/>
  <c r="BH58" i="13"/>
  <c r="BG58" i="13"/>
  <c r="BF58" i="13"/>
  <c r="BE58" i="13"/>
  <c r="BD58" i="13"/>
  <c r="BC58" i="13"/>
  <c r="BB58" i="13"/>
  <c r="BA58" i="13"/>
  <c r="AZ58" i="13"/>
  <c r="AY58" i="13"/>
  <c r="AX58" i="13"/>
  <c r="AW58" i="13"/>
  <c r="AV58" i="13"/>
  <c r="BQ58" i="13" s="1"/>
  <c r="BP57" i="13"/>
  <c r="BO57" i="13"/>
  <c r="BN57" i="13"/>
  <c r="BM57" i="13"/>
  <c r="BL57" i="13"/>
  <c r="BK57" i="13"/>
  <c r="BJ57" i="13"/>
  <c r="BI57" i="13"/>
  <c r="BH57" i="13"/>
  <c r="BG57" i="13"/>
  <c r="BF57" i="13"/>
  <c r="BE57" i="13"/>
  <c r="BD57" i="13"/>
  <c r="BC57" i="13"/>
  <c r="BB57" i="13"/>
  <c r="BA57" i="13"/>
  <c r="AZ57" i="13"/>
  <c r="AY57" i="13"/>
  <c r="AX57" i="13"/>
  <c r="AW57" i="13"/>
  <c r="AV57" i="13"/>
  <c r="BP56" i="13"/>
  <c r="BO56" i="13"/>
  <c r="BN56" i="13"/>
  <c r="BM56" i="13"/>
  <c r="BL56" i="13"/>
  <c r="BK56" i="13"/>
  <c r="BJ56" i="13"/>
  <c r="BI56" i="13"/>
  <c r="BH56" i="13"/>
  <c r="BG56" i="13"/>
  <c r="BF56" i="13"/>
  <c r="BE56" i="13"/>
  <c r="BD56" i="13"/>
  <c r="BC56" i="13"/>
  <c r="BB56" i="13"/>
  <c r="BA56" i="13"/>
  <c r="AZ56" i="13"/>
  <c r="AY56" i="13"/>
  <c r="AX56" i="13"/>
  <c r="AW56" i="13"/>
  <c r="AV56" i="13"/>
  <c r="BP55" i="13"/>
  <c r="BO55" i="13"/>
  <c r="BN55" i="13"/>
  <c r="BM55" i="13"/>
  <c r="BL55" i="13"/>
  <c r="BK55" i="13"/>
  <c r="BJ55" i="13"/>
  <c r="BI55" i="13"/>
  <c r="BH55" i="13"/>
  <c r="BG55" i="13"/>
  <c r="BF55" i="13"/>
  <c r="BE55" i="13"/>
  <c r="BD55" i="13"/>
  <c r="BC55" i="13"/>
  <c r="BB55" i="13"/>
  <c r="BA55" i="13"/>
  <c r="AZ55" i="13"/>
  <c r="AY55" i="13"/>
  <c r="AX55" i="13"/>
  <c r="AW55" i="13"/>
  <c r="AV55" i="13"/>
  <c r="BP54" i="13"/>
  <c r="BP53" i="13"/>
  <c r="BP52" i="13"/>
  <c r="BP51" i="13"/>
  <c r="BP50" i="13"/>
  <c r="BP49" i="13"/>
  <c r="BP48" i="13"/>
  <c r="BP47" i="13"/>
  <c r="BP46" i="13"/>
  <c r="BP45" i="13"/>
  <c r="BP44" i="13"/>
  <c r="BP43" i="13"/>
  <c r="BP42" i="13"/>
  <c r="BP41" i="13"/>
  <c r="BP40" i="13"/>
  <c r="BP39" i="13"/>
  <c r="BP38" i="13"/>
  <c r="BP37" i="13"/>
  <c r="BP36" i="13"/>
  <c r="BP35" i="13"/>
  <c r="BP34" i="13"/>
  <c r="BP33" i="13"/>
  <c r="BP32" i="13"/>
  <c r="BP31" i="13"/>
  <c r="BP30" i="13"/>
  <c r="BP29" i="13"/>
  <c r="BP28" i="13"/>
  <c r="BP27" i="13"/>
  <c r="BP26" i="13"/>
  <c r="BP25" i="13"/>
  <c r="BP24" i="13"/>
  <c r="BP23" i="13"/>
  <c r="BP22" i="13"/>
  <c r="BP21" i="13"/>
  <c r="BP20" i="13"/>
  <c r="BP19" i="13"/>
  <c r="BP18" i="13"/>
  <c r="BP17" i="13"/>
  <c r="BP16" i="13"/>
  <c r="BP15" i="13"/>
  <c r="BP14" i="13"/>
  <c r="BP13" i="13"/>
  <c r="BP12" i="13"/>
  <c r="BP11" i="13"/>
  <c r="BP10" i="13"/>
  <c r="BP9" i="13"/>
  <c r="BP8" i="13"/>
  <c r="BQ56" i="13" l="1"/>
  <c r="BQ60" i="13"/>
  <c r="BQ64" i="13"/>
  <c r="BQ55" i="13"/>
  <c r="BQ59" i="13"/>
  <c r="BQ63" i="13"/>
  <c r="BQ57" i="13"/>
  <c r="BQ61" i="13"/>
  <c r="BQ65" i="13"/>
  <c r="BP65" i="18"/>
  <c r="BO65" i="18"/>
  <c r="BN65" i="18"/>
  <c r="BM65" i="18"/>
  <c r="BL65" i="18"/>
  <c r="BK65" i="18"/>
  <c r="BJ65" i="18"/>
  <c r="BI65" i="18"/>
  <c r="BH65" i="18"/>
  <c r="BG65" i="18"/>
  <c r="BF65" i="18"/>
  <c r="BE65" i="18"/>
  <c r="BD65" i="18"/>
  <c r="BC65" i="18"/>
  <c r="BB65" i="18"/>
  <c r="BA65" i="18"/>
  <c r="AZ65" i="18"/>
  <c r="AY65" i="18"/>
  <c r="AX65" i="18"/>
  <c r="AW65" i="18"/>
  <c r="AV65" i="18"/>
  <c r="BQ65" i="18" s="1"/>
  <c r="BP64" i="18"/>
  <c r="BO64" i="18"/>
  <c r="BN64" i="18"/>
  <c r="BM64" i="18"/>
  <c r="BL64" i="18"/>
  <c r="BK64" i="18"/>
  <c r="BJ64" i="18"/>
  <c r="BI64" i="18"/>
  <c r="BH64" i="18"/>
  <c r="BG64" i="18"/>
  <c r="BF64" i="18"/>
  <c r="BE64" i="18"/>
  <c r="BD64" i="18"/>
  <c r="BC64" i="18"/>
  <c r="BB64" i="18"/>
  <c r="BA64" i="18"/>
  <c r="AZ64" i="18"/>
  <c r="AY64" i="18"/>
  <c r="AX64" i="18"/>
  <c r="AW64" i="18"/>
  <c r="AV64" i="18"/>
  <c r="BQ64" i="18" s="1"/>
  <c r="BP63" i="18"/>
  <c r="BO63" i="18"/>
  <c r="BN63" i="18"/>
  <c r="BM63" i="18"/>
  <c r="BL63" i="18"/>
  <c r="BK63" i="18"/>
  <c r="BJ63" i="18"/>
  <c r="BI63" i="18"/>
  <c r="BH63" i="18"/>
  <c r="BG63" i="18"/>
  <c r="BF63" i="18"/>
  <c r="BE63" i="18"/>
  <c r="BD63" i="18"/>
  <c r="BC63" i="18"/>
  <c r="BB63" i="18"/>
  <c r="BA63" i="18"/>
  <c r="AZ63" i="18"/>
  <c r="AY63" i="18"/>
  <c r="AX63" i="18"/>
  <c r="AW63" i="18"/>
  <c r="AV63" i="18"/>
  <c r="BQ63" i="18" s="1"/>
  <c r="BP62" i="18"/>
  <c r="BO62" i="18"/>
  <c r="BN62" i="18"/>
  <c r="BM62" i="18"/>
  <c r="BL62" i="18"/>
  <c r="BK62" i="18"/>
  <c r="BJ62" i="18"/>
  <c r="BI62" i="18"/>
  <c r="BH62" i="18"/>
  <c r="BG62" i="18"/>
  <c r="BF62" i="18"/>
  <c r="BE62" i="18"/>
  <c r="BD62" i="18"/>
  <c r="BC62" i="18"/>
  <c r="BB62" i="18"/>
  <c r="BA62" i="18"/>
  <c r="AZ62" i="18"/>
  <c r="AY62" i="18"/>
  <c r="AX62" i="18"/>
  <c r="AW62" i="18"/>
  <c r="AV62" i="18"/>
  <c r="BQ62" i="18" s="1"/>
  <c r="BP61" i="18"/>
  <c r="BO61" i="18"/>
  <c r="BN61" i="18"/>
  <c r="BM61" i="18"/>
  <c r="BL61" i="18"/>
  <c r="BK61" i="18"/>
  <c r="BJ61" i="18"/>
  <c r="BI61" i="18"/>
  <c r="BH61" i="18"/>
  <c r="BG61" i="18"/>
  <c r="BF61" i="18"/>
  <c r="BE61" i="18"/>
  <c r="BD61" i="18"/>
  <c r="BC61" i="18"/>
  <c r="BB61" i="18"/>
  <c r="BA61" i="18"/>
  <c r="AZ61" i="18"/>
  <c r="AY61" i="18"/>
  <c r="AX61" i="18"/>
  <c r="AW61" i="18"/>
  <c r="AV61" i="18"/>
  <c r="BQ61" i="18" s="1"/>
  <c r="BP60" i="18"/>
  <c r="BO60" i="18"/>
  <c r="BN60" i="18"/>
  <c r="BM60" i="18"/>
  <c r="BL60" i="18"/>
  <c r="BK60" i="18"/>
  <c r="BJ60" i="18"/>
  <c r="BI60" i="18"/>
  <c r="BH60" i="18"/>
  <c r="BG60" i="18"/>
  <c r="BF60" i="18"/>
  <c r="BE60" i="18"/>
  <c r="BD60" i="18"/>
  <c r="BC60" i="18"/>
  <c r="BB60" i="18"/>
  <c r="BA60" i="18"/>
  <c r="AZ60" i="18"/>
  <c r="AY60" i="18"/>
  <c r="AX60" i="18"/>
  <c r="AW60" i="18"/>
  <c r="AV60" i="18"/>
  <c r="BQ60" i="18" s="1"/>
  <c r="BP59" i="18"/>
  <c r="BO59" i="18"/>
  <c r="BN59" i="18"/>
  <c r="BM59" i="18"/>
  <c r="BL59" i="18"/>
  <c r="BK59" i="18"/>
  <c r="BJ59" i="18"/>
  <c r="BI59" i="18"/>
  <c r="BH59" i="18"/>
  <c r="BG59" i="18"/>
  <c r="BF59" i="18"/>
  <c r="BE59" i="18"/>
  <c r="BD59" i="18"/>
  <c r="BC59" i="18"/>
  <c r="BB59" i="18"/>
  <c r="BA59" i="18"/>
  <c r="AZ59" i="18"/>
  <c r="AY59" i="18"/>
  <c r="AX59" i="18"/>
  <c r="AW59" i="18"/>
  <c r="AV59" i="18"/>
  <c r="BQ59" i="18" s="1"/>
  <c r="BP58" i="18"/>
  <c r="BO58" i="18"/>
  <c r="BN58" i="18"/>
  <c r="BM58" i="18"/>
  <c r="BL58" i="18"/>
  <c r="BK58" i="18"/>
  <c r="BJ58" i="18"/>
  <c r="BI58" i="18"/>
  <c r="BH58" i="18"/>
  <c r="BG58" i="18"/>
  <c r="BF58" i="18"/>
  <c r="BE58" i="18"/>
  <c r="BD58" i="18"/>
  <c r="BC58" i="18"/>
  <c r="BB58" i="18"/>
  <c r="BA58" i="18"/>
  <c r="AZ58" i="18"/>
  <c r="AY58" i="18"/>
  <c r="AX58" i="18"/>
  <c r="AW58" i="18"/>
  <c r="AV58" i="18"/>
  <c r="BQ58" i="18" s="1"/>
  <c r="BP57" i="18"/>
  <c r="BO57" i="18"/>
  <c r="BN57" i="18"/>
  <c r="BM57" i="18"/>
  <c r="BL57" i="18"/>
  <c r="BK57" i="18"/>
  <c r="BJ57" i="18"/>
  <c r="BI57" i="18"/>
  <c r="BH57" i="18"/>
  <c r="BG57" i="18"/>
  <c r="BF57" i="18"/>
  <c r="BE57" i="18"/>
  <c r="BD57" i="18"/>
  <c r="BC57" i="18"/>
  <c r="BB57" i="18"/>
  <c r="BA57" i="18"/>
  <c r="AZ57" i="18"/>
  <c r="AY57" i="18"/>
  <c r="AX57" i="18"/>
  <c r="AW57" i="18"/>
  <c r="AV57" i="18"/>
  <c r="BQ57" i="18" s="1"/>
  <c r="BP56" i="18"/>
  <c r="BO56" i="18"/>
  <c r="BN56" i="18"/>
  <c r="BM56" i="18"/>
  <c r="BL56" i="18"/>
  <c r="BK56" i="18"/>
  <c r="BJ56" i="18"/>
  <c r="BI56" i="18"/>
  <c r="BH56" i="18"/>
  <c r="BG56" i="18"/>
  <c r="BF56" i="18"/>
  <c r="BE56" i="18"/>
  <c r="BD56" i="18"/>
  <c r="BC56" i="18"/>
  <c r="BB56" i="18"/>
  <c r="BA56" i="18"/>
  <c r="AZ56" i="18"/>
  <c r="AY56" i="18"/>
  <c r="AX56" i="18"/>
  <c r="AW56" i="18"/>
  <c r="AV56" i="18"/>
  <c r="BQ56" i="18" s="1"/>
  <c r="BP55" i="18"/>
  <c r="BO55" i="18"/>
  <c r="BN55" i="18"/>
  <c r="BM55" i="18"/>
  <c r="BL55" i="18"/>
  <c r="BK55" i="18"/>
  <c r="BJ55" i="18"/>
  <c r="BI55" i="18"/>
  <c r="BH55" i="18"/>
  <c r="BG55" i="18"/>
  <c r="BF55" i="18"/>
  <c r="BE55" i="18"/>
  <c r="BD55" i="18"/>
  <c r="BC55" i="18"/>
  <c r="BB55" i="18"/>
  <c r="BA55" i="18"/>
  <c r="AZ55" i="18"/>
  <c r="AY55" i="18"/>
  <c r="AX55" i="18"/>
  <c r="AW55" i="18"/>
  <c r="AV55" i="18"/>
  <c r="BQ55" i="18" s="1"/>
  <c r="BP65" i="14" l="1"/>
  <c r="BO65" i="14"/>
  <c r="BN65" i="14"/>
  <c r="BM65" i="14"/>
  <c r="BL65" i="14"/>
  <c r="BK65" i="14"/>
  <c r="BJ65" i="14"/>
  <c r="BI65" i="14"/>
  <c r="BH65" i="14"/>
  <c r="BG65" i="14"/>
  <c r="BF65" i="14"/>
  <c r="BE65" i="14"/>
  <c r="BD65" i="14"/>
  <c r="BC65" i="14"/>
  <c r="BB65" i="14"/>
  <c r="BA65" i="14"/>
  <c r="AZ65" i="14"/>
  <c r="AY65" i="14"/>
  <c r="AX65" i="14"/>
  <c r="AW65" i="14"/>
  <c r="AV65" i="14"/>
  <c r="BP64" i="14"/>
  <c r="BO64" i="14"/>
  <c r="BN64" i="14"/>
  <c r="BM64" i="14"/>
  <c r="BL64" i="14"/>
  <c r="BK64" i="14"/>
  <c r="BJ64" i="14"/>
  <c r="BI64" i="14"/>
  <c r="BH64" i="14"/>
  <c r="BG64" i="14"/>
  <c r="BF64" i="14"/>
  <c r="BE64" i="14"/>
  <c r="BD64" i="14"/>
  <c r="BC64" i="14"/>
  <c r="BB64" i="14"/>
  <c r="BA64" i="14"/>
  <c r="AZ64" i="14"/>
  <c r="AY64" i="14"/>
  <c r="AX64" i="14"/>
  <c r="AW64" i="14"/>
  <c r="AV64" i="14"/>
  <c r="BP63" i="14"/>
  <c r="BO63" i="14"/>
  <c r="BN63" i="14"/>
  <c r="BM63" i="14"/>
  <c r="BL63" i="14"/>
  <c r="BK63" i="14"/>
  <c r="BJ63" i="14"/>
  <c r="BI63" i="14"/>
  <c r="BH63" i="14"/>
  <c r="BG63" i="14"/>
  <c r="BF63" i="14"/>
  <c r="BE63" i="14"/>
  <c r="BD63" i="14"/>
  <c r="BC63" i="14"/>
  <c r="BB63" i="14"/>
  <c r="BA63" i="14"/>
  <c r="AZ63" i="14"/>
  <c r="AY63" i="14"/>
  <c r="AX63" i="14"/>
  <c r="AW63" i="14"/>
  <c r="AV63" i="14"/>
  <c r="BP62" i="14"/>
  <c r="BO62" i="14"/>
  <c r="BN62" i="14"/>
  <c r="BM62" i="14"/>
  <c r="BL62" i="14"/>
  <c r="BK62" i="14"/>
  <c r="BJ62" i="14"/>
  <c r="BI62" i="14"/>
  <c r="BH62" i="14"/>
  <c r="BG62" i="14"/>
  <c r="BF62" i="14"/>
  <c r="BE62" i="14"/>
  <c r="BD62" i="14"/>
  <c r="BC62" i="14"/>
  <c r="BB62" i="14"/>
  <c r="BA62" i="14"/>
  <c r="AZ62" i="14"/>
  <c r="AY62" i="14"/>
  <c r="AX62" i="14"/>
  <c r="AW62" i="14"/>
  <c r="AV62" i="14"/>
  <c r="BQ62" i="14" s="1"/>
  <c r="BP61" i="14"/>
  <c r="BO61" i="14"/>
  <c r="BN61" i="14"/>
  <c r="BM61" i="14"/>
  <c r="BL61" i="14"/>
  <c r="BK61" i="14"/>
  <c r="BJ61" i="14"/>
  <c r="BI61" i="14"/>
  <c r="BH61" i="14"/>
  <c r="BG61" i="14"/>
  <c r="BF61" i="14"/>
  <c r="BE61" i="14"/>
  <c r="BD61" i="14"/>
  <c r="BC61" i="14"/>
  <c r="BB61" i="14"/>
  <c r="BA61" i="14"/>
  <c r="AZ61" i="14"/>
  <c r="AY61" i="14"/>
  <c r="AX61" i="14"/>
  <c r="AW61" i="14"/>
  <c r="AV61" i="14"/>
  <c r="BP60" i="14"/>
  <c r="BO60" i="14"/>
  <c r="BN60" i="14"/>
  <c r="BM60" i="14"/>
  <c r="BL60" i="14"/>
  <c r="BK60" i="14"/>
  <c r="BJ60" i="14"/>
  <c r="BI60" i="14"/>
  <c r="BH60" i="14"/>
  <c r="BG60" i="14"/>
  <c r="BF60" i="14"/>
  <c r="BE60" i="14"/>
  <c r="BD60" i="14"/>
  <c r="BC60" i="14"/>
  <c r="BB60" i="14"/>
  <c r="BA60" i="14"/>
  <c r="AZ60" i="14"/>
  <c r="AY60" i="14"/>
  <c r="AX60" i="14"/>
  <c r="AW60" i="14"/>
  <c r="AV60" i="14"/>
  <c r="BP59" i="14"/>
  <c r="BO59" i="14"/>
  <c r="BN59" i="14"/>
  <c r="BM59" i="14"/>
  <c r="BL59" i="14"/>
  <c r="BK59" i="14"/>
  <c r="BJ59" i="14"/>
  <c r="BI59" i="14"/>
  <c r="BH59" i="14"/>
  <c r="BG59" i="14"/>
  <c r="BF59" i="14"/>
  <c r="BE59" i="14"/>
  <c r="BD59" i="14"/>
  <c r="BC59" i="14"/>
  <c r="BB59" i="14"/>
  <c r="BA59" i="14"/>
  <c r="AZ59" i="14"/>
  <c r="AY59" i="14"/>
  <c r="AX59" i="14"/>
  <c r="AW59" i="14"/>
  <c r="AV59" i="14"/>
  <c r="BP58" i="14"/>
  <c r="BO58" i="14"/>
  <c r="BN58" i="14"/>
  <c r="BM58" i="14"/>
  <c r="BL58" i="14"/>
  <c r="BK58" i="14"/>
  <c r="BJ58" i="14"/>
  <c r="BI58" i="14"/>
  <c r="BH58" i="14"/>
  <c r="BG58" i="14"/>
  <c r="BF58" i="14"/>
  <c r="BE58" i="14"/>
  <c r="BD58" i="14"/>
  <c r="BC58" i="14"/>
  <c r="BB58" i="14"/>
  <c r="BA58" i="14"/>
  <c r="AZ58" i="14"/>
  <c r="AY58" i="14"/>
  <c r="AX58" i="14"/>
  <c r="AW58" i="14"/>
  <c r="AV58" i="14"/>
  <c r="BQ58" i="14" s="1"/>
  <c r="BP57" i="14"/>
  <c r="BO57" i="14"/>
  <c r="BN57" i="14"/>
  <c r="BM57" i="14"/>
  <c r="BL57" i="14"/>
  <c r="BK57" i="14"/>
  <c r="BJ57" i="14"/>
  <c r="BI57" i="14"/>
  <c r="BH57" i="14"/>
  <c r="BG57" i="14"/>
  <c r="BF57" i="14"/>
  <c r="BE57" i="14"/>
  <c r="BD57" i="14"/>
  <c r="BC57" i="14"/>
  <c r="BB57" i="14"/>
  <c r="BA57" i="14"/>
  <c r="AZ57" i="14"/>
  <c r="AY57" i="14"/>
  <c r="AX57" i="14"/>
  <c r="AW57" i="14"/>
  <c r="AV57" i="14"/>
  <c r="BP56" i="14"/>
  <c r="BO56" i="14"/>
  <c r="BN56" i="14"/>
  <c r="BM56" i="14"/>
  <c r="BL56" i="14"/>
  <c r="BK56" i="14"/>
  <c r="BJ56" i="14"/>
  <c r="BI56" i="14"/>
  <c r="BH56" i="14"/>
  <c r="BG56" i="14"/>
  <c r="BF56" i="14"/>
  <c r="BE56" i="14"/>
  <c r="BD56" i="14"/>
  <c r="BC56" i="14"/>
  <c r="BB56" i="14"/>
  <c r="BA56" i="14"/>
  <c r="AZ56" i="14"/>
  <c r="AY56" i="14"/>
  <c r="AX56" i="14"/>
  <c r="AW56" i="14"/>
  <c r="AV56" i="14"/>
  <c r="BP55" i="14"/>
  <c r="BO55" i="14"/>
  <c r="BN55" i="14"/>
  <c r="BM55" i="14"/>
  <c r="BL55" i="14"/>
  <c r="BK55" i="14"/>
  <c r="BJ55" i="14"/>
  <c r="BI55" i="14"/>
  <c r="BH55" i="14"/>
  <c r="BG55" i="14"/>
  <c r="BF55" i="14"/>
  <c r="BE55" i="14"/>
  <c r="BD55" i="14"/>
  <c r="BC55" i="14"/>
  <c r="BB55" i="14"/>
  <c r="BA55" i="14"/>
  <c r="AZ55" i="14"/>
  <c r="AY55" i="14"/>
  <c r="AX55" i="14"/>
  <c r="AW55" i="14"/>
  <c r="AV55" i="14"/>
  <c r="BQ63" i="14" l="1"/>
  <c r="BQ60" i="14"/>
  <c r="BQ64" i="14"/>
  <c r="BQ55" i="14"/>
  <c r="BQ59" i="14"/>
  <c r="BQ56" i="14"/>
  <c r="BQ57" i="14"/>
  <c r="BQ61" i="14"/>
  <c r="BQ65" i="14"/>
  <c r="D57" i="2"/>
  <c r="C56" i="2"/>
  <c r="C51" i="2"/>
  <c r="F276" i="4" l="1"/>
  <c r="D276" i="4"/>
  <c r="C276" i="4"/>
  <c r="C278" i="4" s="1"/>
  <c r="D278" i="4" s="1"/>
  <c r="I275" i="4"/>
  <c r="I276" i="4" s="1"/>
  <c r="G275" i="4"/>
  <c r="G276" i="4" s="1"/>
  <c r="F275" i="4"/>
  <c r="E275" i="4"/>
  <c r="E276" i="4" s="1"/>
  <c r="D275" i="4"/>
  <c r="N273" i="4"/>
  <c r="K273" i="4"/>
  <c r="J273" i="4"/>
  <c r="I273" i="4"/>
  <c r="H273" i="4"/>
  <c r="H276" i="4" s="1"/>
  <c r="G273" i="4"/>
  <c r="A271" i="4"/>
  <c r="E278" i="4" l="1"/>
  <c r="F278" i="4" s="1"/>
  <c r="G278" i="4" s="1"/>
  <c r="H278" i="4" s="1"/>
  <c r="I278" i="4" s="1"/>
  <c r="A133" i="4"/>
  <c r="H125" i="4"/>
  <c r="G125" i="4"/>
  <c r="F125" i="4"/>
  <c r="E125" i="4"/>
  <c r="D125" i="4"/>
  <c r="C41" i="27" l="1"/>
  <c r="C40" i="27"/>
  <c r="F19" i="20"/>
  <c r="BO54" i="13" l="1"/>
  <c r="BN54" i="13"/>
  <c r="BM54" i="13"/>
  <c r="BL54" i="13"/>
  <c r="BK54" i="13"/>
  <c r="BJ54" i="13"/>
  <c r="BI54" i="13"/>
  <c r="BH54" i="13"/>
  <c r="BG54" i="13"/>
  <c r="BF54" i="13"/>
  <c r="BE54" i="13"/>
  <c r="BD54" i="13"/>
  <c r="BC54" i="13"/>
  <c r="BB54" i="13"/>
  <c r="BA54" i="13"/>
  <c r="AZ54" i="13"/>
  <c r="AY54" i="13"/>
  <c r="AX54" i="13"/>
  <c r="AW54" i="13"/>
  <c r="AV54" i="13"/>
  <c r="BO53" i="13"/>
  <c r="BN53" i="13"/>
  <c r="BM53" i="13"/>
  <c r="BL53" i="13"/>
  <c r="BK53" i="13"/>
  <c r="BJ53" i="13"/>
  <c r="BI53" i="13"/>
  <c r="BH53" i="13"/>
  <c r="BG53" i="13"/>
  <c r="BF53" i="13"/>
  <c r="BE53" i="13"/>
  <c r="BD53" i="13"/>
  <c r="BC53" i="13"/>
  <c r="BB53" i="13"/>
  <c r="BA53" i="13"/>
  <c r="AZ53" i="13"/>
  <c r="AY53" i="13"/>
  <c r="AX53" i="13"/>
  <c r="AW53" i="13"/>
  <c r="AV53" i="13"/>
  <c r="BO52" i="13"/>
  <c r="BN52" i="13"/>
  <c r="BM52" i="13"/>
  <c r="BL52" i="13"/>
  <c r="BK52" i="13"/>
  <c r="BJ52" i="13"/>
  <c r="BI52" i="13"/>
  <c r="BH52" i="13"/>
  <c r="BG52" i="13"/>
  <c r="BF52" i="13"/>
  <c r="BE52" i="13"/>
  <c r="BD52" i="13"/>
  <c r="BC52" i="13"/>
  <c r="BB52" i="13"/>
  <c r="BA52" i="13"/>
  <c r="AZ52" i="13"/>
  <c r="AY52" i="13"/>
  <c r="AX52" i="13"/>
  <c r="AW52" i="13"/>
  <c r="AV52" i="13"/>
  <c r="BO51" i="13"/>
  <c r="BN51" i="13"/>
  <c r="BM51" i="13"/>
  <c r="BL51" i="13"/>
  <c r="BK51" i="13"/>
  <c r="BJ51" i="13"/>
  <c r="BI51" i="13"/>
  <c r="BH51" i="13"/>
  <c r="BG51" i="13"/>
  <c r="BF51" i="13"/>
  <c r="BE51" i="13"/>
  <c r="BD51" i="13"/>
  <c r="BC51" i="13"/>
  <c r="BB51" i="13"/>
  <c r="BA51" i="13"/>
  <c r="AZ51" i="13"/>
  <c r="AY51" i="13"/>
  <c r="AX51" i="13"/>
  <c r="AW51" i="13"/>
  <c r="AV51" i="13"/>
  <c r="BO50" i="13"/>
  <c r="BN50" i="13"/>
  <c r="BM50" i="13"/>
  <c r="BL50" i="13"/>
  <c r="BK50" i="13"/>
  <c r="BJ50" i="13"/>
  <c r="BI50" i="13"/>
  <c r="BH50" i="13"/>
  <c r="BG50" i="13"/>
  <c r="BF50" i="13"/>
  <c r="BE50" i="13"/>
  <c r="BD50" i="13"/>
  <c r="BC50" i="13"/>
  <c r="BB50" i="13"/>
  <c r="BA50" i="13"/>
  <c r="AZ50" i="13"/>
  <c r="AY50" i="13"/>
  <c r="AX50" i="13"/>
  <c r="AW50" i="13"/>
  <c r="AV50" i="13"/>
  <c r="BO49" i="13"/>
  <c r="BN49" i="13"/>
  <c r="BM49" i="13"/>
  <c r="BL49" i="13"/>
  <c r="BK49" i="13"/>
  <c r="BJ49" i="13"/>
  <c r="BI49" i="13"/>
  <c r="BH49" i="13"/>
  <c r="BG49" i="13"/>
  <c r="BF49" i="13"/>
  <c r="BE49" i="13"/>
  <c r="BD49" i="13"/>
  <c r="BC49" i="13"/>
  <c r="BB49" i="13"/>
  <c r="BA49" i="13"/>
  <c r="AZ49" i="13"/>
  <c r="AY49" i="13"/>
  <c r="AX49" i="13"/>
  <c r="AW49" i="13"/>
  <c r="AV49" i="13"/>
  <c r="BO48" i="13"/>
  <c r="BN48" i="13"/>
  <c r="BM48" i="13"/>
  <c r="BL48" i="13"/>
  <c r="BK48" i="13"/>
  <c r="BJ48" i="13"/>
  <c r="BI48" i="13"/>
  <c r="BH48" i="13"/>
  <c r="BG48" i="13"/>
  <c r="BF48" i="13"/>
  <c r="BE48" i="13"/>
  <c r="BD48" i="13"/>
  <c r="BC48" i="13"/>
  <c r="BB48" i="13"/>
  <c r="BA48" i="13"/>
  <c r="AZ48" i="13"/>
  <c r="AY48" i="13"/>
  <c r="AX48" i="13"/>
  <c r="AW48" i="13"/>
  <c r="AV48" i="13"/>
  <c r="BO47" i="13"/>
  <c r="BN47" i="13"/>
  <c r="BM47" i="13"/>
  <c r="BL47" i="13"/>
  <c r="BK47" i="13"/>
  <c r="BJ47" i="13"/>
  <c r="BI47" i="13"/>
  <c r="BH47" i="13"/>
  <c r="BG47" i="13"/>
  <c r="BF47" i="13"/>
  <c r="BE47" i="13"/>
  <c r="BD47" i="13"/>
  <c r="BC47" i="13"/>
  <c r="BB47" i="13"/>
  <c r="BA47" i="13"/>
  <c r="AZ47" i="13"/>
  <c r="AY47" i="13"/>
  <c r="AX47" i="13"/>
  <c r="AW47" i="13"/>
  <c r="AV47" i="13"/>
  <c r="BO46" i="13"/>
  <c r="BN46" i="13"/>
  <c r="BM46" i="13"/>
  <c r="BL46" i="13"/>
  <c r="BK46" i="13"/>
  <c r="BJ46" i="13"/>
  <c r="BI46" i="13"/>
  <c r="BH46" i="13"/>
  <c r="BG46" i="13"/>
  <c r="BF46" i="13"/>
  <c r="BE46" i="13"/>
  <c r="BD46" i="13"/>
  <c r="BC46" i="13"/>
  <c r="BB46" i="13"/>
  <c r="BA46" i="13"/>
  <c r="AZ46" i="13"/>
  <c r="AY46" i="13"/>
  <c r="AX46" i="13"/>
  <c r="AW46" i="13"/>
  <c r="AV46" i="13"/>
  <c r="BO45" i="13"/>
  <c r="BN45" i="13"/>
  <c r="BM45" i="13"/>
  <c r="BL45" i="13"/>
  <c r="BK45" i="13"/>
  <c r="BJ45" i="13"/>
  <c r="BI45" i="13"/>
  <c r="BH45" i="13"/>
  <c r="BG45" i="13"/>
  <c r="BF45" i="13"/>
  <c r="BE45" i="13"/>
  <c r="BD45" i="13"/>
  <c r="BC45" i="13"/>
  <c r="BB45" i="13"/>
  <c r="BA45" i="13"/>
  <c r="AZ45" i="13"/>
  <c r="AY45" i="13"/>
  <c r="AX45" i="13"/>
  <c r="AW45" i="13"/>
  <c r="AV45" i="13"/>
  <c r="BO44" i="13"/>
  <c r="BN44" i="13"/>
  <c r="BM44" i="13"/>
  <c r="BL44" i="13"/>
  <c r="BK44" i="13"/>
  <c r="BJ44" i="13"/>
  <c r="BI44" i="13"/>
  <c r="BH44" i="13"/>
  <c r="BG44" i="13"/>
  <c r="BF44" i="13"/>
  <c r="BE44" i="13"/>
  <c r="BD44" i="13"/>
  <c r="BC44" i="13"/>
  <c r="BB44" i="13"/>
  <c r="BA44" i="13"/>
  <c r="AZ44" i="13"/>
  <c r="AY44" i="13"/>
  <c r="AX44" i="13"/>
  <c r="AW44" i="13"/>
  <c r="AV44" i="13"/>
  <c r="BO43" i="13"/>
  <c r="BN43" i="13"/>
  <c r="BM43" i="13"/>
  <c r="BL43" i="13"/>
  <c r="BK43" i="13"/>
  <c r="BJ43" i="13"/>
  <c r="BI43" i="13"/>
  <c r="BH43" i="13"/>
  <c r="BG43" i="13"/>
  <c r="BF43" i="13"/>
  <c r="BE43" i="13"/>
  <c r="BD43" i="13"/>
  <c r="BC43" i="13"/>
  <c r="BB43" i="13"/>
  <c r="BA43" i="13"/>
  <c r="AZ43" i="13"/>
  <c r="AY43" i="13"/>
  <c r="AX43" i="13"/>
  <c r="AW43" i="13"/>
  <c r="AV43" i="13"/>
  <c r="BO42" i="13"/>
  <c r="BN42" i="13"/>
  <c r="BM42" i="13"/>
  <c r="BL42" i="13"/>
  <c r="BK42" i="13"/>
  <c r="BJ42" i="13"/>
  <c r="BI42" i="13"/>
  <c r="BH42" i="13"/>
  <c r="BG42" i="13"/>
  <c r="BF42" i="13"/>
  <c r="BE42" i="13"/>
  <c r="BD42" i="13"/>
  <c r="BC42" i="13"/>
  <c r="BB42" i="13"/>
  <c r="BA42" i="13"/>
  <c r="AZ42" i="13"/>
  <c r="AY42" i="13"/>
  <c r="AX42" i="13"/>
  <c r="AW42" i="13"/>
  <c r="AV42" i="13"/>
  <c r="BO41" i="13"/>
  <c r="BN41" i="13"/>
  <c r="BM41" i="13"/>
  <c r="BL41" i="13"/>
  <c r="BK41" i="13"/>
  <c r="BJ41" i="13"/>
  <c r="BI41" i="13"/>
  <c r="BH41" i="13"/>
  <c r="BG41" i="13"/>
  <c r="BF41" i="13"/>
  <c r="BE41" i="13"/>
  <c r="BD41" i="13"/>
  <c r="BC41" i="13"/>
  <c r="BB41" i="13"/>
  <c r="BA41" i="13"/>
  <c r="AZ41" i="13"/>
  <c r="AY41" i="13"/>
  <c r="AX41" i="13"/>
  <c r="AW41" i="13"/>
  <c r="AV41" i="13"/>
  <c r="BO40" i="13"/>
  <c r="BN40" i="13"/>
  <c r="BM40" i="13"/>
  <c r="BL40" i="13"/>
  <c r="BK40" i="13"/>
  <c r="BJ40" i="13"/>
  <c r="BI40" i="13"/>
  <c r="BH40" i="13"/>
  <c r="BG40" i="13"/>
  <c r="BF40" i="13"/>
  <c r="BE40" i="13"/>
  <c r="BD40" i="13"/>
  <c r="BC40" i="13"/>
  <c r="BB40" i="13"/>
  <c r="BA40" i="13"/>
  <c r="AZ40" i="13"/>
  <c r="AY40" i="13"/>
  <c r="AX40" i="13"/>
  <c r="AW40" i="13"/>
  <c r="AV40" i="13"/>
  <c r="BO39" i="13"/>
  <c r="BN39" i="13"/>
  <c r="BM39" i="13"/>
  <c r="BL39" i="13"/>
  <c r="BK39" i="13"/>
  <c r="BJ39" i="13"/>
  <c r="BI39" i="13"/>
  <c r="BH39" i="13"/>
  <c r="BG39" i="13"/>
  <c r="BF39" i="13"/>
  <c r="BE39" i="13"/>
  <c r="BD39" i="13"/>
  <c r="BC39" i="13"/>
  <c r="BB39" i="13"/>
  <c r="BA39" i="13"/>
  <c r="AZ39" i="13"/>
  <c r="AY39" i="13"/>
  <c r="AX39" i="13"/>
  <c r="AW39" i="13"/>
  <c r="AV39" i="13"/>
  <c r="BO38" i="13"/>
  <c r="BN38" i="13"/>
  <c r="BM38" i="13"/>
  <c r="BL38" i="13"/>
  <c r="BK38" i="13"/>
  <c r="BJ38" i="13"/>
  <c r="BI38" i="13"/>
  <c r="BH38" i="13"/>
  <c r="BG38" i="13"/>
  <c r="BF38" i="13"/>
  <c r="BE38" i="13"/>
  <c r="BD38" i="13"/>
  <c r="BC38" i="13"/>
  <c r="BB38" i="13"/>
  <c r="BA38" i="13"/>
  <c r="AZ38" i="13"/>
  <c r="AY38" i="13"/>
  <c r="AX38" i="13"/>
  <c r="AW38" i="13"/>
  <c r="AV38" i="13"/>
  <c r="BO37" i="13"/>
  <c r="BN37" i="13"/>
  <c r="BM37" i="13"/>
  <c r="BL37" i="13"/>
  <c r="BK37" i="13"/>
  <c r="BJ37" i="13"/>
  <c r="BI37" i="13"/>
  <c r="BH37" i="13"/>
  <c r="BG37" i="13"/>
  <c r="BF37" i="13"/>
  <c r="BE37" i="13"/>
  <c r="BD37" i="13"/>
  <c r="BC37" i="13"/>
  <c r="BB37" i="13"/>
  <c r="BA37" i="13"/>
  <c r="AZ37" i="13"/>
  <c r="AY37" i="13"/>
  <c r="AX37" i="13"/>
  <c r="AW37" i="13"/>
  <c r="AV37" i="13"/>
  <c r="BO36" i="13"/>
  <c r="BN36" i="13"/>
  <c r="BM36" i="13"/>
  <c r="BL36" i="13"/>
  <c r="BK36" i="13"/>
  <c r="BJ36" i="13"/>
  <c r="BI36" i="13"/>
  <c r="BH36" i="13"/>
  <c r="BG36" i="13"/>
  <c r="BF36" i="13"/>
  <c r="BE36" i="13"/>
  <c r="BD36" i="13"/>
  <c r="BC36" i="13"/>
  <c r="BB36" i="13"/>
  <c r="BA36" i="13"/>
  <c r="AZ36" i="13"/>
  <c r="AY36" i="13"/>
  <c r="AX36" i="13"/>
  <c r="AW36" i="13"/>
  <c r="AV36" i="13"/>
  <c r="BO35" i="13"/>
  <c r="BN35" i="13"/>
  <c r="BM35" i="13"/>
  <c r="BL35" i="13"/>
  <c r="BK35" i="13"/>
  <c r="BJ35" i="13"/>
  <c r="BI35" i="13"/>
  <c r="BH35" i="13"/>
  <c r="BG35" i="13"/>
  <c r="BF35" i="13"/>
  <c r="BE35" i="13"/>
  <c r="BD35" i="13"/>
  <c r="BC35" i="13"/>
  <c r="BB35" i="13"/>
  <c r="BA35" i="13"/>
  <c r="AZ35" i="13"/>
  <c r="AY35" i="13"/>
  <c r="AX35" i="13"/>
  <c r="AW35" i="13"/>
  <c r="AV35" i="13"/>
  <c r="BO34" i="13"/>
  <c r="BN34" i="13"/>
  <c r="BM34" i="13"/>
  <c r="BL34" i="13"/>
  <c r="BK34" i="13"/>
  <c r="BJ34" i="13"/>
  <c r="BI34" i="13"/>
  <c r="BH34" i="13"/>
  <c r="BG34" i="13"/>
  <c r="BF34" i="13"/>
  <c r="BE34" i="13"/>
  <c r="BD34" i="13"/>
  <c r="BC34" i="13"/>
  <c r="BB34" i="13"/>
  <c r="BA34" i="13"/>
  <c r="AZ34" i="13"/>
  <c r="AY34" i="13"/>
  <c r="AX34" i="13"/>
  <c r="AW34" i="13"/>
  <c r="AV34" i="13"/>
  <c r="BO33" i="13"/>
  <c r="BN33" i="13"/>
  <c r="BM33" i="13"/>
  <c r="BL33" i="13"/>
  <c r="BK33" i="13"/>
  <c r="BJ33" i="13"/>
  <c r="BI33" i="13"/>
  <c r="BH33" i="13"/>
  <c r="BG33" i="13"/>
  <c r="BF33" i="13"/>
  <c r="BE33" i="13"/>
  <c r="BD33" i="13"/>
  <c r="BC33" i="13"/>
  <c r="BB33" i="13"/>
  <c r="BA33" i="13"/>
  <c r="AZ33" i="13"/>
  <c r="AY33" i="13"/>
  <c r="AX33" i="13"/>
  <c r="AW33" i="13"/>
  <c r="AV33" i="13"/>
  <c r="BO32" i="13"/>
  <c r="BN32" i="13"/>
  <c r="BM32" i="13"/>
  <c r="BL32" i="13"/>
  <c r="BK32" i="13"/>
  <c r="BJ32" i="13"/>
  <c r="BI32" i="13"/>
  <c r="BH32" i="13"/>
  <c r="BG32" i="13"/>
  <c r="BF32" i="13"/>
  <c r="BE32" i="13"/>
  <c r="BD32" i="13"/>
  <c r="BC32" i="13"/>
  <c r="BB32" i="13"/>
  <c r="BA32" i="13"/>
  <c r="AZ32" i="13"/>
  <c r="AY32" i="13"/>
  <c r="AX32" i="13"/>
  <c r="AW32" i="13"/>
  <c r="AV32" i="13"/>
  <c r="BO31" i="13"/>
  <c r="BN31" i="13"/>
  <c r="BM31" i="13"/>
  <c r="BL31" i="13"/>
  <c r="BK31" i="13"/>
  <c r="BJ31" i="13"/>
  <c r="BI31" i="13"/>
  <c r="BH31" i="13"/>
  <c r="BG31" i="13"/>
  <c r="BF31" i="13"/>
  <c r="BE31" i="13"/>
  <c r="BD31" i="13"/>
  <c r="BC31" i="13"/>
  <c r="BB31" i="13"/>
  <c r="BA31" i="13"/>
  <c r="AZ31" i="13"/>
  <c r="AY31" i="13"/>
  <c r="AX31" i="13"/>
  <c r="AW31" i="13"/>
  <c r="AV31" i="13"/>
  <c r="BO30" i="13"/>
  <c r="BN30" i="13"/>
  <c r="BM30" i="13"/>
  <c r="BL30" i="13"/>
  <c r="BK30" i="13"/>
  <c r="BJ30" i="13"/>
  <c r="BI30" i="13"/>
  <c r="BH30" i="13"/>
  <c r="BG30" i="13"/>
  <c r="BF30" i="13"/>
  <c r="BE30" i="13"/>
  <c r="BD30" i="13"/>
  <c r="BC30" i="13"/>
  <c r="BB30" i="13"/>
  <c r="BA30" i="13"/>
  <c r="AZ30" i="13"/>
  <c r="AY30" i="13"/>
  <c r="AX30" i="13"/>
  <c r="AW30" i="13"/>
  <c r="AV30" i="13"/>
  <c r="BO29" i="13"/>
  <c r="BN29" i="13"/>
  <c r="BM29" i="13"/>
  <c r="BL29" i="13"/>
  <c r="BK29" i="13"/>
  <c r="BJ29" i="13"/>
  <c r="BI29" i="13"/>
  <c r="BH29" i="13"/>
  <c r="BG29" i="13"/>
  <c r="BF29" i="13"/>
  <c r="BE29" i="13"/>
  <c r="BD29" i="13"/>
  <c r="BC29" i="13"/>
  <c r="BB29" i="13"/>
  <c r="BA29" i="13"/>
  <c r="AZ29" i="13"/>
  <c r="AY29" i="13"/>
  <c r="AX29" i="13"/>
  <c r="AW29" i="13"/>
  <c r="AV29" i="13"/>
  <c r="BO28" i="13"/>
  <c r="BN28" i="13"/>
  <c r="BM28" i="13"/>
  <c r="BL28" i="13"/>
  <c r="BK28" i="13"/>
  <c r="BJ28" i="13"/>
  <c r="BI28" i="13"/>
  <c r="BH28" i="13"/>
  <c r="BG28" i="13"/>
  <c r="BF28" i="13"/>
  <c r="BE28" i="13"/>
  <c r="BD28" i="13"/>
  <c r="BC28" i="13"/>
  <c r="BB28" i="13"/>
  <c r="BA28" i="13"/>
  <c r="AZ28" i="13"/>
  <c r="AY28" i="13"/>
  <c r="AX28" i="13"/>
  <c r="AW28" i="13"/>
  <c r="AV28" i="13"/>
  <c r="BO27" i="13"/>
  <c r="BN27" i="13"/>
  <c r="BM27" i="13"/>
  <c r="BL27" i="13"/>
  <c r="BK27" i="13"/>
  <c r="BJ27" i="13"/>
  <c r="BI27" i="13"/>
  <c r="BH27" i="13"/>
  <c r="BG27" i="13"/>
  <c r="BF27" i="13"/>
  <c r="BE27" i="13"/>
  <c r="BD27" i="13"/>
  <c r="BC27" i="13"/>
  <c r="BB27" i="13"/>
  <c r="BA27" i="13"/>
  <c r="AZ27" i="13"/>
  <c r="AY27" i="13"/>
  <c r="AX27" i="13"/>
  <c r="AW27" i="13"/>
  <c r="AV27" i="13"/>
  <c r="BO26" i="13"/>
  <c r="BN26" i="13"/>
  <c r="BM26" i="13"/>
  <c r="BL26" i="13"/>
  <c r="BK26" i="13"/>
  <c r="BJ26" i="13"/>
  <c r="BI26" i="13"/>
  <c r="BH26" i="13"/>
  <c r="BG26" i="13"/>
  <c r="BF26" i="13"/>
  <c r="BE26" i="13"/>
  <c r="BD26" i="13"/>
  <c r="BC26" i="13"/>
  <c r="BB26" i="13"/>
  <c r="BA26" i="13"/>
  <c r="AZ26" i="13"/>
  <c r="AY26" i="13"/>
  <c r="AX26" i="13"/>
  <c r="AW26" i="13"/>
  <c r="AV26" i="13"/>
  <c r="BO25" i="13"/>
  <c r="BN25" i="13"/>
  <c r="BM25" i="13"/>
  <c r="BL25" i="13"/>
  <c r="BK25" i="13"/>
  <c r="BJ25" i="13"/>
  <c r="BI25" i="13"/>
  <c r="BH25" i="13"/>
  <c r="BG25" i="13"/>
  <c r="BF25" i="13"/>
  <c r="BE25" i="13"/>
  <c r="BD25" i="13"/>
  <c r="BC25" i="13"/>
  <c r="BB25" i="13"/>
  <c r="BA25" i="13"/>
  <c r="AZ25" i="13"/>
  <c r="AY25" i="13"/>
  <c r="AX25" i="13"/>
  <c r="AW25" i="13"/>
  <c r="AV25" i="13"/>
  <c r="BO24" i="13"/>
  <c r="BN24" i="13"/>
  <c r="BM24" i="13"/>
  <c r="BL24" i="13"/>
  <c r="BK24" i="13"/>
  <c r="BJ24" i="13"/>
  <c r="BI24" i="13"/>
  <c r="BH24" i="13"/>
  <c r="BG24" i="13"/>
  <c r="BF24" i="13"/>
  <c r="BE24" i="13"/>
  <c r="BD24" i="13"/>
  <c r="BC24" i="13"/>
  <c r="BB24" i="13"/>
  <c r="BA24" i="13"/>
  <c r="AZ24" i="13"/>
  <c r="AY24" i="13"/>
  <c r="AX24" i="13"/>
  <c r="AW24" i="13"/>
  <c r="AV24" i="13"/>
  <c r="BO23" i="13"/>
  <c r="BN23" i="13"/>
  <c r="BM23" i="13"/>
  <c r="BL23" i="13"/>
  <c r="BK23" i="13"/>
  <c r="BJ23" i="13"/>
  <c r="BI23" i="13"/>
  <c r="BH23" i="13"/>
  <c r="BG23" i="13"/>
  <c r="BF23" i="13"/>
  <c r="BE23" i="13"/>
  <c r="BD23" i="13"/>
  <c r="BC23" i="13"/>
  <c r="BB23" i="13"/>
  <c r="BA23" i="13"/>
  <c r="AZ23" i="13"/>
  <c r="AY23" i="13"/>
  <c r="AX23" i="13"/>
  <c r="AW23" i="13"/>
  <c r="AV23" i="13"/>
  <c r="BO22" i="13"/>
  <c r="BN22" i="13"/>
  <c r="BM22" i="13"/>
  <c r="BL22" i="13"/>
  <c r="BK22" i="13"/>
  <c r="BJ22" i="13"/>
  <c r="BI22" i="13"/>
  <c r="BH22" i="13"/>
  <c r="BG22" i="13"/>
  <c r="BF22" i="13"/>
  <c r="BE22" i="13"/>
  <c r="BD22" i="13"/>
  <c r="BC22" i="13"/>
  <c r="BB22" i="13"/>
  <c r="BA22" i="13"/>
  <c r="AZ22" i="13"/>
  <c r="AY22" i="13"/>
  <c r="AX22" i="13"/>
  <c r="AW22" i="13"/>
  <c r="AV22" i="13"/>
  <c r="BO21" i="13"/>
  <c r="BN21" i="13"/>
  <c r="BM21" i="13"/>
  <c r="BL21" i="13"/>
  <c r="BK21" i="13"/>
  <c r="BJ21" i="13"/>
  <c r="BI21" i="13"/>
  <c r="BH21" i="13"/>
  <c r="BG21" i="13"/>
  <c r="BF21" i="13"/>
  <c r="BE21" i="13"/>
  <c r="BD21" i="13"/>
  <c r="BC21" i="13"/>
  <c r="BB21" i="13"/>
  <c r="BA21" i="13"/>
  <c r="AZ21" i="13"/>
  <c r="AY21" i="13"/>
  <c r="AX21" i="13"/>
  <c r="AW21" i="13"/>
  <c r="AV21" i="13"/>
  <c r="BO20" i="13"/>
  <c r="BN20" i="13"/>
  <c r="BM20" i="13"/>
  <c r="BL20" i="13"/>
  <c r="BK20" i="13"/>
  <c r="BJ20" i="13"/>
  <c r="BI20" i="13"/>
  <c r="BH20" i="13"/>
  <c r="BG20" i="13"/>
  <c r="BF20" i="13"/>
  <c r="BE20" i="13"/>
  <c r="BD20" i="13"/>
  <c r="BC20" i="13"/>
  <c r="BB20" i="13"/>
  <c r="BA20" i="13"/>
  <c r="AZ20" i="13"/>
  <c r="AY20" i="13"/>
  <c r="AX20" i="13"/>
  <c r="AW20" i="13"/>
  <c r="AV20" i="13"/>
  <c r="BO19" i="13"/>
  <c r="BN19" i="13"/>
  <c r="BM19" i="13"/>
  <c r="BL19" i="13"/>
  <c r="BK19" i="13"/>
  <c r="BJ19" i="13"/>
  <c r="BI19" i="13"/>
  <c r="BH19" i="13"/>
  <c r="BG19" i="13"/>
  <c r="BF19" i="13"/>
  <c r="BE19" i="13"/>
  <c r="BD19" i="13"/>
  <c r="BC19" i="13"/>
  <c r="BB19" i="13"/>
  <c r="BA19" i="13"/>
  <c r="AZ19" i="13"/>
  <c r="AY19" i="13"/>
  <c r="AX19" i="13"/>
  <c r="AW19" i="13"/>
  <c r="AV19" i="13"/>
  <c r="BO18" i="13"/>
  <c r="BN18" i="13"/>
  <c r="BM18" i="13"/>
  <c r="BL18" i="13"/>
  <c r="BK18" i="13"/>
  <c r="BJ18" i="13"/>
  <c r="BI18" i="13"/>
  <c r="BH18" i="13"/>
  <c r="BG18" i="13"/>
  <c r="BF18" i="13"/>
  <c r="BE18" i="13"/>
  <c r="BD18" i="13"/>
  <c r="BC18" i="13"/>
  <c r="BB18" i="13"/>
  <c r="BA18" i="13"/>
  <c r="AZ18" i="13"/>
  <c r="AY18" i="13"/>
  <c r="AX18" i="13"/>
  <c r="AW18" i="13"/>
  <c r="AV18" i="13"/>
  <c r="BO17" i="13"/>
  <c r="BN17" i="13"/>
  <c r="BM17" i="13"/>
  <c r="BL17" i="13"/>
  <c r="BK17" i="13"/>
  <c r="BJ17" i="13"/>
  <c r="BI17" i="13"/>
  <c r="BH17" i="13"/>
  <c r="BG17" i="13"/>
  <c r="BF17" i="13"/>
  <c r="BE17" i="13"/>
  <c r="BD17" i="13"/>
  <c r="BC17" i="13"/>
  <c r="BB17" i="13"/>
  <c r="BA17" i="13"/>
  <c r="AZ17" i="13"/>
  <c r="AY17" i="13"/>
  <c r="AX17" i="13"/>
  <c r="AW17" i="13"/>
  <c r="AV17" i="13"/>
  <c r="BO16" i="13"/>
  <c r="BN16" i="13"/>
  <c r="BM16" i="13"/>
  <c r="BL16" i="13"/>
  <c r="BK16" i="13"/>
  <c r="BJ16" i="13"/>
  <c r="BI16" i="13"/>
  <c r="BH16" i="13"/>
  <c r="BG16" i="13"/>
  <c r="BF16" i="13"/>
  <c r="BE16" i="13"/>
  <c r="BD16" i="13"/>
  <c r="BC16" i="13"/>
  <c r="BB16" i="13"/>
  <c r="BA16" i="13"/>
  <c r="AZ16" i="13"/>
  <c r="AY16" i="13"/>
  <c r="AX16" i="13"/>
  <c r="AW16" i="13"/>
  <c r="AV16" i="13"/>
  <c r="BO15" i="13"/>
  <c r="BN15" i="13"/>
  <c r="BM15" i="13"/>
  <c r="BL15" i="13"/>
  <c r="BK15" i="13"/>
  <c r="BJ15" i="13"/>
  <c r="BI15" i="13"/>
  <c r="BH15" i="13"/>
  <c r="BG15" i="13"/>
  <c r="BF15" i="13"/>
  <c r="BE15" i="13"/>
  <c r="BD15" i="13"/>
  <c r="BC15" i="13"/>
  <c r="BB15" i="13"/>
  <c r="BA15" i="13"/>
  <c r="AZ15" i="13"/>
  <c r="AY15" i="13"/>
  <c r="AX15" i="13"/>
  <c r="AW15" i="13"/>
  <c r="AV15" i="13"/>
  <c r="BO14" i="13"/>
  <c r="BN14" i="13"/>
  <c r="BM14" i="13"/>
  <c r="BL14" i="13"/>
  <c r="BK14" i="13"/>
  <c r="BJ14" i="13"/>
  <c r="BI14" i="13"/>
  <c r="BH14" i="13"/>
  <c r="BG14" i="13"/>
  <c r="BF14" i="13"/>
  <c r="BE14" i="13"/>
  <c r="BD14" i="13"/>
  <c r="BC14" i="13"/>
  <c r="BB14" i="13"/>
  <c r="BA14" i="13"/>
  <c r="AZ14" i="13"/>
  <c r="AY14" i="13"/>
  <c r="AX14" i="13"/>
  <c r="AW14" i="13"/>
  <c r="AV14" i="13"/>
  <c r="BO13" i="13"/>
  <c r="BN13" i="13"/>
  <c r="BM13" i="13"/>
  <c r="BL13" i="13"/>
  <c r="BK13" i="13"/>
  <c r="BJ13" i="13"/>
  <c r="BI13" i="13"/>
  <c r="BH13" i="13"/>
  <c r="BG13" i="13"/>
  <c r="BF13" i="13"/>
  <c r="BE13" i="13"/>
  <c r="BD13" i="13"/>
  <c r="BC13" i="13"/>
  <c r="BB13" i="13"/>
  <c r="BA13" i="13"/>
  <c r="AZ13" i="13"/>
  <c r="AY13" i="13"/>
  <c r="AX13" i="13"/>
  <c r="AW13" i="13"/>
  <c r="AV13" i="13"/>
  <c r="BO12" i="13"/>
  <c r="BN12" i="13"/>
  <c r="BM12" i="13"/>
  <c r="BL12" i="13"/>
  <c r="BK12" i="13"/>
  <c r="BJ12" i="13"/>
  <c r="BI12" i="13"/>
  <c r="BH12" i="13"/>
  <c r="BG12" i="13"/>
  <c r="BF12" i="13"/>
  <c r="BE12" i="13"/>
  <c r="BD12" i="13"/>
  <c r="BC12" i="13"/>
  <c r="BB12" i="13"/>
  <c r="BA12" i="13"/>
  <c r="AZ12" i="13"/>
  <c r="AY12" i="13"/>
  <c r="AX12" i="13"/>
  <c r="AW12" i="13"/>
  <c r="AV12" i="13"/>
  <c r="BO11" i="13"/>
  <c r="BN11" i="13"/>
  <c r="BM11" i="13"/>
  <c r="BL11" i="13"/>
  <c r="BK11" i="13"/>
  <c r="BJ11" i="13"/>
  <c r="BI11" i="13"/>
  <c r="BH11" i="13"/>
  <c r="BG11" i="13"/>
  <c r="BF11" i="13"/>
  <c r="BE11" i="13"/>
  <c r="BD11" i="13"/>
  <c r="BC11" i="13"/>
  <c r="BB11" i="13"/>
  <c r="BA11" i="13"/>
  <c r="AZ11" i="13"/>
  <c r="AY11" i="13"/>
  <c r="AX11" i="13"/>
  <c r="AW11" i="13"/>
  <c r="AV11" i="13"/>
  <c r="BO10" i="13"/>
  <c r="BN10" i="13"/>
  <c r="BM10" i="13"/>
  <c r="BL10" i="13"/>
  <c r="BK10" i="13"/>
  <c r="BJ10" i="13"/>
  <c r="BI10" i="13"/>
  <c r="BH10" i="13"/>
  <c r="BG10" i="13"/>
  <c r="BF10" i="13"/>
  <c r="BE10" i="13"/>
  <c r="BD10" i="13"/>
  <c r="BC10" i="13"/>
  <c r="BB10" i="13"/>
  <c r="BA10" i="13"/>
  <c r="AZ10" i="13"/>
  <c r="AY10" i="13"/>
  <c r="AX10" i="13"/>
  <c r="AW10" i="13"/>
  <c r="AV10" i="13"/>
  <c r="BO9" i="13"/>
  <c r="BN9" i="13"/>
  <c r="BM9" i="13"/>
  <c r="BL9" i="13"/>
  <c r="BK9" i="13"/>
  <c r="BJ9" i="13"/>
  <c r="BI9" i="13"/>
  <c r="BH9" i="13"/>
  <c r="BG9" i="13"/>
  <c r="BF9" i="13"/>
  <c r="BE9" i="13"/>
  <c r="BD9" i="13"/>
  <c r="BC9" i="13"/>
  <c r="BB9" i="13"/>
  <c r="BA9" i="13"/>
  <c r="AZ9" i="13"/>
  <c r="AY9" i="13"/>
  <c r="AX9" i="13"/>
  <c r="AW9" i="13"/>
  <c r="AV9" i="13"/>
  <c r="BO8" i="13"/>
  <c r="BN8" i="13"/>
  <c r="BM8" i="13"/>
  <c r="BL8" i="13"/>
  <c r="BK8" i="13"/>
  <c r="BJ8" i="13"/>
  <c r="BI8" i="13"/>
  <c r="BH8" i="13"/>
  <c r="BG8" i="13"/>
  <c r="BF8" i="13"/>
  <c r="BE8" i="13"/>
  <c r="BD8" i="13"/>
  <c r="BC8" i="13"/>
  <c r="BB8" i="13"/>
  <c r="BA8" i="13"/>
  <c r="AZ8" i="13"/>
  <c r="AY8" i="13"/>
  <c r="AX8" i="13"/>
  <c r="AW8" i="13"/>
  <c r="AV8" i="13"/>
  <c r="BQ11" i="13" l="1"/>
  <c r="BQ12" i="13"/>
  <c r="BQ13" i="13"/>
  <c r="BQ14" i="13"/>
  <c r="BQ15" i="13"/>
  <c r="BQ16" i="13"/>
  <c r="BQ17" i="13"/>
  <c r="BQ18" i="13"/>
  <c r="BQ19" i="13"/>
  <c r="BQ20" i="13"/>
  <c r="BQ21" i="13"/>
  <c r="BQ22" i="13"/>
  <c r="BQ23" i="13"/>
  <c r="BQ24" i="13"/>
  <c r="BQ25" i="13"/>
  <c r="BQ27" i="13"/>
  <c r="BQ28" i="13"/>
  <c r="BQ29" i="13"/>
  <c r="BQ30" i="13"/>
  <c r="BQ31" i="13"/>
  <c r="BQ32" i="13"/>
  <c r="BQ33" i="13"/>
  <c r="BQ34" i="13"/>
  <c r="BQ35" i="13"/>
  <c r="BQ36" i="13"/>
  <c r="BQ37" i="13"/>
  <c r="BQ38" i="13"/>
  <c r="BQ40" i="13"/>
  <c r="BQ41" i="13"/>
  <c r="BQ42" i="13"/>
  <c r="BQ43" i="13"/>
  <c r="BQ44" i="13"/>
  <c r="BQ45" i="13"/>
  <c r="BQ46" i="13"/>
  <c r="BQ47" i="13"/>
  <c r="BQ48" i="13"/>
  <c r="BQ49" i="13"/>
  <c r="BQ50" i="13"/>
  <c r="BQ51" i="13"/>
  <c r="BQ52" i="13"/>
  <c r="BQ53" i="13"/>
  <c r="BQ54" i="13"/>
  <c r="BQ26" i="13"/>
  <c r="BQ8" i="13"/>
  <c r="BQ9" i="13"/>
  <c r="BQ10" i="13"/>
  <c r="BQ39" i="13"/>
  <c r="DI65" i="5"/>
  <c r="DH65" i="5"/>
  <c r="DG65" i="5"/>
  <c r="DF65" i="5"/>
  <c r="DE65" i="5"/>
  <c r="DD65" i="5"/>
  <c r="DC65" i="5"/>
  <c r="DB65" i="5"/>
  <c r="DA65" i="5"/>
  <c r="CZ65" i="5"/>
  <c r="CY65" i="5"/>
  <c r="CX65" i="5"/>
  <c r="CW65" i="5"/>
  <c r="CV65" i="5"/>
  <c r="CU65" i="5"/>
  <c r="CT65" i="5"/>
  <c r="CS65" i="5"/>
  <c r="CR65" i="5"/>
  <c r="CQ65" i="5"/>
  <c r="CP65" i="5"/>
  <c r="CO65" i="5"/>
  <c r="DI64" i="5"/>
  <c r="DH64" i="5"/>
  <c r="DG64" i="5"/>
  <c r="DF64" i="5"/>
  <c r="DE64" i="5"/>
  <c r="DD64" i="5"/>
  <c r="DC64" i="5"/>
  <c r="DB64" i="5"/>
  <c r="DA64" i="5"/>
  <c r="CZ64" i="5"/>
  <c r="CY64" i="5"/>
  <c r="CX64" i="5"/>
  <c r="CW64" i="5"/>
  <c r="CV64" i="5"/>
  <c r="CU64" i="5"/>
  <c r="CT64" i="5"/>
  <c r="CS64" i="5"/>
  <c r="CR64" i="5"/>
  <c r="CQ64" i="5"/>
  <c r="CP64" i="5"/>
  <c r="CO64" i="5"/>
  <c r="DI63" i="5"/>
  <c r="DH63" i="5"/>
  <c r="DG63" i="5"/>
  <c r="DF63" i="5"/>
  <c r="DE63" i="5"/>
  <c r="DD63" i="5"/>
  <c r="DC63" i="5"/>
  <c r="DB63" i="5"/>
  <c r="DA63" i="5"/>
  <c r="CZ63" i="5"/>
  <c r="CY63" i="5"/>
  <c r="CX63" i="5"/>
  <c r="CW63" i="5"/>
  <c r="CV63" i="5"/>
  <c r="CU63" i="5"/>
  <c r="CT63" i="5"/>
  <c r="CS63" i="5"/>
  <c r="CR63" i="5"/>
  <c r="CQ63" i="5"/>
  <c r="CP63" i="5"/>
  <c r="CO63" i="5"/>
  <c r="DI62" i="5"/>
  <c r="DH62" i="5"/>
  <c r="DG62" i="5"/>
  <c r="DF62" i="5"/>
  <c r="DE62" i="5"/>
  <c r="DD62" i="5"/>
  <c r="DC62" i="5"/>
  <c r="DB62" i="5"/>
  <c r="DA62" i="5"/>
  <c r="CZ62" i="5"/>
  <c r="CY62" i="5"/>
  <c r="CX62" i="5"/>
  <c r="CW62" i="5"/>
  <c r="CV62" i="5"/>
  <c r="CU62" i="5"/>
  <c r="CT62" i="5"/>
  <c r="CS62" i="5"/>
  <c r="CR62" i="5"/>
  <c r="CQ62" i="5"/>
  <c r="CP62" i="5"/>
  <c r="CO62" i="5"/>
  <c r="DI61" i="5"/>
  <c r="DH61" i="5"/>
  <c r="DG61" i="5"/>
  <c r="DF61" i="5"/>
  <c r="DE61" i="5"/>
  <c r="DD61" i="5"/>
  <c r="DC61" i="5"/>
  <c r="DB61" i="5"/>
  <c r="DA61" i="5"/>
  <c r="CZ61" i="5"/>
  <c r="CY61" i="5"/>
  <c r="CX61" i="5"/>
  <c r="CW61" i="5"/>
  <c r="CV61" i="5"/>
  <c r="CU61" i="5"/>
  <c r="CT61" i="5"/>
  <c r="CS61" i="5"/>
  <c r="CR61" i="5"/>
  <c r="CQ61" i="5"/>
  <c r="CP61" i="5"/>
  <c r="CO61" i="5"/>
  <c r="DI60" i="5"/>
  <c r="DH60" i="5"/>
  <c r="DG60" i="5"/>
  <c r="DF60" i="5"/>
  <c r="DE60" i="5"/>
  <c r="DD60" i="5"/>
  <c r="DC60" i="5"/>
  <c r="DB60" i="5"/>
  <c r="DA60" i="5"/>
  <c r="CZ60" i="5"/>
  <c r="CY60" i="5"/>
  <c r="CX60" i="5"/>
  <c r="CW60" i="5"/>
  <c r="CV60" i="5"/>
  <c r="CU60" i="5"/>
  <c r="CT60" i="5"/>
  <c r="CS60" i="5"/>
  <c r="CR60" i="5"/>
  <c r="CQ60" i="5"/>
  <c r="CP60" i="5"/>
  <c r="CO60" i="5"/>
  <c r="DI59" i="5"/>
  <c r="DH59" i="5"/>
  <c r="DG59" i="5"/>
  <c r="DF59" i="5"/>
  <c r="DE59" i="5"/>
  <c r="DD59" i="5"/>
  <c r="DC59" i="5"/>
  <c r="DB59" i="5"/>
  <c r="DA59" i="5"/>
  <c r="CZ59" i="5"/>
  <c r="CY59" i="5"/>
  <c r="CX59" i="5"/>
  <c r="CW59" i="5"/>
  <c r="CV59" i="5"/>
  <c r="CU59" i="5"/>
  <c r="CT59" i="5"/>
  <c r="CS59" i="5"/>
  <c r="CR59" i="5"/>
  <c r="CQ59" i="5"/>
  <c r="CP59" i="5"/>
  <c r="CO59" i="5"/>
  <c r="DI58" i="5"/>
  <c r="DH58" i="5"/>
  <c r="DG58" i="5"/>
  <c r="DF58" i="5"/>
  <c r="DE58" i="5"/>
  <c r="DD58" i="5"/>
  <c r="DC58" i="5"/>
  <c r="DB58" i="5"/>
  <c r="DA58" i="5"/>
  <c r="CZ58" i="5"/>
  <c r="CY58" i="5"/>
  <c r="CX58" i="5"/>
  <c r="CW58" i="5"/>
  <c r="CV58" i="5"/>
  <c r="CU58" i="5"/>
  <c r="CT58" i="5"/>
  <c r="CS58" i="5"/>
  <c r="CR58" i="5"/>
  <c r="CQ58" i="5"/>
  <c r="CP58" i="5"/>
  <c r="CO58" i="5"/>
  <c r="DI57" i="5"/>
  <c r="DH57" i="5"/>
  <c r="DG57" i="5"/>
  <c r="DF57" i="5"/>
  <c r="DE57" i="5"/>
  <c r="DD57" i="5"/>
  <c r="DC57" i="5"/>
  <c r="DB57" i="5"/>
  <c r="DA57" i="5"/>
  <c r="CZ57" i="5"/>
  <c r="CY57" i="5"/>
  <c r="CX57" i="5"/>
  <c r="CW57" i="5"/>
  <c r="CV57" i="5"/>
  <c r="CU57" i="5"/>
  <c r="CT57" i="5"/>
  <c r="CS57" i="5"/>
  <c r="CR57" i="5"/>
  <c r="CQ57" i="5"/>
  <c r="CP57" i="5"/>
  <c r="CO57" i="5"/>
  <c r="DI56" i="5"/>
  <c r="DH56" i="5"/>
  <c r="DG56" i="5"/>
  <c r="DF56" i="5"/>
  <c r="DE56" i="5"/>
  <c r="DD56" i="5"/>
  <c r="DC56" i="5"/>
  <c r="DB56" i="5"/>
  <c r="DA56" i="5"/>
  <c r="CZ56" i="5"/>
  <c r="CY56" i="5"/>
  <c r="CX56" i="5"/>
  <c r="CW56" i="5"/>
  <c r="CV56" i="5"/>
  <c r="CU56" i="5"/>
  <c r="CT56" i="5"/>
  <c r="CS56" i="5"/>
  <c r="CR56" i="5"/>
  <c r="CQ56" i="5"/>
  <c r="CP56" i="5"/>
  <c r="CO56" i="5"/>
  <c r="BR6" i="5"/>
  <c r="BS6" i="5"/>
  <c r="BT6" i="5"/>
  <c r="BU6" i="5"/>
  <c r="BV6" i="5"/>
  <c r="BW6" i="5"/>
  <c r="BX6" i="5"/>
  <c r="BY6" i="5"/>
  <c r="BZ6" i="5"/>
  <c r="CA6" i="5"/>
  <c r="CB6" i="5"/>
  <c r="CC6" i="5"/>
  <c r="CD6" i="5"/>
  <c r="BR56" i="5"/>
  <c r="BS56" i="5"/>
  <c r="BT56" i="5"/>
  <c r="BU56" i="5"/>
  <c r="BV56" i="5"/>
  <c r="BW56" i="5"/>
  <c r="BX56" i="5"/>
  <c r="BY56" i="5"/>
  <c r="BZ56" i="5"/>
  <c r="CA56" i="5"/>
  <c r="CB56" i="5"/>
  <c r="CC56" i="5"/>
  <c r="CD56" i="5"/>
  <c r="BR57" i="5"/>
  <c r="BS57" i="5"/>
  <c r="BT57" i="5"/>
  <c r="BU57" i="5"/>
  <c r="BV57" i="5"/>
  <c r="BW57" i="5"/>
  <c r="BX57" i="5"/>
  <c r="BY57" i="5"/>
  <c r="BZ57" i="5"/>
  <c r="CA57" i="5"/>
  <c r="CB57" i="5"/>
  <c r="CC57" i="5"/>
  <c r="CD57" i="5"/>
  <c r="BR58" i="5"/>
  <c r="BS58" i="5"/>
  <c r="BT58" i="5"/>
  <c r="BU58" i="5"/>
  <c r="BV58" i="5"/>
  <c r="BW58" i="5"/>
  <c r="BX58" i="5"/>
  <c r="BY58" i="5"/>
  <c r="BZ58" i="5"/>
  <c r="CA58" i="5"/>
  <c r="CB58" i="5"/>
  <c r="CC58" i="5"/>
  <c r="CD58" i="5"/>
  <c r="BR59" i="5"/>
  <c r="BS59" i="5"/>
  <c r="BT59" i="5"/>
  <c r="BU59" i="5"/>
  <c r="BV59" i="5"/>
  <c r="BW59" i="5"/>
  <c r="BX59" i="5"/>
  <c r="BY59" i="5"/>
  <c r="BZ59" i="5"/>
  <c r="CA59" i="5"/>
  <c r="CB59" i="5"/>
  <c r="CC59" i="5"/>
  <c r="CD59" i="5"/>
  <c r="BR60" i="5"/>
  <c r="BS60" i="5"/>
  <c r="BT60" i="5"/>
  <c r="BU60" i="5"/>
  <c r="BV60" i="5"/>
  <c r="BW60" i="5"/>
  <c r="BX60" i="5"/>
  <c r="BY60" i="5"/>
  <c r="BZ60" i="5"/>
  <c r="CA60" i="5"/>
  <c r="CB60" i="5"/>
  <c r="CC60" i="5"/>
  <c r="CD60" i="5"/>
  <c r="BR61" i="5"/>
  <c r="BS61" i="5"/>
  <c r="BT61" i="5"/>
  <c r="BU61" i="5"/>
  <c r="BV61" i="5"/>
  <c r="BW61" i="5"/>
  <c r="BX61" i="5"/>
  <c r="BY61" i="5"/>
  <c r="BZ61" i="5"/>
  <c r="CA61" i="5"/>
  <c r="CB61" i="5"/>
  <c r="CC61" i="5"/>
  <c r="CD61" i="5"/>
  <c r="BR62" i="5"/>
  <c r="BS62" i="5"/>
  <c r="BT62" i="5"/>
  <c r="BU62" i="5"/>
  <c r="BV62" i="5"/>
  <c r="BW62" i="5"/>
  <c r="BX62" i="5"/>
  <c r="BY62" i="5"/>
  <c r="BZ62" i="5"/>
  <c r="CA62" i="5"/>
  <c r="CB62" i="5"/>
  <c r="CC62" i="5"/>
  <c r="CD62" i="5"/>
  <c r="BR63" i="5"/>
  <c r="BS63" i="5"/>
  <c r="BT63" i="5"/>
  <c r="BU63" i="5"/>
  <c r="BV63" i="5"/>
  <c r="BW63" i="5"/>
  <c r="BX63" i="5"/>
  <c r="BY63" i="5"/>
  <c r="BZ63" i="5"/>
  <c r="CA63" i="5"/>
  <c r="CB63" i="5"/>
  <c r="CC63" i="5"/>
  <c r="CD63" i="5"/>
  <c r="BR64" i="5"/>
  <c r="BS64" i="5"/>
  <c r="BT64" i="5"/>
  <c r="BU64" i="5"/>
  <c r="BV64" i="5"/>
  <c r="BW64" i="5"/>
  <c r="BX64" i="5"/>
  <c r="BY64" i="5"/>
  <c r="BZ64" i="5"/>
  <c r="CA64" i="5"/>
  <c r="CB64" i="5"/>
  <c r="CC64" i="5"/>
  <c r="CD64" i="5"/>
  <c r="BR65" i="5"/>
  <c r="BS65" i="5"/>
  <c r="BT65" i="5"/>
  <c r="BU65" i="5"/>
  <c r="BV65" i="5"/>
  <c r="BW65" i="5"/>
  <c r="BX65" i="5"/>
  <c r="BY65" i="5"/>
  <c r="BZ65" i="5"/>
  <c r="CA65" i="5"/>
  <c r="CB65" i="5"/>
  <c r="CC65" i="5"/>
  <c r="CD65" i="5"/>
  <c r="CP6" i="5"/>
  <c r="CQ6" i="5"/>
  <c r="CR6" i="5"/>
  <c r="CS6" i="5"/>
  <c r="CT6" i="5"/>
  <c r="CU6" i="5"/>
  <c r="CV6" i="5"/>
  <c r="CW6" i="5"/>
  <c r="CX6" i="5"/>
  <c r="CY6" i="5"/>
  <c r="CZ6" i="5"/>
  <c r="DA6" i="5"/>
  <c r="DB6" i="5"/>
  <c r="DI6" i="5"/>
  <c r="BP65" i="17" l="1"/>
  <c r="BO65" i="17"/>
  <c r="BN65" i="17"/>
  <c r="BM65" i="17"/>
  <c r="BL65" i="17"/>
  <c r="BK65" i="17"/>
  <c r="BJ65" i="17"/>
  <c r="BI65" i="17"/>
  <c r="BH65" i="17"/>
  <c r="BG65" i="17"/>
  <c r="BF65" i="17"/>
  <c r="BE65" i="17"/>
  <c r="BD65" i="17"/>
  <c r="BC65" i="17"/>
  <c r="BB65" i="17"/>
  <c r="BA65" i="17"/>
  <c r="AZ65" i="17"/>
  <c r="AY65" i="17"/>
  <c r="AX65" i="17"/>
  <c r="AW65" i="17"/>
  <c r="AV65" i="17"/>
  <c r="BP64" i="17"/>
  <c r="BO64" i="17"/>
  <c r="BN64" i="17"/>
  <c r="BM64" i="17"/>
  <c r="BL64" i="17"/>
  <c r="BK64" i="17"/>
  <c r="BJ64" i="17"/>
  <c r="BI64" i="17"/>
  <c r="BH64" i="17"/>
  <c r="BG64" i="17"/>
  <c r="BF64" i="17"/>
  <c r="BE64" i="17"/>
  <c r="BD64" i="17"/>
  <c r="BC64" i="17"/>
  <c r="BB64" i="17"/>
  <c r="BA64" i="17"/>
  <c r="AZ64" i="17"/>
  <c r="AY64" i="17"/>
  <c r="AX64" i="17"/>
  <c r="AW64" i="17"/>
  <c r="AV64" i="17"/>
  <c r="BP63" i="17"/>
  <c r="BO63" i="17"/>
  <c r="BN63" i="17"/>
  <c r="BM63" i="17"/>
  <c r="BL63" i="17"/>
  <c r="BK63" i="17"/>
  <c r="BJ63" i="17"/>
  <c r="BI63" i="17"/>
  <c r="BH63" i="17"/>
  <c r="BG63" i="17"/>
  <c r="BF63" i="17"/>
  <c r="BE63" i="17"/>
  <c r="BD63" i="17"/>
  <c r="BC63" i="17"/>
  <c r="BB63" i="17"/>
  <c r="BA63" i="17"/>
  <c r="AZ63" i="17"/>
  <c r="AY63" i="17"/>
  <c r="AX63" i="17"/>
  <c r="AW63" i="17"/>
  <c r="AV63" i="17"/>
  <c r="BP62" i="17"/>
  <c r="BO62" i="17"/>
  <c r="BN62" i="17"/>
  <c r="BM62" i="17"/>
  <c r="BL62" i="17"/>
  <c r="BK62" i="17"/>
  <c r="BJ62" i="17"/>
  <c r="BI62" i="17"/>
  <c r="BH62" i="17"/>
  <c r="BG62" i="17"/>
  <c r="BF62" i="17"/>
  <c r="BE62" i="17"/>
  <c r="BD62" i="17"/>
  <c r="BC62" i="17"/>
  <c r="BB62" i="17"/>
  <c r="BA62" i="17"/>
  <c r="AZ62" i="17"/>
  <c r="AY62" i="17"/>
  <c r="AX62" i="17"/>
  <c r="AW62" i="17"/>
  <c r="AV62" i="17"/>
  <c r="BP61" i="17"/>
  <c r="BO61" i="17"/>
  <c r="BN61" i="17"/>
  <c r="BM61" i="17"/>
  <c r="BL61" i="17"/>
  <c r="BK61" i="17"/>
  <c r="BJ61" i="17"/>
  <c r="BI61" i="17"/>
  <c r="BH61" i="17"/>
  <c r="BG61" i="17"/>
  <c r="BF61" i="17"/>
  <c r="BE61" i="17"/>
  <c r="BD61" i="17"/>
  <c r="BC61" i="17"/>
  <c r="BB61" i="17"/>
  <c r="BA61" i="17"/>
  <c r="AZ61" i="17"/>
  <c r="AY61" i="17"/>
  <c r="AX61" i="17"/>
  <c r="AW61" i="17"/>
  <c r="AV61" i="17"/>
  <c r="BP60" i="17"/>
  <c r="BO60" i="17"/>
  <c r="BN60" i="17"/>
  <c r="BM60" i="17"/>
  <c r="BL60" i="17"/>
  <c r="BK60" i="17"/>
  <c r="BJ60" i="17"/>
  <c r="BI60" i="17"/>
  <c r="BH60" i="17"/>
  <c r="BG60" i="17"/>
  <c r="BF60" i="17"/>
  <c r="BE60" i="17"/>
  <c r="BD60" i="17"/>
  <c r="BC60" i="17"/>
  <c r="BB60" i="17"/>
  <c r="BA60" i="17"/>
  <c r="AZ60" i="17"/>
  <c r="AY60" i="17"/>
  <c r="AX60" i="17"/>
  <c r="AW60" i="17"/>
  <c r="AV60" i="17"/>
  <c r="BP59" i="17"/>
  <c r="BO59" i="17"/>
  <c r="BN59" i="17"/>
  <c r="BM59" i="17"/>
  <c r="BL59" i="17"/>
  <c r="BK59" i="17"/>
  <c r="BJ59" i="17"/>
  <c r="BI59" i="17"/>
  <c r="BH59" i="17"/>
  <c r="BG59" i="17"/>
  <c r="BF59" i="17"/>
  <c r="BE59" i="17"/>
  <c r="BD59" i="17"/>
  <c r="BC59" i="17"/>
  <c r="BB59" i="17"/>
  <c r="BA59" i="17"/>
  <c r="AZ59" i="17"/>
  <c r="AY59" i="17"/>
  <c r="AX59" i="17"/>
  <c r="AW59" i="17"/>
  <c r="AV59" i="17"/>
  <c r="BP58" i="17"/>
  <c r="BO58" i="17"/>
  <c r="BN58" i="17"/>
  <c r="BM58" i="17"/>
  <c r="BL58" i="17"/>
  <c r="BK58" i="17"/>
  <c r="BJ58" i="17"/>
  <c r="BI58" i="17"/>
  <c r="BH58" i="17"/>
  <c r="BG58" i="17"/>
  <c r="BF58" i="17"/>
  <c r="BE58" i="17"/>
  <c r="BD58" i="17"/>
  <c r="BC58" i="17"/>
  <c r="BB58" i="17"/>
  <c r="BA58" i="17"/>
  <c r="AZ58" i="17"/>
  <c r="AY58" i="17"/>
  <c r="AX58" i="17"/>
  <c r="AW58" i="17"/>
  <c r="AV58" i="17"/>
  <c r="BP57" i="17"/>
  <c r="BO57" i="17"/>
  <c r="BN57" i="17"/>
  <c r="BM57" i="17"/>
  <c r="BL57" i="17"/>
  <c r="BK57" i="17"/>
  <c r="BJ57" i="17"/>
  <c r="BI57" i="17"/>
  <c r="BH57" i="17"/>
  <c r="BG57" i="17"/>
  <c r="BF57" i="17"/>
  <c r="BE57" i="17"/>
  <c r="BD57" i="17"/>
  <c r="BC57" i="17"/>
  <c r="BB57" i="17"/>
  <c r="BA57" i="17"/>
  <c r="AZ57" i="17"/>
  <c r="AY57" i="17"/>
  <c r="AX57" i="17"/>
  <c r="AW57" i="17"/>
  <c r="AV57" i="17"/>
  <c r="BP56" i="17"/>
  <c r="BO56" i="17"/>
  <c r="BN56" i="17"/>
  <c r="BM56" i="17"/>
  <c r="BL56" i="17"/>
  <c r="BK56" i="17"/>
  <c r="BJ56" i="17"/>
  <c r="BI56" i="17"/>
  <c r="BH56" i="17"/>
  <c r="BG56" i="17"/>
  <c r="BF56" i="17"/>
  <c r="BE56" i="17"/>
  <c r="BD56" i="17"/>
  <c r="BC56" i="17"/>
  <c r="BB56" i="17"/>
  <c r="BA56" i="17"/>
  <c r="AZ56" i="17"/>
  <c r="AY56" i="17"/>
  <c r="AX56" i="17"/>
  <c r="AW56" i="17"/>
  <c r="AV56" i="17"/>
  <c r="BP55" i="17"/>
  <c r="BO55" i="17"/>
  <c r="BN55" i="17"/>
  <c r="BM55" i="17"/>
  <c r="BL55" i="17"/>
  <c r="BK55" i="17"/>
  <c r="BJ55" i="17"/>
  <c r="BI55" i="17"/>
  <c r="BH55" i="17"/>
  <c r="BG55" i="17"/>
  <c r="BF55" i="17"/>
  <c r="BE55" i="17"/>
  <c r="BD55" i="17"/>
  <c r="BC55" i="17"/>
  <c r="BB55" i="17"/>
  <c r="BA55" i="17"/>
  <c r="AZ55" i="17"/>
  <c r="AY55" i="17"/>
  <c r="AX55" i="17"/>
  <c r="AW55" i="17"/>
  <c r="AV55" i="17"/>
  <c r="BQ59" i="17" l="1"/>
  <c r="BQ63" i="17"/>
  <c r="BQ56" i="17"/>
  <c r="BQ55" i="17"/>
  <c r="BQ62" i="17"/>
  <c r="BQ64" i="17"/>
  <c r="BQ60" i="17"/>
  <c r="BQ61" i="17"/>
  <c r="BQ57" i="17"/>
  <c r="BQ58" i="17"/>
  <c r="BQ65" i="17"/>
  <c r="BP65" i="15"/>
  <c r="BO65" i="15"/>
  <c r="BN65" i="15"/>
  <c r="BM65" i="15"/>
  <c r="BL65" i="15"/>
  <c r="BK65" i="15"/>
  <c r="BJ65" i="15"/>
  <c r="BI65" i="15"/>
  <c r="BH65" i="15"/>
  <c r="BG65" i="15"/>
  <c r="BF65" i="15"/>
  <c r="BE65" i="15"/>
  <c r="BD65" i="15"/>
  <c r="BC65" i="15"/>
  <c r="BB65" i="15"/>
  <c r="BA65" i="15"/>
  <c r="AZ65" i="15"/>
  <c r="AY65" i="15"/>
  <c r="AX65" i="15"/>
  <c r="AW65" i="15"/>
  <c r="AV65" i="15"/>
  <c r="BP64" i="15"/>
  <c r="BO64" i="15"/>
  <c r="BN64" i="15"/>
  <c r="BM64" i="15"/>
  <c r="BL64" i="15"/>
  <c r="BK64" i="15"/>
  <c r="BJ64" i="15"/>
  <c r="BI64" i="15"/>
  <c r="BH64" i="15"/>
  <c r="BG64" i="15"/>
  <c r="BF64" i="15"/>
  <c r="BE64" i="15"/>
  <c r="BD64" i="15"/>
  <c r="BC64" i="15"/>
  <c r="BB64" i="15"/>
  <c r="BA64" i="15"/>
  <c r="AZ64" i="15"/>
  <c r="AY64" i="15"/>
  <c r="AX64" i="15"/>
  <c r="AW64" i="15"/>
  <c r="AV64" i="15"/>
  <c r="BP63" i="15"/>
  <c r="BO63" i="15"/>
  <c r="BN63" i="15"/>
  <c r="BM63" i="15"/>
  <c r="BL63" i="15"/>
  <c r="BK63" i="15"/>
  <c r="BJ63" i="15"/>
  <c r="BI63" i="15"/>
  <c r="BH63" i="15"/>
  <c r="BG63" i="15"/>
  <c r="BF63" i="15"/>
  <c r="BE63" i="15"/>
  <c r="BD63" i="15"/>
  <c r="BC63" i="15"/>
  <c r="BB63" i="15"/>
  <c r="BA63" i="15"/>
  <c r="AZ63" i="15"/>
  <c r="AY63" i="15"/>
  <c r="AX63" i="15"/>
  <c r="AW63" i="15"/>
  <c r="AV63" i="15"/>
  <c r="BP62" i="15"/>
  <c r="BO62" i="15"/>
  <c r="BN62" i="15"/>
  <c r="BM62" i="15"/>
  <c r="BL62" i="15"/>
  <c r="BK62" i="15"/>
  <c r="BJ62" i="15"/>
  <c r="BI62" i="15"/>
  <c r="BH62" i="15"/>
  <c r="BG62" i="15"/>
  <c r="BF62" i="15"/>
  <c r="BE62" i="15"/>
  <c r="BD62" i="15"/>
  <c r="BC62" i="15"/>
  <c r="BB62" i="15"/>
  <c r="BA62" i="15"/>
  <c r="AZ62" i="15"/>
  <c r="AY62" i="15"/>
  <c r="AX62" i="15"/>
  <c r="AW62" i="15"/>
  <c r="AV62" i="15"/>
  <c r="BP61" i="15"/>
  <c r="BO61" i="15"/>
  <c r="BN61" i="15"/>
  <c r="BM61" i="15"/>
  <c r="BL61" i="15"/>
  <c r="BK61" i="15"/>
  <c r="BJ61" i="15"/>
  <c r="BI61" i="15"/>
  <c r="BH61" i="15"/>
  <c r="BG61" i="15"/>
  <c r="BF61" i="15"/>
  <c r="BE61" i="15"/>
  <c r="BD61" i="15"/>
  <c r="BC61" i="15"/>
  <c r="BB61" i="15"/>
  <c r="BA61" i="15"/>
  <c r="AZ61" i="15"/>
  <c r="AY61" i="15"/>
  <c r="AX61" i="15"/>
  <c r="AW61" i="15"/>
  <c r="AV61" i="15"/>
  <c r="BP60" i="15"/>
  <c r="BO60" i="15"/>
  <c r="BN60" i="15"/>
  <c r="BM60" i="15"/>
  <c r="BL60" i="15"/>
  <c r="BK60" i="15"/>
  <c r="BJ60" i="15"/>
  <c r="BI60" i="15"/>
  <c r="BH60" i="15"/>
  <c r="BG60" i="15"/>
  <c r="BF60" i="15"/>
  <c r="BE60" i="15"/>
  <c r="BD60" i="15"/>
  <c r="BC60" i="15"/>
  <c r="BB60" i="15"/>
  <c r="BA60" i="15"/>
  <c r="AZ60" i="15"/>
  <c r="AY60" i="15"/>
  <c r="AX60" i="15"/>
  <c r="AW60" i="15"/>
  <c r="AV60" i="15"/>
  <c r="BP59" i="15"/>
  <c r="BO59" i="15"/>
  <c r="BN59" i="15"/>
  <c r="BM59" i="15"/>
  <c r="BL59" i="15"/>
  <c r="BK59" i="15"/>
  <c r="BJ59" i="15"/>
  <c r="BI59" i="15"/>
  <c r="BH59" i="15"/>
  <c r="BG59" i="15"/>
  <c r="BF59" i="15"/>
  <c r="BE59" i="15"/>
  <c r="BD59" i="15"/>
  <c r="BC59" i="15"/>
  <c r="BB59" i="15"/>
  <c r="BA59" i="15"/>
  <c r="AZ59" i="15"/>
  <c r="AY59" i="15"/>
  <c r="AX59" i="15"/>
  <c r="AW59" i="15"/>
  <c r="AV59" i="15"/>
  <c r="BP58" i="15"/>
  <c r="BO58" i="15"/>
  <c r="BN58" i="15"/>
  <c r="BM58" i="15"/>
  <c r="BL58" i="15"/>
  <c r="BK58" i="15"/>
  <c r="BJ58" i="15"/>
  <c r="BI58" i="15"/>
  <c r="BH58" i="15"/>
  <c r="BG58" i="15"/>
  <c r="BF58" i="15"/>
  <c r="BE58" i="15"/>
  <c r="BD58" i="15"/>
  <c r="BC58" i="15"/>
  <c r="BB58" i="15"/>
  <c r="BA58" i="15"/>
  <c r="AZ58" i="15"/>
  <c r="AY58" i="15"/>
  <c r="AX58" i="15"/>
  <c r="AW58" i="15"/>
  <c r="AV58" i="15"/>
  <c r="BP57" i="15"/>
  <c r="BO57" i="15"/>
  <c r="BN57" i="15"/>
  <c r="BM57" i="15"/>
  <c r="BL57" i="15"/>
  <c r="BK57" i="15"/>
  <c r="BJ57" i="15"/>
  <c r="BI57" i="15"/>
  <c r="BH57" i="15"/>
  <c r="BG57" i="15"/>
  <c r="BF57" i="15"/>
  <c r="BE57" i="15"/>
  <c r="BD57" i="15"/>
  <c r="BC57" i="15"/>
  <c r="BB57" i="15"/>
  <c r="BA57" i="15"/>
  <c r="AZ57" i="15"/>
  <c r="AY57" i="15"/>
  <c r="AX57" i="15"/>
  <c r="AW57" i="15"/>
  <c r="AV57" i="15"/>
  <c r="BP56" i="15"/>
  <c r="BO56" i="15"/>
  <c r="BN56" i="15"/>
  <c r="BM56" i="15"/>
  <c r="BL56" i="15"/>
  <c r="BK56" i="15"/>
  <c r="BJ56" i="15"/>
  <c r="BI56" i="15"/>
  <c r="BH56" i="15"/>
  <c r="BG56" i="15"/>
  <c r="BF56" i="15"/>
  <c r="BE56" i="15"/>
  <c r="BD56" i="15"/>
  <c r="BC56" i="15"/>
  <c r="BB56" i="15"/>
  <c r="BA56" i="15"/>
  <c r="AZ56" i="15"/>
  <c r="AY56" i="15"/>
  <c r="AX56" i="15"/>
  <c r="AW56" i="15"/>
  <c r="AV56" i="15"/>
  <c r="BP55" i="15"/>
  <c r="BO55" i="15"/>
  <c r="BN55" i="15"/>
  <c r="BM55" i="15"/>
  <c r="BL55" i="15"/>
  <c r="BK55" i="15"/>
  <c r="BJ55" i="15"/>
  <c r="BI55" i="15"/>
  <c r="BH55" i="15"/>
  <c r="BG55" i="15"/>
  <c r="BF55" i="15"/>
  <c r="BE55" i="15"/>
  <c r="BD55" i="15"/>
  <c r="BC55" i="15"/>
  <c r="BB55" i="15"/>
  <c r="BA55" i="15"/>
  <c r="AZ55" i="15"/>
  <c r="AY55" i="15"/>
  <c r="AX55" i="15"/>
  <c r="AW55" i="15"/>
  <c r="AV55" i="15"/>
  <c r="BQ63" i="15" l="1"/>
  <c r="BQ64" i="15"/>
  <c r="BQ65" i="15"/>
  <c r="BQ56" i="15"/>
  <c r="BQ55" i="15"/>
  <c r="BQ60" i="15"/>
  <c r="BQ61" i="15"/>
  <c r="BQ62" i="15"/>
  <c r="BQ57" i="15"/>
  <c r="BQ58" i="15"/>
  <c r="BQ59" i="15"/>
  <c r="CL65" i="5"/>
  <c r="CK65" i="5"/>
  <c r="CJ65" i="5"/>
  <c r="CI65" i="5"/>
  <c r="CH65" i="5"/>
  <c r="CG65" i="5"/>
  <c r="CF65" i="5"/>
  <c r="CE65" i="5"/>
  <c r="CL64" i="5"/>
  <c r="CK64" i="5"/>
  <c r="CJ64" i="5"/>
  <c r="CI64" i="5"/>
  <c r="CH64" i="5"/>
  <c r="CG64" i="5"/>
  <c r="CF64" i="5"/>
  <c r="CE64" i="5"/>
  <c r="CL63" i="5"/>
  <c r="CK63" i="5"/>
  <c r="CJ63" i="5"/>
  <c r="CI63" i="5"/>
  <c r="CH63" i="5"/>
  <c r="CG63" i="5"/>
  <c r="CF63" i="5"/>
  <c r="CE63" i="5"/>
  <c r="CL62" i="5"/>
  <c r="CK62" i="5"/>
  <c r="CJ62" i="5"/>
  <c r="CI62" i="5"/>
  <c r="CH62" i="5"/>
  <c r="CG62" i="5"/>
  <c r="CF62" i="5"/>
  <c r="CE62" i="5"/>
  <c r="CL61" i="5"/>
  <c r="CK61" i="5"/>
  <c r="CJ61" i="5"/>
  <c r="CI61" i="5"/>
  <c r="CH61" i="5"/>
  <c r="CG61" i="5"/>
  <c r="CF61" i="5"/>
  <c r="CE61" i="5"/>
  <c r="CL60" i="5"/>
  <c r="CK60" i="5"/>
  <c r="CJ60" i="5"/>
  <c r="CI60" i="5"/>
  <c r="CH60" i="5"/>
  <c r="CG60" i="5"/>
  <c r="CF60" i="5"/>
  <c r="CE60" i="5"/>
  <c r="CL59" i="5"/>
  <c r="CK59" i="5"/>
  <c r="CJ59" i="5"/>
  <c r="CI59" i="5"/>
  <c r="CH59" i="5"/>
  <c r="CG59" i="5"/>
  <c r="CF59" i="5"/>
  <c r="CE59" i="5"/>
  <c r="CL58" i="5"/>
  <c r="CK58" i="5"/>
  <c r="CJ58" i="5"/>
  <c r="CI58" i="5"/>
  <c r="CH58" i="5"/>
  <c r="CG58" i="5"/>
  <c r="CF58" i="5"/>
  <c r="CE58" i="5"/>
  <c r="CL57" i="5"/>
  <c r="CK57" i="5"/>
  <c r="CJ57" i="5"/>
  <c r="CI57" i="5"/>
  <c r="CH57" i="5"/>
  <c r="CG57" i="5"/>
  <c r="CF57" i="5"/>
  <c r="CE57" i="5"/>
  <c r="CL56" i="5"/>
  <c r="CK56" i="5"/>
  <c r="CJ56" i="5"/>
  <c r="CI56" i="5"/>
  <c r="CH56" i="5"/>
  <c r="CG56" i="5"/>
  <c r="CF56" i="5"/>
  <c r="CE56" i="5"/>
  <c r="CL36" i="5"/>
  <c r="CL35" i="5"/>
  <c r="CL34" i="5"/>
  <c r="CL33" i="5"/>
  <c r="CL32" i="5"/>
  <c r="CL31" i="5"/>
  <c r="CL30" i="5"/>
  <c r="CL29" i="5"/>
  <c r="CL28" i="5"/>
  <c r="CL27" i="5"/>
  <c r="CL26" i="5"/>
  <c r="A21" i="17" l="1"/>
  <c r="A21" i="15"/>
  <c r="A32" i="17"/>
  <c r="A32" i="15"/>
  <c r="A14" i="17"/>
  <c r="A14" i="15"/>
  <c r="A22" i="17"/>
  <c r="A22" i="15"/>
  <c r="A7" i="17"/>
  <c r="A7" i="15"/>
  <c r="A16" i="17"/>
  <c r="A16" i="15"/>
  <c r="A10" i="17"/>
  <c r="A10" i="15"/>
  <c r="A25" i="17"/>
  <c r="A25" i="15"/>
  <c r="A31" i="17"/>
  <c r="A31" i="15"/>
  <c r="A15" i="17"/>
  <c r="A15" i="15"/>
  <c r="A33" i="17"/>
  <c r="A33" i="15"/>
  <c r="A19" i="17"/>
  <c r="A19" i="15"/>
  <c r="A26" i="17"/>
  <c r="A26" i="15"/>
  <c r="A8" i="17"/>
  <c r="A8" i="15"/>
  <c r="A28" i="17"/>
  <c r="A28" i="15"/>
  <c r="A18" i="17"/>
  <c r="A18" i="15"/>
  <c r="A12" i="17"/>
  <c r="A12" i="15"/>
  <c r="A23" i="17"/>
  <c r="A23" i="15"/>
  <c r="A29" i="17"/>
  <c r="A29" i="15"/>
  <c r="A35" i="17"/>
  <c r="A35" i="15"/>
  <c r="A9" i="17"/>
  <c r="A9" i="15"/>
  <c r="A20" i="17"/>
  <c r="A20" i="15"/>
  <c r="A27" i="17"/>
  <c r="A27" i="15"/>
  <c r="A13" i="17"/>
  <c r="A13" i="15"/>
  <c r="A34" i="17"/>
  <c r="A34" i="15"/>
  <c r="A17" i="17"/>
  <c r="A17" i="15"/>
  <c r="A11" i="17"/>
  <c r="A11" i="15"/>
  <c r="A24" i="17"/>
  <c r="A24" i="15"/>
  <c r="A30" i="17"/>
  <c r="A30" i="15"/>
  <c r="A36" i="17"/>
  <c r="AT54" i="14" l="1"/>
  <c r="BP54" i="14" s="1"/>
  <c r="AP54" i="14"/>
  <c r="BL54" i="14" s="1"/>
  <c r="AI54" i="14"/>
  <c r="BE54" i="14" s="1"/>
  <c r="AH54" i="14"/>
  <c r="BD54" i="14" s="1"/>
  <c r="AG54" i="14"/>
  <c r="BC54" i="14" s="1"/>
  <c r="AF54" i="14"/>
  <c r="BB54" i="14" s="1"/>
  <c r="AD54" i="14"/>
  <c r="AZ54" i="14" s="1"/>
  <c r="AC54" i="14"/>
  <c r="AY54" i="14" s="1"/>
  <c r="AT53" i="14"/>
  <c r="AP53" i="14"/>
  <c r="BL53" i="14" s="1"/>
  <c r="AI53" i="14"/>
  <c r="BE53" i="14" s="1"/>
  <c r="AH53" i="14"/>
  <c r="BD53" i="14" s="1"/>
  <c r="AG53" i="14"/>
  <c r="BC53" i="14" s="1"/>
  <c r="AF53" i="14"/>
  <c r="BB53" i="14" s="1"/>
  <c r="AD53" i="14"/>
  <c r="AZ53" i="14" s="1"/>
  <c r="AC53" i="14"/>
  <c r="AY53" i="14" s="1"/>
  <c r="AT52" i="14"/>
  <c r="BP52" i="14" s="1"/>
  <c r="AP52" i="14"/>
  <c r="BL52" i="14" s="1"/>
  <c r="AI52" i="14"/>
  <c r="BE52" i="14" s="1"/>
  <c r="AH52" i="14"/>
  <c r="BD52" i="14" s="1"/>
  <c r="AG52" i="14"/>
  <c r="BC52" i="14" s="1"/>
  <c r="AF52" i="14"/>
  <c r="BB52" i="14" s="1"/>
  <c r="AD52" i="14"/>
  <c r="AZ52" i="14" s="1"/>
  <c r="AC52" i="14"/>
  <c r="AY52" i="14" s="1"/>
  <c r="AT54" i="18"/>
  <c r="BP54" i="18" s="1"/>
  <c r="AP54" i="18"/>
  <c r="BL54" i="18" s="1"/>
  <c r="AF54" i="18"/>
  <c r="BB54" i="18" s="1"/>
  <c r="AG53" i="18"/>
  <c r="BC53" i="18" s="1"/>
  <c r="AT52" i="18"/>
  <c r="BP52" i="18" s="1"/>
  <c r="AP52" i="18"/>
  <c r="BL52" i="18" s="1"/>
  <c r="AF52" i="18"/>
  <c r="BB52" i="18" s="1"/>
  <c r="AC53" i="18" l="1"/>
  <c r="AY53" i="18" s="1"/>
  <c r="AH54" i="18"/>
  <c r="BD54" i="18" s="1"/>
  <c r="AI53" i="18"/>
  <c r="BE53" i="18" s="1"/>
  <c r="AH52" i="18"/>
  <c r="BD52" i="18" s="1"/>
  <c r="AD52" i="18"/>
  <c r="AZ52" i="18" s="1"/>
  <c r="AD54" i="18"/>
  <c r="AZ54" i="18" s="1"/>
  <c r="AT53" i="18"/>
  <c r="BP53" i="18" s="1"/>
  <c r="BP53" i="14"/>
  <c r="AC52" i="18"/>
  <c r="AY52" i="18" s="1"/>
  <c r="AF53" i="18"/>
  <c r="BB53" i="18" s="1"/>
  <c r="AH53" i="18"/>
  <c r="BD53" i="18" s="1"/>
  <c r="AP53" i="18"/>
  <c r="BL53" i="18" s="1"/>
  <c r="AC54" i="18"/>
  <c r="AY54" i="18" s="1"/>
  <c r="AG52" i="18"/>
  <c r="BC52" i="18" s="1"/>
  <c r="AI52" i="18"/>
  <c r="BE52" i="18" s="1"/>
  <c r="AD53" i="18"/>
  <c r="AZ53" i="18" s="1"/>
  <c r="AG54" i="18"/>
  <c r="BC54" i="18" s="1"/>
  <c r="AI54" i="18"/>
  <c r="BE54" i="18" s="1"/>
  <c r="B52" i="14" l="1"/>
  <c r="B52" i="18" s="1"/>
  <c r="B53" i="14"/>
  <c r="B53" i="18" s="1"/>
  <c r="B54" i="14"/>
  <c r="B54" i="18" s="1"/>
  <c r="A19" i="14" l="1"/>
  <c r="A7" i="14"/>
  <c r="A18" i="14"/>
  <c r="A18" i="18" s="1"/>
  <c r="A14" i="14"/>
  <c r="A14" i="18" s="1"/>
  <c r="A10" i="14"/>
  <c r="A29" i="14"/>
  <c r="A25" i="14"/>
  <c r="A40" i="14"/>
  <c r="A40" i="18" s="1"/>
  <c r="A36" i="14"/>
  <c r="A32" i="14"/>
  <c r="A32" i="18" s="1"/>
  <c r="A50" i="14"/>
  <c r="A46" i="14"/>
  <c r="A42" i="14"/>
  <c r="A21" i="14"/>
  <c r="A21" i="18" s="1"/>
  <c r="A17" i="14"/>
  <c r="A13" i="14"/>
  <c r="A13" i="18" s="1"/>
  <c r="A9" i="14"/>
  <c r="A28" i="14"/>
  <c r="A24" i="14"/>
  <c r="A39" i="14"/>
  <c r="A39" i="18" s="1"/>
  <c r="A35" i="14"/>
  <c r="A31" i="14"/>
  <c r="A31" i="18" s="1"/>
  <c r="A49" i="14"/>
  <c r="A45" i="14"/>
  <c r="A54" i="14"/>
  <c r="AR54" i="14"/>
  <c r="AM54" i="14"/>
  <c r="AO54" i="14"/>
  <c r="AK54" i="14"/>
  <c r="AN54" i="14"/>
  <c r="A20" i="14"/>
  <c r="A20" i="18" s="1"/>
  <c r="A16" i="14"/>
  <c r="A12" i="14"/>
  <c r="A12" i="18" s="1"/>
  <c r="A8" i="14"/>
  <c r="A27" i="14"/>
  <c r="A23" i="14"/>
  <c r="A38" i="14"/>
  <c r="A34" i="14"/>
  <c r="A41" i="14"/>
  <c r="A41" i="18" s="1"/>
  <c r="A48" i="14"/>
  <c r="A48" i="18" s="1"/>
  <c r="A44" i="14"/>
  <c r="A53" i="14"/>
  <c r="AS53" i="14"/>
  <c r="AN53" i="14"/>
  <c r="AR53" i="14"/>
  <c r="AM53" i="14"/>
  <c r="AQ53" i="14"/>
  <c r="AL53" i="14"/>
  <c r="AO53" i="14"/>
  <c r="AK53" i="14"/>
  <c r="A15" i="14"/>
  <c r="A15" i="18" s="1"/>
  <c r="A11" i="14"/>
  <c r="A11" i="18" s="1"/>
  <c r="A22" i="14"/>
  <c r="A26" i="14"/>
  <c r="A30" i="14"/>
  <c r="A30" i="18" s="1"/>
  <c r="A37" i="14"/>
  <c r="A33" i="14"/>
  <c r="A51" i="14"/>
  <c r="A47" i="14"/>
  <c r="A47" i="18" s="1"/>
  <c r="A43" i="14"/>
  <c r="A52" i="14"/>
  <c r="A52" i="18" s="1"/>
  <c r="AO52" i="14"/>
  <c r="AK52" i="14"/>
  <c r="AS52" i="14"/>
  <c r="AN52" i="14"/>
  <c r="AR52" i="14"/>
  <c r="AM52" i="14"/>
  <c r="AQ52" i="14"/>
  <c r="AL52" i="14"/>
  <c r="A25" i="18"/>
  <c r="A50" i="18"/>
  <c r="A42" i="18"/>
  <c r="A9" i="18"/>
  <c r="A24" i="18"/>
  <c r="A49" i="18"/>
  <c r="A54" i="18"/>
  <c r="A8" i="18"/>
  <c r="A27" i="18"/>
  <c r="A23" i="18"/>
  <c r="A38" i="18"/>
  <c r="A53" i="18"/>
  <c r="A19" i="18"/>
  <c r="A26" i="18"/>
  <c r="A33" i="18"/>
  <c r="A51" i="18"/>
  <c r="AA54" i="14"/>
  <c r="AS54" i="14"/>
  <c r="AQ54" i="14"/>
  <c r="AL54" i="14"/>
  <c r="AQ54" i="18" l="1"/>
  <c r="BM54" i="18" s="1"/>
  <c r="BM54" i="14"/>
  <c r="AA54" i="18"/>
  <c r="AW54" i="18" s="1"/>
  <c r="AW54" i="14"/>
  <c r="AQ52" i="18"/>
  <c r="BM52" i="18" s="1"/>
  <c r="BM52" i="14"/>
  <c r="AR52" i="18"/>
  <c r="BN52" i="18" s="1"/>
  <c r="BN52" i="14"/>
  <c r="AS52" i="18"/>
  <c r="BO52" i="18" s="1"/>
  <c r="BO52" i="14"/>
  <c r="AO52" i="18"/>
  <c r="BK52" i="18" s="1"/>
  <c r="BK52" i="14"/>
  <c r="AK53" i="18"/>
  <c r="BG53" i="18" s="1"/>
  <c r="BG53" i="14"/>
  <c r="AL53" i="18"/>
  <c r="BH53" i="18" s="1"/>
  <c r="BH53" i="14"/>
  <c r="AM53" i="18"/>
  <c r="BI53" i="18" s="1"/>
  <c r="BI53" i="14"/>
  <c r="AN53" i="18"/>
  <c r="BJ53" i="18" s="1"/>
  <c r="BJ53" i="14"/>
  <c r="AN54" i="18"/>
  <c r="BJ54" i="18" s="1"/>
  <c r="BJ54" i="14"/>
  <c r="AO54" i="18"/>
  <c r="BK54" i="18" s="1"/>
  <c r="BK54" i="14"/>
  <c r="AR54" i="18"/>
  <c r="BN54" i="18" s="1"/>
  <c r="BN54" i="14"/>
  <c r="AL54" i="18"/>
  <c r="BH54" i="18" s="1"/>
  <c r="BH54" i="14"/>
  <c r="AS54" i="18"/>
  <c r="BO54" i="18" s="1"/>
  <c r="BO54" i="14"/>
  <c r="AL52" i="18"/>
  <c r="BH52" i="18" s="1"/>
  <c r="BH52" i="14"/>
  <c r="AM52" i="18"/>
  <c r="BI52" i="18" s="1"/>
  <c r="BI52" i="14"/>
  <c r="AN52" i="18"/>
  <c r="BJ52" i="18" s="1"/>
  <c r="BJ52" i="14"/>
  <c r="AK52" i="18"/>
  <c r="BG52" i="18" s="1"/>
  <c r="BG52" i="14"/>
  <c r="AO53" i="18"/>
  <c r="BK53" i="18" s="1"/>
  <c r="BK53" i="14"/>
  <c r="AQ53" i="18"/>
  <c r="BM53" i="18" s="1"/>
  <c r="BM53" i="14"/>
  <c r="AR53" i="18"/>
  <c r="BN53" i="18" s="1"/>
  <c r="BN53" i="14"/>
  <c r="AS53" i="18"/>
  <c r="BO53" i="18" s="1"/>
  <c r="BO53" i="14"/>
  <c r="AK54" i="18"/>
  <c r="BG54" i="18" s="1"/>
  <c r="BG54" i="14"/>
  <c r="AM54" i="18"/>
  <c r="BI54" i="18" s="1"/>
  <c r="BI54" i="14"/>
  <c r="A22" i="18"/>
  <c r="A37" i="18"/>
  <c r="AA53" i="14"/>
  <c r="A7" i="18"/>
  <c r="AA52" i="14"/>
  <c r="A34" i="18"/>
  <c r="A46" i="18"/>
  <c r="A43" i="18"/>
  <c r="A44" i="18"/>
  <c r="A36" i="18"/>
  <c r="A29" i="18"/>
  <c r="A10" i="18"/>
  <c r="A45" i="18"/>
  <c r="A35" i="18"/>
  <c r="A17" i="18"/>
  <c r="A16" i="18"/>
  <c r="A28" i="18"/>
  <c r="H162" i="4"/>
  <c r="E159" i="4"/>
  <c r="D159" i="4"/>
  <c r="C163" i="4" s="1"/>
  <c r="D163" i="4" s="1"/>
  <c r="E163" i="4" s="1"/>
  <c r="F163" i="4" s="1"/>
  <c r="G163" i="4" s="1"/>
  <c r="H163" i="4" s="1"/>
  <c r="E142" i="4" s="1"/>
  <c r="H153" i="4"/>
  <c r="E150" i="4"/>
  <c r="C154" i="4" s="1"/>
  <c r="D154" i="4" s="1"/>
  <c r="E154" i="4" s="1"/>
  <c r="F154" i="4" s="1"/>
  <c r="G154" i="4" s="1"/>
  <c r="H154" i="4" s="1"/>
  <c r="E138" i="4" s="1"/>
  <c r="D150" i="4"/>
  <c r="A144" i="4"/>
  <c r="A142" i="4"/>
  <c r="A141" i="4"/>
  <c r="A140" i="4"/>
  <c r="A139" i="4"/>
  <c r="A138" i="4"/>
  <c r="F144" i="4" s="1"/>
  <c r="E137" i="4"/>
  <c r="B137" i="4"/>
  <c r="AA52" i="18" l="1"/>
  <c r="AW52" i="18" s="1"/>
  <c r="AW52" i="14"/>
  <c r="AA53" i="18"/>
  <c r="AW53" i="18" s="1"/>
  <c r="AW53" i="14"/>
  <c r="B138" i="4"/>
  <c r="B142" i="4"/>
  <c r="B139" i="4"/>
  <c r="B141" i="4"/>
  <c r="F137" i="4"/>
  <c r="G137" i="4" s="1"/>
  <c r="H137" i="4" s="1"/>
  <c r="G144" i="4"/>
  <c r="B140" i="4"/>
  <c r="B144" i="4" s="1"/>
  <c r="C16" i="2" s="1"/>
  <c r="H144" i="4"/>
  <c r="D144" i="4"/>
  <c r="C53" i="2" s="1"/>
  <c r="E144" i="4"/>
  <c r="H16" i="2" s="1"/>
  <c r="C39" i="27" l="1"/>
  <c r="C35" i="27"/>
  <c r="C45" i="27" s="1"/>
  <c r="C58" i="27" s="1"/>
  <c r="C41" i="23"/>
  <c r="C37" i="23" s="1"/>
  <c r="C49" i="23" s="1"/>
  <c r="C62" i="23" s="1"/>
  <c r="D53" i="2"/>
  <c r="C54" i="2"/>
  <c r="D77" i="28" l="1"/>
  <c r="E88" i="28" l="1"/>
  <c r="E87" i="28"/>
  <c r="E86" i="28"/>
  <c r="E85" i="28"/>
  <c r="E84" i="28"/>
  <c r="E83" i="28"/>
  <c r="C82" i="28"/>
  <c r="E82" i="28" s="1"/>
  <c r="C81" i="28"/>
  <c r="E81" i="28" s="1"/>
  <c r="C80" i="28"/>
  <c r="E80" i="28" s="1"/>
  <c r="E53" i="28"/>
  <c r="E52" i="28" s="1"/>
  <c r="D52" i="28"/>
  <c r="D57" i="28" s="1"/>
  <c r="D70" i="28" s="1"/>
  <c r="E89" i="28" l="1"/>
  <c r="E49" i="28" l="1"/>
  <c r="E57" i="28" s="1"/>
  <c r="E70" i="28" s="1"/>
  <c r="D20" i="9"/>
  <c r="C20" i="9"/>
  <c r="F37" i="9" l="1"/>
  <c r="B51" i="14" l="1"/>
  <c r="B51" i="18" s="1"/>
  <c r="B50" i="14"/>
  <c r="B50" i="18" s="1"/>
  <c r="B49" i="14"/>
  <c r="B49" i="18" s="1"/>
  <c r="B48" i="14"/>
  <c r="B48" i="18" s="1"/>
  <c r="B47" i="14"/>
  <c r="B47" i="18" s="1"/>
  <c r="B46" i="14"/>
  <c r="B46" i="18" s="1"/>
  <c r="B45" i="14"/>
  <c r="B45" i="18" s="1"/>
  <c r="B44" i="14"/>
  <c r="B44" i="18" s="1"/>
  <c r="B43" i="14"/>
  <c r="B43" i="18" s="1"/>
  <c r="B42" i="14"/>
  <c r="B42" i="18" s="1"/>
  <c r="B41" i="14"/>
  <c r="B41" i="18" s="1"/>
  <c r="B40" i="14"/>
  <c r="B40" i="18" s="1"/>
  <c r="B39" i="14"/>
  <c r="B39" i="18" s="1"/>
  <c r="B38" i="14"/>
  <c r="B38" i="18" s="1"/>
  <c r="B37" i="14"/>
  <c r="B37" i="18" s="1"/>
  <c r="B36" i="14"/>
  <c r="B36" i="18" s="1"/>
  <c r="B35" i="14"/>
  <c r="B35" i="18" s="1"/>
  <c r="B34" i="14"/>
  <c r="B34" i="18" s="1"/>
  <c r="B33" i="14"/>
  <c r="B33" i="18" s="1"/>
  <c r="B32" i="14"/>
  <c r="B32" i="18" s="1"/>
  <c r="B31" i="14"/>
  <c r="B31" i="18" s="1"/>
  <c r="B30" i="14"/>
  <c r="B30" i="18" s="1"/>
  <c r="B29" i="14"/>
  <c r="B29" i="18" s="1"/>
  <c r="B28" i="14"/>
  <c r="B28" i="18" s="1"/>
  <c r="B27" i="14"/>
  <c r="B27" i="18" s="1"/>
  <c r="B26" i="14"/>
  <c r="B26" i="18" s="1"/>
  <c r="B25" i="14"/>
  <c r="B25" i="18" s="1"/>
  <c r="B24" i="14"/>
  <c r="B24" i="18" s="1"/>
  <c r="B23" i="14"/>
  <c r="B23" i="18" s="1"/>
  <c r="B22" i="14"/>
  <c r="B22" i="18" s="1"/>
  <c r="B21" i="14"/>
  <c r="B21" i="18" s="1"/>
  <c r="B20" i="14"/>
  <c r="B20" i="18" s="1"/>
  <c r="B19" i="14"/>
  <c r="B19" i="18" s="1"/>
  <c r="B18" i="14"/>
  <c r="B18" i="18" s="1"/>
  <c r="B17" i="14"/>
  <c r="B17" i="18" s="1"/>
  <c r="B16" i="14"/>
  <c r="B16" i="18" s="1"/>
  <c r="B15" i="14"/>
  <c r="B15" i="18" s="1"/>
  <c r="B14" i="14"/>
  <c r="B14" i="18" s="1"/>
  <c r="B13" i="14"/>
  <c r="B13" i="18" s="1"/>
  <c r="B12" i="14"/>
  <c r="B12" i="18" s="1"/>
  <c r="B11" i="14"/>
  <c r="B11" i="18" s="1"/>
  <c r="B10" i="14"/>
  <c r="B10" i="18" s="1"/>
  <c r="B9" i="14"/>
  <c r="B9" i="18" s="1"/>
  <c r="B8" i="14"/>
  <c r="B8" i="18" s="1"/>
  <c r="B7" i="14"/>
  <c r="AI7" i="14" l="1"/>
  <c r="BE7" i="14" s="1"/>
  <c r="AM7" i="14"/>
  <c r="BI7" i="14" s="1"/>
  <c r="AQ7" i="14"/>
  <c r="BM7" i="14" s="1"/>
  <c r="AD8" i="14"/>
  <c r="AZ8" i="14" s="1"/>
  <c r="AH8" i="14"/>
  <c r="BD8" i="14" s="1"/>
  <c r="AL8" i="14"/>
  <c r="BH8" i="14" s="1"/>
  <c r="AP8" i="14"/>
  <c r="BL8" i="14" s="1"/>
  <c r="AT8" i="14"/>
  <c r="BP8" i="14" s="1"/>
  <c r="AC9" i="14"/>
  <c r="AY9" i="14" s="1"/>
  <c r="AG9" i="14"/>
  <c r="BC9" i="14" s="1"/>
  <c r="AK9" i="14"/>
  <c r="BG9" i="14" s="1"/>
  <c r="AO9" i="14"/>
  <c r="BK9" i="14" s="1"/>
  <c r="AS9" i="14"/>
  <c r="BO9" i="14" s="1"/>
  <c r="AB10" i="14"/>
  <c r="AX10" i="14" s="1"/>
  <c r="AF10" i="14"/>
  <c r="BB10" i="14" s="1"/>
  <c r="AJ10" i="14"/>
  <c r="BF10" i="14" s="1"/>
  <c r="AA11" i="14"/>
  <c r="AW11" i="14" s="1"/>
  <c r="AE11" i="14"/>
  <c r="BA11" i="14" s="1"/>
  <c r="AI11" i="14"/>
  <c r="BE11" i="14" s="1"/>
  <c r="AD12" i="14"/>
  <c r="AZ12" i="14" s="1"/>
  <c r="AH12" i="14"/>
  <c r="BD12" i="14" s="1"/>
  <c r="AL12" i="14"/>
  <c r="BH12" i="14" s="1"/>
  <c r="AP12" i="14"/>
  <c r="BL12" i="14" s="1"/>
  <c r="AT12" i="14"/>
  <c r="BP12" i="14" s="1"/>
  <c r="AC13" i="14"/>
  <c r="AY13" i="14" s="1"/>
  <c r="AG13" i="14"/>
  <c r="BC13" i="14" s="1"/>
  <c r="AK13" i="14"/>
  <c r="BG13" i="14" s="1"/>
  <c r="AO13" i="14"/>
  <c r="BK13" i="14" s="1"/>
  <c r="AS13" i="14"/>
  <c r="BO13" i="14" s="1"/>
  <c r="AF14" i="14"/>
  <c r="BB14" i="14" s="1"/>
  <c r="AJ14" i="14"/>
  <c r="BF14" i="14" s="1"/>
  <c r="AN14" i="14"/>
  <c r="BJ14" i="14" s="1"/>
  <c r="AR14" i="14"/>
  <c r="BN14" i="14" s="1"/>
  <c r="AA15" i="14"/>
  <c r="AW15" i="14" s="1"/>
  <c r="AI15" i="14"/>
  <c r="BE15" i="14" s="1"/>
  <c r="AM15" i="14"/>
  <c r="BI15" i="14" s="1"/>
  <c r="AQ15" i="14"/>
  <c r="BM15" i="14" s="1"/>
  <c r="AD16" i="14"/>
  <c r="AZ16" i="14" s="1"/>
  <c r="AH16" i="14"/>
  <c r="BD16" i="14" s="1"/>
  <c r="AL16" i="14"/>
  <c r="BH16" i="14" s="1"/>
  <c r="AP16" i="14"/>
  <c r="BL16" i="14" s="1"/>
  <c r="AT16" i="14"/>
  <c r="BP16" i="14" s="1"/>
  <c r="AC17" i="14"/>
  <c r="AY17" i="14" s="1"/>
  <c r="AG17" i="14"/>
  <c r="BC17" i="14" s="1"/>
  <c r="AK17" i="14"/>
  <c r="BG17" i="14" s="1"/>
  <c r="AO17" i="14"/>
  <c r="BK17" i="14" s="1"/>
  <c r="AS17" i="14"/>
  <c r="BO17" i="14" s="1"/>
  <c r="AF18" i="14"/>
  <c r="BB18" i="14" s="1"/>
  <c r="AJ18" i="14"/>
  <c r="BF18" i="14" s="1"/>
  <c r="AN18" i="14"/>
  <c r="BJ18" i="14" s="1"/>
  <c r="AR18" i="14"/>
  <c r="BN18" i="14" s="1"/>
  <c r="AA19" i="14"/>
  <c r="AW19" i="14" s="1"/>
  <c r="AI19" i="14"/>
  <c r="BE19" i="14" s="1"/>
  <c r="AM19" i="14"/>
  <c r="BI19" i="14" s="1"/>
  <c r="AQ19" i="14"/>
  <c r="BM19" i="14" s="1"/>
  <c r="AD20" i="14"/>
  <c r="AZ20" i="14" s="1"/>
  <c r="AH20" i="14"/>
  <c r="BD20" i="14" s="1"/>
  <c r="AL20" i="14"/>
  <c r="BH20" i="14" s="1"/>
  <c r="AP20" i="14"/>
  <c r="BL20" i="14" s="1"/>
  <c r="AT20" i="14"/>
  <c r="BP20" i="14" s="1"/>
  <c r="AC21" i="14"/>
  <c r="AY21" i="14" s="1"/>
  <c r="AG21" i="14"/>
  <c r="BC21" i="14" s="1"/>
  <c r="AK21" i="14"/>
  <c r="BG21" i="14" s="1"/>
  <c r="AO21" i="14"/>
  <c r="BK21" i="14" s="1"/>
  <c r="AS21" i="14"/>
  <c r="BO21" i="14" s="1"/>
  <c r="AB22" i="14"/>
  <c r="AX22" i="14" s="1"/>
  <c r="AF22" i="14"/>
  <c r="BB22" i="14" s="1"/>
  <c r="AJ22" i="14"/>
  <c r="BF22" i="14" s="1"/>
  <c r="AN22" i="14"/>
  <c r="BJ22" i="14" s="1"/>
  <c r="AR22" i="14"/>
  <c r="BN22" i="14" s="1"/>
  <c r="AA23" i="14"/>
  <c r="AW23" i="14" s="1"/>
  <c r="AE23" i="14"/>
  <c r="BA23" i="14" s="1"/>
  <c r="AI23" i="14"/>
  <c r="BE23" i="14" s="1"/>
  <c r="AD24" i="14"/>
  <c r="AZ24" i="14" s="1"/>
  <c r="AH24" i="14"/>
  <c r="BD24" i="14" s="1"/>
  <c r="AL24" i="14"/>
  <c r="BH24" i="14" s="1"/>
  <c r="AP24" i="14"/>
  <c r="BL24" i="14" s="1"/>
  <c r="AT24" i="14"/>
  <c r="BP24" i="14" s="1"/>
  <c r="AC25" i="14"/>
  <c r="AY25" i="14" s="1"/>
  <c r="AG25" i="14"/>
  <c r="BC25" i="14" s="1"/>
  <c r="AK25" i="14"/>
  <c r="BG25" i="14" s="1"/>
  <c r="AO25" i="14"/>
  <c r="BK25" i="14" s="1"/>
  <c r="AS25" i="14"/>
  <c r="BO25" i="14" s="1"/>
  <c r="AF26" i="14"/>
  <c r="BB26" i="14" s="1"/>
  <c r="AJ26" i="14"/>
  <c r="BF26" i="14" s="1"/>
  <c r="AN26" i="14"/>
  <c r="BJ26" i="14" s="1"/>
  <c r="AR26" i="14"/>
  <c r="BN26" i="14" s="1"/>
  <c r="AI27" i="14"/>
  <c r="BE27" i="14" s="1"/>
  <c r="AM27" i="14"/>
  <c r="BI27" i="14" s="1"/>
  <c r="AQ27" i="14"/>
  <c r="BM27" i="14" s="1"/>
  <c r="AD28" i="14"/>
  <c r="AZ28" i="14" s="1"/>
  <c r="AH28" i="14"/>
  <c r="BD28" i="14" s="1"/>
  <c r="AL28" i="14"/>
  <c r="BH28" i="14" s="1"/>
  <c r="AP28" i="14"/>
  <c r="BL28" i="14" s="1"/>
  <c r="AT28" i="14"/>
  <c r="BP28" i="14" s="1"/>
  <c r="AC29" i="14"/>
  <c r="AY29" i="14" s="1"/>
  <c r="AG29" i="14"/>
  <c r="BC29" i="14" s="1"/>
  <c r="AK29" i="14"/>
  <c r="BG29" i="14" s="1"/>
  <c r="AO29" i="14"/>
  <c r="BK29" i="14" s="1"/>
  <c r="AS29" i="14"/>
  <c r="BO29" i="14" s="1"/>
  <c r="AF30" i="14"/>
  <c r="BB30" i="14" s="1"/>
  <c r="AJ30" i="14"/>
  <c r="BF30" i="14" s="1"/>
  <c r="AN30" i="14"/>
  <c r="BJ30" i="14" s="1"/>
  <c r="AR30" i="14"/>
  <c r="BN30" i="14" s="1"/>
  <c r="AA31" i="14"/>
  <c r="AW31" i="14" s="1"/>
  <c r="AI31" i="14"/>
  <c r="BE31" i="14" s="1"/>
  <c r="AM31" i="14"/>
  <c r="BI31" i="14" s="1"/>
  <c r="AQ31" i="14"/>
  <c r="BM31" i="14" s="1"/>
  <c r="AD32" i="14"/>
  <c r="AZ32" i="14" s="1"/>
  <c r="AH32" i="14"/>
  <c r="BD32" i="14" s="1"/>
  <c r="AL32" i="14"/>
  <c r="BH32" i="14" s="1"/>
  <c r="AP32" i="14"/>
  <c r="BL32" i="14" s="1"/>
  <c r="AT32" i="14"/>
  <c r="BP32" i="14" s="1"/>
  <c r="AC33" i="14"/>
  <c r="AY33" i="14" s="1"/>
  <c r="AG33" i="14"/>
  <c r="BC33" i="14" s="1"/>
  <c r="AK33" i="14"/>
  <c r="BG33" i="14" s="1"/>
  <c r="AO33" i="14"/>
  <c r="BK33" i="14" s="1"/>
  <c r="AS33" i="14"/>
  <c r="BO33" i="14" s="1"/>
  <c r="AF34" i="14"/>
  <c r="BB34" i="14" s="1"/>
  <c r="AN34" i="14"/>
  <c r="BJ34" i="14" s="1"/>
  <c r="AR34" i="14"/>
  <c r="BN34" i="14" s="1"/>
  <c r="AA35" i="14"/>
  <c r="AW35" i="14" s="1"/>
  <c r="AI35" i="14"/>
  <c r="BE35" i="14" s="1"/>
  <c r="AM35" i="14"/>
  <c r="BI35" i="14" s="1"/>
  <c r="AQ35" i="14"/>
  <c r="BM35" i="14" s="1"/>
  <c r="AD36" i="14"/>
  <c r="AZ36" i="14" s="1"/>
  <c r="AH36" i="14"/>
  <c r="BD36" i="14" s="1"/>
  <c r="AL36" i="14"/>
  <c r="BH36" i="14" s="1"/>
  <c r="AP36" i="14"/>
  <c r="BL36" i="14" s="1"/>
  <c r="AT36" i="14"/>
  <c r="BP36" i="14" s="1"/>
  <c r="AC37" i="14"/>
  <c r="AY37" i="14" s="1"/>
  <c r="AG37" i="14"/>
  <c r="BC37" i="14" s="1"/>
  <c r="AK37" i="14"/>
  <c r="BG37" i="14" s="1"/>
  <c r="AO37" i="14"/>
  <c r="BK37" i="14" s="1"/>
  <c r="AS37" i="14"/>
  <c r="BO37" i="14" s="1"/>
  <c r="AF38" i="14"/>
  <c r="BB38" i="14" s="1"/>
  <c r="AN38" i="14"/>
  <c r="BJ38" i="14" s="1"/>
  <c r="AR38" i="14"/>
  <c r="BN38" i="14" s="1"/>
  <c r="AA39" i="14"/>
  <c r="AW39" i="14" s="1"/>
  <c r="AI39" i="14"/>
  <c r="BE39" i="14" s="1"/>
  <c r="AM39" i="14"/>
  <c r="BI39" i="14" s="1"/>
  <c r="AQ39" i="14"/>
  <c r="BM39" i="14" s="1"/>
  <c r="AD40" i="14"/>
  <c r="AZ40" i="14" s="1"/>
  <c r="AH40" i="14"/>
  <c r="BD40" i="14" s="1"/>
  <c r="AL40" i="14"/>
  <c r="BH40" i="14" s="1"/>
  <c r="AP40" i="14"/>
  <c r="BL40" i="14" s="1"/>
  <c r="AT40" i="14"/>
  <c r="BP40" i="14" s="1"/>
  <c r="AC41" i="14"/>
  <c r="AY41" i="14" s="1"/>
  <c r="AG41" i="14"/>
  <c r="BC41" i="14" s="1"/>
  <c r="AK41" i="14"/>
  <c r="BG41" i="14" s="1"/>
  <c r="AO41" i="14"/>
  <c r="BK41" i="14" s="1"/>
  <c r="AS41" i="14"/>
  <c r="BO41" i="14" s="1"/>
  <c r="AF42" i="14"/>
  <c r="BB42" i="14" s="1"/>
  <c r="AN42" i="14"/>
  <c r="BJ42" i="14" s="1"/>
  <c r="AR42" i="14"/>
  <c r="BN42" i="14" s="1"/>
  <c r="AA43" i="14"/>
  <c r="AW43" i="14" s="1"/>
  <c r="AI43" i="14"/>
  <c r="BE43" i="14" s="1"/>
  <c r="AM43" i="14"/>
  <c r="BI43" i="14" s="1"/>
  <c r="AQ43" i="14"/>
  <c r="BM43" i="14" s="1"/>
  <c r="AD44" i="14"/>
  <c r="AZ44" i="14" s="1"/>
  <c r="AH44" i="14"/>
  <c r="BD44" i="14" s="1"/>
  <c r="AL44" i="14"/>
  <c r="BH44" i="14" s="1"/>
  <c r="AP44" i="14"/>
  <c r="BL44" i="14" s="1"/>
  <c r="AT44" i="14"/>
  <c r="BP44" i="14" s="1"/>
  <c r="AC45" i="14"/>
  <c r="AY45" i="14" s="1"/>
  <c r="AG45" i="14"/>
  <c r="BC45" i="14" s="1"/>
  <c r="AK45" i="14"/>
  <c r="BG45" i="14" s="1"/>
  <c r="AO45" i="14"/>
  <c r="BK45" i="14" s="1"/>
  <c r="AS45" i="14"/>
  <c r="BO45" i="14" s="1"/>
  <c r="AF46" i="14"/>
  <c r="BB46" i="14" s="1"/>
  <c r="AN46" i="14"/>
  <c r="BJ46" i="14" s="1"/>
  <c r="AR46" i="14"/>
  <c r="BN46" i="14" s="1"/>
  <c r="AA47" i="14"/>
  <c r="AW47" i="14" s="1"/>
  <c r="AI47" i="14"/>
  <c r="BE47" i="14" s="1"/>
  <c r="AM47" i="14"/>
  <c r="BI47" i="14" s="1"/>
  <c r="AQ47" i="14"/>
  <c r="BM47" i="14" s="1"/>
  <c r="AD48" i="14"/>
  <c r="AZ48" i="14" s="1"/>
  <c r="AH48" i="14"/>
  <c r="BD48" i="14" s="1"/>
  <c r="AL48" i="14"/>
  <c r="BH48" i="14" s="1"/>
  <c r="AP48" i="14"/>
  <c r="BL48" i="14" s="1"/>
  <c r="AT48" i="14"/>
  <c r="AC49" i="14"/>
  <c r="AY49" i="14" s="1"/>
  <c r="AG49" i="14"/>
  <c r="BC49" i="14" s="1"/>
  <c r="AK49" i="14"/>
  <c r="BG49" i="14" s="1"/>
  <c r="AO49" i="14"/>
  <c r="BK49" i="14" s="1"/>
  <c r="AS49" i="14"/>
  <c r="BO49" i="14" s="1"/>
  <c r="AF50" i="14"/>
  <c r="BB50" i="14" s="1"/>
  <c r="AN50" i="14"/>
  <c r="BJ50" i="14" s="1"/>
  <c r="AR50" i="14"/>
  <c r="BN50" i="14" s="1"/>
  <c r="AA51" i="14"/>
  <c r="AW51" i="14" s="1"/>
  <c r="AM51" i="14"/>
  <c r="BI51" i="14" s="1"/>
  <c r="AQ51" i="14"/>
  <c r="BM51" i="14" s="1"/>
  <c r="AB7" i="14"/>
  <c r="AX7" i="14" s="1"/>
  <c r="AF7" i="14"/>
  <c r="BB7" i="14" s="1"/>
  <c r="AJ7" i="14"/>
  <c r="BF7" i="14" s="1"/>
  <c r="AN7" i="14"/>
  <c r="BJ7" i="14" s="1"/>
  <c r="AR7" i="14"/>
  <c r="BN7" i="14" s="1"/>
  <c r="AA8" i="14"/>
  <c r="AW8" i="14" s="1"/>
  <c r="AI8" i="14"/>
  <c r="BE8" i="14" s="1"/>
  <c r="AM8" i="14"/>
  <c r="BI8" i="14" s="1"/>
  <c r="AQ8" i="14"/>
  <c r="BM8" i="14" s="1"/>
  <c r="AD9" i="14"/>
  <c r="AZ9" i="14" s="1"/>
  <c r="AH9" i="14"/>
  <c r="BD9" i="14" s="1"/>
  <c r="AL9" i="14"/>
  <c r="BH9" i="14" s="1"/>
  <c r="AP9" i="14"/>
  <c r="BL9" i="14" s="1"/>
  <c r="AT9" i="14"/>
  <c r="BP9" i="14" s="1"/>
  <c r="AC10" i="14"/>
  <c r="AY10" i="14" s="1"/>
  <c r="AG10" i="14"/>
  <c r="BC10" i="14" s="1"/>
  <c r="AK10" i="14"/>
  <c r="BG10" i="14" s="1"/>
  <c r="AB11" i="14"/>
  <c r="AX11" i="14" s="1"/>
  <c r="AF11" i="14"/>
  <c r="BB11" i="14" s="1"/>
  <c r="AJ11" i="14"/>
  <c r="BF11" i="14" s="1"/>
  <c r="AA12" i="14"/>
  <c r="AW12" i="14" s="1"/>
  <c r="AI12" i="14"/>
  <c r="BE12" i="14" s="1"/>
  <c r="AD13" i="14"/>
  <c r="AZ13" i="14" s="1"/>
  <c r="AH13" i="14"/>
  <c r="BD13" i="14" s="1"/>
  <c r="AL13" i="14"/>
  <c r="BH13" i="14" s="1"/>
  <c r="AP13" i="14"/>
  <c r="BL13" i="14" s="1"/>
  <c r="AT13" i="14"/>
  <c r="BP13" i="14" s="1"/>
  <c r="AC14" i="14"/>
  <c r="AY14" i="14" s="1"/>
  <c r="AG14" i="14"/>
  <c r="BC14" i="14" s="1"/>
  <c r="AK14" i="14"/>
  <c r="BG14" i="14" s="1"/>
  <c r="AO14" i="14"/>
  <c r="BK14" i="14" s="1"/>
  <c r="AS14" i="14"/>
  <c r="BO14" i="14" s="1"/>
  <c r="AF15" i="14"/>
  <c r="BB15" i="14" s="1"/>
  <c r="AJ15" i="14"/>
  <c r="BF15" i="14" s="1"/>
  <c r="AN15" i="14"/>
  <c r="BJ15" i="14" s="1"/>
  <c r="AR15" i="14"/>
  <c r="BN15" i="14" s="1"/>
  <c r="AA16" i="14"/>
  <c r="AW16" i="14" s="1"/>
  <c r="AI16" i="14"/>
  <c r="BE16" i="14" s="1"/>
  <c r="AM16" i="14"/>
  <c r="BI16" i="14" s="1"/>
  <c r="AQ16" i="14"/>
  <c r="BM16" i="14" s="1"/>
  <c r="AD17" i="14"/>
  <c r="AZ17" i="14" s="1"/>
  <c r="AH17" i="14"/>
  <c r="BD17" i="14" s="1"/>
  <c r="AL17" i="14"/>
  <c r="BH17" i="14" s="1"/>
  <c r="AP17" i="14"/>
  <c r="BL17" i="14" s="1"/>
  <c r="AT17" i="14"/>
  <c r="BP17" i="14" s="1"/>
  <c r="AC18" i="14"/>
  <c r="AY18" i="14" s="1"/>
  <c r="AG18" i="14"/>
  <c r="BC18" i="14" s="1"/>
  <c r="AK18" i="14"/>
  <c r="BG18" i="14" s="1"/>
  <c r="AO18" i="14"/>
  <c r="BK18" i="14" s="1"/>
  <c r="AS18" i="14"/>
  <c r="BO18" i="14" s="1"/>
  <c r="AF19" i="14"/>
  <c r="BB19" i="14" s="1"/>
  <c r="AJ19" i="14"/>
  <c r="BF19" i="14" s="1"/>
  <c r="AN19" i="14"/>
  <c r="BJ19" i="14" s="1"/>
  <c r="AR19" i="14"/>
  <c r="BN19" i="14" s="1"/>
  <c r="AA20" i="14"/>
  <c r="AW20" i="14" s="1"/>
  <c r="AI20" i="14"/>
  <c r="BE20" i="14" s="1"/>
  <c r="AM20" i="14"/>
  <c r="BI20" i="14" s="1"/>
  <c r="AQ20" i="14"/>
  <c r="BM20" i="14" s="1"/>
  <c r="AD21" i="14"/>
  <c r="AZ21" i="14" s="1"/>
  <c r="AH21" i="14"/>
  <c r="BD21" i="14" s="1"/>
  <c r="AL21" i="14"/>
  <c r="BH21" i="14" s="1"/>
  <c r="AP21" i="14"/>
  <c r="BL21" i="14" s="1"/>
  <c r="AT21" i="14"/>
  <c r="BP21" i="14" s="1"/>
  <c r="AC22" i="14"/>
  <c r="AY22" i="14" s="1"/>
  <c r="AG22" i="14"/>
  <c r="BC22" i="14" s="1"/>
  <c r="AK22" i="14"/>
  <c r="BG22" i="14" s="1"/>
  <c r="AO22" i="14"/>
  <c r="BK22" i="14" s="1"/>
  <c r="AS22" i="14"/>
  <c r="BO22" i="14" s="1"/>
  <c r="AB23" i="14"/>
  <c r="AX23" i="14" s="1"/>
  <c r="AF23" i="14"/>
  <c r="BB23" i="14" s="1"/>
  <c r="AJ23" i="14"/>
  <c r="BF23" i="14" s="1"/>
  <c r="AA24" i="14"/>
  <c r="AW24" i="14" s="1"/>
  <c r="AI24" i="14"/>
  <c r="BE24" i="14" s="1"/>
  <c r="AM24" i="14"/>
  <c r="BI24" i="14" s="1"/>
  <c r="AQ24" i="14"/>
  <c r="BM24" i="14" s="1"/>
  <c r="AD25" i="14"/>
  <c r="AZ25" i="14" s="1"/>
  <c r="AH25" i="14"/>
  <c r="BD25" i="14" s="1"/>
  <c r="AL25" i="14"/>
  <c r="BH25" i="14" s="1"/>
  <c r="AP25" i="14"/>
  <c r="BL25" i="14" s="1"/>
  <c r="AT25" i="14"/>
  <c r="BP25" i="14" s="1"/>
  <c r="AC26" i="14"/>
  <c r="AY26" i="14" s="1"/>
  <c r="AG26" i="14"/>
  <c r="BC26" i="14" s="1"/>
  <c r="AK26" i="14"/>
  <c r="BG26" i="14" s="1"/>
  <c r="AO26" i="14"/>
  <c r="BK26" i="14" s="1"/>
  <c r="AS26" i="14"/>
  <c r="BO26" i="14" s="1"/>
  <c r="AB27" i="14"/>
  <c r="AX27" i="14" s="1"/>
  <c r="AF27" i="14"/>
  <c r="BB27" i="14" s="1"/>
  <c r="AJ27" i="14"/>
  <c r="BF27" i="14" s="1"/>
  <c r="AN27" i="14"/>
  <c r="BJ27" i="14" s="1"/>
  <c r="AR27" i="14"/>
  <c r="BN27" i="14" s="1"/>
  <c r="AA28" i="14"/>
  <c r="AW28" i="14" s="1"/>
  <c r="AI28" i="14"/>
  <c r="BE28" i="14" s="1"/>
  <c r="AM28" i="14"/>
  <c r="BI28" i="14" s="1"/>
  <c r="AQ28" i="14"/>
  <c r="BM28" i="14" s="1"/>
  <c r="AD29" i="14"/>
  <c r="AZ29" i="14" s="1"/>
  <c r="AH29" i="14"/>
  <c r="BD29" i="14" s="1"/>
  <c r="AL29" i="14"/>
  <c r="BH29" i="14" s="1"/>
  <c r="AP29" i="14"/>
  <c r="BL29" i="14" s="1"/>
  <c r="AT29" i="14"/>
  <c r="BP29" i="14" s="1"/>
  <c r="AC30" i="14"/>
  <c r="AY30" i="14" s="1"/>
  <c r="AG30" i="14"/>
  <c r="BC30" i="14" s="1"/>
  <c r="AK30" i="14"/>
  <c r="BG30" i="14" s="1"/>
  <c r="AO30" i="14"/>
  <c r="BK30" i="14" s="1"/>
  <c r="AS30" i="14"/>
  <c r="BO30" i="14" s="1"/>
  <c r="AF31" i="14"/>
  <c r="BB31" i="14" s="1"/>
  <c r="AN31" i="14"/>
  <c r="BJ31" i="14" s="1"/>
  <c r="AR31" i="14"/>
  <c r="BN31" i="14" s="1"/>
  <c r="AA32" i="14"/>
  <c r="AW32" i="14" s="1"/>
  <c r="AI32" i="14"/>
  <c r="BE32" i="14" s="1"/>
  <c r="AM32" i="14"/>
  <c r="BI32" i="14" s="1"/>
  <c r="AQ32" i="14"/>
  <c r="BM32" i="14" s="1"/>
  <c r="AD33" i="14"/>
  <c r="AZ33" i="14" s="1"/>
  <c r="AH33" i="14"/>
  <c r="BD33" i="14" s="1"/>
  <c r="AL33" i="14"/>
  <c r="BH33" i="14" s="1"/>
  <c r="AP33" i="14"/>
  <c r="BL33" i="14" s="1"/>
  <c r="AT33" i="14"/>
  <c r="BP33" i="14" s="1"/>
  <c r="AC34" i="14"/>
  <c r="AY34" i="14" s="1"/>
  <c r="AG34" i="14"/>
  <c r="BC34" i="14" s="1"/>
  <c r="AK34" i="14"/>
  <c r="BG34" i="14" s="1"/>
  <c r="AO34" i="14"/>
  <c r="BK34" i="14" s="1"/>
  <c r="AS34" i="14"/>
  <c r="BO34" i="14" s="1"/>
  <c r="AF35" i="14"/>
  <c r="BB35" i="14" s="1"/>
  <c r="AN35" i="14"/>
  <c r="BJ35" i="14" s="1"/>
  <c r="AR35" i="14"/>
  <c r="BN35" i="14" s="1"/>
  <c r="AA36" i="14"/>
  <c r="AW36" i="14" s="1"/>
  <c r="AI36" i="14"/>
  <c r="BE36" i="14" s="1"/>
  <c r="AM36" i="14"/>
  <c r="BI36" i="14" s="1"/>
  <c r="AQ36" i="14"/>
  <c r="BM36" i="14" s="1"/>
  <c r="AD37" i="14"/>
  <c r="AZ37" i="14" s="1"/>
  <c r="AH37" i="14"/>
  <c r="BD37" i="14" s="1"/>
  <c r="AL37" i="14"/>
  <c r="BH37" i="14" s="1"/>
  <c r="AP37" i="14"/>
  <c r="BL37" i="14" s="1"/>
  <c r="AT37" i="14"/>
  <c r="BP37" i="14" s="1"/>
  <c r="AC38" i="14"/>
  <c r="AY38" i="14" s="1"/>
  <c r="AG38" i="14"/>
  <c r="BC38" i="14" s="1"/>
  <c r="AK38" i="14"/>
  <c r="BG38" i="14" s="1"/>
  <c r="AO38" i="14"/>
  <c r="BK38" i="14" s="1"/>
  <c r="AS38" i="14"/>
  <c r="BO38" i="14" s="1"/>
  <c r="AF39" i="14"/>
  <c r="BB39" i="14" s="1"/>
  <c r="AN39" i="14"/>
  <c r="BJ39" i="14" s="1"/>
  <c r="AR39" i="14"/>
  <c r="BN39" i="14" s="1"/>
  <c r="AA40" i="14"/>
  <c r="AW40" i="14" s="1"/>
  <c r="AI40" i="14"/>
  <c r="BE40" i="14" s="1"/>
  <c r="AM40" i="14"/>
  <c r="BI40" i="14" s="1"/>
  <c r="AQ40" i="14"/>
  <c r="BM40" i="14" s="1"/>
  <c r="AD41" i="14"/>
  <c r="AZ41" i="14" s="1"/>
  <c r="AH41" i="14"/>
  <c r="BD41" i="14" s="1"/>
  <c r="AL41" i="14"/>
  <c r="BH41" i="14" s="1"/>
  <c r="AP41" i="14"/>
  <c r="BL41" i="14" s="1"/>
  <c r="AT41" i="14"/>
  <c r="BP41" i="14" s="1"/>
  <c r="AC42" i="14"/>
  <c r="AY42" i="14" s="1"/>
  <c r="AG42" i="14"/>
  <c r="BC42" i="14" s="1"/>
  <c r="AK42" i="14"/>
  <c r="BG42" i="14" s="1"/>
  <c r="AO42" i="14"/>
  <c r="BK42" i="14" s="1"/>
  <c r="AS42" i="14"/>
  <c r="BO42" i="14" s="1"/>
  <c r="AF43" i="14"/>
  <c r="BB43" i="14" s="1"/>
  <c r="AN43" i="14"/>
  <c r="BJ43" i="14" s="1"/>
  <c r="AR43" i="14"/>
  <c r="BN43" i="14" s="1"/>
  <c r="AA44" i="14"/>
  <c r="AW44" i="14" s="1"/>
  <c r="AI44" i="14"/>
  <c r="BE44" i="14" s="1"/>
  <c r="AM44" i="14"/>
  <c r="BI44" i="14" s="1"/>
  <c r="AQ44" i="14"/>
  <c r="BM44" i="14" s="1"/>
  <c r="AD45" i="14"/>
  <c r="AZ45" i="14" s="1"/>
  <c r="AH45" i="14"/>
  <c r="BD45" i="14" s="1"/>
  <c r="AL45" i="14"/>
  <c r="BH45" i="14" s="1"/>
  <c r="AP45" i="14"/>
  <c r="BL45" i="14" s="1"/>
  <c r="AT45" i="14"/>
  <c r="BP45" i="14" s="1"/>
  <c r="AC46" i="14"/>
  <c r="AY46" i="14" s="1"/>
  <c r="AG46" i="14"/>
  <c r="BC46" i="14" s="1"/>
  <c r="AK46" i="14"/>
  <c r="BG46" i="14" s="1"/>
  <c r="AO46" i="14"/>
  <c r="BK46" i="14" s="1"/>
  <c r="AS46" i="14"/>
  <c r="BO46" i="14" s="1"/>
  <c r="AF47" i="14"/>
  <c r="BB47" i="14" s="1"/>
  <c r="AN47" i="14"/>
  <c r="BJ47" i="14" s="1"/>
  <c r="AR47" i="14"/>
  <c r="BN47" i="14" s="1"/>
  <c r="AA48" i="14"/>
  <c r="AW48" i="14" s="1"/>
  <c r="AI48" i="14"/>
  <c r="BE48" i="14" s="1"/>
  <c r="AM48" i="14"/>
  <c r="BI48" i="14" s="1"/>
  <c r="AQ48" i="14"/>
  <c r="BM48" i="14" s="1"/>
  <c r="AD49" i="14"/>
  <c r="AZ49" i="14" s="1"/>
  <c r="AH49" i="14"/>
  <c r="BD49" i="14" s="1"/>
  <c r="AL49" i="14"/>
  <c r="BH49" i="14" s="1"/>
  <c r="AP49" i="14"/>
  <c r="BL49" i="14" s="1"/>
  <c r="AT49" i="14"/>
  <c r="AC50" i="14"/>
  <c r="AY50" i="14" s="1"/>
  <c r="AG50" i="14"/>
  <c r="BC50" i="14" s="1"/>
  <c r="AK50" i="14"/>
  <c r="BG50" i="14" s="1"/>
  <c r="AO50" i="14"/>
  <c r="BK50" i="14" s="1"/>
  <c r="AS50" i="14"/>
  <c r="BO50" i="14" s="1"/>
  <c r="AF51" i="14"/>
  <c r="BB51" i="14" s="1"/>
  <c r="AJ51" i="14"/>
  <c r="BF51" i="14" s="1"/>
  <c r="AN51" i="14"/>
  <c r="BJ51" i="14" s="1"/>
  <c r="AR51" i="14"/>
  <c r="BN51" i="14" s="1"/>
  <c r="AC7" i="14"/>
  <c r="AY7" i="14" s="1"/>
  <c r="AG7" i="14"/>
  <c r="BC7" i="14" s="1"/>
  <c r="AK7" i="14"/>
  <c r="BG7" i="14" s="1"/>
  <c r="AO7" i="14"/>
  <c r="BK7" i="14" s="1"/>
  <c r="AS7" i="14"/>
  <c r="BO7" i="14" s="1"/>
  <c r="AF8" i="14"/>
  <c r="BB8" i="14" s="1"/>
  <c r="AJ8" i="14"/>
  <c r="BF8" i="14" s="1"/>
  <c r="AN8" i="14"/>
  <c r="BJ8" i="14" s="1"/>
  <c r="AR8" i="14"/>
  <c r="BN8" i="14" s="1"/>
  <c r="AA9" i="14"/>
  <c r="AW9" i="14" s="1"/>
  <c r="AI9" i="14"/>
  <c r="BE9" i="14" s="1"/>
  <c r="AM9" i="14"/>
  <c r="BI9" i="14" s="1"/>
  <c r="AQ9" i="14"/>
  <c r="BM9" i="14" s="1"/>
  <c r="AD10" i="14"/>
  <c r="AZ10" i="14" s="1"/>
  <c r="AH10" i="14"/>
  <c r="BD10" i="14" s="1"/>
  <c r="AL10" i="14"/>
  <c r="BH10" i="14" s="1"/>
  <c r="AP10" i="14"/>
  <c r="BL10" i="14" s="1"/>
  <c r="AT10" i="14"/>
  <c r="BP10" i="14" s="1"/>
  <c r="AC11" i="14"/>
  <c r="AY11" i="14" s="1"/>
  <c r="AG11" i="14"/>
  <c r="BC11" i="14" s="1"/>
  <c r="AK11" i="14"/>
  <c r="BG11" i="14" s="1"/>
  <c r="AB12" i="14"/>
  <c r="AX12" i="14" s="1"/>
  <c r="AF12" i="14"/>
  <c r="BB12" i="14" s="1"/>
  <c r="AJ12" i="14"/>
  <c r="BF12" i="14" s="1"/>
  <c r="AA13" i="14"/>
  <c r="AW13" i="14" s="1"/>
  <c r="AI13" i="14"/>
  <c r="BE13" i="14" s="1"/>
  <c r="AM13" i="14"/>
  <c r="BI13" i="14" s="1"/>
  <c r="AQ13" i="14"/>
  <c r="BM13" i="14" s="1"/>
  <c r="AD14" i="14"/>
  <c r="AZ14" i="14" s="1"/>
  <c r="AH14" i="14"/>
  <c r="BD14" i="14" s="1"/>
  <c r="AL14" i="14"/>
  <c r="BH14" i="14" s="1"/>
  <c r="AP14" i="14"/>
  <c r="BL14" i="14" s="1"/>
  <c r="AT14" i="14"/>
  <c r="BP14" i="14" s="1"/>
  <c r="AC15" i="14"/>
  <c r="AY15" i="14" s="1"/>
  <c r="AG15" i="14"/>
  <c r="BC15" i="14" s="1"/>
  <c r="AK15" i="14"/>
  <c r="BG15" i="14" s="1"/>
  <c r="AO15" i="14"/>
  <c r="BK15" i="14" s="1"/>
  <c r="AS15" i="14"/>
  <c r="BO15" i="14" s="1"/>
  <c r="AF16" i="14"/>
  <c r="BB16" i="14" s="1"/>
  <c r="AJ16" i="14"/>
  <c r="BF16" i="14" s="1"/>
  <c r="AN16" i="14"/>
  <c r="BJ16" i="14" s="1"/>
  <c r="AR16" i="14"/>
  <c r="BN16" i="14" s="1"/>
  <c r="AA17" i="14"/>
  <c r="AW17" i="14" s="1"/>
  <c r="AI17" i="14"/>
  <c r="BE17" i="14" s="1"/>
  <c r="AM17" i="14"/>
  <c r="BI17" i="14" s="1"/>
  <c r="AQ17" i="14"/>
  <c r="BM17" i="14" s="1"/>
  <c r="AD18" i="14"/>
  <c r="AZ18" i="14" s="1"/>
  <c r="AH18" i="14"/>
  <c r="BD18" i="14" s="1"/>
  <c r="AL18" i="14"/>
  <c r="BH18" i="14" s="1"/>
  <c r="AP18" i="14"/>
  <c r="BL18" i="14" s="1"/>
  <c r="AT18" i="14"/>
  <c r="BP18" i="14" s="1"/>
  <c r="AC19" i="14"/>
  <c r="AY19" i="14" s="1"/>
  <c r="AG19" i="14"/>
  <c r="BC19" i="14" s="1"/>
  <c r="AK19" i="14"/>
  <c r="BG19" i="14" s="1"/>
  <c r="AO19" i="14"/>
  <c r="BK19" i="14" s="1"/>
  <c r="AS19" i="14"/>
  <c r="BO19" i="14" s="1"/>
  <c r="AF20" i="14"/>
  <c r="BB20" i="14" s="1"/>
  <c r="AJ20" i="14"/>
  <c r="BF20" i="14" s="1"/>
  <c r="AN20" i="14"/>
  <c r="BJ20" i="14" s="1"/>
  <c r="AR20" i="14"/>
  <c r="BN20" i="14" s="1"/>
  <c r="AI21" i="14"/>
  <c r="BE21" i="14" s="1"/>
  <c r="AM21" i="14"/>
  <c r="BI21" i="14" s="1"/>
  <c r="AQ21" i="14"/>
  <c r="BM21" i="14" s="1"/>
  <c r="AD22" i="14"/>
  <c r="AZ22" i="14" s="1"/>
  <c r="AH22" i="14"/>
  <c r="BD22" i="14" s="1"/>
  <c r="AL22" i="14"/>
  <c r="BH22" i="14" s="1"/>
  <c r="AP22" i="14"/>
  <c r="BL22" i="14" s="1"/>
  <c r="AT22" i="14"/>
  <c r="BP22" i="14" s="1"/>
  <c r="AC23" i="14"/>
  <c r="AY23" i="14" s="1"/>
  <c r="AG23" i="14"/>
  <c r="BC23" i="14" s="1"/>
  <c r="AK23" i="14"/>
  <c r="BG23" i="14" s="1"/>
  <c r="AF24" i="14"/>
  <c r="BB24" i="14" s="1"/>
  <c r="AJ24" i="14"/>
  <c r="BF24" i="14" s="1"/>
  <c r="AN24" i="14"/>
  <c r="BJ24" i="14" s="1"/>
  <c r="AR24" i="14"/>
  <c r="BN24" i="14" s="1"/>
  <c r="AA25" i="14"/>
  <c r="AW25" i="14" s="1"/>
  <c r="AI25" i="14"/>
  <c r="BE25" i="14" s="1"/>
  <c r="AM25" i="14"/>
  <c r="BI25" i="14" s="1"/>
  <c r="AQ25" i="14"/>
  <c r="BM25" i="14" s="1"/>
  <c r="AD26" i="14"/>
  <c r="AZ26" i="14" s="1"/>
  <c r="AH26" i="14"/>
  <c r="BD26" i="14" s="1"/>
  <c r="AL26" i="14"/>
  <c r="BH26" i="14" s="1"/>
  <c r="AP26" i="14"/>
  <c r="BL26" i="14" s="1"/>
  <c r="AT26" i="14"/>
  <c r="BP26" i="14" s="1"/>
  <c r="AC27" i="14"/>
  <c r="AY27" i="14" s="1"/>
  <c r="AG27" i="14"/>
  <c r="BC27" i="14" s="1"/>
  <c r="AK27" i="14"/>
  <c r="BG27" i="14" s="1"/>
  <c r="AO27" i="14"/>
  <c r="BK27" i="14" s="1"/>
  <c r="AS27" i="14"/>
  <c r="BO27" i="14" s="1"/>
  <c r="AF28" i="14"/>
  <c r="BB28" i="14" s="1"/>
  <c r="AJ28" i="14"/>
  <c r="BF28" i="14" s="1"/>
  <c r="AN28" i="14"/>
  <c r="BJ28" i="14" s="1"/>
  <c r="AR28" i="14"/>
  <c r="BN28" i="14" s="1"/>
  <c r="AA29" i="14"/>
  <c r="AW29" i="14" s="1"/>
  <c r="AI29" i="14"/>
  <c r="BE29" i="14" s="1"/>
  <c r="AM29" i="14"/>
  <c r="BI29" i="14" s="1"/>
  <c r="AQ29" i="14"/>
  <c r="BM29" i="14" s="1"/>
  <c r="AD30" i="14"/>
  <c r="AZ30" i="14" s="1"/>
  <c r="AH30" i="14"/>
  <c r="BD30" i="14" s="1"/>
  <c r="AL30" i="14"/>
  <c r="BH30" i="14" s="1"/>
  <c r="AP30" i="14"/>
  <c r="BL30" i="14" s="1"/>
  <c r="AT30" i="14"/>
  <c r="BP30" i="14" s="1"/>
  <c r="AC31" i="14"/>
  <c r="AY31" i="14" s="1"/>
  <c r="AG31" i="14"/>
  <c r="BC31" i="14" s="1"/>
  <c r="AK31" i="14"/>
  <c r="BG31" i="14" s="1"/>
  <c r="AO31" i="14"/>
  <c r="BK31" i="14" s="1"/>
  <c r="AS31" i="14"/>
  <c r="BO31" i="14" s="1"/>
  <c r="AF32" i="14"/>
  <c r="BB32" i="14" s="1"/>
  <c r="AN32" i="14"/>
  <c r="BJ32" i="14" s="1"/>
  <c r="AR32" i="14"/>
  <c r="BN32" i="14" s="1"/>
  <c r="AA33" i="14"/>
  <c r="AW33" i="14" s="1"/>
  <c r="AI33" i="14"/>
  <c r="BE33" i="14" s="1"/>
  <c r="AM33" i="14"/>
  <c r="BI33" i="14" s="1"/>
  <c r="AQ33" i="14"/>
  <c r="BM33" i="14" s="1"/>
  <c r="AD34" i="14"/>
  <c r="AZ34" i="14" s="1"/>
  <c r="AH34" i="14"/>
  <c r="BD34" i="14" s="1"/>
  <c r="AL34" i="14"/>
  <c r="BH34" i="14" s="1"/>
  <c r="AP34" i="14"/>
  <c r="BL34" i="14" s="1"/>
  <c r="AT34" i="14"/>
  <c r="BP34" i="14" s="1"/>
  <c r="AC35" i="14"/>
  <c r="AY35" i="14" s="1"/>
  <c r="AG35" i="14"/>
  <c r="BC35" i="14" s="1"/>
  <c r="AK35" i="14"/>
  <c r="BG35" i="14" s="1"/>
  <c r="AO35" i="14"/>
  <c r="BK35" i="14" s="1"/>
  <c r="AS35" i="14"/>
  <c r="BO35" i="14" s="1"/>
  <c r="AF36" i="14"/>
  <c r="BB36" i="14" s="1"/>
  <c r="AN36" i="14"/>
  <c r="BJ36" i="14" s="1"/>
  <c r="AR36" i="14"/>
  <c r="BN36" i="14" s="1"/>
  <c r="AA37" i="14"/>
  <c r="AW37" i="14" s="1"/>
  <c r="AI37" i="14"/>
  <c r="BE37" i="14" s="1"/>
  <c r="AM37" i="14"/>
  <c r="BI37" i="14" s="1"/>
  <c r="AQ37" i="14"/>
  <c r="BM37" i="14" s="1"/>
  <c r="AD38" i="14"/>
  <c r="AZ38" i="14" s="1"/>
  <c r="AH38" i="14"/>
  <c r="BD38" i="14" s="1"/>
  <c r="AL38" i="14"/>
  <c r="BH38" i="14" s="1"/>
  <c r="AP38" i="14"/>
  <c r="BL38" i="14" s="1"/>
  <c r="AT38" i="14"/>
  <c r="BP38" i="14" s="1"/>
  <c r="AC39" i="14"/>
  <c r="AY39" i="14" s="1"/>
  <c r="AG39" i="14"/>
  <c r="BC39" i="14" s="1"/>
  <c r="AK39" i="14"/>
  <c r="BG39" i="14" s="1"/>
  <c r="AO39" i="14"/>
  <c r="BK39" i="14" s="1"/>
  <c r="AS39" i="14"/>
  <c r="BO39" i="14" s="1"/>
  <c r="AF40" i="14"/>
  <c r="BB40" i="14" s="1"/>
  <c r="AN40" i="14"/>
  <c r="BJ40" i="14" s="1"/>
  <c r="AR40" i="14"/>
  <c r="BN40" i="14" s="1"/>
  <c r="AA41" i="14"/>
  <c r="AW41" i="14" s="1"/>
  <c r="AM41" i="14"/>
  <c r="BI41" i="14" s="1"/>
  <c r="AQ41" i="14"/>
  <c r="BM41" i="14" s="1"/>
  <c r="AD42" i="14"/>
  <c r="AZ42" i="14" s="1"/>
  <c r="AH42" i="14"/>
  <c r="BD42" i="14" s="1"/>
  <c r="AL42" i="14"/>
  <c r="BH42" i="14" s="1"/>
  <c r="AP42" i="14"/>
  <c r="BL42" i="14" s="1"/>
  <c r="AT42" i="14"/>
  <c r="BP42" i="14" s="1"/>
  <c r="AC43" i="14"/>
  <c r="AY43" i="14" s="1"/>
  <c r="AG43" i="14"/>
  <c r="BC43" i="14" s="1"/>
  <c r="AK43" i="14"/>
  <c r="BG43" i="14" s="1"/>
  <c r="AO43" i="14"/>
  <c r="BK43" i="14" s="1"/>
  <c r="AS43" i="14"/>
  <c r="BO43" i="14" s="1"/>
  <c r="AF44" i="14"/>
  <c r="BB44" i="14" s="1"/>
  <c r="AN44" i="14"/>
  <c r="BJ44" i="14" s="1"/>
  <c r="AR44" i="14"/>
  <c r="BN44" i="14" s="1"/>
  <c r="AA45" i="14"/>
  <c r="AW45" i="14" s="1"/>
  <c r="AI45" i="14"/>
  <c r="BE45" i="14" s="1"/>
  <c r="AM45" i="14"/>
  <c r="BI45" i="14" s="1"/>
  <c r="AQ45" i="14"/>
  <c r="BM45" i="14" s="1"/>
  <c r="AD46" i="14"/>
  <c r="AZ46" i="14" s="1"/>
  <c r="AH46" i="14"/>
  <c r="BD46" i="14" s="1"/>
  <c r="AL46" i="14"/>
  <c r="BH46" i="14" s="1"/>
  <c r="AP46" i="14"/>
  <c r="BL46" i="14" s="1"/>
  <c r="AT46" i="14"/>
  <c r="BP46" i="14" s="1"/>
  <c r="AC47" i="14"/>
  <c r="AY47" i="14" s="1"/>
  <c r="AG47" i="14"/>
  <c r="BC47" i="14" s="1"/>
  <c r="AK47" i="14"/>
  <c r="BG47" i="14" s="1"/>
  <c r="AO47" i="14"/>
  <c r="BK47" i="14" s="1"/>
  <c r="AS47" i="14"/>
  <c r="BO47" i="14" s="1"/>
  <c r="AF48" i="14"/>
  <c r="BB48" i="14" s="1"/>
  <c r="AN48" i="14"/>
  <c r="BJ48" i="14" s="1"/>
  <c r="AR48" i="14"/>
  <c r="BN48" i="14" s="1"/>
  <c r="AA49" i="14"/>
  <c r="AW49" i="14" s="1"/>
  <c r="AI49" i="14"/>
  <c r="BE49" i="14" s="1"/>
  <c r="AM49" i="14"/>
  <c r="BI49" i="14" s="1"/>
  <c r="AQ49" i="14"/>
  <c r="BM49" i="14" s="1"/>
  <c r="AD50" i="14"/>
  <c r="AZ50" i="14" s="1"/>
  <c r="AH50" i="14"/>
  <c r="BD50" i="14" s="1"/>
  <c r="AL50" i="14"/>
  <c r="BH50" i="14" s="1"/>
  <c r="AP50" i="14"/>
  <c r="BL50" i="14" s="1"/>
  <c r="AT50" i="14"/>
  <c r="AC51" i="14"/>
  <c r="AY51" i="14" s="1"/>
  <c r="AG51" i="14"/>
  <c r="BC51" i="14" s="1"/>
  <c r="AK51" i="14"/>
  <c r="BG51" i="14" s="1"/>
  <c r="AO51" i="14"/>
  <c r="BK51" i="14" s="1"/>
  <c r="AS51" i="14"/>
  <c r="BO51" i="14" s="1"/>
  <c r="AD7" i="14"/>
  <c r="AZ7" i="14" s="1"/>
  <c r="AH7" i="14"/>
  <c r="BD7" i="14" s="1"/>
  <c r="AL7" i="14"/>
  <c r="BH7" i="14" s="1"/>
  <c r="AP7" i="14"/>
  <c r="BL7" i="14" s="1"/>
  <c r="AT7" i="14"/>
  <c r="BP7" i="14" s="1"/>
  <c r="AC8" i="14"/>
  <c r="AY8" i="14" s="1"/>
  <c r="AG8" i="14"/>
  <c r="BC8" i="14" s="1"/>
  <c r="AK8" i="14"/>
  <c r="BG8" i="14" s="1"/>
  <c r="AO8" i="14"/>
  <c r="BK8" i="14" s="1"/>
  <c r="AS8" i="14"/>
  <c r="BO8" i="14" s="1"/>
  <c r="AF9" i="14"/>
  <c r="BB9" i="14" s="1"/>
  <c r="AJ9" i="14"/>
  <c r="BF9" i="14" s="1"/>
  <c r="AN9" i="14"/>
  <c r="BJ9" i="14" s="1"/>
  <c r="AR9" i="14"/>
  <c r="BN9" i="14" s="1"/>
  <c r="AA10" i="14"/>
  <c r="AW10" i="14" s="1"/>
  <c r="AE10" i="14"/>
  <c r="BA10" i="14" s="1"/>
  <c r="AI10" i="14"/>
  <c r="BE10" i="14" s="1"/>
  <c r="AD11" i="14"/>
  <c r="AZ11" i="14" s="1"/>
  <c r="AH11" i="14"/>
  <c r="BD11" i="14" s="1"/>
  <c r="AL11" i="14"/>
  <c r="BH11" i="14" s="1"/>
  <c r="AP11" i="14"/>
  <c r="BL11" i="14" s="1"/>
  <c r="AT11" i="14"/>
  <c r="BP11" i="14" s="1"/>
  <c r="AC12" i="14"/>
  <c r="AY12" i="14" s="1"/>
  <c r="AG12" i="14"/>
  <c r="BC12" i="14" s="1"/>
  <c r="AK12" i="14"/>
  <c r="BG12" i="14" s="1"/>
  <c r="AF13" i="14"/>
  <c r="BB13" i="14" s="1"/>
  <c r="AJ13" i="14"/>
  <c r="BF13" i="14" s="1"/>
  <c r="AN13" i="14"/>
  <c r="BJ13" i="14" s="1"/>
  <c r="AR13" i="14"/>
  <c r="BN13" i="14" s="1"/>
  <c r="AA14" i="14"/>
  <c r="AW14" i="14" s="1"/>
  <c r="AI14" i="14"/>
  <c r="BE14" i="14" s="1"/>
  <c r="AM14" i="14"/>
  <c r="BI14" i="14" s="1"/>
  <c r="AQ14" i="14"/>
  <c r="BM14" i="14" s="1"/>
  <c r="AD15" i="14"/>
  <c r="AZ15" i="14" s="1"/>
  <c r="AH15" i="14"/>
  <c r="BD15" i="14" s="1"/>
  <c r="AL15" i="14"/>
  <c r="BH15" i="14" s="1"/>
  <c r="AP15" i="14"/>
  <c r="BL15" i="14" s="1"/>
  <c r="AT15" i="14"/>
  <c r="BP15" i="14" s="1"/>
  <c r="AC16" i="14"/>
  <c r="AY16" i="14" s="1"/>
  <c r="AG16" i="14"/>
  <c r="BC16" i="14" s="1"/>
  <c r="AK16" i="14"/>
  <c r="BG16" i="14" s="1"/>
  <c r="AO16" i="14"/>
  <c r="BK16" i="14" s="1"/>
  <c r="AS16" i="14"/>
  <c r="BO16" i="14" s="1"/>
  <c r="AF17" i="14"/>
  <c r="BB17" i="14" s="1"/>
  <c r="AJ17" i="14"/>
  <c r="BF17" i="14" s="1"/>
  <c r="AN17" i="14"/>
  <c r="BJ17" i="14" s="1"/>
  <c r="AR17" i="14"/>
  <c r="BN17" i="14" s="1"/>
  <c r="AA18" i="14"/>
  <c r="AW18" i="14" s="1"/>
  <c r="AI18" i="14"/>
  <c r="BE18" i="14" s="1"/>
  <c r="AM18" i="14"/>
  <c r="BI18" i="14" s="1"/>
  <c r="AQ18" i="14"/>
  <c r="BM18" i="14" s="1"/>
  <c r="AD19" i="14"/>
  <c r="AZ19" i="14" s="1"/>
  <c r="AH19" i="14"/>
  <c r="BD19" i="14" s="1"/>
  <c r="AL19" i="14"/>
  <c r="BH19" i="14" s="1"/>
  <c r="AP19" i="14"/>
  <c r="BL19" i="14" s="1"/>
  <c r="AT19" i="14"/>
  <c r="BP19" i="14" s="1"/>
  <c r="AC20" i="14"/>
  <c r="AY20" i="14" s="1"/>
  <c r="AG20" i="14"/>
  <c r="BC20" i="14" s="1"/>
  <c r="AK20" i="14"/>
  <c r="BG20" i="14" s="1"/>
  <c r="AO20" i="14"/>
  <c r="BK20" i="14" s="1"/>
  <c r="AS20" i="14"/>
  <c r="BO20" i="14" s="1"/>
  <c r="AB21" i="14"/>
  <c r="AX21" i="14" s="1"/>
  <c r="AF21" i="14"/>
  <c r="BB21" i="14" s="1"/>
  <c r="AJ21" i="14"/>
  <c r="BF21" i="14" s="1"/>
  <c r="AN21" i="14"/>
  <c r="BJ21" i="14" s="1"/>
  <c r="AR21" i="14"/>
  <c r="BN21" i="14" s="1"/>
  <c r="AI22" i="14"/>
  <c r="BE22" i="14" s="1"/>
  <c r="AM22" i="14"/>
  <c r="BI22" i="14" s="1"/>
  <c r="AQ22" i="14"/>
  <c r="BM22" i="14" s="1"/>
  <c r="AD23" i="14"/>
  <c r="AZ23" i="14" s="1"/>
  <c r="AH23" i="14"/>
  <c r="BD23" i="14" s="1"/>
  <c r="AL23" i="14"/>
  <c r="BH23" i="14" s="1"/>
  <c r="AP23" i="14"/>
  <c r="BL23" i="14" s="1"/>
  <c r="AT23" i="14"/>
  <c r="BP23" i="14" s="1"/>
  <c r="AC24" i="14"/>
  <c r="AY24" i="14" s="1"/>
  <c r="AG24" i="14"/>
  <c r="BC24" i="14" s="1"/>
  <c r="AK24" i="14"/>
  <c r="BG24" i="14" s="1"/>
  <c r="AO24" i="14"/>
  <c r="BK24" i="14" s="1"/>
  <c r="AS24" i="14"/>
  <c r="BO24" i="14" s="1"/>
  <c r="AF25" i="14"/>
  <c r="BB25" i="14" s="1"/>
  <c r="AJ25" i="14"/>
  <c r="BF25" i="14" s="1"/>
  <c r="AN25" i="14"/>
  <c r="BJ25" i="14" s="1"/>
  <c r="AR25" i="14"/>
  <c r="BN25" i="14" s="1"/>
  <c r="AA26" i="14"/>
  <c r="AW26" i="14" s="1"/>
  <c r="AI26" i="14"/>
  <c r="BE26" i="14" s="1"/>
  <c r="AM26" i="14"/>
  <c r="BI26" i="14" s="1"/>
  <c r="AQ26" i="14"/>
  <c r="BM26" i="14" s="1"/>
  <c r="AD27" i="14"/>
  <c r="AZ27" i="14" s="1"/>
  <c r="AH27" i="14"/>
  <c r="BD27" i="14" s="1"/>
  <c r="AL27" i="14"/>
  <c r="BH27" i="14" s="1"/>
  <c r="AP27" i="14"/>
  <c r="BL27" i="14" s="1"/>
  <c r="AT27" i="14"/>
  <c r="BP27" i="14" s="1"/>
  <c r="AC28" i="14"/>
  <c r="AY28" i="14" s="1"/>
  <c r="AG28" i="14"/>
  <c r="BC28" i="14" s="1"/>
  <c r="AK28" i="14"/>
  <c r="BG28" i="14" s="1"/>
  <c r="AO28" i="14"/>
  <c r="BK28" i="14" s="1"/>
  <c r="AS28" i="14"/>
  <c r="BO28" i="14" s="1"/>
  <c r="AF29" i="14"/>
  <c r="BB29" i="14" s="1"/>
  <c r="AJ29" i="14"/>
  <c r="BF29" i="14" s="1"/>
  <c r="AN29" i="14"/>
  <c r="BJ29" i="14" s="1"/>
  <c r="AR29" i="14"/>
  <c r="BN29" i="14" s="1"/>
  <c r="AA30" i="14"/>
  <c r="AW30" i="14" s="1"/>
  <c r="AM30" i="14"/>
  <c r="BI30" i="14" s="1"/>
  <c r="AQ30" i="14"/>
  <c r="BM30" i="14" s="1"/>
  <c r="AD31" i="14"/>
  <c r="AZ31" i="14" s="1"/>
  <c r="AH31" i="14"/>
  <c r="BD31" i="14" s="1"/>
  <c r="AL31" i="14"/>
  <c r="BH31" i="14" s="1"/>
  <c r="AP31" i="14"/>
  <c r="BL31" i="14" s="1"/>
  <c r="AT31" i="14"/>
  <c r="BP31" i="14" s="1"/>
  <c r="AC32" i="14"/>
  <c r="AY32" i="14" s="1"/>
  <c r="AG32" i="14"/>
  <c r="BC32" i="14" s="1"/>
  <c r="AK32" i="14"/>
  <c r="BG32" i="14" s="1"/>
  <c r="AO32" i="14"/>
  <c r="BK32" i="14" s="1"/>
  <c r="AS32" i="14"/>
  <c r="BO32" i="14" s="1"/>
  <c r="AF33" i="14"/>
  <c r="BB33" i="14" s="1"/>
  <c r="AN33" i="14"/>
  <c r="BJ33" i="14" s="1"/>
  <c r="AR33" i="14"/>
  <c r="BN33" i="14" s="1"/>
  <c r="AA34" i="14"/>
  <c r="AW34" i="14" s="1"/>
  <c r="AI34" i="14"/>
  <c r="BE34" i="14" s="1"/>
  <c r="AM34" i="14"/>
  <c r="BI34" i="14" s="1"/>
  <c r="AQ34" i="14"/>
  <c r="BM34" i="14" s="1"/>
  <c r="AD35" i="14"/>
  <c r="AZ35" i="14" s="1"/>
  <c r="AH35" i="14"/>
  <c r="BD35" i="14" s="1"/>
  <c r="AL35" i="14"/>
  <c r="BH35" i="14" s="1"/>
  <c r="AP35" i="14"/>
  <c r="BL35" i="14" s="1"/>
  <c r="AT35" i="14"/>
  <c r="BP35" i="14" s="1"/>
  <c r="AC36" i="14"/>
  <c r="AY36" i="14" s="1"/>
  <c r="AG36" i="14"/>
  <c r="BC36" i="14" s="1"/>
  <c r="AK36" i="14"/>
  <c r="BG36" i="14" s="1"/>
  <c r="AO36" i="14"/>
  <c r="BK36" i="14" s="1"/>
  <c r="AS36" i="14"/>
  <c r="BO36" i="14" s="1"/>
  <c r="AF37" i="14"/>
  <c r="BB37" i="14" s="1"/>
  <c r="AN37" i="14"/>
  <c r="BJ37" i="14" s="1"/>
  <c r="AR37" i="14"/>
  <c r="BN37" i="14" s="1"/>
  <c r="AA38" i="14"/>
  <c r="AW38" i="14" s="1"/>
  <c r="AI38" i="14"/>
  <c r="BE38" i="14" s="1"/>
  <c r="AM38" i="14"/>
  <c r="BI38" i="14" s="1"/>
  <c r="AQ38" i="14"/>
  <c r="BM38" i="14" s="1"/>
  <c r="AD39" i="14"/>
  <c r="AZ39" i="14" s="1"/>
  <c r="AH39" i="14"/>
  <c r="BD39" i="14" s="1"/>
  <c r="AL39" i="14"/>
  <c r="BH39" i="14" s="1"/>
  <c r="AP39" i="14"/>
  <c r="BL39" i="14" s="1"/>
  <c r="AT39" i="14"/>
  <c r="BP39" i="14" s="1"/>
  <c r="AC40" i="14"/>
  <c r="AY40" i="14" s="1"/>
  <c r="AG40" i="14"/>
  <c r="BC40" i="14" s="1"/>
  <c r="AK40" i="14"/>
  <c r="BG40" i="14" s="1"/>
  <c r="AO40" i="14"/>
  <c r="BK40" i="14" s="1"/>
  <c r="AS40" i="14"/>
  <c r="BO40" i="14" s="1"/>
  <c r="AF41" i="14"/>
  <c r="BB41" i="14" s="1"/>
  <c r="AJ41" i="14"/>
  <c r="BF41" i="14" s="1"/>
  <c r="AN41" i="14"/>
  <c r="BJ41" i="14" s="1"/>
  <c r="AR41" i="14"/>
  <c r="BN41" i="14" s="1"/>
  <c r="AA42" i="14"/>
  <c r="AW42" i="14" s="1"/>
  <c r="AM42" i="14"/>
  <c r="BI42" i="14" s="1"/>
  <c r="AQ42" i="14"/>
  <c r="BM42" i="14" s="1"/>
  <c r="AD43" i="14"/>
  <c r="AZ43" i="14" s="1"/>
  <c r="AH43" i="14"/>
  <c r="BD43" i="14" s="1"/>
  <c r="AL43" i="14"/>
  <c r="BH43" i="14" s="1"/>
  <c r="AP43" i="14"/>
  <c r="BL43" i="14" s="1"/>
  <c r="AT43" i="14"/>
  <c r="BP43" i="14" s="1"/>
  <c r="AC44" i="14"/>
  <c r="AY44" i="14" s="1"/>
  <c r="AG44" i="14"/>
  <c r="BC44" i="14" s="1"/>
  <c r="AK44" i="14"/>
  <c r="BG44" i="14" s="1"/>
  <c r="AO44" i="14"/>
  <c r="BK44" i="14" s="1"/>
  <c r="AS44" i="14"/>
  <c r="BO44" i="14" s="1"/>
  <c r="AF45" i="14"/>
  <c r="BB45" i="14" s="1"/>
  <c r="AN45" i="14"/>
  <c r="BJ45" i="14" s="1"/>
  <c r="AR45" i="14"/>
  <c r="BN45" i="14" s="1"/>
  <c r="AA46" i="14"/>
  <c r="AW46" i="14" s="1"/>
  <c r="AI46" i="14"/>
  <c r="BE46" i="14" s="1"/>
  <c r="AM46" i="14"/>
  <c r="BI46" i="14" s="1"/>
  <c r="AQ46" i="14"/>
  <c r="BM46" i="14" s="1"/>
  <c r="AD47" i="14"/>
  <c r="AZ47" i="14" s="1"/>
  <c r="AH47" i="14"/>
  <c r="BD47" i="14" s="1"/>
  <c r="AL47" i="14"/>
  <c r="BH47" i="14" s="1"/>
  <c r="AP47" i="14"/>
  <c r="BL47" i="14" s="1"/>
  <c r="AT47" i="14"/>
  <c r="BP47" i="14" s="1"/>
  <c r="AC48" i="14"/>
  <c r="AY48" i="14" s="1"/>
  <c r="AG48" i="14"/>
  <c r="BC48" i="14" s="1"/>
  <c r="AK48" i="14"/>
  <c r="BG48" i="14" s="1"/>
  <c r="AO48" i="14"/>
  <c r="BK48" i="14" s="1"/>
  <c r="AS48" i="14"/>
  <c r="BO48" i="14" s="1"/>
  <c r="AF49" i="14"/>
  <c r="BB49" i="14" s="1"/>
  <c r="AN49" i="14"/>
  <c r="BJ49" i="14" s="1"/>
  <c r="AR49" i="14"/>
  <c r="BN49" i="14" s="1"/>
  <c r="AA50" i="14"/>
  <c r="AW50" i="14" s="1"/>
  <c r="AI50" i="14"/>
  <c r="BE50" i="14" s="1"/>
  <c r="AM50" i="14"/>
  <c r="BI50" i="14" s="1"/>
  <c r="AQ50" i="14"/>
  <c r="BM50" i="14" s="1"/>
  <c r="Z51" i="14"/>
  <c r="AV51" i="14" s="1"/>
  <c r="AD51" i="14"/>
  <c r="AZ51" i="14" s="1"/>
  <c r="AH51" i="14"/>
  <c r="BD51" i="14" s="1"/>
  <c r="AL51" i="14"/>
  <c r="BH51" i="14" s="1"/>
  <c r="AP51" i="14"/>
  <c r="BL51" i="14" s="1"/>
  <c r="AT51" i="14"/>
  <c r="AT49" i="18" l="1"/>
  <c r="BP49" i="18" s="1"/>
  <c r="BP49" i="14"/>
  <c r="AT51" i="18"/>
  <c r="BP51" i="18" s="1"/>
  <c r="BP51" i="14"/>
  <c r="AT50" i="18"/>
  <c r="BP50" i="18" s="1"/>
  <c r="BP50" i="14"/>
  <c r="AT48" i="18"/>
  <c r="BP48" i="18" s="1"/>
  <c r="BP48" i="14"/>
  <c r="AF49" i="18"/>
  <c r="BB49" i="18" s="1"/>
  <c r="AG48" i="18"/>
  <c r="BC48" i="18" s="1"/>
  <c r="AP51" i="18"/>
  <c r="BL51" i="18" s="1"/>
  <c r="AH51" i="18"/>
  <c r="BD51" i="18" s="1"/>
  <c r="AC48" i="18"/>
  <c r="AY48" i="18" s="1"/>
  <c r="AC51" i="18"/>
  <c r="AY51" i="18" s="1"/>
  <c r="AP50" i="18"/>
  <c r="BL50" i="18" s="1"/>
  <c r="AH50" i="18"/>
  <c r="BD50" i="18" s="1"/>
  <c r="AI49" i="18"/>
  <c r="BE49" i="18" s="1"/>
  <c r="AF48" i="18"/>
  <c r="BB48" i="18" s="1"/>
  <c r="AJ51" i="18"/>
  <c r="BF51" i="18" s="1"/>
  <c r="AC50" i="18"/>
  <c r="AY50" i="18" s="1"/>
  <c r="AP49" i="18"/>
  <c r="BL49" i="18" s="1"/>
  <c r="AH49" i="18"/>
  <c r="BD49" i="18" s="1"/>
  <c r="AI48" i="18"/>
  <c r="BE48" i="18" s="1"/>
  <c r="AF50" i="18"/>
  <c r="BB50" i="18" s="1"/>
  <c r="AG49" i="18"/>
  <c r="BC49" i="18" s="1"/>
  <c r="AD48" i="18"/>
  <c r="AZ48" i="18" s="1"/>
  <c r="AD51" i="18"/>
  <c r="AZ51" i="18" s="1"/>
  <c r="AI50" i="18"/>
  <c r="BE50" i="18" s="1"/>
  <c r="AG51" i="18"/>
  <c r="BC51" i="18" s="1"/>
  <c r="AD50" i="18"/>
  <c r="AZ50" i="18" s="1"/>
  <c r="AF51" i="18"/>
  <c r="BB51" i="18" s="1"/>
  <c r="AG50" i="18"/>
  <c r="BC50" i="18" s="1"/>
  <c r="AD49" i="18"/>
  <c r="AZ49" i="18" s="1"/>
  <c r="AC49" i="18"/>
  <c r="AY49" i="18" s="1"/>
  <c r="AP48" i="18"/>
  <c r="BL48" i="18" s="1"/>
  <c r="AH48" i="18"/>
  <c r="BD48" i="18" s="1"/>
  <c r="AQ50" i="18"/>
  <c r="BM50" i="18" s="1"/>
  <c r="AM50" i="18"/>
  <c r="BI50" i="18" s="1"/>
  <c r="AR49" i="18"/>
  <c r="BN49" i="18" s="1"/>
  <c r="AO51" i="18"/>
  <c r="BK51" i="18" s="1"/>
  <c r="AN48" i="18"/>
  <c r="BJ48" i="18" s="1"/>
  <c r="AR51" i="18"/>
  <c r="BN51" i="18" s="1"/>
  <c r="AL49" i="18"/>
  <c r="BH49" i="18" s="1"/>
  <c r="AQ48" i="18"/>
  <c r="BM48" i="18" s="1"/>
  <c r="AA48" i="18"/>
  <c r="AW48" i="18" s="1"/>
  <c r="AQ51" i="18"/>
  <c r="BM51" i="18" s="1"/>
  <c r="AA51" i="18"/>
  <c r="AW51" i="18" s="1"/>
  <c r="AK49" i="18"/>
  <c r="BG49" i="18" s="1"/>
  <c r="AL51" i="18"/>
  <c r="BH51" i="18" s="1"/>
  <c r="AN49" i="18"/>
  <c r="BJ49" i="18" s="1"/>
  <c r="AS48" i="18"/>
  <c r="BO48" i="18" s="1"/>
  <c r="AK51" i="18"/>
  <c r="BG51" i="18" s="1"/>
  <c r="AN51" i="18"/>
  <c r="BJ51" i="18" s="1"/>
  <c r="AS50" i="18"/>
  <c r="BO50" i="18" s="1"/>
  <c r="AM48" i="18"/>
  <c r="BI48" i="18" s="1"/>
  <c r="AM51" i="18"/>
  <c r="BI51" i="18" s="1"/>
  <c r="AR50" i="18"/>
  <c r="BN50" i="18" s="1"/>
  <c r="AL48" i="18"/>
  <c r="BH48" i="18" s="1"/>
  <c r="Z51" i="18"/>
  <c r="AV51" i="18" s="1"/>
  <c r="AO48" i="18"/>
  <c r="BK48" i="18" s="1"/>
  <c r="AL50" i="18"/>
  <c r="BH50" i="18" s="1"/>
  <c r="AQ49" i="18"/>
  <c r="BM49" i="18" s="1"/>
  <c r="AA49" i="18"/>
  <c r="AW49" i="18" s="1"/>
  <c r="AO50" i="18"/>
  <c r="BK50" i="18" s="1"/>
  <c r="AN50" i="18"/>
  <c r="BJ50" i="18" s="1"/>
  <c r="AS49" i="18"/>
  <c r="BO49" i="18" s="1"/>
  <c r="AA50" i="18"/>
  <c r="AW50" i="18" s="1"/>
  <c r="AK48" i="18"/>
  <c r="BG48" i="18" s="1"/>
  <c r="AS51" i="18"/>
  <c r="BO51" i="18" s="1"/>
  <c r="AM49" i="18"/>
  <c r="BI49" i="18" s="1"/>
  <c r="AR48" i="18"/>
  <c r="BN48" i="18" s="1"/>
  <c r="AK50" i="18"/>
  <c r="BG50" i="18" s="1"/>
  <c r="AO49" i="18"/>
  <c r="BK49" i="18" s="1"/>
  <c r="A111" i="4" l="1"/>
  <c r="A109" i="4"/>
  <c r="A108" i="4"/>
  <c r="A107" i="4"/>
  <c r="A106" i="4"/>
  <c r="A105" i="4"/>
  <c r="H111" i="4" s="1"/>
  <c r="E104" i="4"/>
  <c r="F104" i="4" s="1"/>
  <c r="G104" i="4" s="1"/>
  <c r="H104" i="4" s="1"/>
  <c r="B104" i="4"/>
  <c r="B108" i="4" s="1"/>
  <c r="A131" i="4"/>
  <c r="A130" i="4"/>
  <c r="A129" i="4"/>
  <c r="A128" i="4"/>
  <c r="A127" i="4"/>
  <c r="E126" i="4"/>
  <c r="F126" i="4" s="1"/>
  <c r="G126" i="4" s="1"/>
  <c r="H126" i="4" s="1"/>
  <c r="B126" i="4"/>
  <c r="B130" i="4" s="1"/>
  <c r="B105" i="4" l="1"/>
  <c r="B107" i="4"/>
  <c r="B111" i="4" s="1"/>
  <c r="C24" i="2" s="1"/>
  <c r="B109" i="4"/>
  <c r="E111" i="4"/>
  <c r="H24" i="2" s="1"/>
  <c r="F111" i="4"/>
  <c r="B106" i="4"/>
  <c r="G111" i="4"/>
  <c r="D111" i="4"/>
  <c r="B127" i="4"/>
  <c r="B129" i="4"/>
  <c r="B131" i="4"/>
  <c r="B128" i="4"/>
  <c r="BP6" i="17" l="1"/>
  <c r="BO6" i="17"/>
  <c r="BN6" i="17"/>
  <c r="BM6" i="17"/>
  <c r="BL6" i="17"/>
  <c r="BK6" i="17"/>
  <c r="BJ6" i="17"/>
  <c r="BI6" i="17"/>
  <c r="BH6" i="17"/>
  <c r="BG6" i="17"/>
  <c r="BF6" i="17"/>
  <c r="BE6" i="17"/>
  <c r="BD6" i="17"/>
  <c r="BC6" i="17"/>
  <c r="BB6" i="17"/>
  <c r="BA6" i="17"/>
  <c r="AZ6" i="17"/>
  <c r="AY6" i="17"/>
  <c r="AX6" i="17"/>
  <c r="AW6" i="17"/>
  <c r="AV6" i="17"/>
  <c r="BP6" i="15"/>
  <c r="BO6" i="15"/>
  <c r="BN6" i="15"/>
  <c r="BM6" i="15"/>
  <c r="BL6" i="15"/>
  <c r="BK6" i="15"/>
  <c r="BJ6" i="15"/>
  <c r="BI6" i="15"/>
  <c r="BH6" i="15"/>
  <c r="BG6" i="15"/>
  <c r="BF6" i="15"/>
  <c r="BE6" i="15"/>
  <c r="BD6" i="15"/>
  <c r="BC6" i="15"/>
  <c r="BB6" i="15"/>
  <c r="BA6" i="15"/>
  <c r="AZ6" i="15"/>
  <c r="AY6" i="15"/>
  <c r="AX6" i="15"/>
  <c r="AW6" i="15"/>
  <c r="AV6" i="15"/>
  <c r="CL6" i="5" l="1"/>
  <c r="CK6" i="5"/>
  <c r="CJ6" i="5"/>
  <c r="CI6" i="5"/>
  <c r="CH6" i="5"/>
  <c r="CG6" i="5"/>
  <c r="CF6" i="5"/>
  <c r="CE6" i="5"/>
  <c r="CL24" i="5"/>
  <c r="CL23" i="5"/>
  <c r="CL22" i="5"/>
  <c r="CL20" i="5"/>
  <c r="CL19" i="5"/>
  <c r="CL18" i="5"/>
  <c r="CL16" i="5"/>
  <c r="CL15" i="5"/>
  <c r="CL14" i="5"/>
  <c r="CL13" i="5"/>
  <c r="CL12" i="5"/>
  <c r="CL11" i="5"/>
  <c r="CL10" i="5"/>
  <c r="CL9" i="5"/>
  <c r="CL8" i="5"/>
  <c r="CL7" i="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CL17" i="5" l="1"/>
  <c r="CL21" i="5"/>
  <c r="CL25" i="5"/>
  <c r="D119" i="4"/>
  <c r="A30" i="4"/>
  <c r="AT36" i="17"/>
  <c r="BP36" i="17" s="1"/>
  <c r="AP36" i="17"/>
  <c r="BL36" i="17" s="1"/>
  <c r="AI36" i="17"/>
  <c r="BE36" i="17" s="1"/>
  <c r="AH36" i="17"/>
  <c r="BD36" i="17" s="1"/>
  <c r="AG36" i="17"/>
  <c r="BC36" i="17" s="1"/>
  <c r="AF36" i="17"/>
  <c r="BB36" i="17" s="1"/>
  <c r="AD36" i="17"/>
  <c r="AZ36" i="17" s="1"/>
  <c r="AC36" i="17"/>
  <c r="AY36" i="17" s="1"/>
  <c r="AT35" i="17"/>
  <c r="BP35" i="17" s="1"/>
  <c r="AP35" i="17"/>
  <c r="BL35" i="17" s="1"/>
  <c r="AI35" i="17"/>
  <c r="BE35" i="17" s="1"/>
  <c r="AH35" i="17"/>
  <c r="BD35" i="17" s="1"/>
  <c r="AG35" i="17"/>
  <c r="BC35" i="17" s="1"/>
  <c r="AF35" i="17"/>
  <c r="BB35" i="17" s="1"/>
  <c r="AD35" i="17"/>
  <c r="AZ35" i="17" s="1"/>
  <c r="AC35" i="17"/>
  <c r="AY35" i="17" s="1"/>
  <c r="AT34" i="17"/>
  <c r="BP34" i="17" s="1"/>
  <c r="AP34" i="17"/>
  <c r="BL34" i="17" s="1"/>
  <c r="AI34" i="17"/>
  <c r="BE34" i="17" s="1"/>
  <c r="AH34" i="17"/>
  <c r="BD34" i="17" s="1"/>
  <c r="AG34" i="17"/>
  <c r="BC34" i="17" s="1"/>
  <c r="AF34" i="17"/>
  <c r="BB34" i="17" s="1"/>
  <c r="AD34" i="17"/>
  <c r="AZ34" i="17" s="1"/>
  <c r="AC34" i="17"/>
  <c r="AY34" i="17" s="1"/>
  <c r="AT33" i="17"/>
  <c r="BP33" i="17" s="1"/>
  <c r="AP33" i="17"/>
  <c r="BL33" i="17" s="1"/>
  <c r="AI33" i="17"/>
  <c r="BE33" i="17" s="1"/>
  <c r="AH33" i="17"/>
  <c r="BD33" i="17" s="1"/>
  <c r="AG33" i="17"/>
  <c r="BC33" i="17" s="1"/>
  <c r="AF33" i="17"/>
  <c r="BB33" i="17" s="1"/>
  <c r="AD33" i="17"/>
  <c r="AZ33" i="17" s="1"/>
  <c r="AC33" i="17"/>
  <c r="AY33" i="17" s="1"/>
  <c r="AT32" i="17"/>
  <c r="BP32" i="17" s="1"/>
  <c r="AP32" i="17"/>
  <c r="BL32" i="17" s="1"/>
  <c r="AI32" i="17"/>
  <c r="BE32" i="17" s="1"/>
  <c r="AH32" i="17"/>
  <c r="BD32" i="17" s="1"/>
  <c r="AG32" i="17"/>
  <c r="BC32" i="17" s="1"/>
  <c r="AF32" i="17"/>
  <c r="BB32" i="17" s="1"/>
  <c r="AD32" i="17"/>
  <c r="AZ32" i="17" s="1"/>
  <c r="AC32" i="17"/>
  <c r="AY32" i="17" s="1"/>
  <c r="AT31" i="17"/>
  <c r="BP31" i="17" s="1"/>
  <c r="AP31" i="17"/>
  <c r="BL31" i="17" s="1"/>
  <c r="AI31" i="17"/>
  <c r="BE31" i="17" s="1"/>
  <c r="AH31" i="17"/>
  <c r="BD31" i="17" s="1"/>
  <c r="AG31" i="17"/>
  <c r="BC31" i="17" s="1"/>
  <c r="AF31" i="17"/>
  <c r="BB31" i="17" s="1"/>
  <c r="AD31" i="17"/>
  <c r="AZ31" i="17" s="1"/>
  <c r="AC31" i="17"/>
  <c r="AY31" i="17" s="1"/>
  <c r="AT30" i="17"/>
  <c r="BP30" i="17" s="1"/>
  <c r="AP30" i="17"/>
  <c r="BL30" i="17" s="1"/>
  <c r="AJ30" i="17"/>
  <c r="BF30" i="17" s="1"/>
  <c r="AH30" i="17"/>
  <c r="BD30" i="17" s="1"/>
  <c r="AG30" i="17"/>
  <c r="BC30" i="17" s="1"/>
  <c r="AF30" i="17"/>
  <c r="BB30" i="17" s="1"/>
  <c r="AD30" i="17"/>
  <c r="AZ30" i="17" s="1"/>
  <c r="AC30" i="17"/>
  <c r="AY30" i="17" s="1"/>
  <c r="AT29" i="17"/>
  <c r="BP29" i="17" s="1"/>
  <c r="AP29" i="17"/>
  <c r="BL29" i="17" s="1"/>
  <c r="AH29" i="17"/>
  <c r="BD29" i="17" s="1"/>
  <c r="AG29" i="17"/>
  <c r="BC29" i="17" s="1"/>
  <c r="AF29" i="17"/>
  <c r="BB29" i="17" s="1"/>
  <c r="AD29" i="17"/>
  <c r="AZ29" i="17" s="1"/>
  <c r="AC29" i="17"/>
  <c r="AY29" i="17" s="1"/>
  <c r="AT28" i="17"/>
  <c r="BP28" i="17" s="1"/>
  <c r="AP28" i="17"/>
  <c r="BL28" i="17" s="1"/>
  <c r="AH28" i="17"/>
  <c r="BD28" i="17" s="1"/>
  <c r="AG28" i="17"/>
  <c r="BC28" i="17" s="1"/>
  <c r="AF28" i="17"/>
  <c r="BB28" i="17" s="1"/>
  <c r="AD28" i="17"/>
  <c r="AZ28" i="17" s="1"/>
  <c r="AC28" i="17"/>
  <c r="AY28" i="17" s="1"/>
  <c r="AT27" i="17"/>
  <c r="BP27" i="17" s="1"/>
  <c r="AP27" i="17"/>
  <c r="BL27" i="17" s="1"/>
  <c r="AH27" i="17"/>
  <c r="BD27" i="17" s="1"/>
  <c r="AG27" i="17"/>
  <c r="BC27" i="17" s="1"/>
  <c r="AF27" i="17"/>
  <c r="BB27" i="17" s="1"/>
  <c r="AD27" i="17"/>
  <c r="AZ27" i="17" s="1"/>
  <c r="AC27" i="17"/>
  <c r="AY27" i="17" s="1"/>
  <c r="AT26" i="17"/>
  <c r="BP26" i="17" s="1"/>
  <c r="AP26" i="17"/>
  <c r="BL26" i="17" s="1"/>
  <c r="AH26" i="17"/>
  <c r="BD26" i="17" s="1"/>
  <c r="AG26" i="17"/>
  <c r="BC26" i="17" s="1"/>
  <c r="AF26" i="17"/>
  <c r="BB26" i="17" s="1"/>
  <c r="AD26" i="17"/>
  <c r="AZ26" i="17" s="1"/>
  <c r="AC26" i="17"/>
  <c r="AY26" i="17" s="1"/>
  <c r="AT25" i="17"/>
  <c r="BP25" i="17" s="1"/>
  <c r="AP25" i="17"/>
  <c r="BL25" i="17" s="1"/>
  <c r="AH25" i="17"/>
  <c r="BD25" i="17" s="1"/>
  <c r="AG25" i="17"/>
  <c r="BC25" i="17" s="1"/>
  <c r="AF25" i="17"/>
  <c r="BB25" i="17" s="1"/>
  <c r="AD25" i="17"/>
  <c r="AZ25" i="17" s="1"/>
  <c r="AC25" i="17"/>
  <c r="AY25" i="17" s="1"/>
  <c r="AT24" i="17"/>
  <c r="BP24" i="17" s="1"/>
  <c r="AP24" i="17"/>
  <c r="BL24" i="17" s="1"/>
  <c r="AH24" i="17"/>
  <c r="BD24" i="17" s="1"/>
  <c r="AG24" i="17"/>
  <c r="BC24" i="17" s="1"/>
  <c r="AF24" i="17"/>
  <c r="BB24" i="17" s="1"/>
  <c r="AD24" i="17"/>
  <c r="AZ24" i="17" s="1"/>
  <c r="AC24" i="17"/>
  <c r="AY24" i="17" s="1"/>
  <c r="AT23" i="17"/>
  <c r="BP23" i="17" s="1"/>
  <c r="AP23" i="17"/>
  <c r="BL23" i="17" s="1"/>
  <c r="AH23" i="17"/>
  <c r="BD23" i="17" s="1"/>
  <c r="AG23" i="17"/>
  <c r="BC23" i="17" s="1"/>
  <c r="AF23" i="17"/>
  <c r="BB23" i="17" s="1"/>
  <c r="AD23" i="17"/>
  <c r="AZ23" i="17" s="1"/>
  <c r="AC23" i="17"/>
  <c r="AY23" i="17" s="1"/>
  <c r="AT22" i="17"/>
  <c r="BP22" i="17" s="1"/>
  <c r="AP22" i="17"/>
  <c r="BL22" i="17" s="1"/>
  <c r="AH22" i="17"/>
  <c r="BD22" i="17" s="1"/>
  <c r="AG22" i="17"/>
  <c r="BC22" i="17" s="1"/>
  <c r="AF22" i="17"/>
  <c r="BB22" i="17" s="1"/>
  <c r="AD22" i="17"/>
  <c r="AZ22" i="17" s="1"/>
  <c r="AC22" i="17"/>
  <c r="AY22" i="17" s="1"/>
  <c r="AT21" i="17"/>
  <c r="BP21" i="17" s="1"/>
  <c r="AP21" i="17"/>
  <c r="BL21" i="17" s="1"/>
  <c r="AH21" i="17"/>
  <c r="BD21" i="17" s="1"/>
  <c r="AG21" i="17"/>
  <c r="BC21" i="17" s="1"/>
  <c r="AF21" i="17"/>
  <c r="BB21" i="17" s="1"/>
  <c r="AD21" i="17"/>
  <c r="AZ21" i="17" s="1"/>
  <c r="AC21" i="17"/>
  <c r="AY21" i="17" s="1"/>
  <c r="AT20" i="17"/>
  <c r="BP20" i="17" s="1"/>
  <c r="AP20" i="17"/>
  <c r="BL20" i="17" s="1"/>
  <c r="AH20" i="17"/>
  <c r="BD20" i="17" s="1"/>
  <c r="AG20" i="17"/>
  <c r="BC20" i="17" s="1"/>
  <c r="AF20" i="17"/>
  <c r="BB20" i="17" s="1"/>
  <c r="AD20" i="17"/>
  <c r="AZ20" i="17" s="1"/>
  <c r="AC20" i="17"/>
  <c r="AY20" i="17" s="1"/>
  <c r="AT19" i="17"/>
  <c r="BP19" i="17" s="1"/>
  <c r="AP19" i="17"/>
  <c r="BL19" i="17" s="1"/>
  <c r="AH19" i="17"/>
  <c r="BD19" i="17" s="1"/>
  <c r="AG19" i="17"/>
  <c r="BC19" i="17" s="1"/>
  <c r="AF19" i="17"/>
  <c r="BB19" i="17" s="1"/>
  <c r="AD19" i="17"/>
  <c r="AZ19" i="17" s="1"/>
  <c r="AC19" i="17"/>
  <c r="AY19" i="17" s="1"/>
  <c r="AT18" i="17"/>
  <c r="BP18" i="17" s="1"/>
  <c r="AP18" i="17"/>
  <c r="BL18" i="17" s="1"/>
  <c r="AH18" i="17"/>
  <c r="BD18" i="17" s="1"/>
  <c r="AG18" i="17"/>
  <c r="BC18" i="17" s="1"/>
  <c r="AF18" i="17"/>
  <c r="BB18" i="17" s="1"/>
  <c r="AD18" i="17"/>
  <c r="AZ18" i="17" s="1"/>
  <c r="AC18" i="17"/>
  <c r="AY18" i="17" s="1"/>
  <c r="AT17" i="17"/>
  <c r="BP17" i="17" s="1"/>
  <c r="AP17" i="17"/>
  <c r="BL17" i="17" s="1"/>
  <c r="AH17" i="17"/>
  <c r="BD17" i="17" s="1"/>
  <c r="AG17" i="17"/>
  <c r="BC17" i="17" s="1"/>
  <c r="AF17" i="17"/>
  <c r="BB17" i="17" s="1"/>
  <c r="AD17" i="17"/>
  <c r="AZ17" i="17" s="1"/>
  <c r="AC17" i="17"/>
  <c r="AY17" i="17" s="1"/>
  <c r="AT16" i="17"/>
  <c r="BP16" i="17" s="1"/>
  <c r="AP16" i="17"/>
  <c r="BL16" i="17" s="1"/>
  <c r="AH16" i="17"/>
  <c r="BD16" i="17" s="1"/>
  <c r="AG16" i="17"/>
  <c r="BC16" i="17" s="1"/>
  <c r="AF16" i="17"/>
  <c r="BB16" i="17" s="1"/>
  <c r="AD16" i="17"/>
  <c r="AZ16" i="17" s="1"/>
  <c r="AC16" i="17"/>
  <c r="AY16" i="17" s="1"/>
  <c r="AT15" i="17"/>
  <c r="BP15" i="17" s="1"/>
  <c r="AP15" i="17"/>
  <c r="BL15" i="17" s="1"/>
  <c r="AH15" i="17"/>
  <c r="BD15" i="17" s="1"/>
  <c r="AG15" i="17"/>
  <c r="BC15" i="17" s="1"/>
  <c r="AF15" i="17"/>
  <c r="BB15" i="17" s="1"/>
  <c r="AD15" i="17"/>
  <c r="AZ15" i="17" s="1"/>
  <c r="AC15" i="17"/>
  <c r="AY15" i="17" s="1"/>
  <c r="AT14" i="17"/>
  <c r="BP14" i="17" s="1"/>
  <c r="AP14" i="17"/>
  <c r="BL14" i="17" s="1"/>
  <c r="AH14" i="17"/>
  <c r="BD14" i="17" s="1"/>
  <c r="AG14" i="17"/>
  <c r="BC14" i="17" s="1"/>
  <c r="AF14" i="17"/>
  <c r="BB14" i="17" s="1"/>
  <c r="AD14" i="17"/>
  <c r="AZ14" i="17" s="1"/>
  <c r="AC14" i="17"/>
  <c r="AY14" i="17" s="1"/>
  <c r="AT13" i="17"/>
  <c r="BP13" i="17" s="1"/>
  <c r="AP13" i="17"/>
  <c r="BL13" i="17" s="1"/>
  <c r="AH13" i="17"/>
  <c r="BD13" i="17" s="1"/>
  <c r="AG13" i="17"/>
  <c r="BC13" i="17" s="1"/>
  <c r="AF13" i="17"/>
  <c r="BB13" i="17" s="1"/>
  <c r="AD13" i="17"/>
  <c r="AZ13" i="17" s="1"/>
  <c r="AC13" i="17"/>
  <c r="AY13" i="17" s="1"/>
  <c r="AT12" i="17"/>
  <c r="BP12" i="17" s="1"/>
  <c r="AP12" i="17"/>
  <c r="BL12" i="17" s="1"/>
  <c r="AH12" i="17"/>
  <c r="BD12" i="17" s="1"/>
  <c r="AG12" i="17"/>
  <c r="BC12" i="17" s="1"/>
  <c r="AF12" i="17"/>
  <c r="BB12" i="17" s="1"/>
  <c r="AD12" i="17"/>
  <c r="AZ12" i="17" s="1"/>
  <c r="AC12" i="17"/>
  <c r="AY12" i="17" s="1"/>
  <c r="AT11" i="17"/>
  <c r="BP11" i="17" s="1"/>
  <c r="AP11" i="17"/>
  <c r="BL11" i="17" s="1"/>
  <c r="AH11" i="17"/>
  <c r="BD11" i="17" s="1"/>
  <c r="AG11" i="17"/>
  <c r="BC11" i="17" s="1"/>
  <c r="AF11" i="17"/>
  <c r="BB11" i="17" s="1"/>
  <c r="AD11" i="17"/>
  <c r="AZ11" i="17" s="1"/>
  <c r="AC11" i="17"/>
  <c r="AY11" i="17" s="1"/>
  <c r="AT10" i="17"/>
  <c r="AP10" i="17"/>
  <c r="AH10" i="17"/>
  <c r="BD10" i="17" s="1"/>
  <c r="AG10" i="17"/>
  <c r="BC10" i="17" s="1"/>
  <c r="AF10" i="17"/>
  <c r="BB10" i="17" s="1"/>
  <c r="AD10" i="17"/>
  <c r="AZ10" i="17" s="1"/>
  <c r="AC10" i="17"/>
  <c r="AY10" i="17" s="1"/>
  <c r="AT9" i="17"/>
  <c r="BP9" i="17" s="1"/>
  <c r="AP9" i="17"/>
  <c r="BL9" i="17" s="1"/>
  <c r="AH9" i="17"/>
  <c r="BD9" i="17" s="1"/>
  <c r="AG9" i="17"/>
  <c r="BC9" i="17" s="1"/>
  <c r="AF9" i="17"/>
  <c r="BB9" i="17" s="1"/>
  <c r="AD9" i="17"/>
  <c r="AZ9" i="17" s="1"/>
  <c r="AC9" i="17"/>
  <c r="AY9" i="17" s="1"/>
  <c r="AT8" i="17"/>
  <c r="BP8" i="17" s="1"/>
  <c r="AP8" i="17"/>
  <c r="BL8" i="17" s="1"/>
  <c r="AH8" i="17"/>
  <c r="BD8" i="17" s="1"/>
  <c r="AG8" i="17"/>
  <c r="BC8" i="17" s="1"/>
  <c r="AF8" i="17"/>
  <c r="BB8" i="17" s="1"/>
  <c r="AD8" i="17"/>
  <c r="AZ8" i="17" s="1"/>
  <c r="AC8" i="17"/>
  <c r="AY8" i="17" s="1"/>
  <c r="AT7" i="17"/>
  <c r="BP7" i="17" s="1"/>
  <c r="AP7" i="17"/>
  <c r="BL7" i="17" s="1"/>
  <c r="AH7" i="17"/>
  <c r="BD7" i="17" s="1"/>
  <c r="AG7" i="17"/>
  <c r="BC7" i="17" s="1"/>
  <c r="AF7" i="17"/>
  <c r="BB7" i="17" s="1"/>
  <c r="AD7" i="17"/>
  <c r="AZ7" i="17" s="1"/>
  <c r="AC7" i="17"/>
  <c r="AY7" i="17" s="1"/>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AT35" i="15"/>
  <c r="BP35" i="15" s="1"/>
  <c r="AP35" i="15"/>
  <c r="BL35" i="15" s="1"/>
  <c r="AI35" i="15"/>
  <c r="AH35" i="15"/>
  <c r="BD35" i="15" s="1"/>
  <c r="AG35" i="15"/>
  <c r="BC35" i="15" s="1"/>
  <c r="AF35" i="15"/>
  <c r="BB35" i="15" s="1"/>
  <c r="AD35" i="15"/>
  <c r="AZ35" i="15" s="1"/>
  <c r="AC35" i="15"/>
  <c r="AY35" i="15" s="1"/>
  <c r="AT34" i="15"/>
  <c r="BP34" i="15" s="1"/>
  <c r="AP34" i="15"/>
  <c r="BL34" i="15" s="1"/>
  <c r="AI34" i="15"/>
  <c r="AH34" i="15"/>
  <c r="BD34" i="15" s="1"/>
  <c r="AG34" i="15"/>
  <c r="BC34" i="15" s="1"/>
  <c r="AF34" i="15"/>
  <c r="BB34" i="15" s="1"/>
  <c r="AD34" i="15"/>
  <c r="AZ34" i="15" s="1"/>
  <c r="AC34" i="15"/>
  <c r="AY34" i="15" s="1"/>
  <c r="AT33" i="15"/>
  <c r="BP33" i="15" s="1"/>
  <c r="AP33" i="15"/>
  <c r="BL33" i="15" s="1"/>
  <c r="AI33" i="15"/>
  <c r="AH33" i="15"/>
  <c r="BD33" i="15" s="1"/>
  <c r="AG33" i="15"/>
  <c r="BC33" i="15" s="1"/>
  <c r="AF33" i="15"/>
  <c r="BB33" i="15" s="1"/>
  <c r="AD33" i="15"/>
  <c r="AZ33" i="15" s="1"/>
  <c r="AC33" i="15"/>
  <c r="AY33" i="15" s="1"/>
  <c r="AT32" i="15"/>
  <c r="BP32" i="15" s="1"/>
  <c r="AP32" i="15"/>
  <c r="BL32" i="15" s="1"/>
  <c r="AI32" i="15"/>
  <c r="AH32" i="15"/>
  <c r="BD32" i="15" s="1"/>
  <c r="AG32" i="15"/>
  <c r="BC32" i="15" s="1"/>
  <c r="AF32" i="15"/>
  <c r="BB32" i="15" s="1"/>
  <c r="AD32" i="15"/>
  <c r="AZ32" i="15" s="1"/>
  <c r="AC32" i="15"/>
  <c r="AY32" i="15" s="1"/>
  <c r="AT31" i="15"/>
  <c r="BP31" i="15" s="1"/>
  <c r="AP31" i="15"/>
  <c r="BL31" i="15" s="1"/>
  <c r="AI31" i="15"/>
  <c r="AH31" i="15"/>
  <c r="BD31" i="15" s="1"/>
  <c r="AG31" i="15"/>
  <c r="BC31" i="15" s="1"/>
  <c r="AF31" i="15"/>
  <c r="BB31" i="15" s="1"/>
  <c r="AD31" i="15"/>
  <c r="AZ31" i="15" s="1"/>
  <c r="AC31" i="15"/>
  <c r="AY31" i="15" s="1"/>
  <c r="AT30" i="15"/>
  <c r="BP30" i="15" s="1"/>
  <c r="AP30" i="15"/>
  <c r="BL30" i="15" s="1"/>
  <c r="AJ30" i="15"/>
  <c r="BF30" i="15" s="1"/>
  <c r="AH30" i="15"/>
  <c r="BD30" i="15" s="1"/>
  <c r="AG30" i="15"/>
  <c r="BC30" i="15" s="1"/>
  <c r="AF30" i="15"/>
  <c r="BB30" i="15" s="1"/>
  <c r="AD30" i="15"/>
  <c r="AZ30" i="15" s="1"/>
  <c r="AC30" i="15"/>
  <c r="AY30" i="15" s="1"/>
  <c r="AT29" i="15"/>
  <c r="BP29" i="15" s="1"/>
  <c r="AP29" i="15"/>
  <c r="BL29" i="15" s="1"/>
  <c r="AH29" i="15"/>
  <c r="BD29" i="15" s="1"/>
  <c r="AG29" i="15"/>
  <c r="BC29" i="15" s="1"/>
  <c r="AF29" i="15"/>
  <c r="BB29" i="15" s="1"/>
  <c r="AD29" i="15"/>
  <c r="AZ29" i="15" s="1"/>
  <c r="AC29" i="15"/>
  <c r="AY29" i="15" s="1"/>
  <c r="AT28" i="15"/>
  <c r="BP28" i="15" s="1"/>
  <c r="AP28" i="15"/>
  <c r="BL28" i="15" s="1"/>
  <c r="AH28" i="15"/>
  <c r="BD28" i="15" s="1"/>
  <c r="AG28" i="15"/>
  <c r="BC28" i="15" s="1"/>
  <c r="AF28" i="15"/>
  <c r="BB28" i="15" s="1"/>
  <c r="AD28" i="15"/>
  <c r="AZ28" i="15" s="1"/>
  <c r="AC28" i="15"/>
  <c r="AY28" i="15" s="1"/>
  <c r="AT27" i="15"/>
  <c r="BP27" i="15" s="1"/>
  <c r="AP27" i="15"/>
  <c r="BL27" i="15" s="1"/>
  <c r="AH27" i="15"/>
  <c r="BD27" i="15" s="1"/>
  <c r="AG27" i="15"/>
  <c r="BC27" i="15" s="1"/>
  <c r="AF27" i="15"/>
  <c r="BB27" i="15" s="1"/>
  <c r="AD27" i="15"/>
  <c r="AZ27" i="15" s="1"/>
  <c r="AC27" i="15"/>
  <c r="AY27" i="15" s="1"/>
  <c r="AT26" i="15"/>
  <c r="BP26" i="15" s="1"/>
  <c r="AP26" i="15"/>
  <c r="BL26" i="15" s="1"/>
  <c r="AH26" i="15"/>
  <c r="BD26" i="15" s="1"/>
  <c r="AG26" i="15"/>
  <c r="BC26" i="15" s="1"/>
  <c r="AF26" i="15"/>
  <c r="BB26" i="15" s="1"/>
  <c r="AD26" i="15"/>
  <c r="AZ26" i="15" s="1"/>
  <c r="AC26" i="15"/>
  <c r="AY26" i="15" s="1"/>
  <c r="AT25" i="15"/>
  <c r="BP25" i="15" s="1"/>
  <c r="AP25" i="15"/>
  <c r="BL25" i="15" s="1"/>
  <c r="AH25" i="15"/>
  <c r="BD25" i="15" s="1"/>
  <c r="AG25" i="15"/>
  <c r="BC25" i="15" s="1"/>
  <c r="AF25" i="15"/>
  <c r="BB25" i="15" s="1"/>
  <c r="AD25" i="15"/>
  <c r="AZ25" i="15" s="1"/>
  <c r="AC25" i="15"/>
  <c r="AY25" i="15" s="1"/>
  <c r="AT24" i="15"/>
  <c r="BP24" i="15" s="1"/>
  <c r="AP24" i="15"/>
  <c r="BL24" i="15" s="1"/>
  <c r="AH24" i="15"/>
  <c r="BD24" i="15" s="1"/>
  <c r="AG24" i="15"/>
  <c r="BC24" i="15" s="1"/>
  <c r="AF24" i="15"/>
  <c r="BB24" i="15" s="1"/>
  <c r="AD24" i="15"/>
  <c r="AZ24" i="15" s="1"/>
  <c r="AC24" i="15"/>
  <c r="AY24" i="15" s="1"/>
  <c r="AT23" i="15"/>
  <c r="BP23" i="15" s="1"/>
  <c r="AP23" i="15"/>
  <c r="BL23" i="15" s="1"/>
  <c r="AH23" i="15"/>
  <c r="BD23" i="15" s="1"/>
  <c r="AG23" i="15"/>
  <c r="BC23" i="15" s="1"/>
  <c r="AF23" i="15"/>
  <c r="BB23" i="15" s="1"/>
  <c r="AD23" i="15"/>
  <c r="AZ23" i="15" s="1"/>
  <c r="AC23" i="15"/>
  <c r="AY23" i="15" s="1"/>
  <c r="AT22" i="15"/>
  <c r="BP22" i="15" s="1"/>
  <c r="AP22" i="15"/>
  <c r="BL22" i="15" s="1"/>
  <c r="AH22" i="15"/>
  <c r="BD22" i="15" s="1"/>
  <c r="AG22" i="15"/>
  <c r="BC22" i="15" s="1"/>
  <c r="AF22" i="15"/>
  <c r="BB22" i="15" s="1"/>
  <c r="AD22" i="15"/>
  <c r="AZ22" i="15" s="1"/>
  <c r="AC22" i="15"/>
  <c r="AY22" i="15" s="1"/>
  <c r="AT21" i="15"/>
  <c r="BP21" i="15" s="1"/>
  <c r="AP21" i="15"/>
  <c r="BL21" i="15" s="1"/>
  <c r="AH21" i="15"/>
  <c r="BD21" i="15" s="1"/>
  <c r="AG21" i="15"/>
  <c r="BC21" i="15" s="1"/>
  <c r="AF21" i="15"/>
  <c r="BB21" i="15" s="1"/>
  <c r="AD21" i="15"/>
  <c r="AZ21" i="15" s="1"/>
  <c r="AC21" i="15"/>
  <c r="AY21" i="15" s="1"/>
  <c r="AT20" i="15"/>
  <c r="BP20" i="15" s="1"/>
  <c r="AP20" i="15"/>
  <c r="BL20" i="15" s="1"/>
  <c r="AH20" i="15"/>
  <c r="BD20" i="15" s="1"/>
  <c r="AG20" i="15"/>
  <c r="BC20" i="15" s="1"/>
  <c r="AF20" i="15"/>
  <c r="BB20" i="15" s="1"/>
  <c r="AD20" i="15"/>
  <c r="AZ20" i="15" s="1"/>
  <c r="AC20" i="15"/>
  <c r="AY20" i="15" s="1"/>
  <c r="AT19" i="15"/>
  <c r="BP19" i="15" s="1"/>
  <c r="AP19" i="15"/>
  <c r="BL19" i="15" s="1"/>
  <c r="AH19" i="15"/>
  <c r="BD19" i="15" s="1"/>
  <c r="AG19" i="15"/>
  <c r="BC19" i="15" s="1"/>
  <c r="AF19" i="15"/>
  <c r="BB19" i="15" s="1"/>
  <c r="AD19" i="15"/>
  <c r="AZ19" i="15" s="1"/>
  <c r="AC19" i="15"/>
  <c r="AY19" i="15" s="1"/>
  <c r="AT18" i="15"/>
  <c r="BP18" i="15" s="1"/>
  <c r="AP18" i="15"/>
  <c r="BL18" i="15" s="1"/>
  <c r="AH18" i="15"/>
  <c r="BD18" i="15" s="1"/>
  <c r="AG18" i="15"/>
  <c r="BC18" i="15" s="1"/>
  <c r="AF18" i="15"/>
  <c r="BB18" i="15" s="1"/>
  <c r="AD18" i="15"/>
  <c r="AZ18" i="15" s="1"/>
  <c r="AC18" i="15"/>
  <c r="AY18" i="15" s="1"/>
  <c r="AT17" i="15"/>
  <c r="BP17" i="15" s="1"/>
  <c r="AP17" i="15"/>
  <c r="BL17" i="15" s="1"/>
  <c r="AH17" i="15"/>
  <c r="BD17" i="15" s="1"/>
  <c r="AG17" i="15"/>
  <c r="BC17" i="15" s="1"/>
  <c r="AF17" i="15"/>
  <c r="BB17" i="15" s="1"/>
  <c r="AD17" i="15"/>
  <c r="AZ17" i="15" s="1"/>
  <c r="AC17" i="15"/>
  <c r="AY17" i="15" s="1"/>
  <c r="AT16" i="15"/>
  <c r="BP16" i="15" s="1"/>
  <c r="AP16" i="15"/>
  <c r="BL16" i="15" s="1"/>
  <c r="AH16" i="15"/>
  <c r="BD16" i="15" s="1"/>
  <c r="AG16" i="15"/>
  <c r="BC16" i="15" s="1"/>
  <c r="AF16" i="15"/>
  <c r="BB16" i="15" s="1"/>
  <c r="AD16" i="15"/>
  <c r="AZ16" i="15" s="1"/>
  <c r="AC16" i="15"/>
  <c r="AY16" i="15" s="1"/>
  <c r="AT15" i="15"/>
  <c r="BP15" i="15" s="1"/>
  <c r="AP15" i="15"/>
  <c r="BL15" i="15" s="1"/>
  <c r="AH15" i="15"/>
  <c r="BD15" i="15" s="1"/>
  <c r="AG15" i="15"/>
  <c r="BC15" i="15" s="1"/>
  <c r="AF15" i="15"/>
  <c r="BB15" i="15" s="1"/>
  <c r="AD15" i="15"/>
  <c r="AZ15" i="15" s="1"/>
  <c r="AC15" i="15"/>
  <c r="AY15" i="15" s="1"/>
  <c r="AT14" i="15"/>
  <c r="BP14" i="15" s="1"/>
  <c r="AP14" i="15"/>
  <c r="BL14" i="15" s="1"/>
  <c r="AH14" i="15"/>
  <c r="BD14" i="15" s="1"/>
  <c r="AG14" i="15"/>
  <c r="BC14" i="15" s="1"/>
  <c r="AF14" i="15"/>
  <c r="BB14" i="15" s="1"/>
  <c r="AD14" i="15"/>
  <c r="AZ14" i="15" s="1"/>
  <c r="AC14" i="15"/>
  <c r="AY14" i="15" s="1"/>
  <c r="AT13" i="15"/>
  <c r="BP13" i="15" s="1"/>
  <c r="AP13" i="15"/>
  <c r="BL13" i="15" s="1"/>
  <c r="AH13" i="15"/>
  <c r="BD13" i="15" s="1"/>
  <c r="AG13" i="15"/>
  <c r="BC13" i="15" s="1"/>
  <c r="AF13" i="15"/>
  <c r="BB13" i="15" s="1"/>
  <c r="AD13" i="15"/>
  <c r="AZ13" i="15" s="1"/>
  <c r="AC13" i="15"/>
  <c r="AY13" i="15" s="1"/>
  <c r="AT12" i="15"/>
  <c r="BP12" i="15" s="1"/>
  <c r="AP12" i="15"/>
  <c r="BL12" i="15" s="1"/>
  <c r="AH12" i="15"/>
  <c r="BD12" i="15" s="1"/>
  <c r="AG12" i="15"/>
  <c r="BC12" i="15" s="1"/>
  <c r="AF12" i="15"/>
  <c r="BB12" i="15" s="1"/>
  <c r="AD12" i="15"/>
  <c r="AZ12" i="15" s="1"/>
  <c r="AC12" i="15"/>
  <c r="AY12" i="15" s="1"/>
  <c r="AT11" i="15"/>
  <c r="BP11" i="15" s="1"/>
  <c r="AP11" i="15"/>
  <c r="BL11" i="15" s="1"/>
  <c r="AH11" i="15"/>
  <c r="BD11" i="15" s="1"/>
  <c r="AG11" i="15"/>
  <c r="BC11" i="15" s="1"/>
  <c r="AF11" i="15"/>
  <c r="BB11" i="15" s="1"/>
  <c r="AD11" i="15"/>
  <c r="AZ11" i="15" s="1"/>
  <c r="AC11" i="15"/>
  <c r="AY11" i="15" s="1"/>
  <c r="AT10" i="15"/>
  <c r="BP10" i="15" s="1"/>
  <c r="AP10" i="15"/>
  <c r="BL10" i="15" s="1"/>
  <c r="AH10" i="15"/>
  <c r="BD10" i="15" s="1"/>
  <c r="AG10" i="15"/>
  <c r="BC10" i="15" s="1"/>
  <c r="AF10" i="15"/>
  <c r="BB10" i="15" s="1"/>
  <c r="AD10" i="15"/>
  <c r="AZ10" i="15" s="1"/>
  <c r="AC10" i="15"/>
  <c r="AY10" i="15" s="1"/>
  <c r="AT9" i="15"/>
  <c r="BP9" i="15" s="1"/>
  <c r="AP9" i="15"/>
  <c r="BL9" i="15" s="1"/>
  <c r="AH9" i="15"/>
  <c r="BD9" i="15" s="1"/>
  <c r="AG9" i="15"/>
  <c r="BC9" i="15" s="1"/>
  <c r="AF9" i="15"/>
  <c r="BB9" i="15" s="1"/>
  <c r="AD9" i="15"/>
  <c r="AZ9" i="15" s="1"/>
  <c r="AC9" i="15"/>
  <c r="AY9" i="15" s="1"/>
  <c r="AT8" i="15"/>
  <c r="BP8" i="15" s="1"/>
  <c r="AP8" i="15"/>
  <c r="AH8" i="15"/>
  <c r="BD8" i="15" s="1"/>
  <c r="AG8" i="15"/>
  <c r="BC8" i="15" s="1"/>
  <c r="AF8" i="15"/>
  <c r="BB8" i="15" s="1"/>
  <c r="AD8" i="15"/>
  <c r="AZ8" i="15" s="1"/>
  <c r="AC8" i="15"/>
  <c r="AY8" i="15" s="1"/>
  <c r="AT7" i="15"/>
  <c r="BP7" i="15" s="1"/>
  <c r="AP7" i="15"/>
  <c r="BL7" i="15" s="1"/>
  <c r="AH7" i="15"/>
  <c r="AG7" i="15"/>
  <c r="BC7" i="15" s="1"/>
  <c r="AF7" i="15"/>
  <c r="BB7" i="15" s="1"/>
  <c r="AD7" i="15"/>
  <c r="AZ7" i="15" s="1"/>
  <c r="AC7" i="15"/>
  <c r="AY7" i="15" s="1"/>
  <c r="AV4" i="17"/>
  <c r="Z4" i="17"/>
  <c r="D4" i="17"/>
  <c r="B3" i="17"/>
  <c r="AV4" i="15"/>
  <c r="Z4" i="15"/>
  <c r="D4" i="15"/>
  <c r="B3" i="15"/>
  <c r="BR4" i="5"/>
  <c r="AV4" i="5"/>
  <c r="D4" i="5"/>
  <c r="B3" i="5"/>
  <c r="BP66" i="5"/>
  <c r="BL66" i="5"/>
  <c r="BD66" i="5"/>
  <c r="BC66" i="5"/>
  <c r="BB66" i="5"/>
  <c r="AZ66" i="5"/>
  <c r="AY66" i="5"/>
  <c r="CM65" i="5"/>
  <c r="F98" i="9" s="1"/>
  <c r="DJ64" i="5"/>
  <c r="I97" i="9" s="1"/>
  <c r="CM64" i="5"/>
  <c r="F97" i="9" s="1"/>
  <c r="CM63" i="5"/>
  <c r="F96" i="9" s="1"/>
  <c r="DJ62" i="5"/>
  <c r="I95" i="9" s="1"/>
  <c r="CM62" i="5"/>
  <c r="F95" i="9" s="1"/>
  <c r="CM61" i="5"/>
  <c r="F94" i="9" s="1"/>
  <c r="CM60" i="5"/>
  <c r="F93" i="9" s="1"/>
  <c r="CM59" i="5"/>
  <c r="F92" i="9" s="1"/>
  <c r="CM58" i="5"/>
  <c r="F91" i="9" s="1"/>
  <c r="CM57" i="5"/>
  <c r="F90" i="9" s="1"/>
  <c r="CM56" i="5"/>
  <c r="F89" i="9" s="1"/>
  <c r="F88" i="9"/>
  <c r="CO6" i="5"/>
  <c r="BQ6" i="17"/>
  <c r="BQ6" i="15"/>
  <c r="CM6" i="5"/>
  <c r="F39" i="9" s="1"/>
  <c r="D181" i="4"/>
  <c r="D180" i="4"/>
  <c r="D179" i="4"/>
  <c r="D178" i="4"/>
  <c r="D177" i="4"/>
  <c r="A181" i="4"/>
  <c r="A180" i="4"/>
  <c r="A179" i="4"/>
  <c r="A178" i="4"/>
  <c r="A177" i="4"/>
  <c r="A47" i="4"/>
  <c r="A45" i="4"/>
  <c r="A43" i="4"/>
  <c r="A36" i="4"/>
  <c r="D5" i="28"/>
  <c r="F5" i="28"/>
  <c r="L16" i="28"/>
  <c r="L15" i="28"/>
  <c r="L14" i="28"/>
  <c r="L13" i="28"/>
  <c r="L12" i="28"/>
  <c r="L11" i="28"/>
  <c r="H28" i="28"/>
  <c r="H27" i="28"/>
  <c r="H26" i="28"/>
  <c r="H25" i="28"/>
  <c r="D22" i="28"/>
  <c r="A122" i="4"/>
  <c r="A100" i="4"/>
  <c r="A120" i="4"/>
  <c r="A119" i="4"/>
  <c r="A118" i="4"/>
  <c r="A117" i="4"/>
  <c r="A116" i="4"/>
  <c r="E115" i="4"/>
  <c r="F115" i="4" s="1"/>
  <c r="G115" i="4" s="1"/>
  <c r="H115" i="4" s="1"/>
  <c r="B115" i="4"/>
  <c r="B118" i="4" s="1"/>
  <c r="A89" i="4"/>
  <c r="A87" i="4"/>
  <c r="B116" i="4"/>
  <c r="B119" i="4"/>
  <c r="B117" i="4"/>
  <c r="B93" i="4"/>
  <c r="E93" i="4"/>
  <c r="A98" i="4"/>
  <c r="A97" i="4"/>
  <c r="A96" i="4"/>
  <c r="A95" i="4"/>
  <c r="A94" i="4"/>
  <c r="B40" i="4"/>
  <c r="A37" i="4"/>
  <c r="A38" i="4"/>
  <c r="A39" i="4"/>
  <c r="A40" i="4"/>
  <c r="A41" i="4"/>
  <c r="B96" i="4"/>
  <c r="B100" i="4" s="1"/>
  <c r="C15" i="2" s="1"/>
  <c r="E52" i="2" s="1"/>
  <c r="B97" i="4"/>
  <c r="B98" i="4"/>
  <c r="B38" i="4"/>
  <c r="B41" i="4"/>
  <c r="B39" i="4"/>
  <c r="B37" i="4"/>
  <c r="H16" i="28"/>
  <c r="H15" i="28"/>
  <c r="H14" i="28"/>
  <c r="H13" i="28"/>
  <c r="H12" i="28"/>
  <c r="H11" i="28"/>
  <c r="I16" i="28"/>
  <c r="I15" i="28"/>
  <c r="I14" i="28"/>
  <c r="I13" i="28"/>
  <c r="I12" i="28"/>
  <c r="I11" i="28"/>
  <c r="I10" i="28"/>
  <c r="I9" i="28"/>
  <c r="I8" i="28"/>
  <c r="A72" i="4"/>
  <c r="A65" i="4"/>
  <c r="B66" i="4" s="1"/>
  <c r="B69" i="4"/>
  <c r="B70" i="4"/>
  <c r="B68" i="4"/>
  <c r="H5" i="28"/>
  <c r="B3" i="28"/>
  <c r="H10" i="28"/>
  <c r="H9" i="28"/>
  <c r="H8" i="28"/>
  <c r="D39" i="27"/>
  <c r="D35" i="27" s="1"/>
  <c r="C22" i="27"/>
  <c r="C14" i="27" s="1"/>
  <c r="E41" i="27"/>
  <c r="E40" i="27"/>
  <c r="C6" i="27"/>
  <c r="A85" i="4"/>
  <c r="A78" i="4"/>
  <c r="F7" i="24"/>
  <c r="B7" i="18"/>
  <c r="AT47" i="18"/>
  <c r="BP47" i="18" s="1"/>
  <c r="AS47" i="18"/>
  <c r="BO47" i="18" s="1"/>
  <c r="AR47" i="18"/>
  <c r="BN47" i="18" s="1"/>
  <c r="AQ47" i="18"/>
  <c r="BM47" i="18" s="1"/>
  <c r="AP47" i="18"/>
  <c r="BL47" i="18" s="1"/>
  <c r="AO47" i="18"/>
  <c r="BK47" i="18" s="1"/>
  <c r="AN47" i="18"/>
  <c r="BJ47" i="18" s="1"/>
  <c r="AM47" i="18"/>
  <c r="BI47" i="18" s="1"/>
  <c r="AL47" i="18"/>
  <c r="BH47" i="18" s="1"/>
  <c r="AK47" i="18"/>
  <c r="BG47" i="18" s="1"/>
  <c r="AI47" i="18"/>
  <c r="BE47" i="18" s="1"/>
  <c r="AH47" i="18"/>
  <c r="BD47" i="18" s="1"/>
  <c r="AG47" i="18"/>
  <c r="BC47" i="18" s="1"/>
  <c r="AF47" i="18"/>
  <c r="BB47" i="18" s="1"/>
  <c r="AD47" i="18"/>
  <c r="AZ47" i="18" s="1"/>
  <c r="AC47" i="18"/>
  <c r="AY47" i="18" s="1"/>
  <c r="AA47" i="18"/>
  <c r="AW47" i="18" s="1"/>
  <c r="AT46" i="18"/>
  <c r="BP46" i="18" s="1"/>
  <c r="AS46" i="18"/>
  <c r="BO46" i="18" s="1"/>
  <c r="AR46" i="18"/>
  <c r="BN46" i="18" s="1"/>
  <c r="AQ46" i="18"/>
  <c r="BM46" i="18" s="1"/>
  <c r="AP46" i="18"/>
  <c r="BL46" i="18" s="1"/>
  <c r="AO46" i="18"/>
  <c r="BK46" i="18" s="1"/>
  <c r="AN46" i="18"/>
  <c r="BJ46" i="18" s="1"/>
  <c r="AM46" i="18"/>
  <c r="BI46" i="18" s="1"/>
  <c r="AL46" i="18"/>
  <c r="BH46" i="18" s="1"/>
  <c r="AK46" i="18"/>
  <c r="BG46" i="18" s="1"/>
  <c r="AI46" i="18"/>
  <c r="BE46" i="18" s="1"/>
  <c r="AH46" i="18"/>
  <c r="BD46" i="18" s="1"/>
  <c r="AG46" i="18"/>
  <c r="BC46" i="18" s="1"/>
  <c r="AF46" i="18"/>
  <c r="BB46" i="18" s="1"/>
  <c r="AD46" i="18"/>
  <c r="AZ46" i="18" s="1"/>
  <c r="AC46" i="18"/>
  <c r="AY46" i="18" s="1"/>
  <c r="AA46" i="18"/>
  <c r="AW46" i="18" s="1"/>
  <c r="AT45" i="18"/>
  <c r="BP45" i="18" s="1"/>
  <c r="AS45" i="18"/>
  <c r="BO45" i="18" s="1"/>
  <c r="AR45" i="18"/>
  <c r="BN45" i="18" s="1"/>
  <c r="AQ45" i="18"/>
  <c r="BM45" i="18" s="1"/>
  <c r="AP45" i="18"/>
  <c r="BL45" i="18" s="1"/>
  <c r="AO45" i="18"/>
  <c r="BK45" i="18" s="1"/>
  <c r="AN45" i="18"/>
  <c r="BJ45" i="18" s="1"/>
  <c r="AM45" i="18"/>
  <c r="BI45" i="18" s="1"/>
  <c r="AL45" i="18"/>
  <c r="BH45" i="18" s="1"/>
  <c r="AK45" i="18"/>
  <c r="BG45" i="18" s="1"/>
  <c r="AI45" i="18"/>
  <c r="BE45" i="18" s="1"/>
  <c r="AH45" i="18"/>
  <c r="BD45" i="18" s="1"/>
  <c r="AG45" i="18"/>
  <c r="BC45" i="18" s="1"/>
  <c r="AF45" i="18"/>
  <c r="BB45" i="18" s="1"/>
  <c r="AD45" i="18"/>
  <c r="AZ45" i="18" s="1"/>
  <c r="AC45" i="18"/>
  <c r="AY45" i="18" s="1"/>
  <c r="AA45" i="18"/>
  <c r="AW45" i="18" s="1"/>
  <c r="AT44" i="18"/>
  <c r="BP44" i="18" s="1"/>
  <c r="AS44" i="18"/>
  <c r="BO44" i="18" s="1"/>
  <c r="AR44" i="18"/>
  <c r="BN44" i="18" s="1"/>
  <c r="AQ44" i="18"/>
  <c r="BM44" i="18" s="1"/>
  <c r="AP44" i="18"/>
  <c r="BL44" i="18" s="1"/>
  <c r="AO44" i="18"/>
  <c r="BK44" i="18" s="1"/>
  <c r="AN44" i="18"/>
  <c r="BJ44" i="18" s="1"/>
  <c r="AM44" i="18"/>
  <c r="BI44" i="18" s="1"/>
  <c r="AL44" i="18"/>
  <c r="BH44" i="18" s="1"/>
  <c r="AK44" i="18"/>
  <c r="BG44" i="18" s="1"/>
  <c r="AI44" i="18"/>
  <c r="BE44" i="18" s="1"/>
  <c r="AH44" i="18"/>
  <c r="BD44" i="18" s="1"/>
  <c r="AG44" i="18"/>
  <c r="BC44" i="18" s="1"/>
  <c r="AF44" i="18"/>
  <c r="BB44" i="18" s="1"/>
  <c r="AD44" i="18"/>
  <c r="AZ44" i="18" s="1"/>
  <c r="AC44" i="18"/>
  <c r="AY44" i="18" s="1"/>
  <c r="AA44" i="18"/>
  <c r="AW44" i="18" s="1"/>
  <c r="AT43" i="18"/>
  <c r="BP43" i="18" s="1"/>
  <c r="AS43" i="18"/>
  <c r="BO43" i="18" s="1"/>
  <c r="AR43" i="18"/>
  <c r="BN43" i="18" s="1"/>
  <c r="AQ43" i="18"/>
  <c r="BM43" i="18" s="1"/>
  <c r="AP43" i="18"/>
  <c r="BL43" i="18" s="1"/>
  <c r="AO43" i="18"/>
  <c r="BK43" i="18" s="1"/>
  <c r="AN43" i="18"/>
  <c r="BJ43" i="18" s="1"/>
  <c r="AM43" i="18"/>
  <c r="BI43" i="18" s="1"/>
  <c r="AL43" i="18"/>
  <c r="BH43" i="18" s="1"/>
  <c r="AK43" i="18"/>
  <c r="BG43" i="18" s="1"/>
  <c r="AI43" i="18"/>
  <c r="BE43" i="18" s="1"/>
  <c r="AH43" i="18"/>
  <c r="BD43" i="18" s="1"/>
  <c r="AG43" i="18"/>
  <c r="BC43" i="18" s="1"/>
  <c r="AF43" i="18"/>
  <c r="BB43" i="18" s="1"/>
  <c r="AD43" i="18"/>
  <c r="AZ43" i="18" s="1"/>
  <c r="AC43" i="18"/>
  <c r="AY43" i="18" s="1"/>
  <c r="AA43" i="18"/>
  <c r="AW43" i="18" s="1"/>
  <c r="AT42" i="18"/>
  <c r="BP42" i="18" s="1"/>
  <c r="AS42" i="18"/>
  <c r="BO42" i="18" s="1"/>
  <c r="AR42" i="18"/>
  <c r="BN42" i="18" s="1"/>
  <c r="AQ42" i="18"/>
  <c r="BM42" i="18" s="1"/>
  <c r="AP42" i="18"/>
  <c r="BL42" i="18" s="1"/>
  <c r="AO42" i="18"/>
  <c r="BK42" i="18" s="1"/>
  <c r="AN42" i="18"/>
  <c r="BJ42" i="18" s="1"/>
  <c r="AM42" i="18"/>
  <c r="BI42" i="18" s="1"/>
  <c r="AL42" i="18"/>
  <c r="BH42" i="18" s="1"/>
  <c r="AK42" i="18"/>
  <c r="BG42" i="18" s="1"/>
  <c r="AH42" i="18"/>
  <c r="BD42" i="18" s="1"/>
  <c r="AG42" i="18"/>
  <c r="BC42" i="18" s="1"/>
  <c r="AF42" i="18"/>
  <c r="BB42" i="18" s="1"/>
  <c r="AD42" i="18"/>
  <c r="AZ42" i="18" s="1"/>
  <c r="AC42" i="18"/>
  <c r="AY42" i="18" s="1"/>
  <c r="AA42" i="18"/>
  <c r="AW42" i="18" s="1"/>
  <c r="AT41" i="18"/>
  <c r="BP41" i="18" s="1"/>
  <c r="AS41" i="18"/>
  <c r="BO41" i="18" s="1"/>
  <c r="AR41" i="18"/>
  <c r="BN41" i="18" s="1"/>
  <c r="AQ41" i="18"/>
  <c r="BM41" i="18" s="1"/>
  <c r="AP41" i="18"/>
  <c r="BL41" i="18" s="1"/>
  <c r="AO41" i="18"/>
  <c r="BK41" i="18" s="1"/>
  <c r="AN41" i="18"/>
  <c r="BJ41" i="18" s="1"/>
  <c r="AM41" i="18"/>
  <c r="BI41" i="18" s="1"/>
  <c r="AL41" i="18"/>
  <c r="BH41" i="18" s="1"/>
  <c r="AK41" i="18"/>
  <c r="BG41" i="18" s="1"/>
  <c r="AJ41" i="18"/>
  <c r="BF41" i="18" s="1"/>
  <c r="AH41" i="18"/>
  <c r="BD41" i="18" s="1"/>
  <c r="AG41" i="18"/>
  <c r="BC41" i="18" s="1"/>
  <c r="AF41" i="18"/>
  <c r="BB41" i="18" s="1"/>
  <c r="AD41" i="18"/>
  <c r="AZ41" i="18" s="1"/>
  <c r="AC41" i="18"/>
  <c r="AY41" i="18" s="1"/>
  <c r="AA41" i="18"/>
  <c r="AW41" i="18" s="1"/>
  <c r="AT40" i="18"/>
  <c r="BP40" i="18" s="1"/>
  <c r="AS40" i="18"/>
  <c r="BO40" i="18" s="1"/>
  <c r="AR40" i="18"/>
  <c r="BN40" i="18" s="1"/>
  <c r="AQ40" i="18"/>
  <c r="BM40" i="18" s="1"/>
  <c r="AP40" i="18"/>
  <c r="BL40" i="18" s="1"/>
  <c r="AO40" i="18"/>
  <c r="BK40" i="18" s="1"/>
  <c r="AN40" i="18"/>
  <c r="BJ40" i="18" s="1"/>
  <c r="AM40" i="18"/>
  <c r="BI40" i="18" s="1"/>
  <c r="AL40" i="18"/>
  <c r="BH40" i="18" s="1"/>
  <c r="AK40" i="18"/>
  <c r="BG40" i="18" s="1"/>
  <c r="AI40" i="18"/>
  <c r="BE40" i="18" s="1"/>
  <c r="AH40" i="18"/>
  <c r="BD40" i="18" s="1"/>
  <c r="AG40" i="18"/>
  <c r="BC40" i="18" s="1"/>
  <c r="AF40" i="18"/>
  <c r="BB40" i="18" s="1"/>
  <c r="AD40" i="18"/>
  <c r="AZ40" i="18" s="1"/>
  <c r="AC40" i="18"/>
  <c r="AY40" i="18" s="1"/>
  <c r="AA40" i="18"/>
  <c r="AW40" i="18" s="1"/>
  <c r="AT39" i="18"/>
  <c r="BP39" i="18" s="1"/>
  <c r="AS39" i="18"/>
  <c r="BO39" i="18" s="1"/>
  <c r="AR39" i="18"/>
  <c r="BN39" i="18" s="1"/>
  <c r="AQ39" i="18"/>
  <c r="BM39" i="18" s="1"/>
  <c r="AP39" i="18"/>
  <c r="BL39" i="18" s="1"/>
  <c r="AO39" i="18"/>
  <c r="BK39" i="18" s="1"/>
  <c r="AN39" i="18"/>
  <c r="BJ39" i="18" s="1"/>
  <c r="AM39" i="18"/>
  <c r="BI39" i="18" s="1"/>
  <c r="AL39" i="18"/>
  <c r="BH39" i="18" s="1"/>
  <c r="AK39" i="18"/>
  <c r="BG39" i="18" s="1"/>
  <c r="AI39" i="18"/>
  <c r="BE39" i="18" s="1"/>
  <c r="AH39" i="18"/>
  <c r="BD39" i="18" s="1"/>
  <c r="AG39" i="18"/>
  <c r="BC39" i="18" s="1"/>
  <c r="AF39" i="18"/>
  <c r="BB39" i="18" s="1"/>
  <c r="AD39" i="18"/>
  <c r="AZ39" i="18" s="1"/>
  <c r="AC39" i="18"/>
  <c r="AY39" i="18" s="1"/>
  <c r="AA39" i="18"/>
  <c r="AW39" i="18" s="1"/>
  <c r="AT38" i="18"/>
  <c r="BP38" i="18" s="1"/>
  <c r="AS38" i="18"/>
  <c r="BO38" i="18" s="1"/>
  <c r="AR38" i="18"/>
  <c r="BN38" i="18" s="1"/>
  <c r="AQ38" i="18"/>
  <c r="BM38" i="18" s="1"/>
  <c r="AP38" i="18"/>
  <c r="BL38" i="18" s="1"/>
  <c r="AO38" i="18"/>
  <c r="BK38" i="18" s="1"/>
  <c r="AN38" i="18"/>
  <c r="BJ38" i="18" s="1"/>
  <c r="AM38" i="18"/>
  <c r="BI38" i="18" s="1"/>
  <c r="AL38" i="18"/>
  <c r="BH38" i="18" s="1"/>
  <c r="AK38" i="18"/>
  <c r="BG38" i="18" s="1"/>
  <c r="AI38" i="18"/>
  <c r="BE38" i="18" s="1"/>
  <c r="AH38" i="18"/>
  <c r="BD38" i="18" s="1"/>
  <c r="AG38" i="18"/>
  <c r="BC38" i="18" s="1"/>
  <c r="AF38" i="18"/>
  <c r="BB38" i="18" s="1"/>
  <c r="AD38" i="18"/>
  <c r="AZ38" i="18" s="1"/>
  <c r="AC38" i="18"/>
  <c r="AY38" i="18" s="1"/>
  <c r="AA38" i="18"/>
  <c r="AW38" i="18" s="1"/>
  <c r="AT37" i="18"/>
  <c r="BP37" i="18" s="1"/>
  <c r="AS37" i="18"/>
  <c r="BO37" i="18" s="1"/>
  <c r="AR37" i="18"/>
  <c r="BN37" i="18" s="1"/>
  <c r="AQ37" i="18"/>
  <c r="BM37" i="18" s="1"/>
  <c r="AP37" i="18"/>
  <c r="BL37" i="18" s="1"/>
  <c r="AO37" i="18"/>
  <c r="BK37" i="18" s="1"/>
  <c r="AN37" i="18"/>
  <c r="BJ37" i="18" s="1"/>
  <c r="AM37" i="18"/>
  <c r="BI37" i="18" s="1"/>
  <c r="AL37" i="18"/>
  <c r="BH37" i="18" s="1"/>
  <c r="AK37" i="18"/>
  <c r="BG37" i="18" s="1"/>
  <c r="AI37" i="18"/>
  <c r="BE37" i="18" s="1"/>
  <c r="AH37" i="18"/>
  <c r="BD37" i="18" s="1"/>
  <c r="AG37" i="18"/>
  <c r="BC37" i="18" s="1"/>
  <c r="AF37" i="18"/>
  <c r="BB37" i="18" s="1"/>
  <c r="AD37" i="18"/>
  <c r="AZ37" i="18" s="1"/>
  <c r="AC37" i="18"/>
  <c r="AY37" i="18" s="1"/>
  <c r="AA37" i="18"/>
  <c r="AW37" i="18" s="1"/>
  <c r="AT36" i="18"/>
  <c r="BP36" i="18" s="1"/>
  <c r="AS36" i="18"/>
  <c r="BO36" i="18" s="1"/>
  <c r="AR36" i="18"/>
  <c r="BN36" i="18" s="1"/>
  <c r="AQ36" i="18"/>
  <c r="BM36" i="18" s="1"/>
  <c r="AP36" i="18"/>
  <c r="BL36" i="18" s="1"/>
  <c r="AO36" i="18"/>
  <c r="BK36" i="18" s="1"/>
  <c r="AN36" i="18"/>
  <c r="BJ36" i="18" s="1"/>
  <c r="AM36" i="18"/>
  <c r="BI36" i="18" s="1"/>
  <c r="AL36" i="18"/>
  <c r="BH36" i="18" s="1"/>
  <c r="AK36" i="18"/>
  <c r="BG36" i="18" s="1"/>
  <c r="AI36" i="18"/>
  <c r="BE36" i="18" s="1"/>
  <c r="AH36" i="18"/>
  <c r="BD36" i="18" s="1"/>
  <c r="AG36" i="18"/>
  <c r="BC36" i="18" s="1"/>
  <c r="AF36" i="18"/>
  <c r="BB36" i="18" s="1"/>
  <c r="AD36" i="18"/>
  <c r="AZ36" i="18" s="1"/>
  <c r="AC36" i="18"/>
  <c r="AY36" i="18" s="1"/>
  <c r="AA36" i="18"/>
  <c r="AW36" i="18" s="1"/>
  <c r="AT35" i="18"/>
  <c r="BP35" i="18" s="1"/>
  <c r="AS35" i="18"/>
  <c r="BO35" i="18" s="1"/>
  <c r="AR35" i="18"/>
  <c r="BN35" i="18" s="1"/>
  <c r="AQ35" i="18"/>
  <c r="BM35" i="18" s="1"/>
  <c r="AP35" i="18"/>
  <c r="BL35" i="18" s="1"/>
  <c r="AO35" i="18"/>
  <c r="BK35" i="18" s="1"/>
  <c r="AN35" i="18"/>
  <c r="BJ35" i="18" s="1"/>
  <c r="AM35" i="18"/>
  <c r="BI35" i="18" s="1"/>
  <c r="AL35" i="18"/>
  <c r="BH35" i="18" s="1"/>
  <c r="AK35" i="18"/>
  <c r="BG35" i="18" s="1"/>
  <c r="AI35" i="18"/>
  <c r="BE35" i="18" s="1"/>
  <c r="AH35" i="18"/>
  <c r="BD35" i="18" s="1"/>
  <c r="AG35" i="18"/>
  <c r="BC35" i="18" s="1"/>
  <c r="AF35" i="18"/>
  <c r="BB35" i="18" s="1"/>
  <c r="AD35" i="18"/>
  <c r="AZ35" i="18" s="1"/>
  <c r="AC35" i="18"/>
  <c r="AY35" i="18" s="1"/>
  <c r="AA35" i="18"/>
  <c r="AW35" i="18" s="1"/>
  <c r="AT34" i="18"/>
  <c r="BP34" i="18" s="1"/>
  <c r="AS34" i="18"/>
  <c r="BO34" i="18" s="1"/>
  <c r="AR34" i="18"/>
  <c r="BN34" i="18" s="1"/>
  <c r="AQ34" i="18"/>
  <c r="BM34" i="18" s="1"/>
  <c r="AP34" i="18"/>
  <c r="BL34" i="18" s="1"/>
  <c r="AO34" i="18"/>
  <c r="BK34" i="18" s="1"/>
  <c r="AN34" i="18"/>
  <c r="BJ34" i="18" s="1"/>
  <c r="AM34" i="18"/>
  <c r="BI34" i="18" s="1"/>
  <c r="AL34" i="18"/>
  <c r="BH34" i="18" s="1"/>
  <c r="AK34" i="18"/>
  <c r="BG34" i="18" s="1"/>
  <c r="AI34" i="18"/>
  <c r="BE34" i="18" s="1"/>
  <c r="AH34" i="18"/>
  <c r="BD34" i="18" s="1"/>
  <c r="AG34" i="18"/>
  <c r="BC34" i="18" s="1"/>
  <c r="AF34" i="18"/>
  <c r="BB34" i="18" s="1"/>
  <c r="AD34" i="18"/>
  <c r="AZ34" i="18" s="1"/>
  <c r="AC34" i="18"/>
  <c r="AY34" i="18" s="1"/>
  <c r="AA34" i="18"/>
  <c r="AW34" i="18" s="1"/>
  <c r="AT33" i="18"/>
  <c r="BP33" i="18" s="1"/>
  <c r="AS33" i="18"/>
  <c r="BO33" i="18" s="1"/>
  <c r="AR33" i="18"/>
  <c r="BN33" i="18" s="1"/>
  <c r="AQ33" i="18"/>
  <c r="BM33" i="18" s="1"/>
  <c r="AP33" i="18"/>
  <c r="BL33" i="18" s="1"/>
  <c r="AO33" i="18"/>
  <c r="BK33" i="18" s="1"/>
  <c r="AN33" i="18"/>
  <c r="BJ33" i="18" s="1"/>
  <c r="AM33" i="18"/>
  <c r="BI33" i="18" s="1"/>
  <c r="AL33" i="18"/>
  <c r="BH33" i="18" s="1"/>
  <c r="AK33" i="18"/>
  <c r="BG33" i="18" s="1"/>
  <c r="AI33" i="18"/>
  <c r="BE33" i="18" s="1"/>
  <c r="AH33" i="18"/>
  <c r="BD33" i="18" s="1"/>
  <c r="AG33" i="18"/>
  <c r="BC33" i="18" s="1"/>
  <c r="AF33" i="18"/>
  <c r="BB33" i="18" s="1"/>
  <c r="AD33" i="18"/>
  <c r="AZ33" i="18" s="1"/>
  <c r="AC33" i="18"/>
  <c r="AY33" i="18" s="1"/>
  <c r="AA33" i="18"/>
  <c r="AW33" i="18" s="1"/>
  <c r="AT32" i="18"/>
  <c r="BP32" i="18" s="1"/>
  <c r="AS32" i="18"/>
  <c r="BO32" i="18" s="1"/>
  <c r="AR32" i="18"/>
  <c r="BN32" i="18" s="1"/>
  <c r="AQ32" i="18"/>
  <c r="BM32" i="18" s="1"/>
  <c r="AP32" i="18"/>
  <c r="BL32" i="18" s="1"/>
  <c r="AO32" i="18"/>
  <c r="BK32" i="18" s="1"/>
  <c r="AN32" i="18"/>
  <c r="BJ32" i="18" s="1"/>
  <c r="AM32" i="18"/>
  <c r="BI32" i="18" s="1"/>
  <c r="AL32" i="18"/>
  <c r="BH32" i="18" s="1"/>
  <c r="AK32" i="18"/>
  <c r="BG32" i="18" s="1"/>
  <c r="AI32" i="18"/>
  <c r="BE32" i="18" s="1"/>
  <c r="AH32" i="18"/>
  <c r="BD32" i="18" s="1"/>
  <c r="AG32" i="18"/>
  <c r="BC32" i="18" s="1"/>
  <c r="AF32" i="18"/>
  <c r="BB32" i="18" s="1"/>
  <c r="AD32" i="18"/>
  <c r="AZ32" i="18" s="1"/>
  <c r="AC32" i="18"/>
  <c r="AY32" i="18" s="1"/>
  <c r="AA32" i="18"/>
  <c r="AW32" i="18" s="1"/>
  <c r="AT31" i="18"/>
  <c r="BP31" i="18" s="1"/>
  <c r="AS31" i="18"/>
  <c r="BO31" i="18" s="1"/>
  <c r="AR31" i="18"/>
  <c r="BN31" i="18" s="1"/>
  <c r="AQ31" i="18"/>
  <c r="BM31" i="18" s="1"/>
  <c r="AP31" i="18"/>
  <c r="BL31" i="18" s="1"/>
  <c r="AO31" i="18"/>
  <c r="BK31" i="18" s="1"/>
  <c r="AN31" i="18"/>
  <c r="BJ31" i="18" s="1"/>
  <c r="AM31" i="18"/>
  <c r="BI31" i="18" s="1"/>
  <c r="AL31" i="18"/>
  <c r="BH31" i="18" s="1"/>
  <c r="AK31" i="18"/>
  <c r="BG31" i="18" s="1"/>
  <c r="AI31" i="18"/>
  <c r="BE31" i="18" s="1"/>
  <c r="AH31" i="18"/>
  <c r="BD31" i="18" s="1"/>
  <c r="AG31" i="18"/>
  <c r="BC31" i="18" s="1"/>
  <c r="AF31" i="18"/>
  <c r="BB31" i="18" s="1"/>
  <c r="AD31" i="18"/>
  <c r="AZ31" i="18" s="1"/>
  <c r="AC31" i="18"/>
  <c r="AY31" i="18" s="1"/>
  <c r="AA31" i="18"/>
  <c r="AW31" i="18" s="1"/>
  <c r="AT30" i="18"/>
  <c r="BP30" i="18" s="1"/>
  <c r="AS30" i="18"/>
  <c r="BO30" i="18" s="1"/>
  <c r="AR30" i="18"/>
  <c r="BN30" i="18" s="1"/>
  <c r="AQ30" i="18"/>
  <c r="BM30" i="18" s="1"/>
  <c r="AP30" i="18"/>
  <c r="BL30" i="18" s="1"/>
  <c r="AO30" i="18"/>
  <c r="BK30" i="18" s="1"/>
  <c r="AN30" i="18"/>
  <c r="BJ30" i="18" s="1"/>
  <c r="AM30" i="18"/>
  <c r="BI30" i="18" s="1"/>
  <c r="AL30" i="18"/>
  <c r="BH30" i="18" s="1"/>
  <c r="AK30" i="18"/>
  <c r="BG30" i="18" s="1"/>
  <c r="AJ30" i="18"/>
  <c r="BF30" i="18" s="1"/>
  <c r="AH30" i="18"/>
  <c r="BD30" i="18" s="1"/>
  <c r="AG30" i="18"/>
  <c r="BC30" i="18" s="1"/>
  <c r="AF30" i="18"/>
  <c r="BB30" i="18" s="1"/>
  <c r="AD30" i="18"/>
  <c r="AZ30" i="18" s="1"/>
  <c r="AC30" i="18"/>
  <c r="AY30" i="18" s="1"/>
  <c r="AA30" i="18"/>
  <c r="AW30" i="18" s="1"/>
  <c r="AT29" i="18"/>
  <c r="BP29" i="18" s="1"/>
  <c r="AS29" i="18"/>
  <c r="BO29" i="18" s="1"/>
  <c r="AR29" i="18"/>
  <c r="BN29" i="18" s="1"/>
  <c r="AQ29" i="18"/>
  <c r="BM29" i="18" s="1"/>
  <c r="AP29" i="18"/>
  <c r="BL29" i="18" s="1"/>
  <c r="AO29" i="18"/>
  <c r="BK29" i="18" s="1"/>
  <c r="AN29" i="18"/>
  <c r="BJ29" i="18" s="1"/>
  <c r="AM29" i="18"/>
  <c r="BI29" i="18" s="1"/>
  <c r="AL29" i="18"/>
  <c r="BH29" i="18" s="1"/>
  <c r="AK29" i="18"/>
  <c r="BG29" i="18" s="1"/>
  <c r="AJ29" i="18"/>
  <c r="BF29" i="18" s="1"/>
  <c r="AI29" i="18"/>
  <c r="BE29" i="18" s="1"/>
  <c r="AH29" i="18"/>
  <c r="BD29" i="18" s="1"/>
  <c r="AG29" i="18"/>
  <c r="BC29" i="18" s="1"/>
  <c r="AF29" i="18"/>
  <c r="BB29" i="18" s="1"/>
  <c r="AD29" i="18"/>
  <c r="AZ29" i="18" s="1"/>
  <c r="AC29" i="18"/>
  <c r="AY29" i="18" s="1"/>
  <c r="AA29" i="18"/>
  <c r="AW29" i="18" s="1"/>
  <c r="AT28" i="18"/>
  <c r="BP28" i="18" s="1"/>
  <c r="AS28" i="18"/>
  <c r="BO28" i="18" s="1"/>
  <c r="AR28" i="18"/>
  <c r="BN28" i="18" s="1"/>
  <c r="AQ28" i="18"/>
  <c r="BM28" i="18" s="1"/>
  <c r="AP28" i="18"/>
  <c r="BL28" i="18" s="1"/>
  <c r="AO28" i="18"/>
  <c r="BK28" i="18" s="1"/>
  <c r="AN28" i="18"/>
  <c r="BJ28" i="18" s="1"/>
  <c r="AM28" i="18"/>
  <c r="BI28" i="18" s="1"/>
  <c r="AL28" i="18"/>
  <c r="BH28" i="18" s="1"/>
  <c r="AK28" i="18"/>
  <c r="BG28" i="18" s="1"/>
  <c r="AJ28" i="18"/>
  <c r="BF28" i="18" s="1"/>
  <c r="AI28" i="18"/>
  <c r="BE28" i="18" s="1"/>
  <c r="AH28" i="18"/>
  <c r="BD28" i="18" s="1"/>
  <c r="AG28" i="18"/>
  <c r="BC28" i="18" s="1"/>
  <c r="AF28" i="18"/>
  <c r="BB28" i="18" s="1"/>
  <c r="AD28" i="18"/>
  <c r="AZ28" i="18" s="1"/>
  <c r="AC28" i="18"/>
  <c r="AY28" i="18" s="1"/>
  <c r="AA28" i="18"/>
  <c r="AW28" i="18" s="1"/>
  <c r="AT27" i="18"/>
  <c r="BP27" i="18" s="1"/>
  <c r="AS27" i="18"/>
  <c r="BO27" i="18" s="1"/>
  <c r="AR27" i="18"/>
  <c r="BN27" i="18" s="1"/>
  <c r="AQ27" i="18"/>
  <c r="BM27" i="18" s="1"/>
  <c r="AP27" i="18"/>
  <c r="BL27" i="18" s="1"/>
  <c r="AO27" i="18"/>
  <c r="BK27" i="18" s="1"/>
  <c r="AN27" i="18"/>
  <c r="BJ27" i="18" s="1"/>
  <c r="AM27" i="18"/>
  <c r="BI27" i="18" s="1"/>
  <c r="AL27" i="18"/>
  <c r="BH27" i="18" s="1"/>
  <c r="AK27" i="18"/>
  <c r="BG27" i="18" s="1"/>
  <c r="AJ27" i="18"/>
  <c r="BF27" i="18" s="1"/>
  <c r="AI27" i="18"/>
  <c r="BE27" i="18" s="1"/>
  <c r="AH27" i="18"/>
  <c r="BD27" i="18" s="1"/>
  <c r="AG27" i="18"/>
  <c r="BC27" i="18" s="1"/>
  <c r="AF27" i="18"/>
  <c r="BB27" i="18" s="1"/>
  <c r="AD27" i="18"/>
  <c r="AZ27" i="18" s="1"/>
  <c r="AC27" i="18"/>
  <c r="AY27" i="18" s="1"/>
  <c r="AB27" i="18"/>
  <c r="AX27" i="18" s="1"/>
  <c r="AT26" i="18"/>
  <c r="BP26" i="18" s="1"/>
  <c r="AS26" i="18"/>
  <c r="BO26" i="18" s="1"/>
  <c r="AR26" i="18"/>
  <c r="BN26" i="18" s="1"/>
  <c r="AQ26" i="18"/>
  <c r="BM26" i="18" s="1"/>
  <c r="AP26" i="18"/>
  <c r="BL26" i="18" s="1"/>
  <c r="AO26" i="18"/>
  <c r="BK26" i="18" s="1"/>
  <c r="AN26" i="18"/>
  <c r="BJ26" i="18" s="1"/>
  <c r="AM26" i="18"/>
  <c r="BI26" i="18" s="1"/>
  <c r="AL26" i="18"/>
  <c r="BH26" i="18" s="1"/>
  <c r="AK26" i="18"/>
  <c r="BG26" i="18" s="1"/>
  <c r="AJ26" i="18"/>
  <c r="BF26" i="18" s="1"/>
  <c r="AI26" i="18"/>
  <c r="BE26" i="18" s="1"/>
  <c r="AH26" i="18"/>
  <c r="BD26" i="18" s="1"/>
  <c r="AG26" i="18"/>
  <c r="BC26" i="18" s="1"/>
  <c r="AF26" i="18"/>
  <c r="BB26" i="18" s="1"/>
  <c r="AD26" i="18"/>
  <c r="AZ26" i="18" s="1"/>
  <c r="AC26" i="18"/>
  <c r="AY26" i="18" s="1"/>
  <c r="AA26" i="18"/>
  <c r="AW26" i="18" s="1"/>
  <c r="AT25" i="18"/>
  <c r="BP25" i="18" s="1"/>
  <c r="AS25" i="18"/>
  <c r="BO25" i="18" s="1"/>
  <c r="AR25" i="18"/>
  <c r="BN25" i="18" s="1"/>
  <c r="AQ25" i="18"/>
  <c r="BM25" i="18" s="1"/>
  <c r="AP25" i="18"/>
  <c r="BL25" i="18" s="1"/>
  <c r="AO25" i="18"/>
  <c r="BK25" i="18" s="1"/>
  <c r="AN25" i="18"/>
  <c r="BJ25" i="18" s="1"/>
  <c r="AM25" i="18"/>
  <c r="BI25" i="18" s="1"/>
  <c r="AL25" i="18"/>
  <c r="BH25" i="18" s="1"/>
  <c r="AK25" i="18"/>
  <c r="BG25" i="18" s="1"/>
  <c r="AJ25" i="18"/>
  <c r="BF25" i="18" s="1"/>
  <c r="AI25" i="18"/>
  <c r="BE25" i="18" s="1"/>
  <c r="AH25" i="18"/>
  <c r="BD25" i="18" s="1"/>
  <c r="AG25" i="18"/>
  <c r="BC25" i="18" s="1"/>
  <c r="AF25" i="18"/>
  <c r="BB25" i="18" s="1"/>
  <c r="AD25" i="18"/>
  <c r="AZ25" i="18" s="1"/>
  <c r="AC25" i="18"/>
  <c r="AY25" i="18" s="1"/>
  <c r="AA25" i="18"/>
  <c r="AW25" i="18" s="1"/>
  <c r="AT24" i="18"/>
  <c r="BP24" i="18" s="1"/>
  <c r="AS24" i="18"/>
  <c r="BO24" i="18" s="1"/>
  <c r="AR24" i="18"/>
  <c r="BN24" i="18" s="1"/>
  <c r="AQ24" i="18"/>
  <c r="BM24" i="18" s="1"/>
  <c r="AP24" i="18"/>
  <c r="BL24" i="18" s="1"/>
  <c r="AO24" i="18"/>
  <c r="BK24" i="18" s="1"/>
  <c r="AN24" i="18"/>
  <c r="BJ24" i="18" s="1"/>
  <c r="AM24" i="18"/>
  <c r="BI24" i="18" s="1"/>
  <c r="AL24" i="18"/>
  <c r="BH24" i="18" s="1"/>
  <c r="AK24" i="18"/>
  <c r="BG24" i="18" s="1"/>
  <c r="AJ24" i="18"/>
  <c r="BF24" i="18" s="1"/>
  <c r="AI24" i="18"/>
  <c r="BE24" i="18" s="1"/>
  <c r="AH24" i="18"/>
  <c r="BD24" i="18" s="1"/>
  <c r="AG24" i="18"/>
  <c r="BC24" i="18" s="1"/>
  <c r="AF24" i="18"/>
  <c r="BB24" i="18" s="1"/>
  <c r="AD24" i="18"/>
  <c r="AZ24" i="18" s="1"/>
  <c r="AC24" i="18"/>
  <c r="AY24" i="18" s="1"/>
  <c r="AA24" i="18"/>
  <c r="AW24" i="18" s="1"/>
  <c r="AT23" i="18"/>
  <c r="BP23" i="18" s="1"/>
  <c r="AP23" i="18"/>
  <c r="BL23" i="18" s="1"/>
  <c r="AL23" i="18"/>
  <c r="BH23" i="18" s="1"/>
  <c r="AK23" i="18"/>
  <c r="BG23" i="18" s="1"/>
  <c r="AJ23" i="18"/>
  <c r="BF23" i="18" s="1"/>
  <c r="AI23" i="18"/>
  <c r="BE23" i="18" s="1"/>
  <c r="AH23" i="18"/>
  <c r="BD23" i="18" s="1"/>
  <c r="AG23" i="18"/>
  <c r="BC23" i="18" s="1"/>
  <c r="AF23" i="18"/>
  <c r="BB23" i="18" s="1"/>
  <c r="AE23" i="18"/>
  <c r="BA23" i="18" s="1"/>
  <c r="AD23" i="18"/>
  <c r="AZ23" i="18" s="1"/>
  <c r="AC23" i="18"/>
  <c r="AY23" i="18" s="1"/>
  <c r="AB23" i="18"/>
  <c r="AX23" i="18" s="1"/>
  <c r="AA23" i="18"/>
  <c r="AW23" i="18" s="1"/>
  <c r="AT22" i="18"/>
  <c r="BP22" i="18" s="1"/>
  <c r="AS22" i="18"/>
  <c r="BO22" i="18" s="1"/>
  <c r="AR22" i="18"/>
  <c r="BN22" i="18" s="1"/>
  <c r="AQ22" i="18"/>
  <c r="BM22" i="18" s="1"/>
  <c r="AP22" i="18"/>
  <c r="BL22" i="18" s="1"/>
  <c r="AO22" i="18"/>
  <c r="BK22" i="18" s="1"/>
  <c r="AN22" i="18"/>
  <c r="BJ22" i="18" s="1"/>
  <c r="AM22" i="18"/>
  <c r="BI22" i="18" s="1"/>
  <c r="AL22" i="18"/>
  <c r="BH22" i="18" s="1"/>
  <c r="AK22" i="18"/>
  <c r="BG22" i="18" s="1"/>
  <c r="AJ22" i="18"/>
  <c r="BF22" i="18" s="1"/>
  <c r="AI22" i="18"/>
  <c r="BE22" i="18" s="1"/>
  <c r="AH22" i="18"/>
  <c r="BD22" i="18" s="1"/>
  <c r="AG22" i="18"/>
  <c r="BC22" i="18" s="1"/>
  <c r="AF22" i="18"/>
  <c r="BB22" i="18" s="1"/>
  <c r="AD22" i="18"/>
  <c r="AZ22" i="18" s="1"/>
  <c r="AC22" i="18"/>
  <c r="AY22" i="18" s="1"/>
  <c r="AB22" i="18"/>
  <c r="AX22" i="18" s="1"/>
  <c r="AT21" i="18"/>
  <c r="BP21" i="18" s="1"/>
  <c r="AS21" i="18"/>
  <c r="BO21" i="18" s="1"/>
  <c r="AR21" i="18"/>
  <c r="BN21" i="18" s="1"/>
  <c r="AQ21" i="18"/>
  <c r="BM21" i="18" s="1"/>
  <c r="AP21" i="18"/>
  <c r="BL21" i="18" s="1"/>
  <c r="AO21" i="18"/>
  <c r="BK21" i="18" s="1"/>
  <c r="AN21" i="18"/>
  <c r="BJ21" i="18" s="1"/>
  <c r="AM21" i="18"/>
  <c r="BI21" i="18" s="1"/>
  <c r="AL21" i="18"/>
  <c r="BH21" i="18" s="1"/>
  <c r="AK21" i="18"/>
  <c r="BG21" i="18" s="1"/>
  <c r="AJ21" i="18"/>
  <c r="BF21" i="18" s="1"/>
  <c r="AI21" i="18"/>
  <c r="BE21" i="18" s="1"/>
  <c r="AH21" i="18"/>
  <c r="BD21" i="18" s="1"/>
  <c r="AG21" i="18"/>
  <c r="BC21" i="18" s="1"/>
  <c r="AF21" i="18"/>
  <c r="BB21" i="18" s="1"/>
  <c r="AD21" i="18"/>
  <c r="AZ21" i="18" s="1"/>
  <c r="AC21" i="18"/>
  <c r="AY21" i="18" s="1"/>
  <c r="AB21" i="18"/>
  <c r="AX21" i="18" s="1"/>
  <c r="AT20" i="18"/>
  <c r="BP20" i="18" s="1"/>
  <c r="AS20" i="18"/>
  <c r="BO20" i="18" s="1"/>
  <c r="AR20" i="18"/>
  <c r="BN20" i="18" s="1"/>
  <c r="AQ20" i="18"/>
  <c r="BM20" i="18" s="1"/>
  <c r="AP20" i="18"/>
  <c r="BL20" i="18" s="1"/>
  <c r="AO20" i="18"/>
  <c r="BK20" i="18" s="1"/>
  <c r="AN20" i="18"/>
  <c r="BJ20" i="18" s="1"/>
  <c r="AM20" i="18"/>
  <c r="BI20" i="18" s="1"/>
  <c r="AL20" i="18"/>
  <c r="BH20" i="18" s="1"/>
  <c r="AK20" i="18"/>
  <c r="BG20" i="18" s="1"/>
  <c r="AJ20" i="18"/>
  <c r="BF20" i="18" s="1"/>
  <c r="AI20" i="18"/>
  <c r="BE20" i="18" s="1"/>
  <c r="AH20" i="18"/>
  <c r="BD20" i="18" s="1"/>
  <c r="AG20" i="18"/>
  <c r="BC20" i="18" s="1"/>
  <c r="AF20" i="18"/>
  <c r="BB20" i="18" s="1"/>
  <c r="AD20" i="18"/>
  <c r="AZ20" i="18" s="1"/>
  <c r="AC20" i="18"/>
  <c r="AY20" i="18" s="1"/>
  <c r="AA20" i="18"/>
  <c r="AW20" i="18" s="1"/>
  <c r="AT19" i="18"/>
  <c r="BP19" i="18" s="1"/>
  <c r="AS19" i="18"/>
  <c r="BO19" i="18" s="1"/>
  <c r="AR19" i="18"/>
  <c r="BN19" i="18" s="1"/>
  <c r="AQ19" i="18"/>
  <c r="BM19" i="18" s="1"/>
  <c r="AP19" i="18"/>
  <c r="BL19" i="18" s="1"/>
  <c r="AO19" i="18"/>
  <c r="BK19" i="18" s="1"/>
  <c r="AN19" i="18"/>
  <c r="BJ19" i="18" s="1"/>
  <c r="AM19" i="18"/>
  <c r="BI19" i="18" s="1"/>
  <c r="AL19" i="18"/>
  <c r="BH19" i="18" s="1"/>
  <c r="AK19" i="18"/>
  <c r="BG19" i="18" s="1"/>
  <c r="AJ19" i="18"/>
  <c r="BF19" i="18" s="1"/>
  <c r="AI19" i="18"/>
  <c r="BE19" i="18" s="1"/>
  <c r="AH19" i="18"/>
  <c r="BD19" i="18" s="1"/>
  <c r="AG19" i="18"/>
  <c r="BC19" i="18" s="1"/>
  <c r="AF19" i="18"/>
  <c r="BB19" i="18" s="1"/>
  <c r="AD19" i="18"/>
  <c r="AZ19" i="18" s="1"/>
  <c r="AC19" i="18"/>
  <c r="AY19" i="18" s="1"/>
  <c r="AA19" i="18"/>
  <c r="AW19" i="18" s="1"/>
  <c r="AT18" i="18"/>
  <c r="BP18" i="18" s="1"/>
  <c r="AS18" i="18"/>
  <c r="BO18" i="18" s="1"/>
  <c r="AR18" i="18"/>
  <c r="BN18" i="18" s="1"/>
  <c r="AQ18" i="18"/>
  <c r="BM18" i="18" s="1"/>
  <c r="AP18" i="18"/>
  <c r="BL18" i="18" s="1"/>
  <c r="AO18" i="18"/>
  <c r="BK18" i="18" s="1"/>
  <c r="AN18" i="18"/>
  <c r="BJ18" i="18" s="1"/>
  <c r="AM18" i="18"/>
  <c r="BI18" i="18" s="1"/>
  <c r="AL18" i="18"/>
  <c r="BH18" i="18" s="1"/>
  <c r="AK18" i="18"/>
  <c r="BG18" i="18" s="1"/>
  <c r="AJ18" i="18"/>
  <c r="BF18" i="18" s="1"/>
  <c r="AI18" i="18"/>
  <c r="BE18" i="18" s="1"/>
  <c r="AH18" i="18"/>
  <c r="BD18" i="18" s="1"/>
  <c r="AG18" i="18"/>
  <c r="BC18" i="18" s="1"/>
  <c r="AF18" i="18"/>
  <c r="BB18" i="18" s="1"/>
  <c r="AD18" i="18"/>
  <c r="AZ18" i="18" s="1"/>
  <c r="AC18" i="18"/>
  <c r="AY18" i="18" s="1"/>
  <c r="AA18" i="18"/>
  <c r="AW18" i="18" s="1"/>
  <c r="AT17" i="18"/>
  <c r="BP17" i="18" s="1"/>
  <c r="AS17" i="18"/>
  <c r="BO17" i="18" s="1"/>
  <c r="AR17" i="18"/>
  <c r="BN17" i="18" s="1"/>
  <c r="AQ17" i="18"/>
  <c r="BM17" i="18" s="1"/>
  <c r="AP17" i="18"/>
  <c r="BL17" i="18" s="1"/>
  <c r="AO17" i="18"/>
  <c r="BK17" i="18" s="1"/>
  <c r="AN17" i="18"/>
  <c r="BJ17" i="18" s="1"/>
  <c r="AM17" i="18"/>
  <c r="BI17" i="18" s="1"/>
  <c r="AL17" i="18"/>
  <c r="BH17" i="18" s="1"/>
  <c r="AK17" i="18"/>
  <c r="BG17" i="18" s="1"/>
  <c r="AJ17" i="18"/>
  <c r="BF17" i="18" s="1"/>
  <c r="AI17" i="18"/>
  <c r="BE17" i="18" s="1"/>
  <c r="AH17" i="18"/>
  <c r="BD17" i="18" s="1"/>
  <c r="AG17" i="18"/>
  <c r="BC17" i="18" s="1"/>
  <c r="AF17" i="18"/>
  <c r="BB17" i="18" s="1"/>
  <c r="AD17" i="18"/>
  <c r="AZ17" i="18" s="1"/>
  <c r="AC17" i="18"/>
  <c r="AY17" i="18" s="1"/>
  <c r="AA17" i="18"/>
  <c r="AW17" i="18" s="1"/>
  <c r="AT16" i="18"/>
  <c r="BP16" i="18" s="1"/>
  <c r="AS16" i="18"/>
  <c r="BO16" i="18" s="1"/>
  <c r="AR16" i="18"/>
  <c r="BN16" i="18" s="1"/>
  <c r="AQ16" i="18"/>
  <c r="BM16" i="18" s="1"/>
  <c r="AP16" i="18"/>
  <c r="BL16" i="18" s="1"/>
  <c r="AO16" i="18"/>
  <c r="BK16" i="18" s="1"/>
  <c r="AN16" i="18"/>
  <c r="BJ16" i="18" s="1"/>
  <c r="AM16" i="18"/>
  <c r="BI16" i="18" s="1"/>
  <c r="AL16" i="18"/>
  <c r="BH16" i="18" s="1"/>
  <c r="AK16" i="18"/>
  <c r="BG16" i="18" s="1"/>
  <c r="AJ16" i="18"/>
  <c r="BF16" i="18" s="1"/>
  <c r="AI16" i="18"/>
  <c r="BE16" i="18" s="1"/>
  <c r="AH16" i="18"/>
  <c r="BD16" i="18" s="1"/>
  <c r="AG16" i="18"/>
  <c r="BC16" i="18" s="1"/>
  <c r="AF16" i="18"/>
  <c r="BB16" i="18" s="1"/>
  <c r="AD16" i="18"/>
  <c r="AZ16" i="18" s="1"/>
  <c r="AC16" i="18"/>
  <c r="AY16" i="18" s="1"/>
  <c r="AA16" i="18"/>
  <c r="AW16" i="18" s="1"/>
  <c r="AT15" i="18"/>
  <c r="BP15" i="18" s="1"/>
  <c r="AS15" i="18"/>
  <c r="BO15" i="18" s="1"/>
  <c r="AR15" i="18"/>
  <c r="BN15" i="18" s="1"/>
  <c r="AQ15" i="18"/>
  <c r="BM15" i="18" s="1"/>
  <c r="AP15" i="18"/>
  <c r="BL15" i="18" s="1"/>
  <c r="AO15" i="18"/>
  <c r="BK15" i="18" s="1"/>
  <c r="AN15" i="18"/>
  <c r="BJ15" i="18" s="1"/>
  <c r="AM15" i="18"/>
  <c r="BI15" i="18" s="1"/>
  <c r="AL15" i="18"/>
  <c r="BH15" i="18" s="1"/>
  <c r="AK15" i="18"/>
  <c r="BG15" i="18" s="1"/>
  <c r="AJ15" i="18"/>
  <c r="BF15" i="18" s="1"/>
  <c r="AI15" i="18"/>
  <c r="BE15" i="18" s="1"/>
  <c r="AH15" i="18"/>
  <c r="BD15" i="18" s="1"/>
  <c r="AG15" i="18"/>
  <c r="BC15" i="18" s="1"/>
  <c r="AF15" i="18"/>
  <c r="BB15" i="18" s="1"/>
  <c r="AD15" i="18"/>
  <c r="AZ15" i="18" s="1"/>
  <c r="AC15" i="18"/>
  <c r="AY15" i="18" s="1"/>
  <c r="AA15" i="18"/>
  <c r="AW15" i="18" s="1"/>
  <c r="AT14" i="18"/>
  <c r="BP14" i="18" s="1"/>
  <c r="AS14" i="18"/>
  <c r="BO14" i="18" s="1"/>
  <c r="AR14" i="18"/>
  <c r="BN14" i="18" s="1"/>
  <c r="AQ14" i="18"/>
  <c r="BM14" i="18" s="1"/>
  <c r="AP14" i="18"/>
  <c r="BL14" i="18" s="1"/>
  <c r="AO14" i="18"/>
  <c r="BK14" i="18" s="1"/>
  <c r="AN14" i="18"/>
  <c r="BJ14" i="18" s="1"/>
  <c r="AM14" i="18"/>
  <c r="BI14" i="18" s="1"/>
  <c r="AL14" i="18"/>
  <c r="BH14" i="18" s="1"/>
  <c r="AK14" i="18"/>
  <c r="BG14" i="18" s="1"/>
  <c r="AJ14" i="18"/>
  <c r="BF14" i="18" s="1"/>
  <c r="AI14" i="18"/>
  <c r="BE14" i="18" s="1"/>
  <c r="AH14" i="18"/>
  <c r="BD14" i="18" s="1"/>
  <c r="AG14" i="18"/>
  <c r="BC14" i="18" s="1"/>
  <c r="AF14" i="18"/>
  <c r="BB14" i="18" s="1"/>
  <c r="AD14" i="18"/>
  <c r="AZ14" i="18" s="1"/>
  <c r="AC14" i="18"/>
  <c r="AY14" i="18" s="1"/>
  <c r="AA14" i="18"/>
  <c r="AW14" i="18" s="1"/>
  <c r="AT13" i="18"/>
  <c r="BP13" i="18" s="1"/>
  <c r="AS13" i="18"/>
  <c r="BO13" i="18" s="1"/>
  <c r="AR13" i="18"/>
  <c r="BN13" i="18" s="1"/>
  <c r="AQ13" i="18"/>
  <c r="BM13" i="18" s="1"/>
  <c r="AP13" i="18"/>
  <c r="BL13" i="18" s="1"/>
  <c r="AO13" i="18"/>
  <c r="BK13" i="18" s="1"/>
  <c r="AN13" i="18"/>
  <c r="BJ13" i="18" s="1"/>
  <c r="AM13" i="18"/>
  <c r="BI13" i="18" s="1"/>
  <c r="AL13" i="18"/>
  <c r="BH13" i="18" s="1"/>
  <c r="AK13" i="18"/>
  <c r="BG13" i="18" s="1"/>
  <c r="AJ13" i="18"/>
  <c r="BF13" i="18" s="1"/>
  <c r="AI13" i="18"/>
  <c r="BE13" i="18" s="1"/>
  <c r="AH13" i="18"/>
  <c r="BD13" i="18" s="1"/>
  <c r="AG13" i="18"/>
  <c r="BC13" i="18" s="1"/>
  <c r="AF13" i="18"/>
  <c r="BB13" i="18" s="1"/>
  <c r="AD13" i="18"/>
  <c r="AZ13" i="18" s="1"/>
  <c r="AC13" i="18"/>
  <c r="AY13" i="18" s="1"/>
  <c r="AA13" i="18"/>
  <c r="AW13" i="18" s="1"/>
  <c r="AT12" i="18"/>
  <c r="BP12" i="18" s="1"/>
  <c r="AP12" i="18"/>
  <c r="BL12" i="18" s="1"/>
  <c r="AL12" i="18"/>
  <c r="BH12" i="18" s="1"/>
  <c r="AK12" i="18"/>
  <c r="BG12" i="18" s="1"/>
  <c r="AJ12" i="18"/>
  <c r="BF12" i="18" s="1"/>
  <c r="AI12" i="18"/>
  <c r="BE12" i="18" s="1"/>
  <c r="AH12" i="18"/>
  <c r="BD12" i="18" s="1"/>
  <c r="AG12" i="18"/>
  <c r="BC12" i="18" s="1"/>
  <c r="AF12" i="18"/>
  <c r="BB12" i="18" s="1"/>
  <c r="AD12" i="18"/>
  <c r="AZ12" i="18" s="1"/>
  <c r="AC12" i="18"/>
  <c r="AY12" i="18" s="1"/>
  <c r="AB12" i="18"/>
  <c r="AX12" i="18" s="1"/>
  <c r="AA12" i="18"/>
  <c r="AW12" i="18" s="1"/>
  <c r="AT11" i="18"/>
  <c r="BP11" i="18" s="1"/>
  <c r="AP11" i="18"/>
  <c r="BL11" i="18" s="1"/>
  <c r="AL11" i="18"/>
  <c r="BH11" i="18" s="1"/>
  <c r="AK11" i="18"/>
  <c r="BG11" i="18" s="1"/>
  <c r="AJ11" i="18"/>
  <c r="BF11" i="18" s="1"/>
  <c r="AI11" i="18"/>
  <c r="BE11" i="18" s="1"/>
  <c r="AH11" i="18"/>
  <c r="BD11" i="18" s="1"/>
  <c r="AG11" i="18"/>
  <c r="BC11" i="18" s="1"/>
  <c r="AF11" i="18"/>
  <c r="BB11" i="18" s="1"/>
  <c r="AE11" i="18"/>
  <c r="BA11" i="18" s="1"/>
  <c r="AD11" i="18"/>
  <c r="AZ11" i="18" s="1"/>
  <c r="AC11" i="18"/>
  <c r="AY11" i="18" s="1"/>
  <c r="AB11" i="18"/>
  <c r="AX11" i="18" s="1"/>
  <c r="AA11" i="18"/>
  <c r="AW11" i="18" s="1"/>
  <c r="AT10" i="18"/>
  <c r="BP10" i="18" s="1"/>
  <c r="AP10" i="18"/>
  <c r="BL10" i="18" s="1"/>
  <c r="AL10" i="18"/>
  <c r="BH10" i="18" s="1"/>
  <c r="AK10" i="18"/>
  <c r="BG10" i="18" s="1"/>
  <c r="AJ10" i="18"/>
  <c r="BF10" i="18" s="1"/>
  <c r="AI10" i="18"/>
  <c r="BE10" i="18" s="1"/>
  <c r="AH10" i="18"/>
  <c r="BD10" i="18" s="1"/>
  <c r="AG10" i="18"/>
  <c r="BC10" i="18" s="1"/>
  <c r="AF10" i="18"/>
  <c r="BB10" i="18" s="1"/>
  <c r="AE10" i="18"/>
  <c r="BA10" i="18" s="1"/>
  <c r="AD10" i="18"/>
  <c r="AZ10" i="18" s="1"/>
  <c r="AC10" i="18"/>
  <c r="AY10" i="18" s="1"/>
  <c r="AB10" i="18"/>
  <c r="AX10" i="18" s="1"/>
  <c r="AA10" i="18"/>
  <c r="AW10" i="18" s="1"/>
  <c r="AT9" i="18"/>
  <c r="BP9" i="18" s="1"/>
  <c r="AS9" i="18"/>
  <c r="BO9" i="18" s="1"/>
  <c r="AR9" i="18"/>
  <c r="BN9" i="18" s="1"/>
  <c r="AQ9" i="18"/>
  <c r="BM9" i="18" s="1"/>
  <c r="AP9" i="18"/>
  <c r="BL9" i="18" s="1"/>
  <c r="AO9" i="18"/>
  <c r="BK9" i="18" s="1"/>
  <c r="AN9" i="18"/>
  <c r="BJ9" i="18" s="1"/>
  <c r="AM9" i="18"/>
  <c r="BI9" i="18" s="1"/>
  <c r="AL9" i="18"/>
  <c r="BH9" i="18" s="1"/>
  <c r="AK9" i="18"/>
  <c r="BG9" i="18" s="1"/>
  <c r="AJ9" i="18"/>
  <c r="BF9" i="18" s="1"/>
  <c r="AI9" i="18"/>
  <c r="BE9" i="18" s="1"/>
  <c r="AH9" i="18"/>
  <c r="BD9" i="18" s="1"/>
  <c r="AG9" i="18"/>
  <c r="BC9" i="18" s="1"/>
  <c r="AF9" i="18"/>
  <c r="BB9" i="18" s="1"/>
  <c r="AD9" i="18"/>
  <c r="AZ9" i="18" s="1"/>
  <c r="AC9" i="18"/>
  <c r="AY9" i="18" s="1"/>
  <c r="AA9" i="18"/>
  <c r="AW9" i="18" s="1"/>
  <c r="AT8" i="18"/>
  <c r="BP8" i="18" s="1"/>
  <c r="AS8" i="18"/>
  <c r="BO8" i="18" s="1"/>
  <c r="AR8" i="18"/>
  <c r="BN8" i="18" s="1"/>
  <c r="AQ8" i="18"/>
  <c r="BM8" i="18" s="1"/>
  <c r="AP8" i="18"/>
  <c r="BL8" i="18" s="1"/>
  <c r="AO8" i="18"/>
  <c r="BK8" i="18" s="1"/>
  <c r="AN8" i="18"/>
  <c r="BJ8" i="18" s="1"/>
  <c r="AM8" i="18"/>
  <c r="BI8" i="18" s="1"/>
  <c r="AL8" i="18"/>
  <c r="BH8" i="18" s="1"/>
  <c r="AK8" i="18"/>
  <c r="BG8" i="18" s="1"/>
  <c r="AJ8" i="18"/>
  <c r="BF8" i="18" s="1"/>
  <c r="AI8" i="18"/>
  <c r="BE8" i="18" s="1"/>
  <c r="AH8" i="18"/>
  <c r="BD8" i="18" s="1"/>
  <c r="AG8" i="18"/>
  <c r="BC8" i="18" s="1"/>
  <c r="AF8" i="18"/>
  <c r="BB8" i="18" s="1"/>
  <c r="AD8" i="18"/>
  <c r="AZ8" i="18" s="1"/>
  <c r="AC8" i="18"/>
  <c r="AY8" i="18" s="1"/>
  <c r="AA8" i="18"/>
  <c r="AW8" i="18" s="1"/>
  <c r="AT7" i="18"/>
  <c r="BP7" i="18" s="1"/>
  <c r="AS7" i="18"/>
  <c r="BO7" i="18" s="1"/>
  <c r="AR7" i="18"/>
  <c r="BN7" i="18" s="1"/>
  <c r="AQ7" i="18"/>
  <c r="BM7" i="18" s="1"/>
  <c r="AP7" i="18"/>
  <c r="BL7" i="18" s="1"/>
  <c r="AO7" i="18"/>
  <c r="BK7" i="18" s="1"/>
  <c r="AN7" i="18"/>
  <c r="BJ7" i="18" s="1"/>
  <c r="AM7" i="18"/>
  <c r="BI7" i="18" s="1"/>
  <c r="AL7" i="18"/>
  <c r="BH7" i="18" s="1"/>
  <c r="AK7" i="18"/>
  <c r="BG7" i="18" s="1"/>
  <c r="AJ7" i="18"/>
  <c r="BF7" i="18" s="1"/>
  <c r="AI7" i="18"/>
  <c r="BE7" i="18" s="1"/>
  <c r="AH7" i="18"/>
  <c r="BD7" i="18" s="1"/>
  <c r="AG7" i="18"/>
  <c r="BC7" i="18" s="1"/>
  <c r="AF7" i="18"/>
  <c r="BB7" i="18" s="1"/>
  <c r="AD7" i="18"/>
  <c r="AZ7" i="18" s="1"/>
  <c r="AC7" i="18"/>
  <c r="AY7" i="18" s="1"/>
  <c r="AB7" i="18"/>
  <c r="AX7" i="18" s="1"/>
  <c r="E45" i="23"/>
  <c r="E44" i="23"/>
  <c r="E43" i="23"/>
  <c r="E42" i="23"/>
  <c r="D41" i="23"/>
  <c r="D37" i="23" s="1"/>
  <c r="C24" i="23"/>
  <c r="C14" i="23" s="1"/>
  <c r="C6" i="23"/>
  <c r="F41" i="20"/>
  <c r="F33" i="20"/>
  <c r="F42" i="20" s="1"/>
  <c r="F23" i="20"/>
  <c r="F22" i="20"/>
  <c r="F21" i="20"/>
  <c r="F20" i="20"/>
  <c r="F14" i="20"/>
  <c r="F7" i="20"/>
  <c r="AT66" i="14"/>
  <c r="AP66" i="14"/>
  <c r="AL66" i="14"/>
  <c r="AK66" i="14"/>
  <c r="AH66" i="14"/>
  <c r="AG66" i="14"/>
  <c r="AF66" i="14"/>
  <c r="AD66" i="14"/>
  <c r="AC66" i="14"/>
  <c r="F24" i="20"/>
  <c r="E53" i="2"/>
  <c r="AT66" i="13"/>
  <c r="AP66" i="13"/>
  <c r="AL66" i="13"/>
  <c r="AK66" i="13"/>
  <c r="AH66" i="13"/>
  <c r="AG66" i="13"/>
  <c r="AF66" i="13"/>
  <c r="AD66" i="13"/>
  <c r="AC66" i="13"/>
  <c r="BP7" i="13"/>
  <c r="BO7" i="13"/>
  <c r="BN7" i="13"/>
  <c r="BM7" i="13"/>
  <c r="BL7" i="13"/>
  <c r="BK7" i="13"/>
  <c r="BJ7" i="13"/>
  <c r="BI7" i="13"/>
  <c r="BH7" i="13"/>
  <c r="BG7" i="13"/>
  <c r="BF7" i="13"/>
  <c r="BE7" i="13"/>
  <c r="BD7" i="13"/>
  <c r="BC7" i="13"/>
  <c r="BB7" i="13"/>
  <c r="AZ7" i="13"/>
  <c r="AY7" i="13"/>
  <c r="B13" i="9"/>
  <c r="B12" i="9"/>
  <c r="B11" i="9"/>
  <c r="C10" i="9"/>
  <c r="E98" i="9"/>
  <c r="D98" i="9"/>
  <c r="A98" i="9" a="1"/>
  <c r="A98" i="9"/>
  <c r="E97" i="9"/>
  <c r="D97" i="9"/>
  <c r="A97" i="9" a="1"/>
  <c r="A97" i="9"/>
  <c r="E96" i="9"/>
  <c r="D96" i="9"/>
  <c r="A96" i="9" a="1"/>
  <c r="A96" i="9"/>
  <c r="E95" i="9"/>
  <c r="D95" i="9"/>
  <c r="A95" i="9" a="1"/>
  <c r="A95" i="9"/>
  <c r="E94" i="9"/>
  <c r="D94" i="9"/>
  <c r="A94" i="9" a="1"/>
  <c r="A94" i="9"/>
  <c r="E93" i="9"/>
  <c r="D93" i="9"/>
  <c r="A93" i="9" a="1"/>
  <c r="A93" i="9"/>
  <c r="E92" i="9"/>
  <c r="D92" i="9"/>
  <c r="A92" i="9" a="1"/>
  <c r="A92" i="9"/>
  <c r="E91" i="9"/>
  <c r="D91" i="9"/>
  <c r="A91" i="9" a="1"/>
  <c r="A91" i="9"/>
  <c r="E90" i="9"/>
  <c r="D90" i="9"/>
  <c r="A90" i="9" a="1"/>
  <c r="A90" i="9"/>
  <c r="E89" i="9"/>
  <c r="D89" i="9"/>
  <c r="A89" i="9" a="1"/>
  <c r="A89" i="9"/>
  <c r="E88" i="9"/>
  <c r="D88" i="9"/>
  <c r="A88" i="9" s="1"/>
  <c r="A88" i="9" a="1"/>
  <c r="E87" i="9"/>
  <c r="D87" i="9"/>
  <c r="A87" i="9" s="1"/>
  <c r="A87" i="9" a="1"/>
  <c r="E86" i="9"/>
  <c r="D86" i="9"/>
  <c r="A86" i="9" s="1"/>
  <c r="A86" i="9" a="1"/>
  <c r="E85" i="9"/>
  <c r="D85" i="9"/>
  <c r="A85" i="9" s="1"/>
  <c r="A85" i="9" a="1"/>
  <c r="E84" i="9"/>
  <c r="D84" i="9"/>
  <c r="A84" i="9" s="1"/>
  <c r="A84" i="9" a="1"/>
  <c r="E83" i="9"/>
  <c r="D83" i="9"/>
  <c r="A83" i="9" s="1"/>
  <c r="A83" i="9" a="1"/>
  <c r="E82" i="9"/>
  <c r="D82" i="9"/>
  <c r="A82" i="9" s="1"/>
  <c r="A82" i="9" a="1"/>
  <c r="E81" i="9"/>
  <c r="D81" i="9"/>
  <c r="A81" i="9" s="1"/>
  <c r="A81" i="9" a="1"/>
  <c r="E80" i="9"/>
  <c r="D80" i="9"/>
  <c r="A80" i="9" s="1"/>
  <c r="A80" i="9" a="1"/>
  <c r="E79" i="9"/>
  <c r="D79" i="9"/>
  <c r="A79" i="9" s="1"/>
  <c r="A79" i="9" a="1"/>
  <c r="E78" i="9"/>
  <c r="D78" i="9"/>
  <c r="A78" i="9" s="1"/>
  <c r="A78" i="9" a="1"/>
  <c r="E77" i="9"/>
  <c r="D77" i="9"/>
  <c r="A77" i="9" s="1"/>
  <c r="A77" i="9" a="1"/>
  <c r="E76" i="9"/>
  <c r="D76" i="9"/>
  <c r="A76" i="9" s="1"/>
  <c r="A76" i="9" a="1"/>
  <c r="E75" i="9"/>
  <c r="D75" i="9"/>
  <c r="A75" i="9" s="1"/>
  <c r="A75" i="9" a="1"/>
  <c r="E74" i="9"/>
  <c r="D74" i="9"/>
  <c r="A74" i="9" s="1"/>
  <c r="A74" i="9" a="1"/>
  <c r="E73" i="9"/>
  <c r="D73" i="9"/>
  <c r="A73" i="9" s="1"/>
  <c r="A73" i="9" a="1"/>
  <c r="E72" i="9"/>
  <c r="D72" i="9"/>
  <c r="A72" i="9" s="1"/>
  <c r="A72" i="9" a="1"/>
  <c r="E71" i="9"/>
  <c r="D71" i="9"/>
  <c r="A71" i="9" s="1"/>
  <c r="A71" i="9" a="1"/>
  <c r="E70" i="9"/>
  <c r="D70" i="9"/>
  <c r="A70" i="9" s="1"/>
  <c r="A70" i="9" a="1"/>
  <c r="E69" i="9"/>
  <c r="D69" i="9"/>
  <c r="A69" i="9" s="1"/>
  <c r="A69" i="9" a="1"/>
  <c r="E68" i="9"/>
  <c r="D68" i="9"/>
  <c r="A68" i="9" s="1"/>
  <c r="A68" i="9" a="1"/>
  <c r="E67" i="9"/>
  <c r="D67" i="9"/>
  <c r="A67" i="9" s="1"/>
  <c r="A67" i="9" a="1"/>
  <c r="E66" i="9"/>
  <c r="D66" i="9"/>
  <c r="A66" i="9" s="1"/>
  <c r="A66" i="9" a="1"/>
  <c r="E65" i="9"/>
  <c r="D65" i="9"/>
  <c r="A65" i="9" s="1"/>
  <c r="A65" i="9" a="1"/>
  <c r="E64" i="9"/>
  <c r="D64" i="9"/>
  <c r="A64" i="9" s="1"/>
  <c r="A64" i="9" a="1"/>
  <c r="E63" i="9"/>
  <c r="D63" i="9"/>
  <c r="A63" i="9" s="1"/>
  <c r="A63" i="9" a="1"/>
  <c r="E62" i="9"/>
  <c r="D62" i="9"/>
  <c r="A62" i="9" s="1"/>
  <c r="A62" i="9" a="1"/>
  <c r="E61" i="9"/>
  <c r="D61" i="9"/>
  <c r="A61" i="9" s="1"/>
  <c r="A61" i="9" a="1"/>
  <c r="E60" i="9"/>
  <c r="D60" i="9"/>
  <c r="A60" i="9" s="1"/>
  <c r="A60" i="9" a="1"/>
  <c r="E59" i="9"/>
  <c r="D59" i="9"/>
  <c r="A59" i="9" s="1"/>
  <c r="A59" i="9" a="1"/>
  <c r="E58" i="9"/>
  <c r="D58" i="9"/>
  <c r="A58" i="9" s="1"/>
  <c r="A58" i="9" a="1"/>
  <c r="E57" i="9"/>
  <c r="D57" i="9"/>
  <c r="A57" i="9" s="1"/>
  <c r="A57" i="9" a="1"/>
  <c r="E56" i="9"/>
  <c r="D56" i="9"/>
  <c r="A56" i="9" s="1"/>
  <c r="A56" i="9" a="1"/>
  <c r="E55" i="9"/>
  <c r="D55" i="9"/>
  <c r="A55" i="9" s="1"/>
  <c r="A55" i="9" a="1"/>
  <c r="E54" i="9"/>
  <c r="D54" i="9"/>
  <c r="A54" i="9" s="1"/>
  <c r="A54" i="9" a="1"/>
  <c r="E53" i="9"/>
  <c r="D53" i="9"/>
  <c r="A53" i="9" s="1"/>
  <c r="A53" i="9" a="1"/>
  <c r="E52" i="9"/>
  <c r="D52" i="9"/>
  <c r="A52" i="9" s="1"/>
  <c r="A52" i="9" a="1"/>
  <c r="E51" i="9"/>
  <c r="D51" i="9"/>
  <c r="A51" i="9" s="1"/>
  <c r="A51" i="9" a="1"/>
  <c r="E50" i="9"/>
  <c r="D50" i="9"/>
  <c r="A50" i="9" s="1"/>
  <c r="A50" i="9" a="1"/>
  <c r="E49" i="9"/>
  <c r="D49" i="9"/>
  <c r="A49" i="9" s="1"/>
  <c r="A49" i="9" a="1"/>
  <c r="E48" i="9"/>
  <c r="D48" i="9"/>
  <c r="A48" i="9" s="1"/>
  <c r="A48" i="9" a="1"/>
  <c r="E47" i="9"/>
  <c r="D47" i="9"/>
  <c r="A47" i="9" s="1"/>
  <c r="A47" i="9" a="1"/>
  <c r="E46" i="9"/>
  <c r="D46" i="9"/>
  <c r="A46" i="9" s="1"/>
  <c r="A46" i="9" a="1"/>
  <c r="E45" i="9"/>
  <c r="D45" i="9"/>
  <c r="A45" i="9" s="1"/>
  <c r="A45" i="9" a="1"/>
  <c r="E44" i="9"/>
  <c r="D44" i="9"/>
  <c r="A44" i="9" s="1"/>
  <c r="A44" i="9" a="1"/>
  <c r="E43" i="9"/>
  <c r="D43" i="9"/>
  <c r="A43" i="9" s="1"/>
  <c r="A43" i="9" a="1"/>
  <c r="E42" i="9"/>
  <c r="D42" i="9"/>
  <c r="A42" i="9" s="1"/>
  <c r="A42" i="9" a="1"/>
  <c r="E41" i="9"/>
  <c r="D41" i="9"/>
  <c r="A41" i="9" s="1"/>
  <c r="A41" i="9" a="1"/>
  <c r="E40" i="9"/>
  <c r="D40" i="9"/>
  <c r="A40" i="9" s="1"/>
  <c r="A40" i="9" a="1"/>
  <c r="E39" i="9"/>
  <c r="D39" i="9"/>
  <c r="A39" i="9" a="1"/>
  <c r="A39" i="9"/>
  <c r="B10" i="9"/>
  <c r="B9" i="9"/>
  <c r="B8" i="9"/>
  <c r="B3" i="9"/>
  <c r="F33" i="9"/>
  <c r="E33" i="9"/>
  <c r="D33" i="9"/>
  <c r="C33" i="9"/>
  <c r="F32" i="9"/>
  <c r="E32" i="9"/>
  <c r="D32" i="9"/>
  <c r="C32" i="9"/>
  <c r="F31" i="9"/>
  <c r="E31" i="9"/>
  <c r="D31" i="9"/>
  <c r="C31" i="9"/>
  <c r="F30" i="9"/>
  <c r="E30" i="9"/>
  <c r="D30" i="9"/>
  <c r="C30" i="9"/>
  <c r="F29" i="9"/>
  <c r="E29" i="9"/>
  <c r="D29" i="9"/>
  <c r="C29" i="9"/>
  <c r="F28" i="9"/>
  <c r="E28" i="9"/>
  <c r="D28" i="9"/>
  <c r="C28" i="9"/>
  <c r="F27" i="9"/>
  <c r="E27" i="9"/>
  <c r="D27" i="9"/>
  <c r="C27" i="9"/>
  <c r="F25" i="4"/>
  <c r="F24" i="4"/>
  <c r="M273" i="4" s="1"/>
  <c r="F23" i="4"/>
  <c r="F22" i="4"/>
  <c r="F20" i="4"/>
  <c r="F19" i="4"/>
  <c r="F18" i="4"/>
  <c r="F17" i="4"/>
  <c r="C6" i="2"/>
  <c r="I259" i="4"/>
  <c r="I242" i="4"/>
  <c r="H259" i="4"/>
  <c r="H242" i="4"/>
  <c r="G259" i="4"/>
  <c r="G242" i="4"/>
  <c r="A224" i="4"/>
  <c r="A223" i="4"/>
  <c r="A222" i="4"/>
  <c r="A221" i="4"/>
  <c r="A220" i="4"/>
  <c r="A213" i="4"/>
  <c r="A212" i="4"/>
  <c r="A211" i="4"/>
  <c r="A210" i="4"/>
  <c r="A209" i="4"/>
  <c r="A202" i="4"/>
  <c r="A201" i="4"/>
  <c r="A200" i="4"/>
  <c r="A199" i="4"/>
  <c r="A198" i="4"/>
  <c r="A83" i="4"/>
  <c r="A82" i="4"/>
  <c r="A81" i="4"/>
  <c r="A80" i="4"/>
  <c r="A79" i="4"/>
  <c r="F259" i="4"/>
  <c r="E259" i="4"/>
  <c r="E260" i="4" s="1"/>
  <c r="F260" i="4" s="1"/>
  <c r="G260" i="4" s="1"/>
  <c r="H260" i="4" s="1"/>
  <c r="I260" i="4" s="1"/>
  <c r="E254" i="4"/>
  <c r="F254" i="4" s="1"/>
  <c r="G254" i="4" s="1"/>
  <c r="B222" i="4"/>
  <c r="C3" i="4"/>
  <c r="B1" i="15"/>
  <c r="F183" i="4"/>
  <c r="B183" i="4"/>
  <c r="D122" i="4"/>
  <c r="H100" i="4"/>
  <c r="G100" i="4"/>
  <c r="F100" i="4"/>
  <c r="E100" i="4"/>
  <c r="H15" i="2" s="1"/>
  <c r="D100" i="4"/>
  <c r="D43" i="4"/>
  <c r="H43" i="4"/>
  <c r="N275" i="4" s="1"/>
  <c r="N276" i="4" s="1"/>
  <c r="G43" i="4"/>
  <c r="M275" i="4" s="1"/>
  <c r="E43" i="4"/>
  <c r="K275" i="4" s="1"/>
  <c r="K276" i="4" s="1"/>
  <c r="F43" i="4"/>
  <c r="L275" i="4" s="1"/>
  <c r="B43" i="4"/>
  <c r="H72" i="4"/>
  <c r="D72" i="4"/>
  <c r="G72" i="4"/>
  <c r="F72" i="4"/>
  <c r="E72" i="4"/>
  <c r="B72" i="4"/>
  <c r="D38" i="28" s="1"/>
  <c r="I26" i="28" s="1"/>
  <c r="B1" i="28"/>
  <c r="B2" i="27"/>
  <c r="D85" i="4"/>
  <c r="B87" i="4" s="1"/>
  <c r="F60" i="4"/>
  <c r="H85" i="4"/>
  <c r="E85" i="4"/>
  <c r="E60" i="4"/>
  <c r="H23" i="2" s="1"/>
  <c r="G85" i="4"/>
  <c r="H60" i="4"/>
  <c r="D60" i="4"/>
  <c r="F85" i="4"/>
  <c r="G60" i="4"/>
  <c r="B1" i="24"/>
  <c r="B2" i="23"/>
  <c r="B1" i="20"/>
  <c r="B1" i="14"/>
  <c r="B1" i="18"/>
  <c r="B1" i="13"/>
  <c r="B1" i="9"/>
  <c r="B2" i="2"/>
  <c r="C226" i="4"/>
  <c r="F192" i="4" s="1"/>
  <c r="B226" i="4"/>
  <c r="E192" i="4" s="1"/>
  <c r="C204" i="4"/>
  <c r="B204" i="4"/>
  <c r="B89" i="4"/>
  <c r="B47" i="4"/>
  <c r="B83" i="4"/>
  <c r="B79" i="4"/>
  <c r="B82" i="4"/>
  <c r="B81" i="4"/>
  <c r="B85" i="4" s="1"/>
  <c r="B80" i="4"/>
  <c r="F242" i="4"/>
  <c r="E242" i="4"/>
  <c r="E243" i="4" s="1"/>
  <c r="F243" i="4" s="1"/>
  <c r="G243" i="4" s="1"/>
  <c r="H243" i="4" s="1"/>
  <c r="I243" i="4" s="1"/>
  <c r="E237" i="4"/>
  <c r="F237" i="4" s="1"/>
  <c r="G237" i="4" s="1"/>
  <c r="A190" i="4"/>
  <c r="A60" i="4"/>
  <c r="A53" i="4"/>
  <c r="C7" i="4"/>
  <c r="F190" i="4"/>
  <c r="C8" i="4"/>
  <c r="B57" i="4"/>
  <c r="B55" i="4"/>
  <c r="B54" i="4"/>
  <c r="B56" i="4"/>
  <c r="B60" i="4" s="1"/>
  <c r="C23" i="2" s="1"/>
  <c r="B58" i="4"/>
  <c r="E190" i="4"/>
  <c r="B5" i="13"/>
  <c r="A29" i="4"/>
  <c r="C29" i="4" s="1"/>
  <c r="H22" i="2" s="1"/>
  <c r="Z4" i="5"/>
  <c r="CO4" i="5"/>
  <c r="I5" i="28"/>
  <c r="AV4" i="18"/>
  <c r="B3" i="18"/>
  <c r="AV4" i="14"/>
  <c r="B3" i="14"/>
  <c r="Z4" i="18"/>
  <c r="Z4" i="14"/>
  <c r="B5" i="18"/>
  <c r="B5" i="14"/>
  <c r="D4" i="18"/>
  <c r="D4" i="14"/>
  <c r="AV4" i="13"/>
  <c r="C9" i="4"/>
  <c r="A28" i="4" s="1"/>
  <c r="C28" i="4" s="1"/>
  <c r="D52" i="2" l="1"/>
  <c r="C52" i="2"/>
  <c r="C50" i="2" s="1"/>
  <c r="C60" i="2" s="1"/>
  <c r="C73" i="2" s="1"/>
  <c r="M276" i="4"/>
  <c r="H37" i="2"/>
  <c r="B45" i="4"/>
  <c r="J275" i="4"/>
  <c r="J276" i="4" s="1"/>
  <c r="J278" i="4" s="1"/>
  <c r="K278" i="4" s="1"/>
  <c r="C30" i="4"/>
  <c r="L273" i="4"/>
  <c r="L276" i="4" s="1"/>
  <c r="L278" i="4" s="1"/>
  <c r="D37" i="28"/>
  <c r="CC36" i="5"/>
  <c r="CA36" i="5"/>
  <c r="BY36" i="5"/>
  <c r="BW36" i="5"/>
  <c r="BU36" i="5"/>
  <c r="BS36" i="5"/>
  <c r="CC35" i="5"/>
  <c r="CA35" i="5"/>
  <c r="BY35" i="5"/>
  <c r="BW35" i="5"/>
  <c r="BU35" i="5"/>
  <c r="BS35" i="5"/>
  <c r="CC34" i="5"/>
  <c r="CA34" i="5"/>
  <c r="BY34" i="5"/>
  <c r="BW34" i="5"/>
  <c r="BU34" i="5"/>
  <c r="BS34" i="5"/>
  <c r="CC33" i="5"/>
  <c r="CA33" i="5"/>
  <c r="BY33" i="5"/>
  <c r="BW33" i="5"/>
  <c r="BU33" i="5"/>
  <c r="BS33" i="5"/>
  <c r="CC32" i="5"/>
  <c r="CA32" i="5"/>
  <c r="BY32" i="5"/>
  <c r="BW32" i="5"/>
  <c r="BU32" i="5"/>
  <c r="BS32" i="5"/>
  <c r="CC31" i="5"/>
  <c r="CA31" i="5"/>
  <c r="BY31" i="5"/>
  <c r="BW31" i="5"/>
  <c r="BU31" i="5"/>
  <c r="BS31" i="5"/>
  <c r="CC30" i="5"/>
  <c r="CA30" i="5"/>
  <c r="BY30" i="5"/>
  <c r="BW30" i="5"/>
  <c r="BU30" i="5"/>
  <c r="BS30" i="5"/>
  <c r="CC29" i="5"/>
  <c r="CA29" i="5"/>
  <c r="BY29" i="5"/>
  <c r="BW29" i="5"/>
  <c r="BU29" i="5"/>
  <c r="BS29" i="5"/>
  <c r="CC28" i="5"/>
  <c r="CA28" i="5"/>
  <c r="BY28" i="5"/>
  <c r="BW28" i="5"/>
  <c r="BU28" i="5"/>
  <c r="BS28" i="5"/>
  <c r="CC27" i="5"/>
  <c r="CA27" i="5"/>
  <c r="BY27" i="5"/>
  <c r="BW27" i="5"/>
  <c r="BU27" i="5"/>
  <c r="BS27" i="5"/>
  <c r="CC26" i="5"/>
  <c r="CA26" i="5"/>
  <c r="BY26" i="5"/>
  <c r="BW26" i="5"/>
  <c r="BU26" i="5"/>
  <c r="BS26" i="5"/>
  <c r="CC25" i="5"/>
  <c r="CA25" i="5"/>
  <c r="BY25" i="5"/>
  <c r="BW25" i="5"/>
  <c r="BU25" i="5"/>
  <c r="BS25" i="5"/>
  <c r="CC24" i="5"/>
  <c r="CA24" i="5"/>
  <c r="BY24" i="5"/>
  <c r="BW24" i="5"/>
  <c r="BU24" i="5"/>
  <c r="BS24" i="5"/>
  <c r="CC23" i="5"/>
  <c r="CA23" i="5"/>
  <c r="BY23" i="5"/>
  <c r="BW23" i="5"/>
  <c r="BU23" i="5"/>
  <c r="BS23" i="5"/>
  <c r="CC22" i="5"/>
  <c r="CA22" i="5"/>
  <c r="BY22" i="5"/>
  <c r="BW22" i="5"/>
  <c r="BU22" i="5"/>
  <c r="BS22" i="5"/>
  <c r="CC21" i="5"/>
  <c r="CA21" i="5"/>
  <c r="BY21" i="5"/>
  <c r="BW21" i="5"/>
  <c r="BU21" i="5"/>
  <c r="BS21" i="5"/>
  <c r="CH36" i="5"/>
  <c r="CD36" i="5"/>
  <c r="CB36" i="5"/>
  <c r="BZ36" i="5"/>
  <c r="BX36" i="5"/>
  <c r="BV36" i="5"/>
  <c r="BT36" i="5"/>
  <c r="BR36" i="5"/>
  <c r="CH35" i="5"/>
  <c r="CD35" i="5"/>
  <c r="CB35" i="5"/>
  <c r="BZ35" i="5"/>
  <c r="BX35" i="5"/>
  <c r="BV35" i="5"/>
  <c r="BT35" i="5"/>
  <c r="BR35" i="5"/>
  <c r="CH34" i="5"/>
  <c r="CD34" i="5"/>
  <c r="CB34" i="5"/>
  <c r="BZ34" i="5"/>
  <c r="BX34" i="5"/>
  <c r="BV34" i="5"/>
  <c r="BT34" i="5"/>
  <c r="BR34" i="5"/>
  <c r="CH33" i="5"/>
  <c r="CD33" i="5"/>
  <c r="CB33" i="5"/>
  <c r="BZ33" i="5"/>
  <c r="BX33" i="5"/>
  <c r="BV33" i="5"/>
  <c r="BT33" i="5"/>
  <c r="BR33" i="5"/>
  <c r="CH32" i="5"/>
  <c r="CD32" i="5"/>
  <c r="CB32" i="5"/>
  <c r="BZ32" i="5"/>
  <c r="BX32" i="5"/>
  <c r="BV32" i="5"/>
  <c r="BT32" i="5"/>
  <c r="BR32" i="5"/>
  <c r="CH31" i="5"/>
  <c r="CD31" i="5"/>
  <c r="CB31" i="5"/>
  <c r="BZ31" i="5"/>
  <c r="BX31" i="5"/>
  <c r="BV31" i="5"/>
  <c r="BT31" i="5"/>
  <c r="BR31" i="5"/>
  <c r="CH30" i="5"/>
  <c r="CD30" i="5"/>
  <c r="CB30" i="5"/>
  <c r="BZ30" i="5"/>
  <c r="BX30" i="5"/>
  <c r="BV30" i="5"/>
  <c r="BT30" i="5"/>
  <c r="BR30" i="5"/>
  <c r="CH29" i="5"/>
  <c r="CD29" i="5"/>
  <c r="CB29" i="5"/>
  <c r="BZ29" i="5"/>
  <c r="BX29" i="5"/>
  <c r="BV29" i="5"/>
  <c r="BT29" i="5"/>
  <c r="BR29" i="5"/>
  <c r="CH28" i="5"/>
  <c r="CD28" i="5"/>
  <c r="CB28" i="5"/>
  <c r="BZ28" i="5"/>
  <c r="BX28" i="5"/>
  <c r="BV28" i="5"/>
  <c r="BT28" i="5"/>
  <c r="BR28" i="5"/>
  <c r="CH27" i="5"/>
  <c r="CD27" i="5"/>
  <c r="CB27" i="5"/>
  <c r="BZ27" i="5"/>
  <c r="BX27" i="5"/>
  <c r="BV27" i="5"/>
  <c r="BT27" i="5"/>
  <c r="BR27" i="5"/>
  <c r="CH26" i="5"/>
  <c r="CD26" i="5"/>
  <c r="CB26" i="5"/>
  <c r="BZ26" i="5"/>
  <c r="BX26" i="5"/>
  <c r="BV26" i="5"/>
  <c r="BT26" i="5"/>
  <c r="BR26" i="5"/>
  <c r="CH25" i="5"/>
  <c r="CD25" i="5"/>
  <c r="CB25" i="5"/>
  <c r="BZ25" i="5"/>
  <c r="BX25" i="5"/>
  <c r="BV25" i="5"/>
  <c r="BT25" i="5"/>
  <c r="BR25" i="5"/>
  <c r="CH24" i="5"/>
  <c r="CD24" i="5"/>
  <c r="CB24" i="5"/>
  <c r="BZ24" i="5"/>
  <c r="BX24" i="5"/>
  <c r="BV24" i="5"/>
  <c r="BT24" i="5"/>
  <c r="BR24" i="5"/>
  <c r="CH23" i="5"/>
  <c r="CD23" i="5"/>
  <c r="CB23" i="5"/>
  <c r="BZ23" i="5"/>
  <c r="BX23" i="5"/>
  <c r="BV23" i="5"/>
  <c r="BT23" i="5"/>
  <c r="BR23" i="5"/>
  <c r="CH22" i="5"/>
  <c r="CD22" i="5"/>
  <c r="CB22" i="5"/>
  <c r="BZ22" i="5"/>
  <c r="BX22" i="5"/>
  <c r="BV22" i="5"/>
  <c r="BT22" i="5"/>
  <c r="BR22" i="5"/>
  <c r="CH21" i="5"/>
  <c r="CD21" i="5"/>
  <c r="CB21" i="5"/>
  <c r="BZ21" i="5"/>
  <c r="BX21" i="5"/>
  <c r="BV21" i="5"/>
  <c r="BT21" i="5"/>
  <c r="BR21" i="5"/>
  <c r="CC20" i="5"/>
  <c r="CA20" i="5"/>
  <c r="BY20" i="5"/>
  <c r="BW20" i="5"/>
  <c r="BU20" i="5"/>
  <c r="BS20" i="5"/>
  <c r="CC19" i="5"/>
  <c r="CA19" i="5"/>
  <c r="BY19" i="5"/>
  <c r="BW19" i="5"/>
  <c r="BU19" i="5"/>
  <c r="BS19" i="5"/>
  <c r="CC18" i="5"/>
  <c r="CA18" i="5"/>
  <c r="BY18" i="5"/>
  <c r="BW18" i="5"/>
  <c r="BU18" i="5"/>
  <c r="BS18" i="5"/>
  <c r="CC17" i="5"/>
  <c r="CA17" i="5"/>
  <c r="BY17" i="5"/>
  <c r="BW17" i="5"/>
  <c r="BU17" i="5"/>
  <c r="BS17" i="5"/>
  <c r="CC16" i="5"/>
  <c r="CA16" i="5"/>
  <c r="BY16" i="5"/>
  <c r="BW16" i="5"/>
  <c r="BU16" i="5"/>
  <c r="BS16" i="5"/>
  <c r="CC15" i="5"/>
  <c r="CA15" i="5"/>
  <c r="BY15" i="5"/>
  <c r="BW15" i="5"/>
  <c r="BU15" i="5"/>
  <c r="BS15" i="5"/>
  <c r="CC14" i="5"/>
  <c r="CA14" i="5"/>
  <c r="BY14" i="5"/>
  <c r="BW14" i="5"/>
  <c r="BU14" i="5"/>
  <c r="BS14" i="5"/>
  <c r="CC13" i="5"/>
  <c r="CA13" i="5"/>
  <c r="BY13" i="5"/>
  <c r="BW13" i="5"/>
  <c r="BU13" i="5"/>
  <c r="BS13" i="5"/>
  <c r="CC12" i="5"/>
  <c r="CA12" i="5"/>
  <c r="BY12" i="5"/>
  <c r="BW12" i="5"/>
  <c r="BU12" i="5"/>
  <c r="BS12" i="5"/>
  <c r="CC11" i="5"/>
  <c r="CA11" i="5"/>
  <c r="BY11" i="5"/>
  <c r="BW11" i="5"/>
  <c r="BU11" i="5"/>
  <c r="BS11" i="5"/>
  <c r="CC10" i="5"/>
  <c r="CA10" i="5"/>
  <c r="BY10" i="5"/>
  <c r="BW10" i="5"/>
  <c r="BU10" i="5"/>
  <c r="BS10" i="5"/>
  <c r="CC9" i="5"/>
  <c r="CA9" i="5"/>
  <c r="BY9" i="5"/>
  <c r="BW9" i="5"/>
  <c r="BU9" i="5"/>
  <c r="BS9" i="5"/>
  <c r="CC8" i="5"/>
  <c r="CA8" i="5"/>
  <c r="BY8" i="5"/>
  <c r="BW8" i="5"/>
  <c r="BU8" i="5"/>
  <c r="BS8" i="5"/>
  <c r="CC7" i="5"/>
  <c r="CA7" i="5"/>
  <c r="BY7" i="5"/>
  <c r="BW7" i="5"/>
  <c r="BU7" i="5"/>
  <c r="BS7" i="5"/>
  <c r="CH20" i="5"/>
  <c r="CD20" i="5"/>
  <c r="CB20" i="5"/>
  <c r="BZ20" i="5"/>
  <c r="BX20" i="5"/>
  <c r="BV20" i="5"/>
  <c r="BT20" i="5"/>
  <c r="BR20" i="5"/>
  <c r="CH19" i="5"/>
  <c r="CD19" i="5"/>
  <c r="CB19" i="5"/>
  <c r="BZ19" i="5"/>
  <c r="BX19" i="5"/>
  <c r="BV19" i="5"/>
  <c r="BT19" i="5"/>
  <c r="BR19" i="5"/>
  <c r="CH18" i="5"/>
  <c r="CD18" i="5"/>
  <c r="CB18" i="5"/>
  <c r="BZ18" i="5"/>
  <c r="BX18" i="5"/>
  <c r="BV18" i="5"/>
  <c r="BT18" i="5"/>
  <c r="BR18" i="5"/>
  <c r="CH17" i="5"/>
  <c r="CD17" i="5"/>
  <c r="CB17" i="5"/>
  <c r="BZ17" i="5"/>
  <c r="BX17" i="5"/>
  <c r="BV17" i="5"/>
  <c r="BT17" i="5"/>
  <c r="BR17" i="5"/>
  <c r="CH16" i="5"/>
  <c r="CD16" i="5"/>
  <c r="CB16" i="5"/>
  <c r="BZ16" i="5"/>
  <c r="BX16" i="5"/>
  <c r="BV16" i="5"/>
  <c r="BT16" i="5"/>
  <c r="BR16" i="5"/>
  <c r="CH15" i="5"/>
  <c r="CD15" i="5"/>
  <c r="CB15" i="5"/>
  <c r="BZ15" i="5"/>
  <c r="BX15" i="5"/>
  <c r="BV15" i="5"/>
  <c r="BT15" i="5"/>
  <c r="BR15" i="5"/>
  <c r="CH14" i="5"/>
  <c r="CD14" i="5"/>
  <c r="CB14" i="5"/>
  <c r="BZ14" i="5"/>
  <c r="BX14" i="5"/>
  <c r="BV14" i="5"/>
  <c r="BT14" i="5"/>
  <c r="BR14" i="5"/>
  <c r="CH13" i="5"/>
  <c r="CD13" i="5"/>
  <c r="CB13" i="5"/>
  <c r="BZ13" i="5"/>
  <c r="BX13" i="5"/>
  <c r="BV13" i="5"/>
  <c r="BT13" i="5"/>
  <c r="BR13" i="5"/>
  <c r="CH12" i="5"/>
  <c r="CD12" i="5"/>
  <c r="CB12" i="5"/>
  <c r="BZ12" i="5"/>
  <c r="BX12" i="5"/>
  <c r="BV12" i="5"/>
  <c r="BT12" i="5"/>
  <c r="BR12" i="5"/>
  <c r="CH11" i="5"/>
  <c r="CD11" i="5"/>
  <c r="CB11" i="5"/>
  <c r="BZ11" i="5"/>
  <c r="BX11" i="5"/>
  <c r="BV11" i="5"/>
  <c r="BT11" i="5"/>
  <c r="BR11" i="5"/>
  <c r="CH10" i="5"/>
  <c r="CD10" i="5"/>
  <c r="CB10" i="5"/>
  <c r="BZ10" i="5"/>
  <c r="BX10" i="5"/>
  <c r="BV10" i="5"/>
  <c r="BT10" i="5"/>
  <c r="BR10" i="5"/>
  <c r="CH9" i="5"/>
  <c r="CD9" i="5"/>
  <c r="CB9" i="5"/>
  <c r="BZ9" i="5"/>
  <c r="BX9" i="5"/>
  <c r="BV9" i="5"/>
  <c r="BT9" i="5"/>
  <c r="BR9" i="5"/>
  <c r="CH8" i="5"/>
  <c r="CD8" i="5"/>
  <c r="CB8" i="5"/>
  <c r="BZ8" i="5"/>
  <c r="BX8" i="5"/>
  <c r="BV8" i="5"/>
  <c r="BT8" i="5"/>
  <c r="BR8" i="5"/>
  <c r="CH7" i="5"/>
  <c r="CD7" i="5"/>
  <c r="CB7" i="5"/>
  <c r="BZ7" i="5"/>
  <c r="BX7" i="5"/>
  <c r="BV7" i="5"/>
  <c r="BT7" i="5"/>
  <c r="BR7" i="5"/>
  <c r="B95" i="4"/>
  <c r="I17" i="28"/>
  <c r="DJ6" i="5"/>
  <c r="I39" i="9" s="1"/>
  <c r="C54" i="27"/>
  <c r="D66" i="28"/>
  <c r="C69" i="2"/>
  <c r="C58" i="23"/>
  <c r="E69" i="2"/>
  <c r="E58" i="23"/>
  <c r="E54" i="27"/>
  <c r="F66" i="28"/>
  <c r="E66" i="28"/>
  <c r="E71" i="28" s="1"/>
  <c r="D69" i="2"/>
  <c r="D58" i="23"/>
  <c r="D54" i="27"/>
  <c r="E77" i="28"/>
  <c r="C77" i="28"/>
  <c r="I37" i="9"/>
  <c r="D4" i="13"/>
  <c r="B3" i="13"/>
  <c r="E5" i="28"/>
  <c r="Z4" i="13"/>
  <c r="E30" i="27"/>
  <c r="D30" i="27" s="1"/>
  <c r="C30" i="27" s="1"/>
  <c r="E52" i="27"/>
  <c r="D52" i="27" s="1"/>
  <c r="C52" i="27" s="1"/>
  <c r="F64" i="28"/>
  <c r="E64" i="28" s="1"/>
  <c r="D64" i="28" s="1"/>
  <c r="F47" i="28"/>
  <c r="E47" i="28" s="1"/>
  <c r="D47" i="28" s="1"/>
  <c r="C36" i="2"/>
  <c r="H36" i="2"/>
  <c r="C37" i="2"/>
  <c r="E32" i="23"/>
  <c r="D32" i="23" s="1"/>
  <c r="C32" i="23" s="1"/>
  <c r="E56" i="23"/>
  <c r="D56" i="23" s="1"/>
  <c r="C56" i="23" s="1"/>
  <c r="E45" i="2"/>
  <c r="D45" i="2" s="1"/>
  <c r="C45" i="2" s="1"/>
  <c r="E67" i="2"/>
  <c r="D67" i="2" s="1"/>
  <c r="C67" i="2" s="1"/>
  <c r="H6" i="2"/>
  <c r="H25" i="2" s="1"/>
  <c r="K10" i="28"/>
  <c r="K8" i="28"/>
  <c r="K9" i="28"/>
  <c r="K12" i="28"/>
  <c r="K16" i="28"/>
  <c r="K13" i="28"/>
  <c r="K14" i="28"/>
  <c r="K11" i="28"/>
  <c r="K15" i="28"/>
  <c r="DJ58" i="5"/>
  <c r="I91" i="9" s="1"/>
  <c r="I88" i="9"/>
  <c r="DJ57" i="5"/>
  <c r="I90" i="9" s="1"/>
  <c r="DJ60" i="5"/>
  <c r="I93" i="9" s="1"/>
  <c r="DJ59" i="5"/>
  <c r="I92" i="9" s="1"/>
  <c r="DJ61" i="5"/>
  <c r="I94" i="9" s="1"/>
  <c r="DJ63" i="5"/>
  <c r="I96" i="9" s="1"/>
  <c r="DJ56" i="5"/>
  <c r="I89" i="9" s="1"/>
  <c r="DJ65" i="5"/>
  <c r="I98" i="9" s="1"/>
  <c r="H133" i="4"/>
  <c r="D133" i="4"/>
  <c r="E133" i="4"/>
  <c r="H35" i="2" s="1"/>
  <c r="F133" i="4"/>
  <c r="G133" i="4"/>
  <c r="B133" i="4"/>
  <c r="C35" i="2" s="1"/>
  <c r="B1" i="17"/>
  <c r="H237" i="4"/>
  <c r="G239" i="4"/>
  <c r="G245" i="4" s="1"/>
  <c r="H254" i="4"/>
  <c r="G256" i="4"/>
  <c r="G262" i="4" s="1"/>
  <c r="H122" i="4"/>
  <c r="G122" i="4"/>
  <c r="F122" i="4"/>
  <c r="E122" i="4"/>
  <c r="H30" i="2" s="1"/>
  <c r="D56" i="2" s="1"/>
  <c r="B94" i="4"/>
  <c r="F93" i="4"/>
  <c r="G93" i="4" s="1"/>
  <c r="H93" i="4" s="1"/>
  <c r="B1" i="5"/>
  <c r="B122" i="4"/>
  <c r="C30" i="2" s="1"/>
  <c r="E56" i="2" s="1"/>
  <c r="C10" i="4"/>
  <c r="C11" i="4" s="1"/>
  <c r="D39" i="28"/>
  <c r="D30" i="28" s="1"/>
  <c r="F53" i="28" s="1"/>
  <c r="I25" i="28"/>
  <c r="C22" i="2"/>
  <c r="C8" i="9" s="1"/>
  <c r="C9" i="9"/>
  <c r="B67" i="4"/>
  <c r="B120" i="4"/>
  <c r="BD7" i="15"/>
  <c r="BD66" i="15" s="1"/>
  <c r="AH66" i="15"/>
  <c r="BC66" i="14"/>
  <c r="BB66" i="18"/>
  <c r="E41" i="23"/>
  <c r="BB66" i="13"/>
  <c r="BL66" i="13"/>
  <c r="BC66" i="13"/>
  <c r="BD66" i="18"/>
  <c r="BB66" i="14"/>
  <c r="AZ66" i="14"/>
  <c r="BL66" i="14"/>
  <c r="CR66" i="5"/>
  <c r="CV66" i="5"/>
  <c r="AZ66" i="13"/>
  <c r="BD66" i="13"/>
  <c r="BH66" i="13"/>
  <c r="BP66" i="13"/>
  <c r="AY66" i="13"/>
  <c r="BG66" i="13"/>
  <c r="BD66" i="14"/>
  <c r="BH66" i="14"/>
  <c r="BP66" i="14"/>
  <c r="AY66" i="14"/>
  <c r="BG66" i="14"/>
  <c r="AZ66" i="18"/>
  <c r="BH66" i="18"/>
  <c r="BL66" i="18"/>
  <c r="BP66" i="18"/>
  <c r="AY66" i="18"/>
  <c r="BC66" i="18"/>
  <c r="BG66" i="18"/>
  <c r="AF66" i="18"/>
  <c r="AD66" i="18"/>
  <c r="AH66" i="18"/>
  <c r="AL66" i="18"/>
  <c r="AP66" i="18"/>
  <c r="AT66" i="18"/>
  <c r="AC66" i="18"/>
  <c r="AG66" i="18"/>
  <c r="AK66" i="18"/>
  <c r="AP66" i="15"/>
  <c r="BL8" i="15"/>
  <c r="BL66" i="15" s="1"/>
  <c r="AP66" i="17"/>
  <c r="BL10" i="17"/>
  <c r="BL66" i="17" s="1"/>
  <c r="AT66" i="17"/>
  <c r="BP10" i="17"/>
  <c r="BP66" i="17" s="1"/>
  <c r="E39" i="27"/>
  <c r="BP66" i="15"/>
  <c r="AZ66" i="15"/>
  <c r="CL66" i="5"/>
  <c r="AC66" i="15"/>
  <c r="BC66" i="15"/>
  <c r="AG66" i="15"/>
  <c r="BB66" i="15"/>
  <c r="AF66" i="15"/>
  <c r="AC66" i="17"/>
  <c r="BC66" i="17"/>
  <c r="AG66" i="17"/>
  <c r="BB66" i="17"/>
  <c r="AF66" i="17"/>
  <c r="AZ66" i="17"/>
  <c r="AD66" i="17"/>
  <c r="BD66" i="17"/>
  <c r="AH66" i="17"/>
  <c r="AD66" i="15"/>
  <c r="AT66" i="15"/>
  <c r="CU66" i="5"/>
  <c r="CS66" i="5"/>
  <c r="CW66" i="5"/>
  <c r="DE66" i="5"/>
  <c r="DI66" i="5"/>
  <c r="H17" i="28"/>
  <c r="BU66" i="5" l="1"/>
  <c r="CH66" i="5"/>
  <c r="BY66" i="5"/>
  <c r="BZ66" i="5"/>
  <c r="C38" i="2"/>
  <c r="C29" i="2" s="1"/>
  <c r="E55" i="2" s="1"/>
  <c r="BX66" i="5"/>
  <c r="D284" i="4"/>
  <c r="D292" i="4" s="1"/>
  <c r="D31" i="28" s="1"/>
  <c r="F52" i="28" s="1"/>
  <c r="D290" i="4"/>
  <c r="M278" i="4"/>
  <c r="N278" i="4" s="1"/>
  <c r="BV66" i="5"/>
  <c r="D25" i="28"/>
  <c r="H38" i="2"/>
  <c r="H29" i="2" s="1"/>
  <c r="D55" i="2" s="1"/>
  <c r="D54" i="2" s="1"/>
  <c r="D69" i="28"/>
  <c r="D71" i="28"/>
  <c r="C57" i="27"/>
  <c r="C59" i="27"/>
  <c r="C72" i="2"/>
  <c r="C74" i="2"/>
  <c r="C61" i="23"/>
  <c r="C63" i="23"/>
  <c r="C21" i="2"/>
  <c r="H14" i="2"/>
  <c r="H256" i="4"/>
  <c r="H262" i="4" s="1"/>
  <c r="B212" i="4" s="1"/>
  <c r="I254" i="4"/>
  <c r="I256" i="4" s="1"/>
  <c r="I262" i="4" s="1"/>
  <c r="C212" i="4" s="1"/>
  <c r="H239" i="4"/>
  <c r="H245" i="4" s="1"/>
  <c r="B211" i="4" s="1"/>
  <c r="B215" i="4" s="1"/>
  <c r="E191" i="4" s="1"/>
  <c r="E193" i="4" s="1"/>
  <c r="I237" i="4"/>
  <c r="I239" i="4" s="1"/>
  <c r="I245" i="4" s="1"/>
  <c r="C211" i="4" s="1"/>
  <c r="C215" i="4" s="1"/>
  <c r="F191" i="4" s="1"/>
  <c r="F193" i="4" s="1"/>
  <c r="AY66" i="15"/>
  <c r="AY66" i="17"/>
  <c r="I27" i="28" l="1"/>
  <c r="F49" i="28"/>
  <c r="F57" i="28" s="1"/>
  <c r="F70" i="28" s="1"/>
  <c r="F71" i="28" s="1"/>
  <c r="H32" i="2"/>
  <c r="H17" i="2" s="1"/>
  <c r="H18" i="2" s="1"/>
  <c r="D72" i="28"/>
  <c r="E68" i="28" s="1"/>
  <c r="C75" i="2"/>
  <c r="D71" i="2" s="1"/>
  <c r="C60" i="27"/>
  <c r="D56" i="27" s="1"/>
  <c r="C64" i="23"/>
  <c r="D60" i="23" s="1"/>
  <c r="C25" i="2"/>
  <c r="C14" i="2" s="1"/>
  <c r="E51" i="2" s="1"/>
  <c r="D51" i="2"/>
  <c r="D50" i="2" s="1"/>
  <c r="E39" i="23"/>
  <c r="D32" i="28" l="1"/>
  <c r="I28" i="28" s="1"/>
  <c r="I30" i="28" s="1"/>
  <c r="L10" i="28" s="1"/>
  <c r="E37" i="27"/>
  <c r="E35" i="27" s="1"/>
  <c r="D57" i="27"/>
  <c r="D61" i="23"/>
  <c r="D72" i="2"/>
  <c r="E69" i="28"/>
  <c r="E72" i="28" s="1"/>
  <c r="D33" i="28" l="1"/>
  <c r="D26" i="28" s="1"/>
  <c r="L8" i="28"/>
  <c r="L9" i="28"/>
  <c r="F68" i="28"/>
  <c r="F69" i="28" s="1"/>
  <c r="F72" i="28" s="1"/>
  <c r="E57" i="2"/>
  <c r="E54" i="2" s="1"/>
  <c r="E50" i="2" s="1"/>
  <c r="D27" i="28" l="1"/>
  <c r="E37" i="23"/>
  <c r="AJ42" i="14" l="1"/>
  <c r="BF42" i="14" s="1"/>
  <c r="AJ42" i="18" l="1"/>
  <c r="BF42" i="18" s="1"/>
  <c r="CZ66" i="5" l="1"/>
  <c r="AK24" i="17" l="1"/>
  <c r="BG24" i="17" s="1"/>
  <c r="AK24" i="15"/>
  <c r="AK18" i="17"/>
  <c r="BG18" i="17" s="1"/>
  <c r="AK18" i="15"/>
  <c r="AK9" i="15"/>
  <c r="AK9" i="17"/>
  <c r="BG9" i="17" s="1"/>
  <c r="AK12" i="17"/>
  <c r="BG12" i="17" s="1"/>
  <c r="AK12" i="15"/>
  <c r="AK31" i="17"/>
  <c r="BG31" i="17" s="1"/>
  <c r="AK31" i="15"/>
  <c r="AK16" i="17"/>
  <c r="BG16" i="17" s="1"/>
  <c r="AK16" i="15"/>
  <c r="AK35" i="17"/>
  <c r="BG35" i="17" s="1"/>
  <c r="AK35" i="15"/>
  <c r="AK26" i="15"/>
  <c r="AK26" i="17"/>
  <c r="BG26" i="17" s="1"/>
  <c r="AK20" i="17"/>
  <c r="BG20" i="17" s="1"/>
  <c r="AK20" i="15"/>
  <c r="AK36" i="17"/>
  <c r="BG36" i="17" s="1"/>
  <c r="AK30" i="17"/>
  <c r="BG30" i="17" s="1"/>
  <c r="AK30" i="15"/>
  <c r="AK14" i="15"/>
  <c r="AK14" i="17"/>
  <c r="BG14" i="17" s="1"/>
  <c r="AK33" i="17"/>
  <c r="BG33" i="17" s="1"/>
  <c r="AK33" i="15"/>
  <c r="AK17" i="15"/>
  <c r="AK17" i="17"/>
  <c r="BG17" i="17" s="1"/>
  <c r="AL30" i="17"/>
  <c r="BH30" i="17" s="1"/>
  <c r="AL30" i="15"/>
  <c r="AK8" i="17"/>
  <c r="BG8" i="17" s="1"/>
  <c r="AK8" i="15"/>
  <c r="AK19" i="17"/>
  <c r="BG19" i="17" s="1"/>
  <c r="AK19" i="15"/>
  <c r="AK32" i="17"/>
  <c r="BG32" i="17" s="1"/>
  <c r="AK32" i="15"/>
  <c r="AK11" i="15"/>
  <c r="AK11" i="17"/>
  <c r="BG11" i="17" s="1"/>
  <c r="AK13" i="15"/>
  <c r="AK13" i="17"/>
  <c r="BG13" i="17" s="1"/>
  <c r="AK29" i="17"/>
  <c r="BG29" i="17" s="1"/>
  <c r="AK29" i="15"/>
  <c r="AK23" i="17"/>
  <c r="BG23" i="17" s="1"/>
  <c r="AK23" i="15"/>
  <c r="AK22" i="15"/>
  <c r="AK22" i="17"/>
  <c r="BG22" i="17" s="1"/>
  <c r="AK10" i="15"/>
  <c r="AK10" i="17"/>
  <c r="BG10" i="17" s="1"/>
  <c r="AK15" i="17"/>
  <c r="BG15" i="17" s="1"/>
  <c r="AK15" i="15"/>
  <c r="AK34" i="17"/>
  <c r="BG34" i="17" s="1"/>
  <c r="AK34" i="15"/>
  <c r="AK7" i="15"/>
  <c r="AK7" i="17"/>
  <c r="AK25" i="15"/>
  <c r="AK25" i="17"/>
  <c r="BG25" i="17" s="1"/>
  <c r="BG7" i="17" l="1"/>
  <c r="AL26" i="15" l="1"/>
  <c r="AL26" i="17"/>
  <c r="BH26" i="17" s="1"/>
  <c r="AL13" i="17"/>
  <c r="BH13" i="17" s="1"/>
  <c r="AL13" i="15"/>
  <c r="AL9" i="17"/>
  <c r="BH9" i="17" s="1"/>
  <c r="AL9" i="15"/>
  <c r="AL8" i="15"/>
  <c r="AL8" i="17"/>
  <c r="BH8" i="17" s="1"/>
  <c r="AL23" i="15"/>
  <c r="AL23" i="17"/>
  <c r="BH23" i="17" s="1"/>
  <c r="AL11" i="17"/>
  <c r="BH11" i="17" s="1"/>
  <c r="AL11" i="15"/>
  <c r="AL16" i="15"/>
  <c r="AL16" i="17"/>
  <c r="BH16" i="17" s="1"/>
  <c r="AL20" i="17"/>
  <c r="BH20" i="17" s="1"/>
  <c r="AL20" i="15"/>
  <c r="AL33" i="17"/>
  <c r="BH33" i="17" s="1"/>
  <c r="AL33" i="15"/>
  <c r="AL14" i="15" l="1"/>
  <c r="AL14" i="17"/>
  <c r="BH14" i="17" s="1"/>
  <c r="AL12" i="15"/>
  <c r="AL12" i="17"/>
  <c r="BH12" i="17" s="1"/>
  <c r="AL10" i="17"/>
  <c r="BH10" i="17" s="1"/>
  <c r="AL10" i="15"/>
  <c r="AL35" i="15"/>
  <c r="AL35" i="17"/>
  <c r="BH35" i="17" s="1"/>
  <c r="AL29" i="15"/>
  <c r="AL29" i="17"/>
  <c r="BH29" i="17" s="1"/>
  <c r="AL25" i="15"/>
  <c r="AL25" i="17"/>
  <c r="BH25" i="17" s="1"/>
  <c r="AL19" i="15"/>
  <c r="AL19" i="17"/>
  <c r="BH19" i="17" s="1"/>
  <c r="AL15" i="15"/>
  <c r="AL15" i="17"/>
  <c r="BH15" i="17" s="1"/>
  <c r="AL34" i="15"/>
  <c r="AL34" i="17"/>
  <c r="BH34" i="17" s="1"/>
  <c r="AL31" i="17"/>
  <c r="BH31" i="17" s="1"/>
  <c r="AL31" i="15"/>
  <c r="AL22" i="17"/>
  <c r="BH22" i="17" s="1"/>
  <c r="AL22" i="15"/>
  <c r="AL18" i="17"/>
  <c r="BH18" i="17" s="1"/>
  <c r="AL18" i="15"/>
  <c r="AL17" i="15"/>
  <c r="AL17" i="17"/>
  <c r="BH17" i="17" s="1"/>
  <c r="AL36" i="17"/>
  <c r="BH36" i="17" s="1"/>
  <c r="AL24" i="15"/>
  <c r="AL24" i="17"/>
  <c r="BH24" i="17" s="1"/>
  <c r="AL7" i="15"/>
  <c r="AL7" i="17"/>
  <c r="BH7" i="17" l="1"/>
  <c r="DA66" i="5" l="1"/>
  <c r="AL32" i="15"/>
  <c r="AL32" i="17"/>
  <c r="BH32" i="17" s="1"/>
  <c r="AO34" i="15" l="1"/>
  <c r="AO34" i="17"/>
  <c r="AM19" i="17"/>
  <c r="AM19" i="15"/>
  <c r="AA12" i="17"/>
  <c r="AA12" i="15"/>
  <c r="AQ28" i="17"/>
  <c r="AQ28" i="15"/>
  <c r="AO35" i="17"/>
  <c r="AO35" i="15"/>
  <c r="AR13" i="17"/>
  <c r="AR13" i="15"/>
  <c r="AQ27" i="15"/>
  <c r="AQ27" i="17"/>
  <c r="AR36" i="17"/>
  <c r="AR16" i="15"/>
  <c r="AR16" i="17"/>
  <c r="AO28" i="15"/>
  <c r="AO28" i="17"/>
  <c r="AM35" i="17"/>
  <c r="AM35" i="15"/>
  <c r="AN17" i="17"/>
  <c r="AN17" i="15"/>
  <c r="AN27" i="15"/>
  <c r="AN27" i="17"/>
  <c r="AN34" i="15"/>
  <c r="AN34" i="17"/>
  <c r="AR19" i="15"/>
  <c r="AR19" i="17"/>
  <c r="AQ20" i="17"/>
  <c r="AQ20" i="15"/>
  <c r="AO32" i="17"/>
  <c r="AO32" i="15"/>
  <c r="AO19" i="15"/>
  <c r="AO19" i="17"/>
  <c r="AS16" i="17"/>
  <c r="AS16" i="15"/>
  <c r="AA28" i="15"/>
  <c r="AA28" i="17"/>
  <c r="AM13" i="15"/>
  <c r="AM13" i="17"/>
  <c r="AO30" i="17"/>
  <c r="AO30" i="15"/>
  <c r="AQ32" i="15"/>
  <c r="AQ32" i="17"/>
  <c r="AN16" i="15"/>
  <c r="AN16" i="17"/>
  <c r="AM28" i="15"/>
  <c r="AM28" i="17"/>
  <c r="AS13" i="15"/>
  <c r="AS13" i="17"/>
  <c r="AR27" i="15"/>
  <c r="AR27" i="17"/>
  <c r="AN32" i="15"/>
  <c r="AN32" i="17"/>
  <c r="AA16" i="17"/>
  <c r="AA16" i="15"/>
  <c r="AR28" i="17"/>
  <c r="AR28" i="15"/>
  <c r="AA17" i="17"/>
  <c r="AA17" i="15"/>
  <c r="AA30" i="15"/>
  <c r="AA30" i="17"/>
  <c r="AS35" i="17"/>
  <c r="AS35" i="15"/>
  <c r="AM16" i="15"/>
  <c r="AM16" i="17"/>
  <c r="AS31" i="15"/>
  <c r="AS31" i="17"/>
  <c r="AQ17" i="17"/>
  <c r="AQ17" i="15"/>
  <c r="AO27" i="17"/>
  <c r="AO27" i="15"/>
  <c r="AN33" i="17"/>
  <c r="AN33" i="15"/>
  <c r="AO18" i="15"/>
  <c r="AO18" i="17"/>
  <c r="AN31" i="15"/>
  <c r="AN31" i="17"/>
  <c r="AQ21" i="17"/>
  <c r="AQ21" i="15"/>
  <c r="AN30" i="15"/>
  <c r="AN30" i="17"/>
  <c r="AO36" i="17"/>
  <c r="AN28" i="15"/>
  <c r="AN28" i="17"/>
  <c r="AS34" i="17"/>
  <c r="AS34" i="15"/>
  <c r="AQ16" i="17"/>
  <c r="AQ16" i="15"/>
  <c r="AM31" i="17"/>
  <c r="AM31" i="15"/>
  <c r="AM17" i="15"/>
  <c r="AM17" i="17"/>
  <c r="AS30" i="17"/>
  <c r="AS30" i="15"/>
  <c r="AA32" i="15"/>
  <c r="AA32" i="17"/>
  <c r="AA19" i="15"/>
  <c r="AA19" i="17"/>
  <c r="AS18" i="17"/>
  <c r="AS18" i="15"/>
  <c r="AR31" i="17"/>
  <c r="AR31" i="15"/>
  <c r="AO17" i="17"/>
  <c r="AO17" i="15"/>
  <c r="AR30" i="17"/>
  <c r="AR30" i="15"/>
  <c r="AQ34" i="17"/>
  <c r="AQ34" i="15"/>
  <c r="AN19" i="15"/>
  <c r="AN19" i="17"/>
  <c r="AN18" i="17"/>
  <c r="AN18" i="15"/>
  <c r="AQ31" i="17"/>
  <c r="AQ31" i="15"/>
  <c r="AR21" i="17"/>
  <c r="AR21" i="15"/>
  <c r="AQ36" i="17"/>
  <c r="AM36" i="17"/>
  <c r="AA18" i="15"/>
  <c r="AA18" i="17"/>
  <c r="AR17" i="17"/>
  <c r="AR17" i="15"/>
  <c r="AQ30" i="15"/>
  <c r="AQ30" i="17"/>
  <c r="AA13" i="15"/>
  <c r="AA13" i="17"/>
  <c r="AM32" i="17"/>
  <c r="AM32" i="15"/>
  <c r="AA20" i="15"/>
  <c r="AA20" i="17"/>
  <c r="AS33" i="17"/>
  <c r="AS33" i="15"/>
  <c r="AO21" i="15"/>
  <c r="AO21" i="17"/>
  <c r="AO16" i="15"/>
  <c r="AO16" i="17"/>
  <c r="AA36" i="17"/>
  <c r="AR18" i="17"/>
  <c r="AR18" i="15"/>
  <c r="AA33" i="17"/>
  <c r="AA33" i="15"/>
  <c r="AS21" i="17"/>
  <c r="AS21" i="15"/>
  <c r="AM34" i="15"/>
  <c r="AM34" i="17"/>
  <c r="AQ18" i="17"/>
  <c r="AQ18" i="15"/>
  <c r="AO33" i="17"/>
  <c r="AO33" i="15"/>
  <c r="AM21" i="17"/>
  <c r="AM21" i="15"/>
  <c r="AR34" i="15"/>
  <c r="AR34" i="17"/>
  <c r="AS20" i="17"/>
  <c r="AS20" i="15"/>
  <c r="AM33" i="15"/>
  <c r="AM33" i="17"/>
  <c r="AQ13" i="17"/>
  <c r="AQ13" i="15"/>
  <c r="AB23" i="17"/>
  <c r="AB23" i="15"/>
  <c r="AN21" i="15"/>
  <c r="AN21" i="17"/>
  <c r="AO31" i="17"/>
  <c r="AO31" i="15"/>
  <c r="AS32" i="17"/>
  <c r="AS32" i="15"/>
  <c r="AN20" i="17"/>
  <c r="AN20" i="15"/>
  <c r="AR33" i="15"/>
  <c r="AR33" i="17"/>
  <c r="AB21" i="15"/>
  <c r="AB21" i="17"/>
  <c r="AS27" i="15"/>
  <c r="AS27" i="17"/>
  <c r="AA34" i="17"/>
  <c r="AA34" i="15"/>
  <c r="AS19" i="15"/>
  <c r="AS19" i="17"/>
  <c r="AB12" i="17"/>
  <c r="AB12" i="15"/>
  <c r="AS28" i="15"/>
  <c r="AS28" i="17"/>
  <c r="AQ33" i="17"/>
  <c r="AQ33" i="15"/>
  <c r="AO13" i="15"/>
  <c r="AO13" i="17"/>
  <c r="AR35" i="17"/>
  <c r="AR35" i="15"/>
  <c r="AS17" i="17"/>
  <c r="AS17" i="15"/>
  <c r="AR32" i="17"/>
  <c r="AR32" i="15"/>
  <c r="AQ19" i="15"/>
  <c r="AQ19" i="17"/>
  <c r="AM18" i="17"/>
  <c r="AM18" i="15"/>
  <c r="AB10" i="17"/>
  <c r="AB10" i="15"/>
  <c r="AO20" i="15"/>
  <c r="AO20" i="17"/>
  <c r="AN35" i="17"/>
  <c r="AN35" i="15"/>
  <c r="AA11" i="17"/>
  <c r="AA11" i="15"/>
  <c r="AM27" i="17"/>
  <c r="AM27" i="15"/>
  <c r="AN36" i="17"/>
  <c r="AA10" i="17"/>
  <c r="AA10" i="15"/>
  <c r="AM20" i="17"/>
  <c r="AM20" i="15"/>
  <c r="AA35" i="17"/>
  <c r="AA35" i="15"/>
  <c r="AB11" i="17"/>
  <c r="AB11" i="15"/>
  <c r="AA23" i="17"/>
  <c r="AA23" i="15"/>
  <c r="AS36" i="17"/>
  <c r="AR20" i="15"/>
  <c r="AR20" i="17"/>
  <c r="AQ35" i="17"/>
  <c r="AQ35" i="15"/>
  <c r="AN13" i="17"/>
  <c r="AN13" i="15"/>
  <c r="AB27" i="15"/>
  <c r="AB27" i="17"/>
  <c r="AA31" i="15"/>
  <c r="AA31" i="17"/>
  <c r="AM30" i="15"/>
  <c r="AM30" i="17"/>
  <c r="AR22" i="15" l="1"/>
  <c r="AR22" i="17"/>
  <c r="AQ25" i="17"/>
  <c r="AQ25" i="15"/>
  <c r="AM29" i="17"/>
  <c r="AM29" i="15"/>
  <c r="AQ24" i="17"/>
  <c r="AQ24" i="15"/>
  <c r="AB22" i="17"/>
  <c r="AB22" i="15"/>
  <c r="AR29" i="17"/>
  <c r="AR29" i="15"/>
  <c r="AN15" i="15"/>
  <c r="AN15" i="17"/>
  <c r="AA15" i="17"/>
  <c r="AA15" i="15"/>
  <c r="AN22" i="17"/>
  <c r="AN22" i="15"/>
  <c r="AN29" i="17"/>
  <c r="AN29" i="15"/>
  <c r="AS15" i="17"/>
  <c r="AS15" i="15"/>
  <c r="AM8" i="15"/>
  <c r="AM8" i="17"/>
  <c r="AA26" i="15"/>
  <c r="AA26" i="17"/>
  <c r="AO22" i="15"/>
  <c r="AO22" i="17"/>
  <c r="AS25" i="15"/>
  <c r="AS25" i="17"/>
  <c r="AM26" i="15"/>
  <c r="AM26" i="17"/>
  <c r="AN8" i="15"/>
  <c r="AN8" i="17"/>
  <c r="AA8" i="17"/>
  <c r="AA8" i="15"/>
  <c r="AA9" i="17"/>
  <c r="AA9" i="15"/>
  <c r="AO29" i="15"/>
  <c r="AO29" i="17"/>
  <c r="AS24" i="17"/>
  <c r="AS24" i="15"/>
  <c r="AR24" i="15"/>
  <c r="AR24" i="17"/>
  <c r="AS9" i="17"/>
  <c r="AS9" i="15"/>
  <c r="AS26" i="17"/>
  <c r="AS26" i="15"/>
  <c r="AR15" i="17"/>
  <c r="AR15" i="15"/>
  <c r="AS22" i="15"/>
  <c r="AS22" i="17"/>
  <c r="AO15" i="17"/>
  <c r="AO15" i="15"/>
  <c r="AS8" i="15"/>
  <c r="AS8" i="17"/>
  <c r="AR9" i="15"/>
  <c r="AR9" i="17"/>
  <c r="AQ29" i="17"/>
  <c r="AQ29" i="15"/>
  <c r="AM15" i="17"/>
  <c r="AM15" i="15"/>
  <c r="AM25" i="15"/>
  <c r="AM25" i="17"/>
  <c r="AQ8" i="15"/>
  <c r="AQ8" i="17"/>
  <c r="AO9" i="15"/>
  <c r="AO9" i="17"/>
  <c r="AN26" i="17"/>
  <c r="AN26" i="15"/>
  <c r="AQ9" i="15"/>
  <c r="AQ9" i="17"/>
  <c r="AO8" i="17"/>
  <c r="AO8" i="15"/>
  <c r="AN9" i="17"/>
  <c r="AN9" i="15"/>
  <c r="AO26" i="15"/>
  <c r="AO26" i="17"/>
  <c r="AO24" i="15"/>
  <c r="AO24" i="17"/>
  <c r="AA25" i="15"/>
  <c r="AA25" i="17"/>
  <c r="AN24" i="17"/>
  <c r="AN24" i="15"/>
  <c r="AR8" i="17"/>
  <c r="AR8" i="15"/>
  <c r="AM9" i="15"/>
  <c r="AM9" i="17"/>
  <c r="AS29" i="17"/>
  <c r="AS29" i="15"/>
  <c r="AM24" i="17"/>
  <c r="AM24" i="15"/>
  <c r="AQ26" i="15"/>
  <c r="AQ26" i="17"/>
  <c r="AM22" i="17"/>
  <c r="AM22" i="15"/>
  <c r="AN25" i="15"/>
  <c r="AN25" i="17"/>
  <c r="AR26" i="15"/>
  <c r="AR26" i="17"/>
  <c r="AA29" i="17"/>
  <c r="AA29" i="15"/>
  <c r="AQ22" i="17"/>
  <c r="AQ22" i="15"/>
  <c r="AO25" i="15"/>
  <c r="AO25" i="17"/>
  <c r="AQ15" i="17"/>
  <c r="AQ15" i="15"/>
  <c r="AA24" i="17"/>
  <c r="AA24" i="15"/>
  <c r="AR25" i="15"/>
  <c r="AR25" i="17"/>
  <c r="AA14" i="17" l="1"/>
  <c r="AA14" i="15"/>
  <c r="AB7" i="15"/>
  <c r="AB7" i="17"/>
  <c r="AO14" i="17"/>
  <c r="AO14" i="15"/>
  <c r="AM7" i="17"/>
  <c r="AM7" i="15"/>
  <c r="AQ7" i="15"/>
  <c r="AQ7" i="17"/>
  <c r="AN14" i="15"/>
  <c r="AN14" i="17"/>
  <c r="AN7" i="17"/>
  <c r="AN7" i="15"/>
  <c r="AM14" i="17"/>
  <c r="AM14" i="15"/>
  <c r="AS14" i="17"/>
  <c r="AS14" i="15"/>
  <c r="AQ14" i="17"/>
  <c r="AQ14" i="15"/>
  <c r="AR7" i="17"/>
  <c r="AR7" i="15"/>
  <c r="AS7" i="17"/>
  <c r="AS7" i="15"/>
  <c r="AR14" i="15"/>
  <c r="AR14" i="17"/>
  <c r="AO7" i="15"/>
  <c r="AO7" i="17"/>
  <c r="AE23" i="15" l="1"/>
  <c r="AE23" i="17"/>
  <c r="AE10" i="17"/>
  <c r="AE10" i="15"/>
  <c r="AE11" i="17"/>
  <c r="AE11" i="15"/>
  <c r="Z53" i="14" l="1"/>
  <c r="AV53" i="14" s="1"/>
  <c r="Z53" i="18" l="1"/>
  <c r="AV53" i="18" s="1"/>
  <c r="AX7" i="13" l="1"/>
  <c r="AB8" i="14" l="1"/>
  <c r="AX8" i="14" s="1"/>
  <c r="AB15" i="14"/>
  <c r="AX15" i="14" s="1"/>
  <c r="AE28" i="14"/>
  <c r="BA28" i="14" s="1"/>
  <c r="AE37" i="14"/>
  <c r="BA37" i="14" s="1"/>
  <c r="AB43" i="14"/>
  <c r="AX43" i="14" s="1"/>
  <c r="AA7" i="14"/>
  <c r="AW7" i="13"/>
  <c r="AB9" i="14"/>
  <c r="AX9" i="14" s="1"/>
  <c r="AB14" i="14"/>
  <c r="AX14" i="14" s="1"/>
  <c r="AB16" i="14"/>
  <c r="AX16" i="14" s="1"/>
  <c r="AE19" i="14"/>
  <c r="BA19" i="14" s="1"/>
  <c r="AE24" i="14"/>
  <c r="BA24" i="14" s="1"/>
  <c r="AE26" i="14"/>
  <c r="BA26" i="14" s="1"/>
  <c r="AE29" i="14"/>
  <c r="BA29" i="14" s="1"/>
  <c r="AB30" i="14"/>
  <c r="AX30" i="14" s="1"/>
  <c r="AE32" i="14"/>
  <c r="BA32" i="14" s="1"/>
  <c r="AE34" i="14"/>
  <c r="BA34" i="14" s="1"/>
  <c r="AE36" i="14"/>
  <c r="BA36" i="14" s="1"/>
  <c r="AE38" i="14"/>
  <c r="BA38" i="14" s="1"/>
  <c r="AE40" i="14"/>
  <c r="BA40" i="14" s="1"/>
  <c r="AB44" i="14"/>
  <c r="AX44" i="14" s="1"/>
  <c r="AB46" i="14"/>
  <c r="AX46" i="14" s="1"/>
  <c r="AB48" i="14"/>
  <c r="AX48" i="14" s="1"/>
  <c r="AB52" i="14"/>
  <c r="AX52" i="14" s="1"/>
  <c r="AB54" i="14"/>
  <c r="AX54" i="14" s="1"/>
  <c r="AE41" i="14"/>
  <c r="BA41" i="14" s="1"/>
  <c r="AE30" i="14"/>
  <c r="BA30" i="14" s="1"/>
  <c r="AM10" i="14"/>
  <c r="BI10" i="14" s="1"/>
  <c r="AM66" i="13"/>
  <c r="AO11" i="14"/>
  <c r="BK11" i="14" s="1"/>
  <c r="AO23" i="14"/>
  <c r="BK23" i="14" s="1"/>
  <c r="AN10" i="14"/>
  <c r="BJ10" i="14" s="1"/>
  <c r="AN66" i="13"/>
  <c r="AR11" i="14"/>
  <c r="BN11" i="14" s="1"/>
  <c r="AO12" i="14"/>
  <c r="BK12" i="14" s="1"/>
  <c r="AE21" i="14"/>
  <c r="BA21" i="14" s="1"/>
  <c r="AE22" i="14"/>
  <c r="BA22" i="14" s="1"/>
  <c r="AE33" i="14"/>
  <c r="BA33" i="14" s="1"/>
  <c r="BA7" i="13"/>
  <c r="AE7" i="14"/>
  <c r="AE9" i="14"/>
  <c r="BA9" i="14" s="1"/>
  <c r="AE14" i="14"/>
  <c r="BA14" i="14" s="1"/>
  <c r="AE16" i="14"/>
  <c r="BA16" i="14" s="1"/>
  <c r="AE20" i="14"/>
  <c r="BA20" i="14" s="1"/>
  <c r="AA22" i="14"/>
  <c r="AW22" i="14" s="1"/>
  <c r="AB25" i="14"/>
  <c r="AX25" i="14" s="1"/>
  <c r="AE27" i="14"/>
  <c r="BA27" i="14" s="1"/>
  <c r="AB31" i="14"/>
  <c r="AX31" i="14" s="1"/>
  <c r="AB33" i="14"/>
  <c r="AX33" i="14" s="1"/>
  <c r="AB35" i="14"/>
  <c r="AX35" i="14" s="1"/>
  <c r="AB37" i="14"/>
  <c r="AX37" i="14" s="1"/>
  <c r="AB39" i="14"/>
  <c r="AX39" i="14" s="1"/>
  <c r="AE44" i="14"/>
  <c r="BA44" i="14" s="1"/>
  <c r="AE46" i="14"/>
  <c r="BA46" i="14" s="1"/>
  <c r="AE48" i="14"/>
  <c r="BA48" i="14" s="1"/>
  <c r="AE52" i="14"/>
  <c r="BA52" i="14" s="1"/>
  <c r="AE54" i="14"/>
  <c r="BA54" i="14" s="1"/>
  <c r="AB42" i="14"/>
  <c r="AX42" i="14" s="1"/>
  <c r="AB50" i="14"/>
  <c r="AX50" i="14" s="1"/>
  <c r="AQ10" i="14"/>
  <c r="BM10" i="14" s="1"/>
  <c r="AQ66" i="13"/>
  <c r="AS11" i="14"/>
  <c r="BO11" i="14" s="1"/>
  <c r="AS23" i="14"/>
  <c r="BO23" i="14" s="1"/>
  <c r="AR10" i="14"/>
  <c r="BN10" i="14" s="1"/>
  <c r="AR66" i="13"/>
  <c r="AR23" i="14"/>
  <c r="BN23" i="14" s="1"/>
  <c r="AQ12" i="14"/>
  <c r="BM12" i="14" s="1"/>
  <c r="AE42" i="14"/>
  <c r="BA42" i="14" s="1"/>
  <c r="AE50" i="14"/>
  <c r="BA50" i="14" s="1"/>
  <c r="AO10" i="14"/>
  <c r="BK10" i="14" s="1"/>
  <c r="AO66" i="13"/>
  <c r="AM11" i="14"/>
  <c r="BI11" i="14" s="1"/>
  <c r="AM23" i="14"/>
  <c r="BI23" i="14" s="1"/>
  <c r="AN11" i="14"/>
  <c r="BJ11" i="14" s="1"/>
  <c r="AM12" i="14"/>
  <c r="BI12" i="14" s="1"/>
  <c r="AR12" i="14"/>
  <c r="BN12" i="14" s="1"/>
  <c r="AE12" i="14"/>
  <c r="BA12" i="14" s="1"/>
  <c r="AE17" i="14"/>
  <c r="BA17" i="14" s="1"/>
  <c r="AE25" i="14"/>
  <c r="BA25" i="14" s="1"/>
  <c r="AE31" i="14"/>
  <c r="BA31" i="14" s="1"/>
  <c r="AE35" i="14"/>
  <c r="BA35" i="14" s="1"/>
  <c r="AE39" i="14"/>
  <c r="BA39" i="14" s="1"/>
  <c r="AB45" i="14"/>
  <c r="AX45" i="14" s="1"/>
  <c r="AB47" i="14"/>
  <c r="AX47" i="14" s="1"/>
  <c r="AB49" i="14"/>
  <c r="AX49" i="14" s="1"/>
  <c r="AB53" i="14"/>
  <c r="AX53" i="14" s="1"/>
  <c r="AE51" i="14"/>
  <c r="BA51" i="14" s="1"/>
  <c r="AE8" i="14"/>
  <c r="BA8" i="14" s="1"/>
  <c r="AE13" i="14"/>
  <c r="BA13" i="14" s="1"/>
  <c r="AE15" i="14"/>
  <c r="BA15" i="14" s="1"/>
  <c r="AE18" i="14"/>
  <c r="BA18" i="14" s="1"/>
  <c r="AB24" i="14"/>
  <c r="AX24" i="14" s="1"/>
  <c r="AB26" i="14"/>
  <c r="AX26" i="14" s="1"/>
  <c r="AB29" i="14"/>
  <c r="AX29" i="14" s="1"/>
  <c r="AB32" i="14"/>
  <c r="AX32" i="14" s="1"/>
  <c r="AB34" i="14"/>
  <c r="AX34" i="14" s="1"/>
  <c r="AB36" i="14"/>
  <c r="AX36" i="14" s="1"/>
  <c r="AB38" i="14"/>
  <c r="AX38" i="14" s="1"/>
  <c r="AB40" i="14"/>
  <c r="AX40" i="14" s="1"/>
  <c r="AE43" i="14"/>
  <c r="BA43" i="14" s="1"/>
  <c r="AE45" i="14"/>
  <c r="BA45" i="14" s="1"/>
  <c r="AE47" i="14"/>
  <c r="BA47" i="14" s="1"/>
  <c r="AE66" i="13"/>
  <c r="AE49" i="14"/>
  <c r="BA49" i="14" s="1"/>
  <c r="AE53" i="14"/>
  <c r="BA53" i="14" s="1"/>
  <c r="AB51" i="14"/>
  <c r="AX51" i="14" s="1"/>
  <c r="AB41" i="14"/>
  <c r="AX41" i="14" s="1"/>
  <c r="AS10" i="14"/>
  <c r="BO10" i="14" s="1"/>
  <c r="AS66" i="13"/>
  <c r="AQ11" i="14"/>
  <c r="BM11" i="14" s="1"/>
  <c r="AQ23" i="14"/>
  <c r="BM23" i="14" s="1"/>
  <c r="AN23" i="14"/>
  <c r="BJ23" i="14" s="1"/>
  <c r="AN12" i="14"/>
  <c r="BJ12" i="14" s="1"/>
  <c r="AS12" i="14"/>
  <c r="BO12" i="14" s="1"/>
  <c r="AB26" i="18" l="1"/>
  <c r="AX26" i="18" s="1"/>
  <c r="AR11" i="18"/>
  <c r="BN11" i="18" s="1"/>
  <c r="AE53" i="18"/>
  <c r="BA53" i="18" s="1"/>
  <c r="AB32" i="18"/>
  <c r="AX32" i="18" s="1"/>
  <c r="AE51" i="18"/>
  <c r="BA51" i="18" s="1"/>
  <c r="AB45" i="18"/>
  <c r="AX45" i="18" s="1"/>
  <c r="AE12" i="18"/>
  <c r="BA12" i="18" s="1"/>
  <c r="AM23" i="18"/>
  <c r="BI23" i="18" s="1"/>
  <c r="AO66" i="14"/>
  <c r="AO10" i="18"/>
  <c r="BK10" i="18" s="1"/>
  <c r="AE42" i="18"/>
  <c r="BA42" i="18" s="1"/>
  <c r="AR66" i="14"/>
  <c r="AR10" i="18"/>
  <c r="BN10" i="18" s="1"/>
  <c r="AS11" i="18"/>
  <c r="BO11" i="18" s="1"/>
  <c r="AE54" i="18"/>
  <c r="BA54" i="18" s="1"/>
  <c r="AE48" i="18"/>
  <c r="BA48" i="18" s="1"/>
  <c r="AE44" i="18"/>
  <c r="BA44" i="18" s="1"/>
  <c r="AE27" i="18"/>
  <c r="BA27" i="18" s="1"/>
  <c r="AE16" i="18"/>
  <c r="BA16" i="18" s="1"/>
  <c r="AE33" i="18"/>
  <c r="BA33" i="18" s="1"/>
  <c r="AN66" i="14"/>
  <c r="AN10" i="18"/>
  <c r="BJ10" i="18" s="1"/>
  <c r="AE30" i="18"/>
  <c r="BA30" i="18" s="1"/>
  <c r="AE38" i="18"/>
  <c r="BA38" i="18" s="1"/>
  <c r="AE34" i="18"/>
  <c r="BA34" i="18" s="1"/>
  <c r="AE19" i="18"/>
  <c r="BA19" i="18" s="1"/>
  <c r="AE37" i="18"/>
  <c r="BA37" i="18" s="1"/>
  <c r="AN12" i="18"/>
  <c r="BJ12" i="18" s="1"/>
  <c r="AB41" i="18"/>
  <c r="AX41" i="18" s="1"/>
  <c r="AE47" i="18"/>
  <c r="BA47" i="18" s="1"/>
  <c r="AE8" i="18"/>
  <c r="BA8" i="18" s="1"/>
  <c r="AE39" i="18"/>
  <c r="BA39" i="18" s="1"/>
  <c r="AE31" i="18"/>
  <c r="BA31" i="18" s="1"/>
  <c r="BK66" i="13"/>
  <c r="AR23" i="18"/>
  <c r="BN23" i="18" s="1"/>
  <c r="BM66" i="13"/>
  <c r="AB50" i="18"/>
  <c r="AX50" i="18" s="1"/>
  <c r="AB37" i="18"/>
  <c r="AX37" i="18" s="1"/>
  <c r="AB33" i="18"/>
  <c r="AX33" i="18" s="1"/>
  <c r="AA22" i="18"/>
  <c r="AW22" i="18" s="1"/>
  <c r="AE9" i="18"/>
  <c r="BA9" i="18" s="1"/>
  <c r="AE21" i="18"/>
  <c r="BA21" i="18" s="1"/>
  <c r="AB54" i="18"/>
  <c r="AX54" i="18" s="1"/>
  <c r="AB48" i="18"/>
  <c r="AX48" i="18" s="1"/>
  <c r="AB44" i="18"/>
  <c r="AX44" i="18" s="1"/>
  <c r="AB30" i="18"/>
  <c r="AX30" i="18" s="1"/>
  <c r="AE26" i="18"/>
  <c r="BA26" i="18" s="1"/>
  <c r="AB14" i="18"/>
  <c r="AX14" i="18" s="1"/>
  <c r="AW7" i="14"/>
  <c r="AA7" i="18"/>
  <c r="AW7" i="18" s="1"/>
  <c r="AB15" i="18"/>
  <c r="AX15" i="18" s="1"/>
  <c r="AB40" i="18"/>
  <c r="AX40" i="18" s="1"/>
  <c r="AM12" i="18"/>
  <c r="BI12" i="18" s="1"/>
  <c r="AQ23" i="18"/>
  <c r="BM23" i="18" s="1"/>
  <c r="AS66" i="14"/>
  <c r="AS10" i="18"/>
  <c r="BO10" i="18" s="1"/>
  <c r="AB51" i="18"/>
  <c r="AX51" i="18" s="1"/>
  <c r="AE49" i="18"/>
  <c r="BA49" i="18" s="1"/>
  <c r="AE43" i="18"/>
  <c r="BA43" i="18" s="1"/>
  <c r="AB38" i="18"/>
  <c r="AX38" i="18" s="1"/>
  <c r="AB34" i="18"/>
  <c r="AX34" i="18" s="1"/>
  <c r="AB29" i="18"/>
  <c r="AX29" i="18" s="1"/>
  <c r="AB24" i="18"/>
  <c r="AX24" i="18" s="1"/>
  <c r="AE15" i="18"/>
  <c r="BA15" i="18" s="1"/>
  <c r="AB53" i="18"/>
  <c r="AX53" i="18" s="1"/>
  <c r="AB47" i="18"/>
  <c r="AX47" i="18" s="1"/>
  <c r="AE17" i="18"/>
  <c r="BA17" i="18" s="1"/>
  <c r="AR12" i="18"/>
  <c r="BN12" i="18" s="1"/>
  <c r="AN11" i="18"/>
  <c r="BJ11" i="18" s="1"/>
  <c r="AM11" i="18"/>
  <c r="BI11" i="18" s="1"/>
  <c r="AQ12" i="18"/>
  <c r="BM12" i="18" s="1"/>
  <c r="BN66" i="13"/>
  <c r="AS23" i="18"/>
  <c r="BO23" i="18" s="1"/>
  <c r="AE52" i="18"/>
  <c r="BA52" i="18" s="1"/>
  <c r="AE46" i="18"/>
  <c r="BA46" i="18" s="1"/>
  <c r="AE20" i="18"/>
  <c r="BA20" i="18" s="1"/>
  <c r="AE7" i="18"/>
  <c r="AE66" i="14"/>
  <c r="BA7" i="14"/>
  <c r="AO12" i="18"/>
  <c r="BK12" i="18" s="1"/>
  <c r="AO23" i="18"/>
  <c r="BK23" i="18" s="1"/>
  <c r="BI66" i="13"/>
  <c r="AE41" i="18"/>
  <c r="BA41" i="18" s="1"/>
  <c r="AE40" i="18"/>
  <c r="BA40" i="18" s="1"/>
  <c r="AE36" i="18"/>
  <c r="BA36" i="18" s="1"/>
  <c r="AE32" i="18"/>
  <c r="BA32" i="18" s="1"/>
  <c r="AE29" i="18"/>
  <c r="BA29" i="18" s="1"/>
  <c r="AB36" i="18"/>
  <c r="AX36" i="18" s="1"/>
  <c r="AE25" i="18"/>
  <c r="BA25" i="18" s="1"/>
  <c r="AS12" i="18"/>
  <c r="BO12" i="18" s="1"/>
  <c r="AN23" i="18"/>
  <c r="BJ23" i="18" s="1"/>
  <c r="AQ11" i="18"/>
  <c r="BM11" i="18" s="1"/>
  <c r="BO66" i="13"/>
  <c r="BA66" i="13"/>
  <c r="AE45" i="18"/>
  <c r="BA45" i="18" s="1"/>
  <c r="AE18" i="18"/>
  <c r="BA18" i="18" s="1"/>
  <c r="AE13" i="18"/>
  <c r="BA13" i="18" s="1"/>
  <c r="AB49" i="18"/>
  <c r="AX49" i="18" s="1"/>
  <c r="AE35" i="18"/>
  <c r="BA35" i="18" s="1"/>
  <c r="AE50" i="18"/>
  <c r="BA50" i="18" s="1"/>
  <c r="AQ66" i="14"/>
  <c r="AQ10" i="18"/>
  <c r="BM10" i="18" s="1"/>
  <c r="AB42" i="18"/>
  <c r="AX42" i="18" s="1"/>
  <c r="AB39" i="18"/>
  <c r="AX39" i="18" s="1"/>
  <c r="AB35" i="18"/>
  <c r="AX35" i="18" s="1"/>
  <c r="AB31" i="18"/>
  <c r="AX31" i="18" s="1"/>
  <c r="AB25" i="18"/>
  <c r="AX25" i="18" s="1"/>
  <c r="AE14" i="18"/>
  <c r="BA14" i="18" s="1"/>
  <c r="AE22" i="18"/>
  <c r="BA22" i="18" s="1"/>
  <c r="BJ66" i="13"/>
  <c r="AO11" i="18"/>
  <c r="BK11" i="18" s="1"/>
  <c r="AM10" i="18"/>
  <c r="BI10" i="18" s="1"/>
  <c r="AM66" i="14"/>
  <c r="AB52" i="18"/>
  <c r="AX52" i="18" s="1"/>
  <c r="AB46" i="18"/>
  <c r="AX46" i="18" s="1"/>
  <c r="AE24" i="18"/>
  <c r="BA24" i="18" s="1"/>
  <c r="AB16" i="18"/>
  <c r="AX16" i="18" s="1"/>
  <c r="AB9" i="18"/>
  <c r="AX9" i="18" s="1"/>
  <c r="AB43" i="18"/>
  <c r="AX43" i="18" s="1"/>
  <c r="AE28" i="18"/>
  <c r="BA28" i="18" s="1"/>
  <c r="AB8" i="18"/>
  <c r="AX8" i="18" s="1"/>
  <c r="BM66" i="14" l="1"/>
  <c r="BI66" i="14"/>
  <c r="BI66" i="18"/>
  <c r="AM66" i="18"/>
  <c r="BO66" i="18"/>
  <c r="AS66" i="18"/>
  <c r="AR66" i="18"/>
  <c r="BN66" i="18"/>
  <c r="BJ66" i="14"/>
  <c r="AO66" i="18"/>
  <c r="BK66" i="18"/>
  <c r="BN66" i="14"/>
  <c r="AQ66" i="18"/>
  <c r="BM66" i="18"/>
  <c r="BA7" i="18"/>
  <c r="BA66" i="18" s="1"/>
  <c r="AE66" i="18"/>
  <c r="BA66" i="14"/>
  <c r="BO66" i="14"/>
  <c r="BJ66" i="18"/>
  <c r="AN66" i="18"/>
  <c r="BK66" i="14"/>
  <c r="DF66" i="5" l="1"/>
  <c r="DH66" i="5" l="1"/>
  <c r="DG66" i="5"/>
  <c r="DC66" i="5"/>
  <c r="DB66" i="5"/>
  <c r="DD66" i="5"/>
  <c r="AM12" i="15" l="1"/>
  <c r="AM12" i="17"/>
  <c r="AN12" i="15"/>
  <c r="AN12" i="17"/>
  <c r="AR11" i="15"/>
  <c r="AR11" i="17"/>
  <c r="AQ12" i="17"/>
  <c r="AQ12" i="15"/>
  <c r="AM10" i="15"/>
  <c r="AM10" i="17"/>
  <c r="AM11" i="17"/>
  <c r="AM11" i="15"/>
  <c r="AS11" i="17"/>
  <c r="AS11" i="15"/>
  <c r="AQ10" i="15"/>
  <c r="AQ10" i="17"/>
  <c r="AO11" i="17"/>
  <c r="AO11" i="15"/>
  <c r="AN11" i="17"/>
  <c r="AN11" i="15"/>
  <c r="AS12" i="15"/>
  <c r="AS12" i="17"/>
  <c r="AN10" i="17"/>
  <c r="AN10" i="15"/>
  <c r="AS10" i="17"/>
  <c r="AS10" i="15"/>
  <c r="AO10" i="17"/>
  <c r="AO10" i="15"/>
  <c r="AE27" i="17"/>
  <c r="AE27" i="15"/>
  <c r="AO12" i="17"/>
  <c r="AO12" i="15"/>
  <c r="AR12" i="15"/>
  <c r="AR12" i="17"/>
  <c r="AE21" i="15"/>
  <c r="AE21" i="17"/>
  <c r="AQ11" i="17"/>
  <c r="AQ11" i="15"/>
  <c r="AR10" i="17"/>
  <c r="AR10" i="15"/>
  <c r="AE34" i="15" l="1"/>
  <c r="AE34" i="17"/>
  <c r="AE33" i="17"/>
  <c r="AE33" i="15"/>
  <c r="AE22" i="17"/>
  <c r="AE22" i="15"/>
  <c r="AE32" i="17"/>
  <c r="AE32" i="15"/>
  <c r="AE35" i="17"/>
  <c r="AE35" i="15"/>
  <c r="CT66" i="5"/>
  <c r="AE36" i="17"/>
  <c r="AE14" i="17"/>
  <c r="AE14" i="15"/>
  <c r="AE9" i="17"/>
  <c r="AE9" i="15"/>
  <c r="AE31" i="15"/>
  <c r="AE31" i="17"/>
  <c r="AE8" i="15"/>
  <c r="AE8" i="17"/>
  <c r="AE15" i="17"/>
  <c r="AE15" i="15"/>
  <c r="AE16" i="15"/>
  <c r="AE16" i="17"/>
  <c r="AB31" i="15" l="1"/>
  <c r="AB31" i="17"/>
  <c r="AB36" i="17"/>
  <c r="AB16" i="17"/>
  <c r="AB16" i="15"/>
  <c r="AE13" i="17"/>
  <c r="AE13" i="15"/>
  <c r="AE17" i="17"/>
  <c r="AE17" i="15"/>
  <c r="AB9" i="17"/>
  <c r="AB9" i="15"/>
  <c r="AB15" i="17"/>
  <c r="AB15" i="15"/>
  <c r="AB14" i="15"/>
  <c r="AB14" i="17"/>
  <c r="AE18" i="15"/>
  <c r="AE18" i="17"/>
  <c r="AB33" i="15"/>
  <c r="AB33" i="17"/>
  <c r="AE20" i="15"/>
  <c r="AE20" i="17"/>
  <c r="AB34" i="17"/>
  <c r="AB34" i="15"/>
  <c r="AE19" i="15"/>
  <c r="AE19" i="17"/>
  <c r="AB8" i="17"/>
  <c r="AB8" i="15"/>
  <c r="AE12" i="15"/>
  <c r="AE12" i="17"/>
  <c r="AE7" i="15"/>
  <c r="AE7" i="17"/>
  <c r="AE30" i="17"/>
  <c r="AE30" i="15"/>
  <c r="AB35" i="15" l="1"/>
  <c r="AB35" i="17"/>
  <c r="AB32" i="15"/>
  <c r="AB32" i="17"/>
  <c r="AB30" i="15" l="1"/>
  <c r="AB30" i="17"/>
  <c r="AX36" i="17" l="1"/>
  <c r="AW36" i="17"/>
  <c r="AX35" i="17"/>
  <c r="AW35" i="17"/>
  <c r="AX34" i="17"/>
  <c r="AW34" i="17"/>
  <c r="AX33" i="17"/>
  <c r="AW33" i="17"/>
  <c r="AX32" i="17"/>
  <c r="AW32" i="17"/>
  <c r="AX31" i="17"/>
  <c r="AW31" i="17"/>
  <c r="BO30" i="17"/>
  <c r="BN30" i="17"/>
  <c r="BM30" i="17"/>
  <c r="BK30" i="17"/>
  <c r="BJ30" i="17"/>
  <c r="BI30" i="17"/>
  <c r="BO29" i="17"/>
  <c r="BN29" i="17"/>
  <c r="BM29" i="17"/>
  <c r="BK29" i="17"/>
  <c r="BJ29" i="17"/>
  <c r="BI29" i="17"/>
  <c r="AW29" i="17"/>
  <c r="BO28" i="17"/>
  <c r="BN28" i="17"/>
  <c r="BM28" i="17"/>
  <c r="BK28" i="17"/>
  <c r="BJ28" i="17"/>
  <c r="BI28" i="17"/>
  <c r="BO27" i="17"/>
  <c r="BN27" i="17"/>
  <c r="BM27" i="17"/>
  <c r="BK27" i="17"/>
  <c r="BJ27" i="17"/>
  <c r="BI27" i="17"/>
  <c r="BO26" i="17"/>
  <c r="BN26" i="17"/>
  <c r="BM26" i="17"/>
  <c r="BK26" i="17"/>
  <c r="BJ26" i="17"/>
  <c r="BI26" i="17"/>
  <c r="BO25" i="17"/>
  <c r="BN25" i="17"/>
  <c r="BM25" i="17"/>
  <c r="BK25" i="17"/>
  <c r="BJ25" i="17"/>
  <c r="BI25" i="17"/>
  <c r="BO24" i="17"/>
  <c r="BN24" i="17"/>
  <c r="BM24" i="17"/>
  <c r="BK24" i="17"/>
  <c r="BJ24" i="17"/>
  <c r="BI24" i="17"/>
  <c r="BO22" i="17"/>
  <c r="BN22" i="17"/>
  <c r="BM22" i="17"/>
  <c r="BK22" i="17"/>
  <c r="BJ22" i="17"/>
  <c r="BI22" i="17"/>
  <c r="BO21" i="17"/>
  <c r="BN21" i="17"/>
  <c r="BM21" i="17"/>
  <c r="BK21" i="17"/>
  <c r="BJ21" i="17"/>
  <c r="BI21" i="17"/>
  <c r="AX21" i="17"/>
  <c r="BO20" i="17"/>
  <c r="BN20" i="17"/>
  <c r="BM20" i="17"/>
  <c r="BK20" i="17"/>
  <c r="BJ20" i="17"/>
  <c r="BI20" i="17"/>
  <c r="BA20" i="17"/>
  <c r="AW20" i="17"/>
  <c r="BO19" i="17"/>
  <c r="BN19" i="17"/>
  <c r="BM19" i="17"/>
  <c r="BK19" i="17"/>
  <c r="BJ19" i="17"/>
  <c r="BI19" i="17"/>
  <c r="BA19" i="17"/>
  <c r="AW19" i="17"/>
  <c r="BO18" i="17"/>
  <c r="BN18" i="17"/>
  <c r="BM18" i="17"/>
  <c r="BK18" i="17"/>
  <c r="BJ18" i="17"/>
  <c r="BI18" i="17"/>
  <c r="BA18" i="17"/>
  <c r="AW18" i="17"/>
  <c r="BO17" i="17"/>
  <c r="BN17" i="17"/>
  <c r="BM17" i="17"/>
  <c r="BK17" i="17"/>
  <c r="BJ17" i="17"/>
  <c r="BI17" i="17"/>
  <c r="BA17" i="17"/>
  <c r="BO16" i="17"/>
  <c r="BN16" i="17"/>
  <c r="BM16" i="17"/>
  <c r="BK16" i="17"/>
  <c r="BJ16" i="17"/>
  <c r="BI16" i="17"/>
  <c r="BA16" i="17"/>
  <c r="AX16" i="17"/>
  <c r="AW16" i="17"/>
  <c r="BO15" i="17"/>
  <c r="BN15" i="17"/>
  <c r="BM15" i="17"/>
  <c r="BK15" i="17"/>
  <c r="BJ15" i="17"/>
  <c r="BI15" i="17"/>
  <c r="AW15" i="17"/>
  <c r="BO14" i="17"/>
  <c r="BN14" i="17"/>
  <c r="BM14" i="17"/>
  <c r="BK14" i="17"/>
  <c r="BJ14" i="17"/>
  <c r="BI14" i="17"/>
  <c r="BA14" i="17"/>
  <c r="AX14" i="17"/>
  <c r="BO13" i="17"/>
  <c r="BN13" i="17"/>
  <c r="BM13" i="17"/>
  <c r="BK13" i="17"/>
  <c r="BJ13" i="17"/>
  <c r="BI13" i="17"/>
  <c r="BO12" i="17"/>
  <c r="BN12" i="17"/>
  <c r="BM12" i="17"/>
  <c r="BK12" i="17"/>
  <c r="BJ12" i="17"/>
  <c r="BI12" i="17"/>
  <c r="AX12" i="17"/>
  <c r="BO11" i="17"/>
  <c r="BN11" i="17"/>
  <c r="BM11" i="17"/>
  <c r="BK11" i="17"/>
  <c r="BJ11" i="17"/>
  <c r="BI11" i="17"/>
  <c r="AX11" i="17"/>
  <c r="BO10" i="17"/>
  <c r="BN10" i="17"/>
  <c r="BM10" i="17"/>
  <c r="BK10" i="17"/>
  <c r="BJ10" i="17"/>
  <c r="BI10" i="17"/>
  <c r="AX10" i="17"/>
  <c r="AW10" i="17"/>
  <c r="BO9" i="17"/>
  <c r="BN9" i="17"/>
  <c r="BM9" i="17"/>
  <c r="BK9" i="17"/>
  <c r="BJ9" i="17"/>
  <c r="BI9" i="17"/>
  <c r="BA9" i="17"/>
  <c r="AX9" i="17"/>
  <c r="BO8" i="17"/>
  <c r="BN8" i="17"/>
  <c r="BM8" i="17"/>
  <c r="BK8" i="17"/>
  <c r="BJ8" i="17"/>
  <c r="BI8" i="17"/>
  <c r="BA8" i="17"/>
  <c r="AX8" i="17"/>
  <c r="AW8" i="17"/>
  <c r="BO7" i="17"/>
  <c r="BN7" i="17"/>
  <c r="BM7" i="17"/>
  <c r="BK7" i="17"/>
  <c r="BJ7" i="17"/>
  <c r="BI7" i="17"/>
  <c r="AX7" i="17"/>
  <c r="AW9" i="17" l="1"/>
  <c r="AW11" i="17"/>
  <c r="AW25" i="17"/>
  <c r="AW30" i="17"/>
  <c r="BK31" i="17"/>
  <c r="BJ32" i="17"/>
  <c r="BO32" i="17"/>
  <c r="BI33" i="17"/>
  <c r="BN33" i="17"/>
  <c r="BA34" i="17"/>
  <c r="BM34" i="17"/>
  <c r="BK35" i="17"/>
  <c r="BJ36" i="17"/>
  <c r="BO36" i="17"/>
  <c r="AW12" i="17"/>
  <c r="AW26" i="17"/>
  <c r="BA31" i="17"/>
  <c r="BM31" i="17"/>
  <c r="BK32" i="17"/>
  <c r="BJ33" i="17"/>
  <c r="BO33" i="17"/>
  <c r="BI34" i="17"/>
  <c r="BN34" i="17"/>
  <c r="BA35" i="17"/>
  <c r="BM35" i="17"/>
  <c r="BK36" i="17"/>
  <c r="AW17" i="17"/>
  <c r="AW23" i="17"/>
  <c r="BI31" i="17"/>
  <c r="BN31" i="17"/>
  <c r="BA32" i="17"/>
  <c r="BM32" i="17"/>
  <c r="BK33" i="17"/>
  <c r="BJ34" i="17"/>
  <c r="BO34" i="17"/>
  <c r="BI35" i="17"/>
  <c r="BN35" i="17"/>
  <c r="BA36" i="17"/>
  <c r="BM36" i="17"/>
  <c r="AW14" i="17"/>
  <c r="AW24" i="17"/>
  <c r="BJ31" i="17"/>
  <c r="BO31" i="17"/>
  <c r="BI32" i="17"/>
  <c r="BN32" i="17"/>
  <c r="BA33" i="17"/>
  <c r="BM33" i="17"/>
  <c r="BK34" i="17"/>
  <c r="BJ35" i="17"/>
  <c r="BO35" i="17"/>
  <c r="BI36" i="17"/>
  <c r="BN36" i="17"/>
  <c r="AX12" i="15"/>
  <c r="AX9" i="15"/>
  <c r="AX10" i="15"/>
  <c r="AX14" i="15"/>
  <c r="AX16" i="15"/>
  <c r="AX11" i="15"/>
  <c r="AX7" i="15" l="1"/>
  <c r="AX21" i="15"/>
  <c r="AX8" i="15"/>
  <c r="BA12" i="17" l="1"/>
  <c r="BA30" i="17"/>
  <c r="BA21" i="17"/>
  <c r="BA13" i="17"/>
  <c r="BA10" i="17"/>
  <c r="BA23" i="17"/>
  <c r="BA15" i="17"/>
  <c r="BA22" i="17"/>
  <c r="BA11" i="17"/>
  <c r="BA7" i="17"/>
  <c r="BA27" i="17" l="1"/>
  <c r="AX27" i="17"/>
  <c r="AX23" i="17"/>
  <c r="AX30" i="17"/>
  <c r="AW13" i="17"/>
  <c r="AX15" i="17"/>
  <c r="AX22" i="17"/>
  <c r="AW28" i="17"/>
  <c r="AX15" i="15" l="1"/>
  <c r="BN20" i="15" l="1"/>
  <c r="BI20" i="15"/>
  <c r="BO19" i="15"/>
  <c r="BJ19" i="15"/>
  <c r="BM20" i="15"/>
  <c r="BA20" i="15"/>
  <c r="BN19" i="15"/>
  <c r="BI19" i="15"/>
  <c r="BK20" i="15"/>
  <c r="AW20" i="15"/>
  <c r="BM19" i="15"/>
  <c r="BA19" i="15"/>
  <c r="BO20" i="15"/>
  <c r="BJ20" i="15"/>
  <c r="BK19" i="15"/>
  <c r="AW19" i="15"/>
  <c r="BH19" i="15" l="1"/>
  <c r="BH20" i="15"/>
  <c r="CF20" i="5"/>
  <c r="CG20" i="5"/>
  <c r="CK20" i="5"/>
  <c r="CG19" i="5"/>
  <c r="CI19" i="5"/>
  <c r="CJ19" i="5"/>
  <c r="CK19" i="5"/>
  <c r="CE20" i="5"/>
  <c r="CE19" i="5"/>
  <c r="CI20" i="5"/>
  <c r="CF19" i="5"/>
  <c r="CJ20" i="5"/>
  <c r="BG19" i="15" l="1"/>
  <c r="BG20" i="15"/>
  <c r="AX32" i="15" l="1"/>
  <c r="AX33" i="15"/>
  <c r="AX31" i="15"/>
  <c r="AX35" i="15"/>
  <c r="AX34" i="15"/>
  <c r="AX30" i="15"/>
  <c r="CK30" i="5" l="1"/>
  <c r="BN30" i="15"/>
  <c r="CG30" i="5"/>
  <c r="BO30" i="15"/>
  <c r="CJ30" i="5"/>
  <c r="BK30" i="15"/>
  <c r="CE30" i="5"/>
  <c r="BM30" i="15"/>
  <c r="CF30" i="5"/>
  <c r="BI30" i="15"/>
  <c r="BH30" i="15"/>
  <c r="CI30" i="5"/>
  <c r="BJ30" i="15"/>
  <c r="BG30" i="15"/>
  <c r="AW30" i="15" l="1"/>
  <c r="BA30" i="15" l="1"/>
  <c r="BE34" i="15" l="1"/>
  <c r="BE32" i="15"/>
  <c r="BE35" i="15"/>
  <c r="BE31" i="15"/>
  <c r="BE33" i="15"/>
  <c r="BA32" i="15"/>
  <c r="AW34" i="15"/>
  <c r="AW35" i="15"/>
  <c r="BA35" i="15"/>
  <c r="AW31" i="15"/>
  <c r="AW32" i="15"/>
  <c r="BA33" i="15"/>
  <c r="BA34" i="15"/>
  <c r="AW33" i="15"/>
  <c r="BA31" i="15"/>
  <c r="AW17" i="15"/>
  <c r="BA7" i="15"/>
  <c r="BN10" i="15"/>
  <c r="BA13" i="15"/>
  <c r="AW12" i="15"/>
  <c r="BA18" i="15"/>
  <c r="AW8" i="15"/>
  <c r="AW9" i="15"/>
  <c r="BO10" i="15"/>
  <c r="BA11" i="15"/>
  <c r="AW18" i="15"/>
  <c r="BJ9" i="15"/>
  <c r="BK10" i="15"/>
  <c r="AW15" i="15"/>
  <c r="BA16" i="15"/>
  <c r="BM10" i="15"/>
  <c r="BA14" i="15"/>
  <c r="BI9" i="15"/>
  <c r="BM9" i="15"/>
  <c r="AW14" i="15"/>
  <c r="BK9" i="15"/>
  <c r="BA8" i="15"/>
  <c r="AW10" i="15"/>
  <c r="AW16" i="15"/>
  <c r="BJ10" i="15"/>
  <c r="BI10" i="15"/>
  <c r="AW13" i="15"/>
  <c r="BA15" i="15"/>
  <c r="AW11" i="15"/>
  <c r="BA12" i="15"/>
  <c r="BO9" i="15"/>
  <c r="BN9" i="15"/>
  <c r="BA17" i="15"/>
  <c r="BI31" i="15"/>
  <c r="CJ34" i="5"/>
  <c r="BI33" i="15"/>
  <c r="CG34" i="5"/>
  <c r="BG32" i="15"/>
  <c r="BM15" i="15"/>
  <c r="CI7" i="5"/>
  <c r="CG14" i="5"/>
  <c r="CJ13" i="5"/>
  <c r="CJ11" i="5"/>
  <c r="BJ7" i="15"/>
  <c r="CI17" i="5"/>
  <c r="CF17" i="5"/>
  <c r="BI8" i="15"/>
  <c r="BJ11" i="15"/>
  <c r="BO34" i="15"/>
  <c r="CI35" i="5"/>
  <c r="BH33" i="15"/>
  <c r="CF35" i="5"/>
  <c r="BA21" i="15"/>
  <c r="BM16" i="15"/>
  <c r="CI8" i="5"/>
  <c r="CG15" i="5"/>
  <c r="CJ15" i="5"/>
  <c r="CE11" i="5"/>
  <c r="BO7" i="15"/>
  <c r="CF9" i="5"/>
  <c r="BN14" i="15"/>
  <c r="CE12" i="5"/>
  <c r="BO8" i="15"/>
  <c r="CJ12" i="5"/>
  <c r="BO14" i="15"/>
  <c r="BN16" i="15"/>
  <c r="CF8" i="5"/>
  <c r="BJ21" i="15"/>
  <c r="BN35" i="15"/>
  <c r="CI31" i="5"/>
  <c r="BO32" i="15"/>
  <c r="CE36" i="5"/>
  <c r="BJ31" i="15"/>
  <c r="BK16" i="15"/>
  <c r="BK12" i="15"/>
  <c r="CF18" i="5"/>
  <c r="BI35" i="15"/>
  <c r="CK33" i="5"/>
  <c r="BJ32" i="15"/>
  <c r="BM33" i="15"/>
  <c r="CI14" i="5"/>
  <c r="CG13" i="5"/>
  <c r="BN8" i="15"/>
  <c r="CG8" i="5"/>
  <c r="CE31" i="5"/>
  <c r="BN34" i="15"/>
  <c r="CE33" i="5"/>
  <c r="BK34" i="15"/>
  <c r="CI15" i="5"/>
  <c r="BA10" i="15"/>
  <c r="BM7" i="15"/>
  <c r="BK14" i="15"/>
  <c r="BN13" i="15"/>
  <c r="BN11" i="15"/>
  <c r="CE9" i="5"/>
  <c r="CF7" i="5"/>
  <c r="BM17" i="15"/>
  <c r="CI9" i="5"/>
  <c r="BJ17" i="15"/>
  <c r="CE8" i="5"/>
  <c r="CF11" i="5"/>
  <c r="CK34" i="5"/>
  <c r="BM35" i="15"/>
  <c r="CK36" i="5"/>
  <c r="BJ35" i="15"/>
  <c r="CI16" i="5"/>
  <c r="BM8" i="15"/>
  <c r="BK15" i="15"/>
  <c r="BN15" i="15"/>
  <c r="BI11" i="15"/>
  <c r="CK7" i="5"/>
  <c r="CJ14" i="5"/>
  <c r="CJ10" i="5"/>
  <c r="BI12" i="15"/>
  <c r="CK8" i="5"/>
  <c r="CF36" i="5"/>
  <c r="BN12" i="15"/>
  <c r="CK14" i="5"/>
  <c r="CJ16" i="5"/>
  <c r="BJ8" i="15"/>
  <c r="CF21" i="5"/>
  <c r="CK9" i="5"/>
  <c r="CJ35" i="5"/>
  <c r="CG36" i="5"/>
  <c r="BG34" i="15"/>
  <c r="BM31" i="15"/>
  <c r="CK32" i="5"/>
  <c r="CF31" i="5"/>
  <c r="CG16" i="5"/>
  <c r="CG12" i="5"/>
  <c r="BJ18" i="15"/>
  <c r="CE35" i="5"/>
  <c r="BO33" i="15"/>
  <c r="CF32" i="5"/>
  <c r="CI33" i="5"/>
  <c r="BH31" i="15"/>
  <c r="BM14" i="15"/>
  <c r="BA9" i="15"/>
  <c r="BK13" i="15"/>
  <c r="CJ8" i="5"/>
  <c r="BK8" i="15"/>
  <c r="BG35" i="15"/>
  <c r="BM32" i="15"/>
  <c r="CF33" i="5"/>
  <c r="BM34" i="15"/>
  <c r="BO35" i="15"/>
  <c r="BM21" i="15"/>
  <c r="CI11" i="5"/>
  <c r="BK18" i="15"/>
  <c r="CE16" i="5"/>
  <c r="CK11" i="5"/>
  <c r="CK18" i="5"/>
  <c r="CF13" i="5"/>
  <c r="CE15" i="5"/>
  <c r="CG7" i="5"/>
  <c r="CK17" i="5"/>
  <c r="CK12" i="5"/>
  <c r="CI13" i="5"/>
  <c r="CK10" i="5"/>
  <c r="CK13" i="5"/>
  <c r="BK33" i="15"/>
  <c r="BG31" i="15"/>
  <c r="BI34" i="15"/>
  <c r="BK35" i="15"/>
  <c r="BG33" i="15"/>
  <c r="CJ36" i="5"/>
  <c r="BO31" i="15"/>
  <c r="BM12" i="15"/>
  <c r="CG21" i="5"/>
  <c r="CE18" i="5"/>
  <c r="BJ15" i="15"/>
  <c r="BN7" i="15"/>
  <c r="CE17" i="5"/>
  <c r="CF12" i="5"/>
  <c r="BO21" i="15"/>
  <c r="BJ14" i="15"/>
  <c r="BN17" i="15"/>
  <c r="BI7" i="15"/>
  <c r="CF16" i="5"/>
  <c r="CJ18" i="5"/>
  <c r="BO15" i="15"/>
  <c r="CF34" i="5"/>
  <c r="CG31" i="5"/>
  <c r="CJ32" i="5"/>
  <c r="CE21" i="5"/>
  <c r="CK16" i="5"/>
  <c r="BK11" i="15"/>
  <c r="CJ9" i="5"/>
  <c r="BH34" i="15"/>
  <c r="BN31" i="15"/>
  <c r="CG32" i="5"/>
  <c r="BN33" i="15"/>
  <c r="CE32" i="5"/>
  <c r="BM18" i="15"/>
  <c r="CI10" i="5"/>
  <c r="BK17" i="15"/>
  <c r="CJ21" i="5"/>
  <c r="BI14" i="15"/>
  <c r="BI13" i="15"/>
  <c r="CI32" i="5"/>
  <c r="BJ33" i="15"/>
  <c r="CI34" i="5"/>
  <c r="BH32" i="15"/>
  <c r="CK35" i="5"/>
  <c r="CI21" i="5"/>
  <c r="BM11" i="15"/>
  <c r="CG18" i="5"/>
  <c r="BI16" i="15"/>
  <c r="BO11" i="15"/>
  <c r="BO18" i="15"/>
  <c r="BJ13" i="15"/>
  <c r="BI15" i="15"/>
  <c r="BK7" i="15"/>
  <c r="BO17" i="15"/>
  <c r="BO12" i="15"/>
  <c r="BM13" i="15"/>
  <c r="BO13" i="15"/>
  <c r="CG33" i="5"/>
  <c r="CE34" i="5"/>
  <c r="CG35" i="5"/>
  <c r="CK31" i="5"/>
  <c r="CI12" i="5"/>
  <c r="BK21" i="15"/>
  <c r="BI18" i="15"/>
  <c r="CG9" i="5"/>
  <c r="CF15" i="5"/>
  <c r="CJ7" i="5"/>
  <c r="BI17" i="15"/>
  <c r="BJ12" i="15"/>
  <c r="CK21" i="5"/>
  <c r="CF14" i="5"/>
  <c r="CG10" i="5"/>
  <c r="CJ17" i="5"/>
  <c r="CE7" i="5"/>
  <c r="BJ16" i="15"/>
  <c r="BN18" i="15"/>
  <c r="CK15" i="5"/>
  <c r="BJ34" i="15"/>
  <c r="BK31" i="15"/>
  <c r="BH35" i="15"/>
  <c r="BN32" i="15"/>
  <c r="BI21" i="15"/>
  <c r="BO16" i="15"/>
  <c r="CG11" i="5"/>
  <c r="CI36" i="5"/>
  <c r="CJ31" i="5"/>
  <c r="BK32" i="15"/>
  <c r="CJ33" i="5"/>
  <c r="BI32" i="15"/>
  <c r="CI18" i="5"/>
  <c r="CG17" i="5"/>
  <c r="BN21" i="15"/>
  <c r="CE14" i="5"/>
  <c r="CF10" i="5"/>
  <c r="CE10" i="5"/>
  <c r="CE13" i="5"/>
  <c r="BH9" i="15" l="1"/>
  <c r="BG9" i="15"/>
  <c r="BG18" i="15"/>
  <c r="BH17" i="15"/>
  <c r="BH16" i="15"/>
  <c r="BH12" i="15"/>
  <c r="BH8" i="15"/>
  <c r="BG10" i="15"/>
  <c r="BG8" i="15"/>
  <c r="BH18" i="15"/>
  <c r="BG16" i="15"/>
  <c r="BG15" i="15"/>
  <c r="BH11" i="15"/>
  <c r="BG17" i="15"/>
  <c r="BG13" i="15"/>
  <c r="BH10" i="15"/>
  <c r="BG11" i="15"/>
  <c r="BH14" i="15"/>
  <c r="BG7" i="15"/>
  <c r="BH13" i="15"/>
  <c r="BG14" i="15"/>
  <c r="BG12" i="15"/>
  <c r="BH7" i="15"/>
  <c r="BH15" i="15"/>
  <c r="AX22" i="15" l="1"/>
  <c r="AX27" i="15"/>
  <c r="AX23" i="15"/>
  <c r="CK26" i="5" l="1"/>
  <c r="BO26" i="15" l="1"/>
  <c r="BI29" i="15" l="1"/>
  <c r="BA22" i="15"/>
  <c r="BM28" i="15"/>
  <c r="BO28" i="15"/>
  <c r="BK28" i="15"/>
  <c r="BN29" i="15"/>
  <c r="BJ29" i="15"/>
  <c r="BA23" i="15"/>
  <c r="BI28" i="15"/>
  <c r="AW28" i="15"/>
  <c r="AW29" i="15"/>
  <c r="BJ28" i="15"/>
  <c r="BA27" i="15"/>
  <c r="BN28" i="15"/>
  <c r="BM29" i="15"/>
  <c r="BO29" i="15"/>
  <c r="BK29" i="15"/>
  <c r="CI22" i="5"/>
  <c r="CE26" i="5"/>
  <c r="CG25" i="5"/>
  <c r="CE29" i="5"/>
  <c r="CJ26" i="5"/>
  <c r="CI27" i="5"/>
  <c r="CK27" i="5"/>
  <c r="BG22" i="15"/>
  <c r="CG27" i="5"/>
  <c r="CF27" i="5"/>
  <c r="BO25" i="15"/>
  <c r="CJ22" i="5"/>
  <c r="BM26" i="15"/>
  <c r="CF24" i="5"/>
  <c r="CI24" i="5"/>
  <c r="BI27" i="15"/>
  <c r="CI25" i="5"/>
  <c r="CJ25" i="5"/>
  <c r="CE28" i="5"/>
  <c r="CG29" i="5"/>
  <c r="BJ22" i="15"/>
  <c r="BM22" i="15"/>
  <c r="BI26" i="15"/>
  <c r="BK25" i="15"/>
  <c r="BN26" i="15"/>
  <c r="BM27" i="15"/>
  <c r="BO27" i="15"/>
  <c r="BH24" i="15"/>
  <c r="BK27" i="15"/>
  <c r="BJ27" i="15"/>
  <c r="CK25" i="5"/>
  <c r="BN22" i="15"/>
  <c r="BG25" i="15"/>
  <c r="CI26" i="5"/>
  <c r="CE22" i="5"/>
  <c r="BN27" i="15"/>
  <c r="CI28" i="5"/>
  <c r="CK28" i="5"/>
  <c r="CK24" i="5"/>
  <c r="BK24" i="15"/>
  <c r="CG22" i="5"/>
  <c r="BI24" i="15"/>
  <c r="CG26" i="5"/>
  <c r="BO22" i="15"/>
  <c r="CF25" i="5"/>
  <c r="CE25" i="5"/>
  <c r="BH23" i="15"/>
  <c r="CJ24" i="5"/>
  <c r="BH26" i="15"/>
  <c r="CF28" i="5"/>
  <c r="BJ26" i="15"/>
  <c r="BG23" i="15"/>
  <c r="BI22" i="15"/>
  <c r="CJ27" i="5"/>
  <c r="BG24" i="15"/>
  <c r="CI29" i="5"/>
  <c r="CK29" i="5"/>
  <c r="BO24" i="15"/>
  <c r="CG24" i="5"/>
  <c r="BH25" i="15"/>
  <c r="BK22" i="15"/>
  <c r="CE24" i="5"/>
  <c r="BK26" i="15"/>
  <c r="BH29" i="15"/>
  <c r="CK22" i="5"/>
  <c r="BJ25" i="15"/>
  <c r="BI25" i="15"/>
  <c r="BG29" i="15"/>
  <c r="BN24" i="15"/>
  <c r="CJ28" i="5"/>
  <c r="CG28" i="5"/>
  <c r="CF26" i="5"/>
  <c r="CJ29" i="5"/>
  <c r="CF29" i="5"/>
  <c r="BG26" i="15"/>
  <c r="BJ24" i="15"/>
  <c r="BM24" i="15"/>
  <c r="CE27" i="5"/>
  <c r="BH22" i="15"/>
  <c r="BM25" i="15"/>
  <c r="BN25" i="15"/>
  <c r="CF22" i="5"/>
  <c r="AW24" i="15" l="1"/>
  <c r="AW26" i="15"/>
  <c r="AW23" i="15"/>
  <c r="AW25" i="15"/>
  <c r="AJ53" i="14" l="1"/>
  <c r="BF53" i="14" s="1"/>
  <c r="BQ53" i="14" s="1"/>
  <c r="I86" i="9"/>
  <c r="AJ53" i="18" l="1"/>
  <c r="BF53" i="18" s="1"/>
  <c r="BQ53" i="18" s="1"/>
  <c r="AJ52" i="14" l="1"/>
  <c r="BF52" i="14" s="1"/>
  <c r="AJ54" i="14"/>
  <c r="BF54" i="14" s="1"/>
  <c r="AJ54" i="18" l="1"/>
  <c r="BF54" i="18" s="1"/>
  <c r="AJ52" i="18"/>
  <c r="BF52" i="18" s="1"/>
  <c r="AB66" i="13" l="1"/>
  <c r="AB13" i="14"/>
  <c r="AX13" i="14" s="1"/>
  <c r="AA27" i="14"/>
  <c r="AW27" i="14" s="1"/>
  <c r="AL27" i="15"/>
  <c r="BH27" i="15" s="1"/>
  <c r="AL27" i="17"/>
  <c r="BH27" i="17" s="1"/>
  <c r="AB17" i="14"/>
  <c r="AX17" i="14" s="1"/>
  <c r="AA66" i="13"/>
  <c r="AW66" i="13"/>
  <c r="AA21" i="14"/>
  <c r="AW21" i="14" s="1"/>
  <c r="AB28" i="14"/>
  <c r="AX28" i="14" s="1"/>
  <c r="AK28" i="15"/>
  <c r="BG28" i="15" s="1"/>
  <c r="AK28" i="17"/>
  <c r="BG28" i="17" s="1"/>
  <c r="AB18" i="14"/>
  <c r="AX18" i="14" s="1"/>
  <c r="AB20" i="14"/>
  <c r="AX20" i="14" s="1"/>
  <c r="AB19" i="14"/>
  <c r="AX19" i="14" s="1"/>
  <c r="AL28" i="17"/>
  <c r="BH28" i="17" s="1"/>
  <c r="AL28" i="15"/>
  <c r="BH28" i="15" s="1"/>
  <c r="AK27" i="15"/>
  <c r="BG27" i="15" s="1"/>
  <c r="AK27" i="17"/>
  <c r="BG27" i="17" s="1"/>
  <c r="Z17" i="14" l="1"/>
  <c r="AV17" i="14" s="1"/>
  <c r="BQ17" i="14" s="1"/>
  <c r="Z23" i="14"/>
  <c r="AV23" i="14" s="1"/>
  <c r="BQ23" i="14" s="1"/>
  <c r="Z37" i="14"/>
  <c r="AV37" i="14" s="1"/>
  <c r="AI28" i="17"/>
  <c r="BE28" i="17" s="1"/>
  <c r="AI28" i="15"/>
  <c r="BE28" i="15" s="1"/>
  <c r="AJ21" i="15"/>
  <c r="BF21" i="15" s="1"/>
  <c r="AJ21" i="17"/>
  <c r="BF21" i="17" s="1"/>
  <c r="AJ27" i="17"/>
  <c r="BF27" i="17" s="1"/>
  <c r="AJ27" i="15"/>
  <c r="BF27" i="15" s="1"/>
  <c r="Z10" i="14"/>
  <c r="AV10" i="14" s="1"/>
  <c r="BQ10" i="14" s="1"/>
  <c r="Z14" i="14"/>
  <c r="AV14" i="14" s="1"/>
  <c r="BQ14" i="14" s="1"/>
  <c r="Z18" i="14"/>
  <c r="AV18" i="14" s="1"/>
  <c r="BQ18" i="14" s="1"/>
  <c r="Z24" i="14"/>
  <c r="AV24" i="14" s="1"/>
  <c r="BQ24" i="14" s="1"/>
  <c r="Z28" i="14"/>
  <c r="AV28" i="14" s="1"/>
  <c r="BQ28" i="14" s="1"/>
  <c r="Z34" i="14"/>
  <c r="AV34" i="14" s="1"/>
  <c r="Z38" i="14"/>
  <c r="AV38" i="14" s="1"/>
  <c r="Z43" i="14"/>
  <c r="AV43" i="14" s="1"/>
  <c r="Z47" i="14"/>
  <c r="AV47" i="14" s="1"/>
  <c r="Z52" i="14"/>
  <c r="AV52" i="14" s="1"/>
  <c r="BQ52" i="14" s="1"/>
  <c r="CQ66" i="5"/>
  <c r="AI21" i="17"/>
  <c r="BE21" i="17" s="1"/>
  <c r="AI21" i="15"/>
  <c r="BE21" i="15" s="1"/>
  <c r="AB28" i="18"/>
  <c r="AX28" i="18" s="1"/>
  <c r="AB13" i="18"/>
  <c r="AX13" i="18" s="1"/>
  <c r="AB66" i="14"/>
  <c r="Z13" i="14"/>
  <c r="AV13" i="14" s="1"/>
  <c r="BQ13" i="14" s="1"/>
  <c r="Z27" i="14"/>
  <c r="AV27" i="14" s="1"/>
  <c r="BQ27" i="14" s="1"/>
  <c r="Z50" i="14"/>
  <c r="AV50" i="14" s="1"/>
  <c r="Z15" i="14"/>
  <c r="AV15" i="14" s="1"/>
  <c r="BQ15" i="14" s="1"/>
  <c r="Z19" i="14"/>
  <c r="AV19" i="14" s="1"/>
  <c r="BQ19" i="14" s="1"/>
  <c r="Z25" i="14"/>
  <c r="AV25" i="14" s="1"/>
  <c r="BQ25" i="14" s="1"/>
  <c r="Z29" i="14"/>
  <c r="AV29" i="14" s="1"/>
  <c r="BQ29" i="14" s="1"/>
  <c r="Z31" i="14"/>
  <c r="AV31" i="14" s="1"/>
  <c r="Z35" i="14"/>
  <c r="AV35" i="14" s="1"/>
  <c r="Z39" i="14"/>
  <c r="AV39" i="14" s="1"/>
  <c r="Z44" i="14"/>
  <c r="AV44" i="14" s="1"/>
  <c r="Z48" i="14"/>
  <c r="AV48" i="14" s="1"/>
  <c r="Z54" i="14"/>
  <c r="AV54" i="14" s="1"/>
  <c r="BQ54" i="14" s="1"/>
  <c r="AB18" i="18"/>
  <c r="AX18" i="18" s="1"/>
  <c r="Z9" i="14"/>
  <c r="AV9" i="14" s="1"/>
  <c r="BQ9" i="14" s="1"/>
  <c r="Z21" i="14"/>
  <c r="AV21" i="14" s="1"/>
  <c r="BQ21" i="14" s="1"/>
  <c r="Z33" i="14"/>
  <c r="AV33" i="14" s="1"/>
  <c r="Z46" i="14"/>
  <c r="AV46" i="14" s="1"/>
  <c r="AB19" i="18"/>
  <c r="AX19" i="18" s="1"/>
  <c r="AV7" i="13"/>
  <c r="Z7" i="14"/>
  <c r="Z11" i="14"/>
  <c r="AV11" i="14" s="1"/>
  <c r="BQ11" i="14" s="1"/>
  <c r="Z8" i="14"/>
  <c r="AV8" i="14" s="1"/>
  <c r="BQ8" i="14" s="1"/>
  <c r="Z12" i="14"/>
  <c r="AV12" i="14" s="1"/>
  <c r="BQ12" i="14" s="1"/>
  <c r="Z16" i="14"/>
  <c r="AV16" i="14" s="1"/>
  <c r="BQ16" i="14" s="1"/>
  <c r="Z20" i="14"/>
  <c r="AV20" i="14" s="1"/>
  <c r="BQ20" i="14" s="1"/>
  <c r="Z22" i="14"/>
  <c r="AV22" i="14" s="1"/>
  <c r="BQ22" i="14" s="1"/>
  <c r="Z26" i="14"/>
  <c r="AV26" i="14" s="1"/>
  <c r="BQ26" i="14" s="1"/>
  <c r="Z32" i="14"/>
  <c r="AV32" i="14" s="1"/>
  <c r="Z36" i="14"/>
  <c r="AV36" i="14" s="1"/>
  <c r="Z40" i="14"/>
  <c r="AV40" i="14" s="1"/>
  <c r="Z45" i="14"/>
  <c r="AV45" i="14" s="1"/>
  <c r="Z49" i="14"/>
  <c r="AV49" i="14" s="1"/>
  <c r="CP66" i="5"/>
  <c r="AJ28" i="15"/>
  <c r="BF28" i="15" s="1"/>
  <c r="AJ28" i="17"/>
  <c r="BF28" i="17" s="1"/>
  <c r="AB20" i="18"/>
  <c r="AX20" i="18" s="1"/>
  <c r="AI27" i="15"/>
  <c r="BE27" i="15" s="1"/>
  <c r="AI27" i="17"/>
  <c r="BE27" i="17" s="1"/>
  <c r="AA66" i="14"/>
  <c r="AA21" i="18"/>
  <c r="AW21" i="18" s="1"/>
  <c r="AB17" i="18"/>
  <c r="AX17" i="18" s="1"/>
  <c r="AA27" i="18"/>
  <c r="AW27" i="18" s="1"/>
  <c r="AX66" i="13"/>
  <c r="I61" i="9"/>
  <c r="I60" i="9"/>
  <c r="I54" i="9"/>
  <c r="AN23" i="15" l="1"/>
  <c r="BJ66" i="5"/>
  <c r="AN23" i="17"/>
  <c r="CF23" i="5"/>
  <c r="CF66" i="5" s="1"/>
  <c r="Z11" i="18"/>
  <c r="AV11" i="18" s="1"/>
  <c r="BQ11" i="18" s="1"/>
  <c r="BQ7" i="13"/>
  <c r="Z46" i="18"/>
  <c r="AV46" i="18" s="1"/>
  <c r="Z48" i="18"/>
  <c r="AV48" i="18" s="1"/>
  <c r="Z39" i="18"/>
  <c r="AV39" i="18" s="1"/>
  <c r="Z25" i="18"/>
  <c r="AV25" i="18" s="1"/>
  <c r="BQ25" i="18" s="1"/>
  <c r="Z15" i="18"/>
  <c r="AV15" i="18" s="1"/>
  <c r="BQ15" i="18" s="1"/>
  <c r="Z27" i="18"/>
  <c r="AV27" i="18" s="1"/>
  <c r="BQ27" i="18" s="1"/>
  <c r="Z47" i="18"/>
  <c r="AV47" i="18" s="1"/>
  <c r="Z28" i="18"/>
  <c r="AV28" i="18" s="1"/>
  <c r="BQ28" i="18" s="1"/>
  <c r="Z10" i="18"/>
  <c r="AV10" i="18" s="1"/>
  <c r="BQ10" i="18" s="1"/>
  <c r="Z23" i="18"/>
  <c r="AV23" i="18" s="1"/>
  <c r="BQ23" i="18" s="1"/>
  <c r="AB20" i="15"/>
  <c r="AX20" i="15" s="1"/>
  <c r="AB20" i="17"/>
  <c r="AX20" i="17" s="1"/>
  <c r="AW66" i="14"/>
  <c r="Z45" i="18"/>
  <c r="AV45" i="18" s="1"/>
  <c r="Z36" i="18"/>
  <c r="AV36" i="18" s="1"/>
  <c r="Z26" i="18"/>
  <c r="AV26" i="18" s="1"/>
  <c r="BQ26" i="18" s="1"/>
  <c r="Z20" i="18"/>
  <c r="AV20" i="18" s="1"/>
  <c r="BQ20" i="18" s="1"/>
  <c r="Z12" i="18"/>
  <c r="AV12" i="18" s="1"/>
  <c r="BQ12" i="18" s="1"/>
  <c r="Z9" i="18"/>
  <c r="AV9" i="18" s="1"/>
  <c r="BQ9" i="18" s="1"/>
  <c r="Z44" i="18"/>
  <c r="AV44" i="18" s="1"/>
  <c r="Z35" i="18"/>
  <c r="AV35" i="18" s="1"/>
  <c r="Z29" i="18"/>
  <c r="AV29" i="18" s="1"/>
  <c r="BQ29" i="18" s="1"/>
  <c r="Z19" i="18"/>
  <c r="AV19" i="18" s="1"/>
  <c r="BQ19" i="18" s="1"/>
  <c r="Z13" i="18"/>
  <c r="AV13" i="18" s="1"/>
  <c r="BQ13" i="18" s="1"/>
  <c r="AX66" i="18"/>
  <c r="AB66" i="18"/>
  <c r="Z34" i="18"/>
  <c r="AV34" i="18" s="1"/>
  <c r="Z24" i="18"/>
  <c r="AV24" i="18" s="1"/>
  <c r="BQ24" i="18" s="1"/>
  <c r="AB17" i="17"/>
  <c r="AX17" i="17" s="1"/>
  <c r="AB17" i="15"/>
  <c r="AX17" i="15" s="1"/>
  <c r="AB28" i="15"/>
  <c r="AX28" i="15" s="1"/>
  <c r="AB28" i="17"/>
  <c r="AX28" i="17" s="1"/>
  <c r="AA27" i="15"/>
  <c r="AW27" i="15" s="1"/>
  <c r="AA27" i="17"/>
  <c r="AW27" i="17" s="1"/>
  <c r="AE28" i="17"/>
  <c r="BA28" i="17" s="1"/>
  <c r="AE28" i="15"/>
  <c r="BA28" i="15" s="1"/>
  <c r="AR23" i="17"/>
  <c r="AR23" i="15"/>
  <c r="BN66" i="5"/>
  <c r="CJ23" i="5"/>
  <c r="CJ66" i="5" s="1"/>
  <c r="AA66" i="18"/>
  <c r="AW66" i="18"/>
  <c r="Z49" i="18"/>
  <c r="AV49" i="18" s="1"/>
  <c r="Z32" i="18"/>
  <c r="AV32" i="18" s="1"/>
  <c r="Z22" i="18"/>
  <c r="AV22" i="18" s="1"/>
  <c r="BQ22" i="18" s="1"/>
  <c r="Z16" i="18"/>
  <c r="AV16" i="18" s="1"/>
  <c r="BQ16" i="18" s="1"/>
  <c r="Z8" i="18"/>
  <c r="AV8" i="18" s="1"/>
  <c r="BQ8" i="18" s="1"/>
  <c r="Z33" i="18"/>
  <c r="AV33" i="18" s="1"/>
  <c r="Z54" i="18"/>
  <c r="AV54" i="18" s="1"/>
  <c r="BQ54" i="18" s="1"/>
  <c r="Z50" i="18"/>
  <c r="AV50" i="18" s="1"/>
  <c r="Z52" i="18"/>
  <c r="AV52" i="18" s="1"/>
  <c r="BQ52" i="18" s="1"/>
  <c r="Z43" i="18"/>
  <c r="AV43" i="18" s="1"/>
  <c r="Z14" i="18"/>
  <c r="AV14" i="18" s="1"/>
  <c r="BQ14" i="18" s="1"/>
  <c r="Z17" i="18"/>
  <c r="AV17" i="18" s="1"/>
  <c r="BQ17" i="18" s="1"/>
  <c r="BM66" i="5"/>
  <c r="AQ23" i="15"/>
  <c r="AQ23" i="17"/>
  <c r="CI23" i="5"/>
  <c r="CI66" i="5" s="1"/>
  <c r="AB13" i="15"/>
  <c r="AB13" i="17"/>
  <c r="AB19" i="15"/>
  <c r="AX19" i="15" s="1"/>
  <c r="AB19" i="17"/>
  <c r="AX19" i="17" s="1"/>
  <c r="AB18" i="15"/>
  <c r="AX18" i="15" s="1"/>
  <c r="AB18" i="17"/>
  <c r="AX18" i="17" s="1"/>
  <c r="BO66" i="5"/>
  <c r="AS23" i="17"/>
  <c r="AS23" i="15"/>
  <c r="CK23" i="5"/>
  <c r="CK66" i="5" s="1"/>
  <c r="AM23" i="17"/>
  <c r="BI66" i="5"/>
  <c r="AM23" i="15"/>
  <c r="CE23" i="5"/>
  <c r="CE66" i="5" s="1"/>
  <c r="AO23" i="17"/>
  <c r="BK66" i="5"/>
  <c r="AO23" i="15"/>
  <c r="CG23" i="5"/>
  <c r="CG66" i="5" s="1"/>
  <c r="Z40" i="18"/>
  <c r="AV40" i="18" s="1"/>
  <c r="AV7" i="14"/>
  <c r="Z7" i="18"/>
  <c r="Z21" i="18"/>
  <c r="AV21" i="18" s="1"/>
  <c r="BQ21" i="18" s="1"/>
  <c r="Z31" i="18"/>
  <c r="AV31" i="18" s="1"/>
  <c r="AX66" i="14"/>
  <c r="Z38" i="18"/>
  <c r="AV38" i="18" s="1"/>
  <c r="Z18" i="18"/>
  <c r="AV18" i="18" s="1"/>
  <c r="BQ18" i="18" s="1"/>
  <c r="Z37" i="18"/>
  <c r="AV37" i="18" s="1"/>
  <c r="Z19" i="17" l="1"/>
  <c r="AV19" i="17" s="1"/>
  <c r="Z19" i="15"/>
  <c r="AV19" i="15" s="1"/>
  <c r="Z13" i="17"/>
  <c r="AV13" i="17" s="1"/>
  <c r="Z13" i="15"/>
  <c r="AV13" i="15" s="1"/>
  <c r="Z22" i="15"/>
  <c r="AV22" i="15" s="1"/>
  <c r="Z22" i="17"/>
  <c r="AV22" i="17" s="1"/>
  <c r="CM28" i="5"/>
  <c r="Z28" i="17"/>
  <c r="AV28" i="17" s="1"/>
  <c r="BQ28" i="17" s="1"/>
  <c r="Z28" i="15"/>
  <c r="AV28" i="15" s="1"/>
  <c r="BQ28" i="15" s="1"/>
  <c r="Z20" i="17"/>
  <c r="AV20" i="17" s="1"/>
  <c r="Z20" i="15"/>
  <c r="AV20" i="15" s="1"/>
  <c r="Z8" i="15"/>
  <c r="AV8" i="15" s="1"/>
  <c r="Z8" i="17"/>
  <c r="AV8" i="17" s="1"/>
  <c r="Z16" i="15"/>
  <c r="AV16" i="15" s="1"/>
  <c r="Z16" i="17"/>
  <c r="AV16" i="17" s="1"/>
  <c r="Z32" i="17"/>
  <c r="AV32" i="17" s="1"/>
  <c r="Z32" i="15"/>
  <c r="AV32" i="15" s="1"/>
  <c r="BQ7" i="14"/>
  <c r="AO66" i="15"/>
  <c r="BK23" i="15"/>
  <c r="BK66" i="15" s="1"/>
  <c r="AM66" i="15"/>
  <c r="BI23" i="15"/>
  <c r="BI66" i="15" s="1"/>
  <c r="AS66" i="15"/>
  <c r="BO23" i="15"/>
  <c r="BO66" i="15" s="1"/>
  <c r="AX13" i="15"/>
  <c r="AQ66" i="15"/>
  <c r="BM23" i="15"/>
  <c r="BM66" i="15" s="1"/>
  <c r="BJ23" i="17"/>
  <c r="BJ66" i="17" s="1"/>
  <c r="AN66" i="17"/>
  <c r="Z15" i="17"/>
  <c r="AV15" i="17" s="1"/>
  <c r="Z15" i="15"/>
  <c r="AV15" i="15" s="1"/>
  <c r="Z23" i="15"/>
  <c r="AV23" i="15" s="1"/>
  <c r="Z23" i="17"/>
  <c r="AV23" i="17" s="1"/>
  <c r="AQ66" i="17"/>
  <c r="BM23" i="17"/>
  <c r="BM66" i="17" s="1"/>
  <c r="Z14" i="17"/>
  <c r="AV14" i="17" s="1"/>
  <c r="Z14" i="15"/>
  <c r="AV14" i="15" s="1"/>
  <c r="Z26" i="17"/>
  <c r="AV26" i="17" s="1"/>
  <c r="Z26" i="15"/>
  <c r="AV26" i="15" s="1"/>
  <c r="Z10" i="17"/>
  <c r="AV10" i="17" s="1"/>
  <c r="Z10" i="15"/>
  <c r="AV10" i="15" s="1"/>
  <c r="Z24" i="15"/>
  <c r="AV24" i="15" s="1"/>
  <c r="Z24" i="17"/>
  <c r="AV24" i="17" s="1"/>
  <c r="Z35" i="15"/>
  <c r="AV35" i="15" s="1"/>
  <c r="Z35" i="17"/>
  <c r="AV35" i="17" s="1"/>
  <c r="AS66" i="17"/>
  <c r="BO23" i="17"/>
  <c r="BO66" i="17" s="1"/>
  <c r="AR66" i="15"/>
  <c r="BN23" i="15"/>
  <c r="BN66" i="15" s="1"/>
  <c r="Z12" i="15"/>
  <c r="AV12" i="15" s="1"/>
  <c r="Z12" i="17"/>
  <c r="AV12" i="17" s="1"/>
  <c r="Z27" i="15"/>
  <c r="AV27" i="15" s="1"/>
  <c r="BQ27" i="15" s="1"/>
  <c r="Z27" i="17"/>
  <c r="AV27" i="17" s="1"/>
  <c r="BQ27" i="17" s="1"/>
  <c r="CM27" i="5"/>
  <c r="Z34" i="17"/>
  <c r="AV34" i="17" s="1"/>
  <c r="Z34" i="15"/>
  <c r="AV34" i="15" s="1"/>
  <c r="AV7" i="18"/>
  <c r="AX13" i="17"/>
  <c r="Z25" i="17"/>
  <c r="AV25" i="17" s="1"/>
  <c r="Z25" i="15"/>
  <c r="AV25" i="15" s="1"/>
  <c r="Z11" i="15"/>
  <c r="AV11" i="15" s="1"/>
  <c r="Z11" i="17"/>
  <c r="AV11" i="17" s="1"/>
  <c r="Z17" i="17"/>
  <c r="AV17" i="17" s="1"/>
  <c r="Z17" i="15"/>
  <c r="AV17" i="15" s="1"/>
  <c r="Z18" i="17"/>
  <c r="AV18" i="17" s="1"/>
  <c r="Z18" i="15"/>
  <c r="AV18" i="15" s="1"/>
  <c r="Z9" i="17"/>
  <c r="AV9" i="17" s="1"/>
  <c r="Z9" i="15"/>
  <c r="AV9" i="15" s="1"/>
  <c r="Z29" i="17"/>
  <c r="AV29" i="17" s="1"/>
  <c r="Z29" i="15"/>
  <c r="AV29" i="15" s="1"/>
  <c r="Z36" i="17"/>
  <c r="AV36" i="17" s="1"/>
  <c r="Z31" i="15"/>
  <c r="AV31" i="15" s="1"/>
  <c r="Z31" i="17"/>
  <c r="AV31" i="17" s="1"/>
  <c r="Z33" i="15"/>
  <c r="AV33" i="15" s="1"/>
  <c r="Z33" i="17"/>
  <c r="AV33" i="17" s="1"/>
  <c r="AO66" i="17"/>
  <c r="BK23" i="17"/>
  <c r="BK66" i="17" s="1"/>
  <c r="BI23" i="17"/>
  <c r="BI66" i="17" s="1"/>
  <c r="AM66" i="17"/>
  <c r="BN23" i="17"/>
  <c r="BN66" i="17" s="1"/>
  <c r="AR66" i="17"/>
  <c r="AN66" i="15"/>
  <c r="BJ23" i="15"/>
  <c r="BJ66" i="15" s="1"/>
  <c r="F60" i="9" l="1"/>
  <c r="F61" i="9"/>
  <c r="Z21" i="17"/>
  <c r="AV21" i="17" s="1"/>
  <c r="Z21" i="15"/>
  <c r="AV21" i="15" s="1"/>
  <c r="BQ7" i="18"/>
  <c r="Z7" i="17" l="1"/>
  <c r="Z7" i="15"/>
  <c r="AA21" i="15"/>
  <c r="AW21" i="15" s="1"/>
  <c r="AA21" i="17"/>
  <c r="AW21" i="17" s="1"/>
  <c r="CC66" i="5" l="1"/>
  <c r="BG66" i="5"/>
  <c r="AK21" i="17"/>
  <c r="AK21" i="15"/>
  <c r="AV7" i="15"/>
  <c r="AV7" i="17"/>
  <c r="AK66" i="15" l="1"/>
  <c r="BG21" i="15"/>
  <c r="AL21" i="15"/>
  <c r="AL21" i="17"/>
  <c r="BH66" i="5"/>
  <c r="BG21" i="17"/>
  <c r="AK66" i="17"/>
  <c r="BH21" i="15" l="1"/>
  <c r="BH66" i="15" s="1"/>
  <c r="AL66" i="15"/>
  <c r="BG66" i="15"/>
  <c r="BH21" i="17"/>
  <c r="BH66" i="17" s="1"/>
  <c r="AL66" i="17"/>
  <c r="BG66" i="17"/>
  <c r="CM21" i="5"/>
  <c r="CD66" i="5"/>
  <c r="F54" i="9" l="1"/>
  <c r="BQ21" i="17"/>
  <c r="BQ21" i="15"/>
  <c r="Z42" i="14"/>
  <c r="AV42" i="14" s="1"/>
  <c r="Z30" i="14"/>
  <c r="AV30" i="14" s="1"/>
  <c r="Z66" i="13"/>
  <c r="Z41" i="14"/>
  <c r="AV41" i="14" s="1"/>
  <c r="AI51" i="14"/>
  <c r="BE51" i="14" s="1"/>
  <c r="BQ51" i="14" s="1"/>
  <c r="I84" i="9"/>
  <c r="Z30" i="18" l="1"/>
  <c r="AV30" i="18" s="1"/>
  <c r="Z66" i="14"/>
  <c r="CO66" i="5"/>
  <c r="AV66" i="13"/>
  <c r="Z41" i="18"/>
  <c r="AV41" i="18" s="1"/>
  <c r="AI51" i="18"/>
  <c r="BE51" i="18" s="1"/>
  <c r="BQ51" i="18" s="1"/>
  <c r="Z42" i="18"/>
  <c r="AV42" i="18" s="1"/>
  <c r="Z66" i="18" l="1"/>
  <c r="Z30" i="17"/>
  <c r="Z30" i="15"/>
  <c r="AV66" i="5"/>
  <c r="AV66" i="14"/>
  <c r="AV30" i="15" l="1"/>
  <c r="AV66" i="15" s="1"/>
  <c r="AV68" i="14" s="1"/>
  <c r="Z66" i="15"/>
  <c r="AV66" i="18"/>
  <c r="BR66" i="5"/>
  <c r="AV30" i="17"/>
  <c r="AV66" i="17" s="1"/>
  <c r="Z66" i="17"/>
  <c r="AI30" i="14" l="1"/>
  <c r="BE30" i="14" s="1"/>
  <c r="BQ30" i="14" s="1"/>
  <c r="AI42" i="14"/>
  <c r="BE42" i="14" s="1"/>
  <c r="BQ42" i="14" s="1"/>
  <c r="I75" i="9"/>
  <c r="I63" i="9"/>
  <c r="AI41" i="14" l="1"/>
  <c r="BE41" i="14" s="1"/>
  <c r="BQ41" i="14" s="1"/>
  <c r="AI42" i="18"/>
  <c r="BE42" i="18" s="1"/>
  <c r="BQ42" i="18" s="1"/>
  <c r="AI66" i="13"/>
  <c r="BE66" i="13"/>
  <c r="AI30" i="18"/>
  <c r="BE30" i="18" s="1"/>
  <c r="BQ30" i="18" s="1"/>
  <c r="I74" i="9"/>
  <c r="AI66" i="14" l="1"/>
  <c r="F84" i="9"/>
  <c r="F75" i="9"/>
  <c r="AI30" i="17"/>
  <c r="BE30" i="17" s="1"/>
  <c r="BQ30" i="17" s="1"/>
  <c r="CM30" i="5"/>
  <c r="AI30" i="15"/>
  <c r="BE30" i="15" s="1"/>
  <c r="BQ30" i="15" s="1"/>
  <c r="AI41" i="18"/>
  <c r="BE41" i="18" s="1"/>
  <c r="BQ41" i="18" s="1"/>
  <c r="F63" i="9" l="1"/>
  <c r="BE66" i="14"/>
  <c r="AI66" i="18"/>
  <c r="F74" i="9"/>
  <c r="BE66" i="18"/>
  <c r="I56" i="9" l="1"/>
  <c r="I46" i="9"/>
  <c r="AJ50" i="14"/>
  <c r="BF50" i="14" s="1"/>
  <c r="BQ50" i="14" s="1"/>
  <c r="I87" i="9"/>
  <c r="I85" i="9"/>
  <c r="I83" i="9"/>
  <c r="AI13" i="15" l="1"/>
  <c r="BE13" i="15" s="1"/>
  <c r="AI13" i="17"/>
  <c r="BE13" i="17" s="1"/>
  <c r="AJ13" i="17"/>
  <c r="BF13" i="17" s="1"/>
  <c r="AJ13" i="15"/>
  <c r="BF13" i="15" s="1"/>
  <c r="AJ50" i="18"/>
  <c r="BF50" i="18" s="1"/>
  <c r="BQ50" i="18" s="1"/>
  <c r="AI23" i="15"/>
  <c r="BE23" i="15" s="1"/>
  <c r="AI23" i="17"/>
  <c r="BE23" i="17" s="1"/>
  <c r="AJ23" i="17"/>
  <c r="BF23" i="17" s="1"/>
  <c r="AJ23" i="15"/>
  <c r="BF23" i="15" s="1"/>
  <c r="BQ13" i="17" l="1"/>
  <c r="BQ23" i="17"/>
  <c r="F83" i="9"/>
  <c r="F87" i="9"/>
  <c r="F86" i="9"/>
  <c r="BQ23" i="15"/>
  <c r="CM13" i="5"/>
  <c r="F85" i="9"/>
  <c r="CM23" i="5"/>
  <c r="BQ13" i="15"/>
  <c r="F46" i="9" l="1"/>
  <c r="F56" i="9"/>
  <c r="AJ47" i="14"/>
  <c r="BF47" i="14" s="1"/>
  <c r="BQ47" i="14" s="1"/>
  <c r="I59" i="9"/>
  <c r="AJ37" i="14"/>
  <c r="BF37" i="14" s="1"/>
  <c r="BQ37" i="14" s="1"/>
  <c r="AJ43" i="14"/>
  <c r="BF43" i="14" s="1"/>
  <c r="BQ43" i="14" s="1"/>
  <c r="AJ33" i="14"/>
  <c r="BF33" i="14" s="1"/>
  <c r="BQ33" i="14" s="1"/>
  <c r="I70" i="9"/>
  <c r="I76" i="9"/>
  <c r="I80" i="9"/>
  <c r="I66" i="9"/>
  <c r="I49" i="9" l="1"/>
  <c r="I44" i="9"/>
  <c r="AJ39" i="14"/>
  <c r="BF39" i="14" s="1"/>
  <c r="BQ39" i="14" s="1"/>
  <c r="AJ33" i="18"/>
  <c r="BF33" i="18" s="1"/>
  <c r="BQ33" i="18" s="1"/>
  <c r="AJ45" i="14"/>
  <c r="BF45" i="14" s="1"/>
  <c r="BQ45" i="14" s="1"/>
  <c r="AJ40" i="14"/>
  <c r="BF40" i="14" s="1"/>
  <c r="BQ40" i="14" s="1"/>
  <c r="AJ47" i="18"/>
  <c r="BF47" i="18" s="1"/>
  <c r="BQ47" i="18" s="1"/>
  <c r="AJ46" i="14"/>
  <c r="BF46" i="14" s="1"/>
  <c r="BQ46" i="14" s="1"/>
  <c r="AJ43" i="18"/>
  <c r="BF43" i="18" s="1"/>
  <c r="BQ43" i="18" s="1"/>
  <c r="AJ31" i="14"/>
  <c r="BF31" i="14" s="1"/>
  <c r="BQ31" i="14" s="1"/>
  <c r="AJ66" i="13"/>
  <c r="AJ49" i="14"/>
  <c r="BF49" i="14" s="1"/>
  <c r="BQ49" i="14" s="1"/>
  <c r="AJ35" i="14"/>
  <c r="BF35" i="14" s="1"/>
  <c r="BQ35" i="14" s="1"/>
  <c r="AJ48" i="14"/>
  <c r="BF48" i="14" s="1"/>
  <c r="BQ48" i="14" s="1"/>
  <c r="AJ36" i="14"/>
  <c r="BF36" i="14" s="1"/>
  <c r="BQ36" i="14" s="1"/>
  <c r="AJ38" i="14"/>
  <c r="BF38" i="14" s="1"/>
  <c r="BQ38" i="14" s="1"/>
  <c r="AJ32" i="14"/>
  <c r="BF32" i="14" s="1"/>
  <c r="BQ32" i="14" s="1"/>
  <c r="AJ34" i="14"/>
  <c r="BF34" i="14" s="1"/>
  <c r="BQ34" i="14" s="1"/>
  <c r="AJ44" i="14"/>
  <c r="BF44" i="14" s="1"/>
  <c r="BQ44" i="14" s="1"/>
  <c r="AJ37" i="18"/>
  <c r="BF37" i="18" s="1"/>
  <c r="BQ37" i="18" s="1"/>
  <c r="I53" i="9"/>
  <c r="I82" i="9"/>
  <c r="I81" i="9"/>
  <c r="I71" i="9"/>
  <c r="I68" i="9"/>
  <c r="C26" i="9" s="1"/>
  <c r="I69" i="9"/>
  <c r="I64" i="9"/>
  <c r="I67" i="9"/>
  <c r="I73" i="9"/>
  <c r="I78" i="9"/>
  <c r="I72" i="9"/>
  <c r="I79" i="9"/>
  <c r="I65" i="9"/>
  <c r="I77" i="9"/>
  <c r="C24" i="9" l="1"/>
  <c r="I41" i="9"/>
  <c r="F70" i="9"/>
  <c r="AJ38" i="18"/>
  <c r="BF38" i="18" s="1"/>
  <c r="BQ38" i="18" s="1"/>
  <c r="AJ48" i="18"/>
  <c r="BF48" i="18" s="1"/>
  <c r="BQ48" i="18" s="1"/>
  <c r="AJ35" i="18"/>
  <c r="BF35" i="18" s="1"/>
  <c r="BQ35" i="18" s="1"/>
  <c r="AI20" i="17"/>
  <c r="BE20" i="17" s="1"/>
  <c r="AI20" i="15"/>
  <c r="BE20" i="15" s="1"/>
  <c r="AJ31" i="18"/>
  <c r="BF31" i="18" s="1"/>
  <c r="BQ31" i="18" s="1"/>
  <c r="AJ66" i="14"/>
  <c r="AJ46" i="18"/>
  <c r="BF46" i="18" s="1"/>
  <c r="BQ46" i="18" s="1"/>
  <c r="AJ11" i="15"/>
  <c r="BF11" i="15" s="1"/>
  <c r="AJ11" i="17"/>
  <c r="BF11" i="17" s="1"/>
  <c r="I42" i="9"/>
  <c r="I43" i="9"/>
  <c r="AJ16" i="17"/>
  <c r="BF16" i="17" s="1"/>
  <c r="AJ16" i="15"/>
  <c r="BF16" i="15" s="1"/>
  <c r="AJ40" i="18"/>
  <c r="BF40" i="18" s="1"/>
  <c r="BQ40" i="18" s="1"/>
  <c r="AI11" i="15"/>
  <c r="BE11" i="15" s="1"/>
  <c r="AI11" i="17"/>
  <c r="BE11" i="17" s="1"/>
  <c r="AJ39" i="18"/>
  <c r="BF39" i="18" s="1"/>
  <c r="BQ39" i="18" s="1"/>
  <c r="I52" i="9"/>
  <c r="I47" i="9"/>
  <c r="F76" i="9"/>
  <c r="AJ34" i="18"/>
  <c r="BF34" i="18" s="1"/>
  <c r="BQ34" i="18" s="1"/>
  <c r="AJ20" i="15"/>
  <c r="BF20" i="15" s="1"/>
  <c r="AJ20" i="17"/>
  <c r="BF20" i="17" s="1"/>
  <c r="AJ45" i="18"/>
  <c r="BF45" i="18" s="1"/>
  <c r="BQ45" i="18" s="1"/>
  <c r="AJ26" i="15"/>
  <c r="BF26" i="15" s="1"/>
  <c r="AJ26" i="17"/>
  <c r="BF26" i="17" s="1"/>
  <c r="F80" i="9"/>
  <c r="C25" i="9"/>
  <c r="I51" i="9"/>
  <c r="AJ33" i="15"/>
  <c r="BF33" i="15" s="1"/>
  <c r="BQ33" i="15" s="1"/>
  <c r="AJ33" i="17"/>
  <c r="BF33" i="17" s="1"/>
  <c r="BQ33" i="17" s="1"/>
  <c r="CM33" i="5"/>
  <c r="AJ44" i="18"/>
  <c r="BF44" i="18" s="1"/>
  <c r="BQ44" i="18" s="1"/>
  <c r="AJ32" i="18"/>
  <c r="BF32" i="18" s="1"/>
  <c r="BQ32" i="18" s="1"/>
  <c r="AJ36" i="18"/>
  <c r="BF36" i="18" s="1"/>
  <c r="BQ36" i="18" s="1"/>
  <c r="AI16" i="17"/>
  <c r="BE16" i="17" s="1"/>
  <c r="BQ16" i="17" s="1"/>
  <c r="AI16" i="15"/>
  <c r="BE16" i="15" s="1"/>
  <c r="CM16" i="5"/>
  <c r="AJ49" i="18"/>
  <c r="BF49" i="18" s="1"/>
  <c r="BQ49" i="18" s="1"/>
  <c r="BF66" i="13"/>
  <c r="BQ66" i="13"/>
  <c r="AI26" i="17"/>
  <c r="BE26" i="17" s="1"/>
  <c r="AI26" i="15"/>
  <c r="BE26" i="15" s="1"/>
  <c r="F49" i="9" l="1"/>
  <c r="F66" i="9"/>
  <c r="D47" i="2"/>
  <c r="D60" i="2" s="1"/>
  <c r="D73" i="2" s="1"/>
  <c r="D74" i="2" s="1"/>
  <c r="D75" i="2" s="1"/>
  <c r="E71" i="2" s="1"/>
  <c r="E72" i="2" s="1"/>
  <c r="BQ16" i="15"/>
  <c r="BQ11" i="17"/>
  <c r="CM20" i="5"/>
  <c r="CM11" i="5"/>
  <c r="I57" i="9"/>
  <c r="I58" i="9"/>
  <c r="I62" i="9"/>
  <c r="I50" i="9"/>
  <c r="I45" i="9"/>
  <c r="AJ36" i="17"/>
  <c r="BF36" i="17" s="1"/>
  <c r="BQ36" i="17" s="1"/>
  <c r="CM36" i="5"/>
  <c r="F69" i="9" s="1"/>
  <c r="CM31" i="5"/>
  <c r="AJ31" i="15"/>
  <c r="BF31" i="15" s="1"/>
  <c r="BQ31" i="15" s="1"/>
  <c r="AJ31" i="17"/>
  <c r="BF31" i="17" s="1"/>
  <c r="BQ31" i="17" s="1"/>
  <c r="BF66" i="14"/>
  <c r="BQ66" i="14"/>
  <c r="D34" i="23" s="1"/>
  <c r="D49" i="23" s="1"/>
  <c r="D62" i="23" s="1"/>
  <c r="D63" i="23" s="1"/>
  <c r="D64" i="23" s="1"/>
  <c r="E60" i="23" s="1"/>
  <c r="E61" i="23" s="1"/>
  <c r="F77" i="9"/>
  <c r="F78" i="9"/>
  <c r="AJ34" i="15"/>
  <c r="BF34" i="15" s="1"/>
  <c r="BQ34" i="15" s="1"/>
  <c r="AJ34" i="17"/>
  <c r="BF34" i="17" s="1"/>
  <c r="BQ34" i="17" s="1"/>
  <c r="CM34" i="5"/>
  <c r="I55" i="9"/>
  <c r="AI9" i="17"/>
  <c r="BE9" i="17" s="1"/>
  <c r="AI9" i="15"/>
  <c r="BE9" i="15" s="1"/>
  <c r="AJ66" i="18"/>
  <c r="F79" i="9"/>
  <c r="AJ32" i="17"/>
  <c r="BF32" i="17" s="1"/>
  <c r="BQ32" i="17" s="1"/>
  <c r="AJ32" i="15"/>
  <c r="BF32" i="15" s="1"/>
  <c r="BQ32" i="15" s="1"/>
  <c r="CM32" i="5"/>
  <c r="F82" i="9"/>
  <c r="F81" i="9"/>
  <c r="F72" i="9"/>
  <c r="F71" i="9"/>
  <c r="AI8" i="17"/>
  <c r="BE8" i="17" s="1"/>
  <c r="AI8" i="15"/>
  <c r="BE8" i="15" s="1"/>
  <c r="BQ11" i="15"/>
  <c r="BQ20" i="15"/>
  <c r="AJ9" i="17"/>
  <c r="BF9" i="17" s="1"/>
  <c r="AJ9" i="15"/>
  <c r="BF9" i="15" s="1"/>
  <c r="F73" i="9"/>
  <c r="AJ35" i="17"/>
  <c r="BF35" i="17" s="1"/>
  <c r="BQ35" i="17" s="1"/>
  <c r="CM35" i="5"/>
  <c r="AJ35" i="15"/>
  <c r="BF35" i="15" s="1"/>
  <c r="BQ35" i="15" s="1"/>
  <c r="CY66" i="5"/>
  <c r="AJ8" i="15"/>
  <c r="BF8" i="15" s="1"/>
  <c r="AJ8" i="17"/>
  <c r="BF8" i="17" s="1"/>
  <c r="BQ20" i="17"/>
  <c r="I48" i="9"/>
  <c r="F67" i="9" l="1"/>
  <c r="F65" i="9"/>
  <c r="F64" i="9"/>
  <c r="F44" i="9"/>
  <c r="F68" i="9"/>
  <c r="F53" i="9"/>
  <c r="D26" i="9"/>
  <c r="E26" i="9" s="1"/>
  <c r="BQ8" i="17"/>
  <c r="C23" i="9"/>
  <c r="D25" i="9"/>
  <c r="E25" i="9" s="1"/>
  <c r="AI22" i="15"/>
  <c r="BE22" i="15" s="1"/>
  <c r="AI22" i="17"/>
  <c r="BE22" i="17" s="1"/>
  <c r="AJ25" i="15"/>
  <c r="BF25" i="15" s="1"/>
  <c r="AJ25" i="17"/>
  <c r="BF25" i="17" s="1"/>
  <c r="AI29" i="15"/>
  <c r="BE29" i="15" s="1"/>
  <c r="AI29" i="17"/>
  <c r="BE29" i="17" s="1"/>
  <c r="AJ24" i="17"/>
  <c r="BF24" i="17" s="1"/>
  <c r="AJ24" i="15"/>
  <c r="BF24" i="15" s="1"/>
  <c r="CX66" i="5"/>
  <c r="AJ15" i="15"/>
  <c r="BF15" i="15" s="1"/>
  <c r="AJ15" i="17"/>
  <c r="BF15" i="17" s="1"/>
  <c r="AI10" i="17"/>
  <c r="BE10" i="17" s="1"/>
  <c r="AI10" i="15"/>
  <c r="BE10" i="15" s="1"/>
  <c r="CM9" i="5"/>
  <c r="AJ17" i="15"/>
  <c r="BF17" i="15" s="1"/>
  <c r="AJ17" i="17"/>
  <c r="BF17" i="17" s="1"/>
  <c r="AJ14" i="17"/>
  <c r="BF14" i="17" s="1"/>
  <c r="AJ14" i="15"/>
  <c r="BF14" i="15" s="1"/>
  <c r="AI15" i="15"/>
  <c r="BE15" i="15" s="1"/>
  <c r="AI15" i="17"/>
  <c r="BE15" i="17" s="1"/>
  <c r="AJ10" i="17"/>
  <c r="BF10" i="17" s="1"/>
  <c r="AJ10" i="15"/>
  <c r="BF10" i="15" s="1"/>
  <c r="AI17" i="17"/>
  <c r="BE17" i="17" s="1"/>
  <c r="AI17" i="15"/>
  <c r="BE17" i="15" s="1"/>
  <c r="AI25" i="15"/>
  <c r="BE25" i="15" s="1"/>
  <c r="AI25" i="17"/>
  <c r="BE25" i="17" s="1"/>
  <c r="AJ29" i="15"/>
  <c r="BF29" i="15" s="1"/>
  <c r="AJ29" i="17"/>
  <c r="BF29" i="17" s="1"/>
  <c r="AI24" i="17"/>
  <c r="BE24" i="17" s="1"/>
  <c r="AI24" i="15"/>
  <c r="BE24" i="15" s="1"/>
  <c r="AJ19" i="17"/>
  <c r="BF19" i="17" s="1"/>
  <c r="AJ19" i="15"/>
  <c r="BF19" i="15" s="1"/>
  <c r="CM8" i="5"/>
  <c r="AI18" i="17"/>
  <c r="BE18" i="17" s="1"/>
  <c r="AI18" i="15"/>
  <c r="BE18" i="15" s="1"/>
  <c r="BQ9" i="15"/>
  <c r="AJ7" i="15"/>
  <c r="BF66" i="5"/>
  <c r="AJ7" i="17"/>
  <c r="D24" i="9"/>
  <c r="E24" i="9" s="1"/>
  <c r="AI12" i="15"/>
  <c r="BE12" i="15" s="1"/>
  <c r="AI12" i="17"/>
  <c r="BE12" i="17" s="1"/>
  <c r="AJ22" i="15"/>
  <c r="BF22" i="15" s="1"/>
  <c r="AJ22" i="17"/>
  <c r="BF22" i="17" s="1"/>
  <c r="CM14" i="5"/>
  <c r="AI14" i="15"/>
  <c r="BE14" i="15" s="1"/>
  <c r="AI14" i="17"/>
  <c r="BE14" i="17" s="1"/>
  <c r="CM19" i="5"/>
  <c r="AI19" i="15"/>
  <c r="BE19" i="15" s="1"/>
  <c r="AI19" i="17"/>
  <c r="BE19" i="17" s="1"/>
  <c r="BQ8" i="15"/>
  <c r="AJ18" i="17"/>
  <c r="BF18" i="17" s="1"/>
  <c r="AJ18" i="15"/>
  <c r="BF18" i="15" s="1"/>
  <c r="BF66" i="18"/>
  <c r="BQ66" i="18"/>
  <c r="D32" i="27" s="1"/>
  <c r="D45" i="27" s="1"/>
  <c r="D58" i="27" s="1"/>
  <c r="D59" i="27" s="1"/>
  <c r="D60" i="27" s="1"/>
  <c r="E56" i="27" s="1"/>
  <c r="E57" i="27" s="1"/>
  <c r="BQ9" i="17"/>
  <c r="BE66" i="5"/>
  <c r="AI7" i="17"/>
  <c r="AI7" i="15"/>
  <c r="AJ12" i="15"/>
  <c r="BF12" i="15" s="1"/>
  <c r="AJ12" i="17"/>
  <c r="BF12" i="17" s="1"/>
  <c r="F47" i="9" l="1"/>
  <c r="F42" i="9"/>
  <c r="F41" i="9"/>
  <c r="F52" i="9"/>
  <c r="BQ14" i="17"/>
  <c r="BQ19" i="17"/>
  <c r="BQ15" i="17"/>
  <c r="BQ17" i="15"/>
  <c r="BQ18" i="17"/>
  <c r="CM17" i="5"/>
  <c r="CM15" i="5"/>
  <c r="CA66" i="5"/>
  <c r="BQ14" i="15"/>
  <c r="AJ66" i="15"/>
  <c r="BF7" i="15"/>
  <c r="BF66" i="15" s="1"/>
  <c r="CM18" i="5"/>
  <c r="BQ17" i="17"/>
  <c r="CM10" i="5"/>
  <c r="I40" i="9"/>
  <c r="DJ66" i="5"/>
  <c r="BQ10" i="17"/>
  <c r="AI66" i="15"/>
  <c r="BE7" i="15"/>
  <c r="BE66" i="15" s="1"/>
  <c r="BQ19" i="15"/>
  <c r="BQ12" i="17"/>
  <c r="CB66" i="5"/>
  <c r="BQ15" i="15"/>
  <c r="CM12" i="5"/>
  <c r="AI66" i="17"/>
  <c r="BE7" i="17"/>
  <c r="BE66" i="17" s="1"/>
  <c r="BQ12" i="15"/>
  <c r="AJ66" i="17"/>
  <c r="BF7" i="17"/>
  <c r="BF66" i="17" s="1"/>
  <c r="BQ18" i="15"/>
  <c r="BQ10" i="15"/>
  <c r="C11" i="9" l="1"/>
  <c r="C12" i="9"/>
  <c r="F43" i="9"/>
  <c r="F50" i="9"/>
  <c r="F45" i="9"/>
  <c r="F51" i="9"/>
  <c r="F48" i="9"/>
  <c r="I99" i="9"/>
  <c r="C22" i="9"/>
  <c r="C35" i="9" s="1"/>
  <c r="C34" i="9" l="1"/>
  <c r="AE29" i="17" l="1"/>
  <c r="BA29" i="17" s="1"/>
  <c r="AE29" i="15"/>
  <c r="BA29" i="15" s="1"/>
  <c r="AE24" i="17"/>
  <c r="AE24" i="15"/>
  <c r="BA66" i="5"/>
  <c r="AE26" i="15"/>
  <c r="BA26" i="15" s="1"/>
  <c r="AE26" i="17"/>
  <c r="BA26" i="17" s="1"/>
  <c r="AE25" i="15"/>
  <c r="BA25" i="15" s="1"/>
  <c r="AE25" i="17"/>
  <c r="BA25" i="17" s="1"/>
  <c r="BW66" i="5" l="1"/>
  <c r="AB25" i="17"/>
  <c r="AX25" i="17" s="1"/>
  <c r="BQ25" i="17" s="1"/>
  <c r="CM25" i="5"/>
  <c r="AB25" i="15"/>
  <c r="AX25" i="15" s="1"/>
  <c r="BQ25" i="15" s="1"/>
  <c r="AB26" i="17"/>
  <c r="AX26" i="17" s="1"/>
  <c r="BQ26" i="17" s="1"/>
  <c r="CM26" i="5"/>
  <c r="AB26" i="15"/>
  <c r="AX26" i="15" s="1"/>
  <c r="BQ26" i="15" s="1"/>
  <c r="AB24" i="17"/>
  <c r="AB24" i="15"/>
  <c r="AX66" i="5"/>
  <c r="AA22" i="15"/>
  <c r="AW22" i="15" s="1"/>
  <c r="BQ22" i="15" s="1"/>
  <c r="CM22" i="5"/>
  <c r="AA22" i="17"/>
  <c r="AW22" i="17" s="1"/>
  <c r="BQ22" i="17" s="1"/>
  <c r="AE66" i="15"/>
  <c r="BA24" i="15"/>
  <c r="BA66" i="15" s="1"/>
  <c r="AB29" i="15"/>
  <c r="AX29" i="15" s="1"/>
  <c r="BQ29" i="15" s="1"/>
  <c r="AB29" i="17"/>
  <c r="AX29" i="17" s="1"/>
  <c r="BQ29" i="17" s="1"/>
  <c r="CM29" i="5"/>
  <c r="AA7" i="17"/>
  <c r="AW66" i="5"/>
  <c r="AA7" i="15"/>
  <c r="BA24" i="17"/>
  <c r="BA66" i="17" s="1"/>
  <c r="AE66" i="17"/>
  <c r="F62" i="9" l="1"/>
  <c r="F59" i="9"/>
  <c r="F55" i="9"/>
  <c r="F58" i="9"/>
  <c r="AW7" i="17"/>
  <c r="AA66" i="17"/>
  <c r="AX24" i="17"/>
  <c r="AB66" i="17"/>
  <c r="AA66" i="15"/>
  <c r="AW7" i="15"/>
  <c r="BT66" i="5"/>
  <c r="CM24" i="5"/>
  <c r="BS66" i="5"/>
  <c r="CM7" i="5"/>
  <c r="AX24" i="15"/>
  <c r="AB66" i="15"/>
  <c r="F57" i="9" l="1"/>
  <c r="D23" i="9" s="1"/>
  <c r="E23" i="9" s="1"/>
  <c r="AX66" i="15"/>
  <c r="BQ24" i="15"/>
  <c r="AX66" i="17"/>
  <c r="BQ24" i="17"/>
  <c r="F40" i="9"/>
  <c r="CM66" i="5"/>
  <c r="AW66" i="15"/>
  <c r="BQ7" i="15"/>
  <c r="AW66" i="17"/>
  <c r="BQ7" i="17"/>
  <c r="BQ66" i="15" l="1"/>
  <c r="C9" i="2"/>
  <c r="BQ66" i="17"/>
  <c r="F99" i="9"/>
  <c r="D22" i="9"/>
  <c r="E22" i="9" s="1"/>
  <c r="C9" i="23" l="1"/>
  <c r="E34" i="23"/>
  <c r="E49" i="23" s="1"/>
  <c r="E47" i="2"/>
  <c r="E60" i="2" s="1"/>
  <c r="C9" i="27"/>
  <c r="D35" i="9"/>
  <c r="D34" i="9"/>
  <c r="E62" i="23" l="1"/>
  <c r="E63" i="23" s="1"/>
  <c r="E64" i="23" s="1"/>
  <c r="C15" i="23"/>
  <c r="C17" i="23" s="1"/>
  <c r="C10" i="23" s="1"/>
  <c r="C11" i="23" s="1"/>
  <c r="E32" i="27"/>
  <c r="E45" i="27" s="1"/>
  <c r="E73" i="2"/>
  <c r="E74" i="2" s="1"/>
  <c r="E75" i="2" s="1"/>
  <c r="C28" i="2"/>
  <c r="C32" i="2" s="1"/>
  <c r="C17" i="2" s="1"/>
  <c r="C13" i="9" s="1"/>
  <c r="C16" i="9" s="1"/>
  <c r="C15" i="27" l="1"/>
  <c r="C17" i="27" s="1"/>
  <c r="C10" i="27" s="1"/>
  <c r="C11" i="27" s="1"/>
  <c r="E58" i="27"/>
  <c r="E59" i="27" s="1"/>
  <c r="E60" i="27" s="1"/>
  <c r="C18" i="2"/>
  <c r="C10" i="2" s="1"/>
  <c r="C11" i="2" s="1"/>
  <c r="F26" i="9"/>
  <c r="F25" i="9"/>
  <c r="F24" i="9"/>
  <c r="F23" i="9"/>
  <c r="F22" i="9"/>
</calcChain>
</file>

<file path=xl/comments1.xml><?xml version="1.0" encoding="utf-8"?>
<comments xmlns="http://schemas.openxmlformats.org/spreadsheetml/2006/main">
  <authors>
    <author>Author</author>
  </authors>
  <commentList>
    <comment ref="F127" authorId="0">
      <text>
        <r>
          <rPr>
            <b/>
            <sz val="9"/>
            <color indexed="81"/>
            <rFont val="Tahoma"/>
            <family val="2"/>
          </rPr>
          <t>Author:</t>
        </r>
        <r>
          <rPr>
            <sz val="9"/>
            <color indexed="81"/>
            <rFont val="Tahoma"/>
            <family val="2"/>
          </rPr>
          <t xml:space="preserve">
Contact ESCV for 2016-17 values</t>
        </r>
      </text>
    </comment>
  </commentList>
</comments>
</file>

<file path=xl/comments2.xml><?xml version="1.0" encoding="utf-8"?>
<comments xmlns="http://schemas.openxmlformats.org/spreadsheetml/2006/main">
  <authors>
    <author>Author</author>
  </authors>
  <commentList>
    <comment ref="E8" authorId="0">
      <text>
        <r>
          <rPr>
            <b/>
            <sz val="9"/>
            <color indexed="81"/>
            <rFont val="Tahoma"/>
            <family val="2"/>
          </rPr>
          <t>Author:</t>
        </r>
        <r>
          <rPr>
            <sz val="9"/>
            <color indexed="81"/>
            <rFont val="Tahoma"/>
            <family val="2"/>
          </rPr>
          <t xml:space="preserve">
Previous approved Tariff Model</t>
        </r>
      </text>
    </comment>
    <comment ref="D36" authorId="0">
      <text>
        <r>
          <rPr>
            <b/>
            <sz val="9"/>
            <color indexed="81"/>
            <rFont val="Tahoma"/>
            <family val="2"/>
          </rPr>
          <t>AER:</t>
        </r>
        <r>
          <rPr>
            <sz val="9"/>
            <color indexed="81"/>
            <rFont val="Tahoma"/>
            <family val="2"/>
          </rPr>
          <t xml:space="preserve">
Taken from previous year's pricing proposal.</t>
        </r>
      </text>
    </comment>
    <comment ref="D49" authorId="0">
      <text>
        <r>
          <rPr>
            <b/>
            <sz val="9"/>
            <color indexed="81"/>
            <rFont val="Tahoma"/>
            <family val="2"/>
          </rPr>
          <t>AER:</t>
        </r>
        <r>
          <rPr>
            <sz val="9"/>
            <color indexed="81"/>
            <rFont val="Tahoma"/>
            <family val="2"/>
          </rPr>
          <t xml:space="preserve">
2016 Annual 
RIN</t>
        </r>
      </text>
    </comment>
    <comment ref="D53" authorId="0">
      <text>
        <r>
          <rPr>
            <b/>
            <sz val="9"/>
            <color indexed="81"/>
            <rFont val="Tahoma"/>
            <family val="2"/>
          </rPr>
          <t>Author:</t>
        </r>
        <r>
          <rPr>
            <sz val="9"/>
            <color indexed="81"/>
            <rFont val="Tahoma"/>
            <family val="2"/>
          </rPr>
          <t xml:space="preserve">
Previous approved Tariff model.</t>
        </r>
      </text>
    </comment>
    <comment ref="C80" authorId="0">
      <text>
        <r>
          <rPr>
            <b/>
            <sz val="9"/>
            <color indexed="81"/>
            <rFont val="Tahoma"/>
            <family val="2"/>
          </rPr>
          <t>Author:</t>
        </r>
        <r>
          <rPr>
            <sz val="9"/>
            <color indexed="81"/>
            <rFont val="Tahoma"/>
            <family val="2"/>
          </rPr>
          <t xml:space="preserve">
Previous approved tariff model.</t>
        </r>
      </text>
    </comment>
  </commentList>
</comments>
</file>

<file path=xl/comments3.xml><?xml version="1.0" encoding="utf-8"?>
<comments xmlns="http://schemas.openxmlformats.org/spreadsheetml/2006/main">
  <authors>
    <author>Author</author>
  </authors>
  <commentList>
    <comment ref="H15" authorId="0">
      <text>
        <r>
          <rPr>
            <b/>
            <sz val="9"/>
            <color indexed="81"/>
            <rFont val="Tahoma"/>
            <family val="2"/>
          </rPr>
          <t>Author:</t>
        </r>
        <r>
          <rPr>
            <sz val="9"/>
            <color indexed="81"/>
            <rFont val="Tahoma"/>
            <family val="2"/>
          </rPr>
          <t xml:space="preserve">
Changed formula so updated automatically.</t>
        </r>
      </text>
    </comment>
    <comment ref="H16" authorId="0">
      <text>
        <r>
          <rPr>
            <b/>
            <sz val="9"/>
            <color indexed="81"/>
            <rFont val="Tahoma"/>
            <family val="2"/>
          </rPr>
          <t>Author:</t>
        </r>
        <r>
          <rPr>
            <sz val="9"/>
            <color indexed="81"/>
            <rFont val="Tahoma"/>
            <family val="2"/>
          </rPr>
          <t xml:space="preserve">
Changed formula so updated automatically.</t>
        </r>
      </text>
    </comment>
    <comment ref="H21" authorId="0">
      <text>
        <r>
          <rPr>
            <b/>
            <sz val="9"/>
            <color indexed="81"/>
            <rFont val="Tahoma"/>
            <family val="2"/>
          </rPr>
          <t>AER:</t>
        </r>
        <r>
          <rPr>
            <sz val="9"/>
            <color indexed="81"/>
            <rFont val="Tahoma"/>
            <family val="2"/>
          </rPr>
          <t xml:space="preserve">
Previous approved tariff model.</t>
        </r>
      </text>
    </comment>
    <comment ref="H23" authorId="0">
      <text>
        <r>
          <rPr>
            <b/>
            <sz val="9"/>
            <color indexed="81"/>
            <rFont val="Tahoma"/>
            <family val="2"/>
          </rPr>
          <t>Author:</t>
        </r>
        <r>
          <rPr>
            <sz val="9"/>
            <color indexed="81"/>
            <rFont val="Tahoma"/>
            <family val="2"/>
          </rPr>
          <t xml:space="preserve">
Changed formula so updated automatically.</t>
        </r>
      </text>
    </comment>
    <comment ref="H24" authorId="0">
      <text>
        <r>
          <rPr>
            <b/>
            <sz val="9"/>
            <color indexed="81"/>
            <rFont val="Tahoma"/>
            <family val="2"/>
          </rPr>
          <t>Author:</t>
        </r>
        <r>
          <rPr>
            <sz val="9"/>
            <color indexed="81"/>
            <rFont val="Tahoma"/>
            <family val="2"/>
          </rPr>
          <t xml:space="preserve">
Changed formula so updated automatically.</t>
        </r>
      </text>
    </comment>
    <comment ref="H28" authorId="0">
      <text>
        <r>
          <rPr>
            <b/>
            <sz val="9"/>
            <color indexed="81"/>
            <rFont val="Tahoma"/>
            <family val="2"/>
          </rPr>
          <t>Author:</t>
        </r>
        <r>
          <rPr>
            <sz val="9"/>
            <color indexed="81"/>
            <rFont val="Tahoma"/>
            <family val="2"/>
          </rPr>
          <t xml:space="preserve">
Previous approved Tariff Model.</t>
        </r>
      </text>
    </comment>
    <comment ref="H30" authorId="0">
      <text>
        <r>
          <rPr>
            <b/>
            <sz val="9"/>
            <color indexed="81"/>
            <rFont val="Tahoma"/>
            <family val="2"/>
          </rPr>
          <t>Author:</t>
        </r>
        <r>
          <rPr>
            <sz val="9"/>
            <color indexed="81"/>
            <rFont val="Tahoma"/>
            <family val="2"/>
          </rPr>
          <t xml:space="preserve">
Changed formula so updated automatically.</t>
        </r>
      </text>
    </comment>
    <comment ref="H31" authorId="0">
      <text>
        <r>
          <rPr>
            <b/>
            <sz val="9"/>
            <color indexed="81"/>
            <rFont val="Tahoma"/>
            <family val="2"/>
          </rPr>
          <t>Author:</t>
        </r>
        <r>
          <rPr>
            <sz val="9"/>
            <color indexed="81"/>
            <rFont val="Tahoma"/>
            <family val="2"/>
          </rPr>
          <t xml:space="preserve">
Previous approved Tariff model</t>
        </r>
      </text>
    </comment>
    <comment ref="H35" authorId="0">
      <text>
        <r>
          <rPr>
            <b/>
            <sz val="9"/>
            <color indexed="81"/>
            <rFont val="Tahoma"/>
            <family val="2"/>
          </rPr>
          <t>Author:</t>
        </r>
        <r>
          <rPr>
            <sz val="9"/>
            <color indexed="81"/>
            <rFont val="Tahoma"/>
            <family val="2"/>
          </rPr>
          <t xml:space="preserve">
Changed formula so updated automatically.</t>
        </r>
      </text>
    </comment>
    <comment ref="C47" authorId="0">
      <text>
        <r>
          <rPr>
            <b/>
            <sz val="9"/>
            <color indexed="81"/>
            <rFont val="Tahoma"/>
            <family val="2"/>
          </rPr>
          <t>Author:</t>
        </r>
        <r>
          <rPr>
            <sz val="9"/>
            <color indexed="81"/>
            <rFont val="Tahoma"/>
            <family val="2"/>
          </rPr>
          <t xml:space="preserve">
2016 Annual RIN</t>
        </r>
      </text>
    </comment>
    <comment ref="C55" authorId="0">
      <text>
        <r>
          <rPr>
            <b/>
            <sz val="9"/>
            <color indexed="81"/>
            <rFont val="Tahoma"/>
            <family val="2"/>
          </rPr>
          <t>Author:</t>
        </r>
        <r>
          <rPr>
            <sz val="9"/>
            <color indexed="81"/>
            <rFont val="Tahoma"/>
            <family val="2"/>
          </rPr>
          <t xml:space="preserve">
Previous approved Tariff Model.</t>
        </r>
      </text>
    </comment>
  </commentList>
</comments>
</file>

<file path=xl/comments4.xml><?xml version="1.0" encoding="utf-8"?>
<comments xmlns="http://schemas.openxmlformats.org/spreadsheetml/2006/main">
  <authors>
    <author>Author</author>
  </authors>
  <commentList>
    <comment ref="B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comments5.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Approved tariff model</t>
        </r>
      </text>
    </comment>
  </commentList>
</comments>
</file>

<file path=xl/comments6.xml><?xml version="1.0" encoding="utf-8"?>
<comments xmlns="http://schemas.openxmlformats.org/spreadsheetml/2006/main">
  <authors>
    <author>Author</author>
  </authors>
  <commentList>
    <comment ref="C34" authorId="0">
      <text>
        <r>
          <rPr>
            <b/>
            <sz val="9"/>
            <color indexed="81"/>
            <rFont val="Tahoma"/>
            <family val="2"/>
          </rPr>
          <t>Author:</t>
        </r>
        <r>
          <rPr>
            <sz val="9"/>
            <color indexed="81"/>
            <rFont val="Tahoma"/>
            <family val="2"/>
          </rPr>
          <t xml:space="preserve">
2016 Annual RIN</t>
        </r>
      </text>
    </comment>
    <comment ref="C39" authorId="0">
      <text>
        <r>
          <rPr>
            <b/>
            <sz val="9"/>
            <color indexed="81"/>
            <rFont val="Tahoma"/>
            <family val="2"/>
          </rPr>
          <t>Author:</t>
        </r>
        <r>
          <rPr>
            <sz val="9"/>
            <color indexed="81"/>
            <rFont val="Tahoma"/>
            <family val="2"/>
          </rPr>
          <t xml:space="preserve">
Kt-1 from previous tariff model?</t>
        </r>
      </text>
    </comment>
    <comment ref="C42" authorId="0">
      <text>
        <r>
          <rPr>
            <b/>
            <sz val="9"/>
            <color indexed="81"/>
            <rFont val="Tahoma"/>
            <family val="2"/>
          </rPr>
          <t>Author:</t>
        </r>
        <r>
          <rPr>
            <sz val="9"/>
            <color indexed="81"/>
            <rFont val="Tahoma"/>
            <family val="2"/>
          </rPr>
          <t xml:space="preserve">
2016 Annual RIN (and TUoS cost audit template sheet)</t>
        </r>
      </text>
    </comment>
  </commentList>
</comments>
</file>

<file path=xl/comments7.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Previous approved Tariff model</t>
        </r>
      </text>
    </comment>
  </commentList>
</comments>
</file>

<file path=xl/comments8.xml><?xml version="1.0" encoding="utf-8"?>
<comments xmlns="http://schemas.openxmlformats.org/spreadsheetml/2006/main">
  <authors>
    <author>Author</author>
  </authors>
  <commentList>
    <comment ref="C32" authorId="0">
      <text>
        <r>
          <rPr>
            <b/>
            <sz val="9"/>
            <color indexed="81"/>
            <rFont val="Tahoma"/>
            <family val="2"/>
          </rPr>
          <t>Author:</t>
        </r>
        <r>
          <rPr>
            <sz val="9"/>
            <color indexed="81"/>
            <rFont val="Tahoma"/>
            <family val="2"/>
          </rPr>
          <t xml:space="preserve">
2016 Annual RIN.</t>
        </r>
      </text>
    </comment>
    <comment ref="C37" authorId="0">
      <text>
        <r>
          <rPr>
            <b/>
            <sz val="9"/>
            <color indexed="81"/>
            <rFont val="Tahoma"/>
            <family val="2"/>
          </rPr>
          <t>Author:</t>
        </r>
        <r>
          <rPr>
            <sz val="9"/>
            <color indexed="81"/>
            <rFont val="Tahoma"/>
            <family val="2"/>
          </rPr>
          <t xml:space="preserve">
Previous approved Tariff Model.</t>
        </r>
      </text>
    </comment>
    <comment ref="C40" authorId="0">
      <text>
        <r>
          <rPr>
            <b/>
            <sz val="9"/>
            <color indexed="81"/>
            <rFont val="Tahoma"/>
            <family val="2"/>
          </rPr>
          <t>Author:</t>
        </r>
        <r>
          <rPr>
            <sz val="9"/>
            <color indexed="81"/>
            <rFont val="Tahoma"/>
            <family val="2"/>
          </rPr>
          <t xml:space="preserve">
2016 Annual RIN.</t>
        </r>
      </text>
    </comment>
  </commentList>
</comments>
</file>

<file path=xl/sharedStrings.xml><?xml version="1.0" encoding="utf-8"?>
<sst xmlns="http://schemas.openxmlformats.org/spreadsheetml/2006/main" count="1506" uniqueCount="798">
  <si>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</si>
  <si>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</si>
  <si>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</si>
  <si>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</si>
  <si>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</si>
  <si>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</si>
  <si>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</si>
  <si>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</si>
  <si>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</si>
  <si>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</si>
  <si>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</si>
  <si>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</si>
  <si>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</si>
  <si>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</si>
  <si>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</si>
  <si>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</si>
  <si>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</si>
  <si>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</si>
  <si>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</si>
  <si>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</si>
  <si>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</si>
  <si>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</si>
  <si>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</si>
  <si>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</si>
  <si>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</si>
  <si>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</si>
  <si>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</si>
  <si>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</si>
  <si>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</si>
  <si>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</si>
  <si>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</si>
  <si>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</si>
  <si>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</si>
  <si>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</si>
  <si>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</si>
  <si>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</si>
  <si>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</si>
  <si>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</si>
  <si>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</si>
  <si>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</si>
  <si>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</si>
  <si>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</si>
  <si>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</si>
  <si>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</si>
  <si>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</si>
  <si>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</si>
  <si>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</si>
  <si>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</si>
  <si>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</si>
  <si>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</si>
  <si>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</si>
  <si>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</si>
  <si>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</si>
  <si>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</si>
  <si>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</si>
  <si>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</si>
  <si>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</si>
  <si>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</si>
  <si>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</si>
  <si>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</si>
  <si>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</si>
  <si>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</si>
  <si>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</si>
  <si>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</si>
  <si>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</si>
  <si>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</si>
  <si>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</si>
  <si>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</si>
  <si>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</si>
  <si>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</si>
  <si>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</si>
  <si>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</si>
  <si>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</si>
  <si>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</si>
  <si>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</si>
  <si>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</si>
  <si>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</si>
  <si>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</si>
  <si>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</si>
  <si>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</si>
  <si>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</si>
  <si>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</si>
  <si>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Jemena</t>
  </si>
  <si>
    <t>CitiPower</t>
  </si>
  <si>
    <t>Powercor</t>
  </si>
  <si>
    <t>United Energy</t>
  </si>
  <si>
    <t>Pass Through Costs</t>
  </si>
  <si>
    <t>VBRC</t>
  </si>
  <si>
    <t>Powerline Replacement program</t>
  </si>
  <si>
    <t>TOTAL PASS THROUGH AMOUNTS</t>
  </si>
  <si>
    <t>F factor Scheme</t>
  </si>
  <si>
    <t>F Factor pass through</t>
  </si>
  <si>
    <t>Pass through amounts approved (Nominal $) - Forecast CPI</t>
  </si>
  <si>
    <t>Forecast CPI in PTRM</t>
  </si>
  <si>
    <t>Pass through amounts approved (Real $2010)</t>
  </si>
  <si>
    <t>Actual CPI</t>
  </si>
  <si>
    <t>Pass through amounts approved (Nominal $) - Actual CPI</t>
  </si>
  <si>
    <t>Xt for 2017</t>
  </si>
  <si>
    <t>Xt for 2018</t>
  </si>
  <si>
    <t>Xt for 2019</t>
  </si>
  <si>
    <t>Xt for 2020</t>
  </si>
  <si>
    <t>CPI Index Sept 2015</t>
  </si>
  <si>
    <t>(As per AER's Final Decision on Powercor's VBRC pass through, table 7.2,  7 March 2012)</t>
  </si>
  <si>
    <t>AR for 2016</t>
  </si>
  <si>
    <t>Regulatory Period 2011-15</t>
  </si>
  <si>
    <t>VBRC pass through</t>
  </si>
  <si>
    <t>AusNet Services</t>
  </si>
  <si>
    <t>As per AER's Final Decision on AusNet Services's VBRC pass through, table 1.3,  19 October 2012</t>
  </si>
  <si>
    <t>Table 1- Compliance with AER Final Determination Total Annual Revenue</t>
  </si>
  <si>
    <t>B factor for year t</t>
  </si>
  <si>
    <t>CPI for period t</t>
  </si>
  <si>
    <t>X factor for period t</t>
  </si>
  <si>
    <t>S factor for period t</t>
  </si>
  <si>
    <t>DUoS revenue under/over recovery approved</t>
  </si>
  <si>
    <t>Table 3 -  Adjusted Annual Revenue for year t (AARt)</t>
  </si>
  <si>
    <t>Table 2 - Total Annual Revenue for year t (TARt)</t>
  </si>
  <si>
    <t>T factor for year t (DMIS carry over amount)</t>
  </si>
  <si>
    <t>I factor for year t (F factor Scheme)</t>
  </si>
  <si>
    <t>Revenue from DUoS charges for year t</t>
  </si>
  <si>
    <t>Total Annual Revenue for year t</t>
  </si>
  <si>
    <t>Adjusted Annual Smoothed Revenue for year t</t>
  </si>
  <si>
    <t>Adjusted Annual Smoothed Revenue for year t-1</t>
  </si>
  <si>
    <t>Total</t>
  </si>
  <si>
    <t>License Fee Recovery Amount for year t</t>
  </si>
  <si>
    <t>Approved Pass through Amount for year t</t>
  </si>
  <si>
    <t>Lt-1</t>
  </si>
  <si>
    <t>Nominal WACC t-1</t>
  </si>
  <si>
    <t>t-4</t>
  </si>
  <si>
    <t>Proposed tariff</t>
  </si>
  <si>
    <t>Existing tariff</t>
  </si>
  <si>
    <t>PropTar
Fixed</t>
  </si>
  <si>
    <t>PropTar
OPkBlk1</t>
  </si>
  <si>
    <t>PropTar
SumBlk1</t>
  </si>
  <si>
    <t>PropTar
SumBlk2</t>
  </si>
  <si>
    <t>PropTar
SumBlk3</t>
  </si>
  <si>
    <t>PropTar
WtrBlk1</t>
  </si>
  <si>
    <t>PropTar
WtrBlk2</t>
  </si>
  <si>
    <t>PropTar
WtrBlk3</t>
  </si>
  <si>
    <t>ExistTar
Fixed</t>
  </si>
  <si>
    <t>ExistTar
SumBlk1</t>
  </si>
  <si>
    <t>ExistTar
SumBlk2</t>
  </si>
  <si>
    <t>ExistTar
SumBlk3</t>
  </si>
  <si>
    <t>ExistTar
WtrBlk1</t>
  </si>
  <si>
    <t>ExistTar
WtrBlk2</t>
  </si>
  <si>
    <t>ExistTar
WtrBlk3</t>
  </si>
  <si>
    <t>PropRev
Fixed</t>
  </si>
  <si>
    <t>PropRev
SumBlk1</t>
  </si>
  <si>
    <t>PropRev
SumBlk2</t>
  </si>
  <si>
    <t>PropRev
SumBlk3</t>
  </si>
  <si>
    <t>PropRev
WtrBlk1</t>
  </si>
  <si>
    <t>PropRev
WtrBlk2</t>
  </si>
  <si>
    <t>PropRev
WtrBlk3</t>
  </si>
  <si>
    <t>PropRev
Total</t>
  </si>
  <si>
    <t>ExistRev
Fixed</t>
  </si>
  <si>
    <t>ExistRev
SumBlk1</t>
  </si>
  <si>
    <t>ExistRev
SumBlk2</t>
  </si>
  <si>
    <t>ExistRev
SumBlk3</t>
  </si>
  <si>
    <t>ExistRev
WtrBlk1</t>
  </si>
  <si>
    <t>ExistRev
WtrBlk2</t>
  </si>
  <si>
    <t>ExistRev
WtrBlk3</t>
  </si>
  <si>
    <t>ExistRev
Total</t>
  </si>
  <si>
    <t>Residential Single Rate</t>
  </si>
  <si>
    <t>Climate Saver</t>
  </si>
  <si>
    <t>Climate Saver Interval</t>
  </si>
  <si>
    <t>Residential - Flexible Pricing</t>
  </si>
  <si>
    <t>Residential Docklands  - Flexible Pricing</t>
  </si>
  <si>
    <t>Climate Saver - Flexible Pricing</t>
  </si>
  <si>
    <t>Docklands single rate</t>
  </si>
  <si>
    <t>Residential Two Rate 5d</t>
  </si>
  <si>
    <t>Docklands Two Rate 5d</t>
  </si>
  <si>
    <t>Residential Interval</t>
  </si>
  <si>
    <t>Residential Two Rate 5d - controlled load</t>
  </si>
  <si>
    <t>Docklands Two Rate 5d - controlled load</t>
  </si>
  <si>
    <t>Dedicated circuit</t>
  </si>
  <si>
    <t>Hot Water Interval</t>
  </si>
  <si>
    <t>Non-Residential Single Rate</t>
  </si>
  <si>
    <t>Non-Residential Two Rate 5d</t>
  </si>
  <si>
    <t>Non-Residential Interval</t>
  </si>
  <si>
    <t>Non-Residential Two Rate 7d</t>
  </si>
  <si>
    <t>Public Lighting</t>
  </si>
  <si>
    <t>Large Low Voltage Demand</t>
  </si>
  <si>
    <t>Large Low Voltage Demand A</t>
  </si>
  <si>
    <t>Large Low Voltage Demand C</t>
  </si>
  <si>
    <t>Large Low Voltage Demand S</t>
  </si>
  <si>
    <t>Large Low Voltage Demand Docklands</t>
  </si>
  <si>
    <t>Large Low Voltage Demand CXX</t>
  </si>
  <si>
    <t>Large Low Voltage Demand EN.R</t>
  </si>
  <si>
    <t>Large Low Voltage Demand EN.NR</t>
  </si>
  <si>
    <t>Large Low Voltage Demand EN.R CXX</t>
  </si>
  <si>
    <t>Large Low Voltage Demand EN.NRCXX</t>
  </si>
  <si>
    <t>High Voltage Demand</t>
  </si>
  <si>
    <t>High Voltage Demand A</t>
  </si>
  <si>
    <t>High Voltage Demand C</t>
  </si>
  <si>
    <t>High Voltage Demand D1</t>
  </si>
  <si>
    <t>High Voltage Demand D2</t>
  </si>
  <si>
    <t>High Voltage Demand Docklands</t>
  </si>
  <si>
    <t>High Voltage Demand D3</t>
  </si>
  <si>
    <t>High Voltage Demand D4</t>
  </si>
  <si>
    <t>Subtransmission Demand A</t>
  </si>
  <si>
    <t>Subtransmission Demand G</t>
  </si>
  <si>
    <t>Subtransmission Demand S</t>
  </si>
  <si>
    <t>FcastVol
Fixed</t>
  </si>
  <si>
    <t>FcastVol
SumBlk1</t>
  </si>
  <si>
    <t>FcastVol
SumBlk2</t>
  </si>
  <si>
    <t>FcastVol
SumBlk3</t>
  </si>
  <si>
    <t>FcastVol
WtrBlk1</t>
  </si>
  <si>
    <t>FcastVol
WtrBlk2</t>
  </si>
  <si>
    <t>FcastVol
WtrBlk3</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</si>
  <si>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</si>
  <si>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</si>
  <si>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</si>
  <si>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</si>
  <si>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</si>
  <si>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</si>
  <si>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</si>
  <si>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</si>
  <si>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</si>
  <si>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</si>
  <si>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</si>
  <si>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</si>
  <si>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</si>
  <si>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</si>
  <si>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</si>
  <si>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</si>
  <si>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</si>
  <si>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</si>
  <si>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</si>
  <si>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</si>
  <si>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Residential</t>
  </si>
  <si>
    <t>Small business</t>
  </si>
  <si>
    <t>LLV</t>
  </si>
  <si>
    <t>HV</t>
  </si>
  <si>
    <t>SubTrans</t>
  </si>
  <si>
    <t>Check Total</t>
  </si>
  <si>
    <t>New Tariff Test</t>
  </si>
  <si>
    <t>Destination tariff class</t>
  </si>
  <si>
    <t>Source tariff class</t>
  </si>
  <si>
    <t>Current
Fixed</t>
  </si>
  <si>
    <t>Current
SumBlk1</t>
  </si>
  <si>
    <t>Current
SumBlk2</t>
  </si>
  <si>
    <t>Current
SumBlk3</t>
  </si>
  <si>
    <t>Current
WtrBlk1</t>
  </si>
  <si>
    <t>Current
WtrBlk2</t>
  </si>
  <si>
    <t>Current
WtrBlk3</t>
  </si>
  <si>
    <t>EstRev
Fixed</t>
  </si>
  <si>
    <t>EstRev
SumBlk1</t>
  </si>
  <si>
    <t>EstRev
SumBlk2</t>
  </si>
  <si>
    <t>EstRev
SumBlk3</t>
  </si>
  <si>
    <t>EstRev
WtrBlk1</t>
  </si>
  <si>
    <t>EstRev
WtrBlk2</t>
  </si>
  <si>
    <t>EstRev
WtrBlk3</t>
  </si>
  <si>
    <t>EstRev
Total</t>
  </si>
  <si>
    <t>Current
OPkBlk1</t>
  </si>
  <si>
    <t>EstVol
Fixed</t>
  </si>
  <si>
    <t>EstVol
SumBlk1</t>
  </si>
  <si>
    <t>EstVol
SumBlk2</t>
  </si>
  <si>
    <t>EstVol
SumBlk3</t>
  </si>
  <si>
    <t>EstVol
WtrBlk1</t>
  </si>
  <si>
    <t>EstVol
WtrBlk2</t>
  </si>
  <si>
    <t>EstVol
WtrBlk3</t>
  </si>
  <si>
    <t xml:space="preserve">(A) Revenue from DUoS Charges </t>
  </si>
  <si>
    <t>+ Adjusted annual smoothed revenue</t>
  </si>
  <si>
    <t>+It</t>
  </si>
  <si>
    <t>+Tt</t>
  </si>
  <si>
    <t>+Bt =</t>
  </si>
  <si>
    <t>+Licence fee recovery</t>
  </si>
  <si>
    <t>+Approved pass throughs</t>
  </si>
  <si>
    <t>Year t-2</t>
  </si>
  <si>
    <t>Year (t)</t>
  </si>
  <si>
    <t>Calendar year</t>
  </si>
  <si>
    <t>Closing balance of DUoS overs/ (unders) account</t>
  </si>
  <si>
    <t>Table 7 - DUoS Unders and Overs Account</t>
  </si>
  <si>
    <t>TUOS charges (AEMO)</t>
  </si>
  <si>
    <t>t-2 actual</t>
  </si>
  <si>
    <t>Grid equalisation</t>
  </si>
  <si>
    <t>Cross boundary network charges (internetwork charges)</t>
  </si>
  <si>
    <t>Distribution Business</t>
  </si>
  <si>
    <t>Amount (payable)/receivable</t>
  </si>
  <si>
    <t>HV crossings</t>
  </si>
  <si>
    <t>Subtransmission crossings</t>
  </si>
  <si>
    <t>TUoS Adjustment</t>
  </si>
  <si>
    <t>Payments to embedded generators</t>
  </si>
  <si>
    <t>Avoided transmission costs</t>
  </si>
  <si>
    <t>Avoided TUoS payments</t>
  </si>
  <si>
    <t>Avoided TUoS usage charges</t>
  </si>
  <si>
    <t>Total payments to embedded generators</t>
  </si>
  <si>
    <t>Where the following definitions apply</t>
  </si>
  <si>
    <t>HV Crossings</t>
  </si>
  <si>
    <t>Payments/Receipts for energy transferred utilising the distributor’s HV and LV line assets.</t>
  </si>
  <si>
    <t>Sub-transmission Crossings</t>
  </si>
  <si>
    <t>Payments/Receipts for the Sub-transmission assets in shared loops that support each distributor’s Zone Substation capacity to ensure N-1 reliability is maintained.</t>
  </si>
  <si>
    <t xml:space="preserve">TuoS Adjustment </t>
  </si>
  <si>
    <t>Payments/Receipts for the adjustment of TuoS paid by a distributor for energy delivered to another distribution business through a shared loop.</t>
  </si>
  <si>
    <t>TC + G - D</t>
  </si>
  <si>
    <t xml:space="preserve"> DUoS</t>
  </si>
  <si>
    <t>AEMO (TCt)</t>
  </si>
  <si>
    <t>Embedded generators (Gt)</t>
  </si>
  <si>
    <t>Inter-network (Dt)</t>
  </si>
  <si>
    <t>Table 3 - Transmission charges for year t</t>
  </si>
  <si>
    <t>Transmission revenue under/over recovery for years 2014 and 2015</t>
  </si>
  <si>
    <t>Table 2 - Total DPPC related payments for year t</t>
  </si>
  <si>
    <t>Transmission charges for year t</t>
  </si>
  <si>
    <t>DPPC revenue under/over recovery approved</t>
  </si>
  <si>
    <t xml:space="preserve"> Designated pricing proposal charges (DPPC)</t>
  </si>
  <si>
    <t xml:space="preserve">(B) Less TAR for regulatory year = </t>
  </si>
  <si>
    <t>(B) Less Total DPPC related payments =</t>
  </si>
  <si>
    <t>Table 4 - DPPC Recovery Arrangements</t>
  </si>
  <si>
    <t>Table 5 - DPPC Unders and Overs Account</t>
  </si>
  <si>
    <t>+ Transmission revenue under/over recovery for years 2014 and 2015</t>
  </si>
  <si>
    <t>+Transmission charges  =</t>
  </si>
  <si>
    <t>+AEMO</t>
  </si>
  <si>
    <t>+Embedded generators</t>
  </si>
  <si>
    <t>-Inter-network</t>
  </si>
  <si>
    <t>Total DPPC related payments for year t</t>
  </si>
  <si>
    <t>(A) Revenue from designated pricing proposal charges</t>
  </si>
  <si>
    <t>Revenue from designated pricing proposal charges for year t</t>
  </si>
  <si>
    <t>Table 1- Compliance with DPPC Revenue Formula</t>
  </si>
  <si>
    <t>Jurisdictional scheme amounts</t>
  </si>
  <si>
    <t>PFIT</t>
  </si>
  <si>
    <t>TFIT</t>
  </si>
  <si>
    <t>Premium feed-in tariff payments</t>
  </si>
  <si>
    <t>Transitional feed-in tariff payments</t>
  </si>
  <si>
    <t>rptw for 2016</t>
  </si>
  <si>
    <t>rptw for 2017</t>
  </si>
  <si>
    <t>rptw for 2018</t>
  </si>
  <si>
    <t>rptw for 2019</t>
  </si>
  <si>
    <t>rptw for 2020</t>
  </si>
  <si>
    <t>Real Pre-tax WACC (rptw)</t>
  </si>
  <si>
    <t xml:space="preserve"> Jurisdictional Scheme Amounts (JSA)</t>
  </si>
  <si>
    <t>Table 1- Compliance with JSA Revenue Formula</t>
  </si>
  <si>
    <t>Revenue from  Jurisdictional Scheme Amounts charges for year t</t>
  </si>
  <si>
    <t>Total JSA related payments for year t</t>
  </si>
  <si>
    <t>JSA revenue under/over recovery approved</t>
  </si>
  <si>
    <t>JSA revenue under/over recovery for years 2014 and 2015</t>
  </si>
  <si>
    <t>Table 2 - Total JSA related payments for year t</t>
  </si>
  <si>
    <t>PFIT &amp; TFIT charges for year t</t>
  </si>
  <si>
    <t>Table 3 - PFIT &amp; TFIT charges for year t</t>
  </si>
  <si>
    <t>PFIT &amp; TFIT charges</t>
  </si>
  <si>
    <t>Table 4 - JSA Recovery Arrangements</t>
  </si>
  <si>
    <t>(A) Revenue from JSA proposal charges</t>
  </si>
  <si>
    <t>(B) Less Total JSA related payments =</t>
  </si>
  <si>
    <t>+ JSA revenue under/over recovery for years 2014 and 2015</t>
  </si>
  <si>
    <t>+PFIT &amp; TFIT charges  =</t>
  </si>
  <si>
    <t>+PFIT amount</t>
  </si>
  <si>
    <t>+TFIT amount</t>
  </si>
  <si>
    <t>Table 5 - JSA Unders and Overs Account</t>
  </si>
  <si>
    <t>PropTar
$/Cust/year</t>
  </si>
  <si>
    <t>Single phase</t>
  </si>
  <si>
    <t>Three phase direct connected meter</t>
  </si>
  <si>
    <t>Three phase CT connected meter</t>
  </si>
  <si>
    <t>ExistTar
$/Cust/year</t>
  </si>
  <si>
    <t>FcastVol
Cust #</t>
  </si>
  <si>
    <t>DuoS</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</si>
  <si>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</si>
  <si>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</si>
  <si>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</si>
  <si>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</si>
  <si>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</si>
  <si>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</si>
  <si>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</si>
  <si>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</si>
  <si>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</si>
  <si>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</si>
  <si>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</si>
  <si>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</si>
  <si>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</si>
  <si>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</si>
  <si>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</si>
  <si>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</si>
  <si>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</si>
  <si>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</si>
  <si>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</si>
  <si>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</si>
  <si>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</si>
  <si>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</si>
  <si>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</si>
  <si>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</si>
  <si>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Pass through Amounts</t>
  </si>
  <si>
    <t>Table 1- Compliance with AER Final Determination Total Metering Annual Revenue</t>
  </si>
  <si>
    <t>Revenue from  Metering charges for year t</t>
  </si>
  <si>
    <t>Total Annual Metering Revenue for year t</t>
  </si>
  <si>
    <t>Adjusted Annual Smoothed Metering Revenue for year t</t>
  </si>
  <si>
    <t>Table 2 - Total Annual Revenue for year t (TARMt)</t>
  </si>
  <si>
    <t>Table 3 -  Adjusted Annual Revenue for year t (ARt)</t>
  </si>
  <si>
    <t>T factor for year t</t>
  </si>
  <si>
    <t>(A) Revenue from Metering proposal charges</t>
  </si>
  <si>
    <t xml:space="preserve">(B) Less TARM for regulatory year = </t>
  </si>
  <si>
    <t>+ T factor</t>
  </si>
  <si>
    <t>Table 5 - Metering Services Unders and Overs Account</t>
  </si>
  <si>
    <t>Table 4 - Metering Services Recovery Arrangements</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</si>
  <si>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</si>
  <si>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</si>
  <si>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</si>
  <si>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</si>
  <si>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</si>
  <si>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</si>
  <si>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</si>
  <si>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</si>
  <si>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</si>
  <si>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</si>
  <si>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r>
      <t xml:space="preserve"> pretax WACC</t>
    </r>
    <r>
      <rPr>
        <b/>
        <vertAlign val="subscript"/>
        <sz val="10"/>
        <rFont val="Arial"/>
        <family val="2"/>
      </rPr>
      <t>D</t>
    </r>
  </si>
  <si>
    <t>Closing balance of Metering Services overs/ (unders) account</t>
  </si>
  <si>
    <t>Closing balance of DPPC overs/ (unders) account</t>
  </si>
  <si>
    <t>Closing balance of JSA overs/ (unders) account</t>
  </si>
  <si>
    <t>(t)</t>
  </si>
  <si>
    <t>rvw for 2016</t>
  </si>
  <si>
    <t>rvw for 2017</t>
  </si>
  <si>
    <t>rvw for 2018</t>
  </si>
  <si>
    <t>rvw for 2019</t>
  </si>
  <si>
    <t>rvw for 2020</t>
  </si>
  <si>
    <t>Real Vanilla WACC (rvw)</t>
  </si>
  <si>
    <t>Real Vanilla WACC for distribution tariffs</t>
  </si>
  <si>
    <t>Real Pre-tax WACC for distribution tariffs</t>
  </si>
  <si>
    <r>
      <t>Real Vanilla WACC</t>
    </r>
    <r>
      <rPr>
        <b/>
        <vertAlign val="subscript"/>
        <sz val="10"/>
        <rFont val="Arial"/>
        <family val="2"/>
      </rPr>
      <t>D</t>
    </r>
  </si>
  <si>
    <t>Pass Through revenue under/over recovery for years 2014 and 2015</t>
  </si>
  <si>
    <t>Table 4- B factor for year t</t>
  </si>
  <si>
    <t>Table 5 - License Fee Recovery Amount for year t</t>
  </si>
  <si>
    <t>Table 6 - DUoS Recovery Arrangements</t>
  </si>
  <si>
    <t>+Pass Through revenue under/over recovery for years 2014 and 2015</t>
  </si>
  <si>
    <t xml:space="preserve"> License Fees</t>
  </si>
  <si>
    <t>S factor Scheme</t>
  </si>
  <si>
    <t>Nominal WACC 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</si>
  <si>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</si>
  <si>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</si>
  <si>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</si>
  <si>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</si>
  <si>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</si>
  <si>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</si>
  <si>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</si>
  <si>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</si>
  <si>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</si>
  <si>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</si>
  <si>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</si>
  <si>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</si>
  <si>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</si>
  <si>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</si>
  <si>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</si>
  <si>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</si>
  <si>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</si>
  <si>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</si>
  <si>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</si>
  <si>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</si>
  <si>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</si>
  <si>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</si>
  <si>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</si>
  <si>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</si>
  <si>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</si>
  <si>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</si>
  <si>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</si>
  <si>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</si>
  <si>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</si>
  <si>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</si>
  <si>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</si>
  <si>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</si>
  <si>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</si>
  <si>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</si>
  <si>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</si>
  <si>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</si>
  <si>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</si>
  <si>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</si>
  <si>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</si>
  <si>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</si>
  <si>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</si>
  <si>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</si>
  <si>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</si>
  <si>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</si>
  <si>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</si>
  <si>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</si>
  <si>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</si>
  <si>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</si>
  <si>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</si>
  <si>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</si>
  <si>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</si>
  <si>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</si>
  <si>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</si>
  <si>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</si>
  <si>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</si>
  <si>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</si>
  <si>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</si>
  <si>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</si>
  <si>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</si>
  <si>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</si>
  <si>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</si>
  <si>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</si>
  <si>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</si>
  <si>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</si>
  <si>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</si>
  <si>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</si>
  <si>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</si>
  <si>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</si>
  <si>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</si>
  <si>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</si>
  <si>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</si>
  <si>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</si>
  <si>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</si>
  <si>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</si>
  <si>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</si>
  <si>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</si>
  <si>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</si>
  <si>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</si>
  <si>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</si>
  <si>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</si>
  <si>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</si>
  <si>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</si>
  <si>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</si>
  <si>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</si>
  <si>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</si>
  <si>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</si>
  <si>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</si>
  <si>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</si>
  <si>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</si>
  <si>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</si>
  <si>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</si>
  <si>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</si>
  <si>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</si>
  <si>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</si>
  <si>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</si>
  <si>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</si>
  <si>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</si>
  <si>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</si>
  <si>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</si>
  <si>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</si>
  <si>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</si>
  <si>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</si>
  <si>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</si>
  <si>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</si>
  <si>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</si>
  <si>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</si>
  <si>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</si>
  <si>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</si>
  <si>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</si>
  <si>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</si>
  <si>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</si>
  <si>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AEMO (TUOS Usage)</t>
  </si>
  <si>
    <t>AEMO (TUOS General and Common Service)</t>
  </si>
  <si>
    <t>Ausnet Connection</t>
  </si>
  <si>
    <t>Ausnet Augmentation</t>
  </si>
  <si>
    <t>SAPN</t>
  </si>
  <si>
    <t>Non-Residential Flexible Pricing</t>
  </si>
  <si>
    <t>Year t-1</t>
  </si>
  <si>
    <t>Nominal WACC</t>
  </si>
  <si>
    <t>Interest on Opening balance</t>
  </si>
  <si>
    <t>DMIA Carryover adjustment</t>
  </si>
  <si>
    <t>2011-15</t>
  </si>
  <si>
    <t>CPI - PTRM</t>
  </si>
  <si>
    <t>Nominal Vanilla WACC - PTRM</t>
  </si>
  <si>
    <t>Ex-ante revenue minus ex post expenditure ($nominal)</t>
  </si>
  <si>
    <t>UED</t>
  </si>
  <si>
    <t>The DNSP is expected to achieve a closing balance as close to zero as practicable in its annual metering charges unders and overs account in each forecast year in its annual pricing proposals in the 2016–20 regulatory control period.</t>
  </si>
  <si>
    <t>The DNSP is expected to achieve a closing balance as close to zero as practicable in its DUoS unders and overs account in each forecast year in its annual pricing proposals in the 2016–20 regulatory control period.</t>
  </si>
  <si>
    <t>The DNSP is expected to achieve a closing balance as close to zero as practicable in its DPPC unders and overs account in each forecast year in its annual pricing proposals in the 2016–20 regulatory control period.</t>
  </si>
  <si>
    <t>The DNSP is expected to achieve a closing balance as close to zero as practicable in its jurisdictional scheme amount unders and overs account in each forecast year in its annual pricing proposals in the 2016–20 regulatory control period.</t>
  </si>
  <si>
    <t>Current
Anytime</t>
  </si>
  <si>
    <t>Current
PkBlk</t>
  </si>
  <si>
    <t>Current
Dem kVA</t>
  </si>
  <si>
    <t>Current
Dem kW</t>
  </si>
  <si>
    <t>Current
Dem kW Sum</t>
  </si>
  <si>
    <t>Current
Dem kW Win</t>
  </si>
  <si>
    <t>EstVol
PkBlk</t>
  </si>
  <si>
    <t>EstVol
Anytime</t>
  </si>
  <si>
    <t>EstVol
OPkBlk</t>
  </si>
  <si>
    <t>EstVol
Dem kVA</t>
  </si>
  <si>
    <t>EstVol
Dem kW</t>
  </si>
  <si>
    <t>EstVol
Dem kW Sum</t>
  </si>
  <si>
    <t>EstVol
Dem kW Win</t>
  </si>
  <si>
    <t>EstRev
Anytime</t>
  </si>
  <si>
    <t>EstRev
PkBlk</t>
  </si>
  <si>
    <t>EstRev
Opk</t>
  </si>
  <si>
    <t>EstRev
Dem kVA</t>
  </si>
  <si>
    <t>EstRev
Dem kW</t>
  </si>
  <si>
    <t>EstRev
Dem kW Sum</t>
  </si>
  <si>
    <t>EstRev
Dem kW Win</t>
  </si>
  <si>
    <t>PropTar
Anytime</t>
  </si>
  <si>
    <t>PropTar
PkBlk</t>
  </si>
  <si>
    <t>PropTar
Dem kVA</t>
  </si>
  <si>
    <t>PropTar
Dem kW</t>
  </si>
  <si>
    <t>PropTar
Dem kW Sum</t>
  </si>
  <si>
    <t>PropTar
Dem kW Win</t>
  </si>
  <si>
    <t>ExistTar
Anytime</t>
  </si>
  <si>
    <t>ExistTar
Pk</t>
  </si>
  <si>
    <t>ExistTar
OPkBlk</t>
  </si>
  <si>
    <t>ExistTar
Dem kVA</t>
  </si>
  <si>
    <t>ExistTar
Dem kW</t>
  </si>
  <si>
    <t>ExistTar
Dem kW Sum</t>
  </si>
  <si>
    <t>ExistTar
Dem kW Win</t>
  </si>
  <si>
    <t>FcastVol
Anytime</t>
  </si>
  <si>
    <t>FcastVol
Pk</t>
  </si>
  <si>
    <t>FcastVol
Opk</t>
  </si>
  <si>
    <t>FcastVol
Dem kVA</t>
  </si>
  <si>
    <t>FcastVol
Dem kW</t>
  </si>
  <si>
    <t>FcastVol
Dem kW Sum</t>
  </si>
  <si>
    <t>FcastVol
Dem kW Win</t>
  </si>
  <si>
    <t>PropRev
Anytime</t>
  </si>
  <si>
    <t>PropRev
Pk</t>
  </si>
  <si>
    <t>PropRev
Opk</t>
  </si>
  <si>
    <t>PropRev
Dem kVA</t>
  </si>
  <si>
    <t>PropRev
Dem kW</t>
  </si>
  <si>
    <t>PropRev
Dem kW Sum</t>
  </si>
  <si>
    <t>PropRev
Dem kW Win</t>
  </si>
  <si>
    <t>ExistRev
Anytime</t>
  </si>
  <si>
    <t>ExistRev
Pk</t>
  </si>
  <si>
    <t>ExistRev
Opk</t>
  </si>
  <si>
    <t>ExistRev
Dem kVA</t>
  </si>
  <si>
    <t xml:space="preserve">ExistRev
Dem kW </t>
  </si>
  <si>
    <t>ExistRev
Dem kW Sum</t>
  </si>
  <si>
    <t>ExistRev
Dem kW Win</t>
  </si>
  <si>
    <t>D1</t>
  </si>
  <si>
    <t>D1CS</t>
  </si>
  <si>
    <t>D3CS</t>
  </si>
  <si>
    <t>P13R</t>
  </si>
  <si>
    <t>P13RDK</t>
  </si>
  <si>
    <t>P13RCS</t>
  </si>
  <si>
    <t>P1DK</t>
  </si>
  <si>
    <t>D2</t>
  </si>
  <si>
    <t>D2DK</t>
  </si>
  <si>
    <t>D3</t>
  </si>
  <si>
    <t>D2OP</t>
  </si>
  <si>
    <t>D2DKOP</t>
  </si>
  <si>
    <t>DD1</t>
  </si>
  <si>
    <t>D3HW</t>
  </si>
  <si>
    <t>DD</t>
  </si>
  <si>
    <t>Residential Demand</t>
  </si>
  <si>
    <t>ND1</t>
  </si>
  <si>
    <t>P14G</t>
  </si>
  <si>
    <t>ND2</t>
  </si>
  <si>
    <t>ND5</t>
  </si>
  <si>
    <t>ND3</t>
  </si>
  <si>
    <t>NDD</t>
  </si>
  <si>
    <t>Non-Residential Demand</t>
  </si>
  <si>
    <t>NDM</t>
  </si>
  <si>
    <t>Medium business</t>
  </si>
  <si>
    <t>PL2</t>
  </si>
  <si>
    <t>Large low Voltage</t>
  </si>
  <si>
    <t>DL</t>
  </si>
  <si>
    <t>DLA</t>
  </si>
  <si>
    <t>DLC</t>
  </si>
  <si>
    <t>DLS</t>
  </si>
  <si>
    <t>DLDK</t>
  </si>
  <si>
    <t>DLCXX</t>
  </si>
  <si>
    <t>DLR</t>
  </si>
  <si>
    <t>DLNR</t>
  </si>
  <si>
    <t>DLCXXR</t>
  </si>
  <si>
    <t>DLCXXNR</t>
  </si>
  <si>
    <t>High Voltage</t>
  </si>
  <si>
    <t>HVD</t>
  </si>
  <si>
    <t>High Voltage Docklands</t>
  </si>
  <si>
    <t>DH</t>
  </si>
  <si>
    <t>DHA</t>
  </si>
  <si>
    <t>DHC</t>
  </si>
  <si>
    <t>DHD1</t>
  </si>
  <si>
    <t>DHD2</t>
  </si>
  <si>
    <t>DHDK</t>
  </si>
  <si>
    <t>DHD3</t>
  </si>
  <si>
    <t>DHD4</t>
  </si>
  <si>
    <t>ST</t>
  </si>
  <si>
    <t>Subtransmission</t>
  </si>
  <si>
    <t>DSA</t>
  </si>
  <si>
    <t>DSG</t>
  </si>
  <si>
    <t>DSS</t>
  </si>
  <si>
    <t>Relevant financial year (t-1)</t>
  </si>
  <si>
    <t>AMI Transitional Adjustment in 2018 prices ($)</t>
  </si>
  <si>
    <t>Vanilla' WACC (Real)</t>
  </si>
  <si>
    <t>Vanilla' WACC (nominal)</t>
  </si>
  <si>
    <t>Future value index</t>
  </si>
  <si>
    <t>AMI Transitional Adjustment - Revenue and Costs 2009-2015</t>
  </si>
  <si>
    <t>Over \ (under) recovery of revenue and costs (000's)</t>
  </si>
  <si>
    <t>NPV at 1 January 2009</t>
  </si>
  <si>
    <t>AMI Transitional Adjustment - Revenue 2016-2020</t>
  </si>
  <si>
    <t>Increase \ (Reduction) in revenue 2016-2020 (000's)</t>
  </si>
  <si>
    <t>NPV at 1 January 2016</t>
  </si>
  <si>
    <t>Total AMI Transitional Adjustment in 2018 prices ($)</t>
  </si>
  <si>
    <t>The model has actual and test data to illustrate the workings of the model.</t>
  </si>
  <si>
    <t>Issue</t>
  </si>
  <si>
    <t>Location</t>
  </si>
  <si>
    <t>Item</t>
  </si>
  <si>
    <t>Comment</t>
  </si>
  <si>
    <t>Model update'!F37:F41</t>
  </si>
  <si>
    <t>Model update'!F54:F58</t>
  </si>
  <si>
    <t>DuoS Xt for2018</t>
  </si>
  <si>
    <t>Model update'!F66:F70</t>
  </si>
  <si>
    <t>Metering Xt for2018</t>
  </si>
  <si>
    <t>Model update'!F94:F98</t>
  </si>
  <si>
    <t>Model update'!F105:F109</t>
  </si>
  <si>
    <t>Model update'!F127:F131</t>
  </si>
  <si>
    <t>The following is test data to illustrate the workings of the model.</t>
  </si>
  <si>
    <t>Input data required from DNSPs</t>
  </si>
  <si>
    <t>Metering!D8:D10</t>
  </si>
  <si>
    <t>Metering!F8:F10</t>
  </si>
  <si>
    <t>Metering!D80:D82</t>
  </si>
  <si>
    <t>Prop2018DistTar!D7:W54</t>
  </si>
  <si>
    <t>Prop2018DistTar!AV27:BO54</t>
  </si>
  <si>
    <t>Est2017DistRev!Z7:AS54</t>
  </si>
  <si>
    <t>Prop2018TransTar!D7:W54</t>
  </si>
  <si>
    <t>2018TransRevCont'!C20:C23</t>
  </si>
  <si>
    <t>2018TransRevCont'!D42:D45</t>
  </si>
  <si>
    <t>Transmission charges for year t-1</t>
  </si>
  <si>
    <t>Prop2018JSTar!D7:W54</t>
  </si>
  <si>
    <t>2018JSRevCont'!C20:C21</t>
  </si>
  <si>
    <t>2018JSRevCont'!D40:D41</t>
  </si>
  <si>
    <t>PFIT &amp; TFIT charges for year t-1</t>
  </si>
  <si>
    <t>Ifactor (t) 2018</t>
  </si>
  <si>
    <t>S factor (t) 2018</t>
  </si>
  <si>
    <t>Licence Fee (t-1) 2017</t>
  </si>
  <si>
    <t>Proposed Metering Tariffs P(t) for 2018</t>
  </si>
  <si>
    <t>Forecast Quantities   (Qt) for 2018</t>
  </si>
  <si>
    <t>Estimated Quantities   (Qt-1) for 2017</t>
  </si>
  <si>
    <t>Proposed Distribution Tariffs (Pt) for 2018</t>
  </si>
  <si>
    <t>Forecast Quantities (Qt) for 2018</t>
  </si>
  <si>
    <t xml:space="preserve"> Estimated Distribution Quantities for 2017 (Qt-1)</t>
  </si>
  <si>
    <t>Proposed Transmission Tariffs (Pt) for 2018</t>
  </si>
  <si>
    <t>Proposed Jurisdictional scheme Tariffs (Pt) for 2018</t>
  </si>
  <si>
    <t>Materiality threshold</t>
  </si>
  <si>
    <t>TSS name</t>
  </si>
  <si>
    <t>Proposal name</t>
  </si>
  <si>
    <t>PropTar
WtrBlk4</t>
  </si>
  <si>
    <t>Explanation required?</t>
  </si>
  <si>
    <t>Residential flat</t>
  </si>
  <si>
    <t>Residential flexible</t>
  </si>
  <si>
    <t>Residential two rate 5d</t>
  </si>
  <si>
    <t>n/a</t>
  </si>
  <si>
    <t>Residential controlled load</t>
  </si>
  <si>
    <t>Residential cost-reflective</t>
  </si>
  <si>
    <t>Small business flat</t>
  </si>
  <si>
    <t>Non-residential two rate 5d</t>
  </si>
  <si>
    <t>Non-residential flexible pricing</t>
  </si>
  <si>
    <t>Non-residential two rate 7d</t>
  </si>
  <si>
    <t>Small business cost-reflective</t>
  </si>
  <si>
    <t>Unmetered supplies</t>
  </si>
  <si>
    <t>Large low voltage</t>
  </si>
  <si>
    <t>High voltage</t>
  </si>
  <si>
    <t>Residential Docklands flat</t>
  </si>
  <si>
    <t>Residential Docklands flexible</t>
  </si>
  <si>
    <t>Residential climate saver</t>
  </si>
  <si>
    <t>Residential climate saver interval</t>
  </si>
  <si>
    <t>Residential climate saver flexible pricing</t>
  </si>
  <si>
    <t>Residential Docklands two rate 5d</t>
  </si>
  <si>
    <t>Residential interval</t>
  </si>
  <si>
    <t>Non-residential interval</t>
  </si>
  <si>
    <t>High voltage Docklands</t>
  </si>
  <si>
    <t>Transmission connection fees</t>
  </si>
  <si>
    <t>Transmission connection (TCt)</t>
  </si>
  <si>
    <t>+Transmission connection</t>
  </si>
  <si>
    <t>IndTar
Fixed</t>
  </si>
  <si>
    <t>IndTar
Anytime</t>
  </si>
  <si>
    <t>IndTar
PkBlk</t>
  </si>
  <si>
    <t>IndTar
OPkBlk1</t>
  </si>
  <si>
    <t>IndTar
Dem kVA</t>
  </si>
  <si>
    <t>IndTar
Dem kW</t>
  </si>
  <si>
    <t>IndTar
Dem kW Sum</t>
  </si>
  <si>
    <t>IndTar
Dem kW Win</t>
  </si>
  <si>
    <t>IndTar
SumBlk1</t>
  </si>
  <si>
    <t>IndTar
SumBlk2</t>
  </si>
  <si>
    <t>IndTar
SumBlk3</t>
  </si>
  <si>
    <t>IndTar
WtrBlk1</t>
  </si>
  <si>
    <t>IndTar
WtrBlk2</t>
  </si>
  <si>
    <t>IndTar
WtrBlk3</t>
  </si>
  <si>
    <t>IndTar
WtrBlk4</t>
  </si>
  <si>
    <t xml:space="preserve">
Fixed</t>
  </si>
  <si>
    <t xml:space="preserve">
PkBlk1</t>
  </si>
  <si>
    <t xml:space="preserve">
PkBlk2</t>
  </si>
  <si>
    <t xml:space="preserve">
PkBlk3</t>
  </si>
  <si>
    <t xml:space="preserve">
PkBlk4</t>
  </si>
  <si>
    <t xml:space="preserve">
OPkBlk1</t>
  </si>
  <si>
    <t xml:space="preserve">
OPkBlk2</t>
  </si>
  <si>
    <t xml:space="preserve">
OPkBlk3</t>
  </si>
  <si>
    <t xml:space="preserve">
OPkBlk4</t>
  </si>
  <si>
    <t xml:space="preserve">
DemBlk1</t>
  </si>
  <si>
    <t xml:space="preserve">
DemBlk2</t>
  </si>
  <si>
    <t xml:space="preserve">
DemBlk3</t>
  </si>
  <si>
    <t xml:space="preserve">
DemBlk4</t>
  </si>
  <si>
    <t xml:space="preserve">
SumBlk1</t>
  </si>
  <si>
    <t xml:space="preserve">
SumBlk2</t>
  </si>
  <si>
    <t xml:space="preserve">
SumBlk3</t>
  </si>
  <si>
    <t xml:space="preserve">
SumBlk4</t>
  </si>
  <si>
    <t xml:space="preserve">
WtrBlk1</t>
  </si>
  <si>
    <t xml:space="preserve">
WtrBlk2</t>
  </si>
  <si>
    <t xml:space="preserve">
WtrBlk3</t>
  </si>
  <si>
    <t xml:space="preserve">
WtrBlk4</t>
  </si>
  <si>
    <t>Values updated for 2018 cost of debt</t>
  </si>
  <si>
    <t>Values updated</t>
  </si>
  <si>
    <t>Values may require updating</t>
  </si>
  <si>
    <t>DDNEW</t>
  </si>
  <si>
    <t>Medium business Demand</t>
  </si>
  <si>
    <t>NDMO</t>
  </si>
  <si>
    <t>Medium business Opt-out</t>
  </si>
  <si>
    <t>USAGE_HELPER</t>
  </si>
  <si>
    <t>Tariff Approval - Powercor</t>
  </si>
  <si>
    <t>COMPARISON OF 2018 PROPOSED AND TSS INDICATIVE DISTRIBUTION TARIFFS</t>
  </si>
  <si>
    <t>Proposed NUOS Tariffs (Pt) for 2018</t>
  </si>
  <si>
    <t>Indicative tariffs for 2018</t>
  </si>
  <si>
    <t>Percentage difference between proposed 2018 tariffs and indecative TSS tariffs</t>
  </si>
  <si>
    <t>Newstead Residential Trial</t>
  </si>
  <si>
    <t>This worksheet has been inserted by Powercor</t>
  </si>
  <si>
    <t>2018 Volumes for 2017 Prices</t>
  </si>
  <si>
    <t>In 2017 there was no Medium Business opt-out tariff. No volumes / customer numbers have been allocated to these tariffs</t>
  </si>
  <si>
    <t>Note</t>
  </si>
  <si>
    <t xml:space="preserve">Qt 2018 has been allocated per inserted worksheet Vol </t>
  </si>
  <si>
    <t>This enables allocations to tariffs that weren't available in 2017 such as Medium Business opt-out</t>
  </si>
</sst>
</file>

<file path=xl/styles.xml><?xml version="1.0" encoding="utf-8"?>
<styleSheet xmlns="http://schemas.openxmlformats.org/spreadsheetml/2006/main" xmlns:mc="http://schemas.openxmlformats.org/markup-compatibility/2006" xmlns:x14ac="http://schemas.microsoft.com/office/spreadsheetml/2009/9/ac" mc:Ignorable="x14ac">
  <numFmts count="64">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0.000000%"/>
    <numFmt numFmtId="166" formatCode="&quot;$&quot;#,##0;[Red]&quot;$&quot;#,##0"/>
    <numFmt numFmtId="167" formatCode="&quot;$&quot;#,##0.00;[Red]&quot;$&quot;#,##0.00"/>
    <numFmt numFmtId="168" formatCode="_-* #,##0_-;\-* #,##0_-;_-* &quot;-&quot;??_-;_-@_-"/>
    <numFmt numFmtId="169" formatCode="0.000"/>
    <numFmt numFmtId="170" formatCode="#,##0.000"/>
    <numFmt numFmtId="171" formatCode="#,##0.000000000000000"/>
    <numFmt numFmtId="172" formatCode="_(* #,##0.00_);_(* \(#,##0.00\);_(* &quot;-&quot;??_);_(@_)"/>
    <numFmt numFmtId="173" formatCode="_-* #,##0.000_-;\-* #,##0.000_-;_-* &quot;-&quot;??_-;_-@_-"/>
    <numFmt numFmtId="174" formatCode="_-* #,##0.0000_-;\-* #,##0.0000_-;_-* &quot;-&quot;??_-;_-@_-"/>
    <numFmt numFmtId="175" formatCode="0.0%"/>
    <numFmt numFmtId="176" formatCode="_(* #,##0_);_(* \(#,##0\);_(* &quot;-&quot;??_);_(@_)"/>
    <numFmt numFmtId="177" formatCode="_(* #,##0_);_(* \(#,##0\);_(* &quot;-&quot;_);_(@_)"/>
    <numFmt numFmtId="178" formatCode="_([$€-2]* #,##0.00_);_([$€-2]* \(#,##0.00\);_([$€-2]* &quot;-&quot;??_)"/>
    <numFmt numFmtId="179" formatCode="_-* #,##0.00_-;[Red]\(#,##0.00\)_-;_-* &quot;-&quot;??_-;_-@_-"/>
    <numFmt numFmtId="180" formatCode="_(&quot;$&quot;* #,##0.00_);_(&quot;$&quot;* \(#,##0.00\);_(&quot;$&quot;* &quot;-&quot;??_);_(@_)"/>
    <numFmt numFmtId="181" formatCode="mm/dd/yy"/>
    <numFmt numFmtId="182" formatCode="0_);[Red]\(0\)"/>
    <numFmt numFmtId="183" formatCode="_(* #,##0.0_);_(* \(#,##0.0\);_(* &quot;-&quot;?_);_(@_)"/>
    <numFmt numFmtId="184" formatCode="_(* #,##0_);_(* \(#,##0\);_(* &quot;-&quot;?_);_(@_)"/>
    <numFmt numFmtId="185" formatCode="#,##0.000_ ;[Red]\-#,##0.000\ "/>
    <numFmt numFmtId="186" formatCode="#,##0.0_);\(#,##0.0\)"/>
    <numFmt numFmtId="187" formatCode="#,##0_ ;\-#,##0\ "/>
    <numFmt numFmtId="188" formatCode="#,##0;[Red]\(#,##0.0\)"/>
    <numFmt numFmtId="189" formatCode="#,##0_ ;[Red]\(#,##0\)\ "/>
    <numFmt numFmtId="190" formatCode="#,##0.00;\(#,##0.00\)"/>
    <numFmt numFmtId="191" formatCode="_)d\-mmm\-yy_)"/>
    <numFmt numFmtId="192" formatCode="_(#,##0.0_);\(#,##0.0\);_(&quot;-&quot;_)"/>
    <numFmt numFmtId="193" formatCode="_(###0_);\(###0\);_(###0_)"/>
    <numFmt numFmtId="194" formatCode="#,##0.0000_);[Red]\(#,##0.0000\)"/>
    <numFmt numFmtId="195" formatCode="&quot;Check&quot;;&quot;Check&quot;;&quot;OK&quot;"/>
    <numFmt numFmtId="196" formatCode="#,##0_);\(#,##0\);\-\-_)"/>
    <numFmt numFmtId="197" formatCode="[$-409]d\-mmm\-yy;&quot;nm&quot;;&quot;nm&quot;"/>
    <numFmt numFmtId="198" formatCode="_(&quot;$&quot;#,##0.0_);\(&quot;$&quot;#,##0.0\);_(&quot;$&quot;#,##0.0_)"/>
    <numFmt numFmtId="199" formatCode="d/m/yy"/>
    <numFmt numFmtId="200" formatCode="_(#,##0.0\x_);\(#,##0.0\x\);_(#,##0.0\x_)"/>
    <numFmt numFmtId="201" formatCode="_(#,##0.0_);\(#,##0.0\);_(#,##0.0_)"/>
    <numFmt numFmtId="202" formatCode="_(#,##0.0%_);\(#,##0.0%\);_(#,##0.0%_)"/>
    <numFmt numFmtId="203" formatCode="_)d/m/yy_)"/>
    <numFmt numFmtId="204" formatCode="0.000_)"/>
    <numFmt numFmtId="205" formatCode="_(&quot;Rp.&quot;* #,##0_);_(&quot;Rp.&quot;* \(#,##0\);_(&quot;Rp.&quot;* &quot;-&quot;_);_(@_)"/>
    <numFmt numFmtId="206" formatCode="00000"/>
    <numFmt numFmtId="207" formatCode="_-[$€-2]* #,##0.00_-;\-[$€-2]* #,##0.00_-;_-[$€-2]* &quot;-&quot;??_-"/>
    <numFmt numFmtId="208" formatCode="&quot;Rp.&quot;#,##0.00_);\(&quot;Rp.&quot;#,##0.00\)"/>
    <numFmt numFmtId="209" formatCode="0.00%;_*\(0.00\)%"/>
    <numFmt numFmtId="210" formatCode="#,##0\ &quot;bps&quot;;\-#,##0\ &quot;bps&quot;;#,##0\ &quot;bps&quot;"/>
    <numFmt numFmtId="211" formatCode="[$-409]mmm\-yy;&quot;nm&quot;;&quot;nm&quot;"/>
    <numFmt numFmtId="212" formatCode="#,##0\ &quot;days&quot;;\-#,##0\ &quot;days&quot;"/>
    <numFmt numFmtId="213" formatCode="#,##0.000,,_);\(#,##0.000,,\);\-\-_)"/>
    <numFmt numFmtId="214" formatCode="#,##0\ &quot;mths&quot;;\-#,##0\ &quot;mths&quot;;#,##0\ &quot;mths&quot;"/>
    <numFmt numFmtId="215" formatCode="0.00\x;\-0.00\x;0.00\x"/>
    <numFmt numFmtId="216" formatCode="0.00%;\-0.00%;\-\-\%"/>
    <numFmt numFmtId="217" formatCode="#,##0.000,_);\(#,##0.000,\);\-\-_)"/>
    <numFmt numFmtId="218" formatCode="#,##0\ &quot;yrs&quot;;\-#,##0\ &quot;yrs&quot;;@_x"/>
    <numFmt numFmtId="219" formatCode="_(#,##0_);\(#,##0\);_(#,##0_)"/>
    <numFmt numFmtId="220" formatCode="_-* #,##0.0_-;\(\ #,##0.0\)"/>
    <numFmt numFmtId="221" formatCode="General_)"/>
    <numFmt numFmtId="222" formatCode="0_)"/>
    <numFmt numFmtId="223" formatCode="\+0.0%;[Red]\-0.0%;\-"/>
  </numFmts>
  <fonts count="175">
    <font>
      <sz val="10"/>
      <color theme="1"/>
      <name val="Arial"/>
      <family val="2"/>
    </font>
    <font>
      <sz val="10"/>
      <color theme="1"/>
      <name val="Verdana"/>
      <family val="2"/>
    </font>
    <font>
      <sz val="10"/>
      <color theme="1"/>
      <name val="Verdana"/>
      <family val="2"/>
    </font>
    <font>
      <sz val="11"/>
      <color theme="1"/>
      <name val="Calibri"/>
      <family val="2"/>
      <scheme val="minor"/>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sz val="11"/>
      <color rgb="FFFF0000"/>
      <name val="Arial"/>
      <family val="2"/>
    </font>
    <font>
      <b/>
      <sz val="11"/>
      <color theme="1"/>
      <name val="Arial"/>
      <family val="2"/>
    </font>
    <font>
      <b/>
      <sz val="10"/>
      <name val="Arial"/>
      <family val="2"/>
    </font>
    <font>
      <sz val="8"/>
      <name val="Arial"/>
      <family val="2"/>
    </font>
    <font>
      <sz val="10"/>
      <color indexed="12"/>
      <name val="Arial"/>
      <family val="2"/>
    </font>
    <font>
      <b/>
      <u/>
      <sz val="12"/>
      <color rgb="FFFF0000"/>
      <name val="Arial"/>
      <family val="2"/>
    </font>
    <font>
      <sz val="10"/>
      <color rgb="FF0000FF"/>
      <name val="Arial"/>
      <family val="2"/>
    </font>
    <font>
      <i/>
      <sz val="11"/>
      <name val="Arial"/>
      <family val="2"/>
    </font>
    <font>
      <b/>
      <sz val="12"/>
      <color theme="1"/>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b/>
      <sz val="13"/>
      <color rgb="FFFF0000"/>
      <name val="Arial"/>
      <family val="2"/>
    </font>
    <font>
      <sz val="7"/>
      <color theme="1"/>
      <name val="Arial"/>
      <family val="2"/>
    </font>
    <font>
      <b/>
      <u/>
      <sz val="10"/>
      <color rgb="FFFF0000"/>
      <name val="Arial"/>
      <family val="2"/>
    </font>
    <font>
      <b/>
      <vertAlign val="subscript"/>
      <sz val="10"/>
      <name val="Arial"/>
      <family val="2"/>
    </font>
    <font>
      <b/>
      <sz val="10"/>
      <color indexed="8"/>
      <name val="Arial"/>
      <family val="2"/>
    </font>
    <font>
      <b/>
      <u/>
      <sz val="14"/>
      <color rgb="FFFF0000"/>
      <name val="Arial"/>
      <family val="2"/>
    </font>
    <font>
      <sz val="11"/>
      <color rgb="FF0000FF"/>
      <name val="Arial"/>
      <family val="2"/>
    </font>
    <font>
      <b/>
      <sz val="10"/>
      <color theme="1"/>
      <name val="Arial"/>
      <family val="2"/>
    </font>
    <font>
      <b/>
      <vertAlign val="superscript"/>
      <sz val="10"/>
      <color theme="1"/>
      <name val="Arial"/>
      <family val="2"/>
    </font>
    <font>
      <vertAlign val="subscript"/>
      <sz val="10"/>
      <color theme="1"/>
      <name val="Arial"/>
      <family val="2"/>
    </font>
    <font>
      <b/>
      <sz val="10"/>
      <name val="Verdana"/>
      <family val="2"/>
    </font>
    <font>
      <b/>
      <sz val="11"/>
      <color theme="1"/>
      <name val="Calibri"/>
      <family val="2"/>
      <scheme val="minor"/>
    </font>
    <font>
      <sz val="11"/>
      <color rgb="FFFF0000"/>
      <name val="Calibri"/>
      <family val="2"/>
      <scheme val="minor"/>
    </font>
    <font>
      <sz val="11"/>
      <name val="Calibri"/>
      <family val="2"/>
      <scheme val="minor"/>
    </font>
    <font>
      <sz val="11"/>
      <color rgb="FF0000FF"/>
      <name val="Calibri"/>
      <family val="2"/>
      <scheme val="minor"/>
    </font>
    <font>
      <b/>
      <sz val="12"/>
      <color theme="1"/>
      <name val="Calibri"/>
      <family val="2"/>
      <scheme val="minor"/>
    </font>
    <font>
      <b/>
      <u/>
      <sz val="11"/>
      <color theme="1"/>
      <name val="Calibri"/>
      <family val="2"/>
      <scheme val="minor"/>
    </font>
    <font>
      <b/>
      <sz val="11"/>
      <name val="Calibri"/>
      <family val="2"/>
      <scheme val="minor"/>
    </font>
    <font>
      <b/>
      <sz val="12"/>
      <color rgb="FFFF0000"/>
      <name val="Calibri"/>
      <family val="2"/>
      <scheme val="minor"/>
    </font>
    <font>
      <sz val="8"/>
      <color rgb="FFFF0000"/>
      <name val="Arial"/>
      <family val="2"/>
    </font>
    <font>
      <b/>
      <sz val="10"/>
      <color rgb="FF0000FF"/>
      <name val="Arial"/>
      <family val="2"/>
    </font>
    <font>
      <b/>
      <sz val="11"/>
      <color rgb="FFFF0000"/>
      <name val="Arial"/>
      <family val="2"/>
    </font>
    <font>
      <b/>
      <sz val="18"/>
      <color theme="3"/>
      <name val="Cambria"/>
      <family val="2"/>
      <scheme val="major"/>
    </font>
    <font>
      <b/>
      <sz val="15"/>
      <color theme="3"/>
      <name val="Verdana"/>
      <family val="2"/>
    </font>
    <font>
      <b/>
      <sz val="13"/>
      <color theme="3"/>
      <name val="Verdana"/>
      <family val="2"/>
    </font>
    <font>
      <b/>
      <sz val="11"/>
      <color theme="3"/>
      <name val="Verdana"/>
      <family val="2"/>
    </font>
    <font>
      <sz val="10"/>
      <color rgb="FF006100"/>
      <name val="Verdana"/>
      <family val="2"/>
    </font>
    <font>
      <sz val="10"/>
      <color rgb="FF9C0006"/>
      <name val="Verdana"/>
      <family val="2"/>
    </font>
    <font>
      <sz val="10"/>
      <color rgb="FF9C6500"/>
      <name val="Verdana"/>
      <family val="2"/>
    </font>
    <font>
      <sz val="10"/>
      <color rgb="FF3F3F76"/>
      <name val="Verdana"/>
      <family val="2"/>
    </font>
    <font>
      <b/>
      <sz val="10"/>
      <color rgb="FF3F3F3F"/>
      <name val="Verdana"/>
      <family val="2"/>
    </font>
    <font>
      <b/>
      <sz val="10"/>
      <color rgb="FFFA7D00"/>
      <name val="Verdana"/>
      <family val="2"/>
    </font>
    <font>
      <sz val="10"/>
      <color rgb="FFFA7D00"/>
      <name val="Verdana"/>
      <family val="2"/>
    </font>
    <font>
      <b/>
      <sz val="10"/>
      <color theme="0"/>
      <name val="Verdana"/>
      <family val="2"/>
    </font>
    <font>
      <sz val="10"/>
      <color rgb="FFFF0000"/>
      <name val="Verdana"/>
      <family val="2"/>
    </font>
    <font>
      <i/>
      <sz val="10"/>
      <color rgb="FF7F7F7F"/>
      <name val="Verdana"/>
      <family val="2"/>
    </font>
    <font>
      <b/>
      <sz val="10"/>
      <color theme="1"/>
      <name val="Verdana"/>
      <family val="2"/>
    </font>
    <font>
      <sz val="10"/>
      <color theme="0"/>
      <name val="Verdana"/>
      <family val="2"/>
    </font>
    <font>
      <b/>
      <sz val="16"/>
      <color indexed="9"/>
      <name val="Arial"/>
      <family val="2"/>
    </font>
    <font>
      <b/>
      <sz val="9"/>
      <name val="Arial"/>
      <family val="2"/>
    </font>
    <font>
      <sz val="10"/>
      <name val="Helv"/>
      <charset val="204"/>
    </font>
    <font>
      <sz val="14"/>
      <name val="System"/>
      <family val="2"/>
    </font>
    <font>
      <sz val="11"/>
      <color indexed="9"/>
      <name val="Calibri"/>
      <family val="2"/>
    </font>
    <font>
      <sz val="9"/>
      <name val="AGaramond"/>
    </font>
    <font>
      <sz val="10"/>
      <name val="Times New Roman"/>
      <family val="1"/>
    </font>
    <font>
      <sz val="11"/>
      <color indexed="20"/>
      <name val="Calibri"/>
      <family val="2"/>
    </font>
    <font>
      <sz val="10"/>
      <name val="Helvetica"/>
      <family val="2"/>
    </font>
    <font>
      <sz val="10"/>
      <color indexed="12"/>
      <name val="Helvetica"/>
      <family val="2"/>
    </font>
    <font>
      <b/>
      <sz val="11"/>
      <color indexed="52"/>
      <name val="Calibri"/>
      <family val="2"/>
    </font>
    <font>
      <b/>
      <sz val="11"/>
      <color indexed="9"/>
      <name val="Calibri"/>
      <family val="2"/>
    </font>
    <font>
      <sz val="10"/>
      <name val="MS Sans Serif"/>
      <family val="2"/>
    </font>
    <font>
      <sz val="10"/>
      <color indexed="24"/>
      <name val="Arial"/>
      <family val="2"/>
    </font>
    <font>
      <b/>
      <sz val="11"/>
      <color indexed="8"/>
      <name val="Calibri"/>
      <family val="2"/>
    </font>
    <font>
      <i/>
      <sz val="11"/>
      <color indexed="23"/>
      <name val="Calibri"/>
      <family val="2"/>
    </font>
    <font>
      <sz val="9"/>
      <name val="GillSans"/>
      <family val="2"/>
    </font>
    <font>
      <sz val="9"/>
      <name val="GillSans Light"/>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b/>
      <sz val="8"/>
      <name val="Arial"/>
      <family val="2"/>
    </font>
    <font>
      <b/>
      <sz val="8.5"/>
      <name val="Univers 65"/>
      <family val="2"/>
    </font>
    <font>
      <u/>
      <sz val="11"/>
      <color theme="10"/>
      <name val="Calibri"/>
      <family val="2"/>
    </font>
    <font>
      <u/>
      <sz val="10"/>
      <color indexed="12"/>
      <name val="Arial"/>
      <family val="2"/>
    </font>
    <font>
      <u/>
      <sz val="11"/>
      <color indexed="12"/>
      <name val="Calibri"/>
      <family val="2"/>
    </font>
    <font>
      <u/>
      <sz val="11"/>
      <color theme="10"/>
      <name val="Calibri"/>
      <family val="2"/>
      <scheme val="minor"/>
    </font>
    <font>
      <b/>
      <sz val="10"/>
      <color indexed="56"/>
      <name val="Wingdings"/>
      <charset val="2"/>
    </font>
    <font>
      <b/>
      <u/>
      <sz val="8"/>
      <color indexed="56"/>
      <name val="Arial"/>
      <family val="2"/>
    </font>
    <font>
      <sz val="11"/>
      <color indexed="62"/>
      <name val="Calibri"/>
      <family val="2"/>
    </font>
    <font>
      <b/>
      <sz val="9"/>
      <color indexed="9"/>
      <name val="Arial"/>
      <family val="2"/>
    </font>
    <font>
      <sz val="11"/>
      <color indexed="52"/>
      <name val="Calibri"/>
      <family val="2"/>
    </font>
    <font>
      <sz val="9"/>
      <name val="Arial"/>
      <family val="2"/>
    </font>
    <font>
      <sz val="12"/>
      <color indexed="14"/>
      <name val="Arial"/>
      <family val="2"/>
    </font>
    <font>
      <b/>
      <sz val="12"/>
      <name val="Arial"/>
      <family val="2"/>
    </font>
    <font>
      <sz val="11"/>
      <color indexed="60"/>
      <name val="Calibri"/>
      <family val="2"/>
    </font>
    <font>
      <sz val="8"/>
      <name val="Palatino"/>
      <family val="1"/>
    </font>
    <font>
      <b/>
      <sz val="11"/>
      <color indexed="63"/>
      <name val="Calibri"/>
      <family val="2"/>
    </font>
    <font>
      <sz val="8.5"/>
      <name val="Univers 55"/>
      <family val="2"/>
    </font>
    <font>
      <sz val="10"/>
      <color indexed="18"/>
      <name val="Times New Roman"/>
      <family val="1"/>
    </font>
    <font>
      <b/>
      <sz val="10"/>
      <name val="MS Sans Serif"/>
      <family val="2"/>
    </font>
    <font>
      <b/>
      <sz val="18"/>
      <color indexed="62"/>
      <name val="Cambria"/>
      <family val="2"/>
    </font>
    <font>
      <b/>
      <sz val="14"/>
      <name val="Arial"/>
      <family val="2"/>
    </font>
    <font>
      <sz val="9"/>
      <color indexed="21"/>
      <name val="Helvetica-Black"/>
    </font>
    <font>
      <b/>
      <sz val="9"/>
      <name val="Palatino"/>
      <family val="1"/>
    </font>
    <font>
      <sz val="7"/>
      <name val="Palatino"/>
      <family val="1"/>
    </font>
    <font>
      <b/>
      <sz val="12"/>
      <color theme="0"/>
      <name val="Calibri"/>
      <family val="2"/>
      <scheme val="minor"/>
    </font>
    <font>
      <sz val="12"/>
      <name val="Palatino"/>
      <family val="1"/>
    </font>
    <font>
      <sz val="11"/>
      <name val="Helvetica-Black"/>
    </font>
    <font>
      <sz val="12"/>
      <color indexed="12"/>
      <name val="Arial MT"/>
    </font>
    <font>
      <b/>
      <u/>
      <sz val="9.5"/>
      <color indexed="56"/>
      <name val="Arial"/>
      <family val="2"/>
    </font>
    <font>
      <u/>
      <sz val="8"/>
      <color indexed="56"/>
      <name val="Arial"/>
      <family val="2"/>
    </font>
    <font>
      <sz val="11"/>
      <color indexed="10"/>
      <name val="Calibri"/>
      <family val="2"/>
    </font>
    <font>
      <b/>
      <sz val="10"/>
      <color indexed="9"/>
      <name val="Arial"/>
      <family val="2"/>
    </font>
    <font>
      <sz val="10"/>
      <color indexed="9"/>
      <name val="Arial"/>
      <family val="2"/>
    </font>
    <font>
      <i/>
      <sz val="10"/>
      <color indexed="8"/>
      <name val="Arial"/>
      <family val="2"/>
    </font>
    <font>
      <b/>
      <sz val="10"/>
      <color indexed="63"/>
      <name val="Arial"/>
      <family val="2"/>
    </font>
    <font>
      <b/>
      <sz val="11"/>
      <color indexed="17"/>
      <name val="Calibri"/>
      <family val="2"/>
    </font>
    <font>
      <b/>
      <sz val="8"/>
      <color indexed="15"/>
      <name val="Times New Roman"/>
      <family val="1"/>
    </font>
    <font>
      <sz val="11"/>
      <name val="Tms Rmn"/>
    </font>
    <font>
      <sz val="10"/>
      <name val="Palatino"/>
    </font>
    <font>
      <sz val="11"/>
      <name val="Book Antiqua"/>
      <family val="1"/>
    </font>
    <font>
      <b/>
      <sz val="10"/>
      <name val="Book Antiqua"/>
      <family val="1"/>
    </font>
    <font>
      <sz val="9"/>
      <color indexed="10"/>
      <name val="Times New Roman"/>
      <family val="1"/>
    </font>
    <font>
      <sz val="11"/>
      <color indexed="48"/>
      <name val="Calibri"/>
      <family val="2"/>
    </font>
    <font>
      <sz val="8"/>
      <name val="MS Sans Serif"/>
      <family val="2"/>
    </font>
    <font>
      <sz val="10"/>
      <color indexed="63"/>
      <name val="Arial"/>
      <family val="2"/>
    </font>
    <font>
      <sz val="9"/>
      <color indexed="12"/>
      <name val="Times New Roman"/>
      <family val="1"/>
    </font>
    <font>
      <b/>
      <sz val="10"/>
      <color indexed="39"/>
      <name val="Arial"/>
      <family val="2"/>
    </font>
    <font>
      <sz val="8"/>
      <color indexed="62"/>
      <name val="Arial"/>
      <family val="2"/>
    </font>
    <font>
      <b/>
      <sz val="8"/>
      <color indexed="8"/>
      <name val="Arial"/>
      <family val="2"/>
    </font>
    <font>
      <sz val="10"/>
      <color indexed="8"/>
      <name val="Arial"/>
      <family val="2"/>
    </font>
    <font>
      <b/>
      <sz val="12"/>
      <color indexed="8"/>
      <name val="Arial"/>
      <family val="2"/>
    </font>
    <font>
      <sz val="8"/>
      <color indexed="8"/>
      <name val="Arial"/>
      <family val="2"/>
    </font>
    <font>
      <sz val="10"/>
      <color indexed="39"/>
      <name val="Arial"/>
      <family val="2"/>
    </font>
    <font>
      <sz val="9"/>
      <color indexed="8"/>
      <name val="Arial"/>
      <family val="2"/>
    </font>
    <font>
      <b/>
      <sz val="16"/>
      <color indexed="48"/>
      <name val="Arial"/>
      <family val="2"/>
    </font>
    <font>
      <sz val="19"/>
      <name val="Arial"/>
      <family val="2"/>
    </font>
    <font>
      <b/>
      <sz val="14"/>
      <color indexed="48"/>
      <name val="Arial"/>
      <family val="2"/>
    </font>
    <font>
      <sz val="8"/>
      <color indexed="14"/>
      <name val="Arial"/>
      <family val="2"/>
    </font>
    <font>
      <b/>
      <sz val="13"/>
      <name val="Arial"/>
      <family val="2"/>
    </font>
    <font>
      <sz val="9"/>
      <color indexed="20"/>
      <name val="Arial"/>
      <family val="2"/>
    </font>
    <font>
      <b/>
      <sz val="12"/>
      <color indexed="20"/>
      <name val="Arial"/>
      <family val="2"/>
    </font>
    <font>
      <sz val="8"/>
      <name val="Book Antiqua"/>
      <family val="1"/>
    </font>
    <font>
      <sz val="11"/>
      <name val="Calibri"/>
      <family val="2"/>
    </font>
    <font>
      <sz val="11"/>
      <color indexed="37"/>
      <name val="Calibri"/>
      <family val="2"/>
    </font>
    <font>
      <sz val="11"/>
      <color indexed="14"/>
      <name val="Calibri"/>
      <family val="2"/>
    </font>
    <font>
      <sz val="11"/>
      <color indexed="16"/>
      <name val="Calibri"/>
      <family val="2"/>
    </font>
    <font>
      <b/>
      <sz val="11"/>
      <color indexed="53"/>
      <name val="Calibri"/>
      <family val="2"/>
    </font>
    <font>
      <i/>
      <sz val="10"/>
      <color indexed="23"/>
      <name val="Arial"/>
      <family val="2"/>
    </font>
    <font>
      <sz val="11"/>
      <color indexed="53"/>
      <name val="Calibri"/>
      <family val="2"/>
    </font>
    <font>
      <sz val="10"/>
      <color rgb="FF00B050"/>
      <name val="Arial"/>
      <family val="2"/>
    </font>
  </fonts>
  <fills count="139">
    <fill>
      <patternFill patternType="none"/>
    </fill>
    <fill>
      <patternFill patternType="gray125"/>
    </fill>
    <fill>
      <patternFill patternType="solid">
        <fgColor rgb="FF365F91"/>
        <bgColor indexed="64"/>
      </patternFill>
    </fill>
    <fill>
      <patternFill patternType="solid">
        <fgColor rgb="FFDBE5F1"/>
        <bgColor indexed="64"/>
      </patternFill>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499984740745262"/>
        <bgColor indexed="64"/>
      </patternFill>
    </fill>
    <fill>
      <patternFill patternType="solid">
        <fgColor indexed="8"/>
        <bgColor indexed="64"/>
      </patternFill>
    </fill>
    <fill>
      <patternFill patternType="solid">
        <fgColor theme="4" tint="0.39997558519241921"/>
        <bgColor indexed="64"/>
      </patternFill>
    </fill>
    <fill>
      <patternFill patternType="solid">
        <fgColor indexed="38"/>
      </patternFill>
    </fill>
    <fill>
      <patternFill patternType="solid">
        <fgColor indexed="47"/>
      </patternFill>
    </fill>
    <fill>
      <patternFill patternType="solid">
        <fgColor indexed="26"/>
      </patternFill>
    </fill>
    <fill>
      <patternFill patternType="solid">
        <fgColor indexed="9"/>
      </patternFill>
    </fill>
    <fill>
      <patternFill patternType="solid">
        <fgColor indexed="43"/>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49"/>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10"/>
      </patternFill>
    </fill>
    <fill>
      <patternFill patternType="solid">
        <fgColor indexed="42"/>
        <bgColor indexed="42"/>
      </patternFill>
    </fill>
    <fill>
      <patternFill patternType="solid">
        <fgColor indexed="57"/>
      </patternFill>
    </fill>
    <fill>
      <patternFill patternType="solid">
        <fgColor indexed="54"/>
      </patternFill>
    </fill>
    <fill>
      <patternFill patternType="solid">
        <fgColor indexed="27"/>
        <bgColor indexed="27"/>
      </patternFill>
    </fill>
    <fill>
      <patternFill patternType="solid">
        <fgColor indexed="47"/>
        <bgColor indexed="47"/>
      </patternFill>
    </fill>
    <fill>
      <patternFill patternType="solid">
        <fgColor indexed="53"/>
      </patternFill>
    </fill>
    <fill>
      <patternFill patternType="solid">
        <fgColor indexed="45"/>
      </patternFill>
    </fill>
    <fill>
      <patternFill patternType="solid">
        <fgColor indexed="5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2"/>
      </patternFill>
    </fill>
    <fill>
      <patternFill patternType="solid">
        <fgColor indexed="44"/>
        <bgColor indexed="64"/>
      </patternFill>
    </fill>
    <fill>
      <patternFill patternType="gray0625">
        <bgColor indexed="44"/>
      </patternFill>
    </fill>
    <fill>
      <patternFill patternType="solid">
        <fgColor indexed="42"/>
        <bgColor indexed="64"/>
      </patternFill>
    </fill>
    <fill>
      <patternFill patternType="solid">
        <fgColor indexed="62"/>
        <bgColor indexed="64"/>
      </patternFill>
    </fill>
    <fill>
      <patternFill patternType="mediumGray">
        <fgColor indexed="22"/>
      </patternFill>
    </fill>
    <fill>
      <patternFill patternType="solid">
        <fgColor theme="4" tint="-0.499984740745262"/>
        <bgColor indexed="64"/>
      </patternFill>
    </fill>
    <fill>
      <patternFill patternType="solid">
        <fgColor indexed="61"/>
        <bgColor indexed="61"/>
      </patternFill>
    </fill>
    <fill>
      <patternFill patternType="solid">
        <fgColor indexed="58"/>
        <bgColor indexed="58"/>
      </patternFill>
    </fill>
    <fill>
      <patternFill patternType="solid">
        <fgColor indexed="48"/>
        <bgColor indexed="48"/>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1"/>
        <bgColor indexed="51"/>
      </patternFill>
    </fill>
    <fill>
      <patternFill patternType="solid">
        <fgColor indexed="53"/>
        <bgColor indexed="53"/>
      </patternFill>
    </fill>
    <fill>
      <patternFill patternType="solid">
        <fgColor indexed="35"/>
        <bgColor indexed="35"/>
      </patternFill>
    </fill>
    <fill>
      <patternFill patternType="lightGray">
        <fgColor indexed="13"/>
      </patternFill>
    </fill>
    <fill>
      <patternFill patternType="lightUp">
        <fgColor indexed="9"/>
        <bgColor indexed="24"/>
      </patternFill>
    </fill>
    <fill>
      <patternFill patternType="lightUp">
        <fgColor indexed="9"/>
        <bgColor indexed="12"/>
      </patternFill>
    </fill>
    <fill>
      <patternFill patternType="solid">
        <fgColor indexed="18"/>
        <bgColor indexed="64"/>
      </patternFill>
    </fill>
    <fill>
      <patternFill patternType="solid">
        <fgColor indexed="12"/>
        <bgColor indexed="64"/>
      </patternFill>
    </fill>
    <fill>
      <patternFill patternType="solid">
        <fgColor indexed="40"/>
        <bgColor indexed="64"/>
      </patternFill>
    </fill>
    <fill>
      <patternFill patternType="solid">
        <fgColor indexed="60"/>
      </patternFill>
    </fill>
    <fill>
      <patternFill patternType="solid">
        <fgColor indexed="29"/>
      </patternFill>
    </fill>
    <fill>
      <patternFill patternType="solid">
        <fgColor indexed="12"/>
      </patternFill>
    </fill>
    <fill>
      <patternFill patternType="solid">
        <fgColor indexed="51"/>
      </patternFill>
    </fill>
    <fill>
      <patternFill patternType="solid">
        <fgColor indexed="52"/>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26"/>
        <bgColor indexed="54"/>
      </patternFill>
    </fill>
    <fill>
      <patternFill patternType="solid">
        <fgColor indexed="23"/>
      </patternFill>
    </fill>
    <fill>
      <patternFill patternType="solid">
        <fgColor indexed="26"/>
        <bgColor indexed="40"/>
      </patternFill>
    </fill>
    <fill>
      <patternFill patternType="solid">
        <fgColor indexed="44"/>
      </patternFill>
    </fill>
    <fill>
      <patternFill patternType="solid">
        <fgColor indexed="26"/>
        <bgColor indexed="44"/>
      </patternFill>
    </fill>
    <fill>
      <patternFill patternType="solid">
        <fgColor indexed="26"/>
        <bgColor indexed="41"/>
      </patternFill>
    </fill>
    <fill>
      <patternFill patternType="solid">
        <fgColor indexed="26"/>
        <bgColor indexed="43"/>
      </patternFill>
    </fill>
    <fill>
      <patternFill patternType="solid">
        <fgColor indexed="15"/>
      </patternFill>
    </fill>
    <fill>
      <patternFill patternType="solid">
        <fgColor indexed="20"/>
      </patternFill>
    </fill>
    <fill>
      <patternFill patternType="solid">
        <fgColor indexed="14"/>
        <bgColor indexed="64"/>
      </patternFill>
    </fill>
    <fill>
      <patternFill patternType="lightUp">
        <fgColor indexed="9"/>
        <bgColor indexed="57"/>
      </patternFill>
    </fill>
    <fill>
      <patternFill patternType="solid">
        <fgColor indexed="24"/>
        <bgColor indexed="24"/>
      </patternFill>
    </fill>
    <fill>
      <patternFill patternType="solid">
        <fgColor indexed="15"/>
        <bgColor indexed="15"/>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9"/>
        <bgColor indexed="9"/>
      </patternFill>
    </fill>
    <fill>
      <patternFill patternType="solid">
        <fgColor rgb="FF92D050"/>
        <bgColor indexed="64"/>
      </patternFill>
    </fill>
  </fills>
  <borders count="107">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thin">
        <color indexed="64"/>
      </top>
      <bottom style="double">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38"/>
      </bottom>
      <diagonal/>
    </border>
    <border>
      <left/>
      <right/>
      <top/>
      <bottom style="medium">
        <color indexed="38"/>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64"/>
      </left>
      <right style="medium">
        <color indexed="64"/>
      </right>
      <top style="thin">
        <color theme="0" tint="-0.34998626667073579"/>
      </top>
      <bottom style="thin">
        <color theme="0" tint="-0.34998626667073579"/>
      </bottom>
      <diagonal/>
    </border>
    <border>
      <left/>
      <right/>
      <top style="thin">
        <color indexed="49"/>
      </top>
      <bottom style="double">
        <color indexed="49"/>
      </bottom>
      <diagonal/>
    </border>
    <border>
      <left style="medium">
        <color indexed="22"/>
      </left>
      <right style="medium">
        <color indexed="22"/>
      </right>
      <top style="medium">
        <color indexed="22"/>
      </top>
      <bottom style="medium">
        <color indexed="22"/>
      </bottom>
      <diagonal/>
    </border>
    <border>
      <left style="thin">
        <color indexed="18"/>
      </left>
      <right style="thin">
        <color indexed="18"/>
      </right>
      <top style="thin">
        <color indexed="18"/>
      </top>
      <bottom style="thin">
        <color indexed="18"/>
      </bottom>
      <diagonal/>
    </border>
    <border>
      <left/>
      <right/>
      <top/>
      <bottom style="hair">
        <color indexed="64"/>
      </bottom>
      <diagonal/>
    </border>
    <border>
      <left/>
      <right/>
      <top/>
      <bottom style="dotted">
        <color indexed="64"/>
      </bottom>
      <diagonal/>
    </border>
    <border>
      <left style="thin">
        <color indexed="8"/>
      </left>
      <right style="thin">
        <color indexed="8"/>
      </right>
      <top style="thin">
        <color indexed="8"/>
      </top>
      <bottom style="thin">
        <color indexed="8"/>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48"/>
      </left>
      <right style="thin">
        <color indexed="48"/>
      </right>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48"/>
      </left>
      <right style="thin">
        <color indexed="48"/>
      </right>
      <top/>
      <bottom/>
      <diagonal/>
    </border>
    <border>
      <left style="thin">
        <color indexed="51"/>
      </left>
      <right style="thin">
        <color indexed="51"/>
      </right>
      <top/>
      <bottom/>
      <diagonal/>
    </border>
    <border>
      <left/>
      <right/>
      <top style="thin">
        <color indexed="48"/>
      </top>
      <bottom style="double">
        <color indexed="48"/>
      </bottom>
      <diagonal/>
    </border>
    <border>
      <left/>
      <right/>
      <top/>
      <bottom style="thick">
        <color indexed="55"/>
      </bottom>
      <diagonal/>
    </border>
    <border>
      <left/>
      <right/>
      <top/>
      <bottom style="medium">
        <color indexed="49"/>
      </bottom>
      <diagonal/>
    </border>
    <border>
      <left style="thin">
        <color indexed="55"/>
      </left>
      <right style="thin">
        <color indexed="55"/>
      </right>
      <top style="thin">
        <color indexed="55"/>
      </top>
      <bottom style="thin">
        <color indexed="55"/>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bottom style="double">
        <color indexed="17"/>
      </bottom>
      <diagonal/>
    </border>
    <border>
      <left/>
      <right/>
      <top/>
      <bottom style="thick">
        <color indexed="22"/>
      </bottom>
      <diagonal/>
    </border>
    <border>
      <left/>
      <right/>
      <top/>
      <bottom style="medium">
        <color indexed="24"/>
      </bottom>
      <diagonal/>
    </border>
    <border>
      <left/>
      <right/>
      <top/>
      <bottom style="double">
        <color indexed="53"/>
      </bottom>
      <diagonal/>
    </border>
    <border>
      <left/>
      <right/>
      <top/>
      <bottom style="medium">
        <color auto="1"/>
      </bottom>
      <diagonal/>
    </border>
  </borders>
  <cellStyleXfs count="20121">
    <xf numFmtId="0" fontId="0" fillId="0" borderId="0"/>
    <xf numFmtId="0" fontId="15" fillId="0" borderId="0"/>
    <xf numFmtId="0" fontId="16" fillId="0" borderId="0"/>
    <xf numFmtId="9" fontId="15" fillId="0" borderId="0" applyFont="0" applyFill="0" applyBorder="0" applyAlignment="0" applyProtection="0"/>
    <xf numFmtId="0" fontId="17" fillId="0" borderId="0"/>
    <xf numFmtId="43" fontId="4" fillId="0" borderId="0" applyFont="0" applyFill="0" applyBorder="0" applyAlignment="0" applyProtection="0"/>
    <xf numFmtId="9" fontId="4" fillId="0" borderId="0" applyFont="0" applyFill="0" applyBorder="0" applyAlignment="0" applyProtection="0"/>
    <xf numFmtId="0" fontId="16" fillId="0" borderId="0"/>
    <xf numFmtId="3" fontId="16" fillId="11" borderId="0" applyNumberFormat="0" applyFont="0" applyBorder="0" applyAlignment="0">
      <alignment horizontal="right"/>
      <protection locked="0"/>
    </xf>
    <xf numFmtId="0" fontId="16" fillId="0" borderId="0"/>
    <xf numFmtId="0" fontId="16" fillId="0" borderId="0"/>
    <xf numFmtId="0" fontId="16" fillId="0" borderId="0"/>
    <xf numFmtId="0" fontId="16" fillId="0" borderId="0"/>
    <xf numFmtId="0" fontId="16" fillId="0" borderId="0"/>
    <xf numFmtId="0" fontId="18" fillId="14" borderId="0" applyNumberFormat="0" applyBorder="0" applyAlignment="0" applyProtection="0"/>
    <xf numFmtId="172" fontId="15" fillId="0" borderId="0" applyFont="0" applyFill="0" applyBorder="0" applyAlignment="0" applyProtection="0"/>
    <xf numFmtId="0" fontId="15" fillId="0" borderId="0"/>
    <xf numFmtId="0" fontId="16" fillId="0" borderId="0"/>
    <xf numFmtId="0" fontId="16" fillId="0" borderId="0"/>
    <xf numFmtId="0" fontId="3" fillId="0" borderId="0"/>
    <xf numFmtId="0" fontId="16" fillId="0" borderId="0"/>
    <xf numFmtId="9" fontId="3" fillId="0" borderId="0" applyFont="0" applyFill="0" applyBorder="0" applyAlignment="0" applyProtection="0"/>
    <xf numFmtId="0" fontId="3" fillId="0" borderId="0"/>
    <xf numFmtId="0" fontId="3" fillId="0" borderId="0"/>
    <xf numFmtId="0" fontId="2" fillId="0" borderId="0"/>
    <xf numFmtId="0" fontId="4" fillId="0" borderId="0"/>
    <xf numFmtId="0" fontId="3" fillId="0" borderId="0"/>
    <xf numFmtId="43"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0" fontId="16" fillId="0" borderId="0"/>
    <xf numFmtId="0" fontId="16" fillId="4" borderId="0"/>
    <xf numFmtId="177" fontId="16" fillId="16" borderId="0" applyNumberFormat="0" applyFont="0" applyBorder="0" applyAlignment="0">
      <alignment horizontal="right"/>
    </xf>
    <xf numFmtId="0" fontId="16" fillId="0" borderId="0"/>
    <xf numFmtId="0" fontId="16" fillId="0" borderId="0"/>
    <xf numFmtId="0" fontId="16" fillId="0" borderId="0"/>
    <xf numFmtId="178" fontId="16" fillId="0" borderId="0"/>
    <xf numFmtId="178" fontId="16" fillId="0" borderId="0"/>
    <xf numFmtId="0" fontId="84" fillId="0" borderId="0"/>
    <xf numFmtId="0" fontId="84" fillId="0" borderId="0"/>
    <xf numFmtId="0" fontId="16"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16" fillId="0" borderId="0"/>
    <xf numFmtId="0" fontId="16" fillId="0" borderId="0"/>
    <xf numFmtId="0" fontId="16" fillId="0" borderId="0"/>
    <xf numFmtId="179" fontId="31" fillId="0" borderId="0"/>
    <xf numFmtId="179" fontId="31" fillId="0" borderId="0"/>
    <xf numFmtId="0" fontId="18" fillId="57" borderId="0" applyNumberFormat="0" applyBorder="0" applyAlignment="0" applyProtection="0"/>
    <xf numFmtId="0" fontId="3" fillId="30" borderId="0" applyNumberFormat="0" applyBorder="0" applyAlignment="0" applyProtection="0"/>
    <xf numFmtId="0" fontId="18" fillId="58" borderId="0" applyNumberFormat="0" applyBorder="0" applyAlignment="0" applyProtection="0"/>
    <xf numFmtId="0" fontId="18" fillId="59" borderId="0" applyNumberFormat="0" applyBorder="0" applyAlignment="0" applyProtection="0"/>
    <xf numFmtId="0" fontId="18" fillId="60"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7" borderId="0" applyNumberFormat="0" applyBorder="0" applyAlignment="0" applyProtection="0"/>
    <xf numFmtId="0" fontId="3" fillId="31" borderId="0" applyNumberFormat="0" applyBorder="0" applyAlignment="0" applyProtection="0"/>
    <xf numFmtId="0" fontId="18" fillId="58" borderId="0" applyNumberFormat="0" applyBorder="0" applyAlignment="0" applyProtection="0"/>
    <xf numFmtId="0" fontId="18" fillId="61" borderId="0" applyNumberFormat="0" applyBorder="0" applyAlignment="0" applyProtection="0"/>
    <xf numFmtId="0" fontId="18" fillId="62"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86" fillId="57" borderId="0" applyNumberFormat="0" applyBorder="0" applyAlignment="0" applyProtection="0"/>
    <xf numFmtId="0" fontId="86" fillId="58" borderId="0" applyNumberFormat="0" applyBorder="0" applyAlignment="0" applyProtection="0"/>
    <xf numFmtId="0" fontId="86" fillId="61" borderId="0" applyNumberFormat="0" applyBorder="0" applyAlignment="0" applyProtection="0"/>
    <xf numFmtId="0" fontId="86" fillId="62" borderId="0" applyNumberFormat="0" applyBorder="0" applyAlignment="0" applyProtection="0"/>
    <xf numFmtId="0" fontId="86" fillId="57" borderId="0" applyNumberFormat="0" applyBorder="0" applyAlignment="0" applyProtection="0"/>
    <xf numFmtId="0" fontId="86" fillId="58"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86" fillId="64"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18" fillId="66" borderId="0" applyNumberFormat="0" applyBorder="0" applyAlignment="0" applyProtection="0"/>
    <xf numFmtId="0" fontId="18" fillId="67" borderId="0" applyNumberFormat="0" applyBorder="0" applyAlignment="0" applyProtection="0"/>
    <xf numFmtId="0" fontId="86" fillId="68" borderId="0" applyNumberFormat="0" applyBorder="0" applyAlignment="0" applyProtection="0"/>
    <xf numFmtId="0" fontId="86" fillId="69" borderId="0" applyNumberFormat="0" applyBorder="0" applyAlignment="0" applyProtection="0"/>
    <xf numFmtId="0" fontId="86" fillId="69" borderId="0" applyNumberFormat="0" applyBorder="0" applyAlignment="0" applyProtection="0"/>
    <xf numFmtId="0" fontId="86" fillId="69" borderId="0" applyNumberFormat="0" applyBorder="0" applyAlignment="0" applyProtection="0"/>
    <xf numFmtId="0" fontId="86" fillId="69" borderId="0" applyNumberFormat="0" applyBorder="0" applyAlignment="0" applyProtection="0"/>
    <xf numFmtId="0" fontId="18" fillId="66" borderId="0" applyNumberFormat="0" applyBorder="0" applyAlignment="0" applyProtection="0"/>
    <xf numFmtId="0" fontId="18" fillId="70" borderId="0" applyNumberFormat="0" applyBorder="0" applyAlignment="0" applyProtection="0"/>
    <xf numFmtId="0" fontId="86" fillId="67" borderId="0" applyNumberFormat="0" applyBorder="0" applyAlignment="0" applyProtection="0"/>
    <xf numFmtId="0" fontId="86" fillId="71" borderId="0" applyNumberFormat="0" applyBorder="0" applyAlignment="0" applyProtection="0"/>
    <xf numFmtId="0" fontId="86" fillId="71" borderId="0" applyNumberFormat="0" applyBorder="0" applyAlignment="0" applyProtection="0"/>
    <xf numFmtId="0" fontId="86" fillId="71" borderId="0" applyNumberFormat="0" applyBorder="0" applyAlignment="0" applyProtection="0"/>
    <xf numFmtId="0" fontId="86" fillId="71" borderId="0" applyNumberFormat="0" applyBorder="0" applyAlignment="0" applyProtection="0"/>
    <xf numFmtId="0" fontId="18" fillId="63" borderId="0" applyNumberFormat="0" applyBorder="0" applyAlignment="0" applyProtection="0"/>
    <xf numFmtId="0" fontId="18" fillId="67" borderId="0" applyNumberFormat="0" applyBorder="0" applyAlignment="0" applyProtection="0"/>
    <xf numFmtId="0" fontId="86" fillId="67" borderId="0" applyNumberFormat="0" applyBorder="0" applyAlignment="0" applyProtection="0"/>
    <xf numFmtId="0" fontId="86" fillId="72" borderId="0" applyNumberFormat="0" applyBorder="0" applyAlignment="0" applyProtection="0"/>
    <xf numFmtId="0" fontId="86" fillId="72" borderId="0" applyNumberFormat="0" applyBorder="0" applyAlignment="0" applyProtection="0"/>
    <xf numFmtId="0" fontId="86" fillId="72" borderId="0" applyNumberFormat="0" applyBorder="0" applyAlignment="0" applyProtection="0"/>
    <xf numFmtId="0" fontId="86" fillId="72" borderId="0" applyNumberFormat="0" applyBorder="0" applyAlignment="0" applyProtection="0"/>
    <xf numFmtId="0" fontId="18" fillId="73" borderId="0" applyNumberFormat="0" applyBorder="0" applyAlignment="0" applyProtection="0"/>
    <xf numFmtId="0" fontId="18" fillId="63" borderId="0" applyNumberFormat="0" applyBorder="0" applyAlignment="0" applyProtection="0"/>
    <xf numFmtId="0" fontId="86" fillId="64"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18" fillId="66" borderId="0" applyNumberFormat="0" applyBorder="0" applyAlignment="0" applyProtection="0"/>
    <xf numFmtId="0" fontId="18" fillId="74" borderId="0" applyNumberFormat="0" applyBorder="0" applyAlignment="0" applyProtection="0"/>
    <xf numFmtId="0" fontId="86" fillId="74" borderId="0" applyNumberFormat="0" applyBorder="0" applyAlignment="0" applyProtection="0"/>
    <xf numFmtId="0" fontId="86" fillId="75" borderId="0" applyNumberFormat="0" applyBorder="0" applyAlignment="0" applyProtection="0"/>
    <xf numFmtId="0" fontId="86" fillId="75" borderId="0" applyNumberFormat="0" applyBorder="0" applyAlignment="0" applyProtection="0"/>
    <xf numFmtId="0" fontId="86" fillId="75" borderId="0" applyNumberFormat="0" applyBorder="0" applyAlignment="0" applyProtection="0"/>
    <xf numFmtId="0" fontId="86" fillId="75" borderId="0" applyNumberFormat="0" applyBorder="0" applyAlignment="0" applyProtection="0"/>
    <xf numFmtId="0" fontId="87" fillId="0" borderId="0"/>
    <xf numFmtId="42" fontId="88" fillId="0" borderId="0" applyFont="0" applyFill="0" applyBorder="0" applyAlignment="0" applyProtection="0"/>
    <xf numFmtId="0" fontId="89" fillId="76" borderId="0" applyNumberFormat="0" applyBorder="0" applyAlignment="0" applyProtection="0"/>
    <xf numFmtId="0" fontId="90" fillId="0" borderId="0" applyNumberFormat="0" applyFill="0" applyBorder="0" applyAlignment="0"/>
    <xf numFmtId="177" fontId="16" fillId="16" borderId="0" applyNumberFormat="0" applyFont="0" applyBorder="0" applyAlignment="0">
      <alignment horizontal="right"/>
    </xf>
    <xf numFmtId="177" fontId="16" fillId="16" borderId="0" applyNumberFormat="0" applyFont="0" applyBorder="0" applyAlignment="0">
      <alignment horizontal="right"/>
    </xf>
    <xf numFmtId="0" fontId="91" fillId="0" borderId="0" applyNumberFormat="0" applyFill="0" applyBorder="0" applyAlignment="0">
      <protection locked="0"/>
    </xf>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93" fillId="77" borderId="73" applyNumberFormat="0" applyAlignment="0" applyProtection="0"/>
    <xf numFmtId="0" fontId="93" fillId="77" borderId="73" applyNumberFormat="0" applyAlignment="0" applyProtection="0"/>
    <xf numFmtId="41" fontId="16" fillId="0" borderId="0" applyFont="0" applyFill="0" applyBorder="0" applyAlignment="0" applyProtection="0"/>
    <xf numFmtId="0" fontId="94"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43" fontId="3"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172" fontId="16" fillId="0" borderId="0" applyFont="0" applyFill="0" applyBorder="0" applyAlignment="0" applyProtection="0"/>
    <xf numFmtId="43" fontId="18"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172" fontId="16" fillId="0" borderId="0" applyFont="0" applyFill="0" applyBorder="0" applyAlignment="0" applyProtection="0"/>
    <xf numFmtId="43" fontId="16" fillId="0" borderId="0" applyFont="0" applyFill="0" applyBorder="0" applyAlignment="0" applyProtection="0"/>
    <xf numFmtId="172" fontId="15" fillId="0" borderId="0" applyFont="0" applyFill="0" applyBorder="0" applyAlignment="0" applyProtection="0"/>
    <xf numFmtId="172" fontId="16" fillId="0" borderId="0" applyFont="0" applyFill="0" applyBorder="0" applyAlignment="0" applyProtection="0"/>
    <xf numFmtId="0" fontId="16" fillId="0" borderId="0" applyFont="0" applyFill="0" applyBorder="0" applyAlignment="0" applyProtection="0"/>
    <xf numFmtId="172" fontId="16" fillId="0" borderId="0" applyFont="0" applyFill="0" applyBorder="0" applyAlignment="0" applyProtection="0"/>
    <xf numFmtId="172" fontId="15" fillId="0" borderId="0" applyFont="0" applyFill="0" applyBorder="0" applyAlignment="0" applyProtection="0"/>
    <xf numFmtId="172" fontId="15" fillId="0" borderId="0" applyFont="0" applyFill="0" applyBorder="0" applyAlignment="0" applyProtection="0"/>
    <xf numFmtId="0" fontId="16" fillId="0" borderId="0" applyFont="0" applyFill="0" applyBorder="0" applyAlignment="0" applyProtection="0"/>
    <xf numFmtId="43" fontId="16" fillId="0" borderId="0" applyFont="0" applyFill="0" applyBorder="0" applyAlignment="0" applyProtection="0"/>
    <xf numFmtId="172" fontId="16" fillId="0" borderId="0" applyFont="0" applyFill="0" applyBorder="0" applyAlignment="0" applyProtection="0"/>
    <xf numFmtId="43" fontId="16" fillId="0" borderId="0" applyFont="0" applyFill="0" applyBorder="0" applyAlignment="0" applyProtection="0"/>
    <xf numFmtId="172" fontId="16" fillId="0" borderId="0" applyFont="0" applyFill="0" applyBorder="0" applyAlignment="0" applyProtection="0"/>
    <xf numFmtId="172" fontId="16"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3" fontId="9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180" fontId="16"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2" fontId="16" fillId="0" borderId="0" applyFont="0" applyFill="0" applyBorder="0" applyAlignment="0" applyProtection="0"/>
    <xf numFmtId="181" fontId="16" fillId="0" borderId="0" applyFont="0" applyFill="0" applyBorder="0" applyAlignment="0" applyProtection="0"/>
    <xf numFmtId="181" fontId="16" fillId="0" borderId="0" applyFont="0" applyFill="0" applyBorder="0" applyAlignment="0" applyProtection="0"/>
    <xf numFmtId="49" fontId="61" fillId="56" borderId="40">
      <alignment horizontal="center" vertical="center" wrapText="1"/>
    </xf>
    <xf numFmtId="0" fontId="96" fillId="78" borderId="0" applyNumberFormat="0" applyBorder="0" applyAlignment="0" applyProtection="0"/>
    <xf numFmtId="0" fontId="96" fillId="79" borderId="0" applyNumberFormat="0" applyBorder="0" applyAlignment="0" applyProtection="0"/>
    <xf numFmtId="0" fontId="96" fillId="80" borderId="0" applyNumberFormat="0" applyBorder="0" applyAlignment="0" applyProtection="0"/>
    <xf numFmtId="178" fontId="18" fillId="0" borderId="0" applyFont="0" applyFill="0" applyBorder="0" applyAlignment="0" applyProtection="0"/>
    <xf numFmtId="0" fontId="97" fillId="0" borderId="0" applyNumberFormat="0" applyFill="0" applyBorder="0" applyAlignment="0" applyProtection="0"/>
    <xf numFmtId="182" fontId="16" fillId="0" borderId="0" applyFont="0" applyFill="0" applyBorder="0" applyAlignment="0" applyProtection="0"/>
    <xf numFmtId="182" fontId="16" fillId="0" borderId="0" applyFont="0" applyFill="0" applyBorder="0" applyAlignment="0" applyProtection="0"/>
    <xf numFmtId="0" fontId="98" fillId="0" borderId="0"/>
    <xf numFmtId="0" fontId="99" fillId="0" borderId="0"/>
    <xf numFmtId="0" fontId="100" fillId="81" borderId="0" applyNumberFormat="0" applyBorder="0" applyAlignment="0" applyProtection="0"/>
    <xf numFmtId="0" fontId="30" fillId="0" borderId="0" applyFill="0" applyBorder="0">
      <alignment vertical="center"/>
    </xf>
    <xf numFmtId="0" fontId="101" fillId="0" borderId="74" applyNumberFormat="0" applyFill="0" applyAlignment="0" applyProtection="0"/>
    <xf numFmtId="0" fontId="30" fillId="0" borderId="0" applyFill="0" applyBorder="0">
      <alignment vertical="center"/>
    </xf>
    <xf numFmtId="0" fontId="83" fillId="0" borderId="0" applyFill="0" applyBorder="0">
      <alignment vertical="center"/>
    </xf>
    <xf numFmtId="0" fontId="102" fillId="0" borderId="75" applyNumberFormat="0" applyFill="0" applyAlignment="0" applyProtection="0"/>
    <xf numFmtId="0" fontId="83" fillId="0" borderId="0" applyFill="0" applyBorder="0">
      <alignment vertical="center"/>
    </xf>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4" fillId="0" borderId="0" applyFill="0" applyBorder="0">
      <alignment vertical="center"/>
    </xf>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104" fillId="0" borderId="0" applyFill="0" applyBorder="0">
      <alignment vertical="center"/>
    </xf>
    <xf numFmtId="0" fontId="31" fillId="0" borderId="0" applyFill="0" applyBorder="0">
      <alignment vertical="center"/>
    </xf>
    <xf numFmtId="0" fontId="103" fillId="0" borderId="0" applyNumberFormat="0" applyFill="0" applyBorder="0" applyAlignment="0" applyProtection="0"/>
    <xf numFmtId="0" fontId="31" fillId="0" borderId="0" applyFill="0" applyBorder="0">
      <alignment vertical="center"/>
    </xf>
    <xf numFmtId="175" fontId="105" fillId="0" borderId="0"/>
    <xf numFmtId="0" fontId="106"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109" fillId="0" borderId="0" applyNumberFormat="0" applyFill="0" applyBorder="0" applyAlignment="0" applyProtection="0"/>
    <xf numFmtId="0" fontId="107" fillId="0" borderId="0" applyNumberFormat="0" applyFill="0" applyBorder="0" applyAlignment="0" applyProtection="0">
      <alignment vertical="top"/>
      <protection locked="0"/>
    </xf>
    <xf numFmtId="0" fontId="110" fillId="0" borderId="0" applyFill="0" applyBorder="0">
      <alignment horizontal="center" vertical="center"/>
      <protection locked="0"/>
    </xf>
    <xf numFmtId="0" fontId="111" fillId="0" borderId="0" applyFill="0" applyBorder="0">
      <alignment horizontal="left" vertical="center"/>
      <protection locked="0"/>
    </xf>
    <xf numFmtId="183" fontId="16" fillId="9" borderId="0" applyFont="0" applyBorder="0">
      <alignment horizontal="right"/>
    </xf>
    <xf numFmtId="175" fontId="16" fillId="9" borderId="0" applyFont="0" applyBorder="0" applyAlignment="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177" fontId="16" fillId="13" borderId="0" applyFont="0" applyBorder="0" applyAlignment="0">
      <alignment horizontal="right"/>
      <protection locked="0"/>
    </xf>
    <xf numFmtId="177" fontId="16" fillId="13" borderId="0" applyFont="0" applyBorder="0" applyAlignment="0">
      <alignment horizontal="right"/>
      <protection locked="0"/>
    </xf>
    <xf numFmtId="177" fontId="16" fillId="13" borderId="0" applyFont="0" applyBorder="0" applyAlignment="0">
      <alignment horizontal="right"/>
      <protection locked="0"/>
    </xf>
    <xf numFmtId="177" fontId="16" fillId="13" borderId="0" applyFont="0" applyBorder="0" applyAlignment="0">
      <alignment horizontal="right"/>
      <protection locked="0"/>
    </xf>
    <xf numFmtId="177" fontId="16" fillId="13" borderId="0" applyFont="0" applyBorder="0" applyAlignment="0">
      <alignment horizontal="right"/>
      <protection locked="0"/>
    </xf>
    <xf numFmtId="177" fontId="16" fillId="82" borderId="0" applyFont="0" applyBorder="0" applyAlignment="0">
      <alignment horizontal="right"/>
      <protection locked="0"/>
    </xf>
    <xf numFmtId="10" fontId="16" fillId="82" borderId="0" applyFont="0" applyBorder="0">
      <alignment horizontal="right"/>
      <protection locked="0"/>
    </xf>
    <xf numFmtId="3" fontId="16" fillId="83" borderId="0" applyFont="0" applyBorder="0">
      <protection locked="0"/>
    </xf>
    <xf numFmtId="175" fontId="83" fillId="83" borderId="0" applyBorder="0" applyAlignment="0">
      <protection locked="0"/>
    </xf>
    <xf numFmtId="184" fontId="16" fillId="84" borderId="0" applyFont="0" applyBorder="0">
      <alignment horizontal="right"/>
      <protection locked="0"/>
    </xf>
    <xf numFmtId="184" fontId="16" fillId="84" borderId="0" applyFont="0" applyBorder="0">
      <alignment horizontal="right"/>
      <protection locked="0"/>
    </xf>
    <xf numFmtId="184" fontId="16" fillId="84" borderId="0" applyFont="0" applyBorder="0">
      <alignment horizontal="right"/>
      <protection locked="0"/>
    </xf>
    <xf numFmtId="177" fontId="16" fillId="9" borderId="0" applyFont="0" applyBorder="0">
      <alignment horizontal="right"/>
      <protection locked="0"/>
    </xf>
    <xf numFmtId="177" fontId="16" fillId="9" borderId="0" applyFont="0" applyBorder="0">
      <alignment horizontal="right"/>
      <protection locked="0"/>
    </xf>
    <xf numFmtId="177" fontId="16" fillId="9" borderId="0" applyFont="0" applyBorder="0">
      <alignment horizontal="right"/>
      <protection locked="0"/>
    </xf>
    <xf numFmtId="185" fontId="3" fillId="10" borderId="77">
      <protection locked="0"/>
    </xf>
    <xf numFmtId="185" fontId="3" fillId="10" borderId="77">
      <protection locked="0"/>
    </xf>
    <xf numFmtId="185" fontId="3" fillId="10" borderId="77">
      <protection locked="0"/>
    </xf>
    <xf numFmtId="49" fontId="3" fillId="10" borderId="77" applyFont="0" applyAlignment="0">
      <alignment horizontal="left" vertical="center" wrapText="1"/>
      <protection locked="0"/>
    </xf>
    <xf numFmtId="49" fontId="3" fillId="10" borderId="77" applyFont="0" applyAlignment="0">
      <alignment horizontal="left" vertical="center" wrapText="1"/>
      <protection locked="0"/>
    </xf>
    <xf numFmtId="49" fontId="3" fillId="10" borderId="77" applyFont="0" applyAlignment="0">
      <alignment horizontal="left" vertical="center" wrapText="1"/>
      <protection locked="0"/>
    </xf>
    <xf numFmtId="175" fontId="113" fillId="85" borderId="0" applyBorder="0" applyAlignment="0"/>
    <xf numFmtId="0" fontId="31" fillId="16" borderId="0"/>
    <xf numFmtId="0" fontId="114" fillId="0" borderId="78" applyNumberFormat="0" applyFill="0" applyAlignment="0" applyProtection="0"/>
    <xf numFmtId="183" fontId="115" fillId="16" borderId="21" applyFont="0" applyBorder="0" applyAlignment="0"/>
    <xf numFmtId="175" fontId="83" fillId="16" borderId="0" applyFont="0" applyBorder="0" applyAlignment="0"/>
    <xf numFmtId="186" fontId="116" fillId="0" borderId="0"/>
    <xf numFmtId="0" fontId="117" fillId="0" borderId="0" applyFill="0" applyBorder="0">
      <alignment horizontal="left" vertical="center"/>
    </xf>
    <xf numFmtId="0" fontId="118" fillId="61" borderId="0" applyNumberFormat="0" applyBorder="0" applyAlignment="0" applyProtection="0"/>
    <xf numFmtId="185" fontId="3" fillId="17" borderId="77"/>
    <xf numFmtId="185" fontId="3" fillId="17" borderId="77"/>
    <xf numFmtId="185" fontId="3" fillId="17" borderId="77"/>
    <xf numFmtId="187" fontId="119" fillId="0" borderId="0"/>
    <xf numFmtId="0" fontId="16" fillId="0" borderId="0"/>
    <xf numFmtId="0" fontId="16" fillId="4" borderId="0"/>
    <xf numFmtId="0" fontId="16" fillId="0" borderId="0"/>
    <xf numFmtId="0" fontId="16" fillId="4" borderId="0"/>
    <xf numFmtId="0" fontId="3" fillId="0" borderId="0"/>
    <xf numFmtId="0" fontId="16" fillId="0" borderId="0" applyFill="0"/>
    <xf numFmtId="0" fontId="16" fillId="0" borderId="0" applyFill="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4"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4" borderId="0"/>
    <xf numFmtId="0" fontId="16" fillId="4" borderId="0"/>
    <xf numFmtId="0" fontId="16" fillId="0" borderId="0"/>
    <xf numFmtId="0" fontId="16" fillId="0" borderId="0"/>
    <xf numFmtId="0" fontId="16" fillId="0" borderId="0"/>
    <xf numFmtId="0" fontId="15" fillId="0" borderId="0"/>
    <xf numFmtId="0" fontId="18" fillId="0" borderId="0"/>
    <xf numFmtId="0" fontId="18" fillId="0" borderId="0"/>
    <xf numFmtId="0" fontId="16" fillId="0" borderId="0"/>
    <xf numFmtId="0" fontId="16" fillId="0" borderId="0"/>
    <xf numFmtId="0" fontId="16" fillId="0" borderId="0"/>
    <xf numFmtId="0" fontId="16" fillId="0" borderId="0"/>
    <xf numFmtId="0" fontId="16" fillId="0" borderId="0"/>
    <xf numFmtId="0" fontId="16" fillId="0" borderId="0" applyFill="0"/>
    <xf numFmtId="0" fontId="16" fillId="4"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xf numFmtId="0" fontId="3" fillId="0" borderId="0"/>
    <xf numFmtId="0" fontId="3" fillId="0" borderId="0"/>
    <xf numFmtId="0" fontId="16" fillId="0" borderId="0"/>
    <xf numFmtId="0" fontId="16" fillId="0" borderId="0"/>
    <xf numFmtId="0" fontId="16" fillId="4" borderId="0"/>
    <xf numFmtId="0" fontId="16" fillId="4" borderId="0"/>
    <xf numFmtId="0" fontId="16" fillId="0" borderId="0"/>
    <xf numFmtId="0" fontId="16" fillId="4"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16" fillId="0" borderId="0"/>
    <xf numFmtId="0" fontId="16" fillId="4" borderId="0"/>
    <xf numFmtId="0" fontId="16" fillId="4" borderId="0"/>
    <xf numFmtId="0" fontId="16" fillId="4" borderId="0"/>
    <xf numFmtId="0" fontId="16" fillId="0" borderId="0"/>
    <xf numFmtId="0" fontId="16" fillId="0" borderId="0"/>
    <xf numFmtId="0" fontId="16" fillId="0"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applyFill="0"/>
    <xf numFmtId="0" fontId="16" fillId="0" borderId="0"/>
    <xf numFmtId="0" fontId="3" fillId="0" borderId="0"/>
    <xf numFmtId="0" fontId="16" fillId="0" borderId="0"/>
    <xf numFmtId="0" fontId="16" fillId="0" borderId="0"/>
    <xf numFmtId="0" fontId="16" fillId="0" borderId="0"/>
    <xf numFmtId="0" fontId="16" fillId="0" borderId="0"/>
    <xf numFmtId="0" fontId="16" fillId="0" borderId="0"/>
    <xf numFmtId="0" fontId="16" fillId="0" borderId="0"/>
    <xf numFmtId="0" fontId="18" fillId="0" borderId="0"/>
    <xf numFmtId="0" fontId="88" fillId="0" borderId="0"/>
    <xf numFmtId="0" fontId="16" fillId="0" borderId="0"/>
    <xf numFmtId="0" fontId="16" fillId="4" borderId="0"/>
    <xf numFmtId="0" fontId="16" fillId="0" borderId="0"/>
    <xf numFmtId="0" fontId="3"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188" fontId="16" fillId="0" borderId="0" applyFill="0" applyBorder="0"/>
    <xf numFmtId="188" fontId="16" fillId="0" borderId="0" applyFill="0" applyBorder="0"/>
    <xf numFmtId="188" fontId="16" fillId="0" borderId="0" applyFill="0" applyBorder="0"/>
    <xf numFmtId="9" fontId="16" fillId="0" borderId="0" applyFont="0" applyFill="0" applyBorder="0" applyAlignment="0" applyProtection="0"/>
    <xf numFmtId="9" fontId="16"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6"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6"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175" fontId="121" fillId="0" borderId="0"/>
    <xf numFmtId="0" fontId="104" fillId="0" borderId="0" applyFill="0" applyBorder="0">
      <alignment vertical="center"/>
    </xf>
    <xf numFmtId="0" fontId="94" fillId="0" borderId="0" applyNumberFormat="0" applyFont="0" applyFill="0" applyBorder="0" applyAlignment="0" applyProtection="0">
      <alignment horizontal="left"/>
    </xf>
    <xf numFmtId="15" fontId="94" fillId="0" borderId="0" applyFont="0" applyFill="0" applyBorder="0" applyAlignment="0" applyProtection="0"/>
    <xf numFmtId="4" fontId="94" fillId="0" borderId="0" applyFont="0" applyFill="0" applyBorder="0" applyAlignment="0" applyProtection="0"/>
    <xf numFmtId="189" fontId="122" fillId="0" borderId="18"/>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3" fontId="94" fillId="0" borderId="0" applyFont="0" applyFill="0" applyBorder="0" applyAlignment="0" applyProtection="0"/>
    <xf numFmtId="0" fontId="94" fillId="86" borderId="0" applyNumberFormat="0" applyFont="0" applyBorder="0" applyAlignment="0" applyProtection="0"/>
    <xf numFmtId="190" fontId="16" fillId="0" borderId="0"/>
    <xf numFmtId="190" fontId="16" fillId="0" borderId="0"/>
    <xf numFmtId="190" fontId="16" fillId="0" borderId="0"/>
    <xf numFmtId="191" fontId="31" fillId="0" borderId="0" applyFill="0" applyBorder="0">
      <alignment horizontal="right" vertical="center"/>
    </xf>
    <xf numFmtId="192" fontId="31" fillId="0" borderId="0" applyFill="0" applyBorder="0">
      <alignment horizontal="right" vertical="center"/>
    </xf>
    <xf numFmtId="193" fontId="31" fillId="0" borderId="0" applyFill="0" applyBorder="0">
      <alignment horizontal="right" vertical="center"/>
    </xf>
    <xf numFmtId="185" fontId="6" fillId="10" borderId="81">
      <alignment horizontal="right" indent="2"/>
      <protection locked="0"/>
    </xf>
    <xf numFmtId="0" fontId="16" fillId="59" borderId="0" applyNumberFormat="0" applyFont="0" applyBorder="0" applyAlignment="0" applyProtection="0"/>
    <xf numFmtId="0" fontId="16" fillId="59" borderId="0" applyNumberFormat="0" applyFont="0" applyBorder="0" applyAlignment="0" applyProtection="0"/>
    <xf numFmtId="0" fontId="16" fillId="60" borderId="0" applyNumberFormat="0" applyFont="0" applyBorder="0" applyAlignment="0" applyProtection="0"/>
    <xf numFmtId="0" fontId="16" fillId="60" borderId="0" applyNumberFormat="0" applyFont="0" applyBorder="0" applyAlignment="0" applyProtection="0"/>
    <xf numFmtId="0" fontId="16" fillId="62" borderId="0" applyNumberFormat="0" applyFont="0" applyBorder="0" applyAlignment="0" applyProtection="0"/>
    <xf numFmtId="0" fontId="16" fillId="62" borderId="0" applyNumberFormat="0" applyFont="0" applyBorder="0" applyAlignment="0" applyProtection="0"/>
    <xf numFmtId="0" fontId="16" fillId="0" borderId="0" applyNumberFormat="0" applyFont="0" applyFill="0" applyBorder="0" applyAlignment="0" applyProtection="0"/>
    <xf numFmtId="0" fontId="16" fillId="0" borderId="0" applyNumberFormat="0" applyFont="0" applyFill="0" applyBorder="0" applyAlignment="0" applyProtection="0"/>
    <xf numFmtId="0" fontId="16" fillId="62" borderId="0" applyNumberFormat="0" applyFont="0" applyBorder="0" applyAlignment="0" applyProtection="0"/>
    <xf numFmtId="0" fontId="16" fillId="62" borderId="0" applyNumberFormat="0" applyFont="0" applyBorder="0" applyAlignment="0" applyProtection="0"/>
    <xf numFmtId="0" fontId="16" fillId="0" borderId="0" applyNumberFormat="0" applyFont="0" applyFill="0" applyBorder="0" applyAlignment="0" applyProtection="0"/>
    <xf numFmtId="0" fontId="16" fillId="0" borderId="0" applyNumberFormat="0" applyFont="0" applyFill="0" applyBorder="0" applyAlignment="0" applyProtection="0"/>
    <xf numFmtId="0" fontId="16" fillId="0" borderId="0" applyNumberFormat="0" applyFont="0" applyBorder="0" applyAlignment="0" applyProtection="0"/>
    <xf numFmtId="0" fontId="16" fillId="0" borderId="0" applyNumberFormat="0" applyFont="0" applyBorder="0" applyAlignment="0" applyProtection="0"/>
    <xf numFmtId="0" fontId="124" fillId="0" borderId="0" applyNumberFormat="0" applyFill="0" applyBorder="0" applyAlignment="0" applyProtection="0"/>
    <xf numFmtId="0" fontId="82" fillId="87"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17" fillId="0" borderId="0"/>
    <xf numFmtId="0" fontId="125" fillId="0" borderId="0"/>
    <xf numFmtId="15" fontId="16" fillId="0" borderId="0"/>
    <xf numFmtId="15" fontId="16" fillId="0" borderId="0"/>
    <xf numFmtId="15" fontId="16" fillId="0" borderId="0"/>
    <xf numFmtId="10" fontId="16" fillId="0" borderId="0"/>
    <xf numFmtId="10" fontId="16" fillId="0" borderId="0"/>
    <xf numFmtId="10" fontId="16" fillId="0" borderId="0"/>
    <xf numFmtId="0" fontId="126" fillId="55" borderId="14" applyBorder="0" applyProtection="0">
      <alignment horizontal="centerContinuous" vertical="center"/>
    </xf>
    <xf numFmtId="0" fontId="127" fillId="0" borderId="0" applyBorder="0" applyProtection="0">
      <alignment vertical="center"/>
    </xf>
    <xf numFmtId="0" fontId="128" fillId="0" borderId="0">
      <alignment horizontal="left"/>
    </xf>
    <xf numFmtId="0" fontId="128" fillId="0" borderId="10" applyFill="0" applyBorder="0" applyProtection="0">
      <alignment horizontal="left" vertical="top"/>
    </xf>
    <xf numFmtId="0" fontId="82" fillId="54" borderId="0">
      <alignment horizontal="left" vertical="center"/>
      <protection locked="0"/>
    </xf>
    <xf numFmtId="0" fontId="129" fillId="53" borderId="0">
      <alignment vertical="center"/>
      <protection locked="0"/>
    </xf>
    <xf numFmtId="49" fontId="16" fillId="0" borderId="0" applyFont="0" applyFill="0" applyBorder="0" applyAlignment="0" applyProtection="0"/>
    <xf numFmtId="0" fontId="130" fillId="0" borderId="0"/>
    <xf numFmtId="49" fontId="16" fillId="0" borderId="0" applyFont="0" applyFill="0" applyBorder="0" applyAlignment="0" applyProtection="0"/>
    <xf numFmtId="0" fontId="131" fillId="0" borderId="0"/>
    <xf numFmtId="0" fontId="131" fillId="0" borderId="0"/>
    <xf numFmtId="0" fontId="130" fillId="0" borderId="0"/>
    <xf numFmtId="186" fontId="132" fillId="0" borderId="0"/>
    <xf numFmtId="0" fontId="124" fillId="0" borderId="0" applyNumberFormat="0" applyFill="0" applyBorder="0" applyAlignment="0" applyProtection="0"/>
    <xf numFmtId="0" fontId="133" fillId="0" borderId="0" applyFill="0" applyBorder="0">
      <alignment horizontal="left" vertical="center"/>
      <protection locked="0"/>
    </xf>
    <xf numFmtId="0" fontId="130" fillId="0" borderId="0"/>
    <xf numFmtId="0" fontId="134" fillId="0" borderId="0" applyFill="0" applyBorder="0">
      <alignment horizontal="left" vertical="center"/>
      <protection locked="0"/>
    </xf>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135" fillId="0" borderId="0" applyNumberFormat="0" applyFill="0" applyBorder="0" applyAlignment="0" applyProtection="0"/>
    <xf numFmtId="194" fontId="16" fillId="0" borderId="14" applyBorder="0" applyProtection="0">
      <alignment horizontal="right"/>
    </xf>
    <xf numFmtId="194" fontId="16" fillId="0" borderId="14" applyBorder="0" applyProtection="0">
      <alignment horizontal="right"/>
    </xf>
    <xf numFmtId="194" fontId="16" fillId="0" borderId="14" applyBorder="0" applyProtection="0">
      <alignment horizontal="right"/>
    </xf>
    <xf numFmtId="195" fontId="138" fillId="0" borderId="0" applyFont="0" applyFill="0" applyBorder="0" applyAlignment="0">
      <alignment vertical="center"/>
    </xf>
    <xf numFmtId="196" fontId="16" fillId="0" borderId="0" applyFill="0" applyBorder="0">
      <alignment vertical="center"/>
    </xf>
    <xf numFmtId="197" fontId="16" fillId="0" borderId="0" applyFill="0" applyBorder="0">
      <alignment vertical="center"/>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8" fillId="57"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8"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60" borderId="0" applyNumberFormat="0" applyBorder="0" applyAlignment="0" applyProtection="0"/>
    <xf numFmtId="0" fontId="18" fillId="60" borderId="0" applyNumberFormat="0" applyBorder="0" applyAlignment="0" applyProtection="0"/>
    <xf numFmtId="0" fontId="18" fillId="57"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8" borderId="0" applyNumberFormat="0" applyBorder="0" applyAlignment="0" applyProtection="0"/>
    <xf numFmtId="0" fontId="18" fillId="57"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8" borderId="0" applyNumberFormat="0" applyBorder="0" applyAlignment="0" applyProtection="0"/>
    <xf numFmtId="0" fontId="18" fillId="61" borderId="0" applyNumberFormat="0" applyBorder="0" applyAlignment="0" applyProtection="0"/>
    <xf numFmtId="0" fontId="18" fillId="61" borderId="0" applyNumberFormat="0" applyBorder="0" applyAlignment="0" applyProtection="0"/>
    <xf numFmtId="0" fontId="18" fillId="62" borderId="0" applyNumberFormat="0" applyBorder="0" applyAlignment="0" applyProtection="0"/>
    <xf numFmtId="0" fontId="18" fillId="62" borderId="0" applyNumberFormat="0" applyBorder="0" applyAlignment="0" applyProtection="0"/>
    <xf numFmtId="0" fontId="18" fillId="57"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8" borderId="0" applyNumberFormat="0" applyBorder="0" applyAlignment="0" applyProtection="0"/>
    <xf numFmtId="0" fontId="86" fillId="57" borderId="0" applyNumberFormat="0" applyBorder="0" applyAlignment="0" applyProtection="0"/>
    <xf numFmtId="0" fontId="86" fillId="57" borderId="0" applyNumberFormat="0" applyBorder="0" applyAlignment="0" applyProtection="0"/>
    <xf numFmtId="0" fontId="86" fillId="58" borderId="0" applyNumberFormat="0" applyBorder="0" applyAlignment="0" applyProtection="0"/>
    <xf numFmtId="0" fontId="86" fillId="58" borderId="0" applyNumberFormat="0" applyBorder="0" applyAlignment="0" applyProtection="0"/>
    <xf numFmtId="0" fontId="86" fillId="61" borderId="0" applyNumberFormat="0" applyBorder="0" applyAlignment="0" applyProtection="0"/>
    <xf numFmtId="0" fontId="86" fillId="61" borderId="0" applyNumberFormat="0" applyBorder="0" applyAlignment="0" applyProtection="0"/>
    <xf numFmtId="0" fontId="86" fillId="62" borderId="0" applyNumberFormat="0" applyBorder="0" applyAlignment="0" applyProtection="0"/>
    <xf numFmtId="0" fontId="86" fillId="62" borderId="0" applyNumberFormat="0" applyBorder="0" applyAlignment="0" applyProtection="0"/>
    <xf numFmtId="0" fontId="86" fillId="57" borderId="0" applyNumberFormat="0" applyBorder="0" applyAlignment="0" applyProtection="0"/>
    <xf numFmtId="0" fontId="86" fillId="57" borderId="0" applyNumberFormat="0" applyBorder="0" applyAlignment="0" applyProtection="0"/>
    <xf numFmtId="0" fontId="86" fillId="58" borderId="0" applyNumberFormat="0" applyBorder="0" applyAlignment="0" applyProtection="0"/>
    <xf numFmtId="0" fontId="86" fillId="58" borderId="0" applyNumberFormat="0" applyBorder="0" applyAlignment="0" applyProtection="0"/>
    <xf numFmtId="0" fontId="18" fillId="88" borderId="0" applyNumberFormat="0" applyBorder="0" applyAlignment="0" applyProtection="0"/>
    <xf numFmtId="0" fontId="18" fillId="67" borderId="0" applyNumberFormat="0" applyBorder="0" applyAlignment="0" applyProtection="0"/>
    <xf numFmtId="0" fontId="86" fillId="89"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65"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65"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65"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65"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18" fillId="63" borderId="0" applyNumberFormat="0" applyBorder="0" applyAlignment="0" applyProtection="0"/>
    <xf numFmtId="0" fontId="18" fillId="91" borderId="0" applyNumberFormat="0" applyBorder="0" applyAlignment="0" applyProtection="0"/>
    <xf numFmtId="0" fontId="86" fillId="92"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69"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69"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69"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69"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18" fillId="94" borderId="0" applyNumberFormat="0" applyBorder="0" applyAlignment="0" applyProtection="0"/>
    <xf numFmtId="0" fontId="18" fillId="95" borderId="0" applyNumberFormat="0" applyBorder="0" applyAlignment="0" applyProtection="0"/>
    <xf numFmtId="0" fontId="86" fillId="96"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71"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71"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71"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71"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18" fillId="63" borderId="0" applyNumberFormat="0" applyBorder="0" applyAlignment="0" applyProtection="0"/>
    <xf numFmtId="0" fontId="18" fillId="68" borderId="0" applyNumberFormat="0" applyBorder="0" applyAlignment="0" applyProtection="0"/>
    <xf numFmtId="0" fontId="86" fillId="91"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72"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72"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72"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72"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18" fillId="99" borderId="0" applyNumberFormat="0" applyBorder="0" applyAlignment="0" applyProtection="0"/>
    <xf numFmtId="0" fontId="18" fillId="100"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65"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65"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65"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65"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18" fillId="66" borderId="0" applyNumberFormat="0" applyBorder="0" applyAlignment="0" applyProtection="0"/>
    <xf numFmtId="0" fontId="18" fillId="74" borderId="0" applyNumberFormat="0" applyBorder="0" applyAlignment="0" applyProtection="0"/>
    <xf numFmtId="0" fontId="86" fillId="101"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75"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75"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75"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75"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89" fillId="76" borderId="0" applyNumberFormat="0" applyBorder="0" applyAlignment="0" applyProtection="0"/>
    <xf numFmtId="0" fontId="89" fillId="76" borderId="0" applyNumberFormat="0" applyBorder="0" applyAlignment="0" applyProtection="0"/>
    <xf numFmtId="41" fontId="16" fillId="16" borderId="0" applyNumberFormat="0" applyFont="0" applyBorder="0" applyAlignment="0">
      <alignment horizontal="right"/>
    </xf>
    <xf numFmtId="177" fontId="16" fillId="16" borderId="0" applyNumberFormat="0" applyFont="0" applyBorder="0" applyAlignment="0">
      <alignment horizontal="right"/>
    </xf>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92" fillId="60" borderId="72" applyNumberFormat="0" applyAlignment="0" applyProtection="0"/>
    <xf numFmtId="0" fontId="140" fillId="103" borderId="84" applyNumberFormat="0" applyAlignment="0" applyProtection="0"/>
    <xf numFmtId="0" fontId="141" fillId="104" borderId="0" applyNumberFormat="0" applyFill="0" applyBorder="0" applyProtection="0">
      <alignment horizontal="center"/>
    </xf>
    <xf numFmtId="0" fontId="141" fillId="104" borderId="0" applyNumberFormat="0" applyFill="0" applyBorder="0" applyProtection="0"/>
    <xf numFmtId="0" fontId="31" fillId="0" borderId="0" applyNumberFormat="0" applyFont="0" applyFill="0" applyBorder="0">
      <alignment horizontal="center" vertical="center"/>
      <protection locked="0"/>
    </xf>
    <xf numFmtId="198" fontId="31" fillId="0" borderId="0" applyFill="0" applyBorder="0">
      <alignment horizontal="center" vertical="center"/>
    </xf>
    <xf numFmtId="199" fontId="31" fillId="0" borderId="0" applyFill="0" applyBorder="0">
      <alignment horizontal="center" vertical="center"/>
    </xf>
    <xf numFmtId="200" fontId="31" fillId="0" borderId="0" applyFill="0" applyBorder="0">
      <alignment horizontal="center" vertical="center"/>
    </xf>
    <xf numFmtId="201" fontId="31" fillId="0" borderId="0" applyFill="0" applyBorder="0">
      <alignment horizontal="center" vertical="center"/>
    </xf>
    <xf numFmtId="202" fontId="31" fillId="0" borderId="0" applyFill="0" applyBorder="0">
      <alignment horizontal="center" vertical="center"/>
    </xf>
    <xf numFmtId="193" fontId="31" fillId="0" borderId="0" applyFill="0" applyBorder="0">
      <alignment horizontal="center" vertical="center"/>
    </xf>
    <xf numFmtId="0" fontId="93" fillId="77" borderId="73" applyNumberFormat="0" applyAlignment="0" applyProtection="0"/>
    <xf numFmtId="0" fontId="93" fillId="77" borderId="73" applyNumberFormat="0" applyAlignment="0" applyProtection="0"/>
    <xf numFmtId="204" fontId="142" fillId="0" borderId="0"/>
    <xf numFmtId="204" fontId="142" fillId="0" borderId="0"/>
    <xf numFmtId="204" fontId="142" fillId="0" borderId="0"/>
    <xf numFmtId="204" fontId="142" fillId="0" borderId="0"/>
    <xf numFmtId="204" fontId="142" fillId="0" borderId="0"/>
    <xf numFmtId="204" fontId="142" fillId="0" borderId="0"/>
    <xf numFmtId="204" fontId="142" fillId="0" borderId="0"/>
    <xf numFmtId="204" fontId="142" fillId="0" borderId="0"/>
    <xf numFmtId="186" fontId="143" fillId="0" borderId="0" applyFill="0" applyBorder="0" applyAlignment="0" applyProtection="0">
      <alignment horizontal="right"/>
    </xf>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16" fillId="0" borderId="0" applyFont="0" applyFill="0" applyBorder="0" applyAlignment="0" applyProtection="0"/>
    <xf numFmtId="172" fontId="16" fillId="0" borderId="0" applyFont="0" applyFill="0" applyBorder="0" applyAlignment="0" applyProtection="0"/>
    <xf numFmtId="172" fontId="15" fillId="0" borderId="0" applyFont="0" applyFill="0" applyBorder="0" applyAlignment="0" applyProtection="0"/>
    <xf numFmtId="172" fontId="16" fillId="0" borderId="0" applyFont="0" applyFill="0" applyBorder="0" applyAlignment="0" applyProtection="0"/>
    <xf numFmtId="205" fontId="16" fillId="0" borderId="0" applyFont="0" applyFill="0" applyBorder="0" applyAlignment="0" applyProtection="0"/>
    <xf numFmtId="206" fontId="144" fillId="0" borderId="0" applyFont="0" applyFill="0" applyBorder="0" applyAlignment="0" applyProtection="0"/>
    <xf numFmtId="44" fontId="2" fillId="0" borderId="0" applyFont="0" applyFill="0" applyBorder="0" applyAlignment="0" applyProtection="0"/>
    <xf numFmtId="0" fontId="96" fillId="105" borderId="0" applyNumberFormat="0" applyBorder="0" applyAlignment="0" applyProtection="0"/>
    <xf numFmtId="0" fontId="96" fillId="106" borderId="0" applyNumberFormat="0" applyBorder="0" applyAlignment="0" applyProtection="0"/>
    <xf numFmtId="0" fontId="96" fillId="80" borderId="0" applyNumberFormat="0" applyBorder="0" applyAlignment="0" applyProtection="0"/>
    <xf numFmtId="207" fontId="16" fillId="0" borderId="0" applyFon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176" fontId="144" fillId="0" borderId="0" applyFont="0" applyFill="0" applyBorder="0" applyAlignment="0" applyProtection="0"/>
    <xf numFmtId="208" fontId="16" fillId="0" borderId="0" applyFont="0" applyFill="0" applyBorder="0" applyAlignment="0" applyProtection="0">
      <alignment horizontal="center"/>
    </xf>
    <xf numFmtId="0" fontId="100" fillId="81" borderId="0" applyNumberFormat="0" applyBorder="0" applyAlignment="0" applyProtection="0"/>
    <xf numFmtId="0" fontId="100" fillId="81" borderId="0" applyNumberFormat="0" applyBorder="0" applyAlignment="0" applyProtection="0"/>
    <xf numFmtId="38" fontId="31" fillId="16" borderId="0" applyNumberFormat="0" applyBorder="0" applyAlignment="0" applyProtection="0"/>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117" fillId="0" borderId="19">
      <alignment horizontal="left" vertical="center"/>
    </xf>
    <xf numFmtId="0" fontId="30" fillId="0" borderId="0" applyFill="0" applyBorder="0">
      <alignment vertical="center"/>
    </xf>
    <xf numFmtId="0" fontId="101" fillId="0" borderId="74" applyNumberFormat="0" applyFill="0" applyAlignment="0" applyProtection="0"/>
    <xf numFmtId="0" fontId="83" fillId="0" borderId="0" applyFill="0" applyBorder="0">
      <alignment vertical="center"/>
    </xf>
    <xf numFmtId="0" fontId="102" fillId="0" borderId="75" applyNumberFormat="0" applyFill="0" applyAlignment="0" applyProtection="0"/>
    <xf numFmtId="0" fontId="103" fillId="0" borderId="76" applyNumberFormat="0" applyFill="0" applyAlignment="0" applyProtection="0"/>
    <xf numFmtId="0" fontId="103" fillId="0" borderId="76" applyNumberFormat="0" applyFill="0" applyAlignment="0" applyProtection="0"/>
    <xf numFmtId="0" fontId="31" fillId="0" borderId="0" applyFill="0" applyBorder="0">
      <alignment vertical="center"/>
    </xf>
    <xf numFmtId="0" fontId="103" fillId="0" borderId="0" applyNumberFormat="0" applyFill="0" applyBorder="0" applyAlignment="0" applyProtection="0"/>
    <xf numFmtId="0" fontId="145" fillId="60" borderId="10"/>
    <xf numFmtId="183" fontId="16" fillId="9" borderId="0" applyFont="0" applyBorder="0">
      <alignment horizontal="right"/>
    </xf>
    <xf numFmtId="186" fontId="43" fillId="0" borderId="85" applyProtection="0"/>
    <xf numFmtId="209" fontId="146" fillId="0" borderId="85">
      <alignment horizontal="right"/>
      <protection locked="0"/>
    </xf>
    <xf numFmtId="10" fontId="31" fillId="9" borderId="11" applyNumberFormat="0" applyBorder="0" applyAlignment="0" applyProtection="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0" fontId="112" fillId="58" borderId="72" applyNumberFormat="0" applyAlignment="0" applyProtection="0"/>
    <xf numFmtId="0" fontId="147" fillId="74" borderId="84" applyNumberFormat="0" applyAlignment="0" applyProtection="0"/>
    <xf numFmtId="0" fontId="43" fillId="0" borderId="85">
      <protection locked="0"/>
    </xf>
    <xf numFmtId="177" fontId="16" fillId="13" borderId="0" applyFont="0" applyBorder="0" applyAlignment="0">
      <alignment horizontal="right"/>
      <protection locked="0"/>
    </xf>
    <xf numFmtId="10" fontId="30" fillId="84" borderId="0" applyFont="0" applyBorder="0" applyAlignment="0">
      <alignment horizontal="left"/>
      <protection locked="0"/>
    </xf>
    <xf numFmtId="177" fontId="16" fillId="9" borderId="0" applyFont="0" applyBorder="0">
      <alignment horizontal="right"/>
      <protection locked="0"/>
    </xf>
    <xf numFmtId="177" fontId="16" fillId="9" borderId="0" applyFont="0" applyBorder="0">
      <alignment horizontal="right"/>
      <protection locked="0"/>
    </xf>
    <xf numFmtId="177" fontId="16" fillId="9" borderId="0" applyFont="0" applyBorder="0">
      <alignment horizontal="right"/>
      <protection locked="0"/>
    </xf>
    <xf numFmtId="9" fontId="30" fillId="9" borderId="0" applyFont="0" applyBorder="0">
      <alignment horizontal="right"/>
      <protection locked="0"/>
    </xf>
    <xf numFmtId="0" fontId="148" fillId="60" borderId="0" applyNumberFormat="0" applyFont="0" applyAlignment="0"/>
    <xf numFmtId="0" fontId="148" fillId="60" borderId="86" applyNumberFormat="0" applyFont="0" applyAlignment="0">
      <protection locked="0"/>
    </xf>
    <xf numFmtId="0" fontId="137" fillId="107" borderId="0" applyNumberFormat="0">
      <alignment vertical="center"/>
    </xf>
    <xf numFmtId="0" fontId="136" fillId="107" borderId="0" applyNumberFormat="0">
      <alignment vertical="center"/>
    </xf>
    <xf numFmtId="0" fontId="139" fillId="108" borderId="0" applyNumberFormat="0">
      <alignment vertical="center"/>
    </xf>
    <xf numFmtId="0" fontId="149" fillId="109" borderId="0" applyNumberFormat="0">
      <alignment vertical="center"/>
    </xf>
    <xf numFmtId="210" fontId="16" fillId="0" borderId="0" applyFill="0" applyBorder="0">
      <alignment vertical="center"/>
    </xf>
    <xf numFmtId="211" fontId="16" fillId="0" borderId="0" applyFill="0" applyBorder="0">
      <alignment vertical="center"/>
    </xf>
    <xf numFmtId="212" fontId="16" fillId="0" borderId="0" applyFill="0" applyBorder="0">
      <alignment vertical="center"/>
    </xf>
    <xf numFmtId="213" fontId="16" fillId="0" borderId="0" applyFill="0" applyBorder="0">
      <alignment vertical="center"/>
    </xf>
    <xf numFmtId="214" fontId="16" fillId="0" borderId="0">
      <alignment vertical="center"/>
    </xf>
    <xf numFmtId="215" fontId="16" fillId="0" borderId="0" applyFill="0" applyBorder="0">
      <alignment vertical="center"/>
    </xf>
    <xf numFmtId="216" fontId="16" fillId="0" borderId="0" applyFill="0" applyBorder="0">
      <alignment vertical="center"/>
    </xf>
    <xf numFmtId="217" fontId="16" fillId="0" borderId="0">
      <alignment vertical="center"/>
    </xf>
    <xf numFmtId="218" fontId="16" fillId="0" borderId="0" applyFill="0" applyBorder="0">
      <alignment vertical="center"/>
    </xf>
    <xf numFmtId="0" fontId="114" fillId="0" borderId="78" applyNumberFormat="0" applyFill="0" applyAlignment="0" applyProtection="0"/>
    <xf numFmtId="0" fontId="114" fillId="0" borderId="78" applyNumberFormat="0" applyFill="0" applyAlignment="0" applyProtection="0"/>
    <xf numFmtId="0" fontId="104" fillId="0" borderId="87" applyFill="0">
      <alignment horizontal="center" vertical="center"/>
    </xf>
    <xf numFmtId="0" fontId="31" fillId="0" borderId="87" applyFill="0">
      <alignment horizontal="center" vertical="center"/>
    </xf>
    <xf numFmtId="219" fontId="31" fillId="0" borderId="87" applyFill="0">
      <alignment horizontal="center" vertical="center"/>
    </xf>
    <xf numFmtId="0" fontId="118" fillId="61" borderId="0" applyNumberFormat="0" applyBorder="0" applyAlignment="0" applyProtection="0"/>
    <xf numFmtId="0" fontId="118" fillId="61" borderId="0" applyNumberFormat="0" applyBorder="0" applyAlignment="0" applyProtection="0"/>
    <xf numFmtId="220" fontId="150" fillId="0" borderId="85">
      <alignment horizontal="right"/>
      <protection locked="0"/>
    </xf>
    <xf numFmtId="0" fontId="16" fillId="0" borderId="0"/>
    <xf numFmtId="0" fontId="16" fillId="4" borderId="0"/>
    <xf numFmtId="0" fontId="31" fillId="110" borderId="0"/>
    <xf numFmtId="0" fontId="15" fillId="0" borderId="0"/>
    <xf numFmtId="0" fontId="16" fillId="0" borderId="0"/>
    <xf numFmtId="0" fontId="16" fillId="4" borderId="0"/>
    <xf numFmtId="0" fontId="31" fillId="110" borderId="0"/>
    <xf numFmtId="0" fontId="3" fillId="0" borderId="0"/>
    <xf numFmtId="0" fontId="31" fillId="110" borderId="0"/>
    <xf numFmtId="0" fontId="2" fillId="0" borderId="0"/>
    <xf numFmtId="0" fontId="31" fillId="110" borderId="0"/>
    <xf numFmtId="0" fontId="2" fillId="0" borderId="0"/>
    <xf numFmtId="0" fontId="2" fillId="0" borderId="0"/>
    <xf numFmtId="0" fontId="2" fillId="0" borderId="0"/>
    <xf numFmtId="0" fontId="2" fillId="0" borderId="0"/>
    <xf numFmtId="0" fontId="2" fillId="0" borderId="0"/>
    <xf numFmtId="0" fontId="2" fillId="0" borderId="0"/>
    <xf numFmtId="0" fontId="31" fillId="110" borderId="0"/>
    <xf numFmtId="0" fontId="31" fillId="110" borderId="0"/>
    <xf numFmtId="0" fontId="31" fillId="110" borderId="0"/>
    <xf numFmtId="0" fontId="31" fillId="110" borderId="0"/>
    <xf numFmtId="0" fontId="31" fillId="110" borderId="0"/>
    <xf numFmtId="0" fontId="31" fillId="110" borderId="0"/>
    <xf numFmtId="0" fontId="31" fillId="110" borderId="0"/>
    <xf numFmtId="0" fontId="2" fillId="0" borderId="0"/>
    <xf numFmtId="0" fontId="31" fillId="110" borderId="0"/>
    <xf numFmtId="0" fontId="31" fillId="110" borderId="0"/>
    <xf numFmtId="0" fontId="31" fillId="110" borderId="0"/>
    <xf numFmtId="0" fontId="16" fillId="0" borderId="0"/>
    <xf numFmtId="0" fontId="16" fillId="4" borderId="0"/>
    <xf numFmtId="0" fontId="3" fillId="0" borderId="0"/>
    <xf numFmtId="0" fontId="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 fillId="0" borderId="0"/>
    <xf numFmtId="0" fontId="2" fillId="0" borderId="0"/>
    <xf numFmtId="0" fontId="16" fillId="0" borderId="0"/>
    <xf numFmtId="0" fontId="2" fillId="0" borderId="0"/>
    <xf numFmtId="0" fontId="2" fillId="0" borderId="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16" fillId="59" borderId="79" applyNumberFormat="0" applyFont="0" applyAlignment="0" applyProtection="0"/>
    <xf numFmtId="0" fontId="31" fillId="66" borderId="84" applyNumberFormat="0" applyFon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0" fontId="120" fillId="60" borderId="80" applyNumberFormat="0" applyAlignment="0" applyProtection="0"/>
    <xf numFmtId="0" fontId="120" fillId="103" borderId="80" applyNumberFormat="0" applyAlignment="0" applyProtection="0"/>
    <xf numFmtId="9" fontId="16" fillId="0" borderId="0" applyFont="0" applyFill="0" applyBorder="0" applyAlignment="0" applyProtection="0"/>
    <xf numFmtId="9" fontId="16"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6" fillId="0" borderId="0" applyFont="0" applyFill="0" applyBorder="0" applyAlignment="0" applyProtection="0"/>
    <xf numFmtId="9" fontId="18" fillId="0" borderId="0" applyFont="0" applyFill="0" applyBorder="0" applyAlignment="0" applyProtection="0"/>
    <xf numFmtId="9" fontId="16" fillId="0" borderId="0" applyFont="0" applyFill="0" applyBorder="0" applyAlignment="0" applyProtection="0"/>
    <xf numFmtId="221" fontId="43" fillId="0" borderId="2"/>
    <xf numFmtId="221" fontId="43" fillId="0" borderId="2"/>
    <xf numFmtId="0" fontId="7" fillId="0" borderId="0" applyFill="0">
      <alignment horizontal="left" indent="3"/>
    </xf>
    <xf numFmtId="198" fontId="31" fillId="0" borderId="0" applyFill="0" applyBorder="0">
      <alignment horizontal="right" vertical="center"/>
    </xf>
    <xf numFmtId="200" fontId="31" fillId="0" borderId="0" applyFill="0" applyBorder="0">
      <alignment horizontal="right" vertical="center"/>
    </xf>
    <xf numFmtId="202" fontId="31" fillId="0" borderId="0" applyFill="0" applyBorder="0">
      <alignment horizontal="right" vertical="center"/>
    </xf>
    <xf numFmtId="4" fontId="48" fillId="61" borderId="88" applyNumberFormat="0" applyProtection="0">
      <alignment vertical="center"/>
    </xf>
    <xf numFmtId="4" fontId="31" fillId="61" borderId="84" applyNumberFormat="0" applyProtection="0">
      <alignment vertical="center"/>
    </xf>
    <xf numFmtId="4" fontId="31" fillId="61" borderId="84" applyNumberFormat="0" applyProtection="0">
      <alignment vertical="center"/>
    </xf>
    <xf numFmtId="4" fontId="31" fillId="61" borderId="84" applyNumberFormat="0" applyProtection="0">
      <alignment vertical="center"/>
    </xf>
    <xf numFmtId="4" fontId="48" fillId="61" borderId="88" applyNumberFormat="0" applyProtection="0">
      <alignment vertical="center"/>
    </xf>
    <xf numFmtId="4" fontId="31" fillId="61" borderId="84" applyNumberFormat="0" applyProtection="0">
      <alignment vertical="center"/>
    </xf>
    <xf numFmtId="4" fontId="31" fillId="61" borderId="84" applyNumberFormat="0" applyProtection="0">
      <alignment vertical="center"/>
    </xf>
    <xf numFmtId="4" fontId="48" fillId="61" borderId="88" applyNumberFormat="0" applyProtection="0">
      <alignment vertical="center"/>
    </xf>
    <xf numFmtId="4" fontId="31" fillId="61" borderId="84" applyNumberFormat="0" applyProtection="0">
      <alignment vertical="center"/>
    </xf>
    <xf numFmtId="4" fontId="151" fillId="5" borderId="88" applyNumberFormat="0" applyProtection="0">
      <alignment vertical="center"/>
    </xf>
    <xf numFmtId="4" fontId="152" fillId="5" borderId="84" applyNumberFormat="0" applyProtection="0">
      <alignment vertical="center"/>
    </xf>
    <xf numFmtId="4" fontId="31" fillId="61" borderId="84" applyNumberFormat="0" applyProtection="0">
      <alignment vertical="center"/>
    </xf>
    <xf numFmtId="4" fontId="152" fillId="5" borderId="84" applyNumberFormat="0" applyProtection="0">
      <alignment vertical="center"/>
    </xf>
    <xf numFmtId="4" fontId="151" fillId="5" borderId="88" applyNumberFormat="0" applyProtection="0">
      <alignment vertical="center"/>
    </xf>
    <xf numFmtId="4" fontId="152" fillId="5" borderId="84" applyNumberFormat="0" applyProtection="0">
      <alignment vertical="center"/>
    </xf>
    <xf numFmtId="4" fontId="152" fillId="5" borderId="84" applyNumberFormat="0" applyProtection="0">
      <alignment vertical="center"/>
    </xf>
    <xf numFmtId="4" fontId="151" fillId="5" borderId="88" applyNumberFormat="0" applyProtection="0">
      <alignment vertical="center"/>
    </xf>
    <xf numFmtId="4" fontId="152" fillId="5" borderId="84" applyNumberFormat="0" applyProtection="0">
      <alignment vertical="center"/>
    </xf>
    <xf numFmtId="4" fontId="48" fillId="5" borderId="88" applyNumberFormat="0" applyProtection="0">
      <alignment horizontal="left" vertical="center" indent="1"/>
    </xf>
    <xf numFmtId="4" fontId="31" fillId="5" borderId="84" applyNumberFormat="0" applyProtection="0">
      <alignment horizontal="left" vertical="center" indent="1"/>
    </xf>
    <xf numFmtId="4" fontId="31" fillId="5" borderId="84" applyNumberFormat="0" applyProtection="0">
      <alignment horizontal="left" vertical="center" indent="1"/>
    </xf>
    <xf numFmtId="4" fontId="31" fillId="5" borderId="84" applyNumberFormat="0" applyProtection="0">
      <alignment horizontal="left" vertical="center" indent="1"/>
    </xf>
    <xf numFmtId="4" fontId="48" fillId="5" borderId="88" applyNumberFormat="0" applyProtection="0">
      <alignment horizontal="left" vertical="center" indent="1"/>
    </xf>
    <xf numFmtId="4" fontId="31" fillId="5" borderId="84" applyNumberFormat="0" applyProtection="0">
      <alignment horizontal="left" vertical="center" indent="1"/>
    </xf>
    <xf numFmtId="4" fontId="31" fillId="5" borderId="84" applyNumberFormat="0" applyProtection="0">
      <alignment horizontal="left" vertical="center" indent="1"/>
    </xf>
    <xf numFmtId="4" fontId="48" fillId="5" borderId="88" applyNumberFormat="0" applyProtection="0">
      <alignment horizontal="left" vertical="center" indent="1"/>
    </xf>
    <xf numFmtId="4" fontId="31" fillId="5" borderId="84" applyNumberFormat="0" applyProtection="0">
      <alignment horizontal="left" vertical="center" indent="1"/>
    </xf>
    <xf numFmtId="0" fontId="48" fillId="5" borderId="88" applyNumberFormat="0" applyProtection="0">
      <alignment horizontal="left" vertical="top" indent="1"/>
    </xf>
    <xf numFmtId="0" fontId="153" fillId="61" borderId="88" applyNumberFormat="0" applyProtection="0">
      <alignment horizontal="left" vertical="top" indent="1"/>
    </xf>
    <xf numFmtId="0" fontId="153" fillId="61" borderId="88" applyNumberFormat="0" applyProtection="0">
      <alignment horizontal="left" vertical="top" indent="1"/>
    </xf>
    <xf numFmtId="0" fontId="153" fillId="61" borderId="88" applyNumberFormat="0" applyProtection="0">
      <alignment horizontal="left" vertical="top" indent="1"/>
    </xf>
    <xf numFmtId="0" fontId="48" fillId="5" borderId="88" applyNumberFormat="0" applyProtection="0">
      <alignment horizontal="left" vertical="top" indent="1"/>
    </xf>
    <xf numFmtId="0" fontId="153" fillId="61" borderId="88" applyNumberFormat="0" applyProtection="0">
      <alignment horizontal="left" vertical="top" indent="1"/>
    </xf>
    <xf numFmtId="0" fontId="153" fillId="61" borderId="88" applyNumberFormat="0" applyProtection="0">
      <alignment horizontal="left" vertical="top" indent="1"/>
    </xf>
    <xf numFmtId="0" fontId="48" fillId="5" borderId="88" applyNumberFormat="0" applyProtection="0">
      <alignment horizontal="left" vertical="top" indent="1"/>
    </xf>
    <xf numFmtId="0" fontId="153" fillId="61" borderId="88" applyNumberFormat="0" applyProtection="0">
      <alignment horizontal="left" vertical="top" indent="1"/>
    </xf>
    <xf numFmtId="4" fontId="48" fillId="0" borderId="0"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48" fillId="0" borderId="0"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154" fillId="76" borderId="88" applyNumberFormat="0" applyProtection="0">
      <alignment horizontal="right" vertical="center"/>
    </xf>
    <xf numFmtId="4" fontId="31" fillId="76" borderId="84" applyNumberFormat="0" applyProtection="0">
      <alignment horizontal="right" vertical="center"/>
    </xf>
    <xf numFmtId="4" fontId="31" fillId="76" borderId="84" applyNumberFormat="0" applyProtection="0">
      <alignment horizontal="right" vertical="center"/>
    </xf>
    <xf numFmtId="4" fontId="31" fillId="76" borderId="84" applyNumberFormat="0" applyProtection="0">
      <alignment horizontal="right" vertical="center"/>
    </xf>
    <xf numFmtId="4" fontId="154" fillId="76" borderId="88" applyNumberFormat="0" applyProtection="0">
      <alignment horizontal="right" vertical="center"/>
    </xf>
    <xf numFmtId="4" fontId="31" fillId="76" borderId="84" applyNumberFormat="0" applyProtection="0">
      <alignment horizontal="right" vertical="center"/>
    </xf>
    <xf numFmtId="4" fontId="31" fillId="76" borderId="84" applyNumberFormat="0" applyProtection="0">
      <alignment horizontal="right" vertical="center"/>
    </xf>
    <xf numFmtId="4" fontId="154" fillId="76" borderId="88" applyNumberFormat="0" applyProtection="0">
      <alignment horizontal="right" vertical="center"/>
    </xf>
    <xf numFmtId="4" fontId="31" fillId="76" borderId="84" applyNumberFormat="0" applyProtection="0">
      <alignment horizontal="right" vertical="center"/>
    </xf>
    <xf numFmtId="4" fontId="154" fillId="111" borderId="88" applyNumberFormat="0" applyProtection="0">
      <alignment horizontal="right" vertical="center"/>
    </xf>
    <xf numFmtId="4" fontId="31" fillId="112" borderId="84" applyNumberFormat="0" applyProtection="0">
      <alignment horizontal="right" vertical="center"/>
    </xf>
    <xf numFmtId="4" fontId="31" fillId="112" borderId="84" applyNumberFormat="0" applyProtection="0">
      <alignment horizontal="right" vertical="center"/>
    </xf>
    <xf numFmtId="4" fontId="31" fillId="112" borderId="84" applyNumberFormat="0" applyProtection="0">
      <alignment horizontal="right" vertical="center"/>
    </xf>
    <xf numFmtId="4" fontId="154" fillId="111" borderId="88" applyNumberFormat="0" applyProtection="0">
      <alignment horizontal="right" vertical="center"/>
    </xf>
    <xf numFmtId="4" fontId="31" fillId="112" borderId="84" applyNumberFormat="0" applyProtection="0">
      <alignment horizontal="right" vertical="center"/>
    </xf>
    <xf numFmtId="4" fontId="31" fillId="112" borderId="84" applyNumberFormat="0" applyProtection="0">
      <alignment horizontal="right" vertical="center"/>
    </xf>
    <xf numFmtId="4" fontId="154" fillId="111" borderId="88" applyNumberFormat="0" applyProtection="0">
      <alignment horizontal="right" vertical="center"/>
    </xf>
    <xf numFmtId="4" fontId="31" fillId="112" borderId="84" applyNumberFormat="0" applyProtection="0">
      <alignment horizontal="right" vertical="center"/>
    </xf>
    <xf numFmtId="4" fontId="154" fillId="69" borderId="88" applyNumberFormat="0" applyProtection="0">
      <alignment horizontal="right" vertical="center"/>
    </xf>
    <xf numFmtId="4" fontId="31" fillId="69" borderId="87" applyNumberFormat="0" applyProtection="0">
      <alignment horizontal="right" vertical="center"/>
    </xf>
    <xf numFmtId="4" fontId="31" fillId="69" borderId="87" applyNumberFormat="0" applyProtection="0">
      <alignment horizontal="right" vertical="center"/>
    </xf>
    <xf numFmtId="4" fontId="31" fillId="69" borderId="87" applyNumberFormat="0" applyProtection="0">
      <alignment horizontal="right" vertical="center"/>
    </xf>
    <xf numFmtId="4" fontId="154" fillId="69" borderId="88" applyNumberFormat="0" applyProtection="0">
      <alignment horizontal="right" vertical="center"/>
    </xf>
    <xf numFmtId="4" fontId="31" fillId="69" borderId="87" applyNumberFormat="0" applyProtection="0">
      <alignment horizontal="right" vertical="center"/>
    </xf>
    <xf numFmtId="4" fontId="31" fillId="69" borderId="87" applyNumberFormat="0" applyProtection="0">
      <alignment horizontal="right" vertical="center"/>
    </xf>
    <xf numFmtId="4" fontId="154" fillId="69" borderId="88" applyNumberFormat="0" applyProtection="0">
      <alignment horizontal="right" vertical="center"/>
    </xf>
    <xf numFmtId="4" fontId="31" fillId="69" borderId="87" applyNumberFormat="0" applyProtection="0">
      <alignment horizontal="right" vertical="center"/>
    </xf>
    <xf numFmtId="4" fontId="154" fillId="113" borderId="88" applyNumberFormat="0" applyProtection="0">
      <alignment horizontal="right" vertical="center"/>
    </xf>
    <xf numFmtId="4" fontId="31" fillId="113" borderId="84" applyNumberFormat="0" applyProtection="0">
      <alignment horizontal="right" vertical="center"/>
    </xf>
    <xf numFmtId="4" fontId="31" fillId="113" borderId="84" applyNumberFormat="0" applyProtection="0">
      <alignment horizontal="right" vertical="center"/>
    </xf>
    <xf numFmtId="4" fontId="31" fillId="113" borderId="84" applyNumberFormat="0" applyProtection="0">
      <alignment horizontal="right" vertical="center"/>
    </xf>
    <xf numFmtId="4" fontId="154" fillId="113" borderId="88" applyNumberFormat="0" applyProtection="0">
      <alignment horizontal="right" vertical="center"/>
    </xf>
    <xf numFmtId="4" fontId="31" fillId="113" borderId="84" applyNumberFormat="0" applyProtection="0">
      <alignment horizontal="right" vertical="center"/>
    </xf>
    <xf numFmtId="4" fontId="31" fillId="113" borderId="84" applyNumberFormat="0" applyProtection="0">
      <alignment horizontal="right" vertical="center"/>
    </xf>
    <xf numFmtId="4" fontId="154" fillId="113" borderId="88" applyNumberFormat="0" applyProtection="0">
      <alignment horizontal="right" vertical="center"/>
    </xf>
    <xf numFmtId="4" fontId="31" fillId="113" borderId="84" applyNumberFormat="0" applyProtection="0">
      <alignment horizontal="right" vertical="center"/>
    </xf>
    <xf numFmtId="4" fontId="154" fillId="114" borderId="88" applyNumberFormat="0" applyProtection="0">
      <alignment horizontal="right" vertical="center"/>
    </xf>
    <xf numFmtId="4" fontId="31" fillId="114" borderId="84" applyNumberFormat="0" applyProtection="0">
      <alignment horizontal="right" vertical="center"/>
    </xf>
    <xf numFmtId="4" fontId="31" fillId="114" borderId="84" applyNumberFormat="0" applyProtection="0">
      <alignment horizontal="right" vertical="center"/>
    </xf>
    <xf numFmtId="4" fontId="31" fillId="114" borderId="84" applyNumberFormat="0" applyProtection="0">
      <alignment horizontal="right" vertical="center"/>
    </xf>
    <xf numFmtId="4" fontId="154" fillId="114" borderId="88" applyNumberFormat="0" applyProtection="0">
      <alignment horizontal="right" vertical="center"/>
    </xf>
    <xf numFmtId="4" fontId="31" fillId="114" borderId="84" applyNumberFormat="0" applyProtection="0">
      <alignment horizontal="right" vertical="center"/>
    </xf>
    <xf numFmtId="4" fontId="31" fillId="114" borderId="84" applyNumberFormat="0" applyProtection="0">
      <alignment horizontal="right" vertical="center"/>
    </xf>
    <xf numFmtId="4" fontId="154" fillId="114" borderId="88" applyNumberFormat="0" applyProtection="0">
      <alignment horizontal="right" vertical="center"/>
    </xf>
    <xf numFmtId="4" fontId="31" fillId="114" borderId="84" applyNumberFormat="0" applyProtection="0">
      <alignment horizontal="right" vertical="center"/>
    </xf>
    <xf numFmtId="4" fontId="154" fillId="75" borderId="88" applyNumberFormat="0" applyProtection="0">
      <alignment horizontal="right" vertical="center"/>
    </xf>
    <xf numFmtId="4" fontId="31" fillId="75" borderId="84" applyNumberFormat="0" applyProtection="0">
      <alignment horizontal="right" vertical="center"/>
    </xf>
    <xf numFmtId="4" fontId="31" fillId="75" borderId="84" applyNumberFormat="0" applyProtection="0">
      <alignment horizontal="right" vertical="center"/>
    </xf>
    <xf numFmtId="4" fontId="31" fillId="75" borderId="84" applyNumberFormat="0" applyProtection="0">
      <alignment horizontal="right" vertical="center"/>
    </xf>
    <xf numFmtId="4" fontId="154" fillId="75" borderId="88" applyNumberFormat="0" applyProtection="0">
      <alignment horizontal="right" vertical="center"/>
    </xf>
    <xf numFmtId="4" fontId="31" fillId="75" borderId="84" applyNumberFormat="0" applyProtection="0">
      <alignment horizontal="right" vertical="center"/>
    </xf>
    <xf numFmtId="4" fontId="31" fillId="75" borderId="84" applyNumberFormat="0" applyProtection="0">
      <alignment horizontal="right" vertical="center"/>
    </xf>
    <xf numFmtId="4" fontId="154" fillId="75" borderId="88" applyNumberFormat="0" applyProtection="0">
      <alignment horizontal="right" vertical="center"/>
    </xf>
    <xf numFmtId="4" fontId="31" fillId="75" borderId="84" applyNumberFormat="0" applyProtection="0">
      <alignment horizontal="right" vertical="center"/>
    </xf>
    <xf numFmtId="4" fontId="154" fillId="71" borderId="88" applyNumberFormat="0" applyProtection="0">
      <alignment horizontal="right" vertical="center"/>
    </xf>
    <xf numFmtId="4" fontId="31" fillId="71" borderId="84" applyNumberFormat="0" applyProtection="0">
      <alignment horizontal="right" vertical="center"/>
    </xf>
    <xf numFmtId="4" fontId="31" fillId="71" borderId="84" applyNumberFormat="0" applyProtection="0">
      <alignment horizontal="right" vertical="center"/>
    </xf>
    <xf numFmtId="4" fontId="31" fillId="71" borderId="84" applyNumberFormat="0" applyProtection="0">
      <alignment horizontal="right" vertical="center"/>
    </xf>
    <xf numFmtId="4" fontId="154" fillId="71" borderId="88" applyNumberFormat="0" applyProtection="0">
      <alignment horizontal="right" vertical="center"/>
    </xf>
    <xf numFmtId="4" fontId="31" fillId="71" borderId="84" applyNumberFormat="0" applyProtection="0">
      <alignment horizontal="right" vertical="center"/>
    </xf>
    <xf numFmtId="4" fontId="31" fillId="71" borderId="84" applyNumberFormat="0" applyProtection="0">
      <alignment horizontal="right" vertical="center"/>
    </xf>
    <xf numFmtId="4" fontId="154" fillId="71" borderId="88" applyNumberFormat="0" applyProtection="0">
      <alignment horizontal="right" vertical="center"/>
    </xf>
    <xf numFmtId="4" fontId="31" fillId="71" borderId="84" applyNumberFormat="0" applyProtection="0">
      <alignment horizontal="right" vertical="center"/>
    </xf>
    <xf numFmtId="4" fontId="154" fillId="115" borderId="88" applyNumberFormat="0" applyProtection="0">
      <alignment horizontal="right" vertical="center"/>
    </xf>
    <xf numFmtId="4" fontId="31" fillId="115" borderId="84" applyNumberFormat="0" applyProtection="0">
      <alignment horizontal="right" vertical="center"/>
    </xf>
    <xf numFmtId="4" fontId="31" fillId="115" borderId="84" applyNumberFormat="0" applyProtection="0">
      <alignment horizontal="right" vertical="center"/>
    </xf>
    <xf numFmtId="4" fontId="31" fillId="115" borderId="84" applyNumberFormat="0" applyProtection="0">
      <alignment horizontal="right" vertical="center"/>
    </xf>
    <xf numFmtId="4" fontId="154" fillId="115" borderId="88" applyNumberFormat="0" applyProtection="0">
      <alignment horizontal="right" vertical="center"/>
    </xf>
    <xf numFmtId="4" fontId="31" fillId="115" borderId="84" applyNumberFormat="0" applyProtection="0">
      <alignment horizontal="right" vertical="center"/>
    </xf>
    <xf numFmtId="4" fontId="31" fillId="115" borderId="84" applyNumberFormat="0" applyProtection="0">
      <alignment horizontal="right" vertical="center"/>
    </xf>
    <xf numFmtId="4" fontId="154" fillId="115" borderId="88" applyNumberFormat="0" applyProtection="0">
      <alignment horizontal="right" vertical="center"/>
    </xf>
    <xf numFmtId="4" fontId="31" fillId="115" borderId="84" applyNumberFormat="0" applyProtection="0">
      <alignment horizontal="right" vertical="center"/>
    </xf>
    <xf numFmtId="4" fontId="154" fillId="116" borderId="88" applyNumberFormat="0" applyProtection="0">
      <alignment horizontal="right" vertical="center"/>
    </xf>
    <xf numFmtId="4" fontId="31" fillId="116" borderId="84" applyNumberFormat="0" applyProtection="0">
      <alignment horizontal="right" vertical="center"/>
    </xf>
    <xf numFmtId="4" fontId="31" fillId="116" borderId="84" applyNumberFormat="0" applyProtection="0">
      <alignment horizontal="right" vertical="center"/>
    </xf>
    <xf numFmtId="4" fontId="31" fillId="116" borderId="84" applyNumberFormat="0" applyProtection="0">
      <alignment horizontal="right" vertical="center"/>
    </xf>
    <xf numFmtId="4" fontId="154" fillId="116" borderId="88" applyNumberFormat="0" applyProtection="0">
      <alignment horizontal="right" vertical="center"/>
    </xf>
    <xf numFmtId="4" fontId="31" fillId="116" borderId="84" applyNumberFormat="0" applyProtection="0">
      <alignment horizontal="right" vertical="center"/>
    </xf>
    <xf numFmtId="4" fontId="31" fillId="116" borderId="84" applyNumberFormat="0" applyProtection="0">
      <alignment horizontal="right" vertical="center"/>
    </xf>
    <xf numFmtId="4" fontId="154" fillId="116" borderId="88" applyNumberFormat="0" applyProtection="0">
      <alignment horizontal="right" vertical="center"/>
    </xf>
    <xf numFmtId="4" fontId="31" fillId="116" borderId="84" applyNumberFormat="0" applyProtection="0">
      <alignment horizontal="right" vertical="center"/>
    </xf>
    <xf numFmtId="4" fontId="48" fillId="117" borderId="89" applyNumberFormat="0" applyProtection="0">
      <alignment horizontal="left" vertical="center" indent="1"/>
    </xf>
    <xf numFmtId="4" fontId="31" fillId="117" borderId="87" applyNumberFormat="0" applyProtection="0">
      <alignment horizontal="left" vertical="center" indent="1"/>
    </xf>
    <xf numFmtId="4" fontId="31" fillId="117" borderId="87" applyNumberFormat="0" applyProtection="0">
      <alignment horizontal="left" vertical="center" indent="1"/>
    </xf>
    <xf numFmtId="4" fontId="31" fillId="117" borderId="87" applyNumberFormat="0" applyProtection="0">
      <alignment horizontal="left" vertical="center" indent="1"/>
    </xf>
    <xf numFmtId="4" fontId="48" fillId="117" borderId="89" applyNumberFormat="0" applyProtection="0">
      <alignment horizontal="left" vertical="center" indent="1"/>
    </xf>
    <xf numFmtId="4" fontId="31" fillId="117" borderId="87" applyNumberFormat="0" applyProtection="0">
      <alignment horizontal="left" vertical="center" indent="1"/>
    </xf>
    <xf numFmtId="4" fontId="31" fillId="117" borderId="87" applyNumberFormat="0" applyProtection="0">
      <alignment horizontal="left" vertical="center" indent="1"/>
    </xf>
    <xf numFmtId="4" fontId="48" fillId="117" borderId="89" applyNumberFormat="0" applyProtection="0">
      <alignment horizontal="left" vertical="center" indent="1"/>
    </xf>
    <xf numFmtId="4" fontId="31" fillId="117" borderId="87" applyNumberFormat="0" applyProtection="0">
      <alignment horizontal="left" vertical="center" indent="1"/>
    </xf>
    <xf numFmtId="4" fontId="154" fillId="118" borderId="0"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54" fillId="118" borderId="0"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55" fillId="119" borderId="0"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55" fillId="119" borderId="0"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6" fillId="72" borderId="87" applyNumberFormat="0" applyProtection="0">
      <alignment horizontal="left" vertical="center" indent="1"/>
    </xf>
    <xf numFmtId="4" fontId="154" fillId="59" borderId="90" applyNumberFormat="0" applyProtection="0">
      <alignment horizontal="center" vertical="center"/>
    </xf>
    <xf numFmtId="4" fontId="31" fillId="120" borderId="84" applyNumberFormat="0" applyProtection="0">
      <alignment horizontal="right" vertical="center"/>
    </xf>
    <xf numFmtId="4" fontId="31" fillId="120" borderId="84" applyNumberFormat="0" applyProtection="0">
      <alignment horizontal="right" vertical="center"/>
    </xf>
    <xf numFmtId="4" fontId="31" fillId="120" borderId="84" applyNumberFormat="0" applyProtection="0">
      <alignment horizontal="right" vertical="center"/>
    </xf>
    <xf numFmtId="4" fontId="154" fillId="59" borderId="90" applyNumberFormat="0" applyProtection="0">
      <alignment horizontal="center" vertical="center"/>
    </xf>
    <xf numFmtId="4" fontId="31" fillId="120" borderId="84" applyNumberFormat="0" applyProtection="0">
      <alignment horizontal="right" vertical="center"/>
    </xf>
    <xf numFmtId="4" fontId="31" fillId="120" borderId="84" applyNumberFormat="0" applyProtection="0">
      <alignment horizontal="right" vertical="center"/>
    </xf>
    <xf numFmtId="4" fontId="31" fillId="120" borderId="84" applyNumberFormat="0" applyProtection="0">
      <alignment horizontal="right" vertical="center"/>
    </xf>
    <xf numFmtId="4" fontId="31" fillId="120" borderId="84" applyNumberFormat="0" applyProtection="0">
      <alignment horizontal="right" vertical="center"/>
    </xf>
    <xf numFmtId="4" fontId="154" fillId="118" borderId="0" applyNumberFormat="0" applyProtection="0">
      <alignment horizontal="left" vertical="center" indent="1"/>
    </xf>
    <xf numFmtId="4" fontId="31" fillId="118" borderId="87" applyNumberFormat="0" applyProtection="0">
      <alignment horizontal="left" vertical="center" indent="1"/>
    </xf>
    <xf numFmtId="4" fontId="31" fillId="118" borderId="87" applyNumberFormat="0" applyProtection="0">
      <alignment horizontal="left" vertical="center" indent="1"/>
    </xf>
    <xf numFmtId="4" fontId="31" fillId="118" borderId="87" applyNumberFormat="0" applyProtection="0">
      <alignment horizontal="left" vertical="center" indent="1"/>
    </xf>
    <xf numFmtId="4" fontId="154" fillId="118" borderId="0" applyNumberFormat="0" applyProtection="0">
      <alignment horizontal="left" vertical="center" indent="1"/>
    </xf>
    <xf numFmtId="4" fontId="31" fillId="118" borderId="87" applyNumberFormat="0" applyProtection="0">
      <alignment horizontal="left" vertical="center" indent="1"/>
    </xf>
    <xf numFmtId="4" fontId="31" fillId="118" borderId="87" applyNumberFormat="0" applyProtection="0">
      <alignment horizontal="left" vertical="center" indent="1"/>
    </xf>
    <xf numFmtId="4" fontId="31" fillId="118" borderId="87" applyNumberFormat="0" applyProtection="0">
      <alignment horizontal="left" vertical="center" indent="1"/>
    </xf>
    <xf numFmtId="4" fontId="154" fillId="109" borderId="0" applyNumberFormat="0" applyProtection="0">
      <alignment horizontal="left" vertical="center" indent="1"/>
    </xf>
    <xf numFmtId="4" fontId="31" fillId="120" borderId="87" applyNumberFormat="0" applyProtection="0">
      <alignment horizontal="left" vertical="center" indent="1"/>
    </xf>
    <xf numFmtId="4" fontId="31" fillId="120" borderId="87" applyNumberFormat="0" applyProtection="0">
      <alignment horizontal="left" vertical="center" indent="1"/>
    </xf>
    <xf numFmtId="4" fontId="31" fillId="120" borderId="87" applyNumberFormat="0" applyProtection="0">
      <alignment horizontal="left" vertical="center" indent="1"/>
    </xf>
    <xf numFmtId="4" fontId="154" fillId="109" borderId="0" applyNumberFormat="0" applyProtection="0">
      <alignment horizontal="left" vertical="center" indent="1"/>
    </xf>
    <xf numFmtId="4" fontId="31" fillId="120" borderId="87" applyNumberFormat="0" applyProtection="0">
      <alignment horizontal="left" vertical="center" indent="1"/>
    </xf>
    <xf numFmtId="4" fontId="31" fillId="120" borderId="87" applyNumberFormat="0" applyProtection="0">
      <alignment horizontal="left" vertical="center" indent="1"/>
    </xf>
    <xf numFmtId="4" fontId="31" fillId="120" borderId="87" applyNumberFormat="0" applyProtection="0">
      <alignment horizontal="left" vertical="center" indent="1"/>
    </xf>
    <xf numFmtId="0" fontId="16" fillId="59" borderId="88" applyNumberFormat="0" applyProtection="0">
      <alignment horizontal="left" vertical="center" indent="1"/>
    </xf>
    <xf numFmtId="0" fontId="31" fillId="62" borderId="84" applyNumberFormat="0" applyProtection="0">
      <alignment horizontal="left" vertical="center" indent="1"/>
    </xf>
    <xf numFmtId="0" fontId="31" fillId="62" borderId="84" applyNumberFormat="0" applyProtection="0">
      <alignment horizontal="left" vertical="center" indent="1"/>
    </xf>
    <xf numFmtId="0" fontId="31" fillId="62" borderId="84" applyNumberFormat="0" applyProtection="0">
      <alignment horizontal="left" vertical="center" indent="1"/>
    </xf>
    <xf numFmtId="0" fontId="31" fillId="62" borderId="84" applyNumberFormat="0" applyProtection="0">
      <alignment horizontal="left" vertical="center" indent="1"/>
    </xf>
    <xf numFmtId="0" fontId="30" fillId="121" borderId="88" applyNumberFormat="0" applyProtection="0">
      <alignment horizontal="left" vertical="center" indent="1"/>
    </xf>
    <xf numFmtId="0" fontId="31" fillId="62" borderId="84" applyNumberFormat="0" applyProtection="0">
      <alignment horizontal="left" vertical="center" indent="1"/>
    </xf>
    <xf numFmtId="0" fontId="31" fillId="62" borderId="84" applyNumberFormat="0" applyProtection="0">
      <alignment horizontal="left" vertical="center" indent="1"/>
    </xf>
    <xf numFmtId="0" fontId="16" fillId="59" borderId="88" applyNumberFormat="0" applyProtection="0">
      <alignment horizontal="left" vertical="center" indent="1"/>
    </xf>
    <xf numFmtId="0" fontId="31" fillId="62" borderId="84" applyNumberFormat="0" applyProtection="0">
      <alignment horizontal="left" vertical="center" indent="1"/>
    </xf>
    <xf numFmtId="0" fontId="31" fillId="62" borderId="84" applyNumberFormat="0" applyProtection="0">
      <alignment horizontal="left" vertical="center" indent="1"/>
    </xf>
    <xf numFmtId="0" fontId="16" fillId="119" borderId="88" applyNumberFormat="0" applyProtection="0">
      <alignment horizontal="left" vertical="top" indent="1"/>
    </xf>
    <xf numFmtId="0" fontId="31" fillId="72" borderId="88" applyNumberFormat="0" applyProtection="0">
      <alignment horizontal="left" vertical="top" indent="1"/>
    </xf>
    <xf numFmtId="0" fontId="31" fillId="72" borderId="88" applyNumberFormat="0" applyProtection="0">
      <alignment horizontal="left" vertical="top" indent="1"/>
    </xf>
    <xf numFmtId="0" fontId="31" fillId="72" borderId="88" applyNumberFormat="0" applyProtection="0">
      <alignment horizontal="left" vertical="top" indent="1"/>
    </xf>
    <xf numFmtId="0" fontId="16" fillId="119" borderId="88" applyNumberFormat="0" applyProtection="0">
      <alignment horizontal="left" vertical="top" indent="1"/>
    </xf>
    <xf numFmtId="0" fontId="31" fillId="72" borderId="88" applyNumberFormat="0" applyProtection="0">
      <alignment horizontal="left" vertical="top" indent="1"/>
    </xf>
    <xf numFmtId="0" fontId="31" fillId="72" borderId="88" applyNumberFormat="0" applyProtection="0">
      <alignment horizontal="left" vertical="top" indent="1"/>
    </xf>
    <xf numFmtId="0" fontId="16" fillId="119" borderId="88" applyNumberFormat="0" applyProtection="0">
      <alignment horizontal="left" vertical="top" indent="1"/>
    </xf>
    <xf numFmtId="0" fontId="31" fillId="72" borderId="88" applyNumberFormat="0" applyProtection="0">
      <alignment horizontal="left" vertical="top" indent="1"/>
    </xf>
    <xf numFmtId="0" fontId="16" fillId="59" borderId="88" applyNumberFormat="0" applyProtection="0">
      <alignment horizontal="left" vertical="center" indent="1"/>
    </xf>
    <xf numFmtId="0" fontId="31" fillId="122" borderId="84" applyNumberFormat="0" applyProtection="0">
      <alignment horizontal="left" vertical="center" indent="1"/>
    </xf>
    <xf numFmtId="0" fontId="31" fillId="122" borderId="84" applyNumberFormat="0" applyProtection="0">
      <alignment horizontal="left" vertical="center" indent="1"/>
    </xf>
    <xf numFmtId="0" fontId="31" fillId="122" borderId="84" applyNumberFormat="0" applyProtection="0">
      <alignment horizontal="left" vertical="center" indent="1"/>
    </xf>
    <xf numFmtId="0" fontId="30" fillId="123" borderId="88" applyNumberFormat="0" applyProtection="0">
      <alignment horizontal="left" vertical="center" indent="1"/>
    </xf>
    <xf numFmtId="0" fontId="31" fillId="122" borderId="84" applyNumberFormat="0" applyProtection="0">
      <alignment horizontal="left" vertical="center" indent="1"/>
    </xf>
    <xf numFmtId="0" fontId="31" fillId="122" borderId="84" applyNumberFormat="0" applyProtection="0">
      <alignment horizontal="left" vertical="center" indent="1"/>
    </xf>
    <xf numFmtId="0" fontId="16" fillId="59" borderId="88" applyNumberFormat="0" applyProtection="0">
      <alignment horizontal="left" vertical="center" indent="1"/>
    </xf>
    <xf numFmtId="0" fontId="31" fillId="122" borderId="84" applyNumberFormat="0" applyProtection="0">
      <alignment horizontal="left" vertical="center" indent="1"/>
    </xf>
    <xf numFmtId="0" fontId="31" fillId="122" borderId="84" applyNumberFormat="0" applyProtection="0">
      <alignment horizontal="left" vertical="center" indent="1"/>
    </xf>
    <xf numFmtId="0" fontId="16" fillId="109" borderId="88" applyNumberFormat="0" applyProtection="0">
      <alignment horizontal="left" vertical="top" indent="1"/>
    </xf>
    <xf numFmtId="0" fontId="31" fillId="120" borderId="88" applyNumberFormat="0" applyProtection="0">
      <alignment horizontal="left" vertical="top" indent="1"/>
    </xf>
    <xf numFmtId="0" fontId="31" fillId="120" borderId="88" applyNumberFormat="0" applyProtection="0">
      <alignment horizontal="left" vertical="top" indent="1"/>
    </xf>
    <xf numFmtId="0" fontId="31" fillId="120" borderId="88" applyNumberFormat="0" applyProtection="0">
      <alignment horizontal="left" vertical="top" indent="1"/>
    </xf>
    <xf numFmtId="0" fontId="16" fillId="109" borderId="88" applyNumberFormat="0" applyProtection="0">
      <alignment horizontal="left" vertical="top" indent="1"/>
    </xf>
    <xf numFmtId="0" fontId="31" fillId="120" borderId="88" applyNumberFormat="0" applyProtection="0">
      <alignment horizontal="left" vertical="top" indent="1"/>
    </xf>
    <xf numFmtId="0" fontId="31" fillId="120" borderId="88" applyNumberFormat="0" applyProtection="0">
      <alignment horizontal="left" vertical="top" indent="1"/>
    </xf>
    <xf numFmtId="0" fontId="16" fillId="109" borderId="88" applyNumberFormat="0" applyProtection="0">
      <alignment horizontal="left" vertical="top" indent="1"/>
    </xf>
    <xf numFmtId="0" fontId="31" fillId="120" borderId="88" applyNumberFormat="0" applyProtection="0">
      <alignment horizontal="left" vertical="top" indent="1"/>
    </xf>
    <xf numFmtId="0" fontId="16" fillId="59" borderId="88" applyNumberFormat="0" applyProtection="0">
      <alignment horizontal="left" vertical="center" indent="1"/>
    </xf>
    <xf numFmtId="0" fontId="31" fillId="124" borderId="84" applyNumberFormat="0" applyProtection="0">
      <alignment horizontal="left" vertical="center" indent="1"/>
    </xf>
    <xf numFmtId="0" fontId="31" fillId="124" borderId="84" applyNumberFormat="0" applyProtection="0">
      <alignment horizontal="left" vertical="center" indent="1"/>
    </xf>
    <xf numFmtId="0" fontId="31" fillId="124" borderId="84" applyNumberFormat="0" applyProtection="0">
      <alignment horizontal="left" vertical="center" indent="1"/>
    </xf>
    <xf numFmtId="0" fontId="30" fillId="125" borderId="88" applyNumberFormat="0" applyProtection="0">
      <alignment horizontal="left" vertical="center" indent="1"/>
    </xf>
    <xf numFmtId="0" fontId="31" fillId="124" borderId="84" applyNumberFormat="0" applyProtection="0">
      <alignment horizontal="left" vertical="center" indent="1"/>
    </xf>
    <xf numFmtId="0" fontId="31" fillId="124" borderId="84" applyNumberFormat="0" applyProtection="0">
      <alignment horizontal="left" vertical="center" indent="1"/>
    </xf>
    <xf numFmtId="0" fontId="16" fillId="59" borderId="88" applyNumberFormat="0" applyProtection="0">
      <alignment horizontal="left" vertical="center" indent="1"/>
    </xf>
    <xf numFmtId="0" fontId="31" fillId="124" borderId="84" applyNumberFormat="0" applyProtection="0">
      <alignment horizontal="left" vertical="center" indent="1"/>
    </xf>
    <xf numFmtId="0" fontId="31" fillId="124" borderId="84" applyNumberFormat="0" applyProtection="0">
      <alignment horizontal="left" vertical="center" indent="1"/>
    </xf>
    <xf numFmtId="0" fontId="16" fillId="82" borderId="88" applyNumberFormat="0" applyProtection="0">
      <alignment horizontal="left" vertical="top" indent="1"/>
    </xf>
    <xf numFmtId="0" fontId="31" fillId="124" borderId="88" applyNumberFormat="0" applyProtection="0">
      <alignment horizontal="left" vertical="top" indent="1"/>
    </xf>
    <xf numFmtId="0" fontId="31" fillId="124" borderId="88" applyNumberFormat="0" applyProtection="0">
      <alignment horizontal="left" vertical="top" indent="1"/>
    </xf>
    <xf numFmtId="0" fontId="31" fillId="124" borderId="88" applyNumberFormat="0" applyProtection="0">
      <alignment horizontal="left" vertical="top" indent="1"/>
    </xf>
    <xf numFmtId="0" fontId="16" fillId="82" borderId="88" applyNumberFormat="0" applyProtection="0">
      <alignment horizontal="left" vertical="top" indent="1"/>
    </xf>
    <xf numFmtId="0" fontId="31" fillId="124" borderId="88" applyNumberFormat="0" applyProtection="0">
      <alignment horizontal="left" vertical="top" indent="1"/>
    </xf>
    <xf numFmtId="0" fontId="31" fillId="124" borderId="88" applyNumberFormat="0" applyProtection="0">
      <alignment horizontal="left" vertical="top" indent="1"/>
    </xf>
    <xf numFmtId="0" fontId="16" fillId="82" borderId="88" applyNumberFormat="0" applyProtection="0">
      <alignment horizontal="left" vertical="top" indent="1"/>
    </xf>
    <xf numFmtId="0" fontId="31" fillId="124" borderId="88" applyNumberFormat="0" applyProtection="0">
      <alignment horizontal="left" vertical="top" indent="1"/>
    </xf>
    <xf numFmtId="0" fontId="16" fillId="59" borderId="88" applyNumberFormat="0" applyProtection="0">
      <alignment horizontal="left" vertical="center" indent="1"/>
    </xf>
    <xf numFmtId="0" fontId="31" fillId="118" borderId="84" applyNumberFormat="0" applyProtection="0">
      <alignment horizontal="left" vertical="center" indent="1"/>
    </xf>
    <xf numFmtId="0" fontId="31" fillId="118" borderId="84" applyNumberFormat="0" applyProtection="0">
      <alignment horizontal="left" vertical="center" indent="1"/>
    </xf>
    <xf numFmtId="0" fontId="31" fillId="118" borderId="84" applyNumberFormat="0" applyProtection="0">
      <alignment horizontal="left" vertical="center" indent="1"/>
    </xf>
    <xf numFmtId="0" fontId="16" fillId="126" borderId="88" applyNumberFormat="0" applyProtection="0">
      <alignment horizontal="left" vertical="center" indent="1"/>
    </xf>
    <xf numFmtId="0" fontId="31" fillId="118" borderId="84" applyNumberFormat="0" applyProtection="0">
      <alignment horizontal="left" vertical="center" indent="1"/>
    </xf>
    <xf numFmtId="0" fontId="31" fillId="118" borderId="84" applyNumberFormat="0" applyProtection="0">
      <alignment horizontal="left" vertical="center" indent="1"/>
    </xf>
    <xf numFmtId="0" fontId="16" fillId="59" borderId="88" applyNumberFormat="0" applyProtection="0">
      <alignment horizontal="left" vertical="center" indent="1"/>
    </xf>
    <xf numFmtId="0" fontId="31" fillId="118" borderId="84" applyNumberFormat="0" applyProtection="0">
      <alignment horizontal="left" vertical="center" indent="1"/>
    </xf>
    <xf numFmtId="0" fontId="31" fillId="118" borderId="84" applyNumberFormat="0" applyProtection="0">
      <alignment horizontal="left" vertical="center" indent="1"/>
    </xf>
    <xf numFmtId="0" fontId="16" fillId="11" borderId="88" applyNumberFormat="0" applyProtection="0">
      <alignment horizontal="left" vertical="top" indent="1"/>
    </xf>
    <xf numFmtId="0" fontId="31" fillId="118" borderId="88" applyNumberFormat="0" applyProtection="0">
      <alignment horizontal="left" vertical="top" indent="1"/>
    </xf>
    <xf numFmtId="0" fontId="31" fillId="118" borderId="88" applyNumberFormat="0" applyProtection="0">
      <alignment horizontal="left" vertical="top" indent="1"/>
    </xf>
    <xf numFmtId="0" fontId="31" fillId="118" borderId="88" applyNumberFormat="0" applyProtection="0">
      <alignment horizontal="left" vertical="top" indent="1"/>
    </xf>
    <xf numFmtId="0" fontId="16" fillId="11" borderId="88" applyNumberFormat="0" applyProtection="0">
      <alignment horizontal="left" vertical="top" indent="1"/>
    </xf>
    <xf numFmtId="0" fontId="31" fillId="118" borderId="88" applyNumberFormat="0" applyProtection="0">
      <alignment horizontal="left" vertical="top" indent="1"/>
    </xf>
    <xf numFmtId="0" fontId="31" fillId="118" borderId="88" applyNumberFormat="0" applyProtection="0">
      <alignment horizontal="left" vertical="top" indent="1"/>
    </xf>
    <xf numFmtId="0" fontId="16" fillId="11" borderId="88" applyNumberFormat="0" applyProtection="0">
      <alignment horizontal="left" vertical="top" indent="1"/>
    </xf>
    <xf numFmtId="0" fontId="31" fillId="118" borderId="88" applyNumberFormat="0" applyProtection="0">
      <alignment horizontal="left" vertical="top" indent="1"/>
    </xf>
    <xf numFmtId="0" fontId="16" fillId="60" borderId="1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6" fillId="0" borderId="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04" fillId="72" borderId="92" applyBorder="0"/>
    <xf numFmtId="0" fontId="104" fillId="72" borderId="92" applyBorder="0"/>
    <xf numFmtId="0" fontId="104" fillId="72" borderId="92" applyBorder="0"/>
    <xf numFmtId="0" fontId="104" fillId="72" borderId="92" applyBorder="0"/>
    <xf numFmtId="0" fontId="104" fillId="72" borderId="92" applyBorder="0"/>
    <xf numFmtId="4" fontId="154" fillId="9" borderId="88" applyNumberFormat="0" applyProtection="0">
      <alignment vertical="center"/>
    </xf>
    <xf numFmtId="4" fontId="156" fillId="59" borderId="88" applyNumberFormat="0" applyProtection="0">
      <alignment vertical="center"/>
    </xf>
    <xf numFmtId="4" fontId="156" fillId="59" borderId="88" applyNumberFormat="0" applyProtection="0">
      <alignment vertical="center"/>
    </xf>
    <xf numFmtId="4" fontId="156" fillId="59" borderId="88" applyNumberFormat="0" applyProtection="0">
      <alignment vertical="center"/>
    </xf>
    <xf numFmtId="4" fontId="154" fillId="9" borderId="88" applyNumberFormat="0" applyProtection="0">
      <alignment vertical="center"/>
    </xf>
    <xf numFmtId="4" fontId="156" fillId="59" borderId="88" applyNumberFormat="0" applyProtection="0">
      <alignment vertical="center"/>
    </xf>
    <xf numFmtId="4" fontId="156" fillId="59" borderId="88" applyNumberFormat="0" applyProtection="0">
      <alignment vertical="center"/>
    </xf>
    <xf numFmtId="4" fontId="154" fillId="9" borderId="88" applyNumberFormat="0" applyProtection="0">
      <alignment vertical="center"/>
    </xf>
    <xf numFmtId="4" fontId="156" fillId="59" borderId="88" applyNumberFormat="0" applyProtection="0">
      <alignment vertical="center"/>
    </xf>
    <xf numFmtId="4" fontId="157" fillId="9" borderId="88" applyNumberFormat="0" applyProtection="0">
      <alignment vertical="center"/>
    </xf>
    <xf numFmtId="4" fontId="152" fillId="9" borderId="11" applyNumberFormat="0" applyProtection="0">
      <alignment vertical="center"/>
    </xf>
    <xf numFmtId="4" fontId="31" fillId="59" borderId="11" applyNumberFormat="0" applyProtection="0">
      <alignment vertical="center"/>
    </xf>
    <xf numFmtId="4" fontId="157" fillId="9" borderId="88" applyNumberFormat="0" applyProtection="0">
      <alignment vertical="center"/>
    </xf>
    <xf numFmtId="4" fontId="157" fillId="9" borderId="88" applyNumberFormat="0" applyProtection="0">
      <alignment vertical="center"/>
    </xf>
    <xf numFmtId="4" fontId="152" fillId="9" borderId="11" applyNumberFormat="0" applyProtection="0">
      <alignment vertical="center"/>
    </xf>
    <xf numFmtId="4" fontId="154" fillId="9" borderId="88" applyNumberFormat="0" applyProtection="0">
      <alignment horizontal="left" vertical="center" indent="1"/>
    </xf>
    <xf numFmtId="4" fontId="156" fillId="62" borderId="88" applyNumberFormat="0" applyProtection="0">
      <alignment horizontal="left" vertical="center" indent="1"/>
    </xf>
    <xf numFmtId="4" fontId="156" fillId="62" borderId="88" applyNumberFormat="0" applyProtection="0">
      <alignment horizontal="left" vertical="center" indent="1"/>
    </xf>
    <xf numFmtId="4" fontId="156" fillId="62" borderId="88" applyNumberFormat="0" applyProtection="0">
      <alignment horizontal="left" vertical="center" indent="1"/>
    </xf>
    <xf numFmtId="4" fontId="154" fillId="59" borderId="88" applyNumberFormat="0" applyProtection="0">
      <alignment horizontal="left" vertical="center" indent="1"/>
    </xf>
    <xf numFmtId="4" fontId="156" fillId="62" borderId="88" applyNumberFormat="0" applyProtection="0">
      <alignment horizontal="left" vertical="center" indent="1"/>
    </xf>
    <xf numFmtId="4" fontId="156" fillId="62" borderId="88" applyNumberFormat="0" applyProtection="0">
      <alignment horizontal="left" vertical="center" indent="1"/>
    </xf>
    <xf numFmtId="4" fontId="154" fillId="9" borderId="88" applyNumberFormat="0" applyProtection="0">
      <alignment horizontal="left" vertical="center" indent="1"/>
    </xf>
    <xf numFmtId="4" fontId="156" fillId="62" borderId="88" applyNumberFormat="0" applyProtection="0">
      <alignment horizontal="left" vertical="center" indent="1"/>
    </xf>
    <xf numFmtId="4" fontId="156" fillId="62" borderId="88" applyNumberFormat="0" applyProtection="0">
      <alignment horizontal="left" vertical="center" indent="1"/>
    </xf>
    <xf numFmtId="0" fontId="154" fillId="9" borderId="88" applyNumberFormat="0" applyProtection="0">
      <alignment horizontal="left" vertical="top" indent="1"/>
    </xf>
    <xf numFmtId="0" fontId="156" fillId="59" borderId="88" applyNumberFormat="0" applyProtection="0">
      <alignment horizontal="left" vertical="top" indent="1"/>
    </xf>
    <xf numFmtId="0" fontId="156" fillId="59" borderId="88" applyNumberFormat="0" applyProtection="0">
      <alignment horizontal="left" vertical="top" indent="1"/>
    </xf>
    <xf numFmtId="0" fontId="156" fillId="59" borderId="88" applyNumberFormat="0" applyProtection="0">
      <alignment horizontal="left" vertical="top" indent="1"/>
    </xf>
    <xf numFmtId="0" fontId="154" fillId="9" borderId="88" applyNumberFormat="0" applyProtection="0">
      <alignment horizontal="left" vertical="top" indent="1"/>
    </xf>
    <xf numFmtId="0" fontId="156" fillId="59" borderId="88" applyNumberFormat="0" applyProtection="0">
      <alignment horizontal="left" vertical="top" indent="1"/>
    </xf>
    <xf numFmtId="0" fontId="156" fillId="59" borderId="88" applyNumberFormat="0" applyProtection="0">
      <alignment horizontal="left" vertical="top" indent="1"/>
    </xf>
    <xf numFmtId="0" fontId="154" fillId="9" borderId="88" applyNumberFormat="0" applyProtection="0">
      <alignment horizontal="left" vertical="top" indent="1"/>
    </xf>
    <xf numFmtId="0" fontId="156" fillId="59" borderId="88" applyNumberFormat="0" applyProtection="0">
      <alignment horizontal="left" vertical="top" indent="1"/>
    </xf>
    <xf numFmtId="4" fontId="158" fillId="0" borderId="88" applyNumberFormat="0" applyProtection="0">
      <alignment horizontal="right" vertical="center"/>
    </xf>
    <xf numFmtId="4" fontId="31" fillId="0" borderId="84" applyNumberFormat="0" applyProtection="0">
      <alignment horizontal="right" vertical="center"/>
    </xf>
    <xf numFmtId="4" fontId="31" fillId="0" borderId="84" applyNumberFormat="0" applyProtection="0">
      <alignment horizontal="right" vertical="center"/>
    </xf>
    <xf numFmtId="4" fontId="31" fillId="0" borderId="84" applyNumberFormat="0" applyProtection="0">
      <alignment horizontal="right" vertical="center"/>
    </xf>
    <xf numFmtId="4" fontId="154" fillId="0" borderId="88" applyNumberFormat="0" applyProtection="0">
      <alignment horizontal="right" vertical="center"/>
    </xf>
    <xf numFmtId="4" fontId="31" fillId="0" borderId="84" applyNumberFormat="0" applyProtection="0">
      <alignment horizontal="right" vertical="center"/>
    </xf>
    <xf numFmtId="4" fontId="31" fillId="0" borderId="84" applyNumberFormat="0" applyProtection="0">
      <alignment horizontal="right" vertical="center"/>
    </xf>
    <xf numFmtId="4" fontId="158" fillId="0" borderId="88" applyNumberFormat="0" applyProtection="0">
      <alignment horizontal="right" vertical="center"/>
    </xf>
    <xf numFmtId="4" fontId="31" fillId="0" borderId="84" applyNumberFormat="0" applyProtection="0">
      <alignment horizontal="right" vertical="center"/>
    </xf>
    <xf numFmtId="4" fontId="31" fillId="0" borderId="84" applyNumberFormat="0" applyProtection="0">
      <alignment horizontal="right" vertical="center"/>
    </xf>
    <xf numFmtId="4" fontId="157" fillId="0" borderId="88" applyNumberFormat="0" applyProtection="0">
      <alignment horizontal="right" vertical="center"/>
    </xf>
    <xf numFmtId="4" fontId="152" fillId="4" borderId="84" applyNumberFormat="0" applyProtection="0">
      <alignment horizontal="right" vertical="center"/>
    </xf>
    <xf numFmtId="4" fontId="31" fillId="60" borderId="84" applyNumberFormat="0" applyProtection="0">
      <alignment horizontal="right" vertical="center"/>
    </xf>
    <xf numFmtId="4" fontId="152" fillId="4" borderId="84" applyNumberFormat="0" applyProtection="0">
      <alignment horizontal="right" vertical="center"/>
    </xf>
    <xf numFmtId="4" fontId="157" fillId="118" borderId="88" applyNumberFormat="0" applyProtection="0">
      <alignment horizontal="right" vertical="center"/>
    </xf>
    <xf numFmtId="4" fontId="152" fillId="4" borderId="84" applyNumberFormat="0" applyProtection="0">
      <alignment horizontal="right" vertical="center"/>
    </xf>
    <xf numFmtId="4" fontId="152" fillId="4" borderId="84" applyNumberFormat="0" applyProtection="0">
      <alignment horizontal="right" vertical="center"/>
    </xf>
    <xf numFmtId="4" fontId="157" fillId="0" borderId="88" applyNumberFormat="0" applyProtection="0">
      <alignment horizontal="right" vertical="center"/>
    </xf>
    <xf numFmtId="4" fontId="152" fillId="4" borderId="84" applyNumberFormat="0" applyProtection="0">
      <alignment horizontal="right" vertical="center"/>
    </xf>
    <xf numFmtId="4" fontId="154" fillId="127" borderId="88"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154" fillId="120" borderId="88"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4" fontId="154" fillId="127" borderId="88" applyNumberFormat="0" applyProtection="0">
      <alignment horizontal="left" vertical="center" indent="1"/>
    </xf>
    <xf numFmtId="4" fontId="31" fillId="65" borderId="84" applyNumberFormat="0" applyProtection="0">
      <alignment horizontal="left" vertical="center" indent="1"/>
    </xf>
    <xf numFmtId="4" fontId="31" fillId="65" borderId="84" applyNumberFormat="0" applyProtection="0">
      <alignment horizontal="left" vertical="center" indent="1"/>
    </xf>
    <xf numFmtId="0" fontId="48" fillId="127" borderId="93" applyNumberFormat="0" applyProtection="0">
      <alignment horizontal="center" vertical="top"/>
    </xf>
    <xf numFmtId="0" fontId="156" fillId="120" borderId="88" applyNumberFormat="0" applyProtection="0">
      <alignment horizontal="left" vertical="top" indent="1"/>
    </xf>
    <xf numFmtId="0" fontId="156" fillId="120" borderId="88" applyNumberFormat="0" applyProtection="0">
      <alignment horizontal="left" vertical="top" indent="1"/>
    </xf>
    <xf numFmtId="0" fontId="156" fillId="120" borderId="88" applyNumberFormat="0" applyProtection="0">
      <alignment horizontal="left" vertical="top" indent="1"/>
    </xf>
    <xf numFmtId="0" fontId="48" fillId="123" borderId="93" applyNumberFormat="0" applyProtection="0">
      <alignment horizontal="left" vertical="top" indent="1"/>
    </xf>
    <xf numFmtId="0" fontId="156" fillId="120" borderId="88" applyNumberFormat="0" applyProtection="0">
      <alignment horizontal="left" vertical="top" indent="1"/>
    </xf>
    <xf numFmtId="0" fontId="156" fillId="120" borderId="88" applyNumberFormat="0" applyProtection="0">
      <alignment horizontal="left" vertical="top" indent="1"/>
    </xf>
    <xf numFmtId="0" fontId="156" fillId="120" borderId="88" applyNumberFormat="0" applyProtection="0">
      <alignment horizontal="left" vertical="top" indent="1"/>
    </xf>
    <xf numFmtId="0" fontId="154" fillId="125" borderId="87" applyNumberFormat="0" applyProtection="0">
      <alignment horizontal="center" vertical="top"/>
    </xf>
    <xf numFmtId="4" fontId="159" fillId="0" borderId="0" applyNumberFormat="0" applyProtection="0">
      <alignment horizontal="left" vertical="center" indent="1"/>
    </xf>
    <xf numFmtId="4" fontId="160" fillId="128" borderId="87" applyNumberFormat="0" applyProtection="0">
      <alignment horizontal="left" vertical="center" indent="1"/>
    </xf>
    <xf numFmtId="4" fontId="160" fillId="128" borderId="87" applyNumberFormat="0" applyProtection="0">
      <alignment horizontal="left" vertical="center" indent="1"/>
    </xf>
    <xf numFmtId="4" fontId="160" fillId="128" borderId="87" applyNumberFormat="0" applyProtection="0">
      <alignment horizontal="left" vertical="center" indent="1"/>
    </xf>
    <xf numFmtId="4" fontId="161" fillId="0" borderId="0" applyNumberFormat="0" applyProtection="0">
      <alignment horizontal="left" vertical="center" indent="1"/>
    </xf>
    <xf numFmtId="4" fontId="160" fillId="128" borderId="87" applyNumberFormat="0" applyProtection="0">
      <alignment horizontal="left" vertical="center" indent="1"/>
    </xf>
    <xf numFmtId="4" fontId="160" fillId="128" borderId="87" applyNumberFormat="0" applyProtection="0">
      <alignment horizontal="left" vertical="center" indent="1"/>
    </xf>
    <xf numFmtId="4" fontId="160" fillId="128" borderId="87" applyNumberFormat="0" applyProtection="0">
      <alignment horizontal="left" vertical="center" indent="1"/>
    </xf>
    <xf numFmtId="4" fontId="159" fillId="0" borderId="0" applyNumberFormat="0" applyProtection="0">
      <alignment horizontal="left" vertical="center" indent="1"/>
    </xf>
    <xf numFmtId="0" fontId="31" fillId="129" borderId="11"/>
    <xf numFmtId="0" fontId="31" fillId="129" borderId="11"/>
    <xf numFmtId="0" fontId="31" fillId="129" borderId="11"/>
    <xf numFmtId="4" fontId="43" fillId="118" borderId="88" applyNumberFormat="0" applyProtection="0">
      <alignment horizontal="right" vertical="center"/>
    </xf>
    <xf numFmtId="4" fontId="162" fillId="60" borderId="84" applyNumberFormat="0" applyProtection="0">
      <alignment horizontal="right" vertical="center"/>
    </xf>
    <xf numFmtId="4" fontId="162" fillId="60" borderId="84" applyNumberFormat="0" applyProtection="0">
      <alignment horizontal="right" vertical="center"/>
    </xf>
    <xf numFmtId="4" fontId="162" fillId="60" borderId="84" applyNumberFormat="0" applyProtection="0">
      <alignment horizontal="right" vertical="center"/>
    </xf>
    <xf numFmtId="4" fontId="43" fillId="118" borderId="88" applyNumberFormat="0" applyProtection="0">
      <alignment horizontal="right" vertical="center"/>
    </xf>
    <xf numFmtId="4" fontId="162" fillId="60" borderId="84" applyNumberFormat="0" applyProtection="0">
      <alignment horizontal="right" vertical="center"/>
    </xf>
    <xf numFmtId="4" fontId="162" fillId="60" borderId="84" applyNumberFormat="0" applyProtection="0">
      <alignment horizontal="right" vertical="center"/>
    </xf>
    <xf numFmtId="4" fontId="43" fillId="118" borderId="88" applyNumberFormat="0" applyProtection="0">
      <alignment horizontal="right" vertical="center"/>
    </xf>
    <xf numFmtId="4" fontId="162" fillId="60" borderId="84" applyNumberFormat="0" applyProtection="0">
      <alignment horizontal="right" vertical="center"/>
    </xf>
    <xf numFmtId="0" fontId="163" fillId="0" borderId="0" applyFill="0" applyBorder="0" applyAlignment="0"/>
    <xf numFmtId="0" fontId="164" fillId="130" borderId="0"/>
    <xf numFmtId="49" fontId="165" fillId="130" borderId="94">
      <alignment horizontal="center" wrapText="1"/>
    </xf>
    <xf numFmtId="49" fontId="165" fillId="130" borderId="0">
      <alignment horizontal="center" wrapText="1"/>
    </xf>
    <xf numFmtId="0" fontId="164" fillId="130" borderId="0"/>
    <xf numFmtId="222" fontId="154" fillId="0" borderId="12">
      <alignment horizontal="justify" vertical="top" wrapText="1"/>
    </xf>
    <xf numFmtId="38" fontId="166" fillId="0" borderId="10" applyBorder="0" applyAlignment="0"/>
    <xf numFmtId="2" fontId="167" fillId="0" borderId="0" applyBorder="0"/>
    <xf numFmtId="0" fontId="124" fillId="0" borderId="0" applyNumberFormat="0" applyFill="0" applyBorder="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82" applyNumberFormat="0" applyFill="0" applyAlignment="0" applyProtection="0"/>
    <xf numFmtId="0" fontId="96" fillId="0" borderId="95" applyNumberFormat="0" applyFill="0" applyAlignment="0" applyProtection="0"/>
    <xf numFmtId="0" fontId="135" fillId="0" borderId="0" applyNumberFormat="0" applyFill="0" applyBorder="0" applyAlignment="0" applyProtection="0"/>
    <xf numFmtId="0" fontId="135" fillId="0" borderId="0" applyNumberFormat="0" applyFill="0" applyBorder="0" applyAlignment="0" applyProtection="0"/>
    <xf numFmtId="44" fontId="4" fillId="0" borderId="0" applyFont="0" applyFill="0" applyBorder="0" applyAlignment="0" applyProtection="0"/>
    <xf numFmtId="0" fontId="2" fillId="0" borderId="0"/>
    <xf numFmtId="0" fontId="4" fillId="0" borderId="0"/>
    <xf numFmtId="0" fontId="2" fillId="0" borderId="0"/>
    <xf numFmtId="43" fontId="4" fillId="0" borderId="0" applyFont="0" applyFill="0" applyBorder="0" applyAlignment="0" applyProtection="0"/>
    <xf numFmtId="9" fontId="4"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3" fontId="15" fillId="15" borderId="65" applyAlignment="0" applyProtection="0"/>
    <xf numFmtId="44" fontId="2" fillId="0" borderId="0" applyFont="0" applyFill="0" applyBorder="0" applyAlignment="0" applyProtection="0"/>
    <xf numFmtId="9" fontId="2" fillId="0" borderId="0" applyFont="0" applyFill="0" applyBorder="0" applyAlignment="0" applyProtection="0"/>
    <xf numFmtId="3" fontId="15" fillId="15" borderId="65" applyAlignment="0" applyProtection="0"/>
    <xf numFmtId="0" fontId="2" fillId="0" borderId="0"/>
    <xf numFmtId="0" fontId="4" fillId="0" borderId="0"/>
    <xf numFmtId="0" fontId="31" fillId="60" borderId="91" applyNumberFormat="0">
      <protection locked="0"/>
    </xf>
    <xf numFmtId="199" fontId="31" fillId="0" borderId="83">
      <alignment horizontal="center" vertical="center"/>
      <protection locked="0"/>
    </xf>
    <xf numFmtId="44" fontId="16" fillId="0" borderId="0" applyFont="0" applyFill="0" applyBorder="0" applyAlignment="0" applyProtection="0"/>
    <xf numFmtId="44" fontId="16" fillId="0" borderId="0" applyFont="0" applyFill="0" applyBorder="0" applyAlignment="0" applyProtection="0"/>
    <xf numFmtId="43" fontId="154" fillId="0" borderId="0" applyFont="0" applyFill="0" applyBorder="0" applyAlignment="0" applyProtection="0"/>
    <xf numFmtId="43" fontId="4" fillId="0" borderId="0" applyFont="0" applyFill="0" applyBorder="0" applyAlignment="0" applyProtection="0"/>
    <xf numFmtId="44" fontId="154" fillId="0" borderId="0" applyFont="0" applyFill="0" applyBorder="0" applyAlignment="0" applyProtection="0"/>
    <xf numFmtId="0" fontId="96" fillId="131" borderId="0" applyNumberFormat="0" applyBorder="0" applyAlignment="0" applyProtection="0"/>
    <xf numFmtId="0" fontId="4" fillId="0" borderId="0"/>
    <xf numFmtId="43" fontId="154" fillId="0" borderId="0" applyFont="0" applyFill="0" applyBorder="0" applyAlignment="0" applyProtection="0"/>
    <xf numFmtId="19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0" fontId="16" fillId="0" borderId="0"/>
    <xf numFmtId="0" fontId="117" fillId="0" borderId="71" applyNumberFormat="0" applyAlignment="0" applyProtection="0">
      <alignment horizontal="left" vertical="center"/>
    </xf>
    <xf numFmtId="0" fontId="31" fillId="60" borderId="91" applyNumberFormat="0">
      <protection locked="0"/>
    </xf>
    <xf numFmtId="44" fontId="16" fillId="0" borderId="0" applyFont="0" applyFill="0" applyBorder="0" applyAlignment="0" applyProtection="0"/>
    <xf numFmtId="9" fontId="16" fillId="0" borderId="0" applyFont="0" applyFill="0" applyBorder="0" applyAlignment="0" applyProtection="0"/>
    <xf numFmtId="0" fontId="94" fillId="0" borderId="0"/>
    <xf numFmtId="0" fontId="31" fillId="60" borderId="91" applyNumberFormat="0">
      <protection locked="0"/>
    </xf>
    <xf numFmtId="0" fontId="4" fillId="0" borderId="0"/>
    <xf numFmtId="172" fontId="15" fillId="0" borderId="0" applyFont="0" applyFill="0" applyBorder="0" applyAlignment="0" applyProtection="0"/>
    <xf numFmtId="0" fontId="94" fillId="0" borderId="0"/>
    <xf numFmtId="0" fontId="16" fillId="4" borderId="0"/>
    <xf numFmtId="0" fontId="16" fillId="4" borderId="0"/>
    <xf numFmtId="0" fontId="4" fillId="0" borderId="0"/>
    <xf numFmtId="44" fontId="154" fillId="0" borderId="0" applyFont="0" applyFill="0" applyBorder="0" applyAlignment="0" applyProtection="0"/>
    <xf numFmtId="9" fontId="16" fillId="0" borderId="0" applyFont="0" applyFill="0" applyBorder="0" applyAlignment="0" applyProtection="0"/>
    <xf numFmtId="0" fontId="4" fillId="0" borderId="0"/>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1" fontId="31" fillId="0" borderId="83">
      <alignment horizontal="center" vertical="center"/>
      <protection locked="0"/>
    </xf>
    <xf numFmtId="0" fontId="31" fillId="60" borderId="91" applyNumberFormat="0">
      <protection locked="0"/>
    </xf>
    <xf numFmtId="0" fontId="94" fillId="0" borderId="0"/>
    <xf numFmtId="0" fontId="31" fillId="0" borderId="83" applyAlignment="0">
      <protection locked="0"/>
    </xf>
    <xf numFmtId="198" fontId="31" fillId="0" borderId="83">
      <alignment vertical="center"/>
      <protection locked="0"/>
    </xf>
    <xf numFmtId="0" fontId="16" fillId="0" borderId="0"/>
    <xf numFmtId="0" fontId="18" fillId="62" borderId="0" applyNumberFormat="0" applyBorder="0" applyAlignment="0" applyProtection="0"/>
    <xf numFmtId="0" fontId="86" fillId="71" borderId="0" applyNumberFormat="0" applyBorder="0" applyAlignment="0" applyProtection="0"/>
    <xf numFmtId="0" fontId="86" fillId="69" borderId="0" applyNumberFormat="0" applyBorder="0" applyAlignment="0" applyProtection="0"/>
    <xf numFmtId="0" fontId="18" fillId="62"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18" fillId="77" borderId="0" applyNumberFormat="0" applyBorder="0" applyAlignment="0" applyProtection="0"/>
    <xf numFmtId="0" fontId="18" fillId="111" borderId="0" applyNumberFormat="0" applyBorder="0" applyAlignment="0" applyProtection="0"/>
    <xf numFmtId="0" fontId="86" fillId="69" borderId="0" applyNumberFormat="0" applyBorder="0" applyAlignment="0" applyProtection="0"/>
    <xf numFmtId="0" fontId="18" fillId="77" borderId="0" applyNumberFormat="0" applyBorder="0" applyAlignment="0" applyProtection="0"/>
    <xf numFmtId="0" fontId="18" fillId="124" borderId="0" applyNumberFormat="0" applyBorder="0" applyAlignment="0" applyProtection="0"/>
    <xf numFmtId="0" fontId="86" fillId="71" borderId="0" applyNumberFormat="0" applyBorder="0" applyAlignment="0" applyProtection="0"/>
    <xf numFmtId="0" fontId="86" fillId="65" borderId="0" applyNumberFormat="0" applyBorder="0" applyAlignment="0" applyProtection="0"/>
    <xf numFmtId="0" fontId="86" fillId="111" borderId="0" applyNumberFormat="0" applyBorder="0" applyAlignment="0" applyProtection="0"/>
    <xf numFmtId="0" fontId="86" fillId="72" borderId="0" applyNumberFormat="0" applyBorder="0" applyAlignment="0" applyProtection="0"/>
    <xf numFmtId="0" fontId="86" fillId="77"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5" borderId="0" applyNumberFormat="0" applyBorder="0" applyAlignment="0" applyProtection="0"/>
    <xf numFmtId="0" fontId="86" fillId="69" borderId="0" applyNumberFormat="0" applyBorder="0" applyAlignment="0" applyProtection="0"/>
    <xf numFmtId="0" fontId="86" fillId="71" borderId="0" applyNumberFormat="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0" fontId="86" fillId="75" borderId="0" applyNumberFormat="0" applyBorder="0" applyAlignment="0" applyProtection="0"/>
    <xf numFmtId="0" fontId="86" fillId="65" borderId="0" applyNumberFormat="0" applyBorder="0" applyAlignment="0" applyProtection="0"/>
    <xf numFmtId="0" fontId="86" fillId="69" borderId="0" applyNumberFormat="0" applyBorder="0" applyAlignment="0" applyProtection="0"/>
    <xf numFmtId="43" fontId="16" fillId="0" borderId="0" applyFont="0" applyFill="0" applyBorder="0" applyAlignment="0" applyProtection="0"/>
    <xf numFmtId="0" fontId="86" fillId="71" borderId="0" applyNumberFormat="0" applyBorder="0" applyAlignment="0" applyProtection="0"/>
    <xf numFmtId="43" fontId="16" fillId="0" borderId="0" applyFont="0" applyFill="0" applyBorder="0" applyAlignment="0" applyProtection="0"/>
    <xf numFmtId="0" fontId="86" fillId="72" borderId="0" applyNumberFormat="0" applyBorder="0" applyAlignment="0" applyProtection="0"/>
    <xf numFmtId="0" fontId="102" fillId="0" borderId="96" applyNumberFormat="0" applyFill="0" applyAlignment="0" applyProtection="0"/>
    <xf numFmtId="0" fontId="103" fillId="0" borderId="97" applyNumberFormat="0" applyFill="0" applyAlignment="0" applyProtection="0"/>
    <xf numFmtId="0" fontId="86" fillId="65" borderId="0" applyNumberFormat="0" applyBorder="0" applyAlignment="0" applyProtection="0"/>
    <xf numFmtId="0" fontId="86" fillId="75" borderId="0" applyNumberFormat="0" applyBorder="0" applyAlignment="0" applyProtection="0"/>
    <xf numFmtId="0" fontId="86" fillId="71" borderId="0" applyNumberFormat="0" applyBorder="0" applyAlignment="0" applyProtection="0"/>
    <xf numFmtId="0" fontId="86" fillId="69" borderId="0" applyNumberFormat="0" applyBorder="0" applyAlignment="0" applyProtection="0"/>
    <xf numFmtId="0" fontId="16" fillId="59" borderId="98" applyNumberFormat="0" applyFont="0" applyAlignment="0" applyProtection="0"/>
    <xf numFmtId="0" fontId="86" fillId="65" borderId="0" applyNumberFormat="0" applyBorder="0" applyAlignment="0" applyProtection="0"/>
    <xf numFmtId="43" fontId="16" fillId="0" borderId="0" applyFont="0" applyFill="0" applyBorder="0" applyAlignment="0" applyProtection="0"/>
    <xf numFmtId="0" fontId="86" fillId="65" borderId="0" applyNumberFormat="0" applyBorder="0" applyAlignment="0" applyProtection="0"/>
    <xf numFmtId="0" fontId="16" fillId="0" borderId="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0" fontId="86" fillId="65" borderId="0" applyNumberFormat="0" applyBorder="0" applyAlignment="0" applyProtection="0"/>
    <xf numFmtId="0" fontId="86" fillId="69" borderId="0" applyNumberFormat="0" applyBorder="0" applyAlignment="0" applyProtection="0"/>
    <xf numFmtId="0" fontId="86" fillId="71" borderId="0" applyNumberFormat="0" applyBorder="0" applyAlignment="0" applyProtection="0"/>
    <xf numFmtId="43" fontId="16" fillId="0" borderId="0" applyFont="0" applyFill="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0" fontId="86" fillId="65" borderId="0" applyNumberFormat="0" applyBorder="0" applyAlignment="0" applyProtection="0"/>
    <xf numFmtId="0" fontId="86" fillId="69" borderId="0" applyNumberFormat="0" applyBorder="0" applyAlignment="0" applyProtection="0"/>
    <xf numFmtId="0" fontId="86" fillId="71" borderId="0" applyNumberFormat="0" applyBorder="0" applyAlignment="0" applyProtection="0"/>
    <xf numFmtId="43" fontId="16" fillId="0" borderId="0" applyFont="0" applyFill="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43" fontId="16" fillId="0" borderId="0" applyFont="0" applyFill="0" applyBorder="0" applyAlignment="0" applyProtection="0"/>
    <xf numFmtId="0" fontId="16" fillId="0" borderId="0"/>
    <xf numFmtId="0" fontId="86" fillId="69" borderId="0" applyNumberFormat="0" applyBorder="0" applyAlignment="0" applyProtection="0"/>
    <xf numFmtId="0" fontId="86" fillId="71" borderId="0" applyNumberFormat="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9" fontId="16" fillId="0" borderId="0" applyFont="0" applyFill="0" applyBorder="0" applyAlignment="0" applyProtection="0"/>
    <xf numFmtId="0" fontId="86" fillId="65" borderId="0" applyNumberFormat="0" applyBorder="0" applyAlignment="0" applyProtection="0"/>
    <xf numFmtId="0" fontId="86" fillId="69" borderId="0" applyNumberFormat="0" applyBorder="0" applyAlignment="0" applyProtection="0"/>
    <xf numFmtId="0" fontId="16" fillId="0" borderId="0"/>
    <xf numFmtId="43" fontId="16" fillId="0" borderId="0" applyFont="0" applyFill="0" applyBorder="0" applyAlignment="0" applyProtection="0"/>
    <xf numFmtId="9" fontId="16" fillId="0" borderId="0" applyFont="0" applyFill="0" applyBorder="0" applyAlignment="0" applyProtection="0"/>
    <xf numFmtId="0" fontId="16" fillId="0" borderId="0"/>
    <xf numFmtId="0" fontId="86" fillId="71" borderId="0" applyNumberFormat="0" applyBorder="0" applyAlignment="0" applyProtection="0"/>
    <xf numFmtId="43" fontId="16" fillId="0" borderId="0" applyFont="0" applyFill="0" applyBorder="0" applyAlignment="0" applyProtection="0"/>
    <xf numFmtId="0" fontId="86" fillId="72" borderId="0" applyNumberFormat="0" applyBorder="0" applyAlignment="0" applyProtection="0"/>
    <xf numFmtId="0" fontId="86" fillId="65" borderId="0" applyNumberFormat="0" applyBorder="0" applyAlignment="0" applyProtection="0"/>
    <xf numFmtId="0" fontId="86" fillId="75" borderId="0" applyNumberFormat="0" applyBorder="0" applyAlignment="0" applyProtection="0"/>
    <xf numFmtId="9"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16" fillId="0" borderId="0"/>
    <xf numFmtId="9" fontId="16" fillId="0" borderId="0" applyFont="0" applyFill="0" applyBorder="0" applyAlignment="0" applyProtection="0"/>
    <xf numFmtId="0" fontId="16" fillId="0" borderId="0"/>
    <xf numFmtId="9" fontId="16" fillId="0" borderId="0" applyFont="0" applyFill="0" applyBorder="0" applyAlignment="0" applyProtection="0"/>
    <xf numFmtId="0" fontId="96" fillId="131" borderId="0" applyNumberFormat="0" applyBorder="0" applyAlignment="0" applyProtection="0"/>
    <xf numFmtId="43" fontId="16" fillId="0" borderId="0" applyFont="0" applyFill="0" applyBorder="0" applyAlignment="0" applyProtection="0"/>
    <xf numFmtId="202"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0" fontId="94" fillId="0" borderId="0"/>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9" fontId="15" fillId="0" borderId="0" applyFont="0" applyFill="0" applyBorder="0" applyAlignment="0" applyProtection="0"/>
    <xf numFmtId="9" fontId="16"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48" fillId="117" borderId="89" applyNumberFormat="0" applyProtection="0">
      <alignment horizontal="left" vertical="center" indent="1"/>
    </xf>
    <xf numFmtId="0" fontId="2" fillId="0" borderId="0"/>
    <xf numFmtId="0" fontId="2" fillId="0" borderId="0"/>
    <xf numFmtId="9" fontId="4" fillId="0" borderId="0" applyFont="0" applyFill="0" applyBorder="0" applyAlignment="0" applyProtection="0"/>
    <xf numFmtId="0" fontId="2" fillId="0" borderId="0"/>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94" fillId="0" borderId="0"/>
    <xf numFmtId="44" fontId="154" fillId="0" borderId="0" applyFont="0" applyFill="0" applyBorder="0" applyAlignment="0" applyProtection="0"/>
    <xf numFmtId="43" fontId="15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16" fillId="0" borderId="0"/>
    <xf numFmtId="0" fontId="117" fillId="0" borderId="71" applyNumberFormat="0" applyAlignment="0" applyProtection="0">
      <alignment horizontal="left" vertical="center"/>
    </xf>
    <xf numFmtId="0" fontId="4" fillId="0" borderId="0"/>
    <xf numFmtId="0" fontId="31" fillId="60" borderId="91" applyNumberFormat="0">
      <protection locked="0"/>
    </xf>
    <xf numFmtId="0" fontId="16" fillId="4" borderId="0"/>
    <xf numFmtId="0" fontId="18" fillId="57" borderId="0" applyNumberFormat="0" applyBorder="0" applyAlignment="0" applyProtection="0"/>
    <xf numFmtId="0" fontId="18" fillId="60"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62" borderId="0" applyNumberFormat="0" applyBorder="0" applyAlignment="0" applyProtection="0"/>
    <xf numFmtId="0" fontId="18" fillId="57" borderId="0" applyNumberFormat="0" applyBorder="0" applyAlignment="0" applyProtection="0"/>
    <xf numFmtId="0" fontId="86" fillId="57" borderId="0" applyNumberFormat="0" applyBorder="0" applyAlignment="0" applyProtection="0"/>
    <xf numFmtId="0" fontId="86" fillId="58" borderId="0" applyNumberFormat="0" applyBorder="0" applyAlignment="0" applyProtection="0"/>
    <xf numFmtId="0" fontId="86" fillId="62" borderId="0" applyNumberFormat="0" applyBorder="0" applyAlignment="0" applyProtection="0"/>
    <xf numFmtId="0" fontId="86" fillId="57"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0"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3"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7"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98"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89"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0" fontId="86" fillId="102" borderId="0" applyNumberFormat="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96" fillId="80" borderId="0" applyNumberFormat="0" applyBorder="0" applyAlignment="0" applyProtection="0"/>
    <xf numFmtId="0" fontId="102" fillId="0" borderId="75" applyNumberFormat="0" applyFill="0" applyAlignment="0" applyProtection="0"/>
    <xf numFmtId="0" fontId="103" fillId="0" borderId="76" applyNumberFormat="0" applyFill="0" applyAlignment="0" applyProtection="0"/>
    <xf numFmtId="0" fontId="15" fillId="0" borderId="0"/>
    <xf numFmtId="0" fontId="16" fillId="4" borderId="0"/>
    <xf numFmtId="0" fontId="31" fillId="110" borderId="0"/>
    <xf numFmtId="0" fontId="31" fillId="110" borderId="0"/>
    <xf numFmtId="0" fontId="2" fillId="0" borderId="0"/>
    <xf numFmtId="0" fontId="2" fillId="0" borderId="0"/>
    <xf numFmtId="0" fontId="2" fillId="0" borderId="0"/>
    <xf numFmtId="0" fontId="2" fillId="0" borderId="0"/>
    <xf numFmtId="0" fontId="2" fillId="0" borderId="0"/>
    <xf numFmtId="0" fontId="2" fillId="0" borderId="0"/>
    <xf numFmtId="0" fontId="31" fillId="110" borderId="0"/>
    <xf numFmtId="0" fontId="31" fillId="110" borderId="0"/>
    <xf numFmtId="0" fontId="31" fillId="110" borderId="0"/>
    <xf numFmtId="0" fontId="31" fillId="110" borderId="0"/>
    <xf numFmtId="0" fontId="31" fillId="110" borderId="0"/>
    <xf numFmtId="0" fontId="31" fillId="110" borderId="0"/>
    <xf numFmtId="0" fontId="31" fillId="110" borderId="0"/>
    <xf numFmtId="0" fontId="2" fillId="0" borderId="0"/>
    <xf numFmtId="0" fontId="2" fillId="0" borderId="0"/>
    <xf numFmtId="0" fontId="2" fillId="0" borderId="0"/>
    <xf numFmtId="0" fontId="2" fillId="0" borderId="0"/>
    <xf numFmtId="0" fontId="2" fillId="0" borderId="0"/>
    <xf numFmtId="0" fontId="2" fillId="0" borderId="0"/>
    <xf numFmtId="0" fontId="16" fillId="59" borderId="79" applyNumberFormat="0" applyFont="0" applyAlignment="0" applyProtection="0"/>
    <xf numFmtId="9" fontId="3" fillId="0" borderId="0" applyFont="0" applyFill="0" applyBorder="0" applyAlignment="0" applyProtection="0"/>
    <xf numFmtId="9" fontId="3" fillId="0" borderId="0" applyFont="0" applyFill="0" applyBorder="0" applyAlignment="0" applyProtection="0"/>
    <xf numFmtId="0" fontId="16" fillId="60" borderId="11" applyNumberFormat="0">
      <protection locked="0"/>
    </xf>
    <xf numFmtId="0" fontId="48" fillId="127" borderId="93" applyNumberFormat="0" applyProtection="0">
      <alignment horizontal="center" vertical="top"/>
    </xf>
    <xf numFmtId="4" fontId="159" fillId="0" borderId="0" applyNumberFormat="0" applyProtection="0">
      <alignment horizontal="left" vertical="center" indent="1"/>
    </xf>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31" fillId="60" borderId="91" applyNumberFormat="0">
      <protection locked="0"/>
    </xf>
    <xf numFmtId="44" fontId="4" fillId="0" borderId="0" applyFont="0" applyFill="0" applyBorder="0" applyAlignment="0" applyProtection="0"/>
    <xf numFmtId="200" fontId="31" fillId="0" borderId="83">
      <alignment horizontal="center" vertical="center"/>
      <protection locked="0"/>
    </xf>
    <xf numFmtId="0" fontId="31" fillId="60" borderId="91" applyNumberFormat="0">
      <protection locked="0"/>
    </xf>
    <xf numFmtId="0" fontId="16" fillId="0" borderId="0"/>
    <xf numFmtId="43" fontId="16" fillId="0" borderId="0" applyFont="0" applyFill="0" applyBorder="0" applyAlignment="0" applyProtection="0"/>
    <xf numFmtId="43" fontId="16" fillId="0" borderId="0" applyFont="0" applyFill="0" applyBorder="0" applyAlignment="0" applyProtection="0"/>
    <xf numFmtId="3" fontId="16" fillId="11" borderId="0" applyNumberFormat="0" applyFont="0" applyBorder="0" applyAlignment="0">
      <alignment horizontal="right"/>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81" fillId="32" borderId="0" applyNumberFormat="0" applyBorder="0" applyAlignment="0" applyProtection="0"/>
    <xf numFmtId="0" fontId="81" fillId="36" borderId="0" applyNumberFormat="0" applyBorder="0" applyAlignment="0" applyProtection="0"/>
    <xf numFmtId="0" fontId="81" fillId="40" borderId="0" applyNumberFormat="0" applyBorder="0" applyAlignment="0" applyProtection="0"/>
    <xf numFmtId="0" fontId="81" fillId="44" borderId="0" applyNumberFormat="0" applyBorder="0" applyAlignment="0" applyProtection="0"/>
    <xf numFmtId="0" fontId="81" fillId="48" borderId="0" applyNumberFormat="0" applyBorder="0" applyAlignment="0" applyProtection="0"/>
    <xf numFmtId="0" fontId="81" fillId="52" borderId="0" applyNumberFormat="0" applyBorder="0" applyAlignment="0" applyProtection="0"/>
    <xf numFmtId="0" fontId="18" fillId="64" borderId="0" applyNumberFormat="0" applyBorder="0" applyAlignment="0" applyProtection="0"/>
    <xf numFmtId="0" fontId="18" fillId="100" borderId="0" applyNumberFormat="0" applyBorder="0" applyAlignment="0" applyProtection="0"/>
    <xf numFmtId="0" fontId="86" fillId="132" borderId="0" applyNumberFormat="0" applyBorder="0" applyAlignment="0" applyProtection="0"/>
    <xf numFmtId="0" fontId="81" fillId="29" borderId="0" applyNumberFormat="0" applyBorder="0" applyAlignment="0" applyProtection="0"/>
    <xf numFmtId="0" fontId="86" fillId="90" borderId="0" applyNumberFormat="0" applyBorder="0" applyAlignment="0" applyProtection="0"/>
    <xf numFmtId="0" fontId="81" fillId="29" borderId="0" applyNumberFormat="0" applyBorder="0" applyAlignment="0" applyProtection="0"/>
    <xf numFmtId="0" fontId="81" fillId="29" borderId="0" applyNumberFormat="0" applyBorder="0" applyAlignment="0" applyProtection="0"/>
    <xf numFmtId="0" fontId="81" fillId="29" borderId="0" applyNumberFormat="0" applyBorder="0" applyAlignment="0" applyProtection="0"/>
    <xf numFmtId="0" fontId="18" fillId="133" borderId="0" applyNumberFormat="0" applyBorder="0" applyAlignment="0" applyProtection="0"/>
    <xf numFmtId="0" fontId="18" fillId="92" borderId="0" applyNumberFormat="0" applyBorder="0" applyAlignment="0" applyProtection="0"/>
    <xf numFmtId="0" fontId="81" fillId="33" borderId="0" applyNumberFormat="0" applyBorder="0" applyAlignment="0" applyProtection="0"/>
    <xf numFmtId="0" fontId="86" fillId="93" borderId="0" applyNumberFormat="0" applyBorder="0" applyAlignment="0" applyProtection="0"/>
    <xf numFmtId="0" fontId="81" fillId="33" borderId="0" applyNumberFormat="0" applyBorder="0" applyAlignment="0" applyProtection="0"/>
    <xf numFmtId="0" fontId="81" fillId="33" borderId="0" applyNumberFormat="0" applyBorder="0" applyAlignment="0" applyProtection="0"/>
    <xf numFmtId="0" fontId="81" fillId="33" borderId="0" applyNumberFormat="0" applyBorder="0" applyAlignment="0" applyProtection="0"/>
    <xf numFmtId="0" fontId="18" fillId="99" borderId="0" applyNumberFormat="0" applyBorder="0" applyAlignment="0" applyProtection="0"/>
    <xf numFmtId="0" fontId="18" fillId="91" borderId="0" applyNumberFormat="0" applyBorder="0" applyAlignment="0" applyProtection="0"/>
    <xf numFmtId="0" fontId="81" fillId="37" borderId="0" applyNumberFormat="0" applyBorder="0" applyAlignment="0" applyProtection="0"/>
    <xf numFmtId="0" fontId="86" fillId="97" borderId="0" applyNumberFormat="0" applyBorder="0" applyAlignment="0" applyProtection="0"/>
    <xf numFmtId="0" fontId="81" fillId="37" borderId="0" applyNumberFormat="0" applyBorder="0" applyAlignment="0" applyProtection="0"/>
    <xf numFmtId="0" fontId="81" fillId="37" borderId="0" applyNumberFormat="0" applyBorder="0" applyAlignment="0" applyProtection="0"/>
    <xf numFmtId="0" fontId="81" fillId="37" borderId="0" applyNumberFormat="0" applyBorder="0" applyAlignment="0" applyProtection="0"/>
    <xf numFmtId="0" fontId="18" fillId="91" borderId="0" applyNumberFormat="0" applyBorder="0" applyAlignment="0" applyProtection="0"/>
    <xf numFmtId="0" fontId="81" fillId="41" borderId="0" applyNumberFormat="0" applyBorder="0" applyAlignment="0" applyProtection="0"/>
    <xf numFmtId="0" fontId="86" fillId="98" borderId="0" applyNumberFormat="0" applyBorder="0" applyAlignment="0" applyProtection="0"/>
    <xf numFmtId="0" fontId="81" fillId="41" borderId="0" applyNumberFormat="0" applyBorder="0" applyAlignment="0" applyProtection="0"/>
    <xf numFmtId="0" fontId="81" fillId="41" borderId="0" applyNumberFormat="0" applyBorder="0" applyAlignment="0" applyProtection="0"/>
    <xf numFmtId="0" fontId="81" fillId="41" borderId="0" applyNumberFormat="0" applyBorder="0" applyAlignment="0" applyProtection="0"/>
    <xf numFmtId="0" fontId="18" fillId="64" borderId="0" applyNumberFormat="0" applyBorder="0" applyAlignment="0" applyProtection="0"/>
    <xf numFmtId="0" fontId="86" fillId="100" borderId="0" applyNumberFormat="0" applyBorder="0" applyAlignment="0" applyProtection="0"/>
    <xf numFmtId="0" fontId="81" fillId="45" borderId="0" applyNumberFormat="0" applyBorder="0" applyAlignment="0" applyProtection="0"/>
    <xf numFmtId="0" fontId="86" fillId="89" borderId="0" applyNumberFormat="0" applyBorder="0" applyAlignment="0" applyProtection="0"/>
    <xf numFmtId="0" fontId="81" fillId="45" borderId="0" applyNumberFormat="0" applyBorder="0" applyAlignment="0" applyProtection="0"/>
    <xf numFmtId="0" fontId="81" fillId="45" borderId="0" applyNumberFormat="0" applyBorder="0" applyAlignment="0" applyProtection="0"/>
    <xf numFmtId="0" fontId="81" fillId="45" borderId="0" applyNumberFormat="0" applyBorder="0" applyAlignment="0" applyProtection="0"/>
    <xf numFmtId="0" fontId="18" fillId="92" borderId="0" applyNumberFormat="0" applyBorder="0" applyAlignment="0" applyProtection="0"/>
    <xf numFmtId="0" fontId="81" fillId="49" borderId="0" applyNumberFormat="0" applyBorder="0" applyAlignment="0" applyProtection="0"/>
    <xf numFmtId="0" fontId="86" fillId="102"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71" fillId="23" borderId="0" applyNumberFormat="0" applyBorder="0" applyAlignment="0" applyProtection="0"/>
    <xf numFmtId="0" fontId="168" fillId="66" borderId="0" applyNumberFormat="0" applyBorder="0" applyAlignment="0" applyProtection="0"/>
    <xf numFmtId="0" fontId="75" fillId="26" borderId="65" applyNumberFormat="0" applyAlignment="0" applyProtection="0"/>
    <xf numFmtId="0" fontId="140" fillId="103" borderId="84" applyNumberFormat="0" applyAlignment="0" applyProtection="0"/>
    <xf numFmtId="0" fontId="77" fillId="27" borderId="68" applyNumberFormat="0" applyAlignment="0" applyProtection="0"/>
    <xf numFmtId="0" fontId="93" fillId="98" borderId="73" applyNumberFormat="0" applyAlignment="0" applyProtection="0"/>
    <xf numFmtId="172" fontId="2" fillId="0" borderId="0" applyFont="0" applyFill="0" applyBorder="0" applyAlignment="0" applyProtection="0"/>
    <xf numFmtId="180" fontId="2" fillId="0" borderId="0" applyFont="0" applyFill="0" applyBorder="0" applyAlignment="0" applyProtection="0"/>
    <xf numFmtId="0" fontId="16" fillId="0" borderId="0" applyFont="0" applyFill="0" applyBorder="0" applyAlignment="0" applyProtection="0"/>
    <xf numFmtId="0" fontId="79" fillId="0" borderId="0" applyNumberFormat="0" applyFill="0" applyBorder="0" applyAlignment="0" applyProtection="0"/>
    <xf numFmtId="0" fontId="70" fillId="22" borderId="0" applyNumberFormat="0" applyBorder="0" applyAlignment="0" applyProtection="0"/>
    <xf numFmtId="0" fontId="18" fillId="95" borderId="0" applyNumberFormat="0" applyBorder="0" applyAlignment="0" applyProtection="0"/>
    <xf numFmtId="0" fontId="67" fillId="0" borderId="62" applyNumberFormat="0" applyFill="0" applyAlignment="0" applyProtection="0"/>
    <xf numFmtId="0" fontId="101" fillId="0" borderId="99" applyNumberFormat="0" applyFill="0" applyAlignment="0" applyProtection="0"/>
    <xf numFmtId="0" fontId="68" fillId="0" borderId="63" applyNumberFormat="0" applyFill="0" applyAlignment="0" applyProtection="0"/>
    <xf numFmtId="0" fontId="102" fillId="0" borderId="100" applyNumberFormat="0" applyFill="0" applyAlignment="0" applyProtection="0"/>
    <xf numFmtId="0" fontId="69" fillId="0" borderId="64" applyNumberFormat="0" applyFill="0" applyAlignment="0" applyProtection="0"/>
    <xf numFmtId="0" fontId="103" fillId="0" borderId="101" applyNumberFormat="0" applyFill="0" applyAlignment="0" applyProtection="0"/>
    <xf numFmtId="0" fontId="69" fillId="0" borderId="0" applyNumberFormat="0" applyFill="0" applyBorder="0" applyAlignment="0" applyProtection="0"/>
    <xf numFmtId="0" fontId="73" fillId="25" borderId="65" applyNumberFormat="0" applyAlignment="0" applyProtection="0"/>
    <xf numFmtId="0" fontId="147" fillId="74" borderId="84" applyNumberFormat="0" applyAlignment="0" applyProtection="0"/>
    <xf numFmtId="0" fontId="76" fillId="0" borderId="67" applyNumberFormat="0" applyFill="0" applyAlignment="0" applyProtection="0"/>
    <xf numFmtId="0" fontId="100" fillId="0" borderId="102" applyNumberFormat="0" applyFill="0" applyAlignment="0" applyProtection="0"/>
    <xf numFmtId="0" fontId="72" fillId="24" borderId="0" applyNumberFormat="0" applyBorder="0" applyAlignment="0" applyProtection="0"/>
    <xf numFmtId="0" fontId="100" fillId="74" borderId="0" applyNumberFormat="0" applyBorder="0" applyAlignment="0" applyProtection="0"/>
    <xf numFmtId="0" fontId="31" fillId="110" borderId="0"/>
    <xf numFmtId="0" fontId="2" fillId="0" borderId="0"/>
    <xf numFmtId="0" fontId="2" fillId="28" borderId="69" applyNumberFormat="0" applyFont="0" applyAlignment="0" applyProtection="0"/>
    <xf numFmtId="0" fontId="31" fillId="66" borderId="84" applyNumberFormat="0" applyFont="0" applyAlignment="0" applyProtection="0"/>
    <xf numFmtId="0" fontId="74" fillId="26" borderId="66" applyNumberFormat="0" applyAlignment="0" applyProtection="0"/>
    <xf numFmtId="0" fontId="120" fillId="103" borderId="80" applyNumberFormat="0" applyAlignment="0" applyProtection="0"/>
    <xf numFmtId="4" fontId="48" fillId="61" borderId="88" applyNumberFormat="0" applyProtection="0">
      <alignment vertical="center"/>
    </xf>
    <xf numFmtId="4" fontId="151" fillId="5" borderId="88" applyNumberFormat="0" applyProtection="0">
      <alignment vertical="center"/>
    </xf>
    <xf numFmtId="4" fontId="48" fillId="5" borderId="88" applyNumberFormat="0" applyProtection="0">
      <alignment horizontal="left" vertical="center" indent="1"/>
    </xf>
    <xf numFmtId="0" fontId="48" fillId="5" borderId="88" applyNumberFormat="0" applyProtection="0">
      <alignment horizontal="left" vertical="top" indent="1"/>
    </xf>
    <xf numFmtId="4" fontId="48" fillId="0" borderId="0" applyNumberFormat="0" applyProtection="0">
      <alignment horizontal="left" vertical="center" indent="1"/>
    </xf>
    <xf numFmtId="4" fontId="154" fillId="76" borderId="88" applyNumberFormat="0" applyProtection="0">
      <alignment horizontal="right" vertical="center"/>
    </xf>
    <xf numFmtId="4" fontId="154" fillId="111" borderId="88" applyNumberFormat="0" applyProtection="0">
      <alignment horizontal="right" vertical="center"/>
    </xf>
    <xf numFmtId="4" fontId="154" fillId="69" borderId="88" applyNumberFormat="0" applyProtection="0">
      <alignment horizontal="right" vertical="center"/>
    </xf>
    <xf numFmtId="4" fontId="154" fillId="113" borderId="88" applyNumberFormat="0" applyProtection="0">
      <alignment horizontal="right" vertical="center"/>
    </xf>
    <xf numFmtId="4" fontId="154" fillId="114" borderId="88" applyNumberFormat="0" applyProtection="0">
      <alignment horizontal="right" vertical="center"/>
    </xf>
    <xf numFmtId="4" fontId="154" fillId="75" borderId="88" applyNumberFormat="0" applyProtection="0">
      <alignment horizontal="right" vertical="center"/>
    </xf>
    <xf numFmtId="4" fontId="154" fillId="71" borderId="88" applyNumberFormat="0" applyProtection="0">
      <alignment horizontal="right" vertical="center"/>
    </xf>
    <xf numFmtId="4" fontId="154" fillId="115" borderId="88" applyNumberFormat="0" applyProtection="0">
      <alignment horizontal="right" vertical="center"/>
    </xf>
    <xf numFmtId="4" fontId="154" fillId="116" borderId="88" applyNumberFormat="0" applyProtection="0">
      <alignment horizontal="right" vertic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154" fillId="118" borderId="0" applyNumberFormat="0" applyProtection="0">
      <alignment horizontal="left" vertical="center" indent="1"/>
    </xf>
    <xf numFmtId="4" fontId="155" fillId="119" borderId="0" applyNumberFormat="0" applyProtection="0">
      <alignment horizontal="left" vertical="center" indent="1"/>
    </xf>
    <xf numFmtId="4" fontId="154" fillId="59" borderId="90" applyNumberFormat="0" applyProtection="0">
      <alignment horizontal="center" vertical="center"/>
    </xf>
    <xf numFmtId="4" fontId="154" fillId="118" borderId="0" applyNumberFormat="0" applyProtection="0">
      <alignment horizontal="left" vertical="center" indent="1"/>
    </xf>
    <xf numFmtId="4" fontId="154" fillId="109" borderId="0" applyNumberFormat="0" applyProtection="0">
      <alignment horizontal="left" vertical="center" indent="1"/>
    </xf>
    <xf numFmtId="0" fontId="16" fillId="59" borderId="88" applyNumberFormat="0" applyProtection="0">
      <alignment horizontal="left" vertical="center" indent="1"/>
    </xf>
    <xf numFmtId="0" fontId="16" fillId="119" borderId="88" applyNumberFormat="0" applyProtection="0">
      <alignment horizontal="left" vertical="top" indent="1"/>
    </xf>
    <xf numFmtId="9" fontId="2" fillId="0" borderId="0" applyFont="0" applyFill="0" applyBorder="0" applyAlignment="0" applyProtection="0"/>
    <xf numFmtId="0" fontId="16" fillId="59" borderId="88" applyNumberFormat="0" applyProtection="0">
      <alignment horizontal="left" vertical="center" indent="1"/>
    </xf>
    <xf numFmtId="0" fontId="16" fillId="109" borderId="88" applyNumberFormat="0" applyProtection="0">
      <alignment horizontal="left" vertical="top" indent="1"/>
    </xf>
    <xf numFmtId="0" fontId="16" fillId="59" borderId="88" applyNumberFormat="0" applyProtection="0">
      <alignment horizontal="left" vertical="center" indent="1"/>
    </xf>
    <xf numFmtId="0" fontId="16" fillId="82" borderId="88" applyNumberFormat="0" applyProtection="0">
      <alignment horizontal="left" vertical="top" indent="1"/>
    </xf>
    <xf numFmtId="0" fontId="16" fillId="59" borderId="88" applyNumberFormat="0" applyProtection="0">
      <alignment horizontal="left" vertical="center" indent="1"/>
    </xf>
    <xf numFmtId="0" fontId="16" fillId="11" borderId="88" applyNumberFormat="0" applyProtection="0">
      <alignment horizontal="left" vertical="top" indent="1"/>
    </xf>
    <xf numFmtId="0" fontId="16" fillId="0" borderId="0"/>
    <xf numFmtId="0" fontId="31" fillId="60" borderId="91" applyNumberFormat="0">
      <protection locked="0"/>
    </xf>
    <xf numFmtId="4" fontId="154" fillId="9" borderId="88" applyNumberFormat="0" applyProtection="0">
      <alignment vertical="center"/>
    </xf>
    <xf numFmtId="4" fontId="157" fillId="9" borderId="88" applyNumberFormat="0" applyProtection="0">
      <alignment vertical="center"/>
    </xf>
    <xf numFmtId="4" fontId="152" fillId="9" borderId="11" applyNumberFormat="0" applyProtection="0">
      <alignment vertical="center"/>
    </xf>
    <xf numFmtId="4" fontId="154" fillId="9" borderId="88" applyNumberFormat="0" applyProtection="0">
      <alignment horizontal="left" vertical="center" indent="1"/>
    </xf>
    <xf numFmtId="0" fontId="154" fillId="9" borderId="88" applyNumberFormat="0" applyProtection="0">
      <alignment horizontal="left" vertical="top" indent="1"/>
    </xf>
    <xf numFmtId="4" fontId="158" fillId="0" borderId="88" applyNumberFormat="0" applyProtection="0">
      <alignment horizontal="right" vertical="center"/>
    </xf>
    <xf numFmtId="4" fontId="157" fillId="0" borderId="88" applyNumberFormat="0" applyProtection="0">
      <alignment horizontal="right" vertical="center"/>
    </xf>
    <xf numFmtId="4" fontId="154" fillId="127" borderId="88" applyNumberFormat="0" applyProtection="0">
      <alignment horizontal="left" vertical="center" indent="1"/>
    </xf>
    <xf numFmtId="0" fontId="48" fillId="127" borderId="93" applyNumberFormat="0" applyProtection="0">
      <alignment horizontal="center" vertical="top"/>
    </xf>
    <xf numFmtId="4" fontId="159" fillId="0" borderId="0" applyNumberFormat="0" applyProtection="0">
      <alignment horizontal="left" vertical="center" indent="1"/>
    </xf>
    <xf numFmtId="0" fontId="2" fillId="0" borderId="0"/>
    <xf numFmtId="4" fontId="43" fillId="118" borderId="88" applyNumberFormat="0" applyProtection="0">
      <alignment horizontal="right" vertical="center"/>
    </xf>
    <xf numFmtId="0" fontId="66" fillId="0" borderId="0" applyNumberFormat="0" applyFill="0" applyBorder="0" applyAlignment="0" applyProtection="0"/>
    <xf numFmtId="0" fontId="80" fillId="0" borderId="70" applyNumberFormat="0" applyFill="0" applyAlignment="0" applyProtection="0"/>
    <xf numFmtId="0" fontId="96" fillId="0" borderId="95" applyNumberFormat="0" applyFill="0" applyAlignment="0" applyProtection="0"/>
    <xf numFmtId="0" fontId="78" fillId="0" borderId="0" applyNumberFormat="0" applyFill="0" applyBorder="0" applyAlignment="0" applyProtection="0"/>
    <xf numFmtId="0" fontId="169" fillId="0" borderId="0" applyNumberFormat="0" applyFill="0" applyBorder="0" applyAlignment="0" applyProtection="0"/>
    <xf numFmtId="9" fontId="2" fillId="0" borderId="0" applyFont="0" applyFill="0" applyBorder="0" applyAlignment="0" applyProtection="0"/>
    <xf numFmtId="0" fontId="154" fillId="120" borderId="0" applyNumberFormat="0" applyBorder="0" applyAlignment="0" applyProtection="0"/>
    <xf numFmtId="0" fontId="154" fillId="111" borderId="0" applyNumberFormat="0" applyBorder="0" applyAlignment="0" applyProtection="0"/>
    <xf numFmtId="0" fontId="154" fillId="59" borderId="0" applyNumberFormat="0" applyBorder="0" applyAlignment="0" applyProtection="0"/>
    <xf numFmtId="0" fontId="154" fillId="60" borderId="0" applyNumberFormat="0" applyBorder="0" applyAlignment="0" applyProtection="0"/>
    <xf numFmtId="0" fontId="154" fillId="124" borderId="0" applyNumberFormat="0" applyBorder="0" applyAlignment="0" applyProtection="0"/>
    <xf numFmtId="0" fontId="154" fillId="76" borderId="0" applyNumberFormat="0" applyBorder="0" applyAlignment="0" applyProtection="0"/>
    <xf numFmtId="0" fontId="154" fillId="72" borderId="0" applyNumberFormat="0" applyBorder="0" applyAlignment="0" applyProtection="0"/>
    <xf numFmtId="0" fontId="154" fillId="111" borderId="0" applyNumberFormat="0" applyBorder="0" applyAlignment="0" applyProtection="0"/>
    <xf numFmtId="0" fontId="154" fillId="71" borderId="0" applyNumberFormat="0" applyBorder="0" applyAlignment="0" applyProtection="0"/>
    <xf numFmtId="0" fontId="154" fillId="62" borderId="0" applyNumberFormat="0" applyBorder="0" applyAlignment="0" applyProtection="0"/>
    <xf numFmtId="0" fontId="154" fillId="72" borderId="0" applyNumberFormat="0" applyBorder="0" applyAlignment="0" applyProtection="0"/>
    <xf numFmtId="0" fontId="154" fillId="58" borderId="0" applyNumberFormat="0" applyBorder="0" applyAlignment="0" applyProtection="0"/>
    <xf numFmtId="0" fontId="137" fillId="72" borderId="0" applyNumberFormat="0" applyBorder="0" applyAlignment="0" applyProtection="0"/>
    <xf numFmtId="0" fontId="137" fillId="111" borderId="0" applyNumberFormat="0" applyBorder="0" applyAlignment="0" applyProtection="0"/>
    <xf numFmtId="0" fontId="137" fillId="71" borderId="0" applyNumberFormat="0" applyBorder="0" applyAlignment="0" applyProtection="0"/>
    <xf numFmtId="0" fontId="137" fillId="62" borderId="0" applyNumberFormat="0" applyBorder="0" applyAlignment="0" applyProtection="0"/>
    <xf numFmtId="0" fontId="137" fillId="72" borderId="0" applyNumberFormat="0" applyBorder="0" applyAlignment="0" applyProtection="0"/>
    <xf numFmtId="0" fontId="137" fillId="58" borderId="0" applyNumberFormat="0" applyBorder="0" applyAlignment="0" applyProtection="0"/>
    <xf numFmtId="0" fontId="86" fillId="68" borderId="0" applyNumberFormat="0" applyBorder="0" applyAlignment="0" applyProtection="0"/>
    <xf numFmtId="0" fontId="86" fillId="134" borderId="0" applyNumberFormat="0" applyBorder="0" applyAlignment="0" applyProtection="0"/>
    <xf numFmtId="0" fontId="86" fillId="135" borderId="0" applyNumberFormat="0" applyBorder="0" applyAlignment="0" applyProtection="0"/>
    <xf numFmtId="0" fontId="86" fillId="136" borderId="0" applyNumberFormat="0" applyBorder="0" applyAlignment="0" applyProtection="0"/>
    <xf numFmtId="0" fontId="170" fillId="92" borderId="0" applyNumberFormat="0" applyBorder="0" applyAlignment="0" applyProtection="0"/>
    <xf numFmtId="0" fontId="171" fillId="137" borderId="72" applyNumberFormat="0" applyAlignment="0" applyProtection="0"/>
    <xf numFmtId="0" fontId="93" fillId="68" borderId="73" applyNumberFormat="0" applyAlignment="0" applyProtection="0"/>
    <xf numFmtId="0" fontId="172" fillId="0" borderId="0" applyNumberFormat="0" applyFill="0" applyBorder="0" applyAlignment="0" applyProtection="0"/>
    <xf numFmtId="0" fontId="100" fillId="70" borderId="0" applyNumberFormat="0" applyBorder="0" applyAlignment="0" applyProtection="0"/>
    <xf numFmtId="0" fontId="102" fillId="0" borderId="103" applyNumberFormat="0" applyFill="0" applyAlignment="0" applyProtection="0"/>
    <xf numFmtId="0" fontId="103" fillId="0" borderId="104" applyNumberFormat="0" applyFill="0" applyAlignment="0" applyProtection="0"/>
    <xf numFmtId="0" fontId="147" fillId="74" borderId="72" applyNumberFormat="0" applyAlignment="0" applyProtection="0"/>
    <xf numFmtId="0" fontId="173" fillId="0" borderId="105" applyNumberFormat="0" applyFill="0" applyAlignment="0" applyProtection="0"/>
    <xf numFmtId="0" fontId="118" fillId="74" borderId="0" applyNumberFormat="0" applyBorder="0" applyAlignment="0" applyProtection="0"/>
    <xf numFmtId="0" fontId="16" fillId="66" borderId="79" applyNumberFormat="0" applyFont="0" applyAlignment="0" applyProtection="0"/>
    <xf numFmtId="0" fontId="120" fillId="137" borderId="80" applyNumberFormat="0" applyAlignment="0" applyProtection="0"/>
    <xf numFmtId="0" fontId="86" fillId="135" borderId="0" applyNumberFormat="0" applyBorder="0" applyAlignment="0" applyProtection="0"/>
    <xf numFmtId="0" fontId="86" fillId="134" borderId="0" applyNumberFormat="0" applyBorder="0" applyAlignment="0" applyProtection="0"/>
    <xf numFmtId="0" fontId="86" fillId="136" borderId="0" applyNumberFormat="0" applyBorder="0" applyAlignment="0" applyProtection="0"/>
    <xf numFmtId="0" fontId="86" fillId="68"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31" fillId="0" borderId="83" applyAlignmen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3" fontId="31" fillId="0" borderId="83">
      <alignment horizontal="right" vertical="center"/>
      <protection locked="0"/>
    </xf>
    <xf numFmtId="202" fontId="31" fillId="0" borderId="83">
      <alignment vertical="center"/>
      <protection locked="0"/>
    </xf>
    <xf numFmtId="200" fontId="31" fillId="0" borderId="83">
      <alignment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198" fontId="31" fillId="0" borderId="83">
      <alignment vertical="center"/>
      <protection locked="0"/>
    </xf>
    <xf numFmtId="193"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0" fontId="31" fillId="60" borderId="91" applyNumberFormat="0">
      <protection locked="0"/>
    </xf>
    <xf numFmtId="201" fontId="31" fillId="0" borderId="83">
      <alignment horizontal="center" vertical="center"/>
      <protection locked="0"/>
    </xf>
    <xf numFmtId="0" fontId="31" fillId="0" borderId="83" applyAlignment="0">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4" fontId="4" fillId="0" borderId="0" applyFont="0" applyFill="0" applyBorder="0" applyAlignment="0" applyProtection="0"/>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vertical="center"/>
      <protection locked="0"/>
    </xf>
    <xf numFmtId="202" fontId="31" fillId="0" borderId="83">
      <alignment horizontal="center" vertical="center"/>
      <protection locked="0"/>
    </xf>
    <xf numFmtId="193"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4"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9" fontId="4" fillId="0" borderId="0" applyFont="0" applyFill="0" applyBorder="0" applyAlignment="0" applyProtection="0"/>
    <xf numFmtId="43" fontId="4" fillId="0" borderId="0" applyFont="0" applyFill="0" applyBorder="0" applyAlignment="0" applyProtection="0"/>
    <xf numFmtId="0" fontId="4" fillId="0" borderId="0"/>
    <xf numFmtId="19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201"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202"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201" fontId="31" fillId="0" borderId="83">
      <alignment vertical="center"/>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9" fontId="31" fillId="0" borderId="83">
      <alignment horizontal="center" vertical="center"/>
      <protection locked="0"/>
    </xf>
    <xf numFmtId="193"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201" fontId="31" fillId="0" borderId="83">
      <alignment vertical="center"/>
      <protection locked="0"/>
    </xf>
    <xf numFmtId="20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201" fontId="31" fillId="0" borderId="83">
      <alignment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8" fontId="31" fillId="0" borderId="83">
      <alignment vertical="center"/>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44"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3" fontId="31" fillId="0" borderId="83">
      <alignment horizontal="righ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201"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0" fontId="31" fillId="0" borderId="83" applyAlignment="0">
      <protection locked="0"/>
    </xf>
    <xf numFmtId="202"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200" fontId="31" fillId="0" borderId="83">
      <alignment vertical="center"/>
      <protection locked="0"/>
    </xf>
    <xf numFmtId="200"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1" fontId="31" fillId="0" borderId="83">
      <alignment vertical="center"/>
      <protection locked="0"/>
    </xf>
    <xf numFmtId="201"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202" fontId="31" fillId="0" borderId="83">
      <alignment horizontal="center" vertical="center"/>
      <protection locked="0"/>
    </xf>
    <xf numFmtId="44" fontId="4" fillId="0" borderId="0" applyFont="0" applyFill="0" applyBorder="0" applyAlignment="0" applyProtection="0"/>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0" fontId="117" fillId="0" borderId="71" applyNumberFormat="0" applyAlignment="0" applyProtection="0">
      <alignment horizontal="left" vertical="center"/>
    </xf>
    <xf numFmtId="202" fontId="31" fillId="0" borderId="83">
      <alignment vertical="center"/>
      <protection locked="0"/>
    </xf>
    <xf numFmtId="200"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200" fontId="31" fillId="0" borderId="83">
      <alignment horizontal="center" vertical="center"/>
      <protection locked="0"/>
    </xf>
    <xf numFmtId="201" fontId="31" fillId="0" borderId="83">
      <alignment horizontal="center" vertical="center"/>
      <protection locked="0"/>
    </xf>
    <xf numFmtId="202" fontId="31" fillId="0" borderId="83">
      <alignment vertical="center"/>
      <protection locked="0"/>
    </xf>
    <xf numFmtId="203" fontId="31" fillId="0" borderId="83">
      <alignment horizontal="right" vertical="center"/>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8"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198"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vertical="center"/>
      <protection locked="0"/>
    </xf>
    <xf numFmtId="200" fontId="31" fillId="0" borderId="83">
      <alignment vertical="center"/>
      <protection locked="0"/>
    </xf>
    <xf numFmtId="198" fontId="31" fillId="0" borderId="83">
      <alignment vertical="center"/>
      <protection locked="0"/>
    </xf>
    <xf numFmtId="200"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202"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9" fontId="4" fillId="0" borderId="0" applyFont="0" applyFill="0" applyBorder="0" applyAlignment="0" applyProtection="0"/>
    <xf numFmtId="0" fontId="31" fillId="60" borderId="91" applyNumberFormat="0">
      <protection locked="0"/>
    </xf>
    <xf numFmtId="4" fontId="48" fillId="117" borderId="89" applyNumberFormat="0" applyProtection="0">
      <alignment horizontal="left" vertical="center" indent="1"/>
    </xf>
    <xf numFmtId="199" fontId="31" fillId="0" borderId="83">
      <alignment horizontal="center" vertical="center"/>
      <protection locked="0"/>
    </xf>
    <xf numFmtId="200" fontId="31" fillId="0" borderId="83">
      <alignment horizontal="center" vertical="center"/>
      <protection locked="0"/>
    </xf>
    <xf numFmtId="202"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0" borderId="83" applyAlignment="0">
      <protection locked="0"/>
    </xf>
    <xf numFmtId="202" fontId="31" fillId="0" borderId="83">
      <alignment horizontal="center"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0" fontId="31" fillId="60" borderId="91" applyNumberFormat="0">
      <protection locked="0"/>
    </xf>
    <xf numFmtId="199" fontId="31" fillId="0" borderId="83">
      <alignment horizontal="center" vertical="center"/>
      <protection locked="0"/>
    </xf>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horizontal="center"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43" fontId="4" fillId="0" borderId="0" applyFont="0" applyFill="0" applyBorder="0" applyAlignment="0" applyProtection="0"/>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vertical="center"/>
      <protection locked="0"/>
    </xf>
    <xf numFmtId="0" fontId="31" fillId="60" borderId="91" applyNumberFormat="0">
      <protection locked="0"/>
    </xf>
    <xf numFmtId="0" fontId="2" fillId="0" borderId="0"/>
    <xf numFmtId="44" fontId="2" fillId="0" borderId="0" applyFont="0" applyFill="0" applyBorder="0" applyAlignment="0" applyProtection="0"/>
    <xf numFmtId="9" fontId="2" fillId="0" borderId="0" applyFont="0" applyFill="0" applyBorder="0" applyAlignment="0" applyProtection="0"/>
    <xf numFmtId="3" fontId="15" fillId="15" borderId="65"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3" fontId="15" fillId="15" borderId="65"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1" fontId="31" fillId="0" borderId="83">
      <alignment horizontal="center"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202"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198" fontId="31" fillId="0" borderId="83">
      <alignment horizontal="center" vertical="center"/>
      <protection locked="0"/>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48" fillId="117" borderId="89" applyNumberFormat="0" applyProtection="0">
      <alignment horizontal="left" vertical="center" indent="1"/>
    </xf>
    <xf numFmtId="0" fontId="2" fillId="0" borderId="0"/>
    <xf numFmtId="0" fontId="2" fillId="0" borderId="0"/>
    <xf numFmtId="0" fontId="2" fillId="0" borderId="0"/>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1" fontId="31" fillId="0" borderId="83">
      <alignment horizontal="center"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202"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43" fontId="4" fillId="0" borderId="0" applyFont="0" applyFill="0" applyBorder="0" applyAlignment="0" applyProtection="0"/>
    <xf numFmtId="9" fontId="4" fillId="0" borderId="0" applyFont="0" applyFill="0" applyBorder="0" applyAlignment="0" applyProtection="0"/>
    <xf numFmtId="0" fontId="4" fillId="0" borderId="0"/>
    <xf numFmtId="43" fontId="16" fillId="0" borderId="0" applyFont="0" applyFill="0" applyBorder="0" applyAlignment="0" applyProtection="0"/>
    <xf numFmtId="43" fontId="4" fillId="0" borderId="0" applyFont="0" applyFill="0" applyBorder="0" applyAlignment="0" applyProtection="0"/>
    <xf numFmtId="0" fontId="3" fillId="0" borderId="0"/>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44"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4" fontId="48" fillId="117" borderId="89" applyNumberFormat="0" applyProtection="0">
      <alignment horizontal="left" vertical="center" indent="1"/>
    </xf>
    <xf numFmtId="43" fontId="4" fillId="0" borderId="0" applyFont="0" applyFill="0" applyBorder="0" applyAlignment="0" applyProtection="0"/>
    <xf numFmtId="0" fontId="4" fillId="0" borderId="0"/>
    <xf numFmtId="43" fontId="4" fillId="0" borderId="0" applyFont="0" applyFill="0" applyBorder="0" applyAlignment="0" applyProtection="0"/>
    <xf numFmtId="0" fontId="4" fillId="0" borderId="0"/>
    <xf numFmtId="0" fontId="31" fillId="60" borderId="91" applyNumberFormat="0">
      <protection locked="0"/>
    </xf>
    <xf numFmtId="43" fontId="4"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200" fontId="31" fillId="0" borderId="83">
      <alignment vertical="center"/>
      <protection locked="0"/>
    </xf>
    <xf numFmtId="202" fontId="31" fillId="0" borderId="83">
      <alignment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201" fontId="31" fillId="0" borderId="83">
      <alignmen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200" fontId="31" fillId="0" borderId="83">
      <alignment vertical="center"/>
      <protection locked="0"/>
    </xf>
    <xf numFmtId="198" fontId="31" fillId="0" borderId="83">
      <alignment horizontal="center" vertical="center"/>
      <protection locked="0"/>
    </xf>
    <xf numFmtId="201" fontId="31" fillId="0" borderId="83">
      <alignment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199" fontId="31" fillId="0" borderId="83">
      <alignment horizontal="center" vertical="center"/>
      <protection locked="0"/>
    </xf>
    <xf numFmtId="9" fontId="4" fillId="0" borderId="0" applyFont="0" applyFill="0" applyBorder="0" applyAlignment="0" applyProtection="0"/>
    <xf numFmtId="198" fontId="31" fillId="0" borderId="83">
      <alignment horizontal="center" vertical="center"/>
      <protection locked="0"/>
    </xf>
    <xf numFmtId="0" fontId="117" fillId="0" borderId="71" applyNumberFormat="0" applyAlignment="0" applyProtection="0">
      <alignment horizontal="left" vertical="center"/>
    </xf>
    <xf numFmtId="201" fontId="31" fillId="0" borderId="83">
      <alignment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202" fontId="31" fillId="0" borderId="83">
      <alignment vertical="center"/>
      <protection locked="0"/>
    </xf>
    <xf numFmtId="201" fontId="31" fillId="0" borderId="83">
      <alignment horizontal="center" vertical="center"/>
      <protection locked="0"/>
    </xf>
    <xf numFmtId="44" fontId="4" fillId="0" borderId="0" applyFont="0" applyFill="0" applyBorder="0" applyAlignment="0" applyProtection="0"/>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200" fontId="31" fillId="0" borderId="83">
      <alignment vertical="center"/>
      <protection locked="0"/>
    </xf>
    <xf numFmtId="19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44" fontId="4" fillId="0" borderId="0" applyFont="0" applyFill="0" applyBorder="0" applyAlignment="0" applyProtection="0"/>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193" fontId="31" fillId="0" borderId="83">
      <alignment horizontal="right" vertical="center"/>
      <protection locked="0"/>
    </xf>
    <xf numFmtId="200" fontId="31" fillId="0" borderId="83">
      <alignment horizontal="center" vertical="center"/>
      <protection locked="0"/>
    </xf>
    <xf numFmtId="201"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2" fontId="31" fillId="0" borderId="83">
      <alignment vertical="center"/>
      <protection locked="0"/>
    </xf>
    <xf numFmtId="202" fontId="31" fillId="0" borderId="83">
      <alignment horizontal="center"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1" fontId="31" fillId="0" borderId="83">
      <alignmen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199" fontId="31" fillId="0" borderId="83">
      <alignment horizontal="center" vertical="center"/>
      <protection locked="0"/>
    </xf>
    <xf numFmtId="43" fontId="4" fillId="0" borderId="0" applyFont="0" applyFill="0" applyBorder="0" applyAlignment="0" applyProtection="0"/>
    <xf numFmtId="0" fontId="4" fillId="0" borderId="0"/>
    <xf numFmtId="202" fontId="31" fillId="0" borderId="83">
      <alignment horizontal="center" vertical="center"/>
      <protection locked="0"/>
    </xf>
    <xf numFmtId="198" fontId="31" fillId="0" borderId="83">
      <alignment horizontal="center"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198"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4" fillId="0" borderId="0"/>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8"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201" fontId="31" fillId="0" borderId="83">
      <alignment vertical="center"/>
      <protection locked="0"/>
    </xf>
    <xf numFmtId="200" fontId="31" fillId="0" borderId="83">
      <alignment vertical="center"/>
      <protection locked="0"/>
    </xf>
    <xf numFmtId="198" fontId="31" fillId="0" borderId="83">
      <alignment vertical="center"/>
      <protection locked="0"/>
    </xf>
    <xf numFmtId="0" fontId="31" fillId="0" borderId="83" applyAlignment="0">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43" fontId="4" fillId="0" borderId="0" applyFont="0" applyFill="0" applyBorder="0" applyAlignment="0" applyProtection="0"/>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9" fontId="4" fillId="0" borderId="0" applyFont="0" applyFill="0" applyBorder="0" applyAlignment="0" applyProtection="0"/>
    <xf numFmtId="200" fontId="31" fillId="0" borderId="83">
      <alignment vertical="center"/>
      <protection locked="0"/>
    </xf>
    <xf numFmtId="202"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3" fontId="31" fillId="0" borderId="83">
      <alignment horizontal="right" vertical="center"/>
      <protection locked="0"/>
    </xf>
    <xf numFmtId="198" fontId="31" fillId="0" borderId="83">
      <alignment vertical="center"/>
      <protection locked="0"/>
    </xf>
    <xf numFmtId="201" fontId="31" fillId="0" borderId="83">
      <alignment horizontal="center" vertical="center"/>
      <protection locked="0"/>
    </xf>
    <xf numFmtId="202"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0" borderId="83" applyAlignment="0">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9" fontId="4" fillId="0" borderId="0" applyFont="0" applyFill="0" applyBorder="0" applyAlignment="0" applyProtection="0"/>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0" fontId="4" fillId="0" borderId="0"/>
    <xf numFmtId="199"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200"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vertical="center"/>
      <protection locked="0"/>
    </xf>
    <xf numFmtId="0" fontId="31" fillId="60" borderId="91" applyNumberFormat="0">
      <protection locked="0"/>
    </xf>
    <xf numFmtId="201"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198" fontId="31" fillId="0" borderId="83">
      <alignment horizontal="center" vertical="center"/>
      <protection locked="0"/>
    </xf>
    <xf numFmtId="0" fontId="31" fillId="0" borderId="83" applyAlignment="0">
      <protection locked="0"/>
    </xf>
    <xf numFmtId="193" fontId="31" fillId="0" borderId="83">
      <alignment horizontal="center" vertical="center"/>
      <protection locked="0"/>
    </xf>
    <xf numFmtId="200"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1" fontId="31" fillId="0" borderId="83">
      <alignment vertical="center"/>
      <protection locked="0"/>
    </xf>
    <xf numFmtId="19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4" fillId="0" borderId="0"/>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9" fontId="4" fillId="0" borderId="0" applyFont="0" applyFill="0" applyBorder="0" applyAlignment="0" applyProtection="0"/>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4" fillId="0" borderId="0"/>
    <xf numFmtId="4" fontId="48" fillId="117" borderId="89" applyNumberFormat="0" applyProtection="0">
      <alignment horizontal="left" vertical="center" indent="1"/>
    </xf>
    <xf numFmtId="43" fontId="4" fillId="0" borderId="0" applyFont="0" applyFill="0" applyBorder="0" applyAlignment="0" applyProtection="0"/>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44" fontId="4" fillId="0" borderId="0" applyFont="0" applyFill="0" applyBorder="0" applyAlignment="0" applyProtection="0"/>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20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4" fontId="4" fillId="0" borderId="0" applyFont="0" applyFill="0" applyBorder="0" applyAlignment="0" applyProtection="0"/>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9" fontId="4" fillId="0" borderId="0" applyFont="0" applyFill="0" applyBorder="0" applyAlignment="0" applyProtection="0"/>
    <xf numFmtId="44"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0"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198" fontId="31" fillId="0" borderId="83">
      <alignment vertical="center"/>
      <protection locked="0"/>
    </xf>
    <xf numFmtId="44" fontId="4" fillId="0" borderId="0" applyFont="0" applyFill="0" applyBorder="0" applyAlignment="0" applyProtection="0"/>
    <xf numFmtId="203" fontId="31" fillId="0" borderId="83">
      <alignment horizontal="righ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198" fontId="31" fillId="0" borderId="83">
      <alignment horizontal="center" vertical="center"/>
      <protection locked="0"/>
    </xf>
    <xf numFmtId="203" fontId="31" fillId="0" borderId="83">
      <alignment horizontal="righ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199"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9" fontId="4" fillId="0" borderId="0" applyFont="0" applyFill="0" applyBorder="0" applyAlignment="0" applyProtection="0"/>
    <xf numFmtId="0" fontId="31" fillId="60" borderId="91" applyNumberFormat="0">
      <protection locked="0"/>
    </xf>
    <xf numFmtId="203" fontId="31" fillId="0" borderId="83">
      <alignment horizontal="right" vertical="center"/>
      <protection locked="0"/>
    </xf>
    <xf numFmtId="198"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44" fontId="4" fillId="0" borderId="0" applyFont="0" applyFill="0" applyBorder="0" applyAlignment="0" applyProtection="0"/>
    <xf numFmtId="193" fontId="31" fillId="0" borderId="83">
      <alignment horizontal="right" vertical="center"/>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right" vertical="center"/>
      <protection locked="0"/>
    </xf>
    <xf numFmtId="202" fontId="31" fillId="0" borderId="83">
      <alignment vertical="center"/>
      <protection locked="0"/>
    </xf>
    <xf numFmtId="198" fontId="31" fillId="0" borderId="83">
      <alignment vertical="center"/>
      <protection locked="0"/>
    </xf>
    <xf numFmtId="44" fontId="4" fillId="0" borderId="0" applyFont="0" applyFill="0" applyBorder="0" applyAlignment="0" applyProtection="0"/>
    <xf numFmtId="4" fontId="48" fillId="117" borderId="89" applyNumberFormat="0" applyProtection="0">
      <alignment horizontal="left" vertical="center" indent="1"/>
    </xf>
    <xf numFmtId="200"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198" fontId="31" fillId="0" borderId="83">
      <alignment vertical="center"/>
      <protection locked="0"/>
    </xf>
    <xf numFmtId="200" fontId="31" fillId="0" borderId="83">
      <alignment horizontal="center" vertical="center"/>
      <protection locked="0"/>
    </xf>
    <xf numFmtId="201" fontId="31" fillId="0" borderId="83">
      <alignment vertical="center"/>
      <protection locked="0"/>
    </xf>
    <xf numFmtId="201" fontId="31" fillId="0" borderId="83">
      <alignment horizontal="center" vertical="center"/>
      <protection locked="0"/>
    </xf>
    <xf numFmtId="0" fontId="31" fillId="0" borderId="83" applyAlignment="0">
      <protection locked="0"/>
    </xf>
    <xf numFmtId="198" fontId="31" fillId="0" borderId="83">
      <alignment vertical="center"/>
      <protection locked="0"/>
    </xf>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6" fillId="0" borderId="0"/>
    <xf numFmtId="0" fontId="4" fillId="0" borderId="0"/>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198" fontId="31" fillId="0" borderId="83">
      <alignment vertical="center"/>
      <protection locked="0"/>
    </xf>
    <xf numFmtId="0" fontId="4" fillId="0" borderId="0"/>
    <xf numFmtId="0" fontId="31" fillId="60" borderId="91" applyNumberFormat="0">
      <protection locked="0"/>
    </xf>
    <xf numFmtId="9" fontId="4" fillId="0" borderId="0" applyFont="0" applyFill="0" applyBorder="0" applyAlignment="0" applyProtection="0"/>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198"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0" fontId="4" fillId="0" borderId="0"/>
    <xf numFmtId="193" fontId="31" fillId="0" borderId="83">
      <alignment horizontal="right" vertical="center"/>
      <protection locked="0"/>
    </xf>
    <xf numFmtId="203" fontId="31" fillId="0" borderId="83">
      <alignment horizontal="right" vertical="center"/>
      <protection locked="0"/>
    </xf>
    <xf numFmtId="200" fontId="31" fillId="0" borderId="83">
      <alignment horizontal="center" vertical="center"/>
      <protection locked="0"/>
    </xf>
    <xf numFmtId="9" fontId="4" fillId="0" borderId="0" applyFont="0" applyFill="0" applyBorder="0" applyAlignment="0" applyProtection="0"/>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43" fontId="4" fillId="0" borderId="0" applyFont="0" applyFill="0" applyBorder="0" applyAlignment="0" applyProtection="0"/>
    <xf numFmtId="0" fontId="117" fillId="0" borderId="71" applyNumberFormat="0" applyAlignment="0" applyProtection="0">
      <alignment horizontal="left" vertical="center"/>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19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200" fontId="31" fillId="0" borderId="83">
      <alignment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203" fontId="31" fillId="0" borderId="83">
      <alignment horizontal="right" vertical="center"/>
      <protection locked="0"/>
    </xf>
    <xf numFmtId="0" fontId="31" fillId="0" borderId="83" applyAlignmen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4" fillId="0" borderId="0"/>
    <xf numFmtId="200" fontId="31" fillId="0" borderId="83">
      <alignment vertical="center"/>
      <protection locked="0"/>
    </xf>
    <xf numFmtId="201"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0" borderId="83" applyAlignment="0">
      <protection locked="0"/>
    </xf>
    <xf numFmtId="0" fontId="31" fillId="0" borderId="83" applyAlignment="0">
      <protection locked="0"/>
    </xf>
    <xf numFmtId="0" fontId="31" fillId="60" borderId="91" applyNumberFormat="0">
      <protection locked="0"/>
    </xf>
    <xf numFmtId="43" fontId="4" fillId="0" borderId="0" applyFont="0" applyFill="0" applyBorder="0" applyAlignment="0" applyProtection="0"/>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117" fillId="0" borderId="71" applyNumberFormat="0" applyAlignment="0" applyProtection="0">
      <alignment horizontal="left" vertical="center"/>
    </xf>
    <xf numFmtId="43" fontId="4" fillId="0" borderId="0" applyFont="0" applyFill="0" applyBorder="0" applyAlignment="0" applyProtection="0"/>
    <xf numFmtId="198" fontId="31" fillId="0" borderId="83">
      <alignment vertical="center"/>
      <protection locked="0"/>
    </xf>
    <xf numFmtId="193" fontId="31" fillId="0" borderId="83">
      <alignment horizontal="center" vertical="center"/>
      <protection locked="0"/>
    </xf>
    <xf numFmtId="0" fontId="31" fillId="0" borderId="83" applyAlignment="0">
      <protection locked="0"/>
    </xf>
    <xf numFmtId="202" fontId="31" fillId="0" borderId="83">
      <alignment vertical="center"/>
      <protection locked="0"/>
    </xf>
    <xf numFmtId="0" fontId="31" fillId="0" borderId="83" applyAlignment="0">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43" fontId="4" fillId="0" borderId="0" applyFont="0" applyFill="0" applyBorder="0" applyAlignment="0" applyProtection="0"/>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44" fontId="4" fillId="0" borderId="0" applyFont="0" applyFill="0" applyBorder="0" applyAlignment="0" applyProtection="0"/>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4" fillId="0" borderId="0"/>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9" fontId="4" fillId="0" borderId="0" applyFont="0" applyFill="0" applyBorder="0" applyAlignment="0" applyProtection="0"/>
    <xf numFmtId="44" fontId="4" fillId="0" borderId="0" applyFont="0" applyFill="0" applyBorder="0" applyAlignment="0" applyProtection="0"/>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9" fontId="4" fillId="0" borderId="0" applyFont="0" applyFill="0" applyBorder="0" applyAlignment="0" applyProtection="0"/>
    <xf numFmtId="202"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43" fontId="4" fillId="0" borderId="0" applyFont="0" applyFill="0" applyBorder="0" applyAlignment="0" applyProtection="0"/>
    <xf numFmtId="44" fontId="4"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43"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0" borderId="83" applyAlignment="0">
      <protection locked="0"/>
    </xf>
    <xf numFmtId="0" fontId="31" fillId="0" borderId="83" applyAlignment="0">
      <protection locked="0"/>
    </xf>
    <xf numFmtId="4" fontId="48" fillId="117" borderId="89" applyNumberFormat="0" applyProtection="0">
      <alignment horizontal="left" vertical="center" indent="1"/>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201" fontId="31" fillId="0" borderId="83">
      <alignment horizontal="center" vertical="center"/>
      <protection locked="0"/>
    </xf>
    <xf numFmtId="200"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0" borderId="83" applyAlignment="0">
      <protection locked="0"/>
    </xf>
    <xf numFmtId="203" fontId="31" fillId="0" borderId="83">
      <alignment horizontal="right" vertical="center"/>
      <protection locked="0"/>
    </xf>
    <xf numFmtId="193"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vertical="center"/>
      <protection locked="0"/>
    </xf>
    <xf numFmtId="4" fontId="48" fillId="117" borderId="89" applyNumberFormat="0" applyProtection="0">
      <alignment horizontal="left" vertical="center" indent="1"/>
    </xf>
    <xf numFmtId="0" fontId="31" fillId="0" borderId="83" applyAlignment="0">
      <protection locked="0"/>
    </xf>
    <xf numFmtId="202"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200" fontId="31" fillId="0" borderId="83">
      <alignment vertical="center"/>
      <protection locked="0"/>
    </xf>
    <xf numFmtId="202"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193"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201"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202"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1" fontId="31" fillId="0" borderId="83">
      <alignment vertical="center"/>
      <protection locked="0"/>
    </xf>
    <xf numFmtId="193" fontId="31" fillId="0" borderId="83">
      <alignment horizontal="center" vertical="center"/>
      <protection locked="0"/>
    </xf>
    <xf numFmtId="20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vertical="center"/>
      <protection locked="0"/>
    </xf>
    <xf numFmtId="200"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0" fontId="31" fillId="0" borderId="83">
      <alignment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199" fontId="31" fillId="0" borderId="83">
      <alignment horizontal="center"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44" fontId="4" fillId="0" borderId="0" applyFont="0" applyFill="0" applyBorder="0" applyAlignment="0" applyProtection="0"/>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4" fillId="0" borderId="0"/>
    <xf numFmtId="9" fontId="4" fillId="0" borderId="0" applyFont="0" applyFill="0" applyBorder="0" applyAlignment="0" applyProtection="0"/>
    <xf numFmtId="44" fontId="4" fillId="0" borderId="0" applyFont="0" applyFill="0" applyBorder="0" applyAlignment="0" applyProtection="0"/>
    <xf numFmtId="0" fontId="4" fillId="0" borderId="0"/>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193" fontId="31" fillId="0" borderId="83">
      <alignment horizontal="right" vertical="center"/>
      <protection locked="0"/>
    </xf>
    <xf numFmtId="193"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117" fillId="0" borderId="71" applyNumberFormat="0" applyAlignment="0" applyProtection="0">
      <alignment horizontal="left" vertical="center"/>
    </xf>
    <xf numFmtId="0" fontId="31" fillId="0" borderId="83" applyAlignment="0">
      <protection locked="0"/>
    </xf>
    <xf numFmtId="4" fontId="48" fillId="117" borderId="89" applyNumberFormat="0" applyProtection="0">
      <alignment horizontal="left" vertical="center" indent="1"/>
    </xf>
    <xf numFmtId="20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9"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198" fontId="31" fillId="0" borderId="83">
      <alignment horizontal="center" vertical="center"/>
      <protection locked="0"/>
    </xf>
    <xf numFmtId="203" fontId="31" fillId="0" borderId="83">
      <alignment horizontal="right" vertical="center"/>
      <protection locked="0"/>
    </xf>
    <xf numFmtId="199"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198"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201"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right" vertical="center"/>
      <protection locked="0"/>
    </xf>
    <xf numFmtId="202"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0" fontId="31" fillId="0" borderId="83">
      <alignment vertical="center"/>
      <protection locked="0"/>
    </xf>
    <xf numFmtId="198" fontId="31" fillId="0" borderId="83">
      <alignment vertical="center"/>
      <protection locked="0"/>
    </xf>
    <xf numFmtId="201"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202"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201"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193"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193" fontId="31" fillId="0" borderId="83">
      <alignment horizontal="right" vertical="center"/>
      <protection locked="0"/>
    </xf>
    <xf numFmtId="201" fontId="31" fillId="0" borderId="83">
      <alignment vertical="center"/>
      <protection locked="0"/>
    </xf>
    <xf numFmtId="20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193"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201"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199"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202" fontId="31" fillId="0" borderId="83">
      <alignment vertical="center"/>
      <protection locked="0"/>
    </xf>
    <xf numFmtId="203" fontId="31" fillId="0" borderId="83">
      <alignment horizontal="right" vertical="center"/>
      <protection locked="0"/>
    </xf>
    <xf numFmtId="193" fontId="31" fillId="0" borderId="83">
      <alignment horizontal="right" vertical="center"/>
      <protection locked="0"/>
    </xf>
    <xf numFmtId="193" fontId="31" fillId="0" borderId="83">
      <alignment horizontal="right" vertical="center"/>
      <protection locked="0"/>
    </xf>
    <xf numFmtId="193"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horizontal="center" vertical="center"/>
      <protection locked="0"/>
    </xf>
    <xf numFmtId="202" fontId="31" fillId="0" borderId="83">
      <alignment horizontal="center" vertical="center"/>
      <protection locked="0"/>
    </xf>
    <xf numFmtId="200" fontId="31" fillId="0" borderId="83">
      <alignment vertical="center"/>
      <protection locked="0"/>
    </xf>
    <xf numFmtId="200"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198" fontId="31" fillId="0" borderId="83">
      <alignment vertical="center"/>
      <protection locked="0"/>
    </xf>
    <xf numFmtId="201"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198" fontId="31" fillId="0" borderId="83">
      <alignment horizontal="center" vertical="center"/>
      <protection locked="0"/>
    </xf>
    <xf numFmtId="0" fontId="31" fillId="60" borderId="91" applyNumberFormat="0">
      <protection locked="0"/>
    </xf>
    <xf numFmtId="198" fontId="31" fillId="0" borderId="83">
      <alignment vertical="center"/>
      <protection locked="0"/>
    </xf>
    <xf numFmtId="201"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2" fontId="31" fillId="0" borderId="83">
      <alignment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201" fontId="31" fillId="0" borderId="83">
      <alignment vertical="center"/>
      <protection locked="0"/>
    </xf>
    <xf numFmtId="193" fontId="31" fillId="0" borderId="83">
      <alignment horizontal="right" vertical="center"/>
      <protection locked="0"/>
    </xf>
    <xf numFmtId="0" fontId="31" fillId="60" borderId="91" applyNumberFormat="0">
      <protection locked="0"/>
    </xf>
    <xf numFmtId="203" fontId="31" fillId="0" borderId="83">
      <alignment horizontal="right" vertical="center"/>
      <protection locked="0"/>
    </xf>
    <xf numFmtId="203" fontId="31" fillId="0" borderId="83">
      <alignment horizontal="right" vertical="center"/>
      <protection locked="0"/>
    </xf>
    <xf numFmtId="0" fontId="31" fillId="0" borderId="83" applyAlignment="0">
      <protection locked="0"/>
    </xf>
    <xf numFmtId="199" fontId="31" fillId="0" borderId="83">
      <alignment horizontal="center" vertical="center"/>
      <protection locked="0"/>
    </xf>
    <xf numFmtId="201"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202" fontId="31" fillId="0" borderId="83">
      <alignment vertical="center"/>
      <protection locked="0"/>
    </xf>
    <xf numFmtId="193" fontId="31" fillId="0" borderId="83">
      <alignment horizontal="center" vertical="center"/>
      <protection locked="0"/>
    </xf>
    <xf numFmtId="198"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198" fontId="31" fillId="0" borderId="83">
      <alignment vertical="center"/>
      <protection locked="0"/>
    </xf>
    <xf numFmtId="203" fontId="31" fillId="0" borderId="83">
      <alignment horizontal="right"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1"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1" fontId="31" fillId="0" borderId="83">
      <alignment vertical="center"/>
      <protection locked="0"/>
    </xf>
    <xf numFmtId="193"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200" fontId="31" fillId="0" borderId="83">
      <alignment horizontal="center" vertical="center"/>
      <protection locked="0"/>
    </xf>
    <xf numFmtId="202" fontId="31" fillId="0" borderId="83">
      <alignment horizontal="center" vertical="center"/>
      <protection locked="0"/>
    </xf>
    <xf numFmtId="202" fontId="31" fillId="0" borderId="83">
      <alignment vertical="center"/>
      <protection locked="0"/>
    </xf>
    <xf numFmtId="200" fontId="31" fillId="0" borderId="83">
      <alignment vertical="center"/>
      <protection locked="0"/>
    </xf>
    <xf numFmtId="200"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44" fontId="4" fillId="0" borderId="0" applyFont="0" applyFill="0" applyBorder="0" applyAlignment="0" applyProtection="0"/>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2" fontId="31" fillId="0" borderId="83">
      <alignment vertical="center"/>
      <protection locked="0"/>
    </xf>
    <xf numFmtId="201" fontId="31" fillId="0" borderId="83">
      <alignment vertical="center"/>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201"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3"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vertical="center"/>
      <protection locked="0"/>
    </xf>
    <xf numFmtId="198" fontId="31" fillId="0" borderId="83">
      <alignment vertical="center"/>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8" fontId="31" fillId="0" borderId="83">
      <alignment horizontal="center" vertical="center"/>
      <protection locked="0"/>
    </xf>
    <xf numFmtId="43"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31" fillId="0" borderId="83" applyAlignmen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4" fillId="0" borderId="0"/>
    <xf numFmtId="0" fontId="31" fillId="60" borderId="91" applyNumberFormat="0">
      <protection locked="0"/>
    </xf>
    <xf numFmtId="0" fontId="31" fillId="60" borderId="91" applyNumberFormat="0">
      <protection locked="0"/>
    </xf>
    <xf numFmtId="0" fontId="31" fillId="0" borderId="83" applyAlignment="0">
      <protection locked="0"/>
    </xf>
    <xf numFmtId="4" fontId="48" fillId="117" borderId="89" applyNumberFormat="0" applyProtection="0">
      <alignment horizontal="left" vertical="center" indent="1"/>
    </xf>
    <xf numFmtId="200"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center" vertical="center"/>
      <protection locked="0"/>
    </xf>
    <xf numFmtId="200"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0" fontId="31" fillId="0" borderId="83" applyAlignment="0">
      <protection locked="0"/>
    </xf>
    <xf numFmtId="201"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198" fontId="31" fillId="0" borderId="83">
      <alignment vertical="center"/>
      <protection locked="0"/>
    </xf>
    <xf numFmtId="200" fontId="31" fillId="0" borderId="83">
      <alignment vertical="center"/>
      <protection locked="0"/>
    </xf>
    <xf numFmtId="202"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8" fontId="31" fillId="0" borderId="83">
      <alignment vertical="center"/>
      <protection locked="0"/>
    </xf>
    <xf numFmtId="0" fontId="31" fillId="60" borderId="91" applyNumberFormat="0">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193"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193" fontId="31" fillId="0" borderId="83">
      <alignment horizontal="right" vertical="center"/>
      <protection locked="0"/>
    </xf>
    <xf numFmtId="201" fontId="31" fillId="0" borderId="83">
      <alignment vertical="center"/>
      <protection locked="0"/>
    </xf>
    <xf numFmtId="200" fontId="31" fillId="0" borderId="83">
      <alignment horizontal="center" vertical="center"/>
      <protection locked="0"/>
    </xf>
    <xf numFmtId="201" fontId="31" fillId="0" borderId="83">
      <alignment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200" fontId="31" fillId="0" borderId="83">
      <alignment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199" fontId="31" fillId="0" borderId="83">
      <alignment horizontal="center" vertical="center"/>
      <protection locked="0"/>
    </xf>
    <xf numFmtId="198"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9" fontId="31" fillId="0" borderId="83">
      <alignment horizontal="center" vertical="center"/>
      <protection locked="0"/>
    </xf>
    <xf numFmtId="193" fontId="31" fillId="0" borderId="83">
      <alignment horizontal="right" vertical="center"/>
      <protection locked="0"/>
    </xf>
    <xf numFmtId="202" fontId="31" fillId="0" borderId="83">
      <alignment vertical="center"/>
      <protection locked="0"/>
    </xf>
    <xf numFmtId="193" fontId="31" fillId="0" borderId="83">
      <alignment horizontal="center" vertical="center"/>
      <protection locked="0"/>
    </xf>
    <xf numFmtId="193"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43" fontId="4" fillId="0" borderId="0" applyFont="0" applyFill="0" applyBorder="0" applyAlignment="0" applyProtection="0"/>
    <xf numFmtId="203" fontId="31" fillId="0" borderId="83">
      <alignment horizontal="right"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vertical="center"/>
      <protection locked="0"/>
    </xf>
    <xf numFmtId="203" fontId="31" fillId="0" borderId="83">
      <alignment horizontal="right" vertical="center"/>
      <protection locked="0"/>
    </xf>
    <xf numFmtId="0" fontId="31" fillId="60" borderId="91" applyNumberFormat="0">
      <protection locked="0"/>
    </xf>
    <xf numFmtId="199"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200" fontId="31" fillId="0" borderId="83">
      <alignment vertical="center"/>
      <protection locked="0"/>
    </xf>
    <xf numFmtId="201" fontId="31" fillId="0" borderId="83">
      <alignment horizontal="center" vertical="center"/>
      <protection locked="0"/>
    </xf>
    <xf numFmtId="202" fontId="31" fillId="0" borderId="83">
      <alignment vertical="center"/>
      <protection locked="0"/>
    </xf>
    <xf numFmtId="198" fontId="31" fillId="0" borderId="83">
      <alignment horizontal="center" vertical="center"/>
      <protection locked="0"/>
    </xf>
    <xf numFmtId="202" fontId="31" fillId="0" borderId="83">
      <alignment vertical="center"/>
      <protection locked="0"/>
    </xf>
    <xf numFmtId="202"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9" fontId="4" fillId="0" borderId="0" applyFont="0" applyFill="0" applyBorder="0" applyAlignment="0" applyProtection="0"/>
    <xf numFmtId="200" fontId="31" fillId="0" borderId="83">
      <alignment horizontal="center" vertical="center"/>
      <protection locked="0"/>
    </xf>
    <xf numFmtId="4" fontId="48" fillId="117" borderId="89" applyNumberFormat="0" applyProtection="0">
      <alignment horizontal="left" vertical="center" indent="1"/>
    </xf>
    <xf numFmtId="43" fontId="4" fillId="0" borderId="0" applyFont="0" applyFill="0" applyBorder="0" applyAlignment="0" applyProtection="0"/>
    <xf numFmtId="198"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202" fontId="31" fillId="0" borderId="83">
      <alignment horizontal="center" vertical="center"/>
      <protection locked="0"/>
    </xf>
    <xf numFmtId="201" fontId="31" fillId="0" borderId="83">
      <alignment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198" fontId="31" fillId="0" borderId="83">
      <alignment horizontal="center" vertical="center"/>
      <protection locked="0"/>
    </xf>
    <xf numFmtId="201" fontId="31" fillId="0" borderId="83">
      <alignment vertical="center"/>
      <protection locked="0"/>
    </xf>
    <xf numFmtId="198" fontId="31" fillId="0" borderId="83">
      <alignment horizontal="center" vertical="center"/>
      <protection locked="0"/>
    </xf>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202" fontId="31" fillId="0" borderId="83">
      <alignment vertical="center"/>
      <protection locked="0"/>
    </xf>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203" fontId="31" fillId="0" borderId="83">
      <alignment horizontal="right" vertical="center"/>
      <protection locked="0"/>
    </xf>
    <xf numFmtId="201" fontId="31" fillId="0" borderId="83">
      <alignment horizontal="center" vertical="center"/>
      <protection locked="0"/>
    </xf>
    <xf numFmtId="9" fontId="4" fillId="0" borderId="0" applyFont="0" applyFill="0" applyBorder="0" applyAlignment="0" applyProtection="0"/>
    <xf numFmtId="43" fontId="4" fillId="0" borderId="0" applyFont="0" applyFill="0" applyBorder="0" applyAlignment="0" applyProtection="0"/>
    <xf numFmtId="198" fontId="31" fillId="0" borderId="83">
      <alignment vertical="center"/>
      <protection locked="0"/>
    </xf>
    <xf numFmtId="0" fontId="31" fillId="0" borderId="83" applyAlignment="0">
      <protection locked="0"/>
    </xf>
    <xf numFmtId="201" fontId="31" fillId="0" borderId="83">
      <alignment vertical="center"/>
      <protection locked="0"/>
    </xf>
    <xf numFmtId="201"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201" fontId="31" fillId="0" borderId="83">
      <alignment horizontal="center" vertical="center"/>
      <protection locked="0"/>
    </xf>
    <xf numFmtId="200" fontId="31" fillId="0" borderId="83">
      <alignment horizontal="center" vertical="center"/>
      <protection locked="0"/>
    </xf>
    <xf numFmtId="202"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198" fontId="31" fillId="0" borderId="83">
      <alignment horizontal="center" vertical="center"/>
      <protection locked="0"/>
    </xf>
    <xf numFmtId="19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0" fontId="31" fillId="0" borderId="83" applyAlignment="0">
      <protection locked="0"/>
    </xf>
    <xf numFmtId="43" fontId="4" fillId="0" borderId="0" applyFont="0" applyFill="0" applyBorder="0" applyAlignment="0" applyProtection="0"/>
    <xf numFmtId="199"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0" borderId="83" applyAlignmen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198" fontId="31" fillId="0" borderId="83">
      <alignment horizontal="center" vertical="center"/>
      <protection locked="0"/>
    </xf>
    <xf numFmtId="193" fontId="31" fillId="0" borderId="83">
      <alignment horizontal="righ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9" fontId="4" fillId="0" borderId="0" applyFont="0" applyFill="0" applyBorder="0" applyAlignment="0" applyProtection="0"/>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200" fontId="31" fillId="0" borderId="83">
      <alignment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vertical="center"/>
      <protection locked="0"/>
    </xf>
    <xf numFmtId="202" fontId="31" fillId="0" borderId="83">
      <alignment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9" fontId="4"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2" fillId="0" borderId="0"/>
    <xf numFmtId="3" fontId="15" fillId="15" borderId="65"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15" fillId="15" borderId="65"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193" fontId="31" fillId="0" borderId="83">
      <alignment horizontal="right" vertical="center"/>
      <protection locked="0"/>
    </xf>
    <xf numFmtId="193" fontId="31" fillId="0" borderId="83">
      <alignment horizontal="center" vertical="center"/>
      <protection locked="0"/>
    </xf>
    <xf numFmtId="203" fontId="31" fillId="0" borderId="83">
      <alignment horizontal="right" vertical="center"/>
      <protection locked="0"/>
    </xf>
    <xf numFmtId="198" fontId="31" fillId="0" borderId="83">
      <alignment horizontal="center" vertical="center"/>
      <protection locked="0"/>
    </xf>
    <xf numFmtId="199"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8"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1" fontId="31" fillId="0" borderId="83">
      <alignment vertical="center"/>
      <protection locked="0"/>
    </xf>
    <xf numFmtId="0" fontId="2" fillId="0" borderId="0"/>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3" fontId="31" fillId="0" borderId="83">
      <alignment horizontal="right" vertical="center"/>
      <protection locked="0"/>
    </xf>
    <xf numFmtId="193" fontId="31" fillId="0" borderId="83">
      <alignment horizontal="center" vertical="center"/>
      <protection locked="0"/>
    </xf>
    <xf numFmtId="43"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9" fontId="31" fillId="0" borderId="83">
      <alignment horizontal="center" vertical="center"/>
      <protection locked="0"/>
    </xf>
    <xf numFmtId="193"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0" fontId="31" fillId="0" borderId="83">
      <alignment vertical="center"/>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2" fontId="31" fillId="0" borderId="83">
      <alignment vertical="center"/>
      <protection locked="0"/>
    </xf>
    <xf numFmtId="198" fontId="31" fillId="0" borderId="83">
      <alignment horizontal="center" vertical="center"/>
      <protection locked="0"/>
    </xf>
    <xf numFmtId="200" fontId="31" fillId="0" borderId="83">
      <alignment vertical="center"/>
      <protection locked="0"/>
    </xf>
    <xf numFmtId="0" fontId="31" fillId="60" borderId="91" applyNumberFormat="0">
      <protection locked="0"/>
    </xf>
    <xf numFmtId="200" fontId="31" fillId="0" borderId="83">
      <alignment vertical="center"/>
      <protection locked="0"/>
    </xf>
    <xf numFmtId="0" fontId="117" fillId="0" borderId="71" applyNumberFormat="0" applyAlignment="0" applyProtection="0">
      <alignment horizontal="left" vertical="center"/>
    </xf>
    <xf numFmtId="202" fontId="31" fillId="0" borderId="83">
      <alignment vertical="center"/>
      <protection locked="0"/>
    </xf>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4" fillId="0" borderId="0"/>
    <xf numFmtId="201"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117" fillId="0" borderId="71" applyNumberFormat="0" applyAlignment="0" applyProtection="0">
      <alignment horizontal="left" vertical="center"/>
    </xf>
    <xf numFmtId="199"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201"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43" fontId="4" fillId="0" borderId="0" applyFont="0" applyFill="0" applyBorder="0" applyAlignment="0" applyProtection="0"/>
    <xf numFmtId="193" fontId="31" fillId="0" borderId="83">
      <alignment horizontal="center"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0" fontId="4" fillId="0" borderId="0"/>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8" fontId="31" fillId="0" borderId="83">
      <alignment vertical="center"/>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31" fillId="0" borderId="83" applyAlignmen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0" borderId="83" applyAlignment="0">
      <protection locked="0"/>
    </xf>
    <xf numFmtId="0" fontId="117" fillId="0" borderId="71" applyNumberFormat="0" applyAlignment="0" applyProtection="0">
      <alignment horizontal="left" vertical="center"/>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2"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1" fontId="31" fillId="0" borderId="83">
      <alignment horizontal="center" vertical="center"/>
      <protection locked="0"/>
    </xf>
    <xf numFmtId="4" fontId="48" fillId="117" borderId="89" applyNumberFormat="0" applyProtection="0">
      <alignment horizontal="left" vertical="center" indent="1"/>
    </xf>
    <xf numFmtId="20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0"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1" fontId="31" fillId="0" borderId="83">
      <alignment horizontal="center"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0" fontId="31" fillId="60" borderId="91" applyNumberFormat="0">
      <protection locked="0"/>
    </xf>
    <xf numFmtId="200" fontId="31" fillId="0" borderId="83">
      <alignment vertical="center"/>
      <protection locked="0"/>
    </xf>
    <xf numFmtId="193" fontId="31" fillId="0" borderId="83">
      <alignment horizontal="center" vertical="center"/>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198"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44"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0" borderId="83" applyAlignmen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198"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202" fontId="31" fillId="0" borderId="83">
      <alignment vertical="center"/>
      <protection locked="0"/>
    </xf>
    <xf numFmtId="0" fontId="31" fillId="60" borderId="91" applyNumberFormat="0">
      <protection locked="0"/>
    </xf>
    <xf numFmtId="198" fontId="31" fillId="0" borderId="83">
      <alignment vertical="center"/>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203" fontId="31" fillId="0" borderId="83">
      <alignment horizontal="right" vertical="center"/>
      <protection locked="0"/>
    </xf>
    <xf numFmtId="200"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1" fontId="31" fillId="0" borderId="83">
      <alignment horizontal="center" vertical="center"/>
      <protection locked="0"/>
    </xf>
    <xf numFmtId="200" fontId="31" fillId="0" borderId="83">
      <alignment vertical="center"/>
      <protection locked="0"/>
    </xf>
    <xf numFmtId="201" fontId="31" fillId="0" borderId="83">
      <alignment vertical="center"/>
      <protection locked="0"/>
    </xf>
    <xf numFmtId="0" fontId="31" fillId="0" borderId="83" applyAlignment="0">
      <protection locked="0"/>
    </xf>
    <xf numFmtId="201" fontId="31" fillId="0" borderId="83">
      <alignment vertical="center"/>
      <protection locked="0"/>
    </xf>
    <xf numFmtId="199" fontId="31" fillId="0" borderId="83">
      <alignment horizontal="center" vertical="center"/>
      <protection locked="0"/>
    </xf>
    <xf numFmtId="201" fontId="31" fillId="0" borderId="83">
      <alignment vertical="center"/>
      <protection locked="0"/>
    </xf>
    <xf numFmtId="203" fontId="31" fillId="0" borderId="83">
      <alignment horizontal="right" vertical="center"/>
      <protection locked="0"/>
    </xf>
    <xf numFmtId="0" fontId="117" fillId="0" borderId="71" applyNumberFormat="0" applyAlignment="0" applyProtection="0">
      <alignment horizontal="left" vertical="center"/>
    </xf>
    <xf numFmtId="0" fontId="31" fillId="60" borderId="91" applyNumberFormat="0">
      <protection locked="0"/>
    </xf>
    <xf numFmtId="201"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43" fontId="4" fillId="0" borderId="0" applyFont="0" applyFill="0" applyBorder="0" applyAlignment="0" applyProtection="0"/>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0" borderId="83" applyAlignment="0">
      <protection locked="0"/>
    </xf>
    <xf numFmtId="201" fontId="31" fillId="0" borderId="83">
      <alignment vertical="center"/>
      <protection locked="0"/>
    </xf>
    <xf numFmtId="198" fontId="31" fillId="0" borderId="83">
      <alignment vertical="center"/>
      <protection locked="0"/>
    </xf>
    <xf numFmtId="201" fontId="31" fillId="0" borderId="83">
      <alignment vertical="center"/>
      <protection locked="0"/>
    </xf>
    <xf numFmtId="200" fontId="31" fillId="0" borderId="83">
      <alignment horizontal="center" vertical="center"/>
      <protection locked="0"/>
    </xf>
    <xf numFmtId="44" fontId="4" fillId="0" borderId="0" applyFont="0" applyFill="0" applyBorder="0" applyAlignment="0" applyProtection="0"/>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2"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0" fontId="31" fillId="0" borderId="83" applyAlignmen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201"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0" borderId="83" applyAlignmen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1" fontId="31" fillId="0" borderId="83">
      <alignment vertical="center"/>
      <protection locked="0"/>
    </xf>
    <xf numFmtId="200" fontId="31" fillId="0" borderId="83">
      <alignment horizontal="center" vertical="center"/>
      <protection locked="0"/>
    </xf>
    <xf numFmtId="0" fontId="31" fillId="60" borderId="91" applyNumberFormat="0">
      <protection locked="0"/>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3" fontId="15" fillId="15" borderId="65" applyAlignment="0" applyProtection="0"/>
    <xf numFmtId="9" fontId="2" fillId="0" borderId="0" applyFont="0" applyFill="0" applyBorder="0" applyAlignment="0" applyProtection="0"/>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vertical="center"/>
      <protection locked="0"/>
    </xf>
    <xf numFmtId="193" fontId="31" fillId="0" borderId="83">
      <alignment horizontal="center" vertical="center"/>
      <protection locked="0"/>
    </xf>
    <xf numFmtId="0" fontId="31" fillId="0" borderId="83" applyAlignment="0">
      <protection locked="0"/>
    </xf>
    <xf numFmtId="202" fontId="31" fillId="0" borderId="83">
      <alignment vertical="center"/>
      <protection locked="0"/>
    </xf>
    <xf numFmtId="0" fontId="31" fillId="0" borderId="83" applyAlignment="0">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202"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4" fillId="0" borderId="0"/>
    <xf numFmtId="0" fontId="4" fillId="0" borderId="0"/>
    <xf numFmtId="0" fontId="4" fillId="0" borderId="0"/>
    <xf numFmtId="9" fontId="4" fillId="0" borderId="0" applyFont="0" applyFill="0" applyBorder="0" applyAlignment="0" applyProtection="0"/>
    <xf numFmtId="0" fontId="4" fillId="0" borderId="0"/>
    <xf numFmtId="44" fontId="4" fillId="0" borderId="0" applyFont="0" applyFill="0" applyBorder="0" applyAlignment="0" applyProtection="0"/>
    <xf numFmtId="9" fontId="2" fillId="0" borderId="0" applyFont="0" applyFill="0" applyBorder="0" applyAlignment="0" applyProtection="0"/>
    <xf numFmtId="200" fontId="31" fillId="0" borderId="83">
      <alignment vertical="center"/>
      <protection locked="0"/>
    </xf>
    <xf numFmtId="4" fontId="48" fillId="117" borderId="89" applyNumberFormat="0" applyProtection="0">
      <alignment horizontal="left" vertical="center" indent="1"/>
    </xf>
    <xf numFmtId="198" fontId="31" fillId="0" borderId="83">
      <alignment horizontal="center" vertical="center"/>
      <protection locked="0"/>
    </xf>
    <xf numFmtId="200" fontId="31" fillId="0" borderId="83">
      <alignment horizontal="center" vertical="center"/>
      <protection locked="0"/>
    </xf>
    <xf numFmtId="0" fontId="123" fillId="0" borderId="16">
      <alignment horizontal="center"/>
    </xf>
    <xf numFmtId="0" fontId="4" fillId="0" borderId="0"/>
    <xf numFmtId="198" fontId="31" fillId="0" borderId="83">
      <alignment horizontal="center" vertical="center"/>
      <protection locked="0"/>
    </xf>
    <xf numFmtId="9" fontId="4" fillId="0" borderId="0" applyFont="0" applyFill="0" applyBorder="0" applyAlignment="0" applyProtection="0"/>
    <xf numFmtId="9" fontId="2" fillId="0" borderId="0" applyFont="0" applyFill="0" applyBorder="0" applyAlignment="0" applyProtection="0"/>
    <xf numFmtId="0" fontId="2" fillId="0" borderId="0"/>
    <xf numFmtId="193" fontId="31" fillId="0" borderId="83">
      <alignment horizontal="center" vertical="center"/>
      <protection locked="0"/>
    </xf>
    <xf numFmtId="0" fontId="31" fillId="60" borderId="91" applyNumberFormat="0">
      <protection locked="0"/>
    </xf>
    <xf numFmtId="0" fontId="2" fillId="0" borderId="0"/>
    <xf numFmtId="44" fontId="4" fillId="0" borderId="0" applyFont="0" applyFill="0" applyBorder="0" applyAlignment="0" applyProtection="0"/>
    <xf numFmtId="0" fontId="2" fillId="0" borderId="0"/>
    <xf numFmtId="43" fontId="2" fillId="0" borderId="0" applyFont="0" applyFill="0" applyBorder="0" applyAlignment="0" applyProtection="0"/>
    <xf numFmtId="193" fontId="31" fillId="0" borderId="83">
      <alignment horizontal="center" vertical="center"/>
      <protection locked="0"/>
    </xf>
    <xf numFmtId="0" fontId="2" fillId="0" borderId="0"/>
    <xf numFmtId="0" fontId="4" fillId="0" borderId="0"/>
    <xf numFmtId="43" fontId="4" fillId="0" borderId="0" applyFont="0" applyFill="0" applyBorder="0" applyAlignment="0" applyProtection="0"/>
    <xf numFmtId="0" fontId="2" fillId="0" borderId="0"/>
    <xf numFmtId="0" fontId="4" fillId="0" borderId="0"/>
    <xf numFmtId="0" fontId="123" fillId="0" borderId="16">
      <alignment horizontal="center"/>
    </xf>
    <xf numFmtId="202" fontId="31" fillId="0" borderId="83">
      <alignment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2" fontId="31" fillId="0" borderId="83">
      <alignment vertical="center"/>
      <protection locked="0"/>
    </xf>
    <xf numFmtId="9" fontId="2" fillId="0" borderId="0" applyFont="0" applyFill="0" applyBorder="0" applyAlignment="0" applyProtection="0"/>
    <xf numFmtId="193" fontId="31" fillId="0" borderId="83">
      <alignment horizontal="center" vertical="center"/>
      <protection locked="0"/>
    </xf>
    <xf numFmtId="193" fontId="31" fillId="0" borderId="83">
      <alignment horizontal="right" vertical="center"/>
      <protection locked="0"/>
    </xf>
    <xf numFmtId="0" fontId="123" fillId="0" borderId="16">
      <alignment horizontal="center"/>
    </xf>
    <xf numFmtId="0" fontId="2" fillId="0" borderId="0"/>
    <xf numFmtId="0" fontId="2" fillId="0" borderId="0"/>
    <xf numFmtId="0" fontId="2" fillId="0" borderId="0"/>
    <xf numFmtId="43" fontId="4" fillId="0" borderId="0" applyFont="0" applyFill="0" applyBorder="0" applyAlignment="0" applyProtection="0"/>
    <xf numFmtId="0" fontId="2" fillId="0" borderId="0"/>
    <xf numFmtId="203" fontId="31" fillId="0" borderId="83">
      <alignment horizontal="right" vertical="center"/>
      <protection locked="0"/>
    </xf>
    <xf numFmtId="0" fontId="2" fillId="0" borderId="0"/>
    <xf numFmtId="0" fontId="2" fillId="0" borderId="0"/>
    <xf numFmtId="0" fontId="123" fillId="0" borderId="16">
      <alignment horizontal="center"/>
    </xf>
    <xf numFmtId="0" fontId="31" fillId="60" borderId="91" applyNumberFormat="0">
      <protection locked="0"/>
    </xf>
    <xf numFmtId="0" fontId="2" fillId="0" borderId="0"/>
    <xf numFmtId="0" fontId="2" fillId="0" borderId="0"/>
    <xf numFmtId="0" fontId="31" fillId="60" borderId="91" applyNumberFormat="0">
      <protection locked="0"/>
    </xf>
    <xf numFmtId="0" fontId="123" fillId="0" borderId="16">
      <alignment horizontal="center"/>
    </xf>
    <xf numFmtId="0" fontId="2" fillId="0" borderId="0"/>
    <xf numFmtId="201" fontId="31" fillId="0" borderId="83">
      <alignment horizontal="center" vertical="center"/>
      <protection locked="0"/>
    </xf>
    <xf numFmtId="9" fontId="4" fillId="0" borderId="0" applyFont="0" applyFill="0" applyBorder="0" applyAlignment="0" applyProtection="0"/>
    <xf numFmtId="9" fontId="4" fillId="0" borderId="0" applyFont="0" applyFill="0" applyBorder="0" applyAlignment="0" applyProtection="0"/>
    <xf numFmtId="0" fontId="2" fillId="0" borderId="0"/>
    <xf numFmtId="0" fontId="2" fillId="0" borderId="0"/>
    <xf numFmtId="0" fontId="2" fillId="0" borderId="0"/>
    <xf numFmtId="43" fontId="4" fillId="0" borderId="0" applyFont="0" applyFill="0" applyBorder="0" applyAlignment="0" applyProtection="0"/>
    <xf numFmtId="0" fontId="2" fillId="0" borderId="0"/>
    <xf numFmtId="44" fontId="4" fillId="0" borderId="0" applyFont="0" applyFill="0" applyBorder="0" applyAlignment="0" applyProtection="0"/>
    <xf numFmtId="198" fontId="31" fillId="0" borderId="83">
      <alignment vertical="center"/>
      <protection locked="0"/>
    </xf>
    <xf numFmtId="0" fontId="2" fillId="0" borderId="0"/>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2" fillId="0" borderId="0"/>
    <xf numFmtId="0" fontId="4" fillId="0" borderId="0"/>
    <xf numFmtId="0" fontId="31" fillId="60" borderId="91" applyNumberFormat="0">
      <protection locked="0"/>
    </xf>
    <xf numFmtId="0" fontId="31" fillId="60" borderId="91" applyNumberFormat="0">
      <protection locked="0"/>
    </xf>
    <xf numFmtId="0" fontId="2" fillId="0" borderId="0"/>
    <xf numFmtId="198" fontId="31" fillId="0" borderId="83">
      <alignment vertical="center"/>
      <protection locked="0"/>
    </xf>
    <xf numFmtId="9" fontId="4" fillId="0" borderId="0" applyFont="0" applyFill="0" applyBorder="0" applyAlignment="0" applyProtection="0"/>
    <xf numFmtId="44" fontId="2"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200" fontId="31" fillId="0" borderId="83">
      <alignment horizontal="center" vertical="center"/>
      <protection locked="0"/>
    </xf>
    <xf numFmtId="0" fontId="123" fillId="0" borderId="16">
      <alignment horizontal="center"/>
    </xf>
    <xf numFmtId="0" fontId="2" fillId="0" borderId="0"/>
    <xf numFmtId="44" fontId="2" fillId="0" borderId="0" applyFont="0" applyFill="0" applyBorder="0" applyAlignment="0" applyProtection="0"/>
    <xf numFmtId="0" fontId="2" fillId="0" borderId="0"/>
    <xf numFmtId="0" fontId="31" fillId="60" borderId="91" applyNumberFormat="0">
      <protection locked="0"/>
    </xf>
    <xf numFmtId="44" fontId="2" fillId="0" borderId="0" applyFont="0" applyFill="0" applyBorder="0" applyAlignment="0" applyProtection="0"/>
    <xf numFmtId="0" fontId="2" fillId="0" borderId="0"/>
    <xf numFmtId="0" fontId="4" fillId="0" borderId="0"/>
    <xf numFmtId="9" fontId="2" fillId="0" borderId="0" applyFont="0" applyFill="0" applyBorder="0" applyAlignment="0" applyProtection="0"/>
    <xf numFmtId="0" fontId="123" fillId="0" borderId="16">
      <alignment horizontal="center"/>
    </xf>
    <xf numFmtId="0" fontId="2" fillId="0" borderId="0"/>
    <xf numFmtId="0" fontId="31" fillId="60" borderId="91" applyNumberFormat="0">
      <protection locked="0"/>
    </xf>
    <xf numFmtId="0" fontId="2" fillId="0" borderId="0"/>
    <xf numFmtId="9" fontId="4" fillId="0" borderId="0" applyFont="0" applyFill="0" applyBorder="0" applyAlignment="0" applyProtection="0"/>
    <xf numFmtId="0" fontId="123" fillId="0" borderId="16">
      <alignment horizontal="center"/>
    </xf>
    <xf numFmtId="4" fontId="48" fillId="117" borderId="89" applyNumberFormat="0" applyProtection="0">
      <alignment horizontal="left" vertical="center" indent="1"/>
    </xf>
    <xf numFmtId="193" fontId="31" fillId="0" borderId="83">
      <alignment horizontal="right" vertical="center"/>
      <protection locked="0"/>
    </xf>
    <xf numFmtId="200" fontId="31" fillId="0" borderId="83">
      <alignment vertical="center"/>
      <protection locked="0"/>
    </xf>
    <xf numFmtId="44" fontId="2"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0" fontId="2" fillId="0" borderId="0"/>
    <xf numFmtId="9" fontId="4" fillId="0" borderId="0" applyFont="0" applyFill="0" applyBorder="0" applyAlignment="0" applyProtection="0"/>
    <xf numFmtId="201" fontId="31" fillId="0" borderId="83">
      <alignment horizontal="center" vertical="center"/>
      <protection locked="0"/>
    </xf>
    <xf numFmtId="9" fontId="4" fillId="0" borderId="0" applyFont="0" applyFill="0" applyBorder="0" applyAlignment="0" applyProtection="0"/>
    <xf numFmtId="0" fontId="31" fillId="60" borderId="91" applyNumberFormat="0">
      <protection locked="0"/>
    </xf>
    <xf numFmtId="9" fontId="4" fillId="0" borderId="0" applyFont="0" applyFill="0" applyBorder="0" applyAlignment="0" applyProtection="0"/>
    <xf numFmtId="0" fontId="2" fillId="0" borderId="0"/>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44" fontId="4" fillId="0" borderId="0" applyFont="0" applyFill="0" applyBorder="0" applyAlignment="0" applyProtection="0"/>
    <xf numFmtId="0" fontId="4" fillId="0" borderId="0"/>
    <xf numFmtId="0" fontId="2" fillId="0" borderId="0"/>
    <xf numFmtId="201" fontId="31" fillId="0" borderId="83">
      <alignment vertical="center"/>
      <protection locked="0"/>
    </xf>
    <xf numFmtId="0" fontId="4" fillId="0" borderId="0"/>
    <xf numFmtId="0" fontId="2" fillId="0" borderId="0"/>
    <xf numFmtId="202" fontId="31" fillId="0" borderId="83">
      <alignment horizontal="center" vertical="center"/>
      <protection locked="0"/>
    </xf>
    <xf numFmtId="0" fontId="31" fillId="0" borderId="83" applyAlignment="0">
      <protection locked="0"/>
    </xf>
    <xf numFmtId="0" fontId="123" fillId="0" borderId="16">
      <alignment horizontal="center"/>
    </xf>
    <xf numFmtId="9" fontId="4" fillId="0" borderId="0" applyFont="0" applyFill="0" applyBorder="0" applyAlignment="0" applyProtection="0"/>
    <xf numFmtId="44" fontId="2" fillId="0" borderId="0" applyFont="0" applyFill="0" applyBorder="0" applyAlignment="0" applyProtection="0"/>
    <xf numFmtId="199" fontId="31" fillId="0" borderId="83">
      <alignment horizontal="center" vertical="center"/>
      <protection locked="0"/>
    </xf>
    <xf numFmtId="0" fontId="123" fillId="0" borderId="16">
      <alignment horizontal="center"/>
    </xf>
    <xf numFmtId="0" fontId="2" fillId="0" borderId="0"/>
    <xf numFmtId="0" fontId="2" fillId="0" borderId="0"/>
    <xf numFmtId="0" fontId="2" fillId="0" borderId="0"/>
    <xf numFmtId="0" fontId="31" fillId="60" borderId="91" applyNumberFormat="0">
      <protection locked="0"/>
    </xf>
    <xf numFmtId="0" fontId="2" fillId="0" borderId="0"/>
    <xf numFmtId="0" fontId="2" fillId="0" borderId="0"/>
    <xf numFmtId="0" fontId="123" fillId="0" borderId="16">
      <alignment horizontal="center"/>
    </xf>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123" fillId="0" borderId="16">
      <alignment horizontal="center"/>
    </xf>
    <xf numFmtId="198" fontId="31" fillId="0" borderId="83">
      <alignment vertical="center"/>
      <protection locked="0"/>
    </xf>
    <xf numFmtId="0" fontId="2" fillId="0" borderId="0"/>
    <xf numFmtId="43" fontId="4"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43" fontId="4" fillId="0" borderId="0" applyFont="0" applyFill="0" applyBorder="0" applyAlignment="0" applyProtection="0"/>
    <xf numFmtId="202" fontId="31" fillId="0" borderId="83">
      <alignment vertical="center"/>
      <protection locked="0"/>
    </xf>
    <xf numFmtId="0" fontId="31" fillId="60" borderId="91" applyNumberFormat="0">
      <protection locked="0"/>
    </xf>
    <xf numFmtId="0" fontId="2" fillId="0" borderId="0"/>
    <xf numFmtId="200" fontId="31" fillId="0" borderId="83">
      <alignment vertical="center"/>
      <protection locked="0"/>
    </xf>
    <xf numFmtId="3" fontId="15" fillId="15" borderId="65" applyAlignment="0" applyProtection="0"/>
    <xf numFmtId="43" fontId="2" fillId="0" borderId="0" applyFont="0" applyFill="0" applyBorder="0" applyAlignment="0" applyProtection="0"/>
    <xf numFmtId="0" fontId="31" fillId="60" borderId="91" applyNumberFormat="0">
      <protection locked="0"/>
    </xf>
    <xf numFmtId="0" fontId="2" fillId="0" borderId="0"/>
    <xf numFmtId="0" fontId="2" fillId="0" borderId="0"/>
    <xf numFmtId="0" fontId="2" fillId="0" borderId="0"/>
    <xf numFmtId="0" fontId="2" fillId="0" borderId="0"/>
    <xf numFmtId="0" fontId="2" fillId="0" borderId="0"/>
    <xf numFmtId="43" fontId="4" fillId="0" borderId="0" applyFont="0" applyFill="0" applyBorder="0" applyAlignment="0" applyProtection="0"/>
    <xf numFmtId="0" fontId="4" fillId="0" borderId="0"/>
    <xf numFmtId="0" fontId="123" fillId="0" borderId="16">
      <alignment horizontal="center"/>
    </xf>
    <xf numFmtId="9" fontId="4" fillId="0" borderId="0" applyFont="0" applyFill="0" applyBorder="0" applyAlignment="0" applyProtection="0"/>
    <xf numFmtId="44" fontId="2" fillId="0" borderId="0" applyFont="0" applyFill="0" applyBorder="0" applyAlignment="0" applyProtection="0"/>
    <xf numFmtId="9" fontId="4" fillId="0" borderId="0" applyFont="0" applyFill="0" applyBorder="0" applyAlignment="0" applyProtection="0"/>
    <xf numFmtId="201" fontId="31" fillId="0" borderId="83">
      <alignment vertical="center"/>
      <protection locked="0"/>
    </xf>
    <xf numFmtId="44" fontId="2" fillId="0" borderId="0" applyFont="0" applyFill="0" applyBorder="0" applyAlignment="0" applyProtection="0"/>
    <xf numFmtId="44" fontId="2" fillId="0" borderId="0" applyFont="0" applyFill="0" applyBorder="0" applyAlignment="0" applyProtection="0"/>
    <xf numFmtId="43" fontId="4" fillId="0" borderId="0" applyFont="0" applyFill="0" applyBorder="0" applyAlignment="0" applyProtection="0"/>
    <xf numFmtId="0" fontId="2" fillId="0" borderId="0"/>
    <xf numFmtId="9" fontId="2" fillId="0" borderId="0" applyFont="0" applyFill="0" applyBorder="0" applyAlignment="0" applyProtection="0"/>
    <xf numFmtId="0" fontId="123" fillId="0" borderId="16">
      <alignment horizontal="center"/>
    </xf>
    <xf numFmtId="199" fontId="31" fillId="0" borderId="83">
      <alignment horizontal="center" vertical="center"/>
      <protection locked="0"/>
    </xf>
    <xf numFmtId="202" fontId="31" fillId="0" borderId="83">
      <alignment vertical="center"/>
      <protection locked="0"/>
    </xf>
    <xf numFmtId="43" fontId="4" fillId="0" borderId="0" applyFont="0" applyFill="0" applyBorder="0" applyAlignment="0" applyProtection="0"/>
    <xf numFmtId="43" fontId="4" fillId="0" borderId="0" applyFont="0" applyFill="0" applyBorder="0" applyAlignment="0" applyProtection="0"/>
    <xf numFmtId="0" fontId="2" fillId="0" borderId="0"/>
    <xf numFmtId="0" fontId="4" fillId="0" borderId="0"/>
    <xf numFmtId="0" fontId="31" fillId="0" borderId="83" applyAlignment="0">
      <protection locked="0"/>
    </xf>
    <xf numFmtId="0" fontId="2" fillId="0" borderId="0"/>
    <xf numFmtId="0" fontId="31" fillId="0" borderId="83" applyAlignment="0">
      <protection locked="0"/>
    </xf>
    <xf numFmtId="9" fontId="4" fillId="0" borderId="0" applyFont="0" applyFill="0" applyBorder="0" applyAlignment="0" applyProtection="0"/>
    <xf numFmtId="9" fontId="4" fillId="0" borderId="0" applyFont="0" applyFill="0" applyBorder="0" applyAlignment="0" applyProtection="0"/>
    <xf numFmtId="0" fontId="2" fillId="0" borderId="0"/>
    <xf numFmtId="0" fontId="123" fillId="0" borderId="16">
      <alignment horizontal="center"/>
    </xf>
    <xf numFmtId="0" fontId="2" fillId="0" borderId="0"/>
    <xf numFmtId="43" fontId="2" fillId="0" borderId="0" applyFont="0" applyFill="0" applyBorder="0" applyAlignment="0" applyProtection="0"/>
    <xf numFmtId="0" fontId="31" fillId="60" borderId="91" applyNumberFormat="0">
      <protection locked="0"/>
    </xf>
    <xf numFmtId="43" fontId="4" fillId="0" borderId="0" applyFont="0" applyFill="0" applyBorder="0" applyAlignment="0" applyProtection="0"/>
    <xf numFmtId="199" fontId="31" fillId="0" borderId="83">
      <alignment horizontal="center" vertical="center"/>
      <protection locked="0"/>
    </xf>
    <xf numFmtId="0" fontId="2" fillId="0" borderId="0"/>
    <xf numFmtId="0" fontId="2" fillId="0" borderId="0"/>
    <xf numFmtId="0" fontId="2" fillId="0" borderId="0"/>
    <xf numFmtId="3" fontId="15" fillId="15" borderId="65" applyAlignment="0" applyProtection="0"/>
    <xf numFmtId="201" fontId="31" fillId="0" borderId="83">
      <alignment vertical="center"/>
      <protection locked="0"/>
    </xf>
    <xf numFmtId="0" fontId="2" fillId="0" borderId="0"/>
    <xf numFmtId="0" fontId="2" fillId="0" borderId="0"/>
    <xf numFmtId="4" fontId="48" fillId="117" borderId="89" applyNumberFormat="0" applyProtection="0">
      <alignment horizontal="left" vertical="center" indent="1"/>
    </xf>
    <xf numFmtId="0" fontId="123" fillId="0" borderId="16">
      <alignment horizontal="center"/>
    </xf>
    <xf numFmtId="193" fontId="31" fillId="0" borderId="83">
      <alignment horizontal="right" vertical="center"/>
      <protection locked="0"/>
    </xf>
    <xf numFmtId="9" fontId="2" fillId="0" borderId="0" applyFont="0" applyFill="0" applyBorder="0" applyAlignment="0" applyProtection="0"/>
    <xf numFmtId="0" fontId="2" fillId="0" borderId="0"/>
    <xf numFmtId="0" fontId="31" fillId="60" borderId="91" applyNumberFormat="0">
      <protection locked="0"/>
    </xf>
    <xf numFmtId="43" fontId="2" fillId="0" borderId="0" applyFont="0" applyFill="0" applyBorder="0" applyAlignment="0" applyProtection="0"/>
    <xf numFmtId="0" fontId="2" fillId="0" borderId="0"/>
    <xf numFmtId="0" fontId="4" fillId="0" borderId="0"/>
    <xf numFmtId="201" fontId="31" fillId="0" borderId="83">
      <alignment horizontal="center" vertical="center"/>
      <protection locked="0"/>
    </xf>
    <xf numFmtId="0" fontId="123" fillId="0" borderId="16">
      <alignment horizontal="center"/>
    </xf>
    <xf numFmtId="0" fontId="123" fillId="0" borderId="16">
      <alignment horizontal="center"/>
    </xf>
    <xf numFmtId="43" fontId="4" fillId="0" borderId="0" applyFont="0" applyFill="0" applyBorder="0" applyAlignment="0" applyProtection="0"/>
    <xf numFmtId="0" fontId="4" fillId="0" borderId="0"/>
    <xf numFmtId="201" fontId="31" fillId="0" borderId="83">
      <alignment vertical="center"/>
      <protection locked="0"/>
    </xf>
    <xf numFmtId="0" fontId="123" fillId="0" borderId="16">
      <alignment horizontal="center"/>
    </xf>
    <xf numFmtId="202" fontId="31" fillId="0" borderId="83">
      <alignment horizontal="center" vertical="center"/>
      <protection locked="0"/>
    </xf>
    <xf numFmtId="0" fontId="31" fillId="60" borderId="91" applyNumberFormat="0">
      <protection locked="0"/>
    </xf>
    <xf numFmtId="43" fontId="4"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200" fontId="31" fillId="0" borderId="83">
      <alignment vertical="center"/>
      <protection locked="0"/>
    </xf>
    <xf numFmtId="9" fontId="2" fillId="0" borderId="0" applyFont="0" applyFill="0" applyBorder="0" applyAlignment="0" applyProtection="0"/>
    <xf numFmtId="0" fontId="2" fillId="0" borderId="0"/>
    <xf numFmtId="0" fontId="2" fillId="0" borderId="0"/>
    <xf numFmtId="0" fontId="2" fillId="0" borderId="0"/>
    <xf numFmtId="203" fontId="31" fillId="0" borderId="83">
      <alignment horizontal="right" vertical="center"/>
      <protection locked="0"/>
    </xf>
    <xf numFmtId="0" fontId="16" fillId="0" borderId="0"/>
    <xf numFmtId="44" fontId="4" fillId="0" borderId="0" applyFont="0" applyFill="0" applyBorder="0" applyAlignment="0" applyProtection="0"/>
    <xf numFmtId="201" fontId="31" fillId="0" borderId="83">
      <alignment horizontal="center" vertical="center"/>
      <protection locked="0"/>
    </xf>
    <xf numFmtId="43" fontId="2" fillId="0" borderId="0" applyFont="0" applyFill="0" applyBorder="0" applyAlignment="0" applyProtection="0"/>
    <xf numFmtId="0" fontId="2" fillId="0" borderId="0"/>
    <xf numFmtId="0" fontId="123" fillId="0" borderId="16">
      <alignment horizontal="center"/>
    </xf>
    <xf numFmtId="0" fontId="31" fillId="60" borderId="91" applyNumberFormat="0">
      <protection locked="0"/>
    </xf>
    <xf numFmtId="0" fontId="2" fillId="0" borderId="0"/>
    <xf numFmtId="43" fontId="2" fillId="0" borderId="0" applyFont="0" applyFill="0" applyBorder="0" applyAlignment="0" applyProtection="0"/>
    <xf numFmtId="43" fontId="4" fillId="0" borderId="0" applyFont="0" applyFill="0" applyBorder="0" applyAlignment="0" applyProtection="0"/>
    <xf numFmtId="199" fontId="31" fillId="0" borderId="83">
      <alignment horizontal="center" vertical="center"/>
      <protection locked="0"/>
    </xf>
    <xf numFmtId="43" fontId="4" fillId="0" borderId="0" applyFont="0" applyFill="0" applyBorder="0" applyAlignment="0" applyProtection="0"/>
    <xf numFmtId="200" fontId="31" fillId="0" borderId="83">
      <alignment horizontal="center" vertical="center"/>
      <protection locked="0"/>
    </xf>
    <xf numFmtId="0" fontId="123" fillId="0" borderId="16">
      <alignment horizontal="center"/>
    </xf>
    <xf numFmtId="43" fontId="4" fillId="0" borderId="0" applyFont="0" applyFill="0" applyBorder="0" applyAlignment="0" applyProtection="0"/>
    <xf numFmtId="0" fontId="31" fillId="60" borderId="91" applyNumberFormat="0">
      <protection locked="0"/>
    </xf>
    <xf numFmtId="0" fontId="4" fillId="0" borderId="0"/>
    <xf numFmtId="0" fontId="2" fillId="0" borderId="0"/>
    <xf numFmtId="0" fontId="2" fillId="0" borderId="0"/>
    <xf numFmtId="44" fontId="2" fillId="0" borderId="0" applyFont="0" applyFill="0" applyBorder="0" applyAlignment="0" applyProtection="0"/>
    <xf numFmtId="9" fontId="4" fillId="0" borderId="0" applyFont="0" applyFill="0" applyBorder="0" applyAlignment="0" applyProtection="0"/>
    <xf numFmtId="9" fontId="2" fillId="0" borderId="0" applyFont="0" applyFill="0" applyBorder="0" applyAlignment="0" applyProtection="0"/>
    <xf numFmtId="203" fontId="31" fillId="0" borderId="83">
      <alignment horizontal="right" vertical="center"/>
      <protection locked="0"/>
    </xf>
    <xf numFmtId="0" fontId="2" fillId="0" borderId="0"/>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0" fontId="123" fillId="0" borderId="16">
      <alignment horizontal="center"/>
    </xf>
    <xf numFmtId="9" fontId="4" fillId="0" borderId="0" applyFont="0" applyFill="0" applyBorder="0" applyAlignment="0" applyProtection="0"/>
    <xf numFmtId="0" fontId="2" fillId="0" borderId="0"/>
    <xf numFmtId="0" fontId="2" fillId="0" borderId="0"/>
    <xf numFmtId="43" fontId="4" fillId="0" borderId="0" applyFont="0" applyFill="0" applyBorder="0" applyAlignment="0" applyProtection="0"/>
    <xf numFmtId="193" fontId="31" fillId="0" borderId="83">
      <alignment horizontal="center" vertical="center"/>
      <protection locked="0"/>
    </xf>
    <xf numFmtId="43" fontId="4" fillId="0" borderId="0" applyFont="0" applyFill="0" applyBorder="0" applyAlignment="0" applyProtection="0"/>
    <xf numFmtId="202" fontId="31" fillId="0" borderId="83">
      <alignment horizontal="center" vertical="center"/>
      <protection locked="0"/>
    </xf>
    <xf numFmtId="4" fontId="48" fillId="117" borderId="89" applyNumberFormat="0" applyProtection="0">
      <alignment horizontal="left" vertical="center" indent="1"/>
    </xf>
    <xf numFmtId="0" fontId="2" fillId="0" borderId="0"/>
    <xf numFmtId="0" fontId="31" fillId="60" borderId="91" applyNumberFormat="0">
      <protection locked="0"/>
    </xf>
    <xf numFmtId="0" fontId="4" fillId="0" borderId="0"/>
    <xf numFmtId="44" fontId="2" fillId="0" borderId="0" applyFont="0" applyFill="0" applyBorder="0" applyAlignment="0" applyProtection="0"/>
    <xf numFmtId="44" fontId="4"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198" fontId="31" fillId="0" borderId="83">
      <alignment horizontal="center" vertical="center"/>
      <protection locked="0"/>
    </xf>
    <xf numFmtId="0" fontId="2" fillId="0" borderId="0"/>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123" fillId="0" borderId="16">
      <alignment horizontal="center"/>
    </xf>
    <xf numFmtId="0" fontId="2" fillId="0" borderId="0"/>
    <xf numFmtId="0" fontId="2" fillId="0" borderId="0"/>
    <xf numFmtId="0" fontId="2" fillId="0" borderId="0"/>
    <xf numFmtId="44" fontId="4" fillId="0" borderId="0" applyFont="0" applyFill="0" applyBorder="0" applyAlignment="0" applyProtection="0"/>
    <xf numFmtId="0" fontId="2" fillId="0" borderId="0"/>
    <xf numFmtId="44" fontId="2" fillId="0" borderId="0" applyFont="0" applyFill="0" applyBorder="0" applyAlignment="0" applyProtection="0"/>
    <xf numFmtId="0" fontId="117" fillId="0" borderId="71" applyNumberFormat="0" applyAlignment="0" applyProtection="0">
      <alignment horizontal="left" vertical="center"/>
    </xf>
    <xf numFmtId="0" fontId="2" fillId="0" borderId="0"/>
    <xf numFmtId="202" fontId="31" fillId="0" borderId="83">
      <alignment horizontal="center" vertical="center"/>
      <protection locked="0"/>
    </xf>
    <xf numFmtId="0" fontId="123" fillId="0" borderId="16">
      <alignment horizontal="center"/>
    </xf>
    <xf numFmtId="0" fontId="123" fillId="0" borderId="16">
      <alignment horizontal="center"/>
    </xf>
    <xf numFmtId="0" fontId="123" fillId="0" borderId="16">
      <alignment horizontal="center"/>
    </xf>
    <xf numFmtId="0" fontId="2" fillId="0" borderId="0"/>
    <xf numFmtId="0" fontId="2" fillId="0" borderId="0"/>
    <xf numFmtId="9" fontId="2" fillId="0" borderId="0" applyFont="0" applyFill="0" applyBorder="0" applyAlignment="0" applyProtection="0"/>
    <xf numFmtId="3" fontId="15" fillId="15" borderId="65" applyAlignment="0" applyProtection="0"/>
    <xf numFmtId="0" fontId="31" fillId="0" borderId="83" applyAlignment="0">
      <protection locked="0"/>
    </xf>
    <xf numFmtId="0" fontId="4" fillId="0" borderId="0"/>
    <xf numFmtId="0" fontId="4" fillId="0" borderId="0"/>
    <xf numFmtId="9"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123" fillId="0" borderId="16">
      <alignment horizontal="center"/>
    </xf>
    <xf numFmtId="9" fontId="4" fillId="0" borderId="0" applyFont="0" applyFill="0" applyBorder="0" applyAlignment="0" applyProtection="0"/>
    <xf numFmtId="0" fontId="123" fillId="0" borderId="16">
      <alignment horizontal="center"/>
    </xf>
    <xf numFmtId="4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9" fontId="4" fillId="0" borderId="0" applyFont="0" applyFill="0" applyBorder="0" applyAlignment="0" applyProtection="0"/>
    <xf numFmtId="0" fontId="4"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0" borderId="83" applyAlignment="0">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0" borderId="83" applyAlignmen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2" fontId="31" fillId="0" borderId="83">
      <alignment vertical="center"/>
      <protection locked="0"/>
    </xf>
    <xf numFmtId="200" fontId="31" fillId="0" borderId="83">
      <alignment vertical="center"/>
      <protection locked="0"/>
    </xf>
    <xf numFmtId="0" fontId="31" fillId="60" borderId="91" applyNumberFormat="0">
      <protection locked="0"/>
    </xf>
    <xf numFmtId="193" fontId="31" fillId="0" borderId="83">
      <alignment horizontal="center" vertical="center"/>
      <protection locked="0"/>
    </xf>
    <xf numFmtId="198"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193"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8" fontId="31" fillId="0" borderId="83">
      <alignment vertical="center"/>
      <protection locked="0"/>
    </xf>
    <xf numFmtId="0" fontId="31" fillId="0" borderId="83" applyAlignment="0">
      <protection locked="0"/>
    </xf>
    <xf numFmtId="201"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202"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193"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200" fontId="31" fillId="0" borderId="83">
      <alignment vertical="center"/>
      <protection locked="0"/>
    </xf>
    <xf numFmtId="201" fontId="31" fillId="0" borderId="83">
      <alignment vertical="center"/>
      <protection locked="0"/>
    </xf>
    <xf numFmtId="201"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202" fontId="31" fillId="0" borderId="83">
      <alignment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201" fontId="31" fillId="0" borderId="83">
      <alignmen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200" fontId="31" fillId="0" borderId="83">
      <alignment vertical="center"/>
      <protection locked="0"/>
    </xf>
    <xf numFmtId="198" fontId="31" fillId="0" borderId="83">
      <alignment horizontal="center" vertical="center"/>
      <protection locked="0"/>
    </xf>
    <xf numFmtId="201" fontId="31" fillId="0" borderId="83">
      <alignment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199" fontId="31" fillId="0" borderId="83">
      <alignment horizontal="center" vertical="center"/>
      <protection locked="0"/>
    </xf>
    <xf numFmtId="198" fontId="31" fillId="0" borderId="83">
      <alignment horizontal="center" vertical="center"/>
      <protection locked="0"/>
    </xf>
    <xf numFmtId="0" fontId="117" fillId="0" borderId="71" applyNumberFormat="0" applyAlignment="0" applyProtection="0">
      <alignment horizontal="left" vertical="center"/>
    </xf>
    <xf numFmtId="201" fontId="31" fillId="0" borderId="83">
      <alignment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202" fontId="31" fillId="0" borderId="83">
      <alignment vertical="center"/>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200" fontId="31" fillId="0" borderId="83">
      <alignment vertical="center"/>
      <protection locked="0"/>
    </xf>
    <xf numFmtId="19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198"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193" fontId="31" fillId="0" borderId="83">
      <alignment horizontal="right" vertical="center"/>
      <protection locked="0"/>
    </xf>
    <xf numFmtId="200" fontId="31" fillId="0" borderId="83">
      <alignment horizontal="center" vertical="center"/>
      <protection locked="0"/>
    </xf>
    <xf numFmtId="201"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202" fontId="31" fillId="0" borderId="83">
      <alignment vertical="center"/>
      <protection locked="0"/>
    </xf>
    <xf numFmtId="202" fontId="31" fillId="0" borderId="83">
      <alignment horizontal="center"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1" fontId="31" fillId="0" borderId="83">
      <alignmen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198"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vertical="center"/>
      <protection locked="0"/>
    </xf>
    <xf numFmtId="201" fontId="31" fillId="0" borderId="83">
      <alignment vertical="center"/>
      <protection locked="0"/>
    </xf>
    <xf numFmtId="200" fontId="31" fillId="0" borderId="83">
      <alignment vertical="center"/>
      <protection locked="0"/>
    </xf>
    <xf numFmtId="198" fontId="31" fillId="0" borderId="83">
      <alignment vertical="center"/>
      <protection locked="0"/>
    </xf>
    <xf numFmtId="0" fontId="31" fillId="0" borderId="83" applyAlignment="0">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200"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vertical="center"/>
      <protection locked="0"/>
    </xf>
    <xf numFmtId="0" fontId="31" fillId="60" borderId="91" applyNumberFormat="0">
      <protection locked="0"/>
    </xf>
    <xf numFmtId="201"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198" fontId="31" fillId="0" borderId="83">
      <alignment horizontal="center" vertical="center"/>
      <protection locked="0"/>
    </xf>
    <xf numFmtId="0" fontId="31" fillId="0" borderId="83" applyAlignment="0">
      <protection locked="0"/>
    </xf>
    <xf numFmtId="193" fontId="31" fillId="0" borderId="83">
      <alignment horizontal="center" vertical="center"/>
      <protection locked="0"/>
    </xf>
    <xf numFmtId="200"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1" fontId="31" fillId="0" borderId="83">
      <alignment vertical="center"/>
      <protection locked="0"/>
    </xf>
    <xf numFmtId="19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20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0"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198"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198" fontId="31" fillId="0" borderId="83">
      <alignment horizontal="center" vertical="center"/>
      <protection locked="0"/>
    </xf>
    <xf numFmtId="203" fontId="31" fillId="0" borderId="83">
      <alignment horizontal="righ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199"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198"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198" fontId="31" fillId="0" borderId="83">
      <alignment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198" fontId="31" fillId="0" borderId="83">
      <alignment vertical="center"/>
      <protection locked="0"/>
    </xf>
    <xf numFmtId="200" fontId="31" fillId="0" borderId="83">
      <alignment horizontal="center" vertical="center"/>
      <protection locked="0"/>
    </xf>
    <xf numFmtId="201" fontId="31" fillId="0" borderId="83">
      <alignment vertical="center"/>
      <protection locked="0"/>
    </xf>
    <xf numFmtId="201" fontId="31" fillId="0" borderId="83">
      <alignment horizontal="center" vertical="center"/>
      <protection locked="0"/>
    </xf>
    <xf numFmtId="0" fontId="31" fillId="0" borderId="83" applyAlignment="0">
      <protection locked="0"/>
    </xf>
    <xf numFmtId="198" fontId="31" fillId="0" borderId="83">
      <alignment vertical="center"/>
      <protection locked="0"/>
    </xf>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198"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193" fontId="31" fillId="0" borderId="83">
      <alignment horizontal="right" vertical="center"/>
      <protection locked="0"/>
    </xf>
    <xf numFmtId="203" fontId="31" fillId="0" borderId="83">
      <alignment horizontal="right" vertical="center"/>
      <protection locked="0"/>
    </xf>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19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200" fontId="31" fillId="0" borderId="83">
      <alignment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203" fontId="31" fillId="0" borderId="83">
      <alignment horizontal="right" vertical="center"/>
      <protection locked="0"/>
    </xf>
    <xf numFmtId="0" fontId="31" fillId="0" borderId="83" applyAlignmen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0" fontId="31" fillId="0" borderId="83">
      <alignment vertical="center"/>
      <protection locked="0"/>
    </xf>
    <xf numFmtId="201"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0" borderId="83" applyAlignment="0">
      <protection locked="0"/>
    </xf>
    <xf numFmtId="0" fontId="31" fillId="0" borderId="83" applyAlignmen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vertical="center"/>
      <protection locked="0"/>
    </xf>
    <xf numFmtId="193" fontId="31" fillId="0" borderId="83">
      <alignment horizontal="center" vertical="center"/>
      <protection locked="0"/>
    </xf>
    <xf numFmtId="0" fontId="31" fillId="0" borderId="83" applyAlignment="0">
      <protection locked="0"/>
    </xf>
    <xf numFmtId="202" fontId="31" fillId="0" borderId="83">
      <alignment vertical="center"/>
      <protection locked="0"/>
    </xf>
    <xf numFmtId="0" fontId="31" fillId="0" borderId="83" applyAlignment="0">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16" fillId="4" borderId="0"/>
    <xf numFmtId="200" fontId="31" fillId="0" borderId="83">
      <alignment vertical="center"/>
      <protection locked="0"/>
    </xf>
    <xf numFmtId="193" fontId="31" fillId="0" borderId="83">
      <alignment horizontal="right" vertical="center"/>
      <protection locked="0"/>
    </xf>
    <xf numFmtId="193"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horizontal="center" vertical="center"/>
      <protection locked="0"/>
    </xf>
    <xf numFmtId="44" fontId="2" fillId="0" borderId="0" applyFont="0" applyFill="0" applyBorder="0" applyAlignment="0" applyProtection="0"/>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193" fontId="31" fillId="0" borderId="83">
      <alignment horizontal="right" vertical="center"/>
      <protection locked="0"/>
    </xf>
    <xf numFmtId="201" fontId="31" fillId="0" borderId="83">
      <alignment vertical="center"/>
      <protection locked="0"/>
    </xf>
    <xf numFmtId="0" fontId="2" fillId="39" borderId="0" applyNumberFormat="0" applyBorder="0" applyAlignment="0" applyProtection="0"/>
    <xf numFmtId="4" fontId="48" fillId="117" borderId="89" applyNumberFormat="0" applyProtection="0">
      <alignment horizontal="left" vertical="center" indent="1"/>
    </xf>
    <xf numFmtId="0" fontId="31" fillId="60" borderId="91" applyNumberFormat="0">
      <protection locked="0"/>
    </xf>
    <xf numFmtId="202" fontId="31" fillId="0" borderId="83">
      <alignment horizontal="center" vertical="center"/>
      <protection locked="0"/>
    </xf>
    <xf numFmtId="199" fontId="31" fillId="0" borderId="83">
      <alignment horizontal="center" vertical="center"/>
      <protection locked="0"/>
    </xf>
    <xf numFmtId="202" fontId="31" fillId="0" borderId="83">
      <alignment vertical="center"/>
      <protection locked="0"/>
    </xf>
    <xf numFmtId="0" fontId="2" fillId="0" borderId="0"/>
    <xf numFmtId="201" fontId="31" fillId="0" borderId="83">
      <alignment horizontal="center" vertical="center"/>
      <protection locked="0"/>
    </xf>
    <xf numFmtId="0" fontId="31" fillId="60" borderId="91" applyNumberFormat="0">
      <protection locked="0"/>
    </xf>
    <xf numFmtId="201" fontId="31" fillId="0" borderId="83">
      <alignment vertical="center"/>
      <protection locked="0"/>
    </xf>
    <xf numFmtId="9" fontId="2" fillId="0" borderId="0" applyFont="0" applyFill="0" applyBorder="0" applyAlignment="0" applyProtection="0"/>
    <xf numFmtId="201" fontId="31" fillId="0" borderId="83">
      <alignment horizontal="center" vertical="center"/>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198" fontId="31" fillId="0" borderId="83">
      <alignment vertical="center"/>
      <protection locked="0"/>
    </xf>
    <xf numFmtId="9" fontId="2" fillId="0" borderId="0" applyFont="0" applyFill="0" applyBorder="0" applyAlignment="0" applyProtection="0"/>
    <xf numFmtId="0" fontId="2" fillId="0" borderId="0"/>
    <xf numFmtId="0" fontId="31" fillId="60" borderId="91" applyNumberFormat="0">
      <protection locked="0"/>
    </xf>
    <xf numFmtId="0" fontId="31" fillId="0" borderId="83" applyAlignment="0">
      <protection locked="0"/>
    </xf>
    <xf numFmtId="198" fontId="31" fillId="0" borderId="83">
      <alignment horizontal="center"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198"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vertical="center"/>
      <protection locked="0"/>
    </xf>
    <xf numFmtId="201" fontId="31" fillId="0" borderId="83">
      <alignment vertical="center"/>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0" fontId="117" fillId="0" borderId="71" applyNumberFormat="0" applyAlignment="0" applyProtection="0">
      <alignment horizontal="left" vertical="center"/>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0" fontId="31" fillId="0" borderId="83" applyAlignment="0">
      <protection locked="0"/>
    </xf>
    <xf numFmtId="199" fontId="31" fillId="0" borderId="83">
      <alignment horizontal="center" vertical="center"/>
      <protection locked="0"/>
    </xf>
    <xf numFmtId="0" fontId="2" fillId="0" borderId="0"/>
    <xf numFmtId="20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202"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3" fontId="31" fillId="0" borderId="83">
      <alignment horizontal="right"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198" fontId="31" fillId="0" borderId="83">
      <alignment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0" fontId="31" fillId="0" borderId="83" applyAlignment="0">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4" fontId="48" fillId="117" borderId="89" applyNumberFormat="0" applyProtection="0">
      <alignment horizontal="left" vertical="center" indent="1"/>
    </xf>
    <xf numFmtId="0" fontId="2" fillId="38" borderId="0" applyNumberFormat="0" applyBorder="0" applyAlignment="0" applyProtection="0"/>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0" fontId="31" fillId="0" borderId="83" applyAlignment="0">
      <protection locked="0"/>
    </xf>
    <xf numFmtId="0" fontId="31" fillId="60" borderId="91" applyNumberFormat="0">
      <protection locked="0"/>
    </xf>
    <xf numFmtId="3" fontId="15" fillId="15" borderId="65" applyAlignment="0" applyProtection="0"/>
    <xf numFmtId="0" fontId="31" fillId="60" borderId="91" applyNumberFormat="0">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2" fillId="0" borderId="0"/>
    <xf numFmtId="0" fontId="31" fillId="60" borderId="91" applyNumberFormat="0">
      <protection locked="0"/>
    </xf>
    <xf numFmtId="203" fontId="31" fillId="0" borderId="83">
      <alignment horizontal="right" vertical="center"/>
      <protection locked="0"/>
    </xf>
    <xf numFmtId="201" fontId="31" fillId="0" borderId="83">
      <alignment horizontal="center" vertical="center"/>
      <protection locked="0"/>
    </xf>
    <xf numFmtId="0" fontId="2" fillId="0" borderId="0"/>
    <xf numFmtId="0" fontId="31" fillId="60" borderId="91" applyNumberFormat="0">
      <protection locked="0"/>
    </xf>
    <xf numFmtId="202" fontId="31" fillId="0" borderId="83">
      <alignment horizontal="center" vertical="center"/>
      <protection locked="0"/>
    </xf>
    <xf numFmtId="200" fontId="31" fillId="0" borderId="83">
      <alignment horizontal="center" vertical="center"/>
      <protection locked="0"/>
    </xf>
    <xf numFmtId="200" fontId="31" fillId="0" borderId="83">
      <alignment vertical="center"/>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44" fontId="2" fillId="0" borderId="0" applyFont="0" applyFill="0" applyBorder="0" applyAlignment="0" applyProtection="0"/>
    <xf numFmtId="200" fontId="31" fillId="0" borderId="83">
      <alignment horizontal="center" vertical="center"/>
      <protection locked="0"/>
    </xf>
    <xf numFmtId="0" fontId="31" fillId="0" borderId="83" applyAlignment="0">
      <protection locked="0"/>
    </xf>
    <xf numFmtId="0" fontId="31" fillId="0" borderId="83" applyAlignment="0">
      <protection locked="0"/>
    </xf>
    <xf numFmtId="0" fontId="31" fillId="60" borderId="91" applyNumberFormat="0">
      <protection locked="0"/>
    </xf>
    <xf numFmtId="0" fontId="2" fillId="0" borderId="0"/>
    <xf numFmtId="4" fontId="48" fillId="117" borderId="89" applyNumberFormat="0" applyProtection="0">
      <alignment horizontal="left" vertical="center" indent="1"/>
    </xf>
    <xf numFmtId="193" fontId="31" fillId="0" borderId="83">
      <alignment horizontal="right" vertical="center"/>
      <protection locked="0"/>
    </xf>
    <xf numFmtId="202" fontId="31" fillId="0" borderId="83">
      <alignment vertical="center"/>
      <protection locked="0"/>
    </xf>
    <xf numFmtId="198"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vertical="center"/>
      <protection locked="0"/>
    </xf>
    <xf numFmtId="44" fontId="2" fillId="0" borderId="0" applyFont="0" applyFill="0" applyBorder="0" applyAlignment="0" applyProtection="0"/>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0" fontId="2" fillId="0" borderId="0"/>
    <xf numFmtId="0" fontId="2" fillId="0" borderId="0"/>
    <xf numFmtId="193" fontId="31" fillId="0" borderId="83">
      <alignment horizontal="right" vertical="center"/>
      <protection locked="0"/>
    </xf>
    <xf numFmtId="193" fontId="31" fillId="0" borderId="83">
      <alignment horizontal="right" vertical="center"/>
      <protection locked="0"/>
    </xf>
    <xf numFmtId="0" fontId="2" fillId="0" borderId="0"/>
    <xf numFmtId="0" fontId="117" fillId="0" borderId="71" applyNumberFormat="0" applyAlignment="0" applyProtection="0">
      <alignment horizontal="left" vertical="center"/>
    </xf>
    <xf numFmtId="201" fontId="31" fillId="0" borderId="83">
      <alignment vertical="center"/>
      <protection locked="0"/>
    </xf>
    <xf numFmtId="200"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193" fontId="31" fillId="0" borderId="83">
      <alignment horizontal="center" vertical="center"/>
      <protection locked="0"/>
    </xf>
    <xf numFmtId="198"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202" fontId="31" fillId="0" borderId="83">
      <alignment horizontal="center" vertical="center"/>
      <protection locked="0"/>
    </xf>
    <xf numFmtId="202" fontId="31" fillId="0" borderId="83">
      <alignment horizontal="center" vertical="center"/>
      <protection locked="0"/>
    </xf>
    <xf numFmtId="202" fontId="31" fillId="0" borderId="83">
      <alignment vertical="center"/>
      <protection locked="0"/>
    </xf>
    <xf numFmtId="200" fontId="31" fillId="0" borderId="83">
      <alignment vertical="center"/>
      <protection locked="0"/>
    </xf>
    <xf numFmtId="202" fontId="31" fillId="0" borderId="83">
      <alignment horizontal="center" vertical="center"/>
      <protection locked="0"/>
    </xf>
    <xf numFmtId="0" fontId="31" fillId="60" borderId="91" applyNumberFormat="0">
      <protection locked="0"/>
    </xf>
    <xf numFmtId="9" fontId="4" fillId="0" borderId="0" applyFont="0" applyFill="0" applyBorder="0" applyAlignment="0" applyProtection="0"/>
    <xf numFmtId="4" fontId="48" fillId="117" borderId="89" applyNumberFormat="0" applyProtection="0">
      <alignment horizontal="left" vertical="center" indent="1"/>
    </xf>
    <xf numFmtId="198" fontId="31" fillId="0" borderId="83">
      <alignment horizontal="center" vertical="center"/>
      <protection locked="0"/>
    </xf>
    <xf numFmtId="44" fontId="2" fillId="0" borderId="0" applyFont="0" applyFill="0" applyBorder="0" applyAlignment="0" applyProtection="0"/>
    <xf numFmtId="4" fontId="48" fillId="117" borderId="89" applyNumberFormat="0" applyProtection="0">
      <alignment horizontal="left" vertical="center" indent="1"/>
    </xf>
    <xf numFmtId="4" fontId="48" fillId="117" borderId="89" applyNumberFormat="0" applyProtection="0">
      <alignment horizontal="left" vertical="center" indent="1"/>
    </xf>
    <xf numFmtId="200" fontId="31" fillId="0" borderId="83">
      <alignment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203" fontId="31" fillId="0" borderId="83">
      <alignment horizontal="right" vertical="center"/>
      <protection locked="0"/>
    </xf>
    <xf numFmtId="200" fontId="31" fillId="0" borderId="83">
      <alignment vertical="center"/>
      <protection locked="0"/>
    </xf>
    <xf numFmtId="19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1"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201" fontId="31" fillId="0" borderId="83">
      <alignment horizontal="center" vertical="center"/>
      <protection locked="0"/>
    </xf>
    <xf numFmtId="198" fontId="31" fillId="0" borderId="83">
      <alignment horizontal="center" vertical="center"/>
      <protection locked="0"/>
    </xf>
    <xf numFmtId="201" fontId="31" fillId="0" borderId="83">
      <alignment vertical="center"/>
      <protection locked="0"/>
    </xf>
    <xf numFmtId="201"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vertical="center"/>
      <protection locked="0"/>
    </xf>
    <xf numFmtId="201" fontId="31" fillId="0" borderId="83">
      <alignment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0" fontId="2" fillId="34" borderId="0" applyNumberFormat="0" applyBorder="0" applyAlignment="0" applyProtection="0"/>
    <xf numFmtId="0" fontId="2" fillId="0" borderId="0"/>
    <xf numFmtId="0" fontId="31" fillId="60" borderId="91" applyNumberFormat="0">
      <protection locked="0"/>
    </xf>
    <xf numFmtId="0" fontId="2" fillId="38" borderId="0" applyNumberFormat="0" applyBorder="0" applyAlignment="0" applyProtection="0"/>
    <xf numFmtId="0" fontId="2" fillId="0" borderId="0"/>
    <xf numFmtId="0" fontId="2" fillId="0" borderId="0"/>
    <xf numFmtId="201" fontId="31" fillId="0" borderId="83">
      <alignment horizontal="center" vertical="center"/>
      <protection locked="0"/>
    </xf>
    <xf numFmtId="203" fontId="31" fillId="0" borderId="83">
      <alignment horizontal="right" vertical="center"/>
      <protection locked="0"/>
    </xf>
    <xf numFmtId="201" fontId="31" fillId="0" borderId="83">
      <alignment horizontal="center" vertical="center"/>
      <protection locked="0"/>
    </xf>
    <xf numFmtId="20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198" fontId="31" fillId="0" borderId="83">
      <alignment vertical="center"/>
      <protection locked="0"/>
    </xf>
    <xf numFmtId="44" fontId="2" fillId="0" borderId="0" applyFont="0" applyFill="0" applyBorder="0" applyAlignment="0" applyProtection="0"/>
    <xf numFmtId="202" fontId="31" fillId="0" borderId="83">
      <alignment horizontal="center" vertical="center"/>
      <protection locked="0"/>
    </xf>
    <xf numFmtId="202" fontId="31" fillId="0" borderId="83">
      <alignment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44" fontId="2" fillId="0" borderId="0" applyFont="0" applyFill="0" applyBorder="0" applyAlignment="0" applyProtection="0"/>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198" fontId="31" fillId="0" borderId="83">
      <alignment horizontal="center" vertical="center"/>
      <protection locked="0"/>
    </xf>
    <xf numFmtId="203" fontId="31" fillId="0" borderId="83">
      <alignment horizontal="right" vertical="center"/>
      <protection locked="0"/>
    </xf>
    <xf numFmtId="198" fontId="31" fillId="0" borderId="83">
      <alignment horizontal="center" vertical="center"/>
      <protection locked="0"/>
    </xf>
    <xf numFmtId="200" fontId="31" fillId="0" borderId="83">
      <alignment horizontal="center" vertical="center"/>
      <protection locked="0"/>
    </xf>
    <xf numFmtId="200" fontId="31" fillId="0" borderId="83">
      <alignment vertical="center"/>
      <protection locked="0"/>
    </xf>
    <xf numFmtId="201" fontId="31" fillId="0" borderId="83">
      <alignment vertical="center"/>
      <protection locked="0"/>
    </xf>
    <xf numFmtId="4" fontId="48" fillId="117" borderId="89" applyNumberFormat="0" applyProtection="0">
      <alignment horizontal="left" vertical="center" indent="1"/>
    </xf>
    <xf numFmtId="9" fontId="2" fillId="0" borderId="0" applyFont="0" applyFill="0" applyBorder="0" applyAlignment="0" applyProtection="0"/>
    <xf numFmtId="193" fontId="31" fillId="0" borderId="83">
      <alignment horizontal="right" vertical="center"/>
      <protection locked="0"/>
    </xf>
    <xf numFmtId="193" fontId="31" fillId="0" borderId="83">
      <alignment horizontal="right" vertical="center"/>
      <protection locked="0"/>
    </xf>
    <xf numFmtId="0" fontId="2" fillId="0" borderId="0"/>
    <xf numFmtId="202" fontId="31" fillId="0" borderId="83">
      <alignment horizontal="center" vertical="center"/>
      <protection locked="0"/>
    </xf>
    <xf numFmtId="0" fontId="31" fillId="0" borderId="83" applyAlignment="0">
      <protection locked="0"/>
    </xf>
    <xf numFmtId="0" fontId="31" fillId="60" borderId="91" applyNumberFormat="0">
      <protection locked="0"/>
    </xf>
    <xf numFmtId="203" fontId="31" fillId="0" borderId="83">
      <alignment horizontal="right" vertical="center"/>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200"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3" fontId="31" fillId="0" borderId="83">
      <alignment horizontal="right" vertical="center"/>
      <protection locked="0"/>
    </xf>
    <xf numFmtId="199"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200" fontId="31" fillId="0" borderId="83">
      <alignment vertical="center"/>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193" fontId="31" fillId="0" borderId="83">
      <alignment horizontal="center" vertical="center"/>
      <protection locked="0"/>
    </xf>
    <xf numFmtId="44" fontId="2" fillId="0" borderId="0" applyFont="0" applyFill="0" applyBorder="0" applyAlignment="0" applyProtection="0"/>
    <xf numFmtId="193" fontId="31" fillId="0" borderId="83">
      <alignment horizontal="center" vertical="center"/>
      <protection locked="0"/>
    </xf>
    <xf numFmtId="193" fontId="31" fillId="0" borderId="83">
      <alignment horizontal="center" vertical="center"/>
      <protection locked="0"/>
    </xf>
    <xf numFmtId="0" fontId="117" fillId="0" borderId="71" applyNumberFormat="0" applyAlignment="0" applyProtection="0">
      <alignment horizontal="left" vertical="center"/>
    </xf>
    <xf numFmtId="193" fontId="31" fillId="0" borderId="83">
      <alignment horizontal="right" vertical="center"/>
      <protection locked="0"/>
    </xf>
    <xf numFmtId="3" fontId="15" fillId="15" borderId="65" applyAlignment="0" applyProtection="0"/>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193" fontId="31" fillId="0" borderId="83">
      <alignment horizontal="center"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center" vertical="center"/>
      <protection locked="0"/>
    </xf>
    <xf numFmtId="0" fontId="2" fillId="0" borderId="0"/>
    <xf numFmtId="198" fontId="31" fillId="0" borderId="83">
      <alignment vertical="center"/>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3" fontId="31" fillId="0" borderId="83">
      <alignment horizontal="center" vertical="center"/>
      <protection locked="0"/>
    </xf>
    <xf numFmtId="202" fontId="31" fillId="0" borderId="83">
      <alignment horizontal="center" vertical="center"/>
      <protection locked="0"/>
    </xf>
    <xf numFmtId="180" fontId="2" fillId="0" borderId="0" applyFont="0" applyFill="0" applyBorder="0" applyAlignment="0" applyProtection="0"/>
    <xf numFmtId="0" fontId="31" fillId="60" borderId="91" applyNumberFormat="0">
      <protection locked="0"/>
    </xf>
    <xf numFmtId="0" fontId="31" fillId="60" borderId="91" applyNumberFormat="0">
      <protection locked="0"/>
    </xf>
    <xf numFmtId="201" fontId="31" fillId="0" borderId="83">
      <alignment vertical="center"/>
      <protection locked="0"/>
    </xf>
    <xf numFmtId="202"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2" fontId="31" fillId="0" borderId="83">
      <alignment horizontal="center" vertical="center"/>
      <protection locked="0"/>
    </xf>
    <xf numFmtId="202" fontId="31" fillId="0" borderId="83">
      <alignment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199" fontId="31" fillId="0" borderId="83">
      <alignment horizontal="center" vertical="center"/>
      <protection locked="0"/>
    </xf>
    <xf numFmtId="193" fontId="31" fillId="0" borderId="83">
      <alignment horizontal="center" vertical="center"/>
      <protection locked="0"/>
    </xf>
    <xf numFmtId="9" fontId="2" fillId="0" borderId="0" applyFont="0" applyFill="0" applyBorder="0" applyAlignment="0" applyProtection="0"/>
    <xf numFmtId="200" fontId="31" fillId="0" borderId="83">
      <alignment vertical="center"/>
      <protection locked="0"/>
    </xf>
    <xf numFmtId="199"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3" fontId="31" fillId="0" borderId="83">
      <alignment horizontal="right" vertical="center"/>
      <protection locked="0"/>
    </xf>
    <xf numFmtId="0" fontId="117" fillId="0" borderId="71" applyNumberFormat="0" applyAlignment="0" applyProtection="0">
      <alignment horizontal="left" vertical="center"/>
    </xf>
    <xf numFmtId="200" fontId="31" fillId="0" borderId="83">
      <alignment vertical="center"/>
      <protection locked="0"/>
    </xf>
    <xf numFmtId="0" fontId="2" fillId="35" borderId="0" applyNumberFormat="0" applyBorder="0" applyAlignment="0" applyProtection="0"/>
    <xf numFmtId="0" fontId="2" fillId="0" borderId="0"/>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vertical="center"/>
      <protection locked="0"/>
    </xf>
    <xf numFmtId="198" fontId="31" fillId="0" borderId="83">
      <alignment horizontal="center" vertical="center"/>
      <protection locked="0"/>
    </xf>
    <xf numFmtId="0" fontId="2" fillId="43" borderId="0" applyNumberFormat="0" applyBorder="0" applyAlignment="0" applyProtection="0"/>
    <xf numFmtId="4" fontId="48" fillId="117" borderId="89" applyNumberFormat="0" applyProtection="0">
      <alignment horizontal="left" vertical="center" indent="1"/>
    </xf>
    <xf numFmtId="202"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0" borderId="83" applyAlignment="0">
      <protection locked="0"/>
    </xf>
    <xf numFmtId="0" fontId="31" fillId="60" borderId="91" applyNumberFormat="0">
      <protection locked="0"/>
    </xf>
    <xf numFmtId="0" fontId="2" fillId="46" borderId="0" applyNumberFormat="0" applyBorder="0" applyAlignment="0" applyProtection="0"/>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202" fontId="31" fillId="0" borderId="83">
      <alignment horizontal="center" vertical="center"/>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201" fontId="31" fillId="0" borderId="83">
      <alignment horizontal="center" vertical="center"/>
      <protection locked="0"/>
    </xf>
    <xf numFmtId="200" fontId="31" fillId="0" borderId="83">
      <alignment vertical="center"/>
      <protection locked="0"/>
    </xf>
    <xf numFmtId="0" fontId="31" fillId="60" borderId="91" applyNumberFormat="0">
      <protection locked="0"/>
    </xf>
    <xf numFmtId="201"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0" fontId="117" fillId="0" borderId="71" applyNumberFormat="0" applyAlignment="0" applyProtection="0">
      <alignment horizontal="left" vertical="center"/>
    </xf>
    <xf numFmtId="0" fontId="31" fillId="0" borderId="83" applyAlignment="0">
      <protection locked="0"/>
    </xf>
    <xf numFmtId="201" fontId="31" fillId="0" borderId="83">
      <alignment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2" fillId="0" borderId="0"/>
    <xf numFmtId="193"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2" fillId="0" borderId="0"/>
    <xf numFmtId="198" fontId="31" fillId="0" borderId="83">
      <alignment vertical="center"/>
      <protection locked="0"/>
    </xf>
    <xf numFmtId="202" fontId="31" fillId="0" borderId="83">
      <alignment horizontal="center" vertical="center"/>
      <protection locked="0"/>
    </xf>
    <xf numFmtId="0" fontId="2" fillId="0" borderId="0"/>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193" fontId="31" fillId="0" borderId="83">
      <alignment horizontal="right" vertical="center"/>
      <protection locked="0"/>
    </xf>
    <xf numFmtId="198" fontId="31" fillId="0" borderId="83">
      <alignment vertical="center"/>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3" fontId="31" fillId="0" borderId="83">
      <alignment horizontal="center"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0" borderId="83" applyAlignment="0">
      <protection locked="0"/>
    </xf>
    <xf numFmtId="0" fontId="31" fillId="60" borderId="91" applyNumberFormat="0">
      <protection locked="0"/>
    </xf>
    <xf numFmtId="0" fontId="2" fillId="28" borderId="69" applyNumberFormat="0" applyFont="0" applyAlignment="0" applyProtection="0"/>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193" fontId="31" fillId="0" borderId="83">
      <alignment horizontal="right"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2" fillId="0" borderId="0"/>
    <xf numFmtId="4" fontId="48" fillId="117" borderId="89" applyNumberFormat="0" applyProtection="0">
      <alignment horizontal="left" vertical="center" indent="1"/>
    </xf>
    <xf numFmtId="0" fontId="31" fillId="60" borderId="91" applyNumberFormat="0">
      <protection locked="0"/>
    </xf>
    <xf numFmtId="201"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200" fontId="31" fillId="0" borderId="83">
      <alignment vertical="center"/>
      <protection locked="0"/>
    </xf>
    <xf numFmtId="44" fontId="2" fillId="0" borderId="0" applyFont="0" applyFill="0" applyBorder="0" applyAlignment="0" applyProtection="0"/>
    <xf numFmtId="43" fontId="2" fillId="0" borderId="0" applyFont="0" applyFill="0" applyBorder="0" applyAlignment="0" applyProtection="0"/>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31" fillId="0" borderId="83" applyAlignment="0">
      <protection locked="0"/>
    </xf>
    <xf numFmtId="202" fontId="31" fillId="0" borderId="83">
      <alignment horizontal="center" vertical="center"/>
      <protection locked="0"/>
    </xf>
    <xf numFmtId="0" fontId="2" fillId="0" borderId="0"/>
    <xf numFmtId="0" fontId="2" fillId="0" borderId="0"/>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4" fontId="2" fillId="0" borderId="0" applyFont="0" applyFill="0" applyBorder="0" applyAlignment="0" applyProtection="0"/>
    <xf numFmtId="198" fontId="31" fillId="0" borderId="83">
      <alignment horizontal="center"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4" fontId="48" fillId="117" borderId="89" applyNumberFormat="0" applyProtection="0">
      <alignment horizontal="left" vertical="center" indent="1"/>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2" fontId="31" fillId="0" borderId="83">
      <alignment vertical="center"/>
      <protection locked="0"/>
    </xf>
    <xf numFmtId="9" fontId="2" fillId="0" borderId="0" applyFont="0" applyFill="0" applyBorder="0" applyAlignment="0" applyProtection="0"/>
    <xf numFmtId="0" fontId="2" fillId="0" borderId="0"/>
    <xf numFmtId="202" fontId="31" fillId="0" borderId="83">
      <alignment horizontal="center" vertical="center"/>
      <protection locked="0"/>
    </xf>
    <xf numFmtId="202" fontId="31" fillId="0" borderId="83">
      <alignment vertical="center"/>
      <protection locked="0"/>
    </xf>
    <xf numFmtId="0" fontId="31" fillId="60" borderId="91" applyNumberFormat="0">
      <protection locked="0"/>
    </xf>
    <xf numFmtId="202"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2" fillId="0" borderId="0"/>
    <xf numFmtId="202"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0" fontId="2" fillId="0" borderId="0"/>
    <xf numFmtId="201"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198" fontId="31" fillId="0" borderId="83">
      <alignment vertical="center"/>
      <protection locked="0"/>
    </xf>
    <xf numFmtId="0" fontId="31" fillId="0" borderId="83" applyAlignment="0">
      <protection locked="0"/>
    </xf>
    <xf numFmtId="0" fontId="31" fillId="60" borderId="91" applyNumberFormat="0">
      <protection locked="0"/>
    </xf>
    <xf numFmtId="202" fontId="31" fillId="0" borderId="83">
      <alignment horizontal="center" vertical="center"/>
      <protection locked="0"/>
    </xf>
    <xf numFmtId="201" fontId="31" fillId="0" borderId="83">
      <alignment vertical="center"/>
      <protection locked="0"/>
    </xf>
    <xf numFmtId="0" fontId="31" fillId="60" borderId="91" applyNumberFormat="0">
      <protection locked="0"/>
    </xf>
    <xf numFmtId="0" fontId="31" fillId="0" borderId="83" applyAlignment="0">
      <protection locked="0"/>
    </xf>
    <xf numFmtId="198"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200"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0" borderId="83" applyAlignment="0">
      <protection locked="0"/>
    </xf>
    <xf numFmtId="202" fontId="31" fillId="0" borderId="83">
      <alignment horizontal="center" vertical="center"/>
      <protection locked="0"/>
    </xf>
    <xf numFmtId="0" fontId="31" fillId="0" borderId="83" applyAlignmen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2" fillId="47" borderId="0" applyNumberFormat="0" applyBorder="0" applyAlignment="0" applyProtection="0"/>
    <xf numFmtId="200" fontId="31" fillId="0" borderId="83">
      <alignment vertical="center"/>
      <protection locked="0"/>
    </xf>
    <xf numFmtId="0" fontId="2" fillId="0" borderId="0"/>
    <xf numFmtId="0" fontId="31" fillId="60" borderId="91" applyNumberFormat="0">
      <protection locked="0"/>
    </xf>
    <xf numFmtId="201" fontId="31" fillId="0" borderId="83">
      <alignment horizontal="center" vertical="center"/>
      <protection locked="0"/>
    </xf>
    <xf numFmtId="200"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199" fontId="31" fillId="0" borderId="83">
      <alignment horizontal="center" vertical="center"/>
      <protection locked="0"/>
    </xf>
    <xf numFmtId="0" fontId="4" fillId="0" borderId="0"/>
    <xf numFmtId="198" fontId="31" fillId="0" borderId="83">
      <alignment vertical="center"/>
      <protection locked="0"/>
    </xf>
    <xf numFmtId="199" fontId="31" fillId="0" borderId="83">
      <alignment horizontal="center"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31" fillId="60" borderId="91" applyNumberFormat="0">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44" fontId="2" fillId="0" borderId="0" applyFont="0" applyFill="0" applyBorder="0" applyAlignment="0" applyProtection="0"/>
    <xf numFmtId="0" fontId="31" fillId="0" borderId="83" applyAlignment="0">
      <protection locked="0"/>
    </xf>
    <xf numFmtId="200" fontId="31" fillId="0" borderId="83">
      <alignment vertical="center"/>
      <protection locked="0"/>
    </xf>
    <xf numFmtId="200" fontId="31" fillId="0" borderId="83">
      <alignment horizontal="center" vertical="center"/>
      <protection locked="0"/>
    </xf>
    <xf numFmtId="198"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201" fontId="31" fillId="0" borderId="83">
      <alignment horizontal="center" vertical="center"/>
      <protection locked="0"/>
    </xf>
    <xf numFmtId="202" fontId="31" fillId="0" borderId="83">
      <alignment horizontal="center" vertical="center"/>
      <protection locked="0"/>
    </xf>
    <xf numFmtId="201" fontId="31" fillId="0" borderId="83">
      <alignment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198" fontId="31" fillId="0" borderId="83">
      <alignment vertical="center"/>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193" fontId="31" fillId="0" borderId="83">
      <alignment horizontal="center" vertical="center"/>
      <protection locked="0"/>
    </xf>
    <xf numFmtId="9" fontId="2" fillId="0" borderId="0" applyFont="0" applyFill="0" applyBorder="0" applyAlignment="0" applyProtection="0"/>
    <xf numFmtId="200" fontId="31" fillId="0" borderId="83">
      <alignment vertical="center"/>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vertical="center"/>
      <protection locked="0"/>
    </xf>
    <xf numFmtId="0" fontId="2" fillId="34" borderId="0" applyNumberFormat="0" applyBorder="0" applyAlignment="0" applyProtection="0"/>
    <xf numFmtId="193" fontId="31" fillId="0" borderId="83">
      <alignment horizontal="center" vertical="center"/>
      <protection locked="0"/>
    </xf>
    <xf numFmtId="202" fontId="31" fillId="0" borderId="83">
      <alignment horizontal="center" vertical="center"/>
      <protection locked="0"/>
    </xf>
    <xf numFmtId="0" fontId="2" fillId="42" borderId="0" applyNumberFormat="0" applyBorder="0" applyAlignment="0" applyProtection="0"/>
    <xf numFmtId="200" fontId="31" fillId="0" borderId="83">
      <alignment horizontal="center" vertical="center"/>
      <protection locked="0"/>
    </xf>
    <xf numFmtId="0" fontId="31" fillId="60" borderId="91" applyNumberFormat="0">
      <protection locked="0"/>
    </xf>
    <xf numFmtId="44" fontId="2" fillId="0" borderId="0" applyFont="0" applyFill="0" applyBorder="0" applyAlignment="0" applyProtection="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3"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2" fillId="0" borderId="0"/>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horizontal="center" vertical="center"/>
      <protection locked="0"/>
    </xf>
    <xf numFmtId="0" fontId="31" fillId="0" borderId="83" applyAlignment="0">
      <protection locked="0"/>
    </xf>
    <xf numFmtId="0" fontId="31" fillId="60" borderId="91" applyNumberFormat="0">
      <protection locked="0"/>
    </xf>
    <xf numFmtId="0" fontId="4" fillId="0" borderId="0"/>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8" fontId="31" fillId="0" borderId="83">
      <alignment vertical="center"/>
      <protection locked="0"/>
    </xf>
    <xf numFmtId="203" fontId="31" fillId="0" borderId="83">
      <alignment horizontal="right" vertical="center"/>
      <protection locked="0"/>
    </xf>
    <xf numFmtId="201"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9" fontId="2" fillId="0" borderId="0" applyFont="0" applyFill="0" applyBorder="0" applyAlignment="0" applyProtection="0"/>
    <xf numFmtId="193" fontId="31" fillId="0" borderId="83">
      <alignment horizontal="right" vertical="center"/>
      <protection locked="0"/>
    </xf>
    <xf numFmtId="199"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193" fontId="31" fillId="0" borderId="83">
      <alignment horizontal="center" vertical="center"/>
      <protection locked="0"/>
    </xf>
    <xf numFmtId="200" fontId="31" fillId="0" borderId="83">
      <alignment horizontal="center" vertical="center"/>
      <protection locked="0"/>
    </xf>
    <xf numFmtId="202" fontId="31" fillId="0" borderId="83">
      <alignment vertical="center"/>
      <protection locked="0"/>
    </xf>
    <xf numFmtId="200" fontId="31" fillId="0" borderId="83">
      <alignment horizontal="center" vertical="center"/>
      <protection locked="0"/>
    </xf>
    <xf numFmtId="198" fontId="31" fillId="0" borderId="83">
      <alignment vertical="center"/>
      <protection locked="0"/>
    </xf>
    <xf numFmtId="202" fontId="31" fillId="0" borderId="83">
      <alignment horizontal="center" vertical="center"/>
      <protection locked="0"/>
    </xf>
    <xf numFmtId="4" fontId="48" fillId="117" borderId="89" applyNumberFormat="0" applyProtection="0">
      <alignment horizontal="left" vertical="center" indent="1"/>
    </xf>
    <xf numFmtId="0" fontId="2" fillId="0" borderId="0"/>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2"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200" fontId="31" fillId="0" borderId="83">
      <alignment horizontal="center" vertical="center"/>
      <protection locked="0"/>
    </xf>
    <xf numFmtId="0" fontId="31" fillId="0" borderId="83" applyAlignment="0">
      <protection locked="0"/>
    </xf>
    <xf numFmtId="199"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3" fontId="31" fillId="0" borderId="83">
      <alignment horizontal="righ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0" borderId="83" applyAlignment="0">
      <protection locked="0"/>
    </xf>
    <xf numFmtId="203" fontId="31" fillId="0" borderId="83">
      <alignment horizontal="right" vertical="center"/>
      <protection locked="0"/>
    </xf>
    <xf numFmtId="0" fontId="31" fillId="0" borderId="83" applyAlignment="0">
      <protection locked="0"/>
    </xf>
    <xf numFmtId="200" fontId="31" fillId="0" borderId="83">
      <alignment horizontal="center" vertical="center"/>
      <protection locked="0"/>
    </xf>
    <xf numFmtId="0" fontId="2" fillId="0" borderId="0"/>
    <xf numFmtId="0" fontId="2" fillId="0" borderId="0"/>
    <xf numFmtId="0" fontId="31" fillId="0" borderId="83" applyAlignment="0">
      <protection locked="0"/>
    </xf>
    <xf numFmtId="4" fontId="48" fillId="117" borderId="89" applyNumberFormat="0" applyProtection="0">
      <alignment horizontal="left" vertical="center" indent="1"/>
    </xf>
    <xf numFmtId="198" fontId="31" fillId="0" borderId="83">
      <alignment vertical="center"/>
      <protection locked="0"/>
    </xf>
    <xf numFmtId="0" fontId="2" fillId="0" borderId="0"/>
    <xf numFmtId="199" fontId="31" fillId="0" borderId="83">
      <alignment horizontal="center"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198" fontId="31" fillId="0" borderId="83">
      <alignment vertical="center"/>
      <protection locked="0"/>
    </xf>
    <xf numFmtId="0" fontId="2" fillId="0" borderId="0"/>
    <xf numFmtId="0" fontId="31" fillId="60" borderId="91" applyNumberFormat="0">
      <protection locked="0"/>
    </xf>
    <xf numFmtId="201" fontId="31" fillId="0" borderId="83">
      <alignment vertical="center"/>
      <protection locked="0"/>
    </xf>
    <xf numFmtId="193"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9" fontId="2" fillId="0" borderId="0" applyFont="0" applyFill="0" applyBorder="0" applyAlignment="0" applyProtection="0"/>
    <xf numFmtId="0" fontId="31" fillId="60" borderId="91" applyNumberFormat="0">
      <protection locked="0"/>
    </xf>
    <xf numFmtId="0" fontId="31" fillId="60" borderId="91" applyNumberFormat="0">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9" fontId="2" fillId="0" borderId="0" applyFont="0" applyFill="0" applyBorder="0" applyAlignment="0" applyProtection="0"/>
    <xf numFmtId="201" fontId="31" fillId="0" borderId="83">
      <alignment horizontal="center" vertical="center"/>
      <protection locked="0"/>
    </xf>
    <xf numFmtId="9" fontId="2" fillId="0" borderId="0" applyFont="0" applyFill="0" applyBorder="0" applyAlignment="0" applyProtection="0"/>
    <xf numFmtId="4" fontId="48" fillId="117" borderId="89" applyNumberFormat="0" applyProtection="0">
      <alignment horizontal="left" vertical="center" indent="1"/>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vertical="center"/>
      <protection locked="0"/>
    </xf>
    <xf numFmtId="200" fontId="31" fillId="0" borderId="83">
      <alignment vertical="center"/>
      <protection locked="0"/>
    </xf>
    <xf numFmtId="198" fontId="31" fillId="0" borderId="83">
      <alignment vertical="center"/>
      <protection locked="0"/>
    </xf>
    <xf numFmtId="0" fontId="31" fillId="60" borderId="91" applyNumberFormat="0">
      <protection locked="0"/>
    </xf>
    <xf numFmtId="0" fontId="2" fillId="0" borderId="0"/>
    <xf numFmtId="193" fontId="31" fillId="0" borderId="83">
      <alignment horizontal="righ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199" fontId="31" fillId="0" borderId="83">
      <alignment horizontal="center" vertical="center"/>
      <protection locked="0"/>
    </xf>
    <xf numFmtId="9" fontId="2" fillId="0" borderId="0" applyFont="0" applyFill="0" applyBorder="0" applyAlignment="0" applyProtection="0"/>
    <xf numFmtId="201" fontId="31" fillId="0" borderId="83">
      <alignment vertical="center"/>
      <protection locked="0"/>
    </xf>
    <xf numFmtId="198" fontId="31" fillId="0" borderId="83">
      <alignment horizontal="center" vertical="center"/>
      <protection locked="0"/>
    </xf>
    <xf numFmtId="0" fontId="31" fillId="0" borderId="83" applyAlignment="0">
      <protection locked="0"/>
    </xf>
    <xf numFmtId="9" fontId="2" fillId="0" borderId="0" applyFont="0" applyFill="0" applyBorder="0" applyAlignment="0" applyProtection="0"/>
    <xf numFmtId="0" fontId="31" fillId="60" borderId="91" applyNumberFormat="0">
      <protection locked="0"/>
    </xf>
    <xf numFmtId="0" fontId="2" fillId="0" borderId="0"/>
    <xf numFmtId="200" fontId="31" fillId="0" borderId="83">
      <alignment vertical="center"/>
      <protection locked="0"/>
    </xf>
    <xf numFmtId="202" fontId="31" fillId="0" borderId="83">
      <alignment vertical="center"/>
      <protection locked="0"/>
    </xf>
    <xf numFmtId="199"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200" fontId="31" fillId="0" borderId="83">
      <alignment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9" fontId="4" fillId="0" borderId="0" applyFont="0" applyFill="0" applyBorder="0" applyAlignment="0" applyProtection="0"/>
    <xf numFmtId="200" fontId="31" fillId="0" borderId="83">
      <alignment horizontal="center" vertical="center"/>
      <protection locked="0"/>
    </xf>
    <xf numFmtId="9" fontId="2" fillId="0" borderId="0" applyFont="0" applyFill="0" applyBorder="0" applyAlignment="0" applyProtection="0"/>
    <xf numFmtId="193" fontId="31" fillId="0" borderId="83">
      <alignment horizontal="right" vertical="center"/>
      <protection locked="0"/>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8" fontId="31" fillId="0" borderId="83">
      <alignment horizontal="center" vertical="center"/>
      <protection locked="0"/>
    </xf>
    <xf numFmtId="0" fontId="2" fillId="50" borderId="0" applyNumberFormat="0" applyBorder="0" applyAlignment="0" applyProtection="0"/>
    <xf numFmtId="203" fontId="31" fillId="0" borderId="83">
      <alignment horizontal="right" vertical="center"/>
      <protection locked="0"/>
    </xf>
    <xf numFmtId="193" fontId="31" fillId="0" borderId="83">
      <alignment horizontal="right" vertical="center"/>
      <protection locked="0"/>
    </xf>
    <xf numFmtId="0" fontId="2" fillId="31" borderId="0" applyNumberFormat="0" applyBorder="0" applyAlignment="0" applyProtection="0"/>
    <xf numFmtId="9" fontId="2" fillId="0" borderId="0" applyFont="0" applyFill="0" applyBorder="0" applyAlignment="0" applyProtection="0"/>
    <xf numFmtId="200" fontId="31" fillId="0" borderId="83">
      <alignment vertical="center"/>
      <protection locked="0"/>
    </xf>
    <xf numFmtId="0" fontId="2" fillId="0" borderId="0"/>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2" fillId="0" borderId="0"/>
    <xf numFmtId="201" fontId="31" fillId="0" borderId="83">
      <alignment horizontal="center" vertical="center"/>
      <protection locked="0"/>
    </xf>
    <xf numFmtId="201" fontId="31" fillId="0" borderId="83">
      <alignment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180" fontId="2" fillId="0" borderId="0" applyFont="0" applyFill="0" applyBorder="0" applyAlignment="0" applyProtection="0"/>
    <xf numFmtId="0" fontId="2" fillId="0" borderId="0"/>
    <xf numFmtId="43" fontId="4" fillId="0" borderId="0" applyFont="0" applyFill="0" applyBorder="0" applyAlignment="0" applyProtection="0"/>
    <xf numFmtId="193"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vertical="center"/>
      <protection locked="0"/>
    </xf>
    <xf numFmtId="9" fontId="2" fillId="0" borderId="0" applyFont="0" applyFill="0" applyBorder="0" applyAlignment="0" applyProtection="0"/>
    <xf numFmtId="0" fontId="31" fillId="60" borderId="91" applyNumberFormat="0">
      <protection locked="0"/>
    </xf>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2" fillId="0" borderId="0"/>
    <xf numFmtId="198" fontId="31" fillId="0" borderId="83">
      <alignment horizontal="center" vertical="center"/>
      <protection locked="0"/>
    </xf>
    <xf numFmtId="202" fontId="31" fillId="0" borderId="83">
      <alignment horizontal="center" vertical="center"/>
      <protection locked="0"/>
    </xf>
    <xf numFmtId="4" fontId="48" fillId="117" borderId="89" applyNumberFormat="0" applyProtection="0">
      <alignment horizontal="left" vertical="center" indent="1"/>
    </xf>
    <xf numFmtId="0" fontId="2" fillId="0" borderId="0"/>
    <xf numFmtId="203" fontId="31" fillId="0" borderId="83">
      <alignment horizontal="right" vertical="center"/>
      <protection locked="0"/>
    </xf>
    <xf numFmtId="0" fontId="31" fillId="60" borderId="91" applyNumberFormat="0">
      <protection locked="0"/>
    </xf>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202"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202"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202" fontId="31" fillId="0" borderId="83">
      <alignment vertical="center"/>
      <protection locked="0"/>
    </xf>
    <xf numFmtId="0" fontId="31" fillId="60" borderId="91" applyNumberFormat="0">
      <protection locked="0"/>
    </xf>
    <xf numFmtId="0" fontId="2" fillId="0" borderId="0"/>
    <xf numFmtId="193" fontId="31" fillId="0" borderId="83">
      <alignment horizontal="center" vertical="center"/>
      <protection locked="0"/>
    </xf>
    <xf numFmtId="0" fontId="2" fillId="0" borderId="0"/>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right"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202" fontId="31" fillId="0" borderId="83">
      <alignment vertical="center"/>
      <protection locked="0"/>
    </xf>
    <xf numFmtId="200" fontId="31" fillId="0" borderId="83">
      <alignment vertical="center"/>
      <protection locked="0"/>
    </xf>
    <xf numFmtId="200"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193"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44" fontId="2" fillId="0" borderId="0" applyFont="0" applyFill="0" applyBorder="0" applyAlignment="0" applyProtection="0"/>
    <xf numFmtId="202" fontId="31" fillId="0" borderId="83">
      <alignment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9"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2" fillId="30" borderId="0" applyNumberFormat="0" applyBorder="0" applyAlignment="0" applyProtection="0"/>
    <xf numFmtId="0" fontId="31" fillId="60" borderId="91" applyNumberFormat="0">
      <protection locked="0"/>
    </xf>
    <xf numFmtId="198"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202" fontId="31" fillId="0" borderId="83">
      <alignment horizontal="center" vertical="center"/>
      <protection locked="0"/>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202"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0" borderId="83" applyAlignment="0">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9" fontId="2" fillId="0" borderId="0" applyFont="0" applyFill="0" applyBorder="0" applyAlignment="0" applyProtection="0"/>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8"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0" fontId="31" fillId="0" borderId="83">
      <alignment horizontal="center" vertical="center"/>
      <protection locked="0"/>
    </xf>
    <xf numFmtId="193" fontId="31" fillId="0" borderId="83">
      <alignment horizontal="right" vertical="center"/>
      <protection locked="0"/>
    </xf>
    <xf numFmtId="0" fontId="31" fillId="0" borderId="83" applyAlignmen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201" fontId="31" fillId="0" borderId="83">
      <alignment vertical="center"/>
      <protection locked="0"/>
    </xf>
    <xf numFmtId="0" fontId="31" fillId="0" borderId="83" applyAlignment="0">
      <protection locked="0"/>
    </xf>
    <xf numFmtId="199" fontId="31" fillId="0" borderId="83">
      <alignment horizontal="center" vertical="center"/>
      <protection locked="0"/>
    </xf>
    <xf numFmtId="199"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vertical="center"/>
      <protection locked="0"/>
    </xf>
    <xf numFmtId="202" fontId="31" fillId="0" borderId="83">
      <alignment vertical="center"/>
      <protection locked="0"/>
    </xf>
    <xf numFmtId="0" fontId="31" fillId="60" borderId="91" applyNumberFormat="0">
      <protection locked="0"/>
    </xf>
    <xf numFmtId="202" fontId="31" fillId="0" borderId="83">
      <alignment horizontal="center" vertical="center"/>
      <protection locked="0"/>
    </xf>
    <xf numFmtId="43" fontId="2" fillId="0" borderId="0" applyFont="0" applyFill="0" applyBorder="0" applyAlignment="0" applyProtection="0"/>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31" fillId="0" borderId="83" applyAlignment="0">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198" fontId="31" fillId="0" borderId="83">
      <alignment horizontal="center" vertical="center"/>
      <protection locked="0"/>
    </xf>
    <xf numFmtId="0" fontId="2" fillId="0" borderId="0"/>
    <xf numFmtId="200" fontId="31" fillId="0" borderId="83">
      <alignment vertical="center"/>
      <protection locked="0"/>
    </xf>
    <xf numFmtId="19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0" fontId="31" fillId="0" borderId="83" applyAlignment="0">
      <protection locked="0"/>
    </xf>
    <xf numFmtId="0" fontId="2" fillId="0" borderId="0"/>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2" fillId="0" borderId="0"/>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horizontal="center" vertical="center"/>
      <protection locked="0"/>
    </xf>
    <xf numFmtId="193" fontId="31" fillId="0" borderId="83">
      <alignment horizontal="right" vertical="center"/>
      <protection locked="0"/>
    </xf>
    <xf numFmtId="200" fontId="31" fillId="0" borderId="83">
      <alignment vertical="center"/>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0" borderId="83" applyAlignment="0">
      <protection locked="0"/>
    </xf>
    <xf numFmtId="201"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3" fontId="31" fillId="0" borderId="83">
      <alignment horizontal="center" vertical="center"/>
      <protection locked="0"/>
    </xf>
    <xf numFmtId="198"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200" fontId="31" fillId="0" borderId="83">
      <alignment horizontal="center" vertical="center"/>
      <protection locked="0"/>
    </xf>
    <xf numFmtId="44" fontId="2" fillId="0" borderId="0" applyFont="0" applyFill="0" applyBorder="0" applyAlignment="0" applyProtection="0"/>
    <xf numFmtId="43" fontId="4" fillId="0" borderId="0" applyFont="0" applyFill="0" applyBorder="0" applyAlignment="0" applyProtection="0"/>
    <xf numFmtId="202" fontId="31" fillId="0" borderId="83">
      <alignment vertical="center"/>
      <protection locked="0"/>
    </xf>
    <xf numFmtId="198" fontId="31" fillId="0" borderId="83">
      <alignment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43" fontId="2" fillId="0" borderId="0" applyFont="0" applyFill="0" applyBorder="0" applyAlignment="0" applyProtection="0"/>
    <xf numFmtId="0" fontId="31" fillId="60" borderId="91" applyNumberFormat="0">
      <protection locked="0"/>
    </xf>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201" fontId="31" fillId="0" borderId="83">
      <alignment vertical="center"/>
      <protection locked="0"/>
    </xf>
    <xf numFmtId="0" fontId="117" fillId="0" borderId="71" applyNumberFormat="0" applyAlignment="0" applyProtection="0">
      <alignment horizontal="left" vertical="center"/>
    </xf>
    <xf numFmtId="199"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201" fontId="31" fillId="0" borderId="83">
      <alignment vertical="center"/>
      <protection locked="0"/>
    </xf>
    <xf numFmtId="200" fontId="31" fillId="0" borderId="83">
      <alignment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0" fontId="2" fillId="0" borderId="0"/>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201" fontId="31" fillId="0" borderId="83">
      <alignment vertical="center"/>
      <protection locked="0"/>
    </xf>
    <xf numFmtId="19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2" fillId="0" borderId="0"/>
    <xf numFmtId="44" fontId="2" fillId="0" borderId="0" applyFont="0" applyFill="0" applyBorder="0" applyAlignment="0" applyProtection="0"/>
    <xf numFmtId="0" fontId="2" fillId="50" borderId="0" applyNumberFormat="0" applyBorder="0" applyAlignment="0" applyProtection="0"/>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0" fontId="2" fillId="0" borderId="0"/>
    <xf numFmtId="202" fontId="31" fillId="0" borderId="83">
      <alignment vertical="center"/>
      <protection locked="0"/>
    </xf>
    <xf numFmtId="0" fontId="31" fillId="60" borderId="91" applyNumberFormat="0">
      <protection locked="0"/>
    </xf>
    <xf numFmtId="202"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0" borderId="83" applyAlignmen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1" fontId="31" fillId="0" borderId="83">
      <alignment vertical="center"/>
      <protection locked="0"/>
    </xf>
    <xf numFmtId="193" fontId="31" fillId="0" borderId="83">
      <alignment horizontal="right" vertical="center"/>
      <protection locked="0"/>
    </xf>
    <xf numFmtId="200" fontId="31" fillId="0" borderId="83">
      <alignment horizontal="center" vertical="center"/>
      <protection locked="0"/>
    </xf>
    <xf numFmtId="198" fontId="31" fillId="0" borderId="83">
      <alignment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43" fontId="2" fillId="0" borderId="0" applyFont="0" applyFill="0" applyBorder="0" applyAlignment="0" applyProtection="0"/>
    <xf numFmtId="200" fontId="31" fillId="0" borderId="83">
      <alignment vertical="center"/>
      <protection locked="0"/>
    </xf>
    <xf numFmtId="193" fontId="31" fillId="0" borderId="83">
      <alignment horizontal="right" vertical="center"/>
      <protection locked="0"/>
    </xf>
    <xf numFmtId="200"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198"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2" fillId="0" borderId="0"/>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2" fontId="31" fillId="0" borderId="83">
      <alignment vertical="center"/>
      <protection locked="0"/>
    </xf>
    <xf numFmtId="193" fontId="31" fillId="0" borderId="83">
      <alignment horizontal="right" vertical="center"/>
      <protection locked="0"/>
    </xf>
    <xf numFmtId="200" fontId="31" fillId="0" borderId="83">
      <alignment vertical="center"/>
      <protection locked="0"/>
    </xf>
    <xf numFmtId="202" fontId="31" fillId="0" borderId="83">
      <alignmen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2" fontId="31" fillId="0" borderId="83">
      <alignment vertical="center"/>
      <protection locked="0"/>
    </xf>
    <xf numFmtId="199"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2" fillId="0" borderId="0"/>
    <xf numFmtId="202" fontId="31" fillId="0" borderId="83">
      <alignment vertical="center"/>
      <protection locked="0"/>
    </xf>
    <xf numFmtId="0" fontId="2" fillId="0" borderId="0"/>
    <xf numFmtId="0" fontId="31" fillId="60" borderId="91" applyNumberFormat="0">
      <protection locked="0"/>
    </xf>
    <xf numFmtId="0" fontId="31" fillId="60" borderId="91" applyNumberFormat="0">
      <protection locked="0"/>
    </xf>
    <xf numFmtId="200" fontId="31" fillId="0" borderId="83">
      <alignment vertical="center"/>
      <protection locked="0"/>
    </xf>
    <xf numFmtId="201" fontId="31" fillId="0" borderId="83">
      <alignment horizontal="center" vertical="center"/>
      <protection locked="0"/>
    </xf>
    <xf numFmtId="201"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0" borderId="83" applyAlignment="0">
      <protection locked="0"/>
    </xf>
    <xf numFmtId="4" fontId="48" fillId="117" borderId="89" applyNumberFormat="0" applyProtection="0">
      <alignment horizontal="left" vertical="center" indent="1"/>
    </xf>
    <xf numFmtId="198" fontId="31" fillId="0" borderId="83">
      <alignment vertical="center"/>
      <protection locked="0"/>
    </xf>
    <xf numFmtId="44" fontId="2" fillId="0" borderId="0" applyFont="0" applyFill="0" applyBorder="0" applyAlignment="0" applyProtection="0"/>
    <xf numFmtId="200" fontId="31" fillId="0" borderId="83">
      <alignment horizontal="center" vertical="center"/>
      <protection locked="0"/>
    </xf>
    <xf numFmtId="193" fontId="31" fillId="0" borderId="83">
      <alignment horizontal="center" vertical="center"/>
      <protection locked="0"/>
    </xf>
    <xf numFmtId="203" fontId="31" fillId="0" borderId="83">
      <alignment horizontal="right" vertical="center"/>
      <protection locked="0"/>
    </xf>
    <xf numFmtId="200" fontId="31" fillId="0" borderId="83">
      <alignment horizontal="center" vertical="center"/>
      <protection locked="0"/>
    </xf>
    <xf numFmtId="193" fontId="31" fillId="0" borderId="83">
      <alignment horizontal="right" vertical="center"/>
      <protection locked="0"/>
    </xf>
    <xf numFmtId="202"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0" borderId="83" applyAlignment="0">
      <protection locked="0"/>
    </xf>
    <xf numFmtId="0" fontId="31" fillId="60" borderId="91" applyNumberFormat="0">
      <protection locked="0"/>
    </xf>
    <xf numFmtId="202" fontId="31" fillId="0" borderId="83">
      <alignment horizontal="center" vertical="center"/>
      <protection locked="0"/>
    </xf>
    <xf numFmtId="0" fontId="31" fillId="0" borderId="83" applyAlignment="0">
      <protection locked="0"/>
    </xf>
    <xf numFmtId="0" fontId="31" fillId="0" borderId="83" applyAlignment="0">
      <protection locked="0"/>
    </xf>
    <xf numFmtId="0" fontId="31" fillId="0" borderId="83" applyAlignment="0">
      <protection locked="0"/>
    </xf>
    <xf numFmtId="202" fontId="31" fillId="0" borderId="83">
      <alignment horizontal="center" vertical="center"/>
      <protection locked="0"/>
    </xf>
    <xf numFmtId="200" fontId="31" fillId="0" borderId="83">
      <alignment horizontal="center" vertical="center"/>
      <protection locked="0"/>
    </xf>
    <xf numFmtId="198" fontId="31" fillId="0" borderId="83">
      <alignment horizontal="center" vertical="center"/>
      <protection locked="0"/>
    </xf>
    <xf numFmtId="0" fontId="2" fillId="0" borderId="0"/>
    <xf numFmtId="4" fontId="48" fillId="117" borderId="89" applyNumberFormat="0" applyProtection="0">
      <alignment horizontal="left" vertical="center" indent="1"/>
    </xf>
    <xf numFmtId="0" fontId="31" fillId="60" borderId="91" applyNumberFormat="0">
      <protection locked="0"/>
    </xf>
    <xf numFmtId="0" fontId="31" fillId="0" borderId="83" applyAlignmen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2" fillId="0" borderId="0"/>
    <xf numFmtId="0" fontId="31" fillId="60" borderId="91" applyNumberFormat="0">
      <protection locked="0"/>
    </xf>
    <xf numFmtId="200" fontId="31" fillId="0" borderId="83">
      <alignment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center" vertical="center"/>
      <protection locked="0"/>
    </xf>
    <xf numFmtId="0" fontId="2" fillId="0" borderId="0"/>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2" fontId="31" fillId="0" borderId="83">
      <alignment vertical="center"/>
      <protection locked="0"/>
    </xf>
    <xf numFmtId="0" fontId="2" fillId="0" borderId="0"/>
    <xf numFmtId="202" fontId="31" fillId="0" borderId="83">
      <alignment vertical="center"/>
      <protection locked="0"/>
    </xf>
    <xf numFmtId="193" fontId="31" fillId="0" borderId="83">
      <alignment horizontal="center" vertical="center"/>
      <protection locked="0"/>
    </xf>
    <xf numFmtId="0" fontId="2" fillId="0" borderId="0"/>
    <xf numFmtId="201" fontId="31" fillId="0" borderId="83">
      <alignment horizontal="center" vertical="center"/>
      <protection locked="0"/>
    </xf>
    <xf numFmtId="0" fontId="2" fillId="47" borderId="0" applyNumberFormat="0" applyBorder="0" applyAlignment="0" applyProtection="0"/>
    <xf numFmtId="43" fontId="2" fillId="0" borderId="0" applyFont="0" applyFill="0" applyBorder="0" applyAlignment="0" applyProtection="0"/>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198" fontId="31" fillId="0" borderId="83">
      <alignment vertical="center"/>
      <protection locked="0"/>
    </xf>
    <xf numFmtId="201"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1" fontId="31" fillId="0" borderId="83">
      <alignment vertical="center"/>
      <protection locked="0"/>
    </xf>
    <xf numFmtId="199"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9" fontId="2" fillId="0" borderId="0" applyFont="0" applyFill="0" applyBorder="0" applyAlignment="0" applyProtection="0"/>
    <xf numFmtId="202" fontId="31" fillId="0" borderId="83">
      <alignment vertical="center"/>
      <protection locked="0"/>
    </xf>
    <xf numFmtId="0" fontId="31" fillId="60" borderId="91" applyNumberFormat="0">
      <protection locked="0"/>
    </xf>
    <xf numFmtId="193" fontId="31" fillId="0" borderId="83">
      <alignment horizontal="right" vertical="center"/>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202" fontId="31" fillId="0" borderId="83">
      <alignment horizontal="center" vertical="center"/>
      <protection locked="0"/>
    </xf>
    <xf numFmtId="44" fontId="2" fillId="0" borderId="0" applyFont="0" applyFill="0" applyBorder="0" applyAlignment="0" applyProtection="0"/>
    <xf numFmtId="201" fontId="31" fillId="0" borderId="83">
      <alignment vertical="center"/>
      <protection locked="0"/>
    </xf>
    <xf numFmtId="200"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0" borderId="83" applyAlignment="0">
      <protection locked="0"/>
    </xf>
    <xf numFmtId="202" fontId="31" fillId="0" borderId="83">
      <alignment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horizontal="center" vertical="center"/>
      <protection locked="0"/>
    </xf>
    <xf numFmtId="201"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2" fillId="51" borderId="0" applyNumberFormat="0" applyBorder="0" applyAlignment="0" applyProtection="0"/>
    <xf numFmtId="202" fontId="31" fillId="0" borderId="83">
      <alignment vertical="center"/>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9" fontId="31" fillId="0" borderId="83">
      <alignment horizontal="center" vertical="center"/>
      <protection locked="0"/>
    </xf>
    <xf numFmtId="200" fontId="31" fillId="0" borderId="83">
      <alignment vertical="center"/>
      <protection locked="0"/>
    </xf>
    <xf numFmtId="200" fontId="31" fillId="0" borderId="83">
      <alignment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202" fontId="31" fillId="0" borderId="83">
      <alignment vertical="center"/>
      <protection locked="0"/>
    </xf>
    <xf numFmtId="0" fontId="31" fillId="60" borderId="91" applyNumberFormat="0">
      <protection locked="0"/>
    </xf>
    <xf numFmtId="201"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0" fontId="2" fillId="0" borderId="0"/>
    <xf numFmtId="4" fontId="48" fillId="117" borderId="89" applyNumberFormat="0" applyProtection="0">
      <alignment horizontal="left" vertical="center" indent="1"/>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0" fontId="31" fillId="0" borderId="83">
      <alignment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202" fontId="31" fillId="0" borderId="83">
      <alignment horizontal="center" vertical="center"/>
      <protection locked="0"/>
    </xf>
    <xf numFmtId="199" fontId="31" fillId="0" borderId="83">
      <alignment horizontal="center" vertical="center"/>
      <protection locked="0"/>
    </xf>
    <xf numFmtId="203" fontId="31" fillId="0" borderId="83">
      <alignment horizontal="right" vertical="center"/>
      <protection locked="0"/>
    </xf>
    <xf numFmtId="202" fontId="31" fillId="0" borderId="83">
      <alignment vertical="center"/>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2" fillId="31" borderId="0" applyNumberFormat="0" applyBorder="0" applyAlignment="0" applyProtection="0"/>
    <xf numFmtId="4" fontId="48" fillId="117" borderId="89" applyNumberFormat="0" applyProtection="0">
      <alignment horizontal="left" vertical="center" indent="1"/>
    </xf>
    <xf numFmtId="0" fontId="31" fillId="60" borderId="91" applyNumberFormat="0">
      <protection locked="0"/>
    </xf>
    <xf numFmtId="0" fontId="2" fillId="51" borderId="0" applyNumberFormat="0" applyBorder="0" applyAlignment="0" applyProtection="0"/>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2" fillId="0" borderId="0"/>
    <xf numFmtId="200"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2" fillId="0" borderId="0"/>
    <xf numFmtId="0" fontId="31" fillId="60" borderId="91" applyNumberFormat="0">
      <protection locked="0"/>
    </xf>
    <xf numFmtId="193" fontId="31" fillId="0" borderId="83">
      <alignment horizontal="right" vertical="center"/>
      <protection locked="0"/>
    </xf>
    <xf numFmtId="0" fontId="2" fillId="0" borderId="0"/>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1" fontId="31" fillId="0" borderId="83">
      <alignment vertical="center"/>
      <protection locked="0"/>
    </xf>
    <xf numFmtId="200" fontId="31" fillId="0" borderId="83">
      <alignment horizontal="center" vertical="center"/>
      <protection locked="0"/>
    </xf>
    <xf numFmtId="193" fontId="31" fillId="0" borderId="83">
      <alignment horizontal="right" vertical="center"/>
      <protection locked="0"/>
    </xf>
    <xf numFmtId="193" fontId="31" fillId="0" borderId="83">
      <alignment horizontal="center" vertical="center"/>
      <protection locked="0"/>
    </xf>
    <xf numFmtId="200" fontId="31" fillId="0" borderId="83">
      <alignmen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198" fontId="31" fillId="0" borderId="83">
      <alignment vertical="center"/>
      <protection locked="0"/>
    </xf>
    <xf numFmtId="9" fontId="2" fillId="0" borderId="0" applyFont="0" applyFill="0" applyBorder="0" applyAlignment="0" applyProtection="0"/>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0" borderId="83" applyAlignment="0">
      <protection locked="0"/>
    </xf>
    <xf numFmtId="0" fontId="31" fillId="0" borderId="83" applyAlignment="0">
      <protection locked="0"/>
    </xf>
    <xf numFmtId="0" fontId="31" fillId="0" borderId="83" applyAlignment="0">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193" fontId="31" fillId="0" borderId="83">
      <alignment horizontal="right" vertical="center"/>
      <protection locked="0"/>
    </xf>
    <xf numFmtId="43" fontId="2" fillId="0" borderId="0" applyFont="0" applyFill="0" applyBorder="0" applyAlignment="0" applyProtection="0"/>
    <xf numFmtId="193" fontId="31" fillId="0" borderId="83">
      <alignment horizontal="right" vertical="center"/>
      <protection locked="0"/>
    </xf>
    <xf numFmtId="0" fontId="2" fillId="0" borderId="0"/>
    <xf numFmtId="203" fontId="31" fillId="0" borderId="83">
      <alignment horizontal="right" vertical="center"/>
      <protection locked="0"/>
    </xf>
    <xf numFmtId="201" fontId="31" fillId="0" borderId="83">
      <alignmen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202" fontId="31" fillId="0" borderId="83">
      <alignment horizontal="center" vertical="center"/>
      <protection locked="0"/>
    </xf>
    <xf numFmtId="172" fontId="2" fillId="0" borderId="0" applyFont="0" applyFill="0" applyBorder="0" applyAlignment="0" applyProtection="0"/>
    <xf numFmtId="0" fontId="2" fillId="0" borderId="0"/>
    <xf numFmtId="0" fontId="31" fillId="60" borderId="91" applyNumberFormat="0">
      <protection locked="0"/>
    </xf>
    <xf numFmtId="198" fontId="31" fillId="0" borderId="83">
      <alignment vertical="center"/>
      <protection locked="0"/>
    </xf>
    <xf numFmtId="0" fontId="31" fillId="60" borderId="91" applyNumberFormat="0">
      <protection locked="0"/>
    </xf>
    <xf numFmtId="202"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center" vertical="center"/>
      <protection locked="0"/>
    </xf>
    <xf numFmtId="3" fontId="15" fillId="15" borderId="65" applyAlignment="0" applyProtection="0"/>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201" fontId="31" fillId="0" borderId="83">
      <alignment horizontal="center" vertical="center"/>
      <protection locked="0"/>
    </xf>
    <xf numFmtId="201" fontId="31" fillId="0" borderId="83">
      <alignment vertical="center"/>
      <protection locked="0"/>
    </xf>
    <xf numFmtId="201" fontId="31" fillId="0" borderId="83">
      <alignment vertical="center"/>
      <protection locked="0"/>
    </xf>
    <xf numFmtId="199" fontId="31" fillId="0" borderId="83">
      <alignment horizontal="center" vertical="center"/>
      <protection locked="0"/>
    </xf>
    <xf numFmtId="198" fontId="31" fillId="0" borderId="83">
      <alignment vertical="center"/>
      <protection locked="0"/>
    </xf>
    <xf numFmtId="201" fontId="31" fillId="0" borderId="83">
      <alignment horizontal="center" vertical="center"/>
      <protection locked="0"/>
    </xf>
    <xf numFmtId="201"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2" fillId="0" borderId="0"/>
    <xf numFmtId="202" fontId="31" fillId="0" borderId="83">
      <alignment vertical="center"/>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201" fontId="31" fillId="0" borderId="83">
      <alignment vertical="center"/>
      <protection locked="0"/>
    </xf>
    <xf numFmtId="0" fontId="2" fillId="28" borderId="69" applyNumberFormat="0" applyFont="0" applyAlignment="0" applyProtection="0"/>
    <xf numFmtId="198" fontId="31" fillId="0" borderId="83">
      <alignment horizontal="center" vertical="center"/>
      <protection locked="0"/>
    </xf>
    <xf numFmtId="198" fontId="31" fillId="0" borderId="83">
      <alignment vertical="center"/>
      <protection locked="0"/>
    </xf>
    <xf numFmtId="198" fontId="31" fillId="0" borderId="83">
      <alignment horizontal="center" vertical="center"/>
      <protection locked="0"/>
    </xf>
    <xf numFmtId="193"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0" fontId="117" fillId="0" borderId="71" applyNumberFormat="0" applyAlignment="0" applyProtection="0">
      <alignment horizontal="left" vertical="center"/>
    </xf>
    <xf numFmtId="202" fontId="31" fillId="0" borderId="83">
      <alignment vertical="center"/>
      <protection locked="0"/>
    </xf>
    <xf numFmtId="198"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193" fontId="31" fillId="0" borderId="83">
      <alignment horizontal="right" vertical="center"/>
      <protection locked="0"/>
    </xf>
    <xf numFmtId="193" fontId="31" fillId="0" borderId="83">
      <alignment horizontal="right" vertical="center"/>
      <protection locked="0"/>
    </xf>
    <xf numFmtId="0" fontId="31" fillId="60" borderId="91" applyNumberFormat="0">
      <protection locked="0"/>
    </xf>
    <xf numFmtId="198" fontId="31" fillId="0" borderId="83">
      <alignment vertical="center"/>
      <protection locked="0"/>
    </xf>
    <xf numFmtId="201"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193" fontId="31" fillId="0" borderId="83">
      <alignment horizontal="center" vertical="center"/>
      <protection locked="0"/>
    </xf>
    <xf numFmtId="4" fontId="48" fillId="117" borderId="89" applyNumberFormat="0" applyProtection="0">
      <alignment horizontal="left" vertical="center" indent="1"/>
    </xf>
    <xf numFmtId="203" fontId="31" fillId="0" borderId="83">
      <alignment horizontal="right" vertical="center"/>
      <protection locked="0"/>
    </xf>
    <xf numFmtId="9" fontId="4" fillId="0" borderId="0" applyFont="0" applyFill="0" applyBorder="0" applyAlignment="0" applyProtection="0"/>
    <xf numFmtId="0" fontId="31" fillId="0" borderId="83" applyAlignment="0">
      <protection locked="0"/>
    </xf>
    <xf numFmtId="0" fontId="31" fillId="60" borderId="91" applyNumberFormat="0">
      <protection locked="0"/>
    </xf>
    <xf numFmtId="199" fontId="31" fillId="0" borderId="83">
      <alignment horizontal="center" vertical="center"/>
      <protection locked="0"/>
    </xf>
    <xf numFmtId="200" fontId="31" fillId="0" borderId="83">
      <alignmen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200" fontId="31" fillId="0" borderId="83">
      <alignment vertical="center"/>
      <protection locked="0"/>
    </xf>
    <xf numFmtId="203" fontId="31" fillId="0" borderId="83">
      <alignment horizontal="right" vertical="center"/>
      <protection locked="0"/>
    </xf>
    <xf numFmtId="203" fontId="31" fillId="0" borderId="83">
      <alignment horizontal="right" vertical="center"/>
      <protection locked="0"/>
    </xf>
    <xf numFmtId="0" fontId="31" fillId="0" borderId="83" applyAlignment="0">
      <protection locked="0"/>
    </xf>
    <xf numFmtId="0" fontId="2" fillId="0" borderId="0"/>
    <xf numFmtId="0" fontId="31" fillId="60" borderId="91" applyNumberFormat="0">
      <protection locked="0"/>
    </xf>
    <xf numFmtId="0" fontId="117" fillId="0" borderId="71" applyNumberFormat="0" applyAlignment="0" applyProtection="0">
      <alignment horizontal="left" vertical="center"/>
    </xf>
    <xf numFmtId="0" fontId="2" fillId="0" borderId="0"/>
    <xf numFmtId="199" fontId="31" fillId="0" borderId="83">
      <alignment horizontal="center" vertical="center"/>
      <protection locked="0"/>
    </xf>
    <xf numFmtId="198" fontId="31" fillId="0" borderId="83">
      <alignment horizontal="center" vertical="center"/>
      <protection locked="0"/>
    </xf>
    <xf numFmtId="0" fontId="2" fillId="39" borderId="0" applyNumberFormat="0" applyBorder="0" applyAlignment="0" applyProtection="0"/>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0" fontId="2" fillId="0" borderId="0"/>
    <xf numFmtId="0" fontId="31" fillId="60" borderId="91" applyNumberFormat="0">
      <protection locked="0"/>
    </xf>
    <xf numFmtId="201" fontId="31" fillId="0" borderId="83">
      <alignment horizontal="center" vertical="center"/>
      <protection locked="0"/>
    </xf>
    <xf numFmtId="200" fontId="31" fillId="0" borderId="83">
      <alignment vertical="center"/>
      <protection locked="0"/>
    </xf>
    <xf numFmtId="0" fontId="2" fillId="0" borderId="0"/>
    <xf numFmtId="0" fontId="2" fillId="0" borderId="0"/>
    <xf numFmtId="200" fontId="31" fillId="0" borderId="83">
      <alignment horizontal="center" vertical="center"/>
      <protection locked="0"/>
    </xf>
    <xf numFmtId="202" fontId="31" fillId="0" borderId="83">
      <alignment vertical="center"/>
      <protection locked="0"/>
    </xf>
    <xf numFmtId="201" fontId="31" fillId="0" borderId="83">
      <alignment vertical="center"/>
      <protection locked="0"/>
    </xf>
    <xf numFmtId="193" fontId="31" fillId="0" borderId="83">
      <alignment horizontal="center" vertical="center"/>
      <protection locked="0"/>
    </xf>
    <xf numFmtId="198" fontId="31" fillId="0" borderId="83">
      <alignment vertical="center"/>
      <protection locked="0"/>
    </xf>
    <xf numFmtId="0" fontId="2" fillId="0" borderId="0"/>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0" fontId="31" fillId="0" borderId="83" applyAlignment="0">
      <protection locked="0"/>
    </xf>
    <xf numFmtId="198"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0" borderId="83" applyAlignment="0">
      <protection locked="0"/>
    </xf>
    <xf numFmtId="201" fontId="31" fillId="0" borderId="83">
      <alignment vertical="center"/>
      <protection locked="0"/>
    </xf>
    <xf numFmtId="0" fontId="31" fillId="0" borderId="83" applyAlignment="0">
      <protection locked="0"/>
    </xf>
    <xf numFmtId="201"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8"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202" fontId="31" fillId="0" borderId="83">
      <alignment vertical="center"/>
      <protection locked="0"/>
    </xf>
    <xf numFmtId="198" fontId="31" fillId="0" borderId="83">
      <alignment horizontal="center" vertical="center"/>
      <protection locked="0"/>
    </xf>
    <xf numFmtId="193" fontId="31" fillId="0" borderId="83">
      <alignment horizontal="center" vertical="center"/>
      <protection locked="0"/>
    </xf>
    <xf numFmtId="201" fontId="31" fillId="0" borderId="83">
      <alignment vertical="center"/>
      <protection locked="0"/>
    </xf>
    <xf numFmtId="4" fontId="48" fillId="117" borderId="89" applyNumberFormat="0" applyProtection="0">
      <alignment horizontal="left" vertical="center" indent="1"/>
    </xf>
    <xf numFmtId="203" fontId="31" fillId="0" borderId="83">
      <alignment horizontal="right" vertical="center"/>
      <protection locked="0"/>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193" fontId="31" fillId="0" borderId="83">
      <alignment horizontal="center" vertical="center"/>
      <protection locked="0"/>
    </xf>
    <xf numFmtId="0" fontId="31" fillId="0" borderId="83" applyAlignment="0">
      <protection locked="0"/>
    </xf>
    <xf numFmtId="200" fontId="31" fillId="0" borderId="83">
      <alignment vertical="center"/>
      <protection locked="0"/>
    </xf>
    <xf numFmtId="198" fontId="31" fillId="0" borderId="83">
      <alignment vertical="center"/>
      <protection locked="0"/>
    </xf>
    <xf numFmtId="202" fontId="31" fillId="0" borderId="83">
      <alignment vertical="center"/>
      <protection locked="0"/>
    </xf>
    <xf numFmtId="202" fontId="31" fillId="0" borderId="83">
      <alignment vertical="center"/>
      <protection locked="0"/>
    </xf>
    <xf numFmtId="200" fontId="31" fillId="0" borderId="83">
      <alignment vertical="center"/>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1" fontId="31" fillId="0" borderId="83">
      <alignment vertical="center"/>
      <protection locked="0"/>
    </xf>
    <xf numFmtId="200"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1" fontId="31" fillId="0" borderId="83">
      <alignment vertical="center"/>
      <protection locked="0"/>
    </xf>
    <xf numFmtId="0" fontId="2" fillId="0" borderId="0"/>
    <xf numFmtId="198" fontId="31" fillId="0" borderId="83">
      <alignment horizontal="center" vertical="center"/>
      <protection locked="0"/>
    </xf>
    <xf numFmtId="199" fontId="31" fillId="0" borderId="83">
      <alignment horizontal="center" vertical="center"/>
      <protection locked="0"/>
    </xf>
    <xf numFmtId="9" fontId="4" fillId="0" borderId="0" applyFont="0" applyFill="0" applyBorder="0" applyAlignment="0" applyProtection="0"/>
    <xf numFmtId="0" fontId="31" fillId="60" borderId="91" applyNumberFormat="0">
      <protection locked="0"/>
    </xf>
    <xf numFmtId="0" fontId="31" fillId="60" borderId="91" applyNumberFormat="0">
      <protection locked="0"/>
    </xf>
    <xf numFmtId="0" fontId="2" fillId="43" borderId="0" applyNumberFormat="0" applyBorder="0" applyAlignment="0" applyProtection="0"/>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0" fontId="2" fillId="0" borderId="0"/>
    <xf numFmtId="0" fontId="117" fillId="0" borderId="71" applyNumberFormat="0" applyAlignment="0" applyProtection="0">
      <alignment horizontal="left" vertical="center"/>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202"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8" fontId="31" fillId="0" borderId="83">
      <alignment vertical="center"/>
      <protection locked="0"/>
    </xf>
    <xf numFmtId="200" fontId="31" fillId="0" borderId="83">
      <alignment vertical="center"/>
      <protection locked="0"/>
    </xf>
    <xf numFmtId="193" fontId="31" fillId="0" borderId="83">
      <alignment horizontal="center" vertical="center"/>
      <protection locked="0"/>
    </xf>
    <xf numFmtId="0" fontId="2" fillId="0" borderId="0"/>
    <xf numFmtId="172" fontId="2" fillId="0" borderId="0" applyFont="0" applyFill="0" applyBorder="0" applyAlignment="0" applyProtection="0"/>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2" fillId="0" borderId="0"/>
    <xf numFmtId="200" fontId="31" fillId="0" borderId="83">
      <alignment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201"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0" fontId="2" fillId="0" borderId="0"/>
    <xf numFmtId="0" fontId="31" fillId="60" borderId="91" applyNumberFormat="0">
      <protection locked="0"/>
    </xf>
    <xf numFmtId="9" fontId="2" fillId="0" borderId="0" applyFont="0" applyFill="0" applyBorder="0" applyAlignment="0" applyProtection="0"/>
    <xf numFmtId="20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193" fontId="31" fillId="0" borderId="83">
      <alignment horizontal="center"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9" fontId="2" fillId="0" borderId="0" applyFont="0" applyFill="0" applyBorder="0" applyAlignment="0" applyProtection="0"/>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2" fillId="0" borderId="0"/>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200"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0" borderId="83" applyAlignment="0">
      <protection locked="0"/>
    </xf>
    <xf numFmtId="198" fontId="31" fillId="0" borderId="83">
      <alignment vertical="center"/>
      <protection locked="0"/>
    </xf>
    <xf numFmtId="198"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9" fontId="2" fillId="0" borderId="0" applyFont="0" applyFill="0" applyBorder="0" applyAlignment="0" applyProtection="0"/>
    <xf numFmtId="202" fontId="31" fillId="0" borderId="83">
      <alignment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8"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4" fontId="48" fillId="117" borderId="89" applyNumberFormat="0" applyProtection="0">
      <alignment horizontal="left" vertical="center" indent="1"/>
    </xf>
    <xf numFmtId="0" fontId="2" fillId="0" borderId="0"/>
    <xf numFmtId="202" fontId="31" fillId="0" borderId="83">
      <alignment horizontal="center" vertical="center"/>
      <protection locked="0"/>
    </xf>
    <xf numFmtId="43" fontId="4" fillId="0" borderId="0" applyFont="0" applyFill="0" applyBorder="0" applyAlignment="0" applyProtection="0"/>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198" fontId="31" fillId="0" borderId="83">
      <alignment vertical="center"/>
      <protection locked="0"/>
    </xf>
    <xf numFmtId="202" fontId="31" fillId="0" borderId="83">
      <alignment vertical="center"/>
      <protection locked="0"/>
    </xf>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vertical="center"/>
      <protection locked="0"/>
    </xf>
    <xf numFmtId="193" fontId="31" fillId="0" borderId="83">
      <alignment horizontal="center" vertical="center"/>
      <protection locked="0"/>
    </xf>
    <xf numFmtId="0" fontId="31" fillId="0" borderId="83" applyAlignment="0">
      <protection locked="0"/>
    </xf>
    <xf numFmtId="0" fontId="2" fillId="42" borderId="0" applyNumberFormat="0" applyBorder="0" applyAlignment="0" applyProtection="0"/>
    <xf numFmtId="0" fontId="31" fillId="60" borderId="91" applyNumberFormat="0">
      <protection locked="0"/>
    </xf>
    <xf numFmtId="0" fontId="31" fillId="60" borderId="91" applyNumberFormat="0">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2" fillId="0" borderId="0"/>
    <xf numFmtId="201"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horizontal="center" vertical="center"/>
      <protection locked="0"/>
    </xf>
    <xf numFmtId="201" fontId="31" fillId="0" borderId="83">
      <alignment vertical="center"/>
      <protection locked="0"/>
    </xf>
    <xf numFmtId="200" fontId="31" fillId="0" borderId="83">
      <alignment vertical="center"/>
      <protection locked="0"/>
    </xf>
    <xf numFmtId="201" fontId="31" fillId="0" borderId="83">
      <alignment horizontal="center" vertical="center"/>
      <protection locked="0"/>
    </xf>
    <xf numFmtId="0" fontId="4" fillId="0" borderId="0"/>
    <xf numFmtId="201" fontId="31" fillId="0" borderId="83">
      <alignment vertical="center"/>
      <protection locked="0"/>
    </xf>
    <xf numFmtId="0" fontId="31" fillId="60" borderId="91" applyNumberFormat="0">
      <protection locked="0"/>
    </xf>
    <xf numFmtId="0" fontId="2" fillId="0" borderId="0"/>
    <xf numFmtId="198" fontId="31" fillId="0" borderId="83">
      <alignment horizontal="center" vertical="center"/>
      <protection locked="0"/>
    </xf>
    <xf numFmtId="0" fontId="31" fillId="0" borderId="83" applyAlignment="0">
      <protection locked="0"/>
    </xf>
    <xf numFmtId="0" fontId="31" fillId="60" borderId="91" applyNumberFormat="0">
      <protection locked="0"/>
    </xf>
    <xf numFmtId="0" fontId="2" fillId="0" borderId="0"/>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4" fontId="48" fillId="117" borderId="89" applyNumberFormat="0" applyProtection="0">
      <alignment horizontal="left" vertical="center" indent="1"/>
    </xf>
    <xf numFmtId="200" fontId="31" fillId="0" borderId="83">
      <alignment vertical="center"/>
      <protection locked="0"/>
    </xf>
    <xf numFmtId="199" fontId="31" fillId="0" borderId="83">
      <alignment horizontal="center" vertical="center"/>
      <protection locked="0"/>
    </xf>
    <xf numFmtId="203" fontId="31" fillId="0" borderId="83">
      <alignment horizontal="right" vertical="center"/>
      <protection locked="0"/>
    </xf>
    <xf numFmtId="200" fontId="31" fillId="0" borderId="83">
      <alignment horizontal="center" vertical="center"/>
      <protection locked="0"/>
    </xf>
    <xf numFmtId="193" fontId="31" fillId="0" borderId="83">
      <alignment horizontal="center" vertical="center"/>
      <protection locked="0"/>
    </xf>
    <xf numFmtId="193" fontId="31" fillId="0" borderId="83">
      <alignment horizontal="center" vertical="center"/>
      <protection locked="0"/>
    </xf>
    <xf numFmtId="198" fontId="31" fillId="0" borderId="83">
      <alignment vertical="center"/>
      <protection locked="0"/>
    </xf>
    <xf numFmtId="0" fontId="31" fillId="60" borderId="91" applyNumberFormat="0">
      <protection locked="0"/>
    </xf>
    <xf numFmtId="203" fontId="31" fillId="0" borderId="83">
      <alignment horizontal="righ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horizontal="center" vertical="center"/>
      <protection locked="0"/>
    </xf>
    <xf numFmtId="0" fontId="2" fillId="0" borderId="0"/>
    <xf numFmtId="0" fontId="31" fillId="60" borderId="91" applyNumberFormat="0">
      <protection locked="0"/>
    </xf>
    <xf numFmtId="198" fontId="31" fillId="0" borderId="83">
      <alignment vertical="center"/>
      <protection locked="0"/>
    </xf>
    <xf numFmtId="0" fontId="31" fillId="60" borderId="91" applyNumberFormat="0">
      <protection locked="0"/>
    </xf>
    <xf numFmtId="202" fontId="31" fillId="0" borderId="83">
      <alignment vertical="center"/>
      <protection locked="0"/>
    </xf>
    <xf numFmtId="198" fontId="31" fillId="0" borderId="83">
      <alignment vertical="center"/>
      <protection locked="0"/>
    </xf>
    <xf numFmtId="0" fontId="31" fillId="0" borderId="83" applyAlignment="0">
      <protection locked="0"/>
    </xf>
    <xf numFmtId="201" fontId="31" fillId="0" borderId="83">
      <alignment vertical="center"/>
      <protection locked="0"/>
    </xf>
    <xf numFmtId="0" fontId="2" fillId="35" borderId="0" applyNumberFormat="0" applyBorder="0" applyAlignment="0" applyProtection="0"/>
    <xf numFmtId="0" fontId="31" fillId="60" borderId="91" applyNumberFormat="0">
      <protection locked="0"/>
    </xf>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202" fontId="31" fillId="0" borderId="83">
      <alignment horizontal="center" vertical="center"/>
      <protection locked="0"/>
    </xf>
    <xf numFmtId="20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2" fillId="0" borderId="0"/>
    <xf numFmtId="198" fontId="31" fillId="0" borderId="83">
      <alignment horizontal="center" vertical="center"/>
      <protection locked="0"/>
    </xf>
    <xf numFmtId="201" fontId="31" fillId="0" borderId="83">
      <alignment vertical="center"/>
      <protection locked="0"/>
    </xf>
    <xf numFmtId="193" fontId="31" fillId="0" borderId="83">
      <alignment horizontal="center" vertical="center"/>
      <protection locked="0"/>
    </xf>
    <xf numFmtId="43" fontId="2" fillId="0" borderId="0" applyFont="0" applyFill="0" applyBorder="0" applyAlignment="0" applyProtection="0"/>
    <xf numFmtId="0" fontId="31" fillId="60" borderId="91" applyNumberFormat="0">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0" fontId="2" fillId="0" borderId="0"/>
    <xf numFmtId="0" fontId="2" fillId="0" borderId="0"/>
    <xf numFmtId="0" fontId="117" fillId="0" borderId="71" applyNumberFormat="0" applyAlignment="0" applyProtection="0">
      <alignment horizontal="left" vertical="center"/>
    </xf>
    <xf numFmtId="200" fontId="31" fillId="0" borderId="83">
      <alignment horizontal="center" vertical="center"/>
      <protection locked="0"/>
    </xf>
    <xf numFmtId="193"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200" fontId="31" fillId="0" borderId="83">
      <alignment horizontal="center" vertical="center"/>
      <protection locked="0"/>
    </xf>
    <xf numFmtId="0" fontId="4" fillId="0" borderId="0"/>
    <xf numFmtId="0" fontId="117" fillId="0" borderId="71" applyNumberFormat="0" applyAlignment="0" applyProtection="0">
      <alignment horizontal="left" vertical="center"/>
    </xf>
    <xf numFmtId="193" fontId="31" fillId="0" borderId="83">
      <alignment horizontal="right" vertical="center"/>
      <protection locked="0"/>
    </xf>
    <xf numFmtId="201" fontId="31" fillId="0" borderId="83">
      <alignment horizontal="center" vertical="center"/>
      <protection locked="0"/>
    </xf>
    <xf numFmtId="201" fontId="31" fillId="0" borderId="83">
      <alignment horizontal="center" vertical="center"/>
      <protection locked="0"/>
    </xf>
    <xf numFmtId="199" fontId="31" fillId="0" borderId="83">
      <alignment horizontal="center" vertical="center"/>
      <protection locked="0"/>
    </xf>
    <xf numFmtId="200" fontId="31" fillId="0" borderId="83">
      <alignment vertical="center"/>
      <protection locked="0"/>
    </xf>
    <xf numFmtId="201" fontId="31" fillId="0" borderId="83">
      <alignment vertical="center"/>
      <protection locked="0"/>
    </xf>
    <xf numFmtId="198"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43" fontId="2" fillId="0" borderId="0" applyFont="0" applyFill="0" applyBorder="0" applyAlignment="0" applyProtection="0"/>
    <xf numFmtId="199"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2" fillId="0" borderId="0"/>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2" fillId="0" borderId="0"/>
    <xf numFmtId="9" fontId="2" fillId="0" borderId="0" applyFont="0" applyFill="0" applyBorder="0" applyAlignment="0" applyProtection="0"/>
    <xf numFmtId="9" fontId="2" fillId="0" borderId="0" applyFont="0" applyFill="0" applyBorder="0" applyAlignment="0" applyProtection="0"/>
    <xf numFmtId="0" fontId="31" fillId="0" borderId="83" applyAlignment="0">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200" fontId="31" fillId="0" borderId="83">
      <alignment vertical="center"/>
      <protection locked="0"/>
    </xf>
    <xf numFmtId="0" fontId="2" fillId="0" borderId="0"/>
    <xf numFmtId="0" fontId="31" fillId="0" borderId="83" applyAlignment="0">
      <protection locked="0"/>
    </xf>
    <xf numFmtId="0" fontId="2" fillId="0" borderId="0"/>
    <xf numFmtId="193" fontId="31" fillId="0" borderId="83">
      <alignment horizontal="center" vertical="center"/>
      <protection locked="0"/>
    </xf>
    <xf numFmtId="198"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203" fontId="31" fillId="0" borderId="83">
      <alignment horizontal="right" vertical="center"/>
      <protection locked="0"/>
    </xf>
    <xf numFmtId="198" fontId="31" fillId="0" borderId="83">
      <alignment vertical="center"/>
      <protection locked="0"/>
    </xf>
    <xf numFmtId="203" fontId="31" fillId="0" borderId="83">
      <alignment horizontal="righ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0" fontId="31" fillId="0" borderId="83" applyAlignment="0">
      <protection locked="0"/>
    </xf>
    <xf numFmtId="0" fontId="2" fillId="30" borderId="0" applyNumberFormat="0" applyBorder="0" applyAlignment="0" applyProtection="0"/>
    <xf numFmtId="203" fontId="31" fillId="0" borderId="83">
      <alignment horizontal="right"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193" fontId="31" fillId="0" borderId="83">
      <alignment horizontal="center"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0" fontId="31" fillId="0" borderId="83" applyAlignmen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0" fontId="31" fillId="60" borderId="91" applyNumberFormat="0">
      <protection locked="0"/>
    </xf>
    <xf numFmtId="202" fontId="31" fillId="0" borderId="83">
      <alignment vertical="center"/>
      <protection locked="0"/>
    </xf>
    <xf numFmtId="193" fontId="31" fillId="0" borderId="83">
      <alignment horizontal="right"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2" fillId="0" borderId="0"/>
    <xf numFmtId="199" fontId="31" fillId="0" borderId="83">
      <alignment horizontal="center" vertical="center"/>
      <protection locked="0"/>
    </xf>
    <xf numFmtId="4" fontId="48" fillId="117" borderId="89" applyNumberFormat="0" applyProtection="0">
      <alignment horizontal="left" vertical="center" indent="1"/>
    </xf>
    <xf numFmtId="198"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horizontal="center" vertical="center"/>
      <protection locked="0"/>
    </xf>
    <xf numFmtId="193" fontId="31" fillId="0" borderId="83">
      <alignment horizontal="right" vertical="center"/>
      <protection locked="0"/>
    </xf>
    <xf numFmtId="0" fontId="2" fillId="0" borderId="0"/>
    <xf numFmtId="0" fontId="31" fillId="60" borderId="91" applyNumberFormat="0">
      <protection locked="0"/>
    </xf>
    <xf numFmtId="0" fontId="2" fillId="46" borderId="0" applyNumberFormat="0" applyBorder="0" applyAlignment="0" applyProtection="0"/>
    <xf numFmtId="202" fontId="31" fillId="0" borderId="83">
      <alignment horizontal="center" vertical="center"/>
      <protection locked="0"/>
    </xf>
    <xf numFmtId="202" fontId="31" fillId="0" borderId="83">
      <alignment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201" fontId="31" fillId="0" borderId="83">
      <alignment vertical="center"/>
      <protection locked="0"/>
    </xf>
    <xf numFmtId="200" fontId="31" fillId="0" borderId="83">
      <alignment vertical="center"/>
      <protection locked="0"/>
    </xf>
    <xf numFmtId="201" fontId="31" fillId="0" borderId="83">
      <alignment horizontal="center"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0" fontId="2" fillId="0" borderId="0"/>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0" fontId="31" fillId="0" borderId="83">
      <alignment horizontal="center" vertical="center"/>
      <protection locked="0"/>
    </xf>
    <xf numFmtId="9" fontId="2" fillId="0" borderId="0" applyFont="0" applyFill="0" applyBorder="0" applyAlignment="0" applyProtection="0"/>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vertical="center"/>
      <protection locked="0"/>
    </xf>
    <xf numFmtId="193" fontId="31" fillId="0" borderId="83">
      <alignment horizontal="center" vertical="center"/>
      <protection locked="0"/>
    </xf>
    <xf numFmtId="200" fontId="31" fillId="0" borderId="83">
      <alignment vertical="center"/>
      <protection locked="0"/>
    </xf>
    <xf numFmtId="0" fontId="31" fillId="0" borderId="83" applyAlignment="0">
      <protection locked="0"/>
    </xf>
    <xf numFmtId="0" fontId="2" fillId="0" borderId="0"/>
    <xf numFmtId="193" fontId="31" fillId="0" borderId="83">
      <alignment horizontal="right" vertical="center"/>
      <protection locked="0"/>
    </xf>
    <xf numFmtId="0" fontId="31" fillId="60" borderId="91" applyNumberFormat="0">
      <protection locked="0"/>
    </xf>
    <xf numFmtId="202" fontId="31" fillId="0" borderId="83">
      <alignment vertical="center"/>
      <protection locked="0"/>
    </xf>
    <xf numFmtId="0" fontId="31" fillId="0" borderId="83" applyAlignment="0">
      <protection locked="0"/>
    </xf>
    <xf numFmtId="202" fontId="31" fillId="0" borderId="83">
      <alignment vertical="center"/>
      <protection locked="0"/>
    </xf>
    <xf numFmtId="202" fontId="31" fillId="0" borderId="83">
      <alignment vertical="center"/>
      <protection locked="0"/>
    </xf>
    <xf numFmtId="0" fontId="2" fillId="0" borderId="0"/>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4" fontId="48" fillId="117" borderId="89" applyNumberFormat="0" applyProtection="0">
      <alignment horizontal="left" vertical="center" indent="1"/>
    </xf>
    <xf numFmtId="0" fontId="2" fillId="0" borderId="0"/>
    <xf numFmtId="203" fontId="31" fillId="0" borderId="83">
      <alignment horizontal="right" vertical="center"/>
      <protection locked="0"/>
    </xf>
    <xf numFmtId="0" fontId="31" fillId="60" borderId="91" applyNumberFormat="0">
      <protection locked="0"/>
    </xf>
    <xf numFmtId="200"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0" fontId="2" fillId="0" borderId="0"/>
    <xf numFmtId="193" fontId="31" fillId="0" borderId="83">
      <alignment horizontal="center"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9" fontId="2" fillId="0" borderId="0" applyFont="0" applyFill="0" applyBorder="0" applyAlignment="0" applyProtection="0"/>
    <xf numFmtId="193"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200"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vertical="center"/>
      <protection locked="0"/>
    </xf>
    <xf numFmtId="201" fontId="31" fillId="0" borderId="83">
      <alignment vertical="center"/>
      <protection locked="0"/>
    </xf>
    <xf numFmtId="202" fontId="31" fillId="0" borderId="83">
      <alignment vertical="center"/>
      <protection locked="0"/>
    </xf>
    <xf numFmtId="198" fontId="31" fillId="0" borderId="83">
      <alignment horizontal="center" vertical="center"/>
      <protection locked="0"/>
    </xf>
    <xf numFmtId="201"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vertical="center"/>
      <protection locked="0"/>
    </xf>
    <xf numFmtId="200" fontId="31" fillId="0" borderId="83">
      <alignment horizontal="center"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9" fontId="31" fillId="0" borderId="83">
      <alignment horizontal="center" vertical="center"/>
      <protection locked="0"/>
    </xf>
    <xf numFmtId="200" fontId="31" fillId="0" borderId="83">
      <alignment vertical="center"/>
      <protection locked="0"/>
    </xf>
    <xf numFmtId="193" fontId="31" fillId="0" borderId="83">
      <alignment horizontal="right" vertical="center"/>
      <protection locked="0"/>
    </xf>
    <xf numFmtId="200" fontId="31" fillId="0" borderId="83">
      <alignment horizontal="center" vertical="center"/>
      <protection locked="0"/>
    </xf>
    <xf numFmtId="43" fontId="4" fillId="0" borderId="0" applyFont="0" applyFill="0" applyBorder="0" applyAlignment="0" applyProtection="0"/>
    <xf numFmtId="0" fontId="31" fillId="60" borderId="91" applyNumberFormat="0">
      <protection locked="0"/>
    </xf>
    <xf numFmtId="0" fontId="31" fillId="0" borderId="83" applyAlignment="0">
      <protection locked="0"/>
    </xf>
    <xf numFmtId="0" fontId="117" fillId="0" borderId="71" applyNumberFormat="0" applyAlignment="0" applyProtection="0">
      <alignment horizontal="left" vertical="center"/>
    </xf>
    <xf numFmtId="203" fontId="31" fillId="0" borderId="83">
      <alignment horizontal="righ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199"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0" fontId="31" fillId="0" borderId="83" applyAlignment="0">
      <protection locked="0"/>
    </xf>
    <xf numFmtId="193"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198" fontId="31" fillId="0" borderId="83">
      <alignment vertical="center"/>
      <protection locked="0"/>
    </xf>
    <xf numFmtId="0" fontId="31" fillId="0" borderId="83" applyAlignment="0">
      <protection locked="0"/>
    </xf>
    <xf numFmtId="201" fontId="31" fillId="0" borderId="83">
      <alignment horizontal="center" vertical="center"/>
      <protection locked="0"/>
    </xf>
    <xf numFmtId="193" fontId="31" fillId="0" borderId="83">
      <alignment horizontal="right"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201" fontId="31" fillId="0" borderId="83">
      <alignment vertical="center"/>
      <protection locked="0"/>
    </xf>
    <xf numFmtId="198" fontId="31" fillId="0" borderId="83">
      <alignment vertical="center"/>
      <protection locked="0"/>
    </xf>
    <xf numFmtId="200" fontId="31" fillId="0" borderId="83">
      <alignment vertical="center"/>
      <protection locked="0"/>
    </xf>
    <xf numFmtId="200" fontId="31" fillId="0" borderId="83">
      <alignment vertical="center"/>
      <protection locked="0"/>
    </xf>
    <xf numFmtId="202" fontId="31" fillId="0" borderId="83">
      <alignment horizontal="center" vertical="center"/>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1" fontId="31" fillId="0" borderId="83">
      <alignment vertical="center"/>
      <protection locked="0"/>
    </xf>
    <xf numFmtId="0" fontId="31" fillId="60" borderId="91" applyNumberFormat="0">
      <protection locked="0"/>
    </xf>
    <xf numFmtId="202" fontId="31" fillId="0" borderId="83">
      <alignment horizontal="center" vertical="center"/>
      <protection locked="0"/>
    </xf>
    <xf numFmtId="203" fontId="31" fillId="0" borderId="83">
      <alignment horizontal="right" vertical="center"/>
      <protection locked="0"/>
    </xf>
    <xf numFmtId="198" fontId="31" fillId="0" borderId="83">
      <alignment vertical="center"/>
      <protection locked="0"/>
    </xf>
    <xf numFmtId="0" fontId="31" fillId="0" borderId="83" applyAlignment="0">
      <protection locked="0"/>
    </xf>
    <xf numFmtId="201" fontId="31" fillId="0" borderId="83">
      <alignment vertical="center"/>
      <protection locked="0"/>
    </xf>
    <xf numFmtId="199"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193" fontId="31" fillId="0" borderId="83">
      <alignment horizontal="right" vertical="center"/>
      <protection locked="0"/>
    </xf>
    <xf numFmtId="199"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vertical="center"/>
      <protection locked="0"/>
    </xf>
    <xf numFmtId="0" fontId="31" fillId="0" borderId="83" applyAlignment="0">
      <protection locked="0"/>
    </xf>
    <xf numFmtId="200"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198"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0" fontId="117" fillId="0" borderId="71" applyNumberFormat="0" applyAlignment="0" applyProtection="0">
      <alignment horizontal="left" vertical="center"/>
    </xf>
    <xf numFmtId="0" fontId="31" fillId="0" borderId="83" applyAlignment="0">
      <protection locked="0"/>
    </xf>
    <xf numFmtId="200"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2"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202" fontId="31" fillId="0" borderId="83">
      <alignment horizontal="center"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199"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193" fontId="31" fillId="0" borderId="83">
      <alignment horizontal="right" vertical="center"/>
      <protection locked="0"/>
    </xf>
    <xf numFmtId="19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201" fontId="31" fillId="0" borderId="83">
      <alignment vertical="center"/>
      <protection locked="0"/>
    </xf>
    <xf numFmtId="199"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200"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201"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193" fontId="31" fillId="0" borderId="83">
      <alignment horizontal="right" vertical="center"/>
      <protection locked="0"/>
    </xf>
    <xf numFmtId="198" fontId="31" fillId="0" borderId="83">
      <alignment horizontal="center" vertical="center"/>
      <protection locked="0"/>
    </xf>
    <xf numFmtId="201" fontId="31" fillId="0" borderId="83">
      <alignment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198"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201"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198" fontId="31" fillId="0" borderId="83">
      <alignment horizontal="center" vertical="center"/>
      <protection locked="0"/>
    </xf>
    <xf numFmtId="0" fontId="31" fillId="0" borderId="83" applyAlignmen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vertical="center"/>
      <protection locked="0"/>
    </xf>
    <xf numFmtId="202" fontId="31" fillId="0" borderId="83">
      <alignmen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117" fillId="0" borderId="71" applyNumberFormat="0" applyAlignment="0" applyProtection="0">
      <alignment horizontal="left" vertical="center"/>
    </xf>
    <xf numFmtId="199"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44" fontId="4" fillId="0" borderId="0" applyFont="0" applyFill="0" applyBorder="0" applyAlignment="0" applyProtection="0"/>
    <xf numFmtId="199" fontId="31" fillId="0" borderId="83">
      <alignment horizontal="center" vertical="center"/>
      <protection locked="0"/>
    </xf>
    <xf numFmtId="202" fontId="31" fillId="0" borderId="83">
      <alignment horizontal="center" vertical="center"/>
      <protection locked="0"/>
    </xf>
    <xf numFmtId="200" fontId="31" fillId="0" borderId="83">
      <alignment vertical="center"/>
      <protection locked="0"/>
    </xf>
    <xf numFmtId="202"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201" fontId="31" fillId="0" borderId="83">
      <alignment vertical="center"/>
      <protection locked="0"/>
    </xf>
    <xf numFmtId="202" fontId="31" fillId="0" borderId="83">
      <alignment horizontal="center" vertical="center"/>
      <protection locked="0"/>
    </xf>
    <xf numFmtId="202" fontId="31" fillId="0" borderId="83">
      <alignment horizontal="center" vertical="center"/>
      <protection locked="0"/>
    </xf>
    <xf numFmtId="198" fontId="31" fillId="0" borderId="83">
      <alignment horizontal="center"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8" fontId="31" fillId="0" borderId="83">
      <alignment horizontal="center" vertical="center"/>
      <protection locked="0"/>
    </xf>
    <xf numFmtId="199" fontId="31" fillId="0" borderId="83">
      <alignment horizontal="center" vertical="center"/>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1" fontId="31" fillId="0" borderId="83">
      <alignment horizontal="center" vertical="center"/>
      <protection locked="0"/>
    </xf>
    <xf numFmtId="202" fontId="31" fillId="0" borderId="83">
      <alignment vertical="center"/>
      <protection locked="0"/>
    </xf>
    <xf numFmtId="202" fontId="31" fillId="0" borderId="83">
      <alignment vertical="center"/>
      <protection locked="0"/>
    </xf>
    <xf numFmtId="199"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3" fontId="31" fillId="0" borderId="83">
      <alignment horizontal="center" vertical="center"/>
      <protection locked="0"/>
    </xf>
    <xf numFmtId="201" fontId="31" fillId="0" borderId="83">
      <alignment vertical="center"/>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1" fontId="31" fillId="0" borderId="83">
      <alignment horizontal="center" vertical="center"/>
      <protection locked="0"/>
    </xf>
    <xf numFmtId="202" fontId="31" fillId="0" borderId="83">
      <alignment vertical="center"/>
      <protection locked="0"/>
    </xf>
    <xf numFmtId="201" fontId="31" fillId="0" borderId="83">
      <alignment vertical="center"/>
      <protection locked="0"/>
    </xf>
    <xf numFmtId="200" fontId="31" fillId="0" borderId="83">
      <alignment horizontal="center" vertical="center"/>
      <protection locked="0"/>
    </xf>
    <xf numFmtId="200" fontId="31" fillId="0" borderId="83">
      <alignment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201"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vertical="center"/>
      <protection locked="0"/>
    </xf>
    <xf numFmtId="0" fontId="31" fillId="60" borderId="91" applyNumberFormat="0">
      <protection locked="0"/>
    </xf>
    <xf numFmtId="198" fontId="31" fillId="0" borderId="83">
      <alignment horizontal="center" vertical="center"/>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193"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201"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horizontal="center" vertical="center"/>
      <protection locked="0"/>
    </xf>
    <xf numFmtId="193" fontId="31" fillId="0" borderId="83">
      <alignment horizontal="right" vertical="center"/>
      <protection locked="0"/>
    </xf>
    <xf numFmtId="198" fontId="31" fillId="0" borderId="83">
      <alignment horizontal="center" vertical="center"/>
      <protection locked="0"/>
    </xf>
    <xf numFmtId="198" fontId="31" fillId="0" borderId="83">
      <alignment horizontal="center" vertical="center"/>
      <protection locked="0"/>
    </xf>
    <xf numFmtId="203" fontId="31" fillId="0" borderId="83">
      <alignment horizontal="right" vertical="center"/>
      <protection locked="0"/>
    </xf>
    <xf numFmtId="193" fontId="31" fillId="0" borderId="83">
      <alignment horizontal="right" vertical="center"/>
      <protection locked="0"/>
    </xf>
    <xf numFmtId="198" fontId="31" fillId="0" borderId="83">
      <alignment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0"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193"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0" fontId="31" fillId="60" borderId="91" applyNumberFormat="0">
      <protection locked="0"/>
    </xf>
    <xf numFmtId="198" fontId="31" fillId="0" borderId="83">
      <alignment vertical="center"/>
      <protection locked="0"/>
    </xf>
    <xf numFmtId="19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0" fontId="117" fillId="0" borderId="71" applyNumberFormat="0" applyAlignment="0" applyProtection="0">
      <alignment horizontal="left" vertical="center"/>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horizontal="center" vertical="center"/>
      <protection locked="0"/>
    </xf>
    <xf numFmtId="203" fontId="31" fillId="0" borderId="83">
      <alignment horizontal="right" vertical="center"/>
      <protection locked="0"/>
    </xf>
    <xf numFmtId="201"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198" fontId="31" fillId="0" borderId="83">
      <alignment horizontal="center" vertical="center"/>
      <protection locked="0"/>
    </xf>
    <xf numFmtId="200" fontId="31" fillId="0" borderId="83">
      <alignment vertical="center"/>
      <protection locked="0"/>
    </xf>
    <xf numFmtId="0" fontId="31" fillId="60" borderId="91" applyNumberFormat="0">
      <protection locked="0"/>
    </xf>
    <xf numFmtId="198" fontId="31" fillId="0" borderId="83">
      <alignment vertical="center"/>
      <protection locked="0"/>
    </xf>
    <xf numFmtId="0" fontId="31" fillId="0" borderId="83" applyAlignment="0">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0" borderId="83" applyAlignment="0">
      <protection locked="0"/>
    </xf>
    <xf numFmtId="4" fontId="48" fillId="117" borderId="89" applyNumberFormat="0" applyProtection="0">
      <alignment horizontal="left" vertical="center" indent="1"/>
    </xf>
    <xf numFmtId="199" fontId="31" fillId="0" borderId="83">
      <alignment horizontal="center" vertical="center"/>
      <protection locked="0"/>
    </xf>
    <xf numFmtId="202"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1" fontId="31" fillId="0" borderId="83">
      <alignment vertical="center"/>
      <protection locked="0"/>
    </xf>
    <xf numFmtId="193" fontId="31" fillId="0" borderId="83">
      <alignment horizontal="right" vertical="center"/>
      <protection locked="0"/>
    </xf>
    <xf numFmtId="200" fontId="31" fillId="0" borderId="83">
      <alignment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0" fontId="31" fillId="60" borderId="91" applyNumberFormat="0">
      <protection locked="0"/>
    </xf>
    <xf numFmtId="202" fontId="31" fillId="0" borderId="83">
      <alignment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202" fontId="31" fillId="0" borderId="83">
      <alignment horizontal="center" vertical="center"/>
      <protection locked="0"/>
    </xf>
    <xf numFmtId="200"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199" fontId="31" fillId="0" borderId="83">
      <alignment horizontal="center" vertical="center"/>
      <protection locked="0"/>
    </xf>
    <xf numFmtId="0" fontId="31" fillId="60" borderId="91" applyNumberFormat="0">
      <protection locked="0"/>
    </xf>
    <xf numFmtId="202" fontId="31" fillId="0" borderId="83">
      <alignment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3" fontId="31" fillId="0" borderId="83">
      <alignment horizontal="right" vertical="center"/>
      <protection locked="0"/>
    </xf>
    <xf numFmtId="202"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20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198" fontId="31" fillId="0" borderId="83">
      <alignmen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right" vertical="center"/>
      <protection locked="0"/>
    </xf>
    <xf numFmtId="203" fontId="31" fillId="0" borderId="83">
      <alignment horizontal="right" vertical="center"/>
      <protection locked="0"/>
    </xf>
    <xf numFmtId="202"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0" fontId="31" fillId="0" borderId="83">
      <alignment vertical="center"/>
      <protection locked="0"/>
    </xf>
    <xf numFmtId="0" fontId="31" fillId="60" borderId="91" applyNumberFormat="0">
      <protection locked="0"/>
    </xf>
    <xf numFmtId="201" fontId="31" fillId="0" borderId="83">
      <alignment horizontal="center" vertical="center"/>
      <protection locked="0"/>
    </xf>
    <xf numFmtId="201" fontId="31" fillId="0" borderId="83">
      <alignment horizontal="center" vertical="center"/>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201" fontId="31" fillId="0" borderId="83">
      <alignment vertical="center"/>
      <protection locked="0"/>
    </xf>
    <xf numFmtId="199"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0" fontId="31" fillId="0" borderId="83" applyAlignment="0">
      <protection locked="0"/>
    </xf>
    <xf numFmtId="0" fontId="31" fillId="60" borderId="91" applyNumberFormat="0">
      <protection locked="0"/>
    </xf>
    <xf numFmtId="199"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200"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0" borderId="83" applyAlignment="0">
      <protection locked="0"/>
    </xf>
    <xf numFmtId="0" fontId="31" fillId="60" borderId="91" applyNumberFormat="0">
      <protection locked="0"/>
    </xf>
    <xf numFmtId="198" fontId="31" fillId="0" borderId="83">
      <alignment horizontal="center" vertical="center"/>
      <protection locked="0"/>
    </xf>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31" fillId="60" borderId="91" applyNumberFormat="0">
      <protection locked="0"/>
    </xf>
    <xf numFmtId="198" fontId="31" fillId="0" borderId="83">
      <alignment horizontal="center"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8" fontId="31" fillId="0" borderId="83">
      <alignment vertical="center"/>
      <protection locked="0"/>
    </xf>
    <xf numFmtId="0" fontId="2" fillId="0" borderId="0"/>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200"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193" fontId="31" fillId="0" borderId="83">
      <alignment horizontal="right" vertical="center"/>
      <protection locked="0"/>
    </xf>
    <xf numFmtId="198"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199" fontId="31" fillId="0" borderId="83">
      <alignment horizontal="center"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201" fontId="31" fillId="0" borderId="83">
      <alignment horizontal="center" vertical="center"/>
      <protection locked="0"/>
    </xf>
    <xf numFmtId="198" fontId="31" fillId="0" borderId="83">
      <alignment vertical="center"/>
      <protection locked="0"/>
    </xf>
    <xf numFmtId="193" fontId="31" fillId="0" borderId="83">
      <alignment horizontal="center" vertical="center"/>
      <protection locked="0"/>
    </xf>
    <xf numFmtId="200" fontId="31" fillId="0" borderId="83">
      <alignment vertical="center"/>
      <protection locked="0"/>
    </xf>
    <xf numFmtId="203" fontId="31" fillId="0" borderId="83">
      <alignment horizontal="right" vertical="center"/>
      <protection locked="0"/>
    </xf>
    <xf numFmtId="200" fontId="31" fillId="0" borderId="83">
      <alignment horizontal="center" vertical="center"/>
      <protection locked="0"/>
    </xf>
    <xf numFmtId="198"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193"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201" fontId="31" fillId="0" borderId="83">
      <alignment vertical="center"/>
      <protection locked="0"/>
    </xf>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1" fontId="31" fillId="0" borderId="83">
      <alignment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201" fontId="31" fillId="0" borderId="83">
      <alignment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0" fontId="31" fillId="0" borderId="83" applyAlignment="0">
      <protection locked="0"/>
    </xf>
    <xf numFmtId="201"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201" fontId="31" fillId="0" borderId="83">
      <alignment horizontal="center" vertical="center"/>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horizontal="center" vertical="center"/>
      <protection locked="0"/>
    </xf>
    <xf numFmtId="200" fontId="31" fillId="0" borderId="83">
      <alignment vertical="center"/>
      <protection locked="0"/>
    </xf>
    <xf numFmtId="201" fontId="31" fillId="0" borderId="83">
      <alignment vertical="center"/>
      <protection locked="0"/>
    </xf>
    <xf numFmtId="199" fontId="31" fillId="0" borderId="83">
      <alignment horizontal="center" vertical="center"/>
      <protection locked="0"/>
    </xf>
    <xf numFmtId="201"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198" fontId="31" fillId="0" borderId="83">
      <alignmen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198" fontId="31" fillId="0" borderId="83">
      <alignment vertical="center"/>
      <protection locked="0"/>
    </xf>
    <xf numFmtId="193"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0" fontId="31" fillId="0" borderId="83" applyAlignment="0">
      <protection locked="0"/>
    </xf>
    <xf numFmtId="203" fontId="31" fillId="0" borderId="83">
      <alignment horizontal="right" vertical="center"/>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198" fontId="31" fillId="0" borderId="83">
      <alignment horizontal="center" vertical="center"/>
      <protection locked="0"/>
    </xf>
    <xf numFmtId="0" fontId="31" fillId="0" borderId="83" applyAlignment="0">
      <protection locked="0"/>
    </xf>
    <xf numFmtId="201" fontId="31" fillId="0" borderId="83">
      <alignment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117" fillId="0" borderId="71" applyNumberFormat="0" applyAlignment="0" applyProtection="0">
      <alignment horizontal="left" vertical="center"/>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198" fontId="31" fillId="0" borderId="83">
      <alignment vertical="center"/>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vertical="center"/>
      <protection locked="0"/>
    </xf>
    <xf numFmtId="200" fontId="31" fillId="0" borderId="83">
      <alignment vertical="center"/>
      <protection locked="0"/>
    </xf>
    <xf numFmtId="202"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199"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0" fontId="117" fillId="0" borderId="71" applyNumberFormat="0" applyAlignment="0" applyProtection="0">
      <alignment horizontal="left" vertical="center"/>
    </xf>
    <xf numFmtId="198" fontId="31" fillId="0" borderId="83">
      <alignment vertical="center"/>
      <protection locked="0"/>
    </xf>
    <xf numFmtId="202" fontId="31" fillId="0" borderId="83">
      <alignment horizontal="center" vertical="center"/>
      <protection locked="0"/>
    </xf>
    <xf numFmtId="0" fontId="31" fillId="60" borderId="91" applyNumberFormat="0">
      <protection locked="0"/>
    </xf>
    <xf numFmtId="202"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9"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4" fontId="48" fillId="117" borderId="89" applyNumberFormat="0" applyProtection="0">
      <alignment horizontal="left" vertical="center" indent="1"/>
    </xf>
    <xf numFmtId="198" fontId="31" fillId="0" borderId="83">
      <alignment vertical="center"/>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198" fontId="31" fillId="0" borderId="83">
      <alignment horizontal="center"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117" fillId="0" borderId="71" applyNumberFormat="0" applyAlignment="0" applyProtection="0">
      <alignment horizontal="left" vertical="center"/>
    </xf>
    <xf numFmtId="200" fontId="31" fillId="0" borderId="83">
      <alignment vertical="center"/>
      <protection locked="0"/>
    </xf>
    <xf numFmtId="203" fontId="31" fillId="0" borderId="83">
      <alignment horizontal="right" vertical="center"/>
      <protection locked="0"/>
    </xf>
    <xf numFmtId="200"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0" borderId="83" applyAlignment="0">
      <protection locked="0"/>
    </xf>
    <xf numFmtId="9" fontId="2" fillId="0" borderId="0" applyFont="0" applyFill="0" applyBorder="0" applyAlignment="0" applyProtection="0"/>
    <xf numFmtId="202" fontId="31" fillId="0" borderId="83">
      <alignment vertical="center"/>
      <protection locked="0"/>
    </xf>
    <xf numFmtId="199" fontId="31" fillId="0" borderId="83">
      <alignment horizontal="center" vertical="center"/>
      <protection locked="0"/>
    </xf>
    <xf numFmtId="198" fontId="31" fillId="0" borderId="83">
      <alignment vertical="center"/>
      <protection locked="0"/>
    </xf>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201" fontId="31" fillId="0" borderId="83">
      <alignment vertical="center"/>
      <protection locked="0"/>
    </xf>
    <xf numFmtId="0" fontId="31" fillId="0" borderId="83" applyAlignment="0">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1"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0" fontId="31" fillId="0" borderId="83" applyAlignment="0">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202"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200" fontId="31" fillId="0" borderId="83">
      <alignment vertical="center"/>
      <protection locked="0"/>
    </xf>
    <xf numFmtId="0" fontId="31" fillId="0" borderId="83" applyAlignment="0">
      <protection locked="0"/>
    </xf>
    <xf numFmtId="198"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4" fontId="48" fillId="117" borderId="89" applyNumberFormat="0" applyProtection="0">
      <alignment horizontal="left" vertical="center" indent="1"/>
    </xf>
    <xf numFmtId="198" fontId="31" fillId="0" borderId="83">
      <alignment vertical="center"/>
      <protection locked="0"/>
    </xf>
    <xf numFmtId="199" fontId="31" fillId="0" borderId="83">
      <alignment horizontal="center" vertical="center"/>
      <protection locked="0"/>
    </xf>
    <xf numFmtId="200"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193"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202" fontId="31" fillId="0" borderId="83">
      <alignment horizontal="center" vertical="center"/>
      <protection locked="0"/>
    </xf>
    <xf numFmtId="200" fontId="31" fillId="0" borderId="83">
      <alignment vertical="center"/>
      <protection locked="0"/>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4" fontId="48" fillId="117" borderId="89" applyNumberFormat="0" applyProtection="0">
      <alignment horizontal="left" vertical="center" indent="1"/>
    </xf>
    <xf numFmtId="193" fontId="31" fillId="0" borderId="83">
      <alignment horizontal="right" vertical="center"/>
      <protection locked="0"/>
    </xf>
    <xf numFmtId="0" fontId="31" fillId="60" borderId="91" applyNumberFormat="0">
      <protection locked="0"/>
    </xf>
    <xf numFmtId="0" fontId="31" fillId="0" borderId="83" applyAlignment="0">
      <protection locked="0"/>
    </xf>
    <xf numFmtId="199"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0" fontId="31" fillId="0" borderId="83">
      <alignmen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202" fontId="31" fillId="0" borderId="83">
      <alignment horizontal="center" vertical="center"/>
      <protection locked="0"/>
    </xf>
    <xf numFmtId="201" fontId="31" fillId="0" borderId="83">
      <alignment vertical="center"/>
      <protection locked="0"/>
    </xf>
    <xf numFmtId="198" fontId="31" fillId="0" borderId="83">
      <alignment vertical="center"/>
      <protection locked="0"/>
    </xf>
    <xf numFmtId="201" fontId="31" fillId="0" borderId="83">
      <alignment vertical="center"/>
      <protection locked="0"/>
    </xf>
    <xf numFmtId="198" fontId="31" fillId="0" borderId="83">
      <alignment vertical="center"/>
      <protection locked="0"/>
    </xf>
    <xf numFmtId="0" fontId="31" fillId="60" borderId="91" applyNumberFormat="0">
      <protection locked="0"/>
    </xf>
    <xf numFmtId="193"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4" fontId="48" fillId="117" borderId="89" applyNumberFormat="0" applyProtection="0">
      <alignment horizontal="left" vertical="center" indent="1"/>
    </xf>
    <xf numFmtId="200" fontId="31" fillId="0" borderId="83">
      <alignment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0" borderId="83" applyAlignment="0">
      <protection locked="0"/>
    </xf>
    <xf numFmtId="203" fontId="31" fillId="0" borderId="83">
      <alignment horizontal="right" vertical="center"/>
      <protection locked="0"/>
    </xf>
    <xf numFmtId="201" fontId="31" fillId="0" borderId="83">
      <alignment horizontal="center" vertical="center"/>
      <protection locked="0"/>
    </xf>
    <xf numFmtId="198"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0" fontId="31" fillId="0" borderId="83" applyAlignment="0">
      <protection locked="0"/>
    </xf>
    <xf numFmtId="200" fontId="31" fillId="0" borderId="83">
      <alignment horizontal="center" vertical="center"/>
      <protection locked="0"/>
    </xf>
    <xf numFmtId="202" fontId="31" fillId="0" borderId="83">
      <alignment vertical="center"/>
      <protection locked="0"/>
    </xf>
    <xf numFmtId="193" fontId="31" fillId="0" borderId="83">
      <alignment horizontal="center" vertical="center"/>
      <protection locked="0"/>
    </xf>
    <xf numFmtId="200"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0" borderId="83" applyAlignment="0">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20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0" fontId="31" fillId="0" borderId="83" applyAlignment="0">
      <protection locked="0"/>
    </xf>
    <xf numFmtId="0" fontId="117" fillId="0" borderId="71" applyNumberFormat="0" applyAlignment="0" applyProtection="0">
      <alignment horizontal="left" vertical="center"/>
    </xf>
    <xf numFmtId="198"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200"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0" fontId="31" fillId="60" borderId="91" applyNumberFormat="0">
      <protection locked="0"/>
    </xf>
    <xf numFmtId="198" fontId="31" fillId="0" borderId="83">
      <alignment vertical="center"/>
      <protection locked="0"/>
    </xf>
    <xf numFmtId="198" fontId="31" fillId="0" borderId="83">
      <alignment horizontal="center" vertical="center"/>
      <protection locked="0"/>
    </xf>
    <xf numFmtId="0" fontId="31" fillId="60" borderId="91" applyNumberFormat="0">
      <protection locked="0"/>
    </xf>
    <xf numFmtId="0" fontId="31" fillId="0" borderId="83" applyAlignment="0">
      <protection locked="0"/>
    </xf>
    <xf numFmtId="199" fontId="31" fillId="0" borderId="83">
      <alignment horizontal="center" vertical="center"/>
      <protection locked="0"/>
    </xf>
    <xf numFmtId="198" fontId="31" fillId="0" borderId="83">
      <alignment vertical="center"/>
      <protection locked="0"/>
    </xf>
    <xf numFmtId="201" fontId="31" fillId="0" borderId="83">
      <alignment horizontal="center" vertical="center"/>
      <protection locked="0"/>
    </xf>
    <xf numFmtId="203" fontId="31" fillId="0" borderId="83">
      <alignment horizontal="right"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3" fontId="31" fillId="0" borderId="83">
      <alignment horizontal="righ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9" fontId="31" fillId="0" borderId="83">
      <alignment horizontal="center" vertical="center"/>
      <protection locked="0"/>
    </xf>
    <xf numFmtId="198" fontId="31" fillId="0" borderId="83">
      <alignment vertical="center"/>
      <protection locked="0"/>
    </xf>
    <xf numFmtId="198"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2" fontId="31" fillId="0" borderId="83">
      <alignment vertical="center"/>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0" fontId="31" fillId="0" borderId="83">
      <alignment vertical="center"/>
      <protection locked="0"/>
    </xf>
    <xf numFmtId="0" fontId="31" fillId="60" borderId="91" applyNumberFormat="0">
      <protection locked="0"/>
    </xf>
    <xf numFmtId="0" fontId="117" fillId="0" borderId="71" applyNumberFormat="0" applyAlignment="0" applyProtection="0">
      <alignment horizontal="left" vertical="center"/>
    </xf>
    <xf numFmtId="202" fontId="31" fillId="0" borderId="83">
      <alignment horizontal="center" vertical="center"/>
      <protection locked="0"/>
    </xf>
    <xf numFmtId="0" fontId="117" fillId="0" borderId="71" applyNumberFormat="0" applyAlignment="0" applyProtection="0">
      <alignment horizontal="left" vertical="center"/>
    </xf>
    <xf numFmtId="0" fontId="31" fillId="0" borderId="83" applyAlignment="0">
      <protection locked="0"/>
    </xf>
    <xf numFmtId="0" fontId="31" fillId="60" borderId="91" applyNumberFormat="0">
      <protection locked="0"/>
    </xf>
    <xf numFmtId="199" fontId="31" fillId="0" borderId="83">
      <alignment horizontal="center" vertical="center"/>
      <protection locked="0"/>
    </xf>
    <xf numFmtId="201" fontId="31" fillId="0" borderId="83">
      <alignment vertical="center"/>
      <protection locked="0"/>
    </xf>
    <xf numFmtId="193" fontId="31" fillId="0" borderId="83">
      <alignment horizontal="center" vertical="center"/>
      <protection locked="0"/>
    </xf>
    <xf numFmtId="203" fontId="31" fillId="0" borderId="83">
      <alignment horizontal="right" vertical="center"/>
      <protection locked="0"/>
    </xf>
    <xf numFmtId="0" fontId="31" fillId="60" borderId="91" applyNumberFormat="0">
      <protection locked="0"/>
    </xf>
    <xf numFmtId="193" fontId="31" fillId="0" borderId="83">
      <alignment horizontal="center" vertical="center"/>
      <protection locked="0"/>
    </xf>
    <xf numFmtId="200"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horizontal="center" vertical="center"/>
      <protection locked="0"/>
    </xf>
    <xf numFmtId="20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193" fontId="31" fillId="0" borderId="83">
      <alignment horizontal="center" vertical="center"/>
      <protection locked="0"/>
    </xf>
    <xf numFmtId="4" fontId="48" fillId="117" borderId="89" applyNumberFormat="0" applyProtection="0">
      <alignment horizontal="left" vertical="center" indent="1"/>
    </xf>
    <xf numFmtId="198" fontId="31" fillId="0" borderId="83">
      <alignment vertical="center"/>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0"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200" fontId="31" fillId="0" borderId="83">
      <alignment vertical="center"/>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0" fontId="31" fillId="0" borderId="83" applyAlignment="0">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1" fontId="31" fillId="0" borderId="83">
      <alignment horizontal="center" vertical="center"/>
      <protection locked="0"/>
    </xf>
    <xf numFmtId="193"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9" fontId="31" fillId="0" borderId="83">
      <alignment horizontal="center" vertical="center"/>
      <protection locked="0"/>
    </xf>
    <xf numFmtId="201" fontId="31" fillId="0" borderId="83">
      <alignment vertical="center"/>
      <protection locked="0"/>
    </xf>
    <xf numFmtId="19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2" fontId="31" fillId="0" borderId="83">
      <alignment vertical="center"/>
      <protection locked="0"/>
    </xf>
    <xf numFmtId="201" fontId="31" fillId="0" borderId="83">
      <alignment horizontal="center" vertical="center"/>
      <protection locked="0"/>
    </xf>
    <xf numFmtId="201" fontId="31" fillId="0" borderId="83">
      <alignment horizontal="center" vertical="center"/>
      <protection locked="0"/>
    </xf>
    <xf numFmtId="202" fontId="31" fillId="0" borderId="83">
      <alignment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202" fontId="31" fillId="0" borderId="83">
      <alignment horizontal="center" vertical="center"/>
      <protection locked="0"/>
    </xf>
    <xf numFmtId="201" fontId="31" fillId="0" borderId="83">
      <alignment horizontal="center" vertical="center"/>
      <protection locked="0"/>
    </xf>
    <xf numFmtId="201"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right" vertical="center"/>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203" fontId="31" fillId="0" borderId="83">
      <alignment horizontal="right" vertical="center"/>
      <protection locked="0"/>
    </xf>
    <xf numFmtId="0" fontId="31" fillId="0" borderId="83" applyAlignment="0">
      <protection locked="0"/>
    </xf>
    <xf numFmtId="0" fontId="31" fillId="0" borderId="83" applyAlignment="0">
      <protection locked="0"/>
    </xf>
    <xf numFmtId="200" fontId="31" fillId="0" borderId="83">
      <alignment vertical="center"/>
      <protection locked="0"/>
    </xf>
    <xf numFmtId="0" fontId="31" fillId="60" borderId="91" applyNumberFormat="0">
      <protection locked="0"/>
    </xf>
    <xf numFmtId="202"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202"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199" fontId="31" fillId="0" borderId="83">
      <alignment horizontal="center"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203" fontId="31" fillId="0" borderId="83">
      <alignment horizontal="right" vertical="center"/>
      <protection locked="0"/>
    </xf>
    <xf numFmtId="0" fontId="31" fillId="0" borderId="83" applyAlignmen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0" borderId="83" applyAlignment="0">
      <protection locked="0"/>
    </xf>
    <xf numFmtId="203" fontId="31" fillId="0" borderId="83">
      <alignment horizontal="right"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3" fontId="31" fillId="0" borderId="83">
      <alignment horizontal="right" vertical="center"/>
      <protection locked="0"/>
    </xf>
    <xf numFmtId="198" fontId="31" fillId="0" borderId="83">
      <alignment horizontal="center" vertical="center"/>
      <protection locked="0"/>
    </xf>
    <xf numFmtId="0" fontId="31" fillId="0" borderId="83" applyAlignment="0">
      <protection locked="0"/>
    </xf>
    <xf numFmtId="199"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203" fontId="31" fillId="0" borderId="83">
      <alignment horizontal="right" vertical="center"/>
      <protection locked="0"/>
    </xf>
    <xf numFmtId="198"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201" fontId="31" fillId="0" borderId="83">
      <alignment vertical="center"/>
      <protection locked="0"/>
    </xf>
    <xf numFmtId="203" fontId="31" fillId="0" borderId="83">
      <alignment horizontal="right" vertical="center"/>
      <protection locked="0"/>
    </xf>
    <xf numFmtId="199" fontId="31" fillId="0" borderId="83">
      <alignment horizontal="center" vertical="center"/>
      <protection locked="0"/>
    </xf>
    <xf numFmtId="0" fontId="31" fillId="0" borderId="83" applyAlignment="0">
      <protection locked="0"/>
    </xf>
    <xf numFmtId="193" fontId="31" fillId="0" borderId="83">
      <alignment horizontal="center" vertical="center"/>
      <protection locked="0"/>
    </xf>
    <xf numFmtId="4" fontId="48" fillId="117" borderId="89" applyNumberFormat="0" applyProtection="0">
      <alignment horizontal="left" vertical="center" indent="1"/>
    </xf>
    <xf numFmtId="202"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201"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right" vertical="center"/>
      <protection locked="0"/>
    </xf>
    <xf numFmtId="199"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right"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1" fontId="31" fillId="0" borderId="83">
      <alignment vertical="center"/>
      <protection locked="0"/>
    </xf>
    <xf numFmtId="200" fontId="31" fillId="0" borderId="83">
      <alignment horizontal="center" vertical="center"/>
      <protection locked="0"/>
    </xf>
    <xf numFmtId="0" fontId="117" fillId="0" borderId="71" applyNumberFormat="0" applyAlignment="0" applyProtection="0">
      <alignment horizontal="left" vertical="center"/>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193" fontId="31" fillId="0" borderId="83">
      <alignment horizontal="right" vertical="center"/>
      <protection locked="0"/>
    </xf>
    <xf numFmtId="4" fontId="48" fillId="117" borderId="89" applyNumberFormat="0" applyProtection="0">
      <alignment horizontal="left" vertical="center" indent="1"/>
    </xf>
    <xf numFmtId="193" fontId="31" fillId="0" borderId="83">
      <alignment horizontal="right" vertical="center"/>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202" fontId="31" fillId="0" borderId="83">
      <alignment vertical="center"/>
      <protection locked="0"/>
    </xf>
    <xf numFmtId="193" fontId="31" fillId="0" borderId="83">
      <alignment horizontal="right" vertical="center"/>
      <protection locked="0"/>
    </xf>
    <xf numFmtId="0" fontId="31" fillId="60" borderId="91" applyNumberFormat="0">
      <protection locked="0"/>
    </xf>
    <xf numFmtId="202" fontId="31" fillId="0" borderId="83">
      <alignment horizontal="center" vertical="center"/>
      <protection locked="0"/>
    </xf>
    <xf numFmtId="201" fontId="31" fillId="0" borderId="83">
      <alignment horizontal="center" vertical="center"/>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horizontal="center" vertical="center"/>
      <protection locked="0"/>
    </xf>
    <xf numFmtId="203" fontId="31" fillId="0" borderId="83">
      <alignment horizontal="right" vertical="center"/>
      <protection locked="0"/>
    </xf>
    <xf numFmtId="201" fontId="31" fillId="0" borderId="83">
      <alignment vertical="center"/>
      <protection locked="0"/>
    </xf>
    <xf numFmtId="198" fontId="31" fillId="0" borderId="83">
      <alignment horizontal="center" vertical="center"/>
      <protection locked="0"/>
    </xf>
    <xf numFmtId="201" fontId="31" fillId="0" borderId="83">
      <alignment vertical="center"/>
      <protection locked="0"/>
    </xf>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198" fontId="31" fillId="0" borderId="83">
      <alignment vertical="center"/>
      <protection locked="0"/>
    </xf>
    <xf numFmtId="203" fontId="31" fillId="0" borderId="83">
      <alignment horizontal="right" vertical="center"/>
      <protection locked="0"/>
    </xf>
    <xf numFmtId="19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200" fontId="31" fillId="0" borderId="83">
      <alignment horizontal="center" vertical="center"/>
      <protection locked="0"/>
    </xf>
    <xf numFmtId="198" fontId="31" fillId="0" borderId="83">
      <alignment horizontal="center" vertical="center"/>
      <protection locked="0"/>
    </xf>
    <xf numFmtId="201"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4" fontId="48" fillId="117" borderId="89" applyNumberFormat="0" applyProtection="0">
      <alignment horizontal="left" vertical="center" indent="1"/>
    </xf>
    <xf numFmtId="198"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193" fontId="31" fillId="0" borderId="83">
      <alignment horizontal="right" vertical="center"/>
      <protection locked="0"/>
    </xf>
    <xf numFmtId="201"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198" fontId="31" fillId="0" borderId="83">
      <alignment horizontal="center" vertical="center"/>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0" fontId="31" fillId="0" borderId="83">
      <alignment horizontal="center" vertical="center"/>
      <protection locked="0"/>
    </xf>
    <xf numFmtId="198" fontId="31" fillId="0" borderId="83">
      <alignment horizontal="center" vertical="center"/>
      <protection locked="0"/>
    </xf>
    <xf numFmtId="201"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198" fontId="31" fillId="0" borderId="83">
      <alignment vertical="center"/>
      <protection locked="0"/>
    </xf>
    <xf numFmtId="198" fontId="31" fillId="0" borderId="83">
      <alignment horizontal="center" vertical="center"/>
      <protection locked="0"/>
    </xf>
    <xf numFmtId="0" fontId="31" fillId="60" borderId="91" applyNumberFormat="0">
      <protection locked="0"/>
    </xf>
    <xf numFmtId="44" fontId="4" fillId="0" borderId="0" applyFont="0" applyFill="0" applyBorder="0" applyAlignment="0" applyProtection="0"/>
    <xf numFmtId="0" fontId="31" fillId="60" borderId="91" applyNumberFormat="0">
      <protection locked="0"/>
    </xf>
    <xf numFmtId="202"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201" fontId="31" fillId="0" borderId="83">
      <alignment vertical="center"/>
      <protection locked="0"/>
    </xf>
    <xf numFmtId="0" fontId="31" fillId="0" borderId="83" applyAlignment="0">
      <protection locked="0"/>
    </xf>
    <xf numFmtId="200" fontId="31" fillId="0" borderId="83">
      <alignment horizontal="center" vertical="center"/>
      <protection locked="0"/>
    </xf>
    <xf numFmtId="0" fontId="31" fillId="60" borderId="91" applyNumberFormat="0">
      <protection locked="0"/>
    </xf>
    <xf numFmtId="201" fontId="31" fillId="0" borderId="83">
      <alignment vertical="center"/>
      <protection locked="0"/>
    </xf>
    <xf numFmtId="0" fontId="117" fillId="0" borderId="71" applyNumberFormat="0" applyAlignment="0" applyProtection="0">
      <alignment horizontal="left" vertical="center"/>
    </xf>
    <xf numFmtId="0" fontId="31" fillId="60" borderId="91" applyNumberFormat="0">
      <protection locked="0"/>
    </xf>
    <xf numFmtId="198" fontId="31" fillId="0" borderId="83">
      <alignment vertical="center"/>
      <protection locked="0"/>
    </xf>
    <xf numFmtId="200" fontId="31" fillId="0" borderId="83">
      <alignment horizontal="center" vertical="center"/>
      <protection locked="0"/>
    </xf>
    <xf numFmtId="200" fontId="31" fillId="0" borderId="83">
      <alignment vertical="center"/>
      <protection locked="0"/>
    </xf>
    <xf numFmtId="4" fontId="48" fillId="117" borderId="89" applyNumberFormat="0" applyProtection="0">
      <alignment horizontal="left" vertical="center" indent="1"/>
    </xf>
    <xf numFmtId="199" fontId="31" fillId="0" borderId="83">
      <alignment horizontal="center" vertical="center"/>
      <protection locked="0"/>
    </xf>
    <xf numFmtId="200" fontId="31" fillId="0" borderId="83">
      <alignment vertical="center"/>
      <protection locked="0"/>
    </xf>
    <xf numFmtId="0" fontId="117" fillId="0" borderId="71" applyNumberFormat="0" applyAlignment="0" applyProtection="0">
      <alignment horizontal="left" vertical="center"/>
    </xf>
    <xf numFmtId="202"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202" fontId="31" fillId="0" borderId="83">
      <alignment vertical="center"/>
      <protection locked="0"/>
    </xf>
    <xf numFmtId="202" fontId="31" fillId="0" borderId="83">
      <alignment vertical="center"/>
      <protection locked="0"/>
    </xf>
    <xf numFmtId="201" fontId="31" fillId="0" borderId="83">
      <alignment horizontal="center" vertical="center"/>
      <protection locked="0"/>
    </xf>
    <xf numFmtId="193"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2"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201" fontId="31" fillId="0" borderId="83">
      <alignment horizontal="center" vertical="center"/>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202" fontId="31" fillId="0" borderId="83">
      <alignmen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right" vertical="center"/>
      <protection locked="0"/>
    </xf>
    <xf numFmtId="0" fontId="117" fillId="0" borderId="71" applyNumberFormat="0" applyAlignment="0" applyProtection="0">
      <alignment horizontal="left" vertical="center"/>
    </xf>
    <xf numFmtId="203" fontId="31" fillId="0" borderId="83">
      <alignment horizontal="right"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199" fontId="31" fillId="0" borderId="83">
      <alignment horizontal="center" vertical="center"/>
      <protection locked="0"/>
    </xf>
    <xf numFmtId="201"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202" fontId="31" fillId="0" borderId="83">
      <alignment vertical="center"/>
      <protection locked="0"/>
    </xf>
    <xf numFmtId="0" fontId="31" fillId="60" borderId="91" applyNumberFormat="0">
      <protection locked="0"/>
    </xf>
    <xf numFmtId="193" fontId="31" fillId="0" borderId="83">
      <alignment horizontal="right" vertical="center"/>
      <protection locked="0"/>
    </xf>
    <xf numFmtId="200" fontId="31" fillId="0" borderId="83">
      <alignment horizontal="center" vertical="center"/>
      <protection locked="0"/>
    </xf>
    <xf numFmtId="203" fontId="31" fillId="0" borderId="83">
      <alignment horizontal="right" vertical="center"/>
      <protection locked="0"/>
    </xf>
    <xf numFmtId="202" fontId="31" fillId="0" borderId="83">
      <alignment horizontal="center" vertical="center"/>
      <protection locked="0"/>
    </xf>
    <xf numFmtId="200"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200" fontId="31" fillId="0" borderId="83">
      <alignment horizontal="center" vertical="center"/>
      <protection locked="0"/>
    </xf>
    <xf numFmtId="201" fontId="31" fillId="0" borderId="83">
      <alignment horizontal="center" vertical="center"/>
      <protection locked="0"/>
    </xf>
    <xf numFmtId="200" fontId="31" fillId="0" borderId="83">
      <alignment vertical="center"/>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198" fontId="31" fillId="0" borderId="83">
      <alignment horizontal="center" vertical="center"/>
      <protection locked="0"/>
    </xf>
    <xf numFmtId="4" fontId="48" fillId="117" borderId="89" applyNumberFormat="0" applyProtection="0">
      <alignment horizontal="left" vertical="center" indent="1"/>
    </xf>
    <xf numFmtId="201" fontId="31" fillId="0" borderId="83">
      <alignment horizontal="center" vertical="center"/>
      <protection locked="0"/>
    </xf>
    <xf numFmtId="200" fontId="31" fillId="0" borderId="83">
      <alignment vertical="center"/>
      <protection locked="0"/>
    </xf>
    <xf numFmtId="199" fontId="31" fillId="0" borderId="83">
      <alignment horizontal="center" vertical="center"/>
      <protection locked="0"/>
    </xf>
    <xf numFmtId="0" fontId="31" fillId="60" borderId="91" applyNumberFormat="0">
      <protection locked="0"/>
    </xf>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right" vertical="center"/>
      <protection locked="0"/>
    </xf>
    <xf numFmtId="0" fontId="31" fillId="60" borderId="91" applyNumberFormat="0">
      <protection locked="0"/>
    </xf>
    <xf numFmtId="200" fontId="31" fillId="0" borderId="83">
      <alignment vertical="center"/>
      <protection locked="0"/>
    </xf>
    <xf numFmtId="198" fontId="31" fillId="0" borderId="83">
      <alignment vertical="center"/>
      <protection locked="0"/>
    </xf>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2" fillId="0" borderId="0"/>
    <xf numFmtId="9" fontId="2" fillId="0" borderId="0" applyFont="0" applyFill="0" applyBorder="0" applyAlignment="0" applyProtection="0"/>
    <xf numFmtId="3" fontId="15" fillId="15" borderId="65" applyAlignment="0" applyProtection="0"/>
    <xf numFmtId="0" fontId="2" fillId="0" borderId="0"/>
    <xf numFmtId="3" fontId="15" fillId="15" borderId="65" applyAlignment="0" applyProtection="0"/>
    <xf numFmtId="3" fontId="15" fillId="15" borderId="65" applyAlignment="0" applyProtection="0"/>
    <xf numFmtId="0" fontId="2" fillId="0" borderId="0"/>
    <xf numFmtId="200" fontId="31" fillId="0" borderId="83">
      <alignment vertical="center"/>
      <protection locked="0"/>
    </xf>
    <xf numFmtId="202" fontId="31" fillId="0" borderId="83">
      <alignment horizontal="center" vertical="center"/>
      <protection locked="0"/>
    </xf>
    <xf numFmtId="200" fontId="31" fillId="0" borderId="83">
      <alignment horizontal="center" vertical="center"/>
      <protection locked="0"/>
    </xf>
    <xf numFmtId="203" fontId="31" fillId="0" borderId="83">
      <alignment horizontal="right" vertical="center"/>
      <protection locked="0"/>
    </xf>
    <xf numFmtId="203" fontId="31" fillId="0" borderId="83">
      <alignment horizontal="right" vertical="center"/>
      <protection locked="0"/>
    </xf>
    <xf numFmtId="193" fontId="31" fillId="0" borderId="83">
      <alignment horizontal="center" vertical="center"/>
      <protection locked="0"/>
    </xf>
    <xf numFmtId="193" fontId="31" fillId="0" borderId="83">
      <alignment horizontal="right" vertical="center"/>
      <protection locked="0"/>
    </xf>
    <xf numFmtId="19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200" fontId="31" fillId="0" borderId="83">
      <alignment vertical="center"/>
      <protection locked="0"/>
    </xf>
    <xf numFmtId="0" fontId="31" fillId="60" borderId="91" applyNumberFormat="0">
      <protection locked="0"/>
    </xf>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200" fontId="31" fillId="0" borderId="83">
      <alignment horizontal="center" vertical="center"/>
      <protection locked="0"/>
    </xf>
    <xf numFmtId="0" fontId="31" fillId="60" borderId="91" applyNumberFormat="0">
      <protection locked="0"/>
    </xf>
    <xf numFmtId="0" fontId="31" fillId="0" borderId="83" applyAlignment="0">
      <protection locked="0"/>
    </xf>
    <xf numFmtId="201"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2"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201" fontId="31" fillId="0" borderId="83">
      <alignment vertical="center"/>
      <protection locked="0"/>
    </xf>
    <xf numFmtId="0" fontId="31" fillId="60" borderId="91" applyNumberFormat="0">
      <protection locked="0"/>
    </xf>
    <xf numFmtId="201"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202" fontId="31" fillId="0" borderId="83">
      <alignment vertical="center"/>
      <protection locked="0"/>
    </xf>
    <xf numFmtId="0" fontId="31" fillId="60" borderId="91" applyNumberFormat="0">
      <protection locked="0"/>
    </xf>
    <xf numFmtId="202" fontId="31" fillId="0" borderId="83">
      <alignment vertical="center"/>
      <protection locked="0"/>
    </xf>
    <xf numFmtId="198" fontId="31" fillId="0" borderId="83">
      <alignment horizontal="center" vertical="center"/>
      <protection locked="0"/>
    </xf>
    <xf numFmtId="0" fontId="31" fillId="0" borderId="83" applyAlignment="0">
      <protection locked="0"/>
    </xf>
    <xf numFmtId="193" fontId="31" fillId="0" borderId="83">
      <alignment horizontal="center" vertical="center"/>
      <protection locked="0"/>
    </xf>
    <xf numFmtId="200" fontId="31" fillId="0" borderId="83">
      <alignment horizontal="center" vertical="center"/>
      <protection locked="0"/>
    </xf>
    <xf numFmtId="202"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1" fontId="31" fillId="0" borderId="83">
      <alignment vertical="center"/>
      <protection locked="0"/>
    </xf>
    <xf numFmtId="193" fontId="31" fillId="0" borderId="83">
      <alignment horizontal="right"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193" fontId="31" fillId="0" borderId="83">
      <alignment horizontal="center" vertical="center"/>
      <protection locked="0"/>
    </xf>
    <xf numFmtId="202"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2" fontId="31" fillId="0" borderId="83">
      <alignment vertical="center"/>
      <protection locked="0"/>
    </xf>
    <xf numFmtId="201" fontId="31" fillId="0" borderId="83">
      <alignment vertical="center"/>
      <protection locked="0"/>
    </xf>
    <xf numFmtId="201" fontId="31" fillId="0" borderId="83">
      <alignment vertical="center"/>
      <protection locked="0"/>
    </xf>
    <xf numFmtId="0" fontId="31" fillId="0" borderId="83" applyAlignment="0">
      <protection locked="0"/>
    </xf>
    <xf numFmtId="0" fontId="31" fillId="0" borderId="83" applyAlignment="0">
      <protection locked="0"/>
    </xf>
    <xf numFmtId="193" fontId="31" fillId="0" borderId="83">
      <alignment horizontal="center" vertical="center"/>
      <protection locked="0"/>
    </xf>
    <xf numFmtId="193" fontId="31" fillId="0" borderId="83">
      <alignment horizontal="center" vertical="center"/>
      <protection locked="0"/>
    </xf>
    <xf numFmtId="202" fontId="31" fillId="0" borderId="83">
      <alignment horizontal="center" vertical="center"/>
      <protection locked="0"/>
    </xf>
    <xf numFmtId="201" fontId="31" fillId="0" borderId="83">
      <alignment horizontal="center" vertical="center"/>
      <protection locked="0"/>
    </xf>
    <xf numFmtId="200" fontId="31" fillId="0" borderId="83">
      <alignment horizontal="center" vertical="center"/>
      <protection locked="0"/>
    </xf>
    <xf numFmtId="200"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203" fontId="31" fillId="0" borderId="83">
      <alignment horizontal="right" vertical="center"/>
      <protection locked="0"/>
    </xf>
    <xf numFmtId="200" fontId="31" fillId="0" borderId="83">
      <alignment vertical="center"/>
      <protection locked="0"/>
    </xf>
    <xf numFmtId="202" fontId="31" fillId="0" borderId="83">
      <alignment vertical="center"/>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201" fontId="31" fillId="0" borderId="83">
      <alignment horizontal="center"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4" fontId="48" fillId="117" borderId="89" applyNumberFormat="0" applyProtection="0">
      <alignment horizontal="left" vertical="center" indent="1"/>
    </xf>
    <xf numFmtId="203" fontId="31" fillId="0" borderId="83">
      <alignment horizontal="right" vertical="center"/>
      <protection locked="0"/>
    </xf>
    <xf numFmtId="200" fontId="31" fillId="0" borderId="83">
      <alignment horizontal="center" vertical="center"/>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193" fontId="31" fillId="0" borderId="83">
      <alignment horizontal="right" vertical="center"/>
      <protection locked="0"/>
    </xf>
    <xf numFmtId="201"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199"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202" fontId="31" fillId="0" borderId="83">
      <alignment horizontal="center" vertical="center"/>
      <protection locked="0"/>
    </xf>
    <xf numFmtId="198"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2" fontId="31" fillId="0" borderId="83">
      <alignment horizontal="center" vertical="center"/>
      <protection locked="0"/>
    </xf>
    <xf numFmtId="199" fontId="31" fillId="0" borderId="83">
      <alignment horizontal="center" vertical="center"/>
      <protection locked="0"/>
    </xf>
    <xf numFmtId="201"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202"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vertical="center"/>
      <protection locked="0"/>
    </xf>
    <xf numFmtId="4" fontId="48" fillId="117" borderId="89" applyNumberFormat="0" applyProtection="0">
      <alignment horizontal="left" vertical="center" indent="1"/>
    </xf>
    <xf numFmtId="202" fontId="31" fillId="0" borderId="83">
      <alignment horizontal="center" vertical="center"/>
      <protection locked="0"/>
    </xf>
    <xf numFmtId="0" fontId="31" fillId="60" borderId="91" applyNumberFormat="0">
      <protection locked="0"/>
    </xf>
    <xf numFmtId="198"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0" borderId="83" applyAlignment="0">
      <protection locked="0"/>
    </xf>
    <xf numFmtId="200" fontId="31" fillId="0" borderId="83">
      <alignment horizontal="center" vertical="center"/>
      <protection locked="0"/>
    </xf>
    <xf numFmtId="202" fontId="31" fillId="0" borderId="83">
      <alignment horizontal="center" vertical="center"/>
      <protection locked="0"/>
    </xf>
    <xf numFmtId="202" fontId="31" fillId="0" borderId="83">
      <alignment horizontal="center" vertical="center"/>
      <protection locked="0"/>
    </xf>
    <xf numFmtId="193" fontId="31" fillId="0" borderId="83">
      <alignment horizontal="center" vertical="center"/>
      <protection locked="0"/>
    </xf>
    <xf numFmtId="0" fontId="31" fillId="0" borderId="83" applyAlignment="0">
      <protection locked="0"/>
    </xf>
    <xf numFmtId="203" fontId="31" fillId="0" borderId="83">
      <alignment horizontal="right" vertical="center"/>
      <protection locked="0"/>
    </xf>
    <xf numFmtId="203" fontId="31" fillId="0" borderId="83">
      <alignment horizontal="right" vertical="center"/>
      <protection locked="0"/>
    </xf>
    <xf numFmtId="202" fontId="31" fillId="0" borderId="83">
      <alignment vertical="center"/>
      <protection locked="0"/>
    </xf>
    <xf numFmtId="193" fontId="31" fillId="0" borderId="83">
      <alignment horizontal="right" vertical="center"/>
      <protection locked="0"/>
    </xf>
    <xf numFmtId="193" fontId="31" fillId="0" borderId="83">
      <alignment horizontal="center" vertical="center"/>
      <protection locked="0"/>
    </xf>
    <xf numFmtId="0" fontId="31" fillId="60" borderId="91" applyNumberFormat="0">
      <protection locked="0"/>
    </xf>
    <xf numFmtId="198"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198" fontId="31" fillId="0" borderId="83">
      <alignment vertical="center"/>
      <protection locked="0"/>
    </xf>
    <xf numFmtId="203" fontId="31" fillId="0" borderId="83">
      <alignment horizontal="right" vertical="center"/>
      <protection locked="0"/>
    </xf>
    <xf numFmtId="201" fontId="31" fillId="0" borderId="83">
      <alignmen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200" fontId="31" fillId="0" borderId="83">
      <alignment vertical="center"/>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202" fontId="31" fillId="0" borderId="83">
      <alignment horizontal="center" vertical="center"/>
      <protection locked="0"/>
    </xf>
    <xf numFmtId="203" fontId="31" fillId="0" borderId="83">
      <alignment horizontal="right" vertical="center"/>
      <protection locked="0"/>
    </xf>
    <xf numFmtId="198" fontId="31" fillId="0" borderId="83">
      <alignment vertical="center"/>
      <protection locked="0"/>
    </xf>
    <xf numFmtId="201" fontId="31" fillId="0" borderId="83">
      <alignment vertical="center"/>
      <protection locked="0"/>
    </xf>
    <xf numFmtId="201" fontId="31" fillId="0" borderId="83">
      <alignment vertical="center"/>
      <protection locked="0"/>
    </xf>
    <xf numFmtId="202" fontId="31" fillId="0" borderId="83">
      <alignment vertical="center"/>
      <protection locked="0"/>
    </xf>
    <xf numFmtId="202" fontId="31" fillId="0" borderId="83">
      <alignment vertical="center"/>
      <protection locked="0"/>
    </xf>
    <xf numFmtId="193" fontId="31" fillId="0" borderId="83">
      <alignment horizontal="center" vertical="center"/>
      <protection locked="0"/>
    </xf>
    <xf numFmtId="199"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200" fontId="31" fillId="0" borderId="83">
      <alignment vertical="center"/>
      <protection locked="0"/>
    </xf>
    <xf numFmtId="198" fontId="31" fillId="0" borderId="83">
      <alignment horizontal="center" vertical="center"/>
      <protection locked="0"/>
    </xf>
    <xf numFmtId="203" fontId="31" fillId="0" borderId="83">
      <alignment horizontal="right" vertical="center"/>
      <protection locked="0"/>
    </xf>
    <xf numFmtId="198" fontId="31" fillId="0" borderId="83">
      <alignment horizontal="center" vertical="center"/>
      <protection locked="0"/>
    </xf>
    <xf numFmtId="4" fontId="48" fillId="117" borderId="89" applyNumberFormat="0" applyProtection="0">
      <alignment horizontal="left" vertical="center" indent="1"/>
    </xf>
    <xf numFmtId="193" fontId="31" fillId="0" borderId="83">
      <alignment horizontal="center" vertical="center"/>
      <protection locked="0"/>
    </xf>
    <xf numFmtId="199"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202" fontId="31" fillId="0" borderId="83">
      <alignment vertical="center"/>
      <protection locked="0"/>
    </xf>
    <xf numFmtId="201"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200" fontId="31" fillId="0" borderId="83">
      <alignment horizontal="center" vertical="center"/>
      <protection locked="0"/>
    </xf>
    <xf numFmtId="0" fontId="31" fillId="60" borderId="91" applyNumberFormat="0">
      <protection locked="0"/>
    </xf>
    <xf numFmtId="193" fontId="31" fillId="0" borderId="83">
      <alignment horizontal="center" vertical="center"/>
      <protection locked="0"/>
    </xf>
    <xf numFmtId="193" fontId="31" fillId="0" borderId="83">
      <alignment horizontal="center" vertical="center"/>
      <protection locked="0"/>
    </xf>
    <xf numFmtId="0" fontId="31" fillId="60" borderId="91" applyNumberFormat="0">
      <protection locked="0"/>
    </xf>
    <xf numFmtId="193" fontId="31" fillId="0" borderId="83">
      <alignment horizontal="right"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3" fontId="31" fillId="0" borderId="83">
      <alignment horizontal="right" vertical="center"/>
      <protection locked="0"/>
    </xf>
    <xf numFmtId="198" fontId="31" fillId="0" borderId="83">
      <alignment horizontal="center" vertical="center"/>
      <protection locked="0"/>
    </xf>
    <xf numFmtId="202"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3" fontId="31" fillId="0" borderId="83">
      <alignment horizontal="center" vertical="center"/>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199" fontId="31" fillId="0" borderId="83">
      <alignment horizontal="center" vertical="center"/>
      <protection locked="0"/>
    </xf>
    <xf numFmtId="193" fontId="31" fillId="0" borderId="83">
      <alignment horizontal="right" vertical="center"/>
      <protection locked="0"/>
    </xf>
    <xf numFmtId="0" fontId="31" fillId="60" borderId="91" applyNumberFormat="0">
      <protection locked="0"/>
    </xf>
    <xf numFmtId="200" fontId="31" fillId="0" borderId="83">
      <alignment vertical="center"/>
      <protection locked="0"/>
    </xf>
    <xf numFmtId="203" fontId="31" fillId="0" borderId="83">
      <alignment horizontal="right" vertical="center"/>
      <protection locked="0"/>
    </xf>
    <xf numFmtId="0" fontId="31" fillId="0" borderId="83" applyAlignment="0">
      <protection locked="0"/>
    </xf>
    <xf numFmtId="193" fontId="31" fillId="0" borderId="83">
      <alignment horizontal="center" vertical="center"/>
      <protection locked="0"/>
    </xf>
    <xf numFmtId="198" fontId="31" fillId="0" borderId="83">
      <alignment horizontal="center" vertical="center"/>
      <protection locked="0"/>
    </xf>
    <xf numFmtId="202" fontId="31" fillId="0" borderId="83">
      <alignment vertical="center"/>
      <protection locked="0"/>
    </xf>
    <xf numFmtId="198" fontId="31" fillId="0" borderId="83">
      <alignment vertical="center"/>
      <protection locked="0"/>
    </xf>
    <xf numFmtId="4" fontId="48" fillId="117" borderId="89" applyNumberFormat="0" applyProtection="0">
      <alignment horizontal="left" vertical="center" indent="1"/>
    </xf>
    <xf numFmtId="200" fontId="31" fillId="0" borderId="83">
      <alignment horizontal="center" vertical="center"/>
      <protection locked="0"/>
    </xf>
    <xf numFmtId="193" fontId="31" fillId="0" borderId="83">
      <alignment horizontal="center" vertical="center"/>
      <protection locked="0"/>
    </xf>
    <xf numFmtId="200" fontId="31" fillId="0" borderId="83">
      <alignment vertical="center"/>
      <protection locked="0"/>
    </xf>
    <xf numFmtId="198" fontId="31" fillId="0" borderId="83">
      <alignment vertical="center"/>
      <protection locked="0"/>
    </xf>
    <xf numFmtId="200" fontId="31" fillId="0" borderId="83">
      <alignment horizontal="center" vertical="center"/>
      <protection locked="0"/>
    </xf>
    <xf numFmtId="201" fontId="31" fillId="0" borderId="83">
      <alignment vertical="center"/>
      <protection locked="0"/>
    </xf>
    <xf numFmtId="201" fontId="31" fillId="0" borderId="83">
      <alignment horizontal="center" vertical="center"/>
      <protection locked="0"/>
    </xf>
    <xf numFmtId="0" fontId="31" fillId="0" borderId="83" applyAlignment="0">
      <protection locked="0"/>
    </xf>
    <xf numFmtId="198" fontId="31" fillId="0" borderId="83">
      <alignment vertical="center"/>
      <protection locked="0"/>
    </xf>
    <xf numFmtId="200" fontId="31" fillId="0" borderId="83">
      <alignment vertical="center"/>
      <protection locked="0"/>
    </xf>
    <xf numFmtId="193" fontId="31" fillId="0" borderId="83">
      <alignment horizontal="right" vertical="center"/>
      <protection locked="0"/>
    </xf>
    <xf numFmtId="0" fontId="31" fillId="60" borderId="91" applyNumberFormat="0">
      <protection locked="0"/>
    </xf>
    <xf numFmtId="0" fontId="31" fillId="60" borderId="91" applyNumberFormat="0">
      <protection locked="0"/>
    </xf>
    <xf numFmtId="200" fontId="31" fillId="0" borderId="83">
      <alignment horizontal="center" vertical="center"/>
      <protection locked="0"/>
    </xf>
    <xf numFmtId="0" fontId="31" fillId="0" borderId="83" applyAlignment="0">
      <protection locked="0"/>
    </xf>
    <xf numFmtId="0" fontId="31" fillId="60" borderId="91" applyNumberFormat="0">
      <protection locked="0"/>
    </xf>
    <xf numFmtId="0" fontId="31" fillId="60" borderId="91" applyNumberFormat="0">
      <protection locked="0"/>
    </xf>
    <xf numFmtId="203" fontId="31" fillId="0" borderId="83">
      <alignment horizontal="right"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0" fontId="117" fillId="0" borderId="71" applyNumberFormat="0" applyAlignment="0" applyProtection="0">
      <alignment horizontal="left" vertical="center"/>
    </xf>
    <xf numFmtId="0" fontId="31" fillId="60" borderId="91" applyNumberFormat="0">
      <protection locked="0"/>
    </xf>
    <xf numFmtId="200" fontId="31" fillId="0" borderId="83">
      <alignment vertical="center"/>
      <protection locked="0"/>
    </xf>
    <xf numFmtId="198" fontId="31" fillId="0" borderId="83">
      <alignment vertical="center"/>
      <protection locked="0"/>
    </xf>
    <xf numFmtId="0" fontId="31" fillId="60" borderId="91" applyNumberFormat="0">
      <protection locked="0"/>
    </xf>
    <xf numFmtId="0" fontId="31" fillId="60" borderId="91" applyNumberFormat="0">
      <protection locked="0"/>
    </xf>
    <xf numFmtId="200" fontId="31" fillId="0" borderId="83">
      <alignment vertical="center"/>
      <protection locked="0"/>
    </xf>
    <xf numFmtId="0" fontId="31" fillId="60" borderId="91" applyNumberFormat="0">
      <protection locked="0"/>
    </xf>
    <xf numFmtId="0" fontId="31" fillId="60" borderId="91" applyNumberFormat="0">
      <protection locked="0"/>
    </xf>
    <xf numFmtId="201" fontId="31" fillId="0" borderId="83">
      <alignment vertical="center"/>
      <protection locked="0"/>
    </xf>
    <xf numFmtId="201" fontId="31" fillId="0" borderId="83">
      <alignment vertical="center"/>
      <protection locked="0"/>
    </xf>
    <xf numFmtId="198" fontId="31" fillId="0" borderId="83">
      <alignment horizontal="center"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193"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193" fontId="31" fillId="0" borderId="83">
      <alignment horizontal="right" vertical="center"/>
      <protection locked="0"/>
    </xf>
    <xf numFmtId="203" fontId="31" fillId="0" borderId="83">
      <alignment horizontal="right" vertical="center"/>
      <protection locked="0"/>
    </xf>
    <xf numFmtId="200" fontId="31" fillId="0" borderId="83">
      <alignment horizontal="center" vertical="center"/>
      <protection locked="0"/>
    </xf>
    <xf numFmtId="198" fontId="31" fillId="0" borderId="83">
      <alignment vertical="center"/>
      <protection locked="0"/>
    </xf>
    <xf numFmtId="200" fontId="31" fillId="0" borderId="83">
      <alignment vertical="center"/>
      <protection locked="0"/>
    </xf>
    <xf numFmtId="0" fontId="31" fillId="60" borderId="91" applyNumberFormat="0">
      <protection locked="0"/>
    </xf>
    <xf numFmtId="0" fontId="31" fillId="0" borderId="83" applyAlignment="0">
      <protection locked="0"/>
    </xf>
    <xf numFmtId="0" fontId="31" fillId="60" borderId="91" applyNumberFormat="0">
      <protection locked="0"/>
    </xf>
    <xf numFmtId="0" fontId="117" fillId="0" borderId="71" applyNumberFormat="0" applyAlignment="0" applyProtection="0">
      <alignment horizontal="left" vertical="center"/>
    </xf>
    <xf numFmtId="0" fontId="117" fillId="0" borderId="71" applyNumberFormat="0" applyAlignment="0" applyProtection="0">
      <alignment horizontal="left" vertical="center"/>
    </xf>
    <xf numFmtId="0" fontId="31" fillId="60" borderId="91" applyNumberFormat="0">
      <protection locked="0"/>
    </xf>
    <xf numFmtId="0" fontId="117" fillId="0" borderId="71" applyNumberFormat="0" applyAlignment="0" applyProtection="0">
      <alignment horizontal="left" vertical="center"/>
    </xf>
    <xf numFmtId="193" fontId="31" fillId="0" borderId="83">
      <alignment horizontal="center" vertical="center"/>
      <protection locked="0"/>
    </xf>
    <xf numFmtId="193" fontId="31" fillId="0" borderId="83">
      <alignment horizontal="right" vertical="center"/>
      <protection locked="0"/>
    </xf>
    <xf numFmtId="0" fontId="31" fillId="0" borderId="83" applyAlignment="0">
      <protection locked="0"/>
    </xf>
    <xf numFmtId="202" fontId="31" fillId="0" borderId="83">
      <alignment horizontal="center" vertical="center"/>
      <protection locked="0"/>
    </xf>
    <xf numFmtId="200" fontId="31" fillId="0" borderId="83">
      <alignment vertical="center"/>
      <protection locked="0"/>
    </xf>
    <xf numFmtId="200"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198" fontId="31" fillId="0" borderId="83">
      <alignment vertical="center"/>
      <protection locked="0"/>
    </xf>
    <xf numFmtId="202" fontId="31" fillId="0" borderId="83">
      <alignment horizontal="center" vertical="center"/>
      <protection locked="0"/>
    </xf>
    <xf numFmtId="0" fontId="31" fillId="0" borderId="83" applyAlignment="0">
      <protection locked="0"/>
    </xf>
    <xf numFmtId="4" fontId="48" fillId="117" borderId="89" applyNumberFormat="0" applyProtection="0">
      <alignment horizontal="left" vertical="center" indent="1"/>
    </xf>
    <xf numFmtId="201" fontId="31" fillId="0" borderId="83">
      <alignment vertical="center"/>
      <protection locked="0"/>
    </xf>
    <xf numFmtId="0" fontId="31" fillId="60" borderId="91" applyNumberFormat="0">
      <protection locked="0"/>
    </xf>
    <xf numFmtId="4" fontId="48" fillId="117" borderId="89" applyNumberFormat="0" applyProtection="0">
      <alignment horizontal="left" vertical="center" indent="1"/>
    </xf>
    <xf numFmtId="193" fontId="31" fillId="0" borderId="83">
      <alignment horizontal="center" vertical="center"/>
      <protection locked="0"/>
    </xf>
    <xf numFmtId="203" fontId="31" fillId="0" borderId="83">
      <alignment horizontal="right" vertical="center"/>
      <protection locked="0"/>
    </xf>
    <xf numFmtId="0" fontId="31" fillId="0" borderId="83" applyAlignmen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200" fontId="31" fillId="0" borderId="83">
      <alignment vertical="center"/>
      <protection locked="0"/>
    </xf>
    <xf numFmtId="201" fontId="31" fillId="0" borderId="83">
      <alignment horizontal="center" vertical="center"/>
      <protection locked="0"/>
    </xf>
    <xf numFmtId="198" fontId="31" fillId="0" borderId="83">
      <alignment vertical="center"/>
      <protection locked="0"/>
    </xf>
    <xf numFmtId="193" fontId="31" fillId="0" borderId="83">
      <alignment horizontal="right"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0" borderId="83" applyAlignment="0">
      <protection locked="0"/>
    </xf>
    <xf numFmtId="0" fontId="31" fillId="0" borderId="83" applyAlignment="0">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4" fontId="48" fillId="117" borderId="89" applyNumberFormat="0" applyProtection="0">
      <alignment horizontal="left" vertical="center" indent="1"/>
    </xf>
    <xf numFmtId="0" fontId="31" fillId="60" borderId="91" applyNumberFormat="0">
      <protection locked="0"/>
    </xf>
    <xf numFmtId="0" fontId="31" fillId="60" borderId="91" applyNumberFormat="0">
      <protection locked="0"/>
    </xf>
    <xf numFmtId="0" fontId="31" fillId="60" borderId="91" applyNumberFormat="0">
      <protection locked="0"/>
    </xf>
    <xf numFmtId="201" fontId="31" fillId="0" borderId="83">
      <alignment horizontal="center" vertical="center"/>
      <protection locked="0"/>
    </xf>
    <xf numFmtId="199" fontId="31" fillId="0" borderId="83">
      <alignment horizontal="center" vertical="center"/>
      <protection locked="0"/>
    </xf>
    <xf numFmtId="0" fontId="31" fillId="60" borderId="91" applyNumberFormat="0">
      <protection locked="0"/>
    </xf>
    <xf numFmtId="200" fontId="31" fillId="0" borderId="83">
      <alignment vertical="center"/>
      <protection locked="0"/>
    </xf>
    <xf numFmtId="200" fontId="31" fillId="0" borderId="83">
      <alignment horizontal="center" vertical="center"/>
      <protection locked="0"/>
    </xf>
    <xf numFmtId="4" fontId="48" fillId="117" borderId="89" applyNumberFormat="0" applyProtection="0">
      <alignment horizontal="left" vertical="center" indent="1"/>
    </xf>
    <xf numFmtId="0" fontId="31" fillId="60" borderId="91" applyNumberFormat="0">
      <protection locked="0"/>
    </xf>
    <xf numFmtId="201" fontId="31" fillId="0" borderId="83">
      <alignment horizontal="center" vertical="center"/>
      <protection locked="0"/>
    </xf>
    <xf numFmtId="0" fontId="31" fillId="60" borderId="91" applyNumberFormat="0">
      <protection locked="0"/>
    </xf>
    <xf numFmtId="0" fontId="31" fillId="60" borderId="91" applyNumberFormat="0">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199" fontId="31" fillId="0" borderId="83">
      <alignment horizontal="center" vertical="center"/>
      <protection locked="0"/>
    </xf>
    <xf numFmtId="193" fontId="31" fillId="0" borderId="83">
      <alignment horizontal="right" vertical="center"/>
      <protection locked="0"/>
    </xf>
    <xf numFmtId="198" fontId="31" fillId="0" borderId="83">
      <alignment vertical="center"/>
      <protection locked="0"/>
    </xf>
    <xf numFmtId="0" fontId="117" fillId="0" borderId="71" applyNumberFormat="0" applyAlignment="0" applyProtection="0">
      <alignment horizontal="left" vertical="center"/>
    </xf>
    <xf numFmtId="198" fontId="31" fillId="0" borderId="83">
      <alignment vertical="center"/>
      <protection locked="0"/>
    </xf>
    <xf numFmtId="193" fontId="31" fillId="0" borderId="83">
      <alignment horizontal="center" vertical="center"/>
      <protection locked="0"/>
    </xf>
    <xf numFmtId="0" fontId="31" fillId="0" borderId="83" applyAlignment="0">
      <protection locked="0"/>
    </xf>
    <xf numFmtId="202" fontId="31" fillId="0" borderId="83">
      <alignment vertical="center"/>
      <protection locked="0"/>
    </xf>
    <xf numFmtId="0" fontId="31" fillId="0" borderId="83" applyAlignment="0">
      <protection locked="0"/>
    </xf>
    <xf numFmtId="198" fontId="31" fillId="0" borderId="83">
      <alignment horizontal="center" vertical="center"/>
      <protection locked="0"/>
    </xf>
    <xf numFmtId="199" fontId="31" fillId="0" borderId="83">
      <alignment horizontal="center" vertical="center"/>
      <protection locked="0"/>
    </xf>
    <xf numFmtId="202" fontId="31" fillId="0" borderId="83">
      <alignment vertical="center"/>
      <protection locked="0"/>
    </xf>
    <xf numFmtId="0" fontId="31" fillId="60" borderId="91" applyNumberFormat="0">
      <protection locked="0"/>
    </xf>
    <xf numFmtId="198" fontId="31" fillId="0" borderId="83">
      <alignment horizontal="center" vertical="center"/>
      <protection locked="0"/>
    </xf>
    <xf numFmtId="198" fontId="31" fillId="0" borderId="83">
      <alignment vertical="center"/>
      <protection locked="0"/>
    </xf>
    <xf numFmtId="4" fontId="48" fillId="117" borderId="89" applyNumberFormat="0" applyProtection="0">
      <alignment horizontal="left" vertical="center" indent="1"/>
    </xf>
    <xf numFmtId="0" fontId="31" fillId="60" borderId="91" applyNumberFormat="0">
      <protection locked="0"/>
    </xf>
    <xf numFmtId="4" fontId="48" fillId="117" borderId="89" applyNumberFormat="0" applyProtection="0">
      <alignment horizontal="left" vertical="center" indent="1"/>
    </xf>
    <xf numFmtId="4" fontId="48" fillId="117" borderId="89" applyNumberFormat="0" applyProtection="0">
      <alignment horizontal="left" vertical="center" indent="1"/>
    </xf>
    <xf numFmtId="0" fontId="31" fillId="60" borderId="91" applyNumberFormat="0">
      <protection locked="0"/>
    </xf>
    <xf numFmtId="9" fontId="2" fillId="0" borderId="0" applyFont="0" applyFill="0" applyBorder="0" applyAlignment="0" applyProtection="0"/>
    <xf numFmtId="3" fontId="15" fillId="15" borderId="65" applyAlignment="0" applyProtection="0"/>
    <xf numFmtId="0" fontId="2" fillId="0" borderId="0"/>
    <xf numFmtId="0" fontId="2" fillId="0" borderId="0"/>
    <xf numFmtId="9" fontId="2" fillId="0" borderId="0" applyFont="0" applyFill="0" applyBorder="0" applyAlignment="0" applyProtection="0"/>
    <xf numFmtId="3" fontId="15" fillId="15" borderId="65"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3" fontId="15" fillId="15" borderId="65" applyAlignment="0" applyProtection="0"/>
    <xf numFmtId="3" fontId="15" fillId="15" borderId="65" applyAlignment="0" applyProtection="0"/>
    <xf numFmtId="0" fontId="2" fillId="0" borderId="0"/>
    <xf numFmtId="0" fontId="2" fillId="0" borderId="0"/>
    <xf numFmtId="3" fontId="15" fillId="15" borderId="65" applyAlignment="0" applyProtection="0"/>
    <xf numFmtId="3" fontId="15" fillId="15" borderId="65"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3" fontId="15" fillId="15" borderId="65" applyAlignment="0" applyProtection="0"/>
    <xf numFmtId="3" fontId="15" fillId="15" borderId="65" applyAlignment="0" applyProtection="0"/>
    <xf numFmtId="9" fontId="2" fillId="0" borderId="0" applyFont="0" applyFill="0" applyBorder="0" applyAlignment="0" applyProtection="0"/>
    <xf numFmtId="3" fontId="15" fillId="15" borderId="65" applyAlignment="0" applyProtection="0"/>
    <xf numFmtId="9" fontId="2" fillId="0" borderId="0" applyFont="0" applyFill="0" applyBorder="0" applyAlignment="0" applyProtection="0"/>
    <xf numFmtId="0" fontId="2" fillId="0" borderId="0"/>
    <xf numFmtId="3" fontId="15" fillId="15" borderId="65" applyAlignment="0" applyProtection="0"/>
    <xf numFmtId="3" fontId="15" fillId="15" borderId="65" applyAlignment="0" applyProtection="0"/>
    <xf numFmtId="3" fontId="15" fillId="15" borderId="65" applyAlignment="0" applyProtection="0"/>
    <xf numFmtId="0" fontId="2" fillId="0" borderId="0"/>
    <xf numFmtId="0" fontId="2" fillId="0" borderId="0"/>
    <xf numFmtId="3" fontId="15" fillId="15" borderId="65"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3" fontId="15" fillId="15" borderId="65"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3" fontId="15" fillId="15" borderId="65"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15" fillId="15" borderId="65" applyAlignment="0" applyProtection="0"/>
    <xf numFmtId="3" fontId="15" fillId="15" borderId="65"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3" fontId="15" fillId="15" borderId="65"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16" fillId="0" borderId="0"/>
    <xf numFmtId="43" fontId="16" fillId="0" borderId="0" applyFont="0" applyFill="0" applyBorder="0" applyAlignment="0" applyProtection="0"/>
    <xf numFmtId="44" fontId="16" fillId="0" borderId="0" applyFont="0" applyFill="0" applyBorder="0" applyAlignment="0" applyProtection="0"/>
    <xf numFmtId="9" fontId="16" fillId="0" borderId="0" applyFont="0" applyFill="0" applyBorder="0" applyAlignment="0" applyProtection="0"/>
    <xf numFmtId="43" fontId="16" fillId="0" borderId="0" applyFont="0" applyFill="0" applyBorder="0" applyAlignment="0" applyProtection="0"/>
    <xf numFmtId="44" fontId="16" fillId="0" borderId="0" applyFont="0" applyFill="0" applyBorder="0" applyAlignment="0" applyProtection="0"/>
    <xf numFmtId="43" fontId="16" fillId="0" borderId="0" applyFont="0" applyFill="0" applyBorder="0" applyAlignment="0" applyProtection="0"/>
    <xf numFmtId="0" fontId="16" fillId="0" borderId="0"/>
    <xf numFmtId="0" fontId="16" fillId="0" borderId="0"/>
    <xf numFmtId="9" fontId="16" fillId="0" borderId="0" applyFont="0" applyFill="0" applyBorder="0" applyAlignment="0" applyProtection="0"/>
    <xf numFmtId="9" fontId="16" fillId="0" borderId="0" applyFont="0" applyFill="0" applyBorder="0" applyAlignment="0" applyProtection="0"/>
    <xf numFmtId="43" fontId="154" fillId="0" borderId="0" applyFont="0" applyFill="0" applyBorder="0" applyAlignment="0" applyProtection="0"/>
    <xf numFmtId="44" fontId="154" fillId="0" borderId="0" applyFont="0" applyFill="0" applyBorder="0" applyAlignment="0" applyProtection="0"/>
    <xf numFmtId="0" fontId="94" fillId="0" borderId="0"/>
    <xf numFmtId="0" fontId="18" fillId="63" borderId="0" applyNumberFormat="0" applyBorder="0" applyAlignment="0" applyProtection="0"/>
    <xf numFmtId="0" fontId="18" fillId="63" borderId="0" applyNumberFormat="0" applyBorder="0" applyAlignment="0" applyProtection="0"/>
    <xf numFmtId="0" fontId="86" fillId="64" borderId="0" applyNumberFormat="0" applyBorder="0" applyAlignment="0" applyProtection="0"/>
    <xf numFmtId="0" fontId="18" fillId="66" borderId="0" applyNumberFormat="0" applyBorder="0" applyAlignment="0" applyProtection="0"/>
    <xf numFmtId="0" fontId="18" fillId="67" borderId="0" applyNumberFormat="0" applyBorder="0" applyAlignment="0" applyProtection="0"/>
    <xf numFmtId="0" fontId="86" fillId="68" borderId="0" applyNumberFormat="0" applyBorder="0" applyAlignment="0" applyProtection="0"/>
    <xf numFmtId="0" fontId="18" fillId="66" borderId="0" applyNumberFormat="0" applyBorder="0" applyAlignment="0" applyProtection="0"/>
    <xf numFmtId="0" fontId="18" fillId="70" borderId="0" applyNumberFormat="0" applyBorder="0" applyAlignment="0" applyProtection="0"/>
    <xf numFmtId="0" fontId="86" fillId="67" borderId="0" applyNumberFormat="0" applyBorder="0" applyAlignment="0" applyProtection="0"/>
    <xf numFmtId="0" fontId="18" fillId="67" borderId="0" applyNumberFormat="0" applyBorder="0" applyAlignment="0" applyProtection="0"/>
    <xf numFmtId="0" fontId="86" fillId="67" borderId="0" applyNumberFormat="0" applyBorder="0" applyAlignment="0" applyProtection="0"/>
    <xf numFmtId="0" fontId="18" fillId="73" borderId="0" applyNumberFormat="0" applyBorder="0" applyAlignment="0" applyProtection="0"/>
    <xf numFmtId="0" fontId="18" fillId="63" borderId="0" applyNumberFormat="0" applyBorder="0" applyAlignment="0" applyProtection="0"/>
    <xf numFmtId="0" fontId="86" fillId="64" borderId="0" applyNumberFormat="0" applyBorder="0" applyAlignment="0" applyProtection="0"/>
    <xf numFmtId="0" fontId="86" fillId="74" borderId="0" applyNumberFormat="0" applyBorder="0" applyAlignment="0" applyProtection="0"/>
    <xf numFmtId="43" fontId="16" fillId="0" borderId="0" applyFont="0" applyFill="0" applyBorder="0" applyAlignment="0" applyProtection="0"/>
    <xf numFmtId="0" fontId="96" fillId="78" borderId="0" applyNumberFormat="0" applyBorder="0" applyAlignment="0" applyProtection="0"/>
    <xf numFmtId="0" fontId="96" fillId="79" borderId="0" applyNumberFormat="0" applyBorder="0" applyAlignment="0" applyProtection="0"/>
    <xf numFmtId="0" fontId="96" fillId="80" borderId="0" applyNumberFormat="0" applyBorder="0" applyAlignment="0" applyProtection="0"/>
    <xf numFmtId="0" fontId="16" fillId="4" borderId="0"/>
    <xf numFmtId="44" fontId="16" fillId="0" borderId="0" applyFont="0" applyFill="0" applyBorder="0" applyAlignment="0" applyProtection="0"/>
    <xf numFmtId="43" fontId="154" fillId="0" borderId="0" applyFont="0" applyFill="0" applyBorder="0" applyAlignment="0" applyProtection="0"/>
    <xf numFmtId="44" fontId="154" fillId="0" borderId="0" applyFont="0" applyFill="0" applyBorder="0" applyAlignment="0" applyProtection="0"/>
    <xf numFmtId="44" fontId="154" fillId="0" borderId="0" applyFont="0" applyFill="0" applyBorder="0" applyAlignment="0" applyProtection="0"/>
    <xf numFmtId="43" fontId="154"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 fontId="48" fillId="61" borderId="88" applyNumberFormat="0" applyProtection="0">
      <alignment vertical="center"/>
    </xf>
    <xf numFmtId="4" fontId="151" fillId="5" borderId="88" applyNumberFormat="0" applyProtection="0">
      <alignment vertical="center"/>
    </xf>
    <xf numFmtId="4" fontId="48" fillId="5" borderId="88" applyNumberFormat="0" applyProtection="0">
      <alignment horizontal="left" vertical="center" indent="1"/>
    </xf>
    <xf numFmtId="0" fontId="48" fillId="5" borderId="88" applyNumberFormat="0" applyProtection="0">
      <alignment horizontal="left" vertical="top" indent="1"/>
    </xf>
    <xf numFmtId="4" fontId="48" fillId="0" borderId="0" applyNumberFormat="0" applyProtection="0">
      <alignment horizontal="left" vertical="center" indent="1"/>
    </xf>
    <xf numFmtId="4" fontId="154" fillId="76" borderId="88" applyNumberFormat="0" applyProtection="0">
      <alignment horizontal="right" vertical="center"/>
    </xf>
    <xf numFmtId="4" fontId="154" fillId="111" borderId="88" applyNumberFormat="0" applyProtection="0">
      <alignment horizontal="right" vertical="center"/>
    </xf>
    <xf numFmtId="4" fontId="154" fillId="69" borderId="88" applyNumberFormat="0" applyProtection="0">
      <alignment horizontal="right" vertical="center"/>
    </xf>
    <xf numFmtId="4" fontId="154" fillId="113" borderId="88" applyNumberFormat="0" applyProtection="0">
      <alignment horizontal="right" vertical="center"/>
    </xf>
    <xf numFmtId="4" fontId="154" fillId="114" borderId="88" applyNumberFormat="0" applyProtection="0">
      <alignment horizontal="right" vertical="center"/>
    </xf>
    <xf numFmtId="4" fontId="154" fillId="75" borderId="88" applyNumberFormat="0" applyProtection="0">
      <alignment horizontal="right" vertical="center"/>
    </xf>
    <xf numFmtId="4" fontId="154" fillId="71" borderId="88" applyNumberFormat="0" applyProtection="0">
      <alignment horizontal="right" vertical="center"/>
    </xf>
    <xf numFmtId="4" fontId="154" fillId="115" borderId="88" applyNumberFormat="0" applyProtection="0">
      <alignment horizontal="right" vertical="center"/>
    </xf>
    <xf numFmtId="4" fontId="154" fillId="116" borderId="88" applyNumberFormat="0" applyProtection="0">
      <alignment horizontal="right" vertical="center"/>
    </xf>
    <xf numFmtId="4" fontId="154" fillId="118" borderId="0" applyNumberFormat="0" applyProtection="0">
      <alignment horizontal="left" vertical="center" indent="1"/>
    </xf>
    <xf numFmtId="4" fontId="155" fillId="119" borderId="0" applyNumberFormat="0" applyProtection="0">
      <alignment horizontal="left" vertical="center" indent="1"/>
    </xf>
    <xf numFmtId="4" fontId="154" fillId="59" borderId="90" applyNumberFormat="0" applyProtection="0">
      <alignment horizontal="center" vertical="center"/>
    </xf>
    <xf numFmtId="4" fontId="154" fillId="118" borderId="0" applyNumberFormat="0" applyProtection="0">
      <alignment horizontal="left" vertical="center" indent="1"/>
    </xf>
    <xf numFmtId="4" fontId="154" fillId="109" borderId="0" applyNumberFormat="0" applyProtection="0">
      <alignment horizontal="left" vertical="center" indent="1"/>
    </xf>
    <xf numFmtId="0" fontId="16" fillId="59" borderId="88" applyNumberFormat="0" applyProtection="0">
      <alignment horizontal="left" vertical="center" indent="1"/>
    </xf>
    <xf numFmtId="0" fontId="16" fillId="119" borderId="88" applyNumberFormat="0" applyProtection="0">
      <alignment horizontal="left" vertical="top" indent="1"/>
    </xf>
    <xf numFmtId="0" fontId="16" fillId="59" borderId="88" applyNumberFormat="0" applyProtection="0">
      <alignment horizontal="left" vertical="center" indent="1"/>
    </xf>
    <xf numFmtId="0" fontId="16" fillId="109" borderId="88" applyNumberFormat="0" applyProtection="0">
      <alignment horizontal="left" vertical="top" indent="1"/>
    </xf>
    <xf numFmtId="0" fontId="16" fillId="59" borderId="88" applyNumberFormat="0" applyProtection="0">
      <alignment horizontal="left" vertical="center" indent="1"/>
    </xf>
    <xf numFmtId="0" fontId="16" fillId="82" borderId="88" applyNumberFormat="0" applyProtection="0">
      <alignment horizontal="left" vertical="top" indent="1"/>
    </xf>
    <xf numFmtId="0" fontId="16" fillId="59" borderId="88" applyNumberFormat="0" applyProtection="0">
      <alignment horizontal="left" vertical="center" indent="1"/>
    </xf>
    <xf numFmtId="0" fontId="16" fillId="11" borderId="88" applyNumberFormat="0" applyProtection="0">
      <alignment horizontal="left" vertical="top" indent="1"/>
    </xf>
    <xf numFmtId="0" fontId="16" fillId="60" borderId="11" applyNumberFormat="0">
      <protection locked="0"/>
    </xf>
    <xf numFmtId="4" fontId="154" fillId="9" borderId="88" applyNumberFormat="0" applyProtection="0">
      <alignment vertical="center"/>
    </xf>
    <xf numFmtId="4" fontId="157" fillId="9" borderId="88" applyNumberFormat="0" applyProtection="0">
      <alignment vertical="center"/>
    </xf>
    <xf numFmtId="4" fontId="154" fillId="9" borderId="88" applyNumberFormat="0" applyProtection="0">
      <alignment horizontal="left" vertical="center" indent="1"/>
    </xf>
    <xf numFmtId="0" fontId="154" fillId="9" borderId="88" applyNumberFormat="0" applyProtection="0">
      <alignment horizontal="left" vertical="top" indent="1"/>
    </xf>
    <xf numFmtId="4" fontId="158" fillId="0" borderId="88" applyNumberFormat="0" applyProtection="0">
      <alignment horizontal="right" vertical="center"/>
    </xf>
    <xf numFmtId="4" fontId="157" fillId="0" borderId="88" applyNumberFormat="0" applyProtection="0">
      <alignment horizontal="right" vertical="center"/>
    </xf>
    <xf numFmtId="4" fontId="154" fillId="127" borderId="88" applyNumberFormat="0" applyProtection="0">
      <alignment horizontal="left" vertical="center" indent="1"/>
    </xf>
    <xf numFmtId="4" fontId="43" fillId="118" borderId="88" applyNumberFormat="0" applyProtection="0">
      <alignment horizontal="right" vertical="center"/>
    </xf>
    <xf numFmtId="9" fontId="2" fillId="0" borderId="0" applyFont="0" applyFill="0" applyBorder="0" applyAlignment="0" applyProtection="0"/>
    <xf numFmtId="9" fontId="2" fillId="0" borderId="0" applyFont="0" applyFill="0" applyBorder="0" applyAlignment="0" applyProtection="0"/>
    <xf numFmtId="43" fontId="16" fillId="0" borderId="0" applyFont="0" applyFill="0" applyBorder="0" applyAlignment="0" applyProtection="0"/>
    <xf numFmtId="44" fontId="16"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9" fontId="2" fillId="0" borderId="0" applyFont="0" applyFill="0" applyBorder="0" applyAlignment="0" applyProtection="0"/>
    <xf numFmtId="9" fontId="2" fillId="0" borderId="0" applyFont="0" applyFill="0" applyBorder="0" applyAlignment="0" applyProtection="0"/>
    <xf numFmtId="0" fontId="123" fillId="0" borderId="16">
      <alignment horizontal="center"/>
    </xf>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123" fillId="0" borderId="16">
      <alignment horizontal="center"/>
    </xf>
    <xf numFmtId="0" fontId="2" fillId="0" borderId="0"/>
    <xf numFmtId="0" fontId="2" fillId="0" borderId="0"/>
    <xf numFmtId="0" fontId="2" fillId="0" borderId="0"/>
    <xf numFmtId="0" fontId="2" fillId="0" borderId="0"/>
    <xf numFmtId="0" fontId="2" fillId="0" borderId="0"/>
    <xf numFmtId="0" fontId="2" fillId="0" borderId="0"/>
    <xf numFmtId="0" fontId="123" fillId="0" borderId="16">
      <alignment horizont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123" fillId="0" borderId="16">
      <alignment horizontal="center"/>
    </xf>
    <xf numFmtId="0" fontId="2" fillId="0" borderId="0"/>
    <xf numFmtId="0" fontId="2" fillId="0" borderId="0"/>
    <xf numFmtId="0" fontId="123" fillId="0" borderId="16">
      <alignment horizontal="center"/>
    </xf>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123" fillId="0" borderId="16">
      <alignment horizontal="center"/>
    </xf>
    <xf numFmtId="0" fontId="2" fillId="0" borderId="0"/>
    <xf numFmtId="0" fontId="2" fillId="0" borderId="0"/>
    <xf numFmtId="0" fontId="2" fillId="0" borderId="0"/>
    <xf numFmtId="0" fontId="2" fillId="0" borderId="0"/>
    <xf numFmtId="0" fontId="2" fillId="0" borderId="0"/>
    <xf numFmtId="0" fontId="123" fillId="0" borderId="16">
      <alignment horizontal="center"/>
    </xf>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123" fillId="0" borderId="16">
      <alignment horizontal="center"/>
    </xf>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123" fillId="0" borderId="16">
      <alignment horizontal="center"/>
    </xf>
    <xf numFmtId="0" fontId="123" fillId="0" borderId="16">
      <alignment horizontal="center"/>
    </xf>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123" fillId="0" borderId="16">
      <alignment horizontal="center"/>
    </xf>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123" fillId="0" borderId="16">
      <alignment horizontal="center"/>
    </xf>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123" fillId="0" borderId="16">
      <alignment horizontal="center"/>
    </xf>
    <xf numFmtId="0" fontId="123" fillId="0" borderId="16">
      <alignment horizontal="center"/>
    </xf>
    <xf numFmtId="0" fontId="2" fillId="0" borderId="0"/>
    <xf numFmtId="0" fontId="2" fillId="0" borderId="0"/>
    <xf numFmtId="9" fontId="2"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4" fillId="0" borderId="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9" fontId="4"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43" fontId="4"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43" fontId="4"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4" fillId="0" borderId="0"/>
    <xf numFmtId="0" fontId="123" fillId="0" borderId="16">
      <alignment horizontal="center"/>
    </xf>
    <xf numFmtId="9" fontId="4" fillId="0" borderId="0" applyFont="0" applyFill="0" applyBorder="0" applyAlignment="0" applyProtection="0"/>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0" fontId="123" fillId="0" borderId="16">
      <alignment horizontal="center"/>
    </xf>
    <xf numFmtId="44" fontId="4" fillId="0" borderId="0" applyFont="0" applyFill="0" applyBorder="0" applyAlignment="0" applyProtection="0"/>
    <xf numFmtId="44" fontId="4"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15" fillId="15" borderId="65"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3" fontId="15" fillId="15" borderId="65" applyAlignment="0" applyProtection="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3" fontId="15" fillId="15" borderId="65"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34" borderId="0" applyNumberFormat="0" applyBorder="0" applyAlignment="0" applyProtection="0"/>
    <xf numFmtId="0" fontId="2" fillId="0" borderId="0"/>
    <xf numFmtId="0" fontId="2" fillId="38" borderId="0" applyNumberFormat="0" applyBorder="0" applyAlignment="0" applyProtection="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180"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44" fontId="2" fillId="0" borderId="0" applyFont="0" applyFill="0" applyBorder="0" applyAlignment="0" applyProtection="0"/>
    <xf numFmtId="0" fontId="2" fillId="28" borderId="69" applyNumberFormat="0" applyFont="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34" borderId="0" applyNumberFormat="0" applyBorder="0" applyAlignment="0" applyProtection="0"/>
    <xf numFmtId="0" fontId="2" fillId="42" borderId="0" applyNumberFormat="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31" borderId="0" applyNumberFormat="0" applyBorder="0" applyAlignment="0" applyProtection="0"/>
    <xf numFmtId="9" fontId="2" fillId="0" borderId="0" applyFont="0" applyFill="0" applyBorder="0" applyAlignment="0" applyProtection="0"/>
    <xf numFmtId="0" fontId="2" fillId="0" borderId="0"/>
    <xf numFmtId="0" fontId="2" fillId="0" borderId="0"/>
    <xf numFmtId="180"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30"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0" borderId="0"/>
    <xf numFmtId="0" fontId="2" fillId="31"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172" fontId="2" fillId="0" borderId="0" applyFont="0" applyFill="0" applyBorder="0" applyAlignment="0" applyProtection="0"/>
    <xf numFmtId="0" fontId="2" fillId="0" borderId="0"/>
    <xf numFmtId="0" fontId="2" fillId="0" borderId="0"/>
    <xf numFmtId="0" fontId="2" fillId="28" borderId="69"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172"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0"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30" borderId="0" applyNumberFormat="0" applyBorder="0" applyAlignment="0" applyProtection="0"/>
    <xf numFmtId="0" fontId="2" fillId="34"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172" fontId="2" fillId="0" borderId="0" applyFont="0" applyFill="0" applyBorder="0" applyAlignment="0" applyProtection="0"/>
    <xf numFmtId="180" fontId="2" fillId="0" borderId="0" applyFont="0" applyFill="0" applyBorder="0" applyAlignment="0" applyProtection="0"/>
    <xf numFmtId="0" fontId="2" fillId="0" borderId="0"/>
    <xf numFmtId="0" fontId="2" fillId="28" borderId="69" applyNumberFormat="0" applyFont="0" applyAlignment="0" applyProtection="0"/>
    <xf numFmtId="9"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3" fontId="15" fillId="15" borderId="65" applyAlignment="0" applyProtection="0"/>
    <xf numFmtId="0" fontId="2" fillId="0" borderId="0"/>
    <xf numFmtId="0" fontId="2" fillId="0" borderId="0"/>
    <xf numFmtId="3" fontId="15" fillId="15" borderId="65" applyAlignment="0" applyProtection="0"/>
    <xf numFmtId="3" fontId="15" fillId="15" borderId="65"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3" fontId="15" fillId="15" borderId="65" applyAlignment="0" applyProtection="0"/>
    <xf numFmtId="0" fontId="2" fillId="0" borderId="0"/>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0" fontId="123" fillId="0" borderId="106">
      <alignment horizontal="center"/>
    </xf>
    <xf numFmtId="9" fontId="2" fillId="0" borderId="0" applyFont="0" applyFill="0" applyBorder="0" applyAlignment="0" applyProtection="0"/>
    <xf numFmtId="3" fontId="15" fillId="15" borderId="65" applyAlignment="0" applyProtection="0"/>
    <xf numFmtId="0" fontId="3" fillId="0" borderId="0"/>
    <xf numFmtId="9" fontId="1" fillId="0" borderId="0" applyFont="0" applyFill="0" applyBorder="0" applyAlignment="0" applyProtection="0"/>
    <xf numFmtId="0" fontId="1" fillId="0" borderId="0"/>
    <xf numFmtId="0" fontId="1" fillId="0" borderId="0"/>
    <xf numFmtId="0" fontId="3" fillId="0" borderId="0"/>
    <xf numFmtId="0" fontId="16" fillId="0" borderId="0"/>
    <xf numFmtId="0" fontId="16" fillId="4"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0"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0"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0" fontId="1" fillId="0" borderId="0"/>
    <xf numFmtId="0" fontId="1" fillId="0" borderId="0"/>
    <xf numFmtId="0" fontId="3"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0"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0"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0"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0"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3" fontId="15" fillId="15" borderId="65"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3" fontId="15" fillId="15" borderId="65" applyAlignment="0" applyProtection="0"/>
    <xf numFmtId="9" fontId="1" fillId="0" borderId="0" applyFont="0" applyFill="0" applyBorder="0" applyAlignment="0" applyProtection="0"/>
    <xf numFmtId="3" fontId="15" fillId="15" borderId="65" applyAlignment="0" applyProtection="0"/>
    <xf numFmtId="3" fontId="15"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3" fontId="15"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3" fontId="15" fillId="15" borderId="65"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1" borderId="0" applyNumberFormat="0" applyBorder="0" applyAlignment="0" applyProtection="0"/>
    <xf numFmtId="9" fontId="1" fillId="0" borderId="0" applyFont="0" applyFill="0" applyBorder="0" applyAlignment="0" applyProtection="0"/>
    <xf numFmtId="3" fontId="15" fillId="15" borderId="65" applyAlignment="0" applyProtection="0"/>
    <xf numFmtId="18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46" borderId="0" applyNumberFormat="0" applyBorder="0" applyAlignment="0" applyProtection="0"/>
    <xf numFmtId="0" fontId="1" fillId="0" borderId="0"/>
    <xf numFmtId="0" fontId="1" fillId="50"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0" borderId="0" applyNumberFormat="0" applyBorder="0" applyAlignment="0" applyProtection="0"/>
    <xf numFmtId="0" fontId="1" fillId="42" borderId="0" applyNumberFormat="0" applyBorder="0" applyAlignment="0" applyProtection="0"/>
    <xf numFmtId="0" fontId="1" fillId="0" borderId="0"/>
    <xf numFmtId="0" fontId="1" fillId="39" borderId="0" applyNumberFormat="0" applyBorder="0" applyAlignment="0" applyProtection="0"/>
    <xf numFmtId="172"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0"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0"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0"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180"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3" fontId="15" fillId="15" borderId="65" applyAlignment="0" applyProtection="0"/>
    <xf numFmtId="0" fontId="3" fillId="0" borderId="0"/>
    <xf numFmtId="0" fontId="3"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3" fontId="15" fillId="15" borderId="65" applyAlignment="0" applyProtection="0"/>
    <xf numFmtId="0" fontId="1" fillId="0" borderId="0"/>
    <xf numFmtId="3" fontId="15"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5" fillId="15" borderId="65" applyAlignment="0" applyProtection="0"/>
    <xf numFmtId="0" fontId="1" fillId="0" borderId="0"/>
    <xf numFmtId="3" fontId="15" fillId="15" borderId="65" applyAlignment="0" applyProtection="0"/>
    <xf numFmtId="9" fontId="1" fillId="0" borderId="0" applyFont="0" applyFill="0" applyBorder="0" applyAlignment="0" applyProtection="0"/>
    <xf numFmtId="0" fontId="1" fillId="0" borderId="0"/>
    <xf numFmtId="3" fontId="15" fillId="15" borderId="65" applyAlignment="0" applyProtection="0"/>
    <xf numFmtId="3" fontId="15"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5" fillId="15" borderId="65" applyAlignment="0" applyProtection="0"/>
    <xf numFmtId="0" fontId="1" fillId="0" borderId="0"/>
    <xf numFmtId="0" fontId="1" fillId="0" borderId="0"/>
    <xf numFmtId="9" fontId="1" fillId="0" borderId="0" applyFont="0" applyFill="0" applyBorder="0" applyAlignment="0" applyProtection="0"/>
    <xf numFmtId="3" fontId="15" fillId="15" borderId="65" applyAlignment="0" applyProtection="0"/>
    <xf numFmtId="9" fontId="1" fillId="0" borderId="0" applyFont="0" applyFill="0" applyBorder="0" applyAlignment="0" applyProtection="0"/>
    <xf numFmtId="3" fontId="15" fillId="15" borderId="65" applyAlignment="0" applyProtection="0"/>
    <xf numFmtId="3" fontId="15"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cellStyleXfs>
  <cellXfs count="837">
    <xf numFmtId="0" fontId="0" fillId="0" borderId="0" xfId="0"/>
    <xf numFmtId="0" fontId="5" fillId="0" borderId="0" xfId="0" applyFont="1" applyAlignment="1">
      <alignment vertical="center"/>
    </xf>
    <xf numFmtId="0" fontId="4" fillId="0" borderId="0" xfId="0" applyFont="1" applyAlignment="1">
      <alignment horizontal="left" vertical="center" indent="2"/>
    </xf>
    <xf numFmtId="0" fontId="6" fillId="0" borderId="0" xfId="0" applyFont="1" applyAlignment="1">
      <alignment horizontal="left" vertical="center" indent="2"/>
    </xf>
    <xf numFmtId="0" fontId="6" fillId="0" borderId="0" xfId="0" applyFont="1" applyAlignment="1">
      <alignment vertical="center"/>
    </xf>
    <xf numFmtId="0" fontId="6" fillId="0" borderId="0" xfId="0" applyFont="1" applyAlignment="1">
      <alignment horizontal="left" vertical="center" indent="3"/>
    </xf>
    <xf numFmtId="0" fontId="7" fillId="0" borderId="0" xfId="0" applyFont="1" applyAlignment="1">
      <alignment vertical="center"/>
    </xf>
    <xf numFmtId="0" fontId="6" fillId="0" borderId="0" xfId="0" applyFont="1" applyAlignment="1">
      <alignment horizontal="left" vertical="center" indent="1"/>
    </xf>
    <xf numFmtId="0" fontId="9" fillId="0" borderId="0" xfId="0" applyFont="1" applyAlignment="1">
      <alignment horizontal="left" vertical="center" indent="1"/>
    </xf>
    <xf numFmtId="0" fontId="8" fillId="0" borderId="0" xfId="0" applyFont="1" applyAlignment="1">
      <alignment horizontal="left" vertical="center" indent="1"/>
    </xf>
    <xf numFmtId="0" fontId="11" fillId="2" borderId="0" xfId="0" applyFont="1" applyFill="1" applyAlignment="1">
      <alignment horizontal="right" vertical="center" wrapText="1"/>
    </xf>
    <xf numFmtId="0" fontId="12" fillId="0" borderId="0" xfId="0" applyFont="1" applyAlignment="1">
      <alignment vertical="center" wrapText="1"/>
    </xf>
    <xf numFmtId="0" fontId="12" fillId="0" borderId="0" xfId="0" applyFont="1" applyAlignment="1">
      <alignment horizontal="right" vertical="center" wrapText="1"/>
    </xf>
    <xf numFmtId="0" fontId="12" fillId="3" borderId="0" xfId="0" applyFont="1" applyFill="1" applyAlignment="1">
      <alignment vertical="center" wrapText="1"/>
    </xf>
    <xf numFmtId="0" fontId="12" fillId="3" borderId="0" xfId="0" applyFont="1" applyFill="1" applyAlignment="1">
      <alignment horizontal="right" vertical="center" wrapText="1"/>
    </xf>
    <xf numFmtId="0" fontId="8" fillId="0" borderId="0" xfId="0" applyFont="1" applyAlignment="1">
      <alignment horizontal="left" vertical="center" wrapText="1" indent="1"/>
    </xf>
    <xf numFmtId="0" fontId="8" fillId="0" borderId="0" xfId="0" applyFont="1" applyAlignment="1">
      <alignment horizontal="right" vertical="center" wrapText="1"/>
    </xf>
    <xf numFmtId="0" fontId="8" fillId="3" borderId="0" xfId="0" applyFont="1" applyFill="1" applyAlignment="1">
      <alignment horizontal="left" vertical="center" wrapText="1" indent="1"/>
    </xf>
    <xf numFmtId="0" fontId="8" fillId="3" borderId="0" xfId="0" applyFont="1" applyFill="1" applyAlignment="1">
      <alignment horizontal="right" vertical="center" wrapText="1"/>
    </xf>
    <xf numFmtId="0" fontId="13" fillId="0" borderId="0" xfId="0" applyFont="1" applyAlignment="1">
      <alignment horizontal="left" vertical="center" wrapText="1" indent="3"/>
    </xf>
    <xf numFmtId="0" fontId="13" fillId="0" borderId="0" xfId="0" applyFont="1" applyAlignment="1">
      <alignment horizontal="right" vertical="center" wrapText="1"/>
    </xf>
    <xf numFmtId="0" fontId="13" fillId="3" borderId="0" xfId="0" applyFont="1" applyFill="1" applyAlignment="1">
      <alignment horizontal="left" vertical="center" wrapText="1" indent="3"/>
    </xf>
    <xf numFmtId="0" fontId="13" fillId="3" borderId="0" xfId="0" applyFont="1" applyFill="1" applyAlignment="1">
      <alignment horizontal="right" vertical="center" wrapText="1"/>
    </xf>
    <xf numFmtId="0" fontId="8" fillId="3" borderId="0" xfId="0" applyFont="1" applyFill="1" applyAlignment="1">
      <alignment vertical="center" wrapText="1"/>
    </xf>
    <xf numFmtId="10" fontId="8" fillId="3" borderId="0" xfId="0" applyNumberFormat="1" applyFont="1" applyFill="1" applyAlignment="1">
      <alignment horizontal="right" vertical="center" wrapText="1"/>
    </xf>
    <xf numFmtId="0" fontId="8" fillId="0" borderId="0" xfId="0" applyFont="1" applyAlignment="1">
      <alignment vertical="center" wrapText="1"/>
    </xf>
    <xf numFmtId="10" fontId="8" fillId="0" borderId="0" xfId="0" applyNumberFormat="1" applyFont="1" applyAlignment="1">
      <alignment horizontal="right" vertical="center" wrapText="1"/>
    </xf>
    <xf numFmtId="0" fontId="12" fillId="0" borderId="1" xfId="0" applyFont="1" applyBorder="1" applyAlignment="1">
      <alignment vertical="center" wrapText="1"/>
    </xf>
    <xf numFmtId="0" fontId="12" fillId="0" borderId="1" xfId="0" applyFont="1" applyBorder="1" applyAlignment="1">
      <alignment horizontal="right" vertical="center" wrapText="1"/>
    </xf>
    <xf numFmtId="0" fontId="8" fillId="0" borderId="0" xfId="0" applyFont="1" applyAlignment="1">
      <alignment horizontal="justify" vertical="center"/>
    </xf>
    <xf numFmtId="0" fontId="12" fillId="3" borderId="1" xfId="0" applyFont="1" applyFill="1" applyBorder="1" applyAlignment="1">
      <alignment vertical="center" wrapText="1"/>
    </xf>
    <xf numFmtId="0" fontId="12" fillId="3" borderId="1" xfId="0" applyFont="1" applyFill="1" applyBorder="1" applyAlignment="1">
      <alignment horizontal="right" vertical="center" wrapText="1"/>
    </xf>
    <xf numFmtId="0" fontId="7" fillId="0" borderId="0" xfId="0" applyFont="1" applyProtection="1">
      <protection locked="0"/>
    </xf>
    <xf numFmtId="0" fontId="6" fillId="0" borderId="0" xfId="0" applyFont="1" applyProtection="1"/>
    <xf numFmtId="169" fontId="6" fillId="0" borderId="0" xfId="0" applyNumberFormat="1" applyFont="1" applyAlignment="1" applyProtection="1">
      <alignment horizontal="center"/>
    </xf>
    <xf numFmtId="0" fontId="6" fillId="0" borderId="0" xfId="0" applyFont="1" applyProtection="1">
      <protection locked="0"/>
    </xf>
    <xf numFmtId="170" fontId="6" fillId="0" borderId="0" xfId="0" applyNumberFormat="1" applyFont="1" applyProtection="1">
      <protection locked="0"/>
    </xf>
    <xf numFmtId="2" fontId="22" fillId="0" borderId="0" xfId="5" applyNumberFormat="1" applyFont="1" applyAlignment="1" applyProtection="1">
      <alignment horizontal="left"/>
    </xf>
    <xf numFmtId="2" fontId="22" fillId="0" borderId="0" xfId="5" applyNumberFormat="1" applyFont="1" applyAlignment="1" applyProtection="1">
      <alignment horizontal="left"/>
      <protection locked="0"/>
    </xf>
    <xf numFmtId="2" fontId="21" fillId="0" borderId="0" xfId="5" applyNumberFormat="1" applyFont="1" applyFill="1" applyAlignment="1" applyProtection="1">
      <alignment horizontal="left"/>
      <protection locked="0"/>
    </xf>
    <xf numFmtId="0" fontId="7" fillId="0" borderId="0" xfId="0" applyFont="1" applyProtection="1"/>
    <xf numFmtId="169" fontId="7" fillId="0" borderId="0" xfId="0" applyNumberFormat="1" applyFont="1" applyAlignment="1" applyProtection="1">
      <alignment horizontal="center"/>
    </xf>
    <xf numFmtId="170" fontId="7" fillId="0" borderId="0" xfId="0" applyNumberFormat="1" applyFont="1" applyProtection="1">
      <protection locked="0"/>
    </xf>
    <xf numFmtId="0" fontId="7" fillId="0" borderId="0" xfId="0" applyFont="1" applyAlignment="1" applyProtection="1">
      <alignment vertical="center"/>
      <protection locked="0"/>
    </xf>
    <xf numFmtId="0" fontId="22" fillId="0" borderId="0" xfId="0" applyFont="1" applyBorder="1" applyAlignment="1" applyProtection="1">
      <alignment vertical="center"/>
    </xf>
    <xf numFmtId="0" fontId="6" fillId="0" borderId="0" xfId="0" applyFont="1" applyBorder="1" applyAlignment="1" applyProtection="1">
      <alignment vertical="center"/>
    </xf>
    <xf numFmtId="169" fontId="22" fillId="0" borderId="0" xfId="0" applyNumberFormat="1" applyFont="1" applyBorder="1" applyAlignment="1" applyProtection="1">
      <alignment horizontal="center" vertical="center"/>
    </xf>
    <xf numFmtId="0" fontId="6" fillId="0" borderId="0" xfId="0" applyFont="1" applyFill="1" applyBorder="1" applyProtection="1">
      <protection locked="0"/>
    </xf>
    <xf numFmtId="0" fontId="7" fillId="0" borderId="11" xfId="0" applyFont="1" applyFill="1" applyBorder="1" applyAlignment="1" applyProtection="1">
      <alignment vertical="center"/>
    </xf>
    <xf numFmtId="171" fontId="7" fillId="0" borderId="0" xfId="0" applyNumberFormat="1" applyFont="1" applyFill="1" applyBorder="1" applyProtection="1">
      <protection locked="0"/>
    </xf>
    <xf numFmtId="3" fontId="23" fillId="0" borderId="0" xfId="8" applyFont="1" applyFill="1" applyBorder="1" applyAlignment="1" applyProtection="1">
      <alignment horizontal="left"/>
      <protection locked="0"/>
    </xf>
    <xf numFmtId="0" fontId="25" fillId="0" borderId="0" xfId="0" applyFont="1" applyFill="1" applyProtection="1">
      <protection locked="0"/>
    </xf>
    <xf numFmtId="0" fontId="6" fillId="0" borderId="7" xfId="0" applyFont="1" applyFill="1" applyBorder="1" applyAlignment="1" applyProtection="1">
      <alignment vertical="center"/>
    </xf>
    <xf numFmtId="0" fontId="7" fillId="0" borderId="11" xfId="0" applyFont="1" applyBorder="1" applyAlignment="1" applyProtection="1">
      <alignment vertical="center"/>
    </xf>
    <xf numFmtId="0" fontId="7" fillId="4" borderId="11" xfId="0" applyFont="1" applyFill="1" applyBorder="1" applyAlignment="1" applyProtection="1">
      <alignment vertical="center"/>
    </xf>
    <xf numFmtId="0" fontId="7" fillId="0" borderId="7" xfId="0" applyFont="1" applyFill="1" applyBorder="1" applyAlignment="1" applyProtection="1">
      <alignment vertical="center"/>
    </xf>
    <xf numFmtId="0" fontId="22" fillId="0" borderId="7" xfId="0" applyFont="1" applyBorder="1" applyAlignment="1" applyProtection="1">
      <alignment vertical="center"/>
    </xf>
    <xf numFmtId="0" fontId="7" fillId="0" borderId="0" xfId="0" applyFont="1" applyBorder="1" applyAlignment="1" applyProtection="1">
      <alignment vertical="center"/>
    </xf>
    <xf numFmtId="0" fontId="22" fillId="0" borderId="0" xfId="9" applyFont="1" applyProtection="1"/>
    <xf numFmtId="0" fontId="22" fillId="0" borderId="11" xfId="9" applyFont="1" applyBorder="1" applyProtection="1"/>
    <xf numFmtId="0" fontId="7" fillId="0" borderId="11" xfId="9" applyFont="1" applyBorder="1" applyProtection="1"/>
    <xf numFmtId="0" fontId="7" fillId="0" borderId="0" xfId="7" applyFont="1"/>
    <xf numFmtId="169" fontId="7" fillId="0" borderId="0" xfId="7" applyNumberFormat="1" applyFont="1" applyFill="1" applyAlignment="1" applyProtection="1">
      <alignment horizontal="center"/>
    </xf>
    <xf numFmtId="2" fontId="27" fillId="11" borderId="0" xfId="5" applyNumberFormat="1" applyFont="1" applyFill="1" applyAlignment="1" applyProtection="1">
      <alignment horizontal="left"/>
      <protection locked="0"/>
    </xf>
    <xf numFmtId="3" fontId="7" fillId="0" borderId="11" xfId="6" applyNumberFormat="1" applyFont="1" applyFill="1" applyBorder="1" applyAlignment="1" applyProtection="1">
      <alignment horizontal="right" vertical="center"/>
    </xf>
    <xf numFmtId="3" fontId="22" fillId="12" borderId="11" xfId="6" applyNumberFormat="1" applyFont="1" applyFill="1" applyBorder="1" applyAlignment="1" applyProtection="1">
      <alignment horizontal="right" vertical="center"/>
      <protection hidden="1"/>
    </xf>
    <xf numFmtId="3" fontId="7" fillId="10" borderId="11" xfId="0" applyNumberFormat="1" applyFont="1" applyFill="1" applyBorder="1" applyAlignment="1" applyProtection="1">
      <alignment horizontal="right" vertical="center"/>
    </xf>
    <xf numFmtId="10" fontId="7" fillId="0" borderId="11" xfId="6" applyNumberFormat="1" applyFont="1" applyFill="1" applyBorder="1" applyAlignment="1" applyProtection="1">
      <alignment horizontal="right" vertical="center"/>
      <protection hidden="1"/>
    </xf>
    <xf numFmtId="170" fontId="22" fillId="0" borderId="0" xfId="6" applyNumberFormat="1" applyFont="1" applyFill="1" applyBorder="1" applyAlignment="1" applyProtection="1">
      <alignment horizontal="right" vertical="center"/>
      <protection hidden="1"/>
    </xf>
    <xf numFmtId="3" fontId="23" fillId="0" borderId="0" xfId="8" applyFont="1" applyFill="1" applyBorder="1" applyAlignment="1" applyProtection="1">
      <alignment horizontal="right"/>
      <protection locked="0"/>
    </xf>
    <xf numFmtId="3" fontId="7" fillId="0" borderId="11" xfId="9" applyNumberFormat="1" applyFont="1" applyFill="1" applyBorder="1" applyAlignment="1" applyProtection="1">
      <alignment horizontal="right"/>
    </xf>
    <xf numFmtId="3" fontId="22" fillId="13" borderId="11" xfId="6" applyNumberFormat="1" applyFont="1" applyFill="1" applyBorder="1" applyAlignment="1" applyProtection="1">
      <alignment horizontal="right" vertical="center"/>
      <protection hidden="1"/>
    </xf>
    <xf numFmtId="3" fontId="7" fillId="10" borderId="8" xfId="6" applyNumberFormat="1" applyFont="1" applyFill="1" applyBorder="1" applyAlignment="1" applyProtection="1">
      <alignment horizontal="right" vertical="center"/>
    </xf>
    <xf numFmtId="3" fontId="22" fillId="0" borderId="11" xfId="0" applyNumberFormat="1" applyFont="1" applyFill="1" applyBorder="1" applyAlignment="1" applyProtection="1">
      <alignment horizontal="right" vertical="center"/>
    </xf>
    <xf numFmtId="0" fontId="22" fillId="11" borderId="0" xfId="5" applyNumberFormat="1" applyFont="1" applyFill="1" applyAlignment="1" applyProtection="1">
      <alignment horizontal="left"/>
      <protection locked="0"/>
    </xf>
    <xf numFmtId="170" fontId="7" fillId="0" borderId="0" xfId="8" applyNumberFormat="1" applyFont="1" applyFill="1" applyBorder="1" applyProtection="1">
      <alignment horizontal="right"/>
      <protection locked="0"/>
    </xf>
    <xf numFmtId="3" fontId="7" fillId="0" borderId="0" xfId="8" applyFont="1" applyFill="1" applyBorder="1" applyProtection="1">
      <alignment horizontal="right"/>
      <protection locked="0"/>
    </xf>
    <xf numFmtId="0" fontId="7" fillId="0" borderId="0" xfId="7" applyFont="1" applyFill="1"/>
    <xf numFmtId="0" fontId="6" fillId="0" borderId="0" xfId="0" applyFont="1" applyFill="1" applyProtection="1">
      <protection locked="0"/>
    </xf>
    <xf numFmtId="0" fontId="7" fillId="0" borderId="6" xfId="7" applyFont="1" applyBorder="1"/>
    <xf numFmtId="0" fontId="6" fillId="0" borderId="38" xfId="0" applyFont="1" applyBorder="1" applyProtection="1">
      <protection locked="0"/>
    </xf>
    <xf numFmtId="10" fontId="6" fillId="0" borderId="11" xfId="0" applyNumberFormat="1" applyFont="1" applyBorder="1" applyProtection="1">
      <protection locked="0"/>
    </xf>
    <xf numFmtId="0" fontId="29" fillId="0" borderId="13" xfId="0" applyFont="1" applyBorder="1" applyProtection="1"/>
    <xf numFmtId="3" fontId="22" fillId="0" borderId="12" xfId="6" applyNumberFormat="1" applyFont="1" applyFill="1" applyBorder="1" applyAlignment="1" applyProtection="1">
      <alignment horizontal="right" vertical="center"/>
    </xf>
    <xf numFmtId="0" fontId="7" fillId="0" borderId="0" xfId="0" applyFont="1" applyFill="1" applyProtection="1">
      <protection locked="0"/>
    </xf>
    <xf numFmtId="0" fontId="7" fillId="0" borderId="8" xfId="0" applyFont="1" applyFill="1" applyBorder="1" applyAlignment="1" applyProtection="1">
      <alignment vertical="center"/>
    </xf>
    <xf numFmtId="3" fontId="22" fillId="0" borderId="8" xfId="0" applyNumberFormat="1" applyFont="1" applyFill="1" applyBorder="1" applyAlignment="1" applyProtection="1">
      <alignment horizontal="right" vertical="center"/>
    </xf>
    <xf numFmtId="0" fontId="6" fillId="0" borderId="38" xfId="0" applyFont="1" applyBorder="1" applyProtection="1"/>
    <xf numFmtId="0" fontId="6" fillId="0" borderId="19" xfId="0" applyFont="1" applyFill="1" applyBorder="1" applyAlignment="1" applyProtection="1">
      <alignment vertical="center"/>
    </xf>
    <xf numFmtId="0" fontId="24" fillId="4" borderId="39" xfId="0" applyFont="1" applyFill="1" applyBorder="1" applyAlignment="1" applyProtection="1">
      <alignment horizontal="right" vertical="center"/>
    </xf>
    <xf numFmtId="0" fontId="30" fillId="16" borderId="0" xfId="2" applyFont="1" applyFill="1"/>
    <xf numFmtId="0" fontId="33" fillId="0" borderId="0" xfId="0" applyFont="1" applyAlignment="1">
      <alignment vertical="center"/>
    </xf>
    <xf numFmtId="10" fontId="26" fillId="0" borderId="7" xfId="5" applyNumberFormat="1" applyFont="1" applyFill="1" applyBorder="1" applyAlignment="1" applyProtection="1">
      <alignment horizontal="center" vertical="center"/>
    </xf>
    <xf numFmtId="10" fontId="26" fillId="0" borderId="0" xfId="5" applyNumberFormat="1" applyFont="1" applyFill="1" applyBorder="1" applyAlignment="1" applyProtection="1">
      <alignment horizontal="center" vertical="center"/>
    </xf>
    <xf numFmtId="0" fontId="22" fillId="11" borderId="0" xfId="5" applyNumberFormat="1" applyFont="1" applyFill="1" applyAlignment="1" applyProtection="1">
      <alignment horizontal="center"/>
      <protection locked="0"/>
    </xf>
    <xf numFmtId="3" fontId="6" fillId="0" borderId="11" xfId="0" applyNumberFormat="1" applyFont="1" applyBorder="1" applyProtection="1">
      <protection locked="0"/>
    </xf>
    <xf numFmtId="3" fontId="29" fillId="0" borderId="11" xfId="0" applyNumberFormat="1" applyFont="1" applyBorder="1" applyProtection="1">
      <protection locked="0"/>
    </xf>
    <xf numFmtId="3" fontId="22" fillId="10" borderId="11" xfId="6" applyNumberFormat="1" applyFont="1" applyFill="1" applyBorder="1" applyAlignment="1" applyProtection="1">
      <alignment horizontal="right" vertical="center"/>
    </xf>
    <xf numFmtId="169" fontId="6" fillId="0" borderId="18" xfId="0" applyNumberFormat="1" applyFont="1" applyBorder="1" applyAlignment="1" applyProtection="1">
      <alignment horizontal="center"/>
    </xf>
    <xf numFmtId="3" fontId="7" fillId="10" borderId="18" xfId="6" applyNumberFormat="1" applyFont="1" applyFill="1" applyBorder="1" applyAlignment="1" applyProtection="1">
      <alignment horizontal="right" vertical="center"/>
    </xf>
    <xf numFmtId="0" fontId="6" fillId="0" borderId="8" xfId="0" applyFont="1" applyFill="1" applyBorder="1" applyProtection="1"/>
    <xf numFmtId="0" fontId="6" fillId="0" borderId="18" xfId="0" applyFont="1" applyFill="1" applyBorder="1" applyProtection="1"/>
    <xf numFmtId="0" fontId="7" fillId="0" borderId="18" xfId="0" applyFont="1" applyFill="1" applyBorder="1" applyAlignment="1" applyProtection="1">
      <alignment wrapText="1"/>
    </xf>
    <xf numFmtId="0" fontId="22" fillId="0" borderId="18" xfId="0" applyFont="1" applyFill="1" applyBorder="1" applyProtection="1"/>
    <xf numFmtId="49" fontId="7" fillId="0" borderId="18" xfId="0" applyNumberFormat="1" applyFont="1" applyFill="1" applyBorder="1" applyAlignment="1" applyProtection="1">
      <alignment horizontal="left" indent="1"/>
    </xf>
    <xf numFmtId="49" fontId="35" fillId="0" borderId="18" xfId="0" applyNumberFormat="1" applyFont="1" applyFill="1" applyBorder="1" applyAlignment="1" applyProtection="1">
      <alignment horizontal="left" indent="2"/>
    </xf>
    <xf numFmtId="49" fontId="22" fillId="0" borderId="18" xfId="0" applyNumberFormat="1" applyFont="1" applyFill="1" applyBorder="1" applyProtection="1"/>
    <xf numFmtId="0" fontId="7" fillId="0" borderId="18" xfId="0" applyFont="1" applyFill="1" applyBorder="1" applyProtection="1"/>
    <xf numFmtId="0" fontId="36" fillId="0" borderId="0" xfId="0" applyFont="1" applyProtection="1"/>
    <xf numFmtId="10" fontId="6" fillId="0" borderId="18" xfId="6" applyNumberFormat="1" applyFont="1" applyBorder="1" applyAlignment="1" applyProtection="1">
      <alignment horizontal="right"/>
    </xf>
    <xf numFmtId="3" fontId="6" fillId="0" borderId="18" xfId="0" applyNumberFormat="1" applyFont="1" applyBorder="1" applyProtection="1">
      <protection locked="0"/>
    </xf>
    <xf numFmtId="0" fontId="6" fillId="0" borderId="18" xfId="0" applyFont="1" applyBorder="1" applyProtection="1">
      <protection locked="0"/>
    </xf>
    <xf numFmtId="3" fontId="28" fillId="0" borderId="18" xfId="0" applyNumberFormat="1" applyFont="1" applyBorder="1" applyProtection="1">
      <protection locked="0"/>
    </xf>
    <xf numFmtId="0" fontId="22" fillId="0" borderId="8" xfId="17" applyFont="1" applyFill="1" applyBorder="1" applyAlignment="1" applyProtection="1">
      <alignment horizontal="right"/>
    </xf>
    <xf numFmtId="1" fontId="22" fillId="0" borderId="18" xfId="17" applyNumberFormat="1" applyFont="1" applyFill="1" applyBorder="1" applyAlignment="1" applyProtection="1">
      <alignment horizontal="right"/>
    </xf>
    <xf numFmtId="1" fontId="22" fillId="0" borderId="12" xfId="17" applyNumberFormat="1" applyFont="1" applyFill="1" applyBorder="1" applyAlignment="1" applyProtection="1">
      <alignment horizontal="right"/>
    </xf>
    <xf numFmtId="0" fontId="22" fillId="0" borderId="6" xfId="0" applyFont="1" applyFill="1" applyBorder="1" applyProtection="1"/>
    <xf numFmtId="0" fontId="7" fillId="0" borderId="10" xfId="0" applyFont="1" applyFill="1" applyBorder="1" applyProtection="1"/>
    <xf numFmtId="0" fontId="22" fillId="0" borderId="13" xfId="0" applyFont="1" applyFill="1" applyBorder="1" applyProtection="1"/>
    <xf numFmtId="0" fontId="6" fillId="0" borderId="0" xfId="0" applyFont="1" applyBorder="1" applyProtection="1"/>
    <xf numFmtId="3" fontId="7" fillId="10" borderId="12" xfId="6" applyNumberFormat="1" applyFont="1" applyFill="1" applyBorder="1" applyAlignment="1" applyProtection="1">
      <alignment horizontal="right" vertical="center"/>
    </xf>
    <xf numFmtId="3" fontId="6" fillId="0" borderId="12" xfId="0" applyNumberFormat="1" applyFont="1" applyBorder="1" applyProtection="1">
      <protection locked="0"/>
    </xf>
    <xf numFmtId="0" fontId="30" fillId="0" borderId="5" xfId="18" applyFont="1" applyBorder="1"/>
    <xf numFmtId="4" fontId="16" fillId="9" borderId="9" xfId="18" applyNumberFormat="1" applyFont="1" applyFill="1" applyBorder="1" applyAlignment="1">
      <alignment horizontal="center"/>
    </xf>
    <xf numFmtId="0" fontId="16" fillId="0" borderId="16" xfId="18" applyFont="1" applyBorder="1" applyAlignment="1">
      <alignment horizontal="right"/>
    </xf>
    <xf numFmtId="4" fontId="16" fillId="0" borderId="57" xfId="18" applyNumberFormat="1" applyFont="1" applyBorder="1" applyAlignment="1">
      <alignment horizontal="center"/>
    </xf>
    <xf numFmtId="0" fontId="30" fillId="0" borderId="3" xfId="18" applyFont="1" applyBorder="1"/>
    <xf numFmtId="0" fontId="30" fillId="0" borderId="4" xfId="18" applyFont="1" applyBorder="1"/>
    <xf numFmtId="0" fontId="30" fillId="0" borderId="5" xfId="18" applyFont="1" applyBorder="1" applyAlignment="1">
      <alignment horizontal="left"/>
    </xf>
    <xf numFmtId="0" fontId="16" fillId="0" borderId="14" xfId="18" applyFont="1" applyBorder="1" applyAlignment="1">
      <alignment horizontal="center" vertical="center" wrapText="1"/>
    </xf>
    <xf numFmtId="0" fontId="16" fillId="0" borderId="37" xfId="18" applyFont="1" applyBorder="1" applyAlignment="1">
      <alignment horizontal="center" vertical="center" wrapText="1"/>
    </xf>
    <xf numFmtId="4" fontId="16" fillId="9" borderId="0" xfId="18" applyNumberFormat="1" applyFont="1" applyFill="1" applyBorder="1" applyAlignment="1">
      <alignment horizontal="center"/>
    </xf>
    <xf numFmtId="4" fontId="16" fillId="9" borderId="7" xfId="18" applyNumberFormat="1" applyFont="1" applyFill="1" applyBorder="1" applyAlignment="1">
      <alignment horizontal="center"/>
    </xf>
    <xf numFmtId="4" fontId="16" fillId="9" borderId="23" xfId="18" applyNumberFormat="1" applyFont="1" applyFill="1" applyBorder="1" applyAlignment="1">
      <alignment horizontal="center"/>
    </xf>
    <xf numFmtId="4" fontId="16" fillId="4" borderId="9" xfId="18" applyNumberFormat="1" applyFont="1" applyFill="1" applyBorder="1" applyAlignment="1">
      <alignment horizontal="center"/>
    </xf>
    <xf numFmtId="4" fontId="16" fillId="4" borderId="49" xfId="18" applyNumberFormat="1" applyFont="1" applyFill="1" applyBorder="1" applyAlignment="1">
      <alignment horizontal="center"/>
    </xf>
    <xf numFmtId="4" fontId="16" fillId="9" borderId="21" xfId="18" applyNumberFormat="1" applyFont="1" applyFill="1" applyBorder="1" applyAlignment="1">
      <alignment horizontal="center"/>
    </xf>
    <xf numFmtId="0" fontId="30" fillId="0" borderId="15" xfId="18" applyFont="1" applyBorder="1" applyAlignment="1">
      <alignment horizontal="right"/>
    </xf>
    <xf numFmtId="4" fontId="16" fillId="0" borderId="58" xfId="18" applyNumberFormat="1" applyFont="1" applyBorder="1" applyAlignment="1">
      <alignment horizontal="center"/>
    </xf>
    <xf numFmtId="4" fontId="16" fillId="0" borderId="59" xfId="18" applyNumberFormat="1" applyFont="1" applyBorder="1" applyAlignment="1">
      <alignment horizontal="center"/>
    </xf>
    <xf numFmtId="0" fontId="16" fillId="0" borderId="9" xfId="18" applyFont="1" applyBorder="1"/>
    <xf numFmtId="4" fontId="16" fillId="9" borderId="37" xfId="18" applyNumberFormat="1" applyFont="1" applyFill="1" applyBorder="1" applyAlignment="1">
      <alignment horizontal="center"/>
    </xf>
    <xf numFmtId="4" fontId="16" fillId="0" borderId="9" xfId="18" applyNumberFormat="1" applyFont="1" applyBorder="1" applyAlignment="1">
      <alignment horizontal="center"/>
    </xf>
    <xf numFmtId="2" fontId="27" fillId="0" borderId="0" xfId="5" applyNumberFormat="1" applyFont="1" applyFill="1" applyAlignment="1" applyProtection="1">
      <alignment horizontal="left"/>
      <protection locked="0"/>
    </xf>
    <xf numFmtId="2" fontId="37" fillId="6" borderId="0" xfId="5" applyNumberFormat="1" applyFont="1" applyFill="1" applyAlignment="1" applyProtection="1">
      <alignment horizontal="left"/>
      <protection locked="0"/>
    </xf>
    <xf numFmtId="169" fontId="6" fillId="6" borderId="0" xfId="0" applyNumberFormat="1" applyFont="1" applyFill="1" applyAlignment="1" applyProtection="1">
      <alignment horizontal="center"/>
    </xf>
    <xf numFmtId="3" fontId="7" fillId="0" borderId="18" xfId="0" applyNumberFormat="1" applyFont="1" applyBorder="1" applyProtection="1">
      <protection locked="0"/>
    </xf>
    <xf numFmtId="49" fontId="7" fillId="0" borderId="10" xfId="0" applyNumberFormat="1" applyFont="1" applyFill="1" applyBorder="1" applyAlignment="1" applyProtection="1">
      <alignment horizontal="left" indent="1"/>
    </xf>
    <xf numFmtId="3" fontId="7" fillId="0" borderId="18" xfId="6" applyNumberFormat="1" applyFont="1" applyFill="1" applyBorder="1" applyAlignment="1" applyProtection="1">
      <alignment horizontal="right" vertical="center"/>
    </xf>
    <xf numFmtId="3" fontId="6" fillId="0" borderId="0" xfId="0" applyNumberFormat="1" applyFont="1" applyProtection="1">
      <protection locked="0"/>
    </xf>
    <xf numFmtId="0" fontId="30" fillId="16" borderId="0" xfId="16" applyFont="1" applyFill="1"/>
    <xf numFmtId="10" fontId="16" fillId="4" borderId="18" xfId="3" applyNumberFormat="1" applyFont="1" applyFill="1" applyBorder="1"/>
    <xf numFmtId="10" fontId="16" fillId="4" borderId="12" xfId="3" applyNumberFormat="1" applyFont="1" applyFill="1" applyBorder="1"/>
    <xf numFmtId="10" fontId="16" fillId="4" borderId="0" xfId="3" applyNumberFormat="1" applyFont="1" applyFill="1" applyBorder="1"/>
    <xf numFmtId="0" fontId="38" fillId="16" borderId="0" xfId="1" applyFont="1" applyFill="1"/>
    <xf numFmtId="0" fontId="16" fillId="16" borderId="0" xfId="1" applyFont="1" applyFill="1" applyBorder="1"/>
    <xf numFmtId="0" fontId="16" fillId="4" borderId="17" xfId="1" applyFont="1" applyFill="1" applyBorder="1"/>
    <xf numFmtId="0" fontId="4" fillId="0" borderId="0" xfId="0" applyFont="1"/>
    <xf numFmtId="0" fontId="16" fillId="0" borderId="16" xfId="18" applyFont="1" applyBorder="1" applyAlignment="1"/>
    <xf numFmtId="0" fontId="16" fillId="0" borderId="4" xfId="18" applyFont="1" applyBorder="1" applyAlignment="1"/>
    <xf numFmtId="0" fontId="16" fillId="9" borderId="2" xfId="18" applyFont="1" applyFill="1" applyBorder="1" applyAlignment="1">
      <alignment horizontal="center"/>
    </xf>
    <xf numFmtId="0" fontId="16" fillId="0" borderId="0" xfId="18" applyFont="1" applyBorder="1" applyAlignment="1"/>
    <xf numFmtId="0" fontId="16" fillId="9" borderId="0" xfId="18" applyFont="1" applyFill="1" applyBorder="1" applyAlignment="1"/>
    <xf numFmtId="0" fontId="6" fillId="0" borderId="39" xfId="0" applyFont="1" applyFill="1" applyBorder="1" applyAlignment="1" applyProtection="1">
      <alignment vertical="center"/>
    </xf>
    <xf numFmtId="0" fontId="6" fillId="0" borderId="23" xfId="0" applyFont="1" applyFill="1" applyBorder="1" applyAlignment="1" applyProtection="1">
      <alignment vertical="center"/>
    </xf>
    <xf numFmtId="0" fontId="7" fillId="4" borderId="39" xfId="0" applyFont="1" applyFill="1" applyBorder="1" applyAlignment="1" applyProtection="1">
      <alignment vertical="center"/>
    </xf>
    <xf numFmtId="0" fontId="22" fillId="0" borderId="39" xfId="0" applyFont="1" applyBorder="1" applyAlignment="1" applyProtection="1">
      <alignment vertical="center"/>
    </xf>
    <xf numFmtId="0" fontId="7" fillId="0" borderId="38" xfId="0" applyFont="1" applyFill="1" applyBorder="1" applyAlignment="1" applyProtection="1">
      <alignment vertical="center"/>
    </xf>
    <xf numFmtId="0" fontId="7" fillId="0" borderId="6" xfId="0" applyFont="1" applyFill="1" applyBorder="1" applyAlignment="1" applyProtection="1">
      <alignment vertical="center"/>
    </xf>
    <xf numFmtId="0" fontId="7" fillId="0" borderId="38" xfId="0" applyFont="1" applyBorder="1" applyAlignment="1" applyProtection="1">
      <alignment vertical="center"/>
    </xf>
    <xf numFmtId="0" fontId="7" fillId="4" borderId="38" xfId="0" applyFont="1" applyFill="1" applyBorder="1" applyAlignment="1" applyProtection="1">
      <alignment vertical="center"/>
    </xf>
    <xf numFmtId="0" fontId="22" fillId="0" borderId="10" xfId="0" applyFont="1" applyFill="1" applyBorder="1" applyAlignment="1" applyProtection="1"/>
    <xf numFmtId="0" fontId="6" fillId="0" borderId="6" xfId="0" applyFont="1" applyFill="1" applyBorder="1" applyProtection="1"/>
    <xf numFmtId="0" fontId="6" fillId="0" borderId="10" xfId="0" applyFont="1" applyFill="1" applyBorder="1" applyProtection="1"/>
    <xf numFmtId="0" fontId="7" fillId="0" borderId="10" xfId="0" applyFont="1" applyFill="1" applyBorder="1" applyAlignment="1" applyProtection="1">
      <alignment wrapText="1"/>
    </xf>
    <xf numFmtId="0" fontId="22" fillId="0" borderId="10" xfId="0" applyFont="1" applyFill="1" applyBorder="1" applyProtection="1"/>
    <xf numFmtId="0" fontId="6" fillId="0" borderId="23" xfId="0" applyFont="1" applyBorder="1" applyProtection="1"/>
    <xf numFmtId="0" fontId="6" fillId="0" borderId="21" xfId="0" applyFont="1" applyBorder="1" applyProtection="1"/>
    <xf numFmtId="0" fontId="7" fillId="0" borderId="6" xfId="0" applyFont="1" applyFill="1" applyBorder="1" applyProtection="1"/>
    <xf numFmtId="0" fontId="6" fillId="0" borderId="8" xfId="0" applyFont="1" applyBorder="1" applyProtection="1">
      <protection locked="0"/>
    </xf>
    <xf numFmtId="0" fontId="6" fillId="0" borderId="22" xfId="0" applyFont="1" applyBorder="1" applyProtection="1"/>
    <xf numFmtId="3" fontId="22" fillId="18" borderId="11" xfId="6" applyNumberFormat="1" applyFont="1" applyFill="1" applyBorder="1" applyAlignment="1" applyProtection="1">
      <alignment horizontal="right" vertical="center"/>
      <protection hidden="1"/>
    </xf>
    <xf numFmtId="0" fontId="38" fillId="16" borderId="0" xfId="0" applyFont="1" applyFill="1"/>
    <xf numFmtId="0" fontId="16" fillId="0" borderId="0" xfId="1" applyFont="1" applyFill="1"/>
    <xf numFmtId="0" fontId="30" fillId="16" borderId="0" xfId="0" applyFont="1" applyFill="1"/>
    <xf numFmtId="0" fontId="16" fillId="17" borderId="0" xfId="1" applyFont="1" applyFill="1"/>
    <xf numFmtId="0" fontId="30" fillId="6" borderId="30" xfId="1" applyFont="1" applyFill="1" applyBorder="1" applyAlignment="1">
      <alignment horizontal="center" wrapText="1"/>
    </xf>
    <xf numFmtId="0" fontId="16" fillId="6" borderId="0" xfId="1" applyFont="1" applyFill="1" applyBorder="1"/>
    <xf numFmtId="0" fontId="16" fillId="17" borderId="0" xfId="1" applyFont="1" applyFill="1" applyBorder="1"/>
    <xf numFmtId="0" fontId="16" fillId="0" borderId="41" xfId="1" applyFont="1" applyFill="1" applyBorder="1"/>
    <xf numFmtId="0" fontId="16" fillId="0" borderId="42" xfId="1" applyFont="1" applyFill="1" applyBorder="1"/>
    <xf numFmtId="0" fontId="16" fillId="0" borderId="41" xfId="1" applyFont="1" applyFill="1" applyBorder="1" applyAlignment="1">
      <alignment horizontal="center" wrapText="1"/>
    </xf>
    <xf numFmtId="0" fontId="16" fillId="15" borderId="31" xfId="1" applyFont="1" applyFill="1" applyBorder="1"/>
    <xf numFmtId="0" fontId="16" fillId="15" borderId="2" xfId="1" applyFont="1" applyFill="1" applyBorder="1"/>
    <xf numFmtId="168" fontId="16" fillId="15" borderId="31" xfId="15" applyNumberFormat="1" applyFont="1" applyFill="1" applyBorder="1"/>
    <xf numFmtId="0" fontId="16" fillId="15" borderId="32" xfId="1" applyFont="1" applyFill="1" applyBorder="1"/>
    <xf numFmtId="0" fontId="16" fillId="15" borderId="15" xfId="1" applyFont="1" applyFill="1" applyBorder="1"/>
    <xf numFmtId="0" fontId="16" fillId="0" borderId="0" xfId="1" applyFont="1" applyFill="1" applyBorder="1"/>
    <xf numFmtId="0" fontId="16" fillId="4" borderId="0" xfId="16" applyFont="1" applyFill="1" applyBorder="1"/>
    <xf numFmtId="0" fontId="16" fillId="16" borderId="0" xfId="1" applyFont="1" applyFill="1"/>
    <xf numFmtId="0" fontId="6" fillId="0" borderId="10" xfId="0" applyFont="1" applyBorder="1" applyProtection="1">
      <protection locked="0"/>
    </xf>
    <xf numFmtId="0" fontId="6" fillId="0" borderId="0" xfId="0" applyFont="1" applyBorder="1" applyProtection="1">
      <protection locked="0"/>
    </xf>
    <xf numFmtId="3" fontId="7" fillId="0" borderId="13" xfId="8" applyFont="1" applyFill="1" applyBorder="1" applyProtection="1">
      <alignment horizontal="right"/>
      <protection locked="0"/>
    </xf>
    <xf numFmtId="3" fontId="7" fillId="0" borderId="22" xfId="8" applyFont="1" applyFill="1" applyBorder="1" applyProtection="1">
      <alignment horizontal="right"/>
      <protection locked="0"/>
    </xf>
    <xf numFmtId="0" fontId="7" fillId="0" borderId="0" xfId="0" applyFont="1" applyBorder="1" applyProtection="1">
      <protection locked="0"/>
    </xf>
    <xf numFmtId="170" fontId="7" fillId="0" borderId="0" xfId="0" applyNumberFormat="1" applyFont="1" applyBorder="1" applyProtection="1">
      <protection locked="0"/>
    </xf>
    <xf numFmtId="0" fontId="16" fillId="0" borderId="6" xfId="16" applyFont="1" applyFill="1" applyBorder="1" applyAlignment="1">
      <alignment horizontal="center"/>
    </xf>
    <xf numFmtId="0" fontId="16" fillId="0" borderId="10" xfId="16" applyFont="1" applyFill="1" applyBorder="1" applyAlignment="1">
      <alignment horizontal="center"/>
    </xf>
    <xf numFmtId="0" fontId="36" fillId="0" borderId="0" xfId="0" applyFont="1" applyBorder="1" applyProtection="1"/>
    <xf numFmtId="0" fontId="7" fillId="0" borderId="0" xfId="0" applyFont="1" applyBorder="1" applyProtection="1"/>
    <xf numFmtId="10" fontId="6" fillId="0" borderId="8" xfId="0" applyNumberFormat="1" applyFont="1" applyBorder="1" applyAlignment="1" applyProtection="1">
      <alignment horizontal="center"/>
      <protection locked="0"/>
    </xf>
    <xf numFmtId="10" fontId="7" fillId="0" borderId="18" xfId="6" applyNumberFormat="1" applyFont="1" applyFill="1" applyBorder="1" applyAlignment="1" applyProtection="1">
      <alignment horizontal="center"/>
      <protection locked="0"/>
    </xf>
    <xf numFmtId="10" fontId="7" fillId="0" borderId="12" xfId="6" applyNumberFormat="1" applyFont="1" applyFill="1" applyBorder="1" applyAlignment="1" applyProtection="1">
      <alignment horizontal="center"/>
      <protection locked="0"/>
    </xf>
    <xf numFmtId="0" fontId="6" fillId="0" borderId="21" xfId="0" applyFont="1" applyBorder="1" applyAlignment="1" applyProtection="1">
      <alignment horizontal="center"/>
      <protection locked="0"/>
    </xf>
    <xf numFmtId="10" fontId="7" fillId="0" borderId="11" xfId="6" applyNumberFormat="1" applyFont="1" applyFill="1" applyBorder="1" applyAlignment="1" applyProtection="1">
      <alignment horizontal="center"/>
      <protection locked="0"/>
    </xf>
    <xf numFmtId="0" fontId="30" fillId="4" borderId="3" xfId="2" applyFont="1" applyFill="1" applyBorder="1"/>
    <xf numFmtId="0" fontId="16" fillId="4" borderId="5" xfId="2" applyFont="1" applyFill="1" applyBorder="1"/>
    <xf numFmtId="0" fontId="16" fillId="4" borderId="2" xfId="2" applyFont="1" applyFill="1" applyBorder="1"/>
    <xf numFmtId="0" fontId="16" fillId="4" borderId="9" xfId="2" applyFont="1" applyFill="1" applyBorder="1"/>
    <xf numFmtId="0" fontId="16" fillId="4" borderId="15" xfId="2" applyFont="1" applyFill="1" applyBorder="1"/>
    <xf numFmtId="0" fontId="16" fillId="4" borderId="17" xfId="2" applyFont="1" applyFill="1" applyBorder="1"/>
    <xf numFmtId="0" fontId="16" fillId="4" borderId="4" xfId="2" applyFont="1" applyFill="1" applyBorder="1"/>
    <xf numFmtId="0" fontId="16" fillId="4" borderId="0" xfId="2" applyFont="1" applyFill="1" applyBorder="1"/>
    <xf numFmtId="168" fontId="16" fillId="4" borderId="8" xfId="15" applyNumberFormat="1" applyFont="1" applyFill="1" applyBorder="1"/>
    <xf numFmtId="168" fontId="16" fillId="4" borderId="18" xfId="15" applyNumberFormat="1" applyFont="1" applyFill="1" applyBorder="1"/>
    <xf numFmtId="0" fontId="16" fillId="4" borderId="16" xfId="2" applyFont="1" applyFill="1" applyBorder="1"/>
    <xf numFmtId="0" fontId="16" fillId="0" borderId="0" xfId="18" applyFont="1"/>
    <xf numFmtId="0" fontId="30" fillId="16" borderId="0" xfId="1" applyFont="1" applyFill="1"/>
    <xf numFmtId="0" fontId="16" fillId="0" borderId="0" xfId="18" applyFont="1" applyAlignment="1">
      <alignment vertical="top"/>
    </xf>
    <xf numFmtId="0" fontId="30" fillId="7" borderId="0" xfId="1" applyFont="1" applyFill="1"/>
    <xf numFmtId="0" fontId="16" fillId="7" borderId="0" xfId="1" applyFont="1" applyFill="1"/>
    <xf numFmtId="0" fontId="30" fillId="6" borderId="0" xfId="1" applyFont="1" applyFill="1"/>
    <xf numFmtId="0" fontId="16" fillId="6" borderId="0" xfId="1" applyFont="1" applyFill="1"/>
    <xf numFmtId="0" fontId="16" fillId="4" borderId="41" xfId="1" applyFont="1" applyFill="1" applyBorder="1"/>
    <xf numFmtId="0" fontId="16" fillId="4" borderId="43" xfId="1" applyFont="1" applyFill="1" applyBorder="1" applyAlignment="1">
      <alignment horizontal="center" wrapText="1"/>
    </xf>
    <xf numFmtId="0" fontId="16" fillId="4" borderId="28" xfId="1" applyFont="1" applyFill="1" applyBorder="1" applyAlignment="1">
      <alignment horizontal="center" wrapText="1"/>
    </xf>
    <xf numFmtId="0" fontId="16" fillId="4" borderId="44" xfId="1" applyFont="1" applyFill="1" applyBorder="1" applyAlignment="1">
      <alignment horizontal="center" wrapText="1"/>
    </xf>
    <xf numFmtId="0" fontId="16" fillId="4" borderId="45" xfId="1" applyFont="1" applyFill="1" applyBorder="1" applyAlignment="1">
      <alignment horizontal="center" wrapText="1"/>
    </xf>
    <xf numFmtId="0" fontId="16" fillId="9" borderId="31" xfId="1" applyFont="1" applyFill="1" applyBorder="1"/>
    <xf numFmtId="173" fontId="16" fillId="9" borderId="47" xfId="15" applyNumberFormat="1" applyFont="1" applyFill="1" applyBorder="1"/>
    <xf numFmtId="173" fontId="16" fillId="9" borderId="8" xfId="15" applyNumberFormat="1" applyFont="1" applyFill="1" applyBorder="1"/>
    <xf numFmtId="172" fontId="16" fillId="9" borderId="8" xfId="15" applyFont="1" applyFill="1" applyBorder="1"/>
    <xf numFmtId="172" fontId="16" fillId="9" borderId="48" xfId="15" applyFont="1" applyFill="1" applyBorder="1"/>
    <xf numFmtId="168" fontId="16" fillId="9" borderId="47" xfId="15" applyNumberFormat="1" applyFont="1" applyFill="1" applyBorder="1"/>
    <xf numFmtId="168" fontId="16" fillId="9" borderId="8" xfId="15" applyNumberFormat="1" applyFont="1" applyFill="1" applyBorder="1"/>
    <xf numFmtId="168" fontId="16" fillId="9" borderId="48" xfId="15" applyNumberFormat="1" applyFont="1" applyFill="1" applyBorder="1"/>
    <xf numFmtId="168" fontId="16" fillId="4" borderId="33" xfId="15" applyNumberFormat="1" applyFont="1" applyFill="1" applyBorder="1"/>
    <xf numFmtId="168" fontId="16" fillId="4" borderId="6" xfId="15" applyNumberFormat="1" applyFont="1" applyFill="1" applyBorder="1"/>
    <xf numFmtId="168" fontId="16" fillId="4" borderId="48" xfId="1" applyNumberFormat="1" applyFont="1" applyFill="1" applyBorder="1"/>
    <xf numFmtId="0" fontId="4" fillId="9" borderId="31" xfId="0" applyFont="1" applyFill="1" applyBorder="1"/>
    <xf numFmtId="0" fontId="4" fillId="16" borderId="0" xfId="0" applyFont="1" applyFill="1"/>
    <xf numFmtId="174" fontId="16" fillId="9" borderId="2" xfId="15" applyNumberFormat="1" applyFont="1" applyFill="1" applyBorder="1"/>
    <xf numFmtId="174" fontId="16" fillId="9" borderId="18" xfId="15" applyNumberFormat="1" applyFont="1" applyFill="1" applyBorder="1"/>
    <xf numFmtId="174" fontId="16" fillId="9" borderId="49" xfId="15" applyNumberFormat="1" applyFont="1" applyFill="1" applyBorder="1"/>
    <xf numFmtId="168" fontId="16" fillId="9" borderId="26" xfId="15" applyNumberFormat="1" applyFont="1" applyFill="1" applyBorder="1"/>
    <xf numFmtId="168" fontId="16" fillId="9" borderId="18" xfId="15" applyNumberFormat="1" applyFont="1" applyFill="1" applyBorder="1"/>
    <xf numFmtId="168" fontId="16" fillId="9" borderId="49" xfId="15" applyNumberFormat="1" applyFont="1" applyFill="1" applyBorder="1"/>
    <xf numFmtId="168" fontId="16" fillId="4" borderId="26" xfId="15" applyNumberFormat="1" applyFont="1" applyFill="1" applyBorder="1"/>
    <xf numFmtId="168" fontId="16" fillId="4" borderId="10" xfId="15" applyNumberFormat="1" applyFont="1" applyFill="1" applyBorder="1"/>
    <xf numFmtId="168" fontId="16" fillId="4" borderId="49" xfId="1" applyNumberFormat="1" applyFont="1" applyFill="1" applyBorder="1"/>
    <xf numFmtId="172" fontId="16" fillId="9" borderId="26" xfId="15" applyFont="1" applyFill="1" applyBorder="1"/>
    <xf numFmtId="173" fontId="16" fillId="9" borderId="18" xfId="15" applyNumberFormat="1" applyFont="1" applyFill="1" applyBorder="1"/>
    <xf numFmtId="172" fontId="16" fillId="9" borderId="18" xfId="15" applyNumberFormat="1" applyFont="1" applyFill="1" applyBorder="1"/>
    <xf numFmtId="172" fontId="16" fillId="9" borderId="49" xfId="15" applyNumberFormat="1" applyFont="1" applyFill="1" applyBorder="1"/>
    <xf numFmtId="0" fontId="16" fillId="9" borderId="32" xfId="1" applyFont="1" applyFill="1" applyBorder="1"/>
    <xf numFmtId="172" fontId="16" fillId="9" borderId="27" xfId="15" applyFont="1" applyFill="1" applyBorder="1"/>
    <xf numFmtId="173" fontId="16" fillId="9" borderId="25" xfId="15" applyNumberFormat="1" applyFont="1" applyFill="1" applyBorder="1"/>
    <xf numFmtId="172" fontId="16" fillId="9" borderId="25" xfId="15" applyNumberFormat="1" applyFont="1" applyFill="1" applyBorder="1"/>
    <xf numFmtId="172" fontId="16" fillId="9" borderId="51" xfId="15" applyNumberFormat="1" applyFont="1" applyFill="1" applyBorder="1"/>
    <xf numFmtId="168" fontId="16" fillId="9" borderId="27" xfId="15" applyNumberFormat="1" applyFont="1" applyFill="1" applyBorder="1"/>
    <xf numFmtId="168" fontId="16" fillId="9" borderId="25" xfId="15" applyNumberFormat="1" applyFont="1" applyFill="1" applyBorder="1"/>
    <xf numFmtId="168" fontId="16" fillId="9" borderId="51" xfId="15" applyNumberFormat="1" applyFont="1" applyFill="1" applyBorder="1"/>
    <xf numFmtId="168" fontId="16" fillId="4" borderId="27" xfId="15" applyNumberFormat="1" applyFont="1" applyFill="1" applyBorder="1"/>
    <xf numFmtId="168" fontId="16" fillId="4" borderId="25" xfId="15" applyNumberFormat="1" applyFont="1" applyFill="1" applyBorder="1"/>
    <xf numFmtId="168" fontId="16" fillId="4" borderId="56" xfId="15" applyNumberFormat="1" applyFont="1" applyFill="1" applyBorder="1"/>
    <xf numFmtId="168" fontId="16" fillId="4" borderId="51" xfId="1" applyNumberFormat="1" applyFont="1" applyFill="1" applyBorder="1"/>
    <xf numFmtId="0" fontId="16" fillId="16" borderId="18" xfId="1" applyFont="1" applyFill="1" applyBorder="1"/>
    <xf numFmtId="168" fontId="16" fillId="4" borderId="53" xfId="1" applyNumberFormat="1" applyFont="1" applyFill="1" applyBorder="1"/>
    <xf numFmtId="168" fontId="16" fillId="4" borderId="53" xfId="15" applyNumberFormat="1" applyFont="1" applyFill="1" applyBorder="1"/>
    <xf numFmtId="0" fontId="4" fillId="16" borderId="2" xfId="0" applyFont="1" applyFill="1" applyBorder="1"/>
    <xf numFmtId="174" fontId="16" fillId="9" borderId="9" xfId="15" applyNumberFormat="1" applyFont="1" applyFill="1" applyBorder="1"/>
    <xf numFmtId="168" fontId="16" fillId="9" borderId="2" xfId="15" applyNumberFormat="1" applyFont="1" applyFill="1" applyBorder="1"/>
    <xf numFmtId="168" fontId="16" fillId="9" borderId="9" xfId="15" applyNumberFormat="1" applyFont="1" applyFill="1" applyBorder="1"/>
    <xf numFmtId="0" fontId="16" fillId="16" borderId="42" xfId="1" applyFont="1" applyFill="1" applyBorder="1"/>
    <xf numFmtId="0" fontId="16" fillId="16" borderId="31" xfId="1" applyFont="1" applyFill="1" applyBorder="1"/>
    <xf numFmtId="173" fontId="4" fillId="9" borderId="23" xfId="15" applyNumberFormat="1" applyFont="1" applyFill="1" applyBorder="1"/>
    <xf numFmtId="173" fontId="4" fillId="9" borderId="8" xfId="15" applyNumberFormat="1" applyFont="1" applyFill="1" applyBorder="1"/>
    <xf numFmtId="173" fontId="4" fillId="9" borderId="48" xfId="15" applyNumberFormat="1" applyFont="1" applyFill="1" applyBorder="1"/>
    <xf numFmtId="168" fontId="16" fillId="4" borderId="47" xfId="15" applyNumberFormat="1" applyFont="1" applyFill="1" applyBorder="1"/>
    <xf numFmtId="0" fontId="16" fillId="16" borderId="2" xfId="1" applyFont="1" applyFill="1" applyBorder="1"/>
    <xf numFmtId="173" fontId="16" fillId="9" borderId="26" xfId="15" applyNumberFormat="1" applyFont="1" applyFill="1" applyBorder="1"/>
    <xf numFmtId="173" fontId="4" fillId="9" borderId="21" xfId="15" applyNumberFormat="1" applyFont="1" applyFill="1" applyBorder="1"/>
    <xf numFmtId="173" fontId="4" fillId="9" borderId="18" xfId="15" applyNumberFormat="1" applyFont="1" applyFill="1" applyBorder="1"/>
    <xf numFmtId="173" fontId="4" fillId="9" borderId="49" xfId="15" applyNumberFormat="1" applyFont="1" applyFill="1" applyBorder="1"/>
    <xf numFmtId="0" fontId="16" fillId="16" borderId="15" xfId="1" applyFont="1" applyFill="1" applyBorder="1"/>
    <xf numFmtId="173" fontId="16" fillId="9" borderId="27" xfId="15" applyNumberFormat="1" applyFont="1" applyFill="1" applyBorder="1"/>
    <xf numFmtId="173" fontId="4" fillId="9" borderId="50" xfId="15" applyNumberFormat="1" applyFont="1" applyFill="1" applyBorder="1"/>
    <xf numFmtId="173" fontId="4" fillId="9" borderId="25" xfId="15" applyNumberFormat="1" applyFont="1" applyFill="1" applyBorder="1"/>
    <xf numFmtId="173" fontId="4" fillId="9" borderId="51" xfId="15" applyNumberFormat="1" applyFont="1" applyFill="1" applyBorder="1"/>
    <xf numFmtId="174" fontId="4" fillId="9" borderId="26" xfId="15" applyNumberFormat="1" applyFont="1" applyFill="1" applyBorder="1"/>
    <xf numFmtId="174" fontId="4" fillId="9" borderId="18" xfId="15" applyNumberFormat="1" applyFont="1" applyFill="1" applyBorder="1"/>
    <xf numFmtId="174" fontId="4" fillId="9" borderId="49" xfId="15" applyNumberFormat="1" applyFont="1" applyFill="1" applyBorder="1"/>
    <xf numFmtId="173" fontId="4" fillId="9" borderId="47" xfId="15" applyNumberFormat="1" applyFont="1" applyFill="1" applyBorder="1"/>
    <xf numFmtId="168" fontId="4" fillId="4" borderId="47" xfId="15" applyNumberFormat="1" applyFont="1" applyFill="1" applyBorder="1"/>
    <xf numFmtId="168" fontId="4" fillId="4" borderId="8" xfId="15" applyNumberFormat="1" applyFont="1" applyFill="1" applyBorder="1"/>
    <xf numFmtId="168" fontId="4" fillId="4" borderId="6" xfId="15" applyNumberFormat="1" applyFont="1" applyFill="1" applyBorder="1"/>
    <xf numFmtId="168" fontId="4" fillId="4" borderId="26" xfId="15" applyNumberFormat="1" applyFont="1" applyFill="1" applyBorder="1"/>
    <xf numFmtId="168" fontId="4" fillId="4" borderId="18" xfId="15" applyNumberFormat="1" applyFont="1" applyFill="1" applyBorder="1"/>
    <xf numFmtId="168" fontId="4" fillId="4" borderId="10" xfId="15" applyNumberFormat="1" applyFont="1" applyFill="1" applyBorder="1"/>
    <xf numFmtId="173" fontId="4" fillId="9" borderId="26" xfId="15" applyNumberFormat="1" applyFont="1" applyFill="1" applyBorder="1"/>
    <xf numFmtId="168" fontId="4" fillId="9" borderId="26" xfId="15" applyNumberFormat="1" applyFont="1" applyFill="1" applyBorder="1"/>
    <xf numFmtId="168" fontId="4" fillId="9" borderId="18" xfId="15" applyNumberFormat="1" applyFont="1" applyFill="1" applyBorder="1"/>
    <xf numFmtId="168" fontId="4" fillId="9" borderId="49" xfId="15" applyNumberFormat="1" applyFont="1" applyFill="1" applyBorder="1"/>
    <xf numFmtId="173" fontId="4" fillId="9" borderId="27" xfId="15" applyNumberFormat="1" applyFont="1" applyFill="1" applyBorder="1"/>
    <xf numFmtId="168" fontId="4" fillId="9" borderId="27" xfId="15" applyNumberFormat="1" applyFont="1" applyFill="1" applyBorder="1"/>
    <xf numFmtId="168" fontId="4" fillId="9" borderId="25" xfId="15" applyNumberFormat="1" applyFont="1" applyFill="1" applyBorder="1"/>
    <xf numFmtId="168" fontId="4" fillId="9" borderId="51" xfId="15" applyNumberFormat="1" applyFont="1" applyFill="1" applyBorder="1"/>
    <xf numFmtId="168" fontId="4" fillId="4" borderId="27" xfId="15" applyNumberFormat="1" applyFont="1" applyFill="1" applyBorder="1"/>
    <xf numFmtId="168" fontId="4" fillId="4" borderId="25" xfId="15" applyNumberFormat="1" applyFont="1" applyFill="1" applyBorder="1"/>
    <xf numFmtId="168" fontId="4" fillId="4" borderId="56" xfId="15" applyNumberFormat="1" applyFont="1" applyFill="1" applyBorder="1"/>
    <xf numFmtId="168" fontId="4" fillId="4" borderId="53" xfId="15" applyNumberFormat="1" applyFont="1" applyFill="1" applyBorder="1"/>
    <xf numFmtId="174" fontId="16" fillId="9" borderId="26" xfId="15" applyNumberFormat="1" applyFont="1" applyFill="1" applyBorder="1"/>
    <xf numFmtId="173" fontId="16" fillId="9" borderId="48" xfId="15" applyNumberFormat="1" applyFont="1" applyFill="1" applyBorder="1"/>
    <xf numFmtId="173" fontId="16" fillId="9" borderId="49" xfId="15" applyNumberFormat="1" applyFont="1" applyFill="1" applyBorder="1"/>
    <xf numFmtId="173" fontId="16" fillId="9" borderId="51" xfId="15" applyNumberFormat="1" applyFont="1" applyFill="1" applyBorder="1"/>
    <xf numFmtId="168" fontId="16" fillId="16" borderId="0" xfId="1" applyNumberFormat="1" applyFont="1" applyFill="1"/>
    <xf numFmtId="0" fontId="38" fillId="16" borderId="0" xfId="16" applyFont="1" applyFill="1"/>
    <xf numFmtId="0" fontId="16" fillId="7" borderId="0" xfId="16" applyFont="1" applyFill="1"/>
    <xf numFmtId="0" fontId="16" fillId="16" borderId="0" xfId="16" applyFont="1" applyFill="1"/>
    <xf numFmtId="0" fontId="16" fillId="4" borderId="3" xfId="16" applyFont="1" applyFill="1" applyBorder="1"/>
    <xf numFmtId="0" fontId="16" fillId="4" borderId="4" xfId="16" applyFont="1" applyFill="1" applyBorder="1"/>
    <xf numFmtId="0" fontId="16" fillId="4" borderId="5" xfId="16" applyFont="1" applyFill="1" applyBorder="1"/>
    <xf numFmtId="0" fontId="30" fillId="4" borderId="2" xfId="16" applyFont="1" applyFill="1" applyBorder="1"/>
    <xf numFmtId="0" fontId="16" fillId="4" borderId="9" xfId="16" applyFont="1" applyFill="1" applyBorder="1"/>
    <xf numFmtId="0" fontId="16" fillId="4" borderId="2" xfId="16" applyFont="1" applyFill="1" applyBorder="1"/>
    <xf numFmtId="10" fontId="16" fillId="4" borderId="8" xfId="3" applyNumberFormat="1" applyFont="1" applyFill="1" applyBorder="1"/>
    <xf numFmtId="0" fontId="43" fillId="4" borderId="2" xfId="16" applyFont="1" applyFill="1" applyBorder="1"/>
    <xf numFmtId="10" fontId="16" fillId="4" borderId="11" xfId="16" applyNumberFormat="1" applyFont="1" applyFill="1" applyBorder="1"/>
    <xf numFmtId="0" fontId="16" fillId="4" borderId="15" xfId="16" applyFont="1" applyFill="1" applyBorder="1"/>
    <xf numFmtId="0" fontId="16" fillId="4" borderId="16" xfId="16" applyFont="1" applyFill="1" applyBorder="1"/>
    <xf numFmtId="0" fontId="16" fillId="4" borderId="17" xfId="16" applyFont="1" applyFill="1" applyBorder="1"/>
    <xf numFmtId="0" fontId="16" fillId="16" borderId="0" xfId="16" applyFont="1" applyFill="1" applyBorder="1"/>
    <xf numFmtId="0" fontId="16" fillId="7" borderId="54" xfId="16" applyFont="1" applyFill="1" applyBorder="1"/>
    <xf numFmtId="0" fontId="16" fillId="4" borderId="8" xfId="16" applyFont="1" applyFill="1" applyBorder="1" applyAlignment="1">
      <alignment horizontal="center"/>
    </xf>
    <xf numFmtId="0" fontId="39" fillId="4" borderId="9" xfId="16" applyFont="1" applyFill="1" applyBorder="1"/>
    <xf numFmtId="0" fontId="32" fillId="9" borderId="2" xfId="16" applyFont="1" applyFill="1" applyBorder="1"/>
    <xf numFmtId="168" fontId="16" fillId="4" borderId="8" xfId="16" applyNumberFormat="1" applyFont="1" applyFill="1" applyBorder="1"/>
    <xf numFmtId="0" fontId="32" fillId="9" borderId="26" xfId="16" applyFont="1" applyFill="1" applyBorder="1"/>
    <xf numFmtId="168" fontId="16" fillId="4" borderId="18" xfId="16" applyNumberFormat="1" applyFont="1" applyFill="1" applyBorder="1"/>
    <xf numFmtId="0" fontId="16" fillId="9" borderId="26" xfId="16" applyFont="1" applyFill="1" applyBorder="1"/>
    <xf numFmtId="0" fontId="16" fillId="9" borderId="27" xfId="16" applyFont="1" applyFill="1" applyBorder="1"/>
    <xf numFmtId="168" fontId="16" fillId="4" borderId="25" xfId="16" applyNumberFormat="1" applyFont="1" applyFill="1" applyBorder="1"/>
    <xf numFmtId="10" fontId="16" fillId="4" borderId="25" xfId="3" applyNumberFormat="1" applyFont="1" applyFill="1" applyBorder="1"/>
    <xf numFmtId="0" fontId="39" fillId="4" borderId="51" xfId="16" applyFont="1" applyFill="1" applyBorder="1"/>
    <xf numFmtId="0" fontId="43" fillId="4" borderId="24" xfId="16" applyFont="1" applyFill="1" applyBorder="1"/>
    <xf numFmtId="168" fontId="43" fillId="4" borderId="55" xfId="16" applyNumberFormat="1" applyFont="1" applyFill="1" applyBorder="1" applyAlignment="1">
      <alignment horizontal="right"/>
    </xf>
    <xf numFmtId="168" fontId="43" fillId="4" borderId="24" xfId="16" applyNumberFormat="1" applyFont="1" applyFill="1" applyBorder="1" applyAlignment="1">
      <alignment horizontal="right"/>
    </xf>
    <xf numFmtId="0" fontId="30" fillId="4" borderId="12" xfId="16" applyFont="1" applyFill="1" applyBorder="1"/>
    <xf numFmtId="168" fontId="43" fillId="4" borderId="12" xfId="16" applyNumberFormat="1" applyFont="1" applyFill="1" applyBorder="1" applyAlignment="1">
      <alignment horizontal="right"/>
    </xf>
    <xf numFmtId="168" fontId="30" fillId="16" borderId="0" xfId="16" applyNumberFormat="1" applyFont="1" applyFill="1"/>
    <xf numFmtId="0" fontId="30" fillId="7" borderId="0" xfId="16" applyFont="1" applyFill="1"/>
    <xf numFmtId="172" fontId="16" fillId="16" borderId="0" xfId="16" applyNumberFormat="1" applyFont="1" applyFill="1"/>
    <xf numFmtId="0" fontId="16" fillId="4" borderId="40" xfId="1" applyFont="1" applyFill="1" applyBorder="1" applyAlignment="1">
      <alignment horizontal="center" wrapText="1"/>
    </xf>
    <xf numFmtId="0" fontId="16" fillId="4" borderId="41" xfId="16" applyFont="1" applyFill="1" applyBorder="1"/>
    <xf numFmtId="0" fontId="16" fillId="4" borderId="42" xfId="16" applyFont="1" applyFill="1" applyBorder="1"/>
    <xf numFmtId="0" fontId="16" fillId="4" borderId="0" xfId="1" applyFont="1" applyFill="1"/>
    <xf numFmtId="0" fontId="16" fillId="4" borderId="31" xfId="16" applyFont="1" applyFill="1" applyBorder="1"/>
    <xf numFmtId="0" fontId="16" fillId="9" borderId="32" xfId="16" applyFont="1" applyFill="1" applyBorder="1"/>
    <xf numFmtId="0" fontId="16" fillId="4" borderId="32" xfId="16" applyFont="1" applyFill="1" applyBorder="1"/>
    <xf numFmtId="168" fontId="16" fillId="4" borderId="53" xfId="16" applyNumberFormat="1" applyFont="1" applyFill="1" applyBorder="1"/>
    <xf numFmtId="172" fontId="16" fillId="16" borderId="0" xfId="1" applyNumberFormat="1" applyFont="1" applyFill="1"/>
    <xf numFmtId="0" fontId="16" fillId="4" borderId="42" xfId="1" applyFont="1" applyFill="1" applyBorder="1"/>
    <xf numFmtId="0" fontId="16" fillId="4" borderId="46" xfId="1" applyFont="1" applyFill="1" applyBorder="1" applyAlignment="1">
      <alignment horizontal="center" wrapText="1"/>
    </xf>
    <xf numFmtId="172" fontId="16" fillId="9" borderId="23" xfId="15" applyFont="1" applyFill="1" applyBorder="1"/>
    <xf numFmtId="168" fontId="16" fillId="9" borderId="21" xfId="15" applyNumberFormat="1" applyFont="1" applyFill="1" applyBorder="1"/>
    <xf numFmtId="174" fontId="4" fillId="9" borderId="21" xfId="15" applyNumberFormat="1" applyFont="1" applyFill="1" applyBorder="1"/>
    <xf numFmtId="168" fontId="4" fillId="9" borderId="21" xfId="15" applyNumberFormat="1" applyFont="1" applyFill="1" applyBorder="1"/>
    <xf numFmtId="0" fontId="16" fillId="9" borderId="2" xfId="1" applyFont="1" applyFill="1" applyBorder="1"/>
    <xf numFmtId="172" fontId="16" fillId="9" borderId="21" xfId="15" applyNumberFormat="1" applyFont="1" applyFill="1" applyBorder="1"/>
    <xf numFmtId="0" fontId="16" fillId="9" borderId="15" xfId="1" applyFont="1" applyFill="1" applyBorder="1"/>
    <xf numFmtId="172" fontId="16" fillId="9" borderId="50" xfId="15" applyNumberFormat="1" applyFont="1" applyFill="1" applyBorder="1"/>
    <xf numFmtId="168" fontId="4" fillId="9" borderId="50" xfId="15" applyNumberFormat="1" applyFont="1" applyFill="1" applyBorder="1"/>
    <xf numFmtId="168" fontId="16" fillId="4" borderId="52" xfId="1" applyNumberFormat="1" applyFont="1" applyFill="1" applyBorder="1"/>
    <xf numFmtId="168" fontId="4" fillId="4" borderId="52" xfId="15" applyNumberFormat="1" applyFont="1" applyFill="1" applyBorder="1"/>
    <xf numFmtId="3" fontId="4" fillId="16" borderId="0" xfId="0" applyNumberFormat="1" applyFont="1" applyFill="1"/>
    <xf numFmtId="173" fontId="4" fillId="15" borderId="60" xfId="15" applyNumberFormat="1" applyFont="1" applyFill="1" applyBorder="1"/>
    <xf numFmtId="43" fontId="4" fillId="15" borderId="31" xfId="15" applyNumberFormat="1" applyFont="1" applyFill="1" applyBorder="1"/>
    <xf numFmtId="173" fontId="4" fillId="15" borderId="31" xfId="15" applyNumberFormat="1" applyFont="1" applyFill="1" applyBorder="1"/>
    <xf numFmtId="168" fontId="4" fillId="15" borderId="31" xfId="15" applyNumberFormat="1" applyFont="1" applyFill="1" applyBorder="1"/>
    <xf numFmtId="173" fontId="4" fillId="15" borderId="32" xfId="15" applyNumberFormat="1" applyFont="1" applyFill="1" applyBorder="1"/>
    <xf numFmtId="168" fontId="4" fillId="15" borderId="32" xfId="15" applyNumberFormat="1" applyFont="1" applyFill="1" applyBorder="1"/>
    <xf numFmtId="0" fontId="31" fillId="16" borderId="0" xfId="1" applyFont="1" applyFill="1"/>
    <xf numFmtId="0" fontId="31" fillId="0" borderId="18" xfId="0" applyFont="1" applyFill="1" applyBorder="1" applyAlignment="1" applyProtection="1">
      <alignment wrapText="1"/>
    </xf>
    <xf numFmtId="0" fontId="31" fillId="0" borderId="18" xfId="0" applyFont="1" applyFill="1" applyBorder="1" applyProtection="1"/>
    <xf numFmtId="0" fontId="31" fillId="9" borderId="27" xfId="16" applyFont="1" applyFill="1" applyBorder="1"/>
    <xf numFmtId="0" fontId="31" fillId="0" borderId="0" xfId="0" applyFont="1" applyAlignment="1">
      <alignment vertical="center"/>
    </xf>
    <xf numFmtId="0" fontId="39" fillId="0" borderId="0" xfId="1" applyFont="1"/>
    <xf numFmtId="0" fontId="16" fillId="0" borderId="0" xfId="1" applyFont="1"/>
    <xf numFmtId="0" fontId="40" fillId="0" borderId="0" xfId="1" applyFont="1"/>
    <xf numFmtId="0" fontId="40" fillId="5" borderId="0" xfId="1" applyFont="1" applyFill="1" applyAlignment="1">
      <alignment horizontal="center"/>
    </xf>
    <xf numFmtId="0" fontId="30" fillId="5" borderId="0" xfId="1" applyFont="1" applyFill="1"/>
    <xf numFmtId="0" fontId="34" fillId="4" borderId="6" xfId="2" applyFont="1" applyFill="1" applyBorder="1"/>
    <xf numFmtId="0" fontId="16" fillId="4" borderId="7" xfId="2" applyFont="1" applyFill="1" applyBorder="1"/>
    <xf numFmtId="164" fontId="16" fillId="5" borderId="8" xfId="2" applyNumberFormat="1" applyFont="1" applyFill="1" applyBorder="1"/>
    <xf numFmtId="0" fontId="16" fillId="0" borderId="0" xfId="1" applyFont="1" applyBorder="1"/>
    <xf numFmtId="0" fontId="34" fillId="4" borderId="10" xfId="2" applyFont="1" applyFill="1" applyBorder="1"/>
    <xf numFmtId="164" fontId="16" fillId="5" borderId="11" xfId="2" applyNumberFormat="1" applyFont="1" applyFill="1" applyBorder="1"/>
    <xf numFmtId="0" fontId="16" fillId="0" borderId="6" xfId="1" applyFont="1" applyBorder="1" applyAlignment="1">
      <alignment horizontal="center"/>
    </xf>
    <xf numFmtId="10" fontId="16" fillId="0" borderId="23" xfId="6" applyNumberFormat="1" applyFont="1" applyBorder="1" applyAlignment="1">
      <alignment horizontal="center"/>
    </xf>
    <xf numFmtId="164" fontId="16" fillId="5" borderId="12" xfId="2" applyNumberFormat="1" applyFont="1" applyFill="1" applyBorder="1"/>
    <xf numFmtId="0" fontId="16" fillId="0" borderId="10" xfId="1" applyFont="1" applyBorder="1" applyAlignment="1">
      <alignment horizontal="center"/>
    </xf>
    <xf numFmtId="10" fontId="16" fillId="0" borderId="21" xfId="6" applyNumberFormat="1" applyFont="1" applyBorder="1" applyAlignment="1">
      <alignment horizontal="center"/>
    </xf>
    <xf numFmtId="0" fontId="16" fillId="4" borderId="21" xfId="2" applyFont="1" applyFill="1" applyBorder="1"/>
    <xf numFmtId="164" fontId="41" fillId="5" borderId="12" xfId="2" applyNumberFormat="1" applyFont="1" applyFill="1" applyBorder="1"/>
    <xf numFmtId="0" fontId="16" fillId="0" borderId="21" xfId="1" applyFont="1" applyBorder="1" applyAlignment="1">
      <alignment horizontal="center"/>
    </xf>
    <xf numFmtId="0" fontId="34" fillId="4" borderId="13" xfId="2" applyFont="1" applyFill="1" applyBorder="1"/>
    <xf numFmtId="0" fontId="16" fillId="4" borderId="14" xfId="2" applyFont="1" applyFill="1" applyBorder="1"/>
    <xf numFmtId="0" fontId="16" fillId="0" borderId="13" xfId="1" applyFont="1" applyBorder="1" applyAlignment="1">
      <alignment horizontal="center"/>
    </xf>
    <xf numFmtId="10" fontId="16" fillId="0" borderId="22" xfId="6" applyNumberFormat="1" applyFont="1" applyBorder="1" applyAlignment="1">
      <alignment horizontal="center"/>
    </xf>
    <xf numFmtId="165" fontId="16" fillId="4" borderId="0" xfId="3" applyNumberFormat="1" applyFont="1" applyFill="1" applyBorder="1"/>
    <xf numFmtId="10" fontId="16" fillId="4" borderId="11" xfId="3" applyNumberFormat="1" applyFont="1" applyFill="1" applyBorder="1"/>
    <xf numFmtId="0" fontId="30" fillId="0" borderId="6" xfId="1" applyFont="1" applyBorder="1" applyAlignment="1"/>
    <xf numFmtId="0" fontId="16" fillId="0" borderId="23" xfId="1" applyFont="1" applyBorder="1" applyAlignment="1"/>
    <xf numFmtId="0" fontId="30" fillId="0" borderId="8" xfId="1" applyFont="1" applyBorder="1" applyAlignment="1">
      <alignment horizontal="right"/>
    </xf>
    <xf numFmtId="0" fontId="30" fillId="0" borderId="7" xfId="1" applyFont="1" applyBorder="1" applyAlignment="1">
      <alignment horizontal="right"/>
    </xf>
    <xf numFmtId="0" fontId="30" fillId="0" borderId="13" xfId="1" applyFont="1" applyBorder="1"/>
    <xf numFmtId="0" fontId="16" fillId="0" borderId="22" xfId="1" applyFont="1" applyBorder="1" applyAlignment="1"/>
    <xf numFmtId="0" fontId="30" fillId="0" borderId="12" xfId="1" applyFont="1" applyBorder="1" applyAlignment="1">
      <alignment horizontal="right"/>
    </xf>
    <xf numFmtId="0" fontId="30" fillId="0" borderId="14" xfId="1" applyFont="1" applyBorder="1" applyAlignment="1">
      <alignment horizontal="right"/>
    </xf>
    <xf numFmtId="0" fontId="16" fillId="0" borderId="2" xfId="1" applyFont="1" applyBorder="1"/>
    <xf numFmtId="10" fontId="16" fillId="0" borderId="9" xfId="3" applyNumberFormat="1" applyFont="1" applyBorder="1"/>
    <xf numFmtId="10" fontId="32" fillId="0" borderId="18" xfId="3" applyNumberFormat="1" applyFont="1" applyBorder="1"/>
    <xf numFmtId="10" fontId="32" fillId="0" borderId="0" xfId="3" applyNumberFormat="1" applyFont="1" applyBorder="1"/>
    <xf numFmtId="10" fontId="32" fillId="15" borderId="0" xfId="3" applyNumberFormat="1" applyFont="1" applyFill="1" applyBorder="1"/>
    <xf numFmtId="10" fontId="32" fillId="15" borderId="18" xfId="3" applyNumberFormat="1" applyFont="1" applyFill="1" applyBorder="1"/>
    <xf numFmtId="0" fontId="30" fillId="6" borderId="15" xfId="1" applyFont="1" applyFill="1" applyBorder="1" applyAlignment="1">
      <alignment wrapText="1"/>
    </xf>
    <xf numFmtId="10" fontId="30" fillId="6" borderId="17" xfId="3" applyNumberFormat="1" applyFont="1" applyFill="1" applyBorder="1"/>
    <xf numFmtId="10" fontId="30" fillId="6" borderId="12" xfId="3" applyNumberFormat="1" applyFont="1" applyFill="1" applyBorder="1"/>
    <xf numFmtId="10" fontId="30" fillId="6" borderId="14" xfId="3" applyNumberFormat="1" applyFont="1" applyFill="1" applyBorder="1"/>
    <xf numFmtId="0" fontId="16" fillId="0" borderId="5" xfId="1" applyFont="1" applyBorder="1"/>
    <xf numFmtId="0" fontId="30" fillId="6" borderId="2" xfId="1" applyFont="1" applyFill="1" applyBorder="1"/>
    <xf numFmtId="10" fontId="30" fillId="6" borderId="9" xfId="6" applyNumberFormat="1" applyFont="1" applyFill="1" applyBorder="1" applyAlignment="1">
      <alignment horizontal="right"/>
    </xf>
    <xf numFmtId="0" fontId="30" fillId="0" borderId="0" xfId="1" applyFont="1"/>
    <xf numFmtId="0" fontId="30" fillId="0" borderId="9" xfId="1" applyFont="1" applyBorder="1"/>
    <xf numFmtId="0" fontId="30" fillId="6" borderId="15" xfId="1" applyFont="1" applyFill="1" applyBorder="1"/>
    <xf numFmtId="10" fontId="30" fillId="6" borderId="17" xfId="6" applyNumberFormat="1" applyFont="1" applyFill="1" applyBorder="1" applyAlignment="1">
      <alignment horizontal="right"/>
    </xf>
    <xf numFmtId="0" fontId="42" fillId="0" borderId="0" xfId="1" applyFont="1"/>
    <xf numFmtId="0" fontId="30" fillId="0" borderId="3" xfId="1" applyFont="1" applyBorder="1"/>
    <xf numFmtId="0" fontId="30" fillId="0" borderId="30" xfId="1" applyFont="1" applyBorder="1" applyAlignment="1">
      <alignment horizontal="right"/>
    </xf>
    <xf numFmtId="0" fontId="30" fillId="0" borderId="23" xfId="1" applyFont="1" applyBorder="1" applyAlignment="1">
      <alignment horizontal="right"/>
    </xf>
    <xf numFmtId="10" fontId="16" fillId="0" borderId="9" xfId="3" applyNumberFormat="1" applyFont="1" applyBorder="1" applyAlignment="1">
      <alignment horizontal="right"/>
    </xf>
    <xf numFmtId="166" fontId="34" fillId="0" borderId="31" xfId="1" applyNumberFormat="1" applyFont="1" applyBorder="1"/>
    <xf numFmtId="10" fontId="32" fillId="15" borderId="21" xfId="3" applyNumberFormat="1" applyFont="1" applyFill="1" applyBorder="1"/>
    <xf numFmtId="0" fontId="16" fillId="0" borderId="31" xfId="1" applyFont="1" applyBorder="1"/>
    <xf numFmtId="0" fontId="16" fillId="0" borderId="21" xfId="1" applyFont="1" applyBorder="1"/>
    <xf numFmtId="0" fontId="16" fillId="0" borderId="18" xfId="1" applyFont="1" applyBorder="1"/>
    <xf numFmtId="0" fontId="30" fillId="6" borderId="15" xfId="1" applyFont="1" applyFill="1" applyBorder="1" applyAlignment="1">
      <alignment horizontal="left" wrapText="1"/>
    </xf>
    <xf numFmtId="10" fontId="30" fillId="6" borderId="17" xfId="3" applyNumberFormat="1" applyFont="1" applyFill="1" applyBorder="1" applyAlignment="1">
      <alignment horizontal="right"/>
    </xf>
    <xf numFmtId="166" fontId="30" fillId="6" borderId="32" xfId="3" applyNumberFormat="1" applyFont="1" applyFill="1" applyBorder="1"/>
    <xf numFmtId="167" fontId="16" fillId="0" borderId="0" xfId="1" applyNumberFormat="1" applyFont="1"/>
    <xf numFmtId="0" fontId="16" fillId="0" borderId="3" xfId="1" applyFont="1" applyBorder="1"/>
    <xf numFmtId="10" fontId="30" fillId="6" borderId="9" xfId="6" applyNumberFormat="1" applyFont="1" applyFill="1" applyBorder="1"/>
    <xf numFmtId="10" fontId="30" fillId="6" borderId="17" xfId="6" applyNumberFormat="1" applyFont="1" applyFill="1" applyBorder="1"/>
    <xf numFmtId="0" fontId="30" fillId="6" borderId="3" xfId="1" applyFont="1" applyFill="1" applyBorder="1"/>
    <xf numFmtId="0" fontId="30" fillId="0" borderId="4" xfId="1" applyFont="1" applyBorder="1"/>
    <xf numFmtId="0" fontId="30" fillId="8" borderId="44" xfId="1" applyFont="1" applyFill="1" applyBorder="1"/>
    <xf numFmtId="0" fontId="30" fillId="8" borderId="29" xfId="1" applyFont="1" applyFill="1" applyBorder="1"/>
    <xf numFmtId="166" fontId="16" fillId="8" borderId="0" xfId="3" applyNumberFormat="1" applyFont="1" applyFill="1" applyBorder="1"/>
    <xf numFmtId="0" fontId="16" fillId="0" borderId="9" xfId="1" applyFont="1" applyBorder="1"/>
    <xf numFmtId="166" fontId="34" fillId="10" borderId="21" xfId="3" applyNumberFormat="1" applyFont="1" applyFill="1" applyBorder="1"/>
    <xf numFmtId="166" fontId="34" fillId="10" borderId="9" xfId="3" applyNumberFormat="1" applyFont="1" applyFill="1" applyBorder="1"/>
    <xf numFmtId="10" fontId="16" fillId="0" borderId="21" xfId="3" applyNumberFormat="1" applyFont="1" applyBorder="1"/>
    <xf numFmtId="166" fontId="30" fillId="6" borderId="16" xfId="3" applyNumberFormat="1" applyFont="1" applyFill="1" applyBorder="1"/>
    <xf numFmtId="0" fontId="16" fillId="0" borderId="17" xfId="1" applyFont="1" applyBorder="1"/>
    <xf numFmtId="166" fontId="30" fillId="6" borderId="50" xfId="3" applyNumberFormat="1" applyFont="1" applyFill="1" applyBorder="1"/>
    <xf numFmtId="166" fontId="30" fillId="6" borderId="17" xfId="3" applyNumberFormat="1" applyFont="1" applyFill="1" applyBorder="1"/>
    <xf numFmtId="0" fontId="46" fillId="6" borderId="3" xfId="0" applyFont="1" applyFill="1" applyBorder="1" applyAlignment="1"/>
    <xf numFmtId="0" fontId="41" fillId="6" borderId="5" xfId="0" applyFont="1" applyFill="1" applyBorder="1" applyAlignment="1">
      <alignment wrapText="1"/>
    </xf>
    <xf numFmtId="0" fontId="16" fillId="0" borderId="0" xfId="0" applyFont="1" applyBorder="1"/>
    <xf numFmtId="0" fontId="16" fillId="0" borderId="0" xfId="0" applyFont="1"/>
    <xf numFmtId="0" fontId="41" fillId="8" borderId="2" xfId="0" applyFont="1" applyFill="1" applyBorder="1" applyAlignment="1">
      <alignment wrapText="1"/>
    </xf>
    <xf numFmtId="0" fontId="41" fillId="8" borderId="9" xfId="0" applyFont="1" applyFill="1" applyBorder="1" applyAlignment="1">
      <alignment wrapText="1"/>
    </xf>
    <xf numFmtId="0" fontId="16" fillId="0" borderId="0" xfId="0" applyFont="1" applyFill="1" applyBorder="1"/>
    <xf numFmtId="10" fontId="32" fillId="0" borderId="9" xfId="3" applyNumberFormat="1" applyFont="1" applyBorder="1"/>
    <xf numFmtId="0" fontId="16" fillId="0" borderId="2" xfId="0" applyFont="1" applyBorder="1"/>
    <xf numFmtId="0" fontId="30" fillId="6" borderId="15" xfId="0" applyFont="1" applyFill="1" applyBorder="1" applyAlignment="1">
      <alignment wrapText="1"/>
    </xf>
    <xf numFmtId="0" fontId="16" fillId="0" borderId="4" xfId="1" applyFont="1" applyBorder="1"/>
    <xf numFmtId="167" fontId="16" fillId="0" borderId="4" xfId="1" applyNumberFormat="1" applyFont="1" applyBorder="1"/>
    <xf numFmtId="0" fontId="46" fillId="7" borderId="2" xfId="1" applyFont="1" applyFill="1" applyBorder="1"/>
    <xf numFmtId="0" fontId="30" fillId="0" borderId="19" xfId="1" applyFont="1" applyBorder="1"/>
    <xf numFmtId="0" fontId="30" fillId="0" borderId="2" xfId="1" applyFont="1" applyBorder="1"/>
    <xf numFmtId="166" fontId="30" fillId="0" borderId="0" xfId="1" applyNumberFormat="1" applyFont="1" applyBorder="1"/>
    <xf numFmtId="168" fontId="16" fillId="0" borderId="0" xfId="1" applyNumberFormat="1" applyFont="1"/>
    <xf numFmtId="3" fontId="30" fillId="0" borderId="0" xfId="1" applyNumberFormat="1" applyFont="1" applyBorder="1"/>
    <xf numFmtId="0" fontId="42" fillId="6" borderId="2" xfId="1" applyFont="1" applyFill="1" applyBorder="1"/>
    <xf numFmtId="3" fontId="42" fillId="6" borderId="20" xfId="1" applyNumberFormat="1" applyFont="1" applyFill="1" applyBorder="1"/>
    <xf numFmtId="168" fontId="16" fillId="0" borderId="0" xfId="5" applyNumberFormat="1" applyFont="1"/>
    <xf numFmtId="0" fontId="42" fillId="8" borderId="2" xfId="1" applyFont="1" applyFill="1" applyBorder="1"/>
    <xf numFmtId="0" fontId="16" fillId="8" borderId="0" xfId="1" applyFont="1" applyFill="1" applyBorder="1"/>
    <xf numFmtId="3" fontId="42" fillId="8" borderId="0" xfId="1" applyNumberFormat="1" applyFont="1" applyFill="1" applyBorder="1"/>
    <xf numFmtId="0" fontId="16" fillId="8" borderId="9" xfId="1" applyFont="1" applyFill="1" applyBorder="1"/>
    <xf numFmtId="0" fontId="16" fillId="8" borderId="0" xfId="1" applyFont="1" applyFill="1"/>
    <xf numFmtId="0" fontId="30" fillId="8" borderId="28" xfId="1" applyFont="1" applyFill="1" applyBorder="1"/>
    <xf numFmtId="166" fontId="34" fillId="10" borderId="26" xfId="3" applyNumberFormat="1" applyFont="1" applyFill="1" applyBorder="1"/>
    <xf numFmtId="10" fontId="16" fillId="0" borderId="26" xfId="3" applyNumberFormat="1" applyFont="1" applyBorder="1"/>
    <xf numFmtId="0" fontId="30" fillId="5" borderId="15" xfId="1" applyFont="1" applyFill="1" applyBorder="1" applyAlignment="1">
      <alignment wrapText="1"/>
    </xf>
    <xf numFmtId="166" fontId="30" fillId="6" borderId="27" xfId="3" applyNumberFormat="1" applyFont="1" applyFill="1" applyBorder="1"/>
    <xf numFmtId="0" fontId="30" fillId="6" borderId="3" xfId="1" applyFont="1" applyFill="1" applyBorder="1" applyAlignment="1">
      <alignment wrapText="1"/>
    </xf>
    <xf numFmtId="0" fontId="30" fillId="6" borderId="33" xfId="1" applyFont="1" applyFill="1" applyBorder="1"/>
    <xf numFmtId="0" fontId="16" fillId="0" borderId="7" xfId="1" applyFont="1" applyBorder="1"/>
    <xf numFmtId="0" fontId="16" fillId="0" borderId="34" xfId="1" applyFont="1" applyBorder="1"/>
    <xf numFmtId="0" fontId="40" fillId="0" borderId="2" xfId="1" applyFont="1" applyBorder="1"/>
    <xf numFmtId="0" fontId="30" fillId="0" borderId="35" xfId="1" applyFont="1" applyBorder="1"/>
    <xf numFmtId="0" fontId="48" fillId="0" borderId="2" xfId="4" applyFont="1" applyFill="1" applyBorder="1" applyAlignment="1">
      <alignment horizontal="left"/>
    </xf>
    <xf numFmtId="3" fontId="32" fillId="0" borderId="0" xfId="1" applyNumberFormat="1" applyFont="1" applyBorder="1"/>
    <xf numFmtId="3" fontId="32" fillId="0" borderId="9" xfId="1" applyNumberFormat="1" applyFont="1" applyBorder="1"/>
    <xf numFmtId="0" fontId="16" fillId="7" borderId="2" xfId="1" applyFont="1" applyFill="1" applyBorder="1"/>
    <xf numFmtId="0" fontId="16" fillId="7" borderId="0" xfId="1" applyFont="1" applyFill="1" applyBorder="1"/>
    <xf numFmtId="10" fontId="4" fillId="9" borderId="0" xfId="4" applyNumberFormat="1" applyFont="1" applyFill="1" applyBorder="1"/>
    <xf numFmtId="10" fontId="4" fillId="9" borderId="9" xfId="4" applyNumberFormat="1" applyFont="1" applyFill="1" applyBorder="1"/>
    <xf numFmtId="10" fontId="4" fillId="0" borderId="0" xfId="4" applyNumberFormat="1" applyFont="1" applyBorder="1"/>
    <xf numFmtId="10" fontId="4" fillId="0" borderId="9" xfId="4" applyNumberFormat="1" applyFont="1" applyBorder="1"/>
    <xf numFmtId="3" fontId="30" fillId="0" borderId="9" xfId="1" applyNumberFormat="1" applyFont="1" applyBorder="1"/>
    <xf numFmtId="10" fontId="16" fillId="0" borderId="0" xfId="1" applyNumberFormat="1" applyFont="1" applyBorder="1"/>
    <xf numFmtId="10" fontId="16" fillId="0" borderId="9" xfId="1" applyNumberFormat="1" applyFont="1" applyBorder="1"/>
    <xf numFmtId="3" fontId="30" fillId="0" borderId="19" xfId="1" applyNumberFormat="1" applyFont="1" applyBorder="1"/>
    <xf numFmtId="3" fontId="30" fillId="0" borderId="35" xfId="1" applyNumberFormat="1" applyFont="1" applyBorder="1"/>
    <xf numFmtId="0" fontId="16" fillId="0" borderId="36" xfId="1" applyFont="1" applyBorder="1"/>
    <xf numFmtId="0" fontId="16" fillId="0" borderId="14" xfId="1" applyFont="1" applyBorder="1"/>
    <xf numFmtId="0" fontId="16" fillId="0" borderId="37" xfId="1" applyFont="1" applyBorder="1"/>
    <xf numFmtId="0" fontId="16" fillId="7" borderId="2" xfId="0" applyFont="1" applyFill="1" applyBorder="1"/>
    <xf numFmtId="0" fontId="16" fillId="7" borderId="0" xfId="0" applyFont="1" applyFill="1" applyBorder="1"/>
    <xf numFmtId="0" fontId="16" fillId="8" borderId="0" xfId="0" applyFont="1" applyFill="1" applyBorder="1"/>
    <xf numFmtId="0" fontId="16" fillId="8" borderId="9" xfId="0" applyFont="1" applyFill="1" applyBorder="1"/>
    <xf numFmtId="0" fontId="16" fillId="0" borderId="15" xfId="1" applyFont="1" applyBorder="1"/>
    <xf numFmtId="0" fontId="16" fillId="0" borderId="16" xfId="1" applyFont="1" applyBorder="1"/>
    <xf numFmtId="167" fontId="16" fillId="0" borderId="0" xfId="1" applyNumberFormat="1" applyFont="1" applyBorder="1"/>
    <xf numFmtId="0" fontId="42" fillId="0" borderId="2" xfId="1" applyFont="1" applyBorder="1"/>
    <xf numFmtId="0" fontId="16" fillId="0" borderId="9" xfId="0" applyFont="1" applyBorder="1"/>
    <xf numFmtId="167" fontId="16" fillId="0" borderId="16" xfId="1" applyNumberFormat="1" applyFont="1" applyBorder="1"/>
    <xf numFmtId="0" fontId="49" fillId="0" borderId="2" xfId="1" applyFont="1" applyBorder="1"/>
    <xf numFmtId="0" fontId="6" fillId="0" borderId="0" xfId="0" applyFont="1"/>
    <xf numFmtId="0" fontId="22" fillId="12" borderId="0" xfId="5" applyNumberFormat="1" applyFont="1" applyFill="1" applyAlignment="1" applyProtection="1">
      <alignment horizontal="center"/>
      <protection locked="0"/>
    </xf>
    <xf numFmtId="2" fontId="22" fillId="12" borderId="0" xfId="5" applyNumberFormat="1" applyFont="1" applyFill="1" applyAlignment="1" applyProtection="1">
      <alignment horizontal="left"/>
    </xf>
    <xf numFmtId="0" fontId="30" fillId="0" borderId="0" xfId="1" applyFont="1" applyBorder="1"/>
    <xf numFmtId="168" fontId="4" fillId="8" borderId="31" xfId="15" applyNumberFormat="1" applyFont="1" applyFill="1" applyBorder="1"/>
    <xf numFmtId="168" fontId="4" fillId="8" borderId="60" xfId="15" applyNumberFormat="1" applyFont="1" applyFill="1" applyBorder="1"/>
    <xf numFmtId="168" fontId="4" fillId="8" borderId="32" xfId="15" applyNumberFormat="1" applyFont="1" applyFill="1" applyBorder="1"/>
    <xf numFmtId="168" fontId="16" fillId="8" borderId="53" xfId="1" applyNumberFormat="1" applyFont="1" applyFill="1" applyBorder="1"/>
    <xf numFmtId="0" fontId="30" fillId="8" borderId="30" xfId="1" applyFont="1" applyFill="1" applyBorder="1" applyAlignment="1">
      <alignment horizontal="center" wrapText="1"/>
    </xf>
    <xf numFmtId="0" fontId="42" fillId="8" borderId="30" xfId="1" applyFont="1" applyFill="1" applyBorder="1" applyAlignment="1">
      <alignment horizontal="center" wrapText="1"/>
    </xf>
    <xf numFmtId="0" fontId="16" fillId="8" borderId="61" xfId="1" applyFont="1" applyFill="1" applyBorder="1"/>
    <xf numFmtId="0" fontId="16" fillId="8" borderId="31" xfId="1" applyFont="1" applyFill="1" applyBorder="1" applyAlignment="1">
      <alignment horizontal="center"/>
    </xf>
    <xf numFmtId="0" fontId="16" fillId="8" borderId="31" xfId="1" applyFont="1" applyFill="1" applyBorder="1"/>
    <xf numFmtId="10" fontId="16" fillId="8" borderId="31" xfId="3" applyNumberFormat="1" applyFont="1" applyFill="1" applyBorder="1" applyAlignment="1">
      <alignment horizontal="center"/>
    </xf>
    <xf numFmtId="0" fontId="42" fillId="8" borderId="31" xfId="1" applyFont="1" applyFill="1" applyBorder="1"/>
    <xf numFmtId="10" fontId="16" fillId="8" borderId="31" xfId="6" applyNumberFormat="1" applyFont="1" applyFill="1" applyBorder="1"/>
    <xf numFmtId="10" fontId="16" fillId="8" borderId="32" xfId="6" applyNumberFormat="1" applyFont="1" applyFill="1" applyBorder="1"/>
    <xf numFmtId="0" fontId="42" fillId="8" borderId="32" xfId="1" applyFont="1" applyFill="1" applyBorder="1"/>
    <xf numFmtId="3" fontId="6" fillId="0" borderId="8" xfId="0" applyNumberFormat="1" applyFont="1" applyBorder="1" applyProtection="1">
      <protection locked="0"/>
    </xf>
    <xf numFmtId="0" fontId="30" fillId="6" borderId="15" xfId="0" applyFont="1" applyFill="1" applyBorder="1" applyAlignment="1"/>
    <xf numFmtId="0" fontId="42" fillId="6" borderId="3" xfId="1" applyFont="1" applyFill="1" applyBorder="1" applyAlignment="1"/>
    <xf numFmtId="0" fontId="41" fillId="6" borderId="4" xfId="0" applyFont="1" applyFill="1" applyBorder="1"/>
    <xf numFmtId="0" fontId="41" fillId="6" borderId="5" xfId="0" applyFont="1" applyFill="1" applyBorder="1"/>
    <xf numFmtId="0" fontId="16" fillId="6" borderId="16" xfId="0" applyFont="1" applyFill="1" applyBorder="1"/>
    <xf numFmtId="166" fontId="34" fillId="19" borderId="21" xfId="3" applyNumberFormat="1" applyFont="1" applyFill="1" applyBorder="1"/>
    <xf numFmtId="174" fontId="41" fillId="9" borderId="9" xfId="15" applyNumberFormat="1" applyFont="1" applyFill="1" applyBorder="1"/>
    <xf numFmtId="166" fontId="34" fillId="8" borderId="31" xfId="1" applyNumberFormat="1" applyFont="1" applyFill="1" applyBorder="1"/>
    <xf numFmtId="0" fontId="16" fillId="8" borderId="2" xfId="1" applyFont="1" applyFill="1" applyBorder="1"/>
    <xf numFmtId="10" fontId="16" fillId="8" borderId="0" xfId="6" applyNumberFormat="1" applyFont="1" applyFill="1" applyBorder="1"/>
    <xf numFmtId="10" fontId="34" fillId="10" borderId="21" xfId="6" applyNumberFormat="1" applyFont="1" applyFill="1" applyBorder="1"/>
    <xf numFmtId="10" fontId="34" fillId="10" borderId="9" xfId="6" applyNumberFormat="1" applyFont="1" applyFill="1" applyBorder="1"/>
    <xf numFmtId="10" fontId="16" fillId="0" borderId="0" xfId="6" applyNumberFormat="1" applyFont="1" applyBorder="1"/>
    <xf numFmtId="10" fontId="30" fillId="6" borderId="16" xfId="6" applyNumberFormat="1" applyFont="1" applyFill="1" applyBorder="1"/>
    <xf numFmtId="10" fontId="30" fillId="6" borderId="50" xfId="6" applyNumberFormat="1" applyFont="1" applyFill="1" applyBorder="1"/>
    <xf numFmtId="3" fontId="7" fillId="0" borderId="8" xfId="6" applyNumberFormat="1" applyFont="1" applyFill="1" applyBorder="1" applyAlignment="1" applyProtection="1">
      <alignment horizontal="right" vertical="center"/>
    </xf>
    <xf numFmtId="0" fontId="14" fillId="0" borderId="0" xfId="0" applyFont="1" applyAlignment="1">
      <alignment vertical="center" wrapText="1"/>
    </xf>
    <xf numFmtId="0" fontId="14" fillId="3" borderId="0" xfId="0" applyFont="1" applyFill="1" applyAlignment="1">
      <alignment vertical="center" wrapText="1"/>
    </xf>
    <xf numFmtId="3" fontId="4" fillId="0" borderId="0" xfId="0" applyNumberFormat="1" applyFont="1"/>
    <xf numFmtId="0" fontId="0" fillId="0" borderId="0" xfId="0" applyFont="1"/>
    <xf numFmtId="0" fontId="52" fillId="0" borderId="0" xfId="0" applyFont="1" applyAlignment="1">
      <alignment horizontal="center" vertical="center"/>
    </xf>
    <xf numFmtId="0" fontId="0" fillId="0" borderId="0" xfId="0" applyFont="1" applyAlignment="1">
      <alignment horizontal="left" vertical="center" indent="1"/>
    </xf>
    <xf numFmtId="0" fontId="52" fillId="0" borderId="0" xfId="0" applyFont="1" applyAlignment="1">
      <alignment horizontal="center"/>
    </xf>
    <xf numFmtId="0" fontId="52" fillId="0" borderId="0" xfId="0" applyFont="1" applyAlignment="1">
      <alignment horizontal="left" vertical="center" indent="1"/>
    </xf>
    <xf numFmtId="0" fontId="14" fillId="3" borderId="0" xfId="0" applyFont="1" applyFill="1" applyAlignment="1">
      <alignment horizontal="right" vertical="center" wrapText="1"/>
    </xf>
    <xf numFmtId="0" fontId="14" fillId="0" borderId="0" xfId="0" applyFont="1" applyAlignment="1">
      <alignment horizontal="right" vertical="center" wrapText="1"/>
    </xf>
    <xf numFmtId="0" fontId="52" fillId="0" borderId="0" xfId="0" applyFont="1"/>
    <xf numFmtId="174" fontId="16" fillId="9" borderId="21" xfId="15" applyNumberFormat="1" applyFont="1" applyFill="1" applyBorder="1"/>
    <xf numFmtId="168" fontId="16" fillId="17" borderId="0" xfId="1" applyNumberFormat="1" applyFont="1" applyFill="1" applyBorder="1"/>
    <xf numFmtId="168" fontId="4" fillId="16" borderId="0" xfId="3" applyNumberFormat="1" applyFont="1" applyFill="1"/>
    <xf numFmtId="0" fontId="30" fillId="6" borderId="0" xfId="16" applyFont="1" applyFill="1"/>
    <xf numFmtId="0" fontId="16" fillId="4" borderId="41" xfId="16" applyFont="1" applyFill="1" applyBorder="1" applyAlignment="1">
      <alignment horizontal="center" wrapText="1"/>
    </xf>
    <xf numFmtId="168" fontId="16" fillId="4" borderId="31" xfId="16" applyNumberFormat="1" applyFont="1" applyFill="1" applyBorder="1"/>
    <xf numFmtId="168" fontId="16" fillId="4" borderId="32" xfId="16" applyNumberFormat="1" applyFont="1" applyFill="1" applyBorder="1"/>
    <xf numFmtId="0" fontId="34" fillId="9" borderId="26" xfId="16" applyFont="1" applyFill="1" applyBorder="1"/>
    <xf numFmtId="0" fontId="0" fillId="16" borderId="0" xfId="0" applyFill="1"/>
    <xf numFmtId="0" fontId="15" fillId="4" borderId="3" xfId="16" applyFill="1" applyBorder="1"/>
    <xf numFmtId="0" fontId="15" fillId="4" borderId="4" xfId="16" applyFill="1" applyBorder="1"/>
    <xf numFmtId="0" fontId="15" fillId="4" borderId="5" xfId="16" applyFill="1" applyBorder="1"/>
    <xf numFmtId="0" fontId="15" fillId="16" borderId="0" xfId="16" applyFill="1"/>
    <xf numFmtId="0" fontId="54" fillId="4" borderId="2" xfId="16" applyFont="1" applyFill="1" applyBorder="1"/>
    <xf numFmtId="0" fontId="54" fillId="0" borderId="0" xfId="16" applyFont="1" applyFill="1" applyBorder="1" applyAlignment="1">
      <alignment horizontal="center"/>
    </xf>
    <xf numFmtId="0" fontId="15" fillId="4" borderId="0" xfId="16" applyFill="1" applyBorder="1"/>
    <xf numFmtId="0" fontId="15" fillId="4" borderId="9" xfId="16" applyFill="1" applyBorder="1"/>
    <xf numFmtId="0" fontId="44" fillId="0" borderId="0" xfId="16" applyFont="1" applyFill="1"/>
    <xf numFmtId="3" fontId="22" fillId="0" borderId="11" xfId="6" applyNumberFormat="1" applyFont="1" applyFill="1" applyBorder="1" applyAlignment="1" applyProtection="1">
      <alignment horizontal="right" vertical="center"/>
    </xf>
    <xf numFmtId="10" fontId="6" fillId="0" borderId="0" xfId="6" applyNumberFormat="1" applyFont="1" applyProtection="1">
      <protection locked="0"/>
    </xf>
    <xf numFmtId="10" fontId="6" fillId="0" borderId="18" xfId="6" applyNumberFormat="1" applyFont="1" applyBorder="1" applyProtection="1">
      <protection locked="0"/>
    </xf>
    <xf numFmtId="0" fontId="7" fillId="0" borderId="0" xfId="0" applyFont="1" applyFill="1" applyBorder="1" applyProtection="1"/>
    <xf numFmtId="0" fontId="6" fillId="0" borderId="0" xfId="0" applyFont="1" applyFill="1" applyProtection="1"/>
    <xf numFmtId="169" fontId="6" fillId="0" borderId="0" xfId="0" applyNumberFormat="1" applyFont="1" applyFill="1" applyAlignment="1" applyProtection="1">
      <alignment horizontal="center"/>
    </xf>
    <xf numFmtId="170" fontId="6" fillId="0" borderId="0" xfId="0" applyNumberFormat="1" applyFont="1" applyFill="1" applyProtection="1">
      <protection locked="0"/>
    </xf>
    <xf numFmtId="168" fontId="41" fillId="15" borderId="31" xfId="15" applyNumberFormat="1" applyFont="1" applyFill="1" applyBorder="1"/>
    <xf numFmtId="0" fontId="29" fillId="21" borderId="0" xfId="0" applyFont="1" applyFill="1" applyProtection="1">
      <protection locked="0"/>
    </xf>
    <xf numFmtId="0" fontId="22" fillId="0" borderId="18" xfId="0" applyFont="1" applyFill="1" applyBorder="1" applyAlignment="1" applyProtection="1">
      <alignment wrapText="1"/>
    </xf>
    <xf numFmtId="0" fontId="22" fillId="0" borderId="12" xfId="0" applyFont="1" applyFill="1" applyBorder="1" applyProtection="1"/>
    <xf numFmtId="0" fontId="22" fillId="0" borderId="8" xfId="0" applyFont="1" applyFill="1" applyBorder="1" applyProtection="1"/>
    <xf numFmtId="0" fontId="7" fillId="0" borderId="12" xfId="0" applyFont="1" applyFill="1" applyBorder="1" applyProtection="1"/>
    <xf numFmtId="3" fontId="16" fillId="16" borderId="0" xfId="1" applyNumberFormat="1" applyFont="1" applyFill="1"/>
    <xf numFmtId="3" fontId="28" fillId="0" borderId="18" xfId="0" applyNumberFormat="1" applyFont="1" applyFill="1" applyBorder="1" applyProtection="1">
      <protection locked="0"/>
    </xf>
    <xf numFmtId="3" fontId="7" fillId="0" borderId="12" xfId="6" applyNumberFormat="1" applyFont="1" applyFill="1" applyBorder="1" applyAlignment="1" applyProtection="1">
      <alignment horizontal="right" vertical="center"/>
    </xf>
    <xf numFmtId="10" fontId="32" fillId="17" borderId="18" xfId="3" applyNumberFormat="1" applyFont="1" applyFill="1" applyBorder="1"/>
    <xf numFmtId="10" fontId="32" fillId="17" borderId="0" xfId="3" applyNumberFormat="1" applyFont="1" applyFill="1" applyBorder="1"/>
    <xf numFmtId="166" fontId="34" fillId="17" borderId="21" xfId="3" applyNumberFormat="1" applyFont="1" applyFill="1" applyBorder="1"/>
    <xf numFmtId="166" fontId="16" fillId="10" borderId="9" xfId="3" applyNumberFormat="1" applyFont="1" applyFill="1" applyBorder="1"/>
    <xf numFmtId="166" fontId="34" fillId="17" borderId="9" xfId="3" applyNumberFormat="1" applyFont="1" applyFill="1" applyBorder="1"/>
    <xf numFmtId="0" fontId="55" fillId="0" borderId="10" xfId="0" applyFont="1" applyBorder="1"/>
    <xf numFmtId="0" fontId="56" fillId="0" borderId="6" xfId="0" applyFont="1" applyBorder="1"/>
    <xf numFmtId="0" fontId="55" fillId="0" borderId="19" xfId="0" applyFont="1" applyBorder="1" applyAlignment="1">
      <alignment horizontal="right"/>
    </xf>
    <xf numFmtId="0" fontId="55" fillId="0" borderId="19" xfId="0" applyFont="1" applyBorder="1"/>
    <xf numFmtId="0" fontId="0" fillId="0" borderId="7" xfId="0" applyBorder="1"/>
    <xf numFmtId="0" fontId="0" fillId="0" borderId="23" xfId="0" applyBorder="1"/>
    <xf numFmtId="0" fontId="57" fillId="0" borderId="10" xfId="0" applyFont="1" applyBorder="1"/>
    <xf numFmtId="0" fontId="55" fillId="0" borderId="0" xfId="0" applyFont="1" applyBorder="1" applyAlignment="1">
      <alignment horizontal="right"/>
    </xf>
    <xf numFmtId="10" fontId="58" fillId="0" borderId="0" xfId="6" applyNumberFormat="1" applyFont="1" applyBorder="1"/>
    <xf numFmtId="0" fontId="0" fillId="0" borderId="0" xfId="0" applyBorder="1"/>
    <xf numFmtId="0" fontId="0" fillId="0" borderId="21" xfId="0" applyBorder="1"/>
    <xf numFmtId="0" fontId="0" fillId="0" borderId="10" xfId="0" applyBorder="1"/>
    <xf numFmtId="10" fontId="57" fillId="0" borderId="0" xfId="6" applyNumberFormat="1" applyFont="1" applyBorder="1"/>
    <xf numFmtId="0" fontId="55" fillId="0" borderId="39" xfId="0" applyFont="1" applyBorder="1" applyAlignment="1">
      <alignment horizontal="right"/>
    </xf>
    <xf numFmtId="168" fontId="58" fillId="0" borderId="0" xfId="0" applyNumberFormat="1" applyFont="1" applyBorder="1"/>
    <xf numFmtId="168" fontId="0" fillId="0" borderId="21" xfId="0" applyNumberFormat="1" applyBorder="1"/>
    <xf numFmtId="168" fontId="0" fillId="0" borderId="0" xfId="0" applyNumberFormat="1" applyBorder="1"/>
    <xf numFmtId="168" fontId="56" fillId="6" borderId="21" xfId="0" applyNumberFormat="1" applyFont="1" applyFill="1" applyBorder="1"/>
    <xf numFmtId="168" fontId="16" fillId="0" borderId="0" xfId="1" applyNumberFormat="1" applyFont="1" applyBorder="1"/>
    <xf numFmtId="0" fontId="0" fillId="0" borderId="13" xfId="0" applyBorder="1"/>
    <xf numFmtId="168" fontId="0" fillId="0" borderId="14" xfId="0" applyNumberFormat="1" applyBorder="1"/>
    <xf numFmtId="0" fontId="0" fillId="0" borderId="14" xfId="0" applyBorder="1"/>
    <xf numFmtId="168" fontId="56" fillId="0" borderId="14" xfId="0" applyNumberFormat="1" applyFont="1" applyBorder="1"/>
    <xf numFmtId="175" fontId="56" fillId="0" borderId="22" xfId="6" applyNumberFormat="1" applyFont="1" applyBorder="1"/>
    <xf numFmtId="168" fontId="56" fillId="0" borderId="22" xfId="0" applyNumberFormat="1" applyFont="1" applyBorder="1"/>
    <xf numFmtId="168" fontId="34" fillId="15" borderId="31" xfId="15" applyNumberFormat="1" applyFont="1" applyFill="1" applyBorder="1"/>
    <xf numFmtId="174" fontId="34" fillId="9" borderId="18" xfId="15" applyNumberFormat="1" applyFont="1" applyFill="1" applyBorder="1"/>
    <xf numFmtId="174" fontId="34" fillId="9" borderId="49" xfId="15" applyNumberFormat="1" applyFont="1" applyFill="1" applyBorder="1"/>
    <xf numFmtId="174" fontId="34" fillId="9" borderId="21" xfId="15" applyNumberFormat="1" applyFont="1" applyFill="1" applyBorder="1"/>
    <xf numFmtId="168" fontId="34" fillId="9" borderId="26" xfId="15" applyNumberFormat="1" applyFont="1" applyFill="1" applyBorder="1"/>
    <xf numFmtId="168" fontId="34" fillId="9" borderId="18" xfId="15" applyNumberFormat="1" applyFont="1" applyFill="1" applyBorder="1"/>
    <xf numFmtId="168" fontId="34" fillId="9" borderId="49" xfId="15" applyNumberFormat="1" applyFont="1" applyFill="1" applyBorder="1"/>
    <xf numFmtId="168" fontId="34" fillId="9" borderId="2" xfId="15" applyNumberFormat="1" applyFont="1" applyFill="1" applyBorder="1"/>
    <xf numFmtId="168" fontId="34" fillId="9" borderId="21" xfId="15" applyNumberFormat="1" applyFont="1" applyFill="1" applyBorder="1"/>
    <xf numFmtId="168" fontId="34" fillId="9" borderId="47" xfId="15" applyNumberFormat="1" applyFont="1" applyFill="1" applyBorder="1"/>
    <xf numFmtId="168" fontId="34" fillId="9" borderId="8" xfId="15" applyNumberFormat="1" applyFont="1" applyFill="1" applyBorder="1"/>
    <xf numFmtId="168" fontId="34" fillId="9" borderId="48" xfId="15" applyNumberFormat="1" applyFont="1" applyFill="1" applyBorder="1"/>
    <xf numFmtId="173" fontId="34" fillId="9" borderId="48" xfId="15" applyNumberFormat="1" applyFont="1" applyFill="1" applyBorder="1"/>
    <xf numFmtId="3" fontId="50" fillId="10" borderId="18" xfId="6" applyNumberFormat="1" applyFont="1" applyFill="1" applyBorder="1" applyAlignment="1" applyProtection="1">
      <alignment horizontal="right" vertical="center"/>
    </xf>
    <xf numFmtId="3" fontId="50" fillId="10" borderId="12" xfId="6" applyNumberFormat="1" applyFont="1" applyFill="1" applyBorder="1" applyAlignment="1" applyProtection="1">
      <alignment horizontal="right" vertical="center"/>
    </xf>
    <xf numFmtId="174" fontId="34" fillId="9" borderId="9" xfId="15" applyNumberFormat="1" applyFont="1" applyFill="1" applyBorder="1"/>
    <xf numFmtId="3" fontId="50" fillId="10" borderId="11" xfId="6" applyNumberFormat="1" applyFont="1" applyFill="1" applyBorder="1" applyAlignment="1" applyProtection="1">
      <alignment horizontal="right" vertical="center"/>
    </xf>
    <xf numFmtId="10" fontId="32" fillId="0" borderId="0" xfId="3" applyNumberFormat="1" applyFont="1" applyFill="1" applyBorder="1"/>
    <xf numFmtId="10" fontId="32" fillId="0" borderId="21" xfId="3" applyNumberFormat="1" applyFont="1" applyFill="1" applyBorder="1"/>
    <xf numFmtId="0" fontId="42" fillId="0" borderId="0" xfId="0" applyFont="1"/>
    <xf numFmtId="43" fontId="16" fillId="9" borderId="2" xfId="15" applyNumberFormat="1" applyFont="1" applyFill="1" applyBorder="1"/>
    <xf numFmtId="3" fontId="6" fillId="0" borderId="0" xfId="0" applyNumberFormat="1" applyFont="1" applyFill="1" applyBorder="1" applyProtection="1">
      <protection locked="0"/>
    </xf>
    <xf numFmtId="43" fontId="34" fillId="9" borderId="2" xfId="15" applyNumberFormat="1" applyFont="1" applyFill="1" applyBorder="1"/>
    <xf numFmtId="168" fontId="16" fillId="16" borderId="0" xfId="1" applyNumberFormat="1" applyFont="1" applyFill="1" applyBorder="1"/>
    <xf numFmtId="43" fontId="16" fillId="16" borderId="0" xfId="1" applyNumberFormat="1" applyFont="1" applyFill="1" applyBorder="1"/>
    <xf numFmtId="168" fontId="16" fillId="16" borderId="0" xfId="5" applyNumberFormat="1" applyFont="1" applyFill="1"/>
    <xf numFmtId="168" fontId="16" fillId="16" borderId="0" xfId="5" applyNumberFormat="1" applyFont="1" applyFill="1" applyBorder="1"/>
    <xf numFmtId="43" fontId="16" fillId="16" borderId="0" xfId="1" applyNumberFormat="1" applyFont="1" applyFill="1"/>
    <xf numFmtId="43" fontId="16" fillId="16" borderId="0" xfId="5" applyNumberFormat="1" applyFont="1" applyFill="1"/>
    <xf numFmtId="164" fontId="16" fillId="15" borderId="12" xfId="2" applyNumberFormat="1" applyFont="1" applyFill="1" applyBorder="1"/>
    <xf numFmtId="0" fontId="16" fillId="0" borderId="0" xfId="1" applyFont="1" applyAlignment="1">
      <alignment horizontal="right"/>
    </xf>
    <xf numFmtId="167" fontId="30" fillId="0" borderId="0" xfId="1" applyNumberFormat="1" applyFont="1" applyFill="1" applyAlignment="1">
      <alignment horizontal="right"/>
    </xf>
    <xf numFmtId="0" fontId="30" fillId="0" borderId="0" xfId="1" applyFont="1" applyFill="1" applyAlignment="1">
      <alignment horizontal="right"/>
    </xf>
    <xf numFmtId="0" fontId="59" fillId="6" borderId="3" xfId="19" applyFont="1" applyFill="1" applyBorder="1" applyAlignment="1">
      <alignment horizontal="left"/>
    </xf>
    <xf numFmtId="0" fontId="16" fillId="6" borderId="4" xfId="1" applyFont="1" applyFill="1" applyBorder="1"/>
    <xf numFmtId="0" fontId="30" fillId="0" borderId="19" xfId="20" quotePrefix="1" applyFont="1" applyFill="1" applyBorder="1" applyAlignment="1">
      <alignment horizontal="right"/>
    </xf>
    <xf numFmtId="0" fontId="30" fillId="0" borderId="39" xfId="20" quotePrefix="1" applyFont="1" applyFill="1" applyBorder="1" applyAlignment="1">
      <alignment horizontal="right"/>
    </xf>
    <xf numFmtId="0" fontId="55" fillId="0" borderId="19" xfId="19" applyFont="1" applyBorder="1" applyAlignment="1">
      <alignment horizontal="right"/>
    </xf>
    <xf numFmtId="0" fontId="55" fillId="0" borderId="35" xfId="19" applyFont="1" applyBorder="1" applyAlignment="1">
      <alignment horizontal="right"/>
    </xf>
    <xf numFmtId="0" fontId="55" fillId="0" borderId="2" xfId="19" applyFont="1" applyBorder="1"/>
    <xf numFmtId="10" fontId="16" fillId="15" borderId="0" xfId="6" applyNumberFormat="1" applyFont="1" applyFill="1" applyBorder="1"/>
    <xf numFmtId="10" fontId="16" fillId="0" borderId="21" xfId="1" applyNumberFormat="1" applyFont="1" applyBorder="1"/>
    <xf numFmtId="0" fontId="55" fillId="0" borderId="2" xfId="19" applyFont="1" applyFill="1" applyBorder="1"/>
    <xf numFmtId="10" fontId="16" fillId="0" borderId="0" xfId="6" applyNumberFormat="1" applyFont="1" applyFill="1" applyBorder="1"/>
    <xf numFmtId="10" fontId="16" fillId="0" borderId="21" xfId="1" applyNumberFormat="1" applyFont="1" applyFill="1" applyBorder="1"/>
    <xf numFmtId="10" fontId="16" fillId="0" borderId="0" xfId="1" applyNumberFormat="1" applyFont="1" applyFill="1" applyBorder="1"/>
    <xf numFmtId="10" fontId="16" fillId="0" borderId="9" xfId="1" applyNumberFormat="1" applyFont="1" applyFill="1" applyBorder="1"/>
    <xf numFmtId="10" fontId="0" fillId="0" borderId="0" xfId="21" applyNumberFormat="1" applyFont="1" applyBorder="1"/>
    <xf numFmtId="10" fontId="0" fillId="0" borderId="21" xfId="21" applyNumberFormat="1" applyFont="1" applyBorder="1"/>
    <xf numFmtId="10" fontId="0" fillId="0" borderId="9" xfId="21" applyNumberFormat="1" applyFont="1" applyBorder="1"/>
    <xf numFmtId="170" fontId="3" fillId="0" borderId="0" xfId="19" applyNumberFormat="1" applyFont="1" applyBorder="1" applyAlignment="1">
      <alignment horizontal="right"/>
    </xf>
    <xf numFmtId="170" fontId="3" fillId="0" borderId="0" xfId="19" applyNumberFormat="1" applyBorder="1" applyAlignment="1">
      <alignment horizontal="right"/>
    </xf>
    <xf numFmtId="170" fontId="3" fillId="0" borderId="21" xfId="19" applyNumberFormat="1" applyBorder="1" applyAlignment="1">
      <alignment horizontal="right"/>
    </xf>
    <xf numFmtId="170" fontId="3" fillId="0" borderId="9" xfId="19" applyNumberFormat="1" applyBorder="1" applyAlignment="1">
      <alignment horizontal="right"/>
    </xf>
    <xf numFmtId="0" fontId="3" fillId="0" borderId="2" xfId="19" applyBorder="1"/>
    <xf numFmtId="0" fontId="60" fillId="0" borderId="2" xfId="19" applyFont="1" applyBorder="1"/>
    <xf numFmtId="0" fontId="61" fillId="0" borderId="2" xfId="19" applyFont="1" applyBorder="1" applyAlignment="1">
      <alignment horizontal="left"/>
    </xf>
    <xf numFmtId="0" fontId="55" fillId="0" borderId="2" xfId="19" applyFont="1" applyBorder="1" applyAlignment="1">
      <alignment horizontal="left"/>
    </xf>
    <xf numFmtId="3" fontId="61" fillId="15" borderId="0" xfId="19" applyNumberFormat="1" applyFont="1" applyFill="1" applyBorder="1" applyAlignment="1">
      <alignment horizontal="right"/>
    </xf>
    <xf numFmtId="3" fontId="55" fillId="0" borderId="0" xfId="19" applyNumberFormat="1" applyFont="1" applyBorder="1" applyAlignment="1">
      <alignment horizontal="right"/>
    </xf>
    <xf numFmtId="0" fontId="30" fillId="0" borderId="2" xfId="0" applyFont="1" applyBorder="1"/>
    <xf numFmtId="0" fontId="60" fillId="0" borderId="2" xfId="19" applyFont="1" applyFill="1" applyBorder="1"/>
    <xf numFmtId="0" fontId="62" fillId="0" borderId="2" xfId="19" applyFont="1" applyFill="1" applyBorder="1" applyAlignment="1">
      <alignment horizontal="left"/>
    </xf>
    <xf numFmtId="0" fontId="63" fillId="0" borderId="0" xfId="1" applyFont="1" applyFill="1" applyBorder="1"/>
    <xf numFmtId="3" fontId="62" fillId="6" borderId="11" xfId="19" applyNumberFormat="1" applyFont="1" applyFill="1" applyBorder="1" applyAlignment="1">
      <alignment horizontal="right"/>
    </xf>
    <xf numFmtId="3" fontId="7" fillId="20" borderId="11" xfId="6" applyNumberFormat="1" applyFont="1" applyFill="1" applyBorder="1" applyAlignment="1" applyProtection="1">
      <alignment horizontal="right" vertical="center"/>
    </xf>
    <xf numFmtId="3" fontId="7" fillId="0" borderId="12" xfId="0" applyNumberFormat="1" applyFont="1" applyFill="1" applyBorder="1" applyAlignment="1" applyProtection="1">
      <alignment horizontal="right" vertical="center"/>
    </xf>
    <xf numFmtId="3" fontId="7" fillId="0" borderId="11" xfId="0" applyNumberFormat="1" applyFont="1" applyFill="1" applyBorder="1" applyAlignment="1" applyProtection="1">
      <alignment horizontal="right" vertical="center"/>
    </xf>
    <xf numFmtId="3" fontId="7" fillId="10" borderId="11" xfId="7" applyNumberFormat="1" applyFont="1" applyFill="1" applyBorder="1" applyAlignment="1" applyProtection="1">
      <alignment horizontal="right"/>
    </xf>
    <xf numFmtId="3" fontId="7" fillId="10" borderId="11" xfId="9" applyNumberFormat="1" applyFont="1" applyFill="1" applyBorder="1" applyAlignment="1" applyProtection="1">
      <alignment horizontal="right"/>
    </xf>
    <xf numFmtId="0" fontId="38" fillId="6" borderId="0" xfId="0" applyFont="1" applyFill="1" applyAlignment="1">
      <alignment vertical="center"/>
    </xf>
    <xf numFmtId="0" fontId="0" fillId="6" borderId="0" xfId="0" applyFill="1"/>
    <xf numFmtId="0" fontId="51" fillId="0" borderId="19" xfId="0" applyFont="1" applyBorder="1" applyAlignment="1">
      <alignment horizontal="center"/>
    </xf>
    <xf numFmtId="0" fontId="51" fillId="0" borderId="19" xfId="0" applyFont="1" applyBorder="1"/>
    <xf numFmtId="0" fontId="64" fillId="0" borderId="0" xfId="0" applyFont="1" applyAlignment="1">
      <alignment horizontal="center"/>
    </xf>
    <xf numFmtId="0" fontId="0" fillId="0" borderId="0" xfId="0" quotePrefix="1"/>
    <xf numFmtId="0" fontId="0" fillId="0" borderId="0" xfId="0" applyAlignment="1">
      <alignment horizontal="left"/>
    </xf>
    <xf numFmtId="0" fontId="51" fillId="0" borderId="0" xfId="0" applyFont="1"/>
    <xf numFmtId="0" fontId="65" fillId="0" borderId="0" xfId="0" applyFont="1" applyAlignment="1">
      <alignment vertical="center"/>
    </xf>
    <xf numFmtId="0" fontId="0" fillId="0" borderId="0" xfId="0" applyFill="1"/>
    <xf numFmtId="0" fontId="0" fillId="0" borderId="0" xfId="0" quotePrefix="1" applyFill="1"/>
    <xf numFmtId="0" fontId="16" fillId="8" borderId="30" xfId="1" applyFont="1" applyFill="1" applyBorder="1"/>
    <xf numFmtId="9" fontId="16" fillId="10" borderId="31" xfId="1" applyNumberFormat="1" applyFont="1" applyFill="1" applyBorder="1"/>
    <xf numFmtId="0" fontId="16" fillId="8" borderId="30" xfId="1" applyFont="1" applyFill="1" applyBorder="1" applyAlignment="1">
      <alignment horizontal="center" wrapText="1"/>
    </xf>
    <xf numFmtId="174" fontId="34" fillId="9" borderId="2" xfId="15" applyNumberFormat="1" applyFont="1" applyFill="1" applyBorder="1"/>
    <xf numFmtId="0" fontId="16" fillId="8" borderId="32" xfId="1" applyFont="1" applyFill="1" applyBorder="1"/>
    <xf numFmtId="43" fontId="4" fillId="15" borderId="31" xfId="15" applyNumberFormat="1" applyFont="1" applyFill="1" applyBorder="1"/>
    <xf numFmtId="43" fontId="34" fillId="15" borderId="31" xfId="15" applyNumberFormat="1" applyFont="1" applyFill="1" applyBorder="1"/>
    <xf numFmtId="168" fontId="34" fillId="15" borderId="31" xfId="15" applyNumberFormat="1" applyFont="1" applyFill="1" applyBorder="1"/>
    <xf numFmtId="0" fontId="6" fillId="0" borderId="0" xfId="0" quotePrefix="1" applyFont="1" applyFill="1" applyProtection="1">
      <protection locked="0"/>
    </xf>
    <xf numFmtId="0" fontId="16" fillId="16" borderId="0" xfId="1" applyFont="1" applyFill="1"/>
    <xf numFmtId="0" fontId="16" fillId="9" borderId="31" xfId="1" applyFont="1" applyFill="1" applyBorder="1"/>
    <xf numFmtId="174" fontId="4" fillId="9" borderId="18" xfId="15" applyNumberFormat="1" applyFont="1" applyFill="1" applyBorder="1"/>
    <xf numFmtId="174" fontId="4" fillId="9" borderId="49" xfId="15" applyNumberFormat="1" applyFont="1" applyFill="1" applyBorder="1"/>
    <xf numFmtId="174" fontId="4" fillId="9" borderId="21" xfId="15" applyNumberFormat="1" applyFont="1" applyFill="1" applyBorder="1"/>
    <xf numFmtId="174" fontId="34" fillId="9" borderId="18" xfId="15" applyNumberFormat="1" applyFont="1" applyFill="1" applyBorder="1"/>
    <xf numFmtId="174" fontId="34" fillId="9" borderId="49" xfId="15" applyNumberFormat="1" applyFont="1" applyFill="1" applyBorder="1"/>
    <xf numFmtId="174" fontId="34" fillId="9" borderId="21" xfId="15" applyNumberFormat="1" applyFont="1" applyFill="1" applyBorder="1"/>
    <xf numFmtId="43" fontId="34" fillId="9" borderId="2" xfId="15" applyNumberFormat="1" applyFont="1" applyFill="1" applyBorder="1"/>
    <xf numFmtId="174" fontId="16" fillId="9" borderId="2" xfId="15" applyNumberFormat="1" applyFont="1" applyFill="1" applyBorder="1"/>
    <xf numFmtId="174" fontId="16" fillId="9" borderId="18" xfId="15" applyNumberFormat="1" applyFont="1" applyFill="1" applyBorder="1"/>
    <xf numFmtId="174" fontId="16" fillId="9" borderId="49" xfId="15" applyNumberFormat="1" applyFont="1" applyFill="1" applyBorder="1"/>
    <xf numFmtId="174" fontId="16" fillId="9" borderId="26" xfId="15" applyNumberFormat="1" applyFont="1" applyFill="1" applyBorder="1"/>
    <xf numFmtId="174" fontId="16" fillId="9" borderId="21" xfId="15" applyNumberFormat="1" applyFont="1" applyFill="1" applyBorder="1"/>
    <xf numFmtId="168" fontId="16" fillId="9" borderId="26" xfId="15" applyNumberFormat="1" applyFont="1" applyFill="1" applyBorder="1"/>
    <xf numFmtId="168" fontId="4" fillId="9" borderId="18" xfId="15" applyNumberFormat="1" applyFont="1" applyFill="1" applyBorder="1"/>
    <xf numFmtId="168" fontId="4" fillId="9" borderId="49" xfId="15" applyNumberFormat="1" applyFont="1" applyFill="1" applyBorder="1"/>
    <xf numFmtId="168" fontId="4" fillId="9" borderId="21" xfId="15" applyNumberFormat="1" applyFont="1" applyFill="1" applyBorder="1"/>
    <xf numFmtId="168" fontId="34" fillId="9" borderId="26" xfId="15" applyNumberFormat="1" applyFont="1" applyFill="1" applyBorder="1"/>
    <xf numFmtId="168" fontId="34" fillId="9" borderId="18" xfId="15" applyNumberFormat="1" applyFont="1" applyFill="1" applyBorder="1"/>
    <xf numFmtId="168" fontId="34" fillId="9" borderId="49" xfId="15" applyNumberFormat="1" applyFont="1" applyFill="1" applyBorder="1"/>
    <xf numFmtId="168" fontId="34" fillId="9" borderId="2" xfId="15" applyNumberFormat="1" applyFont="1" applyFill="1" applyBorder="1"/>
    <xf numFmtId="168" fontId="34" fillId="9" borderId="21" xfId="15" applyNumberFormat="1" applyFont="1" applyFill="1" applyBorder="1"/>
    <xf numFmtId="0" fontId="16" fillId="16" borderId="0" xfId="1" applyFont="1" applyFill="1"/>
    <xf numFmtId="0" fontId="16" fillId="9" borderId="31" xfId="1" applyFont="1" applyFill="1" applyBorder="1"/>
    <xf numFmtId="173" fontId="16" fillId="9" borderId="18" xfId="15" applyNumberFormat="1" applyFont="1" applyFill="1" applyBorder="1"/>
    <xf numFmtId="173" fontId="16" fillId="9" borderId="26" xfId="15" applyNumberFormat="1" applyFont="1" applyFill="1" applyBorder="1"/>
    <xf numFmtId="173" fontId="16" fillId="9" borderId="49" xfId="15" applyNumberFormat="1" applyFont="1" applyFill="1" applyBorder="1"/>
    <xf numFmtId="168" fontId="34" fillId="9" borderId="26" xfId="15" applyNumberFormat="1" applyFont="1" applyFill="1" applyBorder="1"/>
    <xf numFmtId="168" fontId="34" fillId="9" borderId="18" xfId="15" applyNumberFormat="1" applyFont="1" applyFill="1" applyBorder="1"/>
    <xf numFmtId="174" fontId="34" fillId="9" borderId="18" xfId="15" applyNumberFormat="1" applyFont="1" applyFill="1" applyBorder="1"/>
    <xf numFmtId="174" fontId="34" fillId="9" borderId="49" xfId="15" applyNumberFormat="1" applyFont="1" applyFill="1" applyBorder="1"/>
    <xf numFmtId="43" fontId="34" fillId="9" borderId="2" xfId="15" applyNumberFormat="1" applyFont="1" applyFill="1" applyBorder="1"/>
    <xf numFmtId="3" fontId="29" fillId="0" borderId="11" xfId="0" applyNumberFormat="1" applyFont="1" applyBorder="1" applyProtection="1">
      <protection locked="0"/>
    </xf>
    <xf numFmtId="174" fontId="16" fillId="9" borderId="18" xfId="15" applyNumberFormat="1" applyFont="1" applyFill="1" applyBorder="1"/>
    <xf numFmtId="173" fontId="16" fillId="9" borderId="18" xfId="15" applyNumberFormat="1" applyFont="1" applyFill="1" applyBorder="1"/>
    <xf numFmtId="3" fontId="50" fillId="10" borderId="11" xfId="6" applyNumberFormat="1" applyFont="1" applyFill="1" applyBorder="1" applyAlignment="1" applyProtection="1">
      <alignment horizontal="right" vertical="center"/>
    </xf>
    <xf numFmtId="43" fontId="16" fillId="9" borderId="2" xfId="15" applyNumberFormat="1" applyFont="1" applyFill="1" applyBorder="1"/>
    <xf numFmtId="0" fontId="16" fillId="10" borderId="0" xfId="1" applyFont="1" applyFill="1"/>
    <xf numFmtId="0" fontId="41" fillId="16" borderId="0" xfId="1" applyFont="1" applyFill="1" applyAlignment="1">
      <alignment horizontal="center"/>
    </xf>
    <xf numFmtId="168" fontId="41" fillId="16" borderId="0" xfId="1" applyNumberFormat="1" applyFont="1" applyFill="1" applyAlignment="1">
      <alignment horizontal="center"/>
    </xf>
    <xf numFmtId="10" fontId="0" fillId="0" borderId="0" xfId="6" applyNumberFormat="1" applyFont="1"/>
    <xf numFmtId="223" fontId="4" fillId="4" borderId="26" xfId="6" applyNumberFormat="1" applyFont="1" applyFill="1" applyBorder="1"/>
    <xf numFmtId="223" fontId="4" fillId="4" borderId="18" xfId="6" applyNumberFormat="1" applyFont="1" applyFill="1" applyBorder="1"/>
    <xf numFmtId="223" fontId="4" fillId="4" borderId="10" xfId="6" applyNumberFormat="1" applyFont="1" applyFill="1" applyBorder="1"/>
    <xf numFmtId="223" fontId="4" fillId="4" borderId="27" xfId="6" applyNumberFormat="1" applyFont="1" applyFill="1" applyBorder="1"/>
    <xf numFmtId="223" fontId="4" fillId="4" borderId="25" xfId="6" applyNumberFormat="1" applyFont="1" applyFill="1" applyBorder="1"/>
    <xf numFmtId="223" fontId="4" fillId="4" borderId="56" xfId="6" applyNumberFormat="1" applyFont="1" applyFill="1" applyBorder="1"/>
    <xf numFmtId="43" fontId="0" fillId="0" borderId="0" xfId="0" applyNumberFormat="1"/>
    <xf numFmtId="0" fontId="41" fillId="16" borderId="0" xfId="1" applyFont="1" applyFill="1"/>
    <xf numFmtId="0" fontId="41" fillId="6" borderId="0" xfId="1" applyFont="1" applyFill="1"/>
    <xf numFmtId="0" fontId="42" fillId="16" borderId="0" xfId="1" applyFont="1" applyFill="1"/>
    <xf numFmtId="0" fontId="41" fillId="9" borderId="31" xfId="1" applyFont="1" applyFill="1" applyBorder="1"/>
    <xf numFmtId="168" fontId="41" fillId="9" borderId="2" xfId="15" applyNumberFormat="1" applyFont="1" applyFill="1" applyBorder="1"/>
    <xf numFmtId="168" fontId="41" fillId="9" borderId="18" xfId="15" applyNumberFormat="1" applyFont="1" applyFill="1" applyBorder="1"/>
    <xf numFmtId="168" fontId="41" fillId="9" borderId="49" xfId="15" applyNumberFormat="1" applyFont="1" applyFill="1" applyBorder="1"/>
    <xf numFmtId="0" fontId="174" fillId="16" borderId="0" xfId="1" applyFont="1" applyFill="1"/>
    <xf numFmtId="0" fontId="174" fillId="9" borderId="31" xfId="1" applyFont="1" applyFill="1" applyBorder="1"/>
    <xf numFmtId="168" fontId="174" fillId="9" borderId="18" xfId="15" applyNumberFormat="1" applyFont="1" applyFill="1" applyBorder="1"/>
    <xf numFmtId="168" fontId="174" fillId="9" borderId="49" xfId="15" applyNumberFormat="1" applyFont="1" applyFill="1" applyBorder="1"/>
    <xf numFmtId="168" fontId="174" fillId="16" borderId="0" xfId="1" applyNumberFormat="1" applyFont="1" applyFill="1" applyAlignment="1">
      <alignment horizontal="center"/>
    </xf>
    <xf numFmtId="168" fontId="4" fillId="4" borderId="26" xfId="15" applyNumberFormat="1" applyFont="1" applyFill="1" applyBorder="1"/>
    <xf numFmtId="168" fontId="4" fillId="4" borderId="18" xfId="15" applyNumberFormat="1" applyFont="1" applyFill="1" applyBorder="1"/>
    <xf numFmtId="0" fontId="16" fillId="16" borderId="0" xfId="16" applyFont="1" applyFill="1"/>
    <xf numFmtId="0" fontId="16" fillId="16" borderId="0" xfId="16" applyFont="1" applyFill="1" applyBorder="1"/>
    <xf numFmtId="0" fontId="42" fillId="16" borderId="0" xfId="1" applyFont="1" applyFill="1"/>
    <xf numFmtId="0" fontId="46" fillId="16" borderId="0" xfId="1" applyFont="1" applyFill="1"/>
    <xf numFmtId="0" fontId="16" fillId="138" borderId="31" xfId="1" applyFont="1" applyFill="1" applyBorder="1"/>
    <xf numFmtId="174" fontId="16" fillId="138" borderId="2" xfId="15" applyNumberFormat="1" applyFont="1" applyFill="1" applyBorder="1"/>
    <xf numFmtId="174" fontId="16" fillId="138" borderId="18" xfId="15" applyNumberFormat="1" applyFont="1" applyFill="1" applyBorder="1"/>
    <xf numFmtId="174" fontId="16" fillId="138" borderId="49" xfId="15" applyNumberFormat="1" applyFont="1" applyFill="1" applyBorder="1"/>
    <xf numFmtId="0" fontId="11" fillId="2" borderId="0" xfId="0" applyFont="1" applyFill="1" applyAlignment="1">
      <alignment vertical="center" wrapText="1"/>
    </xf>
    <xf numFmtId="0" fontId="30" fillId="4" borderId="38" xfId="16" applyFont="1" applyFill="1" applyBorder="1" applyAlignment="1">
      <alignment horizontal="center"/>
    </xf>
    <xf numFmtId="0" fontId="4" fillId="0" borderId="39" xfId="0" applyFont="1" applyBorder="1" applyAlignment="1">
      <alignment horizontal="center"/>
    </xf>
    <xf numFmtId="0" fontId="16" fillId="0" borderId="15" xfId="18" applyFont="1" applyBorder="1" applyAlignment="1">
      <alignment horizontal="left"/>
    </xf>
    <xf numFmtId="0" fontId="16" fillId="0" borderId="16" xfId="18" applyFont="1" applyBorder="1" applyAlignment="1"/>
    <xf numFmtId="0" fontId="31" fillId="0" borderId="2" xfId="18" applyFont="1" applyBorder="1" applyAlignment="1">
      <alignment horizontal="right"/>
    </xf>
    <xf numFmtId="0" fontId="16" fillId="0" borderId="0" xfId="18" applyFont="1" applyBorder="1" applyAlignment="1">
      <alignment horizontal="right"/>
    </xf>
    <xf numFmtId="0" fontId="16" fillId="0" borderId="2" xfId="18" applyFont="1" applyBorder="1" applyAlignment="1">
      <alignment horizontal="center"/>
    </xf>
    <xf numFmtId="0" fontId="16" fillId="0" borderId="0" xfId="18" applyFont="1" applyBorder="1" applyAlignment="1"/>
    <xf numFmtId="0" fontId="16" fillId="0" borderId="2" xfId="18" applyFont="1" applyBorder="1" applyAlignment="1"/>
    <xf numFmtId="0" fontId="16" fillId="9" borderId="2" xfId="18" applyFont="1" applyFill="1" applyBorder="1" applyAlignment="1">
      <alignment horizontal="center"/>
    </xf>
    <xf numFmtId="0" fontId="16" fillId="9" borderId="0" xfId="18" applyFont="1" applyFill="1" applyBorder="1" applyAlignment="1"/>
    <xf numFmtId="0" fontId="16" fillId="0" borderId="2" xfId="18" applyFont="1" applyBorder="1" applyAlignment="1">
      <alignment horizontal="right"/>
    </xf>
    <xf numFmtId="0" fontId="16" fillId="0" borderId="0" xfId="18" applyFont="1" applyAlignment="1"/>
    <xf numFmtId="0" fontId="16" fillId="9" borderId="0" xfId="18" applyFont="1" applyFill="1" applyBorder="1" applyAlignment="1">
      <alignment horizontal="center"/>
    </xf>
    <xf numFmtId="0" fontId="30" fillId="0" borderId="3" xfId="18" applyFont="1" applyBorder="1" applyAlignment="1"/>
    <xf numFmtId="0" fontId="16" fillId="0" borderId="4" xfId="18" applyFont="1" applyBorder="1" applyAlignment="1"/>
    <xf numFmtId="0" fontId="16" fillId="0" borderId="15" xfId="18" applyFont="1" applyBorder="1" applyAlignment="1">
      <alignment horizontal="right"/>
    </xf>
    <xf numFmtId="0" fontId="30" fillId="0" borderId="33" xfId="18" applyFont="1" applyBorder="1" applyAlignment="1">
      <alignment horizontal="center" vertical="center" wrapText="1"/>
    </xf>
    <xf numFmtId="0" fontId="16" fillId="0" borderId="36" xfId="18" applyFont="1" applyBorder="1" applyAlignment="1">
      <alignment horizontal="center" vertical="center" wrapText="1"/>
    </xf>
    <xf numFmtId="0" fontId="30" fillId="0" borderId="7" xfId="18" applyFont="1" applyBorder="1" applyAlignment="1">
      <alignment horizontal="center"/>
    </xf>
    <xf numFmtId="0" fontId="30" fillId="0" borderId="34" xfId="18" applyFont="1" applyBorder="1" applyAlignment="1">
      <alignment horizontal="center"/>
    </xf>
    <xf numFmtId="168" fontId="4" fillId="138" borderId="26" xfId="15" applyNumberFormat="1" applyFont="1" applyFill="1" applyBorder="1"/>
    <xf numFmtId="168" fontId="4" fillId="138" borderId="18" xfId="15" applyNumberFormat="1" applyFont="1" applyFill="1" applyBorder="1"/>
    <xf numFmtId="168" fontId="16" fillId="138" borderId="49" xfId="1" applyNumberFormat="1" applyFont="1" applyFill="1" applyBorder="1"/>
  </cellXfs>
  <cellStyles count="20121">
    <cellStyle name=" 1" xfId="38"/>
    <cellStyle name=" 1 2" xfId="39"/>
    <cellStyle name=" 1 2 2" xfId="40"/>
    <cellStyle name=" 1 2 3" xfId="41"/>
    <cellStyle name=" 1 3" xfId="42"/>
    <cellStyle name=" 1 3 2" xfId="43"/>
    <cellStyle name=" 1 4" xfId="44"/>
    <cellStyle name=" 1_29(d) - Gas extensions -tariffs" xfId="45"/>
    <cellStyle name="_3GIS model v2.77_Distribution Business_Retail Fin Perform " xfId="46"/>
    <cellStyle name="_3GIS model v2.77_Fleet Overhead Costs 2_Retail Fin Perform " xfId="47"/>
    <cellStyle name="_3GIS model v2.77_Fleet Overhead Costs_Retail Fin Perform " xfId="48"/>
    <cellStyle name="_3GIS model v2.77_Forecast 2_Retail Fin Perform " xfId="49"/>
    <cellStyle name="_3GIS model v2.77_Forecast_Retail Fin Perform " xfId="50"/>
    <cellStyle name="_3GIS model v2.77_Funding &amp; Cashflow_1_Retail Fin Perform " xfId="51"/>
    <cellStyle name="_3GIS model v2.77_Funding &amp; Cashflow_Retail Fin Perform " xfId="52"/>
    <cellStyle name="_3GIS model v2.77_Group P&amp;L_1_Retail Fin Perform " xfId="53"/>
    <cellStyle name="_3GIS model v2.77_Group P&amp;L_Retail Fin Perform " xfId="54"/>
    <cellStyle name="_3GIS model v2.77_Opening  Detailed BS_Retail Fin Perform " xfId="55"/>
    <cellStyle name="_3GIS model v2.77_OUTPUT DB_Retail Fin Perform " xfId="56"/>
    <cellStyle name="_3GIS model v2.77_OUTPUT EB_Retail Fin Perform " xfId="57"/>
    <cellStyle name="_3GIS model v2.77_Report_Retail Fin Perform " xfId="58"/>
    <cellStyle name="_3GIS model v2.77_Retail Fin Perform " xfId="59"/>
    <cellStyle name="_3GIS model v2.77_Sheet2 2_Retail Fin Perform " xfId="60"/>
    <cellStyle name="_3GIS model v2.77_Sheet2_Retail Fin Perform " xfId="61"/>
    <cellStyle name="_ACS Template AMI PAL 12" xfId="615"/>
    <cellStyle name="_C8. Summary 205" xfId="616"/>
    <cellStyle name="_Capex" xfId="62"/>
    <cellStyle name="_Capex 2" xfId="63"/>
    <cellStyle name="_Capex_29(d) - Gas extensions -tariffs" xfId="64"/>
    <cellStyle name="_CitiPower AMI Budget Templates 2012-15 Draft" xfId="617"/>
    <cellStyle name="_Item 1.30-Related Party-CHED Serv Charges to PAL&amp;CP 09" xfId="618"/>
    <cellStyle name="_Item 1.34-Related Party-CHED Serv Charges to PAL&amp;CP 2010" xfId="619"/>
    <cellStyle name="_MA Template PAL 12" xfId="620"/>
    <cellStyle name="_PAL AMI SALARIES" xfId="621"/>
    <cellStyle name="_Powercor AMI Budget Templates 2012-15 Draft" xfId="622"/>
    <cellStyle name="_UED AMP 2009-14 Final 250309 Less PU" xfId="65"/>
    <cellStyle name="_UED AMP 2009-14 Final 250309 Less PU_1011 monthly" xfId="66"/>
    <cellStyle name="20% - Accent1 2" xfId="67"/>
    <cellStyle name="20% - Accent1 2 2" xfId="623"/>
    <cellStyle name="20% - Accent1 2 3" xfId="1910"/>
    <cellStyle name="20% - Accent1 2 3 2" xfId="2519"/>
    <cellStyle name="20% - Accent1 2 3 2 2" xfId="4562"/>
    <cellStyle name="20% - Accent1 2 3 2 2 2" xfId="8950"/>
    <cellStyle name="20% - Accent1 2 3 2 2 2 2" xfId="10980"/>
    <cellStyle name="20% - Accent1 2 3 2 2 2 2 2" xfId="14560"/>
    <cellStyle name="20% - Accent1 2 3 2 2 2 2 2 2" xfId="19203"/>
    <cellStyle name="20% - Accent1 2 3 2 2 2 2 3" xfId="12863"/>
    <cellStyle name="20% - Accent1 2 3 2 2 2 2 4" xfId="18251"/>
    <cellStyle name="20% - Accent1 2 3 2 2 2 3" xfId="13699"/>
    <cellStyle name="20% - Accent1 2 3 2 2 2 3 2" xfId="19168"/>
    <cellStyle name="20% - Accent1 2 3 2 2 2 4" xfId="12002"/>
    <cellStyle name="20% - Accent1 2 3 2 2 2 4 2" xfId="17390"/>
    <cellStyle name="20% - Accent1 2 3 2 2 2 5" xfId="15506"/>
    <cellStyle name="20% - Accent1 2 3 2 2 2 6" xfId="16552"/>
    <cellStyle name="20% - Accent1 2 3 2 2 3" xfId="10504"/>
    <cellStyle name="20% - Accent1 2 3 2 2 3 2" xfId="14085"/>
    <cellStyle name="20% - Accent1 2 3 2 2 3 2 2" xfId="19204"/>
    <cellStyle name="20% - Accent1 2 3 2 2 3 3" xfId="12388"/>
    <cellStyle name="20% - Accent1 2 3 2 2 3 4" xfId="17776"/>
    <cellStyle name="20% - Accent1 2 3 2 2 4" xfId="13227"/>
    <cellStyle name="20% - Accent1 2 3 2 2 4 2" xfId="18696"/>
    <cellStyle name="20% - Accent1 2 3 2 2 5" xfId="11460"/>
    <cellStyle name="20% - Accent1 2 3 2 2 5 2" xfId="16918"/>
    <cellStyle name="20% - Accent1 2 3 2 2 6" xfId="15032"/>
    <cellStyle name="20% - Accent1 2 3 2 2 7" xfId="16080"/>
    <cellStyle name="20% - Accent1 2 3 2 3" xfId="7175"/>
    <cellStyle name="20% - Accent1 2 3 2 3 2" xfId="10740"/>
    <cellStyle name="20% - Accent1 2 3 2 3 2 2" xfId="14320"/>
    <cellStyle name="20% - Accent1 2 3 2 3 2 2 2" xfId="19205"/>
    <cellStyle name="20% - Accent1 2 3 2 3 2 3" xfId="12623"/>
    <cellStyle name="20% - Accent1 2 3 2 3 2 4" xfId="18011"/>
    <cellStyle name="20% - Accent1 2 3 2 3 3" xfId="13460"/>
    <cellStyle name="20% - Accent1 2 3 2 3 3 2" xfId="18929"/>
    <cellStyle name="20% - Accent1 2 3 2 3 4" xfId="11763"/>
    <cellStyle name="20% - Accent1 2 3 2 3 4 2" xfId="17151"/>
    <cellStyle name="20% - Accent1 2 3 2 3 5" xfId="15266"/>
    <cellStyle name="20% - Accent1 2 3 2 3 6" xfId="16313"/>
    <cellStyle name="20% - Accent1 2 3 2 4" xfId="10323"/>
    <cellStyle name="20% - Accent1 2 3 2 4 2" xfId="13905"/>
    <cellStyle name="20% - Accent1 2 3 2 4 2 2" xfId="19206"/>
    <cellStyle name="20% - Accent1 2 3 2 4 3" xfId="12208"/>
    <cellStyle name="20% - Accent1 2 3 2 4 4" xfId="17596"/>
    <cellStyle name="20% - Accent1 2 3 2 5" xfId="13048"/>
    <cellStyle name="20% - Accent1 2 3 2 5 2" xfId="18517"/>
    <cellStyle name="20% - Accent1 2 3 2 6" xfId="11267"/>
    <cellStyle name="20% - Accent1 2 3 2 6 2" xfId="16739"/>
    <cellStyle name="20% - Accent1 2 3 2 7" xfId="14851"/>
    <cellStyle name="20% - Accent1 2 3 2 8" xfId="15901"/>
    <cellStyle name="20% - Accent1 2 3 3" xfId="4385"/>
    <cellStyle name="20% - Accent1 2 3 3 2" xfId="8821"/>
    <cellStyle name="20% - Accent1 2 3 3 2 2" xfId="10892"/>
    <cellStyle name="20% - Accent1 2 3 3 2 2 2" xfId="14472"/>
    <cellStyle name="20% - Accent1 2 3 3 2 2 2 2" xfId="19207"/>
    <cellStyle name="20% - Accent1 2 3 3 2 2 3" xfId="12775"/>
    <cellStyle name="20% - Accent1 2 3 3 2 2 4" xfId="18163"/>
    <cellStyle name="20% - Accent1 2 3 3 2 3" xfId="13611"/>
    <cellStyle name="20% - Accent1 2 3 3 2 3 2" xfId="19080"/>
    <cellStyle name="20% - Accent1 2 3 3 2 4" xfId="11914"/>
    <cellStyle name="20% - Accent1 2 3 3 2 4 2" xfId="17302"/>
    <cellStyle name="20% - Accent1 2 3 3 2 5" xfId="15418"/>
    <cellStyle name="20% - Accent1 2 3 3 2 6" xfId="16464"/>
    <cellStyle name="20% - Accent1 2 3 3 3" xfId="10416"/>
    <cellStyle name="20% - Accent1 2 3 3 3 2" xfId="13997"/>
    <cellStyle name="20% - Accent1 2 3 3 3 2 2" xfId="19208"/>
    <cellStyle name="20% - Accent1 2 3 3 3 3" xfId="12300"/>
    <cellStyle name="20% - Accent1 2 3 3 3 4" xfId="17688"/>
    <cellStyle name="20% - Accent1 2 3 3 4" xfId="13139"/>
    <cellStyle name="20% - Accent1 2 3 3 4 2" xfId="18608"/>
    <cellStyle name="20% - Accent1 2 3 3 5" xfId="11372"/>
    <cellStyle name="20% - Accent1 2 3 3 5 2" xfId="16830"/>
    <cellStyle name="20% - Accent1 2 3 3 6" xfId="14944"/>
    <cellStyle name="20% - Accent1 2 3 3 7" xfId="15992"/>
    <cellStyle name="20% - Accent1 2 3 4" xfId="8112"/>
    <cellStyle name="20% - Accent1 2 3 4 2" xfId="10820"/>
    <cellStyle name="20% - Accent1 2 3 4 2 2" xfId="14400"/>
    <cellStyle name="20% - Accent1 2 3 4 2 2 2" xfId="19209"/>
    <cellStyle name="20% - Accent1 2 3 4 2 3" xfId="12703"/>
    <cellStyle name="20% - Accent1 2 3 4 2 4" xfId="18091"/>
    <cellStyle name="20% - Accent1 2 3 4 3" xfId="13539"/>
    <cellStyle name="20% - Accent1 2 3 4 3 2" xfId="19008"/>
    <cellStyle name="20% - Accent1 2 3 4 4" xfId="11842"/>
    <cellStyle name="20% - Accent1 2 3 4 4 2" xfId="17230"/>
    <cellStyle name="20% - Accent1 2 3 4 5" xfId="15345"/>
    <cellStyle name="20% - Accent1 2 3 4 6" xfId="16392"/>
    <cellStyle name="20% - Accent1 2 3 5" xfId="10237"/>
    <cellStyle name="20% - Accent1 2 3 5 2" xfId="13819"/>
    <cellStyle name="20% - Accent1 2 3 5 2 2" xfId="19210"/>
    <cellStyle name="20% - Accent1 2 3 5 3" xfId="12122"/>
    <cellStyle name="20% - Accent1 2 3 5 4" xfId="17510"/>
    <cellStyle name="20% - Accent1 2 3 6" xfId="12963"/>
    <cellStyle name="20% - Accent1 2 3 6 2" xfId="18409"/>
    <cellStyle name="20% - Accent1 2 3 7" xfId="11168"/>
    <cellStyle name="20% - Accent1 2 3 7 2" xfId="16654"/>
    <cellStyle name="20% - Accent1 2 3 8" xfId="14764"/>
    <cellStyle name="20% - Accent1 2 3 9" xfId="15816"/>
    <cellStyle name="20% - Accent1 3" xfId="68"/>
    <cellStyle name="20% - Accent1 3 2" xfId="2050"/>
    <cellStyle name="20% - Accent1 4" xfId="624"/>
    <cellStyle name="20% - Accent1 4 2" xfId="1610"/>
    <cellStyle name="20% - Accent1 4 3" xfId="1782"/>
    <cellStyle name="20% - Accent2 2" xfId="69"/>
    <cellStyle name="20% - Accent2 2 2" xfId="625"/>
    <cellStyle name="20% - Accent2 2 3" xfId="1911"/>
    <cellStyle name="20% - Accent2 2 3 2" xfId="2520"/>
    <cellStyle name="20% - Accent2 2 3 2 2" xfId="4563"/>
    <cellStyle name="20% - Accent2 2 3 2 2 2" xfId="8951"/>
    <cellStyle name="20% - Accent2 2 3 2 2 2 2" xfId="10981"/>
    <cellStyle name="20% - Accent2 2 3 2 2 2 2 2" xfId="14561"/>
    <cellStyle name="20% - Accent2 2 3 2 2 2 2 2 2" xfId="19211"/>
    <cellStyle name="20% - Accent2 2 3 2 2 2 2 3" xfId="12864"/>
    <cellStyle name="20% - Accent2 2 3 2 2 2 2 4" xfId="18252"/>
    <cellStyle name="20% - Accent2 2 3 2 2 2 3" xfId="13700"/>
    <cellStyle name="20% - Accent2 2 3 2 2 2 3 2" xfId="19169"/>
    <cellStyle name="20% - Accent2 2 3 2 2 2 4" xfId="12003"/>
    <cellStyle name="20% - Accent2 2 3 2 2 2 4 2" xfId="17391"/>
    <cellStyle name="20% - Accent2 2 3 2 2 2 5" xfId="15507"/>
    <cellStyle name="20% - Accent2 2 3 2 2 2 6" xfId="16553"/>
    <cellStyle name="20% - Accent2 2 3 2 2 3" xfId="10505"/>
    <cellStyle name="20% - Accent2 2 3 2 2 3 2" xfId="14086"/>
    <cellStyle name="20% - Accent2 2 3 2 2 3 2 2" xfId="19212"/>
    <cellStyle name="20% - Accent2 2 3 2 2 3 3" xfId="12389"/>
    <cellStyle name="20% - Accent2 2 3 2 2 3 4" xfId="17777"/>
    <cellStyle name="20% - Accent2 2 3 2 2 4" xfId="13228"/>
    <cellStyle name="20% - Accent2 2 3 2 2 4 2" xfId="18697"/>
    <cellStyle name="20% - Accent2 2 3 2 2 5" xfId="11461"/>
    <cellStyle name="20% - Accent2 2 3 2 2 5 2" xfId="16919"/>
    <cellStyle name="20% - Accent2 2 3 2 2 6" xfId="15033"/>
    <cellStyle name="20% - Accent2 2 3 2 2 7" xfId="16081"/>
    <cellStyle name="20% - Accent2 2 3 2 3" xfId="6466"/>
    <cellStyle name="20% - Accent2 2 3 2 3 2" xfId="10667"/>
    <cellStyle name="20% - Accent2 2 3 2 3 2 2" xfId="14248"/>
    <cellStyle name="20% - Accent2 2 3 2 3 2 2 2" xfId="19213"/>
    <cellStyle name="20% - Accent2 2 3 2 3 2 3" xfId="12551"/>
    <cellStyle name="20% - Accent2 2 3 2 3 2 4" xfId="17939"/>
    <cellStyle name="20% - Accent2 2 3 2 3 3" xfId="13388"/>
    <cellStyle name="20% - Accent2 2 3 2 3 3 2" xfId="18857"/>
    <cellStyle name="20% - Accent2 2 3 2 3 4" xfId="11691"/>
    <cellStyle name="20% - Accent2 2 3 2 3 4 2" xfId="17079"/>
    <cellStyle name="20% - Accent2 2 3 2 3 5" xfId="15194"/>
    <cellStyle name="20% - Accent2 2 3 2 3 6" xfId="16241"/>
    <cellStyle name="20% - Accent2 2 3 2 4" xfId="10324"/>
    <cellStyle name="20% - Accent2 2 3 2 4 2" xfId="13906"/>
    <cellStyle name="20% - Accent2 2 3 2 4 2 2" xfId="19214"/>
    <cellStyle name="20% - Accent2 2 3 2 4 3" xfId="12209"/>
    <cellStyle name="20% - Accent2 2 3 2 4 4" xfId="17597"/>
    <cellStyle name="20% - Accent2 2 3 2 5" xfId="13049"/>
    <cellStyle name="20% - Accent2 2 3 2 5 2" xfId="18518"/>
    <cellStyle name="20% - Accent2 2 3 2 6" xfId="11268"/>
    <cellStyle name="20% - Accent2 2 3 2 6 2" xfId="16740"/>
    <cellStyle name="20% - Accent2 2 3 2 7" xfId="14852"/>
    <cellStyle name="20% - Accent2 2 3 2 8" xfId="15902"/>
    <cellStyle name="20% - Accent2 2 3 3" xfId="4386"/>
    <cellStyle name="20% - Accent2 2 3 3 2" xfId="8822"/>
    <cellStyle name="20% - Accent2 2 3 3 2 2" xfId="10893"/>
    <cellStyle name="20% - Accent2 2 3 3 2 2 2" xfId="14473"/>
    <cellStyle name="20% - Accent2 2 3 3 2 2 2 2" xfId="19215"/>
    <cellStyle name="20% - Accent2 2 3 3 2 2 3" xfId="12776"/>
    <cellStyle name="20% - Accent2 2 3 3 2 2 4" xfId="18164"/>
    <cellStyle name="20% - Accent2 2 3 3 2 3" xfId="13612"/>
    <cellStyle name="20% - Accent2 2 3 3 2 3 2" xfId="19081"/>
    <cellStyle name="20% - Accent2 2 3 3 2 4" xfId="11915"/>
    <cellStyle name="20% - Accent2 2 3 3 2 4 2" xfId="17303"/>
    <cellStyle name="20% - Accent2 2 3 3 2 5" xfId="15419"/>
    <cellStyle name="20% - Accent2 2 3 3 2 6" xfId="16465"/>
    <cellStyle name="20% - Accent2 2 3 3 3" xfId="10417"/>
    <cellStyle name="20% - Accent2 2 3 3 3 2" xfId="13998"/>
    <cellStyle name="20% - Accent2 2 3 3 3 2 2" xfId="19216"/>
    <cellStyle name="20% - Accent2 2 3 3 3 3" xfId="12301"/>
    <cellStyle name="20% - Accent2 2 3 3 3 4" xfId="17689"/>
    <cellStyle name="20% - Accent2 2 3 3 4" xfId="13140"/>
    <cellStyle name="20% - Accent2 2 3 3 4 2" xfId="18609"/>
    <cellStyle name="20% - Accent2 2 3 3 5" xfId="11373"/>
    <cellStyle name="20% - Accent2 2 3 3 5 2" xfId="16831"/>
    <cellStyle name="20% - Accent2 2 3 3 6" xfId="14945"/>
    <cellStyle name="20% - Accent2 2 3 3 7" xfId="15993"/>
    <cellStyle name="20% - Accent2 2 3 4" xfId="6880"/>
    <cellStyle name="20% - Accent2 2 3 4 2" xfId="10707"/>
    <cellStyle name="20% - Accent2 2 3 4 2 2" xfId="14288"/>
    <cellStyle name="20% - Accent2 2 3 4 2 2 2" xfId="19217"/>
    <cellStyle name="20% - Accent2 2 3 4 2 3" xfId="12591"/>
    <cellStyle name="20% - Accent2 2 3 4 2 4" xfId="17979"/>
    <cellStyle name="20% - Accent2 2 3 4 3" xfId="13428"/>
    <cellStyle name="20% - Accent2 2 3 4 3 2" xfId="18897"/>
    <cellStyle name="20% - Accent2 2 3 4 4" xfId="11731"/>
    <cellStyle name="20% - Accent2 2 3 4 4 2" xfId="17119"/>
    <cellStyle name="20% - Accent2 2 3 4 5" xfId="15234"/>
    <cellStyle name="20% - Accent2 2 3 4 6" xfId="16281"/>
    <cellStyle name="20% - Accent2 2 3 5" xfId="10238"/>
    <cellStyle name="20% - Accent2 2 3 5 2" xfId="13820"/>
    <cellStyle name="20% - Accent2 2 3 5 2 2" xfId="19218"/>
    <cellStyle name="20% - Accent2 2 3 5 3" xfId="12123"/>
    <cellStyle name="20% - Accent2 2 3 5 4" xfId="17511"/>
    <cellStyle name="20% - Accent2 2 3 6" xfId="12964"/>
    <cellStyle name="20% - Accent2 2 3 6 2" xfId="18378"/>
    <cellStyle name="20% - Accent2 2 3 7" xfId="11169"/>
    <cellStyle name="20% - Accent2 2 3 7 2" xfId="16655"/>
    <cellStyle name="20% - Accent2 2 3 8" xfId="14765"/>
    <cellStyle name="20% - Accent2 2 3 9" xfId="15817"/>
    <cellStyle name="20% - Accent2 3" xfId="626"/>
    <cellStyle name="20% - Accent2 3 2" xfId="2051"/>
    <cellStyle name="20% - Accent3 2" xfId="70"/>
    <cellStyle name="20% - Accent3 2 2" xfId="627"/>
    <cellStyle name="20% - Accent3 2 3" xfId="1912"/>
    <cellStyle name="20% - Accent3 2 3 2" xfId="2521"/>
    <cellStyle name="20% - Accent3 2 3 2 2" xfId="4564"/>
    <cellStyle name="20% - Accent3 2 3 2 2 2" xfId="8952"/>
    <cellStyle name="20% - Accent3 2 3 2 2 2 2" xfId="10982"/>
    <cellStyle name="20% - Accent3 2 3 2 2 2 2 2" xfId="14562"/>
    <cellStyle name="20% - Accent3 2 3 2 2 2 2 2 2" xfId="19219"/>
    <cellStyle name="20% - Accent3 2 3 2 2 2 2 3" xfId="12865"/>
    <cellStyle name="20% - Accent3 2 3 2 2 2 2 4" xfId="18253"/>
    <cellStyle name="20% - Accent3 2 3 2 2 2 3" xfId="13701"/>
    <cellStyle name="20% - Accent3 2 3 2 2 2 3 2" xfId="19170"/>
    <cellStyle name="20% - Accent3 2 3 2 2 2 4" xfId="12004"/>
    <cellStyle name="20% - Accent3 2 3 2 2 2 4 2" xfId="17392"/>
    <cellStyle name="20% - Accent3 2 3 2 2 2 5" xfId="15508"/>
    <cellStyle name="20% - Accent3 2 3 2 2 2 6" xfId="16554"/>
    <cellStyle name="20% - Accent3 2 3 2 2 3" xfId="10506"/>
    <cellStyle name="20% - Accent3 2 3 2 2 3 2" xfId="14087"/>
    <cellStyle name="20% - Accent3 2 3 2 2 3 2 2" xfId="19220"/>
    <cellStyle name="20% - Accent3 2 3 2 2 3 3" xfId="12390"/>
    <cellStyle name="20% - Accent3 2 3 2 2 3 4" xfId="17778"/>
    <cellStyle name="20% - Accent3 2 3 2 2 4" xfId="13229"/>
    <cellStyle name="20% - Accent3 2 3 2 2 4 2" xfId="18698"/>
    <cellStyle name="20% - Accent3 2 3 2 2 5" xfId="11462"/>
    <cellStyle name="20% - Accent3 2 3 2 2 5 2" xfId="16920"/>
    <cellStyle name="20% - Accent3 2 3 2 2 6" xfId="15034"/>
    <cellStyle name="20% - Accent3 2 3 2 2 7" xfId="16082"/>
    <cellStyle name="20% - Accent3 2 3 2 3" xfId="6347"/>
    <cellStyle name="20% - Accent3 2 3 2 3 2" xfId="10655"/>
    <cellStyle name="20% - Accent3 2 3 2 3 2 2" xfId="14236"/>
    <cellStyle name="20% - Accent3 2 3 2 3 2 2 2" xfId="19221"/>
    <cellStyle name="20% - Accent3 2 3 2 3 2 3" xfId="12539"/>
    <cellStyle name="20% - Accent3 2 3 2 3 2 4" xfId="17927"/>
    <cellStyle name="20% - Accent3 2 3 2 3 3" xfId="13377"/>
    <cellStyle name="20% - Accent3 2 3 2 3 3 2" xfId="18846"/>
    <cellStyle name="20% - Accent3 2 3 2 3 4" xfId="11680"/>
    <cellStyle name="20% - Accent3 2 3 2 3 4 2" xfId="17068"/>
    <cellStyle name="20% - Accent3 2 3 2 3 5" xfId="15183"/>
    <cellStyle name="20% - Accent3 2 3 2 3 6" xfId="16230"/>
    <cellStyle name="20% - Accent3 2 3 2 4" xfId="10325"/>
    <cellStyle name="20% - Accent3 2 3 2 4 2" xfId="13907"/>
    <cellStyle name="20% - Accent3 2 3 2 4 2 2" xfId="19222"/>
    <cellStyle name="20% - Accent3 2 3 2 4 3" xfId="12210"/>
    <cellStyle name="20% - Accent3 2 3 2 4 4" xfId="17598"/>
    <cellStyle name="20% - Accent3 2 3 2 5" xfId="13050"/>
    <cellStyle name="20% - Accent3 2 3 2 5 2" xfId="18519"/>
    <cellStyle name="20% - Accent3 2 3 2 6" xfId="11269"/>
    <cellStyle name="20% - Accent3 2 3 2 6 2" xfId="16741"/>
    <cellStyle name="20% - Accent3 2 3 2 7" xfId="14853"/>
    <cellStyle name="20% - Accent3 2 3 2 8" xfId="15903"/>
    <cellStyle name="20% - Accent3 2 3 3" xfId="4387"/>
    <cellStyle name="20% - Accent3 2 3 3 2" xfId="8823"/>
    <cellStyle name="20% - Accent3 2 3 3 2 2" xfId="10894"/>
    <cellStyle name="20% - Accent3 2 3 3 2 2 2" xfId="14474"/>
    <cellStyle name="20% - Accent3 2 3 3 2 2 2 2" xfId="19223"/>
    <cellStyle name="20% - Accent3 2 3 3 2 2 3" xfId="12777"/>
    <cellStyle name="20% - Accent3 2 3 3 2 2 4" xfId="18165"/>
    <cellStyle name="20% - Accent3 2 3 3 2 3" xfId="13613"/>
    <cellStyle name="20% - Accent3 2 3 3 2 3 2" xfId="19082"/>
    <cellStyle name="20% - Accent3 2 3 3 2 4" xfId="11916"/>
    <cellStyle name="20% - Accent3 2 3 3 2 4 2" xfId="17304"/>
    <cellStyle name="20% - Accent3 2 3 3 2 5" xfId="15420"/>
    <cellStyle name="20% - Accent3 2 3 3 2 6" xfId="16466"/>
    <cellStyle name="20% - Accent3 2 3 3 3" xfId="10418"/>
    <cellStyle name="20% - Accent3 2 3 3 3 2" xfId="13999"/>
    <cellStyle name="20% - Accent3 2 3 3 3 2 2" xfId="19224"/>
    <cellStyle name="20% - Accent3 2 3 3 3 3" xfId="12302"/>
    <cellStyle name="20% - Accent3 2 3 3 3 4" xfId="17690"/>
    <cellStyle name="20% - Accent3 2 3 3 4" xfId="13141"/>
    <cellStyle name="20% - Accent3 2 3 3 4 2" xfId="18610"/>
    <cellStyle name="20% - Accent3 2 3 3 5" xfId="11374"/>
    <cellStyle name="20% - Accent3 2 3 3 5 2" xfId="16832"/>
    <cellStyle name="20% - Accent3 2 3 3 6" xfId="14946"/>
    <cellStyle name="20% - Accent3 2 3 3 7" xfId="15994"/>
    <cellStyle name="20% - Accent3 2 3 4" xfId="6469"/>
    <cellStyle name="20% - Accent3 2 3 4 2" xfId="10669"/>
    <cellStyle name="20% - Accent3 2 3 4 2 2" xfId="14250"/>
    <cellStyle name="20% - Accent3 2 3 4 2 2 2" xfId="19225"/>
    <cellStyle name="20% - Accent3 2 3 4 2 3" xfId="12553"/>
    <cellStyle name="20% - Accent3 2 3 4 2 4" xfId="17941"/>
    <cellStyle name="20% - Accent3 2 3 4 3" xfId="13390"/>
    <cellStyle name="20% - Accent3 2 3 4 3 2" xfId="18859"/>
    <cellStyle name="20% - Accent3 2 3 4 4" xfId="11693"/>
    <cellStyle name="20% - Accent3 2 3 4 4 2" xfId="17081"/>
    <cellStyle name="20% - Accent3 2 3 4 5" xfId="15196"/>
    <cellStyle name="20% - Accent3 2 3 4 6" xfId="16243"/>
    <cellStyle name="20% - Accent3 2 3 5" xfId="10239"/>
    <cellStyle name="20% - Accent3 2 3 5 2" xfId="13821"/>
    <cellStyle name="20% - Accent3 2 3 5 2 2" xfId="19226"/>
    <cellStyle name="20% - Accent3 2 3 5 3" xfId="12124"/>
    <cellStyle name="20% - Accent3 2 3 5 4" xfId="17512"/>
    <cellStyle name="20% - Accent3 2 3 6" xfId="12965"/>
    <cellStyle name="20% - Accent3 2 3 6 2" xfId="18399"/>
    <cellStyle name="20% - Accent3 2 3 7" xfId="11170"/>
    <cellStyle name="20% - Accent3 2 3 7 2" xfId="16656"/>
    <cellStyle name="20% - Accent3 2 3 8" xfId="14766"/>
    <cellStyle name="20% - Accent3 2 3 9" xfId="15818"/>
    <cellStyle name="20% - Accent3 3" xfId="628"/>
    <cellStyle name="20% - Accent3 3 2" xfId="2052"/>
    <cellStyle name="20% - Accent4 2" xfId="71"/>
    <cellStyle name="20% - Accent4 2 2" xfId="629"/>
    <cellStyle name="20% - Accent4 2 3" xfId="1913"/>
    <cellStyle name="20% - Accent4 2 3 2" xfId="2522"/>
    <cellStyle name="20% - Accent4 2 3 2 2" xfId="4565"/>
    <cellStyle name="20% - Accent4 2 3 2 2 2" xfId="8953"/>
    <cellStyle name="20% - Accent4 2 3 2 2 2 2" xfId="10983"/>
    <cellStyle name="20% - Accent4 2 3 2 2 2 2 2" xfId="14563"/>
    <cellStyle name="20% - Accent4 2 3 2 2 2 2 2 2" xfId="19227"/>
    <cellStyle name="20% - Accent4 2 3 2 2 2 2 3" xfId="12866"/>
    <cellStyle name="20% - Accent4 2 3 2 2 2 2 4" xfId="18254"/>
    <cellStyle name="20% - Accent4 2 3 2 2 2 3" xfId="13702"/>
    <cellStyle name="20% - Accent4 2 3 2 2 2 3 2" xfId="19171"/>
    <cellStyle name="20% - Accent4 2 3 2 2 2 4" xfId="12005"/>
    <cellStyle name="20% - Accent4 2 3 2 2 2 4 2" xfId="17393"/>
    <cellStyle name="20% - Accent4 2 3 2 2 2 5" xfId="15509"/>
    <cellStyle name="20% - Accent4 2 3 2 2 2 6" xfId="16555"/>
    <cellStyle name="20% - Accent4 2 3 2 2 3" xfId="10507"/>
    <cellStyle name="20% - Accent4 2 3 2 2 3 2" xfId="14088"/>
    <cellStyle name="20% - Accent4 2 3 2 2 3 2 2" xfId="19228"/>
    <cellStyle name="20% - Accent4 2 3 2 2 3 3" xfId="12391"/>
    <cellStyle name="20% - Accent4 2 3 2 2 3 4" xfId="17779"/>
    <cellStyle name="20% - Accent4 2 3 2 2 4" xfId="13230"/>
    <cellStyle name="20% - Accent4 2 3 2 2 4 2" xfId="18699"/>
    <cellStyle name="20% - Accent4 2 3 2 2 5" xfId="11463"/>
    <cellStyle name="20% - Accent4 2 3 2 2 5 2" xfId="16921"/>
    <cellStyle name="20% - Accent4 2 3 2 2 6" xfId="15035"/>
    <cellStyle name="20% - Accent4 2 3 2 2 7" xfId="16083"/>
    <cellStyle name="20% - Accent4 2 3 2 3" xfId="7973"/>
    <cellStyle name="20% - Accent4 2 3 2 3 2" xfId="10802"/>
    <cellStyle name="20% - Accent4 2 3 2 3 2 2" xfId="14382"/>
    <cellStyle name="20% - Accent4 2 3 2 3 2 2 2" xfId="19229"/>
    <cellStyle name="20% - Accent4 2 3 2 3 2 3" xfId="12685"/>
    <cellStyle name="20% - Accent4 2 3 2 3 2 4" xfId="18073"/>
    <cellStyle name="20% - Accent4 2 3 2 3 3" xfId="13521"/>
    <cellStyle name="20% - Accent4 2 3 2 3 3 2" xfId="18990"/>
    <cellStyle name="20% - Accent4 2 3 2 3 4" xfId="11824"/>
    <cellStyle name="20% - Accent4 2 3 2 3 4 2" xfId="17212"/>
    <cellStyle name="20% - Accent4 2 3 2 3 5" xfId="15327"/>
    <cellStyle name="20% - Accent4 2 3 2 3 6" xfId="16374"/>
    <cellStyle name="20% - Accent4 2 3 2 4" xfId="10326"/>
    <cellStyle name="20% - Accent4 2 3 2 4 2" xfId="13908"/>
    <cellStyle name="20% - Accent4 2 3 2 4 2 2" xfId="19230"/>
    <cellStyle name="20% - Accent4 2 3 2 4 3" xfId="12211"/>
    <cellStyle name="20% - Accent4 2 3 2 4 4" xfId="17599"/>
    <cellStyle name="20% - Accent4 2 3 2 5" xfId="13051"/>
    <cellStyle name="20% - Accent4 2 3 2 5 2" xfId="18520"/>
    <cellStyle name="20% - Accent4 2 3 2 6" xfId="11270"/>
    <cellStyle name="20% - Accent4 2 3 2 6 2" xfId="16742"/>
    <cellStyle name="20% - Accent4 2 3 2 7" xfId="14854"/>
    <cellStyle name="20% - Accent4 2 3 2 8" xfId="15904"/>
    <cellStyle name="20% - Accent4 2 3 3" xfId="4388"/>
    <cellStyle name="20% - Accent4 2 3 3 2" xfId="8824"/>
    <cellStyle name="20% - Accent4 2 3 3 2 2" xfId="10895"/>
    <cellStyle name="20% - Accent4 2 3 3 2 2 2" xfId="14475"/>
    <cellStyle name="20% - Accent4 2 3 3 2 2 2 2" xfId="19231"/>
    <cellStyle name="20% - Accent4 2 3 3 2 2 3" xfId="12778"/>
    <cellStyle name="20% - Accent4 2 3 3 2 2 4" xfId="18166"/>
    <cellStyle name="20% - Accent4 2 3 3 2 3" xfId="13614"/>
    <cellStyle name="20% - Accent4 2 3 3 2 3 2" xfId="19083"/>
    <cellStyle name="20% - Accent4 2 3 3 2 4" xfId="11917"/>
    <cellStyle name="20% - Accent4 2 3 3 2 4 2" xfId="17305"/>
    <cellStyle name="20% - Accent4 2 3 3 2 5" xfId="15421"/>
    <cellStyle name="20% - Accent4 2 3 3 2 6" xfId="16467"/>
    <cellStyle name="20% - Accent4 2 3 3 3" xfId="10419"/>
    <cellStyle name="20% - Accent4 2 3 3 3 2" xfId="14000"/>
    <cellStyle name="20% - Accent4 2 3 3 3 2 2" xfId="19232"/>
    <cellStyle name="20% - Accent4 2 3 3 3 3" xfId="12303"/>
    <cellStyle name="20% - Accent4 2 3 3 3 4" xfId="17691"/>
    <cellStyle name="20% - Accent4 2 3 3 4" xfId="13142"/>
    <cellStyle name="20% - Accent4 2 3 3 4 2" xfId="18611"/>
    <cellStyle name="20% - Accent4 2 3 3 5" xfId="11375"/>
    <cellStyle name="20% - Accent4 2 3 3 5 2" xfId="16833"/>
    <cellStyle name="20% - Accent4 2 3 3 6" xfId="14947"/>
    <cellStyle name="20% - Accent4 2 3 3 7" xfId="15995"/>
    <cellStyle name="20% - Accent4 2 3 4" xfId="6883"/>
    <cellStyle name="20% - Accent4 2 3 4 2" xfId="10708"/>
    <cellStyle name="20% - Accent4 2 3 4 2 2" xfId="14289"/>
    <cellStyle name="20% - Accent4 2 3 4 2 2 2" xfId="19233"/>
    <cellStyle name="20% - Accent4 2 3 4 2 3" xfId="12592"/>
    <cellStyle name="20% - Accent4 2 3 4 2 4" xfId="17980"/>
    <cellStyle name="20% - Accent4 2 3 4 3" xfId="13429"/>
    <cellStyle name="20% - Accent4 2 3 4 3 2" xfId="18898"/>
    <cellStyle name="20% - Accent4 2 3 4 4" xfId="11732"/>
    <cellStyle name="20% - Accent4 2 3 4 4 2" xfId="17120"/>
    <cellStyle name="20% - Accent4 2 3 4 5" xfId="15235"/>
    <cellStyle name="20% - Accent4 2 3 4 6" xfId="16282"/>
    <cellStyle name="20% - Accent4 2 3 5" xfId="10240"/>
    <cellStyle name="20% - Accent4 2 3 5 2" xfId="13822"/>
    <cellStyle name="20% - Accent4 2 3 5 2 2" xfId="19234"/>
    <cellStyle name="20% - Accent4 2 3 5 3" xfId="12125"/>
    <cellStyle name="20% - Accent4 2 3 5 4" xfId="17513"/>
    <cellStyle name="20% - Accent4 2 3 6" xfId="12966"/>
    <cellStyle name="20% - Accent4 2 3 6 2" xfId="18410"/>
    <cellStyle name="20% - Accent4 2 3 7" xfId="11171"/>
    <cellStyle name="20% - Accent4 2 3 7 2" xfId="16657"/>
    <cellStyle name="20% - Accent4 2 3 8" xfId="14767"/>
    <cellStyle name="20% - Accent4 2 3 9" xfId="15819"/>
    <cellStyle name="20% - Accent4 3" xfId="630"/>
    <cellStyle name="20% - Accent4 3 2" xfId="1613"/>
    <cellStyle name="20% - Accent4 3 3" xfId="1783"/>
    <cellStyle name="20% - Accent4 3 4" xfId="2053"/>
    <cellStyle name="20% - Accent5 2" xfId="72"/>
    <cellStyle name="20% - Accent5 2 2" xfId="631"/>
    <cellStyle name="20% - Accent5 2 2 2" xfId="14"/>
    <cellStyle name="20% - Accent5 2 3" xfId="1914"/>
    <cellStyle name="20% - Accent5 2 3 2" xfId="2523"/>
    <cellStyle name="20% - Accent5 2 3 2 2" xfId="4566"/>
    <cellStyle name="20% - Accent5 2 3 2 2 2" xfId="8954"/>
    <cellStyle name="20% - Accent5 2 3 2 2 2 2" xfId="10984"/>
    <cellStyle name="20% - Accent5 2 3 2 2 2 2 2" xfId="14564"/>
    <cellStyle name="20% - Accent5 2 3 2 2 2 2 2 2" xfId="19235"/>
    <cellStyle name="20% - Accent5 2 3 2 2 2 2 3" xfId="12867"/>
    <cellStyle name="20% - Accent5 2 3 2 2 2 2 4" xfId="18255"/>
    <cellStyle name="20% - Accent5 2 3 2 2 2 3" xfId="13703"/>
    <cellStyle name="20% - Accent5 2 3 2 2 2 3 2" xfId="19172"/>
    <cellStyle name="20% - Accent5 2 3 2 2 2 4" xfId="12006"/>
    <cellStyle name="20% - Accent5 2 3 2 2 2 4 2" xfId="17394"/>
    <cellStyle name="20% - Accent5 2 3 2 2 2 5" xfId="15510"/>
    <cellStyle name="20% - Accent5 2 3 2 2 2 6" xfId="16556"/>
    <cellStyle name="20% - Accent5 2 3 2 2 3" xfId="10508"/>
    <cellStyle name="20% - Accent5 2 3 2 2 3 2" xfId="14089"/>
    <cellStyle name="20% - Accent5 2 3 2 2 3 2 2" xfId="19236"/>
    <cellStyle name="20% - Accent5 2 3 2 2 3 3" xfId="12392"/>
    <cellStyle name="20% - Accent5 2 3 2 2 3 4" xfId="17780"/>
    <cellStyle name="20% - Accent5 2 3 2 2 4" xfId="13231"/>
    <cellStyle name="20% - Accent5 2 3 2 2 4 2" xfId="18700"/>
    <cellStyle name="20% - Accent5 2 3 2 2 5" xfId="11464"/>
    <cellStyle name="20% - Accent5 2 3 2 2 5 2" xfId="16922"/>
    <cellStyle name="20% - Accent5 2 3 2 2 6" xfId="15036"/>
    <cellStyle name="20% - Accent5 2 3 2 2 7" xfId="16084"/>
    <cellStyle name="20% - Accent5 2 3 2 3" xfId="6638"/>
    <cellStyle name="20% - Accent5 2 3 2 3 2" xfId="10683"/>
    <cellStyle name="20% - Accent5 2 3 2 3 2 2" xfId="14264"/>
    <cellStyle name="20% - Accent5 2 3 2 3 2 2 2" xfId="19237"/>
    <cellStyle name="20% - Accent5 2 3 2 3 2 3" xfId="12567"/>
    <cellStyle name="20% - Accent5 2 3 2 3 2 4" xfId="17955"/>
    <cellStyle name="20% - Accent5 2 3 2 3 3" xfId="13404"/>
    <cellStyle name="20% - Accent5 2 3 2 3 3 2" xfId="18873"/>
    <cellStyle name="20% - Accent5 2 3 2 3 4" xfId="11707"/>
    <cellStyle name="20% - Accent5 2 3 2 3 4 2" xfId="17095"/>
    <cellStyle name="20% - Accent5 2 3 2 3 5" xfId="15210"/>
    <cellStyle name="20% - Accent5 2 3 2 3 6" xfId="16257"/>
    <cellStyle name="20% - Accent5 2 3 2 4" xfId="10327"/>
    <cellStyle name="20% - Accent5 2 3 2 4 2" xfId="13909"/>
    <cellStyle name="20% - Accent5 2 3 2 4 2 2" xfId="19238"/>
    <cellStyle name="20% - Accent5 2 3 2 4 3" xfId="12212"/>
    <cellStyle name="20% - Accent5 2 3 2 4 4" xfId="17600"/>
    <cellStyle name="20% - Accent5 2 3 2 5" xfId="13052"/>
    <cellStyle name="20% - Accent5 2 3 2 5 2" xfId="18521"/>
    <cellStyle name="20% - Accent5 2 3 2 6" xfId="11271"/>
    <cellStyle name="20% - Accent5 2 3 2 6 2" xfId="16743"/>
    <cellStyle name="20% - Accent5 2 3 2 7" xfId="14855"/>
    <cellStyle name="20% - Accent5 2 3 2 8" xfId="15905"/>
    <cellStyle name="20% - Accent5 2 3 3" xfId="4389"/>
    <cellStyle name="20% - Accent5 2 3 3 2" xfId="8825"/>
    <cellStyle name="20% - Accent5 2 3 3 2 2" xfId="10896"/>
    <cellStyle name="20% - Accent5 2 3 3 2 2 2" xfId="14476"/>
    <cellStyle name="20% - Accent5 2 3 3 2 2 2 2" xfId="19239"/>
    <cellStyle name="20% - Accent5 2 3 3 2 2 3" xfId="12779"/>
    <cellStyle name="20% - Accent5 2 3 3 2 2 4" xfId="18167"/>
    <cellStyle name="20% - Accent5 2 3 3 2 3" xfId="13615"/>
    <cellStyle name="20% - Accent5 2 3 3 2 3 2" xfId="19084"/>
    <cellStyle name="20% - Accent5 2 3 3 2 4" xfId="11918"/>
    <cellStyle name="20% - Accent5 2 3 3 2 4 2" xfId="17306"/>
    <cellStyle name="20% - Accent5 2 3 3 2 5" xfId="15422"/>
    <cellStyle name="20% - Accent5 2 3 3 2 6" xfId="16468"/>
    <cellStyle name="20% - Accent5 2 3 3 3" xfId="10420"/>
    <cellStyle name="20% - Accent5 2 3 3 3 2" xfId="14001"/>
    <cellStyle name="20% - Accent5 2 3 3 3 2 2" xfId="19240"/>
    <cellStyle name="20% - Accent5 2 3 3 3 3" xfId="12304"/>
    <cellStyle name="20% - Accent5 2 3 3 3 4" xfId="17692"/>
    <cellStyle name="20% - Accent5 2 3 3 4" xfId="13143"/>
    <cellStyle name="20% - Accent5 2 3 3 4 2" xfId="18612"/>
    <cellStyle name="20% - Accent5 2 3 3 5" xfId="11376"/>
    <cellStyle name="20% - Accent5 2 3 3 5 2" xfId="16834"/>
    <cellStyle name="20% - Accent5 2 3 3 6" xfId="14948"/>
    <cellStyle name="20% - Accent5 2 3 3 7" xfId="15996"/>
    <cellStyle name="20% - Accent5 2 3 4" xfId="8153"/>
    <cellStyle name="20% - Accent5 2 3 4 2" xfId="10823"/>
    <cellStyle name="20% - Accent5 2 3 4 2 2" xfId="14403"/>
    <cellStyle name="20% - Accent5 2 3 4 2 2 2" xfId="19241"/>
    <cellStyle name="20% - Accent5 2 3 4 2 3" xfId="12706"/>
    <cellStyle name="20% - Accent5 2 3 4 2 4" xfId="18094"/>
    <cellStyle name="20% - Accent5 2 3 4 3" xfId="13542"/>
    <cellStyle name="20% - Accent5 2 3 4 3 2" xfId="19011"/>
    <cellStyle name="20% - Accent5 2 3 4 4" xfId="11845"/>
    <cellStyle name="20% - Accent5 2 3 4 4 2" xfId="17233"/>
    <cellStyle name="20% - Accent5 2 3 4 5" xfId="15348"/>
    <cellStyle name="20% - Accent5 2 3 4 6" xfId="16395"/>
    <cellStyle name="20% - Accent5 2 3 5" xfId="10241"/>
    <cellStyle name="20% - Accent5 2 3 5 2" xfId="13823"/>
    <cellStyle name="20% - Accent5 2 3 5 2 2" xfId="19242"/>
    <cellStyle name="20% - Accent5 2 3 5 3" xfId="12126"/>
    <cellStyle name="20% - Accent5 2 3 5 4" xfId="17514"/>
    <cellStyle name="20% - Accent5 2 3 6" xfId="12967"/>
    <cellStyle name="20% - Accent5 2 3 6 2" xfId="18395"/>
    <cellStyle name="20% - Accent5 2 3 7" xfId="11172"/>
    <cellStyle name="20% - Accent5 2 3 7 2" xfId="16658"/>
    <cellStyle name="20% - Accent5 2 3 8" xfId="14768"/>
    <cellStyle name="20% - Accent5 2 3 9" xfId="15820"/>
    <cellStyle name="20% - Accent5 3" xfId="632"/>
    <cellStyle name="20% - Accent5 3 2" xfId="2054"/>
    <cellStyle name="20% - Accent6 2" xfId="73"/>
    <cellStyle name="20% - Accent6 2 2" xfId="633"/>
    <cellStyle name="20% - Accent6 2 3" xfId="1915"/>
    <cellStyle name="20% - Accent6 2 3 2" xfId="2524"/>
    <cellStyle name="20% - Accent6 2 3 2 2" xfId="4567"/>
    <cellStyle name="20% - Accent6 2 3 2 2 2" xfId="8955"/>
    <cellStyle name="20% - Accent6 2 3 2 2 2 2" xfId="10985"/>
    <cellStyle name="20% - Accent6 2 3 2 2 2 2 2" xfId="14565"/>
    <cellStyle name="20% - Accent6 2 3 2 2 2 2 2 2" xfId="19243"/>
    <cellStyle name="20% - Accent6 2 3 2 2 2 2 3" xfId="12868"/>
    <cellStyle name="20% - Accent6 2 3 2 2 2 2 4" xfId="18256"/>
    <cellStyle name="20% - Accent6 2 3 2 2 2 3" xfId="13704"/>
    <cellStyle name="20% - Accent6 2 3 2 2 2 3 2" xfId="19173"/>
    <cellStyle name="20% - Accent6 2 3 2 2 2 4" xfId="12007"/>
    <cellStyle name="20% - Accent6 2 3 2 2 2 4 2" xfId="17395"/>
    <cellStyle name="20% - Accent6 2 3 2 2 2 5" xfId="15511"/>
    <cellStyle name="20% - Accent6 2 3 2 2 2 6" xfId="16557"/>
    <cellStyle name="20% - Accent6 2 3 2 2 3" xfId="10509"/>
    <cellStyle name="20% - Accent6 2 3 2 2 3 2" xfId="14090"/>
    <cellStyle name="20% - Accent6 2 3 2 2 3 2 2" xfId="19244"/>
    <cellStyle name="20% - Accent6 2 3 2 2 3 3" xfId="12393"/>
    <cellStyle name="20% - Accent6 2 3 2 2 3 4" xfId="17781"/>
    <cellStyle name="20% - Accent6 2 3 2 2 4" xfId="13232"/>
    <cellStyle name="20% - Accent6 2 3 2 2 4 2" xfId="18701"/>
    <cellStyle name="20% - Accent6 2 3 2 2 5" xfId="11465"/>
    <cellStyle name="20% - Accent6 2 3 2 2 5 2" xfId="16923"/>
    <cellStyle name="20% - Accent6 2 3 2 2 6" xfId="15037"/>
    <cellStyle name="20% - Accent6 2 3 2 2 7" xfId="16085"/>
    <cellStyle name="20% - Accent6 2 3 2 3" xfId="7352"/>
    <cellStyle name="20% - Accent6 2 3 2 3 2" xfId="10751"/>
    <cellStyle name="20% - Accent6 2 3 2 3 2 2" xfId="14331"/>
    <cellStyle name="20% - Accent6 2 3 2 3 2 2 2" xfId="19245"/>
    <cellStyle name="20% - Accent6 2 3 2 3 2 3" xfId="12634"/>
    <cellStyle name="20% - Accent6 2 3 2 3 2 4" xfId="18022"/>
    <cellStyle name="20% - Accent6 2 3 2 3 3" xfId="13471"/>
    <cellStyle name="20% - Accent6 2 3 2 3 3 2" xfId="18940"/>
    <cellStyle name="20% - Accent6 2 3 2 3 4" xfId="11774"/>
    <cellStyle name="20% - Accent6 2 3 2 3 4 2" xfId="17162"/>
    <cellStyle name="20% - Accent6 2 3 2 3 5" xfId="15277"/>
    <cellStyle name="20% - Accent6 2 3 2 3 6" xfId="16324"/>
    <cellStyle name="20% - Accent6 2 3 2 4" xfId="10328"/>
    <cellStyle name="20% - Accent6 2 3 2 4 2" xfId="13910"/>
    <cellStyle name="20% - Accent6 2 3 2 4 2 2" xfId="19246"/>
    <cellStyle name="20% - Accent6 2 3 2 4 3" xfId="12213"/>
    <cellStyle name="20% - Accent6 2 3 2 4 4" xfId="17601"/>
    <cellStyle name="20% - Accent6 2 3 2 5" xfId="13053"/>
    <cellStyle name="20% - Accent6 2 3 2 5 2" xfId="18522"/>
    <cellStyle name="20% - Accent6 2 3 2 6" xfId="11272"/>
    <cellStyle name="20% - Accent6 2 3 2 6 2" xfId="16744"/>
    <cellStyle name="20% - Accent6 2 3 2 7" xfId="14856"/>
    <cellStyle name="20% - Accent6 2 3 2 8" xfId="15906"/>
    <cellStyle name="20% - Accent6 2 3 3" xfId="4390"/>
    <cellStyle name="20% - Accent6 2 3 3 2" xfId="8826"/>
    <cellStyle name="20% - Accent6 2 3 3 2 2" xfId="10897"/>
    <cellStyle name="20% - Accent6 2 3 3 2 2 2" xfId="14477"/>
    <cellStyle name="20% - Accent6 2 3 3 2 2 2 2" xfId="19247"/>
    <cellStyle name="20% - Accent6 2 3 3 2 2 3" xfId="12780"/>
    <cellStyle name="20% - Accent6 2 3 3 2 2 4" xfId="18168"/>
    <cellStyle name="20% - Accent6 2 3 3 2 3" xfId="13616"/>
    <cellStyle name="20% - Accent6 2 3 3 2 3 2" xfId="19085"/>
    <cellStyle name="20% - Accent6 2 3 3 2 4" xfId="11919"/>
    <cellStyle name="20% - Accent6 2 3 3 2 4 2" xfId="17307"/>
    <cellStyle name="20% - Accent6 2 3 3 2 5" xfId="15423"/>
    <cellStyle name="20% - Accent6 2 3 3 2 6" xfId="16469"/>
    <cellStyle name="20% - Accent6 2 3 3 3" xfId="10421"/>
    <cellStyle name="20% - Accent6 2 3 3 3 2" xfId="14002"/>
    <cellStyle name="20% - Accent6 2 3 3 3 2 2" xfId="19248"/>
    <cellStyle name="20% - Accent6 2 3 3 3 3" xfId="12305"/>
    <cellStyle name="20% - Accent6 2 3 3 3 4" xfId="17693"/>
    <cellStyle name="20% - Accent6 2 3 3 4" xfId="13144"/>
    <cellStyle name="20% - Accent6 2 3 3 4 2" xfId="18613"/>
    <cellStyle name="20% - Accent6 2 3 3 5" xfId="11377"/>
    <cellStyle name="20% - Accent6 2 3 3 5 2" xfId="16835"/>
    <cellStyle name="20% - Accent6 2 3 3 6" xfId="14949"/>
    <cellStyle name="20% - Accent6 2 3 3 7" xfId="15997"/>
    <cellStyle name="20% - Accent6 2 3 4" xfId="7069"/>
    <cellStyle name="20% - Accent6 2 3 4 2" xfId="10726"/>
    <cellStyle name="20% - Accent6 2 3 4 2 2" xfId="14306"/>
    <cellStyle name="20% - Accent6 2 3 4 2 2 2" xfId="19249"/>
    <cellStyle name="20% - Accent6 2 3 4 2 3" xfId="12609"/>
    <cellStyle name="20% - Accent6 2 3 4 2 4" xfId="17997"/>
    <cellStyle name="20% - Accent6 2 3 4 3" xfId="13446"/>
    <cellStyle name="20% - Accent6 2 3 4 3 2" xfId="18915"/>
    <cellStyle name="20% - Accent6 2 3 4 4" xfId="11749"/>
    <cellStyle name="20% - Accent6 2 3 4 4 2" xfId="17137"/>
    <cellStyle name="20% - Accent6 2 3 4 5" xfId="15252"/>
    <cellStyle name="20% - Accent6 2 3 4 6" xfId="16299"/>
    <cellStyle name="20% - Accent6 2 3 5" xfId="10242"/>
    <cellStyle name="20% - Accent6 2 3 5 2" xfId="13824"/>
    <cellStyle name="20% - Accent6 2 3 5 2 2" xfId="19250"/>
    <cellStyle name="20% - Accent6 2 3 5 3" xfId="12127"/>
    <cellStyle name="20% - Accent6 2 3 5 4" xfId="17515"/>
    <cellStyle name="20% - Accent6 2 3 6" xfId="12968"/>
    <cellStyle name="20% - Accent6 2 3 6 2" xfId="18397"/>
    <cellStyle name="20% - Accent6 2 3 7" xfId="11173"/>
    <cellStyle name="20% - Accent6 2 3 7 2" xfId="16659"/>
    <cellStyle name="20% - Accent6 2 3 8" xfId="14769"/>
    <cellStyle name="20% - Accent6 2 3 9" xfId="15821"/>
    <cellStyle name="20% - Accent6 3" xfId="634"/>
    <cellStyle name="20% - Accent6 3 2" xfId="2055"/>
    <cellStyle name="40% - Accent1 2" xfId="74"/>
    <cellStyle name="40% - Accent1 2 2" xfId="635"/>
    <cellStyle name="40% - Accent1 2 3" xfId="1916"/>
    <cellStyle name="40% - Accent1 2 3 2" xfId="2525"/>
    <cellStyle name="40% - Accent1 2 3 2 2" xfId="4568"/>
    <cellStyle name="40% - Accent1 2 3 2 2 2" xfId="8956"/>
    <cellStyle name="40% - Accent1 2 3 2 2 2 2" xfId="10986"/>
    <cellStyle name="40% - Accent1 2 3 2 2 2 2 2" xfId="14566"/>
    <cellStyle name="40% - Accent1 2 3 2 2 2 2 2 2" xfId="19251"/>
    <cellStyle name="40% - Accent1 2 3 2 2 2 2 3" xfId="12869"/>
    <cellStyle name="40% - Accent1 2 3 2 2 2 2 4" xfId="18257"/>
    <cellStyle name="40% - Accent1 2 3 2 2 2 3" xfId="13705"/>
    <cellStyle name="40% - Accent1 2 3 2 2 2 3 2" xfId="19174"/>
    <cellStyle name="40% - Accent1 2 3 2 2 2 4" xfId="12008"/>
    <cellStyle name="40% - Accent1 2 3 2 2 2 4 2" xfId="17396"/>
    <cellStyle name="40% - Accent1 2 3 2 2 2 5" xfId="15512"/>
    <cellStyle name="40% - Accent1 2 3 2 2 2 6" xfId="16558"/>
    <cellStyle name="40% - Accent1 2 3 2 2 3" xfId="10510"/>
    <cellStyle name="40% - Accent1 2 3 2 2 3 2" xfId="14091"/>
    <cellStyle name="40% - Accent1 2 3 2 2 3 2 2" xfId="19252"/>
    <cellStyle name="40% - Accent1 2 3 2 2 3 3" xfId="12394"/>
    <cellStyle name="40% - Accent1 2 3 2 2 3 4" xfId="17782"/>
    <cellStyle name="40% - Accent1 2 3 2 2 4" xfId="13233"/>
    <cellStyle name="40% - Accent1 2 3 2 2 4 2" xfId="18702"/>
    <cellStyle name="40% - Accent1 2 3 2 2 5" xfId="11466"/>
    <cellStyle name="40% - Accent1 2 3 2 2 5 2" xfId="16924"/>
    <cellStyle name="40% - Accent1 2 3 2 2 6" xfId="15038"/>
    <cellStyle name="40% - Accent1 2 3 2 2 7" xfId="16086"/>
    <cellStyle name="40% - Accent1 2 3 2 3" xfId="7072"/>
    <cellStyle name="40% - Accent1 2 3 2 3 2" xfId="10727"/>
    <cellStyle name="40% - Accent1 2 3 2 3 2 2" xfId="14307"/>
    <cellStyle name="40% - Accent1 2 3 2 3 2 2 2" xfId="19253"/>
    <cellStyle name="40% - Accent1 2 3 2 3 2 3" xfId="12610"/>
    <cellStyle name="40% - Accent1 2 3 2 3 2 4" xfId="17998"/>
    <cellStyle name="40% - Accent1 2 3 2 3 3" xfId="13447"/>
    <cellStyle name="40% - Accent1 2 3 2 3 3 2" xfId="18916"/>
    <cellStyle name="40% - Accent1 2 3 2 3 4" xfId="11750"/>
    <cellStyle name="40% - Accent1 2 3 2 3 4 2" xfId="17138"/>
    <cellStyle name="40% - Accent1 2 3 2 3 5" xfId="15253"/>
    <cellStyle name="40% - Accent1 2 3 2 3 6" xfId="16300"/>
    <cellStyle name="40% - Accent1 2 3 2 4" xfId="10329"/>
    <cellStyle name="40% - Accent1 2 3 2 4 2" xfId="13911"/>
    <cellStyle name="40% - Accent1 2 3 2 4 2 2" xfId="19254"/>
    <cellStyle name="40% - Accent1 2 3 2 4 3" xfId="12214"/>
    <cellStyle name="40% - Accent1 2 3 2 4 4" xfId="17602"/>
    <cellStyle name="40% - Accent1 2 3 2 5" xfId="13054"/>
    <cellStyle name="40% - Accent1 2 3 2 5 2" xfId="18523"/>
    <cellStyle name="40% - Accent1 2 3 2 6" xfId="11273"/>
    <cellStyle name="40% - Accent1 2 3 2 6 2" xfId="16745"/>
    <cellStyle name="40% - Accent1 2 3 2 7" xfId="14857"/>
    <cellStyle name="40% - Accent1 2 3 2 8" xfId="15907"/>
    <cellStyle name="40% - Accent1 2 3 3" xfId="4391"/>
    <cellStyle name="40% - Accent1 2 3 3 2" xfId="8827"/>
    <cellStyle name="40% - Accent1 2 3 3 2 2" xfId="10898"/>
    <cellStyle name="40% - Accent1 2 3 3 2 2 2" xfId="14478"/>
    <cellStyle name="40% - Accent1 2 3 3 2 2 2 2" xfId="19255"/>
    <cellStyle name="40% - Accent1 2 3 3 2 2 3" xfId="12781"/>
    <cellStyle name="40% - Accent1 2 3 3 2 2 4" xfId="18169"/>
    <cellStyle name="40% - Accent1 2 3 3 2 3" xfId="13617"/>
    <cellStyle name="40% - Accent1 2 3 3 2 3 2" xfId="19086"/>
    <cellStyle name="40% - Accent1 2 3 3 2 4" xfId="11920"/>
    <cellStyle name="40% - Accent1 2 3 3 2 4 2" xfId="17308"/>
    <cellStyle name="40% - Accent1 2 3 3 2 5" xfId="15424"/>
    <cellStyle name="40% - Accent1 2 3 3 2 6" xfId="16470"/>
    <cellStyle name="40% - Accent1 2 3 3 3" xfId="10422"/>
    <cellStyle name="40% - Accent1 2 3 3 3 2" xfId="14003"/>
    <cellStyle name="40% - Accent1 2 3 3 3 2 2" xfId="19256"/>
    <cellStyle name="40% - Accent1 2 3 3 3 3" xfId="12306"/>
    <cellStyle name="40% - Accent1 2 3 3 3 4" xfId="17694"/>
    <cellStyle name="40% - Accent1 2 3 3 4" xfId="13145"/>
    <cellStyle name="40% - Accent1 2 3 3 4 2" xfId="18614"/>
    <cellStyle name="40% - Accent1 2 3 3 5" xfId="11378"/>
    <cellStyle name="40% - Accent1 2 3 3 5 2" xfId="16836"/>
    <cellStyle name="40% - Accent1 2 3 3 6" xfId="14950"/>
    <cellStyle name="40% - Accent1 2 3 3 7" xfId="15998"/>
    <cellStyle name="40% - Accent1 2 3 4" xfId="7596"/>
    <cellStyle name="40% - Accent1 2 3 4 2" xfId="10770"/>
    <cellStyle name="40% - Accent1 2 3 4 2 2" xfId="14350"/>
    <cellStyle name="40% - Accent1 2 3 4 2 2 2" xfId="19257"/>
    <cellStyle name="40% - Accent1 2 3 4 2 3" xfId="12653"/>
    <cellStyle name="40% - Accent1 2 3 4 2 4" xfId="18041"/>
    <cellStyle name="40% - Accent1 2 3 4 3" xfId="13490"/>
    <cellStyle name="40% - Accent1 2 3 4 3 2" xfId="18959"/>
    <cellStyle name="40% - Accent1 2 3 4 4" xfId="11793"/>
    <cellStyle name="40% - Accent1 2 3 4 4 2" xfId="17181"/>
    <cellStyle name="40% - Accent1 2 3 4 5" xfId="15296"/>
    <cellStyle name="40% - Accent1 2 3 4 6" xfId="16343"/>
    <cellStyle name="40% - Accent1 2 3 5" xfId="10243"/>
    <cellStyle name="40% - Accent1 2 3 5 2" xfId="13825"/>
    <cellStyle name="40% - Accent1 2 3 5 2 2" xfId="19258"/>
    <cellStyle name="40% - Accent1 2 3 5 3" xfId="12128"/>
    <cellStyle name="40% - Accent1 2 3 5 4" xfId="17516"/>
    <cellStyle name="40% - Accent1 2 3 6" xfId="12969"/>
    <cellStyle name="40% - Accent1 2 3 6 2" xfId="18389"/>
    <cellStyle name="40% - Accent1 2 3 7" xfId="11174"/>
    <cellStyle name="40% - Accent1 2 3 7 2" xfId="16660"/>
    <cellStyle name="40% - Accent1 2 3 8" xfId="14770"/>
    <cellStyle name="40% - Accent1 2 3 9" xfId="15822"/>
    <cellStyle name="40% - Accent1 3" xfId="75"/>
    <cellStyle name="40% - Accent1 3 2" xfId="2056"/>
    <cellStyle name="40% - Accent1 4" xfId="636"/>
    <cellStyle name="40% - Accent1 4 2" xfId="1616"/>
    <cellStyle name="40% - Accent1 4 3" xfId="1784"/>
    <cellStyle name="40% - Accent2 2" xfId="76"/>
    <cellStyle name="40% - Accent2 2 2" xfId="637"/>
    <cellStyle name="40% - Accent2 2 3" xfId="1917"/>
    <cellStyle name="40% - Accent2 2 3 2" xfId="2526"/>
    <cellStyle name="40% - Accent2 2 3 2 2" xfId="4569"/>
    <cellStyle name="40% - Accent2 2 3 2 2 2" xfId="8957"/>
    <cellStyle name="40% - Accent2 2 3 2 2 2 2" xfId="10987"/>
    <cellStyle name="40% - Accent2 2 3 2 2 2 2 2" xfId="14567"/>
    <cellStyle name="40% - Accent2 2 3 2 2 2 2 2 2" xfId="19259"/>
    <cellStyle name="40% - Accent2 2 3 2 2 2 2 3" xfId="12870"/>
    <cellStyle name="40% - Accent2 2 3 2 2 2 2 4" xfId="18258"/>
    <cellStyle name="40% - Accent2 2 3 2 2 2 3" xfId="13706"/>
    <cellStyle name="40% - Accent2 2 3 2 2 2 3 2" xfId="19175"/>
    <cellStyle name="40% - Accent2 2 3 2 2 2 4" xfId="12009"/>
    <cellStyle name="40% - Accent2 2 3 2 2 2 4 2" xfId="17397"/>
    <cellStyle name="40% - Accent2 2 3 2 2 2 5" xfId="15513"/>
    <cellStyle name="40% - Accent2 2 3 2 2 2 6" xfId="16559"/>
    <cellStyle name="40% - Accent2 2 3 2 2 3" xfId="10511"/>
    <cellStyle name="40% - Accent2 2 3 2 2 3 2" xfId="14092"/>
    <cellStyle name="40% - Accent2 2 3 2 2 3 2 2" xfId="19260"/>
    <cellStyle name="40% - Accent2 2 3 2 2 3 3" xfId="12395"/>
    <cellStyle name="40% - Accent2 2 3 2 2 3 4" xfId="17783"/>
    <cellStyle name="40% - Accent2 2 3 2 2 4" xfId="13234"/>
    <cellStyle name="40% - Accent2 2 3 2 2 4 2" xfId="18703"/>
    <cellStyle name="40% - Accent2 2 3 2 2 5" xfId="11467"/>
    <cellStyle name="40% - Accent2 2 3 2 2 5 2" xfId="16925"/>
    <cellStyle name="40% - Accent2 2 3 2 2 6" xfId="15039"/>
    <cellStyle name="40% - Accent2 2 3 2 2 7" xfId="16087"/>
    <cellStyle name="40% - Accent2 2 3 2 3" xfId="6618"/>
    <cellStyle name="40% - Accent2 2 3 2 3 2" xfId="10680"/>
    <cellStyle name="40% - Accent2 2 3 2 3 2 2" xfId="14261"/>
    <cellStyle name="40% - Accent2 2 3 2 3 2 2 2" xfId="19261"/>
    <cellStyle name="40% - Accent2 2 3 2 3 2 3" xfId="12564"/>
    <cellStyle name="40% - Accent2 2 3 2 3 2 4" xfId="17952"/>
    <cellStyle name="40% - Accent2 2 3 2 3 3" xfId="13401"/>
    <cellStyle name="40% - Accent2 2 3 2 3 3 2" xfId="18870"/>
    <cellStyle name="40% - Accent2 2 3 2 3 4" xfId="11704"/>
    <cellStyle name="40% - Accent2 2 3 2 3 4 2" xfId="17092"/>
    <cellStyle name="40% - Accent2 2 3 2 3 5" xfId="15207"/>
    <cellStyle name="40% - Accent2 2 3 2 3 6" xfId="16254"/>
    <cellStyle name="40% - Accent2 2 3 2 4" xfId="10330"/>
    <cellStyle name="40% - Accent2 2 3 2 4 2" xfId="13912"/>
    <cellStyle name="40% - Accent2 2 3 2 4 2 2" xfId="19262"/>
    <cellStyle name="40% - Accent2 2 3 2 4 3" xfId="12215"/>
    <cellStyle name="40% - Accent2 2 3 2 4 4" xfId="17603"/>
    <cellStyle name="40% - Accent2 2 3 2 5" xfId="13055"/>
    <cellStyle name="40% - Accent2 2 3 2 5 2" xfId="18524"/>
    <cellStyle name="40% - Accent2 2 3 2 6" xfId="11274"/>
    <cellStyle name="40% - Accent2 2 3 2 6 2" xfId="16746"/>
    <cellStyle name="40% - Accent2 2 3 2 7" xfId="14858"/>
    <cellStyle name="40% - Accent2 2 3 2 8" xfId="15908"/>
    <cellStyle name="40% - Accent2 2 3 3" xfId="4392"/>
    <cellStyle name="40% - Accent2 2 3 3 2" xfId="8828"/>
    <cellStyle name="40% - Accent2 2 3 3 2 2" xfId="10899"/>
    <cellStyle name="40% - Accent2 2 3 3 2 2 2" xfId="14479"/>
    <cellStyle name="40% - Accent2 2 3 3 2 2 2 2" xfId="19263"/>
    <cellStyle name="40% - Accent2 2 3 3 2 2 3" xfId="12782"/>
    <cellStyle name="40% - Accent2 2 3 3 2 2 4" xfId="18170"/>
    <cellStyle name="40% - Accent2 2 3 3 2 3" xfId="13618"/>
    <cellStyle name="40% - Accent2 2 3 3 2 3 2" xfId="19087"/>
    <cellStyle name="40% - Accent2 2 3 3 2 4" xfId="11921"/>
    <cellStyle name="40% - Accent2 2 3 3 2 4 2" xfId="17309"/>
    <cellStyle name="40% - Accent2 2 3 3 2 5" xfId="15425"/>
    <cellStyle name="40% - Accent2 2 3 3 2 6" xfId="16471"/>
    <cellStyle name="40% - Accent2 2 3 3 3" xfId="10423"/>
    <cellStyle name="40% - Accent2 2 3 3 3 2" xfId="14004"/>
    <cellStyle name="40% - Accent2 2 3 3 3 2 2" xfId="19264"/>
    <cellStyle name="40% - Accent2 2 3 3 3 3" xfId="12307"/>
    <cellStyle name="40% - Accent2 2 3 3 3 4" xfId="17695"/>
    <cellStyle name="40% - Accent2 2 3 3 4" xfId="13146"/>
    <cellStyle name="40% - Accent2 2 3 3 4 2" xfId="18615"/>
    <cellStyle name="40% - Accent2 2 3 3 5" xfId="11379"/>
    <cellStyle name="40% - Accent2 2 3 3 5 2" xfId="16837"/>
    <cellStyle name="40% - Accent2 2 3 3 6" xfId="14951"/>
    <cellStyle name="40% - Accent2 2 3 3 7" xfId="15999"/>
    <cellStyle name="40% - Accent2 2 3 4" xfId="8028"/>
    <cellStyle name="40% - Accent2 2 3 4 2" xfId="10808"/>
    <cellStyle name="40% - Accent2 2 3 4 2 2" xfId="14388"/>
    <cellStyle name="40% - Accent2 2 3 4 2 2 2" xfId="19265"/>
    <cellStyle name="40% - Accent2 2 3 4 2 3" xfId="12691"/>
    <cellStyle name="40% - Accent2 2 3 4 2 4" xfId="18079"/>
    <cellStyle name="40% - Accent2 2 3 4 3" xfId="13527"/>
    <cellStyle name="40% - Accent2 2 3 4 3 2" xfId="18996"/>
    <cellStyle name="40% - Accent2 2 3 4 4" xfId="11830"/>
    <cellStyle name="40% - Accent2 2 3 4 4 2" xfId="17218"/>
    <cellStyle name="40% - Accent2 2 3 4 5" xfId="15333"/>
    <cellStyle name="40% - Accent2 2 3 4 6" xfId="16380"/>
    <cellStyle name="40% - Accent2 2 3 5" xfId="10244"/>
    <cellStyle name="40% - Accent2 2 3 5 2" xfId="13826"/>
    <cellStyle name="40% - Accent2 2 3 5 2 2" xfId="19266"/>
    <cellStyle name="40% - Accent2 2 3 5 3" xfId="12129"/>
    <cellStyle name="40% - Accent2 2 3 5 4" xfId="17517"/>
    <cellStyle name="40% - Accent2 2 3 6" xfId="12970"/>
    <cellStyle name="40% - Accent2 2 3 6 2" xfId="18379"/>
    <cellStyle name="40% - Accent2 2 3 7" xfId="11175"/>
    <cellStyle name="40% - Accent2 2 3 7 2" xfId="16661"/>
    <cellStyle name="40% - Accent2 2 3 8" xfId="14771"/>
    <cellStyle name="40% - Accent2 2 3 9" xfId="15823"/>
    <cellStyle name="40% - Accent2 3" xfId="638"/>
    <cellStyle name="40% - Accent2 3 2" xfId="1617"/>
    <cellStyle name="40% - Accent2 3 3" xfId="1785"/>
    <cellStyle name="40% - Accent2 3 4" xfId="2057"/>
    <cellStyle name="40% - Accent3 2" xfId="77"/>
    <cellStyle name="40% - Accent3 2 2" xfId="639"/>
    <cellStyle name="40% - Accent3 2 3" xfId="1918"/>
    <cellStyle name="40% - Accent3 2 3 2" xfId="2527"/>
    <cellStyle name="40% - Accent3 2 3 2 2" xfId="4570"/>
    <cellStyle name="40% - Accent3 2 3 2 2 2" xfId="8958"/>
    <cellStyle name="40% - Accent3 2 3 2 2 2 2" xfId="10988"/>
    <cellStyle name="40% - Accent3 2 3 2 2 2 2 2" xfId="14568"/>
    <cellStyle name="40% - Accent3 2 3 2 2 2 2 2 2" xfId="19267"/>
    <cellStyle name="40% - Accent3 2 3 2 2 2 2 3" xfId="12871"/>
    <cellStyle name="40% - Accent3 2 3 2 2 2 2 4" xfId="18259"/>
    <cellStyle name="40% - Accent3 2 3 2 2 2 3" xfId="13707"/>
    <cellStyle name="40% - Accent3 2 3 2 2 2 3 2" xfId="19176"/>
    <cellStyle name="40% - Accent3 2 3 2 2 2 4" xfId="12010"/>
    <cellStyle name="40% - Accent3 2 3 2 2 2 4 2" xfId="17398"/>
    <cellStyle name="40% - Accent3 2 3 2 2 2 5" xfId="15514"/>
    <cellStyle name="40% - Accent3 2 3 2 2 2 6" xfId="16560"/>
    <cellStyle name="40% - Accent3 2 3 2 2 3" xfId="10512"/>
    <cellStyle name="40% - Accent3 2 3 2 2 3 2" xfId="14093"/>
    <cellStyle name="40% - Accent3 2 3 2 2 3 2 2" xfId="19268"/>
    <cellStyle name="40% - Accent3 2 3 2 2 3 3" xfId="12396"/>
    <cellStyle name="40% - Accent3 2 3 2 2 3 4" xfId="17784"/>
    <cellStyle name="40% - Accent3 2 3 2 2 4" xfId="13235"/>
    <cellStyle name="40% - Accent3 2 3 2 2 4 2" xfId="18704"/>
    <cellStyle name="40% - Accent3 2 3 2 2 5" xfId="11468"/>
    <cellStyle name="40% - Accent3 2 3 2 2 5 2" xfId="16926"/>
    <cellStyle name="40% - Accent3 2 3 2 2 6" xfId="15040"/>
    <cellStyle name="40% - Accent3 2 3 2 2 7" xfId="16088"/>
    <cellStyle name="40% - Accent3 2 3 2 3" xfId="7751"/>
    <cellStyle name="40% - Accent3 2 3 2 3 2" xfId="10785"/>
    <cellStyle name="40% - Accent3 2 3 2 3 2 2" xfId="14365"/>
    <cellStyle name="40% - Accent3 2 3 2 3 2 2 2" xfId="19269"/>
    <cellStyle name="40% - Accent3 2 3 2 3 2 3" xfId="12668"/>
    <cellStyle name="40% - Accent3 2 3 2 3 2 4" xfId="18056"/>
    <cellStyle name="40% - Accent3 2 3 2 3 3" xfId="13504"/>
    <cellStyle name="40% - Accent3 2 3 2 3 3 2" xfId="18973"/>
    <cellStyle name="40% - Accent3 2 3 2 3 4" xfId="11807"/>
    <cellStyle name="40% - Accent3 2 3 2 3 4 2" xfId="17195"/>
    <cellStyle name="40% - Accent3 2 3 2 3 5" xfId="15310"/>
    <cellStyle name="40% - Accent3 2 3 2 3 6" xfId="16357"/>
    <cellStyle name="40% - Accent3 2 3 2 4" xfId="10331"/>
    <cellStyle name="40% - Accent3 2 3 2 4 2" xfId="13913"/>
    <cellStyle name="40% - Accent3 2 3 2 4 2 2" xfId="19270"/>
    <cellStyle name="40% - Accent3 2 3 2 4 3" xfId="12216"/>
    <cellStyle name="40% - Accent3 2 3 2 4 4" xfId="17604"/>
    <cellStyle name="40% - Accent3 2 3 2 5" xfId="13056"/>
    <cellStyle name="40% - Accent3 2 3 2 5 2" xfId="18525"/>
    <cellStyle name="40% - Accent3 2 3 2 6" xfId="11275"/>
    <cellStyle name="40% - Accent3 2 3 2 6 2" xfId="16747"/>
    <cellStyle name="40% - Accent3 2 3 2 7" xfId="14859"/>
    <cellStyle name="40% - Accent3 2 3 2 8" xfId="15909"/>
    <cellStyle name="40% - Accent3 2 3 3" xfId="4393"/>
    <cellStyle name="40% - Accent3 2 3 3 2" xfId="8829"/>
    <cellStyle name="40% - Accent3 2 3 3 2 2" xfId="10900"/>
    <cellStyle name="40% - Accent3 2 3 3 2 2 2" xfId="14480"/>
    <cellStyle name="40% - Accent3 2 3 3 2 2 2 2" xfId="19271"/>
    <cellStyle name="40% - Accent3 2 3 3 2 2 3" xfId="12783"/>
    <cellStyle name="40% - Accent3 2 3 3 2 2 4" xfId="18171"/>
    <cellStyle name="40% - Accent3 2 3 3 2 3" xfId="13619"/>
    <cellStyle name="40% - Accent3 2 3 3 2 3 2" xfId="19088"/>
    <cellStyle name="40% - Accent3 2 3 3 2 4" xfId="11922"/>
    <cellStyle name="40% - Accent3 2 3 3 2 4 2" xfId="17310"/>
    <cellStyle name="40% - Accent3 2 3 3 2 5" xfId="15426"/>
    <cellStyle name="40% - Accent3 2 3 3 2 6" xfId="16472"/>
    <cellStyle name="40% - Accent3 2 3 3 3" xfId="10424"/>
    <cellStyle name="40% - Accent3 2 3 3 3 2" xfId="14005"/>
    <cellStyle name="40% - Accent3 2 3 3 3 2 2" xfId="19272"/>
    <cellStyle name="40% - Accent3 2 3 3 3 3" xfId="12308"/>
    <cellStyle name="40% - Accent3 2 3 3 3 4" xfId="17696"/>
    <cellStyle name="40% - Accent3 2 3 3 4" xfId="13147"/>
    <cellStyle name="40% - Accent3 2 3 3 4 2" xfId="18616"/>
    <cellStyle name="40% - Accent3 2 3 3 5" xfId="11380"/>
    <cellStyle name="40% - Accent3 2 3 3 5 2" xfId="16838"/>
    <cellStyle name="40% - Accent3 2 3 3 6" xfId="14952"/>
    <cellStyle name="40% - Accent3 2 3 3 7" xfId="16000"/>
    <cellStyle name="40% - Accent3 2 3 4" xfId="6256"/>
    <cellStyle name="40% - Accent3 2 3 4 2" xfId="10649"/>
    <cellStyle name="40% - Accent3 2 3 4 2 2" xfId="14230"/>
    <cellStyle name="40% - Accent3 2 3 4 2 2 2" xfId="19273"/>
    <cellStyle name="40% - Accent3 2 3 4 2 3" xfId="12533"/>
    <cellStyle name="40% - Accent3 2 3 4 2 4" xfId="17921"/>
    <cellStyle name="40% - Accent3 2 3 4 3" xfId="13371"/>
    <cellStyle name="40% - Accent3 2 3 4 3 2" xfId="18840"/>
    <cellStyle name="40% - Accent3 2 3 4 4" xfId="11674"/>
    <cellStyle name="40% - Accent3 2 3 4 4 2" xfId="17062"/>
    <cellStyle name="40% - Accent3 2 3 4 5" xfId="15177"/>
    <cellStyle name="40% - Accent3 2 3 4 6" xfId="16224"/>
    <cellStyle name="40% - Accent3 2 3 5" xfId="10245"/>
    <cellStyle name="40% - Accent3 2 3 5 2" xfId="13827"/>
    <cellStyle name="40% - Accent3 2 3 5 2 2" xfId="19274"/>
    <cellStyle name="40% - Accent3 2 3 5 3" xfId="12130"/>
    <cellStyle name="40% - Accent3 2 3 5 4" xfId="17518"/>
    <cellStyle name="40% - Accent3 2 3 6" xfId="12971"/>
    <cellStyle name="40% - Accent3 2 3 6 2" xfId="18412"/>
    <cellStyle name="40% - Accent3 2 3 7" xfId="11176"/>
    <cellStyle name="40% - Accent3 2 3 7 2" xfId="16662"/>
    <cellStyle name="40% - Accent3 2 3 8" xfId="14772"/>
    <cellStyle name="40% - Accent3 2 3 9" xfId="15824"/>
    <cellStyle name="40% - Accent3 3" xfId="640"/>
    <cellStyle name="40% - Accent3 3 2" xfId="2058"/>
    <cellStyle name="40% - Accent4 2" xfId="78"/>
    <cellStyle name="40% - Accent4 2 2" xfId="641"/>
    <cellStyle name="40% - Accent4 2 3" xfId="1919"/>
    <cellStyle name="40% - Accent4 2 3 2" xfId="2528"/>
    <cellStyle name="40% - Accent4 2 3 2 2" xfId="4571"/>
    <cellStyle name="40% - Accent4 2 3 2 2 2" xfId="8959"/>
    <cellStyle name="40% - Accent4 2 3 2 2 2 2" xfId="10989"/>
    <cellStyle name="40% - Accent4 2 3 2 2 2 2 2" xfId="14569"/>
    <cellStyle name="40% - Accent4 2 3 2 2 2 2 2 2" xfId="19275"/>
    <cellStyle name="40% - Accent4 2 3 2 2 2 2 3" xfId="12872"/>
    <cellStyle name="40% - Accent4 2 3 2 2 2 2 4" xfId="18260"/>
    <cellStyle name="40% - Accent4 2 3 2 2 2 3" xfId="13708"/>
    <cellStyle name="40% - Accent4 2 3 2 2 2 3 2" xfId="19177"/>
    <cellStyle name="40% - Accent4 2 3 2 2 2 4" xfId="12011"/>
    <cellStyle name="40% - Accent4 2 3 2 2 2 4 2" xfId="17399"/>
    <cellStyle name="40% - Accent4 2 3 2 2 2 5" xfId="15515"/>
    <cellStyle name="40% - Accent4 2 3 2 2 2 6" xfId="16561"/>
    <cellStyle name="40% - Accent4 2 3 2 2 3" xfId="10513"/>
    <cellStyle name="40% - Accent4 2 3 2 2 3 2" xfId="14094"/>
    <cellStyle name="40% - Accent4 2 3 2 2 3 2 2" xfId="19276"/>
    <cellStyle name="40% - Accent4 2 3 2 2 3 3" xfId="12397"/>
    <cellStyle name="40% - Accent4 2 3 2 2 3 4" xfId="17785"/>
    <cellStyle name="40% - Accent4 2 3 2 2 4" xfId="13236"/>
    <cellStyle name="40% - Accent4 2 3 2 2 4 2" xfId="18705"/>
    <cellStyle name="40% - Accent4 2 3 2 2 5" xfId="11469"/>
    <cellStyle name="40% - Accent4 2 3 2 2 5 2" xfId="16927"/>
    <cellStyle name="40% - Accent4 2 3 2 2 6" xfId="15041"/>
    <cellStyle name="40% - Accent4 2 3 2 2 7" xfId="16089"/>
    <cellStyle name="40% - Accent4 2 3 2 3" xfId="6625"/>
    <cellStyle name="40% - Accent4 2 3 2 3 2" xfId="10682"/>
    <cellStyle name="40% - Accent4 2 3 2 3 2 2" xfId="14263"/>
    <cellStyle name="40% - Accent4 2 3 2 3 2 2 2" xfId="19277"/>
    <cellStyle name="40% - Accent4 2 3 2 3 2 3" xfId="12566"/>
    <cellStyle name="40% - Accent4 2 3 2 3 2 4" xfId="17954"/>
    <cellStyle name="40% - Accent4 2 3 2 3 3" xfId="13403"/>
    <cellStyle name="40% - Accent4 2 3 2 3 3 2" xfId="18872"/>
    <cellStyle name="40% - Accent4 2 3 2 3 4" xfId="11706"/>
    <cellStyle name="40% - Accent4 2 3 2 3 4 2" xfId="17094"/>
    <cellStyle name="40% - Accent4 2 3 2 3 5" xfId="15209"/>
    <cellStyle name="40% - Accent4 2 3 2 3 6" xfId="16256"/>
    <cellStyle name="40% - Accent4 2 3 2 4" xfId="10332"/>
    <cellStyle name="40% - Accent4 2 3 2 4 2" xfId="13914"/>
    <cellStyle name="40% - Accent4 2 3 2 4 2 2" xfId="19278"/>
    <cellStyle name="40% - Accent4 2 3 2 4 3" xfId="12217"/>
    <cellStyle name="40% - Accent4 2 3 2 4 4" xfId="17605"/>
    <cellStyle name="40% - Accent4 2 3 2 5" xfId="13057"/>
    <cellStyle name="40% - Accent4 2 3 2 5 2" xfId="18526"/>
    <cellStyle name="40% - Accent4 2 3 2 6" xfId="11276"/>
    <cellStyle name="40% - Accent4 2 3 2 6 2" xfId="16748"/>
    <cellStyle name="40% - Accent4 2 3 2 7" xfId="14860"/>
    <cellStyle name="40% - Accent4 2 3 2 8" xfId="15910"/>
    <cellStyle name="40% - Accent4 2 3 3" xfId="4394"/>
    <cellStyle name="40% - Accent4 2 3 3 2" xfId="8830"/>
    <cellStyle name="40% - Accent4 2 3 3 2 2" xfId="10901"/>
    <cellStyle name="40% - Accent4 2 3 3 2 2 2" xfId="14481"/>
    <cellStyle name="40% - Accent4 2 3 3 2 2 2 2" xfId="19279"/>
    <cellStyle name="40% - Accent4 2 3 3 2 2 3" xfId="12784"/>
    <cellStyle name="40% - Accent4 2 3 3 2 2 4" xfId="18172"/>
    <cellStyle name="40% - Accent4 2 3 3 2 3" xfId="13620"/>
    <cellStyle name="40% - Accent4 2 3 3 2 3 2" xfId="19089"/>
    <cellStyle name="40% - Accent4 2 3 3 2 4" xfId="11923"/>
    <cellStyle name="40% - Accent4 2 3 3 2 4 2" xfId="17311"/>
    <cellStyle name="40% - Accent4 2 3 3 2 5" xfId="15427"/>
    <cellStyle name="40% - Accent4 2 3 3 2 6" xfId="16473"/>
    <cellStyle name="40% - Accent4 2 3 3 3" xfId="10425"/>
    <cellStyle name="40% - Accent4 2 3 3 3 2" xfId="14006"/>
    <cellStyle name="40% - Accent4 2 3 3 3 2 2" xfId="19280"/>
    <cellStyle name="40% - Accent4 2 3 3 3 3" xfId="12309"/>
    <cellStyle name="40% - Accent4 2 3 3 3 4" xfId="17697"/>
    <cellStyle name="40% - Accent4 2 3 3 4" xfId="13148"/>
    <cellStyle name="40% - Accent4 2 3 3 4 2" xfId="18617"/>
    <cellStyle name="40% - Accent4 2 3 3 5" xfId="11381"/>
    <cellStyle name="40% - Accent4 2 3 3 5 2" xfId="16839"/>
    <cellStyle name="40% - Accent4 2 3 3 6" xfId="14953"/>
    <cellStyle name="40% - Accent4 2 3 3 7" xfId="16001"/>
    <cellStyle name="40% - Accent4 2 3 4" xfId="7838"/>
    <cellStyle name="40% - Accent4 2 3 4 2" xfId="10791"/>
    <cellStyle name="40% - Accent4 2 3 4 2 2" xfId="14371"/>
    <cellStyle name="40% - Accent4 2 3 4 2 2 2" xfId="19281"/>
    <cellStyle name="40% - Accent4 2 3 4 2 3" xfId="12674"/>
    <cellStyle name="40% - Accent4 2 3 4 2 4" xfId="18062"/>
    <cellStyle name="40% - Accent4 2 3 4 3" xfId="13510"/>
    <cellStyle name="40% - Accent4 2 3 4 3 2" xfId="18979"/>
    <cellStyle name="40% - Accent4 2 3 4 4" xfId="11813"/>
    <cellStyle name="40% - Accent4 2 3 4 4 2" xfId="17201"/>
    <cellStyle name="40% - Accent4 2 3 4 5" xfId="15316"/>
    <cellStyle name="40% - Accent4 2 3 4 6" xfId="16363"/>
    <cellStyle name="40% - Accent4 2 3 5" xfId="10246"/>
    <cellStyle name="40% - Accent4 2 3 5 2" xfId="13828"/>
    <cellStyle name="40% - Accent4 2 3 5 2 2" xfId="19282"/>
    <cellStyle name="40% - Accent4 2 3 5 3" xfId="12131"/>
    <cellStyle name="40% - Accent4 2 3 5 4" xfId="17519"/>
    <cellStyle name="40% - Accent4 2 3 6" xfId="12972"/>
    <cellStyle name="40% - Accent4 2 3 6 2" xfId="18380"/>
    <cellStyle name="40% - Accent4 2 3 7" xfId="11177"/>
    <cellStyle name="40% - Accent4 2 3 7 2" xfId="16663"/>
    <cellStyle name="40% - Accent4 2 3 8" xfId="14773"/>
    <cellStyle name="40% - Accent4 2 3 9" xfId="15825"/>
    <cellStyle name="40% - Accent4 3" xfId="642"/>
    <cellStyle name="40% - Accent4 3 2" xfId="1619"/>
    <cellStyle name="40% - Accent4 3 3" xfId="1786"/>
    <cellStyle name="40% - Accent4 3 4" xfId="2059"/>
    <cellStyle name="40% - Accent5 2" xfId="79"/>
    <cellStyle name="40% - Accent5 2 2" xfId="643"/>
    <cellStyle name="40% - Accent5 2 3" xfId="1920"/>
    <cellStyle name="40% - Accent5 2 3 2" xfId="2529"/>
    <cellStyle name="40% - Accent5 2 3 2 2" xfId="4572"/>
    <cellStyle name="40% - Accent5 2 3 2 2 2" xfId="8960"/>
    <cellStyle name="40% - Accent5 2 3 2 2 2 2" xfId="10990"/>
    <cellStyle name="40% - Accent5 2 3 2 2 2 2 2" xfId="14570"/>
    <cellStyle name="40% - Accent5 2 3 2 2 2 2 2 2" xfId="19283"/>
    <cellStyle name="40% - Accent5 2 3 2 2 2 2 3" xfId="12873"/>
    <cellStyle name="40% - Accent5 2 3 2 2 2 2 4" xfId="18261"/>
    <cellStyle name="40% - Accent5 2 3 2 2 2 3" xfId="13709"/>
    <cellStyle name="40% - Accent5 2 3 2 2 2 3 2" xfId="19178"/>
    <cellStyle name="40% - Accent5 2 3 2 2 2 4" xfId="12012"/>
    <cellStyle name="40% - Accent5 2 3 2 2 2 4 2" xfId="17400"/>
    <cellStyle name="40% - Accent5 2 3 2 2 2 5" xfId="15516"/>
    <cellStyle name="40% - Accent5 2 3 2 2 2 6" xfId="16562"/>
    <cellStyle name="40% - Accent5 2 3 2 2 3" xfId="10514"/>
    <cellStyle name="40% - Accent5 2 3 2 2 3 2" xfId="14095"/>
    <cellStyle name="40% - Accent5 2 3 2 2 3 2 2" xfId="19284"/>
    <cellStyle name="40% - Accent5 2 3 2 2 3 3" xfId="12398"/>
    <cellStyle name="40% - Accent5 2 3 2 2 3 4" xfId="17786"/>
    <cellStyle name="40% - Accent5 2 3 2 2 4" xfId="13237"/>
    <cellStyle name="40% - Accent5 2 3 2 2 4 2" xfId="18706"/>
    <cellStyle name="40% - Accent5 2 3 2 2 5" xfId="11470"/>
    <cellStyle name="40% - Accent5 2 3 2 2 5 2" xfId="16928"/>
    <cellStyle name="40% - Accent5 2 3 2 2 6" xfId="15042"/>
    <cellStyle name="40% - Accent5 2 3 2 2 7" xfId="16090"/>
    <cellStyle name="40% - Accent5 2 3 2 3" xfId="7489"/>
    <cellStyle name="40% - Accent5 2 3 2 3 2" xfId="10763"/>
    <cellStyle name="40% - Accent5 2 3 2 3 2 2" xfId="14343"/>
    <cellStyle name="40% - Accent5 2 3 2 3 2 2 2" xfId="19285"/>
    <cellStyle name="40% - Accent5 2 3 2 3 2 3" xfId="12646"/>
    <cellStyle name="40% - Accent5 2 3 2 3 2 4" xfId="18034"/>
    <cellStyle name="40% - Accent5 2 3 2 3 3" xfId="13483"/>
    <cellStyle name="40% - Accent5 2 3 2 3 3 2" xfId="18952"/>
    <cellStyle name="40% - Accent5 2 3 2 3 4" xfId="11786"/>
    <cellStyle name="40% - Accent5 2 3 2 3 4 2" xfId="17174"/>
    <cellStyle name="40% - Accent5 2 3 2 3 5" xfId="15289"/>
    <cellStyle name="40% - Accent5 2 3 2 3 6" xfId="16336"/>
    <cellStyle name="40% - Accent5 2 3 2 4" xfId="10333"/>
    <cellStyle name="40% - Accent5 2 3 2 4 2" xfId="13915"/>
    <cellStyle name="40% - Accent5 2 3 2 4 2 2" xfId="19286"/>
    <cellStyle name="40% - Accent5 2 3 2 4 3" xfId="12218"/>
    <cellStyle name="40% - Accent5 2 3 2 4 4" xfId="17606"/>
    <cellStyle name="40% - Accent5 2 3 2 5" xfId="13058"/>
    <cellStyle name="40% - Accent5 2 3 2 5 2" xfId="18527"/>
    <cellStyle name="40% - Accent5 2 3 2 6" xfId="11277"/>
    <cellStyle name="40% - Accent5 2 3 2 6 2" xfId="16749"/>
    <cellStyle name="40% - Accent5 2 3 2 7" xfId="14861"/>
    <cellStyle name="40% - Accent5 2 3 2 8" xfId="15911"/>
    <cellStyle name="40% - Accent5 2 3 3" xfId="4395"/>
    <cellStyle name="40% - Accent5 2 3 3 2" xfId="8831"/>
    <cellStyle name="40% - Accent5 2 3 3 2 2" xfId="10902"/>
    <cellStyle name="40% - Accent5 2 3 3 2 2 2" xfId="14482"/>
    <cellStyle name="40% - Accent5 2 3 3 2 2 2 2" xfId="19287"/>
    <cellStyle name="40% - Accent5 2 3 3 2 2 3" xfId="12785"/>
    <cellStyle name="40% - Accent5 2 3 3 2 2 4" xfId="18173"/>
    <cellStyle name="40% - Accent5 2 3 3 2 3" xfId="13621"/>
    <cellStyle name="40% - Accent5 2 3 3 2 3 2" xfId="19090"/>
    <cellStyle name="40% - Accent5 2 3 3 2 4" xfId="11924"/>
    <cellStyle name="40% - Accent5 2 3 3 2 4 2" xfId="17312"/>
    <cellStyle name="40% - Accent5 2 3 3 2 5" xfId="15428"/>
    <cellStyle name="40% - Accent5 2 3 3 2 6" xfId="16474"/>
    <cellStyle name="40% - Accent5 2 3 3 3" xfId="10426"/>
    <cellStyle name="40% - Accent5 2 3 3 3 2" xfId="14007"/>
    <cellStyle name="40% - Accent5 2 3 3 3 2 2" xfId="19288"/>
    <cellStyle name="40% - Accent5 2 3 3 3 3" xfId="12310"/>
    <cellStyle name="40% - Accent5 2 3 3 3 4" xfId="17698"/>
    <cellStyle name="40% - Accent5 2 3 3 4" xfId="13149"/>
    <cellStyle name="40% - Accent5 2 3 3 4 2" xfId="18618"/>
    <cellStyle name="40% - Accent5 2 3 3 5" xfId="11382"/>
    <cellStyle name="40% - Accent5 2 3 3 5 2" xfId="16840"/>
    <cellStyle name="40% - Accent5 2 3 3 6" xfId="14954"/>
    <cellStyle name="40% - Accent5 2 3 3 7" xfId="16002"/>
    <cellStyle name="40% - Accent5 2 3 4" xfId="6823"/>
    <cellStyle name="40% - Accent5 2 3 4 2" xfId="10702"/>
    <cellStyle name="40% - Accent5 2 3 4 2 2" xfId="14283"/>
    <cellStyle name="40% - Accent5 2 3 4 2 2 2" xfId="19289"/>
    <cellStyle name="40% - Accent5 2 3 4 2 3" xfId="12586"/>
    <cellStyle name="40% - Accent5 2 3 4 2 4" xfId="17974"/>
    <cellStyle name="40% - Accent5 2 3 4 3" xfId="13423"/>
    <cellStyle name="40% - Accent5 2 3 4 3 2" xfId="18892"/>
    <cellStyle name="40% - Accent5 2 3 4 4" xfId="11726"/>
    <cellStyle name="40% - Accent5 2 3 4 4 2" xfId="17114"/>
    <cellStyle name="40% - Accent5 2 3 4 5" xfId="15229"/>
    <cellStyle name="40% - Accent5 2 3 4 6" xfId="16276"/>
    <cellStyle name="40% - Accent5 2 3 5" xfId="10247"/>
    <cellStyle name="40% - Accent5 2 3 5 2" xfId="13829"/>
    <cellStyle name="40% - Accent5 2 3 5 2 2" xfId="19290"/>
    <cellStyle name="40% - Accent5 2 3 5 3" xfId="12132"/>
    <cellStyle name="40% - Accent5 2 3 5 4" xfId="17520"/>
    <cellStyle name="40% - Accent5 2 3 6" xfId="12973"/>
    <cellStyle name="40% - Accent5 2 3 6 2" xfId="18381"/>
    <cellStyle name="40% - Accent5 2 3 7" xfId="11178"/>
    <cellStyle name="40% - Accent5 2 3 7 2" xfId="16664"/>
    <cellStyle name="40% - Accent5 2 3 8" xfId="14774"/>
    <cellStyle name="40% - Accent5 2 3 9" xfId="15826"/>
    <cellStyle name="40% - Accent5 3" xfId="644"/>
    <cellStyle name="40% - Accent5 3 2" xfId="1620"/>
    <cellStyle name="40% - Accent5 3 3" xfId="1787"/>
    <cellStyle name="40% - Accent5 3 4" xfId="2060"/>
    <cellStyle name="40% - Accent6 2" xfId="80"/>
    <cellStyle name="40% - Accent6 2 2" xfId="645"/>
    <cellStyle name="40% - Accent6 2 3" xfId="1921"/>
    <cellStyle name="40% - Accent6 2 3 2" xfId="2530"/>
    <cellStyle name="40% - Accent6 2 3 2 2" xfId="4573"/>
    <cellStyle name="40% - Accent6 2 3 2 2 2" xfId="8961"/>
    <cellStyle name="40% - Accent6 2 3 2 2 2 2" xfId="10991"/>
    <cellStyle name="40% - Accent6 2 3 2 2 2 2 2" xfId="14571"/>
    <cellStyle name="40% - Accent6 2 3 2 2 2 2 2 2" xfId="19291"/>
    <cellStyle name="40% - Accent6 2 3 2 2 2 2 3" xfId="12874"/>
    <cellStyle name="40% - Accent6 2 3 2 2 2 2 4" xfId="18262"/>
    <cellStyle name="40% - Accent6 2 3 2 2 2 3" xfId="13710"/>
    <cellStyle name="40% - Accent6 2 3 2 2 2 3 2" xfId="19179"/>
    <cellStyle name="40% - Accent6 2 3 2 2 2 4" xfId="12013"/>
    <cellStyle name="40% - Accent6 2 3 2 2 2 4 2" xfId="17401"/>
    <cellStyle name="40% - Accent6 2 3 2 2 2 5" xfId="15517"/>
    <cellStyle name="40% - Accent6 2 3 2 2 2 6" xfId="16563"/>
    <cellStyle name="40% - Accent6 2 3 2 2 3" xfId="10515"/>
    <cellStyle name="40% - Accent6 2 3 2 2 3 2" xfId="14096"/>
    <cellStyle name="40% - Accent6 2 3 2 2 3 2 2" xfId="19292"/>
    <cellStyle name="40% - Accent6 2 3 2 2 3 3" xfId="12399"/>
    <cellStyle name="40% - Accent6 2 3 2 2 3 4" xfId="17787"/>
    <cellStyle name="40% - Accent6 2 3 2 2 4" xfId="13238"/>
    <cellStyle name="40% - Accent6 2 3 2 2 4 2" xfId="18707"/>
    <cellStyle name="40% - Accent6 2 3 2 2 5" xfId="11471"/>
    <cellStyle name="40% - Accent6 2 3 2 2 5 2" xfId="16929"/>
    <cellStyle name="40% - Accent6 2 3 2 2 6" xfId="15043"/>
    <cellStyle name="40% - Accent6 2 3 2 2 7" xfId="16091"/>
    <cellStyle name="40% - Accent6 2 3 2 3" xfId="7599"/>
    <cellStyle name="40% - Accent6 2 3 2 3 2" xfId="10771"/>
    <cellStyle name="40% - Accent6 2 3 2 3 2 2" xfId="14351"/>
    <cellStyle name="40% - Accent6 2 3 2 3 2 2 2" xfId="19293"/>
    <cellStyle name="40% - Accent6 2 3 2 3 2 3" xfId="12654"/>
    <cellStyle name="40% - Accent6 2 3 2 3 2 4" xfId="18042"/>
    <cellStyle name="40% - Accent6 2 3 2 3 3" xfId="13491"/>
    <cellStyle name="40% - Accent6 2 3 2 3 3 2" xfId="18960"/>
    <cellStyle name="40% - Accent6 2 3 2 3 4" xfId="11794"/>
    <cellStyle name="40% - Accent6 2 3 2 3 4 2" xfId="17182"/>
    <cellStyle name="40% - Accent6 2 3 2 3 5" xfId="15297"/>
    <cellStyle name="40% - Accent6 2 3 2 3 6" xfId="16344"/>
    <cellStyle name="40% - Accent6 2 3 2 4" xfId="10334"/>
    <cellStyle name="40% - Accent6 2 3 2 4 2" xfId="13916"/>
    <cellStyle name="40% - Accent6 2 3 2 4 2 2" xfId="19294"/>
    <cellStyle name="40% - Accent6 2 3 2 4 3" xfId="12219"/>
    <cellStyle name="40% - Accent6 2 3 2 4 4" xfId="17607"/>
    <cellStyle name="40% - Accent6 2 3 2 5" xfId="13059"/>
    <cellStyle name="40% - Accent6 2 3 2 5 2" xfId="18528"/>
    <cellStyle name="40% - Accent6 2 3 2 6" xfId="11278"/>
    <cellStyle name="40% - Accent6 2 3 2 6 2" xfId="16750"/>
    <cellStyle name="40% - Accent6 2 3 2 7" xfId="14862"/>
    <cellStyle name="40% - Accent6 2 3 2 8" xfId="15912"/>
    <cellStyle name="40% - Accent6 2 3 3" xfId="4396"/>
    <cellStyle name="40% - Accent6 2 3 3 2" xfId="8832"/>
    <cellStyle name="40% - Accent6 2 3 3 2 2" xfId="10903"/>
    <cellStyle name="40% - Accent6 2 3 3 2 2 2" xfId="14483"/>
    <cellStyle name="40% - Accent6 2 3 3 2 2 2 2" xfId="19295"/>
    <cellStyle name="40% - Accent6 2 3 3 2 2 3" xfId="12786"/>
    <cellStyle name="40% - Accent6 2 3 3 2 2 4" xfId="18174"/>
    <cellStyle name="40% - Accent6 2 3 3 2 3" xfId="13622"/>
    <cellStyle name="40% - Accent6 2 3 3 2 3 2" xfId="19091"/>
    <cellStyle name="40% - Accent6 2 3 3 2 4" xfId="11925"/>
    <cellStyle name="40% - Accent6 2 3 3 2 4 2" xfId="17313"/>
    <cellStyle name="40% - Accent6 2 3 3 2 5" xfId="15429"/>
    <cellStyle name="40% - Accent6 2 3 3 2 6" xfId="16475"/>
    <cellStyle name="40% - Accent6 2 3 3 3" xfId="10427"/>
    <cellStyle name="40% - Accent6 2 3 3 3 2" xfId="14008"/>
    <cellStyle name="40% - Accent6 2 3 3 3 2 2" xfId="19296"/>
    <cellStyle name="40% - Accent6 2 3 3 3 3" xfId="12311"/>
    <cellStyle name="40% - Accent6 2 3 3 3 4" xfId="17699"/>
    <cellStyle name="40% - Accent6 2 3 3 4" xfId="13150"/>
    <cellStyle name="40% - Accent6 2 3 3 4 2" xfId="18619"/>
    <cellStyle name="40% - Accent6 2 3 3 5" xfId="11383"/>
    <cellStyle name="40% - Accent6 2 3 3 5 2" xfId="16841"/>
    <cellStyle name="40% - Accent6 2 3 3 6" xfId="14955"/>
    <cellStyle name="40% - Accent6 2 3 3 7" xfId="16003"/>
    <cellStyle name="40% - Accent6 2 3 4" xfId="7550"/>
    <cellStyle name="40% - Accent6 2 3 4 2" xfId="10768"/>
    <cellStyle name="40% - Accent6 2 3 4 2 2" xfId="14348"/>
    <cellStyle name="40% - Accent6 2 3 4 2 2 2" xfId="19297"/>
    <cellStyle name="40% - Accent6 2 3 4 2 3" xfId="12651"/>
    <cellStyle name="40% - Accent6 2 3 4 2 4" xfId="18039"/>
    <cellStyle name="40% - Accent6 2 3 4 3" xfId="13488"/>
    <cellStyle name="40% - Accent6 2 3 4 3 2" xfId="18957"/>
    <cellStyle name="40% - Accent6 2 3 4 4" xfId="11791"/>
    <cellStyle name="40% - Accent6 2 3 4 4 2" xfId="17179"/>
    <cellStyle name="40% - Accent6 2 3 4 5" xfId="15294"/>
    <cellStyle name="40% - Accent6 2 3 4 6" xfId="16341"/>
    <cellStyle name="40% - Accent6 2 3 5" xfId="10248"/>
    <cellStyle name="40% - Accent6 2 3 5 2" xfId="13830"/>
    <cellStyle name="40% - Accent6 2 3 5 2 2" xfId="19298"/>
    <cellStyle name="40% - Accent6 2 3 5 3" xfId="12133"/>
    <cellStyle name="40% - Accent6 2 3 5 4" xfId="17521"/>
    <cellStyle name="40% - Accent6 2 3 6" xfId="12974"/>
    <cellStyle name="40% - Accent6 2 3 6 2" xfId="18382"/>
    <cellStyle name="40% - Accent6 2 3 7" xfId="11179"/>
    <cellStyle name="40% - Accent6 2 3 7 2" xfId="16665"/>
    <cellStyle name="40% - Accent6 2 3 8" xfId="14775"/>
    <cellStyle name="40% - Accent6 2 3 9" xfId="15827"/>
    <cellStyle name="40% - Accent6 3" xfId="646"/>
    <cellStyle name="40% - Accent6 3 2" xfId="2061"/>
    <cellStyle name="60% - Accent1 2" xfId="81"/>
    <cellStyle name="60% - Accent1 2 2" xfId="647"/>
    <cellStyle name="60% - Accent1 2 3" xfId="1922"/>
    <cellStyle name="60% - Accent1 3" xfId="648"/>
    <cellStyle name="60% - Accent1 3 2" xfId="1622"/>
    <cellStyle name="60% - Accent1 3 3" xfId="1788"/>
    <cellStyle name="60% - Accent1 3 4" xfId="2062"/>
    <cellStyle name="60% - Accent2 2" xfId="82"/>
    <cellStyle name="60% - Accent2 2 2" xfId="649"/>
    <cellStyle name="60% - Accent2 2 3" xfId="1923"/>
    <cellStyle name="60% - Accent2 3" xfId="650"/>
    <cellStyle name="60% - Accent2 3 2" xfId="1623"/>
    <cellStyle name="60% - Accent2 3 3" xfId="1789"/>
    <cellStyle name="60% - Accent2 3 4" xfId="2063"/>
    <cellStyle name="60% - Accent3 2" xfId="83"/>
    <cellStyle name="60% - Accent3 2 2" xfId="651"/>
    <cellStyle name="60% - Accent3 2 3" xfId="1924"/>
    <cellStyle name="60% - Accent3 3" xfId="652"/>
    <cellStyle name="60% - Accent3 3 2" xfId="2064"/>
    <cellStyle name="60% - Accent4 2" xfId="84"/>
    <cellStyle name="60% - Accent4 2 2" xfId="653"/>
    <cellStyle name="60% - Accent4 2 3" xfId="1925"/>
    <cellStyle name="60% - Accent4 3" xfId="654"/>
    <cellStyle name="60% - Accent4 3 2" xfId="1625"/>
    <cellStyle name="60% - Accent4 3 3" xfId="1790"/>
    <cellStyle name="60% - Accent4 3 4" xfId="2065"/>
    <cellStyle name="60% - Accent5 2" xfId="85"/>
    <cellStyle name="60% - Accent5 2 2" xfId="655"/>
    <cellStyle name="60% - Accent5 2 3" xfId="1926"/>
    <cellStyle name="60% - Accent5 3" xfId="656"/>
    <cellStyle name="60% - Accent5 3 2" xfId="1626"/>
    <cellStyle name="60% - Accent5 3 3" xfId="1791"/>
    <cellStyle name="60% - Accent5 3 4" xfId="2066"/>
    <cellStyle name="60% - Accent6 2" xfId="86"/>
    <cellStyle name="60% - Accent6 2 2" xfId="657"/>
    <cellStyle name="60% - Accent6 2 3" xfId="1927"/>
    <cellStyle name="60% - Accent6 3" xfId="658"/>
    <cellStyle name="60% - Accent6 3 2" xfId="2067"/>
    <cellStyle name="Accent1 - 20%" xfId="87"/>
    <cellStyle name="Accent1 - 20% 2" xfId="659"/>
    <cellStyle name="Accent1 - 20% 3" xfId="1928"/>
    <cellStyle name="Accent1 - 20% 3 2" xfId="11024"/>
    <cellStyle name="Accent1 - 40%" xfId="88"/>
    <cellStyle name="Accent1 - 40% 2" xfId="660"/>
    <cellStyle name="Accent1 - 40% 3" xfId="1929"/>
    <cellStyle name="Accent1 - 40% 3 2" xfId="11025"/>
    <cellStyle name="Accent1 - 60%" xfId="89"/>
    <cellStyle name="Accent1 - 60% 2" xfId="661"/>
    <cellStyle name="Accent1 - 60% 3" xfId="1930"/>
    <cellStyle name="Accent1 - 60% 3 2" xfId="11026"/>
    <cellStyle name="Accent1 10" xfId="662"/>
    <cellStyle name="Accent1 10 2" xfId="1635"/>
    <cellStyle name="Accent1 10 3" xfId="1792"/>
    <cellStyle name="Accent1 11" xfId="663"/>
    <cellStyle name="Accent1 11 2" xfId="1662"/>
    <cellStyle name="Accent1 11 3" xfId="1793"/>
    <cellStyle name="Accent1 12" xfId="664"/>
    <cellStyle name="Accent1 12 2" xfId="1650"/>
    <cellStyle name="Accent1 12 3" xfId="1794"/>
    <cellStyle name="Accent1 13" xfId="665"/>
    <cellStyle name="Accent1 13 2" xfId="1648"/>
    <cellStyle name="Accent1 13 3" xfId="1795"/>
    <cellStyle name="Accent1 14" xfId="666"/>
    <cellStyle name="Accent1 14 2" xfId="1680"/>
    <cellStyle name="Accent1 14 3" xfId="1796"/>
    <cellStyle name="Accent1 15" xfId="667"/>
    <cellStyle name="Accent1 16" xfId="668"/>
    <cellStyle name="Accent1 17" xfId="669"/>
    <cellStyle name="Accent1 18" xfId="670"/>
    <cellStyle name="Accent1 19" xfId="671"/>
    <cellStyle name="Accent1 2" xfId="90"/>
    <cellStyle name="Accent1 2 2" xfId="672"/>
    <cellStyle name="Accent1 2 2 2" xfId="1932"/>
    <cellStyle name="Accent1 2 3" xfId="1931"/>
    <cellStyle name="Accent1 20" xfId="673"/>
    <cellStyle name="Accent1 21" xfId="674"/>
    <cellStyle name="Accent1 22" xfId="675"/>
    <cellStyle name="Accent1 23" xfId="676"/>
    <cellStyle name="Accent1 24" xfId="677"/>
    <cellStyle name="Accent1 25" xfId="678"/>
    <cellStyle name="Accent1 26" xfId="679"/>
    <cellStyle name="Accent1 27" xfId="680"/>
    <cellStyle name="Accent1 28" xfId="681"/>
    <cellStyle name="Accent1 29" xfId="682"/>
    <cellStyle name="Accent1 3" xfId="91"/>
    <cellStyle name="Accent1 3 2" xfId="683"/>
    <cellStyle name="Accent1 3 3" xfId="1933"/>
    <cellStyle name="Accent1 30" xfId="684"/>
    <cellStyle name="Accent1 31" xfId="685"/>
    <cellStyle name="Accent1 32" xfId="686"/>
    <cellStyle name="Accent1 33" xfId="687"/>
    <cellStyle name="Accent1 34" xfId="688"/>
    <cellStyle name="Accent1 35" xfId="689"/>
    <cellStyle name="Accent1 36" xfId="690"/>
    <cellStyle name="Accent1 37" xfId="691"/>
    <cellStyle name="Accent1 38" xfId="692"/>
    <cellStyle name="Accent1 39" xfId="693"/>
    <cellStyle name="Accent1 4" xfId="92"/>
    <cellStyle name="Accent1 4 2" xfId="694"/>
    <cellStyle name="Accent1 4 3" xfId="1934"/>
    <cellStyle name="Accent1 40" xfId="695"/>
    <cellStyle name="Accent1 41" xfId="696"/>
    <cellStyle name="Accent1 42" xfId="697"/>
    <cellStyle name="Accent1 43" xfId="698"/>
    <cellStyle name="Accent1 44" xfId="699"/>
    <cellStyle name="Accent1 45" xfId="700"/>
    <cellStyle name="Accent1 46" xfId="701"/>
    <cellStyle name="Accent1 5" xfId="93"/>
    <cellStyle name="Accent1 5 2" xfId="702"/>
    <cellStyle name="Accent1 5 3" xfId="1935"/>
    <cellStyle name="Accent1 6" xfId="703"/>
    <cellStyle name="Accent1 6 2" xfId="1628"/>
    <cellStyle name="Accent1 6 3" xfId="1797"/>
    <cellStyle name="Accent1 7" xfId="704"/>
    <cellStyle name="Accent1 7 2" xfId="1614"/>
    <cellStyle name="Accent1 7 3" xfId="1798"/>
    <cellStyle name="Accent1 8" xfId="705"/>
    <cellStyle name="Accent1 8 2" xfId="1615"/>
    <cellStyle name="Accent1 8 3" xfId="1799"/>
    <cellStyle name="Accent1 9" xfId="706"/>
    <cellStyle name="Accent1 9 2" xfId="1655"/>
    <cellStyle name="Accent1 9 3" xfId="1800"/>
    <cellStyle name="Accent2 - 20%" xfId="94"/>
    <cellStyle name="Accent2 - 20% 2" xfId="707"/>
    <cellStyle name="Accent2 - 20% 3" xfId="1936"/>
    <cellStyle name="Accent2 - 20% 3 2" xfId="11027"/>
    <cellStyle name="Accent2 - 40%" xfId="95"/>
    <cellStyle name="Accent2 - 40% 2" xfId="708"/>
    <cellStyle name="Accent2 - 40% 3" xfId="1937"/>
    <cellStyle name="Accent2 - 40% 3 2" xfId="11028"/>
    <cellStyle name="Accent2 - 60%" xfId="96"/>
    <cellStyle name="Accent2 - 60% 2" xfId="709"/>
    <cellStyle name="Accent2 - 60% 3" xfId="11029"/>
    <cellStyle name="Accent2 10" xfId="710"/>
    <cellStyle name="Accent2 10 2" xfId="1636"/>
    <cellStyle name="Accent2 10 3" xfId="1801"/>
    <cellStyle name="Accent2 11" xfId="711"/>
    <cellStyle name="Accent2 11 2" xfId="1663"/>
    <cellStyle name="Accent2 11 3" xfId="1802"/>
    <cellStyle name="Accent2 12" xfId="712"/>
    <cellStyle name="Accent2 12 2" xfId="1674"/>
    <cellStyle name="Accent2 12 3" xfId="1803"/>
    <cellStyle name="Accent2 13" xfId="713"/>
    <cellStyle name="Accent2 13 2" xfId="1646"/>
    <cellStyle name="Accent2 13 3" xfId="1804"/>
    <cellStyle name="Accent2 14" xfId="714"/>
    <cellStyle name="Accent2 14 2" xfId="1681"/>
    <cellStyle name="Accent2 14 3" xfId="1805"/>
    <cellStyle name="Accent2 15" xfId="715"/>
    <cellStyle name="Accent2 16" xfId="716"/>
    <cellStyle name="Accent2 17" xfId="717"/>
    <cellStyle name="Accent2 18" xfId="718"/>
    <cellStyle name="Accent2 19" xfId="719"/>
    <cellStyle name="Accent2 2" xfId="97"/>
    <cellStyle name="Accent2 2 2" xfId="720"/>
    <cellStyle name="Accent2 2 2 2" xfId="1939"/>
    <cellStyle name="Accent2 2 3" xfId="1938"/>
    <cellStyle name="Accent2 20" xfId="721"/>
    <cellStyle name="Accent2 21" xfId="722"/>
    <cellStyle name="Accent2 22" xfId="723"/>
    <cellStyle name="Accent2 23" xfId="724"/>
    <cellStyle name="Accent2 24" xfId="725"/>
    <cellStyle name="Accent2 25" xfId="726"/>
    <cellStyle name="Accent2 26" xfId="727"/>
    <cellStyle name="Accent2 27" xfId="728"/>
    <cellStyle name="Accent2 28" xfId="729"/>
    <cellStyle name="Accent2 29" xfId="730"/>
    <cellStyle name="Accent2 3" xfId="98"/>
    <cellStyle name="Accent2 3 2" xfId="731"/>
    <cellStyle name="Accent2 3 3" xfId="1940"/>
    <cellStyle name="Accent2 30" xfId="732"/>
    <cellStyle name="Accent2 31" xfId="733"/>
    <cellStyle name="Accent2 32" xfId="734"/>
    <cellStyle name="Accent2 33" xfId="735"/>
    <cellStyle name="Accent2 34" xfId="736"/>
    <cellStyle name="Accent2 35" xfId="737"/>
    <cellStyle name="Accent2 36" xfId="738"/>
    <cellStyle name="Accent2 37" xfId="739"/>
    <cellStyle name="Accent2 38" xfId="740"/>
    <cellStyle name="Accent2 39" xfId="741"/>
    <cellStyle name="Accent2 4" xfId="99"/>
    <cellStyle name="Accent2 4 2" xfId="742"/>
    <cellStyle name="Accent2 4 3" xfId="1941"/>
    <cellStyle name="Accent2 40" xfId="743"/>
    <cellStyle name="Accent2 41" xfId="744"/>
    <cellStyle name="Accent2 42" xfId="745"/>
    <cellStyle name="Accent2 43" xfId="746"/>
    <cellStyle name="Accent2 44" xfId="747"/>
    <cellStyle name="Accent2 45" xfId="748"/>
    <cellStyle name="Accent2 46" xfId="749"/>
    <cellStyle name="Accent2 5" xfId="100"/>
    <cellStyle name="Accent2 5 2" xfId="750"/>
    <cellStyle name="Accent2 5 3" xfId="1942"/>
    <cellStyle name="Accent2 6" xfId="751"/>
    <cellStyle name="Accent2 6 2" xfId="1629"/>
    <cellStyle name="Accent2 6 3" xfId="1806"/>
    <cellStyle name="Accent2 7" xfId="752"/>
    <cellStyle name="Accent2 7 2" xfId="1612"/>
    <cellStyle name="Accent2 7 3" xfId="1807"/>
    <cellStyle name="Accent2 8" xfId="753"/>
    <cellStyle name="Accent2 8 2" xfId="1618"/>
    <cellStyle name="Accent2 8 3" xfId="1808"/>
    <cellStyle name="Accent2 9" xfId="754"/>
    <cellStyle name="Accent2 9 2" xfId="1656"/>
    <cellStyle name="Accent2 9 3" xfId="1809"/>
    <cellStyle name="Accent3 - 20%" xfId="101"/>
    <cellStyle name="Accent3 - 20% 2" xfId="755"/>
    <cellStyle name="Accent3 - 20% 3" xfId="1943"/>
    <cellStyle name="Accent3 - 20% 3 2" xfId="11030"/>
    <cellStyle name="Accent3 - 40%" xfId="102"/>
    <cellStyle name="Accent3 - 40% 2" xfId="756"/>
    <cellStyle name="Accent3 - 40% 3" xfId="1944"/>
    <cellStyle name="Accent3 - 40% 3 2" xfId="11031"/>
    <cellStyle name="Accent3 - 60%" xfId="103"/>
    <cellStyle name="Accent3 - 60% 2" xfId="757"/>
    <cellStyle name="Accent3 - 60% 3" xfId="11032"/>
    <cellStyle name="Accent3 10" xfId="758"/>
    <cellStyle name="Accent3 10 2" xfId="1638"/>
    <cellStyle name="Accent3 10 3" xfId="1810"/>
    <cellStyle name="Accent3 11" xfId="759"/>
    <cellStyle name="Accent3 11 2" xfId="1664"/>
    <cellStyle name="Accent3 11 3" xfId="1811"/>
    <cellStyle name="Accent3 12" xfId="760"/>
    <cellStyle name="Accent3 12 2" xfId="1675"/>
    <cellStyle name="Accent3 12 3" xfId="1812"/>
    <cellStyle name="Accent3 13" xfId="761"/>
    <cellStyle name="Accent3 13 2" xfId="1645"/>
    <cellStyle name="Accent3 13 3" xfId="1813"/>
    <cellStyle name="Accent3 14" xfId="762"/>
    <cellStyle name="Accent3 14 2" xfId="1686"/>
    <cellStyle name="Accent3 14 3" xfId="1814"/>
    <cellStyle name="Accent3 15" xfId="763"/>
    <cellStyle name="Accent3 16" xfId="764"/>
    <cellStyle name="Accent3 17" xfId="765"/>
    <cellStyle name="Accent3 18" xfId="766"/>
    <cellStyle name="Accent3 19" xfId="767"/>
    <cellStyle name="Accent3 2" xfId="104"/>
    <cellStyle name="Accent3 2 2" xfId="768"/>
    <cellStyle name="Accent3 2 2 2" xfId="1946"/>
    <cellStyle name="Accent3 2 3" xfId="1945"/>
    <cellStyle name="Accent3 20" xfId="769"/>
    <cellStyle name="Accent3 21" xfId="770"/>
    <cellStyle name="Accent3 22" xfId="771"/>
    <cellStyle name="Accent3 23" xfId="772"/>
    <cellStyle name="Accent3 24" xfId="773"/>
    <cellStyle name="Accent3 25" xfId="774"/>
    <cellStyle name="Accent3 26" xfId="775"/>
    <cellStyle name="Accent3 27" xfId="776"/>
    <cellStyle name="Accent3 28" xfId="777"/>
    <cellStyle name="Accent3 29" xfId="778"/>
    <cellStyle name="Accent3 3" xfId="105"/>
    <cellStyle name="Accent3 3 2" xfId="779"/>
    <cellStyle name="Accent3 3 3" xfId="1947"/>
    <cellStyle name="Accent3 30" xfId="780"/>
    <cellStyle name="Accent3 31" xfId="781"/>
    <cellStyle name="Accent3 32" xfId="782"/>
    <cellStyle name="Accent3 33" xfId="783"/>
    <cellStyle name="Accent3 34" xfId="784"/>
    <cellStyle name="Accent3 35" xfId="785"/>
    <cellStyle name="Accent3 36" xfId="786"/>
    <cellStyle name="Accent3 37" xfId="787"/>
    <cellStyle name="Accent3 38" xfId="788"/>
    <cellStyle name="Accent3 39" xfId="789"/>
    <cellStyle name="Accent3 4" xfId="106"/>
    <cellStyle name="Accent3 4 2" xfId="790"/>
    <cellStyle name="Accent3 4 3" xfId="1948"/>
    <cellStyle name="Accent3 40" xfId="791"/>
    <cellStyle name="Accent3 41" xfId="792"/>
    <cellStyle name="Accent3 42" xfId="793"/>
    <cellStyle name="Accent3 43" xfId="794"/>
    <cellStyle name="Accent3 44" xfId="795"/>
    <cellStyle name="Accent3 45" xfId="796"/>
    <cellStyle name="Accent3 46" xfId="797"/>
    <cellStyle name="Accent3 5" xfId="107"/>
    <cellStyle name="Accent3 5 2" xfId="798"/>
    <cellStyle name="Accent3 5 3" xfId="1949"/>
    <cellStyle name="Accent3 6" xfId="799"/>
    <cellStyle name="Accent3 6 2" xfId="1630"/>
    <cellStyle name="Accent3 6 3" xfId="1815"/>
    <cellStyle name="Accent3 7" xfId="800"/>
    <cellStyle name="Accent3 7 2" xfId="1611"/>
    <cellStyle name="Accent3 7 3" xfId="1816"/>
    <cellStyle name="Accent3 8" xfId="801"/>
    <cellStyle name="Accent3 8 2" xfId="1621"/>
    <cellStyle name="Accent3 8 3" xfId="1817"/>
    <cellStyle name="Accent3 8 4" xfId="2068"/>
    <cellStyle name="Accent3 9" xfId="802"/>
    <cellStyle name="Accent3 9 2" xfId="1657"/>
    <cellStyle name="Accent3 9 3" xfId="1818"/>
    <cellStyle name="Accent3 9 4" xfId="2087"/>
    <cellStyle name="Accent4 - 20%" xfId="108"/>
    <cellStyle name="Accent4 - 20% 2" xfId="803"/>
    <cellStyle name="Accent4 - 20% 3" xfId="1950"/>
    <cellStyle name="Accent4 - 40%" xfId="109"/>
    <cellStyle name="Accent4 - 40% 2" xfId="804"/>
    <cellStyle name="Accent4 - 40% 3" xfId="11033"/>
    <cellStyle name="Accent4 - 60%" xfId="110"/>
    <cellStyle name="Accent4 - 60% 2" xfId="805"/>
    <cellStyle name="Accent4 - 60% 3" xfId="11034"/>
    <cellStyle name="Accent4 10" xfId="806"/>
    <cellStyle name="Accent4 10 2" xfId="1640"/>
    <cellStyle name="Accent4 10 3" xfId="1819"/>
    <cellStyle name="Accent4 11" xfId="807"/>
    <cellStyle name="Accent4 11 2" xfId="1666"/>
    <cellStyle name="Accent4 11 3" xfId="1820"/>
    <cellStyle name="Accent4 12" xfId="808"/>
    <cellStyle name="Accent4 12 2" xfId="1676"/>
    <cellStyle name="Accent4 12 3" xfId="1821"/>
    <cellStyle name="Accent4 13" xfId="809"/>
    <cellStyle name="Accent4 13 2" xfId="1669"/>
    <cellStyle name="Accent4 13 3" xfId="1822"/>
    <cellStyle name="Accent4 14" xfId="810"/>
    <cellStyle name="Accent4 14 2" xfId="1688"/>
    <cellStyle name="Accent4 14 3" xfId="1823"/>
    <cellStyle name="Accent4 15" xfId="811"/>
    <cellStyle name="Accent4 16" xfId="812"/>
    <cellStyle name="Accent4 17" xfId="813"/>
    <cellStyle name="Accent4 18" xfId="814"/>
    <cellStyle name="Accent4 19" xfId="815"/>
    <cellStyle name="Accent4 2" xfId="111"/>
    <cellStyle name="Accent4 2 2" xfId="816"/>
    <cellStyle name="Accent4 2 2 2" xfId="1952"/>
    <cellStyle name="Accent4 2 3" xfId="1951"/>
    <cellStyle name="Accent4 20" xfId="817"/>
    <cellStyle name="Accent4 21" xfId="818"/>
    <cellStyle name="Accent4 22" xfId="819"/>
    <cellStyle name="Accent4 23" xfId="820"/>
    <cellStyle name="Accent4 24" xfId="821"/>
    <cellStyle name="Accent4 25" xfId="822"/>
    <cellStyle name="Accent4 26" xfId="823"/>
    <cellStyle name="Accent4 27" xfId="824"/>
    <cellStyle name="Accent4 28" xfId="825"/>
    <cellStyle name="Accent4 29" xfId="826"/>
    <cellStyle name="Accent4 3" xfId="112"/>
    <cellStyle name="Accent4 3 2" xfId="827"/>
    <cellStyle name="Accent4 3 3" xfId="1953"/>
    <cellStyle name="Accent4 30" xfId="828"/>
    <cellStyle name="Accent4 31" xfId="829"/>
    <cellStyle name="Accent4 32" xfId="830"/>
    <cellStyle name="Accent4 33" xfId="831"/>
    <cellStyle name="Accent4 34" xfId="832"/>
    <cellStyle name="Accent4 35" xfId="833"/>
    <cellStyle name="Accent4 36" xfId="834"/>
    <cellStyle name="Accent4 37" xfId="835"/>
    <cellStyle name="Accent4 38" xfId="836"/>
    <cellStyle name="Accent4 39" xfId="837"/>
    <cellStyle name="Accent4 4" xfId="113"/>
    <cellStyle name="Accent4 4 2" xfId="838"/>
    <cellStyle name="Accent4 4 3" xfId="1954"/>
    <cellStyle name="Accent4 40" xfId="839"/>
    <cellStyle name="Accent4 41" xfId="840"/>
    <cellStyle name="Accent4 42" xfId="841"/>
    <cellStyle name="Accent4 43" xfId="842"/>
    <cellStyle name="Accent4 44" xfId="843"/>
    <cellStyle name="Accent4 45" xfId="844"/>
    <cellStyle name="Accent4 46" xfId="845"/>
    <cellStyle name="Accent4 5" xfId="114"/>
    <cellStyle name="Accent4 5 2" xfId="846"/>
    <cellStyle name="Accent4 5 3" xfId="1955"/>
    <cellStyle name="Accent4 6" xfId="847"/>
    <cellStyle name="Accent4 6 2" xfId="1631"/>
    <cellStyle name="Accent4 6 3" xfId="1824"/>
    <cellStyle name="Accent4 7" xfId="848"/>
    <cellStyle name="Accent4 7 2" xfId="1652"/>
    <cellStyle name="Accent4 7 3" xfId="1825"/>
    <cellStyle name="Accent4 8" xfId="849"/>
    <cellStyle name="Accent4 8 2" xfId="1624"/>
    <cellStyle name="Accent4 8 3" xfId="1826"/>
    <cellStyle name="Accent4 8 4" xfId="2069"/>
    <cellStyle name="Accent4 9" xfId="850"/>
    <cellStyle name="Accent4 9 2" xfId="1659"/>
    <cellStyle name="Accent4 9 3" xfId="1827"/>
    <cellStyle name="Accent4 9 4" xfId="2085"/>
    <cellStyle name="Accent5 - 20%" xfId="115"/>
    <cellStyle name="Accent5 - 20% 2" xfId="851"/>
    <cellStyle name="Accent5 - 20% 3" xfId="1956"/>
    <cellStyle name="Accent5 - 20% 3 2" xfId="11035"/>
    <cellStyle name="Accent5 - 40%" xfId="116"/>
    <cellStyle name="Accent5 - 40% 2" xfId="852"/>
    <cellStyle name="Accent5 - 40% 3" xfId="11036"/>
    <cellStyle name="Accent5 - 60%" xfId="117"/>
    <cellStyle name="Accent5 - 60% 2" xfId="853"/>
    <cellStyle name="Accent5 - 60% 3" xfId="1957"/>
    <cellStyle name="Accent5 - 60% 3 2" xfId="11037"/>
    <cellStyle name="Accent5 10" xfId="854"/>
    <cellStyle name="Accent5 10 2" xfId="1643"/>
    <cellStyle name="Accent5 10 3" xfId="1828"/>
    <cellStyle name="Accent5 11" xfId="855"/>
    <cellStyle name="Accent5 11 2" xfId="1667"/>
    <cellStyle name="Accent5 11 3" xfId="1829"/>
    <cellStyle name="Accent5 12" xfId="856"/>
    <cellStyle name="Accent5 12 2" xfId="1677"/>
    <cellStyle name="Accent5 12 3" xfId="1830"/>
    <cellStyle name="Accent5 13" xfId="857"/>
    <cellStyle name="Accent5 13 2" xfId="1670"/>
    <cellStyle name="Accent5 13 3" xfId="1831"/>
    <cellStyle name="Accent5 14" xfId="858"/>
    <cellStyle name="Accent5 14 2" xfId="1689"/>
    <cellStyle name="Accent5 14 3" xfId="1832"/>
    <cellStyle name="Accent5 15" xfId="859"/>
    <cellStyle name="Accent5 16" xfId="860"/>
    <cellStyle name="Accent5 17" xfId="861"/>
    <cellStyle name="Accent5 18" xfId="862"/>
    <cellStyle name="Accent5 19" xfId="863"/>
    <cellStyle name="Accent5 2" xfId="118"/>
    <cellStyle name="Accent5 2 2" xfId="864"/>
    <cellStyle name="Accent5 2 2 2" xfId="1959"/>
    <cellStyle name="Accent5 2 3" xfId="1958"/>
    <cellStyle name="Accent5 20" xfId="865"/>
    <cellStyle name="Accent5 21" xfId="866"/>
    <cellStyle name="Accent5 22" xfId="867"/>
    <cellStyle name="Accent5 23" xfId="868"/>
    <cellStyle name="Accent5 24" xfId="869"/>
    <cellStyle name="Accent5 25" xfId="870"/>
    <cellStyle name="Accent5 26" xfId="871"/>
    <cellStyle name="Accent5 27" xfId="872"/>
    <cellStyle name="Accent5 28" xfId="873"/>
    <cellStyle name="Accent5 29" xfId="874"/>
    <cellStyle name="Accent5 3" xfId="119"/>
    <cellStyle name="Accent5 3 2" xfId="875"/>
    <cellStyle name="Accent5 3 3" xfId="1960"/>
    <cellStyle name="Accent5 30" xfId="876"/>
    <cellStyle name="Accent5 31" xfId="877"/>
    <cellStyle name="Accent5 32" xfId="878"/>
    <cellStyle name="Accent5 33" xfId="879"/>
    <cellStyle name="Accent5 34" xfId="880"/>
    <cellStyle name="Accent5 35" xfId="881"/>
    <cellStyle name="Accent5 36" xfId="882"/>
    <cellStyle name="Accent5 37" xfId="883"/>
    <cellStyle name="Accent5 38" xfId="884"/>
    <cellStyle name="Accent5 39" xfId="885"/>
    <cellStyle name="Accent5 4" xfId="120"/>
    <cellStyle name="Accent5 4 2" xfId="886"/>
    <cellStyle name="Accent5 4 3" xfId="1961"/>
    <cellStyle name="Accent5 40" xfId="887"/>
    <cellStyle name="Accent5 41" xfId="888"/>
    <cellStyle name="Accent5 42" xfId="889"/>
    <cellStyle name="Accent5 43" xfId="890"/>
    <cellStyle name="Accent5 44" xfId="891"/>
    <cellStyle name="Accent5 45" xfId="892"/>
    <cellStyle name="Accent5 46" xfId="893"/>
    <cellStyle name="Accent5 5" xfId="121"/>
    <cellStyle name="Accent5 5 2" xfId="894"/>
    <cellStyle name="Accent5 5 3" xfId="1962"/>
    <cellStyle name="Accent5 6" xfId="895"/>
    <cellStyle name="Accent5 6 2" xfId="1632"/>
    <cellStyle name="Accent5 6 3" xfId="1833"/>
    <cellStyle name="Accent5 7" xfId="896"/>
    <cellStyle name="Accent5 7 2" xfId="1653"/>
    <cellStyle name="Accent5 7 3" xfId="1834"/>
    <cellStyle name="Accent5 8" xfId="897"/>
    <cellStyle name="Accent5 8 2" xfId="1627"/>
    <cellStyle name="Accent5 8 3" xfId="1835"/>
    <cellStyle name="Accent5 8 4" xfId="2070"/>
    <cellStyle name="Accent5 9" xfId="898"/>
    <cellStyle name="Accent5 9 2" xfId="1660"/>
    <cellStyle name="Accent5 9 3" xfId="1836"/>
    <cellStyle name="Accent5 9 4" xfId="2084"/>
    <cellStyle name="Accent6 - 20%" xfId="122"/>
    <cellStyle name="Accent6 - 20% 2" xfId="899"/>
    <cellStyle name="Accent6 - 40%" xfId="123"/>
    <cellStyle name="Accent6 - 40% 2" xfId="900"/>
    <cellStyle name="Accent6 - 40% 3" xfId="1963"/>
    <cellStyle name="Accent6 - 60%" xfId="124"/>
    <cellStyle name="Accent6 - 60% 2" xfId="901"/>
    <cellStyle name="Accent6 - 60% 3" xfId="11038"/>
    <cellStyle name="Accent6 10" xfId="902"/>
    <cellStyle name="Accent6 10 2" xfId="1644"/>
    <cellStyle name="Accent6 10 3" xfId="1837"/>
    <cellStyle name="Accent6 11" xfId="903"/>
    <cellStyle name="Accent6 11 2" xfId="1668"/>
    <cellStyle name="Accent6 11 3" xfId="1838"/>
    <cellStyle name="Accent6 12" xfId="904"/>
    <cellStyle name="Accent6 12 2" xfId="1678"/>
    <cellStyle name="Accent6 12 3" xfId="1839"/>
    <cellStyle name="Accent6 13" xfId="905"/>
    <cellStyle name="Accent6 13 2" xfId="1671"/>
    <cellStyle name="Accent6 13 3" xfId="1840"/>
    <cellStyle name="Accent6 14" xfId="906"/>
    <cellStyle name="Accent6 14 2" xfId="1690"/>
    <cellStyle name="Accent6 14 3" xfId="1841"/>
    <cellStyle name="Accent6 15" xfId="907"/>
    <cellStyle name="Accent6 16" xfId="908"/>
    <cellStyle name="Accent6 17" xfId="909"/>
    <cellStyle name="Accent6 18" xfId="910"/>
    <cellStyle name="Accent6 19" xfId="911"/>
    <cellStyle name="Accent6 2" xfId="125"/>
    <cellStyle name="Accent6 2 2" xfId="912"/>
    <cellStyle name="Accent6 2 2 2" xfId="1965"/>
    <cellStyle name="Accent6 2 3" xfId="1964"/>
    <cellStyle name="Accent6 20" xfId="913"/>
    <cellStyle name="Accent6 21" xfId="914"/>
    <cellStyle name="Accent6 22" xfId="915"/>
    <cellStyle name="Accent6 23" xfId="916"/>
    <cellStyle name="Accent6 24" xfId="917"/>
    <cellStyle name="Accent6 25" xfId="918"/>
    <cellStyle name="Accent6 26" xfId="919"/>
    <cellStyle name="Accent6 27" xfId="920"/>
    <cellStyle name="Accent6 28" xfId="921"/>
    <cellStyle name="Accent6 29" xfId="922"/>
    <cellStyle name="Accent6 3" xfId="126"/>
    <cellStyle name="Accent6 3 2" xfId="923"/>
    <cellStyle name="Accent6 3 3" xfId="1966"/>
    <cellStyle name="Accent6 30" xfId="924"/>
    <cellStyle name="Accent6 31" xfId="925"/>
    <cellStyle name="Accent6 32" xfId="926"/>
    <cellStyle name="Accent6 33" xfId="927"/>
    <cellStyle name="Accent6 34" xfId="928"/>
    <cellStyle name="Accent6 35" xfId="929"/>
    <cellStyle name="Accent6 36" xfId="930"/>
    <cellStyle name="Accent6 37" xfId="931"/>
    <cellStyle name="Accent6 38" xfId="932"/>
    <cellStyle name="Accent6 39" xfId="933"/>
    <cellStyle name="Accent6 4" xfId="127"/>
    <cellStyle name="Accent6 4 2" xfId="934"/>
    <cellStyle name="Accent6 4 3" xfId="1967"/>
    <cellStyle name="Accent6 40" xfId="935"/>
    <cellStyle name="Accent6 41" xfId="936"/>
    <cellStyle name="Accent6 42" xfId="937"/>
    <cellStyle name="Accent6 43" xfId="938"/>
    <cellStyle name="Accent6 44" xfId="939"/>
    <cellStyle name="Accent6 45" xfId="940"/>
    <cellStyle name="Accent6 46" xfId="941"/>
    <cellStyle name="Accent6 5" xfId="128"/>
    <cellStyle name="Accent6 5 2" xfId="942"/>
    <cellStyle name="Accent6 5 3" xfId="1968"/>
    <cellStyle name="Accent6 6" xfId="943"/>
    <cellStyle name="Accent6 6 2" xfId="1633"/>
    <cellStyle name="Accent6 6 3" xfId="1842"/>
    <cellStyle name="Accent6 7" xfId="944"/>
    <cellStyle name="Accent6 7 2" xfId="1654"/>
    <cellStyle name="Accent6 7 3" xfId="1843"/>
    <cellStyle name="Accent6 8" xfId="945"/>
    <cellStyle name="Accent6 8 2" xfId="1634"/>
    <cellStyle name="Accent6 8 3" xfId="1844"/>
    <cellStyle name="Accent6 8 4" xfId="2071"/>
    <cellStyle name="Accent6 9" xfId="946"/>
    <cellStyle name="Accent6 9 2" xfId="1661"/>
    <cellStyle name="Accent6 9 3" xfId="1845"/>
    <cellStyle name="Accent6 9 4" xfId="2086"/>
    <cellStyle name="Agara" xfId="129"/>
    <cellStyle name="Assumptions Center Currency" xfId="947"/>
    <cellStyle name="Assumptions Center Currency 10" xfId="3075"/>
    <cellStyle name="Assumptions Center Currency 10 2" xfId="3761"/>
    <cellStyle name="Assumptions Center Currency 10 2 2" xfId="7462"/>
    <cellStyle name="Assumptions Center Currency 10 3" xfId="5973"/>
    <cellStyle name="Assumptions Center Currency 10 3 2" xfId="9867"/>
    <cellStyle name="Assumptions Center Currency 10 4" xfId="9315"/>
    <cellStyle name="Assumptions Center Currency 11" xfId="3383"/>
    <cellStyle name="Assumptions Center Currency 11 2" xfId="4957"/>
    <cellStyle name="Assumptions Center Currency 11 2 2" xfId="7750"/>
    <cellStyle name="Assumptions Center Currency 11 3" xfId="7068"/>
    <cellStyle name="Assumptions Center Currency 12" xfId="4023"/>
    <cellStyle name="Assumptions Center Currency 12 2" xfId="8330"/>
    <cellStyle name="Assumptions Center Currency 13" xfId="9458"/>
    <cellStyle name="Assumptions Center Currency 2" xfId="948"/>
    <cellStyle name="Assumptions Center Currency 2 10" xfId="3384"/>
    <cellStyle name="Assumptions Center Currency 2 10 2" xfId="4958"/>
    <cellStyle name="Assumptions Center Currency 2 10 2 2" xfId="9550"/>
    <cellStyle name="Assumptions Center Currency 2 10 3" xfId="9603"/>
    <cellStyle name="Assumptions Center Currency 2 11" xfId="4022"/>
    <cellStyle name="Assumptions Center Currency 2 11 2" xfId="9644"/>
    <cellStyle name="Assumptions Center Currency 2 12" xfId="8998"/>
    <cellStyle name="Assumptions Center Currency 2 2" xfId="1709"/>
    <cellStyle name="Assumptions Center Currency 2 2 10" xfId="3452"/>
    <cellStyle name="Assumptions Center Currency 2 2 10 2" xfId="5022"/>
    <cellStyle name="Assumptions Center Currency 2 2 10 2 2" xfId="6860"/>
    <cellStyle name="Assumptions Center Currency 2 2 10 3" xfId="8327"/>
    <cellStyle name="Assumptions Center Currency 2 2 11" xfId="3647"/>
    <cellStyle name="Assumptions Center Currency 2 2 11 2" xfId="9519"/>
    <cellStyle name="Assumptions Center Currency 2 2 12" xfId="8291"/>
    <cellStyle name="Assumptions Center Currency 2 2 2" xfId="1758"/>
    <cellStyle name="Assumptions Center Currency 2 2 2 10" xfId="8293"/>
    <cellStyle name="Assumptions Center Currency 2 2 2 2" xfId="2473"/>
    <cellStyle name="Assumptions Center Currency 2 2 2 2 2" xfId="2596"/>
    <cellStyle name="Assumptions Center Currency 2 2 2 2 2 2" xfId="4461"/>
    <cellStyle name="Assumptions Center Currency 2 2 2 2 2 2 2" xfId="7384"/>
    <cellStyle name="Assumptions Center Currency 2 2 2 2 2 3" xfId="6506"/>
    <cellStyle name="Assumptions Center Currency 2 2 2 2 3" xfId="4738"/>
    <cellStyle name="Assumptions Center Currency 2 2 2 2 3 2" xfId="7595"/>
    <cellStyle name="Assumptions Center Currency 2 2 2 2 4" xfId="7300"/>
    <cellStyle name="Assumptions Center Currency 2 2 2 3" xfId="2341"/>
    <cellStyle name="Assumptions Center Currency 2 2 2 3 2" xfId="2931"/>
    <cellStyle name="Assumptions Center Currency 2 2 2 3 2 2" xfId="3847"/>
    <cellStyle name="Assumptions Center Currency 2 2 2 3 2 2 2" xfId="9084"/>
    <cellStyle name="Assumptions Center Currency 2 2 2 3 2 3" xfId="8149"/>
    <cellStyle name="Assumptions Center Currency 2 2 2 3 3" xfId="4183"/>
    <cellStyle name="Assumptions Center Currency 2 2 2 3 3 2" xfId="7624"/>
    <cellStyle name="Assumptions Center Currency 2 2 2 3 4" xfId="5672"/>
    <cellStyle name="Assumptions Center Currency 2 2 2 3 4 2" xfId="7457"/>
    <cellStyle name="Assumptions Center Currency 2 2 2 3 5" xfId="8318"/>
    <cellStyle name="Assumptions Center Currency 2 2 2 4" xfId="2105"/>
    <cellStyle name="Assumptions Center Currency 2 2 2 4 2" xfId="4473"/>
    <cellStyle name="Assumptions Center Currency 2 2 2 4 2 2" xfId="9301"/>
    <cellStyle name="Assumptions Center Currency 2 2 2 4 3" xfId="5577"/>
    <cellStyle name="Assumptions Center Currency 2 2 2 4 3 2" xfId="6523"/>
    <cellStyle name="Assumptions Center Currency 2 2 2 4 4" xfId="8019"/>
    <cellStyle name="Assumptions Center Currency 2 2 2 5" xfId="2808"/>
    <cellStyle name="Assumptions Center Currency 2 2 2 5 2" xfId="4230"/>
    <cellStyle name="Assumptions Center Currency 2 2 2 5 2 2" xfId="9380"/>
    <cellStyle name="Assumptions Center Currency 2 2 2 5 3" xfId="5742"/>
    <cellStyle name="Assumptions Center Currency 2 2 2 5 3 2" xfId="7194"/>
    <cellStyle name="Assumptions Center Currency 2 2 2 5 4" xfId="6454"/>
    <cellStyle name="Assumptions Center Currency 2 2 2 6" xfId="3195"/>
    <cellStyle name="Assumptions Center Currency 2 2 2 6 2" xfId="4260"/>
    <cellStyle name="Assumptions Center Currency 2 2 2 6 2 2" xfId="8739"/>
    <cellStyle name="Assumptions Center Currency 2 2 2 6 3" xfId="6084"/>
    <cellStyle name="Assumptions Center Currency 2 2 2 6 3 2" xfId="9978"/>
    <cellStyle name="Assumptions Center Currency 2 2 2 6 4" xfId="9275"/>
    <cellStyle name="Assumptions Center Currency 2 2 2 7" xfId="3360"/>
    <cellStyle name="Assumptions Center Currency 2 2 2 7 2" xfId="4950"/>
    <cellStyle name="Assumptions Center Currency 2 2 2 7 2 2" xfId="8146"/>
    <cellStyle name="Assumptions Center Currency 2 2 2 7 3" xfId="6226"/>
    <cellStyle name="Assumptions Center Currency 2 2 2 7 3 2" xfId="10120"/>
    <cellStyle name="Assumptions Center Currency 2 2 2 7 4" xfId="9654"/>
    <cellStyle name="Assumptions Center Currency 2 2 2 8" xfId="3487"/>
    <cellStyle name="Assumptions Center Currency 2 2 2 8 2" xfId="5057"/>
    <cellStyle name="Assumptions Center Currency 2 2 2 8 2 2" xfId="8435"/>
    <cellStyle name="Assumptions Center Currency 2 2 2 8 3" xfId="8594"/>
    <cellStyle name="Assumptions Center Currency 2 2 2 9" xfId="4241"/>
    <cellStyle name="Assumptions Center Currency 2 2 2 9 2" xfId="7950"/>
    <cellStyle name="Assumptions Center Currency 2 2 3" xfId="2323"/>
    <cellStyle name="Assumptions Center Currency 2 2 3 2" xfId="2670"/>
    <cellStyle name="Assumptions Center Currency 2 2 3 2 2" xfId="4099"/>
    <cellStyle name="Assumptions Center Currency 2 2 3 2 2 2" xfId="9162"/>
    <cellStyle name="Assumptions Center Currency 2 2 3 2 3" xfId="8048"/>
    <cellStyle name="Assumptions Center Currency 2 2 3 3" xfId="4494"/>
    <cellStyle name="Assumptions Center Currency 2 2 3 3 2" xfId="8879"/>
    <cellStyle name="Assumptions Center Currency 2 2 3 4" xfId="5100"/>
    <cellStyle name="Assumptions Center Currency 2 2 3 4 2" xfId="9471"/>
    <cellStyle name="Assumptions Center Currency 2 2 3 5" xfId="5500"/>
    <cellStyle name="Assumptions Center Currency 2 2 3 5 2" xfId="6444"/>
    <cellStyle name="Assumptions Center Currency 2 2 3 6" xfId="8066"/>
    <cellStyle name="Assumptions Center Currency 2 2 4" xfId="2308"/>
    <cellStyle name="Assumptions Center Currency 2 2 4 2" xfId="4460"/>
    <cellStyle name="Assumptions Center Currency 2 2 4 2 2" xfId="9649"/>
    <cellStyle name="Assumptions Center Currency 2 2 4 3" xfId="5528"/>
    <cellStyle name="Assumptions Center Currency 2 2 4 3 2" xfId="6716"/>
    <cellStyle name="Assumptions Center Currency 2 2 4 4" xfId="6855"/>
    <cellStyle name="Assumptions Center Currency 2 2 5" xfId="3214"/>
    <cellStyle name="Assumptions Center Currency 2 2 5 2" xfId="3697"/>
    <cellStyle name="Assumptions Center Currency 2 2 5 2 2" xfId="6624"/>
    <cellStyle name="Assumptions Center Currency 2 2 5 3" xfId="6102"/>
    <cellStyle name="Assumptions Center Currency 2 2 5 3 2" xfId="9996"/>
    <cellStyle name="Assumptions Center Currency 2 2 5 4" xfId="8040"/>
    <cellStyle name="Assumptions Center Currency 2 2 6" xfId="2925"/>
    <cellStyle name="Assumptions Center Currency 2 2 6 2" xfId="4266"/>
    <cellStyle name="Assumptions Center Currency 2 2 6 2 2" xfId="9684"/>
    <cellStyle name="Assumptions Center Currency 2 2 6 3" xfId="5854"/>
    <cellStyle name="Assumptions Center Currency 2 2 6 3 2" xfId="7349"/>
    <cellStyle name="Assumptions Center Currency 2 2 6 4" xfId="8054"/>
    <cellStyle name="Assumptions Center Currency 2 2 7" xfId="2795"/>
    <cellStyle name="Assumptions Center Currency 2 2 7 2" xfId="4232"/>
    <cellStyle name="Assumptions Center Currency 2 2 7 2 2" xfId="8847"/>
    <cellStyle name="Assumptions Center Currency 2 2 7 3" xfId="5729"/>
    <cellStyle name="Assumptions Center Currency 2 2 7 3 2" xfId="6819"/>
    <cellStyle name="Assumptions Center Currency 2 2 7 4" xfId="7629"/>
    <cellStyle name="Assumptions Center Currency 2 2 8" xfId="2826"/>
    <cellStyle name="Assumptions Center Currency 2 2 8 2" xfId="4164"/>
    <cellStyle name="Assumptions Center Currency 2 2 8 2 2" xfId="8759"/>
    <cellStyle name="Assumptions Center Currency 2 2 8 3" xfId="5759"/>
    <cellStyle name="Assumptions Center Currency 2 2 8 3 2" xfId="6763"/>
    <cellStyle name="Assumptions Center Currency 2 2 8 4" xfId="8580"/>
    <cellStyle name="Assumptions Center Currency 2 2 9" xfId="3356"/>
    <cellStyle name="Assumptions Center Currency 2 2 9 2" xfId="4946"/>
    <cellStyle name="Assumptions Center Currency 2 2 9 2 2" xfId="8999"/>
    <cellStyle name="Assumptions Center Currency 2 2 9 3" xfId="6222"/>
    <cellStyle name="Assumptions Center Currency 2 2 9 3 2" xfId="10116"/>
    <cellStyle name="Assumptions Center Currency 2 2 9 4" xfId="7792"/>
    <cellStyle name="Assumptions Center Currency 2 3" xfId="2249"/>
    <cellStyle name="Assumptions Center Currency 2 3 2" xfId="2640"/>
    <cellStyle name="Assumptions Center Currency 2 3 2 2" xfId="4112"/>
    <cellStyle name="Assumptions Center Currency 2 3 2 2 2" xfId="7928"/>
    <cellStyle name="Assumptions Center Currency 2 3 2 3" xfId="8096"/>
    <cellStyle name="Assumptions Center Currency 2 3 3" xfId="4301"/>
    <cellStyle name="Assumptions Center Currency 2 3 3 2" xfId="9615"/>
    <cellStyle name="Assumptions Center Currency 2 3 4" xfId="5152"/>
    <cellStyle name="Assumptions Center Currency 2 3 4 2" xfId="8507"/>
    <cellStyle name="Assumptions Center Currency 2 3 5" xfId="5471"/>
    <cellStyle name="Assumptions Center Currency 2 3 5 2" xfId="6901"/>
    <cellStyle name="Assumptions Center Currency 2 3 6" xfId="9294"/>
    <cellStyle name="Assumptions Center Currency 2 4" xfId="2269"/>
    <cellStyle name="Assumptions Center Currency 2 4 2" xfId="4872"/>
    <cellStyle name="Assumptions Center Currency 2 4 2 2" xfId="9634"/>
    <cellStyle name="Assumptions Center Currency 2 4 3" xfId="5460"/>
    <cellStyle name="Assumptions Center Currency 2 4 3 2" xfId="7688"/>
    <cellStyle name="Assumptions Center Currency 2 4 4" xfId="7289"/>
    <cellStyle name="Assumptions Center Currency 2 5" xfId="2918"/>
    <cellStyle name="Assumptions Center Currency 2 5 2" xfId="4222"/>
    <cellStyle name="Assumptions Center Currency 2 5 2 2" xfId="8563"/>
    <cellStyle name="Assumptions Center Currency 2 5 3" xfId="5847"/>
    <cellStyle name="Assumptions Center Currency 2 5 3 2" xfId="7303"/>
    <cellStyle name="Assumptions Center Currency 2 5 4" xfId="6891"/>
    <cellStyle name="Assumptions Center Currency 2 6" xfId="3090"/>
    <cellStyle name="Assumptions Center Currency 2 6 2" xfId="4043"/>
    <cellStyle name="Assumptions Center Currency 2 6 2 2" xfId="9145"/>
    <cellStyle name="Assumptions Center Currency 2 6 3" xfId="5987"/>
    <cellStyle name="Assumptions Center Currency 2 6 3 2" xfId="9881"/>
    <cellStyle name="Assumptions Center Currency 2 6 4" xfId="8741"/>
    <cellStyle name="Assumptions Center Currency 2 7" xfId="3269"/>
    <cellStyle name="Assumptions Center Currency 2 7 2" xfId="3684"/>
    <cellStyle name="Assumptions Center Currency 2 7 2 2" xfId="9205"/>
    <cellStyle name="Assumptions Center Currency 2 7 3" xfId="6144"/>
    <cellStyle name="Assumptions Center Currency 2 7 3 2" xfId="10038"/>
    <cellStyle name="Assumptions Center Currency 2 7 4" xfId="6723"/>
    <cellStyle name="Assumptions Center Currency 2 8" xfId="2922"/>
    <cellStyle name="Assumptions Center Currency 2 8 2" xfId="4153"/>
    <cellStyle name="Assumptions Center Currency 2 8 2 2" xfId="8457"/>
    <cellStyle name="Assumptions Center Currency 2 8 3" xfId="5851"/>
    <cellStyle name="Assumptions Center Currency 2 8 3 2" xfId="7063"/>
    <cellStyle name="Assumptions Center Currency 2 8 4" xfId="7504"/>
    <cellStyle name="Assumptions Center Currency 2 9" xfId="3032"/>
    <cellStyle name="Assumptions Center Currency 2 9 2" xfId="3787"/>
    <cellStyle name="Assumptions Center Currency 2 9 2 2" xfId="9035"/>
    <cellStyle name="Assumptions Center Currency 2 9 3" xfId="5933"/>
    <cellStyle name="Assumptions Center Currency 2 9 3 2" xfId="9827"/>
    <cellStyle name="Assumptions Center Currency 2 9 4" xfId="7217"/>
    <cellStyle name="Assumptions Center Currency 3" xfId="1708"/>
    <cellStyle name="Assumptions Center Currency 3 10" xfId="3451"/>
    <cellStyle name="Assumptions Center Currency 3 10 2" xfId="5021"/>
    <cellStyle name="Assumptions Center Currency 3 10 2 2" xfId="6480"/>
    <cellStyle name="Assumptions Center Currency 3 10 3" xfId="9612"/>
    <cellStyle name="Assumptions Center Currency 3 11" xfId="3648"/>
    <cellStyle name="Assumptions Center Currency 3 11 2" xfId="8556"/>
    <cellStyle name="Assumptions Center Currency 3 12" xfId="6392"/>
    <cellStyle name="Assumptions Center Currency 3 2" xfId="1734"/>
    <cellStyle name="Assumptions Center Currency 3 2 10" xfId="6809"/>
    <cellStyle name="Assumptions Center Currency 3 2 2" xfId="2452"/>
    <cellStyle name="Assumptions Center Currency 3 2 2 2" xfId="2586"/>
    <cellStyle name="Assumptions Center Currency 3 2 2 2 2" xfId="4756"/>
    <cellStyle name="Assumptions Center Currency 3 2 2 2 2 2" xfId="7253"/>
    <cellStyle name="Assumptions Center Currency 3 2 2 2 3" xfId="8501"/>
    <cellStyle name="Assumptions Center Currency 3 2 2 3" xfId="4439"/>
    <cellStyle name="Assumptions Center Currency 3 2 2 3 2" xfId="6312"/>
    <cellStyle name="Assumptions Center Currency 3 2 2 4" xfId="8452"/>
    <cellStyle name="Assumptions Center Currency 3 2 3" xfId="2191"/>
    <cellStyle name="Assumptions Center Currency 3 2 3 2" xfId="2942"/>
    <cellStyle name="Assumptions Center Currency 3 2 3 2 2" xfId="3840"/>
    <cellStyle name="Assumptions Center Currency 3 2 3 2 2 2" xfId="7337"/>
    <cellStyle name="Assumptions Center Currency 3 2 3 2 3" xfId="7530"/>
    <cellStyle name="Assumptions Center Currency 3 2 3 3" xfId="4889"/>
    <cellStyle name="Assumptions Center Currency 3 2 3 3 2" xfId="8440"/>
    <cellStyle name="Assumptions Center Currency 3 2 3 4" xfId="5608"/>
    <cellStyle name="Assumptions Center Currency 3 2 3 4 2" xfId="7713"/>
    <cellStyle name="Assumptions Center Currency 3 2 3 5" xfId="7142"/>
    <cellStyle name="Assumptions Center Currency 3 2 4" xfId="2316"/>
    <cellStyle name="Assumptions Center Currency 3 2 4 2" xfId="4679"/>
    <cellStyle name="Assumptions Center Currency 3 2 4 2 2" xfId="9456"/>
    <cellStyle name="Assumptions Center Currency 3 2 4 3" xfId="5660"/>
    <cellStyle name="Assumptions Center Currency 3 2 4 3 2" xfId="7719"/>
    <cellStyle name="Assumptions Center Currency 3 2 4 4" xfId="6644"/>
    <cellStyle name="Assumptions Center Currency 3 2 5" xfId="3172"/>
    <cellStyle name="Assumptions Center Currency 3 2 5 2" xfId="3710"/>
    <cellStyle name="Assumptions Center Currency 3 2 5 2 2" xfId="9063"/>
    <cellStyle name="Assumptions Center Currency 3 2 5 3" xfId="6064"/>
    <cellStyle name="Assumptions Center Currency 3 2 5 3 2" xfId="9958"/>
    <cellStyle name="Assumptions Center Currency 3 2 5 4" xfId="6795"/>
    <cellStyle name="Assumptions Center Currency 3 2 6" xfId="3344"/>
    <cellStyle name="Assumptions Center Currency 3 2 6 2" xfId="4935"/>
    <cellStyle name="Assumptions Center Currency 3 2 6 2 2" xfId="9747"/>
    <cellStyle name="Assumptions Center Currency 3 2 6 3" xfId="6211"/>
    <cellStyle name="Assumptions Center Currency 3 2 6 3 2" xfId="10105"/>
    <cellStyle name="Assumptions Center Currency 3 2 6 4" xfId="7867"/>
    <cellStyle name="Assumptions Center Currency 3 2 7" xfId="3014"/>
    <cellStyle name="Assumptions Center Currency 3 2 7 2" xfId="3800"/>
    <cellStyle name="Assumptions Center Currency 3 2 7 2 2" xfId="9180"/>
    <cellStyle name="Assumptions Center Currency 3 2 7 3" xfId="5916"/>
    <cellStyle name="Assumptions Center Currency 3 2 7 3 2" xfId="9810"/>
    <cellStyle name="Assumptions Center Currency 3 2 7 4" xfId="7061"/>
    <cellStyle name="Assumptions Center Currency 3 2 8" xfId="3477"/>
    <cellStyle name="Assumptions Center Currency 3 2 8 2" xfId="5047"/>
    <cellStyle name="Assumptions Center Currency 3 2 8 2 2" xfId="8713"/>
    <cellStyle name="Assumptions Center Currency 3 2 8 3" xfId="8431"/>
    <cellStyle name="Assumptions Center Currency 3 2 9" xfId="3623"/>
    <cellStyle name="Assumptions Center Currency 3 2 9 2" xfId="6276"/>
    <cellStyle name="Assumptions Center Currency 3 3" xfId="2200"/>
    <cellStyle name="Assumptions Center Currency 3 3 2" xfId="2669"/>
    <cellStyle name="Assumptions Center Currency 3 3 2 2" xfId="4881"/>
    <cellStyle name="Assumptions Center Currency 3 3 2 2 2" xfId="9374"/>
    <cellStyle name="Assumptions Center Currency 3 3 2 3" xfId="7111"/>
    <cellStyle name="Assumptions Center Currency 3 3 3" xfId="4422"/>
    <cellStyle name="Assumptions Center Currency 3 3 3 2" xfId="8743"/>
    <cellStyle name="Assumptions Center Currency 3 3 4" xfId="5352"/>
    <cellStyle name="Assumptions Center Currency 3 3 4 2" xfId="7700"/>
    <cellStyle name="Assumptions Center Currency 3 3 5" xfId="5499"/>
    <cellStyle name="Assumptions Center Currency 3 3 5 2" xfId="7833"/>
    <cellStyle name="Assumptions Center Currency 3 3 6" xfId="8414"/>
    <cellStyle name="Assumptions Center Currency 3 4" xfId="2283"/>
    <cellStyle name="Assumptions Center Currency 3 4 2" xfId="4862"/>
    <cellStyle name="Assumptions Center Currency 3 4 2 2" xfId="9578"/>
    <cellStyle name="Assumptions Center Currency 3 4 3" xfId="5527"/>
    <cellStyle name="Assumptions Center Currency 3 4 3 2" xfId="6416"/>
    <cellStyle name="Assumptions Center Currency 3 4 4" xfId="7037"/>
    <cellStyle name="Assumptions Center Currency 3 5" xfId="2954"/>
    <cellStyle name="Assumptions Center Currency 3 5 2" xfId="3830"/>
    <cellStyle name="Assumptions Center Currency 3 5 2 2" xfId="9541"/>
    <cellStyle name="Assumptions Center Currency 3 5 3" xfId="5874"/>
    <cellStyle name="Assumptions Center Currency 3 5 3 2" xfId="7921"/>
    <cellStyle name="Assumptions Center Currency 3 5 4" xfId="7739"/>
    <cellStyle name="Assumptions Center Currency 3 6" xfId="2879"/>
    <cellStyle name="Assumptions Center Currency 3 6 2" xfId="3597"/>
    <cellStyle name="Assumptions Center Currency 3 6 2 2" xfId="9714"/>
    <cellStyle name="Assumptions Center Currency 3 6 3" xfId="5810"/>
    <cellStyle name="Assumptions Center Currency 3 6 3 2" xfId="7579"/>
    <cellStyle name="Assumptions Center Currency 3 6 4" xfId="8581"/>
    <cellStyle name="Assumptions Center Currency 3 7" xfId="2869"/>
    <cellStyle name="Assumptions Center Currency 3 7 2" xfId="3881"/>
    <cellStyle name="Assumptions Center Currency 3 7 2 2" xfId="9147"/>
    <cellStyle name="Assumptions Center Currency 3 7 3" xfId="5800"/>
    <cellStyle name="Assumptions Center Currency 3 7 3 2" xfId="8286"/>
    <cellStyle name="Assumptions Center Currency 3 7 4" xfId="8635"/>
    <cellStyle name="Assumptions Center Currency 3 8" xfId="2895"/>
    <cellStyle name="Assumptions Center Currency 3 8 2" xfId="3860"/>
    <cellStyle name="Assumptions Center Currency 3 8 2 2" xfId="9540"/>
    <cellStyle name="Assumptions Center Currency 3 8 3" xfId="5826"/>
    <cellStyle name="Assumptions Center Currency 3 8 3 2" xfId="8422"/>
    <cellStyle name="Assumptions Center Currency 3 8 4" xfId="9532"/>
    <cellStyle name="Assumptions Center Currency 3 9" xfId="3113"/>
    <cellStyle name="Assumptions Center Currency 3 9 2" xfId="3740"/>
    <cellStyle name="Assumptions Center Currency 3 9 2 2" xfId="7018"/>
    <cellStyle name="Assumptions Center Currency 3 9 3" xfId="6009"/>
    <cellStyle name="Assumptions Center Currency 3 9 3 2" xfId="9903"/>
    <cellStyle name="Assumptions Center Currency 3 9 4" xfId="8333"/>
    <cellStyle name="Assumptions Center Currency 4" xfId="2122"/>
    <cellStyle name="Assumptions Center Currency 4 2" xfId="2639"/>
    <cellStyle name="Assumptions Center Currency 4 2 2" xfId="4299"/>
    <cellStyle name="Assumptions Center Currency 4 2 2 2" xfId="7156"/>
    <cellStyle name="Assumptions Center Currency 4 2 3" xfId="7716"/>
    <cellStyle name="Assumptions Center Currency 4 3" xfId="4832"/>
    <cellStyle name="Assumptions Center Currency 4 3 2" xfId="9629"/>
    <cellStyle name="Assumptions Center Currency 4 4" xfId="5096"/>
    <cellStyle name="Assumptions Center Currency 4 4 2" xfId="7077"/>
    <cellStyle name="Assumptions Center Currency 4 5" xfId="5470"/>
    <cellStyle name="Assumptions Center Currency 4 5 2" xfId="6504"/>
    <cellStyle name="Assumptions Center Currency 4 6" xfId="6383"/>
    <cellStyle name="Assumptions Center Currency 5" xfId="2268"/>
    <cellStyle name="Assumptions Center Currency 5 2" xfId="4413"/>
    <cellStyle name="Assumptions Center Currency 5 2 2" xfId="9572"/>
    <cellStyle name="Assumptions Center Currency 5 3" xfId="5461"/>
    <cellStyle name="Assumptions Center Currency 5 3 2" xfId="7999"/>
    <cellStyle name="Assumptions Center Currency 5 4" xfId="8294"/>
    <cellStyle name="Assumptions Center Currency 6" xfId="3050"/>
    <cellStyle name="Assumptions Center Currency 6 2" xfId="3771"/>
    <cellStyle name="Assumptions Center Currency 6 2 2" xfId="8687"/>
    <cellStyle name="Assumptions Center Currency 6 3" xfId="5951"/>
    <cellStyle name="Assumptions Center Currency 6 3 2" xfId="9845"/>
    <cellStyle name="Assumptions Center Currency 6 4" xfId="8448"/>
    <cellStyle name="Assumptions Center Currency 7" xfId="3170"/>
    <cellStyle name="Assumptions Center Currency 7 2" xfId="4128"/>
    <cellStyle name="Assumptions Center Currency 7 2 2" xfId="7711"/>
    <cellStyle name="Assumptions Center Currency 7 3" xfId="6062"/>
    <cellStyle name="Assumptions Center Currency 7 3 2" xfId="9956"/>
    <cellStyle name="Assumptions Center Currency 7 4" xfId="8235"/>
    <cellStyle name="Assumptions Center Currency 8" xfId="2837"/>
    <cellStyle name="Assumptions Center Currency 8 2" xfId="4228"/>
    <cellStyle name="Assumptions Center Currency 8 2 2" xfId="8864"/>
    <cellStyle name="Assumptions Center Currency 8 3" xfId="5769"/>
    <cellStyle name="Assumptions Center Currency 8 3 2" xfId="6585"/>
    <cellStyle name="Assumptions Center Currency 8 4" xfId="7754"/>
    <cellStyle name="Assumptions Center Currency 9" xfId="2894"/>
    <cellStyle name="Assumptions Center Currency 9 2" xfId="3861"/>
    <cellStyle name="Assumptions Center Currency 9 2 2" xfId="7875"/>
    <cellStyle name="Assumptions Center Currency 9 3" xfId="5825"/>
    <cellStyle name="Assumptions Center Currency 9 3 2" xfId="6294"/>
    <cellStyle name="Assumptions Center Currency 9 4" xfId="6427"/>
    <cellStyle name="Assumptions Center Date" xfId="949"/>
    <cellStyle name="Assumptions Center Date 10" xfId="3031"/>
    <cellStyle name="Assumptions Center Date 10 2" xfId="3788"/>
    <cellStyle name="Assumptions Center Date 10 2 2" xfId="7170"/>
    <cellStyle name="Assumptions Center Date 10 3" xfId="5932"/>
    <cellStyle name="Assumptions Center Date 10 3 2" xfId="9826"/>
    <cellStyle name="Assumptions Center Date 10 4" xfId="9246"/>
    <cellStyle name="Assumptions Center Date 11" xfId="3385"/>
    <cellStyle name="Assumptions Center Date 11 2" xfId="4959"/>
    <cellStyle name="Assumptions Center Date 11 2 2" xfId="8647"/>
    <cellStyle name="Assumptions Center Date 11 3" xfId="8174"/>
    <cellStyle name="Assumptions Center Date 12" xfId="4021"/>
    <cellStyle name="Assumptions Center Date 12 2" xfId="7749"/>
    <cellStyle name="Assumptions Center Date 13" xfId="6731"/>
    <cellStyle name="Assumptions Center Date 2" xfId="950"/>
    <cellStyle name="Assumptions Center Date 2 10" xfId="3386"/>
    <cellStyle name="Assumptions Center Date 2 10 2" xfId="4960"/>
    <cellStyle name="Assumptions Center Date 2 10 2 2" xfId="8459"/>
    <cellStyle name="Assumptions Center Date 2 10 3" xfId="7834"/>
    <cellStyle name="Assumptions Center Date 2 11" xfId="4020"/>
    <cellStyle name="Assumptions Center Date 2 11 2" xfId="8140"/>
    <cellStyle name="Assumptions Center Date 2 12" xfId="8386"/>
    <cellStyle name="Assumptions Center Date 2 2" xfId="1711"/>
    <cellStyle name="Assumptions Center Date 2 2 10" xfId="3454"/>
    <cellStyle name="Assumptions Center Date 2 2 10 2" xfId="5024"/>
    <cellStyle name="Assumptions Center Date 2 2 10 2 2" xfId="9002"/>
    <cellStyle name="Assumptions Center Date 2 2 10 3" xfId="9356"/>
    <cellStyle name="Assumptions Center Date 2 2 11" xfId="3645"/>
    <cellStyle name="Assumptions Center Date 2 2 11 2" xfId="6611"/>
    <cellStyle name="Assumptions Center Date 2 2 12" xfId="6931"/>
    <cellStyle name="Assumptions Center Date 2 2 2" xfId="1755"/>
    <cellStyle name="Assumptions Center Date 2 2 2 10" xfId="8313"/>
    <cellStyle name="Assumptions Center Date 2 2 2 2" xfId="2470"/>
    <cellStyle name="Assumptions Center Date 2 2 2 2 2" xfId="2593"/>
    <cellStyle name="Assumptions Center Date 2 2 2 2 2 2" xfId="4647"/>
    <cellStyle name="Assumptions Center Date 2 2 2 2 2 2 2" xfId="8729"/>
    <cellStyle name="Assumptions Center Date 2 2 2 2 2 3" xfId="6748"/>
    <cellStyle name="Assumptions Center Date 2 2 2 2 3" xfId="4674"/>
    <cellStyle name="Assumptions Center Date 2 2 2 2 3 2" xfId="9119"/>
    <cellStyle name="Assumptions Center Date 2 2 2 2 4" xfId="6677"/>
    <cellStyle name="Assumptions Center Date 2 2 2 3" xfId="2185"/>
    <cellStyle name="Assumptions Center Date 2 2 2 3 2" xfId="2932"/>
    <cellStyle name="Assumptions Center Date 2 2 2 3 2 2" xfId="4150"/>
    <cellStyle name="Assumptions Center Date 2 2 2 3 2 2 2" xfId="7696"/>
    <cellStyle name="Assumptions Center Date 2 2 2 3 2 3" xfId="6937"/>
    <cellStyle name="Assumptions Center Date 2 2 2 3 3" xfId="4459"/>
    <cellStyle name="Assumptions Center Date 2 2 2 3 3 2" xfId="7399"/>
    <cellStyle name="Assumptions Center Date 2 2 2 3 4" xfId="5602"/>
    <cellStyle name="Assumptions Center Date 2 2 2 3 4 2" xfId="7828"/>
    <cellStyle name="Assumptions Center Date 2 2 2 3 5" xfId="8361"/>
    <cellStyle name="Assumptions Center Date 2 2 2 4" xfId="2208"/>
    <cellStyle name="Assumptions Center Date 2 2 2 4 2" xfId="4441"/>
    <cellStyle name="Assumptions Center Date 2 2 2 4 2 2" xfId="9065"/>
    <cellStyle name="Assumptions Center Date 2 2 2 4 3" xfId="5615"/>
    <cellStyle name="Assumptions Center Date 2 2 2 4 3 2" xfId="6321"/>
    <cellStyle name="Assumptions Center Date 2 2 2 4 4" xfId="9235"/>
    <cellStyle name="Assumptions Center Date 2 2 2 5" xfId="2991"/>
    <cellStyle name="Assumptions Center Date 2 2 2 5 2" xfId="3808"/>
    <cellStyle name="Assumptions Center Date 2 2 2 5 2 2" xfId="7523"/>
    <cellStyle name="Assumptions Center Date 2 2 2 5 3" xfId="5894"/>
    <cellStyle name="Assumptions Center Date 2 2 2 5 3 2" xfId="9788"/>
    <cellStyle name="Assumptions Center Date 2 2 2 5 4" xfId="9096"/>
    <cellStyle name="Assumptions Center Date 2 2 2 6" xfId="3084"/>
    <cellStyle name="Assumptions Center Date 2 2 2 6 2" xfId="4078"/>
    <cellStyle name="Assumptions Center Date 2 2 2 6 2 2" xfId="6582"/>
    <cellStyle name="Assumptions Center Date 2 2 2 6 3" xfId="5981"/>
    <cellStyle name="Assumptions Center Date 2 2 2 6 3 2" xfId="9875"/>
    <cellStyle name="Assumptions Center Date 2 2 2 6 4" xfId="9302"/>
    <cellStyle name="Assumptions Center Date 2 2 2 7" xfId="3146"/>
    <cellStyle name="Assumptions Center Date 2 2 2 7 2" xfId="4131"/>
    <cellStyle name="Assumptions Center Date 2 2 2 7 2 2" xfId="7478"/>
    <cellStyle name="Assumptions Center Date 2 2 2 7 3" xfId="6040"/>
    <cellStyle name="Assumptions Center Date 2 2 2 7 3 2" xfId="9934"/>
    <cellStyle name="Assumptions Center Date 2 2 2 7 4" xfId="6607"/>
    <cellStyle name="Assumptions Center Date 2 2 2 8" xfId="3484"/>
    <cellStyle name="Assumptions Center Date 2 2 2 8 2" xfId="5054"/>
    <cellStyle name="Assumptions Center Date 2 2 2 8 2 2" xfId="7166"/>
    <cellStyle name="Assumptions Center Date 2 2 2 8 3" xfId="8717"/>
    <cellStyle name="Assumptions Center Date 2 2 2 9" xfId="3620"/>
    <cellStyle name="Assumptions Center Date 2 2 2 9 2" xfId="8489"/>
    <cellStyle name="Assumptions Center Date 2 2 3" xfId="2199"/>
    <cellStyle name="Assumptions Center Date 2 2 3 2" xfId="2672"/>
    <cellStyle name="Assumptions Center Date 2 2 3 2 2" xfId="3966"/>
    <cellStyle name="Assumptions Center Date 2 2 3 2 2 2" xfId="9126"/>
    <cellStyle name="Assumptions Center Date 2 2 3 2 3" xfId="8163"/>
    <cellStyle name="Assumptions Center Date 2 2 3 3" xfId="4610"/>
    <cellStyle name="Assumptions Center Date 2 2 3 3 2" xfId="6975"/>
    <cellStyle name="Assumptions Center Date 2 2 3 4" xfId="5271"/>
    <cellStyle name="Assumptions Center Date 2 2 3 4 2" xfId="7690"/>
    <cellStyle name="Assumptions Center Date 2 2 3 5" xfId="5502"/>
    <cellStyle name="Assumptions Center Date 2 2 3 5 2" xfId="6534"/>
    <cellStyle name="Assumptions Center Date 2 2 3 6" xfId="9212"/>
    <cellStyle name="Assumptions Center Date 2 2 4" xfId="2252"/>
    <cellStyle name="Assumptions Center Date 2 2 4 2" xfId="4105"/>
    <cellStyle name="Assumptions Center Date 2 2 4 2 2" xfId="8707"/>
    <cellStyle name="Assumptions Center Date 2 2 4 3" xfId="5530"/>
    <cellStyle name="Assumptions Center Date 2 2 4 3 2" xfId="7304"/>
    <cellStyle name="Assumptions Center Date 2 2 4 4" xfId="7328"/>
    <cellStyle name="Assumptions Center Date 2 2 5" xfId="2953"/>
    <cellStyle name="Assumptions Center Date 2 2 5 2" xfId="3831"/>
    <cellStyle name="Assumptions Center Date 2 2 5 2 2" xfId="6917"/>
    <cellStyle name="Assumptions Center Date 2 2 5 3" xfId="5873"/>
    <cellStyle name="Assumptions Center Date 2 2 5 3 2" xfId="8524"/>
    <cellStyle name="Assumptions Center Date 2 2 5 4" xfId="9263"/>
    <cellStyle name="Assumptions Center Date 2 2 6" xfId="2880"/>
    <cellStyle name="Assumptions Center Date 2 2 6 2" xfId="3872"/>
    <cellStyle name="Assumptions Center Date 2 2 6 2 2" xfId="9089"/>
    <cellStyle name="Assumptions Center Date 2 2 6 3" xfId="5811"/>
    <cellStyle name="Assumptions Center Date 2 2 6 3 2" xfId="7502"/>
    <cellStyle name="Assumptions Center Date 2 2 6 4" xfId="7559"/>
    <cellStyle name="Assumptions Center Date 2 2 7" xfId="2797"/>
    <cellStyle name="Assumptions Center Date 2 2 7 2" xfId="3603"/>
    <cellStyle name="Assumptions Center Date 2 2 7 2 2" xfId="9429"/>
    <cellStyle name="Assumptions Center Date 2 2 7 3" xfId="5731"/>
    <cellStyle name="Assumptions Center Date 2 2 7 3 2" xfId="8394"/>
    <cellStyle name="Assumptions Center Date 2 2 7 4" xfId="7426"/>
    <cellStyle name="Assumptions Center Date 2 2 8" xfId="3099"/>
    <cellStyle name="Assumptions Center Date 2 2 8 2" xfId="3752"/>
    <cellStyle name="Assumptions Center Date 2 2 8 2 2" xfId="7342"/>
    <cellStyle name="Assumptions Center Date 2 2 8 3" xfId="5996"/>
    <cellStyle name="Assumptions Center Date 2 2 8 3 2" xfId="9890"/>
    <cellStyle name="Assumptions Center Date 2 2 8 4" xfId="8590"/>
    <cellStyle name="Assumptions Center Date 2 2 9" xfId="3254"/>
    <cellStyle name="Assumptions Center Date 2 2 9 2" xfId="3688"/>
    <cellStyle name="Assumptions Center Date 2 2 9 2 2" xfId="6628"/>
    <cellStyle name="Assumptions Center Date 2 2 9 3" xfId="6131"/>
    <cellStyle name="Assumptions Center Date 2 2 9 3 2" xfId="10025"/>
    <cellStyle name="Assumptions Center Date 2 2 9 4" xfId="7433"/>
    <cellStyle name="Assumptions Center Date 2 3" xfId="2247"/>
    <cellStyle name="Assumptions Center Date 2 3 2" xfId="2642"/>
    <cellStyle name="Assumptions Center Date 2 3 2 2" xfId="4098"/>
    <cellStyle name="Assumptions Center Date 2 3 2 2 2" xfId="8740"/>
    <cellStyle name="Assumptions Center Date 2 3 2 3" xfId="8144"/>
    <cellStyle name="Assumptions Center Date 2 3 3" xfId="4437"/>
    <cellStyle name="Assumptions Center Date 2 3 3 2" xfId="9463"/>
    <cellStyle name="Assumptions Center Date 2 3 4" xfId="5254"/>
    <cellStyle name="Assumptions Center Date 2 3 4 2" xfId="7889"/>
    <cellStyle name="Assumptions Center Date 2 3 5" xfId="5473"/>
    <cellStyle name="Assumptions Center Date 2 3 5 2" xfId="8485"/>
    <cellStyle name="Assumptions Center Date 2 3 6" xfId="9239"/>
    <cellStyle name="Assumptions Center Date 2 4" xfId="2270"/>
    <cellStyle name="Assumptions Center Date 2 4 2" xfId="4820"/>
    <cellStyle name="Assumptions Center Date 2 4 2 2" xfId="9397"/>
    <cellStyle name="Assumptions Center Date 2 4 3" xfId="5458"/>
    <cellStyle name="Assumptions Center Date 2 4 3 2" xfId="8121"/>
    <cellStyle name="Assumptions Center Date 2 4 4" xfId="6831"/>
    <cellStyle name="Assumptions Center Date 2 5" xfId="3048"/>
    <cellStyle name="Assumptions Center Date 2 5 2" xfId="3773"/>
    <cellStyle name="Assumptions Center Date 2 5 2 2" xfId="7715"/>
    <cellStyle name="Assumptions Center Date 2 5 3" xfId="5949"/>
    <cellStyle name="Assumptions Center Date 2 5 3 2" xfId="9843"/>
    <cellStyle name="Assumptions Center Date 2 5 4" xfId="7905"/>
    <cellStyle name="Assumptions Center Date 2 6" xfId="3092"/>
    <cellStyle name="Assumptions Center Date 2 6 2" xfId="4134"/>
    <cellStyle name="Assumptions Center Date 2 6 2 2" xfId="8645"/>
    <cellStyle name="Assumptions Center Date 2 6 3" xfId="5989"/>
    <cellStyle name="Assumptions Center Date 2 6 3 2" xfId="9883"/>
    <cellStyle name="Assumptions Center Date 2 6 4" xfId="8660"/>
    <cellStyle name="Assumptions Center Date 2 7" xfId="2840"/>
    <cellStyle name="Assumptions Center Date 2 7 2" xfId="4272"/>
    <cellStyle name="Assumptions Center Date 2 7 2 2" xfId="9439"/>
    <cellStyle name="Assumptions Center Date 2 7 3" xfId="5772"/>
    <cellStyle name="Assumptions Center Date 2 7 3 2" xfId="6834"/>
    <cellStyle name="Assumptions Center Date 2 7 4" xfId="6727"/>
    <cellStyle name="Assumptions Center Date 2 8" xfId="2909"/>
    <cellStyle name="Assumptions Center Date 2 8 2" xfId="4085"/>
    <cellStyle name="Assumptions Center Date 2 8 2 2" xfId="8433"/>
    <cellStyle name="Assumptions Center Date 2 8 3" xfId="5840"/>
    <cellStyle name="Assumptions Center Date 2 8 3 2" xfId="7407"/>
    <cellStyle name="Assumptions Center Date 2 8 4" xfId="7988"/>
    <cellStyle name="Assumptions Center Date 2 9" xfId="3206"/>
    <cellStyle name="Assumptions Center Date 2 9 2" xfId="3699"/>
    <cellStyle name="Assumptions Center Date 2 9 2 2" xfId="8674"/>
    <cellStyle name="Assumptions Center Date 2 9 3" xfId="6095"/>
    <cellStyle name="Assumptions Center Date 2 9 3 2" xfId="9989"/>
    <cellStyle name="Assumptions Center Date 2 9 4" xfId="6660"/>
    <cellStyle name="Assumptions Center Date 3" xfId="1710"/>
    <cellStyle name="Assumptions Center Date 3 10" xfId="3453"/>
    <cellStyle name="Assumptions Center Date 3 10 2" xfId="5023"/>
    <cellStyle name="Assumptions Center Date 3 10 2 2" xfId="9013"/>
    <cellStyle name="Assumptions Center Date 3 10 3" xfId="7044"/>
    <cellStyle name="Assumptions Center Date 3 11" xfId="3646"/>
    <cellStyle name="Assumptions Center Date 3 11 2" xfId="6247"/>
    <cellStyle name="Assumptions Center Date 3 12" xfId="8008"/>
    <cellStyle name="Assumptions Center Date 3 2" xfId="1567"/>
    <cellStyle name="Assumptions Center Date 3 2 10" xfId="9077"/>
    <cellStyle name="Assumptions Center Date 3 2 2" xfId="2428"/>
    <cellStyle name="Assumptions Center Date 3 2 2 2" xfId="2562"/>
    <cellStyle name="Assumptions Center Date 3 2 2 2 2" xfId="4457"/>
    <cellStyle name="Assumptions Center Date 3 2 2 2 2 2" xfId="9553"/>
    <cellStyle name="Assumptions Center Date 3 2 2 2 3" xfId="7434"/>
    <cellStyle name="Assumptions Center Date 3 2 2 3" xfId="4644"/>
    <cellStyle name="Assumptions Center Date 3 2 2 3 2" xfId="7231"/>
    <cellStyle name="Assumptions Center Date 3 2 2 4" xfId="7240"/>
    <cellStyle name="Assumptions Center Date 3 2 3" xfId="2297"/>
    <cellStyle name="Assumptions Center Date 3 2 3 2" xfId="2984"/>
    <cellStyle name="Assumptions Center Date 3 2 3 2 2" xfId="4071"/>
    <cellStyle name="Assumptions Center Date 3 2 3 2 2 2" xfId="9093"/>
    <cellStyle name="Assumptions Center Date 3 2 3 2 3" xfId="9332"/>
    <cellStyle name="Assumptions Center Date 3 2 3 3" xfId="4678"/>
    <cellStyle name="Assumptions Center Date 3 2 3 3 2" xfId="7949"/>
    <cellStyle name="Assumptions Center Date 3 2 3 4" xfId="5650"/>
    <cellStyle name="Assumptions Center Date 3 2 3 4 2" xfId="7877"/>
    <cellStyle name="Assumptions Center Date 3 2 3 5" xfId="8156"/>
    <cellStyle name="Assumptions Center Date 3 2 4" xfId="2129"/>
    <cellStyle name="Assumptions Center Date 3 2 4 2" xfId="4763"/>
    <cellStyle name="Assumptions Center Date 3 2 4 2 2" xfId="8409"/>
    <cellStyle name="Assumptions Center Date 3 2 4 3" xfId="5586"/>
    <cellStyle name="Assumptions Center Date 3 2 4 3 2" xfId="8481"/>
    <cellStyle name="Assumptions Center Date 3 2 4 4" xfId="8314"/>
    <cellStyle name="Assumptions Center Date 3 2 5" xfId="3334"/>
    <cellStyle name="Assumptions Center Date 3 2 5 2" xfId="4925"/>
    <cellStyle name="Assumptions Center Date 3 2 5 2 2" xfId="7366"/>
    <cellStyle name="Assumptions Center Date 3 2 5 3" xfId="6201"/>
    <cellStyle name="Assumptions Center Date 3 2 5 3 2" xfId="10095"/>
    <cellStyle name="Assumptions Center Date 3 2 5 4" xfId="9534"/>
    <cellStyle name="Assumptions Center Date 3 2 6" xfId="3357"/>
    <cellStyle name="Assumptions Center Date 3 2 6 2" xfId="4947"/>
    <cellStyle name="Assumptions Center Date 3 2 6 2 2" xfId="8867"/>
    <cellStyle name="Assumptions Center Date 3 2 6 3" xfId="6223"/>
    <cellStyle name="Assumptions Center Date 3 2 6 3 2" xfId="10117"/>
    <cellStyle name="Assumptions Center Date 3 2 6 4" xfId="9678"/>
    <cellStyle name="Assumptions Center Date 3 2 7" xfId="2801"/>
    <cellStyle name="Assumptions Center Date 3 2 7 2" xfId="3915"/>
    <cellStyle name="Assumptions Center Date 3 2 7 2 2" xfId="9751"/>
    <cellStyle name="Assumptions Center Date 3 2 7 3" xfId="5735"/>
    <cellStyle name="Assumptions Center Date 3 2 7 3 2" xfId="8367"/>
    <cellStyle name="Assumptions Center Date 3 2 7 4" xfId="7321"/>
    <cellStyle name="Assumptions Center Date 3 2 8" xfId="3428"/>
    <cellStyle name="Assumptions Center Date 3 2 8 2" xfId="4999"/>
    <cellStyle name="Assumptions Center Date 3 2 8 2 2" xfId="8986"/>
    <cellStyle name="Assumptions Center Date 3 2 8 3" xfId="9187"/>
    <cellStyle name="Assumptions Center Date 3 2 9" xfId="3658"/>
    <cellStyle name="Assumptions Center Date 3 2 9 2" xfId="7117"/>
    <cellStyle name="Assumptions Center Date 3 3" xfId="2303"/>
    <cellStyle name="Assumptions Center Date 3 3 2" xfId="2671"/>
    <cellStyle name="Assumptions Center Date 3 3 2 2" xfId="4855"/>
    <cellStyle name="Assumptions Center Date 3 3 2 2 2" xfId="8609"/>
    <cellStyle name="Assumptions Center Date 3 3 2 3" xfId="6959"/>
    <cellStyle name="Assumptions Center Date 3 3 3" xfId="4414"/>
    <cellStyle name="Assumptions Center Date 3 3 3 2" xfId="7374"/>
    <cellStyle name="Assumptions Center Date 3 3 4" xfId="5208"/>
    <cellStyle name="Assumptions Center Date 3 3 4 2" xfId="7982"/>
    <cellStyle name="Assumptions Center Date 3 3 5" xfId="5501"/>
    <cellStyle name="Assumptions Center Date 3 3 5 2" xfId="8307"/>
    <cellStyle name="Assumptions Center Date 3 3 6" xfId="8391"/>
    <cellStyle name="Assumptions Center Date 3 4" xfId="2331"/>
    <cellStyle name="Assumptions Center Date 3 4 2" xfId="4492"/>
    <cellStyle name="Assumptions Center Date 3 4 2 2" xfId="8520"/>
    <cellStyle name="Assumptions Center Date 3 4 3" xfId="5529"/>
    <cellStyle name="Assumptions Center Date 3 4 3 2" xfId="8289"/>
    <cellStyle name="Assumptions Center Date 3 4 4" xfId="7469"/>
    <cellStyle name="Assumptions Center Date 3 5" xfId="3166"/>
    <cellStyle name="Assumptions Center Date 3 5 2" xfId="4200"/>
    <cellStyle name="Assumptions Center Date 3 5 2 2" xfId="7492"/>
    <cellStyle name="Assumptions Center Date 3 5 3" xfId="6058"/>
    <cellStyle name="Assumptions Center Date 3 5 3 2" xfId="9952"/>
    <cellStyle name="Assumptions Center Date 3 5 4" xfId="7540"/>
    <cellStyle name="Assumptions Center Date 3 6" xfId="3175"/>
    <cellStyle name="Assumptions Center Date 3 6 2" xfId="3573"/>
    <cellStyle name="Assumptions Center Date 3 6 2 2" xfId="9503"/>
    <cellStyle name="Assumptions Center Date 3 6 3" xfId="6067"/>
    <cellStyle name="Assumptions Center Date 3 6 3 2" xfId="9961"/>
    <cellStyle name="Assumptions Center Date 3 6 4" xfId="8521"/>
    <cellStyle name="Assumptions Center Date 3 7" xfId="2796"/>
    <cellStyle name="Assumptions Center Date 3 7 2" xfId="3919"/>
    <cellStyle name="Assumptions Center Date 3 7 2 2" xfId="8734"/>
    <cellStyle name="Assumptions Center Date 3 7 3" xfId="5730"/>
    <cellStyle name="Assumptions Center Date 3 7 3 2" xfId="7230"/>
    <cellStyle name="Assumptions Center Date 3 7 4" xfId="6260"/>
    <cellStyle name="Assumptions Center Date 3 8" xfId="3346"/>
    <cellStyle name="Assumptions Center Date 3 8 2" xfId="4937"/>
    <cellStyle name="Assumptions Center Date 3 8 2 2" xfId="8070"/>
    <cellStyle name="Assumptions Center Date 3 8 3" xfId="6213"/>
    <cellStyle name="Assumptions Center Date 3 8 3 2" xfId="10107"/>
    <cellStyle name="Assumptions Center Date 3 8 4" xfId="9007"/>
    <cellStyle name="Assumptions Center Date 3 9" xfId="2824"/>
    <cellStyle name="Assumptions Center Date 3 9 2" xfId="4092"/>
    <cellStyle name="Assumptions Center Date 3 9 2 2" xfId="9402"/>
    <cellStyle name="Assumptions Center Date 3 9 3" xfId="5758"/>
    <cellStyle name="Assumptions Center Date 3 9 3 2" xfId="8260"/>
    <cellStyle name="Assumptions Center Date 3 9 4" xfId="9435"/>
    <cellStyle name="Assumptions Center Date 4" xfId="2248"/>
    <cellStyle name="Assumptions Center Date 4 2" xfId="2641"/>
    <cellStyle name="Assumptions Center Date 4 2 2" xfId="4880"/>
    <cellStyle name="Assumptions Center Date 4 2 2 2" xfId="8538"/>
    <cellStyle name="Assumptions Center Date 4 2 3" xfId="7573"/>
    <cellStyle name="Assumptions Center Date 4 3" xfId="4595"/>
    <cellStyle name="Assumptions Center Date 4 3 2" xfId="8506"/>
    <cellStyle name="Assumptions Center Date 4 4" xfId="5318"/>
    <cellStyle name="Assumptions Center Date 4 4 2" xfId="7034"/>
    <cellStyle name="Assumptions Center Date 4 5" xfId="5472"/>
    <cellStyle name="Assumptions Center Date 4 5 2" xfId="8247"/>
    <cellStyle name="Assumptions Center Date 4 6" xfId="7588"/>
    <cellStyle name="Assumptions Center Date 5" xfId="2354"/>
    <cellStyle name="Assumptions Center Date 5 2" xfId="4604"/>
    <cellStyle name="Assumptions Center Date 5 2 2" xfId="8700"/>
    <cellStyle name="Assumptions Center Date 5 3" xfId="5459"/>
    <cellStyle name="Assumptions Center Date 5 3 2" xfId="6520"/>
    <cellStyle name="Assumptions Center Date 5 4" xfId="8063"/>
    <cellStyle name="Assumptions Center Date 6" xfId="3049"/>
    <cellStyle name="Assumptions Center Date 6 2" xfId="3772"/>
    <cellStyle name="Assumptions Center Date 6 2 2" xfId="8508"/>
    <cellStyle name="Assumptions Center Date 6 3" xfId="5950"/>
    <cellStyle name="Assumptions Center Date 6 3 2" xfId="9844"/>
    <cellStyle name="Assumptions Center Date 6 4" xfId="9318"/>
    <cellStyle name="Assumptions Center Date 7" xfId="3091"/>
    <cellStyle name="Assumptions Center Date 7 2" xfId="3756"/>
    <cellStyle name="Assumptions Center Date 7 2 2" xfId="9722"/>
    <cellStyle name="Assumptions Center Date 7 3" xfId="5988"/>
    <cellStyle name="Assumptions Center Date 7 3 2" xfId="9882"/>
    <cellStyle name="Assumptions Center Date 7 4" xfId="8546"/>
    <cellStyle name="Assumptions Center Date 8" xfId="2839"/>
    <cellStyle name="Assumptions Center Date 8 2" xfId="3600"/>
    <cellStyle name="Assumptions Center Date 8 2 2" xfId="9569"/>
    <cellStyle name="Assumptions Center Date 8 3" xfId="5771"/>
    <cellStyle name="Assumptions Center Date 8 3 2" xfId="7670"/>
    <cellStyle name="Assumptions Center Date 8 4" xfId="9627"/>
    <cellStyle name="Assumptions Center Date 9" xfId="2914"/>
    <cellStyle name="Assumptions Center Date 9 2" xfId="3851"/>
    <cellStyle name="Assumptions Center Date 9 2 2" xfId="8995"/>
    <cellStyle name="Assumptions Center Date 9 3" xfId="5845"/>
    <cellStyle name="Assumptions Center Date 9 3 2" xfId="7316"/>
    <cellStyle name="Assumptions Center Date 9 4" xfId="7737"/>
    <cellStyle name="Assumptions Center Multiple" xfId="951"/>
    <cellStyle name="Assumptions Center Multiple 10" xfId="2964"/>
    <cellStyle name="Assumptions Center Multiple 10 2" xfId="3824"/>
    <cellStyle name="Assumptions Center Multiple 10 2 2" xfId="8878"/>
    <cellStyle name="Assumptions Center Multiple 10 3" xfId="5881"/>
    <cellStyle name="Assumptions Center Multiple 10 3 2" xfId="9775"/>
    <cellStyle name="Assumptions Center Multiple 10 4" xfId="9280"/>
    <cellStyle name="Assumptions Center Multiple 11" xfId="3387"/>
    <cellStyle name="Assumptions Center Multiple 11 2" xfId="4961"/>
    <cellStyle name="Assumptions Center Multiple 11 2 2" xfId="9516"/>
    <cellStyle name="Assumptions Center Multiple 11 3" xfId="9582"/>
    <cellStyle name="Assumptions Center Multiple 12" xfId="4019"/>
    <cellStyle name="Assumptions Center Multiple 12 2" xfId="9741"/>
    <cellStyle name="Assumptions Center Multiple 13" xfId="7221"/>
    <cellStyle name="Assumptions Center Multiple 2" xfId="952"/>
    <cellStyle name="Assumptions Center Multiple 2 10" xfId="3388"/>
    <cellStyle name="Assumptions Center Multiple 2 10 2" xfId="4962"/>
    <cellStyle name="Assumptions Center Multiple 2 10 2 2" xfId="8742"/>
    <cellStyle name="Assumptions Center Multiple 2 10 3" xfId="8241"/>
    <cellStyle name="Assumptions Center Multiple 2 11" xfId="4018"/>
    <cellStyle name="Assumptions Center Multiple 2 11 2" xfId="8250"/>
    <cellStyle name="Assumptions Center Multiple 2 12" xfId="9039"/>
    <cellStyle name="Assumptions Center Multiple 2 2" xfId="1713"/>
    <cellStyle name="Assumptions Center Multiple 2 2 10" xfId="3456"/>
    <cellStyle name="Assumptions Center Multiple 2 2 10 2" xfId="5026"/>
    <cellStyle name="Assumptions Center Multiple 2 2 10 2 2" xfId="6507"/>
    <cellStyle name="Assumptions Center Multiple 2 2 10 3" xfId="6295"/>
    <cellStyle name="Assumptions Center Multiple 2 2 11" xfId="3643"/>
    <cellStyle name="Assumptions Center Multiple 2 2 11 2" xfId="7856"/>
    <cellStyle name="Assumptions Center Multiple 2 2 12" xfId="7980"/>
    <cellStyle name="Assumptions Center Multiple 2 2 2" xfId="1904"/>
    <cellStyle name="Assumptions Center Multiple 2 2 2 10" xfId="6952"/>
    <cellStyle name="Assumptions Center Multiple 2 2 2 2" xfId="2514"/>
    <cellStyle name="Assumptions Center Multiple 2 2 2 2 2" xfId="2615"/>
    <cellStyle name="Assumptions Center Multiple 2 2 2 2 2 2" xfId="3967"/>
    <cellStyle name="Assumptions Center Multiple 2 2 2 2 2 2 2" xfId="8071"/>
    <cellStyle name="Assumptions Center Multiple 2 2 2 2 2 3" xfId="7909"/>
    <cellStyle name="Assumptions Center Multiple 2 2 2 2 3" xfId="4690"/>
    <cellStyle name="Assumptions Center Multiple 2 2 2 2 3 2" xfId="9175"/>
    <cellStyle name="Assumptions Center Multiple 2 2 2 2 4" xfId="6270"/>
    <cellStyle name="Assumptions Center Multiple 2 2 2 3" xfId="2164"/>
    <cellStyle name="Assumptions Center Multiple 2 2 2 3 2" xfId="2765"/>
    <cellStyle name="Assumptions Center Multiple 2 2 2 3 2 2" xfId="3941"/>
    <cellStyle name="Assumptions Center Multiple 2 2 2 3 2 2 2" xfId="8221"/>
    <cellStyle name="Assumptions Center Multiple 2 2 2 3 2 3" xfId="7906"/>
    <cellStyle name="Assumptions Center Multiple 2 2 2 3 3" xfId="4852"/>
    <cellStyle name="Assumptions Center Multiple 2 2 2 3 3 2" xfId="9173"/>
    <cellStyle name="Assumptions Center Multiple 2 2 2 3 4" xfId="5596"/>
    <cellStyle name="Assumptions Center Multiple 2 2 2 3 4 2" xfId="6334"/>
    <cellStyle name="Assumptions Center Multiple 2 2 2 3 5" xfId="7893"/>
    <cellStyle name="Assumptions Center Multiple 2 2 2 4" xfId="2364"/>
    <cellStyle name="Assumptions Center Multiple 2 2 2 4 2" xfId="4879"/>
    <cellStyle name="Assumptions Center Multiple 2 2 2 4 2 2" xfId="8983"/>
    <cellStyle name="Assumptions Center Multiple 2 2 2 4 3" xfId="5682"/>
    <cellStyle name="Assumptions Center Multiple 2 2 2 4 3 2" xfId="6923"/>
    <cellStyle name="Assumptions Center Multiple 2 2 2 4 4" xfId="7901"/>
    <cellStyle name="Assumptions Center Multiple 2 2 2 5" xfId="2987"/>
    <cellStyle name="Assumptions Center Multiple 2 2 2 5 2" xfId="4090"/>
    <cellStyle name="Assumptions Center Multiple 2 2 2 5 2 2" xfId="9103"/>
    <cellStyle name="Assumptions Center Multiple 2 2 2 5 3" xfId="5891"/>
    <cellStyle name="Assumptions Center Multiple 2 2 2 5 3 2" xfId="9785"/>
    <cellStyle name="Assumptions Center Multiple 2 2 2 5 4" xfId="9329"/>
    <cellStyle name="Assumptions Center Multiple 2 2 2 6" xfId="3082"/>
    <cellStyle name="Assumptions Center Multiple 2 2 2 6 2" xfId="3581"/>
    <cellStyle name="Assumptions Center Multiple 2 2 2 6 2 2" xfId="7839"/>
    <cellStyle name="Assumptions Center Multiple 2 2 2 6 3" xfId="5979"/>
    <cellStyle name="Assumptions Center Multiple 2 2 2 6 3 2" xfId="9873"/>
    <cellStyle name="Assumptions Center Multiple 2 2 2 6 4" xfId="9323"/>
    <cellStyle name="Assumptions Center Multiple 2 2 2 7" xfId="3183"/>
    <cellStyle name="Assumptions Center Multiple 2 2 2 7 2" xfId="4262"/>
    <cellStyle name="Assumptions Center Multiple 2 2 2 7 2 2" xfId="7444"/>
    <cellStyle name="Assumptions Center Multiple 2 2 2 7 3" xfId="6074"/>
    <cellStyle name="Assumptions Center Multiple 2 2 2 7 3 2" xfId="9968"/>
    <cellStyle name="Assumptions Center Multiple 2 2 2 7 4" xfId="7636"/>
    <cellStyle name="Assumptions Center Multiple 2 2 2 8" xfId="3507"/>
    <cellStyle name="Assumptions Center Multiple 2 2 2 8 2" xfId="5077"/>
    <cellStyle name="Assumptions Center Multiple 2 2 2 8 2 2" xfId="6859"/>
    <cellStyle name="Assumptions Center Multiple 2 2 2 8 3" xfId="9092"/>
    <cellStyle name="Assumptions Center Multiple 2 2 2 9" xfId="4180"/>
    <cellStyle name="Assumptions Center Multiple 2 2 2 9 2" xfId="8161"/>
    <cellStyle name="Assumptions Center Multiple 2 2 3" xfId="2299"/>
    <cellStyle name="Assumptions Center Multiple 2 2 3 2" xfId="2674"/>
    <cellStyle name="Assumptions Center Multiple 2 2 3 2 2" xfId="4752"/>
    <cellStyle name="Assumptions Center Multiple 2 2 3 2 2 2" xfId="9592"/>
    <cellStyle name="Assumptions Center Multiple 2 2 3 2 3" xfId="7518"/>
    <cellStyle name="Assumptions Center Multiple 2 2 3 3" xfId="4707"/>
    <cellStyle name="Assumptions Center Multiple 2 2 3 3 2" xfId="9648"/>
    <cellStyle name="Assumptions Center Multiple 2 2 3 4" xfId="5119"/>
    <cellStyle name="Assumptions Center Multiple 2 2 3 4 2" xfId="8052"/>
    <cellStyle name="Assumptions Center Multiple 2 2 3 5" xfId="5504"/>
    <cellStyle name="Assumptions Center Multiple 2 2 3 5 2" xfId="6368"/>
    <cellStyle name="Assumptions Center Multiple 2 2 3 6" xfId="8404"/>
    <cellStyle name="Assumptions Center Multiple 2 2 4" xfId="2332"/>
    <cellStyle name="Assumptions Center Multiple 2 2 4 2" xfId="4899"/>
    <cellStyle name="Assumptions Center Multiple 2 2 4 2 2" xfId="9669"/>
    <cellStyle name="Assumptions Center Multiple 2 2 4 3" xfId="5532"/>
    <cellStyle name="Assumptions Center Multiple 2 2 4 3 2" xfId="6589"/>
    <cellStyle name="Assumptions Center Multiple 2 2 4 4" xfId="8075"/>
    <cellStyle name="Assumptions Center Multiple 2 2 5" xfId="2783"/>
    <cellStyle name="Assumptions Center Multiple 2 2 5 2" xfId="3930"/>
    <cellStyle name="Assumptions Center Multiple 2 2 5 2 2" xfId="9404"/>
    <cellStyle name="Assumptions Center Multiple 2 2 5 3" xfId="5719"/>
    <cellStyle name="Assumptions Center Multiple 2 2 5 3 2" xfId="6867"/>
    <cellStyle name="Assumptions Center Multiple 2 2 5 4" xfId="8551"/>
    <cellStyle name="Assumptions Center Multiple 2 2 6" xfId="2959"/>
    <cellStyle name="Assumptions Center Multiple 2 2 6 2" xfId="3827"/>
    <cellStyle name="Assumptions Center Multiple 2 2 6 2 2" xfId="9628"/>
    <cellStyle name="Assumptions Center Multiple 2 2 6 3" xfId="5877"/>
    <cellStyle name="Assumptions Center Multiple 2 2 6 3 2" xfId="7152"/>
    <cellStyle name="Assumptions Center Multiple 2 2 6 4" xfId="9248"/>
    <cellStyle name="Assumptions Center Multiple 2 2 7" xfId="3017"/>
    <cellStyle name="Assumptions Center Multiple 2 2 7 2" xfId="3587"/>
    <cellStyle name="Assumptions Center Multiple 2 2 7 2 2" xfId="8491"/>
    <cellStyle name="Assumptions Center Multiple 2 2 7 3" xfId="5919"/>
    <cellStyle name="Assumptions Center Multiple 2 2 7 3 2" xfId="9813"/>
    <cellStyle name="Assumptions Center Multiple 2 2 7 4" xfId="6487"/>
    <cellStyle name="Assumptions Center Multiple 2 2 8" xfId="3224"/>
    <cellStyle name="Assumptions Center Multiple 2 2 8 2" xfId="4256"/>
    <cellStyle name="Assumptions Center Multiple 2 2 8 2 2" xfId="9005"/>
    <cellStyle name="Assumptions Center Multiple 2 2 8 3" xfId="6106"/>
    <cellStyle name="Assumptions Center Multiple 2 2 8 3 2" xfId="10000"/>
    <cellStyle name="Assumptions Center Multiple 2 2 8 4" xfId="8256"/>
    <cellStyle name="Assumptions Center Multiple 2 2 9" xfId="2877"/>
    <cellStyle name="Assumptions Center Multiple 2 2 9 2" xfId="4225"/>
    <cellStyle name="Assumptions Center Multiple 2 2 9 2 2" xfId="6690"/>
    <cellStyle name="Assumptions Center Multiple 2 2 9 3" xfId="5808"/>
    <cellStyle name="Assumptions Center Multiple 2 2 9 3 2" xfId="7397"/>
    <cellStyle name="Assumptions Center Multiple 2 2 9 4" xfId="9434"/>
    <cellStyle name="Assumptions Center Multiple 2 3" xfId="2120"/>
    <cellStyle name="Assumptions Center Multiple 2 3 2" xfId="2644"/>
    <cellStyle name="Assumptions Center Multiple 2 3 2 2" xfId="4689"/>
    <cellStyle name="Assumptions Center Multiple 2 3 2 2 2" xfId="7241"/>
    <cellStyle name="Assumptions Center Multiple 2 3 2 3" xfId="7951"/>
    <cellStyle name="Assumptions Center Multiple 2 3 3" xfId="4842"/>
    <cellStyle name="Assumptions Center Multiple 2 3 3 2" xfId="9095"/>
    <cellStyle name="Assumptions Center Multiple 2 3 4" xfId="5320"/>
    <cellStyle name="Assumptions Center Multiple 2 3 4 2" xfId="7371"/>
    <cellStyle name="Assumptions Center Multiple 2 3 5" xfId="5475"/>
    <cellStyle name="Assumptions Center Multiple 2 3 5 2" xfId="7411"/>
    <cellStyle name="Assumptions Center Multiple 2 3 6" xfId="8536"/>
    <cellStyle name="Assumptions Center Multiple 2 4" xfId="2272"/>
    <cellStyle name="Assumptions Center Multiple 2 4 2" xfId="4777"/>
    <cellStyle name="Assumptions Center Multiple 2 4 2 2" xfId="8203"/>
    <cellStyle name="Assumptions Center Multiple 2 4 3" xfId="5456"/>
    <cellStyle name="Assumptions Center Multiple 2 4 3 2" xfId="8172"/>
    <cellStyle name="Assumptions Center Multiple 2 4 4" xfId="7603"/>
    <cellStyle name="Assumptions Center Multiple 2 5" xfId="3046"/>
    <cellStyle name="Assumptions Center Multiple 2 5 2" xfId="3775"/>
    <cellStyle name="Assumptions Center Multiple 2 5 2 2" xfId="9160"/>
    <cellStyle name="Assumptions Center Multiple 2 5 3" xfId="5947"/>
    <cellStyle name="Assumptions Center Multiple 2 5 3 2" xfId="9841"/>
    <cellStyle name="Assumptions Center Multiple 2 5 4" xfId="7213"/>
    <cellStyle name="Assumptions Center Multiple 2 6" xfId="2811"/>
    <cellStyle name="Assumptions Center Multiple 2 6 2" xfId="3602"/>
    <cellStyle name="Assumptions Center Multiple 2 6 2 2" xfId="6387"/>
    <cellStyle name="Assumptions Center Multiple 2 6 3" xfId="5745"/>
    <cellStyle name="Assumptions Center Multiple 2 6 3 2" xfId="8353"/>
    <cellStyle name="Assumptions Center Multiple 2 6 4" xfId="7783"/>
    <cellStyle name="Assumptions Center Multiple 2 7" xfId="3270"/>
    <cellStyle name="Assumptions Center Multiple 2 7 2" xfId="4309"/>
    <cellStyle name="Assumptions Center Multiple 2 7 2 2" xfId="8658"/>
    <cellStyle name="Assumptions Center Multiple 2 7 3" xfId="6145"/>
    <cellStyle name="Assumptions Center Multiple 2 7 3 2" xfId="10039"/>
    <cellStyle name="Assumptions Center Multiple 2 7 4" xfId="8464"/>
    <cellStyle name="Assumptions Center Multiple 2 8" xfId="2888"/>
    <cellStyle name="Assumptions Center Multiple 2 8 2" xfId="3864"/>
    <cellStyle name="Assumptions Center Multiple 2 8 2 2" xfId="9054"/>
    <cellStyle name="Assumptions Center Multiple 2 8 3" xfId="5819"/>
    <cellStyle name="Assumptions Center Multiple 2 8 3 2" xfId="7614"/>
    <cellStyle name="Assumptions Center Multiple 2 8 4" xfId="6921"/>
    <cellStyle name="Assumptions Center Multiple 2 9" xfId="3337"/>
    <cellStyle name="Assumptions Center Multiple 2 9 2" xfId="4928"/>
    <cellStyle name="Assumptions Center Multiple 2 9 2 2" xfId="6893"/>
    <cellStyle name="Assumptions Center Multiple 2 9 3" xfId="6204"/>
    <cellStyle name="Assumptions Center Multiple 2 9 3 2" xfId="10098"/>
    <cellStyle name="Assumptions Center Multiple 2 9 4" xfId="9442"/>
    <cellStyle name="Assumptions Center Multiple 3" xfId="1712"/>
    <cellStyle name="Assumptions Center Multiple 3 10" xfId="3455"/>
    <cellStyle name="Assumptions Center Multiple 3 10 2" xfId="5025"/>
    <cellStyle name="Assumptions Center Multiple 3 10 2 2" xfId="8230"/>
    <cellStyle name="Assumptions Center Multiple 3 10 3" xfId="9026"/>
    <cellStyle name="Assumptions Center Multiple 3 11" xfId="3644"/>
    <cellStyle name="Assumptions Center Multiple 3 11 2" xfId="9730"/>
    <cellStyle name="Assumptions Center Multiple 3 12" xfId="8220"/>
    <cellStyle name="Assumptions Center Multiple 3 2" xfId="1896"/>
    <cellStyle name="Assumptions Center Multiple 3 2 10" xfId="7593"/>
    <cellStyle name="Assumptions Center Multiple 3 2 2" xfId="2510"/>
    <cellStyle name="Assumptions Center Multiple 3 2 2 2" xfId="2611"/>
    <cellStyle name="Assumptions Center Multiple 3 2 2 2 2" xfId="4857"/>
    <cellStyle name="Assumptions Center Multiple 3 2 2 2 2 2" xfId="7564"/>
    <cellStyle name="Assumptions Center Multiple 3 2 2 2 3" xfId="6528"/>
    <cellStyle name="Assumptions Center Multiple 3 2 2 3" xfId="4445"/>
    <cellStyle name="Assumptions Center Multiple 3 2 2 3 2" xfId="9045"/>
    <cellStyle name="Assumptions Center Multiple 3 2 2 4" xfId="6253"/>
    <cellStyle name="Assumptions Center Multiple 3 2 3" xfId="2360"/>
    <cellStyle name="Assumptions Center Multiple 3 2 3 2" xfId="2770"/>
    <cellStyle name="Assumptions Center Multiple 3 2 3 2 2" xfId="4061"/>
    <cellStyle name="Assumptions Center Multiple 3 2 3 2 2 2" xfId="7923"/>
    <cellStyle name="Assumptions Center Multiple 3 2 3 2 3" xfId="7355"/>
    <cellStyle name="Assumptions Center Multiple 3 2 3 3" xfId="4705"/>
    <cellStyle name="Assumptions Center Multiple 3 2 3 3 2" xfId="7191"/>
    <cellStyle name="Assumptions Center Multiple 3 2 3 4" xfId="5681"/>
    <cellStyle name="Assumptions Center Multiple 3 2 3 4 2" xfId="6375"/>
    <cellStyle name="Assumptions Center Multiple 3 2 3 5" xfId="6409"/>
    <cellStyle name="Assumptions Center Multiple 3 2 4" xfId="2206"/>
    <cellStyle name="Assumptions Center Multiple 3 2 4 2" xfId="4463"/>
    <cellStyle name="Assumptions Center Multiple 3 2 4 2 2" xfId="9733"/>
    <cellStyle name="Assumptions Center Multiple 3 2 4 3" xfId="5613"/>
    <cellStyle name="Assumptions Center Multiple 3 2 4 3 2" xfId="7456"/>
    <cellStyle name="Assumptions Center Multiple 3 2 4 4" xfId="9259"/>
    <cellStyle name="Assumptions Center Multiple 3 2 5" xfId="2930"/>
    <cellStyle name="Assumptions Center Multiple 3 2 5 2" xfId="4041"/>
    <cellStyle name="Assumptions Center Multiple 3 2 5 2 2" xfId="8418"/>
    <cellStyle name="Assumptions Center Multiple 3 2 5 3" xfId="5859"/>
    <cellStyle name="Assumptions Center Multiple 3 2 5 3 2" xfId="6437"/>
    <cellStyle name="Assumptions Center Multiple 3 2 5 4" xfId="7441"/>
    <cellStyle name="Assumptions Center Multiple 3 2 6" xfId="2907"/>
    <cellStyle name="Assumptions Center Multiple 3 2 6 2" xfId="3854"/>
    <cellStyle name="Assumptions Center Multiple 3 2 6 2 2" xfId="9625"/>
    <cellStyle name="Assumptions Center Multiple 3 2 6 3" xfId="5838"/>
    <cellStyle name="Assumptions Center Multiple 3 2 6 3 2" xfId="8097"/>
    <cellStyle name="Assumptions Center Multiple 3 2 6 4" xfId="9199"/>
    <cellStyle name="Assumptions Center Multiple 3 2 7" xfId="2995"/>
    <cellStyle name="Assumptions Center Multiple 3 2 7 2" xfId="3806"/>
    <cellStyle name="Assumptions Center Multiple 3 2 7 2 2" xfId="9528"/>
    <cellStyle name="Assumptions Center Multiple 3 2 7 3" xfId="5898"/>
    <cellStyle name="Assumptions Center Multiple 3 2 7 3 2" xfId="9792"/>
    <cellStyle name="Assumptions Center Multiple 3 2 7 4" xfId="8618"/>
    <cellStyle name="Assumptions Center Multiple 3 2 8" xfId="3503"/>
    <cellStyle name="Assumptions Center Multiple 3 2 8 2" xfId="5073"/>
    <cellStyle name="Assumptions Center Multiple 3 2 8 2 2" xfId="9537"/>
    <cellStyle name="Assumptions Center Multiple 3 2 8 3" xfId="8978"/>
    <cellStyle name="Assumptions Center Multiple 3 2 9" xfId="3613"/>
    <cellStyle name="Assumptions Center Multiple 3 2 9 2" xfId="9188"/>
    <cellStyle name="Assumptions Center Multiple 3 3" xfId="2322"/>
    <cellStyle name="Assumptions Center Multiple 3 3 2" xfId="2673"/>
    <cellStyle name="Assumptions Center Multiple 3 3 2 2" xfId="4854"/>
    <cellStyle name="Assumptions Center Multiple 3 3 2 2 2" xfId="7181"/>
    <cellStyle name="Assumptions Center Multiple 3 3 2 3" xfId="6341"/>
    <cellStyle name="Assumptions Center Multiple 3 3 3" xfId="4606"/>
    <cellStyle name="Assumptions Center Multiple 3 3 3 2" xfId="7959"/>
    <cellStyle name="Assumptions Center Multiple 3 3 4" xfId="5164"/>
    <cellStyle name="Assumptions Center Multiple 3 3 4 2" xfId="6935"/>
    <cellStyle name="Assumptions Center Multiple 3 3 5" xfId="5503"/>
    <cellStyle name="Assumptions Center Multiple 3 3 5 2" xfId="7761"/>
    <cellStyle name="Assumptions Center Multiple 3 3 6" xfId="7381"/>
    <cellStyle name="Assumptions Center Multiple 3 4" xfId="2309"/>
    <cellStyle name="Assumptions Center Multiple 3 4 2" xfId="4802"/>
    <cellStyle name="Assumptions Center Multiple 3 4 2 2" xfId="9535"/>
    <cellStyle name="Assumptions Center Multiple 3 4 3" xfId="5531"/>
    <cellStyle name="Assumptions Center Multiple 3 4 3 2" xfId="7161"/>
    <cellStyle name="Assumptions Center Multiple 3 4 4" xfId="6884"/>
    <cellStyle name="Assumptions Center Multiple 3 5" xfId="2952"/>
    <cellStyle name="Assumptions Center Multiple 3 5 2" xfId="3832"/>
    <cellStyle name="Assumptions Center Multiple 3 5 2 2" xfId="8120"/>
    <cellStyle name="Assumptions Center Multiple 3 5 3" xfId="5872"/>
    <cellStyle name="Assumptions Center Multiple 3 5 3 2" xfId="7282"/>
    <cellStyle name="Assumptions Center Multiple 3 5 4" xfId="7354"/>
    <cellStyle name="Assumptions Center Multiple 3 6" xfId="2778"/>
    <cellStyle name="Assumptions Center Multiple 3 6 2" xfId="3934"/>
    <cellStyle name="Assumptions Center Multiple 3 6 2 2" xfId="7057"/>
    <cellStyle name="Assumptions Center Multiple 3 6 3" xfId="5715"/>
    <cellStyle name="Assumptions Center Multiple 3 6 3 2" xfId="6674"/>
    <cellStyle name="Assumptions Center Multiple 3 6 4" xfId="6854"/>
    <cellStyle name="Assumptions Center Multiple 3 7" xfId="3279"/>
    <cellStyle name="Assumptions Center Multiple 3 7 2" xfId="3559"/>
    <cellStyle name="Assumptions Center Multiple 3 7 2 2" xfId="7821"/>
    <cellStyle name="Assumptions Center Multiple 3 7 3" xfId="6153"/>
    <cellStyle name="Assumptions Center Multiple 3 7 3 2" xfId="10047"/>
    <cellStyle name="Assumptions Center Multiple 3 7 4" xfId="6496"/>
    <cellStyle name="Assumptions Center Multiple 3 8" xfId="2768"/>
    <cellStyle name="Assumptions Center Multiple 3 8 2" xfId="3940"/>
    <cellStyle name="Assumptions Center Multiple 3 8 2 2" xfId="8325"/>
    <cellStyle name="Assumptions Center Multiple 3 8 3" xfId="5708"/>
    <cellStyle name="Assumptions Center Multiple 3 8 3 2" xfId="6633"/>
    <cellStyle name="Assumptions Center Multiple 3 8 4" xfId="8396"/>
    <cellStyle name="Assumptions Center Multiple 3 9" xfId="2855"/>
    <cellStyle name="Assumptions Center Multiple 3 9 2" xfId="3892"/>
    <cellStyle name="Assumptions Center Multiple 3 9 2 2" xfId="7179"/>
    <cellStyle name="Assumptions Center Multiple 3 9 3" xfId="5786"/>
    <cellStyle name="Assumptions Center Multiple 3 9 3 2" xfId="7522"/>
    <cellStyle name="Assumptions Center Multiple 3 9 4" xfId="7981"/>
    <cellStyle name="Assumptions Center Multiple 4" xfId="2121"/>
    <cellStyle name="Assumptions Center Multiple 4 2" xfId="2643"/>
    <cellStyle name="Assumptions Center Multiple 4 2 2" xfId="4733"/>
    <cellStyle name="Assumptions Center Multiple 4 2 2 2" xfId="7823"/>
    <cellStyle name="Assumptions Center Multiple 4 2 3" xfId="6432"/>
    <cellStyle name="Assumptions Center Multiple 4 3" xfId="4843"/>
    <cellStyle name="Assumptions Center Multiple 4 3 2" xfId="8578"/>
    <cellStyle name="Assumptions Center Multiple 4 4" xfId="5097"/>
    <cellStyle name="Assumptions Center Multiple 4 4 2" xfId="9675"/>
    <cellStyle name="Assumptions Center Multiple 4 5" xfId="5474"/>
    <cellStyle name="Assumptions Center Multiple 4 5 2" xfId="7306"/>
    <cellStyle name="Assumptions Center Multiple 4 6" xfId="7572"/>
    <cellStyle name="Assumptions Center Multiple 5" xfId="2271"/>
    <cellStyle name="Assumptions Center Multiple 5 2" xfId="4829"/>
    <cellStyle name="Assumptions Center Multiple 5 2 2" xfId="9682"/>
    <cellStyle name="Assumptions Center Multiple 5 3" xfId="5457"/>
    <cellStyle name="Assumptions Center Multiple 5 3 2" xfId="8010"/>
    <cellStyle name="Assumptions Center Multiple 5 4" xfId="6630"/>
    <cellStyle name="Assumptions Center Multiple 6" xfId="3047"/>
    <cellStyle name="Assumptions Center Multiple 6 2" xfId="3774"/>
    <cellStyle name="Assumptions Center Multiple 6 2 2" xfId="8595"/>
    <cellStyle name="Assumptions Center Multiple 6 3" xfId="5948"/>
    <cellStyle name="Assumptions Center Multiple 6 3 2" xfId="9842"/>
    <cellStyle name="Assumptions Center Multiple 6 4" xfId="6792"/>
    <cellStyle name="Assumptions Center Multiple 7" xfId="3237"/>
    <cellStyle name="Assumptions Center Multiple 7 2" xfId="3565"/>
    <cellStyle name="Assumptions Center Multiple 7 2 2" xfId="8469"/>
    <cellStyle name="Assumptions Center Multiple 7 3" xfId="6119"/>
    <cellStyle name="Assumptions Center Multiple 7 3 2" xfId="10013"/>
    <cellStyle name="Assumptions Center Multiple 7 4" xfId="8057"/>
    <cellStyle name="Assumptions Center Multiple 8" xfId="3117"/>
    <cellStyle name="Assumptions Center Multiple 8 2" xfId="3736"/>
    <cellStyle name="Assumptions Center Multiple 8 2 2" xfId="6873"/>
    <cellStyle name="Assumptions Center Multiple 8 3" xfId="6013"/>
    <cellStyle name="Assumptions Center Multiple 8 3 2" xfId="9907"/>
    <cellStyle name="Assumptions Center Multiple 8 4" xfId="7885"/>
    <cellStyle name="Assumptions Center Multiple 9" xfId="3228"/>
    <cellStyle name="Assumptions Center Multiple 9 2" xfId="3694"/>
    <cellStyle name="Assumptions Center Multiple 9 2 2" xfId="8133"/>
    <cellStyle name="Assumptions Center Multiple 9 3" xfId="6110"/>
    <cellStyle name="Assumptions Center Multiple 9 3 2" xfId="10004"/>
    <cellStyle name="Assumptions Center Multiple 9 4" xfId="6994"/>
    <cellStyle name="Assumptions Center Number" xfId="953"/>
    <cellStyle name="Assumptions Center Number 10" xfId="3088"/>
    <cellStyle name="Assumptions Center Number 10 2" xfId="3757"/>
    <cellStyle name="Assumptions Center Number 10 2 2" xfId="7994"/>
    <cellStyle name="Assumptions Center Number 10 3" xfId="5985"/>
    <cellStyle name="Assumptions Center Number 10 3 2" xfId="9879"/>
    <cellStyle name="Assumptions Center Number 10 4" xfId="9236"/>
    <cellStyle name="Assumptions Center Number 11" xfId="3389"/>
    <cellStyle name="Assumptions Center Number 11 2" xfId="4963"/>
    <cellStyle name="Assumptions Center Number 11 2 2" xfId="8416"/>
    <cellStyle name="Assumptions Center Number 11 3" xfId="6856"/>
    <cellStyle name="Assumptions Center Number 12" xfId="4246"/>
    <cellStyle name="Assumptions Center Number 12 2" xfId="8627"/>
    <cellStyle name="Assumptions Center Number 13" xfId="8854"/>
    <cellStyle name="Assumptions Center Number 2" xfId="954"/>
    <cellStyle name="Assumptions Center Number 2 10" xfId="3390"/>
    <cellStyle name="Assumptions Center Number 2 10 2" xfId="4964"/>
    <cellStyle name="Assumptions Center Number 2 10 2 2" xfId="9635"/>
    <cellStyle name="Assumptions Center Number 2 10 3" xfId="9566"/>
    <cellStyle name="Assumptions Center Number 2 11" xfId="4017"/>
    <cellStyle name="Assumptions Center Number 2 11 2" xfId="6940"/>
    <cellStyle name="Assumptions Center Number 2 12" xfId="7536"/>
    <cellStyle name="Assumptions Center Number 2 2" xfId="1715"/>
    <cellStyle name="Assumptions Center Number 2 2 10" xfId="3458"/>
    <cellStyle name="Assumptions Center Number 2 2 10 2" xfId="5028"/>
    <cellStyle name="Assumptions Center Number 2 2 10 2 2" xfId="6474"/>
    <cellStyle name="Assumptions Center Number 2 2 10 3" xfId="9218"/>
    <cellStyle name="Assumptions Center Number 2 2 11" xfId="3641"/>
    <cellStyle name="Assumptions Center Number 2 2 11 2" xfId="9662"/>
    <cellStyle name="Assumptions Center Number 2 2 12" xfId="8299"/>
    <cellStyle name="Assumptions Center Number 2 2 2" xfId="1604"/>
    <cellStyle name="Assumptions Center Number 2 2 2 10" xfId="6827"/>
    <cellStyle name="Assumptions Center Number 2 2 2 2" xfId="2444"/>
    <cellStyle name="Assumptions Center Number 2 2 2 2 2" xfId="2578"/>
    <cellStyle name="Assumptions Center Number 2 2 2 2 2 2" xfId="4587"/>
    <cellStyle name="Assumptions Center Number 2 2 2 2 2 2 2" xfId="7985"/>
    <cellStyle name="Assumptions Center Number 2 2 2 2 2 3" xfId="9763"/>
    <cellStyle name="Assumptions Center Number 2 2 2 2 3" xfId="4430"/>
    <cellStyle name="Assumptions Center Number 2 2 2 2 3 2" xfId="6765"/>
    <cellStyle name="Assumptions Center Number 2 2 2 2 4" xfId="6390"/>
    <cellStyle name="Assumptions Center Number 2 2 2 3" xfId="2212"/>
    <cellStyle name="Assumptions Center Number 2 2 2 3 2" xfId="2972"/>
    <cellStyle name="Assumptions Center Number 2 2 2 3 2 2" xfId="4218"/>
    <cellStyle name="Assumptions Center Number 2 2 2 3 2 2 2" xfId="9650"/>
    <cellStyle name="Assumptions Center Number 2 2 2 3 2 3" xfId="7010"/>
    <cellStyle name="Assumptions Center Number 2 2 2 3 3" xfId="4725"/>
    <cellStyle name="Assumptions Center Number 2 2 2 3 3 2" xfId="9527"/>
    <cellStyle name="Assumptions Center Number 2 2 2 3 4" xfId="5618"/>
    <cellStyle name="Assumptions Center Number 2 2 2 3 4 2" xfId="7276"/>
    <cellStyle name="Assumptions Center Number 2 2 2 3 5" xfId="6862"/>
    <cellStyle name="Assumptions Center Number 2 2 2 4" xfId="2160"/>
    <cellStyle name="Assumptions Center Number 2 2 2 4 2" xfId="4110"/>
    <cellStyle name="Assumptions Center Number 2 2 2 4 2 2" xfId="9462"/>
    <cellStyle name="Assumptions Center Number 2 2 2 4 3" xfId="5593"/>
    <cellStyle name="Assumptions Center Number 2 2 2 4 3 2" xfId="6267"/>
    <cellStyle name="Assumptions Center Number 2 2 2 4 4" xfId="6263"/>
    <cellStyle name="Assumptions Center Number 2 2 2 5" xfId="3333"/>
    <cellStyle name="Assumptions Center Number 2 2 2 5 2" xfId="4924"/>
    <cellStyle name="Assumptions Center Number 2 2 2 5 2 2" xfId="8412"/>
    <cellStyle name="Assumptions Center Number 2 2 2 5 3" xfId="6200"/>
    <cellStyle name="Assumptions Center Number 2 2 2 5 3 2" xfId="10094"/>
    <cellStyle name="Assumptions Center Number 2 2 2 5 4" xfId="7104"/>
    <cellStyle name="Assumptions Center Number 2 2 2 6" xfId="3203"/>
    <cellStyle name="Assumptions Center Number 2 2 2 6 2" xfId="3700"/>
    <cellStyle name="Assumptions Center Number 2 2 2 6 2 2" xfId="7878"/>
    <cellStyle name="Assumptions Center Number 2 2 2 6 3" xfId="6092"/>
    <cellStyle name="Assumptions Center Number 2 2 2 6 3 2" xfId="9986"/>
    <cellStyle name="Assumptions Center Number 2 2 2 6 4" xfId="8236"/>
    <cellStyle name="Assumptions Center Number 2 2 2 7" xfId="3180"/>
    <cellStyle name="Assumptions Center Number 2 2 2 7 2" xfId="4198"/>
    <cellStyle name="Assumptions Center Number 2 2 2 7 2 2" xfId="7822"/>
    <cellStyle name="Assumptions Center Number 2 2 2 7 3" xfId="6071"/>
    <cellStyle name="Assumptions Center Number 2 2 2 7 3 2" xfId="9965"/>
    <cellStyle name="Assumptions Center Number 2 2 2 7 4" xfId="8275"/>
    <cellStyle name="Assumptions Center Number 2 2 2 8" xfId="3442"/>
    <cellStyle name="Assumptions Center Number 2 2 2 8 2" xfId="5013"/>
    <cellStyle name="Assumptions Center Number 2 2 2 8 2 2" xfId="8242"/>
    <cellStyle name="Assumptions Center Number 2 2 2 8 3" xfId="9512"/>
    <cellStyle name="Assumptions Center Number 2 2 2 9" xfId="3992"/>
    <cellStyle name="Assumptions Center Number 2 2 2 9 2" xfId="9641"/>
    <cellStyle name="Assumptions Center Number 2 2 3" xfId="2197"/>
    <cellStyle name="Assumptions Center Number 2 2 3 2" xfId="2676"/>
    <cellStyle name="Assumptions Center Number 2 2 3 2 2" xfId="3610"/>
    <cellStyle name="Assumptions Center Number 2 2 3 2 2 2" xfId="6519"/>
    <cellStyle name="Assumptions Center Number 2 2 3 2 3" xfId="6986"/>
    <cellStyle name="Assumptions Center Number 2 2 3 3" xfId="4739"/>
    <cellStyle name="Assumptions Center Number 2 2 3 3 2" xfId="6535"/>
    <cellStyle name="Assumptions Center Number 2 2 3 4" xfId="5288"/>
    <cellStyle name="Assumptions Center Number 2 2 3 4 2" xfId="7813"/>
    <cellStyle name="Assumptions Center Number 2 2 3 5" xfId="5506"/>
    <cellStyle name="Assumptions Center Number 2 2 3 5 2" xfId="8160"/>
    <cellStyle name="Assumptions Center Number 2 2 3 6" xfId="8463"/>
    <cellStyle name="Assumptions Center Number 2 2 4" xfId="2310"/>
    <cellStyle name="Assumptions Center Number 2 2 4 2" xfId="4487"/>
    <cellStyle name="Assumptions Center Number 2 2 4 2 2" xfId="9687"/>
    <cellStyle name="Assumptions Center Number 2 2 4 3" xfId="5534"/>
    <cellStyle name="Assumptions Center Number 2 2 4 3 2" xfId="6868"/>
    <cellStyle name="Assumptions Center Number 2 2 4 4" xfId="8030"/>
    <cellStyle name="Assumptions Center Number 2 2 5" xfId="2782"/>
    <cellStyle name="Assumptions Center Number 2 2 5 2" xfId="4233"/>
    <cellStyle name="Assumptions Center Number 2 2 5 2 2" xfId="8982"/>
    <cellStyle name="Assumptions Center Number 2 2 5 3" xfId="5718"/>
    <cellStyle name="Assumptions Center Number 2 2 5 3 2" xfId="7479"/>
    <cellStyle name="Assumptions Center Number 2 2 5 4" xfId="7693"/>
    <cellStyle name="Assumptions Center Number 2 2 6" xfId="2926"/>
    <cellStyle name="Assumptions Center Number 2 2 6 2" xfId="4152"/>
    <cellStyle name="Assumptions Center Number 2 2 6 2 2" xfId="8114"/>
    <cellStyle name="Assumptions Center Number 2 2 6 3" xfId="5855"/>
    <cellStyle name="Assumptions Center Number 2 2 6 3 2" xfId="8062"/>
    <cellStyle name="Assumptions Center Number 2 2 6 4" xfId="7347"/>
    <cellStyle name="Assumptions Center Number 2 2 7" xfId="3230"/>
    <cellStyle name="Assumptions Center Number 2 2 7 2" xfId="4255"/>
    <cellStyle name="Assumptions Center Number 2 2 7 2 2" xfId="9214"/>
    <cellStyle name="Assumptions Center Number 2 2 7 3" xfId="6112"/>
    <cellStyle name="Assumptions Center Number 2 2 7 3 2" xfId="10006"/>
    <cellStyle name="Assumptions Center Number 2 2 7 4" xfId="6314"/>
    <cellStyle name="Assumptions Center Number 2 2 8" xfId="2998"/>
    <cellStyle name="Assumptions Center Number 2 2 8 2" xfId="3805"/>
    <cellStyle name="Assumptions Center Number 2 2 8 2 2" xfId="8198"/>
    <cellStyle name="Assumptions Center Number 2 2 8 3" xfId="5901"/>
    <cellStyle name="Assumptions Center Number 2 2 8 3 2" xfId="9795"/>
    <cellStyle name="Assumptions Center Number 2 2 8 4" xfId="7341"/>
    <cellStyle name="Assumptions Center Number 2 2 9" xfId="2833"/>
    <cellStyle name="Assumptions Center Number 2 2 9 2" xfId="3898"/>
    <cellStyle name="Assumptions Center Number 2 2 9 2 2" xfId="8705"/>
    <cellStyle name="Assumptions Center Number 2 2 9 3" xfId="5766"/>
    <cellStyle name="Assumptions Center Number 2 2 9 3 2" xfId="7628"/>
    <cellStyle name="Assumptions Center Number 2 2 9 4" xfId="9496"/>
    <cellStyle name="Assumptions Center Number 2 3" xfId="2246"/>
    <cellStyle name="Assumptions Center Number 2 3 2" xfId="2646"/>
    <cellStyle name="Assumptions Center Number 2 3 2 2" xfId="4754"/>
    <cellStyle name="Assumptions Center Number 2 3 2 2 2" xfId="7488"/>
    <cellStyle name="Assumptions Center Number 2 3 2 3" xfId="7003"/>
    <cellStyle name="Assumptions Center Number 2 3 3" xfId="4697"/>
    <cellStyle name="Assumptions Center Number 2 3 3 2" xfId="8723"/>
    <cellStyle name="Assumptions Center Number 2 3 4" xfId="5140"/>
    <cellStyle name="Assumptions Center Number 2 3 4 2" xfId="7404"/>
    <cellStyle name="Assumptions Center Number 2 3 5" xfId="5477"/>
    <cellStyle name="Assumptions Center Number 2 3 5 2" xfId="6998"/>
    <cellStyle name="Assumptions Center Number 2 3 6" xfId="7288"/>
    <cellStyle name="Assumptions Center Number 2 4" xfId="2273"/>
    <cellStyle name="Assumptions Center Number 2 4 2" xfId="4475"/>
    <cellStyle name="Assumptions Center Number 2 4 2 2" xfId="8873"/>
    <cellStyle name="Assumptions Center Number 2 4 3" xfId="5454"/>
    <cellStyle name="Assumptions Center Number 2 4 3 2" xfId="8517"/>
    <cellStyle name="Assumptions Center Number 2 4 4" xfId="8401"/>
    <cellStyle name="Assumptions Center Number 2 5" xfId="2919"/>
    <cellStyle name="Assumptions Center Number 2 5 2" xfId="3850"/>
    <cellStyle name="Assumptions Center Number 2 5 2 2" xfId="7081"/>
    <cellStyle name="Assumptions Center Number 2 5 3" xfId="5848"/>
    <cellStyle name="Assumptions Center Number 2 5 3 2" xfId="7270"/>
    <cellStyle name="Assumptions Center Number 2 5 4" xfId="7964"/>
    <cellStyle name="Assumptions Center Number 2 6" xfId="3093"/>
    <cellStyle name="Assumptions Center Number 2 6 2" xfId="4057"/>
    <cellStyle name="Assumptions Center Number 2 6 2 2" xfId="7873"/>
    <cellStyle name="Assumptions Center Number 2 6 3" xfId="5990"/>
    <cellStyle name="Assumptions Center Number 2 6 3 2" xfId="9884"/>
    <cellStyle name="Assumptions Center Number 2 6 4" xfId="9085"/>
    <cellStyle name="Assumptions Center Number 2 7" xfId="2841"/>
    <cellStyle name="Assumptions Center Number 2 7 2" xfId="4162"/>
    <cellStyle name="Assumptions Center Number 2 7 2 2" xfId="8268"/>
    <cellStyle name="Assumptions Center Number 2 7 3" xfId="5773"/>
    <cellStyle name="Assumptions Center Number 2 7 3 2" xfId="6908"/>
    <cellStyle name="Assumptions Center Number 2 7 4" xfId="8427"/>
    <cellStyle name="Assumptions Center Number 2 8" xfId="2878"/>
    <cellStyle name="Assumptions Center Number 2 8 2" xfId="3873"/>
    <cellStyle name="Assumptions Center Number 2 8 2 2" xfId="6651"/>
    <cellStyle name="Assumptions Center Number 2 8 3" xfId="5809"/>
    <cellStyle name="Assumptions Center Number 2 8 3 2" xfId="7846"/>
    <cellStyle name="Assumptions Center Number 2 8 4" xfId="8985"/>
    <cellStyle name="Assumptions Center Number 2 9" xfId="3072"/>
    <cellStyle name="Assumptions Center Number 2 9 2" xfId="4138"/>
    <cellStyle name="Assumptions Center Number 2 9 2 2" xfId="7421"/>
    <cellStyle name="Assumptions Center Number 2 9 3" xfId="5970"/>
    <cellStyle name="Assumptions Center Number 2 9 3 2" xfId="9864"/>
    <cellStyle name="Assumptions Center Number 2 9 4" xfId="9243"/>
    <cellStyle name="Assumptions Center Number 3" xfId="1714"/>
    <cellStyle name="Assumptions Center Number 3 10" xfId="3457"/>
    <cellStyle name="Assumptions Center Number 3 10 2" xfId="5027"/>
    <cellStyle name="Assumptions Center Number 3 10 2 2" xfId="7782"/>
    <cellStyle name="Assumptions Center Number 3 10 3" xfId="9390"/>
    <cellStyle name="Assumptions Center Number 3 11" xfId="3642"/>
    <cellStyle name="Assumptions Center Number 3 11 2" xfId="7377"/>
    <cellStyle name="Assumptions Center Number 3 12" xfId="7495"/>
    <cellStyle name="Assumptions Center Number 3 2" xfId="1704"/>
    <cellStyle name="Assumptions Center Number 3 2 10" xfId="7098"/>
    <cellStyle name="Assumptions Center Number 3 2 2" xfId="2449"/>
    <cellStyle name="Assumptions Center Number 3 2 2 2" xfId="2583"/>
    <cellStyle name="Assumptions Center Number 3 2 2 2 2" xfId="4798"/>
    <cellStyle name="Assumptions Center Number 3 2 2 2 2 2" xfId="9090"/>
    <cellStyle name="Assumptions Center Number 3 2 2 2 3" xfId="9762"/>
    <cellStyle name="Assumptions Center Number 3 2 2 3" xfId="4639"/>
    <cellStyle name="Assumptions Center Number 3 2 2 3 2" xfId="6364"/>
    <cellStyle name="Assumptions Center Number 3 2 2 4" xfId="6441"/>
    <cellStyle name="Assumptions Center Number 3 2 3" xfId="2300"/>
    <cellStyle name="Assumptions Center Number 3 2 3 2" xfId="3185"/>
    <cellStyle name="Assumptions Center Number 3 2 3 2 2" xfId="4197"/>
    <cellStyle name="Assumptions Center Number 3 2 3 2 2 2" xfId="7171"/>
    <cellStyle name="Assumptions Center Number 3 2 3 2 3" xfId="8077"/>
    <cellStyle name="Assumptions Center Number 3 2 3 3" xfId="4704"/>
    <cellStyle name="Assumptions Center Number 3 2 3 3 2" xfId="9702"/>
    <cellStyle name="Assumptions Center Number 3 2 3 4" xfId="5651"/>
    <cellStyle name="Assumptions Center Number 3 2 3 4 2" xfId="7105"/>
    <cellStyle name="Assumptions Center Number 3 2 3 5" xfId="6280"/>
    <cellStyle name="Assumptions Center Number 3 2 4" xfId="2307"/>
    <cellStyle name="Assumptions Center Number 3 2 4 2" xfId="4778"/>
    <cellStyle name="Assumptions Center Number 3 2 4 2 2" xfId="9749"/>
    <cellStyle name="Assumptions Center Number 3 2 4 3" xfId="5655"/>
    <cellStyle name="Assumptions Center Number 3 2 4 3 2" xfId="8179"/>
    <cellStyle name="Assumptions Center Number 3 2 4 4" xfId="7698"/>
    <cellStyle name="Assumptions Center Number 3 2 5" xfId="3253"/>
    <cellStyle name="Assumptions Center Number 3 2 5 2" xfId="4252"/>
    <cellStyle name="Assumptions Center Number 3 2 5 2 2" xfId="8993"/>
    <cellStyle name="Assumptions Center Number 3 2 5 3" xfId="6130"/>
    <cellStyle name="Assumptions Center Number 3 2 5 3 2" xfId="10024"/>
    <cellStyle name="Assumptions Center Number 3 2 5 4" xfId="6797"/>
    <cellStyle name="Assumptions Center Number 3 2 6" xfId="2929"/>
    <cellStyle name="Assumptions Center Number 3 2 6 2" xfId="4151"/>
    <cellStyle name="Assumptions Center Number 3 2 6 2 2" xfId="9742"/>
    <cellStyle name="Assumptions Center Number 3 2 6 3" xfId="5858"/>
    <cellStyle name="Assumptions Center Number 3 2 6 3 2" xfId="6779"/>
    <cellStyle name="Assumptions Center Number 3 2 6 4" xfId="7131"/>
    <cellStyle name="Assumptions Center Number 3 2 7" xfId="3327"/>
    <cellStyle name="Assumptions Center Number 3 2 7 2" xfId="4918"/>
    <cellStyle name="Assumptions Center Number 3 2 7 2 2" xfId="8883"/>
    <cellStyle name="Assumptions Center Number 3 2 7 3" xfId="6194"/>
    <cellStyle name="Assumptions Center Number 3 2 7 3 2" xfId="10088"/>
    <cellStyle name="Assumptions Center Number 3 2 7 4" xfId="6476"/>
    <cellStyle name="Assumptions Center Number 3 2 8" xfId="3448"/>
    <cellStyle name="Assumptions Center Number 3 2 8 2" xfId="5018"/>
    <cellStyle name="Assumptions Center Number 3 2 8 2 2" xfId="9448"/>
    <cellStyle name="Assumptions Center Number 3 2 8 3" xfId="9505"/>
    <cellStyle name="Assumptions Center Number 3 2 9" xfId="3651"/>
    <cellStyle name="Assumptions Center Number 3 2 9 2" xfId="8685"/>
    <cellStyle name="Assumptions Center Number 3 3" xfId="2198"/>
    <cellStyle name="Assumptions Center Number 3 3 2" xfId="2675"/>
    <cellStyle name="Assumptions Center Number 3 3 2 2" xfId="3965"/>
    <cellStyle name="Assumptions Center Number 3 3 2 2 2" xfId="9753"/>
    <cellStyle name="Assumptions Center Number 3 3 2 3" xfId="6605"/>
    <cellStyle name="Assumptions Center Number 3 3 3" xfId="4418"/>
    <cellStyle name="Assumptions Center Number 3 3 3 2" xfId="8354"/>
    <cellStyle name="Assumptions Center Number 3 3 4" xfId="5189"/>
    <cellStyle name="Assumptions Center Number 3 3 4 2" xfId="6705"/>
    <cellStyle name="Assumptions Center Number 3 3 5" xfId="5505"/>
    <cellStyle name="Assumptions Center Number 3 3 5 2" xfId="8472"/>
    <cellStyle name="Assumptions Center Number 3 3 6" xfId="6493"/>
    <cellStyle name="Assumptions Center Number 3 4" xfId="2253"/>
    <cellStyle name="Assumptions Center Number 3 4 2" xfId="4844"/>
    <cellStyle name="Assumptions Center Number 3 4 2 2" xfId="7868"/>
    <cellStyle name="Assumptions Center Number 3 4 3" xfId="5533"/>
    <cellStyle name="Assumptions Center Number 3 4 3 2" xfId="6788"/>
    <cellStyle name="Assumptions Center Number 3 4 4" xfId="9303"/>
    <cellStyle name="Assumptions Center Number 3 5" xfId="2951"/>
    <cellStyle name="Assumptions Center Number 3 5 2" xfId="3833"/>
    <cellStyle name="Assumptions Center Number 3 5 2 2" xfId="9602"/>
    <cellStyle name="Assumptions Center Number 3 5 3" xfId="5871"/>
    <cellStyle name="Assumptions Center Number 3 5 3 2" xfId="6472"/>
    <cellStyle name="Assumptions Center Number 3 5 4" xfId="8420"/>
    <cellStyle name="Assumptions Center Number 3 6" xfId="3055"/>
    <cellStyle name="Assumptions Center Number 3 6 2" xfId="3770"/>
    <cellStyle name="Assumptions Center Number 3 6 2 2" xfId="8990"/>
    <cellStyle name="Assumptions Center Number 3 6 3" xfId="5955"/>
    <cellStyle name="Assumptions Center Number 3 6 3 2" xfId="9849"/>
    <cellStyle name="Assumptions Center Number 3 6 4" xfId="7298"/>
    <cellStyle name="Assumptions Center Number 3 7" xfId="3150"/>
    <cellStyle name="Assumptions Center Number 3 7 2" xfId="4083"/>
    <cellStyle name="Assumptions Center Number 3 7 2 2" xfId="9709"/>
    <cellStyle name="Assumptions Center Number 3 7 3" xfId="6044"/>
    <cellStyle name="Assumptions Center Number 3 7 3 2" xfId="9938"/>
    <cellStyle name="Assumptions Center Number 3 7 4" xfId="6946"/>
    <cellStyle name="Assumptions Center Number 3 8" xfId="3100"/>
    <cellStyle name="Assumptions Center Number 3 8 2" xfId="3751"/>
    <cellStyle name="Assumptions Center Number 3 8 2 2" xfId="8629"/>
    <cellStyle name="Assumptions Center Number 3 8 3" xfId="5997"/>
    <cellStyle name="Assumptions Center Number 3 8 3 2" xfId="9891"/>
    <cellStyle name="Assumptions Center Number 3 8 4" xfId="8724"/>
    <cellStyle name="Assumptions Center Number 3 9" xfId="3340"/>
    <cellStyle name="Assumptions Center Number 3 9 2" xfId="4931"/>
    <cellStyle name="Assumptions Center Number 3 9 2 2" xfId="8533"/>
    <cellStyle name="Assumptions Center Number 3 9 3" xfId="6207"/>
    <cellStyle name="Assumptions Center Number 3 9 3 2" xfId="10101"/>
    <cellStyle name="Assumptions Center Number 3 9 4" xfId="9461"/>
    <cellStyle name="Assumptions Center Number 4" xfId="2362"/>
    <cellStyle name="Assumptions Center Number 4 2" xfId="2645"/>
    <cellStyle name="Assumptions Center Number 4 2 2" xfId="4815"/>
    <cellStyle name="Assumptions Center Number 4 2 2 2" xfId="8572"/>
    <cellStyle name="Assumptions Center Number 4 2 3" xfId="7420"/>
    <cellStyle name="Assumptions Center Number 4 3" xfId="4620"/>
    <cellStyle name="Assumptions Center Number 4 3 2" xfId="7100"/>
    <cellStyle name="Assumptions Center Number 4 4" xfId="5310"/>
    <cellStyle name="Assumptions Center Number 4 4 2" xfId="7757"/>
    <cellStyle name="Assumptions Center Number 4 5" xfId="5476"/>
    <cellStyle name="Assumptions Center Number 4 5 2" xfId="6978"/>
    <cellStyle name="Assumptions Center Number 4 6" xfId="8061"/>
    <cellStyle name="Assumptions Center Number 5" xfId="2109"/>
    <cellStyle name="Assumptions Center Number 5 2" xfId="4715"/>
    <cellStyle name="Assumptions Center Number 5 2 2" xfId="7388"/>
    <cellStyle name="Assumptions Center Number 5 3" xfId="5455"/>
    <cellStyle name="Assumptions Center Number 5 3 2" xfId="7343"/>
    <cellStyle name="Assumptions Center Number 5 4" xfId="7149"/>
    <cellStyle name="Assumptions Center Number 6" xfId="3045"/>
    <cellStyle name="Assumptions Center Number 6 2" xfId="3776"/>
    <cellStyle name="Assumptions Center Number 6 2 2" xfId="6911"/>
    <cellStyle name="Assumptions Center Number 6 3" xfId="5946"/>
    <cellStyle name="Assumptions Center Number 6 3 2" xfId="9840"/>
    <cellStyle name="Assumptions Center Number 6 4" xfId="6453"/>
    <cellStyle name="Assumptions Center Number 7" xfId="2812"/>
    <cellStyle name="Assumptions Center Number 7 2" xfId="3907"/>
    <cellStyle name="Assumptions Center Number 7 2 2" xfId="9320"/>
    <cellStyle name="Assumptions Center Number 7 3" xfId="5746"/>
    <cellStyle name="Assumptions Center Number 7 3 2" xfId="8101"/>
    <cellStyle name="Assumptions Center Number 7 4" xfId="9754"/>
    <cellStyle name="Assumptions Center Number 8" xfId="3316"/>
    <cellStyle name="Assumptions Center Number 8 2" xfId="3539"/>
    <cellStyle name="Assumptions Center Number 8 2 2" xfId="9447"/>
    <cellStyle name="Assumptions Center Number 8 3" xfId="6184"/>
    <cellStyle name="Assumptions Center Number 8 3 2" xfId="10078"/>
    <cellStyle name="Assumptions Center Number 8 4" xfId="9432"/>
    <cellStyle name="Assumptions Center Number 9" xfId="3073"/>
    <cellStyle name="Assumptions Center Number 9 2" xfId="4065"/>
    <cellStyle name="Assumptions Center Number 9 2 2" xfId="9364"/>
    <cellStyle name="Assumptions Center Number 9 3" xfId="5971"/>
    <cellStyle name="Assumptions Center Number 9 3 2" xfId="9865"/>
    <cellStyle name="Assumptions Center Number 9 4" xfId="9272"/>
    <cellStyle name="Assumptions Center Percentage" xfId="955"/>
    <cellStyle name="Assumptions Center Percentage 10" xfId="3030"/>
    <cellStyle name="Assumptions Center Percentage 10 2" xfId="3789"/>
    <cellStyle name="Assumptions Center Percentage 10 2 2" xfId="9460"/>
    <cellStyle name="Assumptions Center Percentage 10 3" xfId="5931"/>
    <cellStyle name="Assumptions Center Percentage 10 3 2" xfId="9825"/>
    <cellStyle name="Assumptions Center Percentage 10 4" xfId="7190"/>
    <cellStyle name="Assumptions Center Percentage 11" xfId="3391"/>
    <cellStyle name="Assumptions Center Percentage 11 2" xfId="4965"/>
    <cellStyle name="Assumptions Center Percentage 11 2 2" xfId="8670"/>
    <cellStyle name="Assumptions Center Percentage 11 3" xfId="8228"/>
    <cellStyle name="Assumptions Center Percentage 12" xfId="4016"/>
    <cellStyle name="Assumptions Center Percentage 12 2" xfId="9732"/>
    <cellStyle name="Assumptions Center Percentage 13" xfId="6974"/>
    <cellStyle name="Assumptions Center Percentage 2" xfId="956"/>
    <cellStyle name="Assumptions Center Percentage 2 10" xfId="3392"/>
    <cellStyle name="Assumptions Center Percentage 2 10 2" xfId="4966"/>
    <cellStyle name="Assumptions Center Percentage 2 10 2 2" xfId="7991"/>
    <cellStyle name="Assumptions Center Percentage 2 10 3" xfId="7451"/>
    <cellStyle name="Assumptions Center Percentage 2 11" xfId="4015"/>
    <cellStyle name="Assumptions Center Percentage 2 11 2" xfId="7189"/>
    <cellStyle name="Assumptions Center Percentage 2 12" xfId="7956"/>
    <cellStyle name="Assumptions Center Percentage 2 2" xfId="1717"/>
    <cellStyle name="Assumptions Center Percentage 2 2 10" xfId="3460"/>
    <cellStyle name="Assumptions Center Percentage 2 2 10 2" xfId="5030"/>
    <cellStyle name="Assumptions Center Percentage 2 2 10 2 2" xfId="6595"/>
    <cellStyle name="Assumptions Center Percentage 2 2 10 3" xfId="9067"/>
    <cellStyle name="Assumptions Center Percentage 2 2 11" xfId="3639"/>
    <cellStyle name="Assumptions Center Percentage 2 2 11 2" xfId="7465"/>
    <cellStyle name="Assumptions Center Percentage 2 2 12" xfId="7305"/>
    <cellStyle name="Assumptions Center Percentage 2 2 2" xfId="1906"/>
    <cellStyle name="Assumptions Center Percentage 2 2 2 10" xfId="7830"/>
    <cellStyle name="Assumptions Center Percentage 2 2 2 2" xfId="2516"/>
    <cellStyle name="Assumptions Center Percentage 2 2 2 2 2" xfId="2617"/>
    <cellStyle name="Assumptions Center Percentage 2 2 2 2 2 2" xfId="4663"/>
    <cellStyle name="Assumptions Center Percentage 2 2 2 2 2 2 2" xfId="7335"/>
    <cellStyle name="Assumptions Center Percentage 2 2 2 2 2 3" xfId="8033"/>
    <cellStyle name="Assumptions Center Percentage 2 2 2 2 3" xfId="4827"/>
    <cellStyle name="Assumptions Center Percentage 2 2 2 2 3 2" xfId="9196"/>
    <cellStyle name="Assumptions Center Percentage 2 2 2 2 4" xfId="7236"/>
    <cellStyle name="Assumptions Center Percentage 2 2 2 3" xfId="2163"/>
    <cellStyle name="Assumptions Center Percentage 2 2 2 3 2" xfId="3248"/>
    <cellStyle name="Assumptions Center Percentage 2 2 2 3 2 2" xfId="3690"/>
    <cellStyle name="Assumptions Center Percentage 2 2 2 3 2 2 2" xfId="9197"/>
    <cellStyle name="Assumptions Center Percentage 2 2 2 3 2 3" xfId="7675"/>
    <cellStyle name="Assumptions Center Percentage 2 2 2 3 3" xfId="4865"/>
    <cellStyle name="Assumptions Center Percentage 2 2 2 3 3 2" xfId="7088"/>
    <cellStyle name="Assumptions Center Percentage 2 2 2 3 4" xfId="5595"/>
    <cellStyle name="Assumptions Center Percentage 2 2 2 3 4 2" xfId="7544"/>
    <cellStyle name="Assumptions Center Percentage 2 2 2 3 5" xfId="6863"/>
    <cellStyle name="Assumptions Center Percentage 2 2 2 4" xfId="2314"/>
    <cellStyle name="Assumptions Center Percentage 2 2 2 4 2" xfId="4885"/>
    <cellStyle name="Assumptions Center Percentage 2 2 2 4 2 2" xfId="8364"/>
    <cellStyle name="Assumptions Center Percentage 2 2 2 4 3" xfId="5658"/>
    <cellStyle name="Assumptions Center Percentage 2 2 2 4 3 2" xfId="7850"/>
    <cellStyle name="Assumptions Center Percentage 2 2 2 4 4" xfId="7496"/>
    <cellStyle name="Assumptions Center Percentage 2 2 2 5" xfId="2788"/>
    <cellStyle name="Assumptions Center Percentage 2 2 2 5 2" xfId="3926"/>
    <cellStyle name="Assumptions Center Percentage 2 2 2 5 2 2" xfId="8154"/>
    <cellStyle name="Assumptions Center Percentage 2 2 2 5 3" xfId="5722"/>
    <cellStyle name="Assumptions Center Percentage 2 2 2 5 3 2" xfId="6778"/>
    <cellStyle name="Assumptions Center Percentage 2 2 2 5 4" xfId="7778"/>
    <cellStyle name="Assumptions Center Percentage 2 2 2 6" xfId="3297"/>
    <cellStyle name="Assumptions Center Percentage 2 2 2 6 2" xfId="3555"/>
    <cellStyle name="Assumptions Center Percentage 2 2 2 6 2 2" xfId="8285"/>
    <cellStyle name="Assumptions Center Percentage 2 2 2 6 3" xfId="6166"/>
    <cellStyle name="Assumptions Center Percentage 2 2 2 6 3 2" xfId="10060"/>
    <cellStyle name="Assumptions Center Percentage 2 2 2 6 4" xfId="8750"/>
    <cellStyle name="Assumptions Center Percentage 2 2 2 7" xfId="3002"/>
    <cellStyle name="Assumptions Center Percentage 2 2 2 7 2" xfId="3588"/>
    <cellStyle name="Assumptions Center Percentage 2 2 2 7 2 2" xfId="9700"/>
    <cellStyle name="Assumptions Center Percentage 2 2 2 7 3" xfId="5905"/>
    <cellStyle name="Assumptions Center Percentage 2 2 2 7 3 2" xfId="9799"/>
    <cellStyle name="Assumptions Center Percentage 2 2 2 7 4" xfId="6349"/>
    <cellStyle name="Assumptions Center Percentage 2 2 2 8" xfId="3509"/>
    <cellStyle name="Assumptions Center Percentage 2 2 2 8 2" xfId="5079"/>
    <cellStyle name="Assumptions Center Percentage 2 2 2 8 2 2" xfId="9413"/>
    <cellStyle name="Assumptions Center Percentage 2 2 2 8 3" xfId="8499"/>
    <cellStyle name="Assumptions Center Percentage 2 2 2 9" xfId="3611"/>
    <cellStyle name="Assumptions Center Percentage 2 2 2 9 2" xfId="6667"/>
    <cellStyle name="Assumptions Center Percentage 2 2 3" xfId="2344"/>
    <cellStyle name="Assumptions Center Percentage 2 2 3 2" xfId="2678"/>
    <cellStyle name="Assumptions Center Percentage 2 2 3 2 2" xfId="4174"/>
    <cellStyle name="Assumptions Center Percentage 2 2 3 2 2 2" xfId="6413"/>
    <cellStyle name="Assumptions Center Percentage 2 2 3 2 3" xfId="6367"/>
    <cellStyle name="Assumptions Center Percentage 2 2 3 3" xfId="4861"/>
    <cellStyle name="Assumptions Center Percentage 2 2 3 3 2" xfId="7681"/>
    <cellStyle name="Assumptions Center Percentage 2 2 3 4" xfId="5203"/>
    <cellStyle name="Assumptions Center Percentage 2 2 3 4 2" xfId="6846"/>
    <cellStyle name="Assumptions Center Percentage 2 2 3 5" xfId="5508"/>
    <cellStyle name="Assumptions Center Percentage 2 2 3 5 2" xfId="8035"/>
    <cellStyle name="Assumptions Center Percentage 2 2 3 6" xfId="7568"/>
    <cellStyle name="Assumptions Center Percentage 2 2 4" xfId="2133"/>
    <cellStyle name="Assumptions Center Percentage 2 2 4 2" xfId="4481"/>
    <cellStyle name="Assumptions Center Percentage 2 2 4 2 2" xfId="9681"/>
    <cellStyle name="Assumptions Center Percentage 2 2 4 3" xfId="5536"/>
    <cellStyle name="Assumptions Center Percentage 2 2 4 3 2" xfId="8078"/>
    <cellStyle name="Assumptions Center Percentage 2 2 4 4" xfId="6251"/>
    <cellStyle name="Assumptions Center Percentage 2 2 5" xfId="2781"/>
    <cellStyle name="Assumptions Center Percentage 2 2 5 2" xfId="3931"/>
    <cellStyle name="Assumptions Center Percentage 2 2 5 2 2" xfId="9269"/>
    <cellStyle name="Assumptions Center Percentage 2 2 5 3" xfId="5717"/>
    <cellStyle name="Assumptions Center Percentage 2 2 5 3 2" xfId="8413"/>
    <cellStyle name="Assumptions Center Percentage 2 2 5 4" xfId="8486"/>
    <cellStyle name="Assumptions Center Percentage 2 2 6" xfId="3196"/>
    <cellStyle name="Assumptions Center Percentage 2 2 6 2" xfId="4125"/>
    <cellStyle name="Assumptions Center Percentage 2 2 6 2 2" xfId="6560"/>
    <cellStyle name="Assumptions Center Percentage 2 2 6 3" xfId="6085"/>
    <cellStyle name="Assumptions Center Percentage 2 2 6 3 2" xfId="9979"/>
    <cellStyle name="Assumptions Center Percentage 2 2 6 4" xfId="7549"/>
    <cellStyle name="Assumptions Center Percentage 2 2 7" xfId="3018"/>
    <cellStyle name="Assumptions Center Percentage 2 2 7 2" xfId="3798"/>
    <cellStyle name="Assumptions Center Percentage 2 2 7 2 2" xfId="6319"/>
    <cellStyle name="Assumptions Center Percentage 2 2 7 3" xfId="5920"/>
    <cellStyle name="Assumptions Center Percentage 2 2 7 3 2" xfId="9814"/>
    <cellStyle name="Assumptions Center Percentage 2 2 7 4" xfId="6811"/>
    <cellStyle name="Assumptions Center Percentage 2 2 8" xfId="3181"/>
    <cellStyle name="Assumptions Center Percentage 2 2 8 2" xfId="3707"/>
    <cellStyle name="Assumptions Center Percentage 2 2 8 2 2" xfId="7587"/>
    <cellStyle name="Assumptions Center Percentage 2 2 8 3" xfId="6072"/>
    <cellStyle name="Assumptions Center Percentage 2 2 8 3 2" xfId="9966"/>
    <cellStyle name="Assumptions Center Percentage 2 2 8 4" xfId="8374"/>
    <cellStyle name="Assumptions Center Percentage 2 2 9" xfId="2830"/>
    <cellStyle name="Assumptions Center Percentage 2 2 9 2" xfId="4070"/>
    <cellStyle name="Assumptions Center Percentage 2 2 9 2 2" xfId="9114"/>
    <cellStyle name="Assumptions Center Percentage 2 2 9 3" xfId="5763"/>
    <cellStyle name="Assumptions Center Percentage 2 2 9 3 2" xfId="7903"/>
    <cellStyle name="Assumptions Center Percentage 2 2 9 4" xfId="9596"/>
    <cellStyle name="Assumptions Center Percentage 2 3" xfId="2351"/>
    <cellStyle name="Assumptions Center Percentage 2 3 2" xfId="2648"/>
    <cellStyle name="Assumptions Center Percentage 2 3 2 2" xfId="4465"/>
    <cellStyle name="Assumptions Center Percentage 2 3 2 2 2" xfId="7324"/>
    <cellStyle name="Assumptions Center Percentage 2 3 2 3" xfId="6754"/>
    <cellStyle name="Assumptions Center Percentage 2 3 3" xfId="4652"/>
    <cellStyle name="Assumptions Center Percentage 2 3 3 2" xfId="9487"/>
    <cellStyle name="Assumptions Center Percentage 2 3 4" xfId="5295"/>
    <cellStyle name="Assumptions Center Percentage 2 3 4 2" xfId="6627"/>
    <cellStyle name="Assumptions Center Percentage 2 3 5" xfId="5479"/>
    <cellStyle name="Assumptions Center Percentage 2 3 5 2" xfId="7172"/>
    <cellStyle name="Assumptions Center Percentage 2 3 6" xfId="7874"/>
    <cellStyle name="Assumptions Center Percentage 2 4" xfId="2274"/>
    <cellStyle name="Assumptions Center Percentage 2 4 2" xfId="4803"/>
    <cellStyle name="Assumptions Center Percentage 2 4 2 2" xfId="8712"/>
    <cellStyle name="Assumptions Center Percentage 2 4 3" xfId="5452"/>
    <cellStyle name="Assumptions Center Percentage 2 4 3 2" xfId="7122"/>
    <cellStyle name="Assumptions Center Percentage 2 4 4" xfId="7641"/>
    <cellStyle name="Assumptions Center Percentage 2 5" xfId="3044"/>
    <cellStyle name="Assumptions Center Percentage 2 5 2" xfId="3777"/>
    <cellStyle name="Assumptions Center Percentage 2 5 2 2" xfId="9495"/>
    <cellStyle name="Assumptions Center Percentage 2 5 3" xfId="5945"/>
    <cellStyle name="Assumptions Center Percentage 2 5 3 2" xfId="9839"/>
    <cellStyle name="Assumptions Center Percentage 2 5 4" xfId="8297"/>
    <cellStyle name="Assumptions Center Percentage 2 6" xfId="3303"/>
    <cellStyle name="Assumptions Center Percentage 2 6 2" xfId="3551"/>
    <cellStyle name="Assumptions Center Percentage 2 6 2 2" xfId="6603"/>
    <cellStyle name="Assumptions Center Percentage 2 6 3" xfId="6172"/>
    <cellStyle name="Assumptions Center Percentage 2 6 3 2" xfId="10066"/>
    <cellStyle name="Assumptions Center Percentage 2 6 4" xfId="6259"/>
    <cellStyle name="Assumptions Center Percentage 2 7" xfId="3119"/>
    <cellStyle name="Assumptions Center Percentage 2 7 2" xfId="3735"/>
    <cellStyle name="Assumptions Center Percentage 2 7 2 2" xfId="9639"/>
    <cellStyle name="Assumptions Center Percentage 2 7 3" xfId="6015"/>
    <cellStyle name="Assumptions Center Percentage 2 7 3 2" xfId="9909"/>
    <cellStyle name="Assumptions Center Percentage 2 7 4" xfId="8438"/>
    <cellStyle name="Assumptions Center Percentage 2 8" xfId="2913"/>
    <cellStyle name="Assumptions Center Percentage 2 8 2" xfId="3852"/>
    <cellStyle name="Assumptions Center Percentage 2 8 2 2" xfId="9159"/>
    <cellStyle name="Assumptions Center Percentage 2 8 3" xfId="5844"/>
    <cellStyle name="Assumptions Center Percentage 2 8 3 2" xfId="7195"/>
    <cellStyle name="Assumptions Center Percentage 2 8 4" xfId="6757"/>
    <cellStyle name="Assumptions Center Percentage 2 9" xfId="2902"/>
    <cellStyle name="Assumptions Center Percentage 2 9 2" xfId="4157"/>
    <cellStyle name="Assumptions Center Percentage 2 9 2 2" xfId="9601"/>
    <cellStyle name="Assumptions Center Percentage 2 9 3" xfId="5833"/>
    <cellStyle name="Assumptions Center Percentage 2 9 3 2" xfId="7799"/>
    <cellStyle name="Assumptions Center Percentage 2 9 4" xfId="9219"/>
    <cellStyle name="Assumptions Center Percentage 3" xfId="1716"/>
    <cellStyle name="Assumptions Center Percentage 3 10" xfId="3459"/>
    <cellStyle name="Assumptions Center Percentage 3 10 2" xfId="5029"/>
    <cellStyle name="Assumptions Center Percentage 3 10 2 2" xfId="9171"/>
    <cellStyle name="Assumptions Center Percentage 3 10 3" xfId="9070"/>
    <cellStyle name="Assumptions Center Percentage 3 11" xfId="3640"/>
    <cellStyle name="Assumptions Center Percentage 3 11 2" xfId="8436"/>
    <cellStyle name="Assumptions Center Percentage 3 12" xfId="6805"/>
    <cellStyle name="Assumptions Center Percentage 3 2" xfId="1703"/>
    <cellStyle name="Assumptions Center Percentage 3 2 10" xfId="6439"/>
    <cellStyle name="Assumptions Center Percentage 3 2 2" xfId="2448"/>
    <cellStyle name="Assumptions Center Percentage 3 2 2 2" xfId="2582"/>
    <cellStyle name="Assumptions Center Percentage 3 2 2 2 2" xfId="4100"/>
    <cellStyle name="Assumptions Center Percentage 3 2 2 2 2 2" xfId="6721"/>
    <cellStyle name="Assumptions Center Percentage 3 2 2 2 3" xfId="9352"/>
    <cellStyle name="Assumptions Center Percentage 3 2 2 3" xfId="4749"/>
    <cellStyle name="Assumptions Center Percentage 3 2 2 3 2" xfId="7849"/>
    <cellStyle name="Assumptions Center Percentage 3 2 2 4" xfId="8302"/>
    <cellStyle name="Assumptions Center Percentage 3 2 3" xfId="2325"/>
    <cellStyle name="Assumptions Center Percentage 3 2 3 2" xfId="3216"/>
    <cellStyle name="Assumptions Center Percentage 3 2 3 2 2" xfId="4257"/>
    <cellStyle name="Assumptions Center Percentage 3 2 3 2 2 2" xfId="8646"/>
    <cellStyle name="Assumptions Center Percentage 3 2 3 2 3" xfId="6643"/>
    <cellStyle name="Assumptions Center Percentage 3 2 3 3" xfId="4791"/>
    <cellStyle name="Assumptions Center Percentage 3 2 3 3 2" xfId="7435"/>
    <cellStyle name="Assumptions Center Percentage 3 2 3 4" xfId="5663"/>
    <cellStyle name="Assumptions Center Percentage 3 2 3 4 2" xfId="6965"/>
    <cellStyle name="Assumptions Center Percentage 3 2 3 5" xfId="6423"/>
    <cellStyle name="Assumptions Center Percentage 3 2 4" xfId="2251"/>
    <cellStyle name="Assumptions Center Percentage 3 2 4 2" xfId="4887"/>
    <cellStyle name="Assumptions Center Percentage 3 2 4 2 2" xfId="9508"/>
    <cellStyle name="Assumptions Center Percentage 3 2 4 3" xfId="5632"/>
    <cellStyle name="Assumptions Center Percentage 3 2 4 3 2" xfId="7182"/>
    <cellStyle name="Assumptions Center Percentage 3 2 4 4" xfId="6245"/>
    <cellStyle name="Assumptions Center Percentage 3 2 5" xfId="3156"/>
    <cellStyle name="Assumptions Center Percentage 3 2 5 2" xfId="3714"/>
    <cellStyle name="Assumptions Center Percentage 3 2 5 2 2" xfId="7045"/>
    <cellStyle name="Assumptions Center Percentage 3 2 5 3" xfId="6050"/>
    <cellStyle name="Assumptions Center Percentage 3 2 5 3 2" xfId="9944"/>
    <cellStyle name="Assumptions Center Percentage 3 2 5 4" xfId="6962"/>
    <cellStyle name="Assumptions Center Percentage 3 2 6" xfId="3023"/>
    <cellStyle name="Assumptions Center Percentage 3 2 6 2" xfId="3793"/>
    <cellStyle name="Assumptions Center Percentage 3 2 6 2 2" xfId="8343"/>
    <cellStyle name="Assumptions Center Percentage 3 2 6 3" xfId="5925"/>
    <cellStyle name="Assumptions Center Percentage 3 2 6 3 2" xfId="9819"/>
    <cellStyle name="Assumptions Center Percentage 3 2 6 4" xfId="7455"/>
    <cellStyle name="Assumptions Center Percentage 3 2 7" xfId="3111"/>
    <cellStyle name="Assumptions Center Percentage 3 2 7 2" xfId="3742"/>
    <cellStyle name="Assumptions Center Percentage 3 2 7 2 2" xfId="9050"/>
    <cellStyle name="Assumptions Center Percentage 3 2 7 3" xfId="6007"/>
    <cellStyle name="Assumptions Center Percentage 3 2 7 3 2" xfId="9901"/>
    <cellStyle name="Assumptions Center Percentage 3 2 7 4" xfId="6536"/>
    <cellStyle name="Assumptions Center Percentage 3 2 8" xfId="3447"/>
    <cellStyle name="Assumptions Center Percentage 3 2 8 2" xfId="5017"/>
    <cellStyle name="Assumptions Center Percentage 3 2 8 2 2" xfId="7519"/>
    <cellStyle name="Assumptions Center Percentage 3 2 8 3" xfId="6648"/>
    <cellStyle name="Assumptions Center Percentage 3 2 9" xfId="3652"/>
    <cellStyle name="Assumptions Center Percentage 3 2 9 2" xfId="6925"/>
    <cellStyle name="Assumptions Center Percentage 3 3" xfId="2104"/>
    <cellStyle name="Assumptions Center Percentage 3 3 2" xfId="2677"/>
    <cellStyle name="Assumptions Center Percentage 3 3 2 2" xfId="4273"/>
    <cellStyle name="Assumptions Center Percentage 3 3 2 2 2" xfId="9074"/>
    <cellStyle name="Assumptions Center Percentage 3 3 2 3" xfId="7535"/>
    <cellStyle name="Assumptions Center Percentage 3 3 3" xfId="4779"/>
    <cellStyle name="Assumptions Center Percentage 3 3 3 2" xfId="9122"/>
    <cellStyle name="Assumptions Center Percentage 3 3 4" xfId="5366"/>
    <cellStyle name="Assumptions Center Percentage 3 3 4 2" xfId="6491"/>
    <cellStyle name="Assumptions Center Percentage 3 3 5" xfId="5507"/>
    <cellStyle name="Assumptions Center Percentage 3 3 5 2" xfId="7196"/>
    <cellStyle name="Assumptions Center Percentage 3 3 6" xfId="8116"/>
    <cellStyle name="Assumptions Center Percentage 3 4" xfId="2333"/>
    <cellStyle name="Assumptions Center Percentage 3 4 2" xfId="4719"/>
    <cellStyle name="Assumptions Center Percentage 3 4 2 2" xfId="9376"/>
    <cellStyle name="Assumptions Center Percentage 3 4 3" xfId="5535"/>
    <cellStyle name="Assumptions Center Percentage 3 4 3 2" xfId="7046"/>
    <cellStyle name="Assumptions Center Percentage 3 4 4" xfId="6600"/>
    <cellStyle name="Assumptions Center Percentage 3 5" xfId="2950"/>
    <cellStyle name="Assumptions Center Percentage 3 5 2" xfId="3834"/>
    <cellStyle name="Assumptions Center Percentage 3 5 2 2" xfId="6775"/>
    <cellStyle name="Assumptions Center Percentage 3 5 3" xfId="5870"/>
    <cellStyle name="Assumptions Center Percentage 3 5 3 2" xfId="7205"/>
    <cellStyle name="Assumptions Center Percentage 3 5 4" xfId="9279"/>
    <cellStyle name="Assumptions Center Percentage 3 6" xfId="2963"/>
    <cellStyle name="Assumptions Center Percentage 3 6 2" xfId="3825"/>
    <cellStyle name="Assumptions Center Percentage 3 6 2 2" xfId="8368"/>
    <cellStyle name="Assumptions Center Percentage 3 6 3" xfId="5880"/>
    <cellStyle name="Assumptions Center Percentage 3 6 3 2" xfId="9774"/>
    <cellStyle name="Assumptions Center Percentage 3 6 4" xfId="7154"/>
    <cellStyle name="Assumptions Center Percentage 3 7" xfId="2890"/>
    <cellStyle name="Assumptions Center Percentage 3 7 2" xfId="4223"/>
    <cellStyle name="Assumptions Center Percentage 3 7 2 2" xfId="6685"/>
    <cellStyle name="Assumptions Center Percentage 3 7 3" xfId="5821"/>
    <cellStyle name="Assumptions Center Percentage 3 7 3 2" xfId="6515"/>
    <cellStyle name="Assumptions Center Percentage 3 7 4" xfId="6420"/>
    <cellStyle name="Assumptions Center Percentage 3 8" xfId="2899"/>
    <cellStyle name="Assumptions Center Percentage 3 8 2" xfId="4158"/>
    <cellStyle name="Assumptions Center Percentage 3 8 2 2" xfId="6740"/>
    <cellStyle name="Assumptions Center Percentage 3 8 3" xfId="5830"/>
    <cellStyle name="Assumptions Center Percentage 3 8 3 2" xfId="6969"/>
    <cellStyle name="Assumptions Center Percentage 3 8 4" xfId="9062"/>
    <cellStyle name="Assumptions Center Percentage 3 9" xfId="3098"/>
    <cellStyle name="Assumptions Center Percentage 3 9 2" xfId="3753"/>
    <cellStyle name="Assumptions Center Percentage 3 9 2 2" xfId="9580"/>
    <cellStyle name="Assumptions Center Percentage 3 9 3" xfId="5995"/>
    <cellStyle name="Assumptions Center Percentage 3 9 3 2" xfId="9889"/>
    <cellStyle name="Assumptions Center Percentage 3 9 4" xfId="8616"/>
    <cellStyle name="Assumptions Center Percentage 4" xfId="2350"/>
    <cellStyle name="Assumptions Center Percentage 4 2" xfId="2647"/>
    <cellStyle name="Assumptions Center Percentage 4 2 2" xfId="4687"/>
    <cellStyle name="Assumptions Center Percentage 4 2 2 2" xfId="6817"/>
    <cellStyle name="Assumptions Center Percentage 4 2 3" xfId="6301"/>
    <cellStyle name="Assumptions Center Percentage 4 3" xfId="4831"/>
    <cellStyle name="Assumptions Center Percentage 4 3 2" xfId="7112"/>
    <cellStyle name="Assumptions Center Percentage 4 4" xfId="5342"/>
    <cellStyle name="Assumptions Center Percentage 4 4 2" xfId="8335"/>
    <cellStyle name="Assumptions Center Percentage 4 5" xfId="5478"/>
    <cellStyle name="Assumptions Center Percentage 4 5 2" xfId="7400"/>
    <cellStyle name="Assumptions Center Percentage 4 6" xfId="6750"/>
    <cellStyle name="Assumptions Center Percentage 5" xfId="2289"/>
    <cellStyle name="Assumptions Center Percentage 5 2" xfId="4686"/>
    <cellStyle name="Assumptions Center Percentage 5 2 2" xfId="7674"/>
    <cellStyle name="Assumptions Center Percentage 5 3" xfId="5453"/>
    <cellStyle name="Assumptions Center Percentage 5 3 2" xfId="6882"/>
    <cellStyle name="Assumptions Center Percentage 5 4" xfId="8500"/>
    <cellStyle name="Assumptions Center Percentage 6" xfId="2917"/>
    <cellStyle name="Assumptions Center Percentage 6 2" xfId="3595"/>
    <cellStyle name="Assumptions Center Percentage 6 2 2" xfId="8735"/>
    <cellStyle name="Assumptions Center Percentage 6 3" xfId="5846"/>
    <cellStyle name="Assumptions Center Percentage 6 3 2" xfId="7360"/>
    <cellStyle name="Assumptions Center Percentage 6 4" xfId="6419"/>
    <cellStyle name="Assumptions Center Percentage 7" xfId="3094"/>
    <cellStyle name="Assumptions Center Percentage 7 2" xfId="3755"/>
    <cellStyle name="Assumptions Center Percentage 7 2 2" xfId="7013"/>
    <cellStyle name="Assumptions Center Percentage 7 3" xfId="5991"/>
    <cellStyle name="Assumptions Center Percentage 7 3 2" xfId="9885"/>
    <cellStyle name="Assumptions Center Percentage 7 4" xfId="8865"/>
    <cellStyle name="Assumptions Center Percentage 8" xfId="3118"/>
    <cellStyle name="Assumptions Center Percentage 8 2" xfId="4206"/>
    <cellStyle name="Assumptions Center Percentage 8 2 2" xfId="8265"/>
    <cellStyle name="Assumptions Center Percentage 8 3" xfId="6014"/>
    <cellStyle name="Assumptions Center Percentage 8 3 2" xfId="9908"/>
    <cellStyle name="Assumptions Center Percentage 8 4" xfId="6783"/>
    <cellStyle name="Assumptions Center Percentage 9" xfId="3010"/>
    <cellStyle name="Assumptions Center Percentage 9 2" xfId="4042"/>
    <cellStyle name="Assumptions Center Percentage 9 2 2" xfId="8604"/>
    <cellStyle name="Assumptions Center Percentage 9 3" xfId="5912"/>
    <cellStyle name="Assumptions Center Percentage 9 3 2" xfId="9806"/>
    <cellStyle name="Assumptions Center Percentage 9 4" xfId="8488"/>
    <cellStyle name="Assumptions Center Year" xfId="957"/>
    <cellStyle name="Assumptions Center Year 10" xfId="3126"/>
    <cellStyle name="Assumptions Center Year 10 2" xfId="3729"/>
    <cellStyle name="Assumptions Center Year 10 2 2" xfId="9579"/>
    <cellStyle name="Assumptions Center Year 10 3" xfId="6022"/>
    <cellStyle name="Assumptions Center Year 10 3 2" xfId="9916"/>
    <cellStyle name="Assumptions Center Year 10 4" xfId="7084"/>
    <cellStyle name="Assumptions Center Year 11" xfId="3393"/>
    <cellStyle name="Assumptions Center Year 11 2" xfId="4967"/>
    <cellStyle name="Assumptions Center Year 11 2 2" xfId="9620"/>
    <cellStyle name="Assumptions Center Year 11 3" xfId="9433"/>
    <cellStyle name="Assumptions Center Year 12" xfId="4014"/>
    <cellStyle name="Assumptions Center Year 12 2" xfId="9189"/>
    <cellStyle name="Assumptions Center Year 13" xfId="8718"/>
    <cellStyle name="Assumptions Center Year 2" xfId="958"/>
    <cellStyle name="Assumptions Center Year 2 10" xfId="3394"/>
    <cellStyle name="Assumptions Center Year 2 10 2" xfId="4968"/>
    <cellStyle name="Assumptions Center Year 2 10 2 2" xfId="7097"/>
    <cellStyle name="Assumptions Center Year 2 10 3" xfId="8875"/>
    <cellStyle name="Assumptions Center Year 2 11" xfId="4013"/>
    <cellStyle name="Assumptions Center Year 2 11 2" xfId="8591"/>
    <cellStyle name="Assumptions Center Year 2 12" xfId="9193"/>
    <cellStyle name="Assumptions Center Year 2 2" xfId="1719"/>
    <cellStyle name="Assumptions Center Year 2 2 10" xfId="3462"/>
    <cellStyle name="Assumptions Center Year 2 2 10 2" xfId="5032"/>
    <cellStyle name="Assumptions Center Year 2 2 10 2 2" xfId="8611"/>
    <cellStyle name="Assumptions Center Year 2 2 10 3" xfId="6892"/>
    <cellStyle name="Assumptions Center Year 2 2 11" xfId="3637"/>
    <cellStyle name="Assumptions Center Year 2 2 11 2" xfId="7202"/>
    <cellStyle name="Assumptions Center Year 2 2 12" xfId="8311"/>
    <cellStyle name="Assumptions Center Year 2 2 2" xfId="1579"/>
    <cellStyle name="Assumptions Center Year 2 2 2 10" xfId="8263"/>
    <cellStyle name="Assumptions Center Year 2 2 2 2" xfId="2432"/>
    <cellStyle name="Assumptions Center Year 2 2 2 2 2" xfId="2566"/>
    <cellStyle name="Assumptions Center Year 2 2 2 2 2 2" xfId="4789"/>
    <cellStyle name="Assumptions Center Year 2 2 2 2 2 2 2" xfId="7497"/>
    <cellStyle name="Assumptions Center Year 2 2 2 2 2 3" xfId="9225"/>
    <cellStyle name="Assumptions Center Year 2 2 2 2 3" xfId="4589"/>
    <cellStyle name="Assumptions Center Year 2 2 2 2 3 2" xfId="7486"/>
    <cellStyle name="Assumptions Center Year 2 2 2 2 4" xfId="7775"/>
    <cellStyle name="Assumptions Center Year 2 2 2 3" xfId="2220"/>
    <cellStyle name="Assumptions Center Year 2 2 2 3 2" xfId="3218"/>
    <cellStyle name="Assumptions Center Year 2 2 2 3 2 2" xfId="4048"/>
    <cellStyle name="Assumptions Center Year 2 2 2 3 2 2 2" xfId="8178"/>
    <cellStyle name="Assumptions Center Year 2 2 2 3 2 3" xfId="6608"/>
    <cellStyle name="Assumptions Center Year 2 2 2 3 3" xfId="4108"/>
    <cellStyle name="Assumptions Center Year 2 2 2 3 3 2" xfId="8630"/>
    <cellStyle name="Assumptions Center Year 2 2 2 3 4" xfId="5626"/>
    <cellStyle name="Assumptions Center Year 2 2 2 3 4 2" xfId="7053"/>
    <cellStyle name="Assumptions Center Year 2 2 2 3 5" xfId="7918"/>
    <cellStyle name="Assumptions Center Year 2 2 2 4" xfId="2293"/>
    <cellStyle name="Assumptions Center Year 2 2 2 4 2" xfId="4605"/>
    <cellStyle name="Assumptions Center Year 2 2 2 4 2 2" xfId="8456"/>
    <cellStyle name="Assumptions Center Year 2 2 2 4 3" xfId="5649"/>
    <cellStyle name="Assumptions Center Year 2 2 2 4 3 2" xfId="8442"/>
    <cellStyle name="Assumptions Center Year 2 2 2 4 4" xfId="8541"/>
    <cellStyle name="Assumptions Center Year 2 2 2 5" xfId="3153"/>
    <cellStyle name="Assumptions Center Year 2 2 2 5 2" xfId="4064"/>
    <cellStyle name="Assumptions Center Year 2 2 2 5 2 2" xfId="8532"/>
    <cellStyle name="Assumptions Center Year 2 2 2 5 3" xfId="6047"/>
    <cellStyle name="Assumptions Center Year 2 2 2 5 3 2" xfId="9941"/>
    <cellStyle name="Assumptions Center Year 2 2 2 5 4" xfId="8542"/>
    <cellStyle name="Assumptions Center Year 2 2 2 6" xfId="3309"/>
    <cellStyle name="Assumptions Center Year 2 2 2 6 2" xfId="3545"/>
    <cellStyle name="Assumptions Center Year 2 2 2 6 2 2" xfId="6542"/>
    <cellStyle name="Assumptions Center Year 2 2 2 6 3" xfId="6178"/>
    <cellStyle name="Assumptions Center Year 2 2 2 6 3 2" xfId="10072"/>
    <cellStyle name="Assumptions Center Year 2 2 2 6 4" xfId="7638"/>
    <cellStyle name="Assumptions Center Year 2 2 2 7" xfId="3294"/>
    <cellStyle name="Assumptions Center Year 2 2 2 7 2" xfId="3675"/>
    <cellStyle name="Assumptions Center Year 2 2 2 7 2 2" xfId="6620"/>
    <cellStyle name="Assumptions Center Year 2 2 2 7 3" xfId="6163"/>
    <cellStyle name="Assumptions Center Year 2 2 2 7 3 2" xfId="10057"/>
    <cellStyle name="Assumptions Center Year 2 2 2 7 4" xfId="8095"/>
    <cellStyle name="Assumptions Center Year 2 2 2 8" xfId="3432"/>
    <cellStyle name="Assumptions Center Year 2 2 2 8 2" xfId="5003"/>
    <cellStyle name="Assumptions Center Year 2 2 2 8 2 2" xfId="8182"/>
    <cellStyle name="Assumptions Center Year 2 2 2 8 3" xfId="9153"/>
    <cellStyle name="Assumptions Center Year 2 2 2 9" xfId="4633"/>
    <cellStyle name="Assumptions Center Year 2 2 2 9 2" xfId="8210"/>
    <cellStyle name="Assumptions Center Year 2 2 3" xfId="2103"/>
    <cellStyle name="Assumptions Center Year 2 2 3 2" xfId="2680"/>
    <cellStyle name="Assumptions Center Year 2 2 3 2 2" xfId="3964"/>
    <cellStyle name="Assumptions Center Year 2 2 3 2 2 2" xfId="7971"/>
    <cellStyle name="Assumptions Center Year 2 2 3 2 3" xfId="7227"/>
    <cellStyle name="Assumptions Center Year 2 2 3 3" xfId="4773"/>
    <cellStyle name="Assumptions Center Year 2 2 3 3 2" xfId="6463"/>
    <cellStyle name="Assumptions Center Year 2 2 3 4" xfId="5104"/>
    <cellStyle name="Assumptions Center Year 2 2 3 4 2" xfId="9113"/>
    <cellStyle name="Assumptions Center Year 2 2 3 5" xfId="5510"/>
    <cellStyle name="Assumptions Center Year 2 2 3 5 2" xfId="8267"/>
    <cellStyle name="Assumptions Center Year 2 2 3 6" xfId="7947"/>
    <cellStyle name="Assumptions Center Year 2 2 4" xfId="2336"/>
    <cellStyle name="Assumptions Center Year 2 2 4 2" xfId="4482"/>
    <cellStyle name="Assumptions Center Year 2 2 4 2 2" xfId="8124"/>
    <cellStyle name="Assumptions Center Year 2 2 4 3" xfId="5538"/>
    <cellStyle name="Assumptions Center Year 2 2 4 3 2" xfId="7888"/>
    <cellStyle name="Assumptions Center Year 2 2 4 4" xfId="8383"/>
    <cellStyle name="Assumptions Center Year 2 2 5" xfId="3174"/>
    <cellStyle name="Assumptions Center Year 2 2 5 2" xfId="3709"/>
    <cellStyle name="Assumptions Center Year 2 2 5 2 2" xfId="8859"/>
    <cellStyle name="Assumptions Center Year 2 2 5 3" xfId="6066"/>
    <cellStyle name="Assumptions Center Year 2 2 5 3 2" xfId="9960"/>
    <cellStyle name="Assumptions Center Year 2 2 5 4" xfId="8011"/>
    <cellStyle name="Assumptions Center Year 2 2 6" xfId="2967"/>
    <cellStyle name="Assumptions Center Year 2 2 6 2" xfId="3821"/>
    <cellStyle name="Assumptions Center Year 2 2 6 2 2" xfId="9387"/>
    <cellStyle name="Assumptions Center Year 2 2 6 3" xfId="5884"/>
    <cellStyle name="Assumptions Center Year 2 2 6 3 2" xfId="9778"/>
    <cellStyle name="Assumptions Center Year 2 2 6 4" xfId="8222"/>
    <cellStyle name="Assumptions Center Year 2 2 7" xfId="3167"/>
    <cellStyle name="Assumptions Center Year 2 2 7 2" xfId="3711"/>
    <cellStyle name="Assumptions Center Year 2 2 7 2 2" xfId="7382"/>
    <cellStyle name="Assumptions Center Year 2 2 7 3" xfId="6059"/>
    <cellStyle name="Assumptions Center Year 2 2 7 3 2" xfId="9953"/>
    <cellStyle name="Assumptions Center Year 2 2 7 4" xfId="7155"/>
    <cellStyle name="Assumptions Center Year 2 2 8" xfId="3225"/>
    <cellStyle name="Assumptions Center Year 2 2 8 2" xfId="3695"/>
    <cellStyle name="Assumptions Center Year 2 2 8 2 2" xfId="9584"/>
    <cellStyle name="Assumptions Center Year 2 2 8 3" xfId="6107"/>
    <cellStyle name="Assumptions Center Year 2 2 8 3 2" xfId="10001"/>
    <cellStyle name="Assumptions Center Year 2 2 8 4" xfId="8344"/>
    <cellStyle name="Assumptions Center Year 2 2 9" xfId="2799"/>
    <cellStyle name="Assumptions Center Year 2 2 9 2" xfId="3917"/>
    <cellStyle name="Assumptions Center Year 2 2 9 2 2" xfId="8528"/>
    <cellStyle name="Assumptions Center Year 2 2 9 3" xfId="5733"/>
    <cellStyle name="Assumptions Center Year 2 2 9 3 2" xfId="8522"/>
    <cellStyle name="Assumptions Center Year 2 2 9 4" xfId="6573"/>
    <cellStyle name="Assumptions Center Year 2 3" xfId="2119"/>
    <cellStyle name="Assumptions Center Year 2 3 2" xfId="2650"/>
    <cellStyle name="Assumptions Center Year 2 3 2 2" xfId="4458"/>
    <cellStyle name="Assumptions Center Year 2 3 2 2 2" xfId="6746"/>
    <cellStyle name="Assumptions Center Year 2 3 2 3" xfId="6551"/>
    <cellStyle name="Assumptions Center Year 2 3 3" xfId="4109"/>
    <cellStyle name="Assumptions Center Year 2 3 3 2" xfId="6553"/>
    <cellStyle name="Assumptions Center Year 2 3 4" xfId="5340"/>
    <cellStyle name="Assumptions Center Year 2 3 4 2" xfId="8408"/>
    <cellStyle name="Assumptions Center Year 2 3 5" xfId="5481"/>
    <cellStyle name="Assumptions Center Year 2 3 5 2" xfId="7857"/>
    <cellStyle name="Assumptions Center Year 2 3 6" xfId="9250"/>
    <cellStyle name="Assumptions Center Year 2 4" xfId="2276"/>
    <cellStyle name="Assumptions Center Year 2 4 2" xfId="4588"/>
    <cellStyle name="Assumptions Center Year 2 4 2 2" xfId="9168"/>
    <cellStyle name="Assumptions Center Year 2 4 3" xfId="5450"/>
    <cellStyle name="Assumptions Center Year 2 4 3 2" xfId="7050"/>
    <cellStyle name="Assumptions Center Year 2 4 4" xfId="7706"/>
    <cellStyle name="Assumptions Center Year 2 5" xfId="3042"/>
    <cellStyle name="Assumptions Center Year 2 5 2" xfId="3779"/>
    <cellStyle name="Assumptions Center Year 2 5 2 2" xfId="6594"/>
    <cellStyle name="Assumptions Center Year 2 5 3" xfId="5943"/>
    <cellStyle name="Assumptions Center Year 2 5 3 2" xfId="9837"/>
    <cellStyle name="Assumptions Center Year 2 5 4" xfId="8012"/>
    <cellStyle name="Assumptions Center Year 2 6" xfId="3273"/>
    <cellStyle name="Assumptions Center Year 2 6 2" xfId="3560"/>
    <cellStyle name="Assumptions Center Year 2 6 2 2" xfId="8600"/>
    <cellStyle name="Assumptions Center Year 2 6 3" xfId="6148"/>
    <cellStyle name="Assumptions Center Year 2 6 3 2" xfId="10042"/>
    <cellStyle name="Assumptions Center Year 2 6 4" xfId="7409"/>
    <cellStyle name="Assumptions Center Year 2 7" xfId="3033"/>
    <cellStyle name="Assumptions Center Year 2 7 2" xfId="3786"/>
    <cellStyle name="Assumptions Center Year 2 7 2 2" xfId="9451"/>
    <cellStyle name="Assumptions Center Year 2 7 3" xfId="5934"/>
    <cellStyle name="Assumptions Center Year 2 7 3 2" xfId="9828"/>
    <cellStyle name="Assumptions Center Year 2 7 4" xfId="8053"/>
    <cellStyle name="Assumptions Center Year 2 8" xfId="3165"/>
    <cellStyle name="Assumptions Center Year 2 8 2" xfId="3712"/>
    <cellStyle name="Assumptions Center Year 2 8 2 2" xfId="7764"/>
    <cellStyle name="Assumptions Center Year 2 8 3" xfId="6057"/>
    <cellStyle name="Assumptions Center Year 2 8 3 2" xfId="9951"/>
    <cellStyle name="Assumptions Center Year 2 8 4" xfId="7953"/>
    <cellStyle name="Assumptions Center Year 2 9" xfId="3352"/>
    <cellStyle name="Assumptions Center Year 2 9 2" xfId="4942"/>
    <cellStyle name="Assumptions Center Year 2 9 2 2" xfId="9015"/>
    <cellStyle name="Assumptions Center Year 2 9 3" xfId="6218"/>
    <cellStyle name="Assumptions Center Year 2 9 3 2" xfId="10112"/>
    <cellStyle name="Assumptions Center Year 2 9 4" xfId="6298"/>
    <cellStyle name="Assumptions Center Year 3" xfId="1718"/>
    <cellStyle name="Assumptions Center Year 3 10" xfId="3461"/>
    <cellStyle name="Assumptions Center Year 3 10 2" xfId="5031"/>
    <cellStyle name="Assumptions Center Year 3 10 2 2" xfId="7806"/>
    <cellStyle name="Assumptions Center Year 3 10 3" xfId="8525"/>
    <cellStyle name="Assumptions Center Year 3 11" xfId="3638"/>
    <cellStyle name="Assumptions Center Year 3 11 2" xfId="9182"/>
    <cellStyle name="Assumptions Center Year 3 12" xfId="7682"/>
    <cellStyle name="Assumptions Center Year 3 2" xfId="1754"/>
    <cellStyle name="Assumptions Center Year 3 2 10" xfId="8042"/>
    <cellStyle name="Assumptions Center Year 3 2 2" xfId="2469"/>
    <cellStyle name="Assumptions Center Year 3 2 2 2" xfId="2592"/>
    <cellStyle name="Assumptions Center Year 3 2 2 2 2" xfId="4761"/>
    <cellStyle name="Assumptions Center Year 3 2 2 2 2 2" xfId="9452"/>
    <cellStyle name="Assumptions Center Year 3 2 2 2 3" xfId="6415"/>
    <cellStyle name="Assumptions Center Year 3 2 2 3" xfId="3980"/>
    <cellStyle name="Assumptions Center Year 3 2 2 3 2" xfId="9361"/>
    <cellStyle name="Assumptions Center Year 3 2 2 4" xfId="7916"/>
    <cellStyle name="Assumptions Center Year 3 2 3" xfId="2186"/>
    <cellStyle name="Assumptions Center Year 3 2 3 2" xfId="2933"/>
    <cellStyle name="Assumptions Center Year 3 2 3 2 2" xfId="4059"/>
    <cellStyle name="Assumptions Center Year 3 2 3 2 2 2" xfId="9721"/>
    <cellStyle name="Assumptions Center Year 3 2 3 2 3" xfId="6250"/>
    <cellStyle name="Assumptions Center Year 3 2 3 3" xfId="4712"/>
    <cellStyle name="Assumptions Center Year 3 2 3 3 2" xfId="7720"/>
    <cellStyle name="Assumptions Center Year 3 2 3 4" xfId="5603"/>
    <cellStyle name="Assumptions Center Year 3 2 3 4 2" xfId="6679"/>
    <cellStyle name="Assumptions Center Year 3 2 3 5" xfId="8218"/>
    <cellStyle name="Assumptions Center Year 3 2 4" xfId="2100"/>
    <cellStyle name="Assumptions Center Year 3 2 4 2" xfId="4806"/>
    <cellStyle name="Assumptions Center Year 3 2 4 2 2" xfId="8730"/>
    <cellStyle name="Assumptions Center Year 3 2 4 3" xfId="5576"/>
    <cellStyle name="Assumptions Center Year 3 2 4 3 2" xfId="6565"/>
    <cellStyle name="Assumptions Center Year 3 2 4 4" xfId="9245"/>
    <cellStyle name="Assumptions Center Year 3 2 5" xfId="3200"/>
    <cellStyle name="Assumptions Center Year 3 2 5 2" xfId="3701"/>
    <cellStyle name="Assumptions Center Year 3 2 5 2 2" xfId="9464"/>
    <cellStyle name="Assumptions Center Year 3 2 5 3" xfId="6089"/>
    <cellStyle name="Assumptions Center Year 3 2 5 3 2" xfId="9983"/>
    <cellStyle name="Assumptions Center Year 3 2 5 4" xfId="8320"/>
    <cellStyle name="Assumptions Center Year 3 2 6" xfId="3187"/>
    <cellStyle name="Assumptions Center Year 3 2 6 2" xfId="3571"/>
    <cellStyle name="Assumptions Center Year 3 2 6 2 2" xfId="6786"/>
    <cellStyle name="Assumptions Center Year 3 2 6 3" xfId="6077"/>
    <cellStyle name="Assumptions Center Year 3 2 6 3 2" xfId="9971"/>
    <cellStyle name="Assumptions Center Year 3 2 6 4" xfId="7862"/>
    <cellStyle name="Assumptions Center Year 3 2 7" xfId="2941"/>
    <cellStyle name="Assumptions Center Year 3 2 7 2" xfId="3841"/>
    <cellStyle name="Assumptions Center Year 3 2 7 2 2" xfId="6632"/>
    <cellStyle name="Assumptions Center Year 3 2 7 3" xfId="5862"/>
    <cellStyle name="Assumptions Center Year 3 2 7 3 2" xfId="8450"/>
    <cellStyle name="Assumptions Center Year 3 2 7 4" xfId="7432"/>
    <cellStyle name="Assumptions Center Year 3 2 8" xfId="3483"/>
    <cellStyle name="Assumptions Center Year 3 2 8 2" xfId="5053"/>
    <cellStyle name="Assumptions Center Year 3 2 8 2 2" xfId="8243"/>
    <cellStyle name="Assumptions Center Year 3 2 8 3" xfId="8884"/>
    <cellStyle name="Assumptions Center Year 3 2 9" xfId="4269"/>
    <cellStyle name="Assumptions Center Year 3 2 9 2" xfId="9688"/>
    <cellStyle name="Assumptions Center Year 3 3" xfId="2196"/>
    <cellStyle name="Assumptions Center Year 3 3 2" xfId="2679"/>
    <cellStyle name="Assumptions Center Year 3 3 2 2" xfId="4082"/>
    <cellStyle name="Assumptions Center Year 3 3 2 2 2" xfId="6554"/>
    <cellStyle name="Assumptions Center Year 3 3 2 3" xfId="6987"/>
    <cellStyle name="Assumptions Center Year 3 3 3" xfId="4654"/>
    <cellStyle name="Assumptions Center Year 3 3 3 2" xfId="6920"/>
    <cellStyle name="Assumptions Center Year 3 3 4" xfId="5110"/>
    <cellStyle name="Assumptions Center Year 3 3 4 2" xfId="7442"/>
    <cellStyle name="Assumptions Center Year 3 3 5" xfId="5509"/>
    <cellStyle name="Assumptions Center Year 3 3 5 2" xfId="8056"/>
    <cellStyle name="Assumptions Center Year 3 3 6" xfId="6985"/>
    <cellStyle name="Assumptions Center Year 3 4" xfId="2134"/>
    <cellStyle name="Assumptions Center Year 3 4 2" xfId="4628"/>
    <cellStyle name="Assumptions Center Year 3 4 2 2" xfId="9555"/>
    <cellStyle name="Assumptions Center Year 3 4 3" xfId="5537"/>
    <cellStyle name="Assumptions Center Year 3 4 3 2" xfId="7089"/>
    <cellStyle name="Assumptions Center Year 3 4 4" xfId="6449"/>
    <cellStyle name="Assumptions Center Year 3 5" xfId="3213"/>
    <cellStyle name="Assumptions Center Year 3 5 2" xfId="4194"/>
    <cellStyle name="Assumptions Center Year 3 5 2 2" xfId="7472"/>
    <cellStyle name="Assumptions Center Year 3 5 3" xfId="6101"/>
    <cellStyle name="Assumptions Center Year 3 5 3 2" xfId="9995"/>
    <cellStyle name="Assumptions Center Year 3 5 4" xfId="8495"/>
    <cellStyle name="Assumptions Center Year 3 6" xfId="2927"/>
    <cellStyle name="Assumptions Center Year 3 6 2" xfId="4050"/>
    <cellStyle name="Assumptions Center Year 3 6 2 2" xfId="9134"/>
    <cellStyle name="Assumptions Center Year 3 6 3" xfId="5856"/>
    <cellStyle name="Assumptions Center Year 3 6 3 2" xfId="7581"/>
    <cellStyle name="Assumptions Center Year 3 6 4" xfId="7139"/>
    <cellStyle name="Assumptions Center Year 3 7" xfId="2870"/>
    <cellStyle name="Assumptions Center Year 3 7 2" xfId="3880"/>
    <cellStyle name="Assumptions Center Year 3 7 2 2" xfId="8603"/>
    <cellStyle name="Assumptions Center Year 3 7 3" xfId="5801"/>
    <cellStyle name="Assumptions Center Year 3 7 3 2" xfId="7225"/>
    <cellStyle name="Assumptions Center Year 3 7 4" xfId="6242"/>
    <cellStyle name="Assumptions Center Year 3 8" xfId="2939"/>
    <cellStyle name="Assumptions Center Year 3 8 2" xfId="3843"/>
    <cellStyle name="Assumptions Center Year 3 8 2 2" xfId="8880"/>
    <cellStyle name="Assumptions Center Year 3 8 3" xfId="5860"/>
    <cellStyle name="Assumptions Center Year 3 8 3 2" xfId="8455"/>
    <cellStyle name="Assumptions Center Year 3 8 4" xfId="7793"/>
    <cellStyle name="Assumptions Center Year 3 9" xfId="3016"/>
    <cellStyle name="Assumptions Center Year 3 9 2" xfId="3799"/>
    <cellStyle name="Assumptions Center Year 3 9 2 2" xfId="7714"/>
    <cellStyle name="Assumptions Center Year 3 9 3" xfId="5918"/>
    <cellStyle name="Assumptions Center Year 3 9 3 2" xfId="9812"/>
    <cellStyle name="Assumptions Center Year 3 9 4" xfId="7731"/>
    <cellStyle name="Assumptions Center Year 4" xfId="2245"/>
    <cellStyle name="Assumptions Center Year 4 2" xfId="2649"/>
    <cellStyle name="Assumptions Center Year 4 2 2" xfId="4601"/>
    <cellStyle name="Assumptions Center Year 4 2 2 2" xfId="6874"/>
    <cellStyle name="Assumptions Center Year 4 2 3" xfId="8141"/>
    <cellStyle name="Assumptions Center Year 4 3" xfId="4411"/>
    <cellStyle name="Assumptions Center Year 4 3 2" xfId="7685"/>
    <cellStyle name="Assumptions Center Year 4 4" xfId="5122"/>
    <cellStyle name="Assumptions Center Year 4 4 2" xfId="6785"/>
    <cellStyle name="Assumptions Center Year 4 5" xfId="5480"/>
    <cellStyle name="Assumptions Center Year 4 5 2" xfId="6881"/>
    <cellStyle name="Assumptions Center Year 4 6" xfId="8359"/>
    <cellStyle name="Assumptions Center Year 5" xfId="2275"/>
    <cellStyle name="Assumptions Center Year 5 2" xfId="4450"/>
    <cellStyle name="Assumptions Center Year 5 2 2" xfId="7299"/>
    <cellStyle name="Assumptions Center Year 5 3" xfId="5451"/>
    <cellStyle name="Assumptions Center Year 5 3 2" xfId="8334"/>
    <cellStyle name="Assumptions Center Year 5 4" xfId="6461"/>
    <cellStyle name="Assumptions Center Year 6" xfId="3043"/>
    <cellStyle name="Assumptions Center Year 6 2" xfId="3778"/>
    <cellStyle name="Assumptions Center Year 6 2 2" xfId="8566"/>
    <cellStyle name="Assumptions Center Year 6 3" xfId="5944"/>
    <cellStyle name="Assumptions Center Year 6 3 2" xfId="9838"/>
    <cellStyle name="Assumptions Center Year 6 4" xfId="8225"/>
    <cellStyle name="Assumptions Center Year 7" xfId="2813"/>
    <cellStyle name="Assumptions Center Year 7 2" xfId="3906"/>
    <cellStyle name="Assumptions Center Year 7 2 2" xfId="9384"/>
    <cellStyle name="Assumptions Center Year 7 3" xfId="5747"/>
    <cellStyle name="Assumptions Center Year 7 3 2" xfId="7524"/>
    <cellStyle name="Assumptions Center Year 7 4" xfId="9127"/>
    <cellStyle name="Assumptions Center Year 8" xfId="3120"/>
    <cellStyle name="Assumptions Center Year 8 2" xfId="3579"/>
    <cellStyle name="Assumptions Center Year 8 2 2" xfId="9358"/>
    <cellStyle name="Assumptions Center Year 8 3" xfId="6016"/>
    <cellStyle name="Assumptions Center Year 8 3 2" xfId="9910"/>
    <cellStyle name="Assumptions Center Year 8 4" xfId="8262"/>
    <cellStyle name="Assumptions Center Year 9" xfId="3186"/>
    <cellStyle name="Assumptions Center Year 9 2" xfId="3705"/>
    <cellStyle name="Assumptions Center Year 9 2 2" xfId="8987"/>
    <cellStyle name="Assumptions Center Year 9 3" xfId="6076"/>
    <cellStyle name="Assumptions Center Year 9 3 2" xfId="9970"/>
    <cellStyle name="Assumptions Center Year 9 4" xfId="6714"/>
    <cellStyle name="Assumptions Heading" xfId="959"/>
    <cellStyle name="Assumptions Heading 10" xfId="3353"/>
    <cellStyle name="Assumptions Heading 10 2" xfId="4943"/>
    <cellStyle name="Assumptions Heading 10 2 2" xfId="8639"/>
    <cellStyle name="Assumptions Heading 10 3" xfId="6219"/>
    <cellStyle name="Assumptions Heading 10 3 2" xfId="10113"/>
    <cellStyle name="Assumptions Heading 10 4" xfId="7926"/>
    <cellStyle name="Assumptions Heading 11" xfId="3395"/>
    <cellStyle name="Assumptions Heading 11 2" xfId="4969"/>
    <cellStyle name="Assumptions Heading 11 2 2" xfId="7779"/>
    <cellStyle name="Assumptions Heading 11 3" xfId="8134"/>
    <cellStyle name="Assumptions Heading 12" xfId="4012"/>
    <cellStyle name="Assumptions Heading 12 2" xfId="6955"/>
    <cellStyle name="Assumptions Heading 13" xfId="7339"/>
    <cellStyle name="Assumptions Heading 2" xfId="960"/>
    <cellStyle name="Assumptions Heading 2 10" xfId="3396"/>
    <cellStyle name="Assumptions Heading 2 10 2" xfId="4970"/>
    <cellStyle name="Assumptions Heading 2 10 2 2" xfId="9370"/>
    <cellStyle name="Assumptions Heading 2 10 3" xfId="9412"/>
    <cellStyle name="Assumptions Heading 2 11" xfId="4011"/>
    <cellStyle name="Assumptions Heading 2 11 2" xfId="7847"/>
    <cellStyle name="Assumptions Heading 2 12" xfId="6649"/>
    <cellStyle name="Assumptions Heading 2 2" xfId="1721"/>
    <cellStyle name="Assumptions Heading 2 2 10" xfId="3464"/>
    <cellStyle name="Assumptions Heading 2 2 10 2" xfId="5034"/>
    <cellStyle name="Assumptions Heading 2 2 10 2 2" xfId="7735"/>
    <cellStyle name="Assumptions Heading 2 2 10 3" xfId="8683"/>
    <cellStyle name="Assumptions Heading 2 2 11" xfId="3635"/>
    <cellStyle name="Assumptions Heading 2 2 11 2" xfId="8385"/>
    <cellStyle name="Assumptions Heading 2 2 12" xfId="7546"/>
    <cellStyle name="Assumptions Heading 2 2 2" xfId="1607"/>
    <cellStyle name="Assumptions Heading 2 2 2 10" xfId="6767"/>
    <cellStyle name="Assumptions Heading 2 2 2 2" xfId="2446"/>
    <cellStyle name="Assumptions Heading 2 2 2 2 2" xfId="2580"/>
    <cellStyle name="Assumptions Heading 2 2 2 2 2 2" xfId="4031"/>
    <cellStyle name="Assumptions Heading 2 2 2 2 2 2 2" xfId="6818"/>
    <cellStyle name="Assumptions Heading 2 2 2 2 2 3" xfId="8087"/>
    <cellStyle name="Assumptions Heading 2 2 2 2 3" xfId="4723"/>
    <cellStyle name="Assumptions Heading 2 2 2 2 3 2" xfId="6396"/>
    <cellStyle name="Assumptions Heading 2 2 2 2 4" xfId="8253"/>
    <cellStyle name="Assumptions Heading 2 2 2 3" xfId="2210"/>
    <cellStyle name="Assumptions Heading 2 2 2 3 2" xfId="2785"/>
    <cellStyle name="Assumptions Heading 2 2 2 3 2 2" xfId="3929"/>
    <cellStyle name="Assumptions Heading 2 2 2 3 2 2 2" xfId="7259"/>
    <cellStyle name="Assumptions Heading 2 2 2 3 2 3" xfId="8128"/>
    <cellStyle name="Assumptions Heading 2 2 2 3 3" xfId="4765"/>
    <cellStyle name="Assumptions Heading 2 2 2 3 3 2" xfId="9024"/>
    <cellStyle name="Assumptions Heading 2 2 2 3 4" xfId="5617"/>
    <cellStyle name="Assumptions Heading 2 2 2 3 4 2" xfId="6351"/>
    <cellStyle name="Assumptions Heading 2 2 2 3 5" xfId="8026"/>
    <cellStyle name="Assumptions Heading 2 2 2 4" xfId="2092"/>
    <cellStyle name="Assumptions Heading 2 2 2 4 2" xfId="3979"/>
    <cellStyle name="Assumptions Heading 2 2 2 4 2 2" xfId="7659"/>
    <cellStyle name="Assumptions Heading 2 2 2 4 3" xfId="5569"/>
    <cellStyle name="Assumptions Heading 2 2 2 4 3 2" xfId="6377"/>
    <cellStyle name="Assumptions Heading 2 2 2 4 4" xfId="9241"/>
    <cellStyle name="Assumptions Heading 2 2 2 5" xfId="3015"/>
    <cellStyle name="Assumptions Heading 2 2 2 5 2" xfId="4214"/>
    <cellStyle name="Assumptions Heading 2 2 2 5 2 2" xfId="6951"/>
    <cellStyle name="Assumptions Heading 2 2 2 5 3" xfId="5917"/>
    <cellStyle name="Assumptions Heading 2 2 2 5 3 2" xfId="9811"/>
    <cellStyle name="Assumptions Heading 2 2 2 5 4" xfId="7229"/>
    <cellStyle name="Assumptions Heading 2 2 2 6" xfId="2791"/>
    <cellStyle name="Assumptions Heading 2 2 2 6 2" xfId="3923"/>
    <cellStyle name="Assumptions Heading 2 2 2 6 2 2" xfId="7004"/>
    <cellStyle name="Assumptions Heading 2 2 2 6 3" xfId="5725"/>
    <cellStyle name="Assumptions Heading 2 2 2 6 3 2" xfId="6275"/>
    <cellStyle name="Assumptions Heading 2 2 2 6 4" xfId="7453"/>
    <cellStyle name="Assumptions Heading 2 2 2 7" xfId="3116"/>
    <cellStyle name="Assumptions Heading 2 2 2 7 2" xfId="3737"/>
    <cellStyle name="Assumptions Heading 2 2 2 7 2 2" xfId="7198"/>
    <cellStyle name="Assumptions Heading 2 2 2 7 3" xfId="6012"/>
    <cellStyle name="Assumptions Heading 2 2 2 7 3 2" xfId="9906"/>
    <cellStyle name="Assumptions Heading 2 2 2 7 4" xfId="6672"/>
    <cellStyle name="Assumptions Heading 2 2 2 8" xfId="3444"/>
    <cellStyle name="Assumptions Heading 2 2 2 8 2" xfId="5015"/>
    <cellStyle name="Assumptions Heading 2 2 2 8 2 2" xfId="9453"/>
    <cellStyle name="Assumptions Heading 2 2 2 8 3" xfId="6693"/>
    <cellStyle name="Assumptions Heading 2 2 2 9" xfId="3653"/>
    <cellStyle name="Assumptions Heading 2 2 2 9 2" xfId="9521"/>
    <cellStyle name="Assumptions Heading 2 2 3" xfId="2195"/>
    <cellStyle name="Assumptions Heading 2 2 3 2" xfId="2682"/>
    <cellStyle name="Assumptions Heading 2 2 3 2 2" xfId="4173"/>
    <cellStyle name="Assumptions Heading 2 2 3 2 2 2" xfId="7722"/>
    <cellStyle name="Assumptions Heading 2 2 3 2 3" xfId="8111"/>
    <cellStyle name="Assumptions Heading 2 2 3 3" xfId="4666"/>
    <cellStyle name="Assumptions Heading 2 2 3 3 2" xfId="6516"/>
    <cellStyle name="Assumptions Heading 2 2 3 4" xfId="5204"/>
    <cellStyle name="Assumptions Heading 2 2 3 4 2" xfId="6949"/>
    <cellStyle name="Assumptions Heading 2 2 3 5" xfId="5512"/>
    <cellStyle name="Assumptions Heading 2 2 3 5 2" xfId="6918"/>
    <cellStyle name="Assumptions Heading 2 2 3 6" xfId="9247"/>
    <cellStyle name="Assumptions Heading 2 2 4" xfId="2254"/>
    <cellStyle name="Assumptions Heading 2 2 4 2" xfId="4783"/>
    <cellStyle name="Assumptions Heading 2 2 4 2 2" xfId="6902"/>
    <cellStyle name="Assumptions Heading 2 2 4 3" xfId="5540"/>
    <cellStyle name="Assumptions Heading 2 2 4 3 2" xfId="7461"/>
    <cellStyle name="Assumptions Heading 2 2 4 4" xfId="7744"/>
    <cellStyle name="Assumptions Heading 2 2 5" xfId="3212"/>
    <cellStyle name="Assumptions Heading 2 2 5 2" xfId="4317"/>
    <cellStyle name="Assumptions Heading 2 2 5 2 2" xfId="7162"/>
    <cellStyle name="Assumptions Heading 2 2 5 3" xfId="6100"/>
    <cellStyle name="Assumptions Heading 2 2 5 3 2" xfId="9994"/>
    <cellStyle name="Assumptions Heading 2 2 5 4" xfId="7804"/>
    <cellStyle name="Assumptions Heading 2 2 6" xfId="2881"/>
    <cellStyle name="Assumptions Heading 2 2 6 2" xfId="3871"/>
    <cellStyle name="Assumptions Heading 2 2 6 2 2" xfId="9027"/>
    <cellStyle name="Assumptions Heading 2 2 6 3" xfId="5812"/>
    <cellStyle name="Assumptions Heading 2 2 6 3 2" xfId="7223"/>
    <cellStyle name="Assumptions Heading 2 2 6 4" xfId="7907"/>
    <cellStyle name="Assumptions Heading 2 2 7" xfId="3019"/>
    <cellStyle name="Assumptions Heading 2 2 7 2" xfId="3797"/>
    <cellStyle name="Assumptions Heading 2 2 7 2 2" xfId="6699"/>
    <cellStyle name="Assumptions Heading 2 2 7 3" xfId="5921"/>
    <cellStyle name="Assumptions Heading 2 2 7 3 2" xfId="9815"/>
    <cellStyle name="Assumptions Heading 2 2 7 4" xfId="7363"/>
    <cellStyle name="Assumptions Heading 2 2 8" xfId="3287"/>
    <cellStyle name="Assumptions Heading 2 2 8 2" xfId="3679"/>
    <cellStyle name="Assumptions Heading 2 2 8 2 2" xfId="7938"/>
    <cellStyle name="Assumptions Heading 2 2 8 3" xfId="6157"/>
    <cellStyle name="Assumptions Heading 2 2 8 3 2" xfId="10051"/>
    <cellStyle name="Assumptions Heading 2 2 8 4" xfId="8650"/>
    <cellStyle name="Assumptions Heading 2 2 9" xfId="3321"/>
    <cellStyle name="Assumptions Heading 2 2 9 2" xfId="3534"/>
    <cellStyle name="Assumptions Heading 2 2 9 2 2" xfId="8716"/>
    <cellStyle name="Assumptions Heading 2 2 9 3" xfId="6189"/>
    <cellStyle name="Assumptions Heading 2 2 9 3 2" xfId="10083"/>
    <cellStyle name="Assumptions Heading 2 2 9 4" xfId="9053"/>
    <cellStyle name="Assumptions Heading 2 3" xfId="2117"/>
    <cellStyle name="Assumptions Heading 2 3 2" xfId="2652"/>
    <cellStyle name="Assumptions Heading 2 3 2 2" xfId="4659"/>
    <cellStyle name="Assumptions Heading 2 3 2 2 2" xfId="9299"/>
    <cellStyle name="Assumptions Heading 2 3 2 3" xfId="6808"/>
    <cellStyle name="Assumptions Heading 2 3 3" xfId="4039"/>
    <cellStyle name="Assumptions Heading 2 3 3 2" xfId="9179"/>
    <cellStyle name="Assumptions Heading 2 3 4" xfId="5374"/>
    <cellStyle name="Assumptions Heading 2 3 4 2" xfId="6816"/>
    <cellStyle name="Assumptions Heading 2 3 5" xfId="5483"/>
    <cellStyle name="Assumptions Heading 2 3 5 2" xfId="7249"/>
    <cellStyle name="Assumptions Heading 2 3 6" xfId="9317"/>
    <cellStyle name="Assumptions Heading 2 4" xfId="2110"/>
    <cellStyle name="Assumptions Heading 2 4 2" xfId="4818"/>
    <cellStyle name="Assumptions Heading 2 4 2 2" xfId="9116"/>
    <cellStyle name="Assumptions Heading 2 4 3" xfId="5448"/>
    <cellStyle name="Assumptions Heading 2 4 3 2" xfId="7002"/>
    <cellStyle name="Assumptions Heading 2 4 4" xfId="7658"/>
    <cellStyle name="Assumptions Heading 2 5" xfId="3040"/>
    <cellStyle name="Assumptions Heading 2 5 2" xfId="3585"/>
    <cellStyle name="Assumptions Heading 2 5 2 2" xfId="8989"/>
    <cellStyle name="Assumptions Heading 2 5 3" xfId="5941"/>
    <cellStyle name="Assumptions Heading 2 5 3 2" xfId="9835"/>
    <cellStyle name="Assumptions Heading 2 5 4" xfId="7657"/>
    <cellStyle name="Assumptions Heading 2 6" xfId="2814"/>
    <cellStyle name="Assumptions Heading 2 6 2" xfId="3905"/>
    <cellStyle name="Assumptions Heading 2 6 2 2" xfId="7364"/>
    <cellStyle name="Assumptions Heading 2 6 3" xfId="5748"/>
    <cellStyle name="Assumptions Heading 2 6 3 2" xfId="8467"/>
    <cellStyle name="Assumptions Heading 2 6 4" xfId="7437"/>
    <cellStyle name="Assumptions Heading 2 7" xfId="2842"/>
    <cellStyle name="Assumptions Heading 2 7 2" xfId="4081"/>
    <cellStyle name="Assumptions Heading 2 7 2 2" xfId="8664"/>
    <cellStyle name="Assumptions Heading 2 7 3" xfId="5774"/>
    <cellStyle name="Assumptions Heading 2 7 3 2" xfId="8184"/>
    <cellStyle name="Assumptions Heading 2 7 4" xfId="9533"/>
    <cellStyle name="Assumptions Heading 2 8" xfId="3304"/>
    <cellStyle name="Assumptions Heading 2 8 2" xfId="3550"/>
    <cellStyle name="Assumptions Heading 2 8 2 2" xfId="8425"/>
    <cellStyle name="Assumptions Heading 2 8 3" xfId="6173"/>
    <cellStyle name="Assumptions Heading 2 8 3 2" xfId="10067"/>
    <cellStyle name="Assumptions Heading 2 8 4" xfId="9484"/>
    <cellStyle name="Assumptions Heading 2 9" xfId="3296"/>
    <cellStyle name="Assumptions Heading 2 9 2" xfId="3673"/>
    <cellStyle name="Assumptions Heading 2 9 2 2" xfId="7287"/>
    <cellStyle name="Assumptions Heading 2 9 3" xfId="6165"/>
    <cellStyle name="Assumptions Heading 2 9 3 2" xfId="10059"/>
    <cellStyle name="Assumptions Heading 2 9 4" xfId="9257"/>
    <cellStyle name="Assumptions Heading 3" xfId="1720"/>
    <cellStyle name="Assumptions Heading 3 10" xfId="3463"/>
    <cellStyle name="Assumptions Heading 3 10 2" xfId="5033"/>
    <cellStyle name="Assumptions Heading 3 10 2 2" xfId="9137"/>
    <cellStyle name="Assumptions Heading 3 10 3" xfId="9510"/>
    <cellStyle name="Assumptions Heading 3 11" xfId="3636"/>
    <cellStyle name="Assumptions Heading 3 11 2" xfId="7452"/>
    <cellStyle name="Assumptions Heading 3 12" xfId="6447"/>
    <cellStyle name="Assumptions Heading 3 2" xfId="1600"/>
    <cellStyle name="Assumptions Heading 3 2 10" xfId="8596"/>
    <cellStyle name="Assumptions Heading 3 2 2" xfId="2440"/>
    <cellStyle name="Assumptions Heading 3 2 2 2" xfId="2574"/>
    <cellStyle name="Assumptions Heading 3 2 2 2 2" xfId="4837"/>
    <cellStyle name="Assumptions Heading 3 2 2 2 2 2" xfId="7781"/>
    <cellStyle name="Assumptions Heading 3 2 2 2 3" xfId="9354"/>
    <cellStyle name="Assumptions Heading 3 2 2 3" xfId="4656"/>
    <cellStyle name="Assumptions Heading 3 2 2 3 2" xfId="8882"/>
    <cellStyle name="Assumptions Heading 3 2 2 4" xfId="8093"/>
    <cellStyle name="Assumptions Heading 3 2 3" xfId="2106"/>
    <cellStyle name="Assumptions Heading 3 2 3 2" xfId="2976"/>
    <cellStyle name="Assumptions Heading 3 2 3 2 2" xfId="3815"/>
    <cellStyle name="Assumptions Heading 3 2 3 2 2 2" xfId="9523"/>
    <cellStyle name="Assumptions Heading 3 2 3 2 3" xfId="9211"/>
    <cellStyle name="Assumptions Heading 3 2 3 3" xfId="4627"/>
    <cellStyle name="Assumptions Heading 3 2 3 3 2" xfId="8266"/>
    <cellStyle name="Assumptions Heading 3 2 3 4" xfId="5578"/>
    <cellStyle name="Assumptions Heading 3 2 3 4 2" xfId="7855"/>
    <cellStyle name="Assumptions Heading 3 2 3 5" xfId="7454"/>
    <cellStyle name="Assumptions Heading 3 2 4" xfId="2250"/>
    <cellStyle name="Assumptions Heading 3 2 4 2" xfId="4115"/>
    <cellStyle name="Assumptions Heading 3 2 4 2 2" xfId="7412"/>
    <cellStyle name="Assumptions Heading 3 2 4 3" xfId="5631"/>
    <cellStyle name="Assumptions Heading 3 2 4 3 2" xfId="7344"/>
    <cellStyle name="Assumptions Heading 3 2 4 4" xfId="8458"/>
    <cellStyle name="Assumptions Heading 3 2 5" xfId="2764"/>
    <cellStyle name="Assumptions Heading 3 2 5 2" xfId="4056"/>
    <cellStyle name="Assumptions Heading 3 2 5 2 2" xfId="9651"/>
    <cellStyle name="Assumptions Heading 3 2 5 3" xfId="5707"/>
    <cellStyle name="Assumptions Heading 3 2 5 3 2" xfId="7972"/>
    <cellStyle name="Assumptions Heading 3 2 5 4" xfId="6724"/>
    <cellStyle name="Assumptions Heading 3 2 6" xfId="2997"/>
    <cellStyle name="Assumptions Heading 3 2 6 2" xfId="4216"/>
    <cellStyle name="Assumptions Heading 3 2 6 2 2" xfId="7807"/>
    <cellStyle name="Assumptions Heading 3 2 6 3" xfId="5900"/>
    <cellStyle name="Assumptions Heading 3 2 6 3 2" xfId="9794"/>
    <cellStyle name="Assumptions Heading 3 2 6 4" xfId="7773"/>
    <cellStyle name="Assumptions Heading 3 2 7" xfId="3311"/>
    <cellStyle name="Assumptions Heading 3 2 7 2" xfId="3543"/>
    <cellStyle name="Assumptions Heading 3 2 7 2 2" xfId="9036"/>
    <cellStyle name="Assumptions Heading 3 2 7 3" xfId="6180"/>
    <cellStyle name="Assumptions Heading 3 2 7 3 2" xfId="10074"/>
    <cellStyle name="Assumptions Heading 3 2 7 4" xfId="8732"/>
    <cellStyle name="Assumptions Heading 3 2 8" xfId="3439"/>
    <cellStyle name="Assumptions Heading 3 2 8 2" xfId="5010"/>
    <cellStyle name="Assumptions Heading 3 2 8 2 2" xfId="8643"/>
    <cellStyle name="Assumptions Heading 3 2 8 3" xfId="8324"/>
    <cellStyle name="Assumptions Heading 3 2 9" xfId="4270"/>
    <cellStyle name="Assumptions Heading 3 2 9 2" xfId="7301"/>
    <cellStyle name="Assumptions Heading 3 3" xfId="2343"/>
    <cellStyle name="Assumptions Heading 3 3 2" xfId="2681"/>
    <cellStyle name="Assumptions Heading 3 3 2 2" xfId="4268"/>
    <cellStyle name="Assumptions Heading 3 3 2 2 2" xfId="8005"/>
    <cellStyle name="Assumptions Heading 3 3 2 3" xfId="6871"/>
    <cellStyle name="Assumptions Heading 3 3 3" xfId="4104"/>
    <cellStyle name="Assumptions Heading 3 3 3 2" xfId="9593"/>
    <cellStyle name="Assumptions Heading 3 3 4" xfId="5260"/>
    <cellStyle name="Assumptions Heading 3 3 4 2" xfId="6836"/>
    <cellStyle name="Assumptions Heading 3 3 5" xfId="5511"/>
    <cellStyle name="Assumptions Heading 3 3 5 2" xfId="6636"/>
    <cellStyle name="Assumptions Heading 3 3 6" xfId="7264"/>
    <cellStyle name="Assumptions Heading 3 4" xfId="2161"/>
    <cellStyle name="Assumptions Heading 3 4 2" xfId="4866"/>
    <cellStyle name="Assumptions Heading 3 4 2 2" xfId="9554"/>
    <cellStyle name="Assumptions Heading 3 4 3" xfId="5539"/>
    <cellStyle name="Assumptions Heading 3 4 3 2" xfId="7531"/>
    <cellStyle name="Assumptions Heading 3 4 4" xfId="8274"/>
    <cellStyle name="Assumptions Heading 3 5" xfId="2949"/>
    <cellStyle name="Assumptions Heading 3 5 2" xfId="3835"/>
    <cellStyle name="Assumptions Heading 3 5 2 2" xfId="6749"/>
    <cellStyle name="Assumptions Heading 3 5 3" xfId="5869"/>
    <cellStyle name="Assumptions Heading 3 5 3 2" xfId="6465"/>
    <cellStyle name="Assumptions Heading 3 5 4" xfId="7038"/>
    <cellStyle name="Assumptions Heading 3 6" xfId="3238"/>
    <cellStyle name="Assumptions Heading 3 6 2" xfId="4121"/>
    <cellStyle name="Assumptions Heading 3 6 2 2" xfId="7591"/>
    <cellStyle name="Assumptions Heading 3 6 3" xfId="6120"/>
    <cellStyle name="Assumptions Heading 3 6 3 2" xfId="10014"/>
    <cellStyle name="Assumptions Heading 3 6 4" xfId="7016"/>
    <cellStyle name="Assumptions Heading 3 7" xfId="3231"/>
    <cellStyle name="Assumptions Heading 3 7 2" xfId="4122"/>
    <cellStyle name="Assumptions Heading 3 7 2 2" xfId="8000"/>
    <cellStyle name="Assumptions Heading 3 7 3" xfId="6113"/>
    <cellStyle name="Assumptions Heading 3 7 3 2" xfId="10007"/>
    <cellStyle name="Assumptions Heading 3 7 4" xfId="7204"/>
    <cellStyle name="Assumptions Heading 3 8" xfId="2999"/>
    <cellStyle name="Assumptions Heading 3 8 2" xfId="3589"/>
    <cellStyle name="Assumptions Heading 3 8 2 2" xfId="8757"/>
    <cellStyle name="Assumptions Heading 3 8 3" xfId="5902"/>
    <cellStyle name="Assumptions Heading 3 8 3 2" xfId="9796"/>
    <cellStyle name="Assumptions Heading 3 8 4" xfId="7814"/>
    <cellStyle name="Assumptions Heading 3 9" xfId="3355"/>
    <cellStyle name="Assumptions Heading 3 9 2" xfId="4945"/>
    <cellStyle name="Assumptions Heading 3 9 2 2" xfId="6376"/>
    <cellStyle name="Assumptions Heading 3 9 3" xfId="6221"/>
    <cellStyle name="Assumptions Heading 3 9 3 2" xfId="10115"/>
    <cellStyle name="Assumptions Heading 3 9 4" xfId="8624"/>
    <cellStyle name="Assumptions Heading 4" xfId="2118"/>
    <cellStyle name="Assumptions Heading 4 2" xfId="2651"/>
    <cellStyle name="Assumptions Heading 4 2 2" xfId="4848"/>
    <cellStyle name="Assumptions Heading 4 2 2 2" xfId="8352"/>
    <cellStyle name="Assumptions Heading 4 2 3" xfId="8305"/>
    <cellStyle name="Assumptions Heading 4 3" xfId="4891"/>
    <cellStyle name="Assumptions Heading 4 3 2" xfId="9125"/>
    <cellStyle name="Assumptions Heading 4 4" xfId="5262"/>
    <cellStyle name="Assumptions Heading 4 4 2" xfId="7449"/>
    <cellStyle name="Assumptions Heading 4 5" xfId="5482"/>
    <cellStyle name="Assumptions Heading 4 5 2" xfId="7067"/>
    <cellStyle name="Assumptions Heading 4 6" xfId="6852"/>
    <cellStyle name="Assumptions Heading 5" xfId="2277"/>
    <cellStyle name="Assumptions Heading 5 2" xfId="4292"/>
    <cellStyle name="Assumptions Heading 5 2 2" xfId="9668"/>
    <cellStyle name="Assumptions Heading 5 3" xfId="5449"/>
    <cellStyle name="Assumptions Heading 5 3 2" xfId="7216"/>
    <cellStyle name="Assumptions Heading 5 4" xfId="6803"/>
    <cellStyle name="Assumptions Heading 6" xfId="3041"/>
    <cellStyle name="Assumptions Heading 6 2" xfId="3780"/>
    <cellStyle name="Assumptions Heading 6 2 2" xfId="9736"/>
    <cellStyle name="Assumptions Heading 6 3" xfId="5942"/>
    <cellStyle name="Assumptions Heading 6 3 2" xfId="9836"/>
    <cellStyle name="Assumptions Heading 6 4" xfId="6338"/>
    <cellStyle name="Assumptions Heading 7" xfId="3274"/>
    <cellStyle name="Assumptions Heading 7 2" xfId="4250"/>
    <cellStyle name="Assumptions Heading 7 2 2" xfId="8411"/>
    <cellStyle name="Assumptions Heading 7 3" xfId="6149"/>
    <cellStyle name="Assumptions Heading 7 3 2" xfId="10043"/>
    <cellStyle name="Assumptions Heading 7 4" xfId="6320"/>
    <cellStyle name="Assumptions Heading 8" xfId="3121"/>
    <cellStyle name="Assumptions Heading 8 2" xfId="3734"/>
    <cellStyle name="Assumptions Heading 8 2 2" xfId="6857"/>
    <cellStyle name="Assumptions Heading 8 3" xfId="6017"/>
    <cellStyle name="Assumptions Heading 8 3 2" xfId="9911"/>
    <cellStyle name="Assumptions Heading 8 4" xfId="6936"/>
    <cellStyle name="Assumptions Heading 9" xfId="3322"/>
    <cellStyle name="Assumptions Heading 9 2" xfId="3533"/>
    <cellStyle name="Assumptions Heading 9 2 2" xfId="9483"/>
    <cellStyle name="Assumptions Heading 9 3" xfId="6190"/>
    <cellStyle name="Assumptions Heading 9 3 2" xfId="10084"/>
    <cellStyle name="Assumptions Heading 9 4" xfId="8189"/>
    <cellStyle name="Assumptions Right Currency" xfId="961"/>
    <cellStyle name="Assumptions Right Currency 10" xfId="3361"/>
    <cellStyle name="Assumptions Right Currency 10 2" xfId="4951"/>
    <cellStyle name="Assumptions Right Currency 10 2 2" xfId="7125"/>
    <cellStyle name="Assumptions Right Currency 10 3" xfId="6227"/>
    <cellStyle name="Assumptions Right Currency 10 3 2" xfId="10121"/>
    <cellStyle name="Assumptions Right Currency 10 4" xfId="6412"/>
    <cellStyle name="Assumptions Right Currency 11" xfId="3397"/>
    <cellStyle name="Assumptions Right Currency 11 2" xfId="4971"/>
    <cellStyle name="Assumptions Right Currency 11 2 2" xfId="9081"/>
    <cellStyle name="Assumptions Right Currency 11 3" xfId="9223"/>
    <cellStyle name="Assumptions Right Currency 12" xfId="4010"/>
    <cellStyle name="Assumptions Right Currency 12 2" xfId="8584"/>
    <cellStyle name="Assumptions Right Currency 13" xfId="8690"/>
    <cellStyle name="Assumptions Right Currency 2" xfId="962"/>
    <cellStyle name="Assumptions Right Currency 2 10" xfId="3398"/>
    <cellStyle name="Assumptions Right Currency 2 10 2" xfId="4972"/>
    <cellStyle name="Assumptions Right Currency 2 10 2 2" xfId="8350"/>
    <cellStyle name="Assumptions Right Currency 2 10 3" xfId="9014"/>
    <cellStyle name="Assumptions Right Currency 2 11" xfId="4009"/>
    <cellStyle name="Assumptions Right Currency 2 11 2" xfId="8874"/>
    <cellStyle name="Assumptions Right Currency 2 12" xfId="9156"/>
    <cellStyle name="Assumptions Right Currency 2 2" xfId="1723"/>
    <cellStyle name="Assumptions Right Currency 2 2 10" xfId="3466"/>
    <cellStyle name="Assumptions Right Currency 2 2 10 2" xfId="5036"/>
    <cellStyle name="Assumptions Right Currency 2 2 10 2 2" xfId="8612"/>
    <cellStyle name="Assumptions Right Currency 2 2 10 3" xfId="9643"/>
    <cellStyle name="Assumptions Right Currency 2 2 11" xfId="3633"/>
    <cellStyle name="Assumptions Right Currency 2 2 11 2" xfId="8866"/>
    <cellStyle name="Assumptions Right Currency 2 2 12" xfId="8292"/>
    <cellStyle name="Assumptions Right Currency 2 2 2" xfId="1753"/>
    <cellStyle name="Assumptions Right Currency 2 2 2 10" xfId="6684"/>
    <cellStyle name="Assumptions Right Currency 2 2 2 2" xfId="2468"/>
    <cellStyle name="Assumptions Right Currency 2 2 2 2 2" xfId="2591"/>
    <cellStyle name="Assumptions Right Currency 2 2 2 2 2 2" xfId="4812"/>
    <cellStyle name="Assumptions Right Currency 2 2 2 2 2 2 2" xfId="8240"/>
    <cellStyle name="Assumptions Right Currency 2 2 2 2 2 3" xfId="8282"/>
    <cellStyle name="Assumptions Right Currency 2 2 2 2 3" xfId="4850"/>
    <cellStyle name="Assumptions Right Currency 2 2 2 2 3 2" xfId="6934"/>
    <cellStyle name="Assumptions Right Currency 2 2 2 2 4" xfId="7422"/>
    <cellStyle name="Assumptions Right Currency 2 2 2 3" xfId="2187"/>
    <cellStyle name="Assumptions Right Currency 2 2 2 3 2" xfId="2934"/>
    <cellStyle name="Assumptions Right Currency 2 2 2 3 2 2" xfId="3846"/>
    <cellStyle name="Assumptions Right Currency 2 2 2 3 2 2 2" xfId="9319"/>
    <cellStyle name="Assumptions Right Currency 2 2 2 3 2 3" xfId="7798"/>
    <cellStyle name="Assumptions Right Currency 2 2 2 3 3" xfId="4416"/>
    <cellStyle name="Assumptions Right Currency 2 2 2 3 3 2" xfId="9420"/>
    <cellStyle name="Assumptions Right Currency 2 2 2 3 4" xfId="5604"/>
    <cellStyle name="Assumptions Right Currency 2 2 2 3 4 2" xfId="8181"/>
    <cellStyle name="Assumptions Right Currency 2 2 2 3 5" xfId="8304"/>
    <cellStyle name="Assumptions Right Currency 2 2 2 4" xfId="2259"/>
    <cellStyle name="Assumptions Right Currency 2 2 2 4 2" xfId="4608"/>
    <cellStyle name="Assumptions Right Currency 2 2 2 4 2 2" xfId="9069"/>
    <cellStyle name="Assumptions Right Currency 2 2 2 4 3" xfId="5633"/>
    <cellStyle name="Assumptions Right Currency 2 2 2 4 3 2" xfId="7880"/>
    <cellStyle name="Assumptions Right Currency 2 2 2 4 4" xfId="8259"/>
    <cellStyle name="Assumptions Right Currency 2 2 2 5" xfId="3109"/>
    <cellStyle name="Assumptions Right Currency 2 2 2 5 2" xfId="3744"/>
    <cellStyle name="Assumptions Right Currency 2 2 2 5 2 2" xfId="9386"/>
    <cellStyle name="Assumptions Right Currency 2 2 2 5 3" xfId="6005"/>
    <cellStyle name="Assumptions Right Currency 2 2 2 5 3 2" xfId="9899"/>
    <cellStyle name="Assumptions Right Currency 2 2 2 5 4" xfId="6526"/>
    <cellStyle name="Assumptions Right Currency 2 2 2 6" xfId="3319"/>
    <cellStyle name="Assumptions Right Currency 2 2 2 6 2" xfId="3536"/>
    <cellStyle name="Assumptions Right Currency 2 2 2 6 2 2" xfId="9735"/>
    <cellStyle name="Assumptions Right Currency 2 2 2 6 3" xfId="6187"/>
    <cellStyle name="Assumptions Right Currency 2 2 2 6 3 2" xfId="10081"/>
    <cellStyle name="Assumptions Right Currency 2 2 2 6 4" xfId="9411"/>
    <cellStyle name="Assumptions Right Currency 2 2 2 7" xfId="3302"/>
    <cellStyle name="Assumptions Right Currency 2 2 2 7 2" xfId="3552"/>
    <cellStyle name="Assumptions Right Currency 2 2 2 7 2 2" xfId="6289"/>
    <cellStyle name="Assumptions Right Currency 2 2 2 7 3" xfId="6171"/>
    <cellStyle name="Assumptions Right Currency 2 2 2 7 3 2" xfId="10065"/>
    <cellStyle name="Assumptions Right Currency 2 2 2 7 4" xfId="8640"/>
    <cellStyle name="Assumptions Right Currency 2 2 2 8" xfId="3482"/>
    <cellStyle name="Assumptions Right Currency 2 2 2 8 2" xfId="5052"/>
    <cellStyle name="Assumptions Right Currency 2 2 2 8 2 2" xfId="9622"/>
    <cellStyle name="Assumptions Right Currency 2 2 2 8 3" xfId="9221"/>
    <cellStyle name="Assumptions Right Currency 2 2 2 9" xfId="3990"/>
    <cellStyle name="Assumptions Right Currency 2 2 2 9 2" xfId="8698"/>
    <cellStyle name="Assumptions Right Currency 2 2 3" xfId="2321"/>
    <cellStyle name="Assumptions Right Currency 2 2 3 2" xfId="2684"/>
    <cellStyle name="Assumptions Right Currency 2 2 3 2 2" xfId="3963"/>
    <cellStyle name="Assumptions Right Currency 2 2 3 2 2 2" xfId="8166"/>
    <cellStyle name="Assumptions Right Currency 2 2 3 2 3" xfId="7723"/>
    <cellStyle name="Assumptions Right Currency 2 2 3 3" xfId="4467"/>
    <cellStyle name="Assumptions Right Currency 2 2 3 3 2" xfId="6870"/>
    <cellStyle name="Assumptions Right Currency 2 2 3 4" xfId="5159"/>
    <cellStyle name="Assumptions Right Currency 2 2 3 4 2" xfId="9393"/>
    <cellStyle name="Assumptions Right Currency 2 2 3 5" xfId="5514"/>
    <cellStyle name="Assumptions Right Currency 2 2 3 5 2" xfId="8474"/>
    <cellStyle name="Assumptions Right Currency 2 2 3 6" xfId="8013"/>
    <cellStyle name="Assumptions Right Currency 2 2 4" xfId="2311"/>
    <cellStyle name="Assumptions Right Currency 2 2 4 2" xfId="4593"/>
    <cellStyle name="Assumptions Right Currency 2 2 4 2 2" xfId="9562"/>
    <cellStyle name="Assumptions Right Currency 2 2 4 3" xfId="5542"/>
    <cellStyle name="Assumptions Right Currency 2 2 4 3 2" xfId="7712"/>
    <cellStyle name="Assumptions Right Currency 2 2 4 4" xfId="7897"/>
    <cellStyle name="Assumptions Right Currency 2 2 5" xfId="2948"/>
    <cellStyle name="Assumptions Right Currency 2 2 5 2" xfId="3836"/>
    <cellStyle name="Assumptions Right Currency 2 2 5 2 2" xfId="9659"/>
    <cellStyle name="Assumptions Right Currency 2 2 5 3" xfId="5868"/>
    <cellStyle name="Assumptions Right Currency 2 2 5 3 2" xfId="7967"/>
    <cellStyle name="Assumptions Right Currency 2 2 5 4" xfId="9333"/>
    <cellStyle name="Assumptions Right Currency 2 2 6" xfId="3259"/>
    <cellStyle name="Assumptions Right Currency 2 2 6 2" xfId="3562"/>
    <cellStyle name="Assumptions Right Currency 2 2 6 2 2" xfId="8088"/>
    <cellStyle name="Assumptions Right Currency 2 2 6 3" xfId="6136"/>
    <cellStyle name="Assumptions Right Currency 2 2 6 3 2" xfId="10030"/>
    <cellStyle name="Assumptions Right Currency 2 2 6 4" xfId="6833"/>
    <cellStyle name="Assumptions Right Currency 2 2 7" xfId="3232"/>
    <cellStyle name="Assumptions Right Currency 2 2 7 2" xfId="4046"/>
    <cellStyle name="Assumptions Right Currency 2 2 7 2 2" xfId="8605"/>
    <cellStyle name="Assumptions Right Currency 2 2 7 3" xfId="6114"/>
    <cellStyle name="Assumptions Right Currency 2 2 7 3 2" xfId="10008"/>
    <cellStyle name="Assumptions Right Currency 2 2 7 4" xfId="8287"/>
    <cellStyle name="Assumptions Right Currency 2 2 8" xfId="3101"/>
    <cellStyle name="Assumptions Right Currency 2 2 8 2" xfId="3750"/>
    <cellStyle name="Assumptions Right Currency 2 2 8 2 2" xfId="9674"/>
    <cellStyle name="Assumptions Right Currency 2 2 8 3" xfId="5998"/>
    <cellStyle name="Assumptions Right Currency 2 2 8 3 2" xfId="9892"/>
    <cellStyle name="Assumptions Right Currency 2 2 8 4" xfId="7439"/>
    <cellStyle name="Assumptions Right Currency 2 2 9" xfId="3221"/>
    <cellStyle name="Assumptions Right Currency 2 2 9 2" xfId="4193"/>
    <cellStyle name="Assumptions Right Currency 2 2 9 2 2" xfId="6700"/>
    <cellStyle name="Assumptions Right Currency 2 2 9 3" xfId="6104"/>
    <cellStyle name="Assumptions Right Currency 2 2 9 3 2" xfId="9998"/>
    <cellStyle name="Assumptions Right Currency 2 2 9 4" xfId="7310"/>
    <cellStyle name="Assumptions Right Currency 2 3" xfId="2243"/>
    <cellStyle name="Assumptions Right Currency 2 3 2" xfId="2654"/>
    <cellStyle name="Assumptions Right Currency 2 3 2 2" xfId="4692"/>
    <cellStyle name="Assumptions Right Currency 2 3 2 2 2" xfId="7027"/>
    <cellStyle name="Assumptions Right Currency 2 3 2 3" xfId="7809"/>
    <cellStyle name="Assumptions Right Currency 2 3 3" xfId="4794"/>
    <cellStyle name="Assumptions Right Currency 2 3 3 2" xfId="9057"/>
    <cellStyle name="Assumptions Right Currency 2 3 4" xfId="5149"/>
    <cellStyle name="Assumptions Right Currency 2 3 4 2" xfId="8339"/>
    <cellStyle name="Assumptions Right Currency 2 3 5" xfId="5485"/>
    <cellStyle name="Assumptions Right Currency 2 3 5 2" xfId="6645"/>
    <cellStyle name="Assumptions Right Currency 2 3 6" xfId="7765"/>
    <cellStyle name="Assumptions Right Currency 2 4" xfId="2111"/>
    <cellStyle name="Assumptions Right Currency 2 4 2" xfId="4772"/>
    <cellStyle name="Assumptions Right Currency 2 4 2 2" xfId="6623"/>
    <cellStyle name="Assumptions Right Currency 2 4 3" xfId="5446"/>
    <cellStyle name="Assumptions Right Currency 2 4 3 2" xfId="7372"/>
    <cellStyle name="Assumptions Right Currency 2 4 4" xfId="6802"/>
    <cellStyle name="Assumptions Right Currency 2 5" xfId="2849"/>
    <cellStyle name="Assumptions Right Currency 2 5 2" xfId="4075"/>
    <cellStyle name="Assumptions Right Currency 2 5 2 2" xfId="9131"/>
    <cellStyle name="Assumptions Right Currency 2 5 3" xfId="5781"/>
    <cellStyle name="Assumptions Right Currency 2 5 3 2" xfId="8025"/>
    <cellStyle name="Assumptions Right Currency 2 5 4" xfId="9334"/>
    <cellStyle name="Assumptions Right Currency 2 6" xfId="3096"/>
    <cellStyle name="Assumptions Right Currency 2 6 2" xfId="3754"/>
    <cellStyle name="Assumptions Right Currency 2 6 2 2" xfId="7727"/>
    <cellStyle name="Assumptions Right Currency 2 6 3" xfId="5993"/>
    <cellStyle name="Assumptions Right Currency 2 6 3 2" xfId="9887"/>
    <cellStyle name="Assumptions Right Currency 2 6 4" xfId="8614"/>
    <cellStyle name="Assumptions Right Currency 2 7" xfId="3317"/>
    <cellStyle name="Assumptions Right Currency 2 7 2" xfId="3538"/>
    <cellStyle name="Assumptions Right Currency 2 7 2 2" xfId="6355"/>
    <cellStyle name="Assumptions Right Currency 2 7 3" xfId="6185"/>
    <cellStyle name="Assumptions Right Currency 2 7 3 2" xfId="10079"/>
    <cellStyle name="Assumptions Right Currency 2 7 4" xfId="9034"/>
    <cellStyle name="Assumptions Right Currency 2 8" xfId="3351"/>
    <cellStyle name="Assumptions Right Currency 2 8 2" xfId="4941"/>
    <cellStyle name="Assumptions Right Currency 2 8 2 2" xfId="9466"/>
    <cellStyle name="Assumptions Right Currency 2 8 3" xfId="6217"/>
    <cellStyle name="Assumptions Right Currency 2 8 3 2" xfId="10111"/>
    <cellStyle name="Assumptions Right Currency 2 8 4" xfId="9186"/>
    <cellStyle name="Assumptions Right Currency 2 9" xfId="3348"/>
    <cellStyle name="Assumptions Right Currency 2 9 2" xfId="4939"/>
    <cellStyle name="Assumptions Right Currency 2 9 2 2" xfId="9051"/>
    <cellStyle name="Assumptions Right Currency 2 9 3" xfId="6215"/>
    <cellStyle name="Assumptions Right Currency 2 9 3 2" xfId="10109"/>
    <cellStyle name="Assumptions Right Currency 2 9 4" xfId="8105"/>
    <cellStyle name="Assumptions Right Currency 3" xfId="1722"/>
    <cellStyle name="Assumptions Right Currency 3 10" xfId="3465"/>
    <cellStyle name="Assumptions Right Currency 3 10 2" xfId="5035"/>
    <cellStyle name="Assumptions Right Currency 3 10 2 2" xfId="6670"/>
    <cellStyle name="Assumptions Right Currency 3 10 3" xfId="6310"/>
    <cellStyle name="Assumptions Right Currency 3 11" xfId="3634"/>
    <cellStyle name="Assumptions Right Currency 3 11 2" xfId="6578"/>
    <cellStyle name="Assumptions Right Currency 3 12" xfId="6489"/>
    <cellStyle name="Assumptions Right Currency 3 2" xfId="1608"/>
    <cellStyle name="Assumptions Right Currency 3 2 10" xfId="9761"/>
    <cellStyle name="Assumptions Right Currency 3 2 2" xfId="2447"/>
    <cellStyle name="Assumptions Right Currency 3 2 2 2" xfId="2581"/>
    <cellStyle name="Assumptions Right Currency 3 2 2 2 2" xfId="4882"/>
    <cellStyle name="Assumptions Right Currency 3 2 2 2 2 2" xfId="9312"/>
    <cellStyle name="Assumptions Right Currency 3 2 2 2 3" xfId="8022"/>
    <cellStyle name="Assumptions Right Currency 3 2 2 3" xfId="4671"/>
    <cellStyle name="Assumptions Right Currency 3 2 2 3 2" xfId="6271"/>
    <cellStyle name="Assumptions Right Currency 3 2 2 4" xfId="6957"/>
    <cellStyle name="Assumptions Right Currency 3 2 3" xfId="2209"/>
    <cellStyle name="Assumptions Right Currency 3 2 3 2" xfId="2971"/>
    <cellStyle name="Assumptions Right Currency 3 2 3 2 2" xfId="4217"/>
    <cellStyle name="Assumptions Right Currency 3 2 3 2 2 2" xfId="7697"/>
    <cellStyle name="Assumptions Right Currency 3 2 3 2 3" xfId="8238"/>
    <cellStyle name="Assumptions Right Currency 3 2 3 3" xfId="4876"/>
    <cellStyle name="Assumptions Right Currency 3 2 3 3 2" xfId="8328"/>
    <cellStyle name="Assumptions Right Currency 3 2 3 4" xfId="5616"/>
    <cellStyle name="Assumptions Right Currency 3 2 3 4 2" xfId="6335"/>
    <cellStyle name="Assumptions Right Currency 3 2 3 5" xfId="7927"/>
    <cellStyle name="Assumptions Right Currency 3 2 4" xfId="2352"/>
    <cellStyle name="Assumptions Right Currency 3 2 4 2" xfId="4744"/>
    <cellStyle name="Assumptions Right Currency 3 2 4 2 2" xfId="9244"/>
    <cellStyle name="Assumptions Right Currency 3 2 4 3" xfId="5677"/>
    <cellStyle name="Assumptions Right Currency 3 2 4 3 2" xfId="6571"/>
    <cellStyle name="Assumptions Right Currency 3 2 4 4" xfId="6696"/>
    <cellStyle name="Assumptions Right Currency 3 2 5" xfId="3128"/>
    <cellStyle name="Assumptions Right Currency 3 2 5 2" xfId="3727"/>
    <cellStyle name="Assumptions Right Currency 3 2 5 2 2" xfId="7843"/>
    <cellStyle name="Assumptions Right Currency 3 2 5 3" xfId="6024"/>
    <cellStyle name="Assumptions Right Currency 3 2 5 3 2" xfId="9918"/>
    <cellStyle name="Assumptions Right Currency 3 2 5 4" xfId="6575"/>
    <cellStyle name="Assumptions Right Currency 3 2 6" xfId="3283"/>
    <cellStyle name="Assumptions Right Currency 3 2 6 2" xfId="4249"/>
    <cellStyle name="Assumptions Right Currency 3 2 6 2 2" xfId="8699"/>
    <cellStyle name="Assumptions Right Currency 3 2 6 3" xfId="6154"/>
    <cellStyle name="Assumptions Right Currency 3 2 6 3 2" xfId="10048"/>
    <cellStyle name="Assumptions Right Currency 3 2 6 4" xfId="9740"/>
    <cellStyle name="Assumptions Right Currency 3 2 7" xfId="2988"/>
    <cellStyle name="Assumptions Right Currency 3 2 7 2" xfId="3809"/>
    <cellStyle name="Assumptions Right Currency 3 2 7 2 2" xfId="9653"/>
    <cellStyle name="Assumptions Right Currency 3 2 7 3" xfId="5892"/>
    <cellStyle name="Assumptions Right Currency 3 2 7 3 2" xfId="9786"/>
    <cellStyle name="Assumptions Right Currency 3 2 7 4" xfId="6499"/>
    <cellStyle name="Assumptions Right Currency 3 2 8" xfId="3445"/>
    <cellStyle name="Assumptions Right Currency 3 2 8 2" xfId="5016"/>
    <cellStyle name="Assumptions Right Currency 3 2 8 2 2" xfId="8861"/>
    <cellStyle name="Assumptions Right Currency 3 2 8 3" xfId="9610"/>
    <cellStyle name="Assumptions Right Currency 3 2 9" xfId="3991"/>
    <cellStyle name="Assumptions Right Currency 3 2 9 2" xfId="7261"/>
    <cellStyle name="Assumptions Right Currency 3 3" xfId="2102"/>
    <cellStyle name="Assumptions Right Currency 3 3 2" xfId="2683"/>
    <cellStyle name="Assumptions Right Currency 3 3 2 2" xfId="4063"/>
    <cellStyle name="Assumptions Right Currency 3 3 2 2 2" xfId="6924"/>
    <cellStyle name="Assumptions Right Currency 3 3 2 3" xfId="6331"/>
    <cellStyle name="Assumptions Right Currency 3 3 3" xfId="4790"/>
    <cellStyle name="Assumptions Right Currency 3 3 3 2" xfId="9618"/>
    <cellStyle name="Assumptions Right Currency 3 3 4" xfId="5223"/>
    <cellStyle name="Assumptions Right Currency 3 3 4 2" xfId="7279"/>
    <cellStyle name="Assumptions Right Currency 3 3 5" xfId="5513"/>
    <cellStyle name="Assumptions Right Currency 3 3 5 2" xfId="6288"/>
    <cellStyle name="Assumptions Right Currency 3 3 6" xfId="7788"/>
    <cellStyle name="Assumptions Right Currency 3 4" xfId="2284"/>
    <cellStyle name="Assumptions Right Currency 3 4 2" xfId="4771"/>
    <cellStyle name="Assumptions Right Currency 3 4 2 2" xfId="6384"/>
    <cellStyle name="Assumptions Right Currency 3 4 3" xfId="5541"/>
    <cellStyle name="Assumptions Right Currency 3 4 3 2" xfId="7177"/>
    <cellStyle name="Assumptions Right Currency 3 4 4" xfId="7860"/>
    <cellStyle name="Assumptions Right Currency 3 5" xfId="3158"/>
    <cellStyle name="Assumptions Right Currency 3 5 2" xfId="4202"/>
    <cellStyle name="Assumptions Right Currency 3 5 2 2" xfId="7679"/>
    <cellStyle name="Assumptions Right Currency 3 5 3" xfId="6052"/>
    <cellStyle name="Assumptions Right Currency 3 5 3 2" xfId="9946"/>
    <cellStyle name="Assumptions Right Currency 3 5 4" xfId="7962"/>
    <cellStyle name="Assumptions Right Currency 3 6" xfId="3135"/>
    <cellStyle name="Assumptions Right Currency 3 6 2" xfId="3723"/>
    <cellStyle name="Assumptions Right Currency 3 6 2 2" xfId="9148"/>
    <cellStyle name="Assumptions Right Currency 3 6 3" xfId="6031"/>
    <cellStyle name="Assumptions Right Currency 3 6 3 2" xfId="9925"/>
    <cellStyle name="Assumptions Right Currency 3 6 4" xfId="6756"/>
    <cellStyle name="Assumptions Right Currency 3 7" xfId="3176"/>
    <cellStyle name="Assumptions Right Currency 3 7 2" xfId="4263"/>
    <cellStyle name="Assumptions Right Currency 3 7 2 2" xfId="9565"/>
    <cellStyle name="Assumptions Right Currency 3 7 3" xfId="6068"/>
    <cellStyle name="Assumptions Right Currency 3 7 3 2" xfId="9962"/>
    <cellStyle name="Assumptions Right Currency 3 7 4" xfId="7648"/>
    <cellStyle name="Assumptions Right Currency 3 8" xfId="3345"/>
    <cellStyle name="Assumptions Right Currency 3 8 2" xfId="4936"/>
    <cellStyle name="Assumptions Right Currency 3 8 2 2" xfId="9120"/>
    <cellStyle name="Assumptions Right Currency 3 8 3" xfId="6212"/>
    <cellStyle name="Assumptions Right Currency 3 8 3 2" xfId="10106"/>
    <cellStyle name="Assumptions Right Currency 3 8 4" xfId="8855"/>
    <cellStyle name="Assumptions Right Currency 3 9" xfId="3227"/>
    <cellStyle name="Assumptions Right Currency 3 9 2" xfId="4192"/>
    <cellStyle name="Assumptions Right Currency 3 9 2 2" xfId="8571"/>
    <cellStyle name="Assumptions Right Currency 3 9 3" xfId="6109"/>
    <cellStyle name="Assumptions Right Currency 3 9 3 2" xfId="10003"/>
    <cellStyle name="Assumptions Right Currency 3 9 4" xfId="6704"/>
    <cellStyle name="Assumptions Right Currency 4" xfId="2244"/>
    <cellStyle name="Assumptions Right Currency 4 2" xfId="2653"/>
    <cellStyle name="Assumptions Right Currency 4 2 2" xfId="4645"/>
    <cellStyle name="Assumptions Right Currency 4 2 2 2" xfId="8273"/>
    <cellStyle name="Assumptions Right Currency 4 2 3" xfId="7774"/>
    <cellStyle name="Assumptions Right Currency 4 3" xfId="4797"/>
    <cellStyle name="Assumptions Right Currency 4 3 2" xfId="9314"/>
    <cellStyle name="Assumptions Right Currency 4 4" xfId="5333"/>
    <cellStyle name="Assumptions Right Currency 4 4 2" xfId="6668"/>
    <cellStyle name="Assumptions Right Currency 4 5" xfId="5484"/>
    <cellStyle name="Assumptions Right Currency 4 5 2" xfId="6293"/>
    <cellStyle name="Assumptions Right Currency 4 6" xfId="9337"/>
    <cellStyle name="Assumptions Right Currency 5" xfId="2368"/>
    <cellStyle name="Assumptions Right Currency 5 2" xfId="4479"/>
    <cellStyle name="Assumptions Right Currency 5 2 2" xfId="8638"/>
    <cellStyle name="Assumptions Right Currency 5 3" xfId="5447"/>
    <cellStyle name="Assumptions Right Currency 5 3 2" xfId="7494"/>
    <cellStyle name="Assumptions Right Currency 5 4" xfId="6981"/>
    <cellStyle name="Assumptions Right Currency 6" xfId="2850"/>
    <cellStyle name="Assumptions Right Currency 6 2" xfId="3893"/>
    <cellStyle name="Assumptions Right Currency 6 2 2" xfId="8215"/>
    <cellStyle name="Assumptions Right Currency 6 3" xfId="5782"/>
    <cellStyle name="Assumptions Right Currency 6 3 2" xfId="8437"/>
    <cellStyle name="Assumptions Right Currency 6 4" xfId="9010"/>
    <cellStyle name="Assumptions Right Currency 7" xfId="3095"/>
    <cellStyle name="Assumptions Right Currency 7 2" xfId="4208"/>
    <cellStyle name="Assumptions Right Currency 7 2 2" xfId="8607"/>
    <cellStyle name="Assumptions Right Currency 7 3" xfId="5992"/>
    <cellStyle name="Assumptions Right Currency 7 3 2" xfId="9886"/>
    <cellStyle name="Assumptions Right Currency 7 4" xfId="8692"/>
    <cellStyle name="Assumptions Right Currency 8" xfId="2912"/>
    <cellStyle name="Assumptions Right Currency 8 2" xfId="4068"/>
    <cellStyle name="Assumptions Right Currency 8 2 2" xfId="9382"/>
    <cellStyle name="Assumptions Right Currency 8 3" xfId="5843"/>
    <cellStyle name="Assumptions Right Currency 8 3 2" xfId="7924"/>
    <cellStyle name="Assumptions Right Currency 8 4" xfId="6635"/>
    <cellStyle name="Assumptions Right Currency 9" xfId="2924"/>
    <cellStyle name="Assumptions Right Currency 9 2" xfId="3849"/>
    <cellStyle name="Assumptions Right Currency 9 2 2" xfId="6537"/>
    <cellStyle name="Assumptions Right Currency 9 3" xfId="5853"/>
    <cellStyle name="Assumptions Right Currency 9 3 2" xfId="6909"/>
    <cellStyle name="Assumptions Right Currency 9 4" xfId="7625"/>
    <cellStyle name="Assumptions Right Date" xfId="963"/>
    <cellStyle name="Assumptions Right Date 10" xfId="3029"/>
    <cellStyle name="Assumptions Right Date 10 2" xfId="3790"/>
    <cellStyle name="Assumptions Right Date 10 2 2" xfId="9102"/>
    <cellStyle name="Assumptions Right Date 10 3" xfId="5930"/>
    <cellStyle name="Assumptions Right Date 10 3 2" xfId="9824"/>
    <cellStyle name="Assumptions Right Date 10 4" xfId="8113"/>
    <cellStyle name="Assumptions Right Date 11" xfId="3399"/>
    <cellStyle name="Assumptions Right Date 11 2" xfId="4973"/>
    <cellStyle name="Assumptions Right Date 11 2 2" xfId="9375"/>
    <cellStyle name="Assumptions Right Date 11 3" xfId="8582"/>
    <cellStyle name="Assumptions Right Date 12" xfId="4245"/>
    <cellStyle name="Assumptions Right Date 12 2" xfId="9561"/>
    <cellStyle name="Assumptions Right Date 13" xfId="8106"/>
    <cellStyle name="Assumptions Right Date 2" xfId="964"/>
    <cellStyle name="Assumptions Right Date 2 10" xfId="3400"/>
    <cellStyle name="Assumptions Right Date 2 10 2" xfId="4974"/>
    <cellStyle name="Assumptions Right Date 2 10 2 2" xfId="9282"/>
    <cellStyle name="Assumptions Right Date 2 10 3" xfId="7070"/>
    <cellStyle name="Assumptions Right Date 2 11" xfId="4008"/>
    <cellStyle name="Assumptions Right Date 2 11 2" xfId="9242"/>
    <cellStyle name="Assumptions Right Date 2 12" xfId="6944"/>
    <cellStyle name="Assumptions Right Date 2 2" xfId="1725"/>
    <cellStyle name="Assumptions Right Date 2 2 10" xfId="3468"/>
    <cellStyle name="Assumptions Right Date 2 2 10 2" xfId="5038"/>
    <cellStyle name="Assumptions Right Date 2 2 10 2 2" xfId="7607"/>
    <cellStyle name="Assumptions Right Date 2 2 10 3" xfId="6933"/>
    <cellStyle name="Assumptions Right Date 2 2 11" xfId="4242"/>
    <cellStyle name="Assumptions Right Date 2 2 11 2" xfId="9531"/>
    <cellStyle name="Assumptions Right Date 2 2 12" xfId="7961"/>
    <cellStyle name="Assumptions Right Date 2 2 2" xfId="1577"/>
    <cellStyle name="Assumptions Right Date 2 2 2 10" xfId="9719"/>
    <cellStyle name="Assumptions Right Date 2 2 2 2" xfId="2430"/>
    <cellStyle name="Assumptions Right Date 2 2 2 2 2" xfId="2564"/>
    <cellStyle name="Assumptions Right Date 2 2 2 2 2 2" xfId="4841"/>
    <cellStyle name="Assumptions Right Date 2 2 2 2 2 2 2" xfId="9445"/>
    <cellStyle name="Assumptions Right Date 2 2 2 2 2 3" xfId="9201"/>
    <cellStyle name="Assumptions Right Date 2 2 2 2 3" xfId="4713"/>
    <cellStyle name="Assumptions Right Date 2 2 2 2 3 2" xfId="9619"/>
    <cellStyle name="Assumptions Right Date 2 2 2 2 4" xfId="7552"/>
    <cellStyle name="Assumptions Right Date 2 2 2 3" xfId="2107"/>
    <cellStyle name="Assumptions Right Date 2 2 2 3 2" xfId="3160"/>
    <cellStyle name="Assumptions Right Date 2 2 2 3 2 2" xfId="3576"/>
    <cellStyle name="Assumptions Right Date 2 2 2 3 2 2 2" xfId="9522"/>
    <cellStyle name="Assumptions Right Date 2 2 2 3 2 3" xfId="7895"/>
    <cellStyle name="Assumptions Right Date 2 2 2 3 3" xfId="4412"/>
    <cellStyle name="Assumptions Right Date 2 2 2 3 3 2" xfId="6590"/>
    <cellStyle name="Assumptions Right Date 2 2 2 3 4" xfId="5579"/>
    <cellStyle name="Assumptions Right Date 2 2 2 3 4 2" xfId="8482"/>
    <cellStyle name="Assumptions Right Date 2 2 2 3 5" xfId="8303"/>
    <cellStyle name="Assumptions Right Date 2 2 2 4" xfId="2167"/>
    <cellStyle name="Assumptions Right Date 2 2 2 4 2" xfId="4769"/>
    <cellStyle name="Assumptions Right Date 2 2 2 4 2 2" xfId="8862"/>
    <cellStyle name="Assumptions Right Date 2 2 2 4 3" xfId="5599"/>
    <cellStyle name="Assumptions Right Date 2 2 2 4 3 2" xfId="6647"/>
    <cellStyle name="Assumptions Right Date 2 2 2 4 4" xfId="9232"/>
    <cellStyle name="Assumptions Right Date 2 2 2 5" xfId="2882"/>
    <cellStyle name="Assumptions Right Date 2 2 2 5 2" xfId="3870"/>
    <cellStyle name="Assumptions Right Date 2 2 2 5 2 2" xfId="6960"/>
    <cellStyle name="Assumptions Right Date 2 2 2 5 3" xfId="5813"/>
    <cellStyle name="Assumptions Right Date 2 2 2 5 3 2" xfId="8224"/>
    <cellStyle name="Assumptions Right Date 2 2 2 5 4" xfId="6410"/>
    <cellStyle name="Assumptions Right Date 2 2 2 6" xfId="3241"/>
    <cellStyle name="Assumptions Right Date 2 2 2 6 2" xfId="4254"/>
    <cellStyle name="Assumptions Right Date 2 2 2 6 2 2" xfId="9401"/>
    <cellStyle name="Assumptions Right Date 2 2 2 6 3" xfId="6123"/>
    <cellStyle name="Assumptions Right Date 2 2 2 6 3 2" xfId="10017"/>
    <cellStyle name="Assumptions Right Date 2 2 2 6 4" xfId="8009"/>
    <cellStyle name="Assumptions Right Date 2 2 2 7" xfId="3066"/>
    <cellStyle name="Assumptions Right Date 2 2 2 7 2" xfId="4139"/>
    <cellStyle name="Assumptions Right Date 2 2 2 7 2 2" xfId="9613"/>
    <cellStyle name="Assumptions Right Date 2 2 2 7 3" xfId="5966"/>
    <cellStyle name="Assumptions Right Date 2 2 2 7 3 2" xfId="9860"/>
    <cellStyle name="Assumptions Right Date 2 2 2 7 4" xfId="9281"/>
    <cellStyle name="Assumptions Right Date 2 2 2 8" xfId="3430"/>
    <cellStyle name="Assumptions Right Date 2 2 2 8 2" xfId="5001"/>
    <cellStyle name="Assumptions Right Date 2 2 2 8 2 2" xfId="7491"/>
    <cellStyle name="Assumptions Right Date 2 2 2 8 3" xfId="7323"/>
    <cellStyle name="Assumptions Right Date 2 2 2 9" xfId="4634"/>
    <cellStyle name="Assumptions Right Date 2 2 2 9 2" xfId="9378"/>
    <cellStyle name="Assumptions Right Date 2 2 3" xfId="2194"/>
    <cellStyle name="Assumptions Right Date 2 2 3 2" xfId="2686"/>
    <cellStyle name="Assumptions Right Date 2 2 3 2 2" xfId="4077"/>
    <cellStyle name="Assumptions Right Date 2 2 3 2 2 2" xfId="9595"/>
    <cellStyle name="Assumptions Right Date 2 2 3 2 3" xfId="7733"/>
    <cellStyle name="Assumptions Right Date 2 2 3 3" xfId="4826"/>
    <cellStyle name="Assumptions Right Date 2 2 3 3 2" xfId="8691"/>
    <cellStyle name="Assumptions Right Date 2 2 3 4" xfId="5330"/>
    <cellStyle name="Assumptions Right Date 2 2 3 4 2" xfId="7120"/>
    <cellStyle name="Assumptions Right Date 2 2 3 5" xfId="5516"/>
    <cellStyle name="Assumptions Right Date 2 2 3 5 2" xfId="8104"/>
    <cellStyle name="Assumptions Right Date 2 2 3 6" xfId="6910"/>
    <cellStyle name="Assumptions Right Date 2 2 4" xfId="2135"/>
    <cellStyle name="Assumptions Right Date 2 2 4 2" xfId="4485"/>
    <cellStyle name="Assumptions Right Date 2 2 4 2 2" xfId="6475"/>
    <cellStyle name="Assumptions Right Date 2 2 4 3" xfId="5544"/>
    <cellStyle name="Assumptions Right Date 2 2 4 3 2" xfId="7771"/>
    <cellStyle name="Assumptions Right Date 2 2 4 4" xfId="7884"/>
    <cellStyle name="Assumptions Right Date 2 2 5" xfId="3157"/>
    <cellStyle name="Assumptions Right Date 2 2 5 2" xfId="3577"/>
    <cellStyle name="Assumptions Right Date 2 2 5 2 2" xfId="8628"/>
    <cellStyle name="Assumptions Right Date 2 2 5 3" xfId="6051"/>
    <cellStyle name="Assumptions Right Date 2 2 5 3 2" xfId="9945"/>
    <cellStyle name="Assumptions Right Date 2 2 5 4" xfId="6473"/>
    <cellStyle name="Assumptions Right Date 2 2 6" xfId="3136"/>
    <cellStyle name="Assumptions Right Date 2 2 6 2" xfId="3722"/>
    <cellStyle name="Assumptions Right Date 2 2 6 2 2" xfId="8602"/>
    <cellStyle name="Assumptions Right Date 2 2 6 3" xfId="6032"/>
    <cellStyle name="Assumptions Right Date 2 2 6 3 2" xfId="9926"/>
    <cellStyle name="Assumptions Right Date 2 2 6 4" xfId="8201"/>
    <cellStyle name="Assumptions Right Date 2 2 7" xfId="3020"/>
    <cellStyle name="Assumptions Right Date 2 2 7 2" xfId="3796"/>
    <cellStyle name="Assumptions Right Date 2 2 7 2 2" xfId="8509"/>
    <cellStyle name="Assumptions Right Date 2 2 7 3" xfId="5922"/>
    <cellStyle name="Assumptions Right Date 2 2 7 3 2" xfId="9816"/>
    <cellStyle name="Assumptions Right Date 2 2 7 4" xfId="7987"/>
    <cellStyle name="Assumptions Right Date 2 2 8" xfId="2883"/>
    <cellStyle name="Assumptions Right Date 2 2 8 2" xfId="3869"/>
    <cellStyle name="Assumptions Right Date 2 2 8 2 2" xfId="6581"/>
    <cellStyle name="Assumptions Right Date 2 2 8 3" xfId="5814"/>
    <cellStyle name="Assumptions Right Date 2 2 8 3 2" xfId="6326"/>
    <cellStyle name="Assumptions Right Date 2 2 8 4" xfId="9509"/>
    <cellStyle name="Assumptions Right Date 2 2 9" xfId="3081"/>
    <cellStyle name="Assumptions Right Date 2 2 9 2" xfId="3759"/>
    <cellStyle name="Assumptions Right Date 2 2 9 2 2" xfId="9623"/>
    <cellStyle name="Assumptions Right Date 2 2 9 3" xfId="5978"/>
    <cellStyle name="Assumptions Right Date 2 2 9 3 2" xfId="9872"/>
    <cellStyle name="Assumptions Right Date 2 2 9 4" xfId="9283"/>
    <cellStyle name="Assumptions Right Date 2 3" xfId="2158"/>
    <cellStyle name="Assumptions Right Date 2 3 2" xfId="2656"/>
    <cellStyle name="Assumptions Right Date 2 3 2 2" xfId="4480"/>
    <cellStyle name="Assumptions Right Date 2 3 2 2 2" xfId="6518"/>
    <cellStyle name="Assumptions Right Date 2 3 2 3" xfId="6315"/>
    <cellStyle name="Assumptions Right Date 2 3 3" xfId="4114"/>
    <cellStyle name="Assumptions Right Date 2 3 3 2" xfId="8992"/>
    <cellStyle name="Assumptions Right Date 2 3 4" xfId="5334"/>
    <cellStyle name="Assumptions Right Date 2 3 4 2" xfId="6529"/>
    <cellStyle name="Assumptions Right Date 2 3 5" xfId="5487"/>
    <cellStyle name="Assumptions Right Date 2 3 5 2" xfId="7266"/>
    <cellStyle name="Assumptions Right Date 2 3 6" xfId="8369"/>
    <cellStyle name="Assumptions Right Date 2 4" xfId="2096"/>
    <cellStyle name="Assumptions Right Date 2 4 2" xfId="4669"/>
    <cellStyle name="Assumptions Right Date 2 4 2 2" xfId="7115"/>
    <cellStyle name="Assumptions Right Date 2 4 3" xfId="5444"/>
    <cellStyle name="Assumptions Right Date 2 4 3 2" xfId="7986"/>
    <cellStyle name="Assumptions Right Date 2 4 4" xfId="6950"/>
    <cellStyle name="Assumptions Right Date 2 5" xfId="2847"/>
    <cellStyle name="Assumptions Right Date 2 5 2" xfId="3894"/>
    <cellStyle name="Assumptions Right Date 2 5 2 2" xfId="9552"/>
    <cellStyle name="Assumptions Right Date 2 5 3" xfId="5779"/>
    <cellStyle name="Assumptions Right Date 2 5 3 2" xfId="7589"/>
    <cellStyle name="Assumptions Right Date 2 5 4" xfId="7474"/>
    <cellStyle name="Assumptions Right Date 2 6" xfId="2815"/>
    <cellStyle name="Assumptions Right Date 2 6 2" xfId="3904"/>
    <cellStyle name="Assumptions Right Date 2 6 2 2" xfId="8877"/>
    <cellStyle name="Assumptions Right Date 2 6 3" xfId="5749"/>
    <cellStyle name="Assumptions Right Date 2 6 3 2" xfId="7302"/>
    <cellStyle name="Assumptions Right Date 2 6 4" xfId="9726"/>
    <cellStyle name="Assumptions Right Date 2 7" xfId="3123"/>
    <cellStyle name="Assumptions Right Date 2 7 2" xfId="3732"/>
    <cellStyle name="Assumptions Right Date 2 7 2 2" xfId="9652"/>
    <cellStyle name="Assumptions Right Date 2 7 3" xfId="6019"/>
    <cellStyle name="Assumptions Right Date 2 7 3 2" xfId="9913"/>
    <cellStyle name="Assumptions Right Date 2 7 4" xfId="7796"/>
    <cellStyle name="Assumptions Right Date 2 8" xfId="2866"/>
    <cellStyle name="Assumptions Right Date 2 8 2" xfId="3598"/>
    <cellStyle name="Assumptions Right Date 2 8 2 2" xfId="7887"/>
    <cellStyle name="Assumptions Right Date 2 8 3" xfId="5797"/>
    <cellStyle name="Assumptions Right Date 2 8 3 2" xfId="8081"/>
    <cellStyle name="Assumptions Right Date 2 8 4" xfId="6541"/>
    <cellStyle name="Assumptions Right Date 2 9" xfId="2970"/>
    <cellStyle name="Assumptions Right Date 2 9 2" xfId="3818"/>
    <cellStyle name="Assumptions Right Date 2 9 2 2" xfId="9359"/>
    <cellStyle name="Assumptions Right Date 2 9 3" xfId="5887"/>
    <cellStyle name="Assumptions Right Date 2 9 3 2" xfId="9781"/>
    <cellStyle name="Assumptions Right Date 2 9 4" xfId="7192"/>
    <cellStyle name="Assumptions Right Date 3" xfId="1724"/>
    <cellStyle name="Assumptions Right Date 3 10" xfId="3467"/>
    <cellStyle name="Assumptions Right Date 3 10 2" xfId="5037"/>
    <cellStyle name="Assumptions Right Date 3 10 2 2" xfId="9136"/>
    <cellStyle name="Assumptions Right Date 3 10 3" xfId="6363"/>
    <cellStyle name="Assumptions Right Date 3 11" xfId="3632"/>
    <cellStyle name="Assumptions Right Date 3 11 2" xfId="9104"/>
    <cellStyle name="Assumptions Right Date 3 12" xfId="6417"/>
    <cellStyle name="Assumptions Right Date 3 2" xfId="1578"/>
    <cellStyle name="Assumptions Right Date 3 2 10" xfId="8695"/>
    <cellStyle name="Assumptions Right Date 3 2 2" xfId="2431"/>
    <cellStyle name="Assumptions Right Date 3 2 2 2" xfId="2565"/>
    <cellStyle name="Assumptions Right Date 3 2 2 2 2" xfId="4646"/>
    <cellStyle name="Assumptions Right Date 3 2 2 2 2 2" xfId="9703"/>
    <cellStyle name="Assumptions Right Date 3 2 2 2 3" xfId="8615"/>
    <cellStyle name="Assumptions Right Date 3 2 2 3" xfId="4449"/>
    <cellStyle name="Assumptions Right Date 3 2 2 3 2" xfId="6323"/>
    <cellStyle name="Assumptions Right Date 3 2 2 4" xfId="7147"/>
    <cellStyle name="Assumptions Right Date 3 2 3" xfId="2221"/>
    <cellStyle name="Assumptions Right Date 3 2 3 2" xfId="2983"/>
    <cellStyle name="Assumptions Right Date 3 2 3 2 2" xfId="4148"/>
    <cellStyle name="Assumptions Right Date 3 2 3 2 2 2" xfId="9008"/>
    <cellStyle name="Assumptions Right Date 3 2 3 2 3" xfId="9343"/>
    <cellStyle name="Assumptions Right Date 3 2 3 3" xfId="4864"/>
    <cellStyle name="Assumptions Right Date 3 2 3 3 2" xfId="7443"/>
    <cellStyle name="Assumptions Right Date 3 2 3 4" xfId="5627"/>
    <cellStyle name="Assumptions Right Date 3 2 3 4 2" xfId="6843"/>
    <cellStyle name="Assumptions Right Date 3 2 3 5" xfId="7824"/>
    <cellStyle name="Assumptions Right Date 3 2 4" xfId="2203"/>
    <cellStyle name="Assumptions Right Date 3 2 4 2" xfId="4728"/>
    <cellStyle name="Assumptions Right Date 3 2 4 2 2" xfId="9482"/>
    <cellStyle name="Assumptions Right Date 3 2 4 3" xfId="5610"/>
    <cellStyle name="Assumptions Right Date 3 2 4 3 2" xfId="6434"/>
    <cellStyle name="Assumptions Right Date 3 2 4 4" xfId="6615"/>
    <cellStyle name="Assumptions Right Date 3 2 5" xfId="3194"/>
    <cellStyle name="Assumptions Right Date 3 2 5 2" xfId="3570"/>
    <cellStyle name="Assumptions Right Date 3 2 5 2 2" xfId="9731"/>
    <cellStyle name="Assumptions Right Date 3 2 5 3" xfId="6083"/>
    <cellStyle name="Assumptions Right Date 3 2 5 3 2" xfId="9977"/>
    <cellStyle name="Assumptions Right Date 3 2 5 4" xfId="6550"/>
    <cellStyle name="Assumptions Right Date 3 2 6" xfId="3310"/>
    <cellStyle name="Assumptions Right Date 3 2 6 2" xfId="3544"/>
    <cellStyle name="Assumptions Right Date 3 2 6 2 2" xfId="6401"/>
    <cellStyle name="Assumptions Right Date 3 2 6 3" xfId="6179"/>
    <cellStyle name="Assumptions Right Date 3 2 6 3 2" xfId="10073"/>
    <cellStyle name="Assumptions Right Date 3 2 6 4" xfId="9691"/>
    <cellStyle name="Assumptions Right Date 3 2 7" xfId="2804"/>
    <cellStyle name="Assumptions Right Date 3 2 7 2" xfId="3912"/>
    <cellStyle name="Assumptions Right Date 3 2 7 2 2" xfId="9701"/>
    <cellStyle name="Assumptions Right Date 3 2 7 3" xfId="5738"/>
    <cellStyle name="Assumptions Right Date 3 2 7 3 2" xfId="6330"/>
    <cellStyle name="Assumptions Right Date 3 2 7 4" xfId="6505"/>
    <cellStyle name="Assumptions Right Date 3 2 8" xfId="3431"/>
    <cellStyle name="Assumptions Right Date 3 2 8 2" xfId="5002"/>
    <cellStyle name="Assumptions Right Date 3 2 8 2 2" xfId="7705"/>
    <cellStyle name="Assumptions Right Date 3 2 8 3" xfId="8597"/>
    <cellStyle name="Assumptions Right Date 3 2 9" xfId="3997"/>
    <cellStyle name="Assumptions Right Date 3 2 9 2" xfId="6344"/>
    <cellStyle name="Assumptions Right Date 3 3" xfId="2302"/>
    <cellStyle name="Assumptions Right Date 3 3 2" xfId="2685"/>
    <cellStyle name="Assumptions Right Date 3 3 2 2" xfId="4172"/>
    <cellStyle name="Assumptions Right Date 3 3 2 2 2" xfId="8688"/>
    <cellStyle name="Assumptions Right Date 3 3 2 3" xfId="7841"/>
    <cellStyle name="Assumptions Right Date 3 3 3" xfId="4621"/>
    <cellStyle name="Assumptions Right Date 3 3 3 2" xfId="8428"/>
    <cellStyle name="Assumptions Right Date 3 3 4" xfId="5130"/>
    <cellStyle name="Assumptions Right Date 3 3 4 2" xfId="8711"/>
    <cellStyle name="Assumptions Right Date 3 3 5" xfId="5515"/>
    <cellStyle name="Assumptions Right Date 3 3 5 2" xfId="8034"/>
    <cellStyle name="Assumptions Right Date 3 3 6" xfId="7663"/>
    <cellStyle name="Assumptions Right Date 3 4" xfId="2334"/>
    <cellStyle name="Assumptions Right Date 3 4 2" xfId="4822"/>
    <cellStyle name="Assumptions Right Date 3 4 2 2" xfId="9025"/>
    <cellStyle name="Assumptions Right Date 3 4 3" xfId="5543"/>
    <cellStyle name="Assumptions Right Date 3 4 3 2" xfId="7913"/>
    <cellStyle name="Assumptions Right Date 3 4 4" xfId="6996"/>
    <cellStyle name="Assumptions Right Date 3 5" xfId="3211"/>
    <cellStyle name="Assumptions Right Date 3 5 2" xfId="3698"/>
    <cellStyle name="Assumptions Right Date 3 5 2 2" xfId="9587"/>
    <cellStyle name="Assumptions Right Date 3 5 3" xfId="6099"/>
    <cellStyle name="Assumptions Right Date 3 5 3 2" xfId="9993"/>
    <cellStyle name="Assumptions Right Date 3 5 4" xfId="7668"/>
    <cellStyle name="Assumptions Right Date 3 6" xfId="3056"/>
    <cellStyle name="Assumptions Right Date 3 6 2" xfId="3769"/>
    <cellStyle name="Assumptions Right Date 3 6 2 2" xfId="9228"/>
    <cellStyle name="Assumptions Right Date 3 6 3" xfId="5956"/>
    <cellStyle name="Assumptions Right Date 3 6 3 2" xfId="9850"/>
    <cellStyle name="Assumptions Right Date 3 6 4" xfId="6418"/>
    <cellStyle name="Assumptions Right Date 3 7" xfId="3278"/>
    <cellStyle name="Assumptions Right Date 3 7 2" xfId="3681"/>
    <cellStyle name="Assumptions Right Date 3 7 2 2" xfId="9078"/>
    <cellStyle name="Assumptions Right Date 3 7 3" xfId="6152"/>
    <cellStyle name="Assumptions Right Date 3 7 3 2" xfId="10046"/>
    <cellStyle name="Assumptions Right Date 3 7 4" xfId="7569"/>
    <cellStyle name="Assumptions Right Date 3 8" xfId="2966"/>
    <cellStyle name="Assumptions Right Date 3 8 2" xfId="3822"/>
    <cellStyle name="Assumptions Right Date 3 8 2 2" xfId="9321"/>
    <cellStyle name="Assumptions Right Date 3 8 3" xfId="5883"/>
    <cellStyle name="Assumptions Right Date 3 8 3 2" xfId="9777"/>
    <cellStyle name="Assumptions Right Date 3 8 4" xfId="9328"/>
    <cellStyle name="Assumptions Right Date 3 9" xfId="3171"/>
    <cellStyle name="Assumptions Right Date 3 9 2" xfId="4055"/>
    <cellStyle name="Assumptions Right Date 3 9 2 2" xfId="7007"/>
    <cellStyle name="Assumptions Right Date 3 9 3" xfId="6063"/>
    <cellStyle name="Assumptions Right Date 3 9 3 2" xfId="9957"/>
    <cellStyle name="Assumptions Right Date 3 9 4" xfId="6414"/>
    <cellStyle name="Assumptions Right Date 4" xfId="2242"/>
    <cellStyle name="Assumptions Right Date 4 2" xfId="2655"/>
    <cellStyle name="Assumptions Right Date 4 2 2" xfId="4801"/>
    <cellStyle name="Assumptions Right Date 4 2 2 2" xfId="7257"/>
    <cellStyle name="Assumptions Right Date 4 2 3" xfId="6502"/>
    <cellStyle name="Assumptions Right Date 4 3" xfId="4699"/>
    <cellStyle name="Assumptions Right Date 4 3 2" xfId="8272"/>
    <cellStyle name="Assumptions Right Date 4 4" xfId="5307"/>
    <cellStyle name="Assumptions Right Date 4 4 2" xfId="6318"/>
    <cellStyle name="Assumptions Right Date 4 5" xfId="5486"/>
    <cellStyle name="Assumptions Right Date 4 5 2" xfId="7584"/>
    <cellStyle name="Assumptions Right Date 4 6" xfId="9338"/>
    <cellStyle name="Assumptions Right Date 5" xfId="2357"/>
    <cellStyle name="Assumptions Right Date 5 2" xfId="4762"/>
    <cellStyle name="Assumptions Right Date 5 2 2" xfId="8871"/>
    <cellStyle name="Assumptions Right Date 5 3" xfId="5445"/>
    <cellStyle name="Assumptions Right Date 5 3 2" xfId="8015"/>
    <cellStyle name="Assumptions Right Date 5 4" xfId="8255"/>
    <cellStyle name="Assumptions Right Date 6" xfId="2848"/>
    <cellStyle name="Assumptions Right Date 6 2" xfId="4160"/>
    <cellStyle name="Assumptions Right Date 6 2 2" xfId="9539"/>
    <cellStyle name="Assumptions Right Date 6 3" xfId="5780"/>
    <cellStyle name="Assumptions Right Date 6 3 2" xfId="7742"/>
    <cellStyle name="Assumptions Right Date 6 4" xfId="6527"/>
    <cellStyle name="Assumptions Right Date 7" xfId="3097"/>
    <cellStyle name="Assumptions Right Date 7 2" xfId="3580"/>
    <cellStyle name="Assumptions Right Date 7 2 2" xfId="8885"/>
    <cellStyle name="Assumptions Right Date 7 3" xfId="5994"/>
    <cellStyle name="Assumptions Right Date 7 3 2" xfId="9888"/>
    <cellStyle name="Assumptions Right Date 7 4" xfId="8994"/>
    <cellStyle name="Assumptions Right Date 8" xfId="3122"/>
    <cellStyle name="Assumptions Right Date 8 2" xfId="3733"/>
    <cellStyle name="Assumptions Right Date 8 2 2" xfId="6286"/>
    <cellStyle name="Assumptions Right Date 8 3" xfId="6018"/>
    <cellStyle name="Assumptions Right Date 8 3 2" xfId="9912"/>
    <cellStyle name="Assumptions Right Date 8 4" xfId="8338"/>
    <cellStyle name="Assumptions Right Date 9" xfId="2965"/>
    <cellStyle name="Assumptions Right Date 9 2" xfId="3823"/>
    <cellStyle name="Assumptions Right Date 9 2 2" xfId="8661"/>
    <cellStyle name="Assumptions Right Date 9 3" xfId="5882"/>
    <cellStyle name="Assumptions Right Date 9 3 2" xfId="9776"/>
    <cellStyle name="Assumptions Right Date 9 4" xfId="7743"/>
    <cellStyle name="Assumptions Right Multiple" xfId="965"/>
    <cellStyle name="Assumptions Right Multiple 10" xfId="3336"/>
    <cellStyle name="Assumptions Right Multiple 10 2" xfId="4927"/>
    <cellStyle name="Assumptions Right Multiple 10 2 2" xfId="9157"/>
    <cellStyle name="Assumptions Right Multiple 10 3" xfId="6203"/>
    <cellStyle name="Assumptions Right Multiple 10 3 2" xfId="10097"/>
    <cellStyle name="Assumptions Right Multiple 10 4" xfId="6422"/>
    <cellStyle name="Assumptions Right Multiple 11" xfId="3401"/>
    <cellStyle name="Assumptions Right Multiple 11 2" xfId="4975"/>
    <cellStyle name="Assumptions Right Multiple 11 2 2" xfId="8860"/>
    <cellStyle name="Assumptions Right Multiple 11 3" xfId="8537"/>
    <cellStyle name="Assumptions Right Multiple 12" xfId="4007"/>
    <cellStyle name="Assumptions Right Multiple 12 2" xfId="9405"/>
    <cellStyle name="Assumptions Right Multiple 13" xfId="7639"/>
    <cellStyle name="Assumptions Right Multiple 2" xfId="966"/>
    <cellStyle name="Assumptions Right Multiple 2 10" xfId="3402"/>
    <cellStyle name="Assumptions Right Multiple 2 10 2" xfId="4976"/>
    <cellStyle name="Assumptions Right Multiple 2 10 2 2" xfId="8654"/>
    <cellStyle name="Assumptions Right Multiple 2 10 3" xfId="8721"/>
    <cellStyle name="Assumptions Right Multiple 2 11" xfId="4006"/>
    <cellStyle name="Assumptions Right Multiple 2 11 2" xfId="8370"/>
    <cellStyle name="Assumptions Right Multiple 2 12" xfId="9155"/>
    <cellStyle name="Assumptions Right Multiple 2 2" xfId="1727"/>
    <cellStyle name="Assumptions Right Multiple 2 2 10" xfId="3470"/>
    <cellStyle name="Assumptions Right Multiple 2 2 10 2" xfId="5040"/>
    <cellStyle name="Assumptions Right Multiple 2 2 10 2 2" xfId="7562"/>
    <cellStyle name="Assumptions Right Multiple 2 2 10 3" xfId="6680"/>
    <cellStyle name="Assumptions Right Multiple 2 2 11" xfId="3630"/>
    <cellStyle name="Assumptions Right Multiple 2 2 11 2" xfId="7558"/>
    <cellStyle name="Assumptions Right Multiple 2 2 12" xfId="6655"/>
    <cellStyle name="Assumptions Right Multiple 2 2 2" xfId="1907"/>
    <cellStyle name="Assumptions Right Multiple 2 2 2 10" xfId="9349"/>
    <cellStyle name="Assumptions Right Multiple 2 2 2 2" xfId="2517"/>
    <cellStyle name="Assumptions Right Multiple 2 2 2 2 2" xfId="2618"/>
    <cellStyle name="Assumptions Right Multiple 2 2 2 2 2 2" xfId="4786"/>
    <cellStyle name="Assumptions Right Multiple 2 2 2 2 2 2 2" xfId="7326"/>
    <cellStyle name="Assumptions Right Multiple 2 2 2 2 2 3" xfId="7631"/>
    <cellStyle name="Assumptions Right Multiple 2 2 2 2 3" xfId="4434"/>
    <cellStyle name="Assumptions Right Multiple 2 2 2 2 3 2" xfId="9664"/>
    <cellStyle name="Assumptions Right Multiple 2 2 2 2 4" xfId="7545"/>
    <cellStyle name="Assumptions Right Multiple 2 2 2 3" xfId="2098"/>
    <cellStyle name="Assumptions Right Multiple 2 2 2 3 2" xfId="3249"/>
    <cellStyle name="Assumptions Right Multiple 2 2 2 3 2 2" xfId="4312"/>
    <cellStyle name="Assumptions Right Multiple 2 2 2 3 2 2 2" xfId="8283"/>
    <cellStyle name="Assumptions Right Multiple 2 2 2 3 2 3" xfId="6853"/>
    <cellStyle name="Assumptions Right Multiple 2 2 2 3 3" xfId="4611"/>
    <cellStyle name="Assumptions Right Multiple 2 2 2 3 3 2" xfId="6508"/>
    <cellStyle name="Assumptions Right Multiple 2 2 2 3 4" xfId="5574"/>
    <cellStyle name="Assumptions Right Multiple 2 2 2 3 4 2" xfId="6435"/>
    <cellStyle name="Assumptions Right Multiple 2 2 2 3 5" xfId="9251"/>
    <cellStyle name="Assumptions Right Multiple 2 2 2 4" xfId="2267"/>
    <cellStyle name="Assumptions Right Multiple 2 2 2 4 2" xfId="4624"/>
    <cellStyle name="Assumptions Right Multiple 2 2 2 4 2 2" xfId="7026"/>
    <cellStyle name="Assumptions Right Multiple 2 2 2 4 3" xfId="5641"/>
    <cellStyle name="Assumptions Right Multiple 2 2 2 4 3 2" xfId="7101"/>
    <cellStyle name="Assumptions Right Multiple 2 2 2 4 4" xfId="9268"/>
    <cellStyle name="Assumptions Right Multiple 2 2 2 5" xfId="2989"/>
    <cellStyle name="Assumptions Right Multiple 2 2 2 5 2" xfId="4147"/>
    <cellStyle name="Assumptions Right Multiple 2 2 2 5 2 2" xfId="8621"/>
    <cellStyle name="Assumptions Right Multiple 2 2 2 5 3" xfId="5893"/>
    <cellStyle name="Assumptions Right Multiple 2 2 2 5 3 2" xfId="9787"/>
    <cellStyle name="Assumptions Right Multiple 2 2 2 5 4" xfId="9060"/>
    <cellStyle name="Assumptions Right Multiple 2 2 2 6" xfId="2981"/>
    <cellStyle name="Assumptions Right Multiple 2 2 2 6 2" xfId="4094"/>
    <cellStyle name="Assumptions Right Multiple 2 2 2 6 2 2" xfId="8656"/>
    <cellStyle name="Assumptions Right Multiple 2 2 2 6 3" xfId="5889"/>
    <cellStyle name="Assumptions Right Multiple 2 2 2 6 3 2" xfId="9783"/>
    <cellStyle name="Assumptions Right Multiple 2 2 2 6 4" xfId="9308"/>
    <cellStyle name="Assumptions Right Multiple 2 2 2 7" xfId="3315"/>
    <cellStyle name="Assumptions Right Multiple 2 2 2 7 2" xfId="3540"/>
    <cellStyle name="Assumptions Right Multiple 2 2 2 7 2 2" xfId="9079"/>
    <cellStyle name="Assumptions Right Multiple 2 2 2 7 3" xfId="6183"/>
    <cellStyle name="Assumptions Right Multiple 2 2 2 7 3 2" xfId="10077"/>
    <cellStyle name="Assumptions Right Multiple 2 2 2 7 4" xfId="8349"/>
    <cellStyle name="Assumptions Right Multiple 2 2 2 8" xfId="3510"/>
    <cellStyle name="Assumptions Right Multiple 2 2 2 8 2" xfId="5080"/>
    <cellStyle name="Assumptions Right Multiple 2 2 2 8 2 2" xfId="9101"/>
    <cellStyle name="Assumptions Right Multiple 2 2 2 8 3" xfId="7379"/>
    <cellStyle name="Assumptions Right Multiple 2 2 2 9" xfId="4290"/>
    <cellStyle name="Assumptions Right Multiple 2 2 2 9 2" xfId="9129"/>
    <cellStyle name="Assumptions Right Multiple 2 2 3" xfId="2296"/>
    <cellStyle name="Assumptions Right Multiple 2 2 3 2" xfId="2688"/>
    <cellStyle name="Assumptions Right Multiple 2 2 3 2 2" xfId="4171"/>
    <cellStyle name="Assumptions Right Multiple 2 2 3 2 2 2" xfId="9009"/>
    <cellStyle name="Assumptions Right Multiple 2 2 3 2 3" xfId="6308"/>
    <cellStyle name="Assumptions Right Multiple 2 2 3 3" xfId="4760"/>
    <cellStyle name="Assumptions Right Multiple 2 2 3 3 2" xfId="6566"/>
    <cellStyle name="Assumptions Right Multiple 2 2 3 4" xfId="5094"/>
    <cellStyle name="Assumptions Right Multiple 2 2 3 4 2" xfId="9750"/>
    <cellStyle name="Assumptions Right Multiple 2 2 3 5" xfId="5518"/>
    <cellStyle name="Assumptions Right Multiple 2 2 3 5 2" xfId="7468"/>
    <cellStyle name="Assumptions Right Multiple 2 2 3 6" xfId="7025"/>
    <cellStyle name="Assumptions Right Multiple 2 2 4" xfId="2256"/>
    <cellStyle name="Assumptions Right Multiple 2 2 4 2" xfId="4816"/>
    <cellStyle name="Assumptions Right Multiple 2 2 4 2 2" xfId="6876"/>
    <cellStyle name="Assumptions Right Multiple 2 2 4 3" xfId="5546"/>
    <cellStyle name="Assumptions Right Multiple 2 2 4 3 2" xfId="8232"/>
    <cellStyle name="Assumptions Right Multiple 2 2 4 4" xfId="7006"/>
    <cellStyle name="Assumptions Right Multiple 2 2 5" xfId="3210"/>
    <cellStyle name="Assumptions Right Multiple 2 2 5 2" xfId="4049"/>
    <cellStyle name="Assumptions Right Multiple 2 2 5 2 2" xfId="9760"/>
    <cellStyle name="Assumptions Right Multiple 2 2 5 3" xfId="6098"/>
    <cellStyle name="Assumptions Right Multiple 2 2 5 3 2" xfId="9992"/>
    <cellStyle name="Assumptions Right Multiple 2 2 5 4" xfId="6824"/>
    <cellStyle name="Assumptions Right Multiple 2 2 6" xfId="3057"/>
    <cellStyle name="Assumptions Right Multiple 2 2 6 2" xfId="3768"/>
    <cellStyle name="Assumptions Right Multiple 2 2 6 2 2" xfId="9406"/>
    <cellStyle name="Assumptions Right Multiple 2 2 6 3" xfId="5957"/>
    <cellStyle name="Assumptions Right Multiple 2 2 6 3 2" xfId="9851"/>
    <cellStyle name="Assumptions Right Multiple 2 2 6 4" xfId="6912"/>
    <cellStyle name="Assumptions Right Multiple 2 2 7" xfId="3233"/>
    <cellStyle name="Assumptions Right Multiple 2 2 7 2" xfId="3693"/>
    <cellStyle name="Assumptions Right Multiple 2 2 7 2 2" xfId="6240"/>
    <cellStyle name="Assumptions Right Multiple 2 2 7 3" xfId="6115"/>
    <cellStyle name="Assumptions Right Multiple 2 2 7 3 2" xfId="10009"/>
    <cellStyle name="Assumptions Right Multiple 2 2 7 4" xfId="7758"/>
    <cellStyle name="Assumptions Right Multiple 2 2 8" xfId="2962"/>
    <cellStyle name="Assumptions Right Multiple 2 2 8 2" xfId="3826"/>
    <cellStyle name="Assumptions Right Multiple 2 2 8 2 2" xfId="8091"/>
    <cellStyle name="Assumptions Right Multiple 2 2 8 3" xfId="5879"/>
    <cellStyle name="Assumptions Right Multiple 2 2 8 3 2" xfId="9773"/>
    <cellStyle name="Assumptions Right Multiple 2 2 8 4" xfId="6639"/>
    <cellStyle name="Assumptions Right Multiple 2 2 9" xfId="3264"/>
    <cellStyle name="Assumptions Right Multiple 2 2 9 2" xfId="4310"/>
    <cellStyle name="Assumptions Right Multiple 2 2 9 2 2" xfId="8868"/>
    <cellStyle name="Assumptions Right Multiple 2 2 9 3" xfId="6139"/>
    <cellStyle name="Assumptions Right Multiple 2 2 9 3 2" xfId="10033"/>
    <cellStyle name="Assumptions Right Multiple 2 2 9 4" xfId="6431"/>
    <cellStyle name="Assumptions Right Multiple 2 3" xfId="2240"/>
    <cellStyle name="Assumptions Right Multiple 2 3 2" xfId="2658"/>
    <cellStyle name="Assumptions Right Multiple 2 3 2 2" xfId="4486"/>
    <cellStyle name="Assumptions Right Multiple 2 3 2 2 2" xfId="6828"/>
    <cellStyle name="Assumptions Right Multiple 2 3 2 3" xfId="7051"/>
    <cellStyle name="Assumptions Right Multiple 2 3 3" xfId="4442"/>
    <cellStyle name="Assumptions Right Multiple 2 3 3 2" xfId="8731"/>
    <cellStyle name="Assumptions Right Multiple 2 3 4" xfId="5182"/>
    <cellStyle name="Assumptions Right Multiple 2 3 4 2" xfId="8322"/>
    <cellStyle name="Assumptions Right Multiple 2 3 5" xfId="5489"/>
    <cellStyle name="Assumptions Right Multiple 2 3 5 2" xfId="8007"/>
    <cellStyle name="Assumptions Right Multiple 2 3 6" xfId="7074"/>
    <cellStyle name="Assumptions Right Multiple 2 4" xfId="2355"/>
    <cellStyle name="Assumptions Right Multiple 2 4 2" xfId="4497"/>
    <cellStyle name="Assumptions Right Multiple 2 4 2 2" xfId="9261"/>
    <cellStyle name="Assumptions Right Multiple 2 4 3" xfId="5442"/>
    <cellStyle name="Assumptions Right Multiple 2 4 3 2" xfId="6865"/>
    <cellStyle name="Assumptions Right Multiple 2 4 4" xfId="8407"/>
    <cellStyle name="Assumptions Right Multiple 2 5" xfId="2845"/>
    <cellStyle name="Assumptions Right Multiple 2 5 2" xfId="4161"/>
    <cellStyle name="Assumptions Right Multiple 2 5 2 2" xfId="7278"/>
    <cellStyle name="Assumptions Right Multiple 2 5 3" xfId="5777"/>
    <cellStyle name="Assumptions Right Multiple 2 5 3 2" xfId="7825"/>
    <cellStyle name="Assumptions Right Multiple 2 5 4" xfId="8988"/>
    <cellStyle name="Assumptions Right Multiple 2 6" xfId="2817"/>
    <cellStyle name="Assumptions Right Multiple 2 6 2" xfId="4167"/>
    <cellStyle name="Assumptions Right Multiple 2 6 2 2" xfId="9061"/>
    <cellStyle name="Assumptions Right Multiple 2 6 3" xfId="5751"/>
    <cellStyle name="Assumptions Right Multiple 2 6 3 2" xfId="7808"/>
    <cellStyle name="Assumptions Right Multiple 2 6 4" xfId="8502"/>
    <cellStyle name="Assumptions Right Multiple 2 7" xfId="2843"/>
    <cellStyle name="Assumptions Right Multiple 2 7 2" xfId="3895"/>
    <cellStyle name="Assumptions Right Multiple 2 7 2 2" xfId="8636"/>
    <cellStyle name="Assumptions Right Multiple 2 7 3" xfId="5775"/>
    <cellStyle name="Assumptions Right Multiple 2 7 3 2" xfId="7499"/>
    <cellStyle name="Assumptions Right Multiple 2 7 4" xfId="7577"/>
    <cellStyle name="Assumptions Right Multiple 2 8" xfId="3298"/>
    <cellStyle name="Assumptions Right Multiple 2 8 2" xfId="3554"/>
    <cellStyle name="Assumptions Right Multiple 2 8 2 2" xfId="7871"/>
    <cellStyle name="Assumptions Right Multiple 2 8 3" xfId="6167"/>
    <cellStyle name="Assumptions Right Multiple 2 8 3 2" xfId="10061"/>
    <cellStyle name="Assumptions Right Multiple 2 8 4" xfId="8851"/>
    <cellStyle name="Assumptions Right Multiple 2 9" xfId="3148"/>
    <cellStyle name="Assumptions Right Multiple 2 9 2" xfId="3717"/>
    <cellStyle name="Assumptions Right Multiple 2 9 2 2" xfId="8402"/>
    <cellStyle name="Assumptions Right Multiple 2 9 3" xfId="6042"/>
    <cellStyle name="Assumptions Right Multiple 2 9 3 2" xfId="9936"/>
    <cellStyle name="Assumptions Right Multiple 2 9 4" xfId="8064"/>
    <cellStyle name="Assumptions Right Multiple 3" xfId="1726"/>
    <cellStyle name="Assumptions Right Multiple 3 10" xfId="3469"/>
    <cellStyle name="Assumptions Right Multiple 3 10 2" xfId="5039"/>
    <cellStyle name="Assumptions Right Multiple 3 10 2 2" xfId="9607"/>
    <cellStyle name="Assumptions Right Multiple 3 10 3" xfId="9679"/>
    <cellStyle name="Assumptions Right Multiple 3 11" xfId="3631"/>
    <cellStyle name="Assumptions Right Multiple 3 11 2" xfId="8284"/>
    <cellStyle name="Assumptions Right Multiple 3 12" xfId="6285"/>
    <cellStyle name="Assumptions Right Multiple 3 2" xfId="1752"/>
    <cellStyle name="Assumptions Right Multiple 3 2 10" xfId="8159"/>
    <cellStyle name="Assumptions Right Multiple 3 2 2" xfId="2467"/>
    <cellStyle name="Assumptions Right Multiple 3 2 2 2" xfId="2590"/>
    <cellStyle name="Assumptions Right Multiple 3 2 2 2 2" xfId="4456"/>
    <cellStyle name="Assumptions Right Multiple 3 2 2 2 2 2" xfId="8183"/>
    <cellStyle name="Assumptions Right Multiple 3 2 2 2 3" xfId="7934"/>
    <cellStyle name="Assumptions Right Multiple 3 2 2 3" xfId="4867"/>
    <cellStyle name="Assumptions Right Multiple 3 2 2 3 2" xfId="7042"/>
    <cellStyle name="Assumptions Right Multiple 3 2 2 4" xfId="7993"/>
    <cellStyle name="Assumptions Right Multiple 3 2 3" xfId="2188"/>
    <cellStyle name="Assumptions Right Multiple 3 2 3 2" xfId="2779"/>
    <cellStyle name="Assumptions Right Multiple 3 2 3 2 2" xfId="3933"/>
    <cellStyle name="Assumptions Right Multiple 3 2 3 2 2 2" xfId="8633"/>
    <cellStyle name="Assumptions Right Multiple 3 2 3 2 3" xfId="6269"/>
    <cellStyle name="Assumptions Right Multiple 3 2 3 3" xfId="4590"/>
    <cellStyle name="Assumptions Right Multiple 3 2 3 3 2" xfId="9745"/>
    <cellStyle name="Assumptions Right Multiple 3 2 3 4" xfId="5605"/>
    <cellStyle name="Assumptions Right Multiple 3 2 3 4 2" xfId="7419"/>
    <cellStyle name="Assumptions Right Multiple 3 2 3 5" xfId="9215"/>
    <cellStyle name="Assumptions Right Multiple 3 2 4" xfId="2345"/>
    <cellStyle name="Assumptions Right Multiple 3 2 4 2" xfId="3972"/>
    <cellStyle name="Assumptions Right Multiple 3 2 4 2 2" xfId="7244"/>
    <cellStyle name="Assumptions Right Multiple 3 2 4 3" xfId="5674"/>
    <cellStyle name="Assumptions Right Multiple 3 2 4 3 2" xfId="6610"/>
    <cellStyle name="Assumptions Right Multiple 3 2 4 4" xfId="6540"/>
    <cellStyle name="Assumptions Right Multiple 3 2 5" xfId="2807"/>
    <cellStyle name="Assumptions Right Multiple 3 2 5 2" xfId="3909"/>
    <cellStyle name="Assumptions Right Multiple 3 2 5 2 2" xfId="9000"/>
    <cellStyle name="Assumptions Right Multiple 3 2 5 3" xfId="5741"/>
    <cellStyle name="Assumptions Right Multiple 3 2 5 3 2" xfId="6369"/>
    <cellStyle name="Assumptions Right Multiple 3 2 5 4" xfId="9198"/>
    <cellStyle name="Assumptions Right Multiple 3 2 6" xfId="3027"/>
    <cellStyle name="Assumptions Right Multiple 3 2 6 2" xfId="3586"/>
    <cellStyle name="Assumptions Right Multiple 3 2 6 2 2" xfId="6617"/>
    <cellStyle name="Assumptions Right Multiple 3 2 6 3" xfId="5928"/>
    <cellStyle name="Assumptions Right Multiple 3 2 6 3 2" xfId="9822"/>
    <cellStyle name="Assumptions Right Multiple 3 2 6 4" xfId="7233"/>
    <cellStyle name="Assumptions Right Multiple 3 2 7" xfId="3155"/>
    <cellStyle name="Assumptions Right Multiple 3 2 7 2" xfId="4203"/>
    <cellStyle name="Assumptions Right Multiple 3 2 7 2 2" xfId="7561"/>
    <cellStyle name="Assumptions Right Multiple 3 2 7 3" xfId="6049"/>
    <cellStyle name="Assumptions Right Multiple 3 2 7 3 2" xfId="9943"/>
    <cellStyle name="Assumptions Right Multiple 3 2 7 4" xfId="7151"/>
    <cellStyle name="Assumptions Right Multiple 3 2 8" xfId="3481"/>
    <cellStyle name="Assumptions Right Multiple 3 2 8 2" xfId="5051"/>
    <cellStyle name="Assumptions Right Multiple 3 2 8 2 2" xfId="7541"/>
    <cellStyle name="Assumptions Right Multiple 3 2 8 3" xfId="9410"/>
    <cellStyle name="Assumptions Right Multiple 3 2 9" xfId="4069"/>
    <cellStyle name="Assumptions Right Multiple 3 2 9 2" xfId="9287"/>
    <cellStyle name="Assumptions Right Multiple 3 3" xfId="2320"/>
    <cellStyle name="Assumptions Right Multiple 3 3 2" xfId="2687"/>
    <cellStyle name="Assumptions Right Multiple 3 3 2 2" xfId="3962"/>
    <cellStyle name="Assumptions Right Multiple 3 3 2 2 2" xfId="9178"/>
    <cellStyle name="Assumptions Right Multiple 3 3 2 3" xfId="6666"/>
    <cellStyle name="Assumptions Right Multiple 3 3 3" xfId="4743"/>
    <cellStyle name="Assumptions Right Multiple 3 3 3 2" xfId="9396"/>
    <cellStyle name="Assumptions Right Multiple 3 3 4" xfId="5302"/>
    <cellStyle name="Assumptions Right Multiple 3 3 4 2" xfId="7159"/>
    <cellStyle name="Assumptions Right Multiple 3 3 5" xfId="5517"/>
    <cellStyle name="Assumptions Right Multiple 3 3 5 2" xfId="6652"/>
    <cellStyle name="Assumptions Right Multiple 3 3 6" xfId="8487"/>
    <cellStyle name="Assumptions Right Multiple 3 4" xfId="2255"/>
    <cellStyle name="Assumptions Right Multiple 3 4 2" xfId="4734"/>
    <cellStyle name="Assumptions Right Multiple 3 4 2 2" xfId="9485"/>
    <cellStyle name="Assumptions Right Multiple 3 4 3" xfId="5545"/>
    <cellStyle name="Assumptions Right Multiple 3 4 3 2" xfId="6562"/>
    <cellStyle name="Assumptions Right Multiple 3 4 4" xfId="9286"/>
    <cellStyle name="Assumptions Right Multiple 3 5" xfId="2947"/>
    <cellStyle name="Assumptions Right Multiple 3 5 2" xfId="3593"/>
    <cellStyle name="Assumptions Right Multiple 3 5 2 2" xfId="6701"/>
    <cellStyle name="Assumptions Right Multiple 3 5 3" xfId="5867"/>
    <cellStyle name="Assumptions Right Multiple 3 5 3 2" xfId="6399"/>
    <cellStyle name="Assumptions Right Multiple 3 5 4" xfId="8045"/>
    <cellStyle name="Assumptions Right Multiple 3 6" xfId="3258"/>
    <cellStyle name="Assumptions Right Multiple 3 6 2" xfId="3687"/>
    <cellStyle name="Assumptions Right Multiple 3 6 2 2" xfId="7812"/>
    <cellStyle name="Assumptions Right Multiple 3 6 3" xfId="6135"/>
    <cellStyle name="Assumptions Right Multiple 3 6 3 2" xfId="10029"/>
    <cellStyle name="Assumptions Right Multiple 3 6 4" xfId="7255"/>
    <cellStyle name="Assumptions Right Multiple 3 7" xfId="3169"/>
    <cellStyle name="Assumptions Right Multiple 3 7 2" xfId="4264"/>
    <cellStyle name="Assumptions Right Multiple 3 7 2 2" xfId="6687"/>
    <cellStyle name="Assumptions Right Multiple 3 7 3" xfId="6061"/>
    <cellStyle name="Assumptions Right Multiple 3 7 3 2" xfId="9955"/>
    <cellStyle name="Assumptions Right Multiple 3 7 4" xfId="6397"/>
    <cellStyle name="Assumptions Right Multiple 3 8" xfId="3102"/>
    <cellStyle name="Assumptions Right Multiple 3 8 2" xfId="3749"/>
    <cellStyle name="Assumptions Right Multiple 3 8 2 2" xfId="8067"/>
    <cellStyle name="Assumptions Right Multiple 3 8 3" xfId="5999"/>
    <cellStyle name="Assumptions Right Multiple 3 8 3 2" xfId="9893"/>
    <cellStyle name="Assumptions Right Multiple 3 8 4" xfId="6813"/>
    <cellStyle name="Assumptions Right Multiple 3 9" xfId="3226"/>
    <cellStyle name="Assumptions Right Multiple 3 9 2" xfId="4315"/>
    <cellStyle name="Assumptions Right Multiple 3 9 2 2" xfId="7970"/>
    <cellStyle name="Assumptions Right Multiple 3 9 3" xfId="6108"/>
    <cellStyle name="Assumptions Right Multiple 3 9 3 2" xfId="10002"/>
    <cellStyle name="Assumptions Right Multiple 3 9 4" xfId="8248"/>
    <cellStyle name="Assumptions Right Multiple 4" xfId="2241"/>
    <cellStyle name="Assumptions Right Multiple 4 2" xfId="2657"/>
    <cellStyle name="Assumptions Right Multiple 4 2 2" xfId="4617"/>
    <cellStyle name="Assumptions Right Multiple 4 2 2 2" xfId="8671"/>
    <cellStyle name="Assumptions Right Multiple 4 2 3" xfId="7395"/>
    <cellStyle name="Assumptions Right Multiple 4 3" xfId="4896"/>
    <cellStyle name="Assumptions Right Multiple 4 3 2" xfId="9676"/>
    <cellStyle name="Assumptions Right Multiple 4 4" xfId="5232"/>
    <cellStyle name="Assumptions Right Multiple 4 4 2" xfId="6393"/>
    <cellStyle name="Assumptions Right Multiple 4 5" xfId="5488"/>
    <cellStyle name="Assumptions Right Multiple 4 5 2" xfId="7560"/>
    <cellStyle name="Assumptions Right Multiple 4 6" xfId="8089"/>
    <cellStyle name="Assumptions Right Multiple 5" xfId="2112"/>
    <cellStyle name="Assumptions Right Multiple 5 2" xfId="4495"/>
    <cellStyle name="Assumptions Right Multiple 5 2 2" xfId="6742"/>
    <cellStyle name="Assumptions Right Multiple 5 3" xfId="5443"/>
    <cellStyle name="Assumptions Right Multiple 5 3 2" xfId="6332"/>
    <cellStyle name="Assumptions Right Multiple 5 4" xfId="9234"/>
    <cellStyle name="Assumptions Right Multiple 6" xfId="2846"/>
    <cellStyle name="Assumptions Right Multiple 6 2" xfId="4053"/>
    <cellStyle name="Assumptions Right Multiple 6 2 2" xfId="9743"/>
    <cellStyle name="Assumptions Right Multiple 6 3" xfId="5778"/>
    <cellStyle name="Assumptions Right Multiple 6 3 2" xfId="6991"/>
    <cellStyle name="Assumptions Right Multiple 6 4" xfId="8876"/>
    <cellStyle name="Assumptions Right Multiple 7" xfId="2816"/>
    <cellStyle name="Assumptions Right Multiple 7 2" xfId="3903"/>
    <cellStyle name="Assumptions Right Multiple 7 2 2" xfId="9362"/>
    <cellStyle name="Assumptions Right Multiple 7 3" xfId="5750"/>
    <cellStyle name="Assumptions Right Multiple 7 3 2" xfId="7861"/>
    <cellStyle name="Assumptions Right Multiple 7 4" xfId="6300"/>
    <cellStyle name="Assumptions Right Multiple 8" xfId="3299"/>
    <cellStyle name="Assumptions Right Multiple 8 2" xfId="3553"/>
    <cellStyle name="Assumptions Right Multiple 8 2 2" xfId="9184"/>
    <cellStyle name="Assumptions Right Multiple 8 3" xfId="6168"/>
    <cellStyle name="Assumptions Right Multiple 8 3 2" xfId="10062"/>
    <cellStyle name="Assumptions Right Multiple 8 4" xfId="6282"/>
    <cellStyle name="Assumptions Right Multiple 9" xfId="3284"/>
    <cellStyle name="Assumptions Right Multiple 9 2" xfId="3558"/>
    <cellStyle name="Assumptions Right Multiple 9 2 2" xfId="7738"/>
    <cellStyle name="Assumptions Right Multiple 9 3" xfId="6155"/>
    <cellStyle name="Assumptions Right Multiple 9 3 2" xfId="10049"/>
    <cellStyle name="Assumptions Right Multiple 9 4" xfId="7741"/>
    <cellStyle name="Assumptions Right Number" xfId="967"/>
    <cellStyle name="Assumptions Right Number 10" xfId="3134"/>
    <cellStyle name="Assumptions Right Number 10 2" xfId="3578"/>
    <cellStyle name="Assumptions Right Number 10 2 2" xfId="7699"/>
    <cellStyle name="Assumptions Right Number 10 3" xfId="6030"/>
    <cellStyle name="Assumptions Right Number 10 3 2" xfId="9924"/>
    <cellStyle name="Assumptions Right Number 10 4" xfId="6408"/>
    <cellStyle name="Assumptions Right Number 11" xfId="3403"/>
    <cellStyle name="Assumptions Right Number 11 2" xfId="4977"/>
    <cellStyle name="Assumptions Right Number 11 2 2" xfId="7402"/>
    <cellStyle name="Assumptions Right Number 11 3" xfId="9163"/>
    <cellStyle name="Assumptions Right Number 12" xfId="4005"/>
    <cellStyle name="Assumptions Right Number 12 2" xfId="8980"/>
    <cellStyle name="Assumptions Right Number 13" xfId="7123"/>
    <cellStyle name="Assumptions Right Number 2" xfId="968"/>
    <cellStyle name="Assumptions Right Number 2 10" xfId="3404"/>
    <cellStyle name="Assumptions Right Number 2 10 2" xfId="4978"/>
    <cellStyle name="Assumptions Right Number 2 10 2 2" xfId="8164"/>
    <cellStyle name="Assumptions Right Number 2 10 3" xfId="7118"/>
    <cellStyle name="Assumptions Right Number 2 11" xfId="4004"/>
    <cellStyle name="Assumptions Right Number 2 11 2" xfId="9426"/>
    <cellStyle name="Assumptions Right Number 2 12" xfId="9671"/>
    <cellStyle name="Assumptions Right Number 2 2" xfId="1729"/>
    <cellStyle name="Assumptions Right Number 2 2 10" xfId="3472"/>
    <cellStyle name="Assumptions Right Number 2 2 10 2" xfId="5042"/>
    <cellStyle name="Assumptions Right Number 2 2 10 2 2" xfId="8100"/>
    <cellStyle name="Assumptions Right Number 2 2 10 3" xfId="9667"/>
    <cellStyle name="Assumptions Right Number 2 2 11" xfId="3628"/>
    <cellStyle name="Assumptions Right Number 2 2 11 2" xfId="8977"/>
    <cellStyle name="Assumptions Right Number 2 2 12" xfId="6806"/>
    <cellStyle name="Assumptions Right Number 2 2 2" xfId="1598"/>
    <cellStyle name="Assumptions Right Number 2 2 2 10" xfId="6737"/>
    <cellStyle name="Assumptions Right Number 2 2 2 2" xfId="2438"/>
    <cellStyle name="Assumptions Right Number 2 2 2 2 2" xfId="2572"/>
    <cellStyle name="Assumptions Right Number 2 2 2 2 2 2" xfId="4649"/>
    <cellStyle name="Assumptions Right Number 2 2 2 2 2 2 2" xfId="9560"/>
    <cellStyle name="Assumptions Right Number 2 2 2 2 2 3" xfId="7333"/>
    <cellStyle name="Assumptions Right Number 2 2 2 2 3" xfId="4722"/>
    <cellStyle name="Assumptions Right Number 2 2 2 2 3 2" xfId="9037"/>
    <cellStyle name="Assumptions Right Number 2 2 2 2 4" xfId="7992"/>
    <cellStyle name="Assumptions Right Number 2 2 2 3" xfId="2347"/>
    <cellStyle name="Assumptions Right Number 2 2 2 3 2" xfId="2978"/>
    <cellStyle name="Assumptions Right Number 2 2 2 3 2 2" xfId="3813"/>
    <cellStyle name="Assumptions Right Number 2 2 2 3 2 2 2" xfId="8561"/>
    <cellStyle name="Assumptions Right Number 2 2 2 3 2 3" xfId="9345"/>
    <cellStyle name="Assumptions Right Number 2 2 2 3 3" xfId="4731"/>
    <cellStyle name="Assumptions Right Number 2 2 2 3 3 2" xfId="9723"/>
    <cellStyle name="Assumptions Right Number 2 2 2 3 4" xfId="5676"/>
    <cellStyle name="Assumptions Right Number 2 2 2 3 4 2" xfId="6265"/>
    <cellStyle name="Assumptions Right Number 2 2 2 3 5" xfId="7082"/>
    <cellStyle name="Assumptions Right Number 2 2 2 4" xfId="2168"/>
    <cellStyle name="Assumptions Right Number 2 2 2 4 2" xfId="4817"/>
    <cellStyle name="Assumptions Right Number 2 2 2 4 2 2" xfId="9418"/>
    <cellStyle name="Assumptions Right Number 2 2 2 4 3" xfId="5600"/>
    <cellStyle name="Assumptions Right Number 2 2 2 4 3 2" xfId="7228"/>
    <cellStyle name="Assumptions Right Number 2 2 2 4 4" xfId="8423"/>
    <cellStyle name="Assumptions Right Number 2 2 2 5" xfId="3306"/>
    <cellStyle name="Assumptions Right Number 2 2 2 5 2" xfId="3548"/>
    <cellStyle name="Assumptions Right Number 2 2 2 5 2 2" xfId="9003"/>
    <cellStyle name="Assumptions Right Number 2 2 2 5 3" xfId="6175"/>
    <cellStyle name="Assumptions Right Number 2 2 2 5 3 2" xfId="10069"/>
    <cellStyle name="Assumptions Right Number 2 2 2 5 4" xfId="7669"/>
    <cellStyle name="Assumptions Right Number 2 2 2 6" xfId="2772"/>
    <cellStyle name="Assumptions Right Number 2 2 2 6 2" xfId="4234"/>
    <cellStyle name="Assumptions Right Number 2 2 2 6 2 2" xfId="7728"/>
    <cellStyle name="Assumptions Right Number 2 2 2 6 3" xfId="5709"/>
    <cellStyle name="Assumptions Right Number 2 2 2 6 3 2" xfId="7695"/>
    <cellStyle name="Assumptions Right Number 2 2 2 6 4" xfId="6673"/>
    <cellStyle name="Assumptions Right Number 2 2 2 7" xfId="2923"/>
    <cellStyle name="Assumptions Right Number 2 2 2 7 2" xfId="4080"/>
    <cellStyle name="Assumptions Right Number 2 2 2 7 2 2" xfId="9704"/>
    <cellStyle name="Assumptions Right Number 2 2 2 7 3" xfId="5852"/>
    <cellStyle name="Assumptions Right Number 2 2 2 7 3 2" xfId="6728"/>
    <cellStyle name="Assumptions Right Number 2 2 2 7 4" xfId="7763"/>
    <cellStyle name="Assumptions Right Number 2 2 2 8" xfId="3437"/>
    <cellStyle name="Assumptions Right Number 2 2 2 8 2" xfId="5008"/>
    <cellStyle name="Assumptions Right Number 2 2 2 8 2 2" xfId="6586"/>
    <cellStyle name="Assumptions Right Number 2 2 2 8 3" xfId="7820"/>
    <cellStyle name="Assumptions Right Number 2 2 2 9" xfId="3656"/>
    <cellStyle name="Assumptions Right Number 2 2 2 9 2" xfId="9357"/>
    <cellStyle name="Assumptions Right Number 2 2 3" xfId="2319"/>
    <cellStyle name="Assumptions Right Number 2 2 3 2" xfId="2690"/>
    <cellStyle name="Assumptions Right Number 2 2 3 2 2" xfId="3961"/>
    <cellStyle name="Assumptions Right Number 2 2 3 2 2 2" xfId="6984"/>
    <cellStyle name="Assumptions Right Number 2 2 3 2 3" xfId="6443"/>
    <cellStyle name="Assumptions Right Number 2 2 3 3" xfId="4825"/>
    <cellStyle name="Assumptions Right Number 2 2 3 3 2" xfId="7036"/>
    <cellStyle name="Assumptions Right Number 2 2 3 4" xfId="5200"/>
    <cellStyle name="Assumptions Right Number 2 2 3 4 2" xfId="8498"/>
    <cellStyle name="Assumptions Right Number 2 2 3 5" xfId="5520"/>
    <cellStyle name="Assumptions Right Number 2 2 3 5 2" xfId="7505"/>
    <cellStyle name="Assumptions Right Number 2 2 3 6" xfId="7879"/>
    <cellStyle name="Assumptions Right Number 2 2 4" xfId="2202"/>
    <cellStyle name="Assumptions Right Number 2 2 4 2" xfId="4819"/>
    <cellStyle name="Assumptions Right Number 2 2 4 2 2" xfId="6713"/>
    <cellStyle name="Assumptions Right Number 2 2 4 3" xfId="5548"/>
    <cellStyle name="Assumptions Right Number 2 2 4 3 2" xfId="6345"/>
    <cellStyle name="Assumptions Right Number 2 2 4 4" xfId="7015"/>
    <cellStyle name="Assumptions Right Number 2 2 5" xfId="2946"/>
    <cellStyle name="Assumptions Right Number 2 2 5 2" xfId="3837"/>
    <cellStyle name="Assumptions Right Number 2 2 5 2 2" xfId="7780"/>
    <cellStyle name="Assumptions Right Number 2 2 5 3" xfId="5866"/>
    <cellStyle name="Assumptions Right Number 2 2 5 3 2" xfId="6848"/>
    <cellStyle name="Assumptions Right Number 2 2 5 4" xfId="8451"/>
    <cellStyle name="Assumptions Right Number 2 2 6" xfId="3161"/>
    <cellStyle name="Assumptions Right Number 2 2 6 2" xfId="4201"/>
    <cellStyle name="Assumptions Right Number 2 2 6 2 2" xfId="9177"/>
    <cellStyle name="Assumptions Right Number 2 2 6 3" xfId="6053"/>
    <cellStyle name="Assumptions Right Number 2 2 6 3 2" xfId="9947"/>
    <cellStyle name="Assumptions Right Number 2 2 6 4" xfId="8548"/>
    <cellStyle name="Assumptions Right Number 2 2 7" xfId="2891"/>
    <cellStyle name="Assumptions Right Number 2 2 7 2" xfId="4224"/>
    <cellStyle name="Assumptions Right Number 2 2 7 2 2" xfId="9616"/>
    <cellStyle name="Assumptions Right Number 2 2 7 3" xfId="5822"/>
    <cellStyle name="Assumptions Right Number 2 2 7 3 2" xfId="8125"/>
    <cellStyle name="Assumptions Right Number 2 2 7 4" xfId="7369"/>
    <cellStyle name="Assumptions Right Number 2 2 8" xfId="2800"/>
    <cellStyle name="Assumptions Right Number 2 2 8 2" xfId="3916"/>
    <cellStyle name="Assumptions Right Number 2 2 8 2 2" xfId="9124"/>
    <cellStyle name="Assumptions Right Number 2 2 8 3" xfId="5734"/>
    <cellStyle name="Assumptions Right Number 2 2 8 3 2" xfId="8099"/>
    <cellStyle name="Assumptions Right Number 2 2 8 4" xfId="7996"/>
    <cellStyle name="Assumptions Right Number 2 2 9" xfId="3008"/>
    <cellStyle name="Assumptions Right Number 2 2 9 2" xfId="3802"/>
    <cellStyle name="Assumptions Right Number 2 2 9 2 2" xfId="8147"/>
    <cellStyle name="Assumptions Right Number 2 2 9 3" xfId="5910"/>
    <cellStyle name="Assumptions Right Number 2 2 9 3 2" xfId="9804"/>
    <cellStyle name="Assumptions Right Number 2 2 9 4" xfId="8107"/>
    <cellStyle name="Assumptions Right Number 2 3" xfId="2238"/>
    <cellStyle name="Assumptions Right Number 2 3 2" xfId="2660"/>
    <cellStyle name="Assumptions Right Number 2 3 2 2" xfId="4851"/>
    <cellStyle name="Assumptions Right Number 2 3 2 2 2" xfId="7501"/>
    <cellStyle name="Assumptions Right Number 2 3 2 3" xfId="7219"/>
    <cellStyle name="Assumptions Right Number 2 3 3" xfId="4428"/>
    <cellStyle name="Assumptions Right Number 2 3 3 2" xfId="9645"/>
    <cellStyle name="Assumptions Right Number 2 3 4" xfId="5276"/>
    <cellStyle name="Assumptions Right Number 2 3 4 2" xfId="8237"/>
    <cellStyle name="Assumptions Right Number 2 3 5" xfId="5491"/>
    <cellStyle name="Assumptions Right Number 2 3 5 2" xfId="6662"/>
    <cellStyle name="Assumptions Right Number 2 3 6" xfId="7207"/>
    <cellStyle name="Assumptions Right Number 2 4" xfId="2279"/>
    <cellStyle name="Assumptions Right Number 2 4 2" xfId="4888"/>
    <cellStyle name="Assumptions Right Number 2 4 2 2" xfId="8652"/>
    <cellStyle name="Assumptions Right Number 2 4 3" xfId="5440"/>
    <cellStyle name="Assumptions Right Number 2 4 3 2" xfId="8158"/>
    <cellStyle name="Assumptions Right Number 2 4 4" xfId="8065"/>
    <cellStyle name="Assumptions Right Number 2 5" xfId="3038"/>
    <cellStyle name="Assumptions Right Number 2 5 2" xfId="4212"/>
    <cellStyle name="Assumptions Right Number 2 5 2 2" xfId="9130"/>
    <cellStyle name="Assumptions Right Number 2 5 3" xfId="5939"/>
    <cellStyle name="Assumptions Right Number 2 5 3 2" xfId="9833"/>
    <cellStyle name="Assumptions Right Number 2 5 4" xfId="7184"/>
    <cellStyle name="Assumptions Right Number 2 6" xfId="2818"/>
    <cellStyle name="Assumptions Right Number 2 6 2" xfId="4096"/>
    <cellStyle name="Assumptions Right Number 2 6 2 2" xfId="8535"/>
    <cellStyle name="Assumptions Right Number 2 6 3" xfId="5752"/>
    <cellStyle name="Assumptions Right Number 2 6 3 2" xfId="7787"/>
    <cellStyle name="Assumptions Right Number 2 6 4" xfId="9543"/>
    <cellStyle name="Assumptions Right Number 2 7" xfId="3268"/>
    <cellStyle name="Assumptions Right Number 2 7 2" xfId="4251"/>
    <cellStyle name="Assumptions Right Number 2 7 2 2" xfId="9422"/>
    <cellStyle name="Assumptions Right Number 2 7 3" xfId="6143"/>
    <cellStyle name="Assumptions Right Number 2 7 3 2" xfId="10037"/>
    <cellStyle name="Assumptions Right Number 2 7 4" xfId="7965"/>
    <cellStyle name="Assumptions Right Number 2 8" xfId="3229"/>
    <cellStyle name="Assumptions Right Number 2 8 2" xfId="3566"/>
    <cellStyle name="Assumptions Right Number 2 8 2 2" xfId="7709"/>
    <cellStyle name="Assumptions Right Number 2 8 3" xfId="6111"/>
    <cellStyle name="Assumptions Right Number 2 8 3 2" xfId="10005"/>
    <cellStyle name="Assumptions Right Number 2 8 4" xfId="6654"/>
    <cellStyle name="Assumptions Right Number 2 9" xfId="3006"/>
    <cellStyle name="Assumptions Right Number 2 9 2" xfId="4144"/>
    <cellStyle name="Assumptions Right Number 2 9 2 2" xfId="6255"/>
    <cellStyle name="Assumptions Right Number 2 9 3" xfId="5908"/>
    <cellStyle name="Assumptions Right Number 2 9 3 2" xfId="9802"/>
    <cellStyle name="Assumptions Right Number 2 9 4" xfId="7389"/>
    <cellStyle name="Assumptions Right Number 3" xfId="1728"/>
    <cellStyle name="Assumptions Right Number 3 10" xfId="3471"/>
    <cellStyle name="Assumptions Right Number 3 10 2" xfId="5041"/>
    <cellStyle name="Assumptions Right Number 3 10 2 2" xfId="8393"/>
    <cellStyle name="Assumptions Right Number 3 10 3" xfId="7011"/>
    <cellStyle name="Assumptions Right Number 3 11" xfId="3629"/>
    <cellStyle name="Assumptions Right Number 3 11 2" xfId="8574"/>
    <cellStyle name="Assumptions Right Number 3 12" xfId="8300"/>
    <cellStyle name="Assumptions Right Number 3 2" xfId="1599"/>
    <cellStyle name="Assumptions Right Number 3 2 10" xfId="7768"/>
    <cellStyle name="Assumptions Right Number 3 2 2" xfId="2439"/>
    <cellStyle name="Assumptions Right Number 3 2 2 2" xfId="2573"/>
    <cellStyle name="Assumptions Right Number 3 2 2 2 2" xfId="4849"/>
    <cellStyle name="Assumptions Right Number 3 2 2 2 2 2" xfId="7311"/>
    <cellStyle name="Assumptions Right Number 3 2 2 2 3" xfId="7121"/>
    <cellStyle name="Assumptions Right Number 3 2 2 3" xfId="4770"/>
    <cellStyle name="Assumptions Right Number 3 2 2 3 2" xfId="9099"/>
    <cellStyle name="Assumptions Right Number 3 2 2 4" xfId="7275"/>
    <cellStyle name="Assumptions Right Number 3 2 3" xfId="2215"/>
    <cellStyle name="Assumptions Right Number 3 2 3 2" xfId="2977"/>
    <cellStyle name="Assumptions Right Number 3 2 3 2 2" xfId="3814"/>
    <cellStyle name="Assumptions Right Number 3 2 3 2 2 2" xfId="6460"/>
    <cellStyle name="Assumptions Right Number 3 2 3 2 3" xfId="9348"/>
    <cellStyle name="Assumptions Right Number 3 2 3 3" xfId="4448"/>
    <cellStyle name="Assumptions Right Number 3 2 3 3 2" xfId="6593"/>
    <cellStyle name="Assumptions Right Number 3 2 3 4" xfId="5621"/>
    <cellStyle name="Assumptions Right Number 3 2 3 4 2" xfId="7319"/>
    <cellStyle name="Assumptions Right Number 3 2 3 5" xfId="7694"/>
    <cellStyle name="Assumptions Right Number 3 2 4" xfId="2346"/>
    <cellStyle name="Assumptions Right Number 3 2 4 2" xfId="4860"/>
    <cellStyle name="Assumptions Right Number 3 2 4 2 2" xfId="9138"/>
    <cellStyle name="Assumptions Right Number 3 2 4 3" xfId="5675"/>
    <cellStyle name="Assumptions Right Number 3 2 4 3 2" xfId="7635"/>
    <cellStyle name="Assumptions Right Number 3 2 4 4" xfId="7831"/>
    <cellStyle name="Assumptions Right Number 3 2 5" xfId="2809"/>
    <cellStyle name="Assumptions Right Number 3 2 5 2" xfId="4231"/>
    <cellStyle name="Assumptions Right Number 3 2 5 2 2" xfId="9222"/>
    <cellStyle name="Assumptions Right Number 3 2 5 3" xfId="5743"/>
    <cellStyle name="Assumptions Right Number 3 2 5 3 2" xfId="7325"/>
    <cellStyle name="Assumptions Right Number 3 2 5 4" xfId="9498"/>
    <cellStyle name="Assumptions Right Number 3 2 6" xfId="2828"/>
    <cellStyle name="Assumptions Right Number 3 2 6 2" xfId="3900"/>
    <cellStyle name="Assumptions Right Number 3 2 6 2 2" xfId="9526"/>
    <cellStyle name="Assumptions Right Number 3 2 6 3" xfId="5761"/>
    <cellStyle name="Assumptions Right Number 3 2 6 3 2" xfId="7567"/>
    <cellStyle name="Assumptions Right Number 3 2 6 4" xfId="8510"/>
    <cellStyle name="Assumptions Right Number 3 2 7" xfId="2897"/>
    <cellStyle name="Assumptions Right Number 3 2 7 2" xfId="3858"/>
    <cellStyle name="Assumptions Right Number 3 2 7 2 2" xfId="8728"/>
    <cellStyle name="Assumptions Right Number 3 2 7 3" xfId="5828"/>
    <cellStyle name="Assumptions Right Number 3 2 7 3 2" xfId="7937"/>
    <cellStyle name="Assumptions Right Number 3 2 7 4" xfId="8171"/>
    <cellStyle name="Assumptions Right Number 3 2 8" xfId="3438"/>
    <cellStyle name="Assumptions Right Number 3 2 8 2" xfId="5009"/>
    <cellStyle name="Assumptions Right Number 3 2 8 2 2" xfId="9630"/>
    <cellStyle name="Assumptions Right Number 3 2 8 3" xfId="9581"/>
    <cellStyle name="Assumptions Right Number 3 2 9" xfId="3655"/>
    <cellStyle name="Assumptions Right Number 3 2 9 2" xfId="8526"/>
    <cellStyle name="Assumptions Right Number 3 3" xfId="2193"/>
    <cellStyle name="Assumptions Right Number 3 3 2" xfId="2689"/>
    <cellStyle name="Assumptions Right Number 3 3 2 2" xfId="4062"/>
    <cellStyle name="Assumptions Right Number 3 3 2 2 2" xfId="9614"/>
    <cellStyle name="Assumptions Right Number 3 3 2 3" xfId="8306"/>
    <cellStyle name="Assumptions Right Number 3 3 3" xfId="4821"/>
    <cellStyle name="Assumptions Right Number 3 3 3 2" xfId="9220"/>
    <cellStyle name="Assumptions Right Number 3 3 4" xfId="5247"/>
    <cellStyle name="Assumptions Right Number 3 3 4 2" xfId="7521"/>
    <cellStyle name="Assumptions Right Number 3 3 5" xfId="5519"/>
    <cellStyle name="Assumptions Right Number 3 3 5 2" xfId="8406"/>
    <cellStyle name="Assumptions Right Number 3 3 6" xfId="9326"/>
    <cellStyle name="Assumptions Right Number 3 4" xfId="2169"/>
    <cellStyle name="Assumptions Right Number 3 4 2" xfId="4740"/>
    <cellStyle name="Assumptions Right Number 3 4 2 2" xfId="9417"/>
    <cellStyle name="Assumptions Right Number 3 4 3" xfId="5547"/>
    <cellStyle name="Assumptions Right Number 3 4 3 2" xfId="8478"/>
    <cellStyle name="Assumptions Right Number 3 4 4" xfId="6864"/>
    <cellStyle name="Assumptions Right Number 3 5" xfId="3162"/>
    <cellStyle name="Assumptions Right Number 3 5 2" xfId="3713"/>
    <cellStyle name="Assumptions Right Number 3 5 2 2" xfId="6976"/>
    <cellStyle name="Assumptions Right Number 3 5 3" xfId="6054"/>
    <cellStyle name="Assumptions Right Number 3 5 3 2" xfId="9948"/>
    <cellStyle name="Assumptions Right Number 3 5 4" xfId="6599"/>
    <cellStyle name="Assumptions Right Number 3 6" xfId="3137"/>
    <cellStyle name="Assumptions Right Number 3 6 2" xfId="3721"/>
    <cellStyle name="Assumptions Right Number 3 6 2 2" xfId="6879"/>
    <cellStyle name="Assumptions Right Number 3 6 3" xfId="6033"/>
    <cellStyle name="Assumptions Right Number 3 6 3 2" xfId="9927"/>
    <cellStyle name="Assumptions Right Number 3 6 4" xfId="8108"/>
    <cellStyle name="Assumptions Right Number 3 7" xfId="3021"/>
    <cellStyle name="Assumptions Right Number 3 7 2" xfId="3795"/>
    <cellStyle name="Assumptions Right Number 3 7 2 2" xfId="9001"/>
    <cellStyle name="Assumptions Right Number 3 7 3" xfId="5923"/>
    <cellStyle name="Assumptions Right Number 3 7 3 2" xfId="9817"/>
    <cellStyle name="Assumptions Right Number 3 7 4" xfId="6456"/>
    <cellStyle name="Assumptions Right Number 3 8" xfId="2906"/>
    <cellStyle name="Assumptions Right Number 3 8 2" xfId="4091"/>
    <cellStyle name="Assumptions Right Number 3 8 2 2" xfId="8233"/>
    <cellStyle name="Assumptions Right Number 3 8 3" xfId="5837"/>
    <cellStyle name="Assumptions Right Number 3 8 3 2" xfId="7251"/>
    <cellStyle name="Assumptions Right Number 3 8 4" xfId="8887"/>
    <cellStyle name="Assumptions Right Number 3 9" xfId="2786"/>
    <cellStyle name="Assumptions Right Number 3 9 2" xfId="3928"/>
    <cellStyle name="Assumptions Right Number 3 9 2 2" xfId="9055"/>
    <cellStyle name="Assumptions Right Number 3 9 3" xfId="5721"/>
    <cellStyle name="Assumptions Right Number 3 9 3 2" xfId="8027"/>
    <cellStyle name="Assumptions Right Number 3 9 4" xfId="8031"/>
    <cellStyle name="Assumptions Right Number 4" xfId="2239"/>
    <cellStyle name="Assumptions Right Number 4 2" xfId="2659"/>
    <cellStyle name="Assumptions Right Number 4 2 2" xfId="4898"/>
    <cellStyle name="Assumptions Right Number 4 2 2 2" xfId="7853"/>
    <cellStyle name="Assumptions Right Number 4 2 3" xfId="7585"/>
    <cellStyle name="Assumptions Right Number 4 3" xfId="4623"/>
    <cellStyle name="Assumptions Right Number 4 3 2" xfId="8682"/>
    <cellStyle name="Assumptions Right Number 4 4" xfId="5293"/>
    <cellStyle name="Assumptions Right Number 4 4 2" xfId="7317"/>
    <cellStyle name="Assumptions Right Number 4 5" xfId="5490"/>
    <cellStyle name="Assumptions Right Number 4 5 2" xfId="6455"/>
    <cellStyle name="Assumptions Right Number 4 6" xfId="8281"/>
    <cellStyle name="Assumptions Right Number 5" xfId="2278"/>
    <cellStyle name="Assumptions Right Number 5 2" xfId="4032"/>
    <cellStyle name="Assumptions Right Number 5 2 2" xfId="6532"/>
    <cellStyle name="Assumptions Right Number 5 3" xfId="5441"/>
    <cellStyle name="Assumptions Right Number 5 3 2" xfId="8041"/>
    <cellStyle name="Assumptions Right Number 5 4" xfId="6509"/>
    <cellStyle name="Assumptions Right Number 6" xfId="3039"/>
    <cellStyle name="Assumptions Right Number 6 2" xfId="3781"/>
    <cellStyle name="Assumptions Right Number 6 2 2" xfId="7794"/>
    <cellStyle name="Assumptions Right Number 6 3" xfId="5940"/>
    <cellStyle name="Assumptions Right Number 6 3 2" xfId="9834"/>
    <cellStyle name="Assumptions Right Number 6 4" xfId="8513"/>
    <cellStyle name="Assumptions Right Number 7" xfId="3067"/>
    <cellStyle name="Assumptions Right Number 7 2" xfId="4089"/>
    <cellStyle name="Assumptions Right Number 7 2 2" xfId="9423"/>
    <cellStyle name="Assumptions Right Number 7 3" xfId="5967"/>
    <cellStyle name="Assumptions Right Number 7 3 2" xfId="9861"/>
    <cellStyle name="Assumptions Right Number 7 4" xfId="8515"/>
    <cellStyle name="Assumptions Right Number 8" xfId="3267"/>
    <cellStyle name="Assumptions Right Number 8 2" xfId="3561"/>
    <cellStyle name="Assumptions Right Number 8 2 2" xfId="9150"/>
    <cellStyle name="Assumptions Right Number 8 3" xfId="6142"/>
    <cellStyle name="Assumptions Right Number 8 3 2" xfId="10036"/>
    <cellStyle name="Assumptions Right Number 8 4" xfId="6303"/>
    <cellStyle name="Assumptions Right Number 9" xfId="2886"/>
    <cellStyle name="Assumptions Right Number 9 2" xfId="3866"/>
    <cellStyle name="Assumptions Right Number 9 2 2" xfId="9440"/>
    <cellStyle name="Assumptions Right Number 9 3" xfId="5817"/>
    <cellStyle name="Assumptions Right Number 9 3 2" xfId="6309"/>
    <cellStyle name="Assumptions Right Number 9 4" xfId="9551"/>
    <cellStyle name="Assumptions Right Percentage" xfId="969"/>
    <cellStyle name="Assumptions Right Percentage 10" xfId="3358"/>
    <cellStyle name="Assumptions Right Percentage 10 2" xfId="4948"/>
    <cellStyle name="Assumptions Right Percentage 10 2 2" xfId="7507"/>
    <cellStyle name="Assumptions Right Percentage 10 3" xfId="6224"/>
    <cellStyle name="Assumptions Right Percentage 10 3 2" xfId="10118"/>
    <cellStyle name="Assumptions Right Percentage 10 4" xfId="8667"/>
    <cellStyle name="Assumptions Right Percentage 11" xfId="3405"/>
    <cellStyle name="Assumptions Right Percentage 11 2" xfId="4979"/>
    <cellStyle name="Assumptions Right Percentage 11 2 2" xfId="9712"/>
    <cellStyle name="Assumptions Right Percentage 11 3" xfId="9685"/>
    <cellStyle name="Assumptions Right Percentage 12" xfId="4003"/>
    <cellStyle name="Assumptions Right Percentage 12 2" xfId="8493"/>
    <cellStyle name="Assumptions Right Percentage 13" xfId="7537"/>
    <cellStyle name="Assumptions Right Percentage 2" xfId="970"/>
    <cellStyle name="Assumptions Right Percentage 2 10" xfId="3406"/>
    <cellStyle name="Assumptions Right Percentage 2 10 2" xfId="4980"/>
    <cellStyle name="Assumptions Right Percentage 2 10 2 2" xfId="6732"/>
    <cellStyle name="Assumptions Right Percentage 2 10 3" xfId="8666"/>
    <cellStyle name="Assumptions Right Percentage 2 11" xfId="4002"/>
    <cellStyle name="Assumptions Right Percentage 2 11 2" xfId="8323"/>
    <cellStyle name="Assumptions Right Percentage 2 12" xfId="8138"/>
    <cellStyle name="Assumptions Right Percentage 2 2" xfId="1731"/>
    <cellStyle name="Assumptions Right Percentage 2 2 10" xfId="3474"/>
    <cellStyle name="Assumptions Right Percentage 2 2 10 2" xfId="5044"/>
    <cellStyle name="Assumptions Right Percentage 2 2 10 2 2" xfId="6861"/>
    <cellStyle name="Assumptions Right Percentage 2 2 10 3" xfId="7810"/>
    <cellStyle name="Assumptions Right Percentage 2 2 11" xfId="3626"/>
    <cellStyle name="Assumptions Right Percentage 2 2 11 2" xfId="7396"/>
    <cellStyle name="Assumptions Right Percentage 2 2 12" xfId="7386"/>
    <cellStyle name="Assumptions Right Percentage 2 2 2" xfId="1706"/>
    <cellStyle name="Assumptions Right Percentage 2 2 2 10" xfId="8310"/>
    <cellStyle name="Assumptions Right Percentage 2 2 2 2" xfId="2451"/>
    <cellStyle name="Assumptions Right Percentage 2 2 2 2 2" xfId="2585"/>
    <cellStyle name="Assumptions Right Percentage 2 2 2 2 2 2" xfId="4665"/>
    <cellStyle name="Assumptions Right Percentage 2 2 2 2 2 2 2" xfId="9164"/>
    <cellStyle name="Assumptions Right Percentage 2 2 2 2 2 3" xfId="7357"/>
    <cellStyle name="Assumptions Right Percentage 2 2 2 2 3" xfId="4631"/>
    <cellStyle name="Assumptions Right Percentage 2 2 2 2 3 2" xfId="9367"/>
    <cellStyle name="Assumptions Right Percentage 2 2 2 2 4" xfId="8191"/>
    <cellStyle name="Assumptions Right Percentage 2 2 2 3" xfId="2324"/>
    <cellStyle name="Assumptions Right Percentage 2 2 2 3 2" xfId="3215"/>
    <cellStyle name="Assumptions Right Percentage 2 2 2 3 2 2" xfId="3568"/>
    <cellStyle name="Assumptions Right Percentage 2 2 2 3 2 2 2" xfId="6922"/>
    <cellStyle name="Assumptions Right Percentage 2 2 2 3 2 3" xfId="7168"/>
    <cellStyle name="Assumptions Right Percentage 2 2 2 3 3" xfId="4661"/>
    <cellStyle name="Assumptions Right Percentage 2 2 2 3 3 2" xfId="7283"/>
    <cellStyle name="Assumptions Right Percentage 2 2 2 3 4" xfId="5662"/>
    <cellStyle name="Assumptions Right Percentage 2 2 2 3 4 2" xfId="7164"/>
    <cellStyle name="Assumptions Right Percentage 2 2 2 3 5" xfId="6772"/>
    <cellStyle name="Assumptions Right Percentage 2 2 2 4" xfId="2097"/>
    <cellStyle name="Assumptions Right Percentage 2 2 2 4 2" xfId="4499"/>
    <cellStyle name="Assumptions Right Percentage 2 2 2 4 2 2" xfId="8689"/>
    <cellStyle name="Assumptions Right Percentage 2 2 2 4 3" xfId="5573"/>
    <cellStyle name="Assumptions Right Percentage 2 2 2 4 3 2" xfId="8475"/>
    <cellStyle name="Assumptions Right Percentage 2 2 2 4 4" xfId="7762"/>
    <cellStyle name="Assumptions Right Percentage 2 2 2 5" xfId="2889"/>
    <cellStyle name="Assumptions Right Percentage 2 2 2 5 2" xfId="3863"/>
    <cellStyle name="Assumptions Right Percentage 2 2 2 5 2 2" xfId="9446"/>
    <cellStyle name="Assumptions Right Percentage 2 2 2 5 3" xfId="5820"/>
    <cellStyle name="Assumptions Right Percentage 2 2 2 5 3 2" xfId="7590"/>
    <cellStyle name="Assumptions Right Percentage 2 2 2 5 4" xfId="9727"/>
    <cellStyle name="Assumptions Right Percentage 2 2 2 6" xfId="2898"/>
    <cellStyle name="Assumptions Right Percentage 2 2 2 6 2" xfId="3857"/>
    <cellStyle name="Assumptions Right Percentage 2 2 2 6 2 2" xfId="9710"/>
    <cellStyle name="Assumptions Right Percentage 2 2 2 6 3" xfId="5829"/>
    <cellStyle name="Assumptions Right Percentage 2 2 2 6 3 2" xfId="7811"/>
    <cellStyle name="Assumptions Right Percentage 2 2 2 6 4" xfId="8747"/>
    <cellStyle name="Assumptions Right Percentage 2 2 2 7" xfId="2973"/>
    <cellStyle name="Assumptions Right Percentage 2 2 2 7 2" xfId="3817"/>
    <cellStyle name="Assumptions Right Percentage 2 2 2 7 2 2" xfId="8024"/>
    <cellStyle name="Assumptions Right Percentage 2 2 2 7 3" xfId="5888"/>
    <cellStyle name="Assumptions Right Percentage 2 2 2 7 3 2" xfId="9782"/>
    <cellStyle name="Assumptions Right Percentage 2 2 2 7 4" xfId="8277"/>
    <cellStyle name="Assumptions Right Percentage 2 2 2 8" xfId="3450"/>
    <cellStyle name="Assumptions Right Percentage 2 2 2 8 2" xfId="5020"/>
    <cellStyle name="Assumptions Right Percentage 2 2 2 8 2 2" xfId="8676"/>
    <cellStyle name="Assumptions Right Percentage 2 2 2 8 3" xfId="8170"/>
    <cellStyle name="Assumptions Right Percentage 2 2 2 9" xfId="3649"/>
    <cellStyle name="Assumptions Right Percentage 2 2 2 9 2" xfId="7448"/>
    <cellStyle name="Assumptions Right Percentage 2 2 3" xfId="2192"/>
    <cellStyle name="Assumptions Right Percentage 2 2 3 2" xfId="2692"/>
    <cellStyle name="Assumptions Right Percentage 2 2 3 2 2" xfId="3960"/>
    <cellStyle name="Assumptions Right Percentage 2 2 3 2 2 2" xfId="8188"/>
    <cellStyle name="Assumptions Right Percentage 2 2 3 2 3" xfId="7393"/>
    <cellStyle name="Assumptions Right Percentage 2 2 3 3" xfId="4107"/>
    <cellStyle name="Assumptions Right Percentage 2 2 3 3 2" xfId="9481"/>
    <cellStyle name="Assumptions Right Percentage 2 2 3 4" xfId="5255"/>
    <cellStyle name="Assumptions Right Percentage 2 2 3 4 2" xfId="8319"/>
    <cellStyle name="Assumptions Right Percentage 2 2 3 5" xfId="5522"/>
    <cellStyle name="Assumptions Right Percentage 2 2 3 5 2" xfId="6798"/>
    <cellStyle name="Assumptions Right Percentage 2 2 3 6" xfId="7485"/>
    <cellStyle name="Assumptions Right Percentage 2 2 4" xfId="2301"/>
    <cellStyle name="Assumptions Right Percentage 2 2 4 2" xfId="4489"/>
    <cellStyle name="Assumptions Right Percentage 2 2 4 2 2" xfId="7415"/>
    <cellStyle name="Assumptions Right Percentage 2 2 4 3" xfId="5550"/>
    <cellStyle name="Assumptions Right Percentage 2 2 4 3 2" xfId="7359"/>
    <cellStyle name="Assumptions Right Percentage 2 2 4 4" xfId="7132"/>
    <cellStyle name="Assumptions Right Percentage 2 2 5" xfId="2780"/>
    <cellStyle name="Assumptions Right Percentage 2 2 5 2" xfId="3932"/>
    <cellStyle name="Assumptions Right Percentage 2 2 5 2 2" xfId="9064"/>
    <cellStyle name="Assumptions Right Percentage 2 2 5 3" xfId="5716"/>
    <cellStyle name="Assumptions Right Percentage 2 2 5 3 2" xfId="8549"/>
    <cellStyle name="Assumptions Right Percentage 2 2 5 4" xfId="6604"/>
    <cellStyle name="Assumptions Right Percentage 2 2 6" xfId="3058"/>
    <cellStyle name="Assumptions Right Percentage 2 2 6 2" xfId="3767"/>
    <cellStyle name="Assumptions Right Percentage 2 2 6 2 2" xfId="8518"/>
    <cellStyle name="Assumptions Right Percentage 2 2 6 3" xfId="5958"/>
    <cellStyle name="Assumptions Right Percentage 2 2 6 3 2" xfId="9852"/>
    <cellStyle name="Assumptions Right Percentage 2 2 6 4" xfId="7294"/>
    <cellStyle name="Assumptions Right Percentage 2 2 7" xfId="2871"/>
    <cellStyle name="Assumptions Right Percentage 2 2 7 2" xfId="3879"/>
    <cellStyle name="Assumptions Right Percentage 2 2 7 2 2" xfId="7136"/>
    <cellStyle name="Assumptions Right Percentage 2 2 7 3" xfId="5802"/>
    <cellStyle name="Assumptions Right Percentage 2 2 7 3 2" xfId="7791"/>
    <cellStyle name="Assumptions Right Percentage 2 2 7 4" xfId="9713"/>
    <cellStyle name="Assumptions Right Percentage 2 2 8" xfId="3013"/>
    <cellStyle name="Assumptions Right Percentage 2 2 8 2" xfId="4058"/>
    <cellStyle name="Assumptions Right Percentage 2 2 8 2 2" xfId="8377"/>
    <cellStyle name="Assumptions Right Percentage 2 2 8 3" xfId="5915"/>
    <cellStyle name="Assumptions Right Percentage 2 2 8 3 2" xfId="9809"/>
    <cellStyle name="Assumptions Right Percentage 2 2 8 4" xfId="6815"/>
    <cellStyle name="Assumptions Right Percentage 2 2 9" xfId="3164"/>
    <cellStyle name="Assumptions Right Percentage 2 2 9 2" xfId="4265"/>
    <cellStyle name="Assumptions Right Percentage 2 2 9 2 2" xfId="6261"/>
    <cellStyle name="Assumptions Right Percentage 2 2 9 3" xfId="6056"/>
    <cellStyle name="Assumptions Right Percentage 2 2 9 3 2" xfId="9950"/>
    <cellStyle name="Assumptions Right Percentage 2 2 9 4" xfId="8155"/>
    <cellStyle name="Assumptions Right Percentage 2 3" xfId="2159"/>
    <cellStyle name="Assumptions Right Percentage 2 3 2" xfId="2662"/>
    <cellStyle name="Assumptions Right Percentage 2 3 2 2" xfId="4650"/>
    <cellStyle name="Assumptions Right Percentage 2 3 2 2 2" xfId="8678"/>
    <cellStyle name="Assumptions Right Percentage 2 3 2 3" xfId="6451"/>
    <cellStyle name="Assumptions Right Percentage 2 3 3" xfId="4892"/>
    <cellStyle name="Assumptions Right Percentage 2 3 3 2" xfId="7199"/>
    <cellStyle name="Assumptions Right Percentage 2 3 4" xfId="5229"/>
    <cellStyle name="Assumptions Right Percentage 2 3 4 2" xfId="7483"/>
    <cellStyle name="Assumptions Right Percentage 2 3 5" xfId="5493"/>
    <cellStyle name="Assumptions Right Percentage 2 3 5 2" xfId="7752"/>
    <cellStyle name="Assumptions Right Percentage 2 3 6" xfId="7408"/>
    <cellStyle name="Assumptions Right Percentage 2 4" xfId="2114"/>
    <cellStyle name="Assumptions Right Percentage 2 4 2" xfId="4447"/>
    <cellStyle name="Assumptions Right Percentage 2 4 2 2" xfId="7922"/>
    <cellStyle name="Assumptions Right Percentage 2 4 3" xfId="5438"/>
    <cellStyle name="Assumptions Right Percentage 2 4 3 2" xfId="8415"/>
    <cellStyle name="Assumptions Right Percentage 2 4 4" xfId="9249"/>
    <cellStyle name="Assumptions Right Percentage 2 5" xfId="3036"/>
    <cellStyle name="Assumptions Right Percentage 2 5 2" xfId="3783"/>
    <cellStyle name="Assumptions Right Percentage 2 5 2 2" xfId="9686"/>
    <cellStyle name="Assumptions Right Percentage 2 5 3" xfId="5937"/>
    <cellStyle name="Assumptions Right Percentage 2 5 3 2" xfId="9831"/>
    <cellStyle name="Assumptions Right Percentage 2 5 4" xfId="7940"/>
    <cellStyle name="Assumptions Right Percentage 2 6" xfId="2820"/>
    <cellStyle name="Assumptions Right Percentage 2 6 2" xfId="4166"/>
    <cellStyle name="Assumptions Right Percentage 2 6 2 2" xfId="9424"/>
    <cellStyle name="Assumptions Right Percentage 2 6 3" xfId="5754"/>
    <cellStyle name="Assumptions Right Percentage 2 6 3 2" xfId="7252"/>
    <cellStyle name="Assumptions Right Percentage 2 6 4" xfId="7963"/>
    <cellStyle name="Assumptions Right Percentage 2 7" xfId="3124"/>
    <cellStyle name="Assumptions Right Percentage 2 7 2" xfId="3731"/>
    <cellStyle name="Assumptions Right Percentage 2 7 2 2" xfId="8527"/>
    <cellStyle name="Assumptions Right Percentage 2 7 3" xfId="6020"/>
    <cellStyle name="Assumptions Right Percentage 2 7 3 2" xfId="9914"/>
    <cellStyle name="Assumptions Right Percentage 2 7 4" xfId="8234"/>
    <cellStyle name="Assumptions Right Percentage 2 8" xfId="3011"/>
    <cellStyle name="Assumptions Right Percentage 2 8 2" xfId="3801"/>
    <cellStyle name="Assumptions Right Percentage 2 8 2 2" xfId="8055"/>
    <cellStyle name="Assumptions Right Percentage 2 8 3" xfId="5913"/>
    <cellStyle name="Assumptions Right Percentage 2 8 3 2" xfId="9807"/>
    <cellStyle name="Assumptions Right Percentage 2 8 4" xfId="6492"/>
    <cellStyle name="Assumptions Right Percentage 2 9" xfId="3354"/>
    <cellStyle name="Assumptions Right Percentage 2 9 2" xfId="4944"/>
    <cellStyle name="Assumptions Right Percentage 2 9 2 2" xfId="8109"/>
    <cellStyle name="Assumptions Right Percentage 2 9 3" xfId="6220"/>
    <cellStyle name="Assumptions Right Percentage 2 9 3 2" xfId="10114"/>
    <cellStyle name="Assumptions Right Percentage 2 9 4" xfId="9632"/>
    <cellStyle name="Assumptions Right Percentage 3" xfId="1730"/>
    <cellStyle name="Assumptions Right Percentage 3 10" xfId="3473"/>
    <cellStyle name="Assumptions Right Percentage 3 10 2" xfId="5043"/>
    <cellStyle name="Assumptions Right Percentage 3 10 2 2" xfId="9545"/>
    <cellStyle name="Assumptions Right Percentage 3 10 3" xfId="6459"/>
    <cellStyle name="Assumptions Right Percentage 3 11" xfId="3627"/>
    <cellStyle name="Assumptions Right Percentage 3 11 2" xfId="9449"/>
    <cellStyle name="Assumptions Right Percentage 3 12" xfId="7043"/>
    <cellStyle name="Assumptions Right Percentage 3 2" xfId="1597"/>
    <cellStyle name="Assumptions Right Percentage 3 2 10" xfId="9192"/>
    <cellStyle name="Assumptions Right Percentage 3 2 2" xfId="2437"/>
    <cellStyle name="Assumptions Right Percentage 3 2 2 2" xfId="2571"/>
    <cellStyle name="Assumptions Right Percentage 3 2 2 2 2" xfId="4871"/>
    <cellStyle name="Assumptions Right Percentage 3 2 2 2 2 2" xfId="6776"/>
    <cellStyle name="Assumptions Right Percentage 3 2 2 2 3" xfId="6305"/>
    <cellStyle name="Assumptions Right Percentage 3 2 2 3" xfId="4846"/>
    <cellStyle name="Assumptions Right Percentage 3 2 2 3 2" xfId="9018"/>
    <cellStyle name="Assumptions Right Percentage 3 2 2 4" xfId="7406"/>
    <cellStyle name="Assumptions Right Percentage 3 2 3" xfId="2216"/>
    <cellStyle name="Assumptions Right Percentage 3 2 3 2" xfId="2979"/>
    <cellStyle name="Assumptions Right Percentage 3 2 3 2 2" xfId="3812"/>
    <cellStyle name="Assumptions Right Percentage 3 2 3 2 2 2" xfId="9502"/>
    <cellStyle name="Assumptions Right Percentage 3 2 3 2 3" xfId="9341"/>
    <cellStyle name="Assumptions Right Percentage 3 2 3 3" xfId="4591"/>
    <cellStyle name="Assumptions Right Percentage 3 2 3 3 2" xfId="9118"/>
    <cellStyle name="Assumptions Right Percentage 3 2 3 4" xfId="5622"/>
    <cellStyle name="Assumptions Right Percentage 3 2 3 4 2" xfId="7482"/>
    <cellStyle name="Assumptions Right Percentage 3 2 3 5" xfId="7150"/>
    <cellStyle name="Assumptions Right Percentage 3 2 4" xfId="2132"/>
    <cellStyle name="Assumptions Right Percentage 3 2 4 2" xfId="4702"/>
    <cellStyle name="Assumptions Right Percentage 3 2 4 2 2" xfId="7565"/>
    <cellStyle name="Assumptions Right Percentage 3 2 4 3" xfId="5589"/>
    <cellStyle name="Assumptions Right Percentage 3 2 4 3 2" xfId="8190"/>
    <cellStyle name="Assumptions Right Percentage 3 2 4 4" xfId="6980"/>
    <cellStyle name="Assumptions Right Percentage 3 2 5" xfId="2793"/>
    <cellStyle name="Assumptions Right Percentage 3 2 5 2" xfId="3921"/>
    <cellStyle name="Assumptions Right Percentage 3 2 5 2 2" xfId="9658"/>
    <cellStyle name="Assumptions Right Percentage 3 2 5 3" xfId="5727"/>
    <cellStyle name="Assumptions Right Percentage 3 2 5 3 2" xfId="6948"/>
    <cellStyle name="Assumptions Right Percentage 3 2 5 4" xfId="6382"/>
    <cellStyle name="Assumptions Right Percentage 3 2 6" xfId="2823"/>
    <cellStyle name="Assumptions Right Percentage 3 2 6 2" xfId="4165"/>
    <cellStyle name="Assumptions Right Percentage 3 2 6 2 2" xfId="7718"/>
    <cellStyle name="Assumptions Right Percentage 3 2 6 3" xfId="5757"/>
    <cellStyle name="Assumptions Right Percentage 3 2 6 3 2" xfId="7551"/>
    <cellStyle name="Assumptions Right Percentage 3 2 6 4" xfId="6932"/>
    <cellStyle name="Assumptions Right Percentage 3 2 7" xfId="3220"/>
    <cellStyle name="Assumptions Right Percentage 3 2 7 2" xfId="4316"/>
    <cellStyle name="Assumptions Right Percentage 3 2 7 2 2" xfId="9699"/>
    <cellStyle name="Assumptions Right Percentage 3 2 7 3" xfId="6103"/>
    <cellStyle name="Assumptions Right Percentage 3 2 7 3 2" xfId="9997"/>
    <cellStyle name="Assumptions Right Percentage 3 2 7 4" xfId="7929"/>
    <cellStyle name="Assumptions Right Percentage 3 2 8" xfId="3436"/>
    <cellStyle name="Assumptions Right Percentage 3 2 8 2" xfId="5007"/>
    <cellStyle name="Assumptions Right Percentage 3 2 8 2 2" xfId="8669"/>
    <cellStyle name="Assumptions Right Percentage 3 2 8 3" xfId="9152"/>
    <cellStyle name="Assumptions Right Percentage 3 2 9" xfId="3994"/>
    <cellStyle name="Assumptions Right Percentage 3 2 9 2" xfId="6421"/>
    <cellStyle name="Assumptions Right Percentage 3 3" xfId="2295"/>
    <cellStyle name="Assumptions Right Percentage 3 3 2" xfId="2691"/>
    <cellStyle name="Assumptions Right Percentage 3 3 2 2" xfId="4236"/>
    <cellStyle name="Assumptions Right Percentage 3 3 2 2 2" xfId="9598"/>
    <cellStyle name="Assumptions Right Percentage 3 3 2 3" xfId="6968"/>
    <cellStyle name="Assumptions Right Percentage 3 3 3" xfId="4493"/>
    <cellStyle name="Assumptions Right Percentage 3 3 3 2" xfId="9421"/>
    <cellStyle name="Assumptions Right Percentage 3 3 4" xfId="5120"/>
    <cellStyle name="Assumptions Right Percentage 3 3 4 2" xfId="9557"/>
    <cellStyle name="Assumptions Right Percentage 3 3 5" xfId="5521"/>
    <cellStyle name="Assumptions Right Percentage 3 3 5 2" xfId="7790"/>
    <cellStyle name="Assumptions Right Percentage 3 3 6" xfId="8169"/>
    <cellStyle name="Assumptions Right Percentage 3 4" xfId="2257"/>
    <cellStyle name="Assumptions Right Percentage 3 4 2" xfId="4741"/>
    <cellStyle name="Assumptions Right Percentage 3 4 2 2" xfId="9072"/>
    <cellStyle name="Assumptions Right Percentage 3 4 3" xfId="5549"/>
    <cellStyle name="Assumptions Right Percentage 3 4 3 2" xfId="7651"/>
    <cellStyle name="Assumptions Right Percentage 3 4 4" xfId="7245"/>
    <cellStyle name="Assumptions Right Percentage 3 5" xfId="2945"/>
    <cellStyle name="Assumptions Right Percentage 3 5 2" xfId="4220"/>
    <cellStyle name="Assumptions Right Percentage 3 5 2 2" xfId="8445"/>
    <cellStyle name="Assumptions Right Percentage 3 5 3" xfId="5865"/>
    <cellStyle name="Assumptions Right Percentage 3 5 3 2" xfId="7691"/>
    <cellStyle name="Assumptions Right Percentage 3 5 4" xfId="7258"/>
    <cellStyle name="Assumptions Right Percentage 3 6" xfId="3163"/>
    <cellStyle name="Assumptions Right Percentage 3 6 2" xfId="3575"/>
    <cellStyle name="Assumptions Right Percentage 3 6 2 2" xfId="6830"/>
    <cellStyle name="Assumptions Right Percentage 3 6 3" xfId="6055"/>
    <cellStyle name="Assumptions Right Percentage 3 6 3 2" xfId="9949"/>
    <cellStyle name="Assumptions Right Percentage 3 6 4" xfId="6801"/>
    <cellStyle name="Assumptions Right Percentage 3 7" xfId="3179"/>
    <cellStyle name="Assumptions Right Percentage 3 7 2" xfId="3708"/>
    <cellStyle name="Assumptions Right Percentage 3 7 2 2" xfId="8539"/>
    <cellStyle name="Assumptions Right Percentage 3 7 3" xfId="6070"/>
    <cellStyle name="Assumptions Right Percentage 3 7 3 2" xfId="9964"/>
    <cellStyle name="Assumptions Right Percentage 3 7 4" xfId="9309"/>
    <cellStyle name="Assumptions Right Percentage 3 8" xfId="3103"/>
    <cellStyle name="Assumptions Right Percentage 3 8 2" xfId="3748"/>
    <cellStyle name="Assumptions Right Percentage 3 8 2 2" xfId="7532"/>
    <cellStyle name="Assumptions Right Percentage 3 8 3" xfId="6000"/>
    <cellStyle name="Assumptions Right Percentage 3 8 3 2" xfId="9894"/>
    <cellStyle name="Assumptions Right Percentage 3 8 4" xfId="8534"/>
    <cellStyle name="Assumptions Right Percentage 3 9" xfId="2829"/>
    <cellStyle name="Assumptions Right Percentage 3 9 2" xfId="4163"/>
    <cellStyle name="Assumptions Right Percentage 3 9 2 2" xfId="9694"/>
    <cellStyle name="Assumptions Right Percentage 3 9 3" xfId="5762"/>
    <cellStyle name="Assumptions Right Percentage 3 9 3 2" xfId="7704"/>
    <cellStyle name="Assumptions Right Percentage 3 9 4" xfId="7309"/>
    <cellStyle name="Assumptions Right Percentage 4" xfId="2237"/>
    <cellStyle name="Assumptions Right Percentage 4 2" xfId="2661"/>
    <cellStyle name="Assumptions Right Percentage 4 2 2" xfId="4795"/>
    <cellStyle name="Assumptions Right Percentage 4 2 2 2" xfId="7516"/>
    <cellStyle name="Assumptions Right Percentage 4 2 3" xfId="8316"/>
    <cellStyle name="Assumptions Right Percentage 4 3" xfId="4800"/>
    <cellStyle name="Assumptions Right Percentage 4 3 2" xfId="6327"/>
    <cellStyle name="Assumptions Right Percentage 4 4" xfId="5117"/>
    <cellStyle name="Assumptions Right Percentage 4 4 2" xfId="9608"/>
    <cellStyle name="Assumptions Right Percentage 4 5" xfId="5492"/>
    <cellStyle name="Assumptions Right Percentage 4 5 2" xfId="8090"/>
    <cellStyle name="Assumptions Right Percentage 4 6" xfId="9276"/>
    <cellStyle name="Assumptions Right Percentage 5" xfId="2113"/>
    <cellStyle name="Assumptions Right Percentage 5 2" xfId="4711"/>
    <cellStyle name="Assumptions Right Percentage 5 2 2" xfId="7943"/>
    <cellStyle name="Assumptions Right Percentage 5 3" xfId="5439"/>
    <cellStyle name="Assumptions Right Percentage 5 3 2" xfId="6539"/>
    <cellStyle name="Assumptions Right Percentage 5 4" xfId="7946"/>
    <cellStyle name="Assumptions Right Percentage 6" xfId="3037"/>
    <cellStyle name="Assumptions Right Percentage 6 2" xfId="3782"/>
    <cellStyle name="Assumptions Right Percentage 6 2 2" xfId="7201"/>
    <cellStyle name="Assumptions Right Percentage 6 3" xfId="5938"/>
    <cellStyle name="Assumptions Right Percentage 6 3 2" xfId="9832"/>
    <cellStyle name="Assumptions Right Percentage 6 4" xfId="7515"/>
    <cellStyle name="Assumptions Right Percentage 7" xfId="2819"/>
    <cellStyle name="Assumptions Right Percentage 7 2" xfId="3902"/>
    <cellStyle name="Assumptions Right Percentage 7 2 2" xfId="7234"/>
    <cellStyle name="Assumptions Right Percentage 7 3" xfId="5753"/>
    <cellStyle name="Assumptions Right Percentage 7 3 2" xfId="8046"/>
    <cellStyle name="Assumptions Right Percentage 7 4" xfId="7446"/>
    <cellStyle name="Assumptions Right Percentage 8" xfId="3034"/>
    <cellStyle name="Assumptions Right Percentage 8 2" xfId="3785"/>
    <cellStyle name="Assumptions Right Percentage 8 2 2" xfId="8126"/>
    <cellStyle name="Assumptions Right Percentage 8 3" xfId="5935"/>
    <cellStyle name="Assumptions Right Percentage 8 3 2" xfId="9829"/>
    <cellStyle name="Assumptions Right Percentage 8 4" xfId="8279"/>
    <cellStyle name="Assumptions Right Percentage 9" xfId="2832"/>
    <cellStyle name="Assumptions Right Percentage 9 2" xfId="4229"/>
    <cellStyle name="Assumptions Right Percentage 9 2 2" xfId="8519"/>
    <cellStyle name="Assumptions Right Percentage 9 3" xfId="5765"/>
    <cellStyle name="Assumptions Right Percentage 9 3 2" xfId="7653"/>
    <cellStyle name="Assumptions Right Percentage 9 4" xfId="6784"/>
    <cellStyle name="Assumptions Right Year" xfId="971"/>
    <cellStyle name="Assumptions Right Year 10" xfId="2968"/>
    <cellStyle name="Assumptions Right Year 10 2" xfId="3820"/>
    <cellStyle name="Assumptions Right Year 10 2 2" xfId="7664"/>
    <cellStyle name="Assumptions Right Year 10 3" xfId="5885"/>
    <cellStyle name="Assumptions Right Year 10 3 2" xfId="9779"/>
    <cellStyle name="Assumptions Right Year 10 4" xfId="7643"/>
    <cellStyle name="Assumptions Right Year 11" xfId="3407"/>
    <cellStyle name="Assumptions Right Year 11 2" xfId="4981"/>
    <cellStyle name="Assumptions Right Year 11 2 2" xfId="6381"/>
    <cellStyle name="Assumptions Right Year 11 3" xfId="7900"/>
    <cellStyle name="Assumptions Right Year 12" xfId="4001"/>
    <cellStyle name="Assumptions Right Year 12 2" xfId="9570"/>
    <cellStyle name="Assumptions Right Year 13" xfId="8356"/>
    <cellStyle name="Assumptions Right Year 2" xfId="972"/>
    <cellStyle name="Assumptions Right Year 2 10" xfId="3408"/>
    <cellStyle name="Assumptions Right Year 2 10 2" xfId="4982"/>
    <cellStyle name="Assumptions Right Year 2 10 2 2" xfId="9640"/>
    <cellStyle name="Assumptions Right Year 2 10 3" xfId="9631"/>
    <cellStyle name="Assumptions Right Year 2 11" xfId="4000"/>
    <cellStyle name="Assumptions Right Year 2 11 2" xfId="6533"/>
    <cellStyle name="Assumptions Right Year 2 12" xfId="6613"/>
    <cellStyle name="Assumptions Right Year 2 2" xfId="1733"/>
    <cellStyle name="Assumptions Right Year 2 2 10" xfId="3476"/>
    <cellStyle name="Assumptions Right Year 2 2 10 2" xfId="5046"/>
    <cellStyle name="Assumptions Right Year 2 2 10 2 2" xfId="9514"/>
    <cellStyle name="Assumptions Right Year 2 2 10 3" xfId="8710"/>
    <cellStyle name="Assumptions Right Year 2 2 11" xfId="3624"/>
    <cellStyle name="Assumptions Right Year 2 2 11 2" xfId="9474"/>
    <cellStyle name="Assumptions Right Year 2 2 12" xfId="8312"/>
    <cellStyle name="Assumptions Right Year 2 2 2" xfId="1602"/>
    <cellStyle name="Assumptions Right Year 2 2 2 10" xfId="6241"/>
    <cellStyle name="Assumptions Right Year 2 2 2 2" xfId="2442"/>
    <cellStyle name="Assumptions Right Year 2 2 2 2 2" xfId="2576"/>
    <cellStyle name="Assumptions Right Year 2 2 2 2 2 2" xfId="4714"/>
    <cellStyle name="Assumptions Right Year 2 2 2 2 2 2 2" xfId="6404"/>
    <cellStyle name="Assumptions Right Year 2 2 2 2 2 3" xfId="7193"/>
    <cellStyle name="Assumptions Right Year 2 2 2 2 3" xfId="4421"/>
    <cellStyle name="Assumptions Right Year 2 2 2 2 3 2" xfId="9059"/>
    <cellStyle name="Assumptions Right Year 2 2 2 2 4" xfId="7660"/>
    <cellStyle name="Assumptions Right Year 2 2 2 3" xfId="2213"/>
    <cellStyle name="Assumptions Right Year 2 2 2 3 2" xfId="2974"/>
    <cellStyle name="Assumptions Right Year 2 2 2 3 2 2" xfId="3591"/>
    <cellStyle name="Assumptions Right Year 2 2 2 3 2 2 2" xfId="9642"/>
    <cellStyle name="Assumptions Right Year 2 2 2 3 2 3" xfId="8123"/>
    <cellStyle name="Assumptions Right Year 2 2 2 3 3" xfId="4410"/>
    <cellStyle name="Assumptions Right Year 2 2 2 3 3 2" xfId="9577"/>
    <cellStyle name="Assumptions Right Year 2 2 2 3 4" xfId="5619"/>
    <cellStyle name="Assumptions Right Year 2 2 2 3 4 2" xfId="7527"/>
    <cellStyle name="Assumptions Right Year 2 2 2 3 5" xfId="9209"/>
    <cellStyle name="Assumptions Right Year 2 2 2 4" xfId="2304"/>
    <cellStyle name="Assumptions Right Year 2 2 2 4 2" xfId="4878"/>
    <cellStyle name="Assumptions Right Year 2 2 2 4 2 2" xfId="9371"/>
    <cellStyle name="Assumptions Right Year 2 2 2 4 3" xfId="5652"/>
    <cellStyle name="Assumptions Right Year 2 2 2 4 3 2" xfId="8186"/>
    <cellStyle name="Assumptions Right Year 2 2 2 4 4" xfId="6916"/>
    <cellStyle name="Assumptions Right Year 2 2 2 5" xfId="2992"/>
    <cellStyle name="Assumptions Right Year 2 2 2 5 2" xfId="4146"/>
    <cellStyle name="Assumptions Right Year 2 2 2 5 2 2" xfId="9340"/>
    <cellStyle name="Assumptions Right Year 2 2 2 5 3" xfId="5895"/>
    <cellStyle name="Assumptions Right Year 2 2 2 5 3 2" xfId="9789"/>
    <cellStyle name="Assumptions Right Year 2 2 2 5 4" xfId="8579"/>
    <cellStyle name="Assumptions Right Year 2 2 2 6" xfId="3085"/>
    <cellStyle name="Assumptions Right Year 2 2 2 6 2" xfId="3758"/>
    <cellStyle name="Assumptions Right Year 2 2 2 6 2 2" xfId="7367"/>
    <cellStyle name="Assumptions Right Year 2 2 2 6 3" xfId="5982"/>
    <cellStyle name="Assumptions Right Year 2 2 2 6 3 2" xfId="9876"/>
    <cellStyle name="Assumptions Right Year 2 2 2 6 4" xfId="9217"/>
    <cellStyle name="Assumptions Right Year 2 2 2 7" xfId="3189"/>
    <cellStyle name="Assumptions Right Year 2 2 2 7 2" xfId="4126"/>
    <cellStyle name="Assumptions Right Year 2 2 2 7 2 2" xfId="7380"/>
    <cellStyle name="Assumptions Right Year 2 2 2 7 3" xfId="6079"/>
    <cellStyle name="Assumptions Right Year 2 2 2 7 3 2" xfId="9973"/>
    <cellStyle name="Assumptions Right Year 2 2 2 7 4" xfId="8016"/>
    <cellStyle name="Assumptions Right Year 2 2 2 8" xfId="3441"/>
    <cellStyle name="Assumptions Right Year 2 2 2 8 2" xfId="5012"/>
    <cellStyle name="Assumptions Right Year 2 2 2 8 2 2" xfId="9588"/>
    <cellStyle name="Assumptions Right Year 2 2 2 8 3" xfId="6703"/>
    <cellStyle name="Assumptions Right Year 2 2 2 9" xfId="4243"/>
    <cellStyle name="Assumptions Right Year 2 2 2 9 2" xfId="8226"/>
    <cellStyle name="Assumptions Right Year 2 2 3" xfId="2298"/>
    <cellStyle name="Assumptions Right Year 2 2 3 2" xfId="2694"/>
    <cellStyle name="Assumptions Right Year 2 2 3 2 2" xfId="3959"/>
    <cellStyle name="Assumptions Right Year 2 2 3 2 2 2" xfId="6277"/>
    <cellStyle name="Assumptions Right Year 2 2 3 2 3" xfId="6659"/>
    <cellStyle name="Assumptions Right Year 2 2 3 3" xfId="4675"/>
    <cellStyle name="Assumptions Right Year 2 2 3 3 2" xfId="8375"/>
    <cellStyle name="Assumptions Right Year 2 2 3 4" xfId="5123"/>
    <cellStyle name="Assumptions Right Year 2 2 3 4 2" xfId="9717"/>
    <cellStyle name="Assumptions Right Year 2 2 3 5" xfId="5524"/>
    <cellStyle name="Assumptions Right Year 2 2 3 5 2" xfId="8471"/>
    <cellStyle name="Assumptions Right Year 2 2 3 6" xfId="8388"/>
    <cellStyle name="Assumptions Right Year 2 2 4" xfId="2258"/>
    <cellStyle name="Assumptions Right Year 2 2 4 2" xfId="4469"/>
    <cellStyle name="Assumptions Right Year 2 2 4 2 2" xfId="9366"/>
    <cellStyle name="Assumptions Right Year 2 2 4 3" xfId="5552"/>
    <cellStyle name="Assumptions Right Year 2 2 4 3 2" xfId="7666"/>
    <cellStyle name="Assumptions Right Year 2 2 4 4" xfId="9293"/>
    <cellStyle name="Assumptions Right Year 2 2 5" xfId="2943"/>
    <cellStyle name="Assumptions Right Year 2 2 5 2" xfId="3839"/>
    <cellStyle name="Assumptions Right Year 2 2 5 2 2" xfId="9665"/>
    <cellStyle name="Assumptions Right Year 2 2 5 3" xfId="5863"/>
    <cellStyle name="Assumptions Right Year 2 2 5 3 2" xfId="7533"/>
    <cellStyle name="Assumptions Right Year 2 2 5 4" xfId="7724"/>
    <cellStyle name="Assumptions Right Year 2 2 6" xfId="2969"/>
    <cellStyle name="Assumptions Right Year 2 2 6 2" xfId="3819"/>
    <cellStyle name="Assumptions Right Year 2 2 6 2 2" xfId="9011"/>
    <cellStyle name="Assumptions Right Year 2 2 6 3" xfId="5886"/>
    <cellStyle name="Assumptions Right Year 2 2 6 3 2" xfId="9780"/>
    <cellStyle name="Assumptions Right Year 2 2 6 4" xfId="7509"/>
    <cellStyle name="Assumptions Right Year 2 2 7" xfId="3022"/>
    <cellStyle name="Assumptions Right Year 2 2 7 2" xfId="3794"/>
    <cellStyle name="Assumptions Right Year 2 2 7 2 2" xfId="8863"/>
    <cellStyle name="Assumptions Right Year 2 2 7 3" xfId="5924"/>
    <cellStyle name="Assumptions Right Year 2 2 7 3 2" xfId="9818"/>
    <cellStyle name="Assumptions Right Year 2 2 7 4" xfId="8150"/>
    <cellStyle name="Assumptions Right Year 2 2 8" xfId="3295"/>
    <cellStyle name="Assumptions Right Year 2 2 8 2" xfId="3674"/>
    <cellStyle name="Assumptions Right Year 2 2 8 2 2" xfId="9624"/>
    <cellStyle name="Assumptions Right Year 2 2 8 3" xfId="6164"/>
    <cellStyle name="Assumptions Right Year 2 2 8 3 2" xfId="10058"/>
    <cellStyle name="Assumptions Right Year 2 2 8 4" xfId="9391"/>
    <cellStyle name="Assumptions Right Year 2 2 9" xfId="3347"/>
    <cellStyle name="Assumptions Right Year 2 2 9 2" xfId="4938"/>
    <cellStyle name="Assumptions Right Year 2 2 9 2 2" xfId="9441"/>
    <cellStyle name="Assumptions Right Year 2 2 9 3" xfId="6214"/>
    <cellStyle name="Assumptions Right Year 2 2 9 3 2" xfId="10108"/>
    <cellStyle name="Assumptions Right Year 2 2 9 4" xfId="6967"/>
    <cellStyle name="Assumptions Right Year 2 3" xfId="2236"/>
    <cellStyle name="Assumptions Right Year 2 3 2" xfId="2664"/>
    <cellStyle name="Assumptions Right Year 2 3 2 2" xfId="4695"/>
    <cellStyle name="Assumptions Right Year 2 3 2 2 2" xfId="6602"/>
    <cellStyle name="Assumptions Right Year 2 3 2 3" xfId="7008"/>
    <cellStyle name="Assumptions Right Year 2 3 3" xfId="4693"/>
    <cellStyle name="Assumptions Right Year 2 3 3 2" xfId="8608"/>
    <cellStyle name="Assumptions Right Year 2 3 4" xfId="5281"/>
    <cellStyle name="Assumptions Right Year 2 3 4 2" xfId="8390"/>
    <cellStyle name="Assumptions Right Year 2 3 5" xfId="5495"/>
    <cellStyle name="Assumptions Right Year 2 3 5 2" xfId="7383"/>
    <cellStyle name="Assumptions Right Year 2 3 6" xfId="7858"/>
    <cellStyle name="Assumptions Right Year 2 4" xfId="2280"/>
    <cellStyle name="Assumptions Right Year 2 4 2" xfId="4106"/>
    <cellStyle name="Assumptions Right Year 2 4 2 2" xfId="7286"/>
    <cellStyle name="Assumptions Right Year 2 4 3" xfId="5436"/>
    <cellStyle name="Assumptions Right Year 2 4 3 2" xfId="6340"/>
    <cellStyle name="Assumptions Right Year 2 4 4" xfId="7277"/>
    <cellStyle name="Assumptions Right Year 2 5" xfId="2844"/>
    <cellStyle name="Assumptions Right Year 2 5 2" xfId="4267"/>
    <cellStyle name="Assumptions Right Year 2 5 2 2" xfId="6694"/>
    <cellStyle name="Assumptions Right Year 2 5 3" xfId="5776"/>
    <cellStyle name="Assumptions Right Year 2 5 3 2" xfId="8175"/>
    <cellStyle name="Assumptions Right Year 2 5 4" xfId="7334"/>
    <cellStyle name="Assumptions Right Year 2 6" xfId="2822"/>
    <cellStyle name="Assumptions Right Year 2 6 2" xfId="3901"/>
    <cellStyle name="Assumptions Right Year 2 6 2 2" xfId="8554"/>
    <cellStyle name="Assumptions Right Year 2 6 3" xfId="5756"/>
    <cellStyle name="Assumptions Right Year 2 6 3 2" xfId="7633"/>
    <cellStyle name="Assumptions Right Year 2 6 4" xfId="9047"/>
    <cellStyle name="Assumptions Right Year 2 7" xfId="3125"/>
    <cellStyle name="Assumptions Right Year 2 7 2" xfId="3730"/>
    <cellStyle name="Assumptions Right Year 2 7 2 2" xfId="6405"/>
    <cellStyle name="Assumptions Right Year 2 7 3" xfId="6021"/>
    <cellStyle name="Assumptions Right Year 2 7 3 2" xfId="9915"/>
    <cellStyle name="Assumptions Right Year 2 7 4" xfId="8211"/>
    <cellStyle name="Assumptions Right Year 2 8" xfId="3177"/>
    <cellStyle name="Assumptions Right Year 2 8 2" xfId="4127"/>
    <cellStyle name="Assumptions Right Year 2 8 2 2" xfId="9729"/>
    <cellStyle name="Assumptions Right Year 2 8 3" xfId="6069"/>
    <cellStyle name="Assumptions Right Year 2 8 3 2" xfId="9963"/>
    <cellStyle name="Assumptions Right Year 2 8 4" xfId="9297"/>
    <cellStyle name="Assumptions Right Year 2 9" xfId="3087"/>
    <cellStyle name="Assumptions Right Year 2 9 2" xfId="4044"/>
    <cellStyle name="Assumptions Right Year 2 9 2 2" xfId="7256"/>
    <cellStyle name="Assumptions Right Year 2 9 3" xfId="5984"/>
    <cellStyle name="Assumptions Right Year 2 9 3 2" xfId="9878"/>
    <cellStyle name="Assumptions Right Year 2 9 4" xfId="9271"/>
    <cellStyle name="Assumptions Right Year 3" xfId="1732"/>
    <cellStyle name="Assumptions Right Year 3 10" xfId="3475"/>
    <cellStyle name="Assumptions Right Year 3 10 2" xfId="5045"/>
    <cellStyle name="Assumptions Right Year 3 10 2 2" xfId="8276"/>
    <cellStyle name="Assumptions Right Year 3 10 3" xfId="9568"/>
    <cellStyle name="Assumptions Right Year 3 11" xfId="3625"/>
    <cellStyle name="Assumptions Right Year 3 11 2" xfId="8587"/>
    <cellStyle name="Assumptions Right Year 3 12" xfId="7725"/>
    <cellStyle name="Assumptions Right Year 3 2" xfId="1576"/>
    <cellStyle name="Assumptions Right Year 3 2 10" xfId="8373"/>
    <cellStyle name="Assumptions Right Year 3 2 2" xfId="2429"/>
    <cellStyle name="Assumptions Right Year 3 2 2 2" xfId="2563"/>
    <cellStyle name="Assumptions Right Year 3 2 2 2 2" xfId="4658"/>
    <cellStyle name="Assumptions Right Year 3 2 2 2 2 2" xfId="9398"/>
    <cellStyle name="Assumptions Right Year 3 2 2 2 3" xfId="7892"/>
    <cellStyle name="Assumptions Right Year 3 2 2 3" xfId="4426"/>
    <cellStyle name="Assumptions Right Year 3 2 2 3 2" xfId="9167"/>
    <cellStyle name="Assumptions Right Year 3 2 2 4" xfId="6898"/>
    <cellStyle name="Assumptions Right Year 3 2 3" xfId="2222"/>
    <cellStyle name="Assumptions Right Year 3 2 3 2" xfId="3219"/>
    <cellStyle name="Assumptions Right Year 3 2 3 2 2" xfId="3696"/>
    <cellStyle name="Assumptions Right Year 3 2 3 2 2 2" xfId="8653"/>
    <cellStyle name="Assumptions Right Year 3 2 3 2 3" xfId="6556"/>
    <cellStyle name="Assumptions Right Year 3 2 3 3" xfId="3976"/>
    <cellStyle name="Assumptions Right Year 3 2 3 3 2" xfId="6640"/>
    <cellStyle name="Assumptions Right Year 3 2 3 4" xfId="5628"/>
    <cellStyle name="Assumptions Right Year 3 2 3 4 2" xfId="7394"/>
    <cellStyle name="Assumptions Right Year 3 2 3 5" xfId="7247"/>
    <cellStyle name="Assumptions Right Year 3 2 4" xfId="2130"/>
    <cellStyle name="Assumptions Right Year 3 2 4 2" xfId="4808"/>
    <cellStyle name="Assumptions Right Year 3 2 4 2 2" xfId="9599"/>
    <cellStyle name="Assumptions Right Year 3 2 4 3" xfId="5587"/>
    <cellStyle name="Assumptions Right Year 3 2 4 3 2" xfId="6436"/>
    <cellStyle name="Assumptions Right Year 3 2 4 4" xfId="7021"/>
    <cellStyle name="Assumptions Right Year 3 2 5" xfId="2876"/>
    <cellStyle name="Assumptions Right Year 3 2 5 2" xfId="3874"/>
    <cellStyle name="Assumptions Right Year 3 2 5 2 2" xfId="6254"/>
    <cellStyle name="Assumptions Right Year 3 2 5 3" xfId="5807"/>
    <cellStyle name="Assumptions Right Year 3 2 5 3 2" xfId="6244"/>
    <cellStyle name="Assumptions Right Year 3 2 5 4" xfId="7222"/>
    <cellStyle name="Assumptions Right Year 3 2 6" xfId="2868"/>
    <cellStyle name="Assumptions Right Year 3 2 6 2" xfId="3882"/>
    <cellStyle name="Assumptions Right Year 3 2 6 2 2" xfId="7576"/>
    <cellStyle name="Assumptions Right Year 3 2 6 3" xfId="5799"/>
    <cellStyle name="Assumptions Right Year 3 2 6 3 2" xfId="6513"/>
    <cellStyle name="Assumptions Right Year 3 2 6 4" xfId="9590"/>
    <cellStyle name="Assumptions Right Year 3 2 7" xfId="2885"/>
    <cellStyle name="Assumptions Right Year 3 2 7 2" xfId="3867"/>
    <cellStyle name="Assumptions Right Year 3 2 7 2 2" xfId="8848"/>
    <cellStyle name="Assumptions Right Year 3 2 7 3" xfId="5816"/>
    <cellStyle name="Assumptions Right Year 3 2 7 3 2" xfId="6601"/>
    <cellStyle name="Assumptions Right Year 3 2 7 4" xfId="7683"/>
    <cellStyle name="Assumptions Right Year 3 2 8" xfId="3429"/>
    <cellStyle name="Assumptions Right Year 3 2 8 2" xfId="5000"/>
    <cellStyle name="Assumptions Right Year 3 2 8 2 2" xfId="8585"/>
    <cellStyle name="Assumptions Right Year 3 2 8 3" xfId="6243"/>
    <cellStyle name="Assumptions Right Year 3 2 9" xfId="4685"/>
    <cellStyle name="Assumptions Right Year 3 2 9 2" xfId="8975"/>
    <cellStyle name="Assumptions Right Year 3 3" xfId="2318"/>
    <cellStyle name="Assumptions Right Year 3 3 2" xfId="2693"/>
    <cellStyle name="Assumptions Right Year 3 3 2 2" xfId="3609"/>
    <cellStyle name="Assumptions Right Year 3 3 2 2 2" xfId="8583"/>
    <cellStyle name="Assumptions Right Year 3 3 2 3" xfId="7186"/>
    <cellStyle name="Assumptions Right Year 3 3 3" xfId="4767"/>
    <cellStyle name="Assumptions Right Year 3 3 3 2" xfId="7368"/>
    <cellStyle name="Assumptions Right Year 3 3 4" xfId="5181"/>
    <cellStyle name="Assumptions Right Year 3 3 4 2" xfId="8693"/>
    <cellStyle name="Assumptions Right Year 3 3 5" xfId="5523"/>
    <cellStyle name="Assumptions Right Year 3 3 5 2" xfId="7030"/>
    <cellStyle name="Assumptions Right Year 3 3 6" xfId="6307"/>
    <cellStyle name="Assumptions Right Year 3 4" xfId="2326"/>
    <cellStyle name="Assumptions Right Year 3 4 2" xfId="4727"/>
    <cellStyle name="Assumptions Right Year 3 4 2 2" xfId="8421"/>
    <cellStyle name="Assumptions Right Year 3 4 3" xfId="5551"/>
    <cellStyle name="Assumptions Right Year 3 4 3 2" xfId="8477"/>
    <cellStyle name="Assumptions Right Year 3 4 4" xfId="6972"/>
    <cellStyle name="Assumptions Right Year 3 5" xfId="2944"/>
    <cellStyle name="Assumptions Right Year 3 5 2" xfId="3838"/>
    <cellStyle name="Assumptions Right Year 3 5 2 2" xfId="8389"/>
    <cellStyle name="Assumptions Right Year 3 5 3" xfId="5864"/>
    <cellStyle name="Assumptions Right Year 3 5 3 2" xfId="6829"/>
    <cellStyle name="Assumptions Right Year 3 5 4" xfId="7637"/>
    <cellStyle name="Assumptions Right Year 3 6" xfId="3208"/>
    <cellStyle name="Assumptions Right Year 3 6 2" xfId="4258"/>
    <cellStyle name="Assumptions Right Year 3 6 2 2" xfId="7445"/>
    <cellStyle name="Assumptions Right Year 3 6 3" xfId="6096"/>
    <cellStyle name="Assumptions Right Year 3 6 3 2" xfId="9990"/>
    <cellStyle name="Assumptions Right Year 3 6 4" xfId="8249"/>
    <cellStyle name="Assumptions Right Year 3 7" xfId="3234"/>
    <cellStyle name="Assumptions Right Year 3 7 2" xfId="4314"/>
    <cellStyle name="Assumptions Right Year 3 7 2 2" xfId="8568"/>
    <cellStyle name="Assumptions Right Year 3 7 3" xfId="6116"/>
    <cellStyle name="Assumptions Right Year 3 7 3 2" xfId="10010"/>
    <cellStyle name="Assumptions Right Year 3 7 4" xfId="7059"/>
    <cellStyle name="Assumptions Right Year 3 8" xfId="2777"/>
    <cellStyle name="Assumptions Right Year 3 8 2" xfId="3935"/>
    <cellStyle name="Assumptions Right Year 3 8 2 2" xfId="8512"/>
    <cellStyle name="Assumptions Right Year 3 8 3" xfId="5714"/>
    <cellStyle name="Assumptions Right Year 3 8 3 2" xfId="6730"/>
    <cellStyle name="Assumptions Right Year 3 8 4" xfId="7542"/>
    <cellStyle name="Assumptions Right Year 3 9" xfId="3147"/>
    <cellStyle name="Assumptions Right Year 3 9 2" xfId="4074"/>
    <cellStyle name="Assumptions Right Year 3 9 2 2" xfId="9758"/>
    <cellStyle name="Assumptions Right Year 3 9 3" xfId="6041"/>
    <cellStyle name="Assumptions Right Year 3 9 3 2" xfId="9935"/>
    <cellStyle name="Assumptions Right Year 3 9 4" xfId="6512"/>
    <cellStyle name="Assumptions Right Year 4" xfId="2157"/>
    <cellStyle name="Assumptions Right Year 4 2" xfId="2663"/>
    <cellStyle name="Assumptions Right Year 4 2 2" xfId="4415"/>
    <cellStyle name="Assumptions Right Year 4 2 2 2" xfId="7391"/>
    <cellStyle name="Assumptions Right Year 4 2 3" xfId="8139"/>
    <cellStyle name="Assumptions Right Year 4 3" xfId="4300"/>
    <cellStyle name="Assumptions Right Year 4 3 2" xfId="7135"/>
    <cellStyle name="Assumptions Right Year 4 4" xfId="5194"/>
    <cellStyle name="Assumptions Right Year 4 4 2" xfId="8613"/>
    <cellStyle name="Assumptions Right Year 4 5" xfId="5494"/>
    <cellStyle name="Assumptions Right Year 4 5 2" xfId="7610"/>
    <cellStyle name="Assumptions Right Year 4 6" xfId="8223"/>
    <cellStyle name="Assumptions Right Year 5" xfId="2115"/>
    <cellStyle name="Assumptions Right Year 5 2" xfId="4592"/>
    <cellStyle name="Assumptions Right Year 5 2 2" xfId="7130"/>
    <cellStyle name="Assumptions Right Year 5 3" xfId="5437"/>
    <cellStyle name="Assumptions Right Year 5 3 2" xfId="7071"/>
    <cellStyle name="Assumptions Right Year 5 4" xfId="8060"/>
    <cellStyle name="Assumptions Right Year 6" xfId="3035"/>
    <cellStyle name="Assumptions Right Year 6 2" xfId="3784"/>
    <cellStyle name="Assumptions Right Year 6 2 2" xfId="6697"/>
    <cellStyle name="Assumptions Right Year 6 3" xfId="5936"/>
    <cellStyle name="Assumptions Right Year 6 3 2" xfId="9830"/>
    <cellStyle name="Assumptions Right Year 6 4" xfId="6669"/>
    <cellStyle name="Assumptions Right Year 7" xfId="2821"/>
    <cellStyle name="Assumptions Right Year 7 2" xfId="4088"/>
    <cellStyle name="Assumptions Right Year 7 2 2" xfId="7370"/>
    <cellStyle name="Assumptions Right Year 7 3" xfId="5755"/>
    <cellStyle name="Assumptions Right Year 7 3 2" xfId="7621"/>
    <cellStyle name="Assumptions Right Year 7 4" xfId="9465"/>
    <cellStyle name="Assumptions Right Year 8" xfId="3318"/>
    <cellStyle name="Assumptions Right Year 8 2" xfId="3537"/>
    <cellStyle name="Assumptions Right Year 8 2 2" xfId="6545"/>
    <cellStyle name="Assumptions Right Year 8 3" xfId="6186"/>
    <cellStyle name="Assumptions Right Year 8 3 2" xfId="10080"/>
    <cellStyle name="Assumptions Right Year 8 4" xfId="7146"/>
    <cellStyle name="Assumptions Right Year 9" xfId="3277"/>
    <cellStyle name="Assumptions Right Year 9 2" xfId="4185"/>
    <cellStyle name="Assumptions Right Year 9 2 2" xfId="8706"/>
    <cellStyle name="Assumptions Right Year 9 3" xfId="6151"/>
    <cellStyle name="Assumptions Right Year 9 3 2" xfId="10045"/>
    <cellStyle name="Assumptions Right Year 9 4" xfId="8331"/>
    <cellStyle name="B79812_.wvu.PrintTitlest" xfId="130"/>
    <cellStyle name="Bad 2" xfId="131"/>
    <cellStyle name="Bad 2 2" xfId="973"/>
    <cellStyle name="Bad 2 2 2" xfId="1970"/>
    <cellStyle name="Bad 2 3" xfId="1969"/>
    <cellStyle name="Bad 3" xfId="974"/>
    <cellStyle name="Bad 3 2" xfId="2072"/>
    <cellStyle name="Black" xfId="132"/>
    <cellStyle name="Blockout" xfId="133"/>
    <cellStyle name="Blockout 2" xfId="37"/>
    <cellStyle name="Blockout 2 2" xfId="975"/>
    <cellStyle name="Blockout 3" xfId="134"/>
    <cellStyle name="Blockout 3 2" xfId="976"/>
    <cellStyle name="Blue" xfId="135"/>
    <cellStyle name="Calculation 2" xfId="136"/>
    <cellStyle name="Calculation 2 2" xfId="137"/>
    <cellStyle name="Calculation 2 2 2" xfId="977"/>
    <cellStyle name="Calculation 2 2 3" xfId="1972"/>
    <cellStyle name="Calculation 2 3" xfId="138"/>
    <cellStyle name="Calculation 2 3 2" xfId="978"/>
    <cellStyle name="Calculation 2 4" xfId="979"/>
    <cellStyle name="Calculation 2 5" xfId="980"/>
    <cellStyle name="Calculation 2 6" xfId="1971"/>
    <cellStyle name="Calculation 3" xfId="981"/>
    <cellStyle name="Calculation 3 2" xfId="2073"/>
    <cellStyle name="Calculation 4" xfId="982"/>
    <cellStyle name="Calculation 5" xfId="983"/>
    <cellStyle name="Calculation 6" xfId="984"/>
    <cellStyle name="CaptionC" xfId="985"/>
    <cellStyle name="CaptionL" xfId="986"/>
    <cellStyle name="Cell Link" xfId="987"/>
    <cellStyle name="Center Currency" xfId="988"/>
    <cellStyle name="Center Date" xfId="989"/>
    <cellStyle name="Center Multiple" xfId="990"/>
    <cellStyle name="Center Number" xfId="991"/>
    <cellStyle name="Center Percentage" xfId="992"/>
    <cellStyle name="Center Year" xfId="993"/>
    <cellStyle name="Check Cell 2" xfId="139"/>
    <cellStyle name="Check Cell 2 2" xfId="994"/>
    <cellStyle name="Check Cell 2 2 2" xfId="1974"/>
    <cellStyle name="Check Cell 2 2 2 2" xfId="140"/>
    <cellStyle name="Check Cell 2 3" xfId="1973"/>
    <cellStyle name="Check Cell 3" xfId="995"/>
    <cellStyle name="Check Cell 3 2" xfId="2074"/>
    <cellStyle name="Comma" xfId="5" builtinId="3"/>
    <cellStyle name="Comma  - Style1" xfId="996"/>
    <cellStyle name="Comma  - Style2" xfId="997"/>
    <cellStyle name="Comma  - Style3" xfId="998"/>
    <cellStyle name="Comma  - Style4" xfId="999"/>
    <cellStyle name="Comma  - Style5" xfId="1000"/>
    <cellStyle name="Comma  - Style6" xfId="1001"/>
    <cellStyle name="Comma  - Style7" xfId="1002"/>
    <cellStyle name="Comma  - Style8" xfId="1003"/>
    <cellStyle name="Comma [0]7Z_87C" xfId="141"/>
    <cellStyle name="Comma [1]" xfId="1004"/>
    <cellStyle name="Comma 0" xfId="142"/>
    <cellStyle name="Comma 1" xfId="143"/>
    <cellStyle name="Comma 1 2" xfId="144"/>
    <cellStyle name="Comma 10" xfId="145"/>
    <cellStyle name="Comma 100" xfId="11100"/>
    <cellStyle name="Comma 101" xfId="11103"/>
    <cellStyle name="Comma 102" xfId="11107"/>
    <cellStyle name="Comma 103" xfId="11095"/>
    <cellStyle name="Comma 103 2" xfId="14643"/>
    <cellStyle name="Comma 104" xfId="14651"/>
    <cellStyle name="Comma 105" xfId="12901"/>
    <cellStyle name="Comma 105 2" xfId="18345"/>
    <cellStyle name="Comma 106" xfId="18361"/>
    <cellStyle name="Comma 107" xfId="18358"/>
    <cellStyle name="Comma 108" xfId="18344"/>
    <cellStyle name="Comma 109" xfId="18367"/>
    <cellStyle name="Comma 11" xfId="146"/>
    <cellStyle name="Comma 110" xfId="19198"/>
    <cellStyle name="Comma 111" xfId="18322"/>
    <cellStyle name="Comma 112" xfId="18339"/>
    <cellStyle name="Comma 113" xfId="18374"/>
    <cellStyle name="Comma 114" xfId="18325"/>
    <cellStyle name="Comma 115" xfId="18364"/>
    <cellStyle name="Comma 116" xfId="18353"/>
    <cellStyle name="Comma 117" xfId="19200"/>
    <cellStyle name="Comma 118" xfId="18330"/>
    <cellStyle name="Comma 119" xfId="18335"/>
    <cellStyle name="Comma 12" xfId="1005"/>
    <cellStyle name="Comma 12 2" xfId="1570"/>
    <cellStyle name="Comma 12 3" xfId="1846"/>
    <cellStyle name="Comma 120" xfId="19199"/>
    <cellStyle name="Comma 121" xfId="19197"/>
    <cellStyle name="Comma 122" xfId="18333"/>
    <cellStyle name="Comma 123" xfId="20088"/>
    <cellStyle name="Comma 124" xfId="16586"/>
    <cellStyle name="Comma 13" xfId="1006"/>
    <cellStyle name="Comma 13 2" xfId="1637"/>
    <cellStyle name="Comma 13 3" xfId="1847"/>
    <cellStyle name="Comma 14" xfId="1007"/>
    <cellStyle name="Comma 14 2" xfId="1658"/>
    <cellStyle name="Comma 14 3" xfId="1848"/>
    <cellStyle name="Comma 15" xfId="1008"/>
    <cellStyle name="Comma 15 2" xfId="1639"/>
    <cellStyle name="Comma 15 3" xfId="1849"/>
    <cellStyle name="Comma 16" xfId="1009"/>
    <cellStyle name="Comma 16 2" xfId="1665"/>
    <cellStyle name="Comma 16 3" xfId="1850"/>
    <cellStyle name="Comma 17" xfId="1010"/>
    <cellStyle name="Comma 17 2" xfId="1649"/>
    <cellStyle name="Comma 17 3" xfId="1851"/>
    <cellStyle name="Comma 18" xfId="1011"/>
    <cellStyle name="Comma 18 10" xfId="11111"/>
    <cellStyle name="Comma 18 10 2" xfId="16597"/>
    <cellStyle name="Comma 18 11" xfId="14706"/>
    <cellStyle name="Comma 18 12" xfId="15759"/>
    <cellStyle name="Comma 18 2" xfId="1672"/>
    <cellStyle name="Comma 18 2 2" xfId="11049"/>
    <cellStyle name="Comma 18 2 2 2" xfId="14590"/>
    <cellStyle name="Comma 18 2 2 2 2" xfId="19299"/>
    <cellStyle name="Comma 18 2 2 3" xfId="12893"/>
    <cellStyle name="Comma 18 2 2 4" xfId="15536"/>
    <cellStyle name="Comma 18 2 2 5" xfId="18281"/>
    <cellStyle name="Comma 18 3" xfId="1852"/>
    <cellStyle name="Comma 18 3 10" xfId="15793"/>
    <cellStyle name="Comma 18 3 2" xfId="2487"/>
    <cellStyle name="Comma 18 3 2 2" xfId="4539"/>
    <cellStyle name="Comma 18 3 2 2 2" xfId="8927"/>
    <cellStyle name="Comma 18 3 2 2 2 2" xfId="10957"/>
    <cellStyle name="Comma 18 3 2 2 2 2 2" xfId="14537"/>
    <cellStyle name="Comma 18 3 2 2 2 2 2 2" xfId="19300"/>
    <cellStyle name="Comma 18 3 2 2 2 2 3" xfId="12840"/>
    <cellStyle name="Comma 18 3 2 2 2 2 4" xfId="18228"/>
    <cellStyle name="Comma 18 3 2 2 2 3" xfId="13676"/>
    <cellStyle name="Comma 18 3 2 2 2 3 2" xfId="19145"/>
    <cellStyle name="Comma 18 3 2 2 2 4" xfId="11979"/>
    <cellStyle name="Comma 18 3 2 2 2 4 2" xfId="17367"/>
    <cellStyle name="Comma 18 3 2 2 2 5" xfId="15483"/>
    <cellStyle name="Comma 18 3 2 2 2 6" xfId="16529"/>
    <cellStyle name="Comma 18 3 2 2 3" xfId="10481"/>
    <cellStyle name="Comma 18 3 2 2 3 2" xfId="14062"/>
    <cellStyle name="Comma 18 3 2 2 3 2 2" xfId="19301"/>
    <cellStyle name="Comma 18 3 2 2 3 3" xfId="12365"/>
    <cellStyle name="Comma 18 3 2 2 3 4" xfId="17753"/>
    <cellStyle name="Comma 18 3 2 2 4" xfId="13204"/>
    <cellStyle name="Comma 18 3 2 2 4 2" xfId="18673"/>
    <cellStyle name="Comma 18 3 2 2 5" xfId="11437"/>
    <cellStyle name="Comma 18 3 2 2 5 2" xfId="16895"/>
    <cellStyle name="Comma 18 3 2 2 6" xfId="15009"/>
    <cellStyle name="Comma 18 3 2 2 7" xfId="16057"/>
    <cellStyle name="Comma 18 3 2 3" xfId="5109"/>
    <cellStyle name="Comma 18 3 2 3 2" xfId="10535"/>
    <cellStyle name="Comma 18 3 2 3 2 2" xfId="14116"/>
    <cellStyle name="Comma 18 3 2 3 2 2 2" xfId="19302"/>
    <cellStyle name="Comma 18 3 2 3 2 3" xfId="12419"/>
    <cellStyle name="Comma 18 3 2 3 2 4" xfId="17807"/>
    <cellStyle name="Comma 18 3 2 3 3" xfId="13257"/>
    <cellStyle name="Comma 18 3 2 3 3 2" xfId="18726"/>
    <cellStyle name="Comma 18 3 2 3 4" xfId="11505"/>
    <cellStyle name="Comma 18 3 2 3 4 2" xfId="16948"/>
    <cellStyle name="Comma 18 3 2 3 5" xfId="15063"/>
    <cellStyle name="Comma 18 3 2 3 6" xfId="16110"/>
    <cellStyle name="Comma 18 3 2 4" xfId="7490"/>
    <cellStyle name="Comma 18 3 2 4 2" xfId="10764"/>
    <cellStyle name="Comma 18 3 2 4 2 2" xfId="14344"/>
    <cellStyle name="Comma 18 3 2 4 2 2 2" xfId="19303"/>
    <cellStyle name="Comma 18 3 2 4 2 3" xfId="12647"/>
    <cellStyle name="Comma 18 3 2 4 2 4" xfId="18035"/>
    <cellStyle name="Comma 18 3 2 4 3" xfId="13484"/>
    <cellStyle name="Comma 18 3 2 4 3 2" xfId="18953"/>
    <cellStyle name="Comma 18 3 2 4 4" xfId="11787"/>
    <cellStyle name="Comma 18 3 2 4 4 2" xfId="17175"/>
    <cellStyle name="Comma 18 3 2 4 5" xfId="15290"/>
    <cellStyle name="Comma 18 3 2 4 6" xfId="16337"/>
    <cellStyle name="Comma 18 3 2 5" xfId="10300"/>
    <cellStyle name="Comma 18 3 2 5 2" xfId="13882"/>
    <cellStyle name="Comma 18 3 2 5 2 2" xfId="19304"/>
    <cellStyle name="Comma 18 3 2 5 3" xfId="12185"/>
    <cellStyle name="Comma 18 3 2 5 4" xfId="17573"/>
    <cellStyle name="Comma 18 3 2 6" xfId="13025"/>
    <cellStyle name="Comma 18 3 2 6 2" xfId="18481"/>
    <cellStyle name="Comma 18 3 2 7" xfId="11244"/>
    <cellStyle name="Comma 18 3 2 7 2" xfId="16716"/>
    <cellStyle name="Comma 18 3 2 8" xfId="14828"/>
    <cellStyle name="Comma 18 3 2 9" xfId="15878"/>
    <cellStyle name="Comma 18 3 3" xfId="4362"/>
    <cellStyle name="Comma 18 3 3 2" xfId="8798"/>
    <cellStyle name="Comma 18 3 3 2 2" xfId="10869"/>
    <cellStyle name="Comma 18 3 3 2 2 2" xfId="14449"/>
    <cellStyle name="Comma 18 3 3 2 2 2 2" xfId="19305"/>
    <cellStyle name="Comma 18 3 3 2 2 3" xfId="12752"/>
    <cellStyle name="Comma 18 3 3 2 2 4" xfId="18140"/>
    <cellStyle name="Comma 18 3 3 2 3" xfId="13588"/>
    <cellStyle name="Comma 18 3 3 2 3 2" xfId="19057"/>
    <cellStyle name="Comma 18 3 3 2 4" xfId="11891"/>
    <cellStyle name="Comma 18 3 3 2 4 2" xfId="17279"/>
    <cellStyle name="Comma 18 3 3 2 5" xfId="15395"/>
    <cellStyle name="Comma 18 3 3 2 6" xfId="16441"/>
    <cellStyle name="Comma 18 3 3 3" xfId="10393"/>
    <cellStyle name="Comma 18 3 3 3 2" xfId="13974"/>
    <cellStyle name="Comma 18 3 3 3 2 2" xfId="19306"/>
    <cellStyle name="Comma 18 3 3 3 3" xfId="12277"/>
    <cellStyle name="Comma 18 3 3 3 4" xfId="17665"/>
    <cellStyle name="Comma 18 3 3 4" xfId="13116"/>
    <cellStyle name="Comma 18 3 3 4 2" xfId="18585"/>
    <cellStyle name="Comma 18 3 3 5" xfId="11349"/>
    <cellStyle name="Comma 18 3 3 5 2" xfId="16807"/>
    <cellStyle name="Comma 18 3 3 6" xfId="14921"/>
    <cellStyle name="Comma 18 3 3 7" xfId="15969"/>
    <cellStyle name="Comma 18 3 4" xfId="5234"/>
    <cellStyle name="Comma 18 3 4 2" xfId="10583"/>
    <cellStyle name="Comma 18 3 4 2 2" xfId="14164"/>
    <cellStyle name="Comma 18 3 4 2 2 2" xfId="19307"/>
    <cellStyle name="Comma 18 3 4 2 3" xfId="12467"/>
    <cellStyle name="Comma 18 3 4 2 4" xfId="17855"/>
    <cellStyle name="Comma 18 3 4 3" xfId="13305"/>
    <cellStyle name="Comma 18 3 4 3 2" xfId="18774"/>
    <cellStyle name="Comma 18 3 4 4" xfId="11560"/>
    <cellStyle name="Comma 18 3 4 4 2" xfId="16996"/>
    <cellStyle name="Comma 18 3 4 5" xfId="15111"/>
    <cellStyle name="Comma 18 3 4 6" xfId="16158"/>
    <cellStyle name="Comma 18 3 5" xfId="7314"/>
    <cellStyle name="Comma 18 3 5 2" xfId="10747"/>
    <cellStyle name="Comma 18 3 5 2 2" xfId="14327"/>
    <cellStyle name="Comma 18 3 5 2 2 2" xfId="19308"/>
    <cellStyle name="Comma 18 3 5 2 3" xfId="12630"/>
    <cellStyle name="Comma 18 3 5 2 4" xfId="18018"/>
    <cellStyle name="Comma 18 3 5 3" xfId="13467"/>
    <cellStyle name="Comma 18 3 5 3 2" xfId="18936"/>
    <cellStyle name="Comma 18 3 5 4" xfId="11770"/>
    <cellStyle name="Comma 18 3 5 4 2" xfId="17158"/>
    <cellStyle name="Comma 18 3 5 5" xfId="15273"/>
    <cellStyle name="Comma 18 3 5 6" xfId="16320"/>
    <cellStyle name="Comma 18 3 6" xfId="10214"/>
    <cellStyle name="Comma 18 3 6 2" xfId="13796"/>
    <cellStyle name="Comma 18 3 6 2 2" xfId="19309"/>
    <cellStyle name="Comma 18 3 6 3" xfId="12099"/>
    <cellStyle name="Comma 18 3 6 4" xfId="17487"/>
    <cellStyle name="Comma 18 3 7" xfId="12940"/>
    <cellStyle name="Comma 18 3 7 2" xfId="18415"/>
    <cellStyle name="Comma 18 3 8" xfId="11145"/>
    <cellStyle name="Comma 18 3 8 2" xfId="16631"/>
    <cellStyle name="Comma 18 3 9" xfId="14741"/>
    <cellStyle name="Comma 18 4" xfId="2390"/>
    <cellStyle name="Comma 18 4 2" xfId="4504"/>
    <cellStyle name="Comma 18 4 2 2" xfId="8892"/>
    <cellStyle name="Comma 18 4 2 2 2" xfId="10922"/>
    <cellStyle name="Comma 18 4 2 2 2 2" xfId="14502"/>
    <cellStyle name="Comma 18 4 2 2 2 2 2" xfId="19310"/>
    <cellStyle name="Comma 18 4 2 2 2 3" xfId="12805"/>
    <cellStyle name="Comma 18 4 2 2 2 4" xfId="18193"/>
    <cellStyle name="Comma 18 4 2 2 3" xfId="13641"/>
    <cellStyle name="Comma 18 4 2 2 3 2" xfId="19110"/>
    <cellStyle name="Comma 18 4 2 2 4" xfId="11944"/>
    <cellStyle name="Comma 18 4 2 2 4 2" xfId="17332"/>
    <cellStyle name="Comma 18 4 2 2 5" xfId="15448"/>
    <cellStyle name="Comma 18 4 2 2 6" xfId="16494"/>
    <cellStyle name="Comma 18 4 2 3" xfId="10446"/>
    <cellStyle name="Comma 18 4 2 3 2" xfId="14027"/>
    <cellStyle name="Comma 18 4 2 3 2 2" xfId="19311"/>
    <cellStyle name="Comma 18 4 2 3 3" xfId="12330"/>
    <cellStyle name="Comma 18 4 2 3 4" xfId="17718"/>
    <cellStyle name="Comma 18 4 2 4" xfId="13169"/>
    <cellStyle name="Comma 18 4 2 4 2" xfId="18638"/>
    <cellStyle name="Comma 18 4 2 5" xfId="11402"/>
    <cellStyle name="Comma 18 4 2 5 2" xfId="16860"/>
    <cellStyle name="Comma 18 4 2 6" xfId="14974"/>
    <cellStyle name="Comma 18 4 2 7" xfId="16022"/>
    <cellStyle name="Comma 18 4 3" xfId="5316"/>
    <cellStyle name="Comma 18 4 3 2" xfId="10619"/>
    <cellStyle name="Comma 18 4 3 2 2" xfId="14200"/>
    <cellStyle name="Comma 18 4 3 2 2 2" xfId="19312"/>
    <cellStyle name="Comma 18 4 3 2 3" xfId="12503"/>
    <cellStyle name="Comma 18 4 3 2 4" xfId="17891"/>
    <cellStyle name="Comma 18 4 3 3" xfId="13341"/>
    <cellStyle name="Comma 18 4 3 3 2" xfId="18810"/>
    <cellStyle name="Comma 18 4 3 4" xfId="11598"/>
    <cellStyle name="Comma 18 4 3 4 2" xfId="17032"/>
    <cellStyle name="Comma 18 4 3 5" xfId="15147"/>
    <cellStyle name="Comma 18 4 3 6" xfId="16194"/>
    <cellStyle name="Comma 18 4 4" xfId="7378"/>
    <cellStyle name="Comma 18 4 4 2" xfId="10753"/>
    <cellStyle name="Comma 18 4 4 2 2" xfId="14333"/>
    <cellStyle name="Comma 18 4 4 2 2 2" xfId="19313"/>
    <cellStyle name="Comma 18 4 4 2 3" xfId="12636"/>
    <cellStyle name="Comma 18 4 4 2 4" xfId="18024"/>
    <cellStyle name="Comma 18 4 4 3" xfId="13473"/>
    <cellStyle name="Comma 18 4 4 3 2" xfId="18942"/>
    <cellStyle name="Comma 18 4 4 4" xfId="11776"/>
    <cellStyle name="Comma 18 4 4 4 2" xfId="17164"/>
    <cellStyle name="Comma 18 4 4 5" xfId="15279"/>
    <cellStyle name="Comma 18 4 4 6" xfId="16326"/>
    <cellStyle name="Comma 18 4 5" xfId="10265"/>
    <cellStyle name="Comma 18 4 5 2" xfId="13847"/>
    <cellStyle name="Comma 18 4 5 2 2" xfId="19314"/>
    <cellStyle name="Comma 18 4 5 3" xfId="12150"/>
    <cellStyle name="Comma 18 4 5 4" xfId="17538"/>
    <cellStyle name="Comma 18 4 6" xfId="12990"/>
    <cellStyle name="Comma 18 4 6 2" xfId="18447"/>
    <cellStyle name="Comma 18 4 7" xfId="11209"/>
    <cellStyle name="Comma 18 4 7 2" xfId="16681"/>
    <cellStyle name="Comma 18 4 8" xfId="14792"/>
    <cellStyle name="Comma 18 4 9" xfId="15843"/>
    <cellStyle name="Comma 18 5" xfId="4326"/>
    <cellStyle name="Comma 18 5 2" xfId="8763"/>
    <cellStyle name="Comma 18 5 2 2" xfId="10834"/>
    <cellStyle name="Comma 18 5 2 2 2" xfId="14414"/>
    <cellStyle name="Comma 18 5 2 2 2 2" xfId="19315"/>
    <cellStyle name="Comma 18 5 2 2 3" xfId="12717"/>
    <cellStyle name="Comma 18 5 2 2 4" xfId="18105"/>
    <cellStyle name="Comma 18 5 2 3" xfId="13553"/>
    <cellStyle name="Comma 18 5 2 3 2" xfId="19022"/>
    <cellStyle name="Comma 18 5 2 4" xfId="11856"/>
    <cellStyle name="Comma 18 5 2 4 2" xfId="17244"/>
    <cellStyle name="Comma 18 5 2 5" xfId="15360"/>
    <cellStyle name="Comma 18 5 2 6" xfId="16406"/>
    <cellStyle name="Comma 18 5 3" xfId="10358"/>
    <cellStyle name="Comma 18 5 3 2" xfId="13939"/>
    <cellStyle name="Comma 18 5 3 2 2" xfId="19316"/>
    <cellStyle name="Comma 18 5 3 3" xfId="12242"/>
    <cellStyle name="Comma 18 5 3 4" xfId="17630"/>
    <cellStyle name="Comma 18 5 4" xfId="13081"/>
    <cellStyle name="Comma 18 5 4 2" xfId="18550"/>
    <cellStyle name="Comma 18 5 5" xfId="11314"/>
    <cellStyle name="Comma 18 5 5 2" xfId="16772"/>
    <cellStyle name="Comma 18 5 6" xfId="14886"/>
    <cellStyle name="Comma 18 5 7" xfId="15934"/>
    <cellStyle name="Comma 18 6" xfId="5219"/>
    <cellStyle name="Comma 18 6 2" xfId="10577"/>
    <cellStyle name="Comma 18 6 2 2" xfId="14158"/>
    <cellStyle name="Comma 18 6 2 2 2" xfId="19317"/>
    <cellStyle name="Comma 18 6 2 3" xfId="12461"/>
    <cellStyle name="Comma 18 6 2 4" xfId="17849"/>
    <cellStyle name="Comma 18 6 3" xfId="13299"/>
    <cellStyle name="Comma 18 6 3 2" xfId="18768"/>
    <cellStyle name="Comma 18 6 4" xfId="11553"/>
    <cellStyle name="Comma 18 6 4 2" xfId="16990"/>
    <cellStyle name="Comma 18 6 5" xfId="15105"/>
    <cellStyle name="Comma 18 6 6" xfId="16152"/>
    <cellStyle name="Comma 18 7" xfId="7665"/>
    <cellStyle name="Comma 18 7 2" xfId="10776"/>
    <cellStyle name="Comma 18 7 2 2" xfId="14356"/>
    <cellStyle name="Comma 18 7 2 2 2" xfId="19318"/>
    <cellStyle name="Comma 18 7 2 3" xfId="12659"/>
    <cellStyle name="Comma 18 7 2 4" xfId="18047"/>
    <cellStyle name="Comma 18 7 3" xfId="13496"/>
    <cellStyle name="Comma 18 7 3 2" xfId="18965"/>
    <cellStyle name="Comma 18 7 4" xfId="11799"/>
    <cellStyle name="Comma 18 7 4 2" xfId="17187"/>
    <cellStyle name="Comma 18 7 5" xfId="15302"/>
    <cellStyle name="Comma 18 7 6" xfId="16349"/>
    <cellStyle name="Comma 18 8" xfId="10178"/>
    <cellStyle name="Comma 18 8 2" xfId="13762"/>
    <cellStyle name="Comma 18 8 2 2" xfId="19319"/>
    <cellStyle name="Comma 18 8 3" xfId="12065"/>
    <cellStyle name="Comma 18 8 4" xfId="17453"/>
    <cellStyle name="Comma 18 9" xfId="12906"/>
    <cellStyle name="Comma 18 9 2" xfId="19320"/>
    <cellStyle name="Comma 19" xfId="1012"/>
    <cellStyle name="Comma 19 10" xfId="11112"/>
    <cellStyle name="Comma 19 10 2" xfId="16598"/>
    <cellStyle name="Comma 19 11" xfId="14707"/>
    <cellStyle name="Comma 19 12" xfId="15760"/>
    <cellStyle name="Comma 19 2" xfId="1687"/>
    <cellStyle name="Comma 19 2 2" xfId="11050"/>
    <cellStyle name="Comma 19 2 2 2" xfId="14591"/>
    <cellStyle name="Comma 19 2 2 2 2" xfId="19321"/>
    <cellStyle name="Comma 19 2 2 3" xfId="12894"/>
    <cellStyle name="Comma 19 2 2 4" xfId="15537"/>
    <cellStyle name="Comma 19 2 2 5" xfId="18282"/>
    <cellStyle name="Comma 19 3" xfId="1853"/>
    <cellStyle name="Comma 19 3 10" xfId="15794"/>
    <cellStyle name="Comma 19 3 2" xfId="2488"/>
    <cellStyle name="Comma 19 3 2 2" xfId="4540"/>
    <cellStyle name="Comma 19 3 2 2 2" xfId="8928"/>
    <cellStyle name="Comma 19 3 2 2 2 2" xfId="10958"/>
    <cellStyle name="Comma 19 3 2 2 2 2 2" xfId="14538"/>
    <cellStyle name="Comma 19 3 2 2 2 2 2 2" xfId="19322"/>
    <cellStyle name="Comma 19 3 2 2 2 2 3" xfId="12841"/>
    <cellStyle name="Comma 19 3 2 2 2 2 4" xfId="18229"/>
    <cellStyle name="Comma 19 3 2 2 2 3" xfId="13677"/>
    <cellStyle name="Comma 19 3 2 2 2 3 2" xfId="19146"/>
    <cellStyle name="Comma 19 3 2 2 2 4" xfId="11980"/>
    <cellStyle name="Comma 19 3 2 2 2 4 2" xfId="17368"/>
    <cellStyle name="Comma 19 3 2 2 2 5" xfId="15484"/>
    <cellStyle name="Comma 19 3 2 2 2 6" xfId="16530"/>
    <cellStyle name="Comma 19 3 2 2 3" xfId="10482"/>
    <cellStyle name="Comma 19 3 2 2 3 2" xfId="14063"/>
    <cellStyle name="Comma 19 3 2 2 3 2 2" xfId="19323"/>
    <cellStyle name="Comma 19 3 2 2 3 3" xfId="12366"/>
    <cellStyle name="Comma 19 3 2 2 3 4" xfId="17754"/>
    <cellStyle name="Comma 19 3 2 2 4" xfId="13205"/>
    <cellStyle name="Comma 19 3 2 2 4 2" xfId="18674"/>
    <cellStyle name="Comma 19 3 2 2 5" xfId="11438"/>
    <cellStyle name="Comma 19 3 2 2 5 2" xfId="16896"/>
    <cellStyle name="Comma 19 3 2 2 6" xfId="15010"/>
    <cellStyle name="Comma 19 3 2 2 7" xfId="16058"/>
    <cellStyle name="Comma 19 3 2 3" xfId="5218"/>
    <cellStyle name="Comma 19 3 2 3 2" xfId="10576"/>
    <cellStyle name="Comma 19 3 2 3 2 2" xfId="14157"/>
    <cellStyle name="Comma 19 3 2 3 2 2 2" xfId="19324"/>
    <cellStyle name="Comma 19 3 2 3 2 3" xfId="12460"/>
    <cellStyle name="Comma 19 3 2 3 2 4" xfId="17848"/>
    <cellStyle name="Comma 19 3 2 3 3" xfId="13298"/>
    <cellStyle name="Comma 19 3 2 3 3 2" xfId="18767"/>
    <cellStyle name="Comma 19 3 2 3 4" xfId="11552"/>
    <cellStyle name="Comma 19 3 2 3 4 2" xfId="16989"/>
    <cellStyle name="Comma 19 3 2 3 5" xfId="15104"/>
    <cellStyle name="Comma 19 3 2 3 6" xfId="16151"/>
    <cellStyle name="Comma 19 3 2 4" xfId="7237"/>
    <cellStyle name="Comma 19 3 2 4 2" xfId="10742"/>
    <cellStyle name="Comma 19 3 2 4 2 2" xfId="14322"/>
    <cellStyle name="Comma 19 3 2 4 2 2 2" xfId="19325"/>
    <cellStyle name="Comma 19 3 2 4 2 3" xfId="12625"/>
    <cellStyle name="Comma 19 3 2 4 2 4" xfId="18013"/>
    <cellStyle name="Comma 19 3 2 4 3" xfId="13462"/>
    <cellStyle name="Comma 19 3 2 4 3 2" xfId="18931"/>
    <cellStyle name="Comma 19 3 2 4 4" xfId="11765"/>
    <cellStyle name="Comma 19 3 2 4 4 2" xfId="17153"/>
    <cellStyle name="Comma 19 3 2 4 5" xfId="15268"/>
    <cellStyle name="Comma 19 3 2 4 6" xfId="16315"/>
    <cellStyle name="Comma 19 3 2 5" xfId="10301"/>
    <cellStyle name="Comma 19 3 2 5 2" xfId="13883"/>
    <cellStyle name="Comma 19 3 2 5 2 2" xfId="19326"/>
    <cellStyle name="Comma 19 3 2 5 3" xfId="12186"/>
    <cellStyle name="Comma 19 3 2 5 4" xfId="17574"/>
    <cellStyle name="Comma 19 3 2 6" xfId="13026"/>
    <cellStyle name="Comma 19 3 2 6 2" xfId="18482"/>
    <cellStyle name="Comma 19 3 2 7" xfId="11245"/>
    <cellStyle name="Comma 19 3 2 7 2" xfId="16717"/>
    <cellStyle name="Comma 19 3 2 8" xfId="14829"/>
    <cellStyle name="Comma 19 3 2 9" xfId="15879"/>
    <cellStyle name="Comma 19 3 3" xfId="4363"/>
    <cellStyle name="Comma 19 3 3 2" xfId="8799"/>
    <cellStyle name="Comma 19 3 3 2 2" xfId="10870"/>
    <cellStyle name="Comma 19 3 3 2 2 2" xfId="14450"/>
    <cellStyle name="Comma 19 3 3 2 2 2 2" xfId="19327"/>
    <cellStyle name="Comma 19 3 3 2 2 3" xfId="12753"/>
    <cellStyle name="Comma 19 3 3 2 2 4" xfId="18141"/>
    <cellStyle name="Comma 19 3 3 2 3" xfId="13589"/>
    <cellStyle name="Comma 19 3 3 2 3 2" xfId="19058"/>
    <cellStyle name="Comma 19 3 3 2 4" xfId="11892"/>
    <cellStyle name="Comma 19 3 3 2 4 2" xfId="17280"/>
    <cellStyle name="Comma 19 3 3 2 5" xfId="15396"/>
    <cellStyle name="Comma 19 3 3 2 6" xfId="16442"/>
    <cellStyle name="Comma 19 3 3 3" xfId="10394"/>
    <cellStyle name="Comma 19 3 3 3 2" xfId="13975"/>
    <cellStyle name="Comma 19 3 3 3 2 2" xfId="19328"/>
    <cellStyle name="Comma 19 3 3 3 3" xfId="12278"/>
    <cellStyle name="Comma 19 3 3 3 4" xfId="17666"/>
    <cellStyle name="Comma 19 3 3 4" xfId="13117"/>
    <cellStyle name="Comma 19 3 3 4 2" xfId="18586"/>
    <cellStyle name="Comma 19 3 3 5" xfId="11350"/>
    <cellStyle name="Comma 19 3 3 5 2" xfId="16808"/>
    <cellStyle name="Comma 19 3 3 6" xfId="14922"/>
    <cellStyle name="Comma 19 3 3 7" xfId="15970"/>
    <cellStyle name="Comma 19 3 4" xfId="5268"/>
    <cellStyle name="Comma 19 3 4 2" xfId="10598"/>
    <cellStyle name="Comma 19 3 4 2 2" xfId="14179"/>
    <cellStyle name="Comma 19 3 4 2 2 2" xfId="19329"/>
    <cellStyle name="Comma 19 3 4 2 3" xfId="12482"/>
    <cellStyle name="Comma 19 3 4 2 4" xfId="17870"/>
    <cellStyle name="Comma 19 3 4 3" xfId="13320"/>
    <cellStyle name="Comma 19 3 4 3 2" xfId="18789"/>
    <cellStyle name="Comma 19 3 4 4" xfId="11575"/>
    <cellStyle name="Comma 19 3 4 4 2" xfId="17011"/>
    <cellStyle name="Comma 19 3 4 5" xfId="15126"/>
    <cellStyle name="Comma 19 3 4 6" xfId="16173"/>
    <cellStyle name="Comma 19 3 5" xfId="8043"/>
    <cellStyle name="Comma 19 3 5 2" xfId="10810"/>
    <cellStyle name="Comma 19 3 5 2 2" xfId="14390"/>
    <cellStyle name="Comma 19 3 5 2 2 2" xfId="19330"/>
    <cellStyle name="Comma 19 3 5 2 3" xfId="12693"/>
    <cellStyle name="Comma 19 3 5 2 4" xfId="18081"/>
    <cellStyle name="Comma 19 3 5 3" xfId="13529"/>
    <cellStyle name="Comma 19 3 5 3 2" xfId="18998"/>
    <cellStyle name="Comma 19 3 5 4" xfId="11832"/>
    <cellStyle name="Comma 19 3 5 4 2" xfId="17220"/>
    <cellStyle name="Comma 19 3 5 5" xfId="15335"/>
    <cellStyle name="Comma 19 3 5 6" xfId="16382"/>
    <cellStyle name="Comma 19 3 6" xfId="10215"/>
    <cellStyle name="Comma 19 3 6 2" xfId="13797"/>
    <cellStyle name="Comma 19 3 6 2 2" xfId="19331"/>
    <cellStyle name="Comma 19 3 6 3" xfId="12100"/>
    <cellStyle name="Comma 19 3 6 4" xfId="17488"/>
    <cellStyle name="Comma 19 3 7" xfId="12941"/>
    <cellStyle name="Comma 19 3 7 2" xfId="18416"/>
    <cellStyle name="Comma 19 3 8" xfId="11146"/>
    <cellStyle name="Comma 19 3 8 2" xfId="16632"/>
    <cellStyle name="Comma 19 3 9" xfId="14742"/>
    <cellStyle name="Comma 19 4" xfId="2391"/>
    <cellStyle name="Comma 19 4 2" xfId="4505"/>
    <cellStyle name="Comma 19 4 2 2" xfId="8893"/>
    <cellStyle name="Comma 19 4 2 2 2" xfId="10923"/>
    <cellStyle name="Comma 19 4 2 2 2 2" xfId="14503"/>
    <cellStyle name="Comma 19 4 2 2 2 2 2" xfId="19332"/>
    <cellStyle name="Comma 19 4 2 2 2 3" xfId="12806"/>
    <cellStyle name="Comma 19 4 2 2 2 4" xfId="18194"/>
    <cellStyle name="Comma 19 4 2 2 3" xfId="13642"/>
    <cellStyle name="Comma 19 4 2 2 3 2" xfId="19111"/>
    <cellStyle name="Comma 19 4 2 2 4" xfId="11945"/>
    <cellStyle name="Comma 19 4 2 2 4 2" xfId="17333"/>
    <cellStyle name="Comma 19 4 2 2 5" xfId="15449"/>
    <cellStyle name="Comma 19 4 2 2 6" xfId="16495"/>
    <cellStyle name="Comma 19 4 2 3" xfId="10447"/>
    <cellStyle name="Comma 19 4 2 3 2" xfId="14028"/>
    <cellStyle name="Comma 19 4 2 3 2 2" xfId="19333"/>
    <cellStyle name="Comma 19 4 2 3 3" xfId="12331"/>
    <cellStyle name="Comma 19 4 2 3 4" xfId="17719"/>
    <cellStyle name="Comma 19 4 2 4" xfId="13170"/>
    <cellStyle name="Comma 19 4 2 4 2" xfId="18639"/>
    <cellStyle name="Comma 19 4 2 5" xfId="11403"/>
    <cellStyle name="Comma 19 4 2 5 2" xfId="16861"/>
    <cellStyle name="Comma 19 4 2 6" xfId="14975"/>
    <cellStyle name="Comma 19 4 2 7" xfId="16023"/>
    <cellStyle name="Comma 19 4 3" xfId="5311"/>
    <cellStyle name="Comma 19 4 3 2" xfId="10616"/>
    <cellStyle name="Comma 19 4 3 2 2" xfId="14197"/>
    <cellStyle name="Comma 19 4 3 2 2 2" xfId="19334"/>
    <cellStyle name="Comma 19 4 3 2 3" xfId="12500"/>
    <cellStyle name="Comma 19 4 3 2 4" xfId="17888"/>
    <cellStyle name="Comma 19 4 3 3" xfId="13338"/>
    <cellStyle name="Comma 19 4 3 3 2" xfId="18807"/>
    <cellStyle name="Comma 19 4 3 4" xfId="11595"/>
    <cellStyle name="Comma 19 4 3 4 2" xfId="17029"/>
    <cellStyle name="Comma 19 4 3 5" xfId="15144"/>
    <cellStyle name="Comma 19 4 3 6" xfId="16191"/>
    <cellStyle name="Comma 19 4 4" xfId="8069"/>
    <cellStyle name="Comma 19 4 4 2" xfId="10813"/>
    <cellStyle name="Comma 19 4 4 2 2" xfId="14393"/>
    <cellStyle name="Comma 19 4 4 2 2 2" xfId="19335"/>
    <cellStyle name="Comma 19 4 4 2 3" xfId="12696"/>
    <cellStyle name="Comma 19 4 4 2 4" xfId="18084"/>
    <cellStyle name="Comma 19 4 4 3" xfId="13532"/>
    <cellStyle name="Comma 19 4 4 3 2" xfId="19001"/>
    <cellStyle name="Comma 19 4 4 4" xfId="11835"/>
    <cellStyle name="Comma 19 4 4 4 2" xfId="17223"/>
    <cellStyle name="Comma 19 4 4 5" xfId="15338"/>
    <cellStyle name="Comma 19 4 4 6" xfId="16385"/>
    <cellStyle name="Comma 19 4 5" xfId="10266"/>
    <cellStyle name="Comma 19 4 5 2" xfId="13848"/>
    <cellStyle name="Comma 19 4 5 2 2" xfId="19336"/>
    <cellStyle name="Comma 19 4 5 3" xfId="12151"/>
    <cellStyle name="Comma 19 4 5 4" xfId="17539"/>
    <cellStyle name="Comma 19 4 6" xfId="12991"/>
    <cellStyle name="Comma 19 4 6 2" xfId="18448"/>
    <cellStyle name="Comma 19 4 7" xfId="11210"/>
    <cellStyle name="Comma 19 4 7 2" xfId="16682"/>
    <cellStyle name="Comma 19 4 8" xfId="14793"/>
    <cellStyle name="Comma 19 4 9" xfId="15844"/>
    <cellStyle name="Comma 19 5" xfId="4327"/>
    <cellStyle name="Comma 19 5 2" xfId="8764"/>
    <cellStyle name="Comma 19 5 2 2" xfId="10835"/>
    <cellStyle name="Comma 19 5 2 2 2" xfId="14415"/>
    <cellStyle name="Comma 19 5 2 2 2 2" xfId="19337"/>
    <cellStyle name="Comma 19 5 2 2 3" xfId="12718"/>
    <cellStyle name="Comma 19 5 2 2 4" xfId="18106"/>
    <cellStyle name="Comma 19 5 2 3" xfId="13554"/>
    <cellStyle name="Comma 19 5 2 3 2" xfId="19023"/>
    <cellStyle name="Comma 19 5 2 4" xfId="11857"/>
    <cellStyle name="Comma 19 5 2 4 2" xfId="17245"/>
    <cellStyle name="Comma 19 5 2 5" xfId="15361"/>
    <cellStyle name="Comma 19 5 2 6" xfId="16407"/>
    <cellStyle name="Comma 19 5 3" xfId="10359"/>
    <cellStyle name="Comma 19 5 3 2" xfId="13940"/>
    <cellStyle name="Comma 19 5 3 2 2" xfId="19338"/>
    <cellStyle name="Comma 19 5 3 3" xfId="12243"/>
    <cellStyle name="Comma 19 5 3 4" xfId="17631"/>
    <cellStyle name="Comma 19 5 4" xfId="13082"/>
    <cellStyle name="Comma 19 5 4 2" xfId="18551"/>
    <cellStyle name="Comma 19 5 5" xfId="11315"/>
    <cellStyle name="Comma 19 5 5 2" xfId="16773"/>
    <cellStyle name="Comma 19 5 6" xfId="14887"/>
    <cellStyle name="Comma 19 5 7" xfId="15935"/>
    <cellStyle name="Comma 19 6" xfId="5285"/>
    <cellStyle name="Comma 19 6 2" xfId="10606"/>
    <cellStyle name="Comma 19 6 2 2" xfId="14187"/>
    <cellStyle name="Comma 19 6 2 2 2" xfId="19339"/>
    <cellStyle name="Comma 19 6 2 3" xfId="12490"/>
    <cellStyle name="Comma 19 6 2 4" xfId="17878"/>
    <cellStyle name="Comma 19 6 3" xfId="13328"/>
    <cellStyle name="Comma 19 6 3 2" xfId="18797"/>
    <cellStyle name="Comma 19 6 4" xfId="11583"/>
    <cellStyle name="Comma 19 6 4 2" xfId="17019"/>
    <cellStyle name="Comma 19 6 5" xfId="15134"/>
    <cellStyle name="Comma 19 6 6" xfId="16181"/>
    <cellStyle name="Comma 19 7" xfId="6744"/>
    <cellStyle name="Comma 19 7 2" xfId="10694"/>
    <cellStyle name="Comma 19 7 2 2" xfId="14275"/>
    <cellStyle name="Comma 19 7 2 2 2" xfId="19340"/>
    <cellStyle name="Comma 19 7 2 3" xfId="12578"/>
    <cellStyle name="Comma 19 7 2 4" xfId="17966"/>
    <cellStyle name="Comma 19 7 3" xfId="13415"/>
    <cellStyle name="Comma 19 7 3 2" xfId="18884"/>
    <cellStyle name="Comma 19 7 4" xfId="11718"/>
    <cellStyle name="Comma 19 7 4 2" xfId="17106"/>
    <cellStyle name="Comma 19 7 5" xfId="15221"/>
    <cellStyle name="Comma 19 7 6" xfId="16268"/>
    <cellStyle name="Comma 19 8" xfId="10179"/>
    <cellStyle name="Comma 19 8 2" xfId="13763"/>
    <cellStyle name="Comma 19 8 2 2" xfId="19341"/>
    <cellStyle name="Comma 19 8 3" xfId="12066"/>
    <cellStyle name="Comma 19 8 4" xfId="17454"/>
    <cellStyle name="Comma 19 9" xfId="12907"/>
    <cellStyle name="Comma 19 9 2" xfId="19342"/>
    <cellStyle name="Comma 2" xfId="15"/>
    <cellStyle name="Comma 2 2" xfId="147"/>
    <cellStyle name="Comma 2 2 2" xfId="148"/>
    <cellStyle name="Comma 2 2 2 2" xfId="1013"/>
    <cellStyle name="Comma 2 2 3" xfId="149"/>
    <cellStyle name="Comma 2 3" xfId="150"/>
    <cellStyle name="Comma 2 3 2" xfId="151"/>
    <cellStyle name="Comma 2 4" xfId="152"/>
    <cellStyle name="Comma 2 4 2" xfId="1014"/>
    <cellStyle name="Comma 2 5" xfId="153"/>
    <cellStyle name="Comma 2 5 2" xfId="1015"/>
    <cellStyle name="Comma 2 6" xfId="154"/>
    <cellStyle name="Comma 2 7" xfId="1588"/>
    <cellStyle name="Comma 2 8" xfId="11039"/>
    <cellStyle name="Comma 20" xfId="1683"/>
    <cellStyle name="Comma 20 2" xfId="1776"/>
    <cellStyle name="Comma 21" xfId="1695"/>
    <cellStyle name="Comma 21 2" xfId="1571"/>
    <cellStyle name="Comma 22" xfId="1773"/>
    <cellStyle name="Comma 23" xfId="1575"/>
    <cellStyle name="Comma 24" xfId="1702"/>
    <cellStyle name="Comma 25" xfId="1899"/>
    <cellStyle name="Comma 26" xfId="1900"/>
    <cellStyle name="Comma 27" xfId="34"/>
    <cellStyle name="Comma 27 2" xfId="11090"/>
    <cellStyle name="Comma 28" xfId="2155"/>
    <cellStyle name="Comma 28 2" xfId="11021"/>
    <cellStyle name="Comma 29" xfId="2363"/>
    <cellStyle name="Comma 29 2" xfId="11048"/>
    <cellStyle name="Comma 3" xfId="27"/>
    <cellStyle name="Comma 3 2" xfId="156"/>
    <cellStyle name="Comma 3 2 2" xfId="157"/>
    <cellStyle name="Comma 3 3" xfId="158"/>
    <cellStyle name="Comma 3 3 2" xfId="159"/>
    <cellStyle name="Comma 3 4" xfId="160"/>
    <cellStyle name="Comma 3 5" xfId="161"/>
    <cellStyle name="Comma 3 6" xfId="162"/>
    <cellStyle name="Comma 3 7" xfId="1556"/>
    <cellStyle name="Comma 3 8" xfId="1975"/>
    <cellStyle name="Comma 3 8 10" xfId="15828"/>
    <cellStyle name="Comma 3 8 2" xfId="2531"/>
    <cellStyle name="Comma 3 8 2 2" xfId="4574"/>
    <cellStyle name="Comma 3 8 2 2 2" xfId="8962"/>
    <cellStyle name="Comma 3 8 2 2 2 2" xfId="10992"/>
    <cellStyle name="Comma 3 8 2 2 2 2 2" xfId="14572"/>
    <cellStyle name="Comma 3 8 2 2 2 2 2 2" xfId="19343"/>
    <cellStyle name="Comma 3 8 2 2 2 2 3" xfId="12875"/>
    <cellStyle name="Comma 3 8 2 2 2 2 4" xfId="18263"/>
    <cellStyle name="Comma 3 8 2 2 2 3" xfId="13711"/>
    <cellStyle name="Comma 3 8 2 2 2 3 2" xfId="19180"/>
    <cellStyle name="Comma 3 8 2 2 2 4" xfId="12014"/>
    <cellStyle name="Comma 3 8 2 2 2 4 2" xfId="17402"/>
    <cellStyle name="Comma 3 8 2 2 2 5" xfId="15518"/>
    <cellStyle name="Comma 3 8 2 2 2 6" xfId="16564"/>
    <cellStyle name="Comma 3 8 2 2 3" xfId="10516"/>
    <cellStyle name="Comma 3 8 2 2 3 2" xfId="14097"/>
    <cellStyle name="Comma 3 8 2 2 3 2 2" xfId="19344"/>
    <cellStyle name="Comma 3 8 2 2 3 3" xfId="12400"/>
    <cellStyle name="Comma 3 8 2 2 3 4" xfId="17788"/>
    <cellStyle name="Comma 3 8 2 2 4" xfId="13239"/>
    <cellStyle name="Comma 3 8 2 2 4 2" xfId="18708"/>
    <cellStyle name="Comma 3 8 2 2 5" xfId="11472"/>
    <cellStyle name="Comma 3 8 2 2 5 2" xfId="16930"/>
    <cellStyle name="Comma 3 8 2 2 6" xfId="15044"/>
    <cellStyle name="Comma 3 8 2 2 7" xfId="16092"/>
    <cellStyle name="Comma 3 8 2 3" xfId="7676"/>
    <cellStyle name="Comma 3 8 2 3 2" xfId="10778"/>
    <cellStyle name="Comma 3 8 2 3 2 2" xfId="14358"/>
    <cellStyle name="Comma 3 8 2 3 2 2 2" xfId="19345"/>
    <cellStyle name="Comma 3 8 2 3 2 3" xfId="12661"/>
    <cellStyle name="Comma 3 8 2 3 2 4" xfId="18049"/>
    <cellStyle name="Comma 3 8 2 3 3" xfId="13498"/>
    <cellStyle name="Comma 3 8 2 3 3 2" xfId="18967"/>
    <cellStyle name="Comma 3 8 2 3 4" xfId="11801"/>
    <cellStyle name="Comma 3 8 2 3 4 2" xfId="17189"/>
    <cellStyle name="Comma 3 8 2 3 5" xfId="15304"/>
    <cellStyle name="Comma 3 8 2 3 6" xfId="16351"/>
    <cellStyle name="Comma 3 8 2 4" xfId="10335"/>
    <cellStyle name="Comma 3 8 2 4 2" xfId="13917"/>
    <cellStyle name="Comma 3 8 2 4 2 2" xfId="19346"/>
    <cellStyle name="Comma 3 8 2 4 3" xfId="12220"/>
    <cellStyle name="Comma 3 8 2 4 4" xfId="17608"/>
    <cellStyle name="Comma 3 8 2 5" xfId="13060"/>
    <cellStyle name="Comma 3 8 2 5 2" xfId="18529"/>
    <cellStyle name="Comma 3 8 2 6" xfId="11279"/>
    <cellStyle name="Comma 3 8 2 6 2" xfId="16751"/>
    <cellStyle name="Comma 3 8 2 7" xfId="14863"/>
    <cellStyle name="Comma 3 8 2 8" xfId="15913"/>
    <cellStyle name="Comma 3 8 3" xfId="2624"/>
    <cellStyle name="Comma 3 8 4" xfId="4397"/>
    <cellStyle name="Comma 3 8 4 2" xfId="8833"/>
    <cellStyle name="Comma 3 8 4 2 2" xfId="10904"/>
    <cellStyle name="Comma 3 8 4 2 2 2" xfId="14484"/>
    <cellStyle name="Comma 3 8 4 2 2 2 2" xfId="19347"/>
    <cellStyle name="Comma 3 8 4 2 2 3" xfId="12787"/>
    <cellStyle name="Comma 3 8 4 2 2 4" xfId="18175"/>
    <cellStyle name="Comma 3 8 4 2 3" xfId="13623"/>
    <cellStyle name="Comma 3 8 4 2 3 2" xfId="19092"/>
    <cellStyle name="Comma 3 8 4 2 4" xfId="11926"/>
    <cellStyle name="Comma 3 8 4 2 4 2" xfId="17314"/>
    <cellStyle name="Comma 3 8 4 2 5" xfId="15430"/>
    <cellStyle name="Comma 3 8 4 2 6" xfId="16476"/>
    <cellStyle name="Comma 3 8 4 3" xfId="10428"/>
    <cellStyle name="Comma 3 8 4 3 2" xfId="14009"/>
    <cellStyle name="Comma 3 8 4 3 2 2" xfId="19348"/>
    <cellStyle name="Comma 3 8 4 3 3" xfId="12312"/>
    <cellStyle name="Comma 3 8 4 3 4" xfId="17700"/>
    <cellStyle name="Comma 3 8 4 4" xfId="13151"/>
    <cellStyle name="Comma 3 8 4 4 2" xfId="18620"/>
    <cellStyle name="Comma 3 8 4 5" xfId="11384"/>
    <cellStyle name="Comma 3 8 4 5 2" xfId="16842"/>
    <cellStyle name="Comma 3 8 4 6" xfId="14956"/>
    <cellStyle name="Comma 3 8 4 7" xfId="16004"/>
    <cellStyle name="Comma 3 8 5" xfId="7864"/>
    <cellStyle name="Comma 3 8 5 2" xfId="10794"/>
    <cellStyle name="Comma 3 8 5 2 2" xfId="14374"/>
    <cellStyle name="Comma 3 8 5 2 2 2" xfId="19349"/>
    <cellStyle name="Comma 3 8 5 2 3" xfId="12677"/>
    <cellStyle name="Comma 3 8 5 2 4" xfId="18065"/>
    <cellStyle name="Comma 3 8 5 3" xfId="13513"/>
    <cellStyle name="Comma 3 8 5 3 2" xfId="18982"/>
    <cellStyle name="Comma 3 8 5 4" xfId="11816"/>
    <cellStyle name="Comma 3 8 5 4 2" xfId="17204"/>
    <cellStyle name="Comma 3 8 5 5" xfId="15319"/>
    <cellStyle name="Comma 3 8 5 6" xfId="16366"/>
    <cellStyle name="Comma 3 8 6" xfId="10249"/>
    <cellStyle name="Comma 3 8 6 2" xfId="13831"/>
    <cellStyle name="Comma 3 8 6 2 2" xfId="19350"/>
    <cellStyle name="Comma 3 8 6 3" xfId="12134"/>
    <cellStyle name="Comma 3 8 6 4" xfId="17522"/>
    <cellStyle name="Comma 3 8 7" xfId="12975"/>
    <cellStyle name="Comma 3 8 7 2" xfId="18413"/>
    <cellStyle name="Comma 3 8 8" xfId="11180"/>
    <cellStyle name="Comma 3 8 8 2" xfId="16666"/>
    <cellStyle name="Comma 3 8 9" xfId="14776"/>
    <cellStyle name="Comma 3 9" xfId="155"/>
    <cellStyle name="Comma 30" xfId="2722"/>
    <cellStyle name="Comma 30 2" xfId="11045"/>
    <cellStyle name="Comma 31" xfId="2721"/>
    <cellStyle name="Comma 32" xfId="2730"/>
    <cellStyle name="Comma 33" xfId="2742"/>
    <cellStyle name="Comma 34" xfId="2717"/>
    <cellStyle name="Comma 35" xfId="2621"/>
    <cellStyle name="Comma 36" xfId="2731"/>
    <cellStyle name="Comma 37" xfId="2725"/>
    <cellStyle name="Comma 38" xfId="2715"/>
    <cellStyle name="Comma 39" xfId="2750"/>
    <cellStyle name="Comma 4" xfId="163"/>
    <cellStyle name="Comma 4 2" xfId="164"/>
    <cellStyle name="Comma 40" xfId="2753"/>
    <cellStyle name="Comma 41" xfId="2755"/>
    <cellStyle name="Comma 42" xfId="2758"/>
    <cellStyle name="Comma 43" xfId="2760"/>
    <cellStyle name="Comma 44" xfId="2761"/>
    <cellStyle name="Comma 45" xfId="2915"/>
    <cellStyle name="Comma 46" xfId="3290"/>
    <cellStyle name="Comma 47" xfId="3324"/>
    <cellStyle name="Comma 48" xfId="3350"/>
    <cellStyle name="Comma 49" xfId="2956"/>
    <cellStyle name="Comma 5" xfId="165"/>
    <cellStyle name="Comma 5 2" xfId="1016"/>
    <cellStyle name="Comma 50" xfId="3363"/>
    <cellStyle name="Comma 51" xfId="3071"/>
    <cellStyle name="Comma 52" xfId="3368"/>
    <cellStyle name="Comma 53" xfId="3372"/>
    <cellStyle name="Comma 54" xfId="3374"/>
    <cellStyle name="Comma 55" xfId="3379"/>
    <cellStyle name="Comma 56" xfId="3380"/>
    <cellStyle name="Comma 57" xfId="3515"/>
    <cellStyle name="Comma 58" xfId="3525"/>
    <cellStyle name="Comma 59" xfId="2625"/>
    <cellStyle name="Comma 6" xfId="166"/>
    <cellStyle name="Comma 60" xfId="3527"/>
    <cellStyle name="Comma 61" xfId="4248"/>
    <cellStyle name="Comma 62" xfId="3984"/>
    <cellStyle name="Comma 63" xfId="4026"/>
    <cellStyle name="Comma 64" xfId="4632"/>
    <cellStyle name="Comma 65" xfId="4024"/>
    <cellStyle name="Comma 66" xfId="4182"/>
    <cellStyle name="Comma 67" xfId="4451"/>
    <cellStyle name="Comma 68" xfId="4828"/>
    <cellStyle name="Comma 69" xfId="4113"/>
    <cellStyle name="Comma 7" xfId="167"/>
    <cellStyle name="Comma 70" xfId="4271"/>
    <cellStyle name="Comma 71" xfId="5270"/>
    <cellStyle name="Comma 72" xfId="5146"/>
    <cellStyle name="Comma 73" xfId="5225"/>
    <cellStyle name="Comma 74" xfId="5341"/>
    <cellStyle name="Comma 75" xfId="5113"/>
    <cellStyle name="Comma 76" xfId="5297"/>
    <cellStyle name="Comma 77" xfId="5319"/>
    <cellStyle name="Comma 78" xfId="5339"/>
    <cellStyle name="Comma 79" xfId="5256"/>
    <cellStyle name="Comma 8" xfId="168"/>
    <cellStyle name="Comma 80" xfId="5317"/>
    <cellStyle name="Comma 81" xfId="5291"/>
    <cellStyle name="Comma 82" xfId="5386"/>
    <cellStyle name="Comma 83" xfId="5389"/>
    <cellStyle name="Comma 84" xfId="5322"/>
    <cellStyle name="Comma 85" xfId="5257"/>
    <cellStyle name="Comma 86" xfId="5228"/>
    <cellStyle name="Comma 87" xfId="5162"/>
    <cellStyle name="Comma 88" xfId="5241"/>
    <cellStyle name="Comma 89" xfId="5128"/>
    <cellStyle name="Comma 9" xfId="169"/>
    <cellStyle name="Comma 9 2" xfId="170"/>
    <cellStyle name="Comma 9 3" xfId="171"/>
    <cellStyle name="Comma 90" xfId="5250"/>
    <cellStyle name="Comma 91" xfId="5394"/>
    <cellStyle name="Comma 92" xfId="5392"/>
    <cellStyle name="Comma 93" xfId="7308"/>
    <cellStyle name="Comma 94" xfId="7096"/>
    <cellStyle name="Comma 95" xfId="7957"/>
    <cellStyle name="Comma 96" xfId="8251"/>
    <cellStyle name="Comma 97" xfId="11011"/>
    <cellStyle name="Comma 98" xfId="11016"/>
    <cellStyle name="Comma 99" xfId="11014"/>
    <cellStyle name="Comma0" xfId="172"/>
    <cellStyle name="Currency [$0]" xfId="1017"/>
    <cellStyle name="Currency [£0]" xfId="1018"/>
    <cellStyle name="Currency 10" xfId="1561"/>
    <cellStyle name="Currency 10 10" xfId="14727"/>
    <cellStyle name="Currency 10 11" xfId="15779"/>
    <cellStyle name="Currency 10 2" xfId="1891"/>
    <cellStyle name="Currency 10 2 10" xfId="15812"/>
    <cellStyle name="Currency 10 2 2" xfId="2506"/>
    <cellStyle name="Currency 10 2 2 2" xfId="4558"/>
    <cellStyle name="Currency 10 2 2 2 2" xfId="8946"/>
    <cellStyle name="Currency 10 2 2 2 2 2" xfId="10976"/>
    <cellStyle name="Currency 10 2 2 2 2 2 2" xfId="14556"/>
    <cellStyle name="Currency 10 2 2 2 2 2 2 2" xfId="19351"/>
    <cellStyle name="Currency 10 2 2 2 2 2 3" xfId="12859"/>
    <cellStyle name="Currency 10 2 2 2 2 2 4" xfId="18247"/>
    <cellStyle name="Currency 10 2 2 2 2 3" xfId="13695"/>
    <cellStyle name="Currency 10 2 2 2 2 3 2" xfId="19164"/>
    <cellStyle name="Currency 10 2 2 2 2 4" xfId="11998"/>
    <cellStyle name="Currency 10 2 2 2 2 4 2" xfId="17386"/>
    <cellStyle name="Currency 10 2 2 2 2 5" xfId="15502"/>
    <cellStyle name="Currency 10 2 2 2 2 6" xfId="16548"/>
    <cellStyle name="Currency 10 2 2 2 3" xfId="10500"/>
    <cellStyle name="Currency 10 2 2 2 3 2" xfId="14081"/>
    <cellStyle name="Currency 10 2 2 2 3 2 2" xfId="19352"/>
    <cellStyle name="Currency 10 2 2 2 3 3" xfId="12384"/>
    <cellStyle name="Currency 10 2 2 2 3 4" xfId="17772"/>
    <cellStyle name="Currency 10 2 2 2 4" xfId="13223"/>
    <cellStyle name="Currency 10 2 2 2 4 2" xfId="18692"/>
    <cellStyle name="Currency 10 2 2 2 5" xfId="11456"/>
    <cellStyle name="Currency 10 2 2 2 5 2" xfId="16914"/>
    <cellStyle name="Currency 10 2 2 2 6" xfId="15028"/>
    <cellStyle name="Currency 10 2 2 2 7" xfId="16076"/>
    <cellStyle name="Currency 10 2 2 3" xfId="6374"/>
    <cellStyle name="Currency 10 2 2 3 2" xfId="10660"/>
    <cellStyle name="Currency 10 2 2 3 2 2" xfId="14241"/>
    <cellStyle name="Currency 10 2 2 3 2 2 2" xfId="19353"/>
    <cellStyle name="Currency 10 2 2 3 2 3" xfId="12544"/>
    <cellStyle name="Currency 10 2 2 3 2 4" xfId="17932"/>
    <cellStyle name="Currency 10 2 2 3 3" xfId="13381"/>
    <cellStyle name="Currency 10 2 2 3 3 2" xfId="18850"/>
    <cellStyle name="Currency 10 2 2 3 4" xfId="11684"/>
    <cellStyle name="Currency 10 2 2 3 4 2" xfId="17072"/>
    <cellStyle name="Currency 10 2 2 3 5" xfId="15187"/>
    <cellStyle name="Currency 10 2 2 3 6" xfId="16234"/>
    <cellStyle name="Currency 10 2 2 4" xfId="10319"/>
    <cellStyle name="Currency 10 2 2 4 2" xfId="13901"/>
    <cellStyle name="Currency 10 2 2 4 2 2" xfId="19354"/>
    <cellStyle name="Currency 10 2 2 4 3" xfId="12204"/>
    <cellStyle name="Currency 10 2 2 4 4" xfId="17592"/>
    <cellStyle name="Currency 10 2 2 5" xfId="13044"/>
    <cellStyle name="Currency 10 2 2 5 2" xfId="18514"/>
    <cellStyle name="Currency 10 2 2 6" xfId="11263"/>
    <cellStyle name="Currency 10 2 2 6 2" xfId="16735"/>
    <cellStyle name="Currency 10 2 2 7" xfId="14847"/>
    <cellStyle name="Currency 10 2 2 8" xfId="15897"/>
    <cellStyle name="Currency 10 2 3" xfId="4381"/>
    <cellStyle name="Currency 10 2 3 2" xfId="8817"/>
    <cellStyle name="Currency 10 2 3 2 2" xfId="10888"/>
    <cellStyle name="Currency 10 2 3 2 2 2" xfId="14468"/>
    <cellStyle name="Currency 10 2 3 2 2 2 2" xfId="19355"/>
    <cellStyle name="Currency 10 2 3 2 2 3" xfId="12771"/>
    <cellStyle name="Currency 10 2 3 2 2 4" xfId="18159"/>
    <cellStyle name="Currency 10 2 3 2 3" xfId="13607"/>
    <cellStyle name="Currency 10 2 3 2 3 2" xfId="19076"/>
    <cellStyle name="Currency 10 2 3 2 4" xfId="11910"/>
    <cellStyle name="Currency 10 2 3 2 4 2" xfId="17298"/>
    <cellStyle name="Currency 10 2 3 2 5" xfId="15414"/>
    <cellStyle name="Currency 10 2 3 2 6" xfId="16460"/>
    <cellStyle name="Currency 10 2 3 3" xfId="10412"/>
    <cellStyle name="Currency 10 2 3 3 2" xfId="13993"/>
    <cellStyle name="Currency 10 2 3 3 2 2" xfId="19356"/>
    <cellStyle name="Currency 10 2 3 3 3" xfId="12296"/>
    <cellStyle name="Currency 10 2 3 3 4" xfId="17684"/>
    <cellStyle name="Currency 10 2 3 4" xfId="13135"/>
    <cellStyle name="Currency 10 2 3 4 2" xfId="18604"/>
    <cellStyle name="Currency 10 2 3 5" xfId="11368"/>
    <cellStyle name="Currency 10 2 3 5 2" xfId="16826"/>
    <cellStyle name="Currency 10 2 3 6" xfId="14940"/>
    <cellStyle name="Currency 10 2 3 7" xfId="15988"/>
    <cellStyle name="Currency 10 2 4" xfId="5245"/>
    <cellStyle name="Currency 10 2 4 2" xfId="10589"/>
    <cellStyle name="Currency 10 2 4 2 2" xfId="14170"/>
    <cellStyle name="Currency 10 2 4 2 2 2" xfId="19357"/>
    <cellStyle name="Currency 10 2 4 2 3" xfId="12473"/>
    <cellStyle name="Currency 10 2 4 2 4" xfId="17861"/>
    <cellStyle name="Currency 10 2 4 3" xfId="13311"/>
    <cellStyle name="Currency 10 2 4 3 2" xfId="18780"/>
    <cellStyle name="Currency 10 2 4 4" xfId="11566"/>
    <cellStyle name="Currency 10 2 4 4 2" xfId="17002"/>
    <cellStyle name="Currency 10 2 4 5" xfId="15117"/>
    <cellStyle name="Currency 10 2 4 6" xfId="16164"/>
    <cellStyle name="Currency 10 2 5" xfId="6762"/>
    <cellStyle name="Currency 10 2 5 2" xfId="10697"/>
    <cellStyle name="Currency 10 2 5 2 2" xfId="14278"/>
    <cellStyle name="Currency 10 2 5 2 2 2" xfId="19358"/>
    <cellStyle name="Currency 10 2 5 2 3" xfId="12581"/>
    <cellStyle name="Currency 10 2 5 2 4" xfId="17969"/>
    <cellStyle name="Currency 10 2 5 3" xfId="13418"/>
    <cellStyle name="Currency 10 2 5 3 2" xfId="18887"/>
    <cellStyle name="Currency 10 2 5 4" xfId="11721"/>
    <cellStyle name="Currency 10 2 5 4 2" xfId="17109"/>
    <cellStyle name="Currency 10 2 5 5" xfId="15224"/>
    <cellStyle name="Currency 10 2 5 6" xfId="16271"/>
    <cellStyle name="Currency 10 2 6" xfId="10233"/>
    <cellStyle name="Currency 10 2 6 2" xfId="13815"/>
    <cellStyle name="Currency 10 2 6 2 2" xfId="19359"/>
    <cellStyle name="Currency 10 2 6 3" xfId="12118"/>
    <cellStyle name="Currency 10 2 6 4" xfId="17506"/>
    <cellStyle name="Currency 10 2 7" xfId="12959"/>
    <cellStyle name="Currency 10 2 7 2" xfId="18500"/>
    <cellStyle name="Currency 10 2 8" xfId="11164"/>
    <cellStyle name="Currency 10 2 8 2" xfId="16650"/>
    <cellStyle name="Currency 10 2 9" xfId="14760"/>
    <cellStyle name="Currency 10 3" xfId="2424"/>
    <cellStyle name="Currency 10 3 2" xfId="4525"/>
    <cellStyle name="Currency 10 3 2 2" xfId="8913"/>
    <cellStyle name="Currency 10 3 2 2 2" xfId="10943"/>
    <cellStyle name="Currency 10 3 2 2 2 2" xfId="14523"/>
    <cellStyle name="Currency 10 3 2 2 2 2 2" xfId="19360"/>
    <cellStyle name="Currency 10 3 2 2 2 3" xfId="12826"/>
    <cellStyle name="Currency 10 3 2 2 2 4" xfId="18214"/>
    <cellStyle name="Currency 10 3 2 2 3" xfId="13662"/>
    <cellStyle name="Currency 10 3 2 2 3 2" xfId="19131"/>
    <cellStyle name="Currency 10 3 2 2 4" xfId="11965"/>
    <cellStyle name="Currency 10 3 2 2 4 2" xfId="17353"/>
    <cellStyle name="Currency 10 3 2 2 5" xfId="15469"/>
    <cellStyle name="Currency 10 3 2 2 6" xfId="16515"/>
    <cellStyle name="Currency 10 3 2 3" xfId="10467"/>
    <cellStyle name="Currency 10 3 2 3 2" xfId="14048"/>
    <cellStyle name="Currency 10 3 2 3 2 2" xfId="19361"/>
    <cellStyle name="Currency 10 3 2 3 3" xfId="12351"/>
    <cellStyle name="Currency 10 3 2 3 4" xfId="17739"/>
    <cellStyle name="Currency 10 3 2 4" xfId="13190"/>
    <cellStyle name="Currency 10 3 2 4 2" xfId="18659"/>
    <cellStyle name="Currency 10 3 2 5" xfId="11423"/>
    <cellStyle name="Currency 10 3 2 5 2" xfId="16881"/>
    <cellStyle name="Currency 10 3 2 6" xfId="14995"/>
    <cellStyle name="Currency 10 3 2 7" xfId="16043"/>
    <cellStyle name="Currency 10 3 3" xfId="5183"/>
    <cellStyle name="Currency 10 3 3 2" xfId="10564"/>
    <cellStyle name="Currency 10 3 3 2 2" xfId="14145"/>
    <cellStyle name="Currency 10 3 3 2 2 2" xfId="19362"/>
    <cellStyle name="Currency 10 3 3 2 3" xfId="12448"/>
    <cellStyle name="Currency 10 3 3 2 4" xfId="17836"/>
    <cellStyle name="Currency 10 3 3 3" xfId="13286"/>
    <cellStyle name="Currency 10 3 3 3 2" xfId="18755"/>
    <cellStyle name="Currency 10 3 3 4" xfId="11538"/>
    <cellStyle name="Currency 10 3 3 4 2" xfId="16977"/>
    <cellStyle name="Currency 10 3 3 5" xfId="15092"/>
    <cellStyle name="Currency 10 3 3 6" xfId="16139"/>
    <cellStyle name="Currency 10 3 4" xfId="6720"/>
    <cellStyle name="Currency 10 3 4 2" xfId="10690"/>
    <cellStyle name="Currency 10 3 4 2 2" xfId="14271"/>
    <cellStyle name="Currency 10 3 4 2 2 2" xfId="19363"/>
    <cellStyle name="Currency 10 3 4 2 3" xfId="12574"/>
    <cellStyle name="Currency 10 3 4 2 4" xfId="17962"/>
    <cellStyle name="Currency 10 3 4 3" xfId="13411"/>
    <cellStyle name="Currency 10 3 4 3 2" xfId="18880"/>
    <cellStyle name="Currency 10 3 4 4" xfId="11714"/>
    <cellStyle name="Currency 10 3 4 4 2" xfId="17102"/>
    <cellStyle name="Currency 10 3 4 5" xfId="15217"/>
    <cellStyle name="Currency 10 3 4 6" xfId="16264"/>
    <cellStyle name="Currency 10 3 5" xfId="10286"/>
    <cellStyle name="Currency 10 3 5 2" xfId="13868"/>
    <cellStyle name="Currency 10 3 5 2 2" xfId="19364"/>
    <cellStyle name="Currency 10 3 5 3" xfId="12171"/>
    <cellStyle name="Currency 10 3 5 4" xfId="17559"/>
    <cellStyle name="Currency 10 3 6" xfId="13011"/>
    <cellStyle name="Currency 10 3 6 2" xfId="18467"/>
    <cellStyle name="Currency 10 3 7" xfId="11230"/>
    <cellStyle name="Currency 10 3 7 2" xfId="16702"/>
    <cellStyle name="Currency 10 3 8" xfId="14814"/>
    <cellStyle name="Currency 10 3 9" xfId="15864"/>
    <cellStyle name="Currency 10 4" xfId="4348"/>
    <cellStyle name="Currency 10 4 2" xfId="8784"/>
    <cellStyle name="Currency 10 4 2 2" xfId="10855"/>
    <cellStyle name="Currency 10 4 2 2 2" xfId="14435"/>
    <cellStyle name="Currency 10 4 2 2 2 2" xfId="19365"/>
    <cellStyle name="Currency 10 4 2 2 3" xfId="12738"/>
    <cellStyle name="Currency 10 4 2 2 4" xfId="18126"/>
    <cellStyle name="Currency 10 4 2 3" xfId="13574"/>
    <cellStyle name="Currency 10 4 2 3 2" xfId="19043"/>
    <cellStyle name="Currency 10 4 2 4" xfId="11877"/>
    <cellStyle name="Currency 10 4 2 4 2" xfId="17265"/>
    <cellStyle name="Currency 10 4 2 5" xfId="15381"/>
    <cellStyle name="Currency 10 4 2 6" xfId="16427"/>
    <cellStyle name="Currency 10 4 3" xfId="10379"/>
    <cellStyle name="Currency 10 4 3 2" xfId="13960"/>
    <cellStyle name="Currency 10 4 3 2 2" xfId="19366"/>
    <cellStyle name="Currency 10 4 3 3" xfId="12263"/>
    <cellStyle name="Currency 10 4 3 4" xfId="17651"/>
    <cellStyle name="Currency 10 4 4" xfId="13102"/>
    <cellStyle name="Currency 10 4 4 2" xfId="18571"/>
    <cellStyle name="Currency 10 4 5" xfId="11335"/>
    <cellStyle name="Currency 10 4 5 2" xfId="16793"/>
    <cellStyle name="Currency 10 4 6" xfId="14907"/>
    <cellStyle name="Currency 10 4 7" xfId="15955"/>
    <cellStyle name="Currency 10 5" xfId="5327"/>
    <cellStyle name="Currency 10 5 2" xfId="10622"/>
    <cellStyle name="Currency 10 5 2 2" xfId="14203"/>
    <cellStyle name="Currency 10 5 2 2 2" xfId="19367"/>
    <cellStyle name="Currency 10 5 2 3" xfId="12506"/>
    <cellStyle name="Currency 10 5 2 4" xfId="17894"/>
    <cellStyle name="Currency 10 5 3" xfId="13344"/>
    <cellStyle name="Currency 10 5 3 2" xfId="18813"/>
    <cellStyle name="Currency 10 5 4" xfId="11601"/>
    <cellStyle name="Currency 10 5 4 2" xfId="17035"/>
    <cellStyle name="Currency 10 5 5" xfId="15150"/>
    <cellStyle name="Currency 10 5 6" xfId="16197"/>
    <cellStyle name="Currency 10 6" xfId="6743"/>
    <cellStyle name="Currency 10 6 2" xfId="10693"/>
    <cellStyle name="Currency 10 6 2 2" xfId="14274"/>
    <cellStyle name="Currency 10 6 2 2 2" xfId="19368"/>
    <cellStyle name="Currency 10 6 2 3" xfId="12577"/>
    <cellStyle name="Currency 10 6 2 4" xfId="17965"/>
    <cellStyle name="Currency 10 6 3" xfId="13414"/>
    <cellStyle name="Currency 10 6 3 2" xfId="18883"/>
    <cellStyle name="Currency 10 6 4" xfId="11717"/>
    <cellStyle name="Currency 10 6 4 2" xfId="17105"/>
    <cellStyle name="Currency 10 6 5" xfId="15220"/>
    <cellStyle name="Currency 10 6 6" xfId="16267"/>
    <cellStyle name="Currency 10 7" xfId="10200"/>
    <cellStyle name="Currency 10 7 2" xfId="13782"/>
    <cellStyle name="Currency 10 7 2 2" xfId="19369"/>
    <cellStyle name="Currency 10 7 3" xfId="12085"/>
    <cellStyle name="Currency 10 7 4" xfId="17473"/>
    <cellStyle name="Currency 10 8" xfId="12926"/>
    <cellStyle name="Currency 10 8 2" xfId="18435"/>
    <cellStyle name="Currency 10 9" xfId="11131"/>
    <cellStyle name="Currency 10 9 2" xfId="16617"/>
    <cellStyle name="Currency 11" xfId="173"/>
    <cellStyle name="Currency 11 2" xfId="174"/>
    <cellStyle name="Currency 12" xfId="1895"/>
    <cellStyle name="Currency 13" xfId="1774"/>
    <cellStyle name="Currency 14" xfId="1772"/>
    <cellStyle name="Currency 15" xfId="1593"/>
    <cellStyle name="Currency 16" xfId="1583"/>
    <cellStyle name="Currency 17" xfId="1568"/>
    <cellStyle name="Currency 18" xfId="1569"/>
    <cellStyle name="Currency 19" xfId="1552"/>
    <cellStyle name="Currency 19 2" xfId="11091"/>
    <cellStyle name="Currency 2" xfId="175"/>
    <cellStyle name="Currency 2 2" xfId="176"/>
    <cellStyle name="Currency 2 3" xfId="177"/>
    <cellStyle name="Currency 2 4" xfId="1893"/>
    <cellStyle name="Currency 2 4 10" xfId="15814"/>
    <cellStyle name="Currency 2 4 2" xfId="2508"/>
    <cellStyle name="Currency 2 4 2 2" xfId="4560"/>
    <cellStyle name="Currency 2 4 2 2 2" xfId="8948"/>
    <cellStyle name="Currency 2 4 2 2 2 2" xfId="10978"/>
    <cellStyle name="Currency 2 4 2 2 2 2 2" xfId="14558"/>
    <cellStyle name="Currency 2 4 2 2 2 2 2 2" xfId="19370"/>
    <cellStyle name="Currency 2 4 2 2 2 2 3" xfId="12861"/>
    <cellStyle name="Currency 2 4 2 2 2 2 4" xfId="18249"/>
    <cellStyle name="Currency 2 4 2 2 2 3" xfId="13697"/>
    <cellStyle name="Currency 2 4 2 2 2 3 2" xfId="19166"/>
    <cellStyle name="Currency 2 4 2 2 2 4" xfId="12000"/>
    <cellStyle name="Currency 2 4 2 2 2 4 2" xfId="17388"/>
    <cellStyle name="Currency 2 4 2 2 2 5" xfId="15504"/>
    <cellStyle name="Currency 2 4 2 2 2 6" xfId="16550"/>
    <cellStyle name="Currency 2 4 2 2 3" xfId="10502"/>
    <cellStyle name="Currency 2 4 2 2 3 2" xfId="14083"/>
    <cellStyle name="Currency 2 4 2 2 3 2 2" xfId="19371"/>
    <cellStyle name="Currency 2 4 2 2 3 3" xfId="12386"/>
    <cellStyle name="Currency 2 4 2 2 3 4" xfId="17774"/>
    <cellStyle name="Currency 2 4 2 2 4" xfId="13225"/>
    <cellStyle name="Currency 2 4 2 2 4 2" xfId="18694"/>
    <cellStyle name="Currency 2 4 2 2 5" xfId="11458"/>
    <cellStyle name="Currency 2 4 2 2 5 2" xfId="16916"/>
    <cellStyle name="Currency 2 4 2 2 6" xfId="15030"/>
    <cellStyle name="Currency 2 4 2 2 7" xfId="16078"/>
    <cellStyle name="Currency 2 4 2 3" xfId="7440"/>
    <cellStyle name="Currency 2 4 2 3 2" xfId="10757"/>
    <cellStyle name="Currency 2 4 2 3 2 2" xfId="14337"/>
    <cellStyle name="Currency 2 4 2 3 2 2 2" xfId="19372"/>
    <cellStyle name="Currency 2 4 2 3 2 3" xfId="12640"/>
    <cellStyle name="Currency 2 4 2 3 2 4" xfId="18028"/>
    <cellStyle name="Currency 2 4 2 3 3" xfId="13477"/>
    <cellStyle name="Currency 2 4 2 3 3 2" xfId="18946"/>
    <cellStyle name="Currency 2 4 2 3 4" xfId="11780"/>
    <cellStyle name="Currency 2 4 2 3 4 2" xfId="17168"/>
    <cellStyle name="Currency 2 4 2 3 5" xfId="15283"/>
    <cellStyle name="Currency 2 4 2 3 6" xfId="16330"/>
    <cellStyle name="Currency 2 4 2 4" xfId="10321"/>
    <cellStyle name="Currency 2 4 2 4 2" xfId="13903"/>
    <cellStyle name="Currency 2 4 2 4 2 2" xfId="19373"/>
    <cellStyle name="Currency 2 4 2 4 3" xfId="12206"/>
    <cellStyle name="Currency 2 4 2 4 4" xfId="17594"/>
    <cellStyle name="Currency 2 4 2 5" xfId="13046"/>
    <cellStyle name="Currency 2 4 2 5 2" xfId="18515"/>
    <cellStyle name="Currency 2 4 2 6" xfId="11265"/>
    <cellStyle name="Currency 2 4 2 6 2" xfId="16737"/>
    <cellStyle name="Currency 2 4 2 7" xfId="14849"/>
    <cellStyle name="Currency 2 4 2 8" xfId="15899"/>
    <cellStyle name="Currency 2 4 3" xfId="4383"/>
    <cellStyle name="Currency 2 4 3 2" xfId="8819"/>
    <cellStyle name="Currency 2 4 3 2 2" xfId="10890"/>
    <cellStyle name="Currency 2 4 3 2 2 2" xfId="14470"/>
    <cellStyle name="Currency 2 4 3 2 2 2 2" xfId="19374"/>
    <cellStyle name="Currency 2 4 3 2 2 3" xfId="12773"/>
    <cellStyle name="Currency 2 4 3 2 2 4" xfId="18161"/>
    <cellStyle name="Currency 2 4 3 2 3" xfId="13609"/>
    <cellStyle name="Currency 2 4 3 2 3 2" xfId="19078"/>
    <cellStyle name="Currency 2 4 3 2 4" xfId="11912"/>
    <cellStyle name="Currency 2 4 3 2 4 2" xfId="17300"/>
    <cellStyle name="Currency 2 4 3 2 5" xfId="15416"/>
    <cellStyle name="Currency 2 4 3 2 6" xfId="16462"/>
    <cellStyle name="Currency 2 4 3 3" xfId="10414"/>
    <cellStyle name="Currency 2 4 3 3 2" xfId="13995"/>
    <cellStyle name="Currency 2 4 3 3 2 2" xfId="19375"/>
    <cellStyle name="Currency 2 4 3 3 3" xfId="12298"/>
    <cellStyle name="Currency 2 4 3 3 4" xfId="17686"/>
    <cellStyle name="Currency 2 4 3 4" xfId="13137"/>
    <cellStyle name="Currency 2 4 3 4 2" xfId="18606"/>
    <cellStyle name="Currency 2 4 3 5" xfId="11370"/>
    <cellStyle name="Currency 2 4 3 5 2" xfId="16828"/>
    <cellStyle name="Currency 2 4 3 6" xfId="14942"/>
    <cellStyle name="Currency 2 4 3 7" xfId="15990"/>
    <cellStyle name="Currency 2 4 4" xfId="5167"/>
    <cellStyle name="Currency 2 4 4 2" xfId="10557"/>
    <cellStyle name="Currency 2 4 4 2 2" xfId="14138"/>
    <cellStyle name="Currency 2 4 4 2 2 2" xfId="19376"/>
    <cellStyle name="Currency 2 4 4 2 3" xfId="12441"/>
    <cellStyle name="Currency 2 4 4 2 4" xfId="17829"/>
    <cellStyle name="Currency 2 4 4 3" xfId="13279"/>
    <cellStyle name="Currency 2 4 4 3 2" xfId="18748"/>
    <cellStyle name="Currency 2 4 4 4" xfId="11529"/>
    <cellStyle name="Currency 2 4 4 4 2" xfId="16970"/>
    <cellStyle name="Currency 2 4 4 5" xfId="15085"/>
    <cellStyle name="Currency 2 4 4 6" xfId="16132"/>
    <cellStyle name="Currency 2 4 5" xfId="7351"/>
    <cellStyle name="Currency 2 4 5 2" xfId="10750"/>
    <cellStyle name="Currency 2 4 5 2 2" xfId="14330"/>
    <cellStyle name="Currency 2 4 5 2 2 2" xfId="19377"/>
    <cellStyle name="Currency 2 4 5 2 3" xfId="12633"/>
    <cellStyle name="Currency 2 4 5 2 4" xfId="18021"/>
    <cellStyle name="Currency 2 4 5 3" xfId="13470"/>
    <cellStyle name="Currency 2 4 5 3 2" xfId="18939"/>
    <cellStyle name="Currency 2 4 5 4" xfId="11773"/>
    <cellStyle name="Currency 2 4 5 4 2" xfId="17161"/>
    <cellStyle name="Currency 2 4 5 5" xfId="15276"/>
    <cellStyle name="Currency 2 4 5 6" xfId="16323"/>
    <cellStyle name="Currency 2 4 6" xfId="10235"/>
    <cellStyle name="Currency 2 4 6 2" xfId="13817"/>
    <cellStyle name="Currency 2 4 6 2 2" xfId="19378"/>
    <cellStyle name="Currency 2 4 6 3" xfId="12120"/>
    <cellStyle name="Currency 2 4 6 4" xfId="17508"/>
    <cellStyle name="Currency 2 4 7" xfId="12961"/>
    <cellStyle name="Currency 2 4 7 2" xfId="18502"/>
    <cellStyle name="Currency 2 4 8" xfId="11166"/>
    <cellStyle name="Currency 2 4 8 2" xfId="16652"/>
    <cellStyle name="Currency 2 4 9" xfId="14762"/>
    <cellStyle name="Currency 2 5" xfId="1976"/>
    <cellStyle name="Currency 2 5 2" xfId="2532"/>
    <cellStyle name="Currency 2 5 2 2" xfId="4575"/>
    <cellStyle name="Currency 2 5 2 2 2" xfId="8963"/>
    <cellStyle name="Currency 2 5 2 2 2 2" xfId="10993"/>
    <cellStyle name="Currency 2 5 2 2 2 2 2" xfId="14573"/>
    <cellStyle name="Currency 2 5 2 2 2 2 2 2" xfId="19379"/>
    <cellStyle name="Currency 2 5 2 2 2 2 3" xfId="12876"/>
    <cellStyle name="Currency 2 5 2 2 2 2 4" xfId="18264"/>
    <cellStyle name="Currency 2 5 2 2 2 3" xfId="13712"/>
    <cellStyle name="Currency 2 5 2 2 2 3 2" xfId="19181"/>
    <cellStyle name="Currency 2 5 2 2 2 4" xfId="12015"/>
    <cellStyle name="Currency 2 5 2 2 2 4 2" xfId="17403"/>
    <cellStyle name="Currency 2 5 2 2 2 5" xfId="15519"/>
    <cellStyle name="Currency 2 5 2 2 2 6" xfId="16565"/>
    <cellStyle name="Currency 2 5 2 2 3" xfId="10517"/>
    <cellStyle name="Currency 2 5 2 2 3 2" xfId="14098"/>
    <cellStyle name="Currency 2 5 2 2 3 2 2" xfId="19380"/>
    <cellStyle name="Currency 2 5 2 2 3 3" xfId="12401"/>
    <cellStyle name="Currency 2 5 2 2 3 4" xfId="17789"/>
    <cellStyle name="Currency 2 5 2 2 4" xfId="13240"/>
    <cellStyle name="Currency 2 5 2 2 4 2" xfId="18709"/>
    <cellStyle name="Currency 2 5 2 2 5" xfId="11473"/>
    <cellStyle name="Currency 2 5 2 2 5 2" xfId="16931"/>
    <cellStyle name="Currency 2 5 2 2 6" xfId="15045"/>
    <cellStyle name="Currency 2 5 2 2 7" xfId="16093"/>
    <cellStyle name="Currency 2 5 2 3" xfId="6596"/>
    <cellStyle name="Currency 2 5 2 3 2" xfId="10678"/>
    <cellStyle name="Currency 2 5 2 3 2 2" xfId="14259"/>
    <cellStyle name="Currency 2 5 2 3 2 2 2" xfId="19381"/>
    <cellStyle name="Currency 2 5 2 3 2 3" xfId="12562"/>
    <cellStyle name="Currency 2 5 2 3 2 4" xfId="17950"/>
    <cellStyle name="Currency 2 5 2 3 3" xfId="13399"/>
    <cellStyle name="Currency 2 5 2 3 3 2" xfId="18868"/>
    <cellStyle name="Currency 2 5 2 3 4" xfId="11702"/>
    <cellStyle name="Currency 2 5 2 3 4 2" xfId="17090"/>
    <cellStyle name="Currency 2 5 2 3 5" xfId="15205"/>
    <cellStyle name="Currency 2 5 2 3 6" xfId="16252"/>
    <cellStyle name="Currency 2 5 2 4" xfId="10336"/>
    <cellStyle name="Currency 2 5 2 4 2" xfId="13918"/>
    <cellStyle name="Currency 2 5 2 4 2 2" xfId="19382"/>
    <cellStyle name="Currency 2 5 2 4 3" xfId="12221"/>
    <cellStyle name="Currency 2 5 2 4 4" xfId="17609"/>
    <cellStyle name="Currency 2 5 2 5" xfId="13061"/>
    <cellStyle name="Currency 2 5 2 5 2" xfId="18530"/>
    <cellStyle name="Currency 2 5 2 6" xfId="11280"/>
    <cellStyle name="Currency 2 5 2 6 2" xfId="16752"/>
    <cellStyle name="Currency 2 5 2 7" xfId="14864"/>
    <cellStyle name="Currency 2 5 2 8" xfId="15914"/>
    <cellStyle name="Currency 2 5 3" xfId="4398"/>
    <cellStyle name="Currency 2 5 3 2" xfId="8834"/>
    <cellStyle name="Currency 2 5 3 2 2" xfId="10905"/>
    <cellStyle name="Currency 2 5 3 2 2 2" xfId="14485"/>
    <cellStyle name="Currency 2 5 3 2 2 2 2" xfId="19383"/>
    <cellStyle name="Currency 2 5 3 2 2 3" xfId="12788"/>
    <cellStyle name="Currency 2 5 3 2 2 4" xfId="18176"/>
    <cellStyle name="Currency 2 5 3 2 3" xfId="13624"/>
    <cellStyle name="Currency 2 5 3 2 3 2" xfId="19093"/>
    <cellStyle name="Currency 2 5 3 2 4" xfId="11927"/>
    <cellStyle name="Currency 2 5 3 2 4 2" xfId="17315"/>
    <cellStyle name="Currency 2 5 3 2 5" xfId="15431"/>
    <cellStyle name="Currency 2 5 3 2 6" xfId="16477"/>
    <cellStyle name="Currency 2 5 3 3" xfId="10429"/>
    <cellStyle name="Currency 2 5 3 3 2" xfId="14010"/>
    <cellStyle name="Currency 2 5 3 3 2 2" xfId="19384"/>
    <cellStyle name="Currency 2 5 3 3 3" xfId="12313"/>
    <cellStyle name="Currency 2 5 3 3 4" xfId="17701"/>
    <cellStyle name="Currency 2 5 3 4" xfId="13152"/>
    <cellStyle name="Currency 2 5 3 4 2" xfId="18621"/>
    <cellStyle name="Currency 2 5 3 5" xfId="11385"/>
    <cellStyle name="Currency 2 5 3 5 2" xfId="16843"/>
    <cellStyle name="Currency 2 5 3 6" xfId="14957"/>
    <cellStyle name="Currency 2 5 3 7" xfId="16005"/>
    <cellStyle name="Currency 2 5 4" xfId="7094"/>
    <cellStyle name="Currency 2 5 4 2" xfId="10731"/>
    <cellStyle name="Currency 2 5 4 2 2" xfId="14311"/>
    <cellStyle name="Currency 2 5 4 2 2 2" xfId="19385"/>
    <cellStyle name="Currency 2 5 4 2 3" xfId="12614"/>
    <cellStyle name="Currency 2 5 4 2 4" xfId="18002"/>
    <cellStyle name="Currency 2 5 4 3" xfId="13451"/>
    <cellStyle name="Currency 2 5 4 3 2" xfId="18920"/>
    <cellStyle name="Currency 2 5 4 4" xfId="11754"/>
    <cellStyle name="Currency 2 5 4 4 2" xfId="17142"/>
    <cellStyle name="Currency 2 5 4 5" xfId="15257"/>
    <cellStyle name="Currency 2 5 4 6" xfId="16304"/>
    <cellStyle name="Currency 2 5 5" xfId="10250"/>
    <cellStyle name="Currency 2 5 5 2" xfId="13832"/>
    <cellStyle name="Currency 2 5 5 2 2" xfId="19386"/>
    <cellStyle name="Currency 2 5 5 3" xfId="12135"/>
    <cellStyle name="Currency 2 5 5 4" xfId="17523"/>
    <cellStyle name="Currency 2 5 6" xfId="12976"/>
    <cellStyle name="Currency 2 5 6 2" xfId="18392"/>
    <cellStyle name="Currency 2 5 7" xfId="11181"/>
    <cellStyle name="Currency 2 5 7 2" xfId="16667"/>
    <cellStyle name="Currency 2 5 8" xfId="14777"/>
    <cellStyle name="Currency 2 5 9" xfId="15829"/>
    <cellStyle name="Currency 20" xfId="2290"/>
    <cellStyle name="Currency 20 2" xfId="11022"/>
    <cellStyle name="Currency 21" xfId="2371"/>
    <cellStyle name="Currency 21 10" xfId="14789"/>
    <cellStyle name="Currency 21 11" xfId="15840"/>
    <cellStyle name="Currency 21 2" xfId="3518"/>
    <cellStyle name="Currency 21 2 2" xfId="6886"/>
    <cellStyle name="Currency 21 2 2 2" xfId="10709"/>
    <cellStyle name="Currency 21 2 2 2 2" xfId="14290"/>
    <cellStyle name="Currency 21 2 2 2 2 2" xfId="19387"/>
    <cellStyle name="Currency 21 2 2 2 3" xfId="12593"/>
    <cellStyle name="Currency 21 2 2 2 4" xfId="17981"/>
    <cellStyle name="Currency 21 2 2 3" xfId="13430"/>
    <cellStyle name="Currency 21 2 2 3 2" xfId="18899"/>
    <cellStyle name="Currency 21 2 2 4" xfId="11733"/>
    <cellStyle name="Currency 21 2 2 4 2" xfId="17121"/>
    <cellStyle name="Currency 21 2 2 5" xfId="15236"/>
    <cellStyle name="Currency 21 2 2 6" xfId="16283"/>
    <cellStyle name="Currency 21 2 3" xfId="10349"/>
    <cellStyle name="Currency 21 2 3 2" xfId="13930"/>
    <cellStyle name="Currency 21 2 3 2 2" xfId="19388"/>
    <cellStyle name="Currency 21 2 3 3" xfId="12233"/>
    <cellStyle name="Currency 21 2 3 4" xfId="17621"/>
    <cellStyle name="Currency 21 2 4" xfId="13073"/>
    <cellStyle name="Currency 21 2 4 2" xfId="18542"/>
    <cellStyle name="Currency 21 2 5" xfId="11292"/>
    <cellStyle name="Currency 21 2 5 2" xfId="16764"/>
    <cellStyle name="Currency 21 2 6" xfId="14878"/>
    <cellStyle name="Currency 21 2 7" xfId="15926"/>
    <cellStyle name="Currency 21 3" xfId="2723"/>
    <cellStyle name="Currency 21 4" xfId="4501"/>
    <cellStyle name="Currency 21 4 2" xfId="8889"/>
    <cellStyle name="Currency 21 4 2 2" xfId="10919"/>
    <cellStyle name="Currency 21 4 2 2 2" xfId="14499"/>
    <cellStyle name="Currency 21 4 2 2 2 2" xfId="19389"/>
    <cellStyle name="Currency 21 4 2 2 3" xfId="12802"/>
    <cellStyle name="Currency 21 4 2 2 4" xfId="18190"/>
    <cellStyle name="Currency 21 4 2 3" xfId="13638"/>
    <cellStyle name="Currency 21 4 2 3 2" xfId="19107"/>
    <cellStyle name="Currency 21 4 2 4" xfId="11941"/>
    <cellStyle name="Currency 21 4 2 4 2" xfId="17329"/>
    <cellStyle name="Currency 21 4 2 5" xfId="15445"/>
    <cellStyle name="Currency 21 4 2 6" xfId="16491"/>
    <cellStyle name="Currency 21 4 3" xfId="10443"/>
    <cellStyle name="Currency 21 4 3 2" xfId="14024"/>
    <cellStyle name="Currency 21 4 3 2 2" xfId="19390"/>
    <cellStyle name="Currency 21 4 3 3" xfId="12327"/>
    <cellStyle name="Currency 21 4 3 4" xfId="17715"/>
    <cellStyle name="Currency 21 4 4" xfId="13166"/>
    <cellStyle name="Currency 21 4 4 2" xfId="18635"/>
    <cellStyle name="Currency 21 4 5" xfId="11399"/>
    <cellStyle name="Currency 21 4 5 2" xfId="16857"/>
    <cellStyle name="Currency 21 4 6" xfId="14971"/>
    <cellStyle name="Currency 21 4 7" xfId="16019"/>
    <cellStyle name="Currency 21 5" xfId="6851"/>
    <cellStyle name="Currency 21 5 2" xfId="10705"/>
    <cellStyle name="Currency 21 5 2 2" xfId="14286"/>
    <cellStyle name="Currency 21 5 2 2 2" xfId="19391"/>
    <cellStyle name="Currency 21 5 2 3" xfId="12589"/>
    <cellStyle name="Currency 21 5 2 4" xfId="17977"/>
    <cellStyle name="Currency 21 5 3" xfId="13426"/>
    <cellStyle name="Currency 21 5 3 2" xfId="18895"/>
    <cellStyle name="Currency 21 5 4" xfId="11729"/>
    <cellStyle name="Currency 21 5 4 2" xfId="17117"/>
    <cellStyle name="Currency 21 5 5" xfId="15232"/>
    <cellStyle name="Currency 21 5 6" xfId="16279"/>
    <cellStyle name="Currency 21 6" xfId="11047"/>
    <cellStyle name="Currency 21 7" xfId="10262"/>
    <cellStyle name="Currency 21 7 2" xfId="13844"/>
    <cellStyle name="Currency 21 7 2 2" xfId="19392"/>
    <cellStyle name="Currency 21 7 3" xfId="12147"/>
    <cellStyle name="Currency 21 7 4" xfId="17535"/>
    <cellStyle name="Currency 21 8" xfId="12987"/>
    <cellStyle name="Currency 21 8 2" xfId="18504"/>
    <cellStyle name="Currency 21 9" xfId="11206"/>
    <cellStyle name="Currency 21 9 2" xfId="16678"/>
    <cellStyle name="Currency 22" xfId="2537"/>
    <cellStyle name="Currency 22 10" xfId="14869"/>
    <cellStyle name="Currency 22 11" xfId="15919"/>
    <cellStyle name="Currency 22 2" xfId="3522"/>
    <cellStyle name="Currency 22 2 2" xfId="7307"/>
    <cellStyle name="Currency 22 2 2 2" xfId="10746"/>
    <cellStyle name="Currency 22 2 2 2 2" xfId="14326"/>
    <cellStyle name="Currency 22 2 2 2 2 2" xfId="19393"/>
    <cellStyle name="Currency 22 2 2 2 3" xfId="12629"/>
    <cellStyle name="Currency 22 2 2 2 4" xfId="18017"/>
    <cellStyle name="Currency 22 2 2 3" xfId="13466"/>
    <cellStyle name="Currency 22 2 2 3 2" xfId="18935"/>
    <cellStyle name="Currency 22 2 2 4" xfId="11769"/>
    <cellStyle name="Currency 22 2 2 4 2" xfId="17157"/>
    <cellStyle name="Currency 22 2 2 5" xfId="15272"/>
    <cellStyle name="Currency 22 2 2 6" xfId="16319"/>
    <cellStyle name="Currency 22 2 3" xfId="10353"/>
    <cellStyle name="Currency 22 2 3 2" xfId="13934"/>
    <cellStyle name="Currency 22 2 3 2 2" xfId="19394"/>
    <cellStyle name="Currency 22 2 3 3" xfId="12237"/>
    <cellStyle name="Currency 22 2 3 4" xfId="17625"/>
    <cellStyle name="Currency 22 2 4" xfId="13077"/>
    <cellStyle name="Currency 22 2 4 2" xfId="18546"/>
    <cellStyle name="Currency 22 2 5" xfId="11296"/>
    <cellStyle name="Currency 22 2 5 2" xfId="16768"/>
    <cellStyle name="Currency 22 2 6" xfId="14882"/>
    <cellStyle name="Currency 22 2 7" xfId="15930"/>
    <cellStyle name="Currency 22 3" xfId="2726"/>
    <cellStyle name="Currency 22 4" xfId="4580"/>
    <cellStyle name="Currency 22 4 2" xfId="8968"/>
    <cellStyle name="Currency 22 4 2 2" xfId="10998"/>
    <cellStyle name="Currency 22 4 2 2 2" xfId="14578"/>
    <cellStyle name="Currency 22 4 2 2 2 2" xfId="19395"/>
    <cellStyle name="Currency 22 4 2 2 3" xfId="12881"/>
    <cellStyle name="Currency 22 4 2 2 4" xfId="18269"/>
    <cellStyle name="Currency 22 4 2 3" xfId="13717"/>
    <cellStyle name="Currency 22 4 2 3 2" xfId="19186"/>
    <cellStyle name="Currency 22 4 2 4" xfId="12020"/>
    <cellStyle name="Currency 22 4 2 4 2" xfId="17408"/>
    <cellStyle name="Currency 22 4 2 5" xfId="15524"/>
    <cellStyle name="Currency 22 4 2 6" xfId="16570"/>
    <cellStyle name="Currency 22 4 3" xfId="10522"/>
    <cellStyle name="Currency 22 4 3 2" xfId="14103"/>
    <cellStyle name="Currency 22 4 3 2 2" xfId="19396"/>
    <cellStyle name="Currency 22 4 3 3" xfId="12406"/>
    <cellStyle name="Currency 22 4 3 4" xfId="17794"/>
    <cellStyle name="Currency 22 4 4" xfId="13245"/>
    <cellStyle name="Currency 22 4 4 2" xfId="18714"/>
    <cellStyle name="Currency 22 4 5" xfId="11478"/>
    <cellStyle name="Currency 22 4 5 2" xfId="16936"/>
    <cellStyle name="Currency 22 4 6" xfId="15050"/>
    <cellStyle name="Currency 22 4 7" xfId="16098"/>
    <cellStyle name="Currency 22 5" xfId="6500"/>
    <cellStyle name="Currency 22 5 2" xfId="10673"/>
    <cellStyle name="Currency 22 5 2 2" xfId="14254"/>
    <cellStyle name="Currency 22 5 2 2 2" xfId="19397"/>
    <cellStyle name="Currency 22 5 2 3" xfId="12557"/>
    <cellStyle name="Currency 22 5 2 4" xfId="17945"/>
    <cellStyle name="Currency 22 5 3" xfId="13394"/>
    <cellStyle name="Currency 22 5 3 2" xfId="18863"/>
    <cellStyle name="Currency 22 5 4" xfId="11697"/>
    <cellStyle name="Currency 22 5 4 2" xfId="17085"/>
    <cellStyle name="Currency 22 5 5" xfId="15200"/>
    <cellStyle name="Currency 22 5 6" xfId="16247"/>
    <cellStyle name="Currency 22 6" xfId="11046"/>
    <cellStyle name="Currency 22 7" xfId="10341"/>
    <cellStyle name="Currency 22 7 2" xfId="13923"/>
    <cellStyle name="Currency 22 7 2 2" xfId="19398"/>
    <cellStyle name="Currency 22 7 3" xfId="12226"/>
    <cellStyle name="Currency 22 7 4" xfId="17614"/>
    <cellStyle name="Currency 22 8" xfId="13066"/>
    <cellStyle name="Currency 22 8 2" xfId="18535"/>
    <cellStyle name="Currency 22 9" xfId="11285"/>
    <cellStyle name="Currency 22 9 2" xfId="16757"/>
    <cellStyle name="Currency 23" xfId="2223"/>
    <cellStyle name="Currency 24" xfId="2127"/>
    <cellStyle name="Currency 25" xfId="2741"/>
    <cellStyle name="Currency 26" xfId="2727"/>
    <cellStyle name="Currency 27" xfId="2719"/>
    <cellStyle name="Currency 28" xfId="3142"/>
    <cellStyle name="Currency 29" xfId="3222"/>
    <cellStyle name="Currency 3" xfId="178"/>
    <cellStyle name="Currency 3 2" xfId="179"/>
    <cellStyle name="Currency 30" xfId="3159"/>
    <cellStyle name="Currency 31" xfId="3207"/>
    <cellStyle name="Currency 32" xfId="3107"/>
    <cellStyle name="Currency 33" xfId="2762"/>
    <cellStyle name="Currency 34" xfId="2853"/>
    <cellStyle name="Currency 35" xfId="2834"/>
    <cellStyle name="Currency 36" xfId="3077"/>
    <cellStyle name="Currency 37" xfId="3426"/>
    <cellStyle name="Currency 38" xfId="3516"/>
    <cellStyle name="Currency 39" xfId="3382"/>
    <cellStyle name="Currency 4" xfId="180"/>
    <cellStyle name="Currency 4 2" xfId="181"/>
    <cellStyle name="Currency 40" xfId="2665"/>
    <cellStyle name="Currency 41" xfId="4030"/>
    <cellStyle name="Currency 42" xfId="3660"/>
    <cellStyle name="Currency 43" xfId="4027"/>
    <cellStyle name="Currency 44" xfId="3942"/>
    <cellStyle name="Currency 45" xfId="4853"/>
    <cellStyle name="Currency 46" xfId="5092"/>
    <cellStyle name="Currency 47" xfId="4780"/>
    <cellStyle name="Currency 48" xfId="3669"/>
    <cellStyle name="Currency 49" xfId="5348"/>
    <cellStyle name="Currency 5" xfId="182"/>
    <cellStyle name="Currency 50" xfId="5197"/>
    <cellStyle name="Currency 51" xfId="5361"/>
    <cellStyle name="Currency 52" xfId="5387"/>
    <cellStyle name="Currency 53" xfId="5385"/>
    <cellStyle name="Currency 54" xfId="5309"/>
    <cellStyle name="Currency 55" xfId="5148"/>
    <cellStyle name="Currency 56" xfId="5378"/>
    <cellStyle name="Currency 57" xfId="5390"/>
    <cellStyle name="Currency 58" xfId="5395"/>
    <cellStyle name="Currency 59" xfId="5107"/>
    <cellStyle name="Currency 6" xfId="183"/>
    <cellStyle name="Currency 6 2" xfId="184"/>
    <cellStyle name="Currency 6 3" xfId="185"/>
    <cellStyle name="Currency 60" xfId="8484"/>
    <cellStyle name="Currency 61" xfId="9656"/>
    <cellStyle name="Currency 62" xfId="11012"/>
    <cellStyle name="Currency 63" xfId="11015"/>
    <cellStyle name="Currency 64" xfId="11044"/>
    <cellStyle name="Currency 65" xfId="11096"/>
    <cellStyle name="Currency 65 2" xfId="14700"/>
    <cellStyle name="Currency 66" xfId="14701"/>
    <cellStyle name="Currency 67" xfId="12902"/>
    <cellStyle name="Currency 67 2" xfId="19399"/>
    <cellStyle name="Currency 68" xfId="19400"/>
    <cellStyle name="Currency 69" xfId="19401"/>
    <cellStyle name="Currency 7" xfId="186"/>
    <cellStyle name="Currency 70" xfId="19402"/>
    <cellStyle name="Currency 71" xfId="19403"/>
    <cellStyle name="Currency 72" xfId="16587"/>
    <cellStyle name="Currency 8" xfId="1019"/>
    <cellStyle name="Currency 8 10" xfId="11113"/>
    <cellStyle name="Currency 8 10 2" xfId="16599"/>
    <cellStyle name="Currency 8 11" xfId="14708"/>
    <cellStyle name="Currency 8 12" xfId="15761"/>
    <cellStyle name="Currency 8 2" xfId="1572"/>
    <cellStyle name="Currency 8 3" xfId="1854"/>
    <cellStyle name="Currency 8 3 10" xfId="15795"/>
    <cellStyle name="Currency 8 3 2" xfId="2489"/>
    <cellStyle name="Currency 8 3 2 2" xfId="4541"/>
    <cellStyle name="Currency 8 3 2 2 2" xfId="8929"/>
    <cellStyle name="Currency 8 3 2 2 2 2" xfId="10959"/>
    <cellStyle name="Currency 8 3 2 2 2 2 2" xfId="14539"/>
    <cellStyle name="Currency 8 3 2 2 2 2 2 2" xfId="19404"/>
    <cellStyle name="Currency 8 3 2 2 2 2 3" xfId="12842"/>
    <cellStyle name="Currency 8 3 2 2 2 2 4" xfId="18230"/>
    <cellStyle name="Currency 8 3 2 2 2 3" xfId="13678"/>
    <cellStyle name="Currency 8 3 2 2 2 3 2" xfId="19147"/>
    <cellStyle name="Currency 8 3 2 2 2 4" xfId="11981"/>
    <cellStyle name="Currency 8 3 2 2 2 4 2" xfId="17369"/>
    <cellStyle name="Currency 8 3 2 2 2 5" xfId="15485"/>
    <cellStyle name="Currency 8 3 2 2 2 6" xfId="16531"/>
    <cellStyle name="Currency 8 3 2 2 3" xfId="10483"/>
    <cellStyle name="Currency 8 3 2 2 3 2" xfId="14064"/>
    <cellStyle name="Currency 8 3 2 2 3 2 2" xfId="19405"/>
    <cellStyle name="Currency 8 3 2 2 3 3" xfId="12367"/>
    <cellStyle name="Currency 8 3 2 2 3 4" xfId="17755"/>
    <cellStyle name="Currency 8 3 2 2 4" xfId="13206"/>
    <cellStyle name="Currency 8 3 2 2 4 2" xfId="18675"/>
    <cellStyle name="Currency 8 3 2 2 5" xfId="11439"/>
    <cellStyle name="Currency 8 3 2 2 5 2" xfId="16897"/>
    <cellStyle name="Currency 8 3 2 2 6" xfId="15011"/>
    <cellStyle name="Currency 8 3 2 2 7" xfId="16059"/>
    <cellStyle name="Currency 8 3 2 3" xfId="5347"/>
    <cellStyle name="Currency 8 3 2 3 2" xfId="10628"/>
    <cellStyle name="Currency 8 3 2 3 2 2" xfId="14209"/>
    <cellStyle name="Currency 8 3 2 3 2 2 2" xfId="19406"/>
    <cellStyle name="Currency 8 3 2 3 2 3" xfId="12512"/>
    <cellStyle name="Currency 8 3 2 3 2 4" xfId="17900"/>
    <cellStyle name="Currency 8 3 2 3 3" xfId="13350"/>
    <cellStyle name="Currency 8 3 2 3 3 2" xfId="18819"/>
    <cellStyle name="Currency 8 3 2 3 4" xfId="11608"/>
    <cellStyle name="Currency 8 3 2 3 4 2" xfId="17041"/>
    <cellStyle name="Currency 8 3 2 3 5" xfId="15156"/>
    <cellStyle name="Currency 8 3 2 3 6" xfId="16203"/>
    <cellStyle name="Currency 8 3 2 4" xfId="6719"/>
    <cellStyle name="Currency 8 3 2 4 2" xfId="10689"/>
    <cellStyle name="Currency 8 3 2 4 2 2" xfId="14270"/>
    <cellStyle name="Currency 8 3 2 4 2 2 2" xfId="19407"/>
    <cellStyle name="Currency 8 3 2 4 2 3" xfId="12573"/>
    <cellStyle name="Currency 8 3 2 4 2 4" xfId="17961"/>
    <cellStyle name="Currency 8 3 2 4 3" xfId="13410"/>
    <cellStyle name="Currency 8 3 2 4 3 2" xfId="18879"/>
    <cellStyle name="Currency 8 3 2 4 4" xfId="11713"/>
    <cellStyle name="Currency 8 3 2 4 4 2" xfId="17101"/>
    <cellStyle name="Currency 8 3 2 4 5" xfId="15216"/>
    <cellStyle name="Currency 8 3 2 4 6" xfId="16263"/>
    <cellStyle name="Currency 8 3 2 5" xfId="10302"/>
    <cellStyle name="Currency 8 3 2 5 2" xfId="13884"/>
    <cellStyle name="Currency 8 3 2 5 2 2" xfId="19408"/>
    <cellStyle name="Currency 8 3 2 5 3" xfId="12187"/>
    <cellStyle name="Currency 8 3 2 5 4" xfId="17575"/>
    <cellStyle name="Currency 8 3 2 6" xfId="13027"/>
    <cellStyle name="Currency 8 3 2 6 2" xfId="18483"/>
    <cellStyle name="Currency 8 3 2 7" xfId="11246"/>
    <cellStyle name="Currency 8 3 2 7 2" xfId="16718"/>
    <cellStyle name="Currency 8 3 2 8" xfId="14830"/>
    <cellStyle name="Currency 8 3 2 9" xfId="15880"/>
    <cellStyle name="Currency 8 3 3" xfId="4364"/>
    <cellStyle name="Currency 8 3 3 2" xfId="8800"/>
    <cellStyle name="Currency 8 3 3 2 2" xfId="10871"/>
    <cellStyle name="Currency 8 3 3 2 2 2" xfId="14451"/>
    <cellStyle name="Currency 8 3 3 2 2 2 2" xfId="19409"/>
    <cellStyle name="Currency 8 3 3 2 2 3" xfId="12754"/>
    <cellStyle name="Currency 8 3 3 2 2 4" xfId="18142"/>
    <cellStyle name="Currency 8 3 3 2 3" xfId="13590"/>
    <cellStyle name="Currency 8 3 3 2 3 2" xfId="19059"/>
    <cellStyle name="Currency 8 3 3 2 4" xfId="11893"/>
    <cellStyle name="Currency 8 3 3 2 4 2" xfId="17281"/>
    <cellStyle name="Currency 8 3 3 2 5" xfId="15397"/>
    <cellStyle name="Currency 8 3 3 2 6" xfId="16443"/>
    <cellStyle name="Currency 8 3 3 3" xfId="10395"/>
    <cellStyle name="Currency 8 3 3 3 2" xfId="13976"/>
    <cellStyle name="Currency 8 3 3 3 2 2" xfId="19410"/>
    <cellStyle name="Currency 8 3 3 3 3" xfId="12279"/>
    <cellStyle name="Currency 8 3 3 3 4" xfId="17667"/>
    <cellStyle name="Currency 8 3 3 4" xfId="13118"/>
    <cellStyle name="Currency 8 3 3 4 2" xfId="18587"/>
    <cellStyle name="Currency 8 3 3 5" xfId="11351"/>
    <cellStyle name="Currency 8 3 3 5 2" xfId="16809"/>
    <cellStyle name="Currency 8 3 3 6" xfId="14923"/>
    <cellStyle name="Currency 8 3 3 7" xfId="15971"/>
    <cellStyle name="Currency 8 3 4" xfId="5249"/>
    <cellStyle name="Currency 8 3 4 2" xfId="10591"/>
    <cellStyle name="Currency 8 3 4 2 2" xfId="14172"/>
    <cellStyle name="Currency 8 3 4 2 2 2" xfId="19411"/>
    <cellStyle name="Currency 8 3 4 2 3" xfId="12475"/>
    <cellStyle name="Currency 8 3 4 2 4" xfId="17863"/>
    <cellStyle name="Currency 8 3 4 3" xfId="13313"/>
    <cellStyle name="Currency 8 3 4 3 2" xfId="18782"/>
    <cellStyle name="Currency 8 3 4 4" xfId="11568"/>
    <cellStyle name="Currency 8 3 4 4 2" xfId="17004"/>
    <cellStyle name="Currency 8 3 4 5" xfId="15119"/>
    <cellStyle name="Currency 8 3 4 6" xfId="16166"/>
    <cellStyle name="Currency 8 3 5" xfId="7163"/>
    <cellStyle name="Currency 8 3 5 2" xfId="10739"/>
    <cellStyle name="Currency 8 3 5 2 2" xfId="14319"/>
    <cellStyle name="Currency 8 3 5 2 2 2" xfId="19412"/>
    <cellStyle name="Currency 8 3 5 2 3" xfId="12622"/>
    <cellStyle name="Currency 8 3 5 2 4" xfId="18010"/>
    <cellStyle name="Currency 8 3 5 3" xfId="13459"/>
    <cellStyle name="Currency 8 3 5 3 2" xfId="18928"/>
    <cellStyle name="Currency 8 3 5 4" xfId="11762"/>
    <cellStyle name="Currency 8 3 5 4 2" xfId="17150"/>
    <cellStyle name="Currency 8 3 5 5" xfId="15265"/>
    <cellStyle name="Currency 8 3 5 6" xfId="16312"/>
    <cellStyle name="Currency 8 3 6" xfId="10216"/>
    <cellStyle name="Currency 8 3 6 2" xfId="13798"/>
    <cellStyle name="Currency 8 3 6 2 2" xfId="19413"/>
    <cellStyle name="Currency 8 3 6 3" xfId="12101"/>
    <cellStyle name="Currency 8 3 6 4" xfId="17489"/>
    <cellStyle name="Currency 8 3 7" xfId="12942"/>
    <cellStyle name="Currency 8 3 7 2" xfId="18417"/>
    <cellStyle name="Currency 8 3 8" xfId="11147"/>
    <cellStyle name="Currency 8 3 8 2" xfId="16633"/>
    <cellStyle name="Currency 8 3 9" xfId="14743"/>
    <cellStyle name="Currency 8 4" xfId="2392"/>
    <cellStyle name="Currency 8 4 2" xfId="4506"/>
    <cellStyle name="Currency 8 4 2 2" xfId="8894"/>
    <cellStyle name="Currency 8 4 2 2 2" xfId="10924"/>
    <cellStyle name="Currency 8 4 2 2 2 2" xfId="14504"/>
    <cellStyle name="Currency 8 4 2 2 2 2 2" xfId="19414"/>
    <cellStyle name="Currency 8 4 2 2 2 3" xfId="12807"/>
    <cellStyle name="Currency 8 4 2 2 2 4" xfId="18195"/>
    <cellStyle name="Currency 8 4 2 2 3" xfId="13643"/>
    <cellStyle name="Currency 8 4 2 2 3 2" xfId="19112"/>
    <cellStyle name="Currency 8 4 2 2 4" xfId="11946"/>
    <cellStyle name="Currency 8 4 2 2 4 2" xfId="17334"/>
    <cellStyle name="Currency 8 4 2 2 5" xfId="15450"/>
    <cellStyle name="Currency 8 4 2 2 6" xfId="16496"/>
    <cellStyle name="Currency 8 4 2 3" xfId="10448"/>
    <cellStyle name="Currency 8 4 2 3 2" xfId="14029"/>
    <cellStyle name="Currency 8 4 2 3 2 2" xfId="19415"/>
    <cellStyle name="Currency 8 4 2 3 3" xfId="12332"/>
    <cellStyle name="Currency 8 4 2 3 4" xfId="17720"/>
    <cellStyle name="Currency 8 4 2 4" xfId="13171"/>
    <cellStyle name="Currency 8 4 2 4 2" xfId="18640"/>
    <cellStyle name="Currency 8 4 2 5" xfId="11404"/>
    <cellStyle name="Currency 8 4 2 5 2" xfId="16862"/>
    <cellStyle name="Currency 8 4 2 6" xfId="14976"/>
    <cellStyle name="Currency 8 4 2 7" xfId="16024"/>
    <cellStyle name="Currency 8 4 3" xfId="5161"/>
    <cellStyle name="Currency 8 4 3 2" xfId="10555"/>
    <cellStyle name="Currency 8 4 3 2 2" xfId="14136"/>
    <cellStyle name="Currency 8 4 3 2 2 2" xfId="19416"/>
    <cellStyle name="Currency 8 4 3 2 3" xfId="12439"/>
    <cellStyle name="Currency 8 4 3 2 4" xfId="17827"/>
    <cellStyle name="Currency 8 4 3 3" xfId="13277"/>
    <cellStyle name="Currency 8 4 3 3 2" xfId="18746"/>
    <cellStyle name="Currency 8 4 3 4" xfId="11527"/>
    <cellStyle name="Currency 8 4 3 4 2" xfId="16968"/>
    <cellStyle name="Currency 8 4 3 5" xfId="15083"/>
    <cellStyle name="Currency 8 4 3 6" xfId="16130"/>
    <cellStyle name="Currency 8 4 4" xfId="6490"/>
    <cellStyle name="Currency 8 4 4 2" xfId="10672"/>
    <cellStyle name="Currency 8 4 4 2 2" xfId="14253"/>
    <cellStyle name="Currency 8 4 4 2 2 2" xfId="19417"/>
    <cellStyle name="Currency 8 4 4 2 3" xfId="12556"/>
    <cellStyle name="Currency 8 4 4 2 4" xfId="17944"/>
    <cellStyle name="Currency 8 4 4 3" xfId="13393"/>
    <cellStyle name="Currency 8 4 4 3 2" xfId="18862"/>
    <cellStyle name="Currency 8 4 4 4" xfId="11696"/>
    <cellStyle name="Currency 8 4 4 4 2" xfId="17084"/>
    <cellStyle name="Currency 8 4 4 5" xfId="15199"/>
    <cellStyle name="Currency 8 4 4 6" xfId="16246"/>
    <cellStyle name="Currency 8 4 5" xfId="10267"/>
    <cellStyle name="Currency 8 4 5 2" xfId="13849"/>
    <cellStyle name="Currency 8 4 5 2 2" xfId="19418"/>
    <cellStyle name="Currency 8 4 5 3" xfId="12152"/>
    <cellStyle name="Currency 8 4 5 4" xfId="17540"/>
    <cellStyle name="Currency 8 4 6" xfId="12992"/>
    <cellStyle name="Currency 8 4 6 2" xfId="18449"/>
    <cellStyle name="Currency 8 4 7" xfId="11211"/>
    <cellStyle name="Currency 8 4 7 2" xfId="16683"/>
    <cellStyle name="Currency 8 4 8" xfId="14794"/>
    <cellStyle name="Currency 8 4 9" xfId="15845"/>
    <cellStyle name="Currency 8 5" xfId="4328"/>
    <cellStyle name="Currency 8 5 2" xfId="8765"/>
    <cellStyle name="Currency 8 5 2 2" xfId="10836"/>
    <cellStyle name="Currency 8 5 2 2 2" xfId="14416"/>
    <cellStyle name="Currency 8 5 2 2 2 2" xfId="19419"/>
    <cellStyle name="Currency 8 5 2 2 3" xfId="12719"/>
    <cellStyle name="Currency 8 5 2 2 4" xfId="18107"/>
    <cellStyle name="Currency 8 5 2 3" xfId="13555"/>
    <cellStyle name="Currency 8 5 2 3 2" xfId="19024"/>
    <cellStyle name="Currency 8 5 2 4" xfId="11858"/>
    <cellStyle name="Currency 8 5 2 4 2" xfId="17246"/>
    <cellStyle name="Currency 8 5 2 5" xfId="15362"/>
    <cellStyle name="Currency 8 5 2 6" xfId="16408"/>
    <cellStyle name="Currency 8 5 3" xfId="10360"/>
    <cellStyle name="Currency 8 5 3 2" xfId="13941"/>
    <cellStyle name="Currency 8 5 3 2 2" xfId="19420"/>
    <cellStyle name="Currency 8 5 3 3" xfId="12244"/>
    <cellStyle name="Currency 8 5 3 4" xfId="17632"/>
    <cellStyle name="Currency 8 5 4" xfId="13083"/>
    <cellStyle name="Currency 8 5 4 2" xfId="18552"/>
    <cellStyle name="Currency 8 5 5" xfId="11316"/>
    <cellStyle name="Currency 8 5 5 2" xfId="16774"/>
    <cellStyle name="Currency 8 5 6" xfId="14888"/>
    <cellStyle name="Currency 8 5 7" xfId="15936"/>
    <cellStyle name="Currency 8 6" xfId="5170"/>
    <cellStyle name="Currency 8 6 2" xfId="10559"/>
    <cellStyle name="Currency 8 6 2 2" xfId="14140"/>
    <cellStyle name="Currency 8 6 2 2 2" xfId="19421"/>
    <cellStyle name="Currency 8 6 2 3" xfId="12443"/>
    <cellStyle name="Currency 8 6 2 4" xfId="17831"/>
    <cellStyle name="Currency 8 6 3" xfId="13281"/>
    <cellStyle name="Currency 8 6 3 2" xfId="18750"/>
    <cellStyle name="Currency 8 6 4" xfId="11531"/>
    <cellStyle name="Currency 8 6 4 2" xfId="16972"/>
    <cellStyle name="Currency 8 6 5" xfId="15087"/>
    <cellStyle name="Currency 8 6 6" xfId="16134"/>
    <cellStyle name="Currency 8 7" xfId="6246"/>
    <cellStyle name="Currency 8 7 2" xfId="10648"/>
    <cellStyle name="Currency 8 7 2 2" xfId="14229"/>
    <cellStyle name="Currency 8 7 2 2 2" xfId="19422"/>
    <cellStyle name="Currency 8 7 2 3" xfId="12532"/>
    <cellStyle name="Currency 8 7 2 4" xfId="17920"/>
    <cellStyle name="Currency 8 7 3" xfId="13370"/>
    <cellStyle name="Currency 8 7 3 2" xfId="18839"/>
    <cellStyle name="Currency 8 7 4" xfId="11673"/>
    <cellStyle name="Currency 8 7 4 2" xfId="17061"/>
    <cellStyle name="Currency 8 7 5" xfId="15176"/>
    <cellStyle name="Currency 8 7 6" xfId="16223"/>
    <cellStyle name="Currency 8 8" xfId="10180"/>
    <cellStyle name="Currency 8 8 2" xfId="13764"/>
    <cellStyle name="Currency 8 8 2 2" xfId="19423"/>
    <cellStyle name="Currency 8 8 3" xfId="12067"/>
    <cellStyle name="Currency 8 8 4" xfId="17455"/>
    <cellStyle name="Currency 8 9" xfId="12908"/>
    <cellStyle name="Currency 8 9 2" xfId="19424"/>
    <cellStyle name="Currency 9" xfId="1558"/>
    <cellStyle name="Currency 9 10" xfId="14725"/>
    <cellStyle name="Currency 9 11" xfId="15777"/>
    <cellStyle name="Currency 9 2" xfId="1889"/>
    <cellStyle name="Currency 9 2 10" xfId="15810"/>
    <cellStyle name="Currency 9 2 2" xfId="2504"/>
    <cellStyle name="Currency 9 2 2 2" xfId="4556"/>
    <cellStyle name="Currency 9 2 2 2 2" xfId="8944"/>
    <cellStyle name="Currency 9 2 2 2 2 2" xfId="10974"/>
    <cellStyle name="Currency 9 2 2 2 2 2 2" xfId="14554"/>
    <cellStyle name="Currency 9 2 2 2 2 2 2 2" xfId="19425"/>
    <cellStyle name="Currency 9 2 2 2 2 2 3" xfId="12857"/>
    <cellStyle name="Currency 9 2 2 2 2 2 4" xfId="18245"/>
    <cellStyle name="Currency 9 2 2 2 2 3" xfId="13693"/>
    <cellStyle name="Currency 9 2 2 2 2 3 2" xfId="19162"/>
    <cellStyle name="Currency 9 2 2 2 2 4" xfId="11996"/>
    <cellStyle name="Currency 9 2 2 2 2 4 2" xfId="17384"/>
    <cellStyle name="Currency 9 2 2 2 2 5" xfId="15500"/>
    <cellStyle name="Currency 9 2 2 2 2 6" xfId="16546"/>
    <cellStyle name="Currency 9 2 2 2 3" xfId="10498"/>
    <cellStyle name="Currency 9 2 2 2 3 2" xfId="14079"/>
    <cellStyle name="Currency 9 2 2 2 3 2 2" xfId="19426"/>
    <cellStyle name="Currency 9 2 2 2 3 3" xfId="12382"/>
    <cellStyle name="Currency 9 2 2 2 3 4" xfId="17770"/>
    <cellStyle name="Currency 9 2 2 2 4" xfId="13221"/>
    <cellStyle name="Currency 9 2 2 2 4 2" xfId="18690"/>
    <cellStyle name="Currency 9 2 2 2 5" xfId="11454"/>
    <cellStyle name="Currency 9 2 2 2 5 2" xfId="16912"/>
    <cellStyle name="Currency 9 2 2 2 6" xfId="15026"/>
    <cellStyle name="Currency 9 2 2 2 7" xfId="16074"/>
    <cellStyle name="Currency 9 2 2 3" xfId="6428"/>
    <cellStyle name="Currency 9 2 2 3 2" xfId="10666"/>
    <cellStyle name="Currency 9 2 2 3 2 2" xfId="14247"/>
    <cellStyle name="Currency 9 2 2 3 2 2 2" xfId="19427"/>
    <cellStyle name="Currency 9 2 2 3 2 3" xfId="12550"/>
    <cellStyle name="Currency 9 2 2 3 2 4" xfId="17938"/>
    <cellStyle name="Currency 9 2 2 3 3" xfId="13387"/>
    <cellStyle name="Currency 9 2 2 3 3 2" xfId="18856"/>
    <cellStyle name="Currency 9 2 2 3 4" xfId="11690"/>
    <cellStyle name="Currency 9 2 2 3 4 2" xfId="17078"/>
    <cellStyle name="Currency 9 2 2 3 5" xfId="15193"/>
    <cellStyle name="Currency 9 2 2 3 6" xfId="16240"/>
    <cellStyle name="Currency 9 2 2 4" xfId="10317"/>
    <cellStyle name="Currency 9 2 2 4 2" xfId="13899"/>
    <cellStyle name="Currency 9 2 2 4 2 2" xfId="19428"/>
    <cellStyle name="Currency 9 2 2 4 3" xfId="12202"/>
    <cellStyle name="Currency 9 2 2 4 4" xfId="17590"/>
    <cellStyle name="Currency 9 2 2 5" xfId="13042"/>
    <cellStyle name="Currency 9 2 2 5 2" xfId="18513"/>
    <cellStyle name="Currency 9 2 2 6" xfId="11261"/>
    <cellStyle name="Currency 9 2 2 6 2" xfId="16733"/>
    <cellStyle name="Currency 9 2 2 7" xfId="14845"/>
    <cellStyle name="Currency 9 2 2 8" xfId="15895"/>
    <cellStyle name="Currency 9 2 3" xfId="4379"/>
    <cellStyle name="Currency 9 2 3 2" xfId="8815"/>
    <cellStyle name="Currency 9 2 3 2 2" xfId="10886"/>
    <cellStyle name="Currency 9 2 3 2 2 2" xfId="14466"/>
    <cellStyle name="Currency 9 2 3 2 2 2 2" xfId="19429"/>
    <cellStyle name="Currency 9 2 3 2 2 3" xfId="12769"/>
    <cellStyle name="Currency 9 2 3 2 2 4" xfId="18157"/>
    <cellStyle name="Currency 9 2 3 2 3" xfId="13605"/>
    <cellStyle name="Currency 9 2 3 2 3 2" xfId="19074"/>
    <cellStyle name="Currency 9 2 3 2 4" xfId="11908"/>
    <cellStyle name="Currency 9 2 3 2 4 2" xfId="17296"/>
    <cellStyle name="Currency 9 2 3 2 5" xfId="15412"/>
    <cellStyle name="Currency 9 2 3 2 6" xfId="16458"/>
    <cellStyle name="Currency 9 2 3 3" xfId="10410"/>
    <cellStyle name="Currency 9 2 3 3 2" xfId="13991"/>
    <cellStyle name="Currency 9 2 3 3 2 2" xfId="19430"/>
    <cellStyle name="Currency 9 2 3 3 3" xfId="12294"/>
    <cellStyle name="Currency 9 2 3 3 4" xfId="17682"/>
    <cellStyle name="Currency 9 2 3 4" xfId="13133"/>
    <cellStyle name="Currency 9 2 3 4 2" xfId="18602"/>
    <cellStyle name="Currency 9 2 3 5" xfId="11366"/>
    <cellStyle name="Currency 9 2 3 5 2" xfId="16824"/>
    <cellStyle name="Currency 9 2 3 6" xfId="14938"/>
    <cellStyle name="Currency 9 2 3 7" xfId="15986"/>
    <cellStyle name="Currency 9 2 4" xfId="5207"/>
    <cellStyle name="Currency 9 2 4 2" xfId="10569"/>
    <cellStyle name="Currency 9 2 4 2 2" xfId="14150"/>
    <cellStyle name="Currency 9 2 4 2 2 2" xfId="19431"/>
    <cellStyle name="Currency 9 2 4 2 3" xfId="12453"/>
    <cellStyle name="Currency 9 2 4 2 4" xfId="17841"/>
    <cellStyle name="Currency 9 2 4 3" xfId="13291"/>
    <cellStyle name="Currency 9 2 4 3 2" xfId="18760"/>
    <cellStyle name="Currency 9 2 4 4" xfId="11543"/>
    <cellStyle name="Currency 9 2 4 4 2" xfId="16982"/>
    <cellStyle name="Currency 9 2 4 5" xfId="15097"/>
    <cellStyle name="Currency 9 2 4 6" xfId="16144"/>
    <cellStyle name="Currency 9 2 5" xfId="6552"/>
    <cellStyle name="Currency 9 2 5 2" xfId="10676"/>
    <cellStyle name="Currency 9 2 5 2 2" xfId="14257"/>
    <cellStyle name="Currency 9 2 5 2 2 2" xfId="19432"/>
    <cellStyle name="Currency 9 2 5 2 3" xfId="12560"/>
    <cellStyle name="Currency 9 2 5 2 4" xfId="17948"/>
    <cellStyle name="Currency 9 2 5 3" xfId="13397"/>
    <cellStyle name="Currency 9 2 5 3 2" xfId="18866"/>
    <cellStyle name="Currency 9 2 5 4" xfId="11700"/>
    <cellStyle name="Currency 9 2 5 4 2" xfId="17088"/>
    <cellStyle name="Currency 9 2 5 5" xfId="15203"/>
    <cellStyle name="Currency 9 2 5 6" xfId="16250"/>
    <cellStyle name="Currency 9 2 6" xfId="10231"/>
    <cellStyle name="Currency 9 2 6 2" xfId="13813"/>
    <cellStyle name="Currency 9 2 6 2 2" xfId="19433"/>
    <cellStyle name="Currency 9 2 6 3" xfId="12116"/>
    <cellStyle name="Currency 9 2 6 4" xfId="17504"/>
    <cellStyle name="Currency 9 2 7" xfId="12957"/>
    <cellStyle name="Currency 9 2 7 2" xfId="18498"/>
    <cellStyle name="Currency 9 2 8" xfId="11162"/>
    <cellStyle name="Currency 9 2 8 2" xfId="16648"/>
    <cellStyle name="Currency 9 2 9" xfId="14758"/>
    <cellStyle name="Currency 9 3" xfId="2422"/>
    <cellStyle name="Currency 9 3 2" xfId="4523"/>
    <cellStyle name="Currency 9 3 2 2" xfId="8911"/>
    <cellStyle name="Currency 9 3 2 2 2" xfId="10941"/>
    <cellStyle name="Currency 9 3 2 2 2 2" xfId="14521"/>
    <cellStyle name="Currency 9 3 2 2 2 2 2" xfId="19434"/>
    <cellStyle name="Currency 9 3 2 2 2 3" xfId="12824"/>
    <cellStyle name="Currency 9 3 2 2 2 4" xfId="18212"/>
    <cellStyle name="Currency 9 3 2 2 3" xfId="13660"/>
    <cellStyle name="Currency 9 3 2 2 3 2" xfId="19129"/>
    <cellStyle name="Currency 9 3 2 2 4" xfId="11963"/>
    <cellStyle name="Currency 9 3 2 2 4 2" xfId="17351"/>
    <cellStyle name="Currency 9 3 2 2 5" xfId="15467"/>
    <cellStyle name="Currency 9 3 2 2 6" xfId="16513"/>
    <cellStyle name="Currency 9 3 2 3" xfId="10465"/>
    <cellStyle name="Currency 9 3 2 3 2" xfId="14046"/>
    <cellStyle name="Currency 9 3 2 3 2 2" xfId="19435"/>
    <cellStyle name="Currency 9 3 2 3 3" xfId="12349"/>
    <cellStyle name="Currency 9 3 2 3 4" xfId="17737"/>
    <cellStyle name="Currency 9 3 2 4" xfId="13188"/>
    <cellStyle name="Currency 9 3 2 4 2" xfId="18657"/>
    <cellStyle name="Currency 9 3 2 5" xfId="11421"/>
    <cellStyle name="Currency 9 3 2 5 2" xfId="16879"/>
    <cellStyle name="Currency 9 3 2 6" xfId="14993"/>
    <cellStyle name="Currency 9 3 2 7" xfId="16041"/>
    <cellStyle name="Currency 9 3 3" xfId="5248"/>
    <cellStyle name="Currency 9 3 3 2" xfId="10590"/>
    <cellStyle name="Currency 9 3 3 2 2" xfId="14171"/>
    <cellStyle name="Currency 9 3 3 2 2 2" xfId="19436"/>
    <cellStyle name="Currency 9 3 3 2 3" xfId="12474"/>
    <cellStyle name="Currency 9 3 3 2 4" xfId="17862"/>
    <cellStyle name="Currency 9 3 3 3" xfId="13312"/>
    <cellStyle name="Currency 9 3 3 3 2" xfId="18781"/>
    <cellStyle name="Currency 9 3 3 4" xfId="11567"/>
    <cellStyle name="Currency 9 3 3 4 2" xfId="17003"/>
    <cellStyle name="Currency 9 3 3 5" xfId="15118"/>
    <cellStyle name="Currency 9 3 3 6" xfId="16165"/>
    <cellStyle name="Currency 9 3 4" xfId="6398"/>
    <cellStyle name="Currency 9 3 4 2" xfId="10662"/>
    <cellStyle name="Currency 9 3 4 2 2" xfId="14243"/>
    <cellStyle name="Currency 9 3 4 2 2 2" xfId="19437"/>
    <cellStyle name="Currency 9 3 4 2 3" xfId="12546"/>
    <cellStyle name="Currency 9 3 4 2 4" xfId="17934"/>
    <cellStyle name="Currency 9 3 4 3" xfId="13383"/>
    <cellStyle name="Currency 9 3 4 3 2" xfId="18852"/>
    <cellStyle name="Currency 9 3 4 4" xfId="11686"/>
    <cellStyle name="Currency 9 3 4 4 2" xfId="17074"/>
    <cellStyle name="Currency 9 3 4 5" xfId="15189"/>
    <cellStyle name="Currency 9 3 4 6" xfId="16236"/>
    <cellStyle name="Currency 9 3 5" xfId="10284"/>
    <cellStyle name="Currency 9 3 5 2" xfId="13866"/>
    <cellStyle name="Currency 9 3 5 2 2" xfId="19438"/>
    <cellStyle name="Currency 9 3 5 3" xfId="12169"/>
    <cellStyle name="Currency 9 3 5 4" xfId="17557"/>
    <cellStyle name="Currency 9 3 6" xfId="13009"/>
    <cellStyle name="Currency 9 3 6 2" xfId="18465"/>
    <cellStyle name="Currency 9 3 7" xfId="11228"/>
    <cellStyle name="Currency 9 3 7 2" xfId="16700"/>
    <cellStyle name="Currency 9 3 8" xfId="14812"/>
    <cellStyle name="Currency 9 3 9" xfId="15862"/>
    <cellStyle name="Currency 9 4" xfId="4346"/>
    <cellStyle name="Currency 9 4 2" xfId="8782"/>
    <cellStyle name="Currency 9 4 2 2" xfId="10853"/>
    <cellStyle name="Currency 9 4 2 2 2" xfId="14433"/>
    <cellStyle name="Currency 9 4 2 2 2 2" xfId="19439"/>
    <cellStyle name="Currency 9 4 2 2 3" xfId="12736"/>
    <cellStyle name="Currency 9 4 2 2 4" xfId="18124"/>
    <cellStyle name="Currency 9 4 2 3" xfId="13572"/>
    <cellStyle name="Currency 9 4 2 3 2" xfId="19041"/>
    <cellStyle name="Currency 9 4 2 4" xfId="11875"/>
    <cellStyle name="Currency 9 4 2 4 2" xfId="17263"/>
    <cellStyle name="Currency 9 4 2 5" xfId="15379"/>
    <cellStyle name="Currency 9 4 2 6" xfId="16425"/>
    <cellStyle name="Currency 9 4 3" xfId="10377"/>
    <cellStyle name="Currency 9 4 3 2" xfId="13958"/>
    <cellStyle name="Currency 9 4 3 2 2" xfId="19440"/>
    <cellStyle name="Currency 9 4 3 3" xfId="12261"/>
    <cellStyle name="Currency 9 4 3 4" xfId="17649"/>
    <cellStyle name="Currency 9 4 4" xfId="13100"/>
    <cellStyle name="Currency 9 4 4 2" xfId="18569"/>
    <cellStyle name="Currency 9 4 5" xfId="11333"/>
    <cellStyle name="Currency 9 4 5 2" xfId="16791"/>
    <cellStyle name="Currency 9 4 6" xfId="14905"/>
    <cellStyle name="Currency 9 4 7" xfId="15953"/>
    <cellStyle name="Currency 9 5" xfId="5363"/>
    <cellStyle name="Currency 9 5 2" xfId="10637"/>
    <cellStyle name="Currency 9 5 2 2" xfId="14218"/>
    <cellStyle name="Currency 9 5 2 2 2" xfId="19441"/>
    <cellStyle name="Currency 9 5 2 3" xfId="12521"/>
    <cellStyle name="Currency 9 5 2 4" xfId="17909"/>
    <cellStyle name="Currency 9 5 3" xfId="13359"/>
    <cellStyle name="Currency 9 5 3 2" xfId="18828"/>
    <cellStyle name="Currency 9 5 4" xfId="11618"/>
    <cellStyle name="Currency 9 5 4 2" xfId="17050"/>
    <cellStyle name="Currency 9 5 5" xfId="15165"/>
    <cellStyle name="Currency 9 5 6" xfId="16212"/>
    <cellStyle name="Currency 9 6" xfId="7520"/>
    <cellStyle name="Currency 9 6 2" xfId="10767"/>
    <cellStyle name="Currency 9 6 2 2" xfId="14347"/>
    <cellStyle name="Currency 9 6 2 2 2" xfId="19442"/>
    <cellStyle name="Currency 9 6 2 3" xfId="12650"/>
    <cellStyle name="Currency 9 6 2 4" xfId="18038"/>
    <cellStyle name="Currency 9 6 3" xfId="13487"/>
    <cellStyle name="Currency 9 6 3 2" xfId="18956"/>
    <cellStyle name="Currency 9 6 4" xfId="11790"/>
    <cellStyle name="Currency 9 6 4 2" xfId="17178"/>
    <cellStyle name="Currency 9 6 5" xfId="15293"/>
    <cellStyle name="Currency 9 6 6" xfId="16340"/>
    <cellStyle name="Currency 9 7" xfId="10198"/>
    <cellStyle name="Currency 9 7 2" xfId="13780"/>
    <cellStyle name="Currency 9 7 2 2" xfId="19443"/>
    <cellStyle name="Currency 9 7 3" xfId="12083"/>
    <cellStyle name="Currency 9 7 4" xfId="17471"/>
    <cellStyle name="Currency 9 8" xfId="12924"/>
    <cellStyle name="Currency 9 8 2" xfId="18433"/>
    <cellStyle name="Currency 9 9" xfId="11129"/>
    <cellStyle name="Currency 9 9 2" xfId="16615"/>
    <cellStyle name="D4_B8B1_005004B79812_.wvu.PrintTitlest" xfId="187"/>
    <cellStyle name="Date" xfId="188"/>
    <cellStyle name="Date 2" xfId="189"/>
    <cellStyle name="dms_Blue_HDR" xfId="190"/>
    <cellStyle name="Emphasis 1" xfId="191"/>
    <cellStyle name="Emphasis 1 2" xfId="1020"/>
    <cellStyle name="Emphasis 1 3" xfId="11040"/>
    <cellStyle name="Emphasis 2" xfId="192"/>
    <cellStyle name="Emphasis 2 2" xfId="1021"/>
    <cellStyle name="Emphasis 2 3" xfId="11041"/>
    <cellStyle name="Emphasis 3" xfId="193"/>
    <cellStyle name="Emphasis 3 2" xfId="1022"/>
    <cellStyle name="Emphasis 3 2 2" xfId="1573"/>
    <cellStyle name="Emphasis 3 2 3" xfId="1855"/>
    <cellStyle name="Emphasis 3 3" xfId="1701"/>
    <cellStyle name="Emphasis 3 4" xfId="11042"/>
    <cellStyle name="Euro" xfId="194"/>
    <cellStyle name="Euro 2" xfId="1023"/>
    <cellStyle name="Euro 3" xfId="1977"/>
    <cellStyle name="Explanatory Text 2" xfId="195"/>
    <cellStyle name="Explanatory Text 2 2" xfId="1024"/>
    <cellStyle name="Explanatory Text 2 3" xfId="1978"/>
    <cellStyle name="Explanatory Text 3" xfId="1025"/>
    <cellStyle name="Explanatory Text 3 2" xfId="2075"/>
    <cellStyle name="Fixed" xfId="196"/>
    <cellStyle name="Fixed 2" xfId="197"/>
    <cellStyle name="fred" xfId="1026"/>
    <cellStyle name="Fred%" xfId="1027"/>
    <cellStyle name="Gilsans" xfId="198"/>
    <cellStyle name="Gilsansl" xfId="199"/>
    <cellStyle name="Good 2" xfId="200"/>
    <cellStyle name="Good 2 2" xfId="1028"/>
    <cellStyle name="Good 2 2 2" xfId="1980"/>
    <cellStyle name="Good 2 3" xfId="1979"/>
    <cellStyle name="Good 3" xfId="1029"/>
    <cellStyle name="Good 3 2" xfId="2076"/>
    <cellStyle name="Grey" xfId="1030"/>
    <cellStyle name="Header1" xfId="1031"/>
    <cellStyle name="Header1 2" xfId="1032"/>
    <cellStyle name="Header1 2 2" xfId="1581"/>
    <cellStyle name="Header1 2 2 2" xfId="2292"/>
    <cellStyle name="Header1 2 2 2 2" xfId="2543"/>
    <cellStyle name="Header1 2 2 2 2 2" xfId="3523"/>
    <cellStyle name="Header1 2 2 2 2 2 2" xfId="5085"/>
    <cellStyle name="Header1 2 2 2 2 2 2 2" xfId="9110"/>
    <cellStyle name="Header1 2 2 2 2 2 3" xfId="6555"/>
    <cellStyle name="Header1 2 2 2 2 3" xfId="4498"/>
    <cellStyle name="Header1 2 2 2 2 3 2" xfId="9100"/>
    <cellStyle name="Header1 2 2 2 2 4" xfId="6869"/>
    <cellStyle name="Header1 2 2 2 3" xfId="2619"/>
    <cellStyle name="Header1 2 2 2 3 2" xfId="4747"/>
    <cellStyle name="Header1 2 2 2 3 2 2" xfId="8068"/>
    <cellStyle name="Header1 2 2 2 3 3" xfId="6878"/>
    <cellStyle name="Header1 2 2 2 4" xfId="4823"/>
    <cellStyle name="Header1 2 2 2 4 2" xfId="9046"/>
    <cellStyle name="Header1 2 2 2 5" xfId="5118"/>
    <cellStyle name="Header1 2 2 2 5 2" xfId="8102"/>
    <cellStyle name="Header1 2 2 2 6" xfId="6939"/>
    <cellStyle name="Header1 2 2 3" xfId="2433"/>
    <cellStyle name="Header1 2 2 3 2" xfId="2567"/>
    <cellStyle name="Header1 2 2 3 2 2" xfId="4784"/>
    <cellStyle name="Header1 2 2 3 2 2 2" xfId="9718"/>
    <cellStyle name="Header1 2 2 3 2 3" xfId="9203"/>
    <cellStyle name="Header1 2 2 3 3" xfId="4293"/>
    <cellStyle name="Header1 2 2 3 3 2" xfId="8059"/>
    <cellStyle name="Header1 2 2 3 4" xfId="7729"/>
    <cellStyle name="Header1 2 2 4" xfId="2874"/>
    <cellStyle name="Header1 2 2 4 2" xfId="3876"/>
    <cellStyle name="Header1 2 2 4 2 2" xfId="8720"/>
    <cellStyle name="Header1 2 2 4 3" xfId="5805"/>
    <cellStyle name="Header1 2 2 4 3 2" xfId="6481"/>
    <cellStyle name="Header1 2 2 4 4" xfId="9470"/>
    <cellStyle name="Header1 2 2 5" xfId="2994"/>
    <cellStyle name="Header1 2 2 5 2" xfId="3807"/>
    <cellStyle name="Header1 2 2 5 2 2" xfId="7816"/>
    <cellStyle name="Header1 2 2 5 3" xfId="5897"/>
    <cellStyle name="Header1 2 2 5 3 2" xfId="9791"/>
    <cellStyle name="Header1 2 2 5 4" xfId="6563"/>
    <cellStyle name="Header1 2 2 6" xfId="3291"/>
    <cellStyle name="Header1 2 2 6 2" xfId="3678"/>
    <cellStyle name="Header1 2 2 6 2 2" xfId="8626"/>
    <cellStyle name="Header1 2 2 6 3" xfId="6160"/>
    <cellStyle name="Header1 2 2 6 3 2" xfId="10054"/>
    <cellStyle name="Header1 2 2 6 4" xfId="8254"/>
    <cellStyle name="Header1 2 2 7" xfId="2910"/>
    <cellStyle name="Header1 2 2 7 2" xfId="3853"/>
    <cellStyle name="Header1 2 2 7 2 2" xfId="6407"/>
    <cellStyle name="Header1 2 2 7 3" xfId="5841"/>
    <cellStyle name="Header1 2 2 7 3 2" xfId="7320"/>
    <cellStyle name="Header1 2 2 7 4" xfId="8351"/>
    <cellStyle name="Header1 2 2 8" xfId="2827"/>
    <cellStyle name="Header1 2 2 8 2" xfId="4086"/>
    <cellStyle name="Header1 2 2 8 2 2" xfId="9571"/>
    <cellStyle name="Header1 2 2 8 3" xfId="5760"/>
    <cellStyle name="Header1 2 2 8 3 2" xfId="7845"/>
    <cellStyle name="Header1 2 2 8 4" xfId="8135"/>
    <cellStyle name="Header1 2 3" xfId="1778"/>
    <cellStyle name="Header1 2 3 10" xfId="8051"/>
    <cellStyle name="Header1 2 3 2" xfId="2171"/>
    <cellStyle name="Header1 2 3 2 2" xfId="2711"/>
    <cellStyle name="Header1 2 3 2 2 2" xfId="3944"/>
    <cellStyle name="Header1 2 3 2 2 2 2" xfId="7717"/>
    <cellStyle name="Header1 2 3 2 2 3" xfId="7583"/>
    <cellStyle name="Header1 2 3 2 3" xfId="4609"/>
    <cellStyle name="Header1 2 3 2 3 2" xfId="6561"/>
    <cellStyle name="Header1 2 3 2 4" xfId="5567"/>
    <cellStyle name="Header1 2 3 2 4 2" xfId="6311"/>
    <cellStyle name="Header1 2 3 2 5" xfId="7902"/>
    <cellStyle name="Header1 2 3 3" xfId="2312"/>
    <cellStyle name="Header1 2 3 3 2" xfId="4297"/>
    <cellStyle name="Header1 2 3 3 2 2" xfId="7049"/>
    <cellStyle name="Header1 2 3 3 3" xfId="5656"/>
    <cellStyle name="Header1 2 3 3 3 2" xfId="6336"/>
    <cellStyle name="Header1 2 3 3 4" xfId="6769"/>
    <cellStyle name="Header1 2 3 4" xfId="3256"/>
    <cellStyle name="Header1 2 3 4 2" xfId="4188"/>
    <cellStyle name="Header1 2 3 4 2 2" xfId="8589"/>
    <cellStyle name="Header1 2 3 4 3" xfId="6133"/>
    <cellStyle name="Header1 2 3 4 3 2" xfId="10027"/>
    <cellStyle name="Header1 2 3 4 4" xfId="7091"/>
    <cellStyle name="Header1 2 3 5" xfId="2993"/>
    <cellStyle name="Header1 2 3 5 2" xfId="4067"/>
    <cellStyle name="Header1 2 3 5 2 2" xfId="6928"/>
    <cellStyle name="Header1 2 3 5 3" xfId="5896"/>
    <cellStyle name="Header1 2 3 5 3 2" xfId="9790"/>
    <cellStyle name="Header1 2 3 5 4" xfId="8617"/>
    <cellStyle name="Header1 2 3 6" xfId="3293"/>
    <cellStyle name="Header1 2 3 6 2" xfId="3676"/>
    <cellStyle name="Header1 2 3 6 2 2" xfId="6316"/>
    <cellStyle name="Header1 2 3 6 3" xfId="6162"/>
    <cellStyle name="Header1 2 3 6 3 2" xfId="10056"/>
    <cellStyle name="Header1 2 3 6 4" xfId="8979"/>
    <cellStyle name="Header1 2 3 7" xfId="2903"/>
    <cellStyle name="Header1 2 3 7 2" xfId="4087"/>
    <cellStyle name="Header1 2 3 7 2 2" xfId="8239"/>
    <cellStyle name="Header1 2 3 7 3" xfId="5834"/>
    <cellStyle name="Header1 2 3 7 3 2" xfId="8204"/>
    <cellStyle name="Header1 2 3 7 4" xfId="9083"/>
    <cellStyle name="Header1 2 3 8" xfId="3500"/>
    <cellStyle name="Header1 2 3 8 2" xfId="5070"/>
    <cellStyle name="Header1 2 3 8 2 2" xfId="9530"/>
    <cellStyle name="Header1 2 3 8 3" xfId="9022"/>
    <cellStyle name="Header1 2 3 9" xfId="4720"/>
    <cellStyle name="Header1 2 3 9 2" xfId="9207"/>
    <cellStyle name="Header1 3" xfId="1603"/>
    <cellStyle name="Header1 3 2" xfId="2294"/>
    <cellStyle name="Header1 3 2 2" xfId="2544"/>
    <cellStyle name="Header1 3 2 2 2" xfId="3524"/>
    <cellStyle name="Header1 3 2 2 2 2" xfId="5086"/>
    <cellStyle name="Header1 3 2 2 2 2 2" xfId="7145"/>
    <cellStyle name="Header1 3 2 2 2 3" xfId="6606"/>
    <cellStyle name="Header1 3 2 2 3" xfId="4636"/>
    <cellStyle name="Header1 3 2 2 3 2" xfId="9020"/>
    <cellStyle name="Header1 3 2 2 4" xfId="8118"/>
    <cellStyle name="Header1 3 2 3" xfId="2620"/>
    <cellStyle name="Header1 3 2 3 2" xfId="4464"/>
    <cellStyle name="Header1 3 2 3 2 2" xfId="7232"/>
    <cellStyle name="Header1 3 2 3 3" xfId="7055"/>
    <cellStyle name="Header1 3 2 4" xfId="4667"/>
    <cellStyle name="Header1 3 2 4 2" xfId="9680"/>
    <cellStyle name="Header1 3 2 5" xfId="5364"/>
    <cellStyle name="Header1 3 2 5 2" xfId="8332"/>
    <cellStyle name="Header1 3 2 6" xfId="9335"/>
    <cellStyle name="Header1 3 3" xfId="2443"/>
    <cellStyle name="Header1 3 3 2" xfId="2577"/>
    <cellStyle name="Header1 3 3 2 2" xfId="4476"/>
    <cellStyle name="Header1 3 3 2 2 2" xfId="7092"/>
    <cellStyle name="Header1 3 3 2 3" xfId="9353"/>
    <cellStyle name="Header1 3 3 3" xfId="4615"/>
    <cellStyle name="Header1 3 3 3 2" xfId="6457"/>
    <cellStyle name="Header1 3 3 4" xfId="7209"/>
    <cellStyle name="Header1 3 4" xfId="2875"/>
    <cellStyle name="Header1 3 4 2" xfId="3875"/>
    <cellStyle name="Header1 3 4 2 2" xfId="6642"/>
    <cellStyle name="Header1 3 4 3" xfId="5806"/>
    <cellStyle name="Header1 3 4 3 2" xfId="8308"/>
    <cellStyle name="Header1 3 4 4" xfId="8748"/>
    <cellStyle name="Header1 3 5" xfId="3078"/>
    <cellStyle name="Header1 3 5 2" xfId="3760"/>
    <cellStyle name="Header1 3 5 2 2" xfId="6899"/>
    <cellStyle name="Header1 3 5 3" xfId="5975"/>
    <cellStyle name="Header1 3 5 3 2" xfId="9869"/>
    <cellStyle name="Header1 3 5 4" xfId="9300"/>
    <cellStyle name="Header1 3 6" xfId="2920"/>
    <cellStyle name="Header1 3 6 2" xfId="3594"/>
    <cellStyle name="Header1 3 6 2 2" xfId="9672"/>
    <cellStyle name="Header1 3 6 3" xfId="5849"/>
    <cellStyle name="Header1 3 6 3 2" xfId="7817"/>
    <cellStyle name="Header1 3 6 4" xfId="8465"/>
    <cellStyle name="Header1 3 7" xfId="2806"/>
    <cellStyle name="Header1 3 7 2" xfId="3910"/>
    <cellStyle name="Header1 3 7 2 2" xfId="6522"/>
    <cellStyle name="Header1 3 7 3" xfId="5740"/>
    <cellStyle name="Header1 3 7 3 2" xfId="6973"/>
    <cellStyle name="Header1 3 7 4" xfId="8752"/>
    <cellStyle name="Header1 3 8" xfId="3005"/>
    <cellStyle name="Header1 3 8 2" xfId="3803"/>
    <cellStyle name="Header1 3 8 2 2" xfId="9583"/>
    <cellStyle name="Header1 3 8 3" xfId="5907"/>
    <cellStyle name="Header1 3 8 3 2" xfId="9801"/>
    <cellStyle name="Header1 3 8 4" xfId="6671"/>
    <cellStyle name="Header1 4" xfId="1908"/>
    <cellStyle name="Header1 4 10" xfId="9351"/>
    <cellStyle name="Header1 4 2" xfId="2358"/>
    <cellStyle name="Header1 4 2 2" xfId="2712"/>
    <cellStyle name="Header1 4 2 2 2" xfId="3943"/>
    <cellStyle name="Header1 4 2 2 2 2" xfId="8725"/>
    <cellStyle name="Header1 4 2 2 3" xfId="7141"/>
    <cellStyle name="Header1 4 2 3" xfId="4776"/>
    <cellStyle name="Header1 4 2 3 2" xfId="6616"/>
    <cellStyle name="Header1 4 2 4" xfId="5568"/>
    <cellStyle name="Header1 4 2 4 2" xfId="8480"/>
    <cellStyle name="Header1 4 2 5" xfId="7647"/>
    <cellStyle name="Header1 4 3" xfId="2288"/>
    <cellStyle name="Header1 4 3 2" xfId="4757"/>
    <cellStyle name="Header1 4 3 2 2" xfId="8207"/>
    <cellStyle name="Header1 4 3 3" xfId="5647"/>
    <cellStyle name="Header1 4 3 3 2" xfId="8162"/>
    <cellStyle name="Header1 4 3 4" xfId="8115"/>
    <cellStyle name="Header1 4 4" xfId="2887"/>
    <cellStyle name="Header1 4 4 2" xfId="3865"/>
    <cellStyle name="Header1 4 4 2 2" xfId="6569"/>
    <cellStyle name="Header1 4 4 3" xfId="5818"/>
    <cellStyle name="Header1 4 4 3 2" xfId="8379"/>
    <cellStyle name="Header1 4 4 4" xfId="7747"/>
    <cellStyle name="Header1 4 5" xfId="3289"/>
    <cellStyle name="Header1 4 5 2" xfId="3556"/>
    <cellStyle name="Header1 4 5 2 2" xfId="8599"/>
    <cellStyle name="Header1 4 5 3" xfId="6159"/>
    <cellStyle name="Header1 4 5 3 2" xfId="10053"/>
    <cellStyle name="Header1 4 5 4" xfId="9611"/>
    <cellStyle name="Header1 4 6" xfId="3349"/>
    <cellStyle name="Header1 4 6 2" xfId="4940"/>
    <cellStyle name="Header1 4 6 2 2" xfId="6433"/>
    <cellStyle name="Header1 4 6 3" xfId="6216"/>
    <cellStyle name="Header1 4 6 3 2" xfId="10110"/>
    <cellStyle name="Header1 4 6 4" xfId="7248"/>
    <cellStyle name="Header1 4 7" xfId="2810"/>
    <cellStyle name="Header1 4 7 2" xfId="3908"/>
    <cellStyle name="Header1 4 7 2 2" xfId="9068"/>
    <cellStyle name="Header1 4 7 3" xfId="5744"/>
    <cellStyle name="Header1 4 7 3 2" xfId="7616"/>
    <cellStyle name="Header1 4 7 4" xfId="8564"/>
    <cellStyle name="Header1 4 8" xfId="3511"/>
    <cellStyle name="Header1 4 8 2" xfId="5081"/>
    <cellStyle name="Header1 4 8 2 2" xfId="8395"/>
    <cellStyle name="Header1 4 8 3" xfId="6715"/>
    <cellStyle name="Header1 4 9" xfId="4305"/>
    <cellStyle name="Header1 4 9 2" xfId="8976"/>
    <cellStyle name="Header2" xfId="1033"/>
    <cellStyle name="Heading 1 2" xfId="201"/>
    <cellStyle name="Heading 1 2 2" xfId="202"/>
    <cellStyle name="Heading 1 2 2 2" xfId="1982"/>
    <cellStyle name="Heading 1 2 3" xfId="1034"/>
    <cellStyle name="Heading 1 2 4" xfId="1981"/>
    <cellStyle name="Heading 1 3" xfId="203"/>
    <cellStyle name="Heading 1 4" xfId="1035"/>
    <cellStyle name="Heading 2 2" xfId="204"/>
    <cellStyle name="Heading 2 2 2" xfId="205"/>
    <cellStyle name="Heading 2 2 2 2" xfId="1984"/>
    <cellStyle name="Heading 2 2 3" xfId="1036"/>
    <cellStyle name="Heading 2 2 4" xfId="1983"/>
    <cellStyle name="Heading 2 3" xfId="206"/>
    <cellStyle name="Heading 2 3 2" xfId="2077"/>
    <cellStyle name="Heading 2 4" xfId="1037"/>
    <cellStyle name="Heading 2 4 2" xfId="1641"/>
    <cellStyle name="Heading 2 4 3" xfId="1856"/>
    <cellStyle name="Heading 3 2" xfId="207"/>
    <cellStyle name="Heading 3 2 2" xfId="208"/>
    <cellStyle name="Heading 3 2 2 2" xfId="209"/>
    <cellStyle name="Heading 3 2 2 2 2" xfId="210"/>
    <cellStyle name="Heading 3 2 2 2 2 2" xfId="211"/>
    <cellStyle name="Heading 3 2 2 2 2 3" xfId="212"/>
    <cellStyle name="Heading 3 2 2 2 2 4" xfId="213"/>
    <cellStyle name="Heading 3 2 2 2 3" xfId="214"/>
    <cellStyle name="Heading 3 2 2 2 4" xfId="215"/>
    <cellStyle name="Heading 3 2 2 2 5" xfId="216"/>
    <cellStyle name="Heading 3 2 2 3" xfId="217"/>
    <cellStyle name="Heading 3 2 2 3 2" xfId="218"/>
    <cellStyle name="Heading 3 2 2 3 2 2" xfId="219"/>
    <cellStyle name="Heading 3 2 2 3 2 3" xfId="220"/>
    <cellStyle name="Heading 3 2 2 3 2 4" xfId="221"/>
    <cellStyle name="Heading 3 2 2 3 3" xfId="222"/>
    <cellStyle name="Heading 3 2 2 3 4" xfId="223"/>
    <cellStyle name="Heading 3 2 2 3 5" xfId="224"/>
    <cellStyle name="Heading 3 2 2 4" xfId="225"/>
    <cellStyle name="Heading 3 2 2 4 2" xfId="226"/>
    <cellStyle name="Heading 3 2 2 4 3" xfId="227"/>
    <cellStyle name="Heading 3 2 2 4 4" xfId="228"/>
    <cellStyle name="Heading 3 2 2 5" xfId="229"/>
    <cellStyle name="Heading 3 2 2 5 2" xfId="230"/>
    <cellStyle name="Heading 3 2 2 5 3" xfId="231"/>
    <cellStyle name="Heading 3 2 2 6" xfId="1986"/>
    <cellStyle name="Heading 3 2 3" xfId="232"/>
    <cellStyle name="Heading 3 2 4" xfId="233"/>
    <cellStyle name="Heading 3 2 4 2" xfId="234"/>
    <cellStyle name="Heading 3 2 4 2 2" xfId="235"/>
    <cellStyle name="Heading 3 2 4 2 3" xfId="236"/>
    <cellStyle name="Heading 3 2 4 2 4" xfId="237"/>
    <cellStyle name="Heading 3 2 4 3" xfId="238"/>
    <cellStyle name="Heading 3 2 4 4" xfId="239"/>
    <cellStyle name="Heading 3 2 4 5" xfId="240"/>
    <cellStyle name="Heading 3 2 5" xfId="241"/>
    <cellStyle name="Heading 3 2 5 2" xfId="242"/>
    <cellStyle name="Heading 3 2 5 2 2" xfId="243"/>
    <cellStyle name="Heading 3 2 5 2 3" xfId="244"/>
    <cellStyle name="Heading 3 2 5 2 4" xfId="245"/>
    <cellStyle name="Heading 3 2 5 3" xfId="246"/>
    <cellStyle name="Heading 3 2 5 4" xfId="247"/>
    <cellStyle name="Heading 3 2 5 5" xfId="248"/>
    <cellStyle name="Heading 3 2 6" xfId="249"/>
    <cellStyle name="Heading 3 2 6 2" xfId="250"/>
    <cellStyle name="Heading 3 2 6 3" xfId="251"/>
    <cellStyle name="Heading 3 2 6 4" xfId="252"/>
    <cellStyle name="Heading 3 2 7" xfId="253"/>
    <cellStyle name="Heading 3 2 7 2" xfId="254"/>
    <cellStyle name="Heading 3 2 7 3" xfId="255"/>
    <cellStyle name="Heading 3 2 8" xfId="1038"/>
    <cellStyle name="Heading 3 2 9" xfId="1985"/>
    <cellStyle name="Heading 3 3" xfId="256"/>
    <cellStyle name="Heading 3 3 2" xfId="2078"/>
    <cellStyle name="Heading 3 4" xfId="1039"/>
    <cellStyle name="Heading 3 4 2" xfId="1642"/>
    <cellStyle name="Heading 3 4 3" xfId="1857"/>
    <cellStyle name="Heading 4 2" xfId="257"/>
    <cellStyle name="Heading 4 2 2" xfId="258"/>
    <cellStyle name="Heading 4 2 3" xfId="1040"/>
    <cellStyle name="Heading 4 2 4" xfId="1987"/>
    <cellStyle name="Heading 4 3" xfId="259"/>
    <cellStyle name="Heading 4 4" xfId="1041"/>
    <cellStyle name="Heading(4)" xfId="260"/>
    <cellStyle name="Heading2" xfId="1042"/>
    <cellStyle name="Hyperlink 2" xfId="261"/>
    <cellStyle name="Hyperlink 2 2" xfId="262"/>
    <cellStyle name="Hyperlink 2 3" xfId="263"/>
    <cellStyle name="Hyperlink 3" xfId="264"/>
    <cellStyle name="Hyperlink 4" xfId="265"/>
    <cellStyle name="Hyperlink Arrow" xfId="266"/>
    <cellStyle name="Hyperlink Text" xfId="267"/>
    <cellStyle name="import" xfId="268"/>
    <cellStyle name="import%" xfId="269"/>
    <cellStyle name="import_AER final decision for EA distribution - RFM" xfId="1043"/>
    <cellStyle name="Input $" xfId="1044"/>
    <cellStyle name="Input %" xfId="1045"/>
    <cellStyle name="Input [yellow]" xfId="1046"/>
    <cellStyle name="Input 10" xfId="2388"/>
    <cellStyle name="Input 11" xfId="4323"/>
    <cellStyle name="Input 12" xfId="4343"/>
    <cellStyle name="Input 13" xfId="4325"/>
    <cellStyle name="Input 14" xfId="4915"/>
    <cellStyle name="Input 15" xfId="5275"/>
    <cellStyle name="Input 16" xfId="5373"/>
    <cellStyle name="Input 17" xfId="5233"/>
    <cellStyle name="Input 18" xfId="7686"/>
    <cellStyle name="Input 19" xfId="6557"/>
    <cellStyle name="Input 2" xfId="270"/>
    <cellStyle name="Input 2 2" xfId="271"/>
    <cellStyle name="Input 2 2 2" xfId="1047"/>
    <cellStyle name="Input 2 2 3" xfId="1989"/>
    <cellStyle name="Input 2 3" xfId="272"/>
    <cellStyle name="Input 2 3 2" xfId="1048"/>
    <cellStyle name="Input 2 4" xfId="1049"/>
    <cellStyle name="Input 2 5" xfId="1050"/>
    <cellStyle name="Input 2 6" xfId="1988"/>
    <cellStyle name="Input 20" xfId="6353"/>
    <cellStyle name="Input 21" xfId="9768"/>
    <cellStyle name="Input 22" xfId="9770"/>
    <cellStyle name="Input 23" xfId="9771"/>
    <cellStyle name="Input 24" xfId="31"/>
    <cellStyle name="Input 25" xfId="10128"/>
    <cellStyle name="Input 26" xfId="10132"/>
    <cellStyle name="Input 27" xfId="10159"/>
    <cellStyle name="Input 28" xfId="10157"/>
    <cellStyle name="Input 29" xfId="10158"/>
    <cellStyle name="Input 3" xfId="1051"/>
    <cellStyle name="Input 3 2" xfId="2079"/>
    <cellStyle name="Input 30" xfId="10143"/>
    <cellStyle name="Input 31" xfId="10167"/>
    <cellStyle name="Input 32" xfId="10154"/>
    <cellStyle name="Input 33" xfId="10140"/>
    <cellStyle name="Input 34" xfId="10144"/>
    <cellStyle name="Input 35" xfId="10168"/>
    <cellStyle name="Input 36" xfId="10151"/>
    <cellStyle name="Input 37" xfId="10139"/>
    <cellStyle name="Input 38" xfId="10152"/>
    <cellStyle name="Input 39" xfId="10172"/>
    <cellStyle name="Input 4" xfId="1052"/>
    <cellStyle name="Input 40" xfId="10162"/>
    <cellStyle name="Input 41" xfId="10176"/>
    <cellStyle name="Input 42" xfId="10195"/>
    <cellStyle name="Input 43" xfId="10347"/>
    <cellStyle name="Input 44" xfId="10712"/>
    <cellStyle name="Input 45" xfId="10194"/>
    <cellStyle name="Input 46" xfId="14704"/>
    <cellStyle name="Input 47" xfId="14722"/>
    <cellStyle name="Input 48" xfId="14875"/>
    <cellStyle name="Input 49" xfId="14808"/>
    <cellStyle name="Input 5" xfId="1053"/>
    <cellStyle name="Input 50" xfId="15544"/>
    <cellStyle name="Input 51" xfId="15650"/>
    <cellStyle name="Input 52" xfId="15751"/>
    <cellStyle name="Input 53" xfId="15547"/>
    <cellStyle name="Input 54" xfId="15548"/>
    <cellStyle name="Input 55" xfId="18289"/>
    <cellStyle name="Input 56" xfId="18299"/>
    <cellStyle name="Input 57" xfId="18302"/>
    <cellStyle name="Input 58" xfId="18307"/>
    <cellStyle name="Input 59" xfId="18301"/>
    <cellStyle name="Input 6" xfId="1054"/>
    <cellStyle name="Input 60" xfId="18321"/>
    <cellStyle name="Input 61" xfId="18391"/>
    <cellStyle name="Input 62" xfId="20085"/>
    <cellStyle name="Input 63" xfId="20093"/>
    <cellStyle name="Input 64" xfId="20111"/>
    <cellStyle name="Input 65" xfId="20107"/>
    <cellStyle name="Input 66" xfId="20091"/>
    <cellStyle name="Input 67" xfId="20097"/>
    <cellStyle name="Input 68" xfId="20113"/>
    <cellStyle name="Input 69" xfId="20099"/>
    <cellStyle name="Input 7" xfId="1560"/>
    <cellStyle name="Input 70" xfId="20102"/>
    <cellStyle name="Input 71" xfId="20114"/>
    <cellStyle name="Input 72" xfId="20103"/>
    <cellStyle name="Input 8" xfId="1563"/>
    <cellStyle name="Input 9" xfId="2373"/>
    <cellStyle name="Input text" xfId="1055"/>
    <cellStyle name="Input1" xfId="8"/>
    <cellStyle name="Input1 2" xfId="273"/>
    <cellStyle name="Input1 2 2" xfId="274"/>
    <cellStyle name="Input1 3" xfId="275"/>
    <cellStyle name="Input1 3 2" xfId="276"/>
    <cellStyle name="Input1 4" xfId="277"/>
    <cellStyle name="Input1 5" xfId="278"/>
    <cellStyle name="Input1 6" xfId="1901"/>
    <cellStyle name="Input1%" xfId="279"/>
    <cellStyle name="Input1_GLOBAL CAPEX model final" xfId="1056"/>
    <cellStyle name="Input1default" xfId="280"/>
    <cellStyle name="Input1default%" xfId="281"/>
    <cellStyle name="Input2" xfId="282"/>
    <cellStyle name="Input2 2" xfId="283"/>
    <cellStyle name="Input2 3" xfId="284"/>
    <cellStyle name="Input2%" xfId="1057"/>
    <cellStyle name="Input3" xfId="285"/>
    <cellStyle name="Input3 2" xfId="286"/>
    <cellStyle name="Input3 2 2" xfId="1058"/>
    <cellStyle name="Input3 3" xfId="287"/>
    <cellStyle name="Input3 3 2" xfId="1059"/>
    <cellStyle name="Input3 4" xfId="1060"/>
    <cellStyle name="Input3%" xfId="1061"/>
    <cellStyle name="InputArea" xfId="1062"/>
    <cellStyle name="InputAreaDotted" xfId="1063"/>
    <cellStyle name="InputCell" xfId="288"/>
    <cellStyle name="InputCell 2" xfId="289"/>
    <cellStyle name="InputCell 3" xfId="290"/>
    <cellStyle name="InputCellText" xfId="291"/>
    <cellStyle name="InputCellText 2" xfId="292"/>
    <cellStyle name="InputCellText 3" xfId="293"/>
    <cellStyle name="K_Banner" xfId="1064"/>
    <cellStyle name="K_BannerBold" xfId="1065"/>
    <cellStyle name="K_BannerGrp1" xfId="1066"/>
    <cellStyle name="K_BannerGrp2" xfId="1067"/>
    <cellStyle name="K_Bps" xfId="1068"/>
    <cellStyle name="K_Check" xfId="612"/>
    <cellStyle name="K_Date" xfId="614"/>
    <cellStyle name="K_DateShort" xfId="1069"/>
    <cellStyle name="K_Days" xfId="1070"/>
    <cellStyle name="K_Millions" xfId="1071"/>
    <cellStyle name="K_Months" xfId="1072"/>
    <cellStyle name="K_Multiple" xfId="1073"/>
    <cellStyle name="K_Number" xfId="613"/>
    <cellStyle name="K_Perc" xfId="1074"/>
    <cellStyle name="K_Thousands" xfId="1075"/>
    <cellStyle name="K_Years" xfId="1076"/>
    <cellStyle name="key result" xfId="294"/>
    <cellStyle name="Lines" xfId="295"/>
    <cellStyle name="Linked Cell 2" xfId="296"/>
    <cellStyle name="Linked Cell 2 2" xfId="1077"/>
    <cellStyle name="Linked Cell 2 2 2" xfId="1991"/>
    <cellStyle name="Linked Cell 2 3" xfId="1990"/>
    <cellStyle name="Linked Cell 3" xfId="1078"/>
    <cellStyle name="Linked Cell 3 2" xfId="2080"/>
    <cellStyle name="Local import" xfId="297"/>
    <cellStyle name="Local import %" xfId="298"/>
    <cellStyle name="Lookup Table Heading" xfId="1079"/>
    <cellStyle name="Lookup Table Label" xfId="1080"/>
    <cellStyle name="Lookup Table Number" xfId="1081"/>
    <cellStyle name="Mine" xfId="299"/>
    <cellStyle name="Model Name" xfId="300"/>
    <cellStyle name="Neutral 2" xfId="301"/>
    <cellStyle name="Neutral 2 2" xfId="1082"/>
    <cellStyle name="Neutral 2 2 2" xfId="1993"/>
    <cellStyle name="Neutral 2 3" xfId="1992"/>
    <cellStyle name="Neutral 3" xfId="1083"/>
    <cellStyle name="Neutral 3 2" xfId="2081"/>
    <cellStyle name="Non crit Input 0.0" xfId="1084"/>
    <cellStyle name="NonInputCell" xfId="302"/>
    <cellStyle name="NonInputCell 2" xfId="303"/>
    <cellStyle name="NonInputCell 3" xfId="304"/>
    <cellStyle name="Normal" xfId="0" builtinId="0"/>
    <cellStyle name="Normal - Style1" xfId="305"/>
    <cellStyle name="Normal 10" xfId="35"/>
    <cellStyle name="Normal 10 2" xfId="306"/>
    <cellStyle name="Normal 100" xfId="2756"/>
    <cellStyle name="Normal 101" xfId="1085"/>
    <cellStyle name="Normal 102" xfId="2759"/>
    <cellStyle name="Normal 103" xfId="2916"/>
    <cellStyle name="Normal 104" xfId="3069"/>
    <cellStyle name="Normal 105" xfId="3276"/>
    <cellStyle name="Normal 106" xfId="3314"/>
    <cellStyle name="Normal 107" xfId="2937"/>
    <cellStyle name="Normal 108" xfId="3026"/>
    <cellStyle name="Normal 109" xfId="3260"/>
    <cellStyle name="Normal 11" xfId="307"/>
    <cellStyle name="Normal 11 2" xfId="308"/>
    <cellStyle name="Normal 11 3" xfId="309"/>
    <cellStyle name="Normal 11 4" xfId="310"/>
    <cellStyle name="Normal 110" xfId="2990"/>
    <cellStyle name="Normal 111" xfId="3369"/>
    <cellStyle name="Normal 112" xfId="3370"/>
    <cellStyle name="Normal 113" xfId="3376"/>
    <cellStyle name="Normal 114" xfId="311"/>
    <cellStyle name="Normal 114 2" xfId="312"/>
    <cellStyle name="Normal 115" xfId="3377"/>
    <cellStyle name="Normal 116" xfId="3381"/>
    <cellStyle name="Normal 117" xfId="3409"/>
    <cellStyle name="Normal 118" xfId="3246"/>
    <cellStyle name="Normal 119" xfId="4321"/>
    <cellStyle name="Normal 119 2" xfId="6233"/>
    <cellStyle name="Normal 119 2 2" xfId="10642"/>
    <cellStyle name="Normal 119 2 2 2" xfId="14223"/>
    <cellStyle name="Normal 119 2 2 2 2" xfId="19444"/>
    <cellStyle name="Normal 119 2 2 3" xfId="12526"/>
    <cellStyle name="Normal 119 2 2 4" xfId="17914"/>
    <cellStyle name="Normal 119 2 3" xfId="13364"/>
    <cellStyle name="Normal 119 2 3 2" xfId="18833"/>
    <cellStyle name="Normal 119 2 4" xfId="11667"/>
    <cellStyle name="Normal 119 2 4 2" xfId="17055"/>
    <cellStyle name="Normal 119 2 5" xfId="15170"/>
    <cellStyle name="Normal 119 2 6" xfId="16217"/>
    <cellStyle name="Normal 119 3" xfId="5427"/>
    <cellStyle name="Normal 119 4" xfId="8760"/>
    <cellStyle name="Normal 119 4 2" xfId="10831"/>
    <cellStyle name="Normal 119 4 2 2" xfId="14411"/>
    <cellStyle name="Normal 119 4 2 2 2" xfId="19445"/>
    <cellStyle name="Normal 119 4 2 3" xfId="12714"/>
    <cellStyle name="Normal 119 4 2 4" xfId="18102"/>
    <cellStyle name="Normal 119 4 3" xfId="13550"/>
    <cellStyle name="Normal 119 4 3 2" xfId="19019"/>
    <cellStyle name="Normal 119 4 4" xfId="11853"/>
    <cellStyle name="Normal 119 4 4 2" xfId="17241"/>
    <cellStyle name="Normal 119 4 5" xfId="15357"/>
    <cellStyle name="Normal 119 4 6" xfId="16403"/>
    <cellStyle name="Normal 119 5" xfId="10355"/>
    <cellStyle name="Normal 119 5 2" xfId="13936"/>
    <cellStyle name="Normal 119 5 2 2" xfId="19446"/>
    <cellStyle name="Normal 119 5 3" xfId="12239"/>
    <cellStyle name="Normal 119 5 4" xfId="17627"/>
    <cellStyle name="Normal 119 6" xfId="13078"/>
    <cellStyle name="Normal 119 6 2" xfId="18547"/>
    <cellStyle name="Normal 119 7" xfId="11311"/>
    <cellStyle name="Normal 119 7 2" xfId="16769"/>
    <cellStyle name="Normal 119 8" xfId="14883"/>
    <cellStyle name="Normal 119 9" xfId="15931"/>
    <cellStyle name="Normal 12" xfId="313"/>
    <cellStyle name="Normal 12 2" xfId="314"/>
    <cellStyle name="Normal 120" xfId="4324"/>
    <cellStyle name="Normal 120 2" xfId="6235"/>
    <cellStyle name="Normal 120 2 2" xfId="10644"/>
    <cellStyle name="Normal 120 2 2 2" xfId="14225"/>
    <cellStyle name="Normal 120 2 2 2 2" xfId="19447"/>
    <cellStyle name="Normal 120 2 2 3" xfId="12528"/>
    <cellStyle name="Normal 120 2 2 4" xfId="17916"/>
    <cellStyle name="Normal 120 2 3" xfId="13366"/>
    <cellStyle name="Normal 120 2 3 2" xfId="18835"/>
    <cellStyle name="Normal 120 2 4" xfId="11669"/>
    <cellStyle name="Normal 120 2 4 2" xfId="17057"/>
    <cellStyle name="Normal 120 2 5" xfId="15172"/>
    <cellStyle name="Normal 120 2 6" xfId="16219"/>
    <cellStyle name="Normal 120 3" xfId="5428"/>
    <cellStyle name="Normal 120 4" xfId="8762"/>
    <cellStyle name="Normal 120 4 2" xfId="10833"/>
    <cellStyle name="Normal 120 4 2 2" xfId="14413"/>
    <cellStyle name="Normal 120 4 2 2 2" xfId="19448"/>
    <cellStyle name="Normal 120 4 2 3" xfId="12716"/>
    <cellStyle name="Normal 120 4 2 4" xfId="18104"/>
    <cellStyle name="Normal 120 4 3" xfId="13552"/>
    <cellStyle name="Normal 120 4 3 2" xfId="19021"/>
    <cellStyle name="Normal 120 4 4" xfId="11855"/>
    <cellStyle name="Normal 120 4 4 2" xfId="17243"/>
    <cellStyle name="Normal 120 4 5" xfId="15359"/>
    <cellStyle name="Normal 120 4 6" xfId="16405"/>
    <cellStyle name="Normal 120 5" xfId="10357"/>
    <cellStyle name="Normal 120 5 2" xfId="13938"/>
    <cellStyle name="Normal 120 5 2 2" xfId="19449"/>
    <cellStyle name="Normal 120 5 3" xfId="12241"/>
    <cellStyle name="Normal 120 5 4" xfId="17629"/>
    <cellStyle name="Normal 120 6" xfId="13080"/>
    <cellStyle name="Normal 120 6 2" xfId="18549"/>
    <cellStyle name="Normal 120 7" xfId="11313"/>
    <cellStyle name="Normal 120 7 2" xfId="16771"/>
    <cellStyle name="Normal 120 8" xfId="14885"/>
    <cellStyle name="Normal 120 9" xfId="15933"/>
    <cellStyle name="Normal 121" xfId="4429"/>
    <cellStyle name="Normal 121 2" xfId="6238"/>
    <cellStyle name="Normal 121 2 2" xfId="10647"/>
    <cellStyle name="Normal 121 2 2 2" xfId="14228"/>
    <cellStyle name="Normal 121 2 2 2 2" xfId="19450"/>
    <cellStyle name="Normal 121 2 2 3" xfId="12531"/>
    <cellStyle name="Normal 121 2 2 4" xfId="17919"/>
    <cellStyle name="Normal 121 2 3" xfId="13369"/>
    <cellStyle name="Normal 121 2 3 2" xfId="18838"/>
    <cellStyle name="Normal 121 2 4" xfId="11672"/>
    <cellStyle name="Normal 121 2 4 2" xfId="17060"/>
    <cellStyle name="Normal 121 2 5" xfId="15175"/>
    <cellStyle name="Normal 121 2 6" xfId="16222"/>
    <cellStyle name="Normal 121 3" xfId="5431"/>
    <cellStyle name="Normal 121 4" xfId="8856"/>
    <cellStyle name="Normal 121 4 2" xfId="10917"/>
    <cellStyle name="Normal 121 4 2 2" xfId="14497"/>
    <cellStyle name="Normal 121 4 2 2 2" xfId="19451"/>
    <cellStyle name="Normal 121 4 2 3" xfId="12800"/>
    <cellStyle name="Normal 121 4 2 4" xfId="18188"/>
    <cellStyle name="Normal 121 4 3" xfId="13636"/>
    <cellStyle name="Normal 121 4 3 2" xfId="19105"/>
    <cellStyle name="Normal 121 4 4" xfId="11939"/>
    <cellStyle name="Normal 121 4 4 2" xfId="17327"/>
    <cellStyle name="Normal 121 4 5" xfId="15443"/>
    <cellStyle name="Normal 121 4 6" xfId="16489"/>
    <cellStyle name="Normal 121 5" xfId="10441"/>
    <cellStyle name="Normal 121 5 2" xfId="14022"/>
    <cellStyle name="Normal 121 5 2 2" xfId="19452"/>
    <cellStyle name="Normal 121 5 3" xfId="12325"/>
    <cellStyle name="Normal 121 5 4" xfId="17713"/>
    <cellStyle name="Normal 121 6" xfId="13164"/>
    <cellStyle name="Normal 121 6 2" xfId="18633"/>
    <cellStyle name="Normal 121 7" xfId="11397"/>
    <cellStyle name="Normal 121 7 2" xfId="16855"/>
    <cellStyle name="Normal 121 8" xfId="14969"/>
    <cellStyle name="Normal 121 9" xfId="16017"/>
    <cellStyle name="Normal 122" xfId="4342"/>
    <cellStyle name="Normal 122 2" xfId="8779"/>
    <cellStyle name="Normal 122 2 2" xfId="10850"/>
    <cellStyle name="Normal 122 2 2 2" xfId="14430"/>
    <cellStyle name="Normal 122 2 2 2 2" xfId="19453"/>
    <cellStyle name="Normal 122 2 2 3" xfId="12733"/>
    <cellStyle name="Normal 122 2 2 4" xfId="18121"/>
    <cellStyle name="Normal 122 2 3" xfId="13569"/>
    <cellStyle name="Normal 122 2 3 2" xfId="19038"/>
    <cellStyle name="Normal 122 2 4" xfId="11872"/>
    <cellStyle name="Normal 122 2 4 2" xfId="17260"/>
    <cellStyle name="Normal 122 2 5" xfId="15376"/>
    <cellStyle name="Normal 122 2 6" xfId="16422"/>
    <cellStyle name="Normal 122 3" xfId="10374"/>
    <cellStyle name="Normal 122 3 2" xfId="13955"/>
    <cellStyle name="Normal 122 3 2 2" xfId="19454"/>
    <cellStyle name="Normal 122 3 3" xfId="12258"/>
    <cellStyle name="Normal 122 3 4" xfId="17646"/>
    <cellStyle name="Normal 122 4" xfId="13097"/>
    <cellStyle name="Normal 122 4 2" xfId="18566"/>
    <cellStyle name="Normal 122 5" xfId="11330"/>
    <cellStyle name="Normal 122 5 2" xfId="16788"/>
    <cellStyle name="Normal 122 6" xfId="14902"/>
    <cellStyle name="Normal 122 7" xfId="15950"/>
    <cellStyle name="Normal 123" xfId="3526"/>
    <cellStyle name="Normal 124" xfId="3670"/>
    <cellStyle name="Normal 125" xfId="4637"/>
    <cellStyle name="Normal 126" xfId="4586"/>
    <cellStyle name="Normal 126 2" xfId="5240"/>
    <cellStyle name="Normal 126 2 2" xfId="10588"/>
    <cellStyle name="Normal 126 2 2 2" xfId="14169"/>
    <cellStyle name="Normal 126 2 2 2 2" xfId="19455"/>
    <cellStyle name="Normal 126 2 2 3" xfId="12472"/>
    <cellStyle name="Normal 126 2 2 4" xfId="17860"/>
    <cellStyle name="Normal 126 2 3" xfId="13310"/>
    <cellStyle name="Normal 126 2 3 2" xfId="18779"/>
    <cellStyle name="Normal 126 2 4" xfId="11565"/>
    <cellStyle name="Normal 126 2 4 2" xfId="17001"/>
    <cellStyle name="Normal 126 2 5" xfId="15116"/>
    <cellStyle name="Normal 126 2 6" xfId="16163"/>
    <cellStyle name="Normal 127" xfId="5089"/>
    <cellStyle name="Normal 127 2" xfId="5127"/>
    <cellStyle name="Normal 127 2 2" xfId="10541"/>
    <cellStyle name="Normal 127 2 2 2" xfId="14122"/>
    <cellStyle name="Normal 127 2 2 2 2" xfId="19456"/>
    <cellStyle name="Normal 127 2 2 3" xfId="12425"/>
    <cellStyle name="Normal 127 2 2 4" xfId="17813"/>
    <cellStyle name="Normal 127 2 3" xfId="13263"/>
    <cellStyle name="Normal 127 2 3 2" xfId="18732"/>
    <cellStyle name="Normal 127 2 4" xfId="11512"/>
    <cellStyle name="Normal 127 2 4 2" xfId="16954"/>
    <cellStyle name="Normal 127 2 5" xfId="15069"/>
    <cellStyle name="Normal 127 2 6" xfId="16116"/>
    <cellStyle name="Normal 128" xfId="4025"/>
    <cellStyle name="Normal 129" xfId="5087"/>
    <cellStyle name="Normal 13" xfId="315"/>
    <cellStyle name="Normal 13 2" xfId="316"/>
    <cellStyle name="Normal 13_29(d) - Gas extensions -tariffs" xfId="317"/>
    <cellStyle name="Normal 130" xfId="5091"/>
    <cellStyle name="Normal 131" xfId="4036"/>
    <cellStyle name="Normal 132" xfId="3667"/>
    <cellStyle name="Normal 133" xfId="5088"/>
    <cellStyle name="Normal 134" xfId="5201"/>
    <cellStyle name="Normal 134 2" xfId="5129"/>
    <cellStyle name="Normal 134 2 2" xfId="10542"/>
    <cellStyle name="Normal 134 2 2 2" xfId="14123"/>
    <cellStyle name="Normal 134 2 2 2 2" xfId="19457"/>
    <cellStyle name="Normal 134 2 2 3" xfId="12426"/>
    <cellStyle name="Normal 134 2 2 4" xfId="17814"/>
    <cellStyle name="Normal 134 2 3" xfId="13264"/>
    <cellStyle name="Normal 134 2 3 2" xfId="18733"/>
    <cellStyle name="Normal 134 2 4" xfId="11513"/>
    <cellStyle name="Normal 134 2 4 2" xfId="16955"/>
    <cellStyle name="Normal 134 2 5" xfId="15070"/>
    <cellStyle name="Normal 134 2 6" xfId="16117"/>
    <cellStyle name="Normal 134 3" xfId="5406"/>
    <cellStyle name="Normal 135" xfId="5112"/>
    <cellStyle name="Normal 136" xfId="5324"/>
    <cellStyle name="Normal 137" xfId="5346"/>
    <cellStyle name="Normal 138" xfId="5184"/>
    <cellStyle name="Normal 139" xfId="5099"/>
    <cellStyle name="Normal 14" xfId="318"/>
    <cellStyle name="Normal 14 2" xfId="319"/>
    <cellStyle name="Normal 14 3" xfId="320"/>
    <cellStyle name="Normal 14 3 2" xfId="321"/>
    <cellStyle name="Normal 14 3 3" xfId="322"/>
    <cellStyle name="Normal 14 4" xfId="323"/>
    <cellStyle name="Normal 14 5" xfId="324"/>
    <cellStyle name="Normal 14 6" xfId="325"/>
    <cellStyle name="Normal 140" xfId="5198"/>
    <cellStyle name="Normal 141" xfId="5287"/>
    <cellStyle name="Normal 142" xfId="5242"/>
    <cellStyle name="Normal 143" xfId="5185"/>
    <cellStyle name="Normal 144" xfId="5155"/>
    <cellStyle name="Normal 145" xfId="5292"/>
    <cellStyle name="Normal 146" xfId="5379"/>
    <cellStyle name="Normal 147" xfId="5380"/>
    <cellStyle name="Normal 148" xfId="5381"/>
    <cellStyle name="Normal 149" xfId="5259"/>
    <cellStyle name="Normal 149 2" xfId="5202"/>
    <cellStyle name="Normal 149 2 2" xfId="10568"/>
    <cellStyle name="Normal 149 2 2 2" xfId="14149"/>
    <cellStyle name="Normal 149 2 2 2 2" xfId="19458"/>
    <cellStyle name="Normal 149 2 2 3" xfId="12452"/>
    <cellStyle name="Normal 149 2 2 4" xfId="17840"/>
    <cellStyle name="Normal 149 2 3" xfId="13290"/>
    <cellStyle name="Normal 149 2 3 2" xfId="18759"/>
    <cellStyle name="Normal 149 2 4" xfId="11542"/>
    <cellStyle name="Normal 149 2 4 2" xfId="16981"/>
    <cellStyle name="Normal 149 2 5" xfId="15096"/>
    <cellStyle name="Normal 149 2 6" xfId="16143"/>
    <cellStyle name="Normal 15" xfId="326"/>
    <cellStyle name="Normal 15 2" xfId="327"/>
    <cellStyle name="Normal 150" xfId="5376"/>
    <cellStyle name="Normal 151" xfId="5375"/>
    <cellStyle name="Normal 152" xfId="5115"/>
    <cellStyle name="Normal 153" xfId="5172"/>
    <cellStyle name="Normal 153 2" xfId="6239"/>
    <cellStyle name="Normal 154" xfId="5396"/>
    <cellStyle name="Normal 155" xfId="5393"/>
    <cellStyle name="Normal 156" xfId="7995"/>
    <cellStyle name="Normal 157" xfId="6904"/>
    <cellStyle name="Normal 157 2" xfId="7487"/>
    <cellStyle name="Normal 157 2 2" xfId="10762"/>
    <cellStyle name="Normal 157 2 2 2" xfId="14342"/>
    <cellStyle name="Normal 157 2 2 2 2" xfId="19459"/>
    <cellStyle name="Normal 157 2 2 3" xfId="12645"/>
    <cellStyle name="Normal 157 2 2 4" xfId="18033"/>
    <cellStyle name="Normal 157 2 3" xfId="13482"/>
    <cellStyle name="Normal 157 2 3 2" xfId="18951"/>
    <cellStyle name="Normal 157 2 4" xfId="11785"/>
    <cellStyle name="Normal 157 2 4 2" xfId="17173"/>
    <cellStyle name="Normal 157 2 5" xfId="15288"/>
    <cellStyle name="Normal 157 2 6" xfId="16335"/>
    <cellStyle name="Normal 158" xfId="7126"/>
    <cellStyle name="Normal 158 2" xfId="10736"/>
    <cellStyle name="Normal 158 2 2" xfId="14316"/>
    <cellStyle name="Normal 158 2 2 2" xfId="19460"/>
    <cellStyle name="Normal 158 2 3" xfId="12619"/>
    <cellStyle name="Normal 158 2 4" xfId="18007"/>
    <cellStyle name="Normal 158 3" xfId="13456"/>
    <cellStyle name="Normal 158 3 2" xfId="18925"/>
    <cellStyle name="Normal 158 4" xfId="11759"/>
    <cellStyle name="Normal 158 4 2" xfId="17147"/>
    <cellStyle name="Normal 158 5" xfId="15262"/>
    <cellStyle name="Normal 158 6" xfId="16309"/>
    <cellStyle name="Normal 159" xfId="6619"/>
    <cellStyle name="Normal 159 2" xfId="10681"/>
    <cellStyle name="Normal 159 2 2" xfId="14262"/>
    <cellStyle name="Normal 159 2 2 2" xfId="19461"/>
    <cellStyle name="Normal 159 2 3" xfId="12565"/>
    <cellStyle name="Normal 159 2 4" xfId="17953"/>
    <cellStyle name="Normal 159 3" xfId="13402"/>
    <cellStyle name="Normal 159 3 2" xfId="18871"/>
    <cellStyle name="Normal 159 4" xfId="11705"/>
    <cellStyle name="Normal 159 4 2" xfId="17093"/>
    <cellStyle name="Normal 159 5" xfId="15208"/>
    <cellStyle name="Normal 159 6" xfId="16255"/>
    <cellStyle name="Normal 16" xfId="328"/>
    <cellStyle name="Normal 16 2" xfId="329"/>
    <cellStyle name="Normal 160" xfId="9766"/>
    <cellStyle name="Normal 160 2" xfId="11006"/>
    <cellStyle name="Normal 160 2 2" xfId="14586"/>
    <cellStyle name="Normal 160 2 2 2" xfId="19462"/>
    <cellStyle name="Normal 160 2 3" xfId="12889"/>
    <cellStyle name="Normal 160 2 4" xfId="18277"/>
    <cellStyle name="Normal 160 3" xfId="13724"/>
    <cellStyle name="Normal 160 3 2" xfId="19193"/>
    <cellStyle name="Normal 160 4" xfId="12027"/>
    <cellStyle name="Normal 160 4 2" xfId="17415"/>
    <cellStyle name="Normal 160 5" xfId="15532"/>
    <cellStyle name="Normal 160 6" xfId="16577"/>
    <cellStyle name="Normal 161" xfId="9772"/>
    <cellStyle name="Normal 161 2" xfId="11009"/>
    <cellStyle name="Normal 161 2 2" xfId="14589"/>
    <cellStyle name="Normal 161 2 2 2" xfId="19463"/>
    <cellStyle name="Normal 161 2 3" xfId="12892"/>
    <cellStyle name="Normal 161 2 4" xfId="18280"/>
    <cellStyle name="Normal 161 3" xfId="13727"/>
    <cellStyle name="Normal 161 3 2" xfId="19196"/>
    <cellStyle name="Normal 161 4" xfId="12030"/>
    <cellStyle name="Normal 161 4 2" xfId="17418"/>
    <cellStyle name="Normal 161 5" xfId="15535"/>
    <cellStyle name="Normal 161 6" xfId="16580"/>
    <cellStyle name="Normal 162" xfId="9769"/>
    <cellStyle name="Normal 162 2" xfId="11008"/>
    <cellStyle name="Normal 162 2 2" xfId="14588"/>
    <cellStyle name="Normal 162 2 2 2" xfId="19464"/>
    <cellStyle name="Normal 162 2 3" xfId="12891"/>
    <cellStyle name="Normal 162 2 4" xfId="18279"/>
    <cellStyle name="Normal 162 3" xfId="13726"/>
    <cellStyle name="Normal 162 3 2" xfId="19195"/>
    <cellStyle name="Normal 162 4" xfId="12029"/>
    <cellStyle name="Normal 162 4 2" xfId="17417"/>
    <cellStyle name="Normal 162 5" xfId="15534"/>
    <cellStyle name="Normal 162 6" xfId="16579"/>
    <cellStyle name="Normal 163" xfId="6832"/>
    <cellStyle name="Normal 164" xfId="8058"/>
    <cellStyle name="Normal 165" xfId="24"/>
    <cellStyle name="Normal 165 2" xfId="11010"/>
    <cellStyle name="Normal 165 3" xfId="12903"/>
    <cellStyle name="Normal 165 3 2" xfId="19465"/>
    <cellStyle name="Normal 165 4" xfId="11108"/>
    <cellStyle name="Normal 165 4 2" xfId="16593"/>
    <cellStyle name="Normal 166" xfId="29"/>
    <cellStyle name="Normal 166 2" xfId="11017"/>
    <cellStyle name="Normal 166 3" xfId="12904"/>
    <cellStyle name="Normal 166 3 2" xfId="19466"/>
    <cellStyle name="Normal 166 4" xfId="11109"/>
    <cellStyle name="Normal 166 4 2" xfId="16595"/>
    <cellStyle name="Normal 167" xfId="10141"/>
    <cellStyle name="Normal 167 2" xfId="11018"/>
    <cellStyle name="Normal 167 3" xfId="13738"/>
    <cellStyle name="Normal 167 3 2" xfId="19467"/>
    <cellStyle name="Normal 167 4" xfId="12041"/>
    <cellStyle name="Normal 167 4 2" xfId="17429"/>
    <cellStyle name="Normal 168" xfId="10156"/>
    <cellStyle name="Normal 168 2" xfId="13748"/>
    <cellStyle name="Normal 168 2 2" xfId="19468"/>
    <cellStyle name="Normal 168 3" xfId="12051"/>
    <cellStyle name="Normal 168 3 2" xfId="17439"/>
    <cellStyle name="Normal 168 4" xfId="15755"/>
    <cellStyle name="Normal 169" xfId="10149"/>
    <cellStyle name="Normal 169 2" xfId="13744"/>
    <cellStyle name="Normal 169 2 2" xfId="19469"/>
    <cellStyle name="Normal 169 3" xfId="12047"/>
    <cellStyle name="Normal 169 3 2" xfId="17435"/>
    <cellStyle name="Normal 169 4" xfId="15754"/>
    <cellStyle name="Normal 17" xfId="330"/>
    <cellStyle name="Normal 17 2" xfId="331"/>
    <cellStyle name="Normal 17 2 2" xfId="332"/>
    <cellStyle name="Normal 17 2 2 2" xfId="333"/>
    <cellStyle name="Normal 17 2 2 3" xfId="334"/>
    <cellStyle name="Normal 17 2 3" xfId="335"/>
    <cellStyle name="Normal 17 2 4" xfId="336"/>
    <cellStyle name="Normal 17 3" xfId="337"/>
    <cellStyle name="Normal 17 3 2" xfId="338"/>
    <cellStyle name="Normal 17 3 2 2" xfId="339"/>
    <cellStyle name="Normal 17 3 2 3" xfId="340"/>
    <cellStyle name="Normal 17 3 3" xfId="341"/>
    <cellStyle name="Normal 17 3 4" xfId="342"/>
    <cellStyle name="Normal 17 4" xfId="343"/>
    <cellStyle name="Normal 17 4 2" xfId="344"/>
    <cellStyle name="Normal 17 4 3" xfId="345"/>
    <cellStyle name="Normal 17 5" xfId="346"/>
    <cellStyle name="Normal 17 6" xfId="347"/>
    <cellStyle name="Normal 170" xfId="10129"/>
    <cellStyle name="Normal 170 2" xfId="13729"/>
    <cellStyle name="Normal 170 2 2" xfId="19470"/>
    <cellStyle name="Normal 170 3" xfId="12032"/>
    <cellStyle name="Normal 170 3 2" xfId="17420"/>
    <cellStyle name="Normal 170 4" xfId="16582"/>
    <cellStyle name="Normal 171" xfId="10161"/>
    <cellStyle name="Normal 171 2" xfId="13750"/>
    <cellStyle name="Normal 171 2 2" xfId="19471"/>
    <cellStyle name="Normal 171 3" xfId="12053"/>
    <cellStyle name="Normal 171 4" xfId="17441"/>
    <cellStyle name="Normal 172" xfId="10169"/>
    <cellStyle name="Normal 172 2" xfId="13755"/>
    <cellStyle name="Normal 172 2 2" xfId="19472"/>
    <cellStyle name="Normal 172 3" xfId="12058"/>
    <cellStyle name="Normal 172 4" xfId="17446"/>
    <cellStyle name="Normal 173" xfId="10165"/>
    <cellStyle name="Normal 173 2" xfId="13753"/>
    <cellStyle name="Normal 173 2 2" xfId="19473"/>
    <cellStyle name="Normal 173 3" xfId="12056"/>
    <cellStyle name="Normal 173 4" xfId="17444"/>
    <cellStyle name="Normal 174" xfId="10134"/>
    <cellStyle name="Normal 174 2" xfId="13733"/>
    <cellStyle name="Normal 174 2 2" xfId="19474"/>
    <cellStyle name="Normal 174 3" xfId="12036"/>
    <cellStyle name="Normal 174 4" xfId="17424"/>
    <cellStyle name="Normal 175" xfId="10138"/>
    <cellStyle name="Normal 175 2" xfId="13737"/>
    <cellStyle name="Normal 175 2 2" xfId="19475"/>
    <cellStyle name="Normal 175 3" xfId="12040"/>
    <cellStyle name="Normal 175 4" xfId="17428"/>
    <cellStyle name="Normal 176" xfId="10130"/>
    <cellStyle name="Normal 176 2" xfId="13730"/>
    <cellStyle name="Normal 176 2 2" xfId="19476"/>
    <cellStyle name="Normal 176 3" xfId="12033"/>
    <cellStyle name="Normal 176 4" xfId="17421"/>
    <cellStyle name="Normal 177" xfId="10135"/>
    <cellStyle name="Normal 177 2" xfId="13734"/>
    <cellStyle name="Normal 177 2 2" xfId="19477"/>
    <cellStyle name="Normal 177 3" xfId="12037"/>
    <cellStyle name="Normal 177 4" xfId="17425"/>
    <cellStyle name="Normal 178" xfId="10150"/>
    <cellStyle name="Normal 178 2" xfId="13745"/>
    <cellStyle name="Normal 178 2 2" xfId="19478"/>
    <cellStyle name="Normal 178 3" xfId="12048"/>
    <cellStyle name="Normal 178 4" xfId="17436"/>
    <cellStyle name="Normal 179" xfId="10145"/>
    <cellStyle name="Normal 179 2" xfId="13740"/>
    <cellStyle name="Normal 179 2 2" xfId="19479"/>
    <cellStyle name="Normal 179 3" xfId="12043"/>
    <cellStyle name="Normal 179 4" xfId="17431"/>
    <cellStyle name="Normal 18" xfId="348"/>
    <cellStyle name="Normal 18 2" xfId="349"/>
    <cellStyle name="Normal 18 2 2" xfId="1086"/>
    <cellStyle name="Normal 18 3" xfId="1565"/>
    <cellStyle name="Normal 180" xfId="10142"/>
    <cellStyle name="Normal 180 2" xfId="13739"/>
    <cellStyle name="Normal 180 2 2" xfId="19480"/>
    <cellStyle name="Normal 180 3" xfId="12042"/>
    <cellStyle name="Normal 180 4" xfId="17430"/>
    <cellStyle name="Normal 181" xfId="10160"/>
    <cellStyle name="Normal 181 2" xfId="13749"/>
    <cellStyle name="Normal 181 2 2" xfId="19481"/>
    <cellStyle name="Normal 181 3" xfId="12052"/>
    <cellStyle name="Normal 181 4" xfId="17440"/>
    <cellStyle name="Normal 182" xfId="10174"/>
    <cellStyle name="Normal 182 2" xfId="13759"/>
    <cellStyle name="Normal 182 2 2" xfId="19482"/>
    <cellStyle name="Normal 182 3" xfId="12062"/>
    <cellStyle name="Normal 182 4" xfId="17450"/>
    <cellStyle name="Normal 183" xfId="10177"/>
    <cellStyle name="Normal 183 2" xfId="13761"/>
    <cellStyle name="Normal 183 2 2" xfId="19483"/>
    <cellStyle name="Normal 183 3" xfId="12064"/>
    <cellStyle name="Normal 183 4" xfId="17452"/>
    <cellStyle name="Normal 184" xfId="10659"/>
    <cellStyle name="Normal 184 2" xfId="14240"/>
    <cellStyle name="Normal 184 2 2" xfId="19484"/>
    <cellStyle name="Normal 184 3" xfId="12543"/>
    <cellStyle name="Normal 184 4" xfId="17931"/>
    <cellStyle name="Normal 185" xfId="10528"/>
    <cellStyle name="Normal 185 2" xfId="14109"/>
    <cellStyle name="Normal 185 2 2" xfId="19485"/>
    <cellStyle name="Normal 185 3" xfId="12412"/>
    <cellStyle name="Normal 185 4" xfId="17800"/>
    <cellStyle name="Normal 186" xfId="11092"/>
    <cellStyle name="Normal 186 2" xfId="14595"/>
    <cellStyle name="Normal 186 2 2" xfId="19486"/>
    <cellStyle name="Normal 186 3" xfId="12898"/>
    <cellStyle name="Normal 186 4" xfId="18286"/>
    <cellStyle name="Normal 187" xfId="11097"/>
    <cellStyle name="Normal 187 2" xfId="16592"/>
    <cellStyle name="Normal 188" xfId="11099"/>
    <cellStyle name="Normal 188 2" xfId="18290"/>
    <cellStyle name="Normal 189" xfId="11104"/>
    <cellStyle name="Normal 189 2" xfId="18306"/>
    <cellStyle name="Normal 19" xfId="350"/>
    <cellStyle name="Normal 19 2" xfId="1087"/>
    <cellStyle name="Normal 190" xfId="11105"/>
    <cellStyle name="Normal 190 2" xfId="18314"/>
    <cellStyle name="Normal 191" xfId="11093"/>
    <cellStyle name="Normal 191 2" xfId="14619"/>
    <cellStyle name="Normal 191 3" xfId="18296"/>
    <cellStyle name="Normal 192" xfId="14682"/>
    <cellStyle name="Normal 192 2" xfId="18310"/>
    <cellStyle name="Normal 193" xfId="12899"/>
    <cellStyle name="Normal 193 2" xfId="18295"/>
    <cellStyle name="Normal 194" xfId="14702"/>
    <cellStyle name="Normal 194 2" xfId="18312"/>
    <cellStyle name="Normal 195" xfId="14705"/>
    <cellStyle name="Normal 195 2" xfId="18305"/>
    <cellStyle name="Normal 196" xfId="14876"/>
    <cellStyle name="Normal 196 2" xfId="18294"/>
    <cellStyle name="Normal 197" xfId="15531"/>
    <cellStyle name="Normal 197 2" xfId="18311"/>
    <cellStyle name="Normal 198" xfId="15545"/>
    <cellStyle name="Normal 198 2" xfId="18317"/>
    <cellStyle name="Normal 199" xfId="15550"/>
    <cellStyle name="Normal 199 2" xfId="18319"/>
    <cellStyle name="Normal 2" xfId="1"/>
    <cellStyle name="Normal 2 10" xfId="1737"/>
    <cellStyle name="Normal 2 10 10" xfId="15782"/>
    <cellStyle name="Normal 2 10 2" xfId="2453"/>
    <cellStyle name="Normal 2 10 2 2" xfId="4528"/>
    <cellStyle name="Normal 2 10 2 2 2" xfId="8916"/>
    <cellStyle name="Normal 2 10 2 2 2 2" xfId="10946"/>
    <cellStyle name="Normal 2 10 2 2 2 2 2" xfId="14526"/>
    <cellStyle name="Normal 2 10 2 2 2 2 2 2" xfId="19487"/>
    <cellStyle name="Normal 2 10 2 2 2 2 3" xfId="12829"/>
    <cellStyle name="Normal 2 10 2 2 2 2 4" xfId="18217"/>
    <cellStyle name="Normal 2 10 2 2 2 3" xfId="13665"/>
    <cellStyle name="Normal 2 10 2 2 2 3 2" xfId="19134"/>
    <cellStyle name="Normal 2 10 2 2 2 4" xfId="11968"/>
    <cellStyle name="Normal 2 10 2 2 2 4 2" xfId="17356"/>
    <cellStyle name="Normal 2 10 2 2 2 5" xfId="15472"/>
    <cellStyle name="Normal 2 10 2 2 2 6" xfId="16518"/>
    <cellStyle name="Normal 2 10 2 2 3" xfId="10470"/>
    <cellStyle name="Normal 2 10 2 2 3 2" xfId="14051"/>
    <cellStyle name="Normal 2 10 2 2 3 2 2" xfId="19488"/>
    <cellStyle name="Normal 2 10 2 2 3 3" xfId="12354"/>
    <cellStyle name="Normal 2 10 2 2 3 4" xfId="17742"/>
    <cellStyle name="Normal 2 10 2 2 4" xfId="13193"/>
    <cellStyle name="Normal 2 10 2 2 4 2" xfId="18662"/>
    <cellStyle name="Normal 2 10 2 2 5" xfId="11426"/>
    <cellStyle name="Normal 2 10 2 2 5 2" xfId="16884"/>
    <cellStyle name="Normal 2 10 2 2 6" xfId="14998"/>
    <cellStyle name="Normal 2 10 2 2 7" xfId="16046"/>
    <cellStyle name="Normal 2 10 2 3" xfId="6574"/>
    <cellStyle name="Normal 2 10 2 3 2" xfId="10677"/>
    <cellStyle name="Normal 2 10 2 3 2 2" xfId="14258"/>
    <cellStyle name="Normal 2 10 2 3 2 2 2" xfId="19489"/>
    <cellStyle name="Normal 2 10 2 3 2 3" xfId="12561"/>
    <cellStyle name="Normal 2 10 2 3 2 4" xfId="17949"/>
    <cellStyle name="Normal 2 10 2 3 3" xfId="13398"/>
    <cellStyle name="Normal 2 10 2 3 3 2" xfId="18867"/>
    <cellStyle name="Normal 2 10 2 3 4" xfId="11701"/>
    <cellStyle name="Normal 2 10 2 3 4 2" xfId="17089"/>
    <cellStyle name="Normal 2 10 2 3 5" xfId="15204"/>
    <cellStyle name="Normal 2 10 2 3 6" xfId="16251"/>
    <cellStyle name="Normal 2 10 2 4" xfId="10289"/>
    <cellStyle name="Normal 2 10 2 4 2" xfId="13871"/>
    <cellStyle name="Normal 2 10 2 4 2 2" xfId="19490"/>
    <cellStyle name="Normal 2 10 2 4 3" xfId="12174"/>
    <cellStyle name="Normal 2 10 2 4 4" xfId="17562"/>
    <cellStyle name="Normal 2 10 2 5" xfId="13014"/>
    <cellStyle name="Normal 2 10 2 5 2" xfId="18508"/>
    <cellStyle name="Normal 2 10 2 6" xfId="11233"/>
    <cellStyle name="Normal 2 10 2 6 2" xfId="16705"/>
    <cellStyle name="Normal 2 10 2 7" xfId="14817"/>
    <cellStyle name="Normal 2 10 2 8" xfId="15867"/>
    <cellStyle name="Normal 2 10 3" xfId="4351"/>
    <cellStyle name="Normal 2 10 3 2" xfId="8787"/>
    <cellStyle name="Normal 2 10 3 2 2" xfId="10858"/>
    <cellStyle name="Normal 2 10 3 2 2 2" xfId="14438"/>
    <cellStyle name="Normal 2 10 3 2 2 2 2" xfId="19491"/>
    <cellStyle name="Normal 2 10 3 2 2 3" xfId="12741"/>
    <cellStyle name="Normal 2 10 3 2 2 4" xfId="18129"/>
    <cellStyle name="Normal 2 10 3 2 3" xfId="13577"/>
    <cellStyle name="Normal 2 10 3 2 3 2" xfId="19046"/>
    <cellStyle name="Normal 2 10 3 2 4" xfId="11880"/>
    <cellStyle name="Normal 2 10 3 2 4 2" xfId="17268"/>
    <cellStyle name="Normal 2 10 3 2 5" xfId="15384"/>
    <cellStyle name="Normal 2 10 3 2 6" xfId="16430"/>
    <cellStyle name="Normal 2 10 3 3" xfId="10382"/>
    <cellStyle name="Normal 2 10 3 3 2" xfId="13963"/>
    <cellStyle name="Normal 2 10 3 3 2 2" xfId="19492"/>
    <cellStyle name="Normal 2 10 3 3 3" xfId="12266"/>
    <cellStyle name="Normal 2 10 3 3 4" xfId="17654"/>
    <cellStyle name="Normal 2 10 3 4" xfId="13105"/>
    <cellStyle name="Normal 2 10 3 4 2" xfId="18574"/>
    <cellStyle name="Normal 2 10 3 5" xfId="11338"/>
    <cellStyle name="Normal 2 10 3 5 2" xfId="16796"/>
    <cellStyle name="Normal 2 10 3 6" xfId="14910"/>
    <cellStyle name="Normal 2 10 3 7" xfId="15958"/>
    <cellStyle name="Normal 2 10 4" xfId="5136"/>
    <cellStyle name="Normal 2 10 4 2" xfId="10546"/>
    <cellStyle name="Normal 2 10 4 2 2" xfId="14127"/>
    <cellStyle name="Normal 2 10 4 2 2 2" xfId="19493"/>
    <cellStyle name="Normal 2 10 4 2 3" xfId="12430"/>
    <cellStyle name="Normal 2 10 4 2 4" xfId="17818"/>
    <cellStyle name="Normal 2 10 4 3" xfId="13268"/>
    <cellStyle name="Normal 2 10 4 3 2" xfId="18737"/>
    <cellStyle name="Normal 2 10 4 4" xfId="11518"/>
    <cellStyle name="Normal 2 10 4 4 2" xfId="16959"/>
    <cellStyle name="Normal 2 10 4 5" xfId="15074"/>
    <cellStyle name="Normal 2 10 4 6" xfId="16121"/>
    <cellStyle name="Normal 2 10 5" xfId="6958"/>
    <cellStyle name="Normal 2 10 5 2" xfId="10716"/>
    <cellStyle name="Normal 2 10 5 2 2" xfId="14296"/>
    <cellStyle name="Normal 2 10 5 2 2 2" xfId="19494"/>
    <cellStyle name="Normal 2 10 5 2 3" xfId="12599"/>
    <cellStyle name="Normal 2 10 5 2 4" xfId="17987"/>
    <cellStyle name="Normal 2 10 5 3" xfId="13436"/>
    <cellStyle name="Normal 2 10 5 3 2" xfId="18905"/>
    <cellStyle name="Normal 2 10 5 4" xfId="11739"/>
    <cellStyle name="Normal 2 10 5 4 2" xfId="17127"/>
    <cellStyle name="Normal 2 10 5 5" xfId="15242"/>
    <cellStyle name="Normal 2 10 5 6" xfId="16289"/>
    <cellStyle name="Normal 2 10 6" xfId="10203"/>
    <cellStyle name="Normal 2 10 6 2" xfId="13785"/>
    <cellStyle name="Normal 2 10 6 2 2" xfId="19495"/>
    <cellStyle name="Normal 2 10 6 3" xfId="12088"/>
    <cellStyle name="Normal 2 10 6 4" xfId="17476"/>
    <cellStyle name="Normal 2 10 7" xfId="12929"/>
    <cellStyle name="Normal 2 10 7 2" xfId="18470"/>
    <cellStyle name="Normal 2 10 8" xfId="11134"/>
    <cellStyle name="Normal 2 10 8 2" xfId="16620"/>
    <cellStyle name="Normal 2 10 9" xfId="14730"/>
    <cellStyle name="Normal 2 11" xfId="11023"/>
    <cellStyle name="Normal 2 2" xfId="351"/>
    <cellStyle name="Normal 2 2 2" xfId="352"/>
    <cellStyle name="Normal 2 2 3" xfId="353"/>
    <cellStyle name="Normal 2 2 4" xfId="354"/>
    <cellStyle name="Normal 2 2 5" xfId="355"/>
    <cellStyle name="Normal 2 3" xfId="356"/>
    <cellStyle name="Normal 2 3 2" xfId="357"/>
    <cellStyle name="Normal 2 3 3" xfId="1994"/>
    <cellStyle name="Normal 2 3_29(d) - Gas extensions -tariffs" xfId="358"/>
    <cellStyle name="Normal 2 4" xfId="359"/>
    <cellStyle name="Normal 2 4 2" xfId="360"/>
    <cellStyle name="Normal 2 4 3" xfId="361"/>
    <cellStyle name="Normal 2 5" xfId="362"/>
    <cellStyle name="Normal 2 6" xfId="1088"/>
    <cellStyle name="Normal 2 6 2" xfId="1585"/>
    <cellStyle name="Normal 2 6 3" xfId="1858"/>
    <cellStyle name="Normal 2 7" xfId="1771"/>
    <cellStyle name="Normal 2 8" xfId="1606"/>
    <cellStyle name="Normal 2 9" xfId="1749"/>
    <cellStyle name="Normal 2 9 10" xfId="15792"/>
    <cellStyle name="Normal 2 9 2" xfId="2464"/>
    <cellStyle name="Normal 2 9 2 2" xfId="4538"/>
    <cellStyle name="Normal 2 9 2 2 2" xfId="8926"/>
    <cellStyle name="Normal 2 9 2 2 2 2" xfId="10956"/>
    <cellStyle name="Normal 2 9 2 2 2 2 2" xfId="14536"/>
    <cellStyle name="Normal 2 9 2 2 2 2 2 2" xfId="19496"/>
    <cellStyle name="Normal 2 9 2 2 2 2 3" xfId="12839"/>
    <cellStyle name="Normal 2 9 2 2 2 2 4" xfId="18227"/>
    <cellStyle name="Normal 2 9 2 2 2 3" xfId="13675"/>
    <cellStyle name="Normal 2 9 2 2 2 3 2" xfId="19144"/>
    <cellStyle name="Normal 2 9 2 2 2 4" xfId="11978"/>
    <cellStyle name="Normal 2 9 2 2 2 4 2" xfId="17366"/>
    <cellStyle name="Normal 2 9 2 2 2 5" xfId="15482"/>
    <cellStyle name="Normal 2 9 2 2 2 6" xfId="16528"/>
    <cellStyle name="Normal 2 9 2 2 3" xfId="10480"/>
    <cellStyle name="Normal 2 9 2 2 3 2" xfId="14061"/>
    <cellStyle name="Normal 2 9 2 2 3 2 2" xfId="19497"/>
    <cellStyle name="Normal 2 9 2 2 3 3" xfId="12364"/>
    <cellStyle name="Normal 2 9 2 2 3 4" xfId="17752"/>
    <cellStyle name="Normal 2 9 2 2 4" xfId="13203"/>
    <cellStyle name="Normal 2 9 2 2 4 2" xfId="18672"/>
    <cellStyle name="Normal 2 9 2 2 5" xfId="11436"/>
    <cellStyle name="Normal 2 9 2 2 5 2" xfId="16894"/>
    <cellStyle name="Normal 2 9 2 2 6" xfId="15008"/>
    <cellStyle name="Normal 2 9 2 2 7" xfId="16056"/>
    <cellStyle name="Normal 2 9 2 3" xfId="8151"/>
    <cellStyle name="Normal 2 9 2 3 2" xfId="10822"/>
    <cellStyle name="Normal 2 9 2 3 2 2" xfId="14402"/>
    <cellStyle name="Normal 2 9 2 3 2 2 2" xfId="19498"/>
    <cellStyle name="Normal 2 9 2 3 2 3" xfId="12705"/>
    <cellStyle name="Normal 2 9 2 3 2 4" xfId="18093"/>
    <cellStyle name="Normal 2 9 2 3 3" xfId="13541"/>
    <cellStyle name="Normal 2 9 2 3 3 2" xfId="19010"/>
    <cellStyle name="Normal 2 9 2 3 4" xfId="11844"/>
    <cellStyle name="Normal 2 9 2 3 4 2" xfId="17232"/>
    <cellStyle name="Normal 2 9 2 3 5" xfId="15347"/>
    <cellStyle name="Normal 2 9 2 3 6" xfId="16394"/>
    <cellStyle name="Normal 2 9 2 4" xfId="10299"/>
    <cellStyle name="Normal 2 9 2 4 2" xfId="13881"/>
    <cellStyle name="Normal 2 9 2 4 2 2" xfId="19499"/>
    <cellStyle name="Normal 2 9 2 4 3" xfId="12184"/>
    <cellStyle name="Normal 2 9 2 4 4" xfId="17572"/>
    <cellStyle name="Normal 2 9 2 5" xfId="13024"/>
    <cellStyle name="Normal 2 9 2 5 2" xfId="18509"/>
    <cellStyle name="Normal 2 9 2 6" xfId="11243"/>
    <cellStyle name="Normal 2 9 2 6 2" xfId="16715"/>
    <cellStyle name="Normal 2 9 2 7" xfId="14827"/>
    <cellStyle name="Normal 2 9 2 8" xfId="15877"/>
    <cellStyle name="Normal 2 9 3" xfId="4361"/>
    <cellStyle name="Normal 2 9 3 2" xfId="8797"/>
    <cellStyle name="Normal 2 9 3 2 2" xfId="10868"/>
    <cellStyle name="Normal 2 9 3 2 2 2" xfId="14448"/>
    <cellStyle name="Normal 2 9 3 2 2 2 2" xfId="19500"/>
    <cellStyle name="Normal 2 9 3 2 2 3" xfId="12751"/>
    <cellStyle name="Normal 2 9 3 2 2 4" xfId="18139"/>
    <cellStyle name="Normal 2 9 3 2 3" xfId="13587"/>
    <cellStyle name="Normal 2 9 3 2 3 2" xfId="19056"/>
    <cellStyle name="Normal 2 9 3 2 4" xfId="11890"/>
    <cellStyle name="Normal 2 9 3 2 4 2" xfId="17278"/>
    <cellStyle name="Normal 2 9 3 2 5" xfId="15394"/>
    <cellStyle name="Normal 2 9 3 2 6" xfId="16440"/>
    <cellStyle name="Normal 2 9 3 3" xfId="10392"/>
    <cellStyle name="Normal 2 9 3 3 2" xfId="13973"/>
    <cellStyle name="Normal 2 9 3 3 2 2" xfId="19501"/>
    <cellStyle name="Normal 2 9 3 3 3" xfId="12276"/>
    <cellStyle name="Normal 2 9 3 3 4" xfId="17664"/>
    <cellStyle name="Normal 2 9 3 4" xfId="13115"/>
    <cellStyle name="Normal 2 9 3 4 2" xfId="18584"/>
    <cellStyle name="Normal 2 9 3 5" xfId="11348"/>
    <cellStyle name="Normal 2 9 3 5 2" xfId="16806"/>
    <cellStyle name="Normal 2 9 3 6" xfId="14920"/>
    <cellStyle name="Normal 2 9 3 7" xfId="15968"/>
    <cellStyle name="Normal 2 9 4" xfId="5258"/>
    <cellStyle name="Normal 2 9 4 2" xfId="10594"/>
    <cellStyle name="Normal 2 9 4 2 2" xfId="14175"/>
    <cellStyle name="Normal 2 9 4 2 2 2" xfId="19502"/>
    <cellStyle name="Normal 2 9 4 2 3" xfId="12478"/>
    <cellStyle name="Normal 2 9 4 2 4" xfId="17866"/>
    <cellStyle name="Normal 2 9 4 3" xfId="13316"/>
    <cellStyle name="Normal 2 9 4 3 2" xfId="18785"/>
    <cellStyle name="Normal 2 9 4 4" xfId="11571"/>
    <cellStyle name="Normal 2 9 4 4 2" xfId="17007"/>
    <cellStyle name="Normal 2 9 4 5" xfId="15122"/>
    <cellStyle name="Normal 2 9 4 6" xfId="16169"/>
    <cellStyle name="Normal 2 9 5" xfId="7268"/>
    <cellStyle name="Normal 2 9 5 2" xfId="10745"/>
    <cellStyle name="Normal 2 9 5 2 2" xfId="14325"/>
    <cellStyle name="Normal 2 9 5 2 2 2" xfId="19503"/>
    <cellStyle name="Normal 2 9 5 2 3" xfId="12628"/>
    <cellStyle name="Normal 2 9 5 2 4" xfId="18016"/>
    <cellStyle name="Normal 2 9 5 3" xfId="13465"/>
    <cellStyle name="Normal 2 9 5 3 2" xfId="18934"/>
    <cellStyle name="Normal 2 9 5 4" xfId="11768"/>
    <cellStyle name="Normal 2 9 5 4 2" xfId="17156"/>
    <cellStyle name="Normal 2 9 5 5" xfId="15271"/>
    <cellStyle name="Normal 2 9 5 6" xfId="16318"/>
    <cellStyle name="Normal 2 9 6" xfId="10213"/>
    <cellStyle name="Normal 2 9 6 2" xfId="13795"/>
    <cellStyle name="Normal 2 9 6 2 2" xfId="19504"/>
    <cellStyle name="Normal 2 9 6 3" xfId="12098"/>
    <cellStyle name="Normal 2 9 6 4" xfId="17486"/>
    <cellStyle name="Normal 2 9 7" xfId="12939"/>
    <cellStyle name="Normal 2 9 7 2" xfId="18480"/>
    <cellStyle name="Normal 2 9 8" xfId="11144"/>
    <cellStyle name="Normal 2 9 8 2" xfId="16630"/>
    <cellStyle name="Normal 2 9 9" xfId="14740"/>
    <cellStyle name="Normal 2_29(d) - Gas extensions -tariffs" xfId="363"/>
    <cellStyle name="Normal 20" xfId="364"/>
    <cellStyle name="Normal 20 2" xfId="365"/>
    <cellStyle name="Normal 20 2 2" xfId="366"/>
    <cellStyle name="Normal 20 3" xfId="367"/>
    <cellStyle name="Normal 20 4" xfId="368"/>
    <cellStyle name="Normal 200" xfId="15546"/>
    <cellStyle name="Normal 200 2" xfId="18291"/>
    <cellStyle name="Normal 201" xfId="15651"/>
    <cellStyle name="Normal 201 2" xfId="18298"/>
    <cellStyle name="Normal 202" xfId="15542"/>
    <cellStyle name="Normal 202 2" xfId="18411"/>
    <cellStyle name="Normal 202 3" xfId="16588"/>
    <cellStyle name="Normal 203" xfId="16589"/>
    <cellStyle name="Normal 204" xfId="18323"/>
    <cellStyle name="Normal 205" xfId="18352"/>
    <cellStyle name="Normal 206" xfId="18359"/>
    <cellStyle name="Normal 207" xfId="18355"/>
    <cellStyle name="Normal 208" xfId="18329"/>
    <cellStyle name="Normal 209" xfId="18375"/>
    <cellStyle name="Normal 21" xfId="369"/>
    <cellStyle name="Normal 21 2" xfId="370"/>
    <cellStyle name="Normal 21 3" xfId="371"/>
    <cellStyle name="Normal 210" xfId="18363"/>
    <cellStyle name="Normal 211" xfId="18338"/>
    <cellStyle name="Normal 212" xfId="18371"/>
    <cellStyle name="Normal 213" xfId="18336"/>
    <cellStyle name="Normal 214" xfId="18343"/>
    <cellStyle name="Normal 215" xfId="18346"/>
    <cellStyle name="Normal 216" xfId="19201"/>
    <cellStyle name="Normal 217" xfId="18362"/>
    <cellStyle name="Normal 218" xfId="18369"/>
    <cellStyle name="Normal 219" xfId="18348"/>
    <cellStyle name="Normal 22" xfId="372"/>
    <cellStyle name="Normal 220" xfId="18337"/>
    <cellStyle name="Normal 221" xfId="18376"/>
    <cellStyle name="Normal 222" xfId="18372"/>
    <cellStyle name="Normal 223" xfId="19202"/>
    <cellStyle name="Normal 224" xfId="18366"/>
    <cellStyle name="Normal 225" xfId="18326"/>
    <cellStyle name="Normal 226" xfId="20090"/>
    <cellStyle name="Normal 227" xfId="16584"/>
    <cellStyle name="Normal 228" xfId="20098"/>
    <cellStyle name="Normal 229" xfId="20108"/>
    <cellStyle name="Normal 23" xfId="373"/>
    <cellStyle name="Normal 23 2" xfId="374"/>
    <cellStyle name="Normal 23 2 2" xfId="375"/>
    <cellStyle name="Normal 23 3" xfId="376"/>
    <cellStyle name="Normal 23 4" xfId="377"/>
    <cellStyle name="Normal 230" xfId="20119"/>
    <cellStyle name="Normal 231" xfId="20101"/>
    <cellStyle name="Normal 232" xfId="20109"/>
    <cellStyle name="Normal 233" xfId="20118"/>
    <cellStyle name="Normal 234" xfId="20117"/>
    <cellStyle name="Normal 235" xfId="20105"/>
    <cellStyle name="Normal 236" xfId="20092"/>
    <cellStyle name="Normal 237" xfId="20095"/>
    <cellStyle name="Normal 24" xfId="378"/>
    <cellStyle name="Normal 24 2" xfId="379"/>
    <cellStyle name="Normal 24 2 2" xfId="380"/>
    <cellStyle name="Normal 24 3" xfId="381"/>
    <cellStyle name="Normal 24 4" xfId="382"/>
    <cellStyle name="Normal 25" xfId="383"/>
    <cellStyle name="Normal 25 2" xfId="384"/>
    <cellStyle name="Normal 25 2 2" xfId="385"/>
    <cellStyle name="Normal 25 3" xfId="386"/>
    <cellStyle name="Normal 25 4" xfId="387"/>
    <cellStyle name="Normal 26" xfId="388"/>
    <cellStyle name="Normal 26 2" xfId="389"/>
    <cellStyle name="Normal 26 2 2" xfId="390"/>
    <cellStyle name="Normal 26 3" xfId="391"/>
    <cellStyle name="Normal 26 4" xfId="392"/>
    <cellStyle name="Normal 27" xfId="393"/>
    <cellStyle name="Normal 28" xfId="394"/>
    <cellStyle name="Normal 28 2" xfId="395"/>
    <cellStyle name="Normal 29" xfId="396"/>
    <cellStyle name="Normal 3" xfId="4"/>
    <cellStyle name="Normal 3 10" xfId="22"/>
    <cellStyle name="Normal 3 2" xfId="397"/>
    <cellStyle name="Normal 3 2 2" xfId="1089"/>
    <cellStyle name="Normal 3 2 3" xfId="15757"/>
    <cellStyle name="Normal 3 2 4" xfId="20086"/>
    <cellStyle name="Normal 3 2 5" xfId="15756"/>
    <cellStyle name="Normal 3 3" xfId="398"/>
    <cellStyle name="Normal 3 3 2" xfId="399"/>
    <cellStyle name="Normal 3 3 3" xfId="400"/>
    <cellStyle name="Normal 3 3 4" xfId="15758"/>
    <cellStyle name="Normal 3 3 5" xfId="20087"/>
    <cellStyle name="Normal 3 3 6" xfId="15752"/>
    <cellStyle name="Normal 3 4" xfId="401"/>
    <cellStyle name="Normal 3 5" xfId="402"/>
    <cellStyle name="Normal 3 5 2" xfId="403"/>
    <cellStyle name="Normal 3 5 3" xfId="404"/>
    <cellStyle name="Normal 3 6" xfId="1090"/>
    <cellStyle name="Normal 3 6 2" xfId="1589"/>
    <cellStyle name="Normal 3 6 3" xfId="1859"/>
    <cellStyle name="Normal 3 7" xfId="1707"/>
    <cellStyle name="Normal 3 8" xfId="26"/>
    <cellStyle name="Normal 3 8 2" xfId="11043"/>
    <cellStyle name="Normal 3 8 3" xfId="16594"/>
    <cellStyle name="Normal 3 9" xfId="23"/>
    <cellStyle name="Normal 3_29(d) - Gas extensions -tariffs" xfId="405"/>
    <cellStyle name="Normal 30" xfId="406"/>
    <cellStyle name="Normal 31" xfId="407"/>
    <cellStyle name="Normal 32" xfId="408"/>
    <cellStyle name="Normal 32 2" xfId="409"/>
    <cellStyle name="Normal 33" xfId="410"/>
    <cellStyle name="Normal 34" xfId="411"/>
    <cellStyle name="Normal 35" xfId="412"/>
    <cellStyle name="Normal 35 2" xfId="1590"/>
    <cellStyle name="Normal 36" xfId="413"/>
    <cellStyle name="Normal 36 2" xfId="1591"/>
    <cellStyle name="Normal 37" xfId="414"/>
    <cellStyle name="Normal 38" xfId="415"/>
    <cellStyle name="Normal 38 2" xfId="416"/>
    <cellStyle name="Normal 38_29(d) - Gas extensions -tariffs" xfId="417"/>
    <cellStyle name="Normal 39" xfId="1091"/>
    <cellStyle name="Normal 39 2" xfId="1592"/>
    <cellStyle name="Normal 39 3" xfId="1860"/>
    <cellStyle name="Normal 4" xfId="19"/>
    <cellStyle name="Normal 4 10" xfId="1995"/>
    <cellStyle name="Normal 4 10 10" xfId="15830"/>
    <cellStyle name="Normal 4 10 2" xfId="2533"/>
    <cellStyle name="Normal 4 10 2 2" xfId="4576"/>
    <cellStyle name="Normal 4 10 2 2 2" xfId="8964"/>
    <cellStyle name="Normal 4 10 2 2 2 2" xfId="10994"/>
    <cellStyle name="Normal 4 10 2 2 2 2 2" xfId="14574"/>
    <cellStyle name="Normal 4 10 2 2 2 2 2 2" xfId="19505"/>
    <cellStyle name="Normal 4 10 2 2 2 2 3" xfId="12877"/>
    <cellStyle name="Normal 4 10 2 2 2 2 4" xfId="18265"/>
    <cellStyle name="Normal 4 10 2 2 2 3" xfId="13713"/>
    <cellStyle name="Normal 4 10 2 2 2 3 2" xfId="19182"/>
    <cellStyle name="Normal 4 10 2 2 2 4" xfId="12016"/>
    <cellStyle name="Normal 4 10 2 2 2 4 2" xfId="17404"/>
    <cellStyle name="Normal 4 10 2 2 2 5" xfId="15520"/>
    <cellStyle name="Normal 4 10 2 2 2 6" xfId="16566"/>
    <cellStyle name="Normal 4 10 2 2 3" xfId="10518"/>
    <cellStyle name="Normal 4 10 2 2 3 2" xfId="14099"/>
    <cellStyle name="Normal 4 10 2 2 3 2 2" xfId="19506"/>
    <cellStyle name="Normal 4 10 2 2 3 3" xfId="12402"/>
    <cellStyle name="Normal 4 10 2 2 3 4" xfId="17790"/>
    <cellStyle name="Normal 4 10 2 2 4" xfId="13241"/>
    <cellStyle name="Normal 4 10 2 2 4 2" xfId="18710"/>
    <cellStyle name="Normal 4 10 2 2 5" xfId="11474"/>
    <cellStyle name="Normal 4 10 2 2 5 2" xfId="16932"/>
    <cellStyle name="Normal 4 10 2 2 6" xfId="15046"/>
    <cellStyle name="Normal 4 10 2 2 7" xfId="16094"/>
    <cellStyle name="Normal 4 10 2 3" xfId="7622"/>
    <cellStyle name="Normal 4 10 2 3 2" xfId="10774"/>
    <cellStyle name="Normal 4 10 2 3 2 2" xfId="14354"/>
    <cellStyle name="Normal 4 10 2 3 2 2 2" xfId="19507"/>
    <cellStyle name="Normal 4 10 2 3 2 3" xfId="12657"/>
    <cellStyle name="Normal 4 10 2 3 2 4" xfId="18045"/>
    <cellStyle name="Normal 4 10 2 3 3" xfId="13494"/>
    <cellStyle name="Normal 4 10 2 3 3 2" xfId="18963"/>
    <cellStyle name="Normal 4 10 2 3 4" xfId="11797"/>
    <cellStyle name="Normal 4 10 2 3 4 2" xfId="17185"/>
    <cellStyle name="Normal 4 10 2 3 5" xfId="15300"/>
    <cellStyle name="Normal 4 10 2 3 6" xfId="16347"/>
    <cellStyle name="Normal 4 10 2 4" xfId="10337"/>
    <cellStyle name="Normal 4 10 2 4 2" xfId="13919"/>
    <cellStyle name="Normal 4 10 2 4 2 2" xfId="19508"/>
    <cellStyle name="Normal 4 10 2 4 3" xfId="12222"/>
    <cellStyle name="Normal 4 10 2 4 4" xfId="17610"/>
    <cellStyle name="Normal 4 10 2 5" xfId="13062"/>
    <cellStyle name="Normal 4 10 2 5 2" xfId="18531"/>
    <cellStyle name="Normal 4 10 2 6" xfId="11281"/>
    <cellStyle name="Normal 4 10 2 6 2" xfId="16753"/>
    <cellStyle name="Normal 4 10 2 7" xfId="14865"/>
    <cellStyle name="Normal 4 10 2 8" xfId="15915"/>
    <cellStyle name="Normal 4 10 3" xfId="2626"/>
    <cellStyle name="Normal 4 10 4" xfId="4399"/>
    <cellStyle name="Normal 4 10 4 2" xfId="8835"/>
    <cellStyle name="Normal 4 10 4 2 2" xfId="10906"/>
    <cellStyle name="Normal 4 10 4 2 2 2" xfId="14486"/>
    <cellStyle name="Normal 4 10 4 2 2 2 2" xfId="19509"/>
    <cellStyle name="Normal 4 10 4 2 2 3" xfId="12789"/>
    <cellStyle name="Normal 4 10 4 2 2 4" xfId="18177"/>
    <cellStyle name="Normal 4 10 4 2 3" xfId="13625"/>
    <cellStyle name="Normal 4 10 4 2 3 2" xfId="19094"/>
    <cellStyle name="Normal 4 10 4 2 4" xfId="11928"/>
    <cellStyle name="Normal 4 10 4 2 4 2" xfId="17316"/>
    <cellStyle name="Normal 4 10 4 2 5" xfId="15432"/>
    <cellStyle name="Normal 4 10 4 2 6" xfId="16478"/>
    <cellStyle name="Normal 4 10 4 3" xfId="10430"/>
    <cellStyle name="Normal 4 10 4 3 2" xfId="14011"/>
    <cellStyle name="Normal 4 10 4 3 2 2" xfId="19510"/>
    <cellStyle name="Normal 4 10 4 3 3" xfId="12314"/>
    <cellStyle name="Normal 4 10 4 3 4" xfId="17702"/>
    <cellStyle name="Normal 4 10 4 4" xfId="13153"/>
    <cellStyle name="Normal 4 10 4 4 2" xfId="18622"/>
    <cellStyle name="Normal 4 10 4 5" xfId="11386"/>
    <cellStyle name="Normal 4 10 4 5 2" xfId="16844"/>
    <cellStyle name="Normal 4 10 4 6" xfId="14958"/>
    <cellStyle name="Normal 4 10 4 7" xfId="16006"/>
    <cellStyle name="Normal 4 10 5" xfId="7745"/>
    <cellStyle name="Normal 4 10 5 2" xfId="10783"/>
    <cellStyle name="Normal 4 10 5 2 2" xfId="14363"/>
    <cellStyle name="Normal 4 10 5 2 2 2" xfId="19511"/>
    <cellStyle name="Normal 4 10 5 2 3" xfId="12666"/>
    <cellStyle name="Normal 4 10 5 2 4" xfId="18054"/>
    <cellStyle name="Normal 4 10 5 3" xfId="13502"/>
    <cellStyle name="Normal 4 10 5 3 2" xfId="18971"/>
    <cellStyle name="Normal 4 10 5 4" xfId="11805"/>
    <cellStyle name="Normal 4 10 5 4 2" xfId="17193"/>
    <cellStyle name="Normal 4 10 5 5" xfId="15308"/>
    <cellStyle name="Normal 4 10 5 6" xfId="16355"/>
    <cellStyle name="Normal 4 10 6" xfId="10251"/>
    <cellStyle name="Normal 4 10 6 2" xfId="13833"/>
    <cellStyle name="Normal 4 10 6 2 2" xfId="19512"/>
    <cellStyle name="Normal 4 10 6 3" xfId="12136"/>
    <cellStyle name="Normal 4 10 6 4" xfId="17524"/>
    <cellStyle name="Normal 4 10 7" xfId="12977"/>
    <cellStyle name="Normal 4 10 7 2" xfId="18383"/>
    <cellStyle name="Normal 4 10 8" xfId="11182"/>
    <cellStyle name="Normal 4 10 8 2" xfId="16668"/>
    <cellStyle name="Normal 4 10 9" xfId="14778"/>
    <cellStyle name="Normal 4 11" xfId="36"/>
    <cellStyle name="Normal 4 12" xfId="25"/>
    <cellStyle name="Normal 4 2" xfId="418"/>
    <cellStyle name="Normal 4 2 2" xfId="419"/>
    <cellStyle name="Normal 4 2 2 2" xfId="420"/>
    <cellStyle name="Normal 4 2 2 2 2" xfId="421"/>
    <cellStyle name="Normal 4 2 2 2 3" xfId="422"/>
    <cellStyle name="Normal 4 2 2 3" xfId="423"/>
    <cellStyle name="Normal 4 2 2 4" xfId="424"/>
    <cellStyle name="Normal 4 2 3" xfId="425"/>
    <cellStyle name="Normal 4 2 3 2" xfId="426"/>
    <cellStyle name="Normal 4 2 3 2 2" xfId="427"/>
    <cellStyle name="Normal 4 2 3 2 3" xfId="428"/>
    <cellStyle name="Normal 4 2 3 3" xfId="429"/>
    <cellStyle name="Normal 4 2 3 4" xfId="430"/>
    <cellStyle name="Normal 4 3" xfId="431"/>
    <cellStyle name="Normal 4 3 2" xfId="432"/>
    <cellStyle name="Normal 4 3 2 2" xfId="433"/>
    <cellStyle name="Normal 4 3 2 3" xfId="434"/>
    <cellStyle name="Normal 4 3 3" xfId="435"/>
    <cellStyle name="Normal 4 3 3 2" xfId="436"/>
    <cellStyle name="Normal 4 3 4" xfId="437"/>
    <cellStyle name="Normal 4 4" xfId="438"/>
    <cellStyle name="Normal 4 5" xfId="439"/>
    <cellStyle name="Normal 4 6" xfId="440"/>
    <cellStyle name="Normal 4 7" xfId="1092"/>
    <cellStyle name="Normal 4 8" xfId="1554"/>
    <cellStyle name="Normal 4 9" xfId="1781"/>
    <cellStyle name="Normal 4_29(d) - Gas extensions -tariffs" xfId="441"/>
    <cellStyle name="Normal 40" xfId="442"/>
    <cellStyle name="Normal 40 2" xfId="443"/>
    <cellStyle name="Normal 40_29(d) - Gas extensions -tariffs" xfId="444"/>
    <cellStyle name="Normal 41" xfId="1093"/>
    <cellStyle name="Normal 41 2" xfId="1609"/>
    <cellStyle name="Normal 41 3" xfId="1861"/>
    <cellStyle name="Normal 42" xfId="1094"/>
    <cellStyle name="Normal 42 10" xfId="5221"/>
    <cellStyle name="Normal 42 10 2" xfId="10579"/>
    <cellStyle name="Normal 42 10 2 2" xfId="14160"/>
    <cellStyle name="Normal 42 10 2 2 2" xfId="19513"/>
    <cellStyle name="Normal 42 10 2 3" xfId="12463"/>
    <cellStyle name="Normal 42 10 2 4" xfId="17851"/>
    <cellStyle name="Normal 42 10 3" xfId="13301"/>
    <cellStyle name="Normal 42 10 3 2" xfId="18770"/>
    <cellStyle name="Normal 42 10 4" xfId="11555"/>
    <cellStyle name="Normal 42 10 4 2" xfId="16992"/>
    <cellStyle name="Normal 42 10 5" xfId="15107"/>
    <cellStyle name="Normal 42 10 6" xfId="16154"/>
    <cellStyle name="Normal 42 11" xfId="7080"/>
    <cellStyle name="Normal 42 11 2" xfId="10730"/>
    <cellStyle name="Normal 42 11 2 2" xfId="14310"/>
    <cellStyle name="Normal 42 11 2 2 2" xfId="19514"/>
    <cellStyle name="Normal 42 11 2 3" xfId="12613"/>
    <cellStyle name="Normal 42 11 2 4" xfId="18001"/>
    <cellStyle name="Normal 42 11 3" xfId="13450"/>
    <cellStyle name="Normal 42 11 3 2" xfId="18919"/>
    <cellStyle name="Normal 42 11 4" xfId="11753"/>
    <cellStyle name="Normal 42 11 4 2" xfId="17141"/>
    <cellStyle name="Normal 42 11 5" xfId="15256"/>
    <cellStyle name="Normal 42 11 6" xfId="16303"/>
    <cellStyle name="Normal 42 12" xfId="10181"/>
    <cellStyle name="Normal 42 12 2" xfId="13765"/>
    <cellStyle name="Normal 42 12 2 2" xfId="19515"/>
    <cellStyle name="Normal 42 12 3" xfId="12068"/>
    <cellStyle name="Normal 42 12 4" xfId="17456"/>
    <cellStyle name="Normal 42 13" xfId="12909"/>
    <cellStyle name="Normal 42 13 2" xfId="19516"/>
    <cellStyle name="Normal 42 14" xfId="11114"/>
    <cellStyle name="Normal 42 14 2" xfId="16600"/>
    <cellStyle name="Normal 42 15" xfId="14709"/>
    <cellStyle name="Normal 42 16" xfId="15762"/>
    <cellStyle name="Normal 42 2" xfId="1095"/>
    <cellStyle name="Normal 42 2 2" xfId="1096"/>
    <cellStyle name="Normal 42 2 2 10" xfId="11115"/>
    <cellStyle name="Normal 42 2 2 10 2" xfId="16601"/>
    <cellStyle name="Normal 42 2 2 11" xfId="14710"/>
    <cellStyle name="Normal 42 2 2 12" xfId="15763"/>
    <cellStyle name="Normal 42 2 2 2" xfId="1097"/>
    <cellStyle name="Normal 42 2 2 2 10" xfId="14711"/>
    <cellStyle name="Normal 42 2 2 2 11" xfId="15764"/>
    <cellStyle name="Normal 42 2 2 2 2" xfId="1564"/>
    <cellStyle name="Normal 42 2 2 2 2 10" xfId="15781"/>
    <cellStyle name="Normal 42 2 2 2 2 2" xfId="2426"/>
    <cellStyle name="Normal 42 2 2 2 2 2 2" xfId="4527"/>
    <cellStyle name="Normal 42 2 2 2 2 2 2 2" xfId="8915"/>
    <cellStyle name="Normal 42 2 2 2 2 2 2 2 2" xfId="10945"/>
    <cellStyle name="Normal 42 2 2 2 2 2 2 2 2 2" xfId="14525"/>
    <cellStyle name="Normal 42 2 2 2 2 2 2 2 2 2 2" xfId="19517"/>
    <cellStyle name="Normal 42 2 2 2 2 2 2 2 2 3" xfId="12828"/>
    <cellStyle name="Normal 42 2 2 2 2 2 2 2 2 4" xfId="18216"/>
    <cellStyle name="Normal 42 2 2 2 2 2 2 2 3" xfId="13664"/>
    <cellStyle name="Normal 42 2 2 2 2 2 2 2 3 2" xfId="19133"/>
    <cellStyle name="Normal 42 2 2 2 2 2 2 2 4" xfId="11967"/>
    <cellStyle name="Normal 42 2 2 2 2 2 2 2 4 2" xfId="17355"/>
    <cellStyle name="Normal 42 2 2 2 2 2 2 2 5" xfId="15471"/>
    <cellStyle name="Normal 42 2 2 2 2 2 2 2 6" xfId="16517"/>
    <cellStyle name="Normal 42 2 2 2 2 2 2 3" xfId="10469"/>
    <cellStyle name="Normal 42 2 2 2 2 2 2 3 2" xfId="14050"/>
    <cellStyle name="Normal 42 2 2 2 2 2 2 3 2 2" xfId="19518"/>
    <cellStyle name="Normal 42 2 2 2 2 2 2 3 3" xfId="12353"/>
    <cellStyle name="Normal 42 2 2 2 2 2 2 3 4" xfId="17741"/>
    <cellStyle name="Normal 42 2 2 2 2 2 2 4" xfId="13192"/>
    <cellStyle name="Normal 42 2 2 2 2 2 2 4 2" xfId="18661"/>
    <cellStyle name="Normal 42 2 2 2 2 2 2 5" xfId="11425"/>
    <cellStyle name="Normal 42 2 2 2 2 2 2 5 2" xfId="16883"/>
    <cellStyle name="Normal 42 2 2 2 2 2 2 6" xfId="14997"/>
    <cellStyle name="Normal 42 2 2 2 2 2 2 7" xfId="16045"/>
    <cellStyle name="Normal 42 2 2 2 2 2 3" xfId="5132"/>
    <cellStyle name="Normal 42 2 2 2 2 2 3 2" xfId="10544"/>
    <cellStyle name="Normal 42 2 2 2 2 2 3 2 2" xfId="14125"/>
    <cellStyle name="Normal 42 2 2 2 2 2 3 2 2 2" xfId="19519"/>
    <cellStyle name="Normal 42 2 2 2 2 2 3 2 3" xfId="12428"/>
    <cellStyle name="Normal 42 2 2 2 2 2 3 2 4" xfId="17816"/>
    <cellStyle name="Normal 42 2 2 2 2 2 3 3" xfId="13266"/>
    <cellStyle name="Normal 42 2 2 2 2 2 3 3 2" xfId="18735"/>
    <cellStyle name="Normal 42 2 2 2 2 2 3 4" xfId="11515"/>
    <cellStyle name="Normal 42 2 2 2 2 2 3 4 2" xfId="16957"/>
    <cellStyle name="Normal 42 2 2 2 2 2 3 5" xfId="15072"/>
    <cellStyle name="Normal 42 2 2 2 2 2 3 6" xfId="16119"/>
    <cellStyle name="Normal 42 2 2 2 2 2 4" xfId="7955"/>
    <cellStyle name="Normal 42 2 2 2 2 2 4 2" xfId="10801"/>
    <cellStyle name="Normal 42 2 2 2 2 2 4 2 2" xfId="14381"/>
    <cellStyle name="Normal 42 2 2 2 2 2 4 2 2 2" xfId="19520"/>
    <cellStyle name="Normal 42 2 2 2 2 2 4 2 3" xfId="12684"/>
    <cellStyle name="Normal 42 2 2 2 2 2 4 2 4" xfId="18072"/>
    <cellStyle name="Normal 42 2 2 2 2 2 4 3" xfId="13520"/>
    <cellStyle name="Normal 42 2 2 2 2 2 4 3 2" xfId="18989"/>
    <cellStyle name="Normal 42 2 2 2 2 2 4 4" xfId="11823"/>
    <cellStyle name="Normal 42 2 2 2 2 2 4 4 2" xfId="17211"/>
    <cellStyle name="Normal 42 2 2 2 2 2 4 5" xfId="15326"/>
    <cellStyle name="Normal 42 2 2 2 2 2 4 6" xfId="16373"/>
    <cellStyle name="Normal 42 2 2 2 2 2 5" xfId="10288"/>
    <cellStyle name="Normal 42 2 2 2 2 2 5 2" xfId="13870"/>
    <cellStyle name="Normal 42 2 2 2 2 2 5 2 2" xfId="19521"/>
    <cellStyle name="Normal 42 2 2 2 2 2 5 3" xfId="12173"/>
    <cellStyle name="Normal 42 2 2 2 2 2 5 4" xfId="17561"/>
    <cellStyle name="Normal 42 2 2 2 2 2 6" xfId="13013"/>
    <cellStyle name="Normal 42 2 2 2 2 2 6 2" xfId="18469"/>
    <cellStyle name="Normal 42 2 2 2 2 2 7" xfId="11232"/>
    <cellStyle name="Normal 42 2 2 2 2 2 7 2" xfId="16704"/>
    <cellStyle name="Normal 42 2 2 2 2 2 8" xfId="14816"/>
    <cellStyle name="Normal 42 2 2 2 2 2 9" xfId="15866"/>
    <cellStyle name="Normal 42 2 2 2 2 3" xfId="4350"/>
    <cellStyle name="Normal 42 2 2 2 2 3 2" xfId="8786"/>
    <cellStyle name="Normal 42 2 2 2 2 3 2 2" xfId="10857"/>
    <cellStyle name="Normal 42 2 2 2 2 3 2 2 2" xfId="14437"/>
    <cellStyle name="Normal 42 2 2 2 2 3 2 2 2 2" xfId="19522"/>
    <cellStyle name="Normal 42 2 2 2 2 3 2 2 3" xfId="12740"/>
    <cellStyle name="Normal 42 2 2 2 2 3 2 2 4" xfId="18128"/>
    <cellStyle name="Normal 42 2 2 2 2 3 2 3" xfId="13576"/>
    <cellStyle name="Normal 42 2 2 2 2 3 2 3 2" xfId="19045"/>
    <cellStyle name="Normal 42 2 2 2 2 3 2 4" xfId="11879"/>
    <cellStyle name="Normal 42 2 2 2 2 3 2 4 2" xfId="17267"/>
    <cellStyle name="Normal 42 2 2 2 2 3 2 5" xfId="15383"/>
    <cellStyle name="Normal 42 2 2 2 2 3 2 6" xfId="16429"/>
    <cellStyle name="Normal 42 2 2 2 2 3 3" xfId="10381"/>
    <cellStyle name="Normal 42 2 2 2 2 3 3 2" xfId="13962"/>
    <cellStyle name="Normal 42 2 2 2 2 3 3 2 2" xfId="19523"/>
    <cellStyle name="Normal 42 2 2 2 2 3 3 3" xfId="12265"/>
    <cellStyle name="Normal 42 2 2 2 2 3 3 4" xfId="17653"/>
    <cellStyle name="Normal 42 2 2 2 2 3 4" xfId="13104"/>
    <cellStyle name="Normal 42 2 2 2 2 3 4 2" xfId="18573"/>
    <cellStyle name="Normal 42 2 2 2 2 3 5" xfId="11337"/>
    <cellStyle name="Normal 42 2 2 2 2 3 5 2" xfId="16795"/>
    <cellStyle name="Normal 42 2 2 2 2 3 6" xfId="14909"/>
    <cellStyle name="Normal 42 2 2 2 2 3 7" xfId="15957"/>
    <cellStyle name="Normal 42 2 2 2 2 4" xfId="5272"/>
    <cellStyle name="Normal 42 2 2 2 2 4 2" xfId="10599"/>
    <cellStyle name="Normal 42 2 2 2 2 4 2 2" xfId="14180"/>
    <cellStyle name="Normal 42 2 2 2 2 4 2 2 2" xfId="19524"/>
    <cellStyle name="Normal 42 2 2 2 2 4 2 3" xfId="12483"/>
    <cellStyle name="Normal 42 2 2 2 2 4 2 4" xfId="17871"/>
    <cellStyle name="Normal 42 2 2 2 2 4 3" xfId="13321"/>
    <cellStyle name="Normal 42 2 2 2 2 4 3 2" xfId="18790"/>
    <cellStyle name="Normal 42 2 2 2 2 4 4" xfId="11576"/>
    <cellStyle name="Normal 42 2 2 2 2 4 4 2" xfId="17012"/>
    <cellStyle name="Normal 42 2 2 2 2 4 5" xfId="15127"/>
    <cellStyle name="Normal 42 2 2 2 2 4 6" xfId="16174"/>
    <cellStyle name="Normal 42 2 2 2 2 5" xfId="7095"/>
    <cellStyle name="Normal 42 2 2 2 2 5 2" xfId="10732"/>
    <cellStyle name="Normal 42 2 2 2 2 5 2 2" xfId="14312"/>
    <cellStyle name="Normal 42 2 2 2 2 5 2 2 2" xfId="19525"/>
    <cellStyle name="Normal 42 2 2 2 2 5 2 3" xfId="12615"/>
    <cellStyle name="Normal 42 2 2 2 2 5 2 4" xfId="18003"/>
    <cellStyle name="Normal 42 2 2 2 2 5 3" xfId="13452"/>
    <cellStyle name="Normal 42 2 2 2 2 5 3 2" xfId="18921"/>
    <cellStyle name="Normal 42 2 2 2 2 5 4" xfId="11755"/>
    <cellStyle name="Normal 42 2 2 2 2 5 4 2" xfId="17143"/>
    <cellStyle name="Normal 42 2 2 2 2 5 5" xfId="15258"/>
    <cellStyle name="Normal 42 2 2 2 2 5 6" xfId="16305"/>
    <cellStyle name="Normal 42 2 2 2 2 6" xfId="10202"/>
    <cellStyle name="Normal 42 2 2 2 2 6 2" xfId="13784"/>
    <cellStyle name="Normal 42 2 2 2 2 6 2 2" xfId="19526"/>
    <cellStyle name="Normal 42 2 2 2 2 6 3" xfId="12087"/>
    <cellStyle name="Normal 42 2 2 2 2 6 4" xfId="17475"/>
    <cellStyle name="Normal 42 2 2 2 2 7" xfId="12928"/>
    <cellStyle name="Normal 42 2 2 2 2 7 2" xfId="18437"/>
    <cellStyle name="Normal 42 2 2 2 2 8" xfId="11133"/>
    <cellStyle name="Normal 42 2 2 2 2 8 2" xfId="16619"/>
    <cellStyle name="Normal 42 2 2 2 2 9" xfId="14729"/>
    <cellStyle name="Normal 42 2 2 2 3" xfId="2395"/>
    <cellStyle name="Normal 42 2 2 2 3 2" xfId="4509"/>
    <cellStyle name="Normal 42 2 2 2 3 2 2" xfId="8897"/>
    <cellStyle name="Normal 42 2 2 2 3 2 2 2" xfId="10927"/>
    <cellStyle name="Normal 42 2 2 2 3 2 2 2 2" xfId="14507"/>
    <cellStyle name="Normal 42 2 2 2 3 2 2 2 2 2" xfId="19527"/>
    <cellStyle name="Normal 42 2 2 2 3 2 2 2 3" xfId="12810"/>
    <cellStyle name="Normal 42 2 2 2 3 2 2 2 4" xfId="18198"/>
    <cellStyle name="Normal 42 2 2 2 3 2 2 3" xfId="13646"/>
    <cellStyle name="Normal 42 2 2 2 3 2 2 3 2" xfId="19115"/>
    <cellStyle name="Normal 42 2 2 2 3 2 2 4" xfId="11949"/>
    <cellStyle name="Normal 42 2 2 2 3 2 2 4 2" xfId="17337"/>
    <cellStyle name="Normal 42 2 2 2 3 2 2 5" xfId="15453"/>
    <cellStyle name="Normal 42 2 2 2 3 2 2 6" xfId="16499"/>
    <cellStyle name="Normal 42 2 2 2 3 2 3" xfId="10451"/>
    <cellStyle name="Normal 42 2 2 2 3 2 3 2" xfId="14032"/>
    <cellStyle name="Normal 42 2 2 2 3 2 3 2 2" xfId="19528"/>
    <cellStyle name="Normal 42 2 2 2 3 2 3 3" xfId="12335"/>
    <cellStyle name="Normal 42 2 2 2 3 2 3 4" xfId="17723"/>
    <cellStyle name="Normal 42 2 2 2 3 2 4" xfId="13174"/>
    <cellStyle name="Normal 42 2 2 2 3 2 4 2" xfId="18643"/>
    <cellStyle name="Normal 42 2 2 2 3 2 5" xfId="11407"/>
    <cellStyle name="Normal 42 2 2 2 3 2 5 2" xfId="16865"/>
    <cellStyle name="Normal 42 2 2 2 3 2 6" xfId="14979"/>
    <cellStyle name="Normal 42 2 2 2 3 2 7" xfId="16027"/>
    <cellStyle name="Normal 42 2 2 2 3 3" xfId="5261"/>
    <cellStyle name="Normal 42 2 2 2 3 3 2" xfId="10595"/>
    <cellStyle name="Normal 42 2 2 2 3 3 2 2" xfId="14176"/>
    <cellStyle name="Normal 42 2 2 2 3 3 2 2 2" xfId="19529"/>
    <cellStyle name="Normal 42 2 2 2 3 3 2 3" xfId="12479"/>
    <cellStyle name="Normal 42 2 2 2 3 3 2 4" xfId="17867"/>
    <cellStyle name="Normal 42 2 2 2 3 3 3" xfId="13317"/>
    <cellStyle name="Normal 42 2 2 2 3 3 3 2" xfId="18786"/>
    <cellStyle name="Normal 42 2 2 2 3 3 4" xfId="11572"/>
    <cellStyle name="Normal 42 2 2 2 3 3 4 2" xfId="17008"/>
    <cellStyle name="Normal 42 2 2 2 3 3 5" xfId="15123"/>
    <cellStyle name="Normal 42 2 2 2 3 3 6" xfId="16170"/>
    <cellStyle name="Normal 42 2 2 2 3 4" xfId="6734"/>
    <cellStyle name="Normal 42 2 2 2 3 4 2" xfId="10692"/>
    <cellStyle name="Normal 42 2 2 2 3 4 2 2" xfId="14273"/>
    <cellStyle name="Normal 42 2 2 2 3 4 2 2 2" xfId="19530"/>
    <cellStyle name="Normal 42 2 2 2 3 4 2 3" xfId="12576"/>
    <cellStyle name="Normal 42 2 2 2 3 4 2 4" xfId="17964"/>
    <cellStyle name="Normal 42 2 2 2 3 4 3" xfId="13413"/>
    <cellStyle name="Normal 42 2 2 2 3 4 3 2" xfId="18882"/>
    <cellStyle name="Normal 42 2 2 2 3 4 4" xfId="11716"/>
    <cellStyle name="Normal 42 2 2 2 3 4 4 2" xfId="17104"/>
    <cellStyle name="Normal 42 2 2 2 3 4 5" xfId="15219"/>
    <cellStyle name="Normal 42 2 2 2 3 4 6" xfId="16266"/>
    <cellStyle name="Normal 42 2 2 2 3 5" xfId="10270"/>
    <cellStyle name="Normal 42 2 2 2 3 5 2" xfId="13852"/>
    <cellStyle name="Normal 42 2 2 2 3 5 2 2" xfId="19531"/>
    <cellStyle name="Normal 42 2 2 2 3 5 3" xfId="12155"/>
    <cellStyle name="Normal 42 2 2 2 3 5 4" xfId="17543"/>
    <cellStyle name="Normal 42 2 2 2 3 6" xfId="12995"/>
    <cellStyle name="Normal 42 2 2 2 3 6 2" xfId="18452"/>
    <cellStyle name="Normal 42 2 2 2 3 7" xfId="11214"/>
    <cellStyle name="Normal 42 2 2 2 3 7 2" xfId="16686"/>
    <cellStyle name="Normal 42 2 2 2 3 8" xfId="14797"/>
    <cellStyle name="Normal 42 2 2 2 3 9" xfId="15848"/>
    <cellStyle name="Normal 42 2 2 2 4" xfId="4331"/>
    <cellStyle name="Normal 42 2 2 2 4 2" xfId="8768"/>
    <cellStyle name="Normal 42 2 2 2 4 2 2" xfId="10839"/>
    <cellStyle name="Normal 42 2 2 2 4 2 2 2" xfId="14419"/>
    <cellStyle name="Normal 42 2 2 2 4 2 2 2 2" xfId="19532"/>
    <cellStyle name="Normal 42 2 2 2 4 2 2 3" xfId="12722"/>
    <cellStyle name="Normal 42 2 2 2 4 2 2 4" xfId="18110"/>
    <cellStyle name="Normal 42 2 2 2 4 2 3" xfId="13558"/>
    <cellStyle name="Normal 42 2 2 2 4 2 3 2" xfId="19027"/>
    <cellStyle name="Normal 42 2 2 2 4 2 4" xfId="11861"/>
    <cellStyle name="Normal 42 2 2 2 4 2 4 2" xfId="17249"/>
    <cellStyle name="Normal 42 2 2 2 4 2 5" xfId="15365"/>
    <cellStyle name="Normal 42 2 2 2 4 2 6" xfId="16411"/>
    <cellStyle name="Normal 42 2 2 2 4 3" xfId="10363"/>
    <cellStyle name="Normal 42 2 2 2 4 3 2" xfId="13944"/>
    <cellStyle name="Normal 42 2 2 2 4 3 2 2" xfId="19533"/>
    <cellStyle name="Normal 42 2 2 2 4 3 3" xfId="12247"/>
    <cellStyle name="Normal 42 2 2 2 4 3 4" xfId="17635"/>
    <cellStyle name="Normal 42 2 2 2 4 4" xfId="13086"/>
    <cellStyle name="Normal 42 2 2 2 4 4 2" xfId="18555"/>
    <cellStyle name="Normal 42 2 2 2 4 5" xfId="11319"/>
    <cellStyle name="Normal 42 2 2 2 4 5 2" xfId="16777"/>
    <cellStyle name="Normal 42 2 2 2 4 6" xfId="14891"/>
    <cellStyle name="Normal 42 2 2 2 4 7" xfId="15939"/>
    <cellStyle name="Normal 42 2 2 2 5" xfId="5298"/>
    <cellStyle name="Normal 42 2 2 2 5 2" xfId="10608"/>
    <cellStyle name="Normal 42 2 2 2 5 2 2" xfId="14189"/>
    <cellStyle name="Normal 42 2 2 2 5 2 2 2" xfId="19534"/>
    <cellStyle name="Normal 42 2 2 2 5 2 3" xfId="12492"/>
    <cellStyle name="Normal 42 2 2 2 5 2 4" xfId="17880"/>
    <cellStyle name="Normal 42 2 2 2 5 3" xfId="13330"/>
    <cellStyle name="Normal 42 2 2 2 5 3 2" xfId="18799"/>
    <cellStyle name="Normal 42 2 2 2 5 4" xfId="11587"/>
    <cellStyle name="Normal 42 2 2 2 5 4 2" xfId="17021"/>
    <cellStyle name="Normal 42 2 2 2 5 5" xfId="15136"/>
    <cellStyle name="Normal 42 2 2 2 5 6" xfId="16183"/>
    <cellStyle name="Normal 42 2 2 2 6" xfId="6262"/>
    <cellStyle name="Normal 42 2 2 2 6 2" xfId="10650"/>
    <cellStyle name="Normal 42 2 2 2 6 2 2" xfId="14231"/>
    <cellStyle name="Normal 42 2 2 2 6 2 2 2" xfId="19535"/>
    <cellStyle name="Normal 42 2 2 2 6 2 3" xfId="12534"/>
    <cellStyle name="Normal 42 2 2 2 6 2 4" xfId="17922"/>
    <cellStyle name="Normal 42 2 2 2 6 3" xfId="13372"/>
    <cellStyle name="Normal 42 2 2 2 6 3 2" xfId="18841"/>
    <cellStyle name="Normal 42 2 2 2 6 4" xfId="11675"/>
    <cellStyle name="Normal 42 2 2 2 6 4 2" xfId="17063"/>
    <cellStyle name="Normal 42 2 2 2 6 5" xfId="15178"/>
    <cellStyle name="Normal 42 2 2 2 6 6" xfId="16225"/>
    <cellStyle name="Normal 42 2 2 2 7" xfId="10183"/>
    <cellStyle name="Normal 42 2 2 2 7 2" xfId="13767"/>
    <cellStyle name="Normal 42 2 2 2 7 2 2" xfId="19536"/>
    <cellStyle name="Normal 42 2 2 2 7 3" xfId="12070"/>
    <cellStyle name="Normal 42 2 2 2 7 4" xfId="17458"/>
    <cellStyle name="Normal 42 2 2 2 8" xfId="12911"/>
    <cellStyle name="Normal 42 2 2 2 8 2" xfId="18420"/>
    <cellStyle name="Normal 42 2 2 2 9" xfId="11116"/>
    <cellStyle name="Normal 42 2 2 2 9 2" xfId="16602"/>
    <cellStyle name="Normal 42 2 2 3" xfId="1863"/>
    <cellStyle name="Normal 42 2 2 3 10" xfId="15797"/>
    <cellStyle name="Normal 42 2 2 3 2" xfId="2491"/>
    <cellStyle name="Normal 42 2 2 3 2 2" xfId="4543"/>
    <cellStyle name="Normal 42 2 2 3 2 2 2" xfId="8931"/>
    <cellStyle name="Normal 42 2 2 3 2 2 2 2" xfId="10961"/>
    <cellStyle name="Normal 42 2 2 3 2 2 2 2 2" xfId="14541"/>
    <cellStyle name="Normal 42 2 2 3 2 2 2 2 2 2" xfId="19537"/>
    <cellStyle name="Normal 42 2 2 3 2 2 2 2 3" xfId="12844"/>
    <cellStyle name="Normal 42 2 2 3 2 2 2 2 4" xfId="18232"/>
    <cellStyle name="Normal 42 2 2 3 2 2 2 3" xfId="13680"/>
    <cellStyle name="Normal 42 2 2 3 2 2 2 3 2" xfId="19149"/>
    <cellStyle name="Normal 42 2 2 3 2 2 2 4" xfId="11983"/>
    <cellStyle name="Normal 42 2 2 3 2 2 2 4 2" xfId="17371"/>
    <cellStyle name="Normal 42 2 2 3 2 2 2 5" xfId="15487"/>
    <cellStyle name="Normal 42 2 2 3 2 2 2 6" xfId="16533"/>
    <cellStyle name="Normal 42 2 2 3 2 2 3" xfId="10485"/>
    <cellStyle name="Normal 42 2 2 3 2 2 3 2" xfId="14066"/>
    <cellStyle name="Normal 42 2 2 3 2 2 3 2 2" xfId="19538"/>
    <cellStyle name="Normal 42 2 2 3 2 2 3 3" xfId="12369"/>
    <cellStyle name="Normal 42 2 2 3 2 2 3 4" xfId="17757"/>
    <cellStyle name="Normal 42 2 2 3 2 2 4" xfId="13208"/>
    <cellStyle name="Normal 42 2 2 3 2 2 4 2" xfId="18677"/>
    <cellStyle name="Normal 42 2 2 3 2 2 5" xfId="11441"/>
    <cellStyle name="Normal 42 2 2 3 2 2 5 2" xfId="16899"/>
    <cellStyle name="Normal 42 2 2 3 2 2 6" xfId="15013"/>
    <cellStyle name="Normal 42 2 2 3 2 2 7" xfId="16061"/>
    <cellStyle name="Normal 42 2 2 3 2 3" xfId="5274"/>
    <cellStyle name="Normal 42 2 2 3 2 3 2" xfId="10601"/>
    <cellStyle name="Normal 42 2 2 3 2 3 2 2" xfId="14182"/>
    <cellStyle name="Normal 42 2 2 3 2 3 2 2 2" xfId="19539"/>
    <cellStyle name="Normal 42 2 2 3 2 3 2 3" xfId="12485"/>
    <cellStyle name="Normal 42 2 2 3 2 3 2 4" xfId="17873"/>
    <cellStyle name="Normal 42 2 2 3 2 3 3" xfId="13323"/>
    <cellStyle name="Normal 42 2 2 3 2 3 3 2" xfId="18792"/>
    <cellStyle name="Normal 42 2 2 3 2 3 4" xfId="11578"/>
    <cellStyle name="Normal 42 2 2 3 2 3 4 2" xfId="17014"/>
    <cellStyle name="Normal 42 2 2 3 2 3 5" xfId="15129"/>
    <cellStyle name="Normal 42 2 2 3 2 3 6" xfId="16176"/>
    <cellStyle name="Normal 42 2 2 3 2 4" xfId="7748"/>
    <cellStyle name="Normal 42 2 2 3 2 4 2" xfId="10784"/>
    <cellStyle name="Normal 42 2 2 3 2 4 2 2" xfId="14364"/>
    <cellStyle name="Normal 42 2 2 3 2 4 2 2 2" xfId="19540"/>
    <cellStyle name="Normal 42 2 2 3 2 4 2 3" xfId="12667"/>
    <cellStyle name="Normal 42 2 2 3 2 4 2 4" xfId="18055"/>
    <cellStyle name="Normal 42 2 2 3 2 4 3" xfId="13503"/>
    <cellStyle name="Normal 42 2 2 3 2 4 3 2" xfId="18972"/>
    <cellStyle name="Normal 42 2 2 3 2 4 4" xfId="11806"/>
    <cellStyle name="Normal 42 2 2 3 2 4 4 2" xfId="17194"/>
    <cellStyle name="Normal 42 2 2 3 2 4 5" xfId="15309"/>
    <cellStyle name="Normal 42 2 2 3 2 4 6" xfId="16356"/>
    <cellStyle name="Normal 42 2 2 3 2 5" xfId="10304"/>
    <cellStyle name="Normal 42 2 2 3 2 5 2" xfId="13886"/>
    <cellStyle name="Normal 42 2 2 3 2 5 2 2" xfId="19541"/>
    <cellStyle name="Normal 42 2 2 3 2 5 3" xfId="12189"/>
    <cellStyle name="Normal 42 2 2 3 2 5 4" xfId="17577"/>
    <cellStyle name="Normal 42 2 2 3 2 6" xfId="13029"/>
    <cellStyle name="Normal 42 2 2 3 2 6 2" xfId="18485"/>
    <cellStyle name="Normal 42 2 2 3 2 7" xfId="11248"/>
    <cellStyle name="Normal 42 2 2 3 2 7 2" xfId="16720"/>
    <cellStyle name="Normal 42 2 2 3 2 8" xfId="14832"/>
    <cellStyle name="Normal 42 2 2 3 2 9" xfId="15882"/>
    <cellStyle name="Normal 42 2 2 3 3" xfId="4366"/>
    <cellStyle name="Normal 42 2 2 3 3 2" xfId="8802"/>
    <cellStyle name="Normal 42 2 2 3 3 2 2" xfId="10873"/>
    <cellStyle name="Normal 42 2 2 3 3 2 2 2" xfId="14453"/>
    <cellStyle name="Normal 42 2 2 3 3 2 2 2 2" xfId="19542"/>
    <cellStyle name="Normal 42 2 2 3 3 2 2 3" xfId="12756"/>
    <cellStyle name="Normal 42 2 2 3 3 2 2 4" xfId="18144"/>
    <cellStyle name="Normal 42 2 2 3 3 2 3" xfId="13592"/>
    <cellStyle name="Normal 42 2 2 3 3 2 3 2" xfId="19061"/>
    <cellStyle name="Normal 42 2 2 3 3 2 4" xfId="11895"/>
    <cellStyle name="Normal 42 2 2 3 3 2 4 2" xfId="17283"/>
    <cellStyle name="Normal 42 2 2 3 3 2 5" xfId="15399"/>
    <cellStyle name="Normal 42 2 2 3 3 2 6" xfId="16445"/>
    <cellStyle name="Normal 42 2 2 3 3 3" xfId="10397"/>
    <cellStyle name="Normal 42 2 2 3 3 3 2" xfId="13978"/>
    <cellStyle name="Normal 42 2 2 3 3 3 2 2" xfId="19543"/>
    <cellStyle name="Normal 42 2 2 3 3 3 3" xfId="12281"/>
    <cellStyle name="Normal 42 2 2 3 3 3 4" xfId="17669"/>
    <cellStyle name="Normal 42 2 2 3 3 4" xfId="13120"/>
    <cellStyle name="Normal 42 2 2 3 3 4 2" xfId="18589"/>
    <cellStyle name="Normal 42 2 2 3 3 5" xfId="11353"/>
    <cellStyle name="Normal 42 2 2 3 3 5 2" xfId="16811"/>
    <cellStyle name="Normal 42 2 2 3 3 6" xfId="14925"/>
    <cellStyle name="Normal 42 2 2 3 3 7" xfId="15973"/>
    <cellStyle name="Normal 42 2 2 3 4" xfId="5150"/>
    <cellStyle name="Normal 42 2 2 3 4 2" xfId="10552"/>
    <cellStyle name="Normal 42 2 2 3 4 2 2" xfId="14133"/>
    <cellStyle name="Normal 42 2 2 3 4 2 2 2" xfId="19544"/>
    <cellStyle name="Normal 42 2 2 3 4 2 3" xfId="12436"/>
    <cellStyle name="Normal 42 2 2 3 4 2 4" xfId="17824"/>
    <cellStyle name="Normal 42 2 2 3 4 3" xfId="13274"/>
    <cellStyle name="Normal 42 2 2 3 4 3 2" xfId="18743"/>
    <cellStyle name="Normal 42 2 2 3 4 4" xfId="11524"/>
    <cellStyle name="Normal 42 2 2 3 4 4 2" xfId="16965"/>
    <cellStyle name="Normal 42 2 2 3 4 5" xfId="15080"/>
    <cellStyle name="Normal 42 2 2 3 4 6" xfId="16127"/>
    <cellStyle name="Normal 42 2 2 3 5" xfId="7254"/>
    <cellStyle name="Normal 42 2 2 3 5 2" xfId="10743"/>
    <cellStyle name="Normal 42 2 2 3 5 2 2" xfId="14323"/>
    <cellStyle name="Normal 42 2 2 3 5 2 2 2" xfId="19545"/>
    <cellStyle name="Normal 42 2 2 3 5 2 3" xfId="12626"/>
    <cellStyle name="Normal 42 2 2 3 5 2 4" xfId="18014"/>
    <cellStyle name="Normal 42 2 2 3 5 3" xfId="13463"/>
    <cellStyle name="Normal 42 2 2 3 5 3 2" xfId="18932"/>
    <cellStyle name="Normal 42 2 2 3 5 4" xfId="11766"/>
    <cellStyle name="Normal 42 2 2 3 5 4 2" xfId="17154"/>
    <cellStyle name="Normal 42 2 2 3 5 5" xfId="15269"/>
    <cellStyle name="Normal 42 2 2 3 5 6" xfId="16316"/>
    <cellStyle name="Normal 42 2 2 3 6" xfId="10218"/>
    <cellStyle name="Normal 42 2 2 3 6 2" xfId="13800"/>
    <cellStyle name="Normal 42 2 2 3 6 2 2" xfId="19546"/>
    <cellStyle name="Normal 42 2 2 3 6 3" xfId="12103"/>
    <cellStyle name="Normal 42 2 2 3 6 4" xfId="17491"/>
    <cellStyle name="Normal 42 2 2 3 7" xfId="12944"/>
    <cellStyle name="Normal 42 2 2 3 7 2" xfId="18419"/>
    <cellStyle name="Normal 42 2 2 3 8" xfId="11149"/>
    <cellStyle name="Normal 42 2 2 3 8 2" xfId="16635"/>
    <cellStyle name="Normal 42 2 2 3 9" xfId="14745"/>
    <cellStyle name="Normal 42 2 2 4" xfId="2394"/>
    <cellStyle name="Normal 42 2 2 4 2" xfId="4508"/>
    <cellStyle name="Normal 42 2 2 4 2 2" xfId="8896"/>
    <cellStyle name="Normal 42 2 2 4 2 2 2" xfId="10926"/>
    <cellStyle name="Normal 42 2 2 4 2 2 2 2" xfId="14506"/>
    <cellStyle name="Normal 42 2 2 4 2 2 2 2 2" xfId="19547"/>
    <cellStyle name="Normal 42 2 2 4 2 2 2 3" xfId="12809"/>
    <cellStyle name="Normal 42 2 2 4 2 2 2 4" xfId="18197"/>
    <cellStyle name="Normal 42 2 2 4 2 2 3" xfId="13645"/>
    <cellStyle name="Normal 42 2 2 4 2 2 3 2" xfId="19114"/>
    <cellStyle name="Normal 42 2 2 4 2 2 4" xfId="11948"/>
    <cellStyle name="Normal 42 2 2 4 2 2 4 2" xfId="17336"/>
    <cellStyle name="Normal 42 2 2 4 2 2 5" xfId="15452"/>
    <cellStyle name="Normal 42 2 2 4 2 2 6" xfId="16498"/>
    <cellStyle name="Normal 42 2 2 4 2 3" xfId="10450"/>
    <cellStyle name="Normal 42 2 2 4 2 3 2" xfId="14031"/>
    <cellStyle name="Normal 42 2 2 4 2 3 2 2" xfId="19548"/>
    <cellStyle name="Normal 42 2 2 4 2 3 3" xfId="12334"/>
    <cellStyle name="Normal 42 2 2 4 2 3 4" xfId="17722"/>
    <cellStyle name="Normal 42 2 2 4 2 4" xfId="13173"/>
    <cellStyle name="Normal 42 2 2 4 2 4 2" xfId="18642"/>
    <cellStyle name="Normal 42 2 2 4 2 5" xfId="11406"/>
    <cellStyle name="Normal 42 2 2 4 2 5 2" xfId="16864"/>
    <cellStyle name="Normal 42 2 2 4 2 6" xfId="14978"/>
    <cellStyle name="Normal 42 2 2 4 2 7" xfId="16026"/>
    <cellStyle name="Normal 42 2 2 4 3" xfId="5370"/>
    <cellStyle name="Normal 42 2 2 4 3 2" xfId="10639"/>
    <cellStyle name="Normal 42 2 2 4 3 2 2" xfId="14220"/>
    <cellStyle name="Normal 42 2 2 4 3 2 2 2" xfId="19549"/>
    <cellStyle name="Normal 42 2 2 4 3 2 3" xfId="12523"/>
    <cellStyle name="Normal 42 2 2 4 3 2 4" xfId="17911"/>
    <cellStyle name="Normal 42 2 2 4 3 3" xfId="13361"/>
    <cellStyle name="Normal 42 2 2 4 3 3 2" xfId="18830"/>
    <cellStyle name="Normal 42 2 2 4 3 4" xfId="11622"/>
    <cellStyle name="Normal 42 2 2 4 3 4 2" xfId="17052"/>
    <cellStyle name="Normal 42 2 2 4 3 5" xfId="15167"/>
    <cellStyle name="Normal 42 2 2 4 3 6" xfId="16214"/>
    <cellStyle name="Normal 42 2 2 4 4" xfId="8185"/>
    <cellStyle name="Normal 42 2 2 4 4 2" xfId="10826"/>
    <cellStyle name="Normal 42 2 2 4 4 2 2" xfId="14406"/>
    <cellStyle name="Normal 42 2 2 4 4 2 2 2" xfId="19550"/>
    <cellStyle name="Normal 42 2 2 4 4 2 3" xfId="12709"/>
    <cellStyle name="Normal 42 2 2 4 4 2 4" xfId="18097"/>
    <cellStyle name="Normal 42 2 2 4 4 3" xfId="13545"/>
    <cellStyle name="Normal 42 2 2 4 4 3 2" xfId="19014"/>
    <cellStyle name="Normal 42 2 2 4 4 4" xfId="11848"/>
    <cellStyle name="Normal 42 2 2 4 4 4 2" xfId="17236"/>
    <cellStyle name="Normal 42 2 2 4 4 5" xfId="15351"/>
    <cellStyle name="Normal 42 2 2 4 4 6" xfId="16398"/>
    <cellStyle name="Normal 42 2 2 4 5" xfId="10269"/>
    <cellStyle name="Normal 42 2 2 4 5 2" xfId="13851"/>
    <cellStyle name="Normal 42 2 2 4 5 2 2" xfId="19551"/>
    <cellStyle name="Normal 42 2 2 4 5 3" xfId="12154"/>
    <cellStyle name="Normal 42 2 2 4 5 4" xfId="17542"/>
    <cellStyle name="Normal 42 2 2 4 6" xfId="12994"/>
    <cellStyle name="Normal 42 2 2 4 6 2" xfId="18451"/>
    <cellStyle name="Normal 42 2 2 4 7" xfId="11213"/>
    <cellStyle name="Normal 42 2 2 4 7 2" xfId="16685"/>
    <cellStyle name="Normal 42 2 2 4 8" xfId="14796"/>
    <cellStyle name="Normal 42 2 2 4 9" xfId="15847"/>
    <cellStyle name="Normal 42 2 2 5" xfId="4330"/>
    <cellStyle name="Normal 42 2 2 5 2" xfId="8767"/>
    <cellStyle name="Normal 42 2 2 5 2 2" xfId="10838"/>
    <cellStyle name="Normal 42 2 2 5 2 2 2" xfId="14418"/>
    <cellStyle name="Normal 42 2 2 5 2 2 2 2" xfId="19552"/>
    <cellStyle name="Normal 42 2 2 5 2 2 3" xfId="12721"/>
    <cellStyle name="Normal 42 2 2 5 2 2 4" xfId="18109"/>
    <cellStyle name="Normal 42 2 2 5 2 3" xfId="13557"/>
    <cellStyle name="Normal 42 2 2 5 2 3 2" xfId="19026"/>
    <cellStyle name="Normal 42 2 2 5 2 4" xfId="11860"/>
    <cellStyle name="Normal 42 2 2 5 2 4 2" xfId="17248"/>
    <cellStyle name="Normal 42 2 2 5 2 5" xfId="15364"/>
    <cellStyle name="Normal 42 2 2 5 2 6" xfId="16410"/>
    <cellStyle name="Normal 42 2 2 5 3" xfId="10362"/>
    <cellStyle name="Normal 42 2 2 5 3 2" xfId="13943"/>
    <cellStyle name="Normal 42 2 2 5 3 2 2" xfId="19553"/>
    <cellStyle name="Normal 42 2 2 5 3 3" xfId="12246"/>
    <cellStyle name="Normal 42 2 2 5 3 4" xfId="17634"/>
    <cellStyle name="Normal 42 2 2 5 4" xfId="13085"/>
    <cellStyle name="Normal 42 2 2 5 4 2" xfId="18554"/>
    <cellStyle name="Normal 42 2 2 5 5" xfId="11318"/>
    <cellStyle name="Normal 42 2 2 5 5 2" xfId="16776"/>
    <cellStyle name="Normal 42 2 2 5 6" xfId="14890"/>
    <cellStyle name="Normal 42 2 2 5 7" xfId="15938"/>
    <cellStyle name="Normal 42 2 2 6" xfId="5371"/>
    <cellStyle name="Normal 42 2 2 6 2" xfId="10640"/>
    <cellStyle name="Normal 42 2 2 6 2 2" xfId="14221"/>
    <cellStyle name="Normal 42 2 2 6 2 2 2" xfId="19554"/>
    <cellStyle name="Normal 42 2 2 6 2 3" xfId="12524"/>
    <cellStyle name="Normal 42 2 2 6 2 4" xfId="17912"/>
    <cellStyle name="Normal 42 2 2 6 3" xfId="13362"/>
    <cellStyle name="Normal 42 2 2 6 3 2" xfId="18831"/>
    <cellStyle name="Normal 42 2 2 6 4" xfId="11623"/>
    <cellStyle name="Normal 42 2 2 6 4 2" xfId="17053"/>
    <cellStyle name="Normal 42 2 2 6 5" xfId="15168"/>
    <cellStyle name="Normal 42 2 2 6 6" xfId="16215"/>
    <cellStyle name="Normal 42 2 2 7" xfId="6514"/>
    <cellStyle name="Normal 42 2 2 7 2" xfId="10675"/>
    <cellStyle name="Normal 42 2 2 7 2 2" xfId="14256"/>
    <cellStyle name="Normal 42 2 2 7 2 2 2" xfId="19555"/>
    <cellStyle name="Normal 42 2 2 7 2 3" xfId="12559"/>
    <cellStyle name="Normal 42 2 2 7 2 4" xfId="17947"/>
    <cellStyle name="Normal 42 2 2 7 3" xfId="13396"/>
    <cellStyle name="Normal 42 2 2 7 3 2" xfId="18865"/>
    <cellStyle name="Normal 42 2 2 7 4" xfId="11699"/>
    <cellStyle name="Normal 42 2 2 7 4 2" xfId="17087"/>
    <cellStyle name="Normal 42 2 2 7 5" xfId="15202"/>
    <cellStyle name="Normal 42 2 2 7 6" xfId="16249"/>
    <cellStyle name="Normal 42 2 2 8" xfId="10182"/>
    <cellStyle name="Normal 42 2 2 8 2" xfId="13766"/>
    <cellStyle name="Normal 42 2 2 8 2 2" xfId="19556"/>
    <cellStyle name="Normal 42 2 2 8 3" xfId="12069"/>
    <cellStyle name="Normal 42 2 2 8 4" xfId="17457"/>
    <cellStyle name="Normal 42 2 2 9" xfId="12910"/>
    <cellStyle name="Normal 42 2 2 9 2" xfId="18396"/>
    <cellStyle name="Normal 42 2 3" xfId="1098"/>
    <cellStyle name="Normal 42 2 3 10" xfId="11117"/>
    <cellStyle name="Normal 42 2 3 10 2" xfId="16603"/>
    <cellStyle name="Normal 42 2 3 11" xfId="14712"/>
    <cellStyle name="Normal 42 2 3 12" xfId="15765"/>
    <cellStyle name="Normal 42 2 3 2" xfId="1738"/>
    <cellStyle name="Normal 42 2 3 2 10" xfId="15783"/>
    <cellStyle name="Normal 42 2 3 2 2" xfId="2454"/>
    <cellStyle name="Normal 42 2 3 2 2 2" xfId="4529"/>
    <cellStyle name="Normal 42 2 3 2 2 2 2" xfId="8917"/>
    <cellStyle name="Normal 42 2 3 2 2 2 2 2" xfId="10947"/>
    <cellStyle name="Normal 42 2 3 2 2 2 2 2 2" xfId="14527"/>
    <cellStyle name="Normal 42 2 3 2 2 2 2 2 2 2" xfId="19557"/>
    <cellStyle name="Normal 42 2 3 2 2 2 2 2 3" xfId="12830"/>
    <cellStyle name="Normal 42 2 3 2 2 2 2 2 4" xfId="18218"/>
    <cellStyle name="Normal 42 2 3 2 2 2 2 3" xfId="13666"/>
    <cellStyle name="Normal 42 2 3 2 2 2 2 3 2" xfId="19135"/>
    <cellStyle name="Normal 42 2 3 2 2 2 2 4" xfId="11969"/>
    <cellStyle name="Normal 42 2 3 2 2 2 2 4 2" xfId="17357"/>
    <cellStyle name="Normal 42 2 3 2 2 2 2 5" xfId="15473"/>
    <cellStyle name="Normal 42 2 3 2 2 2 2 6" xfId="16519"/>
    <cellStyle name="Normal 42 2 3 2 2 2 3" xfId="10471"/>
    <cellStyle name="Normal 42 2 3 2 2 2 3 2" xfId="14052"/>
    <cellStyle name="Normal 42 2 3 2 2 2 3 2 2" xfId="19558"/>
    <cellStyle name="Normal 42 2 3 2 2 2 3 3" xfId="12355"/>
    <cellStyle name="Normal 42 2 3 2 2 2 3 4" xfId="17743"/>
    <cellStyle name="Normal 42 2 3 2 2 2 4" xfId="13194"/>
    <cellStyle name="Normal 42 2 3 2 2 2 4 2" xfId="18663"/>
    <cellStyle name="Normal 42 2 3 2 2 2 5" xfId="11427"/>
    <cellStyle name="Normal 42 2 3 2 2 2 5 2" xfId="16885"/>
    <cellStyle name="Normal 42 2 3 2 2 2 6" xfId="14999"/>
    <cellStyle name="Normal 42 2 3 2 2 2 7" xfId="16047"/>
    <cellStyle name="Normal 42 2 3 2 2 3" xfId="5237"/>
    <cellStyle name="Normal 42 2 3 2 2 3 2" xfId="10585"/>
    <cellStyle name="Normal 42 2 3 2 2 3 2 2" xfId="14166"/>
    <cellStyle name="Normal 42 2 3 2 2 3 2 2 2" xfId="19559"/>
    <cellStyle name="Normal 42 2 3 2 2 3 2 3" xfId="12469"/>
    <cellStyle name="Normal 42 2 3 2 2 3 2 4" xfId="17857"/>
    <cellStyle name="Normal 42 2 3 2 2 3 3" xfId="13307"/>
    <cellStyle name="Normal 42 2 3 2 2 3 3 2" xfId="18776"/>
    <cellStyle name="Normal 42 2 3 2 2 3 4" xfId="11562"/>
    <cellStyle name="Normal 42 2 3 2 2 3 4 2" xfId="16998"/>
    <cellStyle name="Normal 42 2 3 2 2 3 5" xfId="15113"/>
    <cellStyle name="Normal 42 2 3 2 2 3 6" xfId="16160"/>
    <cellStyle name="Normal 42 2 3 2 2 4" xfId="8092"/>
    <cellStyle name="Normal 42 2 3 2 2 4 2" xfId="10818"/>
    <cellStyle name="Normal 42 2 3 2 2 4 2 2" xfId="14398"/>
    <cellStyle name="Normal 42 2 3 2 2 4 2 2 2" xfId="19560"/>
    <cellStyle name="Normal 42 2 3 2 2 4 2 3" xfId="12701"/>
    <cellStyle name="Normal 42 2 3 2 2 4 2 4" xfId="18089"/>
    <cellStyle name="Normal 42 2 3 2 2 4 3" xfId="13537"/>
    <cellStyle name="Normal 42 2 3 2 2 4 3 2" xfId="19006"/>
    <cellStyle name="Normal 42 2 3 2 2 4 4" xfId="11840"/>
    <cellStyle name="Normal 42 2 3 2 2 4 4 2" xfId="17228"/>
    <cellStyle name="Normal 42 2 3 2 2 4 5" xfId="15343"/>
    <cellStyle name="Normal 42 2 3 2 2 4 6" xfId="16390"/>
    <cellStyle name="Normal 42 2 3 2 2 5" xfId="10290"/>
    <cellStyle name="Normal 42 2 3 2 2 5 2" xfId="13872"/>
    <cellStyle name="Normal 42 2 3 2 2 5 2 2" xfId="19561"/>
    <cellStyle name="Normal 42 2 3 2 2 5 3" xfId="12175"/>
    <cellStyle name="Normal 42 2 3 2 2 5 4" xfId="17563"/>
    <cellStyle name="Normal 42 2 3 2 2 6" xfId="13015"/>
    <cellStyle name="Normal 42 2 3 2 2 6 2" xfId="18471"/>
    <cellStyle name="Normal 42 2 3 2 2 7" xfId="11234"/>
    <cellStyle name="Normal 42 2 3 2 2 7 2" xfId="16706"/>
    <cellStyle name="Normal 42 2 3 2 2 8" xfId="14818"/>
    <cellStyle name="Normal 42 2 3 2 2 9" xfId="15868"/>
    <cellStyle name="Normal 42 2 3 2 3" xfId="4352"/>
    <cellStyle name="Normal 42 2 3 2 3 2" xfId="8788"/>
    <cellStyle name="Normal 42 2 3 2 3 2 2" xfId="10859"/>
    <cellStyle name="Normal 42 2 3 2 3 2 2 2" xfId="14439"/>
    <cellStyle name="Normal 42 2 3 2 3 2 2 2 2" xfId="19562"/>
    <cellStyle name="Normal 42 2 3 2 3 2 2 3" xfId="12742"/>
    <cellStyle name="Normal 42 2 3 2 3 2 2 4" xfId="18130"/>
    <cellStyle name="Normal 42 2 3 2 3 2 3" xfId="13578"/>
    <cellStyle name="Normal 42 2 3 2 3 2 3 2" xfId="19047"/>
    <cellStyle name="Normal 42 2 3 2 3 2 4" xfId="11881"/>
    <cellStyle name="Normal 42 2 3 2 3 2 4 2" xfId="17269"/>
    <cellStyle name="Normal 42 2 3 2 3 2 5" xfId="15385"/>
    <cellStyle name="Normal 42 2 3 2 3 2 6" xfId="16431"/>
    <cellStyle name="Normal 42 2 3 2 3 3" xfId="10383"/>
    <cellStyle name="Normal 42 2 3 2 3 3 2" xfId="13964"/>
    <cellStyle name="Normal 42 2 3 2 3 3 2 2" xfId="19563"/>
    <cellStyle name="Normal 42 2 3 2 3 3 3" xfId="12267"/>
    <cellStyle name="Normal 42 2 3 2 3 3 4" xfId="17655"/>
    <cellStyle name="Normal 42 2 3 2 3 4" xfId="13106"/>
    <cellStyle name="Normal 42 2 3 2 3 4 2" xfId="18575"/>
    <cellStyle name="Normal 42 2 3 2 3 5" xfId="11339"/>
    <cellStyle name="Normal 42 2 3 2 3 5 2" xfId="16797"/>
    <cellStyle name="Normal 42 2 3 2 3 6" xfId="14911"/>
    <cellStyle name="Normal 42 2 3 2 3 7" xfId="15959"/>
    <cellStyle name="Normal 42 2 3 2 4" xfId="5338"/>
    <cellStyle name="Normal 42 2 3 2 4 2" xfId="10626"/>
    <cellStyle name="Normal 42 2 3 2 4 2 2" xfId="14207"/>
    <cellStyle name="Normal 42 2 3 2 4 2 2 2" xfId="19564"/>
    <cellStyle name="Normal 42 2 3 2 4 2 3" xfId="12510"/>
    <cellStyle name="Normal 42 2 3 2 4 2 4" xfId="17898"/>
    <cellStyle name="Normal 42 2 3 2 4 3" xfId="13348"/>
    <cellStyle name="Normal 42 2 3 2 4 3 2" xfId="18817"/>
    <cellStyle name="Normal 42 2 3 2 4 4" xfId="11606"/>
    <cellStyle name="Normal 42 2 3 2 4 4 2" xfId="17039"/>
    <cellStyle name="Normal 42 2 3 2 4 5" xfId="15154"/>
    <cellStyle name="Normal 42 2 3 2 4 6" xfId="16201"/>
    <cellStyle name="Normal 42 2 3 2 5" xfId="7387"/>
    <cellStyle name="Normal 42 2 3 2 5 2" xfId="10754"/>
    <cellStyle name="Normal 42 2 3 2 5 2 2" xfId="14334"/>
    <cellStyle name="Normal 42 2 3 2 5 2 2 2" xfId="19565"/>
    <cellStyle name="Normal 42 2 3 2 5 2 3" xfId="12637"/>
    <cellStyle name="Normal 42 2 3 2 5 2 4" xfId="18025"/>
    <cellStyle name="Normal 42 2 3 2 5 3" xfId="13474"/>
    <cellStyle name="Normal 42 2 3 2 5 3 2" xfId="18943"/>
    <cellStyle name="Normal 42 2 3 2 5 4" xfId="11777"/>
    <cellStyle name="Normal 42 2 3 2 5 4 2" xfId="17165"/>
    <cellStyle name="Normal 42 2 3 2 5 5" xfId="15280"/>
    <cellStyle name="Normal 42 2 3 2 5 6" xfId="16327"/>
    <cellStyle name="Normal 42 2 3 2 6" xfId="10204"/>
    <cellStyle name="Normal 42 2 3 2 6 2" xfId="13786"/>
    <cellStyle name="Normal 42 2 3 2 6 2 2" xfId="19566"/>
    <cellStyle name="Normal 42 2 3 2 6 3" xfId="12089"/>
    <cellStyle name="Normal 42 2 3 2 6 4" xfId="17477"/>
    <cellStyle name="Normal 42 2 3 2 7" xfId="12930"/>
    <cellStyle name="Normal 42 2 3 2 7 2" xfId="18438"/>
    <cellStyle name="Normal 42 2 3 2 8" xfId="11135"/>
    <cellStyle name="Normal 42 2 3 2 8 2" xfId="16621"/>
    <cellStyle name="Normal 42 2 3 2 9" xfId="14731"/>
    <cellStyle name="Normal 42 2 3 3" xfId="1864"/>
    <cellStyle name="Normal 42 2 3 3 10" xfId="15798"/>
    <cellStyle name="Normal 42 2 3 3 2" xfId="2492"/>
    <cellStyle name="Normal 42 2 3 3 2 2" xfId="4544"/>
    <cellStyle name="Normal 42 2 3 3 2 2 2" xfId="8932"/>
    <cellStyle name="Normal 42 2 3 3 2 2 2 2" xfId="10962"/>
    <cellStyle name="Normal 42 2 3 3 2 2 2 2 2" xfId="14542"/>
    <cellStyle name="Normal 42 2 3 3 2 2 2 2 2 2" xfId="19567"/>
    <cellStyle name="Normal 42 2 3 3 2 2 2 2 3" xfId="12845"/>
    <cellStyle name="Normal 42 2 3 3 2 2 2 2 4" xfId="18233"/>
    <cellStyle name="Normal 42 2 3 3 2 2 2 3" xfId="13681"/>
    <cellStyle name="Normal 42 2 3 3 2 2 2 3 2" xfId="19150"/>
    <cellStyle name="Normal 42 2 3 3 2 2 2 4" xfId="11984"/>
    <cellStyle name="Normal 42 2 3 3 2 2 2 4 2" xfId="17372"/>
    <cellStyle name="Normal 42 2 3 3 2 2 2 5" xfId="15488"/>
    <cellStyle name="Normal 42 2 3 3 2 2 2 6" xfId="16534"/>
    <cellStyle name="Normal 42 2 3 3 2 2 3" xfId="10486"/>
    <cellStyle name="Normal 42 2 3 3 2 2 3 2" xfId="14067"/>
    <cellStyle name="Normal 42 2 3 3 2 2 3 2 2" xfId="19568"/>
    <cellStyle name="Normal 42 2 3 3 2 2 3 3" xfId="12370"/>
    <cellStyle name="Normal 42 2 3 3 2 2 3 4" xfId="17758"/>
    <cellStyle name="Normal 42 2 3 3 2 2 4" xfId="13209"/>
    <cellStyle name="Normal 42 2 3 3 2 2 4 2" xfId="18678"/>
    <cellStyle name="Normal 42 2 3 3 2 2 5" xfId="11442"/>
    <cellStyle name="Normal 42 2 3 3 2 2 5 2" xfId="16900"/>
    <cellStyle name="Normal 42 2 3 3 2 2 6" xfId="15014"/>
    <cellStyle name="Normal 42 2 3 3 2 2 7" xfId="16062"/>
    <cellStyle name="Normal 42 2 3 3 2 3" xfId="5126"/>
    <cellStyle name="Normal 42 2 3 3 2 3 2" xfId="10540"/>
    <cellStyle name="Normal 42 2 3 3 2 3 2 2" xfId="14121"/>
    <cellStyle name="Normal 42 2 3 3 2 3 2 2 2" xfId="19569"/>
    <cellStyle name="Normal 42 2 3 3 2 3 2 3" xfId="12424"/>
    <cellStyle name="Normal 42 2 3 3 2 3 2 4" xfId="17812"/>
    <cellStyle name="Normal 42 2 3 3 2 3 3" xfId="13262"/>
    <cellStyle name="Normal 42 2 3 3 2 3 3 2" xfId="18731"/>
    <cellStyle name="Normal 42 2 3 3 2 3 4" xfId="11511"/>
    <cellStyle name="Normal 42 2 3 3 2 3 4 2" xfId="16953"/>
    <cellStyle name="Normal 42 2 3 3 2 3 5" xfId="15068"/>
    <cellStyle name="Normal 42 2 3 3 2 3 6" xfId="16115"/>
    <cellStyle name="Normal 42 2 3 3 2 4" xfId="7766"/>
    <cellStyle name="Normal 42 2 3 3 2 4 2" xfId="10789"/>
    <cellStyle name="Normal 42 2 3 3 2 4 2 2" xfId="14369"/>
    <cellStyle name="Normal 42 2 3 3 2 4 2 2 2" xfId="19570"/>
    <cellStyle name="Normal 42 2 3 3 2 4 2 3" xfId="12672"/>
    <cellStyle name="Normal 42 2 3 3 2 4 2 4" xfId="18060"/>
    <cellStyle name="Normal 42 2 3 3 2 4 3" xfId="13508"/>
    <cellStyle name="Normal 42 2 3 3 2 4 3 2" xfId="18977"/>
    <cellStyle name="Normal 42 2 3 3 2 4 4" xfId="11811"/>
    <cellStyle name="Normal 42 2 3 3 2 4 4 2" xfId="17199"/>
    <cellStyle name="Normal 42 2 3 3 2 4 5" xfId="15314"/>
    <cellStyle name="Normal 42 2 3 3 2 4 6" xfId="16361"/>
    <cellStyle name="Normal 42 2 3 3 2 5" xfId="10305"/>
    <cellStyle name="Normal 42 2 3 3 2 5 2" xfId="13887"/>
    <cellStyle name="Normal 42 2 3 3 2 5 2 2" xfId="19571"/>
    <cellStyle name="Normal 42 2 3 3 2 5 3" xfId="12190"/>
    <cellStyle name="Normal 42 2 3 3 2 5 4" xfId="17578"/>
    <cellStyle name="Normal 42 2 3 3 2 6" xfId="13030"/>
    <cellStyle name="Normal 42 2 3 3 2 6 2" xfId="18486"/>
    <cellStyle name="Normal 42 2 3 3 2 7" xfId="11249"/>
    <cellStyle name="Normal 42 2 3 3 2 7 2" xfId="16721"/>
    <cellStyle name="Normal 42 2 3 3 2 8" xfId="14833"/>
    <cellStyle name="Normal 42 2 3 3 2 9" xfId="15883"/>
    <cellStyle name="Normal 42 2 3 3 3" xfId="4367"/>
    <cellStyle name="Normal 42 2 3 3 3 2" xfId="8803"/>
    <cellStyle name="Normal 42 2 3 3 3 2 2" xfId="10874"/>
    <cellStyle name="Normal 42 2 3 3 3 2 2 2" xfId="14454"/>
    <cellStyle name="Normal 42 2 3 3 3 2 2 2 2" xfId="19572"/>
    <cellStyle name="Normal 42 2 3 3 3 2 2 3" xfId="12757"/>
    <cellStyle name="Normal 42 2 3 3 3 2 2 4" xfId="18145"/>
    <cellStyle name="Normal 42 2 3 3 3 2 3" xfId="13593"/>
    <cellStyle name="Normal 42 2 3 3 3 2 3 2" xfId="19062"/>
    <cellStyle name="Normal 42 2 3 3 3 2 4" xfId="11896"/>
    <cellStyle name="Normal 42 2 3 3 3 2 4 2" xfId="17284"/>
    <cellStyle name="Normal 42 2 3 3 3 2 5" xfId="15400"/>
    <cellStyle name="Normal 42 2 3 3 3 2 6" xfId="16446"/>
    <cellStyle name="Normal 42 2 3 3 3 3" xfId="10398"/>
    <cellStyle name="Normal 42 2 3 3 3 3 2" xfId="13979"/>
    <cellStyle name="Normal 42 2 3 3 3 3 2 2" xfId="19573"/>
    <cellStyle name="Normal 42 2 3 3 3 3 3" xfId="12282"/>
    <cellStyle name="Normal 42 2 3 3 3 3 4" xfId="17670"/>
    <cellStyle name="Normal 42 2 3 3 3 4" xfId="13121"/>
    <cellStyle name="Normal 42 2 3 3 3 4 2" xfId="18590"/>
    <cellStyle name="Normal 42 2 3 3 3 5" xfId="11354"/>
    <cellStyle name="Normal 42 2 3 3 3 5 2" xfId="16812"/>
    <cellStyle name="Normal 42 2 3 3 3 6" xfId="14926"/>
    <cellStyle name="Normal 42 2 3 3 3 7" xfId="15974"/>
    <cellStyle name="Normal 42 2 3 3 4" xfId="5106"/>
    <cellStyle name="Normal 42 2 3 3 4 2" xfId="10533"/>
    <cellStyle name="Normal 42 2 3 3 4 2 2" xfId="14114"/>
    <cellStyle name="Normal 42 2 3 3 4 2 2 2" xfId="19574"/>
    <cellStyle name="Normal 42 2 3 3 4 2 3" xfId="12417"/>
    <cellStyle name="Normal 42 2 3 3 4 2 4" xfId="17805"/>
    <cellStyle name="Normal 42 2 3 3 4 3" xfId="13255"/>
    <cellStyle name="Normal 42 2 3 3 4 3 2" xfId="18724"/>
    <cellStyle name="Normal 42 2 3 3 4 4" xfId="11503"/>
    <cellStyle name="Normal 42 2 3 3 4 4 2" xfId="16946"/>
    <cellStyle name="Normal 42 2 3 3 4 5" xfId="15061"/>
    <cellStyle name="Normal 42 2 3 3 4 6" xfId="16108"/>
    <cellStyle name="Normal 42 2 3 3 5" xfId="7667"/>
    <cellStyle name="Normal 42 2 3 3 5 2" xfId="10777"/>
    <cellStyle name="Normal 42 2 3 3 5 2 2" xfId="14357"/>
    <cellStyle name="Normal 42 2 3 3 5 2 2 2" xfId="19575"/>
    <cellStyle name="Normal 42 2 3 3 5 2 3" xfId="12660"/>
    <cellStyle name="Normal 42 2 3 3 5 2 4" xfId="18048"/>
    <cellStyle name="Normal 42 2 3 3 5 3" xfId="13497"/>
    <cellStyle name="Normal 42 2 3 3 5 3 2" xfId="18966"/>
    <cellStyle name="Normal 42 2 3 3 5 4" xfId="11800"/>
    <cellStyle name="Normal 42 2 3 3 5 4 2" xfId="17188"/>
    <cellStyle name="Normal 42 2 3 3 5 5" xfId="15303"/>
    <cellStyle name="Normal 42 2 3 3 5 6" xfId="16350"/>
    <cellStyle name="Normal 42 2 3 3 6" xfId="10219"/>
    <cellStyle name="Normal 42 2 3 3 6 2" xfId="13801"/>
    <cellStyle name="Normal 42 2 3 3 6 2 2" xfId="19576"/>
    <cellStyle name="Normal 42 2 3 3 6 3" xfId="12104"/>
    <cellStyle name="Normal 42 2 3 3 6 4" xfId="17492"/>
    <cellStyle name="Normal 42 2 3 3 7" xfId="12945"/>
    <cellStyle name="Normal 42 2 3 3 7 2" xfId="18421"/>
    <cellStyle name="Normal 42 2 3 3 8" xfId="11150"/>
    <cellStyle name="Normal 42 2 3 3 8 2" xfId="16636"/>
    <cellStyle name="Normal 42 2 3 3 9" xfId="14746"/>
    <cellStyle name="Normal 42 2 3 4" xfId="2396"/>
    <cellStyle name="Normal 42 2 3 4 2" xfId="4510"/>
    <cellStyle name="Normal 42 2 3 4 2 2" xfId="8898"/>
    <cellStyle name="Normal 42 2 3 4 2 2 2" xfId="10928"/>
    <cellStyle name="Normal 42 2 3 4 2 2 2 2" xfId="14508"/>
    <cellStyle name="Normal 42 2 3 4 2 2 2 2 2" xfId="19577"/>
    <cellStyle name="Normal 42 2 3 4 2 2 2 3" xfId="12811"/>
    <cellStyle name="Normal 42 2 3 4 2 2 2 4" xfId="18199"/>
    <cellStyle name="Normal 42 2 3 4 2 2 3" xfId="13647"/>
    <cellStyle name="Normal 42 2 3 4 2 2 3 2" xfId="19116"/>
    <cellStyle name="Normal 42 2 3 4 2 2 4" xfId="11950"/>
    <cellStyle name="Normal 42 2 3 4 2 2 4 2" xfId="17338"/>
    <cellStyle name="Normal 42 2 3 4 2 2 5" xfId="15454"/>
    <cellStyle name="Normal 42 2 3 4 2 2 6" xfId="16500"/>
    <cellStyle name="Normal 42 2 3 4 2 3" xfId="10452"/>
    <cellStyle name="Normal 42 2 3 4 2 3 2" xfId="14033"/>
    <cellStyle name="Normal 42 2 3 4 2 3 2 2" xfId="19578"/>
    <cellStyle name="Normal 42 2 3 4 2 3 3" xfId="12336"/>
    <cellStyle name="Normal 42 2 3 4 2 3 4" xfId="17724"/>
    <cellStyle name="Normal 42 2 3 4 2 4" xfId="13175"/>
    <cellStyle name="Normal 42 2 3 4 2 4 2" xfId="18644"/>
    <cellStyle name="Normal 42 2 3 4 2 5" xfId="11408"/>
    <cellStyle name="Normal 42 2 3 4 2 5 2" xfId="16866"/>
    <cellStyle name="Normal 42 2 3 4 2 6" xfId="14980"/>
    <cellStyle name="Normal 42 2 3 4 2 7" xfId="16028"/>
    <cellStyle name="Normal 42 2 3 4 3" xfId="5277"/>
    <cellStyle name="Normal 42 2 3 4 3 2" xfId="10602"/>
    <cellStyle name="Normal 42 2 3 4 3 2 2" xfId="14183"/>
    <cellStyle name="Normal 42 2 3 4 3 2 2 2" xfId="19579"/>
    <cellStyle name="Normal 42 2 3 4 3 2 3" xfId="12486"/>
    <cellStyle name="Normal 42 2 3 4 3 2 4" xfId="17874"/>
    <cellStyle name="Normal 42 2 3 4 3 3" xfId="13324"/>
    <cellStyle name="Normal 42 2 3 4 3 3 2" xfId="18793"/>
    <cellStyle name="Normal 42 2 3 4 3 4" xfId="11579"/>
    <cellStyle name="Normal 42 2 3 4 3 4 2" xfId="17015"/>
    <cellStyle name="Normal 42 2 3 4 3 5" xfId="15130"/>
    <cellStyle name="Normal 42 2 3 4 3 6" xfId="16177"/>
    <cellStyle name="Normal 42 2 3 4 4" xfId="7844"/>
    <cellStyle name="Normal 42 2 3 4 4 2" xfId="10792"/>
    <cellStyle name="Normal 42 2 3 4 4 2 2" xfId="14372"/>
    <cellStyle name="Normal 42 2 3 4 4 2 2 2" xfId="19580"/>
    <cellStyle name="Normal 42 2 3 4 4 2 3" xfId="12675"/>
    <cellStyle name="Normal 42 2 3 4 4 2 4" xfId="18063"/>
    <cellStyle name="Normal 42 2 3 4 4 3" xfId="13511"/>
    <cellStyle name="Normal 42 2 3 4 4 3 2" xfId="18980"/>
    <cellStyle name="Normal 42 2 3 4 4 4" xfId="11814"/>
    <cellStyle name="Normal 42 2 3 4 4 4 2" xfId="17202"/>
    <cellStyle name="Normal 42 2 3 4 4 5" xfId="15317"/>
    <cellStyle name="Normal 42 2 3 4 4 6" xfId="16364"/>
    <cellStyle name="Normal 42 2 3 4 5" xfId="10271"/>
    <cellStyle name="Normal 42 2 3 4 5 2" xfId="13853"/>
    <cellStyle name="Normal 42 2 3 4 5 2 2" xfId="19581"/>
    <cellStyle name="Normal 42 2 3 4 5 3" xfId="12156"/>
    <cellStyle name="Normal 42 2 3 4 5 4" xfId="17544"/>
    <cellStyle name="Normal 42 2 3 4 6" xfId="12996"/>
    <cellStyle name="Normal 42 2 3 4 6 2" xfId="18453"/>
    <cellStyle name="Normal 42 2 3 4 7" xfId="11215"/>
    <cellStyle name="Normal 42 2 3 4 7 2" xfId="16687"/>
    <cellStyle name="Normal 42 2 3 4 8" xfId="14798"/>
    <cellStyle name="Normal 42 2 3 4 9" xfId="15849"/>
    <cellStyle name="Normal 42 2 3 5" xfId="4332"/>
    <cellStyle name="Normal 42 2 3 5 2" xfId="8769"/>
    <cellStyle name="Normal 42 2 3 5 2 2" xfId="10840"/>
    <cellStyle name="Normal 42 2 3 5 2 2 2" xfId="14420"/>
    <cellStyle name="Normal 42 2 3 5 2 2 2 2" xfId="19582"/>
    <cellStyle name="Normal 42 2 3 5 2 2 3" xfId="12723"/>
    <cellStyle name="Normal 42 2 3 5 2 2 4" xfId="18111"/>
    <cellStyle name="Normal 42 2 3 5 2 3" xfId="13559"/>
    <cellStyle name="Normal 42 2 3 5 2 3 2" xfId="19028"/>
    <cellStyle name="Normal 42 2 3 5 2 4" xfId="11862"/>
    <cellStyle name="Normal 42 2 3 5 2 4 2" xfId="17250"/>
    <cellStyle name="Normal 42 2 3 5 2 5" xfId="15366"/>
    <cellStyle name="Normal 42 2 3 5 2 6" xfId="16412"/>
    <cellStyle name="Normal 42 2 3 5 3" xfId="10364"/>
    <cellStyle name="Normal 42 2 3 5 3 2" xfId="13945"/>
    <cellStyle name="Normal 42 2 3 5 3 2 2" xfId="19583"/>
    <cellStyle name="Normal 42 2 3 5 3 3" xfId="12248"/>
    <cellStyle name="Normal 42 2 3 5 3 4" xfId="17636"/>
    <cellStyle name="Normal 42 2 3 5 4" xfId="13087"/>
    <cellStyle name="Normal 42 2 3 5 4 2" xfId="18556"/>
    <cellStyle name="Normal 42 2 3 5 5" xfId="11320"/>
    <cellStyle name="Normal 42 2 3 5 5 2" xfId="16778"/>
    <cellStyle name="Normal 42 2 3 5 6" xfId="14892"/>
    <cellStyle name="Normal 42 2 3 5 7" xfId="15940"/>
    <cellStyle name="Normal 42 2 3 6" xfId="5224"/>
    <cellStyle name="Normal 42 2 3 6 2" xfId="10580"/>
    <cellStyle name="Normal 42 2 3 6 2 2" xfId="14161"/>
    <cellStyle name="Normal 42 2 3 6 2 2 2" xfId="19584"/>
    <cellStyle name="Normal 42 2 3 6 2 3" xfId="12464"/>
    <cellStyle name="Normal 42 2 3 6 2 4" xfId="17852"/>
    <cellStyle name="Normal 42 2 3 6 3" xfId="13302"/>
    <cellStyle name="Normal 42 2 3 6 3 2" xfId="18771"/>
    <cellStyle name="Normal 42 2 3 6 4" xfId="11557"/>
    <cellStyle name="Normal 42 2 3 6 4 2" xfId="16993"/>
    <cellStyle name="Normal 42 2 3 6 5" xfId="15108"/>
    <cellStyle name="Normal 42 2 3 6 6" xfId="16155"/>
    <cellStyle name="Normal 42 2 3 7" xfId="7416"/>
    <cellStyle name="Normal 42 2 3 7 2" xfId="10756"/>
    <cellStyle name="Normal 42 2 3 7 2 2" xfId="14336"/>
    <cellStyle name="Normal 42 2 3 7 2 2 2" xfId="19585"/>
    <cellStyle name="Normal 42 2 3 7 2 3" xfId="12639"/>
    <cellStyle name="Normal 42 2 3 7 2 4" xfId="18027"/>
    <cellStyle name="Normal 42 2 3 7 3" xfId="13476"/>
    <cellStyle name="Normal 42 2 3 7 3 2" xfId="18945"/>
    <cellStyle name="Normal 42 2 3 7 4" xfId="11779"/>
    <cellStyle name="Normal 42 2 3 7 4 2" xfId="17167"/>
    <cellStyle name="Normal 42 2 3 7 5" xfId="15282"/>
    <cellStyle name="Normal 42 2 3 7 6" xfId="16329"/>
    <cellStyle name="Normal 42 2 3 8" xfId="10184"/>
    <cellStyle name="Normal 42 2 3 8 2" xfId="13768"/>
    <cellStyle name="Normal 42 2 3 8 2 2" xfId="19586"/>
    <cellStyle name="Normal 42 2 3 8 3" xfId="12071"/>
    <cellStyle name="Normal 42 2 3 8 4" xfId="17459"/>
    <cellStyle name="Normal 42 2 3 9" xfId="12912"/>
    <cellStyle name="Normal 42 2 3 9 2" xfId="18400"/>
    <cellStyle name="Normal 42 3" xfId="1099"/>
    <cellStyle name="Normal 42 3 10" xfId="11118"/>
    <cellStyle name="Normal 42 3 10 2" xfId="16604"/>
    <cellStyle name="Normal 42 3 11" xfId="14713"/>
    <cellStyle name="Normal 42 3 12" xfId="15766"/>
    <cellStyle name="Normal 42 3 2" xfId="1739"/>
    <cellStyle name="Normal 42 3 2 10" xfId="15784"/>
    <cellStyle name="Normal 42 3 2 2" xfId="2455"/>
    <cellStyle name="Normal 42 3 2 2 2" xfId="4530"/>
    <cellStyle name="Normal 42 3 2 2 2 2" xfId="8918"/>
    <cellStyle name="Normal 42 3 2 2 2 2 2" xfId="10948"/>
    <cellStyle name="Normal 42 3 2 2 2 2 2 2" xfId="14528"/>
    <cellStyle name="Normal 42 3 2 2 2 2 2 2 2" xfId="19587"/>
    <cellStyle name="Normal 42 3 2 2 2 2 2 3" xfId="12831"/>
    <cellStyle name="Normal 42 3 2 2 2 2 2 4" xfId="18219"/>
    <cellStyle name="Normal 42 3 2 2 2 2 3" xfId="13667"/>
    <cellStyle name="Normal 42 3 2 2 2 2 3 2" xfId="19136"/>
    <cellStyle name="Normal 42 3 2 2 2 2 4" xfId="11970"/>
    <cellStyle name="Normal 42 3 2 2 2 2 4 2" xfId="17358"/>
    <cellStyle name="Normal 42 3 2 2 2 2 5" xfId="15474"/>
    <cellStyle name="Normal 42 3 2 2 2 2 6" xfId="16520"/>
    <cellStyle name="Normal 42 3 2 2 2 3" xfId="10472"/>
    <cellStyle name="Normal 42 3 2 2 2 3 2" xfId="14053"/>
    <cellStyle name="Normal 42 3 2 2 2 3 2 2" xfId="19588"/>
    <cellStyle name="Normal 42 3 2 2 2 3 3" xfId="12356"/>
    <cellStyle name="Normal 42 3 2 2 2 3 4" xfId="17744"/>
    <cellStyle name="Normal 42 3 2 2 2 4" xfId="13195"/>
    <cellStyle name="Normal 42 3 2 2 2 4 2" xfId="18664"/>
    <cellStyle name="Normal 42 3 2 2 2 5" xfId="11428"/>
    <cellStyle name="Normal 42 3 2 2 2 5 2" xfId="16886"/>
    <cellStyle name="Normal 42 3 2 2 2 6" xfId="15000"/>
    <cellStyle name="Normal 42 3 2 2 2 7" xfId="16048"/>
    <cellStyle name="Normal 42 3 2 2 3" xfId="5214"/>
    <cellStyle name="Normal 42 3 2 2 3 2" xfId="10573"/>
    <cellStyle name="Normal 42 3 2 2 3 2 2" xfId="14154"/>
    <cellStyle name="Normal 42 3 2 2 3 2 2 2" xfId="19589"/>
    <cellStyle name="Normal 42 3 2 2 3 2 3" xfId="12457"/>
    <cellStyle name="Normal 42 3 2 2 3 2 4" xfId="17845"/>
    <cellStyle name="Normal 42 3 2 2 3 3" xfId="13295"/>
    <cellStyle name="Normal 42 3 2 2 3 3 2" xfId="18764"/>
    <cellStyle name="Normal 42 3 2 2 3 4" xfId="11548"/>
    <cellStyle name="Normal 42 3 2 2 3 4 2" xfId="16986"/>
    <cellStyle name="Normal 42 3 2 2 3 5" xfId="15101"/>
    <cellStyle name="Normal 42 3 2 2 3 6" xfId="16148"/>
    <cellStyle name="Normal 42 3 2 2 4" xfId="6467"/>
    <cellStyle name="Normal 42 3 2 2 4 2" xfId="10668"/>
    <cellStyle name="Normal 42 3 2 2 4 2 2" xfId="14249"/>
    <cellStyle name="Normal 42 3 2 2 4 2 2 2" xfId="19590"/>
    <cellStyle name="Normal 42 3 2 2 4 2 3" xfId="12552"/>
    <cellStyle name="Normal 42 3 2 2 4 2 4" xfId="17940"/>
    <cellStyle name="Normal 42 3 2 2 4 3" xfId="13389"/>
    <cellStyle name="Normal 42 3 2 2 4 3 2" xfId="18858"/>
    <cellStyle name="Normal 42 3 2 2 4 4" xfId="11692"/>
    <cellStyle name="Normal 42 3 2 2 4 4 2" xfId="17080"/>
    <cellStyle name="Normal 42 3 2 2 4 5" xfId="15195"/>
    <cellStyle name="Normal 42 3 2 2 4 6" xfId="16242"/>
    <cellStyle name="Normal 42 3 2 2 5" xfId="10291"/>
    <cellStyle name="Normal 42 3 2 2 5 2" xfId="13873"/>
    <cellStyle name="Normal 42 3 2 2 5 2 2" xfId="19591"/>
    <cellStyle name="Normal 42 3 2 2 5 3" xfId="12176"/>
    <cellStyle name="Normal 42 3 2 2 5 4" xfId="17564"/>
    <cellStyle name="Normal 42 3 2 2 6" xfId="13016"/>
    <cellStyle name="Normal 42 3 2 2 6 2" xfId="18472"/>
    <cellStyle name="Normal 42 3 2 2 7" xfId="11235"/>
    <cellStyle name="Normal 42 3 2 2 7 2" xfId="16707"/>
    <cellStyle name="Normal 42 3 2 2 8" xfId="14819"/>
    <cellStyle name="Normal 42 3 2 2 9" xfId="15869"/>
    <cellStyle name="Normal 42 3 2 3" xfId="4353"/>
    <cellStyle name="Normal 42 3 2 3 2" xfId="8789"/>
    <cellStyle name="Normal 42 3 2 3 2 2" xfId="10860"/>
    <cellStyle name="Normal 42 3 2 3 2 2 2" xfId="14440"/>
    <cellStyle name="Normal 42 3 2 3 2 2 2 2" xfId="19592"/>
    <cellStyle name="Normal 42 3 2 3 2 2 3" xfId="12743"/>
    <cellStyle name="Normal 42 3 2 3 2 2 4" xfId="18131"/>
    <cellStyle name="Normal 42 3 2 3 2 3" xfId="13579"/>
    <cellStyle name="Normal 42 3 2 3 2 3 2" xfId="19048"/>
    <cellStyle name="Normal 42 3 2 3 2 4" xfId="11882"/>
    <cellStyle name="Normal 42 3 2 3 2 4 2" xfId="17270"/>
    <cellStyle name="Normal 42 3 2 3 2 5" xfId="15386"/>
    <cellStyle name="Normal 42 3 2 3 2 6" xfId="16432"/>
    <cellStyle name="Normal 42 3 2 3 3" xfId="10384"/>
    <cellStyle name="Normal 42 3 2 3 3 2" xfId="13965"/>
    <cellStyle name="Normal 42 3 2 3 3 2 2" xfId="19593"/>
    <cellStyle name="Normal 42 3 2 3 3 3" xfId="12268"/>
    <cellStyle name="Normal 42 3 2 3 3 4" xfId="17656"/>
    <cellStyle name="Normal 42 3 2 3 4" xfId="13107"/>
    <cellStyle name="Normal 42 3 2 3 4 2" xfId="18576"/>
    <cellStyle name="Normal 42 3 2 3 5" xfId="11340"/>
    <cellStyle name="Normal 42 3 2 3 5 2" xfId="16798"/>
    <cellStyle name="Normal 42 3 2 3 6" xfId="14912"/>
    <cellStyle name="Normal 42 3 2 3 7" xfId="15960"/>
    <cellStyle name="Normal 42 3 2 4" xfId="5358"/>
    <cellStyle name="Normal 42 3 2 4 2" xfId="10633"/>
    <cellStyle name="Normal 42 3 2 4 2 2" xfId="14214"/>
    <cellStyle name="Normal 42 3 2 4 2 2 2" xfId="19594"/>
    <cellStyle name="Normal 42 3 2 4 2 3" xfId="12517"/>
    <cellStyle name="Normal 42 3 2 4 2 4" xfId="17905"/>
    <cellStyle name="Normal 42 3 2 4 3" xfId="13355"/>
    <cellStyle name="Normal 42 3 2 4 3 2" xfId="18824"/>
    <cellStyle name="Normal 42 3 2 4 4" xfId="11614"/>
    <cellStyle name="Normal 42 3 2 4 4 2" xfId="17046"/>
    <cellStyle name="Normal 42 3 2 4 5" xfId="15161"/>
    <cellStyle name="Normal 42 3 2 4 6" xfId="16208"/>
    <cellStyle name="Normal 42 3 2 5" xfId="7510"/>
    <cellStyle name="Normal 42 3 2 5 2" xfId="10766"/>
    <cellStyle name="Normal 42 3 2 5 2 2" xfId="14346"/>
    <cellStyle name="Normal 42 3 2 5 2 2 2" xfId="19595"/>
    <cellStyle name="Normal 42 3 2 5 2 3" xfId="12649"/>
    <cellStyle name="Normal 42 3 2 5 2 4" xfId="18037"/>
    <cellStyle name="Normal 42 3 2 5 3" xfId="13486"/>
    <cellStyle name="Normal 42 3 2 5 3 2" xfId="18955"/>
    <cellStyle name="Normal 42 3 2 5 4" xfId="11789"/>
    <cellStyle name="Normal 42 3 2 5 4 2" xfId="17177"/>
    <cellStyle name="Normal 42 3 2 5 5" xfId="15292"/>
    <cellStyle name="Normal 42 3 2 5 6" xfId="16339"/>
    <cellStyle name="Normal 42 3 2 6" xfId="10205"/>
    <cellStyle name="Normal 42 3 2 6 2" xfId="13787"/>
    <cellStyle name="Normal 42 3 2 6 2 2" xfId="19596"/>
    <cellStyle name="Normal 42 3 2 6 3" xfId="12090"/>
    <cellStyle name="Normal 42 3 2 6 4" xfId="17478"/>
    <cellStyle name="Normal 42 3 2 7" xfId="12931"/>
    <cellStyle name="Normal 42 3 2 7 2" xfId="18439"/>
    <cellStyle name="Normal 42 3 2 8" xfId="11136"/>
    <cellStyle name="Normal 42 3 2 8 2" xfId="16622"/>
    <cellStyle name="Normal 42 3 2 9" xfId="14732"/>
    <cellStyle name="Normal 42 3 3" xfId="1865"/>
    <cellStyle name="Normal 42 3 3 10" xfId="15799"/>
    <cellStyle name="Normal 42 3 3 2" xfId="2493"/>
    <cellStyle name="Normal 42 3 3 2 2" xfId="4545"/>
    <cellStyle name="Normal 42 3 3 2 2 2" xfId="8933"/>
    <cellStyle name="Normal 42 3 3 2 2 2 2" xfId="10963"/>
    <cellStyle name="Normal 42 3 3 2 2 2 2 2" xfId="14543"/>
    <cellStyle name="Normal 42 3 3 2 2 2 2 2 2" xfId="19597"/>
    <cellStyle name="Normal 42 3 3 2 2 2 2 3" xfId="12846"/>
    <cellStyle name="Normal 42 3 3 2 2 2 2 4" xfId="18234"/>
    <cellStyle name="Normal 42 3 3 2 2 2 3" xfId="13682"/>
    <cellStyle name="Normal 42 3 3 2 2 2 3 2" xfId="19151"/>
    <cellStyle name="Normal 42 3 3 2 2 2 4" xfId="11985"/>
    <cellStyle name="Normal 42 3 3 2 2 2 4 2" xfId="17373"/>
    <cellStyle name="Normal 42 3 3 2 2 2 5" xfId="15489"/>
    <cellStyle name="Normal 42 3 3 2 2 2 6" xfId="16535"/>
    <cellStyle name="Normal 42 3 3 2 2 3" xfId="10487"/>
    <cellStyle name="Normal 42 3 3 2 2 3 2" xfId="14068"/>
    <cellStyle name="Normal 42 3 3 2 2 3 2 2" xfId="19598"/>
    <cellStyle name="Normal 42 3 3 2 2 3 3" xfId="12371"/>
    <cellStyle name="Normal 42 3 3 2 2 3 4" xfId="17759"/>
    <cellStyle name="Normal 42 3 3 2 2 4" xfId="13210"/>
    <cellStyle name="Normal 42 3 3 2 2 4 2" xfId="18679"/>
    <cellStyle name="Normal 42 3 3 2 2 5" xfId="11443"/>
    <cellStyle name="Normal 42 3 3 2 2 5 2" xfId="16901"/>
    <cellStyle name="Normal 42 3 3 2 2 6" xfId="15015"/>
    <cellStyle name="Normal 42 3 3 2 2 7" xfId="16063"/>
    <cellStyle name="Normal 42 3 3 2 3" xfId="5103"/>
    <cellStyle name="Normal 42 3 3 2 3 2" xfId="10532"/>
    <cellStyle name="Normal 42 3 3 2 3 2 2" xfId="14113"/>
    <cellStyle name="Normal 42 3 3 2 3 2 2 2" xfId="19599"/>
    <cellStyle name="Normal 42 3 3 2 3 2 3" xfId="12416"/>
    <cellStyle name="Normal 42 3 3 2 3 2 4" xfId="17804"/>
    <cellStyle name="Normal 42 3 3 2 3 3" xfId="13254"/>
    <cellStyle name="Normal 42 3 3 2 3 3 2" xfId="18723"/>
    <cellStyle name="Normal 42 3 3 2 3 4" xfId="11502"/>
    <cellStyle name="Normal 42 3 3 2 3 4 2" xfId="16945"/>
    <cellStyle name="Normal 42 3 3 2 3 5" xfId="15060"/>
    <cellStyle name="Normal 42 3 3 2 3 6" xfId="16107"/>
    <cellStyle name="Normal 42 3 3 2 4" xfId="6686"/>
    <cellStyle name="Normal 42 3 3 2 4 2" xfId="10686"/>
    <cellStyle name="Normal 42 3 3 2 4 2 2" xfId="14267"/>
    <cellStyle name="Normal 42 3 3 2 4 2 2 2" xfId="19600"/>
    <cellStyle name="Normal 42 3 3 2 4 2 3" xfId="12570"/>
    <cellStyle name="Normal 42 3 3 2 4 2 4" xfId="17958"/>
    <cellStyle name="Normal 42 3 3 2 4 3" xfId="13407"/>
    <cellStyle name="Normal 42 3 3 2 4 3 2" xfId="18876"/>
    <cellStyle name="Normal 42 3 3 2 4 4" xfId="11710"/>
    <cellStyle name="Normal 42 3 3 2 4 4 2" xfId="17098"/>
    <cellStyle name="Normal 42 3 3 2 4 5" xfId="15213"/>
    <cellStyle name="Normal 42 3 3 2 4 6" xfId="16260"/>
    <cellStyle name="Normal 42 3 3 2 5" xfId="10306"/>
    <cellStyle name="Normal 42 3 3 2 5 2" xfId="13888"/>
    <cellStyle name="Normal 42 3 3 2 5 2 2" xfId="19601"/>
    <cellStyle name="Normal 42 3 3 2 5 3" xfId="12191"/>
    <cellStyle name="Normal 42 3 3 2 5 4" xfId="17579"/>
    <cellStyle name="Normal 42 3 3 2 6" xfId="13031"/>
    <cellStyle name="Normal 42 3 3 2 6 2" xfId="18487"/>
    <cellStyle name="Normal 42 3 3 2 7" xfId="11250"/>
    <cellStyle name="Normal 42 3 3 2 7 2" xfId="16722"/>
    <cellStyle name="Normal 42 3 3 2 8" xfId="14834"/>
    <cellStyle name="Normal 42 3 3 2 9" xfId="15884"/>
    <cellStyle name="Normal 42 3 3 3" xfId="4368"/>
    <cellStyle name="Normal 42 3 3 3 2" xfId="8804"/>
    <cellStyle name="Normal 42 3 3 3 2 2" xfId="10875"/>
    <cellStyle name="Normal 42 3 3 3 2 2 2" xfId="14455"/>
    <cellStyle name="Normal 42 3 3 3 2 2 2 2" xfId="19602"/>
    <cellStyle name="Normal 42 3 3 3 2 2 3" xfId="12758"/>
    <cellStyle name="Normal 42 3 3 3 2 2 4" xfId="18146"/>
    <cellStyle name="Normal 42 3 3 3 2 3" xfId="13594"/>
    <cellStyle name="Normal 42 3 3 3 2 3 2" xfId="19063"/>
    <cellStyle name="Normal 42 3 3 3 2 4" xfId="11897"/>
    <cellStyle name="Normal 42 3 3 3 2 4 2" xfId="17285"/>
    <cellStyle name="Normal 42 3 3 3 2 5" xfId="15401"/>
    <cellStyle name="Normal 42 3 3 3 2 6" xfId="16447"/>
    <cellStyle name="Normal 42 3 3 3 3" xfId="10399"/>
    <cellStyle name="Normal 42 3 3 3 3 2" xfId="13980"/>
    <cellStyle name="Normal 42 3 3 3 3 2 2" xfId="19603"/>
    <cellStyle name="Normal 42 3 3 3 3 3" xfId="12283"/>
    <cellStyle name="Normal 42 3 3 3 3 4" xfId="17671"/>
    <cellStyle name="Normal 42 3 3 3 4" xfId="13122"/>
    <cellStyle name="Normal 42 3 3 3 4 2" xfId="18591"/>
    <cellStyle name="Normal 42 3 3 3 5" xfId="11355"/>
    <cellStyle name="Normal 42 3 3 3 5 2" xfId="16813"/>
    <cellStyle name="Normal 42 3 3 3 6" xfId="14927"/>
    <cellStyle name="Normal 42 3 3 3 7" xfId="15975"/>
    <cellStyle name="Normal 42 3 3 4" xfId="5154"/>
    <cellStyle name="Normal 42 3 3 4 2" xfId="10553"/>
    <cellStyle name="Normal 42 3 3 4 2 2" xfId="14134"/>
    <cellStyle name="Normal 42 3 3 4 2 2 2" xfId="19604"/>
    <cellStyle name="Normal 42 3 3 4 2 3" xfId="12437"/>
    <cellStyle name="Normal 42 3 3 4 2 4" xfId="17825"/>
    <cellStyle name="Normal 42 3 3 4 3" xfId="13275"/>
    <cellStyle name="Normal 42 3 3 4 3 2" xfId="18744"/>
    <cellStyle name="Normal 42 3 3 4 4" xfId="11525"/>
    <cellStyle name="Normal 42 3 3 4 4 2" xfId="16966"/>
    <cellStyle name="Normal 42 3 3 4 5" xfId="15081"/>
    <cellStyle name="Normal 42 3 3 4 6" xfId="16128"/>
    <cellStyle name="Normal 42 3 3 5" xfId="6379"/>
    <cellStyle name="Normal 42 3 3 5 2" xfId="10661"/>
    <cellStyle name="Normal 42 3 3 5 2 2" xfId="14242"/>
    <cellStyle name="Normal 42 3 3 5 2 2 2" xfId="19605"/>
    <cellStyle name="Normal 42 3 3 5 2 3" xfId="12545"/>
    <cellStyle name="Normal 42 3 3 5 2 4" xfId="17933"/>
    <cellStyle name="Normal 42 3 3 5 3" xfId="13382"/>
    <cellStyle name="Normal 42 3 3 5 3 2" xfId="18851"/>
    <cellStyle name="Normal 42 3 3 5 4" xfId="11685"/>
    <cellStyle name="Normal 42 3 3 5 4 2" xfId="17073"/>
    <cellStyle name="Normal 42 3 3 5 5" xfId="15188"/>
    <cellStyle name="Normal 42 3 3 5 6" xfId="16235"/>
    <cellStyle name="Normal 42 3 3 6" xfId="10220"/>
    <cellStyle name="Normal 42 3 3 6 2" xfId="13802"/>
    <cellStyle name="Normal 42 3 3 6 2 2" xfId="19606"/>
    <cellStyle name="Normal 42 3 3 6 3" xfId="12105"/>
    <cellStyle name="Normal 42 3 3 6 4" xfId="17493"/>
    <cellStyle name="Normal 42 3 3 7" xfId="12946"/>
    <cellStyle name="Normal 42 3 3 7 2" xfId="18422"/>
    <cellStyle name="Normal 42 3 3 8" xfId="11151"/>
    <cellStyle name="Normal 42 3 3 8 2" xfId="16637"/>
    <cellStyle name="Normal 42 3 3 9" xfId="14747"/>
    <cellStyle name="Normal 42 3 4" xfId="2397"/>
    <cellStyle name="Normal 42 3 4 2" xfId="4511"/>
    <cellStyle name="Normal 42 3 4 2 2" xfId="8899"/>
    <cellStyle name="Normal 42 3 4 2 2 2" xfId="10929"/>
    <cellStyle name="Normal 42 3 4 2 2 2 2" xfId="14509"/>
    <cellStyle name="Normal 42 3 4 2 2 2 2 2" xfId="19607"/>
    <cellStyle name="Normal 42 3 4 2 2 2 3" xfId="12812"/>
    <cellStyle name="Normal 42 3 4 2 2 2 4" xfId="18200"/>
    <cellStyle name="Normal 42 3 4 2 2 3" xfId="13648"/>
    <cellStyle name="Normal 42 3 4 2 2 3 2" xfId="19117"/>
    <cellStyle name="Normal 42 3 4 2 2 4" xfId="11951"/>
    <cellStyle name="Normal 42 3 4 2 2 4 2" xfId="17339"/>
    <cellStyle name="Normal 42 3 4 2 2 5" xfId="15455"/>
    <cellStyle name="Normal 42 3 4 2 2 6" xfId="16501"/>
    <cellStyle name="Normal 42 3 4 2 3" xfId="10453"/>
    <cellStyle name="Normal 42 3 4 2 3 2" xfId="14034"/>
    <cellStyle name="Normal 42 3 4 2 3 2 2" xfId="19608"/>
    <cellStyle name="Normal 42 3 4 2 3 3" xfId="12337"/>
    <cellStyle name="Normal 42 3 4 2 3 4" xfId="17725"/>
    <cellStyle name="Normal 42 3 4 2 4" xfId="13176"/>
    <cellStyle name="Normal 42 3 4 2 4 2" xfId="18645"/>
    <cellStyle name="Normal 42 3 4 2 5" xfId="11409"/>
    <cellStyle name="Normal 42 3 4 2 5 2" xfId="16867"/>
    <cellStyle name="Normal 42 3 4 2 6" xfId="14981"/>
    <cellStyle name="Normal 42 3 4 2 7" xfId="16029"/>
    <cellStyle name="Normal 42 3 4 3" xfId="5145"/>
    <cellStyle name="Normal 42 3 4 3 2" xfId="10550"/>
    <cellStyle name="Normal 42 3 4 3 2 2" xfId="14131"/>
    <cellStyle name="Normal 42 3 4 3 2 2 2" xfId="19609"/>
    <cellStyle name="Normal 42 3 4 3 2 3" xfId="12434"/>
    <cellStyle name="Normal 42 3 4 3 2 4" xfId="17822"/>
    <cellStyle name="Normal 42 3 4 3 3" xfId="13272"/>
    <cellStyle name="Normal 42 3 4 3 3 2" xfId="18741"/>
    <cellStyle name="Normal 42 3 4 3 4" xfId="11522"/>
    <cellStyle name="Normal 42 3 4 3 4 2" xfId="16963"/>
    <cellStyle name="Normal 42 3 4 3 5" xfId="15078"/>
    <cellStyle name="Normal 42 3 4 3 6" xfId="16125"/>
    <cellStyle name="Normal 42 3 4 4" xfId="6365"/>
    <cellStyle name="Normal 42 3 4 4 2" xfId="10657"/>
    <cellStyle name="Normal 42 3 4 4 2 2" xfId="14238"/>
    <cellStyle name="Normal 42 3 4 4 2 2 2" xfId="19610"/>
    <cellStyle name="Normal 42 3 4 4 2 3" xfId="12541"/>
    <cellStyle name="Normal 42 3 4 4 2 4" xfId="17929"/>
    <cellStyle name="Normal 42 3 4 4 3" xfId="13379"/>
    <cellStyle name="Normal 42 3 4 4 3 2" xfId="18848"/>
    <cellStyle name="Normal 42 3 4 4 4" xfId="11682"/>
    <cellStyle name="Normal 42 3 4 4 4 2" xfId="17070"/>
    <cellStyle name="Normal 42 3 4 4 5" xfId="15185"/>
    <cellStyle name="Normal 42 3 4 4 6" xfId="16232"/>
    <cellStyle name="Normal 42 3 4 5" xfId="10272"/>
    <cellStyle name="Normal 42 3 4 5 2" xfId="13854"/>
    <cellStyle name="Normal 42 3 4 5 2 2" xfId="19611"/>
    <cellStyle name="Normal 42 3 4 5 3" xfId="12157"/>
    <cellStyle name="Normal 42 3 4 5 4" xfId="17545"/>
    <cellStyle name="Normal 42 3 4 6" xfId="12997"/>
    <cellStyle name="Normal 42 3 4 6 2" xfId="18454"/>
    <cellStyle name="Normal 42 3 4 7" xfId="11216"/>
    <cellStyle name="Normal 42 3 4 7 2" xfId="16688"/>
    <cellStyle name="Normal 42 3 4 8" xfId="14799"/>
    <cellStyle name="Normal 42 3 4 9" xfId="15850"/>
    <cellStyle name="Normal 42 3 5" xfId="4333"/>
    <cellStyle name="Normal 42 3 5 2" xfId="8770"/>
    <cellStyle name="Normal 42 3 5 2 2" xfId="10841"/>
    <cellStyle name="Normal 42 3 5 2 2 2" xfId="14421"/>
    <cellStyle name="Normal 42 3 5 2 2 2 2" xfId="19612"/>
    <cellStyle name="Normal 42 3 5 2 2 3" xfId="12724"/>
    <cellStyle name="Normal 42 3 5 2 2 4" xfId="18112"/>
    <cellStyle name="Normal 42 3 5 2 3" xfId="13560"/>
    <cellStyle name="Normal 42 3 5 2 3 2" xfId="19029"/>
    <cellStyle name="Normal 42 3 5 2 4" xfId="11863"/>
    <cellStyle name="Normal 42 3 5 2 4 2" xfId="17251"/>
    <cellStyle name="Normal 42 3 5 2 5" xfId="15367"/>
    <cellStyle name="Normal 42 3 5 2 6" xfId="16413"/>
    <cellStyle name="Normal 42 3 5 3" xfId="10365"/>
    <cellStyle name="Normal 42 3 5 3 2" xfId="13946"/>
    <cellStyle name="Normal 42 3 5 3 2 2" xfId="19613"/>
    <cellStyle name="Normal 42 3 5 3 3" xfId="12249"/>
    <cellStyle name="Normal 42 3 5 3 4" xfId="17637"/>
    <cellStyle name="Normal 42 3 5 4" xfId="13088"/>
    <cellStyle name="Normal 42 3 5 4 2" xfId="18557"/>
    <cellStyle name="Normal 42 3 5 5" xfId="11321"/>
    <cellStyle name="Normal 42 3 5 5 2" xfId="16779"/>
    <cellStyle name="Normal 42 3 5 6" xfId="14893"/>
    <cellStyle name="Normal 42 3 5 7" xfId="15941"/>
    <cellStyle name="Normal 42 3 6" xfId="5199"/>
    <cellStyle name="Normal 42 3 6 2" xfId="10567"/>
    <cellStyle name="Normal 42 3 6 2 2" xfId="14148"/>
    <cellStyle name="Normal 42 3 6 2 2 2" xfId="19614"/>
    <cellStyle name="Normal 42 3 6 2 3" xfId="12451"/>
    <cellStyle name="Normal 42 3 6 2 4" xfId="17839"/>
    <cellStyle name="Normal 42 3 6 3" xfId="13289"/>
    <cellStyle name="Normal 42 3 6 3 2" xfId="18758"/>
    <cellStyle name="Normal 42 3 6 4" xfId="11541"/>
    <cellStyle name="Normal 42 3 6 4 2" xfId="16980"/>
    <cellStyle name="Normal 42 3 6 5" xfId="15095"/>
    <cellStyle name="Normal 42 3 6 6" xfId="16142"/>
    <cellStyle name="Normal 42 3 7" xfId="6839"/>
    <cellStyle name="Normal 42 3 7 2" xfId="10704"/>
    <cellStyle name="Normal 42 3 7 2 2" xfId="14285"/>
    <cellStyle name="Normal 42 3 7 2 2 2" xfId="19615"/>
    <cellStyle name="Normal 42 3 7 2 3" xfId="12588"/>
    <cellStyle name="Normal 42 3 7 2 4" xfId="17976"/>
    <cellStyle name="Normal 42 3 7 3" xfId="13425"/>
    <cellStyle name="Normal 42 3 7 3 2" xfId="18894"/>
    <cellStyle name="Normal 42 3 7 4" xfId="11728"/>
    <cellStyle name="Normal 42 3 7 4 2" xfId="17116"/>
    <cellStyle name="Normal 42 3 7 5" xfId="15231"/>
    <cellStyle name="Normal 42 3 7 6" xfId="16278"/>
    <cellStyle name="Normal 42 3 8" xfId="10185"/>
    <cellStyle name="Normal 42 3 8 2" xfId="13769"/>
    <cellStyle name="Normal 42 3 8 2 2" xfId="19616"/>
    <cellStyle name="Normal 42 3 8 3" xfId="12072"/>
    <cellStyle name="Normal 42 3 8 4" xfId="17460"/>
    <cellStyle name="Normal 42 3 9" xfId="12913"/>
    <cellStyle name="Normal 42 3 9 2" xfId="18401"/>
    <cellStyle name="Normal 42 4" xfId="1100"/>
    <cellStyle name="Normal 42 4 10" xfId="11119"/>
    <cellStyle name="Normal 42 4 10 2" xfId="16605"/>
    <cellStyle name="Normal 42 4 11" xfId="14714"/>
    <cellStyle name="Normal 42 4 12" xfId="15767"/>
    <cellStyle name="Normal 42 4 2" xfId="1740"/>
    <cellStyle name="Normal 42 4 2 10" xfId="15785"/>
    <cellStyle name="Normal 42 4 2 2" xfId="2456"/>
    <cellStyle name="Normal 42 4 2 2 2" xfId="4531"/>
    <cellStyle name="Normal 42 4 2 2 2 2" xfId="8919"/>
    <cellStyle name="Normal 42 4 2 2 2 2 2" xfId="10949"/>
    <cellStyle name="Normal 42 4 2 2 2 2 2 2" xfId="14529"/>
    <cellStyle name="Normal 42 4 2 2 2 2 2 2 2" xfId="19617"/>
    <cellStyle name="Normal 42 4 2 2 2 2 2 3" xfId="12832"/>
    <cellStyle name="Normal 42 4 2 2 2 2 2 4" xfId="18220"/>
    <cellStyle name="Normal 42 4 2 2 2 2 3" xfId="13668"/>
    <cellStyle name="Normal 42 4 2 2 2 2 3 2" xfId="19137"/>
    <cellStyle name="Normal 42 4 2 2 2 2 4" xfId="11971"/>
    <cellStyle name="Normal 42 4 2 2 2 2 4 2" xfId="17359"/>
    <cellStyle name="Normal 42 4 2 2 2 2 5" xfId="15475"/>
    <cellStyle name="Normal 42 4 2 2 2 2 6" xfId="16521"/>
    <cellStyle name="Normal 42 4 2 2 2 3" xfId="10473"/>
    <cellStyle name="Normal 42 4 2 2 2 3 2" xfId="14054"/>
    <cellStyle name="Normal 42 4 2 2 2 3 2 2" xfId="19618"/>
    <cellStyle name="Normal 42 4 2 2 2 3 3" xfId="12357"/>
    <cellStyle name="Normal 42 4 2 2 2 3 4" xfId="17745"/>
    <cellStyle name="Normal 42 4 2 2 2 4" xfId="13196"/>
    <cellStyle name="Normal 42 4 2 2 2 4 2" xfId="18665"/>
    <cellStyle name="Normal 42 4 2 2 2 5" xfId="11429"/>
    <cellStyle name="Normal 42 4 2 2 2 5 2" xfId="16887"/>
    <cellStyle name="Normal 42 4 2 2 2 6" xfId="15001"/>
    <cellStyle name="Normal 42 4 2 2 2 7" xfId="16049"/>
    <cellStyle name="Normal 42 4 2 2 3" xfId="5131"/>
    <cellStyle name="Normal 42 4 2 2 3 2" xfId="10543"/>
    <cellStyle name="Normal 42 4 2 2 3 2 2" xfId="14124"/>
    <cellStyle name="Normal 42 4 2 2 3 2 2 2" xfId="19619"/>
    <cellStyle name="Normal 42 4 2 2 3 2 3" xfId="12427"/>
    <cellStyle name="Normal 42 4 2 2 3 2 4" xfId="17815"/>
    <cellStyle name="Normal 42 4 2 2 3 3" xfId="13265"/>
    <cellStyle name="Normal 42 4 2 2 3 3 2" xfId="18734"/>
    <cellStyle name="Normal 42 4 2 2 3 4" xfId="11514"/>
    <cellStyle name="Normal 42 4 2 2 3 4 2" xfId="16956"/>
    <cellStyle name="Normal 42 4 2 2 3 5" xfId="15071"/>
    <cellStyle name="Normal 42 4 2 2 3 6" xfId="16118"/>
    <cellStyle name="Normal 42 4 2 2 4" xfId="8002"/>
    <cellStyle name="Normal 42 4 2 2 4 2" xfId="10806"/>
    <cellStyle name="Normal 42 4 2 2 4 2 2" xfId="14386"/>
    <cellStyle name="Normal 42 4 2 2 4 2 2 2" xfId="19620"/>
    <cellStyle name="Normal 42 4 2 2 4 2 3" xfId="12689"/>
    <cellStyle name="Normal 42 4 2 2 4 2 4" xfId="18077"/>
    <cellStyle name="Normal 42 4 2 2 4 3" xfId="13525"/>
    <cellStyle name="Normal 42 4 2 2 4 3 2" xfId="18994"/>
    <cellStyle name="Normal 42 4 2 2 4 4" xfId="11828"/>
    <cellStyle name="Normal 42 4 2 2 4 4 2" xfId="17216"/>
    <cellStyle name="Normal 42 4 2 2 4 5" xfId="15331"/>
    <cellStyle name="Normal 42 4 2 2 4 6" xfId="16378"/>
    <cellStyle name="Normal 42 4 2 2 5" xfId="10292"/>
    <cellStyle name="Normal 42 4 2 2 5 2" xfId="13874"/>
    <cellStyle name="Normal 42 4 2 2 5 2 2" xfId="19621"/>
    <cellStyle name="Normal 42 4 2 2 5 3" xfId="12177"/>
    <cellStyle name="Normal 42 4 2 2 5 4" xfId="17565"/>
    <cellStyle name="Normal 42 4 2 2 6" xfId="13017"/>
    <cellStyle name="Normal 42 4 2 2 6 2" xfId="18473"/>
    <cellStyle name="Normal 42 4 2 2 7" xfId="11236"/>
    <cellStyle name="Normal 42 4 2 2 7 2" xfId="16708"/>
    <cellStyle name="Normal 42 4 2 2 8" xfId="14820"/>
    <cellStyle name="Normal 42 4 2 2 9" xfId="15870"/>
    <cellStyle name="Normal 42 4 2 3" xfId="4354"/>
    <cellStyle name="Normal 42 4 2 3 2" xfId="8790"/>
    <cellStyle name="Normal 42 4 2 3 2 2" xfId="10861"/>
    <cellStyle name="Normal 42 4 2 3 2 2 2" xfId="14441"/>
    <cellStyle name="Normal 42 4 2 3 2 2 2 2" xfId="19622"/>
    <cellStyle name="Normal 42 4 2 3 2 2 3" xfId="12744"/>
    <cellStyle name="Normal 42 4 2 3 2 2 4" xfId="18132"/>
    <cellStyle name="Normal 42 4 2 3 2 3" xfId="13580"/>
    <cellStyle name="Normal 42 4 2 3 2 3 2" xfId="19049"/>
    <cellStyle name="Normal 42 4 2 3 2 4" xfId="11883"/>
    <cellStyle name="Normal 42 4 2 3 2 4 2" xfId="17271"/>
    <cellStyle name="Normal 42 4 2 3 2 5" xfId="15387"/>
    <cellStyle name="Normal 42 4 2 3 2 6" xfId="16433"/>
    <cellStyle name="Normal 42 4 2 3 3" xfId="10385"/>
    <cellStyle name="Normal 42 4 2 3 3 2" xfId="13966"/>
    <cellStyle name="Normal 42 4 2 3 3 2 2" xfId="19623"/>
    <cellStyle name="Normal 42 4 2 3 3 3" xfId="12269"/>
    <cellStyle name="Normal 42 4 2 3 3 4" xfId="17657"/>
    <cellStyle name="Normal 42 4 2 3 4" xfId="13108"/>
    <cellStyle name="Normal 42 4 2 3 4 2" xfId="18577"/>
    <cellStyle name="Normal 42 4 2 3 5" xfId="11341"/>
    <cellStyle name="Normal 42 4 2 3 5 2" xfId="16799"/>
    <cellStyle name="Normal 42 4 2 3 6" xfId="14913"/>
    <cellStyle name="Normal 42 4 2 3 7" xfId="15961"/>
    <cellStyle name="Normal 42 4 2 4" xfId="5108"/>
    <cellStyle name="Normal 42 4 2 4 2" xfId="10534"/>
    <cellStyle name="Normal 42 4 2 4 2 2" xfId="14115"/>
    <cellStyle name="Normal 42 4 2 4 2 2 2" xfId="19624"/>
    <cellStyle name="Normal 42 4 2 4 2 3" xfId="12418"/>
    <cellStyle name="Normal 42 4 2 4 2 4" xfId="17806"/>
    <cellStyle name="Normal 42 4 2 4 3" xfId="13256"/>
    <cellStyle name="Normal 42 4 2 4 3 2" xfId="18725"/>
    <cellStyle name="Normal 42 4 2 4 4" xfId="11504"/>
    <cellStyle name="Normal 42 4 2 4 4 2" xfId="16947"/>
    <cellStyle name="Normal 42 4 2 4 5" xfId="15062"/>
    <cellStyle name="Normal 42 4 2 4 6" xfId="16109"/>
    <cellStyle name="Normal 42 4 2 5" xfId="8084"/>
    <cellStyle name="Normal 42 4 2 5 2" xfId="10815"/>
    <cellStyle name="Normal 42 4 2 5 2 2" xfId="14395"/>
    <cellStyle name="Normal 42 4 2 5 2 2 2" xfId="19625"/>
    <cellStyle name="Normal 42 4 2 5 2 3" xfId="12698"/>
    <cellStyle name="Normal 42 4 2 5 2 4" xfId="18086"/>
    <cellStyle name="Normal 42 4 2 5 3" xfId="13534"/>
    <cellStyle name="Normal 42 4 2 5 3 2" xfId="19003"/>
    <cellStyle name="Normal 42 4 2 5 4" xfId="11837"/>
    <cellStyle name="Normal 42 4 2 5 4 2" xfId="17225"/>
    <cellStyle name="Normal 42 4 2 5 5" xfId="15340"/>
    <cellStyle name="Normal 42 4 2 5 6" xfId="16387"/>
    <cellStyle name="Normal 42 4 2 6" xfId="10206"/>
    <cellStyle name="Normal 42 4 2 6 2" xfId="13788"/>
    <cellStyle name="Normal 42 4 2 6 2 2" xfId="19626"/>
    <cellStyle name="Normal 42 4 2 6 3" xfId="12091"/>
    <cellStyle name="Normal 42 4 2 6 4" xfId="17479"/>
    <cellStyle name="Normal 42 4 2 7" xfId="12932"/>
    <cellStyle name="Normal 42 4 2 7 2" xfId="18440"/>
    <cellStyle name="Normal 42 4 2 8" xfId="11137"/>
    <cellStyle name="Normal 42 4 2 8 2" xfId="16623"/>
    <cellStyle name="Normal 42 4 2 9" xfId="14733"/>
    <cellStyle name="Normal 42 4 3" xfId="1866"/>
    <cellStyle name="Normal 42 4 3 10" xfId="15800"/>
    <cellStyle name="Normal 42 4 3 2" xfId="2494"/>
    <cellStyle name="Normal 42 4 3 2 2" xfId="4546"/>
    <cellStyle name="Normal 42 4 3 2 2 2" xfId="8934"/>
    <cellStyle name="Normal 42 4 3 2 2 2 2" xfId="10964"/>
    <cellStyle name="Normal 42 4 3 2 2 2 2 2" xfId="14544"/>
    <cellStyle name="Normal 42 4 3 2 2 2 2 2 2" xfId="19627"/>
    <cellStyle name="Normal 42 4 3 2 2 2 2 3" xfId="12847"/>
    <cellStyle name="Normal 42 4 3 2 2 2 2 4" xfId="18235"/>
    <cellStyle name="Normal 42 4 3 2 2 2 3" xfId="13683"/>
    <cellStyle name="Normal 42 4 3 2 2 2 3 2" xfId="19152"/>
    <cellStyle name="Normal 42 4 3 2 2 2 4" xfId="11986"/>
    <cellStyle name="Normal 42 4 3 2 2 2 4 2" xfId="17374"/>
    <cellStyle name="Normal 42 4 3 2 2 2 5" xfId="15490"/>
    <cellStyle name="Normal 42 4 3 2 2 2 6" xfId="16536"/>
    <cellStyle name="Normal 42 4 3 2 2 3" xfId="10488"/>
    <cellStyle name="Normal 42 4 3 2 2 3 2" xfId="14069"/>
    <cellStyle name="Normal 42 4 3 2 2 3 2 2" xfId="19628"/>
    <cellStyle name="Normal 42 4 3 2 2 3 3" xfId="12372"/>
    <cellStyle name="Normal 42 4 3 2 2 3 4" xfId="17760"/>
    <cellStyle name="Normal 42 4 3 2 2 4" xfId="13211"/>
    <cellStyle name="Normal 42 4 3 2 2 4 2" xfId="18680"/>
    <cellStyle name="Normal 42 4 3 2 2 5" xfId="11444"/>
    <cellStyle name="Normal 42 4 3 2 2 5 2" xfId="16902"/>
    <cellStyle name="Normal 42 4 3 2 2 6" xfId="15016"/>
    <cellStyle name="Normal 42 4 3 2 2 7" xfId="16064"/>
    <cellStyle name="Normal 42 4 3 2 3" xfId="5168"/>
    <cellStyle name="Normal 42 4 3 2 3 2" xfId="10558"/>
    <cellStyle name="Normal 42 4 3 2 3 2 2" xfId="14139"/>
    <cellStyle name="Normal 42 4 3 2 3 2 2 2" xfId="19629"/>
    <cellStyle name="Normal 42 4 3 2 3 2 3" xfId="12442"/>
    <cellStyle name="Normal 42 4 3 2 3 2 4" xfId="17830"/>
    <cellStyle name="Normal 42 4 3 2 3 3" xfId="13280"/>
    <cellStyle name="Normal 42 4 3 2 3 3 2" xfId="18749"/>
    <cellStyle name="Normal 42 4 3 2 3 4" xfId="11530"/>
    <cellStyle name="Normal 42 4 3 2 3 4 2" xfId="16971"/>
    <cellStyle name="Normal 42 4 3 2 3 5" xfId="15086"/>
    <cellStyle name="Normal 42 4 3 2 3 6" xfId="16133"/>
    <cellStyle name="Normal 42 4 3 2 4" xfId="8143"/>
    <cellStyle name="Normal 42 4 3 2 4 2" xfId="10821"/>
    <cellStyle name="Normal 42 4 3 2 4 2 2" xfId="14401"/>
    <cellStyle name="Normal 42 4 3 2 4 2 2 2" xfId="19630"/>
    <cellStyle name="Normal 42 4 3 2 4 2 3" xfId="12704"/>
    <cellStyle name="Normal 42 4 3 2 4 2 4" xfId="18092"/>
    <cellStyle name="Normal 42 4 3 2 4 3" xfId="13540"/>
    <cellStyle name="Normal 42 4 3 2 4 3 2" xfId="19009"/>
    <cellStyle name="Normal 42 4 3 2 4 4" xfId="11843"/>
    <cellStyle name="Normal 42 4 3 2 4 4 2" xfId="17231"/>
    <cellStyle name="Normal 42 4 3 2 4 5" xfId="15346"/>
    <cellStyle name="Normal 42 4 3 2 4 6" xfId="16393"/>
    <cellStyle name="Normal 42 4 3 2 5" xfId="10307"/>
    <cellStyle name="Normal 42 4 3 2 5 2" xfId="13889"/>
    <cellStyle name="Normal 42 4 3 2 5 2 2" xfId="19631"/>
    <cellStyle name="Normal 42 4 3 2 5 3" xfId="12192"/>
    <cellStyle name="Normal 42 4 3 2 5 4" xfId="17580"/>
    <cellStyle name="Normal 42 4 3 2 6" xfId="13032"/>
    <cellStyle name="Normal 42 4 3 2 6 2" xfId="18488"/>
    <cellStyle name="Normal 42 4 3 2 7" xfId="11251"/>
    <cellStyle name="Normal 42 4 3 2 7 2" xfId="16723"/>
    <cellStyle name="Normal 42 4 3 2 8" xfId="14835"/>
    <cellStyle name="Normal 42 4 3 2 9" xfId="15885"/>
    <cellStyle name="Normal 42 4 3 3" xfId="4369"/>
    <cellStyle name="Normal 42 4 3 3 2" xfId="8805"/>
    <cellStyle name="Normal 42 4 3 3 2 2" xfId="10876"/>
    <cellStyle name="Normal 42 4 3 3 2 2 2" xfId="14456"/>
    <cellStyle name="Normal 42 4 3 3 2 2 2 2" xfId="19632"/>
    <cellStyle name="Normal 42 4 3 3 2 2 3" xfId="12759"/>
    <cellStyle name="Normal 42 4 3 3 2 2 4" xfId="18147"/>
    <cellStyle name="Normal 42 4 3 3 2 3" xfId="13595"/>
    <cellStyle name="Normal 42 4 3 3 2 3 2" xfId="19064"/>
    <cellStyle name="Normal 42 4 3 3 2 4" xfId="11898"/>
    <cellStyle name="Normal 42 4 3 3 2 4 2" xfId="17286"/>
    <cellStyle name="Normal 42 4 3 3 2 5" xfId="15402"/>
    <cellStyle name="Normal 42 4 3 3 2 6" xfId="16448"/>
    <cellStyle name="Normal 42 4 3 3 3" xfId="10400"/>
    <cellStyle name="Normal 42 4 3 3 3 2" xfId="13981"/>
    <cellStyle name="Normal 42 4 3 3 3 2 2" xfId="19633"/>
    <cellStyle name="Normal 42 4 3 3 3 3" xfId="12284"/>
    <cellStyle name="Normal 42 4 3 3 3 4" xfId="17672"/>
    <cellStyle name="Normal 42 4 3 3 4" xfId="13123"/>
    <cellStyle name="Normal 42 4 3 3 4 2" xfId="18592"/>
    <cellStyle name="Normal 42 4 3 3 5" xfId="11356"/>
    <cellStyle name="Normal 42 4 3 3 5 2" xfId="16814"/>
    <cellStyle name="Normal 42 4 3 3 6" xfId="14928"/>
    <cellStyle name="Normal 42 4 3 3 7" xfId="15976"/>
    <cellStyle name="Normal 42 4 3 4" xfId="5344"/>
    <cellStyle name="Normal 42 4 3 4 2" xfId="10627"/>
    <cellStyle name="Normal 42 4 3 4 2 2" xfId="14208"/>
    <cellStyle name="Normal 42 4 3 4 2 2 2" xfId="19634"/>
    <cellStyle name="Normal 42 4 3 4 2 3" xfId="12511"/>
    <cellStyle name="Normal 42 4 3 4 2 4" xfId="17899"/>
    <cellStyle name="Normal 42 4 3 4 3" xfId="13349"/>
    <cellStyle name="Normal 42 4 3 4 3 2" xfId="18818"/>
    <cellStyle name="Normal 42 4 3 4 4" xfId="11607"/>
    <cellStyle name="Normal 42 4 3 4 4 2" xfId="17040"/>
    <cellStyle name="Normal 42 4 3 4 5" xfId="15155"/>
    <cellStyle name="Normal 42 4 3 4 6" xfId="16202"/>
    <cellStyle name="Normal 42 4 3 5" xfId="6370"/>
    <cellStyle name="Normal 42 4 3 5 2" xfId="10658"/>
    <cellStyle name="Normal 42 4 3 5 2 2" xfId="14239"/>
    <cellStyle name="Normal 42 4 3 5 2 2 2" xfId="19635"/>
    <cellStyle name="Normal 42 4 3 5 2 3" xfId="12542"/>
    <cellStyle name="Normal 42 4 3 5 2 4" xfId="17930"/>
    <cellStyle name="Normal 42 4 3 5 3" xfId="13380"/>
    <cellStyle name="Normal 42 4 3 5 3 2" xfId="18849"/>
    <cellStyle name="Normal 42 4 3 5 4" xfId="11683"/>
    <cellStyle name="Normal 42 4 3 5 4 2" xfId="17071"/>
    <cellStyle name="Normal 42 4 3 5 5" xfId="15186"/>
    <cellStyle name="Normal 42 4 3 5 6" xfId="16233"/>
    <cellStyle name="Normal 42 4 3 6" xfId="10221"/>
    <cellStyle name="Normal 42 4 3 6 2" xfId="13803"/>
    <cellStyle name="Normal 42 4 3 6 2 2" xfId="19636"/>
    <cellStyle name="Normal 42 4 3 6 3" xfId="12106"/>
    <cellStyle name="Normal 42 4 3 6 4" xfId="17494"/>
    <cellStyle name="Normal 42 4 3 7" xfId="12947"/>
    <cellStyle name="Normal 42 4 3 7 2" xfId="18423"/>
    <cellStyle name="Normal 42 4 3 8" xfId="11152"/>
    <cellStyle name="Normal 42 4 3 8 2" xfId="16638"/>
    <cellStyle name="Normal 42 4 3 9" xfId="14748"/>
    <cellStyle name="Normal 42 4 4" xfId="2398"/>
    <cellStyle name="Normal 42 4 4 2" xfId="4512"/>
    <cellStyle name="Normal 42 4 4 2 2" xfId="8900"/>
    <cellStyle name="Normal 42 4 4 2 2 2" xfId="10930"/>
    <cellStyle name="Normal 42 4 4 2 2 2 2" xfId="14510"/>
    <cellStyle name="Normal 42 4 4 2 2 2 2 2" xfId="19637"/>
    <cellStyle name="Normal 42 4 4 2 2 2 3" xfId="12813"/>
    <cellStyle name="Normal 42 4 4 2 2 2 4" xfId="18201"/>
    <cellStyle name="Normal 42 4 4 2 2 3" xfId="13649"/>
    <cellStyle name="Normal 42 4 4 2 2 3 2" xfId="19118"/>
    <cellStyle name="Normal 42 4 4 2 2 4" xfId="11952"/>
    <cellStyle name="Normal 42 4 4 2 2 4 2" xfId="17340"/>
    <cellStyle name="Normal 42 4 4 2 2 5" xfId="15456"/>
    <cellStyle name="Normal 42 4 4 2 2 6" xfId="16502"/>
    <cellStyle name="Normal 42 4 4 2 3" xfId="10454"/>
    <cellStyle name="Normal 42 4 4 2 3 2" xfId="14035"/>
    <cellStyle name="Normal 42 4 4 2 3 2 2" xfId="19638"/>
    <cellStyle name="Normal 42 4 4 2 3 3" xfId="12338"/>
    <cellStyle name="Normal 42 4 4 2 3 4" xfId="17726"/>
    <cellStyle name="Normal 42 4 4 2 4" xfId="13177"/>
    <cellStyle name="Normal 42 4 4 2 4 2" xfId="18646"/>
    <cellStyle name="Normal 42 4 4 2 5" xfId="11410"/>
    <cellStyle name="Normal 42 4 4 2 5 2" xfId="16868"/>
    <cellStyle name="Normal 42 4 4 2 6" xfId="14982"/>
    <cellStyle name="Normal 42 4 4 2 7" xfId="16030"/>
    <cellStyle name="Normal 42 4 4 3" xfId="5306"/>
    <cellStyle name="Normal 42 4 4 3 2" xfId="10615"/>
    <cellStyle name="Normal 42 4 4 3 2 2" xfId="14196"/>
    <cellStyle name="Normal 42 4 4 3 2 2 2" xfId="19639"/>
    <cellStyle name="Normal 42 4 4 3 2 3" xfId="12499"/>
    <cellStyle name="Normal 42 4 4 3 2 4" xfId="17887"/>
    <cellStyle name="Normal 42 4 4 3 3" xfId="13337"/>
    <cellStyle name="Normal 42 4 4 3 3 2" xfId="18806"/>
    <cellStyle name="Normal 42 4 4 3 4" xfId="11594"/>
    <cellStyle name="Normal 42 4 4 3 4 2" xfId="17028"/>
    <cellStyle name="Normal 42 4 4 3 5" xfId="15143"/>
    <cellStyle name="Normal 42 4 4 3 6" xfId="16190"/>
    <cellStyle name="Normal 42 4 4 4" xfId="6774"/>
    <cellStyle name="Normal 42 4 4 4 2" xfId="10699"/>
    <cellStyle name="Normal 42 4 4 4 2 2" xfId="14280"/>
    <cellStyle name="Normal 42 4 4 4 2 2 2" xfId="19640"/>
    <cellStyle name="Normal 42 4 4 4 2 3" xfId="12583"/>
    <cellStyle name="Normal 42 4 4 4 2 4" xfId="17971"/>
    <cellStyle name="Normal 42 4 4 4 3" xfId="13420"/>
    <cellStyle name="Normal 42 4 4 4 3 2" xfId="18889"/>
    <cellStyle name="Normal 42 4 4 4 4" xfId="11723"/>
    <cellStyle name="Normal 42 4 4 4 4 2" xfId="17111"/>
    <cellStyle name="Normal 42 4 4 4 5" xfId="15226"/>
    <cellStyle name="Normal 42 4 4 4 6" xfId="16273"/>
    <cellStyle name="Normal 42 4 4 5" xfId="10273"/>
    <cellStyle name="Normal 42 4 4 5 2" xfId="13855"/>
    <cellStyle name="Normal 42 4 4 5 2 2" xfId="19641"/>
    <cellStyle name="Normal 42 4 4 5 3" xfId="12158"/>
    <cellStyle name="Normal 42 4 4 5 4" xfId="17546"/>
    <cellStyle name="Normal 42 4 4 6" xfId="12998"/>
    <cellStyle name="Normal 42 4 4 6 2" xfId="18455"/>
    <cellStyle name="Normal 42 4 4 7" xfId="11217"/>
    <cellStyle name="Normal 42 4 4 7 2" xfId="16689"/>
    <cellStyle name="Normal 42 4 4 8" xfId="14800"/>
    <cellStyle name="Normal 42 4 4 9" xfId="15851"/>
    <cellStyle name="Normal 42 4 5" xfId="4334"/>
    <cellStyle name="Normal 42 4 5 2" xfId="8771"/>
    <cellStyle name="Normal 42 4 5 2 2" xfId="10842"/>
    <cellStyle name="Normal 42 4 5 2 2 2" xfId="14422"/>
    <cellStyle name="Normal 42 4 5 2 2 2 2" xfId="19642"/>
    <cellStyle name="Normal 42 4 5 2 2 3" xfId="12725"/>
    <cellStyle name="Normal 42 4 5 2 2 4" xfId="18113"/>
    <cellStyle name="Normal 42 4 5 2 3" xfId="13561"/>
    <cellStyle name="Normal 42 4 5 2 3 2" xfId="19030"/>
    <cellStyle name="Normal 42 4 5 2 4" xfId="11864"/>
    <cellStyle name="Normal 42 4 5 2 4 2" xfId="17252"/>
    <cellStyle name="Normal 42 4 5 2 5" xfId="15368"/>
    <cellStyle name="Normal 42 4 5 2 6" xfId="16414"/>
    <cellStyle name="Normal 42 4 5 3" xfId="10366"/>
    <cellStyle name="Normal 42 4 5 3 2" xfId="13947"/>
    <cellStyle name="Normal 42 4 5 3 2 2" xfId="19643"/>
    <cellStyle name="Normal 42 4 5 3 3" xfId="12250"/>
    <cellStyle name="Normal 42 4 5 3 4" xfId="17638"/>
    <cellStyle name="Normal 42 4 5 4" xfId="13089"/>
    <cellStyle name="Normal 42 4 5 4 2" xfId="18558"/>
    <cellStyle name="Normal 42 4 5 5" xfId="11322"/>
    <cellStyle name="Normal 42 4 5 5 2" xfId="16780"/>
    <cellStyle name="Normal 42 4 5 6" xfId="14894"/>
    <cellStyle name="Normal 42 4 5 7" xfId="15942"/>
    <cellStyle name="Normal 42 4 6" xfId="5111"/>
    <cellStyle name="Normal 42 4 6 2" xfId="10536"/>
    <cellStyle name="Normal 42 4 6 2 2" xfId="14117"/>
    <cellStyle name="Normal 42 4 6 2 2 2" xfId="19644"/>
    <cellStyle name="Normal 42 4 6 2 3" xfId="12420"/>
    <cellStyle name="Normal 42 4 6 2 4" xfId="17808"/>
    <cellStyle name="Normal 42 4 6 3" xfId="13258"/>
    <cellStyle name="Normal 42 4 6 3 2" xfId="18727"/>
    <cellStyle name="Normal 42 4 6 4" xfId="11506"/>
    <cellStyle name="Normal 42 4 6 4 2" xfId="16949"/>
    <cellStyle name="Normal 42 4 6 5" xfId="15064"/>
    <cellStyle name="Normal 42 4 6 6" xfId="16111"/>
    <cellStyle name="Normal 42 4 7" xfId="8168"/>
    <cellStyle name="Normal 42 4 7 2" xfId="10824"/>
    <cellStyle name="Normal 42 4 7 2 2" xfId="14404"/>
    <cellStyle name="Normal 42 4 7 2 2 2" xfId="19645"/>
    <cellStyle name="Normal 42 4 7 2 3" xfId="12707"/>
    <cellStyle name="Normal 42 4 7 2 4" xfId="18095"/>
    <cellStyle name="Normal 42 4 7 3" xfId="13543"/>
    <cellStyle name="Normal 42 4 7 3 2" xfId="19012"/>
    <cellStyle name="Normal 42 4 7 4" xfId="11846"/>
    <cellStyle name="Normal 42 4 7 4 2" xfId="17234"/>
    <cellStyle name="Normal 42 4 7 5" xfId="15349"/>
    <cellStyle name="Normal 42 4 7 6" xfId="16396"/>
    <cellStyle name="Normal 42 4 8" xfId="10186"/>
    <cellStyle name="Normal 42 4 8 2" xfId="13770"/>
    <cellStyle name="Normal 42 4 8 2 2" xfId="19646"/>
    <cellStyle name="Normal 42 4 8 3" xfId="12073"/>
    <cellStyle name="Normal 42 4 8 4" xfId="17461"/>
    <cellStyle name="Normal 42 4 9" xfId="12914"/>
    <cellStyle name="Normal 42 4 9 2" xfId="18402"/>
    <cellStyle name="Normal 42 5" xfId="1101"/>
    <cellStyle name="Normal 42 5 10" xfId="14715"/>
    <cellStyle name="Normal 42 5 11" xfId="15768"/>
    <cellStyle name="Normal 42 5 2" xfId="1867"/>
    <cellStyle name="Normal 42 5 2 10" xfId="15801"/>
    <cellStyle name="Normal 42 5 2 2" xfId="2495"/>
    <cellStyle name="Normal 42 5 2 2 2" xfId="4547"/>
    <cellStyle name="Normal 42 5 2 2 2 2" xfId="8935"/>
    <cellStyle name="Normal 42 5 2 2 2 2 2" xfId="10965"/>
    <cellStyle name="Normal 42 5 2 2 2 2 2 2" xfId="14545"/>
    <cellStyle name="Normal 42 5 2 2 2 2 2 2 2" xfId="19647"/>
    <cellStyle name="Normal 42 5 2 2 2 2 2 3" xfId="12848"/>
    <cellStyle name="Normal 42 5 2 2 2 2 2 4" xfId="18236"/>
    <cellStyle name="Normal 42 5 2 2 2 2 3" xfId="13684"/>
    <cellStyle name="Normal 42 5 2 2 2 2 3 2" xfId="19153"/>
    <cellStyle name="Normal 42 5 2 2 2 2 4" xfId="11987"/>
    <cellStyle name="Normal 42 5 2 2 2 2 4 2" xfId="17375"/>
    <cellStyle name="Normal 42 5 2 2 2 2 5" xfId="15491"/>
    <cellStyle name="Normal 42 5 2 2 2 2 6" xfId="16537"/>
    <cellStyle name="Normal 42 5 2 2 2 3" xfId="10489"/>
    <cellStyle name="Normal 42 5 2 2 2 3 2" xfId="14070"/>
    <cellStyle name="Normal 42 5 2 2 2 3 2 2" xfId="19648"/>
    <cellStyle name="Normal 42 5 2 2 2 3 3" xfId="12373"/>
    <cellStyle name="Normal 42 5 2 2 2 3 4" xfId="17761"/>
    <cellStyle name="Normal 42 5 2 2 2 4" xfId="13212"/>
    <cellStyle name="Normal 42 5 2 2 2 4 2" xfId="18681"/>
    <cellStyle name="Normal 42 5 2 2 2 5" xfId="11445"/>
    <cellStyle name="Normal 42 5 2 2 2 5 2" xfId="16903"/>
    <cellStyle name="Normal 42 5 2 2 2 6" xfId="15017"/>
    <cellStyle name="Normal 42 5 2 2 2 7" xfId="16065"/>
    <cellStyle name="Normal 42 5 2 2 3" xfId="7613"/>
    <cellStyle name="Normal 42 5 2 2 3 2" xfId="10772"/>
    <cellStyle name="Normal 42 5 2 2 3 2 2" xfId="14352"/>
    <cellStyle name="Normal 42 5 2 2 3 2 2 2" xfId="19649"/>
    <cellStyle name="Normal 42 5 2 2 3 2 3" xfId="12655"/>
    <cellStyle name="Normal 42 5 2 2 3 2 4" xfId="18043"/>
    <cellStyle name="Normal 42 5 2 2 3 3" xfId="13492"/>
    <cellStyle name="Normal 42 5 2 2 3 3 2" xfId="18961"/>
    <cellStyle name="Normal 42 5 2 2 3 4" xfId="11795"/>
    <cellStyle name="Normal 42 5 2 2 3 4 2" xfId="17183"/>
    <cellStyle name="Normal 42 5 2 2 3 5" xfId="15298"/>
    <cellStyle name="Normal 42 5 2 2 3 6" xfId="16345"/>
    <cellStyle name="Normal 42 5 2 2 4" xfId="10308"/>
    <cellStyle name="Normal 42 5 2 2 4 2" xfId="13890"/>
    <cellStyle name="Normal 42 5 2 2 4 2 2" xfId="19650"/>
    <cellStyle name="Normal 42 5 2 2 4 3" xfId="12193"/>
    <cellStyle name="Normal 42 5 2 2 4 4" xfId="17581"/>
    <cellStyle name="Normal 42 5 2 2 5" xfId="13033"/>
    <cellStyle name="Normal 42 5 2 2 5 2" xfId="18510"/>
    <cellStyle name="Normal 42 5 2 2 6" xfId="11252"/>
    <cellStyle name="Normal 42 5 2 2 6 2" xfId="16724"/>
    <cellStyle name="Normal 42 5 2 2 7" xfId="14836"/>
    <cellStyle name="Normal 42 5 2 2 8" xfId="15886"/>
    <cellStyle name="Normal 42 5 2 3" xfId="4370"/>
    <cellStyle name="Normal 42 5 2 3 2" xfId="8806"/>
    <cellStyle name="Normal 42 5 2 3 2 2" xfId="10877"/>
    <cellStyle name="Normal 42 5 2 3 2 2 2" xfId="14457"/>
    <cellStyle name="Normal 42 5 2 3 2 2 2 2" xfId="19651"/>
    <cellStyle name="Normal 42 5 2 3 2 2 3" xfId="12760"/>
    <cellStyle name="Normal 42 5 2 3 2 2 4" xfId="18148"/>
    <cellStyle name="Normal 42 5 2 3 2 3" xfId="13596"/>
    <cellStyle name="Normal 42 5 2 3 2 3 2" xfId="19065"/>
    <cellStyle name="Normal 42 5 2 3 2 4" xfId="11899"/>
    <cellStyle name="Normal 42 5 2 3 2 4 2" xfId="17287"/>
    <cellStyle name="Normal 42 5 2 3 2 5" xfId="15403"/>
    <cellStyle name="Normal 42 5 2 3 2 6" xfId="16449"/>
    <cellStyle name="Normal 42 5 2 3 3" xfId="10401"/>
    <cellStyle name="Normal 42 5 2 3 3 2" xfId="13982"/>
    <cellStyle name="Normal 42 5 2 3 3 2 2" xfId="19652"/>
    <cellStyle name="Normal 42 5 2 3 3 3" xfId="12285"/>
    <cellStyle name="Normal 42 5 2 3 3 4" xfId="17673"/>
    <cellStyle name="Normal 42 5 2 3 4" xfId="13124"/>
    <cellStyle name="Normal 42 5 2 3 4 2" xfId="18593"/>
    <cellStyle name="Normal 42 5 2 3 5" xfId="11357"/>
    <cellStyle name="Normal 42 5 2 3 5 2" xfId="16815"/>
    <cellStyle name="Normal 42 5 2 3 6" xfId="14929"/>
    <cellStyle name="Normal 42 5 2 3 7" xfId="15977"/>
    <cellStyle name="Normal 42 5 2 4" xfId="5267"/>
    <cellStyle name="Normal 42 5 2 4 2" xfId="10597"/>
    <cellStyle name="Normal 42 5 2 4 2 2" xfId="14178"/>
    <cellStyle name="Normal 42 5 2 4 2 2 2" xfId="19653"/>
    <cellStyle name="Normal 42 5 2 4 2 3" xfId="12481"/>
    <cellStyle name="Normal 42 5 2 4 2 4" xfId="17869"/>
    <cellStyle name="Normal 42 5 2 4 3" xfId="13319"/>
    <cellStyle name="Normal 42 5 2 4 3 2" xfId="18788"/>
    <cellStyle name="Normal 42 5 2 4 4" xfId="11574"/>
    <cellStyle name="Normal 42 5 2 4 4 2" xfId="17010"/>
    <cellStyle name="Normal 42 5 2 4 5" xfId="15125"/>
    <cellStyle name="Normal 42 5 2 4 6" xfId="16172"/>
    <cellStyle name="Normal 42 5 2 5" xfId="6982"/>
    <cellStyle name="Normal 42 5 2 5 2" xfId="10717"/>
    <cellStyle name="Normal 42 5 2 5 2 2" xfId="14297"/>
    <cellStyle name="Normal 42 5 2 5 2 2 2" xfId="19654"/>
    <cellStyle name="Normal 42 5 2 5 2 3" xfId="12600"/>
    <cellStyle name="Normal 42 5 2 5 2 4" xfId="17988"/>
    <cellStyle name="Normal 42 5 2 5 3" xfId="13437"/>
    <cellStyle name="Normal 42 5 2 5 3 2" xfId="18906"/>
    <cellStyle name="Normal 42 5 2 5 4" xfId="11740"/>
    <cellStyle name="Normal 42 5 2 5 4 2" xfId="17128"/>
    <cellStyle name="Normal 42 5 2 5 5" xfId="15243"/>
    <cellStyle name="Normal 42 5 2 5 6" xfId="16290"/>
    <cellStyle name="Normal 42 5 2 6" xfId="10222"/>
    <cellStyle name="Normal 42 5 2 6 2" xfId="13804"/>
    <cellStyle name="Normal 42 5 2 6 2 2" xfId="19655"/>
    <cellStyle name="Normal 42 5 2 6 3" xfId="12107"/>
    <cellStyle name="Normal 42 5 2 6 4" xfId="17495"/>
    <cellStyle name="Normal 42 5 2 7" xfId="12948"/>
    <cellStyle name="Normal 42 5 2 7 2" xfId="18489"/>
    <cellStyle name="Normal 42 5 2 8" xfId="11153"/>
    <cellStyle name="Normal 42 5 2 8 2" xfId="16639"/>
    <cellStyle name="Normal 42 5 2 9" xfId="14749"/>
    <cellStyle name="Normal 42 5 3" xfId="2399"/>
    <cellStyle name="Normal 42 5 3 2" xfId="4513"/>
    <cellStyle name="Normal 42 5 3 2 2" xfId="8901"/>
    <cellStyle name="Normal 42 5 3 2 2 2" xfId="10931"/>
    <cellStyle name="Normal 42 5 3 2 2 2 2" xfId="14511"/>
    <cellStyle name="Normal 42 5 3 2 2 2 2 2" xfId="19656"/>
    <cellStyle name="Normal 42 5 3 2 2 2 3" xfId="12814"/>
    <cellStyle name="Normal 42 5 3 2 2 2 4" xfId="18202"/>
    <cellStyle name="Normal 42 5 3 2 2 3" xfId="13650"/>
    <cellStyle name="Normal 42 5 3 2 2 3 2" xfId="19119"/>
    <cellStyle name="Normal 42 5 3 2 2 4" xfId="11953"/>
    <cellStyle name="Normal 42 5 3 2 2 4 2" xfId="17341"/>
    <cellStyle name="Normal 42 5 3 2 2 5" xfId="15457"/>
    <cellStyle name="Normal 42 5 3 2 2 6" xfId="16503"/>
    <cellStyle name="Normal 42 5 3 2 3" xfId="10455"/>
    <cellStyle name="Normal 42 5 3 2 3 2" xfId="14036"/>
    <cellStyle name="Normal 42 5 3 2 3 2 2" xfId="19657"/>
    <cellStyle name="Normal 42 5 3 2 3 3" xfId="12339"/>
    <cellStyle name="Normal 42 5 3 2 3 4" xfId="17727"/>
    <cellStyle name="Normal 42 5 3 2 4" xfId="13178"/>
    <cellStyle name="Normal 42 5 3 2 4 2" xfId="18647"/>
    <cellStyle name="Normal 42 5 3 2 5" xfId="11411"/>
    <cellStyle name="Normal 42 5 3 2 5 2" xfId="16869"/>
    <cellStyle name="Normal 42 5 3 2 6" xfId="14983"/>
    <cellStyle name="Normal 42 5 3 2 7" xfId="16031"/>
    <cellStyle name="Normal 42 5 3 3" xfId="5286"/>
    <cellStyle name="Normal 42 5 3 3 2" xfId="10607"/>
    <cellStyle name="Normal 42 5 3 3 2 2" xfId="14188"/>
    <cellStyle name="Normal 42 5 3 3 2 2 2" xfId="19658"/>
    <cellStyle name="Normal 42 5 3 3 2 3" xfId="12491"/>
    <cellStyle name="Normal 42 5 3 3 2 4" xfId="17879"/>
    <cellStyle name="Normal 42 5 3 3 3" xfId="13329"/>
    <cellStyle name="Normal 42 5 3 3 3 2" xfId="18798"/>
    <cellStyle name="Normal 42 5 3 3 4" xfId="11584"/>
    <cellStyle name="Normal 42 5 3 3 4 2" xfId="17020"/>
    <cellStyle name="Normal 42 5 3 3 5" xfId="15135"/>
    <cellStyle name="Normal 42 5 3 3 6" xfId="16182"/>
    <cellStyle name="Normal 42 5 3 4" xfId="7760"/>
    <cellStyle name="Normal 42 5 3 4 2" xfId="10788"/>
    <cellStyle name="Normal 42 5 3 4 2 2" xfId="14368"/>
    <cellStyle name="Normal 42 5 3 4 2 2 2" xfId="19659"/>
    <cellStyle name="Normal 42 5 3 4 2 3" xfId="12671"/>
    <cellStyle name="Normal 42 5 3 4 2 4" xfId="18059"/>
    <cellStyle name="Normal 42 5 3 4 3" xfId="13507"/>
    <cellStyle name="Normal 42 5 3 4 3 2" xfId="18976"/>
    <cellStyle name="Normal 42 5 3 4 4" xfId="11810"/>
    <cellStyle name="Normal 42 5 3 4 4 2" xfId="17198"/>
    <cellStyle name="Normal 42 5 3 4 5" xfId="15313"/>
    <cellStyle name="Normal 42 5 3 4 6" xfId="16360"/>
    <cellStyle name="Normal 42 5 3 5" xfId="10274"/>
    <cellStyle name="Normal 42 5 3 5 2" xfId="13856"/>
    <cellStyle name="Normal 42 5 3 5 2 2" xfId="19660"/>
    <cellStyle name="Normal 42 5 3 5 3" xfId="12159"/>
    <cellStyle name="Normal 42 5 3 5 4" xfId="17547"/>
    <cellStyle name="Normal 42 5 3 6" xfId="12999"/>
    <cellStyle name="Normal 42 5 3 6 2" xfId="18456"/>
    <cellStyle name="Normal 42 5 3 7" xfId="11218"/>
    <cellStyle name="Normal 42 5 3 7 2" xfId="16690"/>
    <cellStyle name="Normal 42 5 3 8" xfId="14801"/>
    <cellStyle name="Normal 42 5 3 9" xfId="15852"/>
    <cellStyle name="Normal 42 5 4" xfId="4335"/>
    <cellStyle name="Normal 42 5 4 2" xfId="8772"/>
    <cellStyle name="Normal 42 5 4 2 2" xfId="10843"/>
    <cellStyle name="Normal 42 5 4 2 2 2" xfId="14423"/>
    <cellStyle name="Normal 42 5 4 2 2 2 2" xfId="19661"/>
    <cellStyle name="Normal 42 5 4 2 2 3" xfId="12726"/>
    <cellStyle name="Normal 42 5 4 2 2 4" xfId="18114"/>
    <cellStyle name="Normal 42 5 4 2 3" xfId="13562"/>
    <cellStyle name="Normal 42 5 4 2 3 2" xfId="19031"/>
    <cellStyle name="Normal 42 5 4 2 4" xfId="11865"/>
    <cellStyle name="Normal 42 5 4 2 4 2" xfId="17253"/>
    <cellStyle name="Normal 42 5 4 2 5" xfId="15369"/>
    <cellStyle name="Normal 42 5 4 2 6" xfId="16415"/>
    <cellStyle name="Normal 42 5 4 3" xfId="10367"/>
    <cellStyle name="Normal 42 5 4 3 2" xfId="13948"/>
    <cellStyle name="Normal 42 5 4 3 2 2" xfId="19662"/>
    <cellStyle name="Normal 42 5 4 3 3" xfId="12251"/>
    <cellStyle name="Normal 42 5 4 3 4" xfId="17639"/>
    <cellStyle name="Normal 42 5 4 4" xfId="13090"/>
    <cellStyle name="Normal 42 5 4 4 2" xfId="18559"/>
    <cellStyle name="Normal 42 5 4 5" xfId="11323"/>
    <cellStyle name="Normal 42 5 4 5 2" xfId="16781"/>
    <cellStyle name="Normal 42 5 4 6" xfId="14895"/>
    <cellStyle name="Normal 42 5 4 7" xfId="15943"/>
    <cellStyle name="Normal 42 5 5" xfId="5301"/>
    <cellStyle name="Normal 42 5 5 2" xfId="10611"/>
    <cellStyle name="Normal 42 5 5 2 2" xfId="14192"/>
    <cellStyle name="Normal 42 5 5 2 2 2" xfId="19663"/>
    <cellStyle name="Normal 42 5 5 2 3" xfId="12495"/>
    <cellStyle name="Normal 42 5 5 2 4" xfId="17883"/>
    <cellStyle name="Normal 42 5 5 3" xfId="13333"/>
    <cellStyle name="Normal 42 5 5 3 2" xfId="18802"/>
    <cellStyle name="Normal 42 5 5 4" xfId="11590"/>
    <cellStyle name="Normal 42 5 5 4 2" xfId="17024"/>
    <cellStyle name="Normal 42 5 5 5" xfId="15139"/>
    <cellStyle name="Normal 42 5 5 6" xfId="16186"/>
    <cellStyle name="Normal 42 5 6" xfId="7832"/>
    <cellStyle name="Normal 42 5 6 2" xfId="10790"/>
    <cellStyle name="Normal 42 5 6 2 2" xfId="14370"/>
    <cellStyle name="Normal 42 5 6 2 2 2" xfId="19664"/>
    <cellStyle name="Normal 42 5 6 2 3" xfId="12673"/>
    <cellStyle name="Normal 42 5 6 2 4" xfId="18061"/>
    <cellStyle name="Normal 42 5 6 3" xfId="13509"/>
    <cellStyle name="Normal 42 5 6 3 2" xfId="18978"/>
    <cellStyle name="Normal 42 5 6 4" xfId="11812"/>
    <cellStyle name="Normal 42 5 6 4 2" xfId="17200"/>
    <cellStyle name="Normal 42 5 6 5" xfId="15315"/>
    <cellStyle name="Normal 42 5 6 6" xfId="16362"/>
    <cellStyle name="Normal 42 5 7" xfId="10187"/>
    <cellStyle name="Normal 42 5 7 2" xfId="13771"/>
    <cellStyle name="Normal 42 5 7 2 2" xfId="19665"/>
    <cellStyle name="Normal 42 5 7 3" xfId="12074"/>
    <cellStyle name="Normal 42 5 7 4" xfId="17462"/>
    <cellStyle name="Normal 42 5 8" xfId="12915"/>
    <cellStyle name="Normal 42 5 8 2" xfId="18424"/>
    <cellStyle name="Normal 42 5 9" xfId="11120"/>
    <cellStyle name="Normal 42 5 9 2" xfId="16606"/>
    <cellStyle name="Normal 42 6" xfId="1651"/>
    <cellStyle name="Normal 42 6 2" xfId="11051"/>
    <cellStyle name="Normal 42 6 2 2" xfId="14592"/>
    <cellStyle name="Normal 42 6 2 2 2" xfId="19666"/>
    <cellStyle name="Normal 42 6 2 3" xfId="12895"/>
    <cellStyle name="Normal 42 6 2 4" xfId="15538"/>
    <cellStyle name="Normal 42 6 2 5" xfId="18283"/>
    <cellStyle name="Normal 42 7" xfId="1862"/>
    <cellStyle name="Normal 42 7 10" xfId="15796"/>
    <cellStyle name="Normal 42 7 2" xfId="2490"/>
    <cellStyle name="Normal 42 7 2 2" xfId="4542"/>
    <cellStyle name="Normal 42 7 2 2 2" xfId="8930"/>
    <cellStyle name="Normal 42 7 2 2 2 2" xfId="10960"/>
    <cellStyle name="Normal 42 7 2 2 2 2 2" xfId="14540"/>
    <cellStyle name="Normal 42 7 2 2 2 2 2 2" xfId="19667"/>
    <cellStyle name="Normal 42 7 2 2 2 2 3" xfId="12843"/>
    <cellStyle name="Normal 42 7 2 2 2 2 4" xfId="18231"/>
    <cellStyle name="Normal 42 7 2 2 2 3" xfId="13679"/>
    <cellStyle name="Normal 42 7 2 2 2 3 2" xfId="19148"/>
    <cellStyle name="Normal 42 7 2 2 2 4" xfId="11982"/>
    <cellStyle name="Normal 42 7 2 2 2 4 2" xfId="17370"/>
    <cellStyle name="Normal 42 7 2 2 2 5" xfId="15486"/>
    <cellStyle name="Normal 42 7 2 2 2 6" xfId="16532"/>
    <cellStyle name="Normal 42 7 2 2 3" xfId="10484"/>
    <cellStyle name="Normal 42 7 2 2 3 2" xfId="14065"/>
    <cellStyle name="Normal 42 7 2 2 3 2 2" xfId="19668"/>
    <cellStyle name="Normal 42 7 2 2 3 3" xfId="12368"/>
    <cellStyle name="Normal 42 7 2 2 3 4" xfId="17756"/>
    <cellStyle name="Normal 42 7 2 2 4" xfId="13207"/>
    <cellStyle name="Normal 42 7 2 2 4 2" xfId="18676"/>
    <cellStyle name="Normal 42 7 2 2 5" xfId="11440"/>
    <cellStyle name="Normal 42 7 2 2 5 2" xfId="16898"/>
    <cellStyle name="Normal 42 7 2 2 6" xfId="15012"/>
    <cellStyle name="Normal 42 7 2 2 7" xfId="16060"/>
    <cellStyle name="Normal 42 7 2 3" xfId="5147"/>
    <cellStyle name="Normal 42 7 2 3 2" xfId="10551"/>
    <cellStyle name="Normal 42 7 2 3 2 2" xfId="14132"/>
    <cellStyle name="Normal 42 7 2 3 2 2 2" xfId="19669"/>
    <cellStyle name="Normal 42 7 2 3 2 3" xfId="12435"/>
    <cellStyle name="Normal 42 7 2 3 2 4" xfId="17823"/>
    <cellStyle name="Normal 42 7 2 3 3" xfId="13273"/>
    <cellStyle name="Normal 42 7 2 3 3 2" xfId="18742"/>
    <cellStyle name="Normal 42 7 2 3 4" xfId="11523"/>
    <cellStyle name="Normal 42 7 2 3 4 2" xfId="16964"/>
    <cellStyle name="Normal 42 7 2 3 5" xfId="15079"/>
    <cellStyle name="Normal 42 7 2 3 6" xfId="16126"/>
    <cellStyle name="Normal 42 7 2 4" xfId="6896"/>
    <cellStyle name="Normal 42 7 2 4 2" xfId="10710"/>
    <cellStyle name="Normal 42 7 2 4 2 2" xfId="14291"/>
    <cellStyle name="Normal 42 7 2 4 2 2 2" xfId="19670"/>
    <cellStyle name="Normal 42 7 2 4 2 3" xfId="12594"/>
    <cellStyle name="Normal 42 7 2 4 2 4" xfId="17982"/>
    <cellStyle name="Normal 42 7 2 4 3" xfId="13431"/>
    <cellStyle name="Normal 42 7 2 4 3 2" xfId="18900"/>
    <cellStyle name="Normal 42 7 2 4 4" xfId="11734"/>
    <cellStyle name="Normal 42 7 2 4 4 2" xfId="17122"/>
    <cellStyle name="Normal 42 7 2 4 5" xfId="15237"/>
    <cellStyle name="Normal 42 7 2 4 6" xfId="16284"/>
    <cellStyle name="Normal 42 7 2 5" xfId="10303"/>
    <cellStyle name="Normal 42 7 2 5 2" xfId="13885"/>
    <cellStyle name="Normal 42 7 2 5 2 2" xfId="19671"/>
    <cellStyle name="Normal 42 7 2 5 3" xfId="12188"/>
    <cellStyle name="Normal 42 7 2 5 4" xfId="17576"/>
    <cellStyle name="Normal 42 7 2 6" xfId="13028"/>
    <cellStyle name="Normal 42 7 2 6 2" xfId="18484"/>
    <cellStyle name="Normal 42 7 2 7" xfId="11247"/>
    <cellStyle name="Normal 42 7 2 7 2" xfId="16719"/>
    <cellStyle name="Normal 42 7 2 8" xfId="14831"/>
    <cellStyle name="Normal 42 7 2 9" xfId="15881"/>
    <cellStyle name="Normal 42 7 3" xfId="4365"/>
    <cellStyle name="Normal 42 7 3 2" xfId="8801"/>
    <cellStyle name="Normal 42 7 3 2 2" xfId="10872"/>
    <cellStyle name="Normal 42 7 3 2 2 2" xfId="14452"/>
    <cellStyle name="Normal 42 7 3 2 2 2 2" xfId="19672"/>
    <cellStyle name="Normal 42 7 3 2 2 3" xfId="12755"/>
    <cellStyle name="Normal 42 7 3 2 2 4" xfId="18143"/>
    <cellStyle name="Normal 42 7 3 2 3" xfId="13591"/>
    <cellStyle name="Normal 42 7 3 2 3 2" xfId="19060"/>
    <cellStyle name="Normal 42 7 3 2 4" xfId="11894"/>
    <cellStyle name="Normal 42 7 3 2 4 2" xfId="17282"/>
    <cellStyle name="Normal 42 7 3 2 5" xfId="15398"/>
    <cellStyle name="Normal 42 7 3 2 6" xfId="16444"/>
    <cellStyle name="Normal 42 7 3 3" xfId="10396"/>
    <cellStyle name="Normal 42 7 3 3 2" xfId="13977"/>
    <cellStyle name="Normal 42 7 3 3 2 2" xfId="19673"/>
    <cellStyle name="Normal 42 7 3 3 3" xfId="12280"/>
    <cellStyle name="Normal 42 7 3 3 4" xfId="17668"/>
    <cellStyle name="Normal 42 7 3 4" xfId="13119"/>
    <cellStyle name="Normal 42 7 3 4 2" xfId="18588"/>
    <cellStyle name="Normal 42 7 3 5" xfId="11352"/>
    <cellStyle name="Normal 42 7 3 5 2" xfId="16810"/>
    <cellStyle name="Normal 42 7 3 6" xfId="14924"/>
    <cellStyle name="Normal 42 7 3 7" xfId="15972"/>
    <cellStyle name="Normal 42 7 4" xfId="5265"/>
    <cellStyle name="Normal 42 7 4 2" xfId="10596"/>
    <cellStyle name="Normal 42 7 4 2 2" xfId="14177"/>
    <cellStyle name="Normal 42 7 4 2 2 2" xfId="19674"/>
    <cellStyle name="Normal 42 7 4 2 3" xfId="12480"/>
    <cellStyle name="Normal 42 7 4 2 4" xfId="17868"/>
    <cellStyle name="Normal 42 7 4 3" xfId="13318"/>
    <cellStyle name="Normal 42 7 4 3 2" xfId="18787"/>
    <cellStyle name="Normal 42 7 4 4" xfId="11573"/>
    <cellStyle name="Normal 42 7 4 4 2" xfId="17009"/>
    <cellStyle name="Normal 42 7 4 5" xfId="15124"/>
    <cellStyle name="Normal 42 7 4 6" xfId="16171"/>
    <cellStyle name="Normal 42 7 5" xfId="8049"/>
    <cellStyle name="Normal 42 7 5 2" xfId="10811"/>
    <cellStyle name="Normal 42 7 5 2 2" xfId="14391"/>
    <cellStyle name="Normal 42 7 5 2 2 2" xfId="19675"/>
    <cellStyle name="Normal 42 7 5 2 3" xfId="12694"/>
    <cellStyle name="Normal 42 7 5 2 4" xfId="18082"/>
    <cellStyle name="Normal 42 7 5 3" xfId="13530"/>
    <cellStyle name="Normal 42 7 5 3 2" xfId="18999"/>
    <cellStyle name="Normal 42 7 5 4" xfId="11833"/>
    <cellStyle name="Normal 42 7 5 4 2" xfId="17221"/>
    <cellStyle name="Normal 42 7 5 5" xfId="15336"/>
    <cellStyle name="Normal 42 7 5 6" xfId="16383"/>
    <cellStyle name="Normal 42 7 6" xfId="10217"/>
    <cellStyle name="Normal 42 7 6 2" xfId="13799"/>
    <cellStyle name="Normal 42 7 6 2 2" xfId="19676"/>
    <cellStyle name="Normal 42 7 6 3" xfId="12102"/>
    <cellStyle name="Normal 42 7 6 4" xfId="17490"/>
    <cellStyle name="Normal 42 7 7" xfId="12943"/>
    <cellStyle name="Normal 42 7 7 2" xfId="18418"/>
    <cellStyle name="Normal 42 7 8" xfId="11148"/>
    <cellStyle name="Normal 42 7 8 2" xfId="16634"/>
    <cellStyle name="Normal 42 7 9" xfId="14744"/>
    <cellStyle name="Normal 42 8" xfId="2393"/>
    <cellStyle name="Normal 42 8 2" xfId="4507"/>
    <cellStyle name="Normal 42 8 2 2" xfId="8895"/>
    <cellStyle name="Normal 42 8 2 2 2" xfId="10925"/>
    <cellStyle name="Normal 42 8 2 2 2 2" xfId="14505"/>
    <cellStyle name="Normal 42 8 2 2 2 2 2" xfId="19677"/>
    <cellStyle name="Normal 42 8 2 2 2 3" xfId="12808"/>
    <cellStyle name="Normal 42 8 2 2 2 4" xfId="18196"/>
    <cellStyle name="Normal 42 8 2 2 3" xfId="13644"/>
    <cellStyle name="Normal 42 8 2 2 3 2" xfId="19113"/>
    <cellStyle name="Normal 42 8 2 2 4" xfId="11947"/>
    <cellStyle name="Normal 42 8 2 2 4 2" xfId="17335"/>
    <cellStyle name="Normal 42 8 2 2 5" xfId="15451"/>
    <cellStyle name="Normal 42 8 2 2 6" xfId="16497"/>
    <cellStyle name="Normal 42 8 2 3" xfId="10449"/>
    <cellStyle name="Normal 42 8 2 3 2" xfId="14030"/>
    <cellStyle name="Normal 42 8 2 3 2 2" xfId="19678"/>
    <cellStyle name="Normal 42 8 2 3 3" xfId="12333"/>
    <cellStyle name="Normal 42 8 2 3 4" xfId="17721"/>
    <cellStyle name="Normal 42 8 2 4" xfId="13172"/>
    <cellStyle name="Normal 42 8 2 4 2" xfId="18641"/>
    <cellStyle name="Normal 42 8 2 5" xfId="11405"/>
    <cellStyle name="Normal 42 8 2 5 2" xfId="16863"/>
    <cellStyle name="Normal 42 8 2 6" xfId="14977"/>
    <cellStyle name="Normal 42 8 2 7" xfId="16025"/>
    <cellStyle name="Normal 42 8 3" xfId="5139"/>
    <cellStyle name="Normal 42 8 3 2" xfId="10547"/>
    <cellStyle name="Normal 42 8 3 2 2" xfId="14128"/>
    <cellStyle name="Normal 42 8 3 2 2 2" xfId="19679"/>
    <cellStyle name="Normal 42 8 3 2 3" xfId="12431"/>
    <cellStyle name="Normal 42 8 3 2 4" xfId="17819"/>
    <cellStyle name="Normal 42 8 3 3" xfId="13269"/>
    <cellStyle name="Normal 42 8 3 3 2" xfId="18738"/>
    <cellStyle name="Normal 42 8 3 4" xfId="11519"/>
    <cellStyle name="Normal 42 8 3 4 2" xfId="16960"/>
    <cellStyle name="Normal 42 8 3 5" xfId="15075"/>
    <cellStyle name="Normal 42 8 3 6" xfId="16122"/>
    <cellStyle name="Normal 42 8 4" xfId="7759"/>
    <cellStyle name="Normal 42 8 4 2" xfId="10787"/>
    <cellStyle name="Normal 42 8 4 2 2" xfId="14367"/>
    <cellStyle name="Normal 42 8 4 2 2 2" xfId="19680"/>
    <cellStyle name="Normal 42 8 4 2 3" xfId="12670"/>
    <cellStyle name="Normal 42 8 4 2 4" xfId="18058"/>
    <cellStyle name="Normal 42 8 4 3" xfId="13506"/>
    <cellStyle name="Normal 42 8 4 3 2" xfId="18975"/>
    <cellStyle name="Normal 42 8 4 4" xfId="11809"/>
    <cellStyle name="Normal 42 8 4 4 2" xfId="17197"/>
    <cellStyle name="Normal 42 8 4 5" xfId="15312"/>
    <cellStyle name="Normal 42 8 4 6" xfId="16359"/>
    <cellStyle name="Normal 42 8 5" xfId="10268"/>
    <cellStyle name="Normal 42 8 5 2" xfId="13850"/>
    <cellStyle name="Normal 42 8 5 2 2" xfId="19681"/>
    <cellStyle name="Normal 42 8 5 3" xfId="12153"/>
    <cellStyle name="Normal 42 8 5 4" xfId="17541"/>
    <cellStyle name="Normal 42 8 6" xfId="12993"/>
    <cellStyle name="Normal 42 8 6 2" xfId="18450"/>
    <cellStyle name="Normal 42 8 7" xfId="11212"/>
    <cellStyle name="Normal 42 8 7 2" xfId="16684"/>
    <cellStyle name="Normal 42 8 8" xfId="14795"/>
    <cellStyle name="Normal 42 8 9" xfId="15846"/>
    <cellStyle name="Normal 42 9" xfId="4329"/>
    <cellStyle name="Normal 42 9 2" xfId="8766"/>
    <cellStyle name="Normal 42 9 2 2" xfId="10837"/>
    <cellStyle name="Normal 42 9 2 2 2" xfId="14417"/>
    <cellStyle name="Normal 42 9 2 2 2 2" xfId="19682"/>
    <cellStyle name="Normal 42 9 2 2 3" xfId="12720"/>
    <cellStyle name="Normal 42 9 2 2 4" xfId="18108"/>
    <cellStyle name="Normal 42 9 2 3" xfId="13556"/>
    <cellStyle name="Normal 42 9 2 3 2" xfId="19025"/>
    <cellStyle name="Normal 42 9 2 4" xfId="11859"/>
    <cellStyle name="Normal 42 9 2 4 2" xfId="17247"/>
    <cellStyle name="Normal 42 9 2 5" xfId="15363"/>
    <cellStyle name="Normal 42 9 2 6" xfId="16409"/>
    <cellStyle name="Normal 42 9 3" xfId="10361"/>
    <cellStyle name="Normal 42 9 3 2" xfId="13942"/>
    <cellStyle name="Normal 42 9 3 2 2" xfId="19683"/>
    <cellStyle name="Normal 42 9 3 3" xfId="12245"/>
    <cellStyle name="Normal 42 9 3 4" xfId="17633"/>
    <cellStyle name="Normal 42 9 4" xfId="13084"/>
    <cellStyle name="Normal 42 9 4 2" xfId="18553"/>
    <cellStyle name="Normal 42 9 5" xfId="11317"/>
    <cellStyle name="Normal 42 9 5 2" xfId="16775"/>
    <cellStyle name="Normal 42 9 6" xfId="14889"/>
    <cellStyle name="Normal 42 9 7" xfId="15937"/>
    <cellStyle name="Normal 43" xfId="1102"/>
    <cellStyle name="Normal 43 2" xfId="1673"/>
    <cellStyle name="Normal 43 3" xfId="1868"/>
    <cellStyle name="Normal 44" xfId="1103"/>
    <cellStyle name="Normal 44 2" xfId="1682"/>
    <cellStyle name="Normal 44 3" xfId="1869"/>
    <cellStyle name="Normal 45" xfId="1104"/>
    <cellStyle name="Normal 45 2" xfId="1685"/>
    <cellStyle name="Normal 45 3" xfId="1870"/>
    <cellStyle name="Normal 46" xfId="1105"/>
    <cellStyle name="Normal 46 2" xfId="1692"/>
    <cellStyle name="Normal 46 3" xfId="1871"/>
    <cellStyle name="Normal 47" xfId="1106"/>
    <cellStyle name="Normal 47 2" xfId="1693"/>
    <cellStyle name="Normal 47 3" xfId="1872"/>
    <cellStyle name="Normal 48" xfId="1107"/>
    <cellStyle name="Normal 48 2" xfId="1697"/>
    <cellStyle name="Normal 48 3" xfId="1873"/>
    <cellStyle name="Normal 49" xfId="1108"/>
    <cellStyle name="Normal 49 2" xfId="1699"/>
    <cellStyle name="Normal 49 3" xfId="1874"/>
    <cellStyle name="Normal 5" xfId="445"/>
    <cellStyle name="Normal 5 2" xfId="446"/>
    <cellStyle name="Normal 5 2 2" xfId="1109"/>
    <cellStyle name="Normal 5 2 2 10" xfId="11121"/>
    <cellStyle name="Normal 5 2 2 10 2" xfId="16607"/>
    <cellStyle name="Normal 5 2 2 11" xfId="14716"/>
    <cellStyle name="Normal 5 2 2 12" xfId="15769"/>
    <cellStyle name="Normal 5 2 2 2" xfId="1741"/>
    <cellStyle name="Normal 5 2 2 2 10" xfId="15786"/>
    <cellStyle name="Normal 5 2 2 2 2" xfId="2457"/>
    <cellStyle name="Normal 5 2 2 2 2 2" xfId="4532"/>
    <cellStyle name="Normal 5 2 2 2 2 2 2" xfId="8920"/>
    <cellStyle name="Normal 5 2 2 2 2 2 2 2" xfId="10950"/>
    <cellStyle name="Normal 5 2 2 2 2 2 2 2 2" xfId="14530"/>
    <cellStyle name="Normal 5 2 2 2 2 2 2 2 2 2" xfId="19684"/>
    <cellStyle name="Normal 5 2 2 2 2 2 2 2 3" xfId="12833"/>
    <cellStyle name="Normal 5 2 2 2 2 2 2 2 4" xfId="18221"/>
    <cellStyle name="Normal 5 2 2 2 2 2 2 3" xfId="13669"/>
    <cellStyle name="Normal 5 2 2 2 2 2 2 3 2" xfId="19138"/>
    <cellStyle name="Normal 5 2 2 2 2 2 2 4" xfId="11972"/>
    <cellStyle name="Normal 5 2 2 2 2 2 2 4 2" xfId="17360"/>
    <cellStyle name="Normal 5 2 2 2 2 2 2 5" xfId="15476"/>
    <cellStyle name="Normal 5 2 2 2 2 2 2 6" xfId="16522"/>
    <cellStyle name="Normal 5 2 2 2 2 2 3" xfId="10474"/>
    <cellStyle name="Normal 5 2 2 2 2 2 3 2" xfId="14055"/>
    <cellStyle name="Normal 5 2 2 2 2 2 3 2 2" xfId="19685"/>
    <cellStyle name="Normal 5 2 2 2 2 2 3 3" xfId="12358"/>
    <cellStyle name="Normal 5 2 2 2 2 2 3 4" xfId="17746"/>
    <cellStyle name="Normal 5 2 2 2 2 2 4" xfId="13197"/>
    <cellStyle name="Normal 5 2 2 2 2 2 4 2" xfId="18666"/>
    <cellStyle name="Normal 5 2 2 2 2 2 5" xfId="11430"/>
    <cellStyle name="Normal 5 2 2 2 2 2 5 2" xfId="16888"/>
    <cellStyle name="Normal 5 2 2 2 2 2 6" xfId="15002"/>
    <cellStyle name="Normal 5 2 2 2 2 2 7" xfId="16050"/>
    <cellStyle name="Normal 5 2 2 2 2 3" xfId="5135"/>
    <cellStyle name="Normal 5 2 2 2 2 3 2" xfId="10545"/>
    <cellStyle name="Normal 5 2 2 2 2 3 2 2" xfId="14126"/>
    <cellStyle name="Normal 5 2 2 2 2 3 2 2 2" xfId="19686"/>
    <cellStyle name="Normal 5 2 2 2 2 3 2 3" xfId="12429"/>
    <cellStyle name="Normal 5 2 2 2 2 3 2 4" xfId="17817"/>
    <cellStyle name="Normal 5 2 2 2 2 3 3" xfId="13267"/>
    <cellStyle name="Normal 5 2 2 2 2 3 3 2" xfId="18736"/>
    <cellStyle name="Normal 5 2 2 2 2 3 4" xfId="11517"/>
    <cellStyle name="Normal 5 2 2 2 2 3 4 2" xfId="16958"/>
    <cellStyle name="Normal 5 2 2 2 2 3 5" xfId="15073"/>
    <cellStyle name="Normal 5 2 2 2 2 3 6" xfId="16120"/>
    <cellStyle name="Normal 5 2 2 2 2 4" xfId="7984"/>
    <cellStyle name="Normal 5 2 2 2 2 4 2" xfId="10804"/>
    <cellStyle name="Normal 5 2 2 2 2 4 2 2" xfId="14384"/>
    <cellStyle name="Normal 5 2 2 2 2 4 2 2 2" xfId="19687"/>
    <cellStyle name="Normal 5 2 2 2 2 4 2 3" xfId="12687"/>
    <cellStyle name="Normal 5 2 2 2 2 4 2 4" xfId="18075"/>
    <cellStyle name="Normal 5 2 2 2 2 4 3" xfId="13523"/>
    <cellStyle name="Normal 5 2 2 2 2 4 3 2" xfId="18992"/>
    <cellStyle name="Normal 5 2 2 2 2 4 4" xfId="11826"/>
    <cellStyle name="Normal 5 2 2 2 2 4 4 2" xfId="17214"/>
    <cellStyle name="Normal 5 2 2 2 2 4 5" xfId="15329"/>
    <cellStyle name="Normal 5 2 2 2 2 4 6" xfId="16376"/>
    <cellStyle name="Normal 5 2 2 2 2 5" xfId="10293"/>
    <cellStyle name="Normal 5 2 2 2 2 5 2" xfId="13875"/>
    <cellStyle name="Normal 5 2 2 2 2 5 2 2" xfId="19688"/>
    <cellStyle name="Normal 5 2 2 2 2 5 3" xfId="12178"/>
    <cellStyle name="Normal 5 2 2 2 2 5 4" xfId="17566"/>
    <cellStyle name="Normal 5 2 2 2 2 6" xfId="13018"/>
    <cellStyle name="Normal 5 2 2 2 2 6 2" xfId="18474"/>
    <cellStyle name="Normal 5 2 2 2 2 7" xfId="11237"/>
    <cellStyle name="Normal 5 2 2 2 2 7 2" xfId="16709"/>
    <cellStyle name="Normal 5 2 2 2 2 8" xfId="14821"/>
    <cellStyle name="Normal 5 2 2 2 2 9" xfId="15871"/>
    <cellStyle name="Normal 5 2 2 2 3" xfId="4355"/>
    <cellStyle name="Normal 5 2 2 2 3 2" xfId="8791"/>
    <cellStyle name="Normal 5 2 2 2 3 2 2" xfId="10862"/>
    <cellStyle name="Normal 5 2 2 2 3 2 2 2" xfId="14442"/>
    <cellStyle name="Normal 5 2 2 2 3 2 2 2 2" xfId="19689"/>
    <cellStyle name="Normal 5 2 2 2 3 2 2 3" xfId="12745"/>
    <cellStyle name="Normal 5 2 2 2 3 2 2 4" xfId="18133"/>
    <cellStyle name="Normal 5 2 2 2 3 2 3" xfId="13581"/>
    <cellStyle name="Normal 5 2 2 2 3 2 3 2" xfId="19050"/>
    <cellStyle name="Normal 5 2 2 2 3 2 4" xfId="11884"/>
    <cellStyle name="Normal 5 2 2 2 3 2 4 2" xfId="17272"/>
    <cellStyle name="Normal 5 2 2 2 3 2 5" xfId="15388"/>
    <cellStyle name="Normal 5 2 2 2 3 2 6" xfId="16434"/>
    <cellStyle name="Normal 5 2 2 2 3 3" xfId="10386"/>
    <cellStyle name="Normal 5 2 2 2 3 3 2" xfId="13967"/>
    <cellStyle name="Normal 5 2 2 2 3 3 2 2" xfId="19690"/>
    <cellStyle name="Normal 5 2 2 2 3 3 3" xfId="12270"/>
    <cellStyle name="Normal 5 2 2 2 3 3 4" xfId="17658"/>
    <cellStyle name="Normal 5 2 2 2 3 4" xfId="13109"/>
    <cellStyle name="Normal 5 2 2 2 3 4 2" xfId="18578"/>
    <cellStyle name="Normal 5 2 2 2 3 5" xfId="11342"/>
    <cellStyle name="Normal 5 2 2 2 3 5 2" xfId="16800"/>
    <cellStyle name="Normal 5 2 2 2 3 6" xfId="14914"/>
    <cellStyle name="Normal 5 2 2 2 3 7" xfId="15962"/>
    <cellStyle name="Normal 5 2 2 2 4" xfId="5187"/>
    <cellStyle name="Normal 5 2 2 2 4 2" xfId="10565"/>
    <cellStyle name="Normal 5 2 2 2 4 2 2" xfId="14146"/>
    <cellStyle name="Normal 5 2 2 2 4 2 2 2" xfId="19691"/>
    <cellStyle name="Normal 5 2 2 2 4 2 3" xfId="12449"/>
    <cellStyle name="Normal 5 2 2 2 4 2 4" xfId="17837"/>
    <cellStyle name="Normal 5 2 2 2 4 3" xfId="13287"/>
    <cellStyle name="Normal 5 2 2 2 4 3 2" xfId="18756"/>
    <cellStyle name="Normal 5 2 2 2 4 4" xfId="11539"/>
    <cellStyle name="Normal 5 2 2 2 4 4 2" xfId="16978"/>
    <cellStyle name="Normal 5 2 2 2 4 5" xfId="15093"/>
    <cellStyle name="Normal 5 2 2 2 4 6" xfId="16140"/>
    <cellStyle name="Normal 5 2 2 2 5" xfId="6953"/>
    <cellStyle name="Normal 5 2 2 2 5 2" xfId="10714"/>
    <cellStyle name="Normal 5 2 2 2 5 2 2" xfId="14294"/>
    <cellStyle name="Normal 5 2 2 2 5 2 2 2" xfId="19692"/>
    <cellStyle name="Normal 5 2 2 2 5 2 3" xfId="12597"/>
    <cellStyle name="Normal 5 2 2 2 5 2 4" xfId="17985"/>
    <cellStyle name="Normal 5 2 2 2 5 3" xfId="13434"/>
    <cellStyle name="Normal 5 2 2 2 5 3 2" xfId="18903"/>
    <cellStyle name="Normal 5 2 2 2 5 4" xfId="11737"/>
    <cellStyle name="Normal 5 2 2 2 5 4 2" xfId="17125"/>
    <cellStyle name="Normal 5 2 2 2 5 5" xfId="15240"/>
    <cellStyle name="Normal 5 2 2 2 5 6" xfId="16287"/>
    <cellStyle name="Normal 5 2 2 2 6" xfId="10207"/>
    <cellStyle name="Normal 5 2 2 2 6 2" xfId="13789"/>
    <cellStyle name="Normal 5 2 2 2 6 2 2" xfId="19693"/>
    <cellStyle name="Normal 5 2 2 2 6 3" xfId="12092"/>
    <cellStyle name="Normal 5 2 2 2 6 4" xfId="17480"/>
    <cellStyle name="Normal 5 2 2 2 7" xfId="12933"/>
    <cellStyle name="Normal 5 2 2 2 7 2" xfId="18441"/>
    <cellStyle name="Normal 5 2 2 2 8" xfId="11138"/>
    <cellStyle name="Normal 5 2 2 2 8 2" xfId="16624"/>
    <cellStyle name="Normal 5 2 2 2 9" xfId="14734"/>
    <cellStyle name="Normal 5 2 2 3" xfId="1875"/>
    <cellStyle name="Normal 5 2 2 3 10" xfId="15802"/>
    <cellStyle name="Normal 5 2 2 3 2" xfId="2496"/>
    <cellStyle name="Normal 5 2 2 3 2 2" xfId="4548"/>
    <cellStyle name="Normal 5 2 2 3 2 2 2" xfId="8936"/>
    <cellStyle name="Normal 5 2 2 3 2 2 2 2" xfId="10966"/>
    <cellStyle name="Normal 5 2 2 3 2 2 2 2 2" xfId="14546"/>
    <cellStyle name="Normal 5 2 2 3 2 2 2 2 2 2" xfId="19694"/>
    <cellStyle name="Normal 5 2 2 3 2 2 2 2 3" xfId="12849"/>
    <cellStyle name="Normal 5 2 2 3 2 2 2 2 4" xfId="18237"/>
    <cellStyle name="Normal 5 2 2 3 2 2 2 3" xfId="13685"/>
    <cellStyle name="Normal 5 2 2 3 2 2 2 3 2" xfId="19154"/>
    <cellStyle name="Normal 5 2 2 3 2 2 2 4" xfId="11988"/>
    <cellStyle name="Normal 5 2 2 3 2 2 2 4 2" xfId="17376"/>
    <cellStyle name="Normal 5 2 2 3 2 2 2 5" xfId="15492"/>
    <cellStyle name="Normal 5 2 2 3 2 2 2 6" xfId="16538"/>
    <cellStyle name="Normal 5 2 2 3 2 2 3" xfId="10490"/>
    <cellStyle name="Normal 5 2 2 3 2 2 3 2" xfId="14071"/>
    <cellStyle name="Normal 5 2 2 3 2 2 3 2 2" xfId="19695"/>
    <cellStyle name="Normal 5 2 2 3 2 2 3 3" xfId="12374"/>
    <cellStyle name="Normal 5 2 2 3 2 2 3 4" xfId="17762"/>
    <cellStyle name="Normal 5 2 2 3 2 2 4" xfId="13213"/>
    <cellStyle name="Normal 5 2 2 3 2 2 4 2" xfId="18682"/>
    <cellStyle name="Normal 5 2 2 3 2 2 5" xfId="11446"/>
    <cellStyle name="Normal 5 2 2 3 2 2 5 2" xfId="16904"/>
    <cellStyle name="Normal 5 2 2 3 2 2 6" xfId="15018"/>
    <cellStyle name="Normal 5 2 2 3 2 2 7" xfId="16066"/>
    <cellStyle name="Normal 5 2 2 3 2 3" xfId="5175"/>
    <cellStyle name="Normal 5 2 2 3 2 3 2" xfId="10562"/>
    <cellStyle name="Normal 5 2 2 3 2 3 2 2" xfId="14143"/>
    <cellStyle name="Normal 5 2 2 3 2 3 2 2 2" xfId="19696"/>
    <cellStyle name="Normal 5 2 2 3 2 3 2 3" xfId="12446"/>
    <cellStyle name="Normal 5 2 2 3 2 3 2 4" xfId="17834"/>
    <cellStyle name="Normal 5 2 2 3 2 3 3" xfId="13284"/>
    <cellStyle name="Normal 5 2 2 3 2 3 3 2" xfId="18753"/>
    <cellStyle name="Normal 5 2 2 3 2 3 4" xfId="11535"/>
    <cellStyle name="Normal 5 2 2 3 2 3 4 2" xfId="16975"/>
    <cellStyle name="Normal 5 2 2 3 2 3 5" xfId="15090"/>
    <cellStyle name="Normal 5 2 2 3 2 3 6" xfId="16137"/>
    <cellStyle name="Normal 5 2 2 3 2 4" xfId="6470"/>
    <cellStyle name="Normal 5 2 2 3 2 4 2" xfId="10670"/>
    <cellStyle name="Normal 5 2 2 3 2 4 2 2" xfId="14251"/>
    <cellStyle name="Normal 5 2 2 3 2 4 2 2 2" xfId="19697"/>
    <cellStyle name="Normal 5 2 2 3 2 4 2 3" xfId="12554"/>
    <cellStyle name="Normal 5 2 2 3 2 4 2 4" xfId="17942"/>
    <cellStyle name="Normal 5 2 2 3 2 4 3" xfId="13391"/>
    <cellStyle name="Normal 5 2 2 3 2 4 3 2" xfId="18860"/>
    <cellStyle name="Normal 5 2 2 3 2 4 4" xfId="11694"/>
    <cellStyle name="Normal 5 2 2 3 2 4 4 2" xfId="17082"/>
    <cellStyle name="Normal 5 2 2 3 2 4 5" xfId="15197"/>
    <cellStyle name="Normal 5 2 2 3 2 4 6" xfId="16244"/>
    <cellStyle name="Normal 5 2 2 3 2 5" xfId="10309"/>
    <cellStyle name="Normal 5 2 2 3 2 5 2" xfId="13891"/>
    <cellStyle name="Normal 5 2 2 3 2 5 2 2" xfId="19698"/>
    <cellStyle name="Normal 5 2 2 3 2 5 3" xfId="12194"/>
    <cellStyle name="Normal 5 2 2 3 2 5 4" xfId="17582"/>
    <cellStyle name="Normal 5 2 2 3 2 6" xfId="13034"/>
    <cellStyle name="Normal 5 2 2 3 2 6 2" xfId="18490"/>
    <cellStyle name="Normal 5 2 2 3 2 7" xfId="11253"/>
    <cellStyle name="Normal 5 2 2 3 2 7 2" xfId="16725"/>
    <cellStyle name="Normal 5 2 2 3 2 8" xfId="14837"/>
    <cellStyle name="Normal 5 2 2 3 2 9" xfId="15887"/>
    <cellStyle name="Normal 5 2 2 3 3" xfId="4371"/>
    <cellStyle name="Normal 5 2 2 3 3 2" xfId="8807"/>
    <cellStyle name="Normal 5 2 2 3 3 2 2" xfId="10878"/>
    <cellStyle name="Normal 5 2 2 3 3 2 2 2" xfId="14458"/>
    <cellStyle name="Normal 5 2 2 3 3 2 2 2 2" xfId="19699"/>
    <cellStyle name="Normal 5 2 2 3 3 2 2 3" xfId="12761"/>
    <cellStyle name="Normal 5 2 2 3 3 2 2 4" xfId="18149"/>
    <cellStyle name="Normal 5 2 2 3 3 2 3" xfId="13597"/>
    <cellStyle name="Normal 5 2 2 3 3 2 3 2" xfId="19066"/>
    <cellStyle name="Normal 5 2 2 3 3 2 4" xfId="11900"/>
    <cellStyle name="Normal 5 2 2 3 3 2 4 2" xfId="17288"/>
    <cellStyle name="Normal 5 2 2 3 3 2 5" xfId="15404"/>
    <cellStyle name="Normal 5 2 2 3 3 2 6" xfId="16450"/>
    <cellStyle name="Normal 5 2 2 3 3 3" xfId="10402"/>
    <cellStyle name="Normal 5 2 2 3 3 3 2" xfId="13983"/>
    <cellStyle name="Normal 5 2 2 3 3 3 2 2" xfId="19700"/>
    <cellStyle name="Normal 5 2 2 3 3 3 3" xfId="12286"/>
    <cellStyle name="Normal 5 2 2 3 3 3 4" xfId="17674"/>
    <cellStyle name="Normal 5 2 2 3 3 4" xfId="13125"/>
    <cellStyle name="Normal 5 2 2 3 3 4 2" xfId="18594"/>
    <cellStyle name="Normal 5 2 2 3 3 5" xfId="11358"/>
    <cellStyle name="Normal 5 2 2 3 3 5 2" xfId="16816"/>
    <cellStyle name="Normal 5 2 2 3 3 6" xfId="14930"/>
    <cellStyle name="Normal 5 2 2 3 3 7" xfId="15978"/>
    <cellStyle name="Normal 5 2 2 3 4" xfId="5326"/>
    <cellStyle name="Normal 5 2 2 3 4 2" xfId="10621"/>
    <cellStyle name="Normal 5 2 2 3 4 2 2" xfId="14202"/>
    <cellStyle name="Normal 5 2 2 3 4 2 2 2" xfId="19701"/>
    <cellStyle name="Normal 5 2 2 3 4 2 3" xfId="12505"/>
    <cellStyle name="Normal 5 2 2 3 4 2 4" xfId="17893"/>
    <cellStyle name="Normal 5 2 2 3 4 3" xfId="13343"/>
    <cellStyle name="Normal 5 2 2 3 4 3 2" xfId="18812"/>
    <cellStyle name="Normal 5 2 2 3 4 4" xfId="11600"/>
    <cellStyle name="Normal 5 2 2 3 4 4 2" xfId="17034"/>
    <cellStyle name="Normal 5 2 2 3 4 5" xfId="15149"/>
    <cellStyle name="Normal 5 2 2 3 4 6" xfId="16196"/>
    <cellStyle name="Normal 5 2 2 3 5" xfId="6954"/>
    <cellStyle name="Normal 5 2 2 3 5 2" xfId="10715"/>
    <cellStyle name="Normal 5 2 2 3 5 2 2" xfId="14295"/>
    <cellStyle name="Normal 5 2 2 3 5 2 2 2" xfId="19702"/>
    <cellStyle name="Normal 5 2 2 3 5 2 3" xfId="12598"/>
    <cellStyle name="Normal 5 2 2 3 5 2 4" xfId="17986"/>
    <cellStyle name="Normal 5 2 2 3 5 3" xfId="13435"/>
    <cellStyle name="Normal 5 2 2 3 5 3 2" xfId="18904"/>
    <cellStyle name="Normal 5 2 2 3 5 4" xfId="11738"/>
    <cellStyle name="Normal 5 2 2 3 5 4 2" xfId="17126"/>
    <cellStyle name="Normal 5 2 2 3 5 5" xfId="15241"/>
    <cellStyle name="Normal 5 2 2 3 5 6" xfId="16288"/>
    <cellStyle name="Normal 5 2 2 3 6" xfId="10223"/>
    <cellStyle name="Normal 5 2 2 3 6 2" xfId="13805"/>
    <cellStyle name="Normal 5 2 2 3 6 2 2" xfId="19703"/>
    <cellStyle name="Normal 5 2 2 3 6 3" xfId="12108"/>
    <cellStyle name="Normal 5 2 2 3 6 4" xfId="17496"/>
    <cellStyle name="Normal 5 2 2 3 7" xfId="12949"/>
    <cellStyle name="Normal 5 2 2 3 7 2" xfId="18425"/>
    <cellStyle name="Normal 5 2 2 3 8" xfId="11154"/>
    <cellStyle name="Normal 5 2 2 3 8 2" xfId="16640"/>
    <cellStyle name="Normal 5 2 2 3 9" xfId="14750"/>
    <cellStyle name="Normal 5 2 2 4" xfId="2400"/>
    <cellStyle name="Normal 5 2 2 4 2" xfId="4514"/>
    <cellStyle name="Normal 5 2 2 4 2 2" xfId="8902"/>
    <cellStyle name="Normal 5 2 2 4 2 2 2" xfId="10932"/>
    <cellStyle name="Normal 5 2 2 4 2 2 2 2" xfId="14512"/>
    <cellStyle name="Normal 5 2 2 4 2 2 2 2 2" xfId="19704"/>
    <cellStyle name="Normal 5 2 2 4 2 2 2 3" xfId="12815"/>
    <cellStyle name="Normal 5 2 2 4 2 2 2 4" xfId="18203"/>
    <cellStyle name="Normal 5 2 2 4 2 2 3" xfId="13651"/>
    <cellStyle name="Normal 5 2 2 4 2 2 3 2" xfId="19120"/>
    <cellStyle name="Normal 5 2 2 4 2 2 4" xfId="11954"/>
    <cellStyle name="Normal 5 2 2 4 2 2 4 2" xfId="17342"/>
    <cellStyle name="Normal 5 2 2 4 2 2 5" xfId="15458"/>
    <cellStyle name="Normal 5 2 2 4 2 2 6" xfId="16504"/>
    <cellStyle name="Normal 5 2 2 4 2 3" xfId="10456"/>
    <cellStyle name="Normal 5 2 2 4 2 3 2" xfId="14037"/>
    <cellStyle name="Normal 5 2 2 4 2 3 2 2" xfId="19705"/>
    <cellStyle name="Normal 5 2 2 4 2 3 3" xfId="12340"/>
    <cellStyle name="Normal 5 2 2 4 2 3 4" xfId="17728"/>
    <cellStyle name="Normal 5 2 2 4 2 4" xfId="13179"/>
    <cellStyle name="Normal 5 2 2 4 2 4 2" xfId="18648"/>
    <cellStyle name="Normal 5 2 2 4 2 5" xfId="11412"/>
    <cellStyle name="Normal 5 2 2 4 2 5 2" xfId="16870"/>
    <cellStyle name="Normal 5 2 2 4 2 6" xfId="14984"/>
    <cellStyle name="Normal 5 2 2 4 2 7" xfId="16032"/>
    <cellStyle name="Normal 5 2 2 4 3" xfId="5171"/>
    <cellStyle name="Normal 5 2 2 4 3 2" xfId="10560"/>
    <cellStyle name="Normal 5 2 2 4 3 2 2" xfId="14141"/>
    <cellStyle name="Normal 5 2 2 4 3 2 2 2" xfId="19706"/>
    <cellStyle name="Normal 5 2 2 4 3 2 3" xfId="12444"/>
    <cellStyle name="Normal 5 2 2 4 3 2 4" xfId="17832"/>
    <cellStyle name="Normal 5 2 2 4 3 3" xfId="13282"/>
    <cellStyle name="Normal 5 2 2 4 3 3 2" xfId="18751"/>
    <cellStyle name="Normal 5 2 2 4 3 4" xfId="11532"/>
    <cellStyle name="Normal 5 2 2 4 3 4 2" xfId="16973"/>
    <cellStyle name="Normal 5 2 2 4 3 5" xfId="15088"/>
    <cellStyle name="Normal 5 2 2 4 3 6" xfId="16135"/>
    <cellStyle name="Normal 5 2 2 4 4" xfId="6927"/>
    <cellStyle name="Normal 5 2 2 4 4 2" xfId="10713"/>
    <cellStyle name="Normal 5 2 2 4 4 2 2" xfId="14293"/>
    <cellStyle name="Normal 5 2 2 4 4 2 2 2" xfId="19707"/>
    <cellStyle name="Normal 5 2 2 4 4 2 3" xfId="12596"/>
    <cellStyle name="Normal 5 2 2 4 4 2 4" xfId="17984"/>
    <cellStyle name="Normal 5 2 2 4 4 3" xfId="13433"/>
    <cellStyle name="Normal 5 2 2 4 4 3 2" xfId="18902"/>
    <cellStyle name="Normal 5 2 2 4 4 4" xfId="11736"/>
    <cellStyle name="Normal 5 2 2 4 4 4 2" xfId="17124"/>
    <cellStyle name="Normal 5 2 2 4 4 5" xfId="15239"/>
    <cellStyle name="Normal 5 2 2 4 4 6" xfId="16286"/>
    <cellStyle name="Normal 5 2 2 4 5" xfId="10275"/>
    <cellStyle name="Normal 5 2 2 4 5 2" xfId="13857"/>
    <cellStyle name="Normal 5 2 2 4 5 2 2" xfId="19708"/>
    <cellStyle name="Normal 5 2 2 4 5 3" xfId="12160"/>
    <cellStyle name="Normal 5 2 2 4 5 4" xfId="17548"/>
    <cellStyle name="Normal 5 2 2 4 6" xfId="13000"/>
    <cellStyle name="Normal 5 2 2 4 6 2" xfId="18457"/>
    <cellStyle name="Normal 5 2 2 4 7" xfId="11219"/>
    <cellStyle name="Normal 5 2 2 4 7 2" xfId="16691"/>
    <cellStyle name="Normal 5 2 2 4 8" xfId="14802"/>
    <cellStyle name="Normal 5 2 2 4 9" xfId="15853"/>
    <cellStyle name="Normal 5 2 2 5" xfId="4336"/>
    <cellStyle name="Normal 5 2 2 5 2" xfId="8773"/>
    <cellStyle name="Normal 5 2 2 5 2 2" xfId="10844"/>
    <cellStyle name="Normal 5 2 2 5 2 2 2" xfId="14424"/>
    <cellStyle name="Normal 5 2 2 5 2 2 2 2" xfId="19709"/>
    <cellStyle name="Normal 5 2 2 5 2 2 3" xfId="12727"/>
    <cellStyle name="Normal 5 2 2 5 2 2 4" xfId="18115"/>
    <cellStyle name="Normal 5 2 2 5 2 3" xfId="13563"/>
    <cellStyle name="Normal 5 2 2 5 2 3 2" xfId="19032"/>
    <cellStyle name="Normal 5 2 2 5 2 4" xfId="11866"/>
    <cellStyle name="Normal 5 2 2 5 2 4 2" xfId="17254"/>
    <cellStyle name="Normal 5 2 2 5 2 5" xfId="15370"/>
    <cellStyle name="Normal 5 2 2 5 2 6" xfId="16416"/>
    <cellStyle name="Normal 5 2 2 5 3" xfId="10368"/>
    <cellStyle name="Normal 5 2 2 5 3 2" xfId="13949"/>
    <cellStyle name="Normal 5 2 2 5 3 2 2" xfId="19710"/>
    <cellStyle name="Normal 5 2 2 5 3 3" xfId="12252"/>
    <cellStyle name="Normal 5 2 2 5 3 4" xfId="17640"/>
    <cellStyle name="Normal 5 2 2 5 4" xfId="13091"/>
    <cellStyle name="Normal 5 2 2 5 4 2" xfId="18560"/>
    <cellStyle name="Normal 5 2 2 5 5" xfId="11324"/>
    <cellStyle name="Normal 5 2 2 5 5 2" xfId="16782"/>
    <cellStyle name="Normal 5 2 2 5 6" xfId="14896"/>
    <cellStyle name="Normal 5 2 2 5 7" xfId="15944"/>
    <cellStyle name="Normal 5 2 2 6" xfId="5144"/>
    <cellStyle name="Normal 5 2 2 6 2" xfId="10549"/>
    <cellStyle name="Normal 5 2 2 6 2 2" xfId="14130"/>
    <cellStyle name="Normal 5 2 2 6 2 2 2" xfId="19711"/>
    <cellStyle name="Normal 5 2 2 6 2 3" xfId="12433"/>
    <cellStyle name="Normal 5 2 2 6 2 4" xfId="17821"/>
    <cellStyle name="Normal 5 2 2 6 3" xfId="13271"/>
    <cellStyle name="Normal 5 2 2 6 3 2" xfId="18740"/>
    <cellStyle name="Normal 5 2 2 6 4" xfId="11521"/>
    <cellStyle name="Normal 5 2 2 6 4 2" xfId="16962"/>
    <cellStyle name="Normal 5 2 2 6 5" xfId="15077"/>
    <cellStyle name="Normal 5 2 2 6 6" xfId="16124"/>
    <cellStyle name="Normal 5 2 2 7" xfId="7570"/>
    <cellStyle name="Normal 5 2 2 7 2" xfId="10769"/>
    <cellStyle name="Normal 5 2 2 7 2 2" xfId="14349"/>
    <cellStyle name="Normal 5 2 2 7 2 2 2" xfId="19712"/>
    <cellStyle name="Normal 5 2 2 7 2 3" xfId="12652"/>
    <cellStyle name="Normal 5 2 2 7 2 4" xfId="18040"/>
    <cellStyle name="Normal 5 2 2 7 3" xfId="13489"/>
    <cellStyle name="Normal 5 2 2 7 3 2" xfId="18958"/>
    <cellStyle name="Normal 5 2 2 7 4" xfId="11792"/>
    <cellStyle name="Normal 5 2 2 7 4 2" xfId="17180"/>
    <cellStyle name="Normal 5 2 2 7 5" xfId="15295"/>
    <cellStyle name="Normal 5 2 2 7 6" xfId="16342"/>
    <cellStyle name="Normal 5 2 2 8" xfId="10188"/>
    <cellStyle name="Normal 5 2 2 8 2" xfId="13772"/>
    <cellStyle name="Normal 5 2 2 8 2 2" xfId="19713"/>
    <cellStyle name="Normal 5 2 2 8 3" xfId="12075"/>
    <cellStyle name="Normal 5 2 2 8 4" xfId="17463"/>
    <cellStyle name="Normal 5 2 2 9" xfId="12916"/>
    <cellStyle name="Normal 5 2 2 9 2" xfId="18403"/>
    <cellStyle name="Normal 5 3" xfId="447"/>
    <cellStyle name="Normal 50" xfId="1110"/>
    <cellStyle name="Normal 51" xfId="1111"/>
    <cellStyle name="Normal 52" xfId="1112"/>
    <cellStyle name="Normal 53" xfId="1113"/>
    <cellStyle name="Normal 54" xfId="1114"/>
    <cellStyle name="Normal 55" xfId="1115"/>
    <cellStyle name="Normal 56" xfId="1116"/>
    <cellStyle name="Normal 56 10" xfId="11122"/>
    <cellStyle name="Normal 56 10 2" xfId="16608"/>
    <cellStyle name="Normal 56 11" xfId="14717"/>
    <cellStyle name="Normal 56 12" xfId="15770"/>
    <cellStyle name="Normal 56 2" xfId="1742"/>
    <cellStyle name="Normal 56 2 10" xfId="15787"/>
    <cellStyle name="Normal 56 2 2" xfId="2458"/>
    <cellStyle name="Normal 56 2 2 2" xfId="4533"/>
    <cellStyle name="Normal 56 2 2 2 2" xfId="8921"/>
    <cellStyle name="Normal 56 2 2 2 2 2" xfId="10951"/>
    <cellStyle name="Normal 56 2 2 2 2 2 2" xfId="14531"/>
    <cellStyle name="Normal 56 2 2 2 2 2 2 2" xfId="19714"/>
    <cellStyle name="Normal 56 2 2 2 2 2 3" xfId="12834"/>
    <cellStyle name="Normal 56 2 2 2 2 2 4" xfId="18222"/>
    <cellStyle name="Normal 56 2 2 2 2 3" xfId="13670"/>
    <cellStyle name="Normal 56 2 2 2 2 3 2" xfId="19139"/>
    <cellStyle name="Normal 56 2 2 2 2 4" xfId="11973"/>
    <cellStyle name="Normal 56 2 2 2 2 4 2" xfId="17361"/>
    <cellStyle name="Normal 56 2 2 2 2 5" xfId="15477"/>
    <cellStyle name="Normal 56 2 2 2 2 6" xfId="16523"/>
    <cellStyle name="Normal 56 2 2 2 3" xfId="10475"/>
    <cellStyle name="Normal 56 2 2 2 3 2" xfId="14056"/>
    <cellStyle name="Normal 56 2 2 2 3 2 2" xfId="19715"/>
    <cellStyle name="Normal 56 2 2 2 3 3" xfId="12359"/>
    <cellStyle name="Normal 56 2 2 2 3 4" xfId="17747"/>
    <cellStyle name="Normal 56 2 2 2 4" xfId="13198"/>
    <cellStyle name="Normal 56 2 2 2 4 2" xfId="18667"/>
    <cellStyle name="Normal 56 2 2 2 5" xfId="11431"/>
    <cellStyle name="Normal 56 2 2 2 5 2" xfId="16889"/>
    <cellStyle name="Normal 56 2 2 2 6" xfId="15003"/>
    <cellStyle name="Normal 56 2 2 2 7" xfId="16051"/>
    <cellStyle name="Normal 56 2 2 3" xfId="5166"/>
    <cellStyle name="Normal 56 2 2 3 2" xfId="10556"/>
    <cellStyle name="Normal 56 2 2 3 2 2" xfId="14137"/>
    <cellStyle name="Normal 56 2 2 3 2 2 2" xfId="19716"/>
    <cellStyle name="Normal 56 2 2 3 2 3" xfId="12440"/>
    <cellStyle name="Normal 56 2 2 3 2 4" xfId="17828"/>
    <cellStyle name="Normal 56 2 2 3 3" xfId="13278"/>
    <cellStyle name="Normal 56 2 2 3 3 2" xfId="18747"/>
    <cellStyle name="Normal 56 2 2 3 4" xfId="11528"/>
    <cellStyle name="Normal 56 2 2 3 4 2" xfId="16969"/>
    <cellStyle name="Normal 56 2 2 3 5" xfId="15084"/>
    <cellStyle name="Normal 56 2 2 3 6" xfId="16131"/>
    <cellStyle name="Normal 56 2 2 4" xfId="7350"/>
    <cellStyle name="Normal 56 2 2 4 2" xfId="10749"/>
    <cellStyle name="Normal 56 2 2 4 2 2" xfId="14329"/>
    <cellStyle name="Normal 56 2 2 4 2 2 2" xfId="19717"/>
    <cellStyle name="Normal 56 2 2 4 2 3" xfId="12632"/>
    <cellStyle name="Normal 56 2 2 4 2 4" xfId="18020"/>
    <cellStyle name="Normal 56 2 2 4 3" xfId="13469"/>
    <cellStyle name="Normal 56 2 2 4 3 2" xfId="18938"/>
    <cellStyle name="Normal 56 2 2 4 4" xfId="11772"/>
    <cellStyle name="Normal 56 2 2 4 4 2" xfId="17160"/>
    <cellStyle name="Normal 56 2 2 4 5" xfId="15275"/>
    <cellStyle name="Normal 56 2 2 4 6" xfId="16322"/>
    <cellStyle name="Normal 56 2 2 5" xfId="10294"/>
    <cellStyle name="Normal 56 2 2 5 2" xfId="13876"/>
    <cellStyle name="Normal 56 2 2 5 2 2" xfId="19718"/>
    <cellStyle name="Normal 56 2 2 5 3" xfId="12179"/>
    <cellStyle name="Normal 56 2 2 5 4" xfId="17567"/>
    <cellStyle name="Normal 56 2 2 6" xfId="13019"/>
    <cellStyle name="Normal 56 2 2 6 2" xfId="18475"/>
    <cellStyle name="Normal 56 2 2 7" xfId="11238"/>
    <cellStyle name="Normal 56 2 2 7 2" xfId="16710"/>
    <cellStyle name="Normal 56 2 2 8" xfId="14822"/>
    <cellStyle name="Normal 56 2 2 9" xfId="15872"/>
    <cellStyle name="Normal 56 2 3" xfId="4356"/>
    <cellStyle name="Normal 56 2 3 2" xfId="8792"/>
    <cellStyle name="Normal 56 2 3 2 2" xfId="10863"/>
    <cellStyle name="Normal 56 2 3 2 2 2" xfId="14443"/>
    <cellStyle name="Normal 56 2 3 2 2 2 2" xfId="19719"/>
    <cellStyle name="Normal 56 2 3 2 2 3" xfId="12746"/>
    <cellStyle name="Normal 56 2 3 2 2 4" xfId="18134"/>
    <cellStyle name="Normal 56 2 3 2 3" xfId="13582"/>
    <cellStyle name="Normal 56 2 3 2 3 2" xfId="19051"/>
    <cellStyle name="Normal 56 2 3 2 4" xfId="11885"/>
    <cellStyle name="Normal 56 2 3 2 4 2" xfId="17273"/>
    <cellStyle name="Normal 56 2 3 2 5" xfId="15389"/>
    <cellStyle name="Normal 56 2 3 2 6" xfId="16435"/>
    <cellStyle name="Normal 56 2 3 3" xfId="10387"/>
    <cellStyle name="Normal 56 2 3 3 2" xfId="13968"/>
    <cellStyle name="Normal 56 2 3 3 2 2" xfId="19720"/>
    <cellStyle name="Normal 56 2 3 3 3" xfId="12271"/>
    <cellStyle name="Normal 56 2 3 3 4" xfId="17659"/>
    <cellStyle name="Normal 56 2 3 4" xfId="13110"/>
    <cellStyle name="Normal 56 2 3 4 2" xfId="18579"/>
    <cellStyle name="Normal 56 2 3 5" xfId="11343"/>
    <cellStyle name="Normal 56 2 3 5 2" xfId="16801"/>
    <cellStyle name="Normal 56 2 3 6" xfId="14915"/>
    <cellStyle name="Normal 56 2 3 7" xfId="15963"/>
    <cellStyle name="Normal 56 2 4" xfId="5177"/>
    <cellStyle name="Normal 56 2 4 2" xfId="10563"/>
    <cellStyle name="Normal 56 2 4 2 2" xfId="14144"/>
    <cellStyle name="Normal 56 2 4 2 2 2" xfId="19721"/>
    <cellStyle name="Normal 56 2 4 2 3" xfId="12447"/>
    <cellStyle name="Normal 56 2 4 2 4" xfId="17835"/>
    <cellStyle name="Normal 56 2 4 3" xfId="13285"/>
    <cellStyle name="Normal 56 2 4 3 2" xfId="18754"/>
    <cellStyle name="Normal 56 2 4 4" xfId="11536"/>
    <cellStyle name="Normal 56 2 4 4 2" xfId="16976"/>
    <cellStyle name="Normal 56 2 4 5" xfId="15091"/>
    <cellStyle name="Normal 56 2 4 6" xfId="16138"/>
    <cellStyle name="Normal 56 2 5" xfId="7919"/>
    <cellStyle name="Normal 56 2 5 2" xfId="10799"/>
    <cellStyle name="Normal 56 2 5 2 2" xfId="14379"/>
    <cellStyle name="Normal 56 2 5 2 2 2" xfId="19722"/>
    <cellStyle name="Normal 56 2 5 2 3" xfId="12682"/>
    <cellStyle name="Normal 56 2 5 2 4" xfId="18070"/>
    <cellStyle name="Normal 56 2 5 3" xfId="13518"/>
    <cellStyle name="Normal 56 2 5 3 2" xfId="18987"/>
    <cellStyle name="Normal 56 2 5 4" xfId="11821"/>
    <cellStyle name="Normal 56 2 5 4 2" xfId="17209"/>
    <cellStyle name="Normal 56 2 5 5" xfId="15324"/>
    <cellStyle name="Normal 56 2 5 6" xfId="16371"/>
    <cellStyle name="Normal 56 2 6" xfId="10208"/>
    <cellStyle name="Normal 56 2 6 2" xfId="13790"/>
    <cellStyle name="Normal 56 2 6 2 2" xfId="19723"/>
    <cellStyle name="Normal 56 2 6 3" xfId="12093"/>
    <cellStyle name="Normal 56 2 6 4" xfId="17481"/>
    <cellStyle name="Normal 56 2 7" xfId="12934"/>
    <cellStyle name="Normal 56 2 7 2" xfId="18442"/>
    <cellStyle name="Normal 56 2 8" xfId="11139"/>
    <cellStyle name="Normal 56 2 8 2" xfId="16625"/>
    <cellStyle name="Normal 56 2 9" xfId="14735"/>
    <cellStyle name="Normal 56 3" xfId="1876"/>
    <cellStyle name="Normal 56 3 10" xfId="15803"/>
    <cellStyle name="Normal 56 3 2" xfId="2497"/>
    <cellStyle name="Normal 56 3 2 2" xfId="4549"/>
    <cellStyle name="Normal 56 3 2 2 2" xfId="8937"/>
    <cellStyle name="Normal 56 3 2 2 2 2" xfId="10967"/>
    <cellStyle name="Normal 56 3 2 2 2 2 2" xfId="14547"/>
    <cellStyle name="Normal 56 3 2 2 2 2 2 2" xfId="19724"/>
    <cellStyle name="Normal 56 3 2 2 2 2 3" xfId="12850"/>
    <cellStyle name="Normal 56 3 2 2 2 2 4" xfId="18238"/>
    <cellStyle name="Normal 56 3 2 2 2 3" xfId="13686"/>
    <cellStyle name="Normal 56 3 2 2 2 3 2" xfId="19155"/>
    <cellStyle name="Normal 56 3 2 2 2 4" xfId="11989"/>
    <cellStyle name="Normal 56 3 2 2 2 4 2" xfId="17377"/>
    <cellStyle name="Normal 56 3 2 2 2 5" xfId="15493"/>
    <cellStyle name="Normal 56 3 2 2 2 6" xfId="16539"/>
    <cellStyle name="Normal 56 3 2 2 3" xfId="10491"/>
    <cellStyle name="Normal 56 3 2 2 3 2" xfId="14072"/>
    <cellStyle name="Normal 56 3 2 2 3 2 2" xfId="19725"/>
    <cellStyle name="Normal 56 3 2 2 3 3" xfId="12375"/>
    <cellStyle name="Normal 56 3 2 2 3 4" xfId="17763"/>
    <cellStyle name="Normal 56 3 2 2 4" xfId="13214"/>
    <cellStyle name="Normal 56 3 2 2 4 2" xfId="18683"/>
    <cellStyle name="Normal 56 3 2 2 5" xfId="11447"/>
    <cellStyle name="Normal 56 3 2 2 5 2" xfId="16905"/>
    <cellStyle name="Normal 56 3 2 2 6" xfId="15019"/>
    <cellStyle name="Normal 56 3 2 2 7" xfId="16067"/>
    <cellStyle name="Normal 56 3 2 3" xfId="5315"/>
    <cellStyle name="Normal 56 3 2 3 2" xfId="10618"/>
    <cellStyle name="Normal 56 3 2 3 2 2" xfId="14199"/>
    <cellStyle name="Normal 56 3 2 3 2 2 2" xfId="19726"/>
    <cellStyle name="Normal 56 3 2 3 2 3" xfId="12502"/>
    <cellStyle name="Normal 56 3 2 3 2 4" xfId="17890"/>
    <cellStyle name="Normal 56 3 2 3 3" xfId="13340"/>
    <cellStyle name="Normal 56 3 2 3 3 2" xfId="18809"/>
    <cellStyle name="Normal 56 3 2 3 4" xfId="11597"/>
    <cellStyle name="Normal 56 3 2 3 4 2" xfId="17031"/>
    <cellStyle name="Normal 56 3 2 3 5" xfId="15146"/>
    <cellStyle name="Normal 56 3 2 3 6" xfId="16193"/>
    <cellStyle name="Normal 56 3 2 4" xfId="6683"/>
    <cellStyle name="Normal 56 3 2 4 2" xfId="10685"/>
    <cellStyle name="Normal 56 3 2 4 2 2" xfId="14266"/>
    <cellStyle name="Normal 56 3 2 4 2 2 2" xfId="19727"/>
    <cellStyle name="Normal 56 3 2 4 2 3" xfId="12569"/>
    <cellStyle name="Normal 56 3 2 4 2 4" xfId="17957"/>
    <cellStyle name="Normal 56 3 2 4 3" xfId="13406"/>
    <cellStyle name="Normal 56 3 2 4 3 2" xfId="18875"/>
    <cellStyle name="Normal 56 3 2 4 4" xfId="11709"/>
    <cellStyle name="Normal 56 3 2 4 4 2" xfId="17097"/>
    <cellStyle name="Normal 56 3 2 4 5" xfId="15212"/>
    <cellStyle name="Normal 56 3 2 4 6" xfId="16259"/>
    <cellStyle name="Normal 56 3 2 5" xfId="10310"/>
    <cellStyle name="Normal 56 3 2 5 2" xfId="13892"/>
    <cellStyle name="Normal 56 3 2 5 2 2" xfId="19728"/>
    <cellStyle name="Normal 56 3 2 5 3" xfId="12195"/>
    <cellStyle name="Normal 56 3 2 5 4" xfId="17583"/>
    <cellStyle name="Normal 56 3 2 6" xfId="13035"/>
    <cellStyle name="Normal 56 3 2 6 2" xfId="18491"/>
    <cellStyle name="Normal 56 3 2 7" xfId="11254"/>
    <cellStyle name="Normal 56 3 2 7 2" xfId="16726"/>
    <cellStyle name="Normal 56 3 2 8" xfId="14838"/>
    <cellStyle name="Normal 56 3 2 9" xfId="15888"/>
    <cellStyle name="Normal 56 3 3" xfId="4372"/>
    <cellStyle name="Normal 56 3 3 2" xfId="8808"/>
    <cellStyle name="Normal 56 3 3 2 2" xfId="10879"/>
    <cellStyle name="Normal 56 3 3 2 2 2" xfId="14459"/>
    <cellStyle name="Normal 56 3 3 2 2 2 2" xfId="19729"/>
    <cellStyle name="Normal 56 3 3 2 2 3" xfId="12762"/>
    <cellStyle name="Normal 56 3 3 2 2 4" xfId="18150"/>
    <cellStyle name="Normal 56 3 3 2 3" xfId="13598"/>
    <cellStyle name="Normal 56 3 3 2 3 2" xfId="19067"/>
    <cellStyle name="Normal 56 3 3 2 4" xfId="11901"/>
    <cellStyle name="Normal 56 3 3 2 4 2" xfId="17289"/>
    <cellStyle name="Normal 56 3 3 2 5" xfId="15405"/>
    <cellStyle name="Normal 56 3 3 2 6" xfId="16451"/>
    <cellStyle name="Normal 56 3 3 3" xfId="10403"/>
    <cellStyle name="Normal 56 3 3 3 2" xfId="13984"/>
    <cellStyle name="Normal 56 3 3 3 2 2" xfId="19730"/>
    <cellStyle name="Normal 56 3 3 3 3" xfId="12287"/>
    <cellStyle name="Normal 56 3 3 3 4" xfId="17675"/>
    <cellStyle name="Normal 56 3 3 4" xfId="13126"/>
    <cellStyle name="Normal 56 3 3 4 2" xfId="18595"/>
    <cellStyle name="Normal 56 3 3 5" xfId="11359"/>
    <cellStyle name="Normal 56 3 3 5 2" xfId="16817"/>
    <cellStyle name="Normal 56 3 3 6" xfId="14931"/>
    <cellStyle name="Normal 56 3 3 7" xfId="15979"/>
    <cellStyle name="Normal 56 3 4" xfId="5158"/>
    <cellStyle name="Normal 56 3 4 2" xfId="10554"/>
    <cellStyle name="Normal 56 3 4 2 2" xfId="14135"/>
    <cellStyle name="Normal 56 3 4 2 2 2" xfId="19731"/>
    <cellStyle name="Normal 56 3 4 2 3" xfId="12438"/>
    <cellStyle name="Normal 56 3 4 2 4" xfId="17826"/>
    <cellStyle name="Normal 56 3 4 3" xfId="13276"/>
    <cellStyle name="Normal 56 3 4 3 2" xfId="18745"/>
    <cellStyle name="Normal 56 3 4 4" xfId="11526"/>
    <cellStyle name="Normal 56 3 4 4 2" xfId="16967"/>
    <cellStyle name="Normal 56 3 4 5" xfId="15082"/>
    <cellStyle name="Normal 56 3 4 6" xfId="16129"/>
    <cellStyle name="Normal 56 3 5" xfId="7414"/>
    <cellStyle name="Normal 56 3 5 2" xfId="10755"/>
    <cellStyle name="Normal 56 3 5 2 2" xfId="14335"/>
    <cellStyle name="Normal 56 3 5 2 2 2" xfId="19732"/>
    <cellStyle name="Normal 56 3 5 2 3" xfId="12638"/>
    <cellStyle name="Normal 56 3 5 2 4" xfId="18026"/>
    <cellStyle name="Normal 56 3 5 3" xfId="13475"/>
    <cellStyle name="Normal 56 3 5 3 2" xfId="18944"/>
    <cellStyle name="Normal 56 3 5 4" xfId="11778"/>
    <cellStyle name="Normal 56 3 5 4 2" xfId="17166"/>
    <cellStyle name="Normal 56 3 5 5" xfId="15281"/>
    <cellStyle name="Normal 56 3 5 6" xfId="16328"/>
    <cellStyle name="Normal 56 3 6" xfId="10224"/>
    <cellStyle name="Normal 56 3 6 2" xfId="13806"/>
    <cellStyle name="Normal 56 3 6 2 2" xfId="19733"/>
    <cellStyle name="Normal 56 3 6 3" xfId="12109"/>
    <cellStyle name="Normal 56 3 6 4" xfId="17497"/>
    <cellStyle name="Normal 56 3 7" xfId="12950"/>
    <cellStyle name="Normal 56 3 7 2" xfId="18426"/>
    <cellStyle name="Normal 56 3 8" xfId="11155"/>
    <cellStyle name="Normal 56 3 8 2" xfId="16641"/>
    <cellStyle name="Normal 56 3 9" xfId="14751"/>
    <cellStyle name="Normal 56 4" xfId="2401"/>
    <cellStyle name="Normal 56 4 2" xfId="4515"/>
    <cellStyle name="Normal 56 4 2 2" xfId="8903"/>
    <cellStyle name="Normal 56 4 2 2 2" xfId="10933"/>
    <cellStyle name="Normal 56 4 2 2 2 2" xfId="14513"/>
    <cellStyle name="Normal 56 4 2 2 2 2 2" xfId="19734"/>
    <cellStyle name="Normal 56 4 2 2 2 3" xfId="12816"/>
    <cellStyle name="Normal 56 4 2 2 2 4" xfId="18204"/>
    <cellStyle name="Normal 56 4 2 2 3" xfId="13652"/>
    <cellStyle name="Normal 56 4 2 2 3 2" xfId="19121"/>
    <cellStyle name="Normal 56 4 2 2 4" xfId="11955"/>
    <cellStyle name="Normal 56 4 2 2 4 2" xfId="17343"/>
    <cellStyle name="Normal 56 4 2 2 5" xfId="15459"/>
    <cellStyle name="Normal 56 4 2 2 6" xfId="16505"/>
    <cellStyle name="Normal 56 4 2 3" xfId="10457"/>
    <cellStyle name="Normal 56 4 2 3 2" xfId="14038"/>
    <cellStyle name="Normal 56 4 2 3 2 2" xfId="19735"/>
    <cellStyle name="Normal 56 4 2 3 3" xfId="12341"/>
    <cellStyle name="Normal 56 4 2 3 4" xfId="17729"/>
    <cellStyle name="Normal 56 4 2 4" xfId="13180"/>
    <cellStyle name="Normal 56 4 2 4 2" xfId="18649"/>
    <cellStyle name="Normal 56 4 2 5" xfId="11413"/>
    <cellStyle name="Normal 56 4 2 5 2" xfId="16871"/>
    <cellStyle name="Normal 56 4 2 6" xfId="14985"/>
    <cellStyle name="Normal 56 4 2 7" xfId="16033"/>
    <cellStyle name="Normal 56 4 3" xfId="5236"/>
    <cellStyle name="Normal 56 4 3 2" xfId="10584"/>
    <cellStyle name="Normal 56 4 3 2 2" xfId="14165"/>
    <cellStyle name="Normal 56 4 3 2 2 2" xfId="19736"/>
    <cellStyle name="Normal 56 4 3 2 3" xfId="12468"/>
    <cellStyle name="Normal 56 4 3 2 4" xfId="17856"/>
    <cellStyle name="Normal 56 4 3 3" xfId="13306"/>
    <cellStyle name="Normal 56 4 3 3 2" xfId="18775"/>
    <cellStyle name="Normal 56 4 3 4" xfId="11561"/>
    <cellStyle name="Normal 56 4 3 4 2" xfId="16997"/>
    <cellStyle name="Normal 56 4 3 5" xfId="15112"/>
    <cellStyle name="Normal 56 4 3 6" xfId="16159"/>
    <cellStyle name="Normal 56 4 4" xfId="7998"/>
    <cellStyle name="Normal 56 4 4 2" xfId="10805"/>
    <cellStyle name="Normal 56 4 4 2 2" xfId="14385"/>
    <cellStyle name="Normal 56 4 4 2 2 2" xfId="19737"/>
    <cellStyle name="Normal 56 4 4 2 3" xfId="12688"/>
    <cellStyle name="Normal 56 4 4 2 4" xfId="18076"/>
    <cellStyle name="Normal 56 4 4 3" xfId="13524"/>
    <cellStyle name="Normal 56 4 4 3 2" xfId="18993"/>
    <cellStyle name="Normal 56 4 4 4" xfId="11827"/>
    <cellStyle name="Normal 56 4 4 4 2" xfId="17215"/>
    <cellStyle name="Normal 56 4 4 5" xfId="15330"/>
    <cellStyle name="Normal 56 4 4 6" xfId="16377"/>
    <cellStyle name="Normal 56 4 5" xfId="10276"/>
    <cellStyle name="Normal 56 4 5 2" xfId="13858"/>
    <cellStyle name="Normal 56 4 5 2 2" xfId="19738"/>
    <cellStyle name="Normal 56 4 5 3" xfId="12161"/>
    <cellStyle name="Normal 56 4 5 4" xfId="17549"/>
    <cellStyle name="Normal 56 4 6" xfId="13001"/>
    <cellStyle name="Normal 56 4 6 2" xfId="18458"/>
    <cellStyle name="Normal 56 4 7" xfId="11220"/>
    <cellStyle name="Normal 56 4 7 2" xfId="16692"/>
    <cellStyle name="Normal 56 4 8" xfId="14803"/>
    <cellStyle name="Normal 56 4 9" xfId="15854"/>
    <cellStyle name="Normal 56 5" xfId="4337"/>
    <cellStyle name="Normal 56 5 2" xfId="8774"/>
    <cellStyle name="Normal 56 5 2 2" xfId="10845"/>
    <cellStyle name="Normal 56 5 2 2 2" xfId="14425"/>
    <cellStyle name="Normal 56 5 2 2 2 2" xfId="19739"/>
    <cellStyle name="Normal 56 5 2 2 3" xfId="12728"/>
    <cellStyle name="Normal 56 5 2 2 4" xfId="18116"/>
    <cellStyle name="Normal 56 5 2 3" xfId="13564"/>
    <cellStyle name="Normal 56 5 2 3 2" xfId="19033"/>
    <cellStyle name="Normal 56 5 2 4" xfId="11867"/>
    <cellStyle name="Normal 56 5 2 4 2" xfId="17255"/>
    <cellStyle name="Normal 56 5 2 5" xfId="15371"/>
    <cellStyle name="Normal 56 5 2 6" xfId="16417"/>
    <cellStyle name="Normal 56 5 3" xfId="10369"/>
    <cellStyle name="Normal 56 5 3 2" xfId="13950"/>
    <cellStyle name="Normal 56 5 3 2 2" xfId="19740"/>
    <cellStyle name="Normal 56 5 3 3" xfId="12253"/>
    <cellStyle name="Normal 56 5 3 4" xfId="17641"/>
    <cellStyle name="Normal 56 5 4" xfId="13092"/>
    <cellStyle name="Normal 56 5 4 2" xfId="18561"/>
    <cellStyle name="Normal 56 5 5" xfId="11325"/>
    <cellStyle name="Normal 56 5 5 2" xfId="16783"/>
    <cellStyle name="Normal 56 5 6" xfId="14897"/>
    <cellStyle name="Normal 56 5 7" xfId="15945"/>
    <cellStyle name="Normal 56 6" xfId="5362"/>
    <cellStyle name="Normal 56 6 2" xfId="10636"/>
    <cellStyle name="Normal 56 6 2 2" xfId="14217"/>
    <cellStyle name="Normal 56 6 2 2 2" xfId="19741"/>
    <cellStyle name="Normal 56 6 2 3" xfId="12520"/>
    <cellStyle name="Normal 56 6 2 4" xfId="17908"/>
    <cellStyle name="Normal 56 6 3" xfId="13358"/>
    <cellStyle name="Normal 56 6 3 2" xfId="18827"/>
    <cellStyle name="Normal 56 6 4" xfId="11617"/>
    <cellStyle name="Normal 56 6 4 2" xfId="17049"/>
    <cellStyle name="Normal 56 6 5" xfId="15164"/>
    <cellStyle name="Normal 56 6 6" xfId="16211"/>
    <cellStyle name="Normal 56 7" xfId="7755"/>
    <cellStyle name="Normal 56 7 2" xfId="10786"/>
    <cellStyle name="Normal 56 7 2 2" xfId="14366"/>
    <cellStyle name="Normal 56 7 2 2 2" xfId="19742"/>
    <cellStyle name="Normal 56 7 2 3" xfId="12669"/>
    <cellStyle name="Normal 56 7 2 4" xfId="18057"/>
    <cellStyle name="Normal 56 7 3" xfId="13505"/>
    <cellStyle name="Normal 56 7 3 2" xfId="18974"/>
    <cellStyle name="Normal 56 7 4" xfId="11808"/>
    <cellStyle name="Normal 56 7 4 2" xfId="17196"/>
    <cellStyle name="Normal 56 7 5" xfId="15311"/>
    <cellStyle name="Normal 56 7 6" xfId="16358"/>
    <cellStyle name="Normal 56 8" xfId="10189"/>
    <cellStyle name="Normal 56 8 2" xfId="13773"/>
    <cellStyle name="Normal 56 8 2 2" xfId="19743"/>
    <cellStyle name="Normal 56 8 3" xfId="12076"/>
    <cellStyle name="Normal 56 8 4" xfId="17464"/>
    <cellStyle name="Normal 56 9" xfId="12917"/>
    <cellStyle name="Normal 56 9 2" xfId="18404"/>
    <cellStyle name="Normal 57" xfId="1117"/>
    <cellStyle name="Normal 58" xfId="1118"/>
    <cellStyle name="Normal 59" xfId="1119"/>
    <cellStyle name="Normal 6" xfId="448"/>
    <cellStyle name="Normal 6 2" xfId="449"/>
    <cellStyle name="Normal 6 2 2" xfId="450"/>
    <cellStyle name="Normal 60" xfId="1120"/>
    <cellStyle name="Normal 61" xfId="1121"/>
    <cellStyle name="Normal 62" xfId="1122"/>
    <cellStyle name="Normal 63" xfId="1123"/>
    <cellStyle name="Normal 64" xfId="1124"/>
    <cellStyle name="Normal 65" xfId="1125"/>
    <cellStyle name="Normal 66" xfId="1126"/>
    <cellStyle name="Normal 66 10" xfId="11123"/>
    <cellStyle name="Normal 66 10 2" xfId="16609"/>
    <cellStyle name="Normal 66 11" xfId="14718"/>
    <cellStyle name="Normal 66 12" xfId="15771"/>
    <cellStyle name="Normal 66 2" xfId="1743"/>
    <cellStyle name="Normal 66 2 10" xfId="15788"/>
    <cellStyle name="Normal 66 2 2" xfId="2459"/>
    <cellStyle name="Normal 66 2 2 2" xfId="4534"/>
    <cellStyle name="Normal 66 2 2 2 2" xfId="8922"/>
    <cellStyle name="Normal 66 2 2 2 2 2" xfId="10952"/>
    <cellStyle name="Normal 66 2 2 2 2 2 2" xfId="14532"/>
    <cellStyle name="Normal 66 2 2 2 2 2 2 2" xfId="19744"/>
    <cellStyle name="Normal 66 2 2 2 2 2 3" xfId="12835"/>
    <cellStyle name="Normal 66 2 2 2 2 2 4" xfId="18223"/>
    <cellStyle name="Normal 66 2 2 2 2 3" xfId="13671"/>
    <cellStyle name="Normal 66 2 2 2 2 3 2" xfId="19140"/>
    <cellStyle name="Normal 66 2 2 2 2 4" xfId="11974"/>
    <cellStyle name="Normal 66 2 2 2 2 4 2" xfId="17362"/>
    <cellStyle name="Normal 66 2 2 2 2 5" xfId="15478"/>
    <cellStyle name="Normal 66 2 2 2 2 6" xfId="16524"/>
    <cellStyle name="Normal 66 2 2 2 3" xfId="10476"/>
    <cellStyle name="Normal 66 2 2 2 3 2" xfId="14057"/>
    <cellStyle name="Normal 66 2 2 2 3 2 2" xfId="19745"/>
    <cellStyle name="Normal 66 2 2 2 3 3" xfId="12360"/>
    <cellStyle name="Normal 66 2 2 2 3 4" xfId="17748"/>
    <cellStyle name="Normal 66 2 2 2 4" xfId="13199"/>
    <cellStyle name="Normal 66 2 2 2 4 2" xfId="18668"/>
    <cellStyle name="Normal 66 2 2 2 5" xfId="11432"/>
    <cellStyle name="Normal 66 2 2 2 5 2" xfId="16890"/>
    <cellStyle name="Normal 66 2 2 2 6" xfId="15004"/>
    <cellStyle name="Normal 66 2 2 2 7" xfId="16052"/>
    <cellStyle name="Normal 66 2 2 3" xfId="5231"/>
    <cellStyle name="Normal 66 2 2 3 2" xfId="10582"/>
    <cellStyle name="Normal 66 2 2 3 2 2" xfId="14163"/>
    <cellStyle name="Normal 66 2 2 3 2 2 2" xfId="19746"/>
    <cellStyle name="Normal 66 2 2 3 2 3" xfId="12466"/>
    <cellStyle name="Normal 66 2 2 3 2 4" xfId="17854"/>
    <cellStyle name="Normal 66 2 2 3 3" xfId="13304"/>
    <cellStyle name="Normal 66 2 2 3 3 2" xfId="18773"/>
    <cellStyle name="Normal 66 2 2 3 4" xfId="11559"/>
    <cellStyle name="Normal 66 2 2 3 4 2" xfId="16995"/>
    <cellStyle name="Normal 66 2 2 3 5" xfId="15110"/>
    <cellStyle name="Normal 66 2 2 3 6" xfId="16157"/>
    <cellStyle name="Normal 66 2 2 4" xfId="7466"/>
    <cellStyle name="Normal 66 2 2 4 2" xfId="10759"/>
    <cellStyle name="Normal 66 2 2 4 2 2" xfId="14339"/>
    <cellStyle name="Normal 66 2 2 4 2 2 2" xfId="19747"/>
    <cellStyle name="Normal 66 2 2 4 2 3" xfId="12642"/>
    <cellStyle name="Normal 66 2 2 4 2 4" xfId="18030"/>
    <cellStyle name="Normal 66 2 2 4 3" xfId="13479"/>
    <cellStyle name="Normal 66 2 2 4 3 2" xfId="18948"/>
    <cellStyle name="Normal 66 2 2 4 4" xfId="11782"/>
    <cellStyle name="Normal 66 2 2 4 4 2" xfId="17170"/>
    <cellStyle name="Normal 66 2 2 4 5" xfId="15285"/>
    <cellStyle name="Normal 66 2 2 4 6" xfId="16332"/>
    <cellStyle name="Normal 66 2 2 5" xfId="10295"/>
    <cellStyle name="Normal 66 2 2 5 2" xfId="13877"/>
    <cellStyle name="Normal 66 2 2 5 2 2" xfId="19748"/>
    <cellStyle name="Normal 66 2 2 5 3" xfId="12180"/>
    <cellStyle name="Normal 66 2 2 5 4" xfId="17568"/>
    <cellStyle name="Normal 66 2 2 6" xfId="13020"/>
    <cellStyle name="Normal 66 2 2 6 2" xfId="18476"/>
    <cellStyle name="Normal 66 2 2 7" xfId="11239"/>
    <cellStyle name="Normal 66 2 2 7 2" xfId="16711"/>
    <cellStyle name="Normal 66 2 2 8" xfId="14823"/>
    <cellStyle name="Normal 66 2 2 9" xfId="15873"/>
    <cellStyle name="Normal 66 2 3" xfId="4357"/>
    <cellStyle name="Normal 66 2 3 2" xfId="8793"/>
    <cellStyle name="Normal 66 2 3 2 2" xfId="10864"/>
    <cellStyle name="Normal 66 2 3 2 2 2" xfId="14444"/>
    <cellStyle name="Normal 66 2 3 2 2 2 2" xfId="19749"/>
    <cellStyle name="Normal 66 2 3 2 2 3" xfId="12747"/>
    <cellStyle name="Normal 66 2 3 2 2 4" xfId="18135"/>
    <cellStyle name="Normal 66 2 3 2 3" xfId="13583"/>
    <cellStyle name="Normal 66 2 3 2 3 2" xfId="19052"/>
    <cellStyle name="Normal 66 2 3 2 4" xfId="11886"/>
    <cellStyle name="Normal 66 2 3 2 4 2" xfId="17274"/>
    <cellStyle name="Normal 66 2 3 2 5" xfId="15390"/>
    <cellStyle name="Normal 66 2 3 2 6" xfId="16436"/>
    <cellStyle name="Normal 66 2 3 3" xfId="10388"/>
    <cellStyle name="Normal 66 2 3 3 2" xfId="13969"/>
    <cellStyle name="Normal 66 2 3 3 2 2" xfId="19750"/>
    <cellStyle name="Normal 66 2 3 3 3" xfId="12272"/>
    <cellStyle name="Normal 66 2 3 3 4" xfId="17660"/>
    <cellStyle name="Normal 66 2 3 4" xfId="13111"/>
    <cellStyle name="Normal 66 2 3 4 2" xfId="18580"/>
    <cellStyle name="Normal 66 2 3 5" xfId="11344"/>
    <cellStyle name="Normal 66 2 3 5 2" xfId="16802"/>
    <cellStyle name="Normal 66 2 3 6" xfId="14916"/>
    <cellStyle name="Normal 66 2 3 7" xfId="15964"/>
    <cellStyle name="Normal 66 2 4" xfId="5125"/>
    <cellStyle name="Normal 66 2 4 2" xfId="10539"/>
    <cellStyle name="Normal 66 2 4 2 2" xfId="14120"/>
    <cellStyle name="Normal 66 2 4 2 2 2" xfId="19751"/>
    <cellStyle name="Normal 66 2 4 2 3" xfId="12423"/>
    <cellStyle name="Normal 66 2 4 2 4" xfId="17811"/>
    <cellStyle name="Normal 66 2 4 3" xfId="13261"/>
    <cellStyle name="Normal 66 2 4 3 2" xfId="18730"/>
    <cellStyle name="Normal 66 2 4 4" xfId="11510"/>
    <cellStyle name="Normal 66 2 4 4 2" xfId="16952"/>
    <cellStyle name="Normal 66 2 4 5" xfId="15067"/>
    <cellStyle name="Normal 66 2 4 6" xfId="16114"/>
    <cellStyle name="Normal 66 2 5" xfId="6273"/>
    <cellStyle name="Normal 66 2 5 2" xfId="10653"/>
    <cellStyle name="Normal 66 2 5 2 2" xfId="14234"/>
    <cellStyle name="Normal 66 2 5 2 2 2" xfId="19752"/>
    <cellStyle name="Normal 66 2 5 2 3" xfId="12537"/>
    <cellStyle name="Normal 66 2 5 2 4" xfId="17925"/>
    <cellStyle name="Normal 66 2 5 3" xfId="13375"/>
    <cellStyle name="Normal 66 2 5 3 2" xfId="18844"/>
    <cellStyle name="Normal 66 2 5 4" xfId="11678"/>
    <cellStyle name="Normal 66 2 5 4 2" xfId="17066"/>
    <cellStyle name="Normal 66 2 5 5" xfId="15181"/>
    <cellStyle name="Normal 66 2 5 6" xfId="16228"/>
    <cellStyle name="Normal 66 2 6" xfId="10209"/>
    <cellStyle name="Normal 66 2 6 2" xfId="13791"/>
    <cellStyle name="Normal 66 2 6 2 2" xfId="19753"/>
    <cellStyle name="Normal 66 2 6 3" xfId="12094"/>
    <cellStyle name="Normal 66 2 6 4" xfId="17482"/>
    <cellStyle name="Normal 66 2 7" xfId="12935"/>
    <cellStyle name="Normal 66 2 7 2" xfId="18443"/>
    <cellStyle name="Normal 66 2 8" xfId="11140"/>
    <cellStyle name="Normal 66 2 8 2" xfId="16626"/>
    <cellStyle name="Normal 66 2 9" xfId="14736"/>
    <cellStyle name="Normal 66 3" xfId="1877"/>
    <cellStyle name="Normal 66 3 10" xfId="15804"/>
    <cellStyle name="Normal 66 3 2" xfId="2498"/>
    <cellStyle name="Normal 66 3 2 2" xfId="4550"/>
    <cellStyle name="Normal 66 3 2 2 2" xfId="8938"/>
    <cellStyle name="Normal 66 3 2 2 2 2" xfId="10968"/>
    <cellStyle name="Normal 66 3 2 2 2 2 2" xfId="14548"/>
    <cellStyle name="Normal 66 3 2 2 2 2 2 2" xfId="19754"/>
    <cellStyle name="Normal 66 3 2 2 2 2 3" xfId="12851"/>
    <cellStyle name="Normal 66 3 2 2 2 2 4" xfId="18239"/>
    <cellStyle name="Normal 66 3 2 2 2 3" xfId="13687"/>
    <cellStyle name="Normal 66 3 2 2 2 3 2" xfId="19156"/>
    <cellStyle name="Normal 66 3 2 2 2 4" xfId="11990"/>
    <cellStyle name="Normal 66 3 2 2 2 4 2" xfId="17378"/>
    <cellStyle name="Normal 66 3 2 2 2 5" xfId="15494"/>
    <cellStyle name="Normal 66 3 2 2 2 6" xfId="16540"/>
    <cellStyle name="Normal 66 3 2 2 3" xfId="10492"/>
    <cellStyle name="Normal 66 3 2 2 3 2" xfId="14073"/>
    <cellStyle name="Normal 66 3 2 2 3 2 2" xfId="19755"/>
    <cellStyle name="Normal 66 3 2 2 3 3" xfId="12376"/>
    <cellStyle name="Normal 66 3 2 2 3 4" xfId="17764"/>
    <cellStyle name="Normal 66 3 2 2 4" xfId="13215"/>
    <cellStyle name="Normal 66 3 2 2 4 2" xfId="18684"/>
    <cellStyle name="Normal 66 3 2 2 5" xfId="11448"/>
    <cellStyle name="Normal 66 3 2 2 5 2" xfId="16906"/>
    <cellStyle name="Normal 66 3 2 2 6" xfId="15020"/>
    <cellStyle name="Normal 66 3 2 2 7" xfId="16068"/>
    <cellStyle name="Normal 66 3 2 3" xfId="5278"/>
    <cellStyle name="Normal 66 3 2 3 2" xfId="10603"/>
    <cellStyle name="Normal 66 3 2 3 2 2" xfId="14184"/>
    <cellStyle name="Normal 66 3 2 3 2 2 2" xfId="19756"/>
    <cellStyle name="Normal 66 3 2 3 2 3" xfId="12487"/>
    <cellStyle name="Normal 66 3 2 3 2 4" xfId="17875"/>
    <cellStyle name="Normal 66 3 2 3 3" xfId="13325"/>
    <cellStyle name="Normal 66 3 2 3 3 2" xfId="18794"/>
    <cellStyle name="Normal 66 3 2 3 4" xfId="11580"/>
    <cellStyle name="Normal 66 3 2 3 4 2" xfId="17016"/>
    <cellStyle name="Normal 66 3 2 3 5" xfId="15131"/>
    <cellStyle name="Normal 66 3 2 3 6" xfId="16178"/>
    <cellStyle name="Normal 66 3 2 4" xfId="7473"/>
    <cellStyle name="Normal 66 3 2 4 2" xfId="10760"/>
    <cellStyle name="Normal 66 3 2 4 2 2" xfId="14340"/>
    <cellStyle name="Normal 66 3 2 4 2 2 2" xfId="19757"/>
    <cellStyle name="Normal 66 3 2 4 2 3" xfId="12643"/>
    <cellStyle name="Normal 66 3 2 4 2 4" xfId="18031"/>
    <cellStyle name="Normal 66 3 2 4 3" xfId="13480"/>
    <cellStyle name="Normal 66 3 2 4 3 2" xfId="18949"/>
    <cellStyle name="Normal 66 3 2 4 4" xfId="11783"/>
    <cellStyle name="Normal 66 3 2 4 4 2" xfId="17171"/>
    <cellStyle name="Normal 66 3 2 4 5" xfId="15286"/>
    <cellStyle name="Normal 66 3 2 4 6" xfId="16333"/>
    <cellStyle name="Normal 66 3 2 5" xfId="10311"/>
    <cellStyle name="Normal 66 3 2 5 2" xfId="13893"/>
    <cellStyle name="Normal 66 3 2 5 2 2" xfId="19758"/>
    <cellStyle name="Normal 66 3 2 5 3" xfId="12196"/>
    <cellStyle name="Normal 66 3 2 5 4" xfId="17584"/>
    <cellStyle name="Normal 66 3 2 6" xfId="13036"/>
    <cellStyle name="Normal 66 3 2 6 2" xfId="18492"/>
    <cellStyle name="Normal 66 3 2 7" xfId="11255"/>
    <cellStyle name="Normal 66 3 2 7 2" xfId="16727"/>
    <cellStyle name="Normal 66 3 2 8" xfId="14839"/>
    <cellStyle name="Normal 66 3 2 9" xfId="15889"/>
    <cellStyle name="Normal 66 3 3" xfId="4373"/>
    <cellStyle name="Normal 66 3 3 2" xfId="8809"/>
    <cellStyle name="Normal 66 3 3 2 2" xfId="10880"/>
    <cellStyle name="Normal 66 3 3 2 2 2" xfId="14460"/>
    <cellStyle name="Normal 66 3 3 2 2 2 2" xfId="19759"/>
    <cellStyle name="Normal 66 3 3 2 2 3" xfId="12763"/>
    <cellStyle name="Normal 66 3 3 2 2 4" xfId="18151"/>
    <cellStyle name="Normal 66 3 3 2 3" xfId="13599"/>
    <cellStyle name="Normal 66 3 3 2 3 2" xfId="19068"/>
    <cellStyle name="Normal 66 3 3 2 4" xfId="11902"/>
    <cellStyle name="Normal 66 3 3 2 4 2" xfId="17290"/>
    <cellStyle name="Normal 66 3 3 2 5" xfId="15406"/>
    <cellStyle name="Normal 66 3 3 2 6" xfId="16452"/>
    <cellStyle name="Normal 66 3 3 3" xfId="10404"/>
    <cellStyle name="Normal 66 3 3 3 2" xfId="13985"/>
    <cellStyle name="Normal 66 3 3 3 2 2" xfId="19760"/>
    <cellStyle name="Normal 66 3 3 3 3" xfId="12288"/>
    <cellStyle name="Normal 66 3 3 3 4" xfId="17676"/>
    <cellStyle name="Normal 66 3 3 4" xfId="13127"/>
    <cellStyle name="Normal 66 3 3 4 2" xfId="18596"/>
    <cellStyle name="Normal 66 3 3 5" xfId="11360"/>
    <cellStyle name="Normal 66 3 3 5 2" xfId="16818"/>
    <cellStyle name="Normal 66 3 3 6" xfId="14932"/>
    <cellStyle name="Normal 66 3 3 7" xfId="15980"/>
    <cellStyle name="Normal 66 3 4" xfId="5211"/>
    <cellStyle name="Normal 66 3 4 2" xfId="10571"/>
    <cellStyle name="Normal 66 3 4 2 2" xfId="14152"/>
    <cellStyle name="Normal 66 3 4 2 2 2" xfId="19761"/>
    <cellStyle name="Normal 66 3 4 2 3" xfId="12455"/>
    <cellStyle name="Normal 66 3 4 2 4" xfId="17843"/>
    <cellStyle name="Normal 66 3 4 3" xfId="13293"/>
    <cellStyle name="Normal 66 3 4 3 2" xfId="18762"/>
    <cellStyle name="Normal 66 3 4 4" xfId="11546"/>
    <cellStyle name="Normal 66 3 4 4 2" xfId="16984"/>
    <cellStyle name="Normal 66 3 4 5" xfId="15099"/>
    <cellStyle name="Normal 66 3 4 6" xfId="16146"/>
    <cellStyle name="Normal 66 3 5" xfId="6361"/>
    <cellStyle name="Normal 66 3 5 2" xfId="10656"/>
    <cellStyle name="Normal 66 3 5 2 2" xfId="14237"/>
    <cellStyle name="Normal 66 3 5 2 2 2" xfId="19762"/>
    <cellStyle name="Normal 66 3 5 2 3" xfId="12540"/>
    <cellStyle name="Normal 66 3 5 2 4" xfId="17928"/>
    <cellStyle name="Normal 66 3 5 3" xfId="13378"/>
    <cellStyle name="Normal 66 3 5 3 2" xfId="18847"/>
    <cellStyle name="Normal 66 3 5 4" xfId="11681"/>
    <cellStyle name="Normal 66 3 5 4 2" xfId="17069"/>
    <cellStyle name="Normal 66 3 5 5" xfId="15184"/>
    <cellStyle name="Normal 66 3 5 6" xfId="16231"/>
    <cellStyle name="Normal 66 3 6" xfId="10225"/>
    <cellStyle name="Normal 66 3 6 2" xfId="13807"/>
    <cellStyle name="Normal 66 3 6 2 2" xfId="19763"/>
    <cellStyle name="Normal 66 3 6 3" xfId="12110"/>
    <cellStyle name="Normal 66 3 6 4" xfId="17498"/>
    <cellStyle name="Normal 66 3 7" xfId="12951"/>
    <cellStyle name="Normal 66 3 7 2" xfId="18427"/>
    <cellStyle name="Normal 66 3 8" xfId="11156"/>
    <cellStyle name="Normal 66 3 8 2" xfId="16642"/>
    <cellStyle name="Normal 66 3 9" xfId="14752"/>
    <cellStyle name="Normal 66 4" xfId="2402"/>
    <cellStyle name="Normal 66 4 2" xfId="4516"/>
    <cellStyle name="Normal 66 4 2 2" xfId="8904"/>
    <cellStyle name="Normal 66 4 2 2 2" xfId="10934"/>
    <cellStyle name="Normal 66 4 2 2 2 2" xfId="14514"/>
    <cellStyle name="Normal 66 4 2 2 2 2 2" xfId="19764"/>
    <cellStyle name="Normal 66 4 2 2 2 3" xfId="12817"/>
    <cellStyle name="Normal 66 4 2 2 2 4" xfId="18205"/>
    <cellStyle name="Normal 66 4 2 2 3" xfId="13653"/>
    <cellStyle name="Normal 66 4 2 2 3 2" xfId="19122"/>
    <cellStyle name="Normal 66 4 2 2 4" xfId="11956"/>
    <cellStyle name="Normal 66 4 2 2 4 2" xfId="17344"/>
    <cellStyle name="Normal 66 4 2 2 5" xfId="15460"/>
    <cellStyle name="Normal 66 4 2 2 6" xfId="16506"/>
    <cellStyle name="Normal 66 4 2 3" xfId="10458"/>
    <cellStyle name="Normal 66 4 2 3 2" xfId="14039"/>
    <cellStyle name="Normal 66 4 2 3 2 2" xfId="19765"/>
    <cellStyle name="Normal 66 4 2 3 3" xfId="12342"/>
    <cellStyle name="Normal 66 4 2 3 4" xfId="17730"/>
    <cellStyle name="Normal 66 4 2 4" xfId="13181"/>
    <cellStyle name="Normal 66 4 2 4 2" xfId="18650"/>
    <cellStyle name="Normal 66 4 2 5" xfId="11414"/>
    <cellStyle name="Normal 66 4 2 5 2" xfId="16872"/>
    <cellStyle name="Normal 66 4 2 6" xfId="14986"/>
    <cellStyle name="Normal 66 4 2 7" xfId="16034"/>
    <cellStyle name="Normal 66 4 3" xfId="5349"/>
    <cellStyle name="Normal 66 4 3 2" xfId="10629"/>
    <cellStyle name="Normal 66 4 3 2 2" xfId="14210"/>
    <cellStyle name="Normal 66 4 3 2 2 2" xfId="19766"/>
    <cellStyle name="Normal 66 4 3 2 3" xfId="12513"/>
    <cellStyle name="Normal 66 4 3 2 4" xfId="17901"/>
    <cellStyle name="Normal 66 4 3 3" xfId="13351"/>
    <cellStyle name="Normal 66 4 3 3 2" xfId="18820"/>
    <cellStyle name="Normal 66 4 3 4" xfId="11609"/>
    <cellStyle name="Normal 66 4 3 4 2" xfId="17042"/>
    <cellStyle name="Normal 66 4 3 5" xfId="15157"/>
    <cellStyle name="Normal 66 4 3 6" xfId="16204"/>
    <cellStyle name="Normal 66 4 4" xfId="8200"/>
    <cellStyle name="Normal 66 4 4 2" xfId="10828"/>
    <cellStyle name="Normal 66 4 4 2 2" xfId="14408"/>
    <cellStyle name="Normal 66 4 4 2 2 2" xfId="19767"/>
    <cellStyle name="Normal 66 4 4 2 3" xfId="12711"/>
    <cellStyle name="Normal 66 4 4 2 4" xfId="18099"/>
    <cellStyle name="Normal 66 4 4 3" xfId="13547"/>
    <cellStyle name="Normal 66 4 4 3 2" xfId="19016"/>
    <cellStyle name="Normal 66 4 4 4" xfId="11850"/>
    <cellStyle name="Normal 66 4 4 4 2" xfId="17238"/>
    <cellStyle name="Normal 66 4 4 5" xfId="15353"/>
    <cellStyle name="Normal 66 4 4 6" xfId="16400"/>
    <cellStyle name="Normal 66 4 5" xfId="10277"/>
    <cellStyle name="Normal 66 4 5 2" xfId="13859"/>
    <cellStyle name="Normal 66 4 5 2 2" xfId="19768"/>
    <cellStyle name="Normal 66 4 5 3" xfId="12162"/>
    <cellStyle name="Normal 66 4 5 4" xfId="17550"/>
    <cellStyle name="Normal 66 4 6" xfId="13002"/>
    <cellStyle name="Normal 66 4 6 2" xfId="18459"/>
    <cellStyle name="Normal 66 4 7" xfId="11221"/>
    <cellStyle name="Normal 66 4 7 2" xfId="16693"/>
    <cellStyle name="Normal 66 4 8" xfId="14804"/>
    <cellStyle name="Normal 66 4 9" xfId="15855"/>
    <cellStyle name="Normal 66 5" xfId="4338"/>
    <cellStyle name="Normal 66 5 2" xfId="8775"/>
    <cellStyle name="Normal 66 5 2 2" xfId="10846"/>
    <cellStyle name="Normal 66 5 2 2 2" xfId="14426"/>
    <cellStyle name="Normal 66 5 2 2 2 2" xfId="19769"/>
    <cellStyle name="Normal 66 5 2 2 3" xfId="12729"/>
    <cellStyle name="Normal 66 5 2 2 4" xfId="18117"/>
    <cellStyle name="Normal 66 5 2 3" xfId="13565"/>
    <cellStyle name="Normal 66 5 2 3 2" xfId="19034"/>
    <cellStyle name="Normal 66 5 2 4" xfId="11868"/>
    <cellStyle name="Normal 66 5 2 4 2" xfId="17256"/>
    <cellStyle name="Normal 66 5 2 5" xfId="15372"/>
    <cellStyle name="Normal 66 5 2 6" xfId="16418"/>
    <cellStyle name="Normal 66 5 3" xfId="10370"/>
    <cellStyle name="Normal 66 5 3 2" xfId="13951"/>
    <cellStyle name="Normal 66 5 3 2 2" xfId="19770"/>
    <cellStyle name="Normal 66 5 3 3" xfId="12254"/>
    <cellStyle name="Normal 66 5 3 4" xfId="17642"/>
    <cellStyle name="Normal 66 5 4" xfId="13093"/>
    <cellStyle name="Normal 66 5 4 2" xfId="18562"/>
    <cellStyle name="Normal 66 5 5" xfId="11326"/>
    <cellStyle name="Normal 66 5 5 2" xfId="16784"/>
    <cellStyle name="Normal 66 5 6" xfId="14898"/>
    <cellStyle name="Normal 66 5 7" xfId="15946"/>
    <cellStyle name="Normal 66 6" xfId="5325"/>
    <cellStyle name="Normal 66 6 2" xfId="10620"/>
    <cellStyle name="Normal 66 6 2 2" xfId="14201"/>
    <cellStyle name="Normal 66 6 2 2 2" xfId="19771"/>
    <cellStyle name="Normal 66 6 2 3" xfId="12504"/>
    <cellStyle name="Normal 66 6 2 4" xfId="17892"/>
    <cellStyle name="Normal 66 6 3" xfId="13342"/>
    <cellStyle name="Normal 66 6 3 2" xfId="18811"/>
    <cellStyle name="Normal 66 6 4" xfId="11599"/>
    <cellStyle name="Normal 66 6 4 2" xfId="17033"/>
    <cellStyle name="Normal 66 6 5" xfId="15148"/>
    <cellStyle name="Normal 66 6 6" xfId="16195"/>
    <cellStyle name="Normal 66 7" xfId="6322"/>
    <cellStyle name="Normal 66 7 2" xfId="10654"/>
    <cellStyle name="Normal 66 7 2 2" xfId="14235"/>
    <cellStyle name="Normal 66 7 2 2 2" xfId="19772"/>
    <cellStyle name="Normal 66 7 2 3" xfId="12538"/>
    <cellStyle name="Normal 66 7 2 4" xfId="17926"/>
    <cellStyle name="Normal 66 7 3" xfId="13376"/>
    <cellStyle name="Normal 66 7 3 2" xfId="18845"/>
    <cellStyle name="Normal 66 7 4" xfId="11679"/>
    <cellStyle name="Normal 66 7 4 2" xfId="17067"/>
    <cellStyle name="Normal 66 7 5" xfId="15182"/>
    <cellStyle name="Normal 66 7 6" xfId="16229"/>
    <cellStyle name="Normal 66 8" xfId="10190"/>
    <cellStyle name="Normal 66 8 2" xfId="13774"/>
    <cellStyle name="Normal 66 8 2 2" xfId="19773"/>
    <cellStyle name="Normal 66 8 3" xfId="12077"/>
    <cellStyle name="Normal 66 8 4" xfId="17465"/>
    <cellStyle name="Normal 66 9" xfId="12918"/>
    <cellStyle name="Normal 66 9 2" xfId="18405"/>
    <cellStyle name="Normal 67" xfId="1127"/>
    <cellStyle name="Normal 67 10" xfId="11124"/>
    <cellStyle name="Normal 67 10 2" xfId="16610"/>
    <cellStyle name="Normal 67 11" xfId="14719"/>
    <cellStyle name="Normal 67 12" xfId="15772"/>
    <cellStyle name="Normal 67 2" xfId="1744"/>
    <cellStyle name="Normal 67 2 10" xfId="15789"/>
    <cellStyle name="Normal 67 2 2" xfId="2460"/>
    <cellStyle name="Normal 67 2 2 2" xfId="4535"/>
    <cellStyle name="Normal 67 2 2 2 2" xfId="8923"/>
    <cellStyle name="Normal 67 2 2 2 2 2" xfId="10953"/>
    <cellStyle name="Normal 67 2 2 2 2 2 2" xfId="14533"/>
    <cellStyle name="Normal 67 2 2 2 2 2 2 2" xfId="19774"/>
    <cellStyle name="Normal 67 2 2 2 2 2 3" xfId="12836"/>
    <cellStyle name="Normal 67 2 2 2 2 2 4" xfId="18224"/>
    <cellStyle name="Normal 67 2 2 2 2 3" xfId="13672"/>
    <cellStyle name="Normal 67 2 2 2 2 3 2" xfId="19141"/>
    <cellStyle name="Normal 67 2 2 2 2 4" xfId="11975"/>
    <cellStyle name="Normal 67 2 2 2 2 4 2" xfId="17363"/>
    <cellStyle name="Normal 67 2 2 2 2 5" xfId="15479"/>
    <cellStyle name="Normal 67 2 2 2 2 6" xfId="16525"/>
    <cellStyle name="Normal 67 2 2 2 3" xfId="10477"/>
    <cellStyle name="Normal 67 2 2 2 3 2" xfId="14058"/>
    <cellStyle name="Normal 67 2 2 2 3 2 2" xfId="19775"/>
    <cellStyle name="Normal 67 2 2 2 3 3" xfId="12361"/>
    <cellStyle name="Normal 67 2 2 2 3 4" xfId="17749"/>
    <cellStyle name="Normal 67 2 2 2 4" xfId="13200"/>
    <cellStyle name="Normal 67 2 2 2 4 2" xfId="18669"/>
    <cellStyle name="Normal 67 2 2 2 5" xfId="11433"/>
    <cellStyle name="Normal 67 2 2 2 5 2" xfId="16891"/>
    <cellStyle name="Normal 67 2 2 2 6" xfId="15005"/>
    <cellStyle name="Normal 67 2 2 2 7" xfId="16053"/>
    <cellStyle name="Normal 67 2 2 3" xfId="5353"/>
    <cellStyle name="Normal 67 2 2 3 2" xfId="10632"/>
    <cellStyle name="Normal 67 2 2 3 2 2" xfId="14213"/>
    <cellStyle name="Normal 67 2 2 3 2 2 2" xfId="19776"/>
    <cellStyle name="Normal 67 2 2 3 2 3" xfId="12516"/>
    <cellStyle name="Normal 67 2 2 3 2 4" xfId="17904"/>
    <cellStyle name="Normal 67 2 2 3 3" xfId="13354"/>
    <cellStyle name="Normal 67 2 2 3 3 2" xfId="18823"/>
    <cellStyle name="Normal 67 2 2 3 4" xfId="11612"/>
    <cellStyle name="Normal 67 2 2 3 4 2" xfId="17045"/>
    <cellStyle name="Normal 67 2 2 3 5" xfId="15160"/>
    <cellStyle name="Normal 67 2 2 3 6" xfId="16207"/>
    <cellStyle name="Normal 67 2 2 4" xfId="7114"/>
    <cellStyle name="Normal 67 2 2 4 2" xfId="10735"/>
    <cellStyle name="Normal 67 2 2 4 2 2" xfId="14315"/>
    <cellStyle name="Normal 67 2 2 4 2 2 2" xfId="19777"/>
    <cellStyle name="Normal 67 2 2 4 2 3" xfId="12618"/>
    <cellStyle name="Normal 67 2 2 4 2 4" xfId="18006"/>
    <cellStyle name="Normal 67 2 2 4 3" xfId="13455"/>
    <cellStyle name="Normal 67 2 2 4 3 2" xfId="18924"/>
    <cellStyle name="Normal 67 2 2 4 4" xfId="11758"/>
    <cellStyle name="Normal 67 2 2 4 4 2" xfId="17146"/>
    <cellStyle name="Normal 67 2 2 4 5" xfId="15261"/>
    <cellStyle name="Normal 67 2 2 4 6" xfId="16308"/>
    <cellStyle name="Normal 67 2 2 5" xfId="10296"/>
    <cellStyle name="Normal 67 2 2 5 2" xfId="13878"/>
    <cellStyle name="Normal 67 2 2 5 2 2" xfId="19778"/>
    <cellStyle name="Normal 67 2 2 5 3" xfId="12181"/>
    <cellStyle name="Normal 67 2 2 5 4" xfId="17569"/>
    <cellStyle name="Normal 67 2 2 6" xfId="13021"/>
    <cellStyle name="Normal 67 2 2 6 2" xfId="18477"/>
    <cellStyle name="Normal 67 2 2 7" xfId="11240"/>
    <cellStyle name="Normal 67 2 2 7 2" xfId="16712"/>
    <cellStyle name="Normal 67 2 2 8" xfId="14824"/>
    <cellStyle name="Normal 67 2 2 9" xfId="15874"/>
    <cellStyle name="Normal 67 2 3" xfId="4358"/>
    <cellStyle name="Normal 67 2 3 2" xfId="8794"/>
    <cellStyle name="Normal 67 2 3 2 2" xfId="10865"/>
    <cellStyle name="Normal 67 2 3 2 2 2" xfId="14445"/>
    <cellStyle name="Normal 67 2 3 2 2 2 2" xfId="19779"/>
    <cellStyle name="Normal 67 2 3 2 2 3" xfId="12748"/>
    <cellStyle name="Normal 67 2 3 2 2 4" xfId="18136"/>
    <cellStyle name="Normal 67 2 3 2 3" xfId="13584"/>
    <cellStyle name="Normal 67 2 3 2 3 2" xfId="19053"/>
    <cellStyle name="Normal 67 2 3 2 4" xfId="11887"/>
    <cellStyle name="Normal 67 2 3 2 4 2" xfId="17275"/>
    <cellStyle name="Normal 67 2 3 2 5" xfId="15391"/>
    <cellStyle name="Normal 67 2 3 2 6" xfId="16437"/>
    <cellStyle name="Normal 67 2 3 3" xfId="10389"/>
    <cellStyle name="Normal 67 2 3 3 2" xfId="13970"/>
    <cellStyle name="Normal 67 2 3 3 2 2" xfId="19780"/>
    <cellStyle name="Normal 67 2 3 3 3" xfId="12273"/>
    <cellStyle name="Normal 67 2 3 3 4" xfId="17661"/>
    <cellStyle name="Normal 67 2 3 4" xfId="13112"/>
    <cellStyle name="Normal 67 2 3 4 2" xfId="18581"/>
    <cellStyle name="Normal 67 2 3 5" xfId="11345"/>
    <cellStyle name="Normal 67 2 3 5 2" xfId="16803"/>
    <cellStyle name="Normal 67 2 3 6" xfId="14917"/>
    <cellStyle name="Normal 67 2 3 7" xfId="15965"/>
    <cellStyle name="Normal 67 2 4" xfId="5305"/>
    <cellStyle name="Normal 67 2 4 2" xfId="10614"/>
    <cellStyle name="Normal 67 2 4 2 2" xfId="14195"/>
    <cellStyle name="Normal 67 2 4 2 2 2" xfId="19781"/>
    <cellStyle name="Normal 67 2 4 2 3" xfId="12498"/>
    <cellStyle name="Normal 67 2 4 2 4" xfId="17886"/>
    <cellStyle name="Normal 67 2 4 3" xfId="13336"/>
    <cellStyle name="Normal 67 2 4 3 2" xfId="18805"/>
    <cellStyle name="Normal 67 2 4 4" xfId="11593"/>
    <cellStyle name="Normal 67 2 4 4 2" xfId="17027"/>
    <cellStyle name="Normal 67 2 4 5" xfId="15142"/>
    <cellStyle name="Normal 67 2 4 6" xfId="16189"/>
    <cellStyle name="Normal 67 2 5" xfId="7870"/>
    <cellStyle name="Normal 67 2 5 2" xfId="10795"/>
    <cellStyle name="Normal 67 2 5 2 2" xfId="14375"/>
    <cellStyle name="Normal 67 2 5 2 2 2" xfId="19782"/>
    <cellStyle name="Normal 67 2 5 2 3" xfId="12678"/>
    <cellStyle name="Normal 67 2 5 2 4" xfId="18066"/>
    <cellStyle name="Normal 67 2 5 3" xfId="13514"/>
    <cellStyle name="Normal 67 2 5 3 2" xfId="18983"/>
    <cellStyle name="Normal 67 2 5 4" xfId="11817"/>
    <cellStyle name="Normal 67 2 5 4 2" xfId="17205"/>
    <cellStyle name="Normal 67 2 5 5" xfId="15320"/>
    <cellStyle name="Normal 67 2 5 6" xfId="16367"/>
    <cellStyle name="Normal 67 2 6" xfId="10210"/>
    <cellStyle name="Normal 67 2 6 2" xfId="13792"/>
    <cellStyle name="Normal 67 2 6 2 2" xfId="19783"/>
    <cellStyle name="Normal 67 2 6 3" xfId="12095"/>
    <cellStyle name="Normal 67 2 6 4" xfId="17483"/>
    <cellStyle name="Normal 67 2 7" xfId="12936"/>
    <cellStyle name="Normal 67 2 7 2" xfId="18444"/>
    <cellStyle name="Normal 67 2 8" xfId="11141"/>
    <cellStyle name="Normal 67 2 8 2" xfId="16627"/>
    <cellStyle name="Normal 67 2 9" xfId="14737"/>
    <cellStyle name="Normal 67 3" xfId="1878"/>
    <cellStyle name="Normal 67 3 10" xfId="15805"/>
    <cellStyle name="Normal 67 3 2" xfId="2499"/>
    <cellStyle name="Normal 67 3 2 2" xfId="4551"/>
    <cellStyle name="Normal 67 3 2 2 2" xfId="8939"/>
    <cellStyle name="Normal 67 3 2 2 2 2" xfId="10969"/>
    <cellStyle name="Normal 67 3 2 2 2 2 2" xfId="14549"/>
    <cellStyle name="Normal 67 3 2 2 2 2 2 2" xfId="19784"/>
    <cellStyle name="Normal 67 3 2 2 2 2 3" xfId="12852"/>
    <cellStyle name="Normal 67 3 2 2 2 2 4" xfId="18240"/>
    <cellStyle name="Normal 67 3 2 2 2 3" xfId="13688"/>
    <cellStyle name="Normal 67 3 2 2 2 3 2" xfId="19157"/>
    <cellStyle name="Normal 67 3 2 2 2 4" xfId="11991"/>
    <cellStyle name="Normal 67 3 2 2 2 4 2" xfId="17379"/>
    <cellStyle name="Normal 67 3 2 2 2 5" xfId="15495"/>
    <cellStyle name="Normal 67 3 2 2 2 6" xfId="16541"/>
    <cellStyle name="Normal 67 3 2 2 3" xfId="10493"/>
    <cellStyle name="Normal 67 3 2 2 3 2" xfId="14074"/>
    <cellStyle name="Normal 67 3 2 2 3 2 2" xfId="19785"/>
    <cellStyle name="Normal 67 3 2 2 3 3" xfId="12377"/>
    <cellStyle name="Normal 67 3 2 2 3 4" xfId="17765"/>
    <cellStyle name="Normal 67 3 2 2 4" xfId="13216"/>
    <cellStyle name="Normal 67 3 2 2 4 2" xfId="18685"/>
    <cellStyle name="Normal 67 3 2 2 5" xfId="11449"/>
    <cellStyle name="Normal 67 3 2 2 5 2" xfId="16907"/>
    <cellStyle name="Normal 67 3 2 2 6" xfId="15021"/>
    <cellStyle name="Normal 67 3 2 2 7" xfId="16069"/>
    <cellStyle name="Normal 67 3 2 3" xfId="5220"/>
    <cellStyle name="Normal 67 3 2 3 2" xfId="10578"/>
    <cellStyle name="Normal 67 3 2 3 2 2" xfId="14159"/>
    <cellStyle name="Normal 67 3 2 3 2 2 2" xfId="19786"/>
    <cellStyle name="Normal 67 3 2 3 2 3" xfId="12462"/>
    <cellStyle name="Normal 67 3 2 3 2 4" xfId="17850"/>
    <cellStyle name="Normal 67 3 2 3 3" xfId="13300"/>
    <cellStyle name="Normal 67 3 2 3 3 2" xfId="18769"/>
    <cellStyle name="Normal 67 3 2 3 4" xfId="11554"/>
    <cellStyle name="Normal 67 3 2 3 4 2" xfId="16991"/>
    <cellStyle name="Normal 67 3 2 3 5" xfId="15106"/>
    <cellStyle name="Normal 67 3 2 3 6" xfId="16153"/>
    <cellStyle name="Normal 67 3 2 4" xfId="6718"/>
    <cellStyle name="Normal 67 3 2 4 2" xfId="10688"/>
    <cellStyle name="Normal 67 3 2 4 2 2" xfId="14269"/>
    <cellStyle name="Normal 67 3 2 4 2 2 2" xfId="19787"/>
    <cellStyle name="Normal 67 3 2 4 2 3" xfId="12572"/>
    <cellStyle name="Normal 67 3 2 4 2 4" xfId="17960"/>
    <cellStyle name="Normal 67 3 2 4 3" xfId="13409"/>
    <cellStyle name="Normal 67 3 2 4 3 2" xfId="18878"/>
    <cellStyle name="Normal 67 3 2 4 4" xfId="11712"/>
    <cellStyle name="Normal 67 3 2 4 4 2" xfId="17100"/>
    <cellStyle name="Normal 67 3 2 4 5" xfId="15215"/>
    <cellStyle name="Normal 67 3 2 4 6" xfId="16262"/>
    <cellStyle name="Normal 67 3 2 5" xfId="10312"/>
    <cellStyle name="Normal 67 3 2 5 2" xfId="13894"/>
    <cellStyle name="Normal 67 3 2 5 2 2" xfId="19788"/>
    <cellStyle name="Normal 67 3 2 5 3" xfId="12197"/>
    <cellStyle name="Normal 67 3 2 5 4" xfId="17585"/>
    <cellStyle name="Normal 67 3 2 6" xfId="13037"/>
    <cellStyle name="Normal 67 3 2 6 2" xfId="18493"/>
    <cellStyle name="Normal 67 3 2 7" xfId="11256"/>
    <cellStyle name="Normal 67 3 2 7 2" xfId="16728"/>
    <cellStyle name="Normal 67 3 2 8" xfId="14840"/>
    <cellStyle name="Normal 67 3 2 9" xfId="15890"/>
    <cellStyle name="Normal 67 3 3" xfId="4374"/>
    <cellStyle name="Normal 67 3 3 2" xfId="8810"/>
    <cellStyle name="Normal 67 3 3 2 2" xfId="10881"/>
    <cellStyle name="Normal 67 3 3 2 2 2" xfId="14461"/>
    <cellStyle name="Normal 67 3 3 2 2 2 2" xfId="19789"/>
    <cellStyle name="Normal 67 3 3 2 2 3" xfId="12764"/>
    <cellStyle name="Normal 67 3 3 2 2 4" xfId="18152"/>
    <cellStyle name="Normal 67 3 3 2 3" xfId="13600"/>
    <cellStyle name="Normal 67 3 3 2 3 2" xfId="19069"/>
    <cellStyle name="Normal 67 3 3 2 4" xfId="11903"/>
    <cellStyle name="Normal 67 3 3 2 4 2" xfId="17291"/>
    <cellStyle name="Normal 67 3 3 2 5" xfId="15407"/>
    <cellStyle name="Normal 67 3 3 2 6" xfId="16453"/>
    <cellStyle name="Normal 67 3 3 3" xfId="10405"/>
    <cellStyle name="Normal 67 3 3 3 2" xfId="13986"/>
    <cellStyle name="Normal 67 3 3 3 2 2" xfId="19790"/>
    <cellStyle name="Normal 67 3 3 3 3" xfId="12289"/>
    <cellStyle name="Normal 67 3 3 3 4" xfId="17677"/>
    <cellStyle name="Normal 67 3 3 4" xfId="13128"/>
    <cellStyle name="Normal 67 3 3 4 2" xfId="18597"/>
    <cellStyle name="Normal 67 3 3 5" xfId="11361"/>
    <cellStyle name="Normal 67 3 3 5 2" xfId="16819"/>
    <cellStyle name="Normal 67 3 3 6" xfId="14933"/>
    <cellStyle name="Normal 67 3 3 7" xfId="15981"/>
    <cellStyle name="Normal 67 3 4" xfId="5273"/>
    <cellStyle name="Normal 67 3 4 2" xfId="10600"/>
    <cellStyle name="Normal 67 3 4 2 2" xfId="14181"/>
    <cellStyle name="Normal 67 3 4 2 2 2" xfId="19791"/>
    <cellStyle name="Normal 67 3 4 2 3" xfId="12484"/>
    <cellStyle name="Normal 67 3 4 2 4" xfId="17872"/>
    <cellStyle name="Normal 67 3 4 3" xfId="13322"/>
    <cellStyle name="Normal 67 3 4 3 2" xfId="18791"/>
    <cellStyle name="Normal 67 3 4 4" xfId="11577"/>
    <cellStyle name="Normal 67 3 4 4 2" xfId="17013"/>
    <cellStyle name="Normal 67 3 4 5" xfId="15128"/>
    <cellStyle name="Normal 67 3 4 6" xfId="16175"/>
    <cellStyle name="Normal 67 3 5" xfId="8094"/>
    <cellStyle name="Normal 67 3 5 2" xfId="10819"/>
    <cellStyle name="Normal 67 3 5 2 2" xfId="14399"/>
    <cellStyle name="Normal 67 3 5 2 2 2" xfId="19792"/>
    <cellStyle name="Normal 67 3 5 2 3" xfId="12702"/>
    <cellStyle name="Normal 67 3 5 2 4" xfId="18090"/>
    <cellStyle name="Normal 67 3 5 3" xfId="13538"/>
    <cellStyle name="Normal 67 3 5 3 2" xfId="19007"/>
    <cellStyle name="Normal 67 3 5 4" xfId="11841"/>
    <cellStyle name="Normal 67 3 5 4 2" xfId="17229"/>
    <cellStyle name="Normal 67 3 5 5" xfId="15344"/>
    <cellStyle name="Normal 67 3 5 6" xfId="16391"/>
    <cellStyle name="Normal 67 3 6" xfId="10226"/>
    <cellStyle name="Normal 67 3 6 2" xfId="13808"/>
    <cellStyle name="Normal 67 3 6 2 2" xfId="19793"/>
    <cellStyle name="Normal 67 3 6 3" xfId="12111"/>
    <cellStyle name="Normal 67 3 6 4" xfId="17499"/>
    <cellStyle name="Normal 67 3 7" xfId="12952"/>
    <cellStyle name="Normal 67 3 7 2" xfId="18428"/>
    <cellStyle name="Normal 67 3 8" xfId="11157"/>
    <cellStyle name="Normal 67 3 8 2" xfId="16643"/>
    <cellStyle name="Normal 67 3 9" xfId="14753"/>
    <cellStyle name="Normal 67 4" xfId="2403"/>
    <cellStyle name="Normal 67 4 2" xfId="4517"/>
    <cellStyle name="Normal 67 4 2 2" xfId="8905"/>
    <cellStyle name="Normal 67 4 2 2 2" xfId="10935"/>
    <cellStyle name="Normal 67 4 2 2 2 2" xfId="14515"/>
    <cellStyle name="Normal 67 4 2 2 2 2 2" xfId="19794"/>
    <cellStyle name="Normal 67 4 2 2 2 3" xfId="12818"/>
    <cellStyle name="Normal 67 4 2 2 2 4" xfId="18206"/>
    <cellStyle name="Normal 67 4 2 2 3" xfId="13654"/>
    <cellStyle name="Normal 67 4 2 2 3 2" xfId="19123"/>
    <cellStyle name="Normal 67 4 2 2 4" xfId="11957"/>
    <cellStyle name="Normal 67 4 2 2 4 2" xfId="17345"/>
    <cellStyle name="Normal 67 4 2 2 5" xfId="15461"/>
    <cellStyle name="Normal 67 4 2 2 6" xfId="16507"/>
    <cellStyle name="Normal 67 4 2 3" xfId="10459"/>
    <cellStyle name="Normal 67 4 2 3 2" xfId="14040"/>
    <cellStyle name="Normal 67 4 2 3 2 2" xfId="19795"/>
    <cellStyle name="Normal 67 4 2 3 3" xfId="12343"/>
    <cellStyle name="Normal 67 4 2 3 4" xfId="17731"/>
    <cellStyle name="Normal 67 4 2 4" xfId="13182"/>
    <cellStyle name="Normal 67 4 2 4 2" xfId="18651"/>
    <cellStyle name="Normal 67 4 2 5" xfId="11415"/>
    <cellStyle name="Normal 67 4 2 5 2" xfId="16873"/>
    <cellStyle name="Normal 67 4 2 6" xfId="14987"/>
    <cellStyle name="Normal 67 4 2 7" xfId="16035"/>
    <cellStyle name="Normal 67 4 3" xfId="5360"/>
    <cellStyle name="Normal 67 4 3 2" xfId="10635"/>
    <cellStyle name="Normal 67 4 3 2 2" xfId="14216"/>
    <cellStyle name="Normal 67 4 3 2 2 2" xfId="19796"/>
    <cellStyle name="Normal 67 4 3 2 3" xfId="12519"/>
    <cellStyle name="Normal 67 4 3 2 4" xfId="17907"/>
    <cellStyle name="Normal 67 4 3 3" xfId="13357"/>
    <cellStyle name="Normal 67 4 3 3 2" xfId="18826"/>
    <cellStyle name="Normal 67 4 3 4" xfId="11616"/>
    <cellStyle name="Normal 67 4 3 4 2" xfId="17048"/>
    <cellStyle name="Normal 67 4 3 5" xfId="15163"/>
    <cellStyle name="Normal 67 4 3 6" xfId="16210"/>
    <cellStyle name="Normal 67 4 4" xfId="7458"/>
    <cellStyle name="Normal 67 4 4 2" xfId="10758"/>
    <cellStyle name="Normal 67 4 4 2 2" xfId="14338"/>
    <cellStyle name="Normal 67 4 4 2 2 2" xfId="19797"/>
    <cellStyle name="Normal 67 4 4 2 3" xfId="12641"/>
    <cellStyle name="Normal 67 4 4 2 4" xfId="18029"/>
    <cellStyle name="Normal 67 4 4 3" xfId="13478"/>
    <cellStyle name="Normal 67 4 4 3 2" xfId="18947"/>
    <cellStyle name="Normal 67 4 4 4" xfId="11781"/>
    <cellStyle name="Normal 67 4 4 4 2" xfId="17169"/>
    <cellStyle name="Normal 67 4 4 5" xfId="15284"/>
    <cellStyle name="Normal 67 4 4 6" xfId="16331"/>
    <cellStyle name="Normal 67 4 5" xfId="10278"/>
    <cellStyle name="Normal 67 4 5 2" xfId="13860"/>
    <cellStyle name="Normal 67 4 5 2 2" xfId="19798"/>
    <cellStyle name="Normal 67 4 5 3" xfId="12163"/>
    <cellStyle name="Normal 67 4 5 4" xfId="17551"/>
    <cellStyle name="Normal 67 4 6" xfId="13003"/>
    <cellStyle name="Normal 67 4 6 2" xfId="18460"/>
    <cellStyle name="Normal 67 4 7" xfId="11222"/>
    <cellStyle name="Normal 67 4 7 2" xfId="16694"/>
    <cellStyle name="Normal 67 4 8" xfId="14805"/>
    <cellStyle name="Normal 67 4 9" xfId="15856"/>
    <cellStyle name="Normal 67 5" xfId="4339"/>
    <cellStyle name="Normal 67 5 2" xfId="8776"/>
    <cellStyle name="Normal 67 5 2 2" xfId="10847"/>
    <cellStyle name="Normal 67 5 2 2 2" xfId="14427"/>
    <cellStyle name="Normal 67 5 2 2 2 2" xfId="19799"/>
    <cellStyle name="Normal 67 5 2 2 3" xfId="12730"/>
    <cellStyle name="Normal 67 5 2 2 4" xfId="18118"/>
    <cellStyle name="Normal 67 5 2 3" xfId="13566"/>
    <cellStyle name="Normal 67 5 2 3 2" xfId="19035"/>
    <cellStyle name="Normal 67 5 2 4" xfId="11869"/>
    <cellStyle name="Normal 67 5 2 4 2" xfId="17257"/>
    <cellStyle name="Normal 67 5 2 5" xfId="15373"/>
    <cellStyle name="Normal 67 5 2 6" xfId="16419"/>
    <cellStyle name="Normal 67 5 3" xfId="10371"/>
    <cellStyle name="Normal 67 5 3 2" xfId="13952"/>
    <cellStyle name="Normal 67 5 3 2 2" xfId="19800"/>
    <cellStyle name="Normal 67 5 3 3" xfId="12255"/>
    <cellStyle name="Normal 67 5 3 4" xfId="17643"/>
    <cellStyle name="Normal 67 5 4" xfId="13094"/>
    <cellStyle name="Normal 67 5 4 2" xfId="18563"/>
    <cellStyle name="Normal 67 5 5" xfId="11327"/>
    <cellStyle name="Normal 67 5 5 2" xfId="16785"/>
    <cellStyle name="Normal 67 5 6" xfId="14899"/>
    <cellStyle name="Normal 67 5 7" xfId="15947"/>
    <cellStyle name="Normal 67 6" xfId="5238"/>
    <cellStyle name="Normal 67 6 2" xfId="10586"/>
    <cellStyle name="Normal 67 6 2 2" xfId="14167"/>
    <cellStyle name="Normal 67 6 2 2 2" xfId="19801"/>
    <cellStyle name="Normal 67 6 2 3" xfId="12470"/>
    <cellStyle name="Normal 67 6 2 4" xfId="17858"/>
    <cellStyle name="Normal 67 6 3" xfId="13308"/>
    <cellStyle name="Normal 67 6 3 2" xfId="18777"/>
    <cellStyle name="Normal 67 6 4" xfId="11563"/>
    <cellStyle name="Normal 67 6 4 2" xfId="16999"/>
    <cellStyle name="Normal 67 6 5" xfId="15114"/>
    <cellStyle name="Normal 67 6 6" xfId="16161"/>
    <cellStyle name="Normal 67 7" xfId="6406"/>
    <cellStyle name="Normal 67 7 2" xfId="10665"/>
    <cellStyle name="Normal 67 7 2 2" xfId="14246"/>
    <cellStyle name="Normal 67 7 2 2 2" xfId="19802"/>
    <cellStyle name="Normal 67 7 2 3" xfId="12549"/>
    <cellStyle name="Normal 67 7 2 4" xfId="17937"/>
    <cellStyle name="Normal 67 7 3" xfId="13386"/>
    <cellStyle name="Normal 67 7 3 2" xfId="18855"/>
    <cellStyle name="Normal 67 7 4" xfId="11689"/>
    <cellStyle name="Normal 67 7 4 2" xfId="17077"/>
    <cellStyle name="Normal 67 7 5" xfId="15192"/>
    <cellStyle name="Normal 67 7 6" xfId="16239"/>
    <cellStyle name="Normal 67 8" xfId="10191"/>
    <cellStyle name="Normal 67 8 2" xfId="13775"/>
    <cellStyle name="Normal 67 8 2 2" xfId="19803"/>
    <cellStyle name="Normal 67 8 3" xfId="12078"/>
    <cellStyle name="Normal 67 8 4" xfId="17466"/>
    <cellStyle name="Normal 67 9" xfId="12919"/>
    <cellStyle name="Normal 67 9 2" xfId="18406"/>
    <cellStyle name="Normal 68" xfId="1553"/>
    <cellStyle name="Normal 68 10" xfId="14723"/>
    <cellStyle name="Normal 68 11" xfId="15775"/>
    <cellStyle name="Normal 68 2" xfId="1887"/>
    <cellStyle name="Normal 68 2 10" xfId="15808"/>
    <cellStyle name="Normal 68 2 2" xfId="2502"/>
    <cellStyle name="Normal 68 2 2 2" xfId="4554"/>
    <cellStyle name="Normal 68 2 2 2 2" xfId="8942"/>
    <cellStyle name="Normal 68 2 2 2 2 2" xfId="10972"/>
    <cellStyle name="Normal 68 2 2 2 2 2 2" xfId="14552"/>
    <cellStyle name="Normal 68 2 2 2 2 2 2 2" xfId="19804"/>
    <cellStyle name="Normal 68 2 2 2 2 2 3" xfId="12855"/>
    <cellStyle name="Normal 68 2 2 2 2 2 4" xfId="18243"/>
    <cellStyle name="Normal 68 2 2 2 2 3" xfId="13691"/>
    <cellStyle name="Normal 68 2 2 2 2 3 2" xfId="19160"/>
    <cellStyle name="Normal 68 2 2 2 2 4" xfId="11994"/>
    <cellStyle name="Normal 68 2 2 2 2 4 2" xfId="17382"/>
    <cellStyle name="Normal 68 2 2 2 2 5" xfId="15498"/>
    <cellStyle name="Normal 68 2 2 2 2 6" xfId="16544"/>
    <cellStyle name="Normal 68 2 2 2 3" xfId="10496"/>
    <cellStyle name="Normal 68 2 2 2 3 2" xfId="14077"/>
    <cellStyle name="Normal 68 2 2 2 3 2 2" xfId="19805"/>
    <cellStyle name="Normal 68 2 2 2 3 3" xfId="12380"/>
    <cellStyle name="Normal 68 2 2 2 3 4" xfId="17768"/>
    <cellStyle name="Normal 68 2 2 2 4" xfId="13219"/>
    <cellStyle name="Normal 68 2 2 2 4 2" xfId="18688"/>
    <cellStyle name="Normal 68 2 2 2 5" xfId="11452"/>
    <cellStyle name="Normal 68 2 2 2 5 2" xfId="16910"/>
    <cellStyle name="Normal 68 2 2 2 6" xfId="15024"/>
    <cellStyle name="Normal 68 2 2 2 7" xfId="16072"/>
    <cellStyle name="Normal 68 2 2 3" xfId="7863"/>
    <cellStyle name="Normal 68 2 2 3 2" xfId="10793"/>
    <cellStyle name="Normal 68 2 2 3 2 2" xfId="14373"/>
    <cellStyle name="Normal 68 2 2 3 2 2 2" xfId="19806"/>
    <cellStyle name="Normal 68 2 2 3 2 3" xfId="12676"/>
    <cellStyle name="Normal 68 2 2 3 2 4" xfId="18064"/>
    <cellStyle name="Normal 68 2 2 3 3" xfId="13512"/>
    <cellStyle name="Normal 68 2 2 3 3 2" xfId="18981"/>
    <cellStyle name="Normal 68 2 2 3 4" xfId="11815"/>
    <cellStyle name="Normal 68 2 2 3 4 2" xfId="17203"/>
    <cellStyle name="Normal 68 2 2 3 5" xfId="15318"/>
    <cellStyle name="Normal 68 2 2 3 6" xfId="16365"/>
    <cellStyle name="Normal 68 2 2 4" xfId="10315"/>
    <cellStyle name="Normal 68 2 2 4 2" xfId="13897"/>
    <cellStyle name="Normal 68 2 2 4 2 2" xfId="19807"/>
    <cellStyle name="Normal 68 2 2 4 3" xfId="12200"/>
    <cellStyle name="Normal 68 2 2 4 4" xfId="17588"/>
    <cellStyle name="Normal 68 2 2 5" xfId="13040"/>
    <cellStyle name="Normal 68 2 2 5 2" xfId="18511"/>
    <cellStyle name="Normal 68 2 2 6" xfId="11259"/>
    <cellStyle name="Normal 68 2 2 6 2" xfId="16731"/>
    <cellStyle name="Normal 68 2 2 7" xfId="14843"/>
    <cellStyle name="Normal 68 2 2 8" xfId="15893"/>
    <cellStyle name="Normal 68 2 3" xfId="4377"/>
    <cellStyle name="Normal 68 2 3 2" xfId="8813"/>
    <cellStyle name="Normal 68 2 3 2 2" xfId="10884"/>
    <cellStyle name="Normal 68 2 3 2 2 2" xfId="14464"/>
    <cellStyle name="Normal 68 2 3 2 2 2 2" xfId="19808"/>
    <cellStyle name="Normal 68 2 3 2 2 3" xfId="12767"/>
    <cellStyle name="Normal 68 2 3 2 2 4" xfId="18155"/>
    <cellStyle name="Normal 68 2 3 2 3" xfId="13603"/>
    <cellStyle name="Normal 68 2 3 2 3 2" xfId="19072"/>
    <cellStyle name="Normal 68 2 3 2 4" xfId="11906"/>
    <cellStyle name="Normal 68 2 3 2 4 2" xfId="17294"/>
    <cellStyle name="Normal 68 2 3 2 5" xfId="15410"/>
    <cellStyle name="Normal 68 2 3 2 6" xfId="16456"/>
    <cellStyle name="Normal 68 2 3 3" xfId="10408"/>
    <cellStyle name="Normal 68 2 3 3 2" xfId="13989"/>
    <cellStyle name="Normal 68 2 3 3 2 2" xfId="19809"/>
    <cellStyle name="Normal 68 2 3 3 3" xfId="12292"/>
    <cellStyle name="Normal 68 2 3 3 4" xfId="17680"/>
    <cellStyle name="Normal 68 2 3 4" xfId="13131"/>
    <cellStyle name="Normal 68 2 3 4 2" xfId="18600"/>
    <cellStyle name="Normal 68 2 3 5" xfId="11364"/>
    <cellStyle name="Normal 68 2 3 5 2" xfId="16822"/>
    <cellStyle name="Normal 68 2 3 6" xfId="14936"/>
    <cellStyle name="Normal 68 2 3 7" xfId="15984"/>
    <cellStyle name="Normal 68 2 4" xfId="5337"/>
    <cellStyle name="Normal 68 2 4 2" xfId="10625"/>
    <cellStyle name="Normal 68 2 4 2 2" xfId="14206"/>
    <cellStyle name="Normal 68 2 4 2 2 2" xfId="19810"/>
    <cellStyle name="Normal 68 2 4 2 3" xfId="12509"/>
    <cellStyle name="Normal 68 2 4 2 4" xfId="17897"/>
    <cellStyle name="Normal 68 2 4 3" xfId="13347"/>
    <cellStyle name="Normal 68 2 4 3 2" xfId="18816"/>
    <cellStyle name="Normal 68 2 4 4" xfId="11605"/>
    <cellStyle name="Normal 68 2 4 4 2" xfId="17038"/>
    <cellStyle name="Normal 68 2 4 5" xfId="15153"/>
    <cellStyle name="Normal 68 2 4 6" xfId="16200"/>
    <cellStyle name="Normal 68 2 5" xfId="6782"/>
    <cellStyle name="Normal 68 2 5 2" xfId="10700"/>
    <cellStyle name="Normal 68 2 5 2 2" xfId="14281"/>
    <cellStyle name="Normal 68 2 5 2 2 2" xfId="19811"/>
    <cellStyle name="Normal 68 2 5 2 3" xfId="12584"/>
    <cellStyle name="Normal 68 2 5 2 4" xfId="17972"/>
    <cellStyle name="Normal 68 2 5 3" xfId="13421"/>
    <cellStyle name="Normal 68 2 5 3 2" xfId="18890"/>
    <cellStyle name="Normal 68 2 5 4" xfId="11724"/>
    <cellStyle name="Normal 68 2 5 4 2" xfId="17112"/>
    <cellStyle name="Normal 68 2 5 5" xfId="15227"/>
    <cellStyle name="Normal 68 2 5 6" xfId="16274"/>
    <cellStyle name="Normal 68 2 6" xfId="10229"/>
    <cellStyle name="Normal 68 2 6 2" xfId="13811"/>
    <cellStyle name="Normal 68 2 6 2 2" xfId="19812"/>
    <cellStyle name="Normal 68 2 6 3" xfId="12114"/>
    <cellStyle name="Normal 68 2 6 4" xfId="17502"/>
    <cellStyle name="Normal 68 2 7" xfId="12955"/>
    <cellStyle name="Normal 68 2 7 2" xfId="18496"/>
    <cellStyle name="Normal 68 2 8" xfId="11160"/>
    <cellStyle name="Normal 68 2 8 2" xfId="16646"/>
    <cellStyle name="Normal 68 2 9" xfId="14756"/>
    <cellStyle name="Normal 68 3" xfId="2420"/>
    <cellStyle name="Normal 68 3 2" xfId="4521"/>
    <cellStyle name="Normal 68 3 2 2" xfId="8909"/>
    <cellStyle name="Normal 68 3 2 2 2" xfId="10939"/>
    <cellStyle name="Normal 68 3 2 2 2 2" xfId="14519"/>
    <cellStyle name="Normal 68 3 2 2 2 2 2" xfId="19813"/>
    <cellStyle name="Normal 68 3 2 2 2 3" xfId="12822"/>
    <cellStyle name="Normal 68 3 2 2 2 4" xfId="18210"/>
    <cellStyle name="Normal 68 3 2 2 3" xfId="13658"/>
    <cellStyle name="Normal 68 3 2 2 3 2" xfId="19127"/>
    <cellStyle name="Normal 68 3 2 2 4" xfId="11961"/>
    <cellStyle name="Normal 68 3 2 2 4 2" xfId="17349"/>
    <cellStyle name="Normal 68 3 2 2 5" xfId="15465"/>
    <cellStyle name="Normal 68 3 2 2 6" xfId="16511"/>
    <cellStyle name="Normal 68 3 2 3" xfId="10463"/>
    <cellStyle name="Normal 68 3 2 3 2" xfId="14044"/>
    <cellStyle name="Normal 68 3 2 3 2 2" xfId="19814"/>
    <cellStyle name="Normal 68 3 2 3 3" xfId="12347"/>
    <cellStyle name="Normal 68 3 2 3 4" xfId="17735"/>
    <cellStyle name="Normal 68 3 2 4" xfId="13186"/>
    <cellStyle name="Normal 68 3 2 4 2" xfId="18655"/>
    <cellStyle name="Normal 68 3 2 5" xfId="11419"/>
    <cellStyle name="Normal 68 3 2 5 2" xfId="16877"/>
    <cellStyle name="Normal 68 3 2 6" xfId="14991"/>
    <cellStyle name="Normal 68 3 2 7" xfId="16039"/>
    <cellStyle name="Normal 68 3 3" xfId="5210"/>
    <cellStyle name="Normal 68 3 3 2" xfId="10570"/>
    <cellStyle name="Normal 68 3 3 2 2" xfId="14151"/>
    <cellStyle name="Normal 68 3 3 2 2 2" xfId="19815"/>
    <cellStyle name="Normal 68 3 3 2 3" xfId="12454"/>
    <cellStyle name="Normal 68 3 3 2 4" xfId="17842"/>
    <cellStyle name="Normal 68 3 3 3" xfId="13292"/>
    <cellStyle name="Normal 68 3 3 3 2" xfId="18761"/>
    <cellStyle name="Normal 68 3 3 4" xfId="11545"/>
    <cellStyle name="Normal 68 3 3 4 2" xfId="16983"/>
    <cellStyle name="Normal 68 3 3 5" xfId="15098"/>
    <cellStyle name="Normal 68 3 3 6" xfId="16145"/>
    <cellStyle name="Normal 68 3 4" xfId="7075"/>
    <cellStyle name="Normal 68 3 4 2" xfId="10729"/>
    <cellStyle name="Normal 68 3 4 2 2" xfId="14309"/>
    <cellStyle name="Normal 68 3 4 2 2 2" xfId="19816"/>
    <cellStyle name="Normal 68 3 4 2 3" xfId="12612"/>
    <cellStyle name="Normal 68 3 4 2 4" xfId="18000"/>
    <cellStyle name="Normal 68 3 4 3" xfId="13449"/>
    <cellStyle name="Normal 68 3 4 3 2" xfId="18918"/>
    <cellStyle name="Normal 68 3 4 4" xfId="11752"/>
    <cellStyle name="Normal 68 3 4 4 2" xfId="17140"/>
    <cellStyle name="Normal 68 3 4 5" xfId="15255"/>
    <cellStyle name="Normal 68 3 4 6" xfId="16302"/>
    <cellStyle name="Normal 68 3 5" xfId="10282"/>
    <cellStyle name="Normal 68 3 5 2" xfId="13864"/>
    <cellStyle name="Normal 68 3 5 2 2" xfId="19817"/>
    <cellStyle name="Normal 68 3 5 3" xfId="12167"/>
    <cellStyle name="Normal 68 3 5 4" xfId="17555"/>
    <cellStyle name="Normal 68 3 6" xfId="13007"/>
    <cellStyle name="Normal 68 3 6 2" xfId="18463"/>
    <cellStyle name="Normal 68 3 7" xfId="11226"/>
    <cellStyle name="Normal 68 3 7 2" xfId="16698"/>
    <cellStyle name="Normal 68 3 8" xfId="14810"/>
    <cellStyle name="Normal 68 3 9" xfId="15860"/>
    <cellStyle name="Normal 68 4" xfId="4344"/>
    <cellStyle name="Normal 68 4 2" xfId="8780"/>
    <cellStyle name="Normal 68 4 2 2" xfId="10851"/>
    <cellStyle name="Normal 68 4 2 2 2" xfId="14431"/>
    <cellStyle name="Normal 68 4 2 2 2 2" xfId="19818"/>
    <cellStyle name="Normal 68 4 2 2 3" xfId="12734"/>
    <cellStyle name="Normal 68 4 2 2 4" xfId="18122"/>
    <cellStyle name="Normal 68 4 2 3" xfId="13570"/>
    <cellStyle name="Normal 68 4 2 3 2" xfId="19039"/>
    <cellStyle name="Normal 68 4 2 4" xfId="11873"/>
    <cellStyle name="Normal 68 4 2 4 2" xfId="17261"/>
    <cellStyle name="Normal 68 4 2 5" xfId="15377"/>
    <cellStyle name="Normal 68 4 2 6" xfId="16423"/>
    <cellStyle name="Normal 68 4 3" xfId="10375"/>
    <cellStyle name="Normal 68 4 3 2" xfId="13956"/>
    <cellStyle name="Normal 68 4 3 2 2" xfId="19819"/>
    <cellStyle name="Normal 68 4 3 3" xfId="12259"/>
    <cellStyle name="Normal 68 4 3 4" xfId="17647"/>
    <cellStyle name="Normal 68 4 4" xfId="13098"/>
    <cellStyle name="Normal 68 4 4 2" xfId="18567"/>
    <cellStyle name="Normal 68 4 5" xfId="11331"/>
    <cellStyle name="Normal 68 4 5 2" xfId="16789"/>
    <cellStyle name="Normal 68 4 6" xfId="14903"/>
    <cellStyle name="Normal 68 4 7" xfId="15951"/>
    <cellStyle name="Normal 68 5" xfId="5359"/>
    <cellStyle name="Normal 68 5 2" xfId="10634"/>
    <cellStyle name="Normal 68 5 2 2" xfId="14215"/>
    <cellStyle name="Normal 68 5 2 2 2" xfId="19820"/>
    <cellStyle name="Normal 68 5 2 3" xfId="12518"/>
    <cellStyle name="Normal 68 5 2 4" xfId="17906"/>
    <cellStyle name="Normal 68 5 3" xfId="13356"/>
    <cellStyle name="Normal 68 5 3 2" xfId="18825"/>
    <cellStyle name="Normal 68 5 4" xfId="11615"/>
    <cellStyle name="Normal 68 5 4 2" xfId="17047"/>
    <cellStyle name="Normal 68 5 5" xfId="15162"/>
    <cellStyle name="Normal 68 5 6" xfId="16209"/>
    <cellStyle name="Normal 68 6" xfId="7029"/>
    <cellStyle name="Normal 68 6 2" xfId="10721"/>
    <cellStyle name="Normal 68 6 2 2" xfId="14301"/>
    <cellStyle name="Normal 68 6 2 2 2" xfId="19821"/>
    <cellStyle name="Normal 68 6 2 3" xfId="12604"/>
    <cellStyle name="Normal 68 6 2 4" xfId="17992"/>
    <cellStyle name="Normal 68 6 3" xfId="13441"/>
    <cellStyle name="Normal 68 6 3 2" xfId="18910"/>
    <cellStyle name="Normal 68 6 4" xfId="11744"/>
    <cellStyle name="Normal 68 6 4 2" xfId="17132"/>
    <cellStyle name="Normal 68 6 5" xfId="15247"/>
    <cellStyle name="Normal 68 6 6" xfId="16294"/>
    <cellStyle name="Normal 68 7" xfId="10196"/>
    <cellStyle name="Normal 68 7 2" xfId="13778"/>
    <cellStyle name="Normal 68 7 2 2" xfId="19822"/>
    <cellStyle name="Normal 68 7 3" xfId="12081"/>
    <cellStyle name="Normal 68 7 4" xfId="17469"/>
    <cellStyle name="Normal 68 8" xfId="12922"/>
    <cellStyle name="Normal 68 8 2" xfId="18431"/>
    <cellStyle name="Normal 68 9" xfId="11127"/>
    <cellStyle name="Normal 68 9 2" xfId="16613"/>
    <cellStyle name="Normal 69" xfId="1555"/>
    <cellStyle name="Normal 69 10" xfId="14724"/>
    <cellStyle name="Normal 69 11" xfId="15776"/>
    <cellStyle name="Normal 69 2" xfId="1888"/>
    <cellStyle name="Normal 69 2 10" xfId="15809"/>
    <cellStyle name="Normal 69 2 2" xfId="2503"/>
    <cellStyle name="Normal 69 2 2 2" xfId="4555"/>
    <cellStyle name="Normal 69 2 2 2 2" xfId="8943"/>
    <cellStyle name="Normal 69 2 2 2 2 2" xfId="10973"/>
    <cellStyle name="Normal 69 2 2 2 2 2 2" xfId="14553"/>
    <cellStyle name="Normal 69 2 2 2 2 2 2 2" xfId="19823"/>
    <cellStyle name="Normal 69 2 2 2 2 2 3" xfId="12856"/>
    <cellStyle name="Normal 69 2 2 2 2 2 4" xfId="18244"/>
    <cellStyle name="Normal 69 2 2 2 2 3" xfId="13692"/>
    <cellStyle name="Normal 69 2 2 2 2 3 2" xfId="19161"/>
    <cellStyle name="Normal 69 2 2 2 2 4" xfId="11995"/>
    <cellStyle name="Normal 69 2 2 2 2 4 2" xfId="17383"/>
    <cellStyle name="Normal 69 2 2 2 2 5" xfId="15499"/>
    <cellStyle name="Normal 69 2 2 2 2 6" xfId="16545"/>
    <cellStyle name="Normal 69 2 2 2 3" xfId="10497"/>
    <cellStyle name="Normal 69 2 2 2 3 2" xfId="14078"/>
    <cellStyle name="Normal 69 2 2 2 3 2 2" xfId="19824"/>
    <cellStyle name="Normal 69 2 2 2 3 3" xfId="12381"/>
    <cellStyle name="Normal 69 2 2 2 3 4" xfId="17769"/>
    <cellStyle name="Normal 69 2 2 2 4" xfId="13220"/>
    <cellStyle name="Normal 69 2 2 2 4 2" xfId="18689"/>
    <cellStyle name="Normal 69 2 2 2 5" xfId="11453"/>
    <cellStyle name="Normal 69 2 2 2 5 2" xfId="16911"/>
    <cellStyle name="Normal 69 2 2 2 6" xfId="15025"/>
    <cellStyle name="Normal 69 2 2 2 7" xfId="16073"/>
    <cellStyle name="Normal 69 2 2 3" xfId="8020"/>
    <cellStyle name="Normal 69 2 2 3 2" xfId="10807"/>
    <cellStyle name="Normal 69 2 2 3 2 2" xfId="14387"/>
    <cellStyle name="Normal 69 2 2 3 2 2 2" xfId="19825"/>
    <cellStyle name="Normal 69 2 2 3 2 3" xfId="12690"/>
    <cellStyle name="Normal 69 2 2 3 2 4" xfId="18078"/>
    <cellStyle name="Normal 69 2 2 3 3" xfId="13526"/>
    <cellStyle name="Normal 69 2 2 3 3 2" xfId="18995"/>
    <cellStyle name="Normal 69 2 2 3 4" xfId="11829"/>
    <cellStyle name="Normal 69 2 2 3 4 2" xfId="17217"/>
    <cellStyle name="Normal 69 2 2 3 5" xfId="15332"/>
    <cellStyle name="Normal 69 2 2 3 6" xfId="16379"/>
    <cellStyle name="Normal 69 2 2 4" xfId="10316"/>
    <cellStyle name="Normal 69 2 2 4 2" xfId="13898"/>
    <cellStyle name="Normal 69 2 2 4 2 2" xfId="19826"/>
    <cellStyle name="Normal 69 2 2 4 3" xfId="12201"/>
    <cellStyle name="Normal 69 2 2 4 4" xfId="17589"/>
    <cellStyle name="Normal 69 2 2 5" xfId="13041"/>
    <cellStyle name="Normal 69 2 2 5 2" xfId="18512"/>
    <cellStyle name="Normal 69 2 2 6" xfId="11260"/>
    <cellStyle name="Normal 69 2 2 6 2" xfId="16732"/>
    <cellStyle name="Normal 69 2 2 7" xfId="14844"/>
    <cellStyle name="Normal 69 2 2 8" xfId="15894"/>
    <cellStyle name="Normal 69 2 3" xfId="4378"/>
    <cellStyle name="Normal 69 2 3 2" xfId="8814"/>
    <cellStyle name="Normal 69 2 3 2 2" xfId="10885"/>
    <cellStyle name="Normal 69 2 3 2 2 2" xfId="14465"/>
    <cellStyle name="Normal 69 2 3 2 2 2 2" xfId="19827"/>
    <cellStyle name="Normal 69 2 3 2 2 3" xfId="12768"/>
    <cellStyle name="Normal 69 2 3 2 2 4" xfId="18156"/>
    <cellStyle name="Normal 69 2 3 2 3" xfId="13604"/>
    <cellStyle name="Normal 69 2 3 2 3 2" xfId="19073"/>
    <cellStyle name="Normal 69 2 3 2 4" xfId="11907"/>
    <cellStyle name="Normal 69 2 3 2 4 2" xfId="17295"/>
    <cellStyle name="Normal 69 2 3 2 5" xfId="15411"/>
    <cellStyle name="Normal 69 2 3 2 6" xfId="16457"/>
    <cellStyle name="Normal 69 2 3 3" xfId="10409"/>
    <cellStyle name="Normal 69 2 3 3 2" xfId="13990"/>
    <cellStyle name="Normal 69 2 3 3 2 2" xfId="19828"/>
    <cellStyle name="Normal 69 2 3 3 3" xfId="12293"/>
    <cellStyle name="Normal 69 2 3 3 4" xfId="17681"/>
    <cellStyle name="Normal 69 2 3 4" xfId="13132"/>
    <cellStyle name="Normal 69 2 3 4 2" xfId="18601"/>
    <cellStyle name="Normal 69 2 3 5" xfId="11365"/>
    <cellStyle name="Normal 69 2 3 5 2" xfId="16823"/>
    <cellStyle name="Normal 69 2 3 6" xfId="14937"/>
    <cellStyle name="Normal 69 2 3 7" xfId="15985"/>
    <cellStyle name="Normal 69 2 4" xfId="5215"/>
    <cellStyle name="Normal 69 2 4 2" xfId="10574"/>
    <cellStyle name="Normal 69 2 4 2 2" xfId="14155"/>
    <cellStyle name="Normal 69 2 4 2 2 2" xfId="19829"/>
    <cellStyle name="Normal 69 2 4 2 3" xfId="12458"/>
    <cellStyle name="Normal 69 2 4 2 4" xfId="17846"/>
    <cellStyle name="Normal 69 2 4 3" xfId="13296"/>
    <cellStyle name="Normal 69 2 4 3 2" xfId="18765"/>
    <cellStyle name="Normal 69 2 4 4" xfId="11549"/>
    <cellStyle name="Normal 69 2 4 4 2" xfId="16987"/>
    <cellStyle name="Normal 69 2 4 5" xfId="15102"/>
    <cellStyle name="Normal 69 2 4 6" xfId="16149"/>
    <cellStyle name="Normal 69 2 5" xfId="8039"/>
    <cellStyle name="Normal 69 2 5 2" xfId="10809"/>
    <cellStyle name="Normal 69 2 5 2 2" xfId="14389"/>
    <cellStyle name="Normal 69 2 5 2 2 2" xfId="19830"/>
    <cellStyle name="Normal 69 2 5 2 3" xfId="12692"/>
    <cellStyle name="Normal 69 2 5 2 4" xfId="18080"/>
    <cellStyle name="Normal 69 2 5 3" xfId="13528"/>
    <cellStyle name="Normal 69 2 5 3 2" xfId="18997"/>
    <cellStyle name="Normal 69 2 5 4" xfId="11831"/>
    <cellStyle name="Normal 69 2 5 4 2" xfId="17219"/>
    <cellStyle name="Normal 69 2 5 5" xfId="15334"/>
    <cellStyle name="Normal 69 2 5 6" xfId="16381"/>
    <cellStyle name="Normal 69 2 6" xfId="10230"/>
    <cellStyle name="Normal 69 2 6 2" xfId="13812"/>
    <cellStyle name="Normal 69 2 6 2 2" xfId="19831"/>
    <cellStyle name="Normal 69 2 6 3" xfId="12115"/>
    <cellStyle name="Normal 69 2 6 4" xfId="17503"/>
    <cellStyle name="Normal 69 2 7" xfId="12956"/>
    <cellStyle name="Normal 69 2 7 2" xfId="18497"/>
    <cellStyle name="Normal 69 2 8" xfId="11161"/>
    <cellStyle name="Normal 69 2 8 2" xfId="16647"/>
    <cellStyle name="Normal 69 2 9" xfId="14757"/>
    <cellStyle name="Normal 69 3" xfId="2421"/>
    <cellStyle name="Normal 69 3 2" xfId="4522"/>
    <cellStyle name="Normal 69 3 2 2" xfId="8910"/>
    <cellStyle name="Normal 69 3 2 2 2" xfId="10940"/>
    <cellStyle name="Normal 69 3 2 2 2 2" xfId="14520"/>
    <cellStyle name="Normal 69 3 2 2 2 2 2" xfId="19832"/>
    <cellStyle name="Normal 69 3 2 2 2 3" xfId="12823"/>
    <cellStyle name="Normal 69 3 2 2 2 4" xfId="18211"/>
    <cellStyle name="Normal 69 3 2 2 3" xfId="13659"/>
    <cellStyle name="Normal 69 3 2 2 3 2" xfId="19128"/>
    <cellStyle name="Normal 69 3 2 2 4" xfId="11962"/>
    <cellStyle name="Normal 69 3 2 2 4 2" xfId="17350"/>
    <cellStyle name="Normal 69 3 2 2 5" xfId="15466"/>
    <cellStyle name="Normal 69 3 2 2 6" xfId="16512"/>
    <cellStyle name="Normal 69 3 2 3" xfId="10464"/>
    <cellStyle name="Normal 69 3 2 3 2" xfId="14045"/>
    <cellStyle name="Normal 69 3 2 3 2 2" xfId="19833"/>
    <cellStyle name="Normal 69 3 2 3 3" xfId="12348"/>
    <cellStyle name="Normal 69 3 2 3 4" xfId="17736"/>
    <cellStyle name="Normal 69 3 2 4" xfId="13187"/>
    <cellStyle name="Normal 69 3 2 4 2" xfId="18656"/>
    <cellStyle name="Normal 69 3 2 5" xfId="11420"/>
    <cellStyle name="Normal 69 3 2 5 2" xfId="16878"/>
    <cellStyle name="Normal 69 3 2 6" xfId="14992"/>
    <cellStyle name="Normal 69 3 2 7" xfId="16040"/>
    <cellStyle name="Normal 69 3 3" xfId="5251"/>
    <cellStyle name="Normal 69 3 3 2" xfId="10592"/>
    <cellStyle name="Normal 69 3 3 2 2" xfId="14173"/>
    <cellStyle name="Normal 69 3 3 2 2 2" xfId="19834"/>
    <cellStyle name="Normal 69 3 3 2 3" xfId="12476"/>
    <cellStyle name="Normal 69 3 3 2 4" xfId="17864"/>
    <cellStyle name="Normal 69 3 3 3" xfId="13314"/>
    <cellStyle name="Normal 69 3 3 3 2" xfId="18783"/>
    <cellStyle name="Normal 69 3 3 4" xfId="11569"/>
    <cellStyle name="Normal 69 3 3 4 2" xfId="17005"/>
    <cellStyle name="Normal 69 3 3 5" xfId="15120"/>
    <cellStyle name="Normal 69 3 3 6" xfId="16167"/>
    <cellStyle name="Normal 69 3 4" xfId="7619"/>
    <cellStyle name="Normal 69 3 4 2" xfId="10773"/>
    <cellStyle name="Normal 69 3 4 2 2" xfId="14353"/>
    <cellStyle name="Normal 69 3 4 2 2 2" xfId="19835"/>
    <cellStyle name="Normal 69 3 4 2 3" xfId="12656"/>
    <cellStyle name="Normal 69 3 4 2 4" xfId="18044"/>
    <cellStyle name="Normal 69 3 4 3" xfId="13493"/>
    <cellStyle name="Normal 69 3 4 3 2" xfId="18962"/>
    <cellStyle name="Normal 69 3 4 4" xfId="11796"/>
    <cellStyle name="Normal 69 3 4 4 2" xfId="17184"/>
    <cellStyle name="Normal 69 3 4 5" xfId="15299"/>
    <cellStyle name="Normal 69 3 4 6" xfId="16346"/>
    <cellStyle name="Normal 69 3 5" xfId="10283"/>
    <cellStyle name="Normal 69 3 5 2" xfId="13865"/>
    <cellStyle name="Normal 69 3 5 2 2" xfId="19836"/>
    <cellStyle name="Normal 69 3 5 3" xfId="12168"/>
    <cellStyle name="Normal 69 3 5 4" xfId="17556"/>
    <cellStyle name="Normal 69 3 6" xfId="13008"/>
    <cellStyle name="Normal 69 3 6 2" xfId="18464"/>
    <cellStyle name="Normal 69 3 7" xfId="11227"/>
    <cellStyle name="Normal 69 3 7 2" xfId="16699"/>
    <cellStyle name="Normal 69 3 8" xfId="14811"/>
    <cellStyle name="Normal 69 3 9" xfId="15861"/>
    <cellStyle name="Normal 69 4" xfId="4345"/>
    <cellStyle name="Normal 69 4 2" xfId="8781"/>
    <cellStyle name="Normal 69 4 2 2" xfId="10852"/>
    <cellStyle name="Normal 69 4 2 2 2" xfId="14432"/>
    <cellStyle name="Normal 69 4 2 2 2 2" xfId="19837"/>
    <cellStyle name="Normal 69 4 2 2 3" xfId="12735"/>
    <cellStyle name="Normal 69 4 2 2 4" xfId="18123"/>
    <cellStyle name="Normal 69 4 2 3" xfId="13571"/>
    <cellStyle name="Normal 69 4 2 3 2" xfId="19040"/>
    <cellStyle name="Normal 69 4 2 4" xfId="11874"/>
    <cellStyle name="Normal 69 4 2 4 2" xfId="17262"/>
    <cellStyle name="Normal 69 4 2 5" xfId="15378"/>
    <cellStyle name="Normal 69 4 2 6" xfId="16424"/>
    <cellStyle name="Normal 69 4 3" xfId="10376"/>
    <cellStyle name="Normal 69 4 3 2" xfId="13957"/>
    <cellStyle name="Normal 69 4 3 2 2" xfId="19838"/>
    <cellStyle name="Normal 69 4 3 3" xfId="12260"/>
    <cellStyle name="Normal 69 4 3 4" xfId="17648"/>
    <cellStyle name="Normal 69 4 4" xfId="13099"/>
    <cellStyle name="Normal 69 4 4 2" xfId="18568"/>
    <cellStyle name="Normal 69 4 5" xfId="11332"/>
    <cellStyle name="Normal 69 4 5 2" xfId="16790"/>
    <cellStyle name="Normal 69 4 6" xfId="14904"/>
    <cellStyle name="Normal 69 4 7" xfId="15952"/>
    <cellStyle name="Normal 69 5" xfId="5143"/>
    <cellStyle name="Normal 69 5 2" xfId="10548"/>
    <cellStyle name="Normal 69 5 2 2" xfId="14129"/>
    <cellStyle name="Normal 69 5 2 2 2" xfId="19839"/>
    <cellStyle name="Normal 69 5 2 3" xfId="12432"/>
    <cellStyle name="Normal 69 5 2 4" xfId="17820"/>
    <cellStyle name="Normal 69 5 3" xfId="13270"/>
    <cellStyle name="Normal 69 5 3 2" xfId="18739"/>
    <cellStyle name="Normal 69 5 4" xfId="11520"/>
    <cellStyle name="Normal 69 5 4 2" xfId="16961"/>
    <cellStyle name="Normal 69 5 5" xfId="15076"/>
    <cellStyle name="Normal 69 5 6" xfId="16123"/>
    <cellStyle name="Normal 69 6" xfId="7677"/>
    <cellStyle name="Normal 69 6 2" xfId="10779"/>
    <cellStyle name="Normal 69 6 2 2" xfId="14359"/>
    <cellStyle name="Normal 69 6 2 2 2" xfId="19840"/>
    <cellStyle name="Normal 69 6 2 3" xfId="12662"/>
    <cellStyle name="Normal 69 6 2 4" xfId="18050"/>
    <cellStyle name="Normal 69 6 3" xfId="13499"/>
    <cellStyle name="Normal 69 6 3 2" xfId="18968"/>
    <cellStyle name="Normal 69 6 4" xfId="11802"/>
    <cellStyle name="Normal 69 6 4 2" xfId="17190"/>
    <cellStyle name="Normal 69 6 5" xfId="15305"/>
    <cellStyle name="Normal 69 6 6" xfId="16352"/>
    <cellStyle name="Normal 69 7" xfId="10197"/>
    <cellStyle name="Normal 69 7 2" xfId="13779"/>
    <cellStyle name="Normal 69 7 2 2" xfId="19841"/>
    <cellStyle name="Normal 69 7 3" xfId="12082"/>
    <cellStyle name="Normal 69 7 4" xfId="17470"/>
    <cellStyle name="Normal 69 8" xfId="12923"/>
    <cellStyle name="Normal 69 8 2" xfId="18432"/>
    <cellStyle name="Normal 69 9" xfId="11128"/>
    <cellStyle name="Normal 69 9 2" xfId="16614"/>
    <cellStyle name="Normal 7" xfId="451"/>
    <cellStyle name="Normal 7 2" xfId="452"/>
    <cellStyle name="Normal 7 2 2" xfId="453"/>
    <cellStyle name="Normal 7 2 2 2" xfId="454"/>
    <cellStyle name="Normal 7 2 2 3" xfId="455"/>
    <cellStyle name="Normal 7 2 3" xfId="456"/>
    <cellStyle name="Normal 7 2 4" xfId="457"/>
    <cellStyle name="Normal 7 3" xfId="1128"/>
    <cellStyle name="Normal 7 4" xfId="1129"/>
    <cellStyle name="Normal 7 4 10" xfId="11125"/>
    <cellStyle name="Normal 7 4 10 2" xfId="16611"/>
    <cellStyle name="Normal 7 4 11" xfId="14720"/>
    <cellStyle name="Normal 7 4 12" xfId="15773"/>
    <cellStyle name="Normal 7 4 2" xfId="1746"/>
    <cellStyle name="Normal 7 4 2 10" xfId="15790"/>
    <cellStyle name="Normal 7 4 2 2" xfId="2462"/>
    <cellStyle name="Normal 7 4 2 2 2" xfId="4536"/>
    <cellStyle name="Normal 7 4 2 2 2 2" xfId="8924"/>
    <cellStyle name="Normal 7 4 2 2 2 2 2" xfId="10954"/>
    <cellStyle name="Normal 7 4 2 2 2 2 2 2" xfId="14534"/>
    <cellStyle name="Normal 7 4 2 2 2 2 2 2 2" xfId="19842"/>
    <cellStyle name="Normal 7 4 2 2 2 2 2 3" xfId="12837"/>
    <cellStyle name="Normal 7 4 2 2 2 2 2 4" xfId="18225"/>
    <cellStyle name="Normal 7 4 2 2 2 2 3" xfId="13673"/>
    <cellStyle name="Normal 7 4 2 2 2 2 3 2" xfId="19142"/>
    <cellStyle name="Normal 7 4 2 2 2 2 4" xfId="11976"/>
    <cellStyle name="Normal 7 4 2 2 2 2 4 2" xfId="17364"/>
    <cellStyle name="Normal 7 4 2 2 2 2 5" xfId="15480"/>
    <cellStyle name="Normal 7 4 2 2 2 2 6" xfId="16526"/>
    <cellStyle name="Normal 7 4 2 2 2 3" xfId="10478"/>
    <cellStyle name="Normal 7 4 2 2 2 3 2" xfId="14059"/>
    <cellStyle name="Normal 7 4 2 2 2 3 2 2" xfId="19843"/>
    <cellStyle name="Normal 7 4 2 2 2 3 3" xfId="12362"/>
    <cellStyle name="Normal 7 4 2 2 2 3 4" xfId="17750"/>
    <cellStyle name="Normal 7 4 2 2 2 4" xfId="13201"/>
    <cellStyle name="Normal 7 4 2 2 2 4 2" xfId="18670"/>
    <cellStyle name="Normal 7 4 2 2 2 5" xfId="11434"/>
    <cellStyle name="Normal 7 4 2 2 2 5 2" xfId="16892"/>
    <cellStyle name="Normal 7 4 2 2 2 6" xfId="15006"/>
    <cellStyle name="Normal 7 4 2 2 2 7" xfId="16054"/>
    <cellStyle name="Normal 7 4 2 2 3" xfId="5193"/>
    <cellStyle name="Normal 7 4 2 2 3 2" xfId="10566"/>
    <cellStyle name="Normal 7 4 2 2 3 2 2" xfId="14147"/>
    <cellStyle name="Normal 7 4 2 2 3 2 2 2" xfId="19844"/>
    <cellStyle name="Normal 7 4 2 2 3 2 3" xfId="12450"/>
    <cellStyle name="Normal 7 4 2 2 3 2 4" xfId="17838"/>
    <cellStyle name="Normal 7 4 2 2 3 3" xfId="13288"/>
    <cellStyle name="Normal 7 4 2 2 3 3 2" xfId="18757"/>
    <cellStyle name="Normal 7 4 2 2 3 4" xfId="11540"/>
    <cellStyle name="Normal 7 4 2 2 3 4 2" xfId="16979"/>
    <cellStyle name="Normal 7 4 2 2 3 5" xfId="15094"/>
    <cellStyle name="Normal 7 4 2 2 3 6" xfId="16141"/>
    <cellStyle name="Normal 7 4 2 2 4" xfId="6825"/>
    <cellStyle name="Normal 7 4 2 2 4 2" xfId="10703"/>
    <cellStyle name="Normal 7 4 2 2 4 2 2" xfId="14284"/>
    <cellStyle name="Normal 7 4 2 2 4 2 2 2" xfId="19845"/>
    <cellStyle name="Normal 7 4 2 2 4 2 3" xfId="12587"/>
    <cellStyle name="Normal 7 4 2 2 4 2 4" xfId="17975"/>
    <cellStyle name="Normal 7 4 2 2 4 3" xfId="13424"/>
    <cellStyle name="Normal 7 4 2 2 4 3 2" xfId="18893"/>
    <cellStyle name="Normal 7 4 2 2 4 4" xfId="11727"/>
    <cellStyle name="Normal 7 4 2 2 4 4 2" xfId="17115"/>
    <cellStyle name="Normal 7 4 2 2 4 5" xfId="15230"/>
    <cellStyle name="Normal 7 4 2 2 4 6" xfId="16277"/>
    <cellStyle name="Normal 7 4 2 2 5" xfId="10297"/>
    <cellStyle name="Normal 7 4 2 2 5 2" xfId="13879"/>
    <cellStyle name="Normal 7 4 2 2 5 2 2" xfId="19846"/>
    <cellStyle name="Normal 7 4 2 2 5 3" xfId="12182"/>
    <cellStyle name="Normal 7 4 2 2 5 4" xfId="17570"/>
    <cellStyle name="Normal 7 4 2 2 6" xfId="13022"/>
    <cellStyle name="Normal 7 4 2 2 6 2" xfId="18478"/>
    <cellStyle name="Normal 7 4 2 2 7" xfId="11241"/>
    <cellStyle name="Normal 7 4 2 2 7 2" xfId="16713"/>
    <cellStyle name="Normal 7 4 2 2 8" xfId="14825"/>
    <cellStyle name="Normal 7 4 2 2 9" xfId="15875"/>
    <cellStyle name="Normal 7 4 2 3" xfId="4359"/>
    <cellStyle name="Normal 7 4 2 3 2" xfId="8795"/>
    <cellStyle name="Normal 7 4 2 3 2 2" xfId="10866"/>
    <cellStyle name="Normal 7 4 2 3 2 2 2" xfId="14446"/>
    <cellStyle name="Normal 7 4 2 3 2 2 2 2" xfId="19847"/>
    <cellStyle name="Normal 7 4 2 3 2 2 3" xfId="12749"/>
    <cellStyle name="Normal 7 4 2 3 2 2 4" xfId="18137"/>
    <cellStyle name="Normal 7 4 2 3 2 3" xfId="13585"/>
    <cellStyle name="Normal 7 4 2 3 2 3 2" xfId="19054"/>
    <cellStyle name="Normal 7 4 2 3 2 4" xfId="11888"/>
    <cellStyle name="Normal 7 4 2 3 2 4 2" xfId="17276"/>
    <cellStyle name="Normal 7 4 2 3 2 5" xfId="15392"/>
    <cellStyle name="Normal 7 4 2 3 2 6" xfId="16438"/>
    <cellStyle name="Normal 7 4 2 3 3" xfId="10390"/>
    <cellStyle name="Normal 7 4 2 3 3 2" xfId="13971"/>
    <cellStyle name="Normal 7 4 2 3 3 2 2" xfId="19848"/>
    <cellStyle name="Normal 7 4 2 3 3 3" xfId="12274"/>
    <cellStyle name="Normal 7 4 2 3 3 4" xfId="17662"/>
    <cellStyle name="Normal 7 4 2 3 4" xfId="13113"/>
    <cellStyle name="Normal 7 4 2 3 4 2" xfId="18582"/>
    <cellStyle name="Normal 7 4 2 3 5" xfId="11346"/>
    <cellStyle name="Normal 7 4 2 3 5 2" xfId="16804"/>
    <cellStyle name="Normal 7 4 2 3 6" xfId="14918"/>
    <cellStyle name="Normal 7 4 2 3 7" xfId="15966"/>
    <cellStyle name="Normal 7 4 2 4" xfId="5365"/>
    <cellStyle name="Normal 7 4 2 4 2" xfId="10638"/>
    <cellStyle name="Normal 7 4 2 4 2 2" xfId="14219"/>
    <cellStyle name="Normal 7 4 2 4 2 2 2" xfId="19849"/>
    <cellStyle name="Normal 7 4 2 4 2 3" xfId="12522"/>
    <cellStyle name="Normal 7 4 2 4 2 4" xfId="17910"/>
    <cellStyle name="Normal 7 4 2 4 3" xfId="13360"/>
    <cellStyle name="Normal 7 4 2 4 3 2" xfId="18829"/>
    <cellStyle name="Normal 7 4 2 4 4" xfId="11619"/>
    <cellStyle name="Normal 7 4 2 4 4 2" xfId="17051"/>
    <cellStyle name="Normal 7 4 2 4 5" xfId="15166"/>
    <cellStyle name="Normal 7 4 2 4 6" xfId="16213"/>
    <cellStyle name="Normal 7 4 2 5" xfId="6717"/>
    <cellStyle name="Normal 7 4 2 5 2" xfId="10687"/>
    <cellStyle name="Normal 7 4 2 5 2 2" xfId="14268"/>
    <cellStyle name="Normal 7 4 2 5 2 2 2" xfId="19850"/>
    <cellStyle name="Normal 7 4 2 5 2 3" xfId="12571"/>
    <cellStyle name="Normal 7 4 2 5 2 4" xfId="17959"/>
    <cellStyle name="Normal 7 4 2 5 3" xfId="13408"/>
    <cellStyle name="Normal 7 4 2 5 3 2" xfId="18877"/>
    <cellStyle name="Normal 7 4 2 5 4" xfId="11711"/>
    <cellStyle name="Normal 7 4 2 5 4 2" xfId="17099"/>
    <cellStyle name="Normal 7 4 2 5 5" xfId="15214"/>
    <cellStyle name="Normal 7 4 2 5 6" xfId="16261"/>
    <cellStyle name="Normal 7 4 2 6" xfId="10211"/>
    <cellStyle name="Normal 7 4 2 6 2" xfId="13793"/>
    <cellStyle name="Normal 7 4 2 6 2 2" xfId="19851"/>
    <cellStyle name="Normal 7 4 2 6 3" xfId="12096"/>
    <cellStyle name="Normal 7 4 2 6 4" xfId="17484"/>
    <cellStyle name="Normal 7 4 2 7" xfId="12937"/>
    <cellStyle name="Normal 7 4 2 7 2" xfId="18445"/>
    <cellStyle name="Normal 7 4 2 8" xfId="11142"/>
    <cellStyle name="Normal 7 4 2 8 2" xfId="16628"/>
    <cellStyle name="Normal 7 4 2 9" xfId="14738"/>
    <cellStyle name="Normal 7 4 3" xfId="1879"/>
    <cellStyle name="Normal 7 4 3 10" xfId="15806"/>
    <cellStyle name="Normal 7 4 3 2" xfId="2500"/>
    <cellStyle name="Normal 7 4 3 2 2" xfId="4552"/>
    <cellStyle name="Normal 7 4 3 2 2 2" xfId="8940"/>
    <cellStyle name="Normal 7 4 3 2 2 2 2" xfId="10970"/>
    <cellStyle name="Normal 7 4 3 2 2 2 2 2" xfId="14550"/>
    <cellStyle name="Normal 7 4 3 2 2 2 2 2 2" xfId="19852"/>
    <cellStyle name="Normal 7 4 3 2 2 2 2 3" xfId="12853"/>
    <cellStyle name="Normal 7 4 3 2 2 2 2 4" xfId="18241"/>
    <cellStyle name="Normal 7 4 3 2 2 2 3" xfId="13689"/>
    <cellStyle name="Normal 7 4 3 2 2 2 3 2" xfId="19158"/>
    <cellStyle name="Normal 7 4 3 2 2 2 4" xfId="11992"/>
    <cellStyle name="Normal 7 4 3 2 2 2 4 2" xfId="17380"/>
    <cellStyle name="Normal 7 4 3 2 2 2 5" xfId="15496"/>
    <cellStyle name="Normal 7 4 3 2 2 2 6" xfId="16542"/>
    <cellStyle name="Normal 7 4 3 2 2 3" xfId="10494"/>
    <cellStyle name="Normal 7 4 3 2 2 3 2" xfId="14075"/>
    <cellStyle name="Normal 7 4 3 2 2 3 2 2" xfId="19853"/>
    <cellStyle name="Normal 7 4 3 2 2 3 3" xfId="12378"/>
    <cellStyle name="Normal 7 4 3 2 2 3 4" xfId="17766"/>
    <cellStyle name="Normal 7 4 3 2 2 4" xfId="13217"/>
    <cellStyle name="Normal 7 4 3 2 2 4 2" xfId="18686"/>
    <cellStyle name="Normal 7 4 3 2 2 5" xfId="11450"/>
    <cellStyle name="Normal 7 4 3 2 2 5 2" xfId="16908"/>
    <cellStyle name="Normal 7 4 3 2 2 6" xfId="15022"/>
    <cellStyle name="Normal 7 4 3 2 2 7" xfId="16070"/>
    <cellStyle name="Normal 7 4 3 2 3" xfId="5331"/>
    <cellStyle name="Normal 7 4 3 2 3 2" xfId="10624"/>
    <cellStyle name="Normal 7 4 3 2 3 2 2" xfId="14205"/>
    <cellStyle name="Normal 7 4 3 2 3 2 2 2" xfId="19854"/>
    <cellStyle name="Normal 7 4 3 2 3 2 3" xfId="12508"/>
    <cellStyle name="Normal 7 4 3 2 3 2 4" xfId="17896"/>
    <cellStyle name="Normal 7 4 3 2 3 3" xfId="13346"/>
    <cellStyle name="Normal 7 4 3 2 3 3 2" xfId="18815"/>
    <cellStyle name="Normal 7 4 3 2 3 4" xfId="11603"/>
    <cellStyle name="Normal 7 4 3 2 3 4 2" xfId="17037"/>
    <cellStyle name="Normal 7 4 3 2 3 5" xfId="15152"/>
    <cellStyle name="Normal 7 4 3 2 3 6" xfId="16199"/>
    <cellStyle name="Normal 7 4 3 2 4" xfId="7110"/>
    <cellStyle name="Normal 7 4 3 2 4 2" xfId="10734"/>
    <cellStyle name="Normal 7 4 3 2 4 2 2" xfId="14314"/>
    <cellStyle name="Normal 7 4 3 2 4 2 2 2" xfId="19855"/>
    <cellStyle name="Normal 7 4 3 2 4 2 3" xfId="12617"/>
    <cellStyle name="Normal 7 4 3 2 4 2 4" xfId="18005"/>
    <cellStyle name="Normal 7 4 3 2 4 3" xfId="13454"/>
    <cellStyle name="Normal 7 4 3 2 4 3 2" xfId="18923"/>
    <cellStyle name="Normal 7 4 3 2 4 4" xfId="11757"/>
    <cellStyle name="Normal 7 4 3 2 4 4 2" xfId="17145"/>
    <cellStyle name="Normal 7 4 3 2 4 5" xfId="15260"/>
    <cellStyle name="Normal 7 4 3 2 4 6" xfId="16307"/>
    <cellStyle name="Normal 7 4 3 2 5" xfId="10313"/>
    <cellStyle name="Normal 7 4 3 2 5 2" xfId="13895"/>
    <cellStyle name="Normal 7 4 3 2 5 2 2" xfId="19856"/>
    <cellStyle name="Normal 7 4 3 2 5 3" xfId="12198"/>
    <cellStyle name="Normal 7 4 3 2 5 4" xfId="17586"/>
    <cellStyle name="Normal 7 4 3 2 6" xfId="13038"/>
    <cellStyle name="Normal 7 4 3 2 6 2" xfId="18494"/>
    <cellStyle name="Normal 7 4 3 2 7" xfId="11257"/>
    <cellStyle name="Normal 7 4 3 2 7 2" xfId="16729"/>
    <cellStyle name="Normal 7 4 3 2 8" xfId="14841"/>
    <cellStyle name="Normal 7 4 3 2 9" xfId="15891"/>
    <cellStyle name="Normal 7 4 3 3" xfId="4375"/>
    <cellStyle name="Normal 7 4 3 3 2" xfId="8811"/>
    <cellStyle name="Normal 7 4 3 3 2 2" xfId="10882"/>
    <cellStyle name="Normal 7 4 3 3 2 2 2" xfId="14462"/>
    <cellStyle name="Normal 7 4 3 3 2 2 2 2" xfId="19857"/>
    <cellStyle name="Normal 7 4 3 3 2 2 3" xfId="12765"/>
    <cellStyle name="Normal 7 4 3 3 2 2 4" xfId="18153"/>
    <cellStyle name="Normal 7 4 3 3 2 3" xfId="13601"/>
    <cellStyle name="Normal 7 4 3 3 2 3 2" xfId="19070"/>
    <cellStyle name="Normal 7 4 3 3 2 4" xfId="11904"/>
    <cellStyle name="Normal 7 4 3 3 2 4 2" xfId="17292"/>
    <cellStyle name="Normal 7 4 3 3 2 5" xfId="15408"/>
    <cellStyle name="Normal 7 4 3 3 2 6" xfId="16454"/>
    <cellStyle name="Normal 7 4 3 3 3" xfId="10406"/>
    <cellStyle name="Normal 7 4 3 3 3 2" xfId="13987"/>
    <cellStyle name="Normal 7 4 3 3 3 2 2" xfId="19858"/>
    <cellStyle name="Normal 7 4 3 3 3 3" xfId="12290"/>
    <cellStyle name="Normal 7 4 3 3 3 4" xfId="17678"/>
    <cellStyle name="Normal 7 4 3 3 4" xfId="13129"/>
    <cellStyle name="Normal 7 4 3 3 4 2" xfId="18598"/>
    <cellStyle name="Normal 7 4 3 3 5" xfId="11362"/>
    <cellStyle name="Normal 7 4 3 3 5 2" xfId="16820"/>
    <cellStyle name="Normal 7 4 3 3 6" xfId="14934"/>
    <cellStyle name="Normal 7 4 3 3 7" xfId="15982"/>
    <cellStyle name="Normal 7 4 3 4" xfId="5114"/>
    <cellStyle name="Normal 7 4 3 4 2" xfId="10537"/>
    <cellStyle name="Normal 7 4 3 4 2 2" xfId="14118"/>
    <cellStyle name="Normal 7 4 3 4 2 2 2" xfId="19859"/>
    <cellStyle name="Normal 7 4 3 4 2 3" xfId="12421"/>
    <cellStyle name="Normal 7 4 3 4 2 4" xfId="17809"/>
    <cellStyle name="Normal 7 4 3 4 3" xfId="13259"/>
    <cellStyle name="Normal 7 4 3 4 3 2" xfId="18728"/>
    <cellStyle name="Normal 7 4 3 4 4" xfId="11507"/>
    <cellStyle name="Normal 7 4 3 4 4 2" xfId="16950"/>
    <cellStyle name="Normal 7 4 3 4 5" xfId="15065"/>
    <cellStyle name="Normal 7 4 3 4 6" xfId="16112"/>
    <cellStyle name="Normal 7 4 3 5" xfId="7041"/>
    <cellStyle name="Normal 7 4 3 5 2" xfId="10724"/>
    <cellStyle name="Normal 7 4 3 5 2 2" xfId="14304"/>
    <cellStyle name="Normal 7 4 3 5 2 2 2" xfId="19860"/>
    <cellStyle name="Normal 7 4 3 5 2 3" xfId="12607"/>
    <cellStyle name="Normal 7 4 3 5 2 4" xfId="17995"/>
    <cellStyle name="Normal 7 4 3 5 3" xfId="13444"/>
    <cellStyle name="Normal 7 4 3 5 3 2" xfId="18913"/>
    <cellStyle name="Normal 7 4 3 5 4" xfId="11747"/>
    <cellStyle name="Normal 7 4 3 5 4 2" xfId="17135"/>
    <cellStyle name="Normal 7 4 3 5 5" xfId="15250"/>
    <cellStyle name="Normal 7 4 3 5 6" xfId="16297"/>
    <cellStyle name="Normal 7 4 3 6" xfId="10227"/>
    <cellStyle name="Normal 7 4 3 6 2" xfId="13809"/>
    <cellStyle name="Normal 7 4 3 6 2 2" xfId="19861"/>
    <cellStyle name="Normal 7 4 3 6 3" xfId="12112"/>
    <cellStyle name="Normal 7 4 3 6 4" xfId="17500"/>
    <cellStyle name="Normal 7 4 3 7" xfId="12953"/>
    <cellStyle name="Normal 7 4 3 7 2" xfId="18429"/>
    <cellStyle name="Normal 7 4 3 8" xfId="11158"/>
    <cellStyle name="Normal 7 4 3 8 2" xfId="16644"/>
    <cellStyle name="Normal 7 4 3 9" xfId="14754"/>
    <cellStyle name="Normal 7 4 4" xfId="2404"/>
    <cellStyle name="Normal 7 4 4 2" xfId="4518"/>
    <cellStyle name="Normal 7 4 4 2 2" xfId="8906"/>
    <cellStyle name="Normal 7 4 4 2 2 2" xfId="10936"/>
    <cellStyle name="Normal 7 4 4 2 2 2 2" xfId="14516"/>
    <cellStyle name="Normal 7 4 4 2 2 2 2 2" xfId="19862"/>
    <cellStyle name="Normal 7 4 4 2 2 2 3" xfId="12819"/>
    <cellStyle name="Normal 7 4 4 2 2 2 4" xfId="18207"/>
    <cellStyle name="Normal 7 4 4 2 2 3" xfId="13655"/>
    <cellStyle name="Normal 7 4 4 2 2 3 2" xfId="19124"/>
    <cellStyle name="Normal 7 4 4 2 2 4" xfId="11958"/>
    <cellStyle name="Normal 7 4 4 2 2 4 2" xfId="17346"/>
    <cellStyle name="Normal 7 4 4 2 2 5" xfId="15462"/>
    <cellStyle name="Normal 7 4 4 2 2 6" xfId="16508"/>
    <cellStyle name="Normal 7 4 4 2 3" xfId="10460"/>
    <cellStyle name="Normal 7 4 4 2 3 2" xfId="14041"/>
    <cellStyle name="Normal 7 4 4 2 3 2 2" xfId="19863"/>
    <cellStyle name="Normal 7 4 4 2 3 3" xfId="12344"/>
    <cellStyle name="Normal 7 4 4 2 3 4" xfId="17732"/>
    <cellStyle name="Normal 7 4 4 2 4" xfId="13183"/>
    <cellStyle name="Normal 7 4 4 2 4 2" xfId="18652"/>
    <cellStyle name="Normal 7 4 4 2 5" xfId="11416"/>
    <cellStyle name="Normal 7 4 4 2 5 2" xfId="16874"/>
    <cellStyle name="Normal 7 4 4 2 6" xfId="14988"/>
    <cellStyle name="Normal 7 4 4 2 7" xfId="16036"/>
    <cellStyle name="Normal 7 4 4 3" xfId="5312"/>
    <cellStyle name="Normal 7 4 4 3 2" xfId="10617"/>
    <cellStyle name="Normal 7 4 4 3 2 2" xfId="14198"/>
    <cellStyle name="Normal 7 4 4 3 2 2 2" xfId="19864"/>
    <cellStyle name="Normal 7 4 4 3 2 3" xfId="12501"/>
    <cellStyle name="Normal 7 4 4 3 2 4" xfId="17889"/>
    <cellStyle name="Normal 7 4 4 3 3" xfId="13339"/>
    <cellStyle name="Normal 7 4 4 3 3 2" xfId="18808"/>
    <cellStyle name="Normal 7 4 4 3 4" xfId="11596"/>
    <cellStyle name="Normal 7 4 4 3 4 2" xfId="17030"/>
    <cellStyle name="Normal 7 4 4 3 5" xfId="15145"/>
    <cellStyle name="Normal 7 4 4 3 6" xfId="16192"/>
    <cellStyle name="Normal 7 4 4 4" xfId="7881"/>
    <cellStyle name="Normal 7 4 4 4 2" xfId="10796"/>
    <cellStyle name="Normal 7 4 4 4 2 2" xfId="14376"/>
    <cellStyle name="Normal 7 4 4 4 2 2 2" xfId="19865"/>
    <cellStyle name="Normal 7 4 4 4 2 3" xfId="12679"/>
    <cellStyle name="Normal 7 4 4 4 2 4" xfId="18067"/>
    <cellStyle name="Normal 7 4 4 4 3" xfId="13515"/>
    <cellStyle name="Normal 7 4 4 4 3 2" xfId="18984"/>
    <cellStyle name="Normal 7 4 4 4 4" xfId="11818"/>
    <cellStyle name="Normal 7 4 4 4 4 2" xfId="17206"/>
    <cellStyle name="Normal 7 4 4 4 5" xfId="15321"/>
    <cellStyle name="Normal 7 4 4 4 6" xfId="16368"/>
    <cellStyle name="Normal 7 4 4 5" xfId="10279"/>
    <cellStyle name="Normal 7 4 4 5 2" xfId="13861"/>
    <cellStyle name="Normal 7 4 4 5 2 2" xfId="19866"/>
    <cellStyle name="Normal 7 4 4 5 3" xfId="12164"/>
    <cellStyle name="Normal 7 4 4 5 4" xfId="17552"/>
    <cellStyle name="Normal 7 4 4 6" xfId="13004"/>
    <cellStyle name="Normal 7 4 4 6 2" xfId="18461"/>
    <cellStyle name="Normal 7 4 4 7" xfId="11223"/>
    <cellStyle name="Normal 7 4 4 7 2" xfId="16695"/>
    <cellStyle name="Normal 7 4 4 8" xfId="14806"/>
    <cellStyle name="Normal 7 4 4 9" xfId="15857"/>
    <cellStyle name="Normal 7 4 5" xfId="4340"/>
    <cellStyle name="Normal 7 4 5 2" xfId="8777"/>
    <cellStyle name="Normal 7 4 5 2 2" xfId="10848"/>
    <cellStyle name="Normal 7 4 5 2 2 2" xfId="14428"/>
    <cellStyle name="Normal 7 4 5 2 2 2 2" xfId="19867"/>
    <cellStyle name="Normal 7 4 5 2 2 3" xfId="12731"/>
    <cellStyle name="Normal 7 4 5 2 2 4" xfId="18119"/>
    <cellStyle name="Normal 7 4 5 2 3" xfId="13567"/>
    <cellStyle name="Normal 7 4 5 2 3 2" xfId="19036"/>
    <cellStyle name="Normal 7 4 5 2 4" xfId="11870"/>
    <cellStyle name="Normal 7 4 5 2 4 2" xfId="17258"/>
    <cellStyle name="Normal 7 4 5 2 5" xfId="15374"/>
    <cellStyle name="Normal 7 4 5 2 6" xfId="16420"/>
    <cellStyle name="Normal 7 4 5 3" xfId="10372"/>
    <cellStyle name="Normal 7 4 5 3 2" xfId="13953"/>
    <cellStyle name="Normal 7 4 5 3 2 2" xfId="19868"/>
    <cellStyle name="Normal 7 4 5 3 3" xfId="12256"/>
    <cellStyle name="Normal 7 4 5 3 4" xfId="17644"/>
    <cellStyle name="Normal 7 4 5 4" xfId="13095"/>
    <cellStyle name="Normal 7 4 5 4 2" xfId="18564"/>
    <cellStyle name="Normal 7 4 5 5" xfId="11328"/>
    <cellStyle name="Normal 7 4 5 5 2" xfId="16786"/>
    <cellStyle name="Normal 7 4 5 6" xfId="14900"/>
    <cellStyle name="Normal 7 4 5 7" xfId="15948"/>
    <cellStyle name="Normal 7 4 6" xfId="5239"/>
    <cellStyle name="Normal 7 4 6 2" xfId="10587"/>
    <cellStyle name="Normal 7 4 6 2 2" xfId="14168"/>
    <cellStyle name="Normal 7 4 6 2 2 2" xfId="19869"/>
    <cellStyle name="Normal 7 4 6 2 3" xfId="12471"/>
    <cellStyle name="Normal 7 4 6 2 4" xfId="17859"/>
    <cellStyle name="Normal 7 4 6 3" xfId="13309"/>
    <cellStyle name="Normal 7 4 6 3 2" xfId="18778"/>
    <cellStyle name="Normal 7 4 6 4" xfId="11564"/>
    <cellStyle name="Normal 7 4 6 4 2" xfId="17000"/>
    <cellStyle name="Normal 7 4 6 5" xfId="15115"/>
    <cellStyle name="Normal 7 4 6 6" xfId="16162"/>
    <cellStyle name="Normal 7 4 7" xfId="7484"/>
    <cellStyle name="Normal 7 4 7 2" xfId="10761"/>
    <cellStyle name="Normal 7 4 7 2 2" xfId="14341"/>
    <cellStyle name="Normal 7 4 7 2 2 2" xfId="19870"/>
    <cellStyle name="Normal 7 4 7 2 3" xfId="12644"/>
    <cellStyle name="Normal 7 4 7 2 4" xfId="18032"/>
    <cellStyle name="Normal 7 4 7 3" xfId="13481"/>
    <cellStyle name="Normal 7 4 7 3 2" xfId="18950"/>
    <cellStyle name="Normal 7 4 7 4" xfId="11784"/>
    <cellStyle name="Normal 7 4 7 4 2" xfId="17172"/>
    <cellStyle name="Normal 7 4 7 5" xfId="15287"/>
    <cellStyle name="Normal 7 4 7 6" xfId="16334"/>
    <cellStyle name="Normal 7 4 8" xfId="10192"/>
    <cellStyle name="Normal 7 4 8 2" xfId="13776"/>
    <cellStyle name="Normal 7 4 8 2 2" xfId="19871"/>
    <cellStyle name="Normal 7 4 8 3" xfId="12079"/>
    <cellStyle name="Normal 7 4 8 4" xfId="17467"/>
    <cellStyle name="Normal 7 4 9" xfId="12920"/>
    <cellStyle name="Normal 7 4 9 2" xfId="18407"/>
    <cellStyle name="Normal 7 5" xfId="1130"/>
    <cellStyle name="Normal 7 5 10" xfId="11126"/>
    <cellStyle name="Normal 7 5 10 2" xfId="16612"/>
    <cellStyle name="Normal 7 5 11" xfId="14721"/>
    <cellStyle name="Normal 7 5 12" xfId="15774"/>
    <cellStyle name="Normal 7 5 2" xfId="1747"/>
    <cellStyle name="Normal 7 5 2 10" xfId="15791"/>
    <cellStyle name="Normal 7 5 2 2" xfId="2463"/>
    <cellStyle name="Normal 7 5 2 2 2" xfId="4537"/>
    <cellStyle name="Normal 7 5 2 2 2 2" xfId="8925"/>
    <cellStyle name="Normal 7 5 2 2 2 2 2" xfId="10955"/>
    <cellStyle name="Normal 7 5 2 2 2 2 2 2" xfId="14535"/>
    <cellStyle name="Normal 7 5 2 2 2 2 2 2 2" xfId="19872"/>
    <cellStyle name="Normal 7 5 2 2 2 2 2 3" xfId="12838"/>
    <cellStyle name="Normal 7 5 2 2 2 2 2 4" xfId="18226"/>
    <cellStyle name="Normal 7 5 2 2 2 2 3" xfId="13674"/>
    <cellStyle name="Normal 7 5 2 2 2 2 3 2" xfId="19143"/>
    <cellStyle name="Normal 7 5 2 2 2 2 4" xfId="11977"/>
    <cellStyle name="Normal 7 5 2 2 2 2 4 2" xfId="17365"/>
    <cellStyle name="Normal 7 5 2 2 2 2 5" xfId="15481"/>
    <cellStyle name="Normal 7 5 2 2 2 2 6" xfId="16527"/>
    <cellStyle name="Normal 7 5 2 2 2 3" xfId="10479"/>
    <cellStyle name="Normal 7 5 2 2 2 3 2" xfId="14060"/>
    <cellStyle name="Normal 7 5 2 2 2 3 2 2" xfId="19873"/>
    <cellStyle name="Normal 7 5 2 2 2 3 3" xfId="12363"/>
    <cellStyle name="Normal 7 5 2 2 2 3 4" xfId="17751"/>
    <cellStyle name="Normal 7 5 2 2 2 4" xfId="13202"/>
    <cellStyle name="Normal 7 5 2 2 2 4 2" xfId="18671"/>
    <cellStyle name="Normal 7 5 2 2 2 5" xfId="11435"/>
    <cellStyle name="Normal 7 5 2 2 2 5 2" xfId="16893"/>
    <cellStyle name="Normal 7 5 2 2 2 6" xfId="15007"/>
    <cellStyle name="Normal 7 5 2 2 2 7" xfId="16055"/>
    <cellStyle name="Normal 7 5 2 2 3" xfId="5212"/>
    <cellStyle name="Normal 7 5 2 2 3 2" xfId="10572"/>
    <cellStyle name="Normal 7 5 2 2 3 2 2" xfId="14153"/>
    <cellStyle name="Normal 7 5 2 2 3 2 2 2" xfId="19874"/>
    <cellStyle name="Normal 7 5 2 2 3 2 3" xfId="12456"/>
    <cellStyle name="Normal 7 5 2 2 3 2 4" xfId="17844"/>
    <cellStyle name="Normal 7 5 2 2 3 3" xfId="13294"/>
    <cellStyle name="Normal 7 5 2 2 3 3 2" xfId="18763"/>
    <cellStyle name="Normal 7 5 2 2 3 4" xfId="11547"/>
    <cellStyle name="Normal 7 5 2 2 3 4 2" xfId="16985"/>
    <cellStyle name="Normal 7 5 2 2 3 5" xfId="15100"/>
    <cellStyle name="Normal 7 5 2 2 3 6" xfId="16147"/>
    <cellStyle name="Normal 7 5 2 2 4" xfId="6752"/>
    <cellStyle name="Normal 7 5 2 2 4 2" xfId="10696"/>
    <cellStyle name="Normal 7 5 2 2 4 2 2" xfId="14277"/>
    <cellStyle name="Normal 7 5 2 2 4 2 2 2" xfId="19875"/>
    <cellStyle name="Normal 7 5 2 2 4 2 3" xfId="12580"/>
    <cellStyle name="Normal 7 5 2 2 4 2 4" xfId="17968"/>
    <cellStyle name="Normal 7 5 2 2 4 3" xfId="13417"/>
    <cellStyle name="Normal 7 5 2 2 4 3 2" xfId="18886"/>
    <cellStyle name="Normal 7 5 2 2 4 4" xfId="11720"/>
    <cellStyle name="Normal 7 5 2 2 4 4 2" xfId="17108"/>
    <cellStyle name="Normal 7 5 2 2 4 5" xfId="15223"/>
    <cellStyle name="Normal 7 5 2 2 4 6" xfId="16270"/>
    <cellStyle name="Normal 7 5 2 2 5" xfId="10298"/>
    <cellStyle name="Normal 7 5 2 2 5 2" xfId="13880"/>
    <cellStyle name="Normal 7 5 2 2 5 2 2" xfId="19876"/>
    <cellStyle name="Normal 7 5 2 2 5 3" xfId="12183"/>
    <cellStyle name="Normal 7 5 2 2 5 4" xfId="17571"/>
    <cellStyle name="Normal 7 5 2 2 6" xfId="13023"/>
    <cellStyle name="Normal 7 5 2 2 6 2" xfId="18479"/>
    <cellStyle name="Normal 7 5 2 2 7" xfId="11242"/>
    <cellStyle name="Normal 7 5 2 2 7 2" xfId="16714"/>
    <cellStyle name="Normal 7 5 2 2 8" xfId="14826"/>
    <cellStyle name="Normal 7 5 2 2 9" xfId="15876"/>
    <cellStyle name="Normal 7 5 2 3" xfId="4360"/>
    <cellStyle name="Normal 7 5 2 3 2" xfId="8796"/>
    <cellStyle name="Normal 7 5 2 3 2 2" xfId="10867"/>
    <cellStyle name="Normal 7 5 2 3 2 2 2" xfId="14447"/>
    <cellStyle name="Normal 7 5 2 3 2 2 2 2" xfId="19877"/>
    <cellStyle name="Normal 7 5 2 3 2 2 3" xfId="12750"/>
    <cellStyle name="Normal 7 5 2 3 2 2 4" xfId="18138"/>
    <cellStyle name="Normal 7 5 2 3 2 3" xfId="13586"/>
    <cellStyle name="Normal 7 5 2 3 2 3 2" xfId="19055"/>
    <cellStyle name="Normal 7 5 2 3 2 4" xfId="11889"/>
    <cellStyle name="Normal 7 5 2 3 2 4 2" xfId="17277"/>
    <cellStyle name="Normal 7 5 2 3 2 5" xfId="15393"/>
    <cellStyle name="Normal 7 5 2 3 2 6" xfId="16439"/>
    <cellStyle name="Normal 7 5 2 3 3" xfId="10391"/>
    <cellStyle name="Normal 7 5 2 3 3 2" xfId="13972"/>
    <cellStyle name="Normal 7 5 2 3 3 2 2" xfId="19878"/>
    <cellStyle name="Normal 7 5 2 3 3 3" xfId="12275"/>
    <cellStyle name="Normal 7 5 2 3 3 4" xfId="17663"/>
    <cellStyle name="Normal 7 5 2 3 4" xfId="13114"/>
    <cellStyle name="Normal 7 5 2 3 4 2" xfId="18583"/>
    <cellStyle name="Normal 7 5 2 3 5" xfId="11347"/>
    <cellStyle name="Normal 7 5 2 3 5 2" xfId="16805"/>
    <cellStyle name="Normal 7 5 2 3 6" xfId="14919"/>
    <cellStyle name="Normal 7 5 2 3 7" xfId="15967"/>
    <cellStyle name="Normal 7 5 2 4" xfId="5217"/>
    <cellStyle name="Normal 7 5 2 4 2" xfId="10575"/>
    <cellStyle name="Normal 7 5 2 4 2 2" xfId="14156"/>
    <cellStyle name="Normal 7 5 2 4 2 2 2" xfId="19879"/>
    <cellStyle name="Normal 7 5 2 4 2 3" xfId="12459"/>
    <cellStyle name="Normal 7 5 2 4 2 4" xfId="17847"/>
    <cellStyle name="Normal 7 5 2 4 3" xfId="13297"/>
    <cellStyle name="Normal 7 5 2 4 3 2" xfId="18766"/>
    <cellStyle name="Normal 7 5 2 4 4" xfId="11551"/>
    <cellStyle name="Normal 7 5 2 4 4 2" xfId="16988"/>
    <cellStyle name="Normal 7 5 2 4 5" xfId="15103"/>
    <cellStyle name="Normal 7 5 2 4 6" xfId="16150"/>
    <cellStyle name="Normal 7 5 2 5" xfId="7260"/>
    <cellStyle name="Normal 7 5 2 5 2" xfId="10744"/>
    <cellStyle name="Normal 7 5 2 5 2 2" xfId="14324"/>
    <cellStyle name="Normal 7 5 2 5 2 2 2" xfId="19880"/>
    <cellStyle name="Normal 7 5 2 5 2 3" xfId="12627"/>
    <cellStyle name="Normal 7 5 2 5 2 4" xfId="18015"/>
    <cellStyle name="Normal 7 5 2 5 3" xfId="13464"/>
    <cellStyle name="Normal 7 5 2 5 3 2" xfId="18933"/>
    <cellStyle name="Normal 7 5 2 5 4" xfId="11767"/>
    <cellStyle name="Normal 7 5 2 5 4 2" xfId="17155"/>
    <cellStyle name="Normal 7 5 2 5 5" xfId="15270"/>
    <cellStyle name="Normal 7 5 2 5 6" xfId="16317"/>
    <cellStyle name="Normal 7 5 2 6" xfId="10212"/>
    <cellStyle name="Normal 7 5 2 6 2" xfId="13794"/>
    <cellStyle name="Normal 7 5 2 6 2 2" xfId="19881"/>
    <cellStyle name="Normal 7 5 2 6 3" xfId="12097"/>
    <cellStyle name="Normal 7 5 2 6 4" xfId="17485"/>
    <cellStyle name="Normal 7 5 2 7" xfId="12938"/>
    <cellStyle name="Normal 7 5 2 7 2" xfId="18446"/>
    <cellStyle name="Normal 7 5 2 8" xfId="11143"/>
    <cellStyle name="Normal 7 5 2 8 2" xfId="16629"/>
    <cellStyle name="Normal 7 5 2 9" xfId="14739"/>
    <cellStyle name="Normal 7 5 3" xfId="1880"/>
    <cellStyle name="Normal 7 5 3 10" xfId="15807"/>
    <cellStyle name="Normal 7 5 3 2" xfId="2501"/>
    <cellStyle name="Normal 7 5 3 2 2" xfId="4553"/>
    <cellStyle name="Normal 7 5 3 2 2 2" xfId="8941"/>
    <cellStyle name="Normal 7 5 3 2 2 2 2" xfId="10971"/>
    <cellStyle name="Normal 7 5 3 2 2 2 2 2" xfId="14551"/>
    <cellStyle name="Normal 7 5 3 2 2 2 2 2 2" xfId="19882"/>
    <cellStyle name="Normal 7 5 3 2 2 2 2 3" xfId="12854"/>
    <cellStyle name="Normal 7 5 3 2 2 2 2 4" xfId="18242"/>
    <cellStyle name="Normal 7 5 3 2 2 2 3" xfId="13690"/>
    <cellStyle name="Normal 7 5 3 2 2 2 3 2" xfId="19159"/>
    <cellStyle name="Normal 7 5 3 2 2 2 4" xfId="11993"/>
    <cellStyle name="Normal 7 5 3 2 2 2 4 2" xfId="17381"/>
    <cellStyle name="Normal 7 5 3 2 2 2 5" xfId="15497"/>
    <cellStyle name="Normal 7 5 3 2 2 2 6" xfId="16543"/>
    <cellStyle name="Normal 7 5 3 2 2 3" xfId="10495"/>
    <cellStyle name="Normal 7 5 3 2 2 3 2" xfId="14076"/>
    <cellStyle name="Normal 7 5 3 2 2 3 2 2" xfId="19883"/>
    <cellStyle name="Normal 7 5 3 2 2 3 3" xfId="12379"/>
    <cellStyle name="Normal 7 5 3 2 2 3 4" xfId="17767"/>
    <cellStyle name="Normal 7 5 3 2 2 4" xfId="13218"/>
    <cellStyle name="Normal 7 5 3 2 2 4 2" xfId="18687"/>
    <cellStyle name="Normal 7 5 3 2 2 5" xfId="11451"/>
    <cellStyle name="Normal 7 5 3 2 2 5 2" xfId="16909"/>
    <cellStyle name="Normal 7 5 3 2 2 6" xfId="15023"/>
    <cellStyle name="Normal 7 5 3 2 2 7" xfId="16071"/>
    <cellStyle name="Normal 7 5 3 2 3" xfId="5304"/>
    <cellStyle name="Normal 7 5 3 2 3 2" xfId="10613"/>
    <cellStyle name="Normal 7 5 3 2 3 2 2" xfId="14194"/>
    <cellStyle name="Normal 7 5 3 2 3 2 2 2" xfId="19884"/>
    <cellStyle name="Normal 7 5 3 2 3 2 3" xfId="12497"/>
    <cellStyle name="Normal 7 5 3 2 3 2 4" xfId="17885"/>
    <cellStyle name="Normal 7 5 3 2 3 3" xfId="13335"/>
    <cellStyle name="Normal 7 5 3 2 3 3 2" xfId="18804"/>
    <cellStyle name="Normal 7 5 3 2 3 4" xfId="11592"/>
    <cellStyle name="Normal 7 5 3 2 3 4 2" xfId="17026"/>
    <cellStyle name="Normal 7 5 3 2 3 5" xfId="15141"/>
    <cellStyle name="Normal 7 5 3 2 3 6" xfId="16188"/>
    <cellStyle name="Normal 7 5 3 2 4" xfId="7703"/>
    <cellStyle name="Normal 7 5 3 2 4 2" xfId="10781"/>
    <cellStyle name="Normal 7 5 3 2 4 2 2" xfId="14361"/>
    <cellStyle name="Normal 7 5 3 2 4 2 2 2" xfId="19885"/>
    <cellStyle name="Normal 7 5 3 2 4 2 3" xfId="12664"/>
    <cellStyle name="Normal 7 5 3 2 4 2 4" xfId="18052"/>
    <cellStyle name="Normal 7 5 3 2 4 3" xfId="13500"/>
    <cellStyle name="Normal 7 5 3 2 4 3 2" xfId="18969"/>
    <cellStyle name="Normal 7 5 3 2 4 4" xfId="11803"/>
    <cellStyle name="Normal 7 5 3 2 4 4 2" xfId="17191"/>
    <cellStyle name="Normal 7 5 3 2 4 5" xfId="15306"/>
    <cellStyle name="Normal 7 5 3 2 4 6" xfId="16353"/>
    <cellStyle name="Normal 7 5 3 2 5" xfId="10314"/>
    <cellStyle name="Normal 7 5 3 2 5 2" xfId="13896"/>
    <cellStyle name="Normal 7 5 3 2 5 2 2" xfId="19886"/>
    <cellStyle name="Normal 7 5 3 2 5 3" xfId="12199"/>
    <cellStyle name="Normal 7 5 3 2 5 4" xfId="17587"/>
    <cellStyle name="Normal 7 5 3 2 6" xfId="13039"/>
    <cellStyle name="Normal 7 5 3 2 6 2" xfId="18495"/>
    <cellStyle name="Normal 7 5 3 2 7" xfId="11258"/>
    <cellStyle name="Normal 7 5 3 2 7 2" xfId="16730"/>
    <cellStyle name="Normal 7 5 3 2 8" xfId="14842"/>
    <cellStyle name="Normal 7 5 3 2 9" xfId="15892"/>
    <cellStyle name="Normal 7 5 3 3" xfId="4376"/>
    <cellStyle name="Normal 7 5 3 3 2" xfId="8812"/>
    <cellStyle name="Normal 7 5 3 3 2 2" xfId="10883"/>
    <cellStyle name="Normal 7 5 3 3 2 2 2" xfId="14463"/>
    <cellStyle name="Normal 7 5 3 3 2 2 2 2" xfId="19887"/>
    <cellStyle name="Normal 7 5 3 3 2 2 3" xfId="12766"/>
    <cellStyle name="Normal 7 5 3 3 2 2 4" xfId="18154"/>
    <cellStyle name="Normal 7 5 3 3 2 3" xfId="13602"/>
    <cellStyle name="Normal 7 5 3 3 2 3 2" xfId="19071"/>
    <cellStyle name="Normal 7 5 3 3 2 4" xfId="11905"/>
    <cellStyle name="Normal 7 5 3 3 2 4 2" xfId="17293"/>
    <cellStyle name="Normal 7 5 3 3 2 5" xfId="15409"/>
    <cellStyle name="Normal 7 5 3 3 2 6" xfId="16455"/>
    <cellStyle name="Normal 7 5 3 3 3" xfId="10407"/>
    <cellStyle name="Normal 7 5 3 3 3 2" xfId="13988"/>
    <cellStyle name="Normal 7 5 3 3 3 2 2" xfId="19888"/>
    <cellStyle name="Normal 7 5 3 3 3 3" xfId="12291"/>
    <cellStyle name="Normal 7 5 3 3 3 4" xfId="17679"/>
    <cellStyle name="Normal 7 5 3 3 4" xfId="13130"/>
    <cellStyle name="Normal 7 5 3 3 4 2" xfId="18599"/>
    <cellStyle name="Normal 7 5 3 3 5" xfId="11363"/>
    <cellStyle name="Normal 7 5 3 3 5 2" xfId="16821"/>
    <cellStyle name="Normal 7 5 3 3 6" xfId="14935"/>
    <cellStyle name="Normal 7 5 3 3 7" xfId="15983"/>
    <cellStyle name="Normal 7 5 3 4" xfId="5299"/>
    <cellStyle name="Normal 7 5 3 4 2" xfId="10609"/>
    <cellStyle name="Normal 7 5 3 4 2 2" xfId="14190"/>
    <cellStyle name="Normal 7 5 3 4 2 2 2" xfId="19889"/>
    <cellStyle name="Normal 7 5 3 4 2 3" xfId="12493"/>
    <cellStyle name="Normal 7 5 3 4 2 4" xfId="17881"/>
    <cellStyle name="Normal 7 5 3 4 3" xfId="13331"/>
    <cellStyle name="Normal 7 5 3 4 3 2" xfId="18800"/>
    <cellStyle name="Normal 7 5 3 4 4" xfId="11588"/>
    <cellStyle name="Normal 7 5 3 4 4 2" xfId="17022"/>
    <cellStyle name="Normal 7 5 3 4 5" xfId="15137"/>
    <cellStyle name="Normal 7 5 3 4 6" xfId="16184"/>
    <cellStyle name="Normal 7 5 3 5" xfId="6403"/>
    <cellStyle name="Normal 7 5 3 5 2" xfId="10664"/>
    <cellStyle name="Normal 7 5 3 5 2 2" xfId="14245"/>
    <cellStyle name="Normal 7 5 3 5 2 2 2" xfId="19890"/>
    <cellStyle name="Normal 7 5 3 5 2 3" xfId="12548"/>
    <cellStyle name="Normal 7 5 3 5 2 4" xfId="17936"/>
    <cellStyle name="Normal 7 5 3 5 3" xfId="13385"/>
    <cellStyle name="Normal 7 5 3 5 3 2" xfId="18854"/>
    <cellStyle name="Normal 7 5 3 5 4" xfId="11688"/>
    <cellStyle name="Normal 7 5 3 5 4 2" xfId="17076"/>
    <cellStyle name="Normal 7 5 3 5 5" xfId="15191"/>
    <cellStyle name="Normal 7 5 3 5 6" xfId="16238"/>
    <cellStyle name="Normal 7 5 3 6" xfId="10228"/>
    <cellStyle name="Normal 7 5 3 6 2" xfId="13810"/>
    <cellStyle name="Normal 7 5 3 6 2 2" xfId="19891"/>
    <cellStyle name="Normal 7 5 3 6 3" xfId="12113"/>
    <cellStyle name="Normal 7 5 3 6 4" xfId="17501"/>
    <cellStyle name="Normal 7 5 3 7" xfId="12954"/>
    <cellStyle name="Normal 7 5 3 7 2" xfId="18430"/>
    <cellStyle name="Normal 7 5 3 8" xfId="11159"/>
    <cellStyle name="Normal 7 5 3 8 2" xfId="16645"/>
    <cellStyle name="Normal 7 5 3 9" xfId="14755"/>
    <cellStyle name="Normal 7 5 4" xfId="2405"/>
    <cellStyle name="Normal 7 5 4 2" xfId="4519"/>
    <cellStyle name="Normal 7 5 4 2 2" xfId="8907"/>
    <cellStyle name="Normal 7 5 4 2 2 2" xfId="10937"/>
    <cellStyle name="Normal 7 5 4 2 2 2 2" xfId="14517"/>
    <cellStyle name="Normal 7 5 4 2 2 2 2 2" xfId="19892"/>
    <cellStyle name="Normal 7 5 4 2 2 2 3" xfId="12820"/>
    <cellStyle name="Normal 7 5 4 2 2 2 4" xfId="18208"/>
    <cellStyle name="Normal 7 5 4 2 2 3" xfId="13656"/>
    <cellStyle name="Normal 7 5 4 2 2 3 2" xfId="19125"/>
    <cellStyle name="Normal 7 5 4 2 2 4" xfId="11959"/>
    <cellStyle name="Normal 7 5 4 2 2 4 2" xfId="17347"/>
    <cellStyle name="Normal 7 5 4 2 2 5" xfId="15463"/>
    <cellStyle name="Normal 7 5 4 2 2 6" xfId="16509"/>
    <cellStyle name="Normal 7 5 4 2 3" xfId="10461"/>
    <cellStyle name="Normal 7 5 4 2 3 2" xfId="14042"/>
    <cellStyle name="Normal 7 5 4 2 3 2 2" xfId="19893"/>
    <cellStyle name="Normal 7 5 4 2 3 3" xfId="12345"/>
    <cellStyle name="Normal 7 5 4 2 3 4" xfId="17733"/>
    <cellStyle name="Normal 7 5 4 2 4" xfId="13184"/>
    <cellStyle name="Normal 7 5 4 2 4 2" xfId="18653"/>
    <cellStyle name="Normal 7 5 4 2 5" xfId="11417"/>
    <cellStyle name="Normal 7 5 4 2 5 2" xfId="16875"/>
    <cellStyle name="Normal 7 5 4 2 6" xfId="14989"/>
    <cellStyle name="Normal 7 5 4 2 7" xfId="16037"/>
    <cellStyle name="Normal 7 5 4 3" xfId="5351"/>
    <cellStyle name="Normal 7 5 4 3 2" xfId="10631"/>
    <cellStyle name="Normal 7 5 4 3 2 2" xfId="14212"/>
    <cellStyle name="Normal 7 5 4 3 2 2 2" xfId="19894"/>
    <cellStyle name="Normal 7 5 4 3 2 3" xfId="12515"/>
    <cellStyle name="Normal 7 5 4 3 2 4" xfId="17903"/>
    <cellStyle name="Normal 7 5 4 3 3" xfId="13353"/>
    <cellStyle name="Normal 7 5 4 3 3 2" xfId="18822"/>
    <cellStyle name="Normal 7 5 4 3 4" xfId="11611"/>
    <cellStyle name="Normal 7 5 4 3 4 2" xfId="17044"/>
    <cellStyle name="Normal 7 5 4 3 5" xfId="15159"/>
    <cellStyle name="Normal 7 5 4 3 6" xfId="16206"/>
    <cellStyle name="Normal 7 5 4 4" xfId="7356"/>
    <cellStyle name="Normal 7 5 4 4 2" xfId="10752"/>
    <cellStyle name="Normal 7 5 4 4 2 2" xfId="14332"/>
    <cellStyle name="Normal 7 5 4 4 2 2 2" xfId="19895"/>
    <cellStyle name="Normal 7 5 4 4 2 3" xfId="12635"/>
    <cellStyle name="Normal 7 5 4 4 2 4" xfId="18023"/>
    <cellStyle name="Normal 7 5 4 4 3" xfId="13472"/>
    <cellStyle name="Normal 7 5 4 4 3 2" xfId="18941"/>
    <cellStyle name="Normal 7 5 4 4 4" xfId="11775"/>
    <cellStyle name="Normal 7 5 4 4 4 2" xfId="17163"/>
    <cellStyle name="Normal 7 5 4 4 5" xfId="15278"/>
    <cellStyle name="Normal 7 5 4 4 6" xfId="16325"/>
    <cellStyle name="Normal 7 5 4 5" xfId="10280"/>
    <cellStyle name="Normal 7 5 4 5 2" xfId="13862"/>
    <cellStyle name="Normal 7 5 4 5 2 2" xfId="19896"/>
    <cellStyle name="Normal 7 5 4 5 3" xfId="12165"/>
    <cellStyle name="Normal 7 5 4 5 4" xfId="17553"/>
    <cellStyle name="Normal 7 5 4 6" xfId="13005"/>
    <cellStyle name="Normal 7 5 4 6 2" xfId="18462"/>
    <cellStyle name="Normal 7 5 4 7" xfId="11224"/>
    <cellStyle name="Normal 7 5 4 7 2" xfId="16696"/>
    <cellStyle name="Normal 7 5 4 8" xfId="14807"/>
    <cellStyle name="Normal 7 5 4 9" xfId="15858"/>
    <cellStyle name="Normal 7 5 5" xfId="4341"/>
    <cellStyle name="Normal 7 5 5 2" xfId="8778"/>
    <cellStyle name="Normal 7 5 5 2 2" xfId="10849"/>
    <cellStyle name="Normal 7 5 5 2 2 2" xfId="14429"/>
    <cellStyle name="Normal 7 5 5 2 2 2 2" xfId="19897"/>
    <cellStyle name="Normal 7 5 5 2 2 3" xfId="12732"/>
    <cellStyle name="Normal 7 5 5 2 2 4" xfId="18120"/>
    <cellStyle name="Normal 7 5 5 2 3" xfId="13568"/>
    <cellStyle name="Normal 7 5 5 2 3 2" xfId="19037"/>
    <cellStyle name="Normal 7 5 5 2 4" xfId="11871"/>
    <cellStyle name="Normal 7 5 5 2 4 2" xfId="17259"/>
    <cellStyle name="Normal 7 5 5 2 5" xfId="15375"/>
    <cellStyle name="Normal 7 5 5 2 6" xfId="16421"/>
    <cellStyle name="Normal 7 5 5 3" xfId="10373"/>
    <cellStyle name="Normal 7 5 5 3 2" xfId="13954"/>
    <cellStyle name="Normal 7 5 5 3 2 2" xfId="19898"/>
    <cellStyle name="Normal 7 5 5 3 3" xfId="12257"/>
    <cellStyle name="Normal 7 5 5 3 4" xfId="17645"/>
    <cellStyle name="Normal 7 5 5 4" xfId="13096"/>
    <cellStyle name="Normal 7 5 5 4 2" xfId="18565"/>
    <cellStyle name="Normal 7 5 5 5" xfId="11329"/>
    <cellStyle name="Normal 7 5 5 5 2" xfId="16787"/>
    <cellStyle name="Normal 7 5 5 6" xfId="14901"/>
    <cellStyle name="Normal 7 5 5 7" xfId="15949"/>
    <cellStyle name="Normal 7 5 6" xfId="5283"/>
    <cellStyle name="Normal 7 5 6 2" xfId="10605"/>
    <cellStyle name="Normal 7 5 6 2 2" xfId="14186"/>
    <cellStyle name="Normal 7 5 6 2 2 2" xfId="19899"/>
    <cellStyle name="Normal 7 5 6 2 3" xfId="12489"/>
    <cellStyle name="Normal 7 5 6 2 4" xfId="17877"/>
    <cellStyle name="Normal 7 5 6 3" xfId="13327"/>
    <cellStyle name="Normal 7 5 6 3 2" xfId="18796"/>
    <cellStyle name="Normal 7 5 6 4" xfId="11582"/>
    <cellStyle name="Normal 7 5 6 4 2" xfId="17018"/>
    <cellStyle name="Normal 7 5 6 5" xfId="15133"/>
    <cellStyle name="Normal 7 5 6 6" xfId="16180"/>
    <cellStyle name="Normal 7 5 7" xfId="8076"/>
    <cellStyle name="Normal 7 5 7 2" xfId="10814"/>
    <cellStyle name="Normal 7 5 7 2 2" xfId="14394"/>
    <cellStyle name="Normal 7 5 7 2 2 2" xfId="19900"/>
    <cellStyle name="Normal 7 5 7 2 3" xfId="12697"/>
    <cellStyle name="Normal 7 5 7 2 4" xfId="18085"/>
    <cellStyle name="Normal 7 5 7 3" xfId="13533"/>
    <cellStyle name="Normal 7 5 7 3 2" xfId="19002"/>
    <cellStyle name="Normal 7 5 7 4" xfId="11836"/>
    <cellStyle name="Normal 7 5 7 4 2" xfId="17224"/>
    <cellStyle name="Normal 7 5 7 5" xfId="15339"/>
    <cellStyle name="Normal 7 5 7 6" xfId="16386"/>
    <cellStyle name="Normal 7 5 8" xfId="10193"/>
    <cellStyle name="Normal 7 5 8 2" xfId="13777"/>
    <cellStyle name="Normal 7 5 8 2 2" xfId="19901"/>
    <cellStyle name="Normal 7 5 8 3" xfId="12080"/>
    <cellStyle name="Normal 7 5 8 4" xfId="17468"/>
    <cellStyle name="Normal 7 5 9" xfId="12921"/>
    <cellStyle name="Normal 7 5 9 2" xfId="18408"/>
    <cellStyle name="Normal 70" xfId="7"/>
    <cellStyle name="Normal 71" xfId="12"/>
    <cellStyle name="Normal 72" xfId="9"/>
    <cellStyle name="Normal 73" xfId="11"/>
    <cellStyle name="Normal 74" xfId="13"/>
    <cellStyle name="Normal 75" xfId="17"/>
    <cellStyle name="Normal 76" xfId="1595"/>
    <cellStyle name="Normal 77" xfId="1587"/>
    <cellStyle name="Normal 78" xfId="1779"/>
    <cellStyle name="Normal 79" xfId="1574"/>
    <cellStyle name="Normal 8" xfId="458"/>
    <cellStyle name="Normal 8 2" xfId="459"/>
    <cellStyle name="Normal 8 2 2" xfId="460"/>
    <cellStyle name="Normal 8 2 3" xfId="461"/>
    <cellStyle name="Normal 8 2 3 2" xfId="462"/>
    <cellStyle name="Normal 8 2 3 3" xfId="463"/>
    <cellStyle name="Normal 8 2 4" xfId="464"/>
    <cellStyle name="Normal 80" xfId="10"/>
    <cellStyle name="Normal 81" xfId="1580"/>
    <cellStyle name="Normal 82" xfId="1898"/>
    <cellStyle name="Normal 83" xfId="1777"/>
    <cellStyle name="Normal 84" xfId="1909"/>
    <cellStyle name="Normal 84 10" xfId="15815"/>
    <cellStyle name="Normal 84 2" xfId="2518"/>
    <cellStyle name="Normal 84 2 2" xfId="4561"/>
    <cellStyle name="Normal 84 2 2 2" xfId="8949"/>
    <cellStyle name="Normal 84 2 2 2 2" xfId="10979"/>
    <cellStyle name="Normal 84 2 2 2 2 2" xfId="14559"/>
    <cellStyle name="Normal 84 2 2 2 2 2 2" xfId="19902"/>
    <cellStyle name="Normal 84 2 2 2 2 3" xfId="12862"/>
    <cellStyle name="Normal 84 2 2 2 2 4" xfId="18250"/>
    <cellStyle name="Normal 84 2 2 2 3" xfId="13698"/>
    <cellStyle name="Normal 84 2 2 2 3 2" xfId="19167"/>
    <cellStyle name="Normal 84 2 2 2 4" xfId="12001"/>
    <cellStyle name="Normal 84 2 2 2 4 2" xfId="17389"/>
    <cellStyle name="Normal 84 2 2 2 5" xfId="15505"/>
    <cellStyle name="Normal 84 2 2 2 6" xfId="16551"/>
    <cellStyle name="Normal 84 2 2 3" xfId="10503"/>
    <cellStyle name="Normal 84 2 2 3 2" xfId="14084"/>
    <cellStyle name="Normal 84 2 2 3 2 2" xfId="19903"/>
    <cellStyle name="Normal 84 2 2 3 3" xfId="12387"/>
    <cellStyle name="Normal 84 2 2 3 4" xfId="17775"/>
    <cellStyle name="Normal 84 2 2 4" xfId="13226"/>
    <cellStyle name="Normal 84 2 2 4 2" xfId="18695"/>
    <cellStyle name="Normal 84 2 2 5" xfId="11459"/>
    <cellStyle name="Normal 84 2 2 5 2" xfId="16917"/>
    <cellStyle name="Normal 84 2 2 6" xfId="15031"/>
    <cellStyle name="Normal 84 2 2 7" xfId="16079"/>
    <cellStyle name="Normal 84 2 3" xfId="6751"/>
    <cellStyle name="Normal 84 2 3 2" xfId="10695"/>
    <cellStyle name="Normal 84 2 3 2 2" xfId="14276"/>
    <cellStyle name="Normal 84 2 3 2 2 2" xfId="19904"/>
    <cellStyle name="Normal 84 2 3 2 3" xfId="12579"/>
    <cellStyle name="Normal 84 2 3 2 4" xfId="17967"/>
    <cellStyle name="Normal 84 2 3 3" xfId="13416"/>
    <cellStyle name="Normal 84 2 3 3 2" xfId="18885"/>
    <cellStyle name="Normal 84 2 3 4" xfId="11719"/>
    <cellStyle name="Normal 84 2 3 4 2" xfId="17107"/>
    <cellStyle name="Normal 84 2 3 5" xfId="15222"/>
    <cellStyle name="Normal 84 2 3 6" xfId="16269"/>
    <cellStyle name="Normal 84 2 4" xfId="10322"/>
    <cellStyle name="Normal 84 2 4 2" xfId="13904"/>
    <cellStyle name="Normal 84 2 4 2 2" xfId="19905"/>
    <cellStyle name="Normal 84 2 4 3" xfId="12207"/>
    <cellStyle name="Normal 84 2 4 4" xfId="17595"/>
    <cellStyle name="Normal 84 2 5" xfId="13047"/>
    <cellStyle name="Normal 84 2 5 2" xfId="18516"/>
    <cellStyle name="Normal 84 2 6" xfId="11266"/>
    <cellStyle name="Normal 84 2 6 2" xfId="16738"/>
    <cellStyle name="Normal 84 2 7" xfId="14850"/>
    <cellStyle name="Normal 84 2 8" xfId="15900"/>
    <cellStyle name="Normal 84 3" xfId="2623"/>
    <cellStyle name="Normal 84 4" xfId="4384"/>
    <cellStyle name="Normal 84 4 2" xfId="8820"/>
    <cellStyle name="Normal 84 4 2 2" xfId="10891"/>
    <cellStyle name="Normal 84 4 2 2 2" xfId="14471"/>
    <cellStyle name="Normal 84 4 2 2 2 2" xfId="19906"/>
    <cellStyle name="Normal 84 4 2 2 3" xfId="12774"/>
    <cellStyle name="Normal 84 4 2 2 4" xfId="18162"/>
    <cellStyle name="Normal 84 4 2 3" xfId="13610"/>
    <cellStyle name="Normal 84 4 2 3 2" xfId="19079"/>
    <cellStyle name="Normal 84 4 2 4" xfId="11913"/>
    <cellStyle name="Normal 84 4 2 4 2" xfId="17301"/>
    <cellStyle name="Normal 84 4 2 5" xfId="15417"/>
    <cellStyle name="Normal 84 4 2 6" xfId="16463"/>
    <cellStyle name="Normal 84 4 3" xfId="10415"/>
    <cellStyle name="Normal 84 4 3 2" xfId="13996"/>
    <cellStyle name="Normal 84 4 3 2 2" xfId="19907"/>
    <cellStyle name="Normal 84 4 3 3" xfId="12299"/>
    <cellStyle name="Normal 84 4 3 4" xfId="17687"/>
    <cellStyle name="Normal 84 4 4" xfId="13138"/>
    <cellStyle name="Normal 84 4 4 2" xfId="18607"/>
    <cellStyle name="Normal 84 4 5" xfId="11371"/>
    <cellStyle name="Normal 84 4 5 2" xfId="16829"/>
    <cellStyle name="Normal 84 4 6" xfId="14943"/>
    <cellStyle name="Normal 84 4 7" xfId="15991"/>
    <cellStyle name="Normal 84 5" xfId="7976"/>
    <cellStyle name="Normal 84 5 2" xfId="10803"/>
    <cellStyle name="Normal 84 5 2 2" xfId="14383"/>
    <cellStyle name="Normal 84 5 2 2 2" xfId="19908"/>
    <cellStyle name="Normal 84 5 2 3" xfId="12686"/>
    <cellStyle name="Normal 84 5 2 4" xfId="18074"/>
    <cellStyle name="Normal 84 5 3" xfId="13522"/>
    <cellStyle name="Normal 84 5 3 2" xfId="18991"/>
    <cellStyle name="Normal 84 5 4" xfId="11825"/>
    <cellStyle name="Normal 84 5 4 2" xfId="17213"/>
    <cellStyle name="Normal 84 5 5" xfId="15328"/>
    <cellStyle name="Normal 84 5 6" xfId="16375"/>
    <cellStyle name="Normal 84 6" xfId="10236"/>
    <cellStyle name="Normal 84 6 2" xfId="13818"/>
    <cellStyle name="Normal 84 6 2 2" xfId="19909"/>
    <cellStyle name="Normal 84 6 3" xfId="12121"/>
    <cellStyle name="Normal 84 6 4" xfId="17509"/>
    <cellStyle name="Normal 84 7" xfId="12962"/>
    <cellStyle name="Normal 84 7 2" xfId="18398"/>
    <cellStyle name="Normal 84 8" xfId="11167"/>
    <cellStyle name="Normal 84 8 2" xfId="16653"/>
    <cellStyle name="Normal 84 9" xfId="14763"/>
    <cellStyle name="Normal 85" xfId="2042"/>
    <cellStyle name="Normal 85 10" xfId="15833"/>
    <cellStyle name="Normal 85 2" xfId="2536"/>
    <cellStyle name="Normal 85 2 2" xfId="4579"/>
    <cellStyle name="Normal 85 2 2 2" xfId="8967"/>
    <cellStyle name="Normal 85 2 2 2 2" xfId="10997"/>
    <cellStyle name="Normal 85 2 2 2 2 2" xfId="14577"/>
    <cellStyle name="Normal 85 2 2 2 2 2 2" xfId="19910"/>
    <cellStyle name="Normal 85 2 2 2 2 3" xfId="12880"/>
    <cellStyle name="Normal 85 2 2 2 2 4" xfId="18268"/>
    <cellStyle name="Normal 85 2 2 2 3" xfId="13716"/>
    <cellStyle name="Normal 85 2 2 2 3 2" xfId="19185"/>
    <cellStyle name="Normal 85 2 2 2 4" xfId="12019"/>
    <cellStyle name="Normal 85 2 2 2 4 2" xfId="17407"/>
    <cellStyle name="Normal 85 2 2 2 5" xfId="15523"/>
    <cellStyle name="Normal 85 2 2 2 6" xfId="16569"/>
    <cellStyle name="Normal 85 2 2 3" xfId="10521"/>
    <cellStyle name="Normal 85 2 2 3 2" xfId="14102"/>
    <cellStyle name="Normal 85 2 2 3 2 2" xfId="19911"/>
    <cellStyle name="Normal 85 2 2 3 3" xfId="12405"/>
    <cellStyle name="Normal 85 2 2 3 4" xfId="17793"/>
    <cellStyle name="Normal 85 2 2 4" xfId="13244"/>
    <cellStyle name="Normal 85 2 2 4 2" xfId="18713"/>
    <cellStyle name="Normal 85 2 2 5" xfId="11477"/>
    <cellStyle name="Normal 85 2 2 5 2" xfId="16935"/>
    <cellStyle name="Normal 85 2 2 6" xfId="15049"/>
    <cellStyle name="Normal 85 2 2 7" xfId="16097"/>
    <cellStyle name="Normal 85 2 3" xfId="8209"/>
    <cellStyle name="Normal 85 2 3 2" xfId="10829"/>
    <cellStyle name="Normal 85 2 3 2 2" xfId="14409"/>
    <cellStyle name="Normal 85 2 3 2 2 2" xfId="19912"/>
    <cellStyle name="Normal 85 2 3 2 3" xfId="12712"/>
    <cellStyle name="Normal 85 2 3 2 4" xfId="18100"/>
    <cellStyle name="Normal 85 2 3 3" xfId="13548"/>
    <cellStyle name="Normal 85 2 3 3 2" xfId="19017"/>
    <cellStyle name="Normal 85 2 3 4" xfId="11851"/>
    <cellStyle name="Normal 85 2 3 4 2" xfId="17239"/>
    <cellStyle name="Normal 85 2 3 5" xfId="15354"/>
    <cellStyle name="Normal 85 2 3 6" xfId="16401"/>
    <cellStyle name="Normal 85 2 4" xfId="10340"/>
    <cellStyle name="Normal 85 2 4 2" xfId="13922"/>
    <cellStyle name="Normal 85 2 4 2 2" xfId="19913"/>
    <cellStyle name="Normal 85 2 4 3" xfId="12225"/>
    <cellStyle name="Normal 85 2 4 4" xfId="17613"/>
    <cellStyle name="Normal 85 2 5" xfId="13065"/>
    <cellStyle name="Normal 85 2 5 2" xfId="18534"/>
    <cellStyle name="Normal 85 2 6" xfId="11284"/>
    <cellStyle name="Normal 85 2 6 2" xfId="16756"/>
    <cellStyle name="Normal 85 2 7" xfId="14868"/>
    <cellStyle name="Normal 85 2 8" xfId="15918"/>
    <cellStyle name="Normal 85 3" xfId="2724"/>
    <cellStyle name="Normal 85 4" xfId="4402"/>
    <cellStyle name="Normal 85 4 2" xfId="8838"/>
    <cellStyle name="Normal 85 4 2 2" xfId="10909"/>
    <cellStyle name="Normal 85 4 2 2 2" xfId="14489"/>
    <cellStyle name="Normal 85 4 2 2 2 2" xfId="19914"/>
    <cellStyle name="Normal 85 4 2 2 3" xfId="12792"/>
    <cellStyle name="Normal 85 4 2 2 4" xfId="18180"/>
    <cellStyle name="Normal 85 4 2 3" xfId="13628"/>
    <cellStyle name="Normal 85 4 2 3 2" xfId="19097"/>
    <cellStyle name="Normal 85 4 2 4" xfId="11931"/>
    <cellStyle name="Normal 85 4 2 4 2" xfId="17319"/>
    <cellStyle name="Normal 85 4 2 5" xfId="15435"/>
    <cellStyle name="Normal 85 4 2 6" xfId="16481"/>
    <cellStyle name="Normal 85 4 3" xfId="10433"/>
    <cellStyle name="Normal 85 4 3 2" xfId="14014"/>
    <cellStyle name="Normal 85 4 3 2 2" xfId="19915"/>
    <cellStyle name="Normal 85 4 3 3" xfId="12317"/>
    <cellStyle name="Normal 85 4 3 4" xfId="17705"/>
    <cellStyle name="Normal 85 4 4" xfId="13156"/>
    <cellStyle name="Normal 85 4 4 2" xfId="18625"/>
    <cellStyle name="Normal 85 4 5" xfId="11389"/>
    <cellStyle name="Normal 85 4 5 2" xfId="16847"/>
    <cellStyle name="Normal 85 4 6" xfId="14961"/>
    <cellStyle name="Normal 85 4 7" xfId="16009"/>
    <cellStyle name="Normal 85 5" xfId="6678"/>
    <cellStyle name="Normal 85 5 2" xfId="10684"/>
    <cellStyle name="Normal 85 5 2 2" xfId="14265"/>
    <cellStyle name="Normal 85 5 2 2 2" xfId="19916"/>
    <cellStyle name="Normal 85 5 2 3" xfId="12568"/>
    <cellStyle name="Normal 85 5 2 4" xfId="17956"/>
    <cellStyle name="Normal 85 5 3" xfId="13405"/>
    <cellStyle name="Normal 85 5 3 2" xfId="18874"/>
    <cellStyle name="Normal 85 5 4" xfId="11708"/>
    <cellStyle name="Normal 85 5 4 2" xfId="17096"/>
    <cellStyle name="Normal 85 5 5" xfId="15211"/>
    <cellStyle name="Normal 85 5 6" xfId="16258"/>
    <cellStyle name="Normal 85 6" xfId="10254"/>
    <cellStyle name="Normal 85 6 2" xfId="13836"/>
    <cellStyle name="Normal 85 6 2 2" xfId="19917"/>
    <cellStyle name="Normal 85 6 3" xfId="12139"/>
    <cellStyle name="Normal 85 6 4" xfId="17527"/>
    <cellStyle name="Normal 85 7" xfId="12980"/>
    <cellStyle name="Normal 85 7 2" xfId="18414"/>
    <cellStyle name="Normal 85 8" xfId="11185"/>
    <cellStyle name="Normal 85 8 2" xfId="16671"/>
    <cellStyle name="Normal 85 9" xfId="14781"/>
    <cellStyle name="Normal 86" xfId="2091"/>
    <cellStyle name="Normal 86 10" xfId="15838"/>
    <cellStyle name="Normal 86 2" xfId="2542"/>
    <cellStyle name="Normal 86 2 2" xfId="4585"/>
    <cellStyle name="Normal 86 2 2 2" xfId="8973"/>
    <cellStyle name="Normal 86 2 2 2 2" xfId="11003"/>
    <cellStyle name="Normal 86 2 2 2 2 2" xfId="14583"/>
    <cellStyle name="Normal 86 2 2 2 2 2 2" xfId="19918"/>
    <cellStyle name="Normal 86 2 2 2 2 3" xfId="12886"/>
    <cellStyle name="Normal 86 2 2 2 2 4" xfId="18274"/>
    <cellStyle name="Normal 86 2 2 2 3" xfId="13722"/>
    <cellStyle name="Normal 86 2 2 2 3 2" xfId="19191"/>
    <cellStyle name="Normal 86 2 2 2 4" xfId="12025"/>
    <cellStyle name="Normal 86 2 2 2 4 2" xfId="17413"/>
    <cellStyle name="Normal 86 2 2 2 5" xfId="15529"/>
    <cellStyle name="Normal 86 2 2 2 6" xfId="16575"/>
    <cellStyle name="Normal 86 2 2 3" xfId="10527"/>
    <cellStyle name="Normal 86 2 2 3 2" xfId="14108"/>
    <cellStyle name="Normal 86 2 2 3 2 2" xfId="19919"/>
    <cellStyle name="Normal 86 2 2 3 3" xfId="12411"/>
    <cellStyle name="Normal 86 2 2 3 4" xfId="17799"/>
    <cellStyle name="Normal 86 2 2 4" xfId="13250"/>
    <cellStyle name="Normal 86 2 2 4 2" xfId="18719"/>
    <cellStyle name="Normal 86 2 2 5" xfId="11483"/>
    <cellStyle name="Normal 86 2 2 5 2" xfId="16941"/>
    <cellStyle name="Normal 86 2 2 6" xfId="15055"/>
    <cellStyle name="Normal 86 2 2 7" xfId="16103"/>
    <cellStyle name="Normal 86 2 3" xfId="6796"/>
    <cellStyle name="Normal 86 2 3 2" xfId="10701"/>
    <cellStyle name="Normal 86 2 3 2 2" xfId="14282"/>
    <cellStyle name="Normal 86 2 3 2 2 2" xfId="19920"/>
    <cellStyle name="Normal 86 2 3 2 3" xfId="12585"/>
    <cellStyle name="Normal 86 2 3 2 4" xfId="17973"/>
    <cellStyle name="Normal 86 2 3 3" xfId="13422"/>
    <cellStyle name="Normal 86 2 3 3 2" xfId="18891"/>
    <cellStyle name="Normal 86 2 3 4" xfId="11725"/>
    <cellStyle name="Normal 86 2 3 4 2" xfId="17113"/>
    <cellStyle name="Normal 86 2 3 5" xfId="15228"/>
    <cellStyle name="Normal 86 2 3 6" xfId="16275"/>
    <cellStyle name="Normal 86 2 4" xfId="10346"/>
    <cellStyle name="Normal 86 2 4 2" xfId="13928"/>
    <cellStyle name="Normal 86 2 4 2 2" xfId="19921"/>
    <cellStyle name="Normal 86 2 4 3" xfId="12231"/>
    <cellStyle name="Normal 86 2 4 4" xfId="17619"/>
    <cellStyle name="Normal 86 2 5" xfId="13071"/>
    <cellStyle name="Normal 86 2 5 2" xfId="18540"/>
    <cellStyle name="Normal 86 2 6" xfId="11290"/>
    <cellStyle name="Normal 86 2 6 2" xfId="16762"/>
    <cellStyle name="Normal 86 2 7" xfId="14874"/>
    <cellStyle name="Normal 86 2 8" xfId="15924"/>
    <cellStyle name="Normal 86 3" xfId="2720"/>
    <cellStyle name="Normal 86 4" xfId="4409"/>
    <cellStyle name="Normal 86 4 2" xfId="8845"/>
    <cellStyle name="Normal 86 4 2 2" xfId="10916"/>
    <cellStyle name="Normal 86 4 2 2 2" xfId="14496"/>
    <cellStyle name="Normal 86 4 2 2 2 2" xfId="19922"/>
    <cellStyle name="Normal 86 4 2 2 3" xfId="12799"/>
    <cellStyle name="Normal 86 4 2 2 4" xfId="18187"/>
    <cellStyle name="Normal 86 4 2 3" xfId="13635"/>
    <cellStyle name="Normal 86 4 2 3 2" xfId="19104"/>
    <cellStyle name="Normal 86 4 2 4" xfId="11938"/>
    <cellStyle name="Normal 86 4 2 4 2" xfId="17326"/>
    <cellStyle name="Normal 86 4 2 5" xfId="15442"/>
    <cellStyle name="Normal 86 4 2 6" xfId="16488"/>
    <cellStyle name="Normal 86 4 3" xfId="10440"/>
    <cellStyle name="Normal 86 4 3 2" xfId="14021"/>
    <cellStyle name="Normal 86 4 3 2 2" xfId="19923"/>
    <cellStyle name="Normal 86 4 3 3" xfId="12324"/>
    <cellStyle name="Normal 86 4 3 4" xfId="17712"/>
    <cellStyle name="Normal 86 4 4" xfId="13163"/>
    <cellStyle name="Normal 86 4 4 2" xfId="18632"/>
    <cellStyle name="Normal 86 4 5" xfId="11396"/>
    <cellStyle name="Normal 86 4 5 2" xfId="16854"/>
    <cellStyle name="Normal 86 4 6" xfId="14968"/>
    <cellStyle name="Normal 86 4 7" xfId="16016"/>
    <cellStyle name="Normal 86 5" xfId="6402"/>
    <cellStyle name="Normal 86 5 2" xfId="10663"/>
    <cellStyle name="Normal 86 5 2 2" xfId="14244"/>
    <cellStyle name="Normal 86 5 2 2 2" xfId="19924"/>
    <cellStyle name="Normal 86 5 2 3" xfId="12547"/>
    <cellStyle name="Normal 86 5 2 4" xfId="17935"/>
    <cellStyle name="Normal 86 5 3" xfId="13384"/>
    <cellStyle name="Normal 86 5 3 2" xfId="18853"/>
    <cellStyle name="Normal 86 5 4" xfId="11687"/>
    <cellStyle name="Normal 86 5 4 2" xfId="17075"/>
    <cellStyle name="Normal 86 5 5" xfId="15190"/>
    <cellStyle name="Normal 86 5 6" xfId="16237"/>
    <cellStyle name="Normal 86 6" xfId="10260"/>
    <cellStyle name="Normal 86 6 2" xfId="13842"/>
    <cellStyle name="Normal 86 6 2 2" xfId="19925"/>
    <cellStyle name="Normal 86 6 3" xfId="12145"/>
    <cellStyle name="Normal 86 6 4" xfId="17533"/>
    <cellStyle name="Normal 86 7" xfId="12985"/>
    <cellStyle name="Normal 86 7 2" xfId="18388"/>
    <cellStyle name="Normal 86 8" xfId="11190"/>
    <cellStyle name="Normal 86 8 2" xfId="16676"/>
    <cellStyle name="Normal 86 9" xfId="14787"/>
    <cellStyle name="Normal 87" xfId="2090"/>
    <cellStyle name="Normal 87 10" xfId="15837"/>
    <cellStyle name="Normal 87 2" xfId="2541"/>
    <cellStyle name="Normal 87 2 2" xfId="4584"/>
    <cellStyle name="Normal 87 2 2 2" xfId="8972"/>
    <cellStyle name="Normal 87 2 2 2 2" xfId="11002"/>
    <cellStyle name="Normal 87 2 2 2 2 2" xfId="14582"/>
    <cellStyle name="Normal 87 2 2 2 2 2 2" xfId="19926"/>
    <cellStyle name="Normal 87 2 2 2 2 3" xfId="12885"/>
    <cellStyle name="Normal 87 2 2 2 2 4" xfId="18273"/>
    <cellStyle name="Normal 87 2 2 2 3" xfId="13721"/>
    <cellStyle name="Normal 87 2 2 2 3 2" xfId="19190"/>
    <cellStyle name="Normal 87 2 2 2 4" xfId="12024"/>
    <cellStyle name="Normal 87 2 2 2 4 2" xfId="17412"/>
    <cellStyle name="Normal 87 2 2 2 5" xfId="15528"/>
    <cellStyle name="Normal 87 2 2 2 6" xfId="16574"/>
    <cellStyle name="Normal 87 2 2 3" xfId="10526"/>
    <cellStyle name="Normal 87 2 2 3 2" xfId="14107"/>
    <cellStyle name="Normal 87 2 2 3 2 2" xfId="19927"/>
    <cellStyle name="Normal 87 2 2 3 3" xfId="12410"/>
    <cellStyle name="Normal 87 2 2 3 4" xfId="17798"/>
    <cellStyle name="Normal 87 2 2 4" xfId="13249"/>
    <cellStyle name="Normal 87 2 2 4 2" xfId="18718"/>
    <cellStyle name="Normal 87 2 2 5" xfId="11482"/>
    <cellStyle name="Normal 87 2 2 5 2" xfId="16940"/>
    <cellStyle name="Normal 87 2 2 6" xfId="15054"/>
    <cellStyle name="Normal 87 2 2 7" xfId="16102"/>
    <cellStyle name="Normal 87 2 3" xfId="8192"/>
    <cellStyle name="Normal 87 2 3 2" xfId="10827"/>
    <cellStyle name="Normal 87 2 3 2 2" xfId="14407"/>
    <cellStyle name="Normal 87 2 3 2 2 2" xfId="19928"/>
    <cellStyle name="Normal 87 2 3 2 3" xfId="12710"/>
    <cellStyle name="Normal 87 2 3 2 4" xfId="18098"/>
    <cellStyle name="Normal 87 2 3 3" xfId="13546"/>
    <cellStyle name="Normal 87 2 3 3 2" xfId="19015"/>
    <cellStyle name="Normal 87 2 3 4" xfId="11849"/>
    <cellStyle name="Normal 87 2 3 4 2" xfId="17237"/>
    <cellStyle name="Normal 87 2 3 5" xfId="15352"/>
    <cellStyle name="Normal 87 2 3 6" xfId="16399"/>
    <cellStyle name="Normal 87 2 4" xfId="10345"/>
    <cellStyle name="Normal 87 2 4 2" xfId="13927"/>
    <cellStyle name="Normal 87 2 4 2 2" xfId="19929"/>
    <cellStyle name="Normal 87 2 4 3" xfId="12230"/>
    <cellStyle name="Normal 87 2 4 4" xfId="17618"/>
    <cellStyle name="Normal 87 2 5" xfId="13070"/>
    <cellStyle name="Normal 87 2 5 2" xfId="18539"/>
    <cellStyle name="Normal 87 2 6" xfId="11289"/>
    <cellStyle name="Normal 87 2 6 2" xfId="16761"/>
    <cellStyle name="Normal 87 2 7" xfId="14873"/>
    <cellStyle name="Normal 87 2 8" xfId="15923"/>
    <cellStyle name="Normal 87 3" xfId="2732"/>
    <cellStyle name="Normal 87 4" xfId="4408"/>
    <cellStyle name="Normal 87 4 2" xfId="8844"/>
    <cellStyle name="Normal 87 4 2 2" xfId="10915"/>
    <cellStyle name="Normal 87 4 2 2 2" xfId="14495"/>
    <cellStyle name="Normal 87 4 2 2 2 2" xfId="19930"/>
    <cellStyle name="Normal 87 4 2 2 3" xfId="12798"/>
    <cellStyle name="Normal 87 4 2 2 4" xfId="18186"/>
    <cellStyle name="Normal 87 4 2 3" xfId="13634"/>
    <cellStyle name="Normal 87 4 2 3 2" xfId="19103"/>
    <cellStyle name="Normal 87 4 2 4" xfId="11937"/>
    <cellStyle name="Normal 87 4 2 4 2" xfId="17325"/>
    <cellStyle name="Normal 87 4 2 5" xfId="15441"/>
    <cellStyle name="Normal 87 4 2 6" xfId="16487"/>
    <cellStyle name="Normal 87 4 3" xfId="10439"/>
    <cellStyle name="Normal 87 4 3 2" xfId="14020"/>
    <cellStyle name="Normal 87 4 3 2 2" xfId="19931"/>
    <cellStyle name="Normal 87 4 3 3" xfId="12323"/>
    <cellStyle name="Normal 87 4 3 4" xfId="17711"/>
    <cellStyle name="Normal 87 4 4" xfId="13162"/>
    <cellStyle name="Normal 87 4 4 2" xfId="18631"/>
    <cellStyle name="Normal 87 4 5" xfId="11395"/>
    <cellStyle name="Normal 87 4 5 2" xfId="16853"/>
    <cellStyle name="Normal 87 4 6" xfId="14967"/>
    <cellStyle name="Normal 87 4 7" xfId="16015"/>
    <cellStyle name="Normal 87 5" xfId="7138"/>
    <cellStyle name="Normal 87 5 2" xfId="10737"/>
    <cellStyle name="Normal 87 5 2 2" xfId="14317"/>
    <cellStyle name="Normal 87 5 2 2 2" xfId="19932"/>
    <cellStyle name="Normal 87 5 2 3" xfId="12620"/>
    <cellStyle name="Normal 87 5 2 4" xfId="18008"/>
    <cellStyle name="Normal 87 5 3" xfId="13457"/>
    <cellStyle name="Normal 87 5 3 2" xfId="18926"/>
    <cellStyle name="Normal 87 5 4" xfId="11760"/>
    <cellStyle name="Normal 87 5 4 2" xfId="17148"/>
    <cellStyle name="Normal 87 5 5" xfId="15263"/>
    <cellStyle name="Normal 87 5 6" xfId="16310"/>
    <cellStyle name="Normal 87 6" xfId="10259"/>
    <cellStyle name="Normal 87 6 2" xfId="13841"/>
    <cellStyle name="Normal 87 6 2 2" xfId="19933"/>
    <cellStyle name="Normal 87 6 3" xfId="12144"/>
    <cellStyle name="Normal 87 6 4" xfId="17532"/>
    <cellStyle name="Normal 87 7" xfId="12984"/>
    <cellStyle name="Normal 87 7 2" xfId="18387"/>
    <cellStyle name="Normal 87 8" xfId="11189"/>
    <cellStyle name="Normal 87 8 2" xfId="16675"/>
    <cellStyle name="Normal 87 9" xfId="14786"/>
    <cellStyle name="Normal 88" xfId="32"/>
    <cellStyle name="Normal 89" xfId="2370"/>
    <cellStyle name="Normal 89 10" xfId="15839"/>
    <cellStyle name="Normal 89 2" xfId="3517"/>
    <cellStyle name="Normal 89 2 2" xfId="6471"/>
    <cellStyle name="Normal 89 2 2 2" xfId="10671"/>
    <cellStyle name="Normal 89 2 2 2 2" xfId="14252"/>
    <cellStyle name="Normal 89 2 2 2 2 2" xfId="19934"/>
    <cellStyle name="Normal 89 2 2 2 3" xfId="12555"/>
    <cellStyle name="Normal 89 2 2 2 4" xfId="17943"/>
    <cellStyle name="Normal 89 2 2 3" xfId="13392"/>
    <cellStyle name="Normal 89 2 2 3 2" xfId="18861"/>
    <cellStyle name="Normal 89 2 2 4" xfId="11695"/>
    <cellStyle name="Normal 89 2 2 4 2" xfId="17083"/>
    <cellStyle name="Normal 89 2 2 5" xfId="15198"/>
    <cellStyle name="Normal 89 2 2 6" xfId="16245"/>
    <cellStyle name="Normal 89 2 3" xfId="10348"/>
    <cellStyle name="Normal 89 2 3 2" xfId="13929"/>
    <cellStyle name="Normal 89 2 3 2 2" xfId="19935"/>
    <cellStyle name="Normal 89 2 3 3" xfId="12232"/>
    <cellStyle name="Normal 89 2 3 4" xfId="17620"/>
    <cellStyle name="Normal 89 2 4" xfId="13072"/>
    <cellStyle name="Normal 89 2 4 2" xfId="18541"/>
    <cellStyle name="Normal 89 2 5" xfId="11291"/>
    <cellStyle name="Normal 89 2 5 2" xfId="16763"/>
    <cellStyle name="Normal 89 2 6" xfId="14877"/>
    <cellStyle name="Normal 89 2 7" xfId="15925"/>
    <cellStyle name="Normal 89 3" xfId="2746"/>
    <cellStyle name="Normal 89 4" xfId="4500"/>
    <cellStyle name="Normal 89 4 2" xfId="8888"/>
    <cellStyle name="Normal 89 4 2 2" xfId="10918"/>
    <cellStyle name="Normal 89 4 2 2 2" xfId="14498"/>
    <cellStyle name="Normal 89 4 2 2 2 2" xfId="19936"/>
    <cellStyle name="Normal 89 4 2 2 3" xfId="12801"/>
    <cellStyle name="Normal 89 4 2 2 4" xfId="18189"/>
    <cellStyle name="Normal 89 4 2 3" xfId="13637"/>
    <cellStyle name="Normal 89 4 2 3 2" xfId="19106"/>
    <cellStyle name="Normal 89 4 2 4" xfId="11940"/>
    <cellStyle name="Normal 89 4 2 4 2" xfId="17328"/>
    <cellStyle name="Normal 89 4 2 5" xfId="15444"/>
    <cellStyle name="Normal 89 4 2 6" xfId="16490"/>
    <cellStyle name="Normal 89 4 3" xfId="10442"/>
    <cellStyle name="Normal 89 4 3 2" xfId="14023"/>
    <cellStyle name="Normal 89 4 3 2 2" xfId="19937"/>
    <cellStyle name="Normal 89 4 3 3" xfId="12326"/>
    <cellStyle name="Normal 89 4 3 4" xfId="17714"/>
    <cellStyle name="Normal 89 4 4" xfId="13165"/>
    <cellStyle name="Normal 89 4 4 2" xfId="18634"/>
    <cellStyle name="Normal 89 4 5" xfId="11398"/>
    <cellStyle name="Normal 89 4 5 2" xfId="16856"/>
    <cellStyle name="Normal 89 4 6" xfId="14970"/>
    <cellStyle name="Normal 89 4 7" xfId="16018"/>
    <cellStyle name="Normal 89 5" xfId="7329"/>
    <cellStyle name="Normal 89 5 2" xfId="10748"/>
    <cellStyle name="Normal 89 5 2 2" xfId="14328"/>
    <cellStyle name="Normal 89 5 2 2 2" xfId="19938"/>
    <cellStyle name="Normal 89 5 2 3" xfId="12631"/>
    <cellStyle name="Normal 89 5 2 4" xfId="18019"/>
    <cellStyle name="Normal 89 5 3" xfId="13468"/>
    <cellStyle name="Normal 89 5 3 2" xfId="18937"/>
    <cellStyle name="Normal 89 5 4" xfId="11771"/>
    <cellStyle name="Normal 89 5 4 2" xfId="17159"/>
    <cellStyle name="Normal 89 5 5" xfId="15274"/>
    <cellStyle name="Normal 89 5 6" xfId="16321"/>
    <cellStyle name="Normal 89 6" xfId="10261"/>
    <cellStyle name="Normal 89 6 2" xfId="13843"/>
    <cellStyle name="Normal 89 6 2 2" xfId="19939"/>
    <cellStyle name="Normal 89 6 3" xfId="12146"/>
    <cellStyle name="Normal 89 6 4" xfId="17534"/>
    <cellStyle name="Normal 89 7" xfId="12986"/>
    <cellStyle name="Normal 89 7 2" xfId="18503"/>
    <cellStyle name="Normal 89 8" xfId="11205"/>
    <cellStyle name="Normal 89 8 2" xfId="16677"/>
    <cellStyle name="Normal 89 9" xfId="14788"/>
    <cellStyle name="Normal 9" xfId="465"/>
    <cellStyle name="Normal 9 2" xfId="466"/>
    <cellStyle name="Normal 90" xfId="2389"/>
    <cellStyle name="Normal 90 10" xfId="15842"/>
    <cellStyle name="Normal 90 2" xfId="3520"/>
    <cellStyle name="Normal 90 2 2" xfId="8050"/>
    <cellStyle name="Normal 90 2 2 2" xfId="10812"/>
    <cellStyle name="Normal 90 2 2 2 2" xfId="14392"/>
    <cellStyle name="Normal 90 2 2 2 2 2" xfId="19940"/>
    <cellStyle name="Normal 90 2 2 2 3" xfId="12695"/>
    <cellStyle name="Normal 90 2 2 2 4" xfId="18083"/>
    <cellStyle name="Normal 90 2 2 3" xfId="13531"/>
    <cellStyle name="Normal 90 2 2 3 2" xfId="19000"/>
    <cellStyle name="Normal 90 2 2 4" xfId="11834"/>
    <cellStyle name="Normal 90 2 2 4 2" xfId="17222"/>
    <cellStyle name="Normal 90 2 2 5" xfId="15337"/>
    <cellStyle name="Normal 90 2 2 6" xfId="16384"/>
    <cellStyle name="Normal 90 2 3" xfId="10351"/>
    <cellStyle name="Normal 90 2 3 2" xfId="13932"/>
    <cellStyle name="Normal 90 2 3 2 2" xfId="19941"/>
    <cellStyle name="Normal 90 2 3 3" xfId="12235"/>
    <cellStyle name="Normal 90 2 3 4" xfId="17623"/>
    <cellStyle name="Normal 90 2 4" xfId="13075"/>
    <cellStyle name="Normal 90 2 4 2" xfId="18544"/>
    <cellStyle name="Normal 90 2 5" xfId="11294"/>
    <cellStyle name="Normal 90 2 5 2" xfId="16766"/>
    <cellStyle name="Normal 90 2 6" xfId="14880"/>
    <cellStyle name="Normal 90 2 7" xfId="15928"/>
    <cellStyle name="Normal 90 3" xfId="2713"/>
    <cellStyle name="Normal 90 4" xfId="4503"/>
    <cellStyle name="Normal 90 4 2" xfId="8891"/>
    <cellStyle name="Normal 90 4 2 2" xfId="10921"/>
    <cellStyle name="Normal 90 4 2 2 2" xfId="14501"/>
    <cellStyle name="Normal 90 4 2 2 2 2" xfId="19942"/>
    <cellStyle name="Normal 90 4 2 2 3" xfId="12804"/>
    <cellStyle name="Normal 90 4 2 2 4" xfId="18192"/>
    <cellStyle name="Normal 90 4 2 3" xfId="13640"/>
    <cellStyle name="Normal 90 4 2 3 2" xfId="19109"/>
    <cellStyle name="Normal 90 4 2 4" xfId="11943"/>
    <cellStyle name="Normal 90 4 2 4 2" xfId="17331"/>
    <cellStyle name="Normal 90 4 2 5" xfId="15447"/>
    <cellStyle name="Normal 90 4 2 6" xfId="16493"/>
    <cellStyle name="Normal 90 4 3" xfId="10445"/>
    <cellStyle name="Normal 90 4 3 2" xfId="14026"/>
    <cellStyle name="Normal 90 4 3 2 2" xfId="19943"/>
    <cellStyle name="Normal 90 4 3 3" xfId="12329"/>
    <cellStyle name="Normal 90 4 3 4" xfId="17717"/>
    <cellStyle name="Normal 90 4 4" xfId="13168"/>
    <cellStyle name="Normal 90 4 4 2" xfId="18637"/>
    <cellStyle name="Normal 90 4 5" xfId="11401"/>
    <cellStyle name="Normal 90 4 5 2" xfId="16859"/>
    <cellStyle name="Normal 90 4 6" xfId="14973"/>
    <cellStyle name="Normal 90 4 7" xfId="16021"/>
    <cellStyle name="Normal 90 5" xfId="7140"/>
    <cellStyle name="Normal 90 5 2" xfId="10738"/>
    <cellStyle name="Normal 90 5 2 2" xfId="14318"/>
    <cellStyle name="Normal 90 5 2 2 2" xfId="19944"/>
    <cellStyle name="Normal 90 5 2 3" xfId="12621"/>
    <cellStyle name="Normal 90 5 2 4" xfId="18009"/>
    <cellStyle name="Normal 90 5 3" xfId="13458"/>
    <cellStyle name="Normal 90 5 3 2" xfId="18927"/>
    <cellStyle name="Normal 90 5 4" xfId="11761"/>
    <cellStyle name="Normal 90 5 4 2" xfId="17149"/>
    <cellStyle name="Normal 90 5 5" xfId="15264"/>
    <cellStyle name="Normal 90 5 6" xfId="16311"/>
    <cellStyle name="Normal 90 6" xfId="10264"/>
    <cellStyle name="Normal 90 6 2" xfId="13846"/>
    <cellStyle name="Normal 90 6 2 2" xfId="19945"/>
    <cellStyle name="Normal 90 6 3" xfId="12149"/>
    <cellStyle name="Normal 90 6 4" xfId="17537"/>
    <cellStyle name="Normal 90 7" xfId="12989"/>
    <cellStyle name="Normal 90 7 2" xfId="18506"/>
    <cellStyle name="Normal 90 8" xfId="11208"/>
    <cellStyle name="Normal 90 8 2" xfId="16680"/>
    <cellStyle name="Normal 90 9" xfId="14791"/>
    <cellStyle name="Normal 91" xfId="2156"/>
    <cellStyle name="Normal 92" xfId="2139"/>
    <cellStyle name="Normal 93" xfId="2729"/>
    <cellStyle name="Normal 94" xfId="2748"/>
    <cellStyle name="Normal 95" xfId="2743"/>
    <cellStyle name="Normal 96" xfId="2714"/>
    <cellStyle name="Normal 97" xfId="2736"/>
    <cellStyle name="Normal 98" xfId="2751"/>
    <cellStyle name="Normal 99" xfId="2754"/>
    <cellStyle name="Normal_051020 Meter tariff approval model" xfId="2"/>
    <cellStyle name="Normal_Audit template" xfId="18"/>
    <cellStyle name="Normal_CP Templates 260209 am" xfId="20"/>
    <cellStyle name="Normal_JEM 2011 Tariff Approval mr check v2.0 test code v1.2" xfId="16"/>
    <cellStyle name="Note 2" xfId="467"/>
    <cellStyle name="Note 2 2" xfId="468"/>
    <cellStyle name="Note 2 2 2" xfId="1131"/>
    <cellStyle name="Note 2 2 3" xfId="1997"/>
    <cellStyle name="Note 2 3" xfId="469"/>
    <cellStyle name="Note 2 3 2" xfId="1132"/>
    <cellStyle name="Note 2 4" xfId="1133"/>
    <cellStyle name="Note 2 5" xfId="1134"/>
    <cellStyle name="Note 2 6" xfId="1996"/>
    <cellStyle name="Note 2 6 2" xfId="2534"/>
    <cellStyle name="Note 2 6 2 2" xfId="4577"/>
    <cellStyle name="Note 2 6 2 2 2" xfId="8965"/>
    <cellStyle name="Note 2 6 2 2 2 2" xfId="10995"/>
    <cellStyle name="Note 2 6 2 2 2 2 2" xfId="14575"/>
    <cellStyle name="Note 2 6 2 2 2 2 2 2" xfId="19946"/>
    <cellStyle name="Note 2 6 2 2 2 2 3" xfId="12878"/>
    <cellStyle name="Note 2 6 2 2 2 2 4" xfId="18266"/>
    <cellStyle name="Note 2 6 2 2 2 3" xfId="13714"/>
    <cellStyle name="Note 2 6 2 2 2 3 2" xfId="19183"/>
    <cellStyle name="Note 2 6 2 2 2 4" xfId="12017"/>
    <cellStyle name="Note 2 6 2 2 2 4 2" xfId="17405"/>
    <cellStyle name="Note 2 6 2 2 2 5" xfId="15521"/>
    <cellStyle name="Note 2 6 2 2 2 6" xfId="16567"/>
    <cellStyle name="Note 2 6 2 2 3" xfId="10519"/>
    <cellStyle name="Note 2 6 2 2 3 2" xfId="14100"/>
    <cellStyle name="Note 2 6 2 2 3 2 2" xfId="19947"/>
    <cellStyle name="Note 2 6 2 2 3 3" xfId="12403"/>
    <cellStyle name="Note 2 6 2 2 3 4" xfId="17791"/>
    <cellStyle name="Note 2 6 2 2 4" xfId="13242"/>
    <cellStyle name="Note 2 6 2 2 4 2" xfId="18711"/>
    <cellStyle name="Note 2 6 2 2 5" xfId="11475"/>
    <cellStyle name="Note 2 6 2 2 5 2" xfId="16933"/>
    <cellStyle name="Note 2 6 2 2 6" xfId="15047"/>
    <cellStyle name="Note 2 6 2 2 7" xfId="16095"/>
    <cellStyle name="Note 2 6 2 3" xfId="7710"/>
    <cellStyle name="Note 2 6 2 3 2" xfId="10782"/>
    <cellStyle name="Note 2 6 2 3 2 2" xfId="14362"/>
    <cellStyle name="Note 2 6 2 3 2 2 2" xfId="19948"/>
    <cellStyle name="Note 2 6 2 3 2 3" xfId="12665"/>
    <cellStyle name="Note 2 6 2 3 2 4" xfId="18053"/>
    <cellStyle name="Note 2 6 2 3 3" xfId="13501"/>
    <cellStyle name="Note 2 6 2 3 3 2" xfId="18970"/>
    <cellStyle name="Note 2 6 2 3 4" xfId="11804"/>
    <cellStyle name="Note 2 6 2 3 4 2" xfId="17192"/>
    <cellStyle name="Note 2 6 2 3 5" xfId="15307"/>
    <cellStyle name="Note 2 6 2 3 6" xfId="16354"/>
    <cellStyle name="Note 2 6 2 4" xfId="10338"/>
    <cellStyle name="Note 2 6 2 4 2" xfId="13920"/>
    <cellStyle name="Note 2 6 2 4 2 2" xfId="19949"/>
    <cellStyle name="Note 2 6 2 4 3" xfId="12223"/>
    <cellStyle name="Note 2 6 2 4 4" xfId="17611"/>
    <cellStyle name="Note 2 6 2 5" xfId="13063"/>
    <cellStyle name="Note 2 6 2 5 2" xfId="18532"/>
    <cellStyle name="Note 2 6 2 6" xfId="11282"/>
    <cellStyle name="Note 2 6 2 6 2" xfId="16754"/>
    <cellStyle name="Note 2 6 2 7" xfId="14866"/>
    <cellStyle name="Note 2 6 2 8" xfId="15916"/>
    <cellStyle name="Note 2 6 3" xfId="4400"/>
    <cellStyle name="Note 2 6 3 2" xfId="8836"/>
    <cellStyle name="Note 2 6 3 2 2" xfId="10907"/>
    <cellStyle name="Note 2 6 3 2 2 2" xfId="14487"/>
    <cellStyle name="Note 2 6 3 2 2 2 2" xfId="19950"/>
    <cellStyle name="Note 2 6 3 2 2 3" xfId="12790"/>
    <cellStyle name="Note 2 6 3 2 2 4" xfId="18178"/>
    <cellStyle name="Note 2 6 3 2 3" xfId="13626"/>
    <cellStyle name="Note 2 6 3 2 3 2" xfId="19095"/>
    <cellStyle name="Note 2 6 3 2 4" xfId="11929"/>
    <cellStyle name="Note 2 6 3 2 4 2" xfId="17317"/>
    <cellStyle name="Note 2 6 3 2 5" xfId="15433"/>
    <cellStyle name="Note 2 6 3 2 6" xfId="16479"/>
    <cellStyle name="Note 2 6 3 3" xfId="10431"/>
    <cellStyle name="Note 2 6 3 3 2" xfId="14012"/>
    <cellStyle name="Note 2 6 3 3 2 2" xfId="19951"/>
    <cellStyle name="Note 2 6 3 3 3" xfId="12315"/>
    <cellStyle name="Note 2 6 3 3 4" xfId="17703"/>
    <cellStyle name="Note 2 6 3 4" xfId="13154"/>
    <cellStyle name="Note 2 6 3 4 2" xfId="18623"/>
    <cellStyle name="Note 2 6 3 5" xfId="11387"/>
    <cellStyle name="Note 2 6 3 5 2" xfId="16845"/>
    <cellStyle name="Note 2 6 3 6" xfId="14959"/>
    <cellStyle name="Note 2 6 3 7" xfId="16007"/>
    <cellStyle name="Note 2 6 4" xfId="6726"/>
    <cellStyle name="Note 2 6 4 2" xfId="10691"/>
    <cellStyle name="Note 2 6 4 2 2" xfId="14272"/>
    <cellStyle name="Note 2 6 4 2 2 2" xfId="19952"/>
    <cellStyle name="Note 2 6 4 2 3" xfId="12575"/>
    <cellStyle name="Note 2 6 4 2 4" xfId="17963"/>
    <cellStyle name="Note 2 6 4 3" xfId="13412"/>
    <cellStyle name="Note 2 6 4 3 2" xfId="18881"/>
    <cellStyle name="Note 2 6 4 4" xfId="11715"/>
    <cellStyle name="Note 2 6 4 4 2" xfId="17103"/>
    <cellStyle name="Note 2 6 4 5" xfId="15218"/>
    <cellStyle name="Note 2 6 4 6" xfId="16265"/>
    <cellStyle name="Note 2 6 5" xfId="10252"/>
    <cellStyle name="Note 2 6 5 2" xfId="13834"/>
    <cellStyle name="Note 2 6 5 2 2" xfId="19953"/>
    <cellStyle name="Note 2 6 5 3" xfId="12137"/>
    <cellStyle name="Note 2 6 5 4" xfId="17525"/>
    <cellStyle name="Note 2 6 6" xfId="12978"/>
    <cellStyle name="Note 2 6 6 2" xfId="18384"/>
    <cellStyle name="Note 2 6 7" xfId="11183"/>
    <cellStyle name="Note 2 6 7 2" xfId="16669"/>
    <cellStyle name="Note 2 6 8" xfId="14779"/>
    <cellStyle name="Note 2 6 9" xfId="15831"/>
    <cellStyle name="Note 3" xfId="470"/>
    <cellStyle name="Note 3 2" xfId="471"/>
    <cellStyle name="Note 3 2 2" xfId="1135"/>
    <cellStyle name="Note 3 3" xfId="472"/>
    <cellStyle name="Note 3 3 2" xfId="1136"/>
    <cellStyle name="Note 3 4" xfId="1137"/>
    <cellStyle name="Note 3 5" xfId="1138"/>
    <cellStyle name="Note 3 6" xfId="2082"/>
    <cellStyle name="Note 4" xfId="473"/>
    <cellStyle name="Note 4 2" xfId="474"/>
    <cellStyle name="Note 4 2 2" xfId="1139"/>
    <cellStyle name="Note 4 3" xfId="475"/>
    <cellStyle name="Note 4 3 2" xfId="1140"/>
    <cellStyle name="Note 4 4" xfId="1141"/>
    <cellStyle name="Note 4 5" xfId="1142"/>
    <cellStyle name="Note 5" xfId="1143"/>
    <cellStyle name="Note 5 2" xfId="1647"/>
    <cellStyle name="Note 5 3" xfId="1881"/>
    <cellStyle name="Note 6" xfId="1144"/>
    <cellStyle name="Note 7" xfId="1145"/>
    <cellStyle name="Note 8" xfId="1146"/>
    <cellStyle name="Output 2" xfId="476"/>
    <cellStyle name="Output 2 2" xfId="477"/>
    <cellStyle name="Output 2 2 2" xfId="1147"/>
    <cellStyle name="Output 2 2 3" xfId="1999"/>
    <cellStyle name="Output 2 3" xfId="478"/>
    <cellStyle name="Output 2 3 2" xfId="1148"/>
    <cellStyle name="Output 2 4" xfId="1149"/>
    <cellStyle name="Output 2 5" xfId="1150"/>
    <cellStyle name="Output 2 6" xfId="1998"/>
    <cellStyle name="Output 3" xfId="1151"/>
    <cellStyle name="Output 3 2" xfId="2083"/>
    <cellStyle name="Output 4" xfId="1152"/>
    <cellStyle name="Output 5" xfId="1153"/>
    <cellStyle name="Output 6" xfId="1154"/>
    <cellStyle name="Percent" xfId="6" builtinId="5"/>
    <cellStyle name="Percent [2]" xfId="479"/>
    <cellStyle name="Percent [2] 2" xfId="480"/>
    <cellStyle name="Percent [2]_29(d) - Gas extensions -tariffs" xfId="481"/>
    <cellStyle name="Percent 10" xfId="482"/>
    <cellStyle name="Percent 100" xfId="9767"/>
    <cellStyle name="Percent 100 2" xfId="11007"/>
    <cellStyle name="Percent 100 2 2" xfId="14587"/>
    <cellStyle name="Percent 100 2 2 2" xfId="19954"/>
    <cellStyle name="Percent 100 2 3" xfId="12890"/>
    <cellStyle name="Percent 100 2 4" xfId="18278"/>
    <cellStyle name="Percent 100 3" xfId="13725"/>
    <cellStyle name="Percent 100 3 2" xfId="19194"/>
    <cellStyle name="Percent 100 4" xfId="12028"/>
    <cellStyle name="Percent 100 4 2" xfId="17416"/>
    <cellStyle name="Percent 100 5" xfId="15533"/>
    <cellStyle name="Percent 100 6" xfId="16578"/>
    <cellStyle name="Percent 101" xfId="7506"/>
    <cellStyle name="Percent 101 2" xfId="10765"/>
    <cellStyle name="Percent 101 2 2" xfId="14345"/>
    <cellStyle name="Percent 101 2 2 2" xfId="19955"/>
    <cellStyle name="Percent 101 2 3" xfId="12648"/>
    <cellStyle name="Percent 101 2 4" xfId="18036"/>
    <cellStyle name="Percent 101 3" xfId="13485"/>
    <cellStyle name="Percent 101 3 2" xfId="18954"/>
    <cellStyle name="Percent 101 4" xfId="11788"/>
    <cellStyle name="Percent 101 4 2" xfId="17176"/>
    <cellStyle name="Percent 101 5" xfId="15291"/>
    <cellStyle name="Percent 101 6" xfId="16338"/>
    <cellStyle name="Percent 102" xfId="7734"/>
    <cellStyle name="Percent 103" xfId="7056"/>
    <cellStyle name="Percent 104" xfId="30"/>
    <cellStyle name="Percent 104 2" xfId="11013"/>
    <cellStyle name="Percent 104 3" xfId="12905"/>
    <cellStyle name="Percent 104 3 2" xfId="19956"/>
    <cellStyle name="Percent 104 4" xfId="11110"/>
    <cellStyle name="Percent 104 4 2" xfId="16596"/>
    <cellStyle name="Percent 105" xfId="10127"/>
    <cellStyle name="Percent 105 2" xfId="11020"/>
    <cellStyle name="Percent 105 3" xfId="13728"/>
    <cellStyle name="Percent 105 3 2" xfId="19957"/>
    <cellStyle name="Percent 105 4" xfId="12031"/>
    <cellStyle name="Percent 105 4 2" xfId="17419"/>
    <cellStyle name="Percent 106" xfId="10133"/>
    <cellStyle name="Percent 106 2" xfId="11019"/>
    <cellStyle name="Percent 106 3" xfId="13732"/>
    <cellStyle name="Percent 106 3 2" xfId="19958"/>
    <cellStyle name="Percent 106 4" xfId="12035"/>
    <cellStyle name="Percent 106 4 2" xfId="17423"/>
    <cellStyle name="Percent 107" xfId="10170"/>
    <cellStyle name="Percent 107 2" xfId="13756"/>
    <cellStyle name="Percent 107 2 2" xfId="19959"/>
    <cellStyle name="Percent 107 3" xfId="12059"/>
    <cellStyle name="Percent 107 3 2" xfId="17447"/>
    <cellStyle name="Percent 107 4" xfId="15753"/>
    <cellStyle name="Percent 108" xfId="10137"/>
    <cellStyle name="Percent 108 2" xfId="13736"/>
    <cellStyle name="Percent 108 2 2" xfId="19960"/>
    <cellStyle name="Percent 108 3" xfId="12039"/>
    <cellStyle name="Percent 108 3 2" xfId="17427"/>
    <cellStyle name="Percent 108 4" xfId="16581"/>
    <cellStyle name="Percent 109" xfId="10164"/>
    <cellStyle name="Percent 109 2" xfId="13752"/>
    <cellStyle name="Percent 109 2 2" xfId="19961"/>
    <cellStyle name="Percent 109 3" xfId="12055"/>
    <cellStyle name="Percent 109 3 2" xfId="17443"/>
    <cellStyle name="Percent 109 4" xfId="16583"/>
    <cellStyle name="Percent 11" xfId="483"/>
    <cellStyle name="Percent 110" xfId="10136"/>
    <cellStyle name="Percent 110 2" xfId="13735"/>
    <cellStyle name="Percent 110 2 2" xfId="19962"/>
    <cellStyle name="Percent 110 3" xfId="12038"/>
    <cellStyle name="Percent 110 4" xfId="17426"/>
    <cellStyle name="Percent 111" xfId="10153"/>
    <cellStyle name="Percent 111 2" xfId="13746"/>
    <cellStyle name="Percent 111 2 2" xfId="19963"/>
    <cellStyle name="Percent 111 3" xfId="12049"/>
    <cellStyle name="Percent 111 4" xfId="17437"/>
    <cellStyle name="Percent 112" xfId="10166"/>
    <cellStyle name="Percent 112 2" xfId="13754"/>
    <cellStyle name="Percent 112 2 2" xfId="19964"/>
    <cellStyle name="Percent 112 3" xfId="12057"/>
    <cellStyle name="Percent 112 4" xfId="17445"/>
    <cellStyle name="Percent 113" xfId="10173"/>
    <cellStyle name="Percent 113 2" xfId="13758"/>
    <cellStyle name="Percent 113 2 2" xfId="19965"/>
    <cellStyle name="Percent 113 3" xfId="12061"/>
    <cellStyle name="Percent 113 4" xfId="17449"/>
    <cellStyle name="Percent 114" xfId="10155"/>
    <cellStyle name="Percent 114 2" xfId="13747"/>
    <cellStyle name="Percent 114 2 2" xfId="19966"/>
    <cellStyle name="Percent 114 3" xfId="12050"/>
    <cellStyle name="Percent 114 4" xfId="17438"/>
    <cellStyle name="Percent 115" xfId="10171"/>
    <cellStyle name="Percent 115 2" xfId="13757"/>
    <cellStyle name="Percent 115 2 2" xfId="19967"/>
    <cellStyle name="Percent 115 3" xfId="12060"/>
    <cellStyle name="Percent 115 4" xfId="17448"/>
    <cellStyle name="Percent 116" xfId="10146"/>
    <cellStyle name="Percent 116 2" xfId="13741"/>
    <cellStyle name="Percent 116 2 2" xfId="19968"/>
    <cellStyle name="Percent 116 3" xfId="12044"/>
    <cellStyle name="Percent 116 4" xfId="17432"/>
    <cellStyle name="Percent 117" xfId="10131"/>
    <cellStyle name="Percent 117 2" xfId="13731"/>
    <cellStyle name="Percent 117 2 2" xfId="19969"/>
    <cellStyle name="Percent 117 3" xfId="12034"/>
    <cellStyle name="Percent 117 4" xfId="17422"/>
    <cellStyle name="Percent 118" xfId="10148"/>
    <cellStyle name="Percent 118 2" xfId="13743"/>
    <cellStyle name="Percent 118 2 2" xfId="19970"/>
    <cellStyle name="Percent 118 3" xfId="12046"/>
    <cellStyle name="Percent 118 4" xfId="17434"/>
    <cellStyle name="Percent 119" xfId="10163"/>
    <cellStyle name="Percent 119 2" xfId="13751"/>
    <cellStyle name="Percent 119 2 2" xfId="19971"/>
    <cellStyle name="Percent 119 3" xfId="12054"/>
    <cellStyle name="Percent 119 4" xfId="17442"/>
    <cellStyle name="Percent 12" xfId="484"/>
    <cellStyle name="Percent 12 2" xfId="485"/>
    <cellStyle name="Percent 12 2 2" xfId="486"/>
    <cellStyle name="Percent 12 3" xfId="487"/>
    <cellStyle name="Percent 12 4" xfId="488"/>
    <cellStyle name="Percent 120" xfId="10147"/>
    <cellStyle name="Percent 120 2" xfId="13742"/>
    <cellStyle name="Percent 120 2 2" xfId="19972"/>
    <cellStyle name="Percent 120 3" xfId="12045"/>
    <cellStyle name="Percent 120 4" xfId="17433"/>
    <cellStyle name="Percent 121" xfId="10175"/>
    <cellStyle name="Percent 121 2" xfId="13760"/>
    <cellStyle name="Percent 121 2 2" xfId="19973"/>
    <cellStyle name="Percent 121 3" xfId="12063"/>
    <cellStyle name="Percent 121 4" xfId="17451"/>
    <cellStyle name="Percent 122" xfId="10255"/>
    <cellStyle name="Percent 122 2" xfId="13837"/>
    <cellStyle name="Percent 122 2 2" xfId="19974"/>
    <cellStyle name="Percent 122 3" xfId="12140"/>
    <cellStyle name="Percent 122 4" xfId="17528"/>
    <cellStyle name="Percent 123" xfId="10354"/>
    <cellStyle name="Percent 123 2" xfId="13935"/>
    <cellStyle name="Percent 123 2 2" xfId="19975"/>
    <cellStyle name="Percent 123 3" xfId="12238"/>
    <cellStyle name="Percent 123 4" xfId="17626"/>
    <cellStyle name="Percent 124" xfId="11005"/>
    <cellStyle name="Percent 124 2" xfId="14585"/>
    <cellStyle name="Percent 124 2 2" xfId="19976"/>
    <cellStyle name="Percent 124 3" xfId="12888"/>
    <cellStyle name="Percent 124 4" xfId="18276"/>
    <cellStyle name="Percent 125" xfId="10780"/>
    <cellStyle name="Percent 125 2" xfId="14360"/>
    <cellStyle name="Percent 125 2 2" xfId="19977"/>
    <cellStyle name="Percent 125 3" xfId="12663"/>
    <cellStyle name="Percent 125 4" xfId="18051"/>
    <cellStyle name="Percent 126" xfId="11098"/>
    <cellStyle name="Percent 126 2" xfId="18287"/>
    <cellStyle name="Percent 127" xfId="11101"/>
    <cellStyle name="Percent 127 2" xfId="18292"/>
    <cellStyle name="Percent 128" xfId="11102"/>
    <cellStyle name="Percent 128 2" xfId="18316"/>
    <cellStyle name="Percent 129" xfId="11106"/>
    <cellStyle name="Percent 129 2" xfId="18320"/>
    <cellStyle name="Percent 13" xfId="1155"/>
    <cellStyle name="Percent 130" xfId="11094"/>
    <cellStyle name="Percent 130 2" xfId="14636"/>
    <cellStyle name="Percent 130 3" xfId="18288"/>
    <cellStyle name="Percent 131" xfId="14684"/>
    <cellStyle name="Percent 131 2" xfId="18297"/>
    <cellStyle name="Percent 132" xfId="12900"/>
    <cellStyle name="Percent 132 2" xfId="18304"/>
    <cellStyle name="Percent 133" xfId="14703"/>
    <cellStyle name="Percent 133 2" xfId="18315"/>
    <cellStyle name="Percent 134" xfId="14782"/>
    <cellStyle name="Percent 134 2" xfId="18313"/>
    <cellStyle name="Percent 135" xfId="15056"/>
    <cellStyle name="Percent 135 2" xfId="18303"/>
    <cellStyle name="Percent 136" xfId="15356"/>
    <cellStyle name="Percent 136 2" xfId="18309"/>
    <cellStyle name="Percent 137" xfId="15541"/>
    <cellStyle name="Percent 137 2" xfId="18308"/>
    <cellStyle name="Percent 138" xfId="15543"/>
    <cellStyle name="Percent 138 2" xfId="18318"/>
    <cellStyle name="Percent 139" xfId="15750"/>
    <cellStyle name="Percent 139 2" xfId="18293"/>
    <cellStyle name="Percent 14" xfId="1156"/>
    <cellStyle name="Percent 140" xfId="15551"/>
    <cellStyle name="Percent 140 2" xfId="18300"/>
    <cellStyle name="Percent 141" xfId="15549"/>
    <cellStyle name="Percent 141 2" xfId="18390"/>
    <cellStyle name="Percent 141 3" xfId="16590"/>
    <cellStyle name="Percent 142" xfId="16591"/>
    <cellStyle name="Percent 143" xfId="18331"/>
    <cellStyle name="Percent 144" xfId="18342"/>
    <cellStyle name="Percent 145" xfId="18377"/>
    <cellStyle name="Percent 146" xfId="18347"/>
    <cellStyle name="Percent 147" xfId="18365"/>
    <cellStyle name="Percent 148" xfId="18341"/>
    <cellStyle name="Percent 149" xfId="18332"/>
    <cellStyle name="Percent 15" xfId="1157"/>
    <cellStyle name="Percent 15 2" xfId="1679"/>
    <cellStyle name="Percent 15 3" xfId="1882"/>
    <cellStyle name="Percent 150" xfId="18340"/>
    <cellStyle name="Percent 151" xfId="18370"/>
    <cellStyle name="Percent 152" xfId="18356"/>
    <cellStyle name="Percent 153" xfId="18324"/>
    <cellStyle name="Percent 154" xfId="18334"/>
    <cellStyle name="Percent 155" xfId="18354"/>
    <cellStyle name="Percent 156" xfId="18351"/>
    <cellStyle name="Percent 157" xfId="18328"/>
    <cellStyle name="Percent 158" xfId="18327"/>
    <cellStyle name="Percent 159" xfId="18368"/>
    <cellStyle name="Percent 16" xfId="1158"/>
    <cellStyle name="Percent 16 2" xfId="1684"/>
    <cellStyle name="Percent 16 3" xfId="1883"/>
    <cellStyle name="Percent 160" xfId="18357"/>
    <cellStyle name="Percent 161" xfId="18350"/>
    <cellStyle name="Percent 162" xfId="18360"/>
    <cellStyle name="Percent 163" xfId="18373"/>
    <cellStyle name="Percent 164" xfId="18349"/>
    <cellStyle name="Percent 165" xfId="20089"/>
    <cellStyle name="Percent 166" xfId="16585"/>
    <cellStyle name="Percent 167" xfId="20094"/>
    <cellStyle name="Percent 168" xfId="20110"/>
    <cellStyle name="Percent 169" xfId="20115"/>
    <cellStyle name="Percent 17" xfId="1559"/>
    <cellStyle name="Percent 17 10" xfId="11130"/>
    <cellStyle name="Percent 17 10 2" xfId="16616"/>
    <cellStyle name="Percent 17 11" xfId="14726"/>
    <cellStyle name="Percent 17 12" xfId="15778"/>
    <cellStyle name="Percent 17 2" xfId="1691"/>
    <cellStyle name="Percent 17 2 2" xfId="11088"/>
    <cellStyle name="Percent 17 2 2 2" xfId="14593"/>
    <cellStyle name="Percent 17 2 2 2 2" xfId="19978"/>
    <cellStyle name="Percent 17 2 2 3" xfId="12896"/>
    <cellStyle name="Percent 17 2 2 4" xfId="15539"/>
    <cellStyle name="Percent 17 2 2 5" xfId="18284"/>
    <cellStyle name="Percent 17 3" xfId="1890"/>
    <cellStyle name="Percent 17 3 10" xfId="15811"/>
    <cellStyle name="Percent 17 3 2" xfId="2505"/>
    <cellStyle name="Percent 17 3 2 2" xfId="4557"/>
    <cellStyle name="Percent 17 3 2 2 2" xfId="8945"/>
    <cellStyle name="Percent 17 3 2 2 2 2" xfId="10975"/>
    <cellStyle name="Percent 17 3 2 2 2 2 2" xfId="14555"/>
    <cellStyle name="Percent 17 3 2 2 2 2 2 2" xfId="19979"/>
    <cellStyle name="Percent 17 3 2 2 2 2 3" xfId="12858"/>
    <cellStyle name="Percent 17 3 2 2 2 2 4" xfId="18246"/>
    <cellStyle name="Percent 17 3 2 2 2 3" xfId="13694"/>
    <cellStyle name="Percent 17 3 2 2 2 3 2" xfId="19163"/>
    <cellStyle name="Percent 17 3 2 2 2 4" xfId="11997"/>
    <cellStyle name="Percent 17 3 2 2 2 4 2" xfId="17385"/>
    <cellStyle name="Percent 17 3 2 2 2 5" xfId="15501"/>
    <cellStyle name="Percent 17 3 2 2 2 6" xfId="16547"/>
    <cellStyle name="Percent 17 3 2 2 3" xfId="10499"/>
    <cellStyle name="Percent 17 3 2 2 3 2" xfId="14080"/>
    <cellStyle name="Percent 17 3 2 2 3 2 2" xfId="19980"/>
    <cellStyle name="Percent 17 3 2 2 3 3" xfId="12383"/>
    <cellStyle name="Percent 17 3 2 2 3 4" xfId="17771"/>
    <cellStyle name="Percent 17 3 2 2 4" xfId="13222"/>
    <cellStyle name="Percent 17 3 2 2 4 2" xfId="18691"/>
    <cellStyle name="Percent 17 3 2 2 5" xfId="11455"/>
    <cellStyle name="Percent 17 3 2 2 5 2" xfId="16913"/>
    <cellStyle name="Percent 17 3 2 2 6" xfId="15027"/>
    <cellStyle name="Percent 17 3 2 2 7" xfId="16075"/>
    <cellStyle name="Percent 17 3 2 3" xfId="5329"/>
    <cellStyle name="Percent 17 3 2 3 2" xfId="10623"/>
    <cellStyle name="Percent 17 3 2 3 2 2" xfId="14204"/>
    <cellStyle name="Percent 17 3 2 3 2 2 2" xfId="19981"/>
    <cellStyle name="Percent 17 3 2 3 2 3" xfId="12507"/>
    <cellStyle name="Percent 17 3 2 3 2 4" xfId="17895"/>
    <cellStyle name="Percent 17 3 2 3 3" xfId="13345"/>
    <cellStyle name="Percent 17 3 2 3 3 2" xfId="18814"/>
    <cellStyle name="Percent 17 3 2 3 4" xfId="11602"/>
    <cellStyle name="Percent 17 3 2 3 4 2" xfId="17036"/>
    <cellStyle name="Percent 17 3 2 3 5" xfId="15151"/>
    <cellStyle name="Percent 17 3 2 3 6" xfId="16198"/>
    <cellStyle name="Percent 17 3 2 4" xfId="7208"/>
    <cellStyle name="Percent 17 3 2 4 2" xfId="10741"/>
    <cellStyle name="Percent 17 3 2 4 2 2" xfId="14321"/>
    <cellStyle name="Percent 17 3 2 4 2 2 2" xfId="19982"/>
    <cellStyle name="Percent 17 3 2 4 2 3" xfId="12624"/>
    <cellStyle name="Percent 17 3 2 4 2 4" xfId="18012"/>
    <cellStyle name="Percent 17 3 2 4 3" xfId="13461"/>
    <cellStyle name="Percent 17 3 2 4 3 2" xfId="18930"/>
    <cellStyle name="Percent 17 3 2 4 4" xfId="11764"/>
    <cellStyle name="Percent 17 3 2 4 4 2" xfId="17152"/>
    <cellStyle name="Percent 17 3 2 4 5" xfId="15267"/>
    <cellStyle name="Percent 17 3 2 4 6" xfId="16314"/>
    <cellStyle name="Percent 17 3 2 5" xfId="10318"/>
    <cellStyle name="Percent 17 3 2 5 2" xfId="13900"/>
    <cellStyle name="Percent 17 3 2 5 2 2" xfId="19983"/>
    <cellStyle name="Percent 17 3 2 5 3" xfId="12203"/>
    <cellStyle name="Percent 17 3 2 5 4" xfId="17591"/>
    <cellStyle name="Percent 17 3 2 6" xfId="13043"/>
    <cellStyle name="Percent 17 3 2 6 2" xfId="18499"/>
    <cellStyle name="Percent 17 3 2 7" xfId="11262"/>
    <cellStyle name="Percent 17 3 2 7 2" xfId="16734"/>
    <cellStyle name="Percent 17 3 2 8" xfId="14846"/>
    <cellStyle name="Percent 17 3 2 9" xfId="15896"/>
    <cellStyle name="Percent 17 3 3" xfId="4380"/>
    <cellStyle name="Percent 17 3 3 2" xfId="8816"/>
    <cellStyle name="Percent 17 3 3 2 2" xfId="10887"/>
    <cellStyle name="Percent 17 3 3 2 2 2" xfId="14467"/>
    <cellStyle name="Percent 17 3 3 2 2 2 2" xfId="19984"/>
    <cellStyle name="Percent 17 3 3 2 2 3" xfId="12770"/>
    <cellStyle name="Percent 17 3 3 2 2 4" xfId="18158"/>
    <cellStyle name="Percent 17 3 3 2 3" xfId="13606"/>
    <cellStyle name="Percent 17 3 3 2 3 2" xfId="19075"/>
    <cellStyle name="Percent 17 3 3 2 4" xfId="11909"/>
    <cellStyle name="Percent 17 3 3 2 4 2" xfId="17297"/>
    <cellStyle name="Percent 17 3 3 2 5" xfId="15413"/>
    <cellStyle name="Percent 17 3 3 2 6" xfId="16459"/>
    <cellStyle name="Percent 17 3 3 3" xfId="10411"/>
    <cellStyle name="Percent 17 3 3 3 2" xfId="13992"/>
    <cellStyle name="Percent 17 3 3 3 2 2" xfId="19985"/>
    <cellStyle name="Percent 17 3 3 3 3" xfId="12295"/>
    <cellStyle name="Percent 17 3 3 3 4" xfId="17683"/>
    <cellStyle name="Percent 17 3 3 4" xfId="13134"/>
    <cellStyle name="Percent 17 3 3 4 2" xfId="18603"/>
    <cellStyle name="Percent 17 3 3 5" xfId="11367"/>
    <cellStyle name="Percent 17 3 3 5 2" xfId="16825"/>
    <cellStyle name="Percent 17 3 3 6" xfId="14939"/>
    <cellStyle name="Percent 17 3 3 7" xfId="15987"/>
    <cellStyle name="Percent 17 3 4" xfId="5303"/>
    <cellStyle name="Percent 17 3 4 2" xfId="10612"/>
    <cellStyle name="Percent 17 3 4 2 2" xfId="14193"/>
    <cellStyle name="Percent 17 3 4 2 2 2" xfId="19986"/>
    <cellStyle name="Percent 17 3 4 2 3" xfId="12496"/>
    <cellStyle name="Percent 17 3 4 2 4" xfId="17884"/>
    <cellStyle name="Percent 17 3 4 3" xfId="13334"/>
    <cellStyle name="Percent 17 3 4 3 2" xfId="18803"/>
    <cellStyle name="Percent 17 3 4 4" xfId="11591"/>
    <cellStyle name="Percent 17 3 4 4 2" xfId="17025"/>
    <cellStyle name="Percent 17 3 4 5" xfId="15140"/>
    <cellStyle name="Percent 17 3 4 6" xfId="16187"/>
    <cellStyle name="Percent 17 3 5" xfId="7039"/>
    <cellStyle name="Percent 17 3 5 2" xfId="10723"/>
    <cellStyle name="Percent 17 3 5 2 2" xfId="14303"/>
    <cellStyle name="Percent 17 3 5 2 2 2" xfId="19987"/>
    <cellStyle name="Percent 17 3 5 2 3" xfId="12606"/>
    <cellStyle name="Percent 17 3 5 2 4" xfId="17994"/>
    <cellStyle name="Percent 17 3 5 3" xfId="13443"/>
    <cellStyle name="Percent 17 3 5 3 2" xfId="18912"/>
    <cellStyle name="Percent 17 3 5 4" xfId="11746"/>
    <cellStyle name="Percent 17 3 5 4 2" xfId="17134"/>
    <cellStyle name="Percent 17 3 5 5" xfId="15249"/>
    <cellStyle name="Percent 17 3 5 6" xfId="16296"/>
    <cellStyle name="Percent 17 3 6" xfId="10232"/>
    <cellStyle name="Percent 17 3 6 2" xfId="13814"/>
    <cellStyle name="Percent 17 3 6 2 2" xfId="19988"/>
    <cellStyle name="Percent 17 3 6 3" xfId="12117"/>
    <cellStyle name="Percent 17 3 6 4" xfId="17505"/>
    <cellStyle name="Percent 17 3 7" xfId="12958"/>
    <cellStyle name="Percent 17 3 7 2" xfId="18434"/>
    <cellStyle name="Percent 17 3 8" xfId="11163"/>
    <cellStyle name="Percent 17 3 8 2" xfId="16649"/>
    <cellStyle name="Percent 17 3 9" xfId="14759"/>
    <cellStyle name="Percent 17 4" xfId="2423"/>
    <cellStyle name="Percent 17 4 2" xfId="4524"/>
    <cellStyle name="Percent 17 4 2 2" xfId="8912"/>
    <cellStyle name="Percent 17 4 2 2 2" xfId="10942"/>
    <cellStyle name="Percent 17 4 2 2 2 2" xfId="14522"/>
    <cellStyle name="Percent 17 4 2 2 2 2 2" xfId="19989"/>
    <cellStyle name="Percent 17 4 2 2 2 3" xfId="12825"/>
    <cellStyle name="Percent 17 4 2 2 2 4" xfId="18213"/>
    <cellStyle name="Percent 17 4 2 2 3" xfId="13661"/>
    <cellStyle name="Percent 17 4 2 2 3 2" xfId="19130"/>
    <cellStyle name="Percent 17 4 2 2 4" xfId="11964"/>
    <cellStyle name="Percent 17 4 2 2 4 2" xfId="17352"/>
    <cellStyle name="Percent 17 4 2 2 5" xfId="15468"/>
    <cellStyle name="Percent 17 4 2 2 6" xfId="16514"/>
    <cellStyle name="Percent 17 4 2 3" xfId="10466"/>
    <cellStyle name="Percent 17 4 2 3 2" xfId="14047"/>
    <cellStyle name="Percent 17 4 2 3 2 2" xfId="19990"/>
    <cellStyle name="Percent 17 4 2 3 3" xfId="12350"/>
    <cellStyle name="Percent 17 4 2 3 4" xfId="17738"/>
    <cellStyle name="Percent 17 4 2 4" xfId="13189"/>
    <cellStyle name="Percent 17 4 2 4 2" xfId="18658"/>
    <cellStyle name="Percent 17 4 2 5" xfId="11422"/>
    <cellStyle name="Percent 17 4 2 5 2" xfId="16880"/>
    <cellStyle name="Percent 17 4 2 6" xfId="14994"/>
    <cellStyle name="Percent 17 4 2 7" xfId="16042"/>
    <cellStyle name="Percent 17 4 3" xfId="5173"/>
    <cellStyle name="Percent 17 4 3 2" xfId="10561"/>
    <cellStyle name="Percent 17 4 3 2 2" xfId="14142"/>
    <cellStyle name="Percent 17 4 3 2 2 2" xfId="19991"/>
    <cellStyle name="Percent 17 4 3 2 3" xfId="12445"/>
    <cellStyle name="Percent 17 4 3 2 4" xfId="17833"/>
    <cellStyle name="Percent 17 4 3 3" xfId="13283"/>
    <cellStyle name="Percent 17 4 3 3 2" xfId="18752"/>
    <cellStyle name="Percent 17 4 3 4" xfId="11533"/>
    <cellStyle name="Percent 17 4 3 4 2" xfId="16974"/>
    <cellStyle name="Percent 17 4 3 5" xfId="15089"/>
    <cellStyle name="Percent 17 4 3 6" xfId="16136"/>
    <cellStyle name="Percent 17 4 4" xfId="7910"/>
    <cellStyle name="Percent 17 4 4 2" xfId="10798"/>
    <cellStyle name="Percent 17 4 4 2 2" xfId="14378"/>
    <cellStyle name="Percent 17 4 4 2 2 2" xfId="19992"/>
    <cellStyle name="Percent 17 4 4 2 3" xfId="12681"/>
    <cellStyle name="Percent 17 4 4 2 4" xfId="18069"/>
    <cellStyle name="Percent 17 4 4 3" xfId="13517"/>
    <cellStyle name="Percent 17 4 4 3 2" xfId="18986"/>
    <cellStyle name="Percent 17 4 4 4" xfId="11820"/>
    <cellStyle name="Percent 17 4 4 4 2" xfId="17208"/>
    <cellStyle name="Percent 17 4 4 5" xfId="15323"/>
    <cellStyle name="Percent 17 4 4 6" xfId="16370"/>
    <cellStyle name="Percent 17 4 5" xfId="10285"/>
    <cellStyle name="Percent 17 4 5 2" xfId="13867"/>
    <cellStyle name="Percent 17 4 5 2 2" xfId="19993"/>
    <cellStyle name="Percent 17 4 5 3" xfId="12170"/>
    <cellStyle name="Percent 17 4 5 4" xfId="17558"/>
    <cellStyle name="Percent 17 4 6" xfId="13010"/>
    <cellStyle name="Percent 17 4 6 2" xfId="18466"/>
    <cellStyle name="Percent 17 4 7" xfId="11229"/>
    <cellStyle name="Percent 17 4 7 2" xfId="16701"/>
    <cellStyle name="Percent 17 4 8" xfId="14813"/>
    <cellStyle name="Percent 17 4 9" xfId="15863"/>
    <cellStyle name="Percent 17 5" xfId="4347"/>
    <cellStyle name="Percent 17 5 2" xfId="8783"/>
    <cellStyle name="Percent 17 5 2 2" xfId="10854"/>
    <cellStyle name="Percent 17 5 2 2 2" xfId="14434"/>
    <cellStyle name="Percent 17 5 2 2 2 2" xfId="19994"/>
    <cellStyle name="Percent 17 5 2 2 3" xfId="12737"/>
    <cellStyle name="Percent 17 5 2 2 4" xfId="18125"/>
    <cellStyle name="Percent 17 5 2 3" xfId="13573"/>
    <cellStyle name="Percent 17 5 2 3 2" xfId="19042"/>
    <cellStyle name="Percent 17 5 2 4" xfId="11876"/>
    <cellStyle name="Percent 17 5 2 4 2" xfId="17264"/>
    <cellStyle name="Percent 17 5 2 5" xfId="15380"/>
    <cellStyle name="Percent 17 5 2 6" xfId="16426"/>
    <cellStyle name="Percent 17 5 3" xfId="10378"/>
    <cellStyle name="Percent 17 5 3 2" xfId="13959"/>
    <cellStyle name="Percent 17 5 3 2 2" xfId="19995"/>
    <cellStyle name="Percent 17 5 3 3" xfId="12262"/>
    <cellStyle name="Percent 17 5 3 4" xfId="17650"/>
    <cellStyle name="Percent 17 5 4" xfId="13101"/>
    <cellStyle name="Percent 17 5 4 2" xfId="18570"/>
    <cellStyle name="Percent 17 5 5" xfId="11334"/>
    <cellStyle name="Percent 17 5 5 2" xfId="16792"/>
    <cellStyle name="Percent 17 5 6" xfId="14906"/>
    <cellStyle name="Percent 17 5 7" xfId="15954"/>
    <cellStyle name="Percent 17 6" xfId="5102"/>
    <cellStyle name="Percent 17 6 2" xfId="10531"/>
    <cellStyle name="Percent 17 6 2 2" xfId="14112"/>
    <cellStyle name="Percent 17 6 2 2 2" xfId="19996"/>
    <cellStyle name="Percent 17 6 2 3" xfId="12415"/>
    <cellStyle name="Percent 17 6 2 4" xfId="17803"/>
    <cellStyle name="Percent 17 6 3" xfId="13253"/>
    <cellStyle name="Percent 17 6 3 2" xfId="18722"/>
    <cellStyle name="Percent 17 6 4" xfId="11501"/>
    <cellStyle name="Percent 17 6 4 2" xfId="16944"/>
    <cellStyle name="Percent 17 6 5" xfId="15059"/>
    <cellStyle name="Percent 17 6 6" xfId="16106"/>
    <cellStyle name="Percent 17 7" xfId="6997"/>
    <cellStyle name="Percent 17 7 2" xfId="10719"/>
    <cellStyle name="Percent 17 7 2 2" xfId="14299"/>
    <cellStyle name="Percent 17 7 2 2 2" xfId="19997"/>
    <cellStyle name="Percent 17 7 2 3" xfId="12602"/>
    <cellStyle name="Percent 17 7 2 4" xfId="17990"/>
    <cellStyle name="Percent 17 7 3" xfId="13439"/>
    <cellStyle name="Percent 17 7 3 2" xfId="18908"/>
    <cellStyle name="Percent 17 7 4" xfId="11742"/>
    <cellStyle name="Percent 17 7 4 2" xfId="17130"/>
    <cellStyle name="Percent 17 7 5" xfId="15245"/>
    <cellStyle name="Percent 17 7 6" xfId="16292"/>
    <cellStyle name="Percent 17 8" xfId="10199"/>
    <cellStyle name="Percent 17 8 2" xfId="13781"/>
    <cellStyle name="Percent 17 8 2 2" xfId="19998"/>
    <cellStyle name="Percent 17 8 3" xfId="12084"/>
    <cellStyle name="Percent 17 8 4" xfId="17472"/>
    <cellStyle name="Percent 17 9" xfId="12925"/>
    <cellStyle name="Percent 17 9 2" xfId="19999"/>
    <cellStyle name="Percent 170" xfId="20112"/>
    <cellStyle name="Percent 171" xfId="20100"/>
    <cellStyle name="Percent 172" xfId="20096"/>
    <cellStyle name="Percent 173" xfId="20116"/>
    <cellStyle name="Percent 174" xfId="20120"/>
    <cellStyle name="Percent 175" xfId="20106"/>
    <cellStyle name="Percent 176" xfId="20104"/>
    <cellStyle name="Percent 18" xfId="1562"/>
    <cellStyle name="Percent 18 10" xfId="11132"/>
    <cellStyle name="Percent 18 10 2" xfId="16618"/>
    <cellStyle name="Percent 18 11" xfId="14728"/>
    <cellStyle name="Percent 18 12" xfId="15780"/>
    <cellStyle name="Percent 18 2" xfId="1694"/>
    <cellStyle name="Percent 18 2 2" xfId="11089"/>
    <cellStyle name="Percent 18 2 2 2" xfId="14594"/>
    <cellStyle name="Percent 18 2 2 2 2" xfId="20000"/>
    <cellStyle name="Percent 18 2 2 3" xfId="12897"/>
    <cellStyle name="Percent 18 2 2 4" xfId="15540"/>
    <cellStyle name="Percent 18 2 2 5" xfId="18285"/>
    <cellStyle name="Percent 18 3" xfId="1892"/>
    <cellStyle name="Percent 18 3 10" xfId="15813"/>
    <cellStyle name="Percent 18 3 2" xfId="2507"/>
    <cellStyle name="Percent 18 3 2 2" xfId="4559"/>
    <cellStyle name="Percent 18 3 2 2 2" xfId="8947"/>
    <cellStyle name="Percent 18 3 2 2 2 2" xfId="10977"/>
    <cellStyle name="Percent 18 3 2 2 2 2 2" xfId="14557"/>
    <cellStyle name="Percent 18 3 2 2 2 2 2 2" xfId="20001"/>
    <cellStyle name="Percent 18 3 2 2 2 2 3" xfId="12860"/>
    <cellStyle name="Percent 18 3 2 2 2 2 4" xfId="18248"/>
    <cellStyle name="Percent 18 3 2 2 2 3" xfId="13696"/>
    <cellStyle name="Percent 18 3 2 2 2 3 2" xfId="19165"/>
    <cellStyle name="Percent 18 3 2 2 2 4" xfId="11999"/>
    <cellStyle name="Percent 18 3 2 2 2 4 2" xfId="17387"/>
    <cellStyle name="Percent 18 3 2 2 2 5" xfId="15503"/>
    <cellStyle name="Percent 18 3 2 2 2 6" xfId="16549"/>
    <cellStyle name="Percent 18 3 2 2 3" xfId="10501"/>
    <cellStyle name="Percent 18 3 2 2 3 2" xfId="14082"/>
    <cellStyle name="Percent 18 3 2 2 3 2 2" xfId="20002"/>
    <cellStyle name="Percent 18 3 2 2 3 3" xfId="12385"/>
    <cellStyle name="Percent 18 3 2 2 3 4" xfId="17773"/>
    <cellStyle name="Percent 18 3 2 2 4" xfId="13224"/>
    <cellStyle name="Percent 18 3 2 2 4 2" xfId="18693"/>
    <cellStyle name="Percent 18 3 2 2 5" xfId="11457"/>
    <cellStyle name="Percent 18 3 2 2 5 2" xfId="16915"/>
    <cellStyle name="Percent 18 3 2 2 6" xfId="15029"/>
    <cellStyle name="Percent 18 3 2 2 7" xfId="16077"/>
    <cellStyle name="Percent 18 3 2 3" xfId="5282"/>
    <cellStyle name="Percent 18 3 2 3 2" xfId="10604"/>
    <cellStyle name="Percent 18 3 2 3 2 2" xfId="14185"/>
    <cellStyle name="Percent 18 3 2 3 2 2 2" xfId="20003"/>
    <cellStyle name="Percent 18 3 2 3 2 3" xfId="12488"/>
    <cellStyle name="Percent 18 3 2 3 2 4" xfId="17876"/>
    <cellStyle name="Percent 18 3 2 3 3" xfId="13326"/>
    <cellStyle name="Percent 18 3 2 3 3 2" xfId="18795"/>
    <cellStyle name="Percent 18 3 2 3 4" xfId="11581"/>
    <cellStyle name="Percent 18 3 2 3 4 2" xfId="17017"/>
    <cellStyle name="Percent 18 3 2 3 5" xfId="15132"/>
    <cellStyle name="Percent 18 3 2 3 6" xfId="16179"/>
    <cellStyle name="Percent 18 3 2 4" xfId="8217"/>
    <cellStyle name="Percent 18 3 2 4 2" xfId="10830"/>
    <cellStyle name="Percent 18 3 2 4 2 2" xfId="14410"/>
    <cellStyle name="Percent 18 3 2 4 2 2 2" xfId="20004"/>
    <cellStyle name="Percent 18 3 2 4 2 3" xfId="12713"/>
    <cellStyle name="Percent 18 3 2 4 2 4" xfId="18101"/>
    <cellStyle name="Percent 18 3 2 4 3" xfId="13549"/>
    <cellStyle name="Percent 18 3 2 4 3 2" xfId="19018"/>
    <cellStyle name="Percent 18 3 2 4 4" xfId="11852"/>
    <cellStyle name="Percent 18 3 2 4 4 2" xfId="17240"/>
    <cellStyle name="Percent 18 3 2 4 5" xfId="15355"/>
    <cellStyle name="Percent 18 3 2 4 6" xfId="16402"/>
    <cellStyle name="Percent 18 3 2 5" xfId="10320"/>
    <cellStyle name="Percent 18 3 2 5 2" xfId="13902"/>
    <cellStyle name="Percent 18 3 2 5 2 2" xfId="20005"/>
    <cellStyle name="Percent 18 3 2 5 3" xfId="12205"/>
    <cellStyle name="Percent 18 3 2 5 4" xfId="17593"/>
    <cellStyle name="Percent 18 3 2 6" xfId="13045"/>
    <cellStyle name="Percent 18 3 2 6 2" xfId="18501"/>
    <cellStyle name="Percent 18 3 2 7" xfId="11264"/>
    <cellStyle name="Percent 18 3 2 7 2" xfId="16736"/>
    <cellStyle name="Percent 18 3 2 8" xfId="14848"/>
    <cellStyle name="Percent 18 3 2 9" xfId="15898"/>
    <cellStyle name="Percent 18 3 3" xfId="4382"/>
    <cellStyle name="Percent 18 3 3 2" xfId="8818"/>
    <cellStyle name="Percent 18 3 3 2 2" xfId="10889"/>
    <cellStyle name="Percent 18 3 3 2 2 2" xfId="14469"/>
    <cellStyle name="Percent 18 3 3 2 2 2 2" xfId="20006"/>
    <cellStyle name="Percent 18 3 3 2 2 3" xfId="12772"/>
    <cellStyle name="Percent 18 3 3 2 2 4" xfId="18160"/>
    <cellStyle name="Percent 18 3 3 2 3" xfId="13608"/>
    <cellStyle name="Percent 18 3 3 2 3 2" xfId="19077"/>
    <cellStyle name="Percent 18 3 3 2 4" xfId="11911"/>
    <cellStyle name="Percent 18 3 3 2 4 2" xfId="17299"/>
    <cellStyle name="Percent 18 3 3 2 5" xfId="15415"/>
    <cellStyle name="Percent 18 3 3 2 6" xfId="16461"/>
    <cellStyle name="Percent 18 3 3 3" xfId="10413"/>
    <cellStyle name="Percent 18 3 3 3 2" xfId="13994"/>
    <cellStyle name="Percent 18 3 3 3 2 2" xfId="20007"/>
    <cellStyle name="Percent 18 3 3 3 3" xfId="12297"/>
    <cellStyle name="Percent 18 3 3 3 4" xfId="17685"/>
    <cellStyle name="Percent 18 3 3 4" xfId="13136"/>
    <cellStyle name="Percent 18 3 3 4 2" xfId="18605"/>
    <cellStyle name="Percent 18 3 3 5" xfId="11369"/>
    <cellStyle name="Percent 18 3 3 5 2" xfId="16827"/>
    <cellStyle name="Percent 18 3 3 6" xfId="14941"/>
    <cellStyle name="Percent 18 3 3 7" xfId="15989"/>
    <cellStyle name="Percent 18 3 4" xfId="5227"/>
    <cellStyle name="Percent 18 3 4 2" xfId="10581"/>
    <cellStyle name="Percent 18 3 4 2 2" xfId="14162"/>
    <cellStyle name="Percent 18 3 4 2 2 2" xfId="20008"/>
    <cellStyle name="Percent 18 3 4 2 3" xfId="12465"/>
    <cellStyle name="Percent 18 3 4 2 4" xfId="17853"/>
    <cellStyle name="Percent 18 3 4 3" xfId="13303"/>
    <cellStyle name="Percent 18 3 4 3 2" xfId="18772"/>
    <cellStyle name="Percent 18 3 4 4" xfId="11558"/>
    <cellStyle name="Percent 18 3 4 4 2" xfId="16994"/>
    <cellStyle name="Percent 18 3 4 5" xfId="15109"/>
    <cellStyle name="Percent 18 3 4 6" xfId="16156"/>
    <cellStyle name="Percent 18 3 5" xfId="7035"/>
    <cellStyle name="Percent 18 3 5 2" xfId="10722"/>
    <cellStyle name="Percent 18 3 5 2 2" xfId="14302"/>
    <cellStyle name="Percent 18 3 5 2 2 2" xfId="20009"/>
    <cellStyle name="Percent 18 3 5 2 3" xfId="12605"/>
    <cellStyle name="Percent 18 3 5 2 4" xfId="17993"/>
    <cellStyle name="Percent 18 3 5 3" xfId="13442"/>
    <cellStyle name="Percent 18 3 5 3 2" xfId="18911"/>
    <cellStyle name="Percent 18 3 5 4" xfId="11745"/>
    <cellStyle name="Percent 18 3 5 4 2" xfId="17133"/>
    <cellStyle name="Percent 18 3 5 5" xfId="15248"/>
    <cellStyle name="Percent 18 3 5 6" xfId="16295"/>
    <cellStyle name="Percent 18 3 6" xfId="10234"/>
    <cellStyle name="Percent 18 3 6 2" xfId="13816"/>
    <cellStyle name="Percent 18 3 6 2 2" xfId="20010"/>
    <cellStyle name="Percent 18 3 6 3" xfId="12119"/>
    <cellStyle name="Percent 18 3 6 4" xfId="17507"/>
    <cellStyle name="Percent 18 3 7" xfId="12960"/>
    <cellStyle name="Percent 18 3 7 2" xfId="18436"/>
    <cellStyle name="Percent 18 3 8" xfId="11165"/>
    <cellStyle name="Percent 18 3 8 2" xfId="16651"/>
    <cellStyle name="Percent 18 3 9" xfId="14761"/>
    <cellStyle name="Percent 18 4" xfId="2425"/>
    <cellStyle name="Percent 18 4 2" xfId="4526"/>
    <cellStyle name="Percent 18 4 2 2" xfId="8914"/>
    <cellStyle name="Percent 18 4 2 2 2" xfId="10944"/>
    <cellStyle name="Percent 18 4 2 2 2 2" xfId="14524"/>
    <cellStyle name="Percent 18 4 2 2 2 2 2" xfId="20011"/>
    <cellStyle name="Percent 18 4 2 2 2 3" xfId="12827"/>
    <cellStyle name="Percent 18 4 2 2 2 4" xfId="18215"/>
    <cellStyle name="Percent 18 4 2 2 3" xfId="13663"/>
    <cellStyle name="Percent 18 4 2 2 3 2" xfId="19132"/>
    <cellStyle name="Percent 18 4 2 2 4" xfId="11966"/>
    <cellStyle name="Percent 18 4 2 2 4 2" xfId="17354"/>
    <cellStyle name="Percent 18 4 2 2 5" xfId="15470"/>
    <cellStyle name="Percent 18 4 2 2 6" xfId="16516"/>
    <cellStyle name="Percent 18 4 2 3" xfId="10468"/>
    <cellStyle name="Percent 18 4 2 3 2" xfId="14049"/>
    <cellStyle name="Percent 18 4 2 3 2 2" xfId="20012"/>
    <cellStyle name="Percent 18 4 2 3 3" xfId="12352"/>
    <cellStyle name="Percent 18 4 2 3 4" xfId="17740"/>
    <cellStyle name="Percent 18 4 2 4" xfId="13191"/>
    <cellStyle name="Percent 18 4 2 4 2" xfId="18660"/>
    <cellStyle name="Percent 18 4 2 5" xfId="11424"/>
    <cellStyle name="Percent 18 4 2 5 2" xfId="16882"/>
    <cellStyle name="Percent 18 4 2 6" xfId="14996"/>
    <cellStyle name="Percent 18 4 2 7" xfId="16044"/>
    <cellStyle name="Percent 18 4 3" xfId="5350"/>
    <cellStyle name="Percent 18 4 3 2" xfId="10630"/>
    <cellStyle name="Percent 18 4 3 2 2" xfId="14211"/>
    <cellStyle name="Percent 18 4 3 2 2 2" xfId="20013"/>
    <cellStyle name="Percent 18 4 3 2 3" xfId="12514"/>
    <cellStyle name="Percent 18 4 3 2 4" xfId="17902"/>
    <cellStyle name="Percent 18 4 3 3" xfId="13352"/>
    <cellStyle name="Percent 18 4 3 3 2" xfId="18821"/>
    <cellStyle name="Percent 18 4 3 4" xfId="11610"/>
    <cellStyle name="Percent 18 4 3 4 2" xfId="17043"/>
    <cellStyle name="Percent 18 4 3 5" xfId="15158"/>
    <cellStyle name="Percent 18 4 3 6" xfId="16205"/>
    <cellStyle name="Percent 18 4 4" xfId="6511"/>
    <cellStyle name="Percent 18 4 4 2" xfId="10674"/>
    <cellStyle name="Percent 18 4 4 2 2" xfId="14255"/>
    <cellStyle name="Percent 18 4 4 2 2 2" xfId="20014"/>
    <cellStyle name="Percent 18 4 4 2 3" xfId="12558"/>
    <cellStyle name="Percent 18 4 4 2 4" xfId="17946"/>
    <cellStyle name="Percent 18 4 4 3" xfId="13395"/>
    <cellStyle name="Percent 18 4 4 3 2" xfId="18864"/>
    <cellStyle name="Percent 18 4 4 4" xfId="11698"/>
    <cellStyle name="Percent 18 4 4 4 2" xfId="17086"/>
    <cellStyle name="Percent 18 4 4 5" xfId="15201"/>
    <cellStyle name="Percent 18 4 4 6" xfId="16248"/>
    <cellStyle name="Percent 18 4 5" xfId="10287"/>
    <cellStyle name="Percent 18 4 5 2" xfId="13869"/>
    <cellStyle name="Percent 18 4 5 2 2" xfId="20015"/>
    <cellStyle name="Percent 18 4 5 3" xfId="12172"/>
    <cellStyle name="Percent 18 4 5 4" xfId="17560"/>
    <cellStyle name="Percent 18 4 6" xfId="13012"/>
    <cellStyle name="Percent 18 4 6 2" xfId="18468"/>
    <cellStyle name="Percent 18 4 7" xfId="11231"/>
    <cellStyle name="Percent 18 4 7 2" xfId="16703"/>
    <cellStyle name="Percent 18 4 8" xfId="14815"/>
    <cellStyle name="Percent 18 4 9" xfId="15865"/>
    <cellStyle name="Percent 18 5" xfId="4349"/>
    <cellStyle name="Percent 18 5 2" xfId="8785"/>
    <cellStyle name="Percent 18 5 2 2" xfId="10856"/>
    <cellStyle name="Percent 18 5 2 2 2" xfId="14436"/>
    <cellStyle name="Percent 18 5 2 2 2 2" xfId="20016"/>
    <cellStyle name="Percent 18 5 2 2 3" xfId="12739"/>
    <cellStyle name="Percent 18 5 2 2 4" xfId="18127"/>
    <cellStyle name="Percent 18 5 2 3" xfId="13575"/>
    <cellStyle name="Percent 18 5 2 3 2" xfId="19044"/>
    <cellStyle name="Percent 18 5 2 4" xfId="11878"/>
    <cellStyle name="Percent 18 5 2 4 2" xfId="17266"/>
    <cellStyle name="Percent 18 5 2 5" xfId="15382"/>
    <cellStyle name="Percent 18 5 2 6" xfId="16428"/>
    <cellStyle name="Percent 18 5 3" xfId="10380"/>
    <cellStyle name="Percent 18 5 3 2" xfId="13961"/>
    <cellStyle name="Percent 18 5 3 2 2" xfId="20017"/>
    <cellStyle name="Percent 18 5 3 3" xfId="12264"/>
    <cellStyle name="Percent 18 5 3 4" xfId="17652"/>
    <cellStyle name="Percent 18 5 4" xfId="13103"/>
    <cellStyle name="Percent 18 5 4 2" xfId="18572"/>
    <cellStyle name="Percent 18 5 5" xfId="11336"/>
    <cellStyle name="Percent 18 5 5 2" xfId="16794"/>
    <cellStyle name="Percent 18 5 6" xfId="14908"/>
    <cellStyle name="Percent 18 5 7" xfId="15956"/>
    <cellStyle name="Percent 18 6" xfId="5252"/>
    <cellStyle name="Percent 18 6 2" xfId="10593"/>
    <cellStyle name="Percent 18 6 2 2" xfId="14174"/>
    <cellStyle name="Percent 18 6 2 2 2" xfId="20018"/>
    <cellStyle name="Percent 18 6 2 3" xfId="12477"/>
    <cellStyle name="Percent 18 6 2 4" xfId="17865"/>
    <cellStyle name="Percent 18 6 3" xfId="13315"/>
    <cellStyle name="Percent 18 6 3 2" xfId="18784"/>
    <cellStyle name="Percent 18 6 4" xfId="11570"/>
    <cellStyle name="Percent 18 6 4 2" xfId="17006"/>
    <cellStyle name="Percent 18 6 5" xfId="15121"/>
    <cellStyle name="Percent 18 6 6" xfId="16168"/>
    <cellStyle name="Percent 18 7" xfId="7102"/>
    <cellStyle name="Percent 18 7 2" xfId="10733"/>
    <cellStyle name="Percent 18 7 2 2" xfId="14313"/>
    <cellStyle name="Percent 18 7 2 2 2" xfId="20019"/>
    <cellStyle name="Percent 18 7 2 3" xfId="12616"/>
    <cellStyle name="Percent 18 7 2 4" xfId="18004"/>
    <cellStyle name="Percent 18 7 3" xfId="13453"/>
    <cellStyle name="Percent 18 7 3 2" xfId="18922"/>
    <cellStyle name="Percent 18 7 4" xfId="11756"/>
    <cellStyle name="Percent 18 7 4 2" xfId="17144"/>
    <cellStyle name="Percent 18 7 5" xfId="15259"/>
    <cellStyle name="Percent 18 7 6" xfId="16306"/>
    <cellStyle name="Percent 18 8" xfId="10201"/>
    <cellStyle name="Percent 18 8 2" xfId="13783"/>
    <cellStyle name="Percent 18 8 2 2" xfId="20020"/>
    <cellStyle name="Percent 18 8 3" xfId="12086"/>
    <cellStyle name="Percent 18 8 4" xfId="17474"/>
    <cellStyle name="Percent 18 9" xfId="12927"/>
    <cellStyle name="Percent 18 9 2" xfId="20021"/>
    <cellStyle name="Percent 19" xfId="1696"/>
    <cellStyle name="Percent 19 2" xfId="1775"/>
    <cellStyle name="Percent 2" xfId="3"/>
    <cellStyle name="Percent 2 2" xfId="489"/>
    <cellStyle name="Percent 2 2 2" xfId="490"/>
    <cellStyle name="Percent 2 2 2 2" xfId="491"/>
    <cellStyle name="Percent 2 2 2 2 2" xfId="492"/>
    <cellStyle name="Percent 2 2 2 2 3" xfId="493"/>
    <cellStyle name="Percent 2 2 2 3" xfId="494"/>
    <cellStyle name="Percent 2 2 2 4" xfId="495"/>
    <cellStyle name="Percent 2 2 3" xfId="496"/>
    <cellStyle name="Percent 2 2 3 2" xfId="497"/>
    <cellStyle name="Percent 2 2 3 2 2" xfId="498"/>
    <cellStyle name="Percent 2 2 3 2 3" xfId="499"/>
    <cellStyle name="Percent 2 2 3 3" xfId="500"/>
    <cellStyle name="Percent 2 2 3 4" xfId="501"/>
    <cellStyle name="Percent 2 3" xfId="502"/>
    <cellStyle name="Percent 2 3 2" xfId="503"/>
    <cellStyle name="Percent 2 3 2 2" xfId="504"/>
    <cellStyle name="Percent 2 3 2 3" xfId="505"/>
    <cellStyle name="Percent 2 3 3" xfId="506"/>
    <cellStyle name="Percent 2 3 4" xfId="507"/>
    <cellStyle name="Percent 2 4" xfId="508"/>
    <cellStyle name="Percent 2 4 2" xfId="509"/>
    <cellStyle name="Percent 2 4 2 2" xfId="510"/>
    <cellStyle name="Percent 2 4 2 3" xfId="511"/>
    <cellStyle name="Percent 2 4 3" xfId="512"/>
    <cellStyle name="Percent 2 4 4" xfId="513"/>
    <cellStyle name="Percent 2 5" xfId="1735"/>
    <cellStyle name="Percent 20" xfId="1698"/>
    <cellStyle name="Percent 20 2" xfId="1748"/>
    <cellStyle name="Percent 21" xfId="1700"/>
    <cellStyle name="Percent 22" xfId="1584"/>
    <cellStyle name="Percent 23" xfId="1594"/>
    <cellStyle name="Percent 24" xfId="1736"/>
    <cellStyle name="Percent 25" xfId="2049"/>
    <cellStyle name="Percent 25 10" xfId="15834"/>
    <cellStyle name="Percent 25 2" xfId="2538"/>
    <cellStyle name="Percent 25 2 2" xfId="4581"/>
    <cellStyle name="Percent 25 2 2 2" xfId="8969"/>
    <cellStyle name="Percent 25 2 2 2 2" xfId="10999"/>
    <cellStyle name="Percent 25 2 2 2 2 2" xfId="14579"/>
    <cellStyle name="Percent 25 2 2 2 2 2 2" xfId="20022"/>
    <cellStyle name="Percent 25 2 2 2 2 3" xfId="12882"/>
    <cellStyle name="Percent 25 2 2 2 2 4" xfId="18270"/>
    <cellStyle name="Percent 25 2 2 2 3" xfId="13718"/>
    <cellStyle name="Percent 25 2 2 2 3 2" xfId="19187"/>
    <cellStyle name="Percent 25 2 2 2 4" xfId="12021"/>
    <cellStyle name="Percent 25 2 2 2 4 2" xfId="17409"/>
    <cellStyle name="Percent 25 2 2 2 5" xfId="15525"/>
    <cellStyle name="Percent 25 2 2 2 6" xfId="16571"/>
    <cellStyle name="Percent 25 2 2 3" xfId="10523"/>
    <cellStyle name="Percent 25 2 2 3 2" xfId="14104"/>
    <cellStyle name="Percent 25 2 2 3 2 2" xfId="20023"/>
    <cellStyle name="Percent 25 2 2 3 3" xfId="12407"/>
    <cellStyle name="Percent 25 2 2 3 4" xfId="17795"/>
    <cellStyle name="Percent 25 2 2 4" xfId="13246"/>
    <cellStyle name="Percent 25 2 2 4 2" xfId="18715"/>
    <cellStyle name="Percent 25 2 2 5" xfId="11479"/>
    <cellStyle name="Percent 25 2 2 5 2" xfId="16937"/>
    <cellStyle name="Percent 25 2 2 6" xfId="15051"/>
    <cellStyle name="Percent 25 2 2 7" xfId="16099"/>
    <cellStyle name="Percent 25 2 3" xfId="6773"/>
    <cellStyle name="Percent 25 2 3 2" xfId="10698"/>
    <cellStyle name="Percent 25 2 3 2 2" xfId="14279"/>
    <cellStyle name="Percent 25 2 3 2 2 2" xfId="20024"/>
    <cellStyle name="Percent 25 2 3 2 3" xfId="12582"/>
    <cellStyle name="Percent 25 2 3 2 4" xfId="17970"/>
    <cellStyle name="Percent 25 2 3 3" xfId="13419"/>
    <cellStyle name="Percent 25 2 3 3 2" xfId="18888"/>
    <cellStyle name="Percent 25 2 3 4" xfId="11722"/>
    <cellStyle name="Percent 25 2 3 4 2" xfId="17110"/>
    <cellStyle name="Percent 25 2 3 5" xfId="15225"/>
    <cellStyle name="Percent 25 2 3 6" xfId="16272"/>
    <cellStyle name="Percent 25 2 4" xfId="10342"/>
    <cellStyle name="Percent 25 2 4 2" xfId="13924"/>
    <cellStyle name="Percent 25 2 4 2 2" xfId="20025"/>
    <cellStyle name="Percent 25 2 4 3" xfId="12227"/>
    <cellStyle name="Percent 25 2 4 4" xfId="17615"/>
    <cellStyle name="Percent 25 2 5" xfId="13067"/>
    <cellStyle name="Percent 25 2 5 2" xfId="18536"/>
    <cellStyle name="Percent 25 2 6" xfId="11286"/>
    <cellStyle name="Percent 25 2 6 2" xfId="16758"/>
    <cellStyle name="Percent 25 2 7" xfId="14870"/>
    <cellStyle name="Percent 25 2 8" xfId="15920"/>
    <cellStyle name="Percent 25 3" xfId="2622"/>
    <cellStyle name="Percent 25 4" xfId="4404"/>
    <cellStyle name="Percent 25 4 2" xfId="8840"/>
    <cellStyle name="Percent 25 4 2 2" xfId="10911"/>
    <cellStyle name="Percent 25 4 2 2 2" xfId="14491"/>
    <cellStyle name="Percent 25 4 2 2 2 2" xfId="20026"/>
    <cellStyle name="Percent 25 4 2 2 3" xfId="12794"/>
    <cellStyle name="Percent 25 4 2 2 4" xfId="18182"/>
    <cellStyle name="Percent 25 4 2 3" xfId="13630"/>
    <cellStyle name="Percent 25 4 2 3 2" xfId="19099"/>
    <cellStyle name="Percent 25 4 2 4" xfId="11933"/>
    <cellStyle name="Percent 25 4 2 4 2" xfId="17321"/>
    <cellStyle name="Percent 25 4 2 5" xfId="15437"/>
    <cellStyle name="Percent 25 4 2 6" xfId="16483"/>
    <cellStyle name="Percent 25 4 3" xfId="10435"/>
    <cellStyle name="Percent 25 4 3 2" xfId="14016"/>
    <cellStyle name="Percent 25 4 3 2 2" xfId="20027"/>
    <cellStyle name="Percent 25 4 3 3" xfId="12319"/>
    <cellStyle name="Percent 25 4 3 4" xfId="17707"/>
    <cellStyle name="Percent 25 4 4" xfId="13158"/>
    <cellStyle name="Percent 25 4 4 2" xfId="18627"/>
    <cellStyle name="Percent 25 4 5" xfId="11391"/>
    <cellStyle name="Percent 25 4 5 2" xfId="16849"/>
    <cellStyle name="Percent 25 4 6" xfId="14963"/>
    <cellStyle name="Percent 25 4 7" xfId="16011"/>
    <cellStyle name="Percent 25 5" xfId="8085"/>
    <cellStyle name="Percent 25 5 2" xfId="10816"/>
    <cellStyle name="Percent 25 5 2 2" xfId="14396"/>
    <cellStyle name="Percent 25 5 2 2 2" xfId="20028"/>
    <cellStyle name="Percent 25 5 2 3" xfId="12699"/>
    <cellStyle name="Percent 25 5 2 4" xfId="18087"/>
    <cellStyle name="Percent 25 5 3" xfId="13535"/>
    <cellStyle name="Percent 25 5 3 2" xfId="19004"/>
    <cellStyle name="Percent 25 5 4" xfId="11838"/>
    <cellStyle name="Percent 25 5 4 2" xfId="17226"/>
    <cellStyle name="Percent 25 5 5" xfId="15341"/>
    <cellStyle name="Percent 25 5 6" xfId="16388"/>
    <cellStyle name="Percent 25 6" xfId="10256"/>
    <cellStyle name="Percent 25 6 2" xfId="13838"/>
    <cellStyle name="Percent 25 6 2 2" xfId="20029"/>
    <cellStyle name="Percent 25 6 3" xfId="12141"/>
    <cellStyle name="Percent 25 6 4" xfId="17529"/>
    <cellStyle name="Percent 25 7" xfId="12981"/>
    <cellStyle name="Percent 25 7 2" xfId="18393"/>
    <cellStyle name="Percent 25 8" xfId="11186"/>
    <cellStyle name="Percent 25 8 2" xfId="16672"/>
    <cellStyle name="Percent 25 9" xfId="14783"/>
    <cellStyle name="Percent 26" xfId="2089"/>
    <cellStyle name="Percent 26 10" xfId="15836"/>
    <cellStyle name="Percent 26 2" xfId="2540"/>
    <cellStyle name="Percent 26 2 2" xfId="4583"/>
    <cellStyle name="Percent 26 2 2 2" xfId="8971"/>
    <cellStyle name="Percent 26 2 2 2 2" xfId="11001"/>
    <cellStyle name="Percent 26 2 2 2 2 2" xfId="14581"/>
    <cellStyle name="Percent 26 2 2 2 2 2 2" xfId="20030"/>
    <cellStyle name="Percent 26 2 2 2 2 3" xfId="12884"/>
    <cellStyle name="Percent 26 2 2 2 2 4" xfId="18272"/>
    <cellStyle name="Percent 26 2 2 2 3" xfId="13720"/>
    <cellStyle name="Percent 26 2 2 2 3 2" xfId="19189"/>
    <cellStyle name="Percent 26 2 2 2 4" xfId="12023"/>
    <cellStyle name="Percent 26 2 2 2 4 2" xfId="17411"/>
    <cellStyle name="Percent 26 2 2 2 5" xfId="15527"/>
    <cellStyle name="Percent 26 2 2 2 6" xfId="16573"/>
    <cellStyle name="Percent 26 2 2 3" xfId="10525"/>
    <cellStyle name="Percent 26 2 2 3 2" xfId="14106"/>
    <cellStyle name="Percent 26 2 2 3 2 2" xfId="20031"/>
    <cellStyle name="Percent 26 2 2 3 3" xfId="12409"/>
    <cellStyle name="Percent 26 2 2 3 4" xfId="17797"/>
    <cellStyle name="Percent 26 2 2 4" xfId="13248"/>
    <cellStyle name="Percent 26 2 2 4 2" xfId="18717"/>
    <cellStyle name="Percent 26 2 2 5" xfId="11481"/>
    <cellStyle name="Percent 26 2 2 5 2" xfId="16939"/>
    <cellStyle name="Percent 26 2 2 6" xfId="15053"/>
    <cellStyle name="Percent 26 2 2 7" xfId="16101"/>
    <cellStyle name="Percent 26 2 3" xfId="7649"/>
    <cellStyle name="Percent 26 2 3 2" xfId="10775"/>
    <cellStyle name="Percent 26 2 3 2 2" xfId="14355"/>
    <cellStyle name="Percent 26 2 3 2 2 2" xfId="20032"/>
    <cellStyle name="Percent 26 2 3 2 3" xfId="12658"/>
    <cellStyle name="Percent 26 2 3 2 4" xfId="18046"/>
    <cellStyle name="Percent 26 2 3 3" xfId="13495"/>
    <cellStyle name="Percent 26 2 3 3 2" xfId="18964"/>
    <cellStyle name="Percent 26 2 3 4" xfId="11798"/>
    <cellStyle name="Percent 26 2 3 4 2" xfId="17186"/>
    <cellStyle name="Percent 26 2 3 5" xfId="15301"/>
    <cellStyle name="Percent 26 2 3 6" xfId="16348"/>
    <cellStyle name="Percent 26 2 4" xfId="10344"/>
    <cellStyle name="Percent 26 2 4 2" xfId="13926"/>
    <cellStyle name="Percent 26 2 4 2 2" xfId="20033"/>
    <cellStyle name="Percent 26 2 4 3" xfId="12229"/>
    <cellStyle name="Percent 26 2 4 4" xfId="17617"/>
    <cellStyle name="Percent 26 2 5" xfId="13069"/>
    <cellStyle name="Percent 26 2 5 2" xfId="18538"/>
    <cellStyle name="Percent 26 2 6" xfId="11288"/>
    <cellStyle name="Percent 26 2 6 2" xfId="16760"/>
    <cellStyle name="Percent 26 2 7" xfId="14872"/>
    <cellStyle name="Percent 26 2 8" xfId="15922"/>
    <cellStyle name="Percent 26 3" xfId="2737"/>
    <cellStyle name="Percent 26 4" xfId="4407"/>
    <cellStyle name="Percent 26 4 2" xfId="8843"/>
    <cellStyle name="Percent 26 4 2 2" xfId="10914"/>
    <cellStyle name="Percent 26 4 2 2 2" xfId="14494"/>
    <cellStyle name="Percent 26 4 2 2 2 2" xfId="20034"/>
    <cellStyle name="Percent 26 4 2 2 3" xfId="12797"/>
    <cellStyle name="Percent 26 4 2 2 4" xfId="18185"/>
    <cellStyle name="Percent 26 4 2 3" xfId="13633"/>
    <cellStyle name="Percent 26 4 2 3 2" xfId="19102"/>
    <cellStyle name="Percent 26 4 2 4" xfId="11936"/>
    <cellStyle name="Percent 26 4 2 4 2" xfId="17324"/>
    <cellStyle name="Percent 26 4 2 5" xfId="15440"/>
    <cellStyle name="Percent 26 4 2 6" xfId="16486"/>
    <cellStyle name="Percent 26 4 3" xfId="10438"/>
    <cellStyle name="Percent 26 4 3 2" xfId="14019"/>
    <cellStyle name="Percent 26 4 3 2 2" xfId="20035"/>
    <cellStyle name="Percent 26 4 3 3" xfId="12322"/>
    <cellStyle name="Percent 26 4 3 4" xfId="17710"/>
    <cellStyle name="Percent 26 4 4" xfId="13161"/>
    <cellStyle name="Percent 26 4 4 2" xfId="18630"/>
    <cellStyle name="Percent 26 4 5" xfId="11394"/>
    <cellStyle name="Percent 26 4 5 2" xfId="16852"/>
    <cellStyle name="Percent 26 4 6" xfId="14966"/>
    <cellStyle name="Percent 26 4 7" xfId="16014"/>
    <cellStyle name="Percent 26 5" xfId="7942"/>
    <cellStyle name="Percent 26 5 2" xfId="10800"/>
    <cellStyle name="Percent 26 5 2 2" xfId="14380"/>
    <cellStyle name="Percent 26 5 2 2 2" xfId="20036"/>
    <cellStyle name="Percent 26 5 2 3" xfId="12683"/>
    <cellStyle name="Percent 26 5 2 4" xfId="18071"/>
    <cellStyle name="Percent 26 5 3" xfId="13519"/>
    <cellStyle name="Percent 26 5 3 2" xfId="18988"/>
    <cellStyle name="Percent 26 5 4" xfId="11822"/>
    <cellStyle name="Percent 26 5 4 2" xfId="17210"/>
    <cellStyle name="Percent 26 5 5" xfId="15325"/>
    <cellStyle name="Percent 26 5 6" xfId="16372"/>
    <cellStyle name="Percent 26 6" xfId="10258"/>
    <cellStyle name="Percent 26 6 2" xfId="13840"/>
    <cellStyle name="Percent 26 6 2 2" xfId="20037"/>
    <cellStyle name="Percent 26 6 3" xfId="12143"/>
    <cellStyle name="Percent 26 6 4" xfId="17531"/>
    <cellStyle name="Percent 26 7" xfId="12983"/>
    <cellStyle name="Percent 26 7 2" xfId="18394"/>
    <cellStyle name="Percent 26 8" xfId="11188"/>
    <cellStyle name="Percent 26 8 2" xfId="16674"/>
    <cellStyle name="Percent 26 9" xfId="14785"/>
    <cellStyle name="Percent 27" xfId="2023"/>
    <cellStyle name="Percent 27 10" xfId="15832"/>
    <cellStyle name="Percent 27 2" xfId="2535"/>
    <cellStyle name="Percent 27 2 2" xfId="4578"/>
    <cellStyle name="Percent 27 2 2 2" xfId="8966"/>
    <cellStyle name="Percent 27 2 2 2 2" xfId="10996"/>
    <cellStyle name="Percent 27 2 2 2 2 2" xfId="14576"/>
    <cellStyle name="Percent 27 2 2 2 2 2 2" xfId="20038"/>
    <cellStyle name="Percent 27 2 2 2 2 3" xfId="12879"/>
    <cellStyle name="Percent 27 2 2 2 2 4" xfId="18267"/>
    <cellStyle name="Percent 27 2 2 2 3" xfId="13715"/>
    <cellStyle name="Percent 27 2 2 2 3 2" xfId="19184"/>
    <cellStyle name="Percent 27 2 2 2 4" xfId="12018"/>
    <cellStyle name="Percent 27 2 2 2 4 2" xfId="17406"/>
    <cellStyle name="Percent 27 2 2 2 5" xfId="15522"/>
    <cellStyle name="Percent 27 2 2 2 6" xfId="16568"/>
    <cellStyle name="Percent 27 2 2 3" xfId="10520"/>
    <cellStyle name="Percent 27 2 2 3 2" xfId="14101"/>
    <cellStyle name="Percent 27 2 2 3 2 2" xfId="20039"/>
    <cellStyle name="Percent 27 2 2 3 3" xfId="12404"/>
    <cellStyle name="Percent 27 2 2 3 4" xfId="17792"/>
    <cellStyle name="Percent 27 2 2 4" xfId="13243"/>
    <cellStyle name="Percent 27 2 2 4 2" xfId="18712"/>
    <cellStyle name="Percent 27 2 2 5" xfId="11476"/>
    <cellStyle name="Percent 27 2 2 5 2" xfId="16934"/>
    <cellStyle name="Percent 27 2 2 6" xfId="15048"/>
    <cellStyle name="Percent 27 2 2 7" xfId="16096"/>
    <cellStyle name="Percent 27 2 3" xfId="7883"/>
    <cellStyle name="Percent 27 2 3 2" xfId="10797"/>
    <cellStyle name="Percent 27 2 3 2 2" xfId="14377"/>
    <cellStyle name="Percent 27 2 3 2 2 2" xfId="20040"/>
    <cellStyle name="Percent 27 2 3 2 3" xfId="12680"/>
    <cellStyle name="Percent 27 2 3 2 4" xfId="18068"/>
    <cellStyle name="Percent 27 2 3 3" xfId="13516"/>
    <cellStyle name="Percent 27 2 3 3 2" xfId="18985"/>
    <cellStyle name="Percent 27 2 3 4" xfId="11819"/>
    <cellStyle name="Percent 27 2 3 4 2" xfId="17207"/>
    <cellStyle name="Percent 27 2 3 5" xfId="15322"/>
    <cellStyle name="Percent 27 2 3 6" xfId="16369"/>
    <cellStyle name="Percent 27 2 4" xfId="10339"/>
    <cellStyle name="Percent 27 2 4 2" xfId="13921"/>
    <cellStyle name="Percent 27 2 4 2 2" xfId="20041"/>
    <cellStyle name="Percent 27 2 4 3" xfId="12224"/>
    <cellStyle name="Percent 27 2 4 4" xfId="17612"/>
    <cellStyle name="Percent 27 2 5" xfId="13064"/>
    <cellStyle name="Percent 27 2 5 2" xfId="18533"/>
    <cellStyle name="Percent 27 2 6" xfId="11283"/>
    <cellStyle name="Percent 27 2 6 2" xfId="16755"/>
    <cellStyle name="Percent 27 2 7" xfId="14867"/>
    <cellStyle name="Percent 27 2 8" xfId="15917"/>
    <cellStyle name="Percent 27 3" xfId="2745"/>
    <cellStyle name="Percent 27 4" xfId="4401"/>
    <cellStyle name="Percent 27 4 2" xfId="8837"/>
    <cellStyle name="Percent 27 4 2 2" xfId="10908"/>
    <cellStyle name="Percent 27 4 2 2 2" xfId="14488"/>
    <cellStyle name="Percent 27 4 2 2 2 2" xfId="20042"/>
    <cellStyle name="Percent 27 4 2 2 3" xfId="12791"/>
    <cellStyle name="Percent 27 4 2 2 4" xfId="18179"/>
    <cellStyle name="Percent 27 4 2 3" xfId="13627"/>
    <cellStyle name="Percent 27 4 2 3 2" xfId="19096"/>
    <cellStyle name="Percent 27 4 2 4" xfId="11930"/>
    <cellStyle name="Percent 27 4 2 4 2" xfId="17318"/>
    <cellStyle name="Percent 27 4 2 5" xfId="15434"/>
    <cellStyle name="Percent 27 4 2 6" xfId="16480"/>
    <cellStyle name="Percent 27 4 3" xfId="10432"/>
    <cellStyle name="Percent 27 4 3 2" xfId="14013"/>
    <cellStyle name="Percent 27 4 3 2 2" xfId="20043"/>
    <cellStyle name="Percent 27 4 3 3" xfId="12316"/>
    <cellStyle name="Percent 27 4 3 4" xfId="17704"/>
    <cellStyle name="Percent 27 4 4" xfId="13155"/>
    <cellStyle name="Percent 27 4 4 2" xfId="18624"/>
    <cellStyle name="Percent 27 4 5" xfId="11388"/>
    <cellStyle name="Percent 27 4 5 2" xfId="16846"/>
    <cellStyle name="Percent 27 4 6" xfId="14960"/>
    <cellStyle name="Percent 27 4 7" xfId="16008"/>
    <cellStyle name="Percent 27 5" xfId="6272"/>
    <cellStyle name="Percent 27 5 2" xfId="10652"/>
    <cellStyle name="Percent 27 5 2 2" xfId="14233"/>
    <cellStyle name="Percent 27 5 2 2 2" xfId="20044"/>
    <cellStyle name="Percent 27 5 2 3" xfId="12536"/>
    <cellStyle name="Percent 27 5 2 4" xfId="17924"/>
    <cellStyle name="Percent 27 5 3" xfId="13374"/>
    <cellStyle name="Percent 27 5 3 2" xfId="18843"/>
    <cellStyle name="Percent 27 5 4" xfId="11677"/>
    <cellStyle name="Percent 27 5 4 2" xfId="17065"/>
    <cellStyle name="Percent 27 5 5" xfId="15180"/>
    <cellStyle name="Percent 27 5 6" xfId="16227"/>
    <cellStyle name="Percent 27 6" xfId="10253"/>
    <cellStyle name="Percent 27 6 2" xfId="13835"/>
    <cellStyle name="Percent 27 6 2 2" xfId="20045"/>
    <cellStyle name="Percent 27 6 3" xfId="12138"/>
    <cellStyle name="Percent 27 6 4" xfId="17526"/>
    <cellStyle name="Percent 27 7" xfId="12979"/>
    <cellStyle name="Percent 27 7 2" xfId="18385"/>
    <cellStyle name="Percent 27 8" xfId="11184"/>
    <cellStyle name="Percent 27 8 2" xfId="16670"/>
    <cellStyle name="Percent 27 9" xfId="14780"/>
    <cellStyle name="Percent 28" xfId="2088"/>
    <cellStyle name="Percent 28 10" xfId="15835"/>
    <cellStyle name="Percent 28 2" xfId="2539"/>
    <cellStyle name="Percent 28 2 2" xfId="4582"/>
    <cellStyle name="Percent 28 2 2 2" xfId="8970"/>
    <cellStyle name="Percent 28 2 2 2 2" xfId="11000"/>
    <cellStyle name="Percent 28 2 2 2 2 2" xfId="14580"/>
    <cellStyle name="Percent 28 2 2 2 2 2 2" xfId="20046"/>
    <cellStyle name="Percent 28 2 2 2 2 3" xfId="12883"/>
    <cellStyle name="Percent 28 2 2 2 2 4" xfId="18271"/>
    <cellStyle name="Percent 28 2 2 2 3" xfId="13719"/>
    <cellStyle name="Percent 28 2 2 2 3 2" xfId="19188"/>
    <cellStyle name="Percent 28 2 2 2 4" xfId="12022"/>
    <cellStyle name="Percent 28 2 2 2 4 2" xfId="17410"/>
    <cellStyle name="Percent 28 2 2 2 5" xfId="15526"/>
    <cellStyle name="Percent 28 2 2 2 6" xfId="16572"/>
    <cellStyle name="Percent 28 2 2 3" xfId="10524"/>
    <cellStyle name="Percent 28 2 2 3 2" xfId="14105"/>
    <cellStyle name="Percent 28 2 2 3 2 2" xfId="20047"/>
    <cellStyle name="Percent 28 2 2 3 3" xfId="12408"/>
    <cellStyle name="Percent 28 2 2 3 4" xfId="17796"/>
    <cellStyle name="Percent 28 2 2 4" xfId="13247"/>
    <cellStyle name="Percent 28 2 2 4 2" xfId="18716"/>
    <cellStyle name="Percent 28 2 2 5" xfId="11480"/>
    <cellStyle name="Percent 28 2 2 5 2" xfId="16938"/>
    <cellStyle name="Percent 28 2 2 6" xfId="15052"/>
    <cellStyle name="Percent 28 2 2 7" xfId="16100"/>
    <cellStyle name="Percent 28 2 3" xfId="7073"/>
    <cellStyle name="Percent 28 2 3 2" xfId="10728"/>
    <cellStyle name="Percent 28 2 3 2 2" xfId="14308"/>
    <cellStyle name="Percent 28 2 3 2 2 2" xfId="20048"/>
    <cellStyle name="Percent 28 2 3 2 3" xfId="12611"/>
    <cellStyle name="Percent 28 2 3 2 4" xfId="17999"/>
    <cellStyle name="Percent 28 2 3 3" xfId="13448"/>
    <cellStyle name="Percent 28 2 3 3 2" xfId="18917"/>
    <cellStyle name="Percent 28 2 3 4" xfId="11751"/>
    <cellStyle name="Percent 28 2 3 4 2" xfId="17139"/>
    <cellStyle name="Percent 28 2 3 5" xfId="15254"/>
    <cellStyle name="Percent 28 2 3 6" xfId="16301"/>
    <cellStyle name="Percent 28 2 4" xfId="10343"/>
    <cellStyle name="Percent 28 2 4 2" xfId="13925"/>
    <cellStyle name="Percent 28 2 4 2 2" xfId="20049"/>
    <cellStyle name="Percent 28 2 4 3" xfId="12228"/>
    <cellStyle name="Percent 28 2 4 4" xfId="17616"/>
    <cellStyle name="Percent 28 2 5" xfId="13068"/>
    <cellStyle name="Percent 28 2 5 2" xfId="18537"/>
    <cellStyle name="Percent 28 2 6" xfId="11287"/>
    <cellStyle name="Percent 28 2 6 2" xfId="16759"/>
    <cellStyle name="Percent 28 2 7" xfId="14871"/>
    <cellStyle name="Percent 28 2 8" xfId="15921"/>
    <cellStyle name="Percent 28 3" xfId="2716"/>
    <cellStyle name="Percent 28 4" xfId="4406"/>
    <cellStyle name="Percent 28 4 2" xfId="8842"/>
    <cellStyle name="Percent 28 4 2 2" xfId="10913"/>
    <cellStyle name="Percent 28 4 2 2 2" xfId="14493"/>
    <cellStyle name="Percent 28 4 2 2 2 2" xfId="20050"/>
    <cellStyle name="Percent 28 4 2 2 3" xfId="12796"/>
    <cellStyle name="Percent 28 4 2 2 4" xfId="18184"/>
    <cellStyle name="Percent 28 4 2 3" xfId="13632"/>
    <cellStyle name="Percent 28 4 2 3 2" xfId="19101"/>
    <cellStyle name="Percent 28 4 2 4" xfId="11935"/>
    <cellStyle name="Percent 28 4 2 4 2" xfId="17323"/>
    <cellStyle name="Percent 28 4 2 5" xfId="15439"/>
    <cellStyle name="Percent 28 4 2 6" xfId="16485"/>
    <cellStyle name="Percent 28 4 3" xfId="10437"/>
    <cellStyle name="Percent 28 4 3 2" xfId="14018"/>
    <cellStyle name="Percent 28 4 3 2 2" xfId="20051"/>
    <cellStyle name="Percent 28 4 3 3" xfId="12321"/>
    <cellStyle name="Percent 28 4 3 4" xfId="17709"/>
    <cellStyle name="Percent 28 4 4" xfId="13160"/>
    <cellStyle name="Percent 28 4 4 2" xfId="18629"/>
    <cellStyle name="Percent 28 4 5" xfId="11393"/>
    <cellStyle name="Percent 28 4 5 2" xfId="16851"/>
    <cellStyle name="Percent 28 4 6" xfId="14965"/>
    <cellStyle name="Percent 28 4 7" xfId="16013"/>
    <cellStyle name="Percent 28 5" xfId="6266"/>
    <cellStyle name="Percent 28 5 2" xfId="10651"/>
    <cellStyle name="Percent 28 5 2 2" xfId="14232"/>
    <cellStyle name="Percent 28 5 2 2 2" xfId="20052"/>
    <cellStyle name="Percent 28 5 2 3" xfId="12535"/>
    <cellStyle name="Percent 28 5 2 4" xfId="17923"/>
    <cellStyle name="Percent 28 5 3" xfId="13373"/>
    <cellStyle name="Percent 28 5 3 2" xfId="18842"/>
    <cellStyle name="Percent 28 5 4" xfId="11676"/>
    <cellStyle name="Percent 28 5 4 2" xfId="17064"/>
    <cellStyle name="Percent 28 5 5" xfId="15179"/>
    <cellStyle name="Percent 28 5 6" xfId="16226"/>
    <cellStyle name="Percent 28 6" xfId="10257"/>
    <cellStyle name="Percent 28 6 2" xfId="13839"/>
    <cellStyle name="Percent 28 6 2 2" xfId="20053"/>
    <cellStyle name="Percent 28 6 3" xfId="12142"/>
    <cellStyle name="Percent 28 6 4" xfId="17530"/>
    <cellStyle name="Percent 28 7" xfId="12982"/>
    <cellStyle name="Percent 28 7 2" xfId="18386"/>
    <cellStyle name="Percent 28 8" xfId="11187"/>
    <cellStyle name="Percent 28 8 2" xfId="16673"/>
    <cellStyle name="Percent 28 9" xfId="14784"/>
    <cellStyle name="Percent 29" xfId="33"/>
    <cellStyle name="Percent 3" xfId="21"/>
    <cellStyle name="Percent 3 2" xfId="515"/>
    <cellStyle name="Percent 3 3" xfId="1159"/>
    <cellStyle name="Percent 3 4" xfId="516"/>
    <cellStyle name="Percent 3 4 2" xfId="517"/>
    <cellStyle name="Percent 3 4 3" xfId="518"/>
    <cellStyle name="Percent 3 5" xfId="1557"/>
    <cellStyle name="Percent 3 6" xfId="514"/>
    <cellStyle name="Percent 3 7" xfId="28"/>
    <cellStyle name="Percent 30" xfId="2372"/>
    <cellStyle name="Percent 30 10" xfId="15841"/>
    <cellStyle name="Percent 30 2" xfId="3519"/>
    <cellStyle name="Percent 30 2 2" xfId="8173"/>
    <cellStyle name="Percent 30 2 2 2" xfId="10825"/>
    <cellStyle name="Percent 30 2 2 2 2" xfId="14405"/>
    <cellStyle name="Percent 30 2 2 2 2 2" xfId="20054"/>
    <cellStyle name="Percent 30 2 2 2 3" xfId="12708"/>
    <cellStyle name="Percent 30 2 2 2 4" xfId="18096"/>
    <cellStyle name="Percent 30 2 2 3" xfId="13544"/>
    <cellStyle name="Percent 30 2 2 3 2" xfId="19013"/>
    <cellStyle name="Percent 30 2 2 4" xfId="11847"/>
    <cellStyle name="Percent 30 2 2 4 2" xfId="17235"/>
    <cellStyle name="Percent 30 2 2 5" xfId="15350"/>
    <cellStyle name="Percent 30 2 2 6" xfId="16397"/>
    <cellStyle name="Percent 30 2 3" xfId="10350"/>
    <cellStyle name="Percent 30 2 3 2" xfId="13931"/>
    <cellStyle name="Percent 30 2 3 2 2" xfId="20055"/>
    <cellStyle name="Percent 30 2 3 3" xfId="12234"/>
    <cellStyle name="Percent 30 2 3 4" xfId="17622"/>
    <cellStyle name="Percent 30 2 4" xfId="13074"/>
    <cellStyle name="Percent 30 2 4 2" xfId="18543"/>
    <cellStyle name="Percent 30 2 5" xfId="11293"/>
    <cellStyle name="Percent 30 2 5 2" xfId="16765"/>
    <cellStyle name="Percent 30 2 6" xfId="14879"/>
    <cellStyle name="Percent 30 2 7" xfId="15927"/>
    <cellStyle name="Percent 30 3" xfId="2740"/>
    <cellStyle name="Percent 30 4" xfId="4502"/>
    <cellStyle name="Percent 30 4 2" xfId="8890"/>
    <cellStyle name="Percent 30 4 2 2" xfId="10920"/>
    <cellStyle name="Percent 30 4 2 2 2" xfId="14500"/>
    <cellStyle name="Percent 30 4 2 2 2 2" xfId="20056"/>
    <cellStyle name="Percent 30 4 2 2 3" xfId="12803"/>
    <cellStyle name="Percent 30 4 2 2 4" xfId="18191"/>
    <cellStyle name="Percent 30 4 2 3" xfId="13639"/>
    <cellStyle name="Percent 30 4 2 3 2" xfId="19108"/>
    <cellStyle name="Percent 30 4 2 4" xfId="11942"/>
    <cellStyle name="Percent 30 4 2 4 2" xfId="17330"/>
    <cellStyle name="Percent 30 4 2 5" xfId="15446"/>
    <cellStyle name="Percent 30 4 2 6" xfId="16492"/>
    <cellStyle name="Percent 30 4 3" xfId="10444"/>
    <cellStyle name="Percent 30 4 3 2" xfId="14025"/>
    <cellStyle name="Percent 30 4 3 2 2" xfId="20057"/>
    <cellStyle name="Percent 30 4 3 3" xfId="12328"/>
    <cellStyle name="Percent 30 4 3 4" xfId="17716"/>
    <cellStyle name="Percent 30 4 4" xfId="13167"/>
    <cellStyle name="Percent 30 4 4 2" xfId="18636"/>
    <cellStyle name="Percent 30 4 5" xfId="11400"/>
    <cellStyle name="Percent 30 4 5 2" xfId="16858"/>
    <cellStyle name="Percent 30 4 6" xfId="14972"/>
    <cellStyle name="Percent 30 4 7" xfId="16020"/>
    <cellStyle name="Percent 30 5" xfId="6988"/>
    <cellStyle name="Percent 30 5 2" xfId="10718"/>
    <cellStyle name="Percent 30 5 2 2" xfId="14298"/>
    <cellStyle name="Percent 30 5 2 2 2" xfId="20058"/>
    <cellStyle name="Percent 30 5 2 3" xfId="12601"/>
    <cellStyle name="Percent 30 5 2 4" xfId="17989"/>
    <cellStyle name="Percent 30 5 3" xfId="13438"/>
    <cellStyle name="Percent 30 5 3 2" xfId="18907"/>
    <cellStyle name="Percent 30 5 4" xfId="11741"/>
    <cellStyle name="Percent 30 5 4 2" xfId="17129"/>
    <cellStyle name="Percent 30 5 5" xfId="15244"/>
    <cellStyle name="Percent 30 5 6" xfId="16291"/>
    <cellStyle name="Percent 30 6" xfId="10263"/>
    <cellStyle name="Percent 30 6 2" xfId="13845"/>
    <cellStyle name="Percent 30 6 2 2" xfId="20059"/>
    <cellStyle name="Percent 30 6 3" xfId="12148"/>
    <cellStyle name="Percent 30 6 4" xfId="17536"/>
    <cellStyle name="Percent 30 7" xfId="12988"/>
    <cellStyle name="Percent 30 7 2" xfId="18505"/>
    <cellStyle name="Percent 30 8" xfId="11207"/>
    <cellStyle name="Percent 30 8 2" xfId="16679"/>
    <cellStyle name="Percent 30 9" xfId="14790"/>
    <cellStyle name="Percent 31" xfId="2419"/>
    <cellStyle name="Percent 31 10" xfId="15859"/>
    <cellStyle name="Percent 31 2" xfId="3521"/>
    <cellStyle name="Percent 31 2 2" xfId="7058"/>
    <cellStyle name="Percent 31 2 2 2" xfId="10725"/>
    <cellStyle name="Percent 31 2 2 2 2" xfId="14305"/>
    <cellStyle name="Percent 31 2 2 2 2 2" xfId="20060"/>
    <cellStyle name="Percent 31 2 2 2 3" xfId="12608"/>
    <cellStyle name="Percent 31 2 2 2 4" xfId="17996"/>
    <cellStyle name="Percent 31 2 2 3" xfId="13445"/>
    <cellStyle name="Percent 31 2 2 3 2" xfId="18914"/>
    <cellStyle name="Percent 31 2 2 4" xfId="11748"/>
    <cellStyle name="Percent 31 2 2 4 2" xfId="17136"/>
    <cellStyle name="Percent 31 2 2 5" xfId="15251"/>
    <cellStyle name="Percent 31 2 2 6" xfId="16298"/>
    <cellStyle name="Percent 31 2 3" xfId="10352"/>
    <cellStyle name="Percent 31 2 3 2" xfId="13933"/>
    <cellStyle name="Percent 31 2 3 2 2" xfId="20061"/>
    <cellStyle name="Percent 31 2 3 3" xfId="12236"/>
    <cellStyle name="Percent 31 2 3 4" xfId="17624"/>
    <cellStyle name="Percent 31 2 4" xfId="13076"/>
    <cellStyle name="Percent 31 2 4 2" xfId="18545"/>
    <cellStyle name="Percent 31 2 5" xfId="11295"/>
    <cellStyle name="Percent 31 2 5 2" xfId="16767"/>
    <cellStyle name="Percent 31 2 6" xfId="14881"/>
    <cellStyle name="Percent 31 2 7" xfId="15929"/>
    <cellStyle name="Percent 31 3" xfId="2728"/>
    <cellStyle name="Percent 31 4" xfId="4520"/>
    <cellStyle name="Percent 31 4 2" xfId="8908"/>
    <cellStyle name="Percent 31 4 2 2" xfId="10938"/>
    <cellStyle name="Percent 31 4 2 2 2" xfId="14518"/>
    <cellStyle name="Percent 31 4 2 2 2 2" xfId="20062"/>
    <cellStyle name="Percent 31 4 2 2 3" xfId="12821"/>
    <cellStyle name="Percent 31 4 2 2 4" xfId="18209"/>
    <cellStyle name="Percent 31 4 2 3" xfId="13657"/>
    <cellStyle name="Percent 31 4 2 3 2" xfId="19126"/>
    <cellStyle name="Percent 31 4 2 4" xfId="11960"/>
    <cellStyle name="Percent 31 4 2 4 2" xfId="17348"/>
    <cellStyle name="Percent 31 4 2 5" xfId="15464"/>
    <cellStyle name="Percent 31 4 2 6" xfId="16510"/>
    <cellStyle name="Percent 31 4 3" xfId="10462"/>
    <cellStyle name="Percent 31 4 3 2" xfId="14043"/>
    <cellStyle name="Percent 31 4 3 2 2" xfId="20063"/>
    <cellStyle name="Percent 31 4 3 3" xfId="12346"/>
    <cellStyle name="Percent 31 4 3 4" xfId="17734"/>
    <cellStyle name="Percent 31 4 4" xfId="13185"/>
    <cellStyle name="Percent 31 4 4 2" xfId="18654"/>
    <cellStyle name="Percent 31 4 5" xfId="11418"/>
    <cellStyle name="Percent 31 4 5 2" xfId="16876"/>
    <cellStyle name="Percent 31 4 6" xfId="14990"/>
    <cellStyle name="Percent 31 4 7" xfId="16038"/>
    <cellStyle name="Percent 31 5" xfId="6875"/>
    <cellStyle name="Percent 31 5 2" xfId="10706"/>
    <cellStyle name="Percent 31 5 2 2" xfId="14287"/>
    <cellStyle name="Percent 31 5 2 2 2" xfId="20064"/>
    <cellStyle name="Percent 31 5 2 3" xfId="12590"/>
    <cellStyle name="Percent 31 5 2 4" xfId="17978"/>
    <cellStyle name="Percent 31 5 3" xfId="13427"/>
    <cellStyle name="Percent 31 5 3 2" xfId="18896"/>
    <cellStyle name="Percent 31 5 4" xfId="11730"/>
    <cellStyle name="Percent 31 5 4 2" xfId="17118"/>
    <cellStyle name="Percent 31 5 5" xfId="15233"/>
    <cellStyle name="Percent 31 5 6" xfId="16280"/>
    <cellStyle name="Percent 31 6" xfId="10281"/>
    <cellStyle name="Percent 31 6 2" xfId="13863"/>
    <cellStyle name="Percent 31 6 2 2" xfId="20065"/>
    <cellStyle name="Percent 31 6 3" xfId="12166"/>
    <cellStyle name="Percent 31 6 4" xfId="17554"/>
    <cellStyle name="Percent 31 7" xfId="13006"/>
    <cellStyle name="Percent 31 7 2" xfId="18507"/>
    <cellStyle name="Percent 31 8" xfId="11225"/>
    <cellStyle name="Percent 31 8 2" xfId="16697"/>
    <cellStyle name="Percent 31 9" xfId="14809"/>
    <cellStyle name="Percent 32" xfId="2154"/>
    <cellStyle name="Percent 33" xfId="2328"/>
    <cellStyle name="Percent 34" xfId="2733"/>
    <cellStyle name="Percent 35" xfId="2734"/>
    <cellStyle name="Percent 36" xfId="2739"/>
    <cellStyle name="Percent 37" xfId="2718"/>
    <cellStyle name="Percent 38" xfId="2744"/>
    <cellStyle name="Percent 39" xfId="2747"/>
    <cellStyle name="Percent 4" xfId="519"/>
    <cellStyle name="Percent 4 2" xfId="1160"/>
    <cellStyle name="Percent 40" xfId="2735"/>
    <cellStyle name="Percent 41" xfId="2738"/>
    <cellStyle name="Percent 42" xfId="2749"/>
    <cellStyle name="Percent 43" xfId="3141"/>
    <cellStyle name="Percent 44" xfId="2986"/>
    <cellStyle name="Percent 45" xfId="2961"/>
    <cellStyle name="Percent 46" xfId="3053"/>
    <cellStyle name="Percent 47" xfId="3262"/>
    <cellStyle name="Percent 48" xfId="3280"/>
    <cellStyle name="Percent 49" xfId="3192"/>
    <cellStyle name="Percent 5" xfId="520"/>
    <cellStyle name="Percent 5 2" xfId="521"/>
    <cellStyle name="Percent 5 3" xfId="522"/>
    <cellStyle name="Percent 50" xfId="2825"/>
    <cellStyle name="Percent 51" xfId="3373"/>
    <cellStyle name="Percent 52" xfId="3375"/>
    <cellStyle name="Percent 53" xfId="3378"/>
    <cellStyle name="Percent 54" xfId="3371"/>
    <cellStyle name="Percent 55" xfId="3425"/>
    <cellStyle name="Percent 56" xfId="3446"/>
    <cellStyle name="Percent 57" xfId="2627"/>
    <cellStyle name="Percent 58" xfId="4322"/>
    <cellStyle name="Percent 58 2" xfId="6234"/>
    <cellStyle name="Percent 58 2 2" xfId="10643"/>
    <cellStyle name="Percent 58 2 2 2" xfId="14224"/>
    <cellStyle name="Percent 58 2 2 2 2" xfId="20066"/>
    <cellStyle name="Percent 58 2 2 3" xfId="12527"/>
    <cellStyle name="Percent 58 2 2 4" xfId="17915"/>
    <cellStyle name="Percent 58 2 3" xfId="13365"/>
    <cellStyle name="Percent 58 2 3 2" xfId="18834"/>
    <cellStyle name="Percent 58 2 4" xfId="11668"/>
    <cellStyle name="Percent 58 2 4 2" xfId="17056"/>
    <cellStyle name="Percent 58 2 5" xfId="15171"/>
    <cellStyle name="Percent 58 2 6" xfId="16218"/>
    <cellStyle name="Percent 58 3" xfId="5429"/>
    <cellStyle name="Percent 58 4" xfId="8761"/>
    <cellStyle name="Percent 58 4 2" xfId="10832"/>
    <cellStyle name="Percent 58 4 2 2" xfId="14412"/>
    <cellStyle name="Percent 58 4 2 2 2" xfId="20067"/>
    <cellStyle name="Percent 58 4 2 3" xfId="12715"/>
    <cellStyle name="Percent 58 4 2 4" xfId="18103"/>
    <cellStyle name="Percent 58 4 3" xfId="13551"/>
    <cellStyle name="Percent 58 4 3 2" xfId="19020"/>
    <cellStyle name="Percent 58 4 4" xfId="11854"/>
    <cellStyle name="Percent 58 4 4 2" xfId="17242"/>
    <cellStyle name="Percent 58 4 5" xfId="15358"/>
    <cellStyle name="Percent 58 4 6" xfId="16404"/>
    <cellStyle name="Percent 58 5" xfId="10356"/>
    <cellStyle name="Percent 58 5 2" xfId="13937"/>
    <cellStyle name="Percent 58 5 2 2" xfId="20068"/>
    <cellStyle name="Percent 58 5 3" xfId="12240"/>
    <cellStyle name="Percent 58 5 4" xfId="17628"/>
    <cellStyle name="Percent 58 6" xfId="13079"/>
    <cellStyle name="Percent 58 6 2" xfId="18548"/>
    <cellStyle name="Percent 58 7" xfId="11312"/>
    <cellStyle name="Percent 58 7 2" xfId="16770"/>
    <cellStyle name="Percent 58 8" xfId="14884"/>
    <cellStyle name="Percent 58 9" xfId="15932"/>
    <cellStyle name="Percent 59" xfId="4403"/>
    <cellStyle name="Percent 59 2" xfId="6236"/>
    <cellStyle name="Percent 59 2 2" xfId="10645"/>
    <cellStyle name="Percent 59 2 2 2" xfId="14226"/>
    <cellStyle name="Percent 59 2 2 2 2" xfId="20069"/>
    <cellStyle name="Percent 59 2 2 3" xfId="12529"/>
    <cellStyle name="Percent 59 2 2 4" xfId="17917"/>
    <cellStyle name="Percent 59 2 3" xfId="13367"/>
    <cellStyle name="Percent 59 2 3 2" xfId="18836"/>
    <cellStyle name="Percent 59 2 4" xfId="11670"/>
    <cellStyle name="Percent 59 2 4 2" xfId="17058"/>
    <cellStyle name="Percent 59 2 5" xfId="15173"/>
    <cellStyle name="Percent 59 2 6" xfId="16220"/>
    <cellStyle name="Percent 59 3" xfId="5430"/>
    <cellStyle name="Percent 59 4" xfId="8839"/>
    <cellStyle name="Percent 59 4 2" xfId="10910"/>
    <cellStyle name="Percent 59 4 2 2" xfId="14490"/>
    <cellStyle name="Percent 59 4 2 2 2" xfId="20070"/>
    <cellStyle name="Percent 59 4 2 3" xfId="12793"/>
    <cellStyle name="Percent 59 4 2 4" xfId="18181"/>
    <cellStyle name="Percent 59 4 3" xfId="13629"/>
    <cellStyle name="Percent 59 4 3 2" xfId="19098"/>
    <cellStyle name="Percent 59 4 4" xfId="11932"/>
    <cellStyle name="Percent 59 4 4 2" xfId="17320"/>
    <cellStyle name="Percent 59 4 5" xfId="15436"/>
    <cellStyle name="Percent 59 4 6" xfId="16482"/>
    <cellStyle name="Percent 59 5" xfId="10434"/>
    <cellStyle name="Percent 59 5 2" xfId="14015"/>
    <cellStyle name="Percent 59 5 2 2" xfId="20071"/>
    <cellStyle name="Percent 59 5 3" xfId="12318"/>
    <cellStyle name="Percent 59 5 4" xfId="17706"/>
    <cellStyle name="Percent 59 6" xfId="13157"/>
    <cellStyle name="Percent 59 6 2" xfId="18626"/>
    <cellStyle name="Percent 59 7" xfId="11390"/>
    <cellStyle name="Percent 59 7 2" xfId="16848"/>
    <cellStyle name="Percent 59 8" xfId="14962"/>
    <cellStyle name="Percent 59 9" xfId="16010"/>
    <cellStyle name="Percent 6" xfId="523"/>
    <cellStyle name="Percent 6 2" xfId="1161"/>
    <cellStyle name="Percent 60" xfId="4405"/>
    <cellStyle name="Percent 60 2" xfId="6237"/>
    <cellStyle name="Percent 60 2 2" xfId="10646"/>
    <cellStyle name="Percent 60 2 2 2" xfId="14227"/>
    <cellStyle name="Percent 60 2 2 2 2" xfId="20072"/>
    <cellStyle name="Percent 60 2 2 3" xfId="12530"/>
    <cellStyle name="Percent 60 2 2 4" xfId="17918"/>
    <cellStyle name="Percent 60 2 3" xfId="13368"/>
    <cellStyle name="Percent 60 2 3 2" xfId="18837"/>
    <cellStyle name="Percent 60 2 4" xfId="11671"/>
    <cellStyle name="Percent 60 2 4 2" xfId="17059"/>
    <cellStyle name="Percent 60 2 5" xfId="15174"/>
    <cellStyle name="Percent 60 2 6" xfId="16221"/>
    <cellStyle name="Percent 60 3" xfId="5432"/>
    <cellStyle name="Percent 60 4" xfId="8841"/>
    <cellStyle name="Percent 60 4 2" xfId="10912"/>
    <cellStyle name="Percent 60 4 2 2" xfId="14492"/>
    <cellStyle name="Percent 60 4 2 2 2" xfId="20073"/>
    <cellStyle name="Percent 60 4 2 3" xfId="12795"/>
    <cellStyle name="Percent 60 4 2 4" xfId="18183"/>
    <cellStyle name="Percent 60 4 3" xfId="13631"/>
    <cellStyle name="Percent 60 4 3 2" xfId="19100"/>
    <cellStyle name="Percent 60 4 4" xfId="11934"/>
    <cellStyle name="Percent 60 4 4 2" xfId="17322"/>
    <cellStyle name="Percent 60 4 5" xfId="15438"/>
    <cellStyle name="Percent 60 4 6" xfId="16484"/>
    <cellStyle name="Percent 60 5" xfId="10436"/>
    <cellStyle name="Percent 60 5 2" xfId="14017"/>
    <cellStyle name="Percent 60 5 2 2" xfId="20074"/>
    <cellStyle name="Percent 60 5 3" xfId="12320"/>
    <cellStyle name="Percent 60 5 4" xfId="17708"/>
    <cellStyle name="Percent 60 6" xfId="13159"/>
    <cellStyle name="Percent 60 6 2" xfId="18628"/>
    <cellStyle name="Percent 60 7" xfId="11392"/>
    <cellStyle name="Percent 60 7 2" xfId="16850"/>
    <cellStyle name="Percent 60 8" xfId="14964"/>
    <cellStyle name="Percent 60 9" xfId="16012"/>
    <cellStyle name="Percent 61" xfId="4916"/>
    <cellStyle name="Percent 61 2" xfId="9117"/>
    <cellStyle name="Percent 61 2 2" xfId="11004"/>
    <cellStyle name="Percent 61 2 2 2" xfId="14584"/>
    <cellStyle name="Percent 61 2 2 2 2" xfId="20075"/>
    <cellStyle name="Percent 61 2 2 3" xfId="12887"/>
    <cellStyle name="Percent 61 2 2 4" xfId="18275"/>
    <cellStyle name="Percent 61 2 3" xfId="13723"/>
    <cellStyle name="Percent 61 2 3 2" xfId="19192"/>
    <cellStyle name="Percent 61 2 4" xfId="12026"/>
    <cellStyle name="Percent 61 2 4 2" xfId="17414"/>
    <cellStyle name="Percent 61 2 5" xfId="15530"/>
    <cellStyle name="Percent 61 2 6" xfId="16576"/>
    <cellStyle name="Percent 61 3" xfId="10529"/>
    <cellStyle name="Percent 61 3 2" xfId="14110"/>
    <cellStyle name="Percent 61 3 2 2" xfId="20076"/>
    <cellStyle name="Percent 61 3 3" xfId="12413"/>
    <cellStyle name="Percent 61 3 4" xfId="17801"/>
    <cellStyle name="Percent 61 4" xfId="13251"/>
    <cellStyle name="Percent 61 4 2" xfId="18720"/>
    <cellStyle name="Percent 61 5" xfId="11498"/>
    <cellStyle name="Percent 61 5 2" xfId="16942"/>
    <cellStyle name="Percent 61 6" xfId="15057"/>
    <cellStyle name="Percent 61 7" xfId="16104"/>
    <cellStyle name="Percent 62" xfId="3528"/>
    <cellStyle name="Percent 63" xfId="4029"/>
    <cellStyle name="Percent 64" xfId="3661"/>
    <cellStyle name="Percent 65" xfId="4179"/>
    <cellStyle name="Percent 65 2" xfId="5121"/>
    <cellStyle name="Percent 65 2 2" xfId="10538"/>
    <cellStyle name="Percent 65 2 2 2" xfId="14119"/>
    <cellStyle name="Percent 65 2 2 2 2" xfId="20077"/>
    <cellStyle name="Percent 65 2 2 3" xfId="12422"/>
    <cellStyle name="Percent 65 2 2 4" xfId="17810"/>
    <cellStyle name="Percent 65 2 3" xfId="13260"/>
    <cellStyle name="Percent 65 2 3 2" xfId="18729"/>
    <cellStyle name="Percent 65 2 4" xfId="11508"/>
    <cellStyle name="Percent 65 2 4 2" xfId="16951"/>
    <cellStyle name="Percent 65 2 5" xfId="15066"/>
    <cellStyle name="Percent 65 2 6" xfId="16113"/>
    <cellStyle name="Percent 66" xfId="3668"/>
    <cellStyle name="Percent 66 2" xfId="5372"/>
    <cellStyle name="Percent 66 2 2" xfId="10641"/>
    <cellStyle name="Percent 66 2 2 2" xfId="14222"/>
    <cellStyle name="Percent 66 2 2 2 2" xfId="20078"/>
    <cellStyle name="Percent 66 2 2 3" xfId="12525"/>
    <cellStyle name="Percent 66 2 2 4" xfId="17913"/>
    <cellStyle name="Percent 66 2 3" xfId="13363"/>
    <cellStyle name="Percent 66 2 3 2" xfId="18832"/>
    <cellStyle name="Percent 66 2 4" xfId="11624"/>
    <cellStyle name="Percent 66 2 4 2" xfId="17054"/>
    <cellStyle name="Percent 66 2 5" xfId="15169"/>
    <cellStyle name="Percent 66 2 6" xfId="16216"/>
    <cellStyle name="Percent 67" xfId="4320"/>
    <cellStyle name="Percent 68" xfId="4247"/>
    <cellStyle name="Percent 69" xfId="4304"/>
    <cellStyle name="Percent 7" xfId="524"/>
    <cellStyle name="Percent 70" xfId="5090"/>
    <cellStyle name="Percent 71" xfId="4237"/>
    <cellStyle name="Percent 72" xfId="4028"/>
    <cellStyle name="Percent 73" xfId="5188"/>
    <cellStyle name="Percent 73 2" xfId="5300"/>
    <cellStyle name="Percent 73 2 2" xfId="10610"/>
    <cellStyle name="Percent 73 2 2 2" xfId="14191"/>
    <cellStyle name="Percent 73 2 2 2 2" xfId="20079"/>
    <cellStyle name="Percent 73 2 2 3" xfId="12494"/>
    <cellStyle name="Percent 73 2 2 4" xfId="17882"/>
    <cellStyle name="Percent 73 2 3" xfId="13332"/>
    <cellStyle name="Percent 73 2 3 2" xfId="18801"/>
    <cellStyle name="Percent 73 2 4" xfId="11589"/>
    <cellStyle name="Percent 73 2 4 2" xfId="17023"/>
    <cellStyle name="Percent 73 2 5" xfId="15138"/>
    <cellStyle name="Percent 73 2 6" xfId="16185"/>
    <cellStyle name="Percent 73 3" xfId="5405"/>
    <cellStyle name="Percent 74" xfId="5192"/>
    <cellStyle name="Percent 75" xfId="5328"/>
    <cellStyle name="Percent 76" xfId="5163"/>
    <cellStyle name="Percent 77" xfId="5142"/>
    <cellStyle name="Percent 78" xfId="5246"/>
    <cellStyle name="Percent 79" xfId="5160"/>
    <cellStyle name="Percent 8" xfId="525"/>
    <cellStyle name="Percent 80" xfId="5263"/>
    <cellStyle name="Percent 81" xfId="5190"/>
    <cellStyle name="Percent 82" xfId="5336"/>
    <cellStyle name="Percent 83" xfId="5141"/>
    <cellStyle name="Percent 84" xfId="5226"/>
    <cellStyle name="Percent 85" xfId="5206"/>
    <cellStyle name="Percent 86" xfId="5391"/>
    <cellStyle name="Percent 87" xfId="5244"/>
    <cellStyle name="Percent 88" xfId="5178"/>
    <cellStyle name="Percent 88 2" xfId="5093"/>
    <cellStyle name="Percent 88 2 2" xfId="10530"/>
    <cellStyle name="Percent 88 2 2 2" xfId="14111"/>
    <cellStyle name="Percent 88 2 2 2 2" xfId="20080"/>
    <cellStyle name="Percent 88 2 2 3" xfId="12414"/>
    <cellStyle name="Percent 88 2 2 4" xfId="17802"/>
    <cellStyle name="Percent 88 2 3" xfId="13252"/>
    <cellStyle name="Percent 88 2 3 2" xfId="18721"/>
    <cellStyle name="Percent 88 2 4" xfId="11499"/>
    <cellStyle name="Percent 88 2 4 2" xfId="16943"/>
    <cellStyle name="Percent 88 2 5" xfId="15058"/>
    <cellStyle name="Percent 88 2 6" xfId="16105"/>
    <cellStyle name="Percent 89" xfId="5388"/>
    <cellStyle name="Percent 9" xfId="526"/>
    <cellStyle name="Percent 90" xfId="5101"/>
    <cellStyle name="Percent 91" xfId="5186"/>
    <cellStyle name="Percent 92" xfId="5377"/>
    <cellStyle name="Percent 93" xfId="5264"/>
    <cellStyle name="Percent 94" xfId="5383"/>
    <cellStyle name="Percent 95" xfId="6425"/>
    <cellStyle name="Percent 96" xfId="7835"/>
    <cellStyle name="Percent 96 2" xfId="6609"/>
    <cellStyle name="Percent 96 2 2" xfId="10679"/>
    <cellStyle name="Percent 96 2 2 2" xfId="14260"/>
    <cellStyle name="Percent 96 2 2 2 2" xfId="20081"/>
    <cellStyle name="Percent 96 2 2 3" xfId="12563"/>
    <cellStyle name="Percent 96 2 2 4" xfId="17951"/>
    <cellStyle name="Percent 96 2 3" xfId="13400"/>
    <cellStyle name="Percent 96 2 3 2" xfId="18869"/>
    <cellStyle name="Percent 96 2 4" xfId="11703"/>
    <cellStyle name="Percent 96 2 4 2" xfId="17091"/>
    <cellStyle name="Percent 96 2 5" xfId="15206"/>
    <cellStyle name="Percent 96 2 6" xfId="16253"/>
    <cellStyle name="Percent 97" xfId="6915"/>
    <cellStyle name="Percent 97 2" xfId="10711"/>
    <cellStyle name="Percent 97 2 2" xfId="14292"/>
    <cellStyle name="Percent 97 2 2 2" xfId="20082"/>
    <cellStyle name="Percent 97 2 3" xfId="12595"/>
    <cellStyle name="Percent 97 2 4" xfId="17983"/>
    <cellStyle name="Percent 97 3" xfId="13432"/>
    <cellStyle name="Percent 97 3 2" xfId="18901"/>
    <cellStyle name="Percent 97 4" xfId="11735"/>
    <cellStyle name="Percent 97 4 2" xfId="17123"/>
    <cellStyle name="Percent 97 5" xfId="15238"/>
    <cellStyle name="Percent 97 6" xfId="16285"/>
    <cellStyle name="Percent 98" xfId="8086"/>
    <cellStyle name="Percent 98 2" xfId="10817"/>
    <cellStyle name="Percent 98 2 2" xfId="14397"/>
    <cellStyle name="Percent 98 2 2 2" xfId="20083"/>
    <cellStyle name="Percent 98 2 3" xfId="12700"/>
    <cellStyle name="Percent 98 2 4" xfId="18088"/>
    <cellStyle name="Percent 98 3" xfId="13536"/>
    <cellStyle name="Percent 98 3 2" xfId="19005"/>
    <cellStyle name="Percent 98 4" xfId="11839"/>
    <cellStyle name="Percent 98 4 2" xfId="17227"/>
    <cellStyle name="Percent 98 5" xfId="15342"/>
    <cellStyle name="Percent 98 6" xfId="16389"/>
    <cellStyle name="Percent 99" xfId="6999"/>
    <cellStyle name="Percent 99 2" xfId="10720"/>
    <cellStyle name="Percent 99 2 2" xfId="14300"/>
    <cellStyle name="Percent 99 2 2 2" xfId="20084"/>
    <cellStyle name="Percent 99 2 3" xfId="12603"/>
    <cellStyle name="Percent 99 2 4" xfId="17991"/>
    <cellStyle name="Percent 99 3" xfId="13440"/>
    <cellStyle name="Percent 99 3 2" xfId="18909"/>
    <cellStyle name="Percent 99 4" xfId="11743"/>
    <cellStyle name="Percent 99 4 2" xfId="17131"/>
    <cellStyle name="Percent 99 5" xfId="15246"/>
    <cellStyle name="Percent 99 6" xfId="16293"/>
    <cellStyle name="Percentage" xfId="527"/>
    <cellStyle name="Period Title" xfId="528"/>
    <cellStyle name="PROTECT" xfId="1162"/>
    <cellStyle name="PROTECT 2" xfId="1163"/>
    <cellStyle name="PSChar" xfId="529"/>
    <cellStyle name="PSDate" xfId="530"/>
    <cellStyle name="PSDec" xfId="531"/>
    <cellStyle name="PSDetail" xfId="532"/>
    <cellStyle name="PSHeading" xfId="533"/>
    <cellStyle name="PSHeading 2" xfId="534"/>
    <cellStyle name="PSHeading 2 2" xfId="535"/>
    <cellStyle name="PSHeading 2 2 2" xfId="536"/>
    <cellStyle name="PSHeading 2 2 2 2" xfId="2143"/>
    <cellStyle name="PSHeading 2 2 2 2 2" xfId="14623"/>
    <cellStyle name="PSHeading 2 2 2 2 2 2" xfId="15678"/>
    <cellStyle name="PSHeading 2 2 2 2 3" xfId="11194"/>
    <cellStyle name="PSHeading 2 2 2 2 3 2" xfId="15555"/>
    <cellStyle name="PSHeading 2 2 2 3" xfId="2377"/>
    <cellStyle name="PSHeading 2 2 2 3 2" xfId="4904"/>
    <cellStyle name="PSHeading 2 2 2 3 2 2" xfId="14614"/>
    <cellStyle name="PSHeading 2 2 2 3 2 2 2" xfId="15670"/>
    <cellStyle name="PSHeading 2 2 2 3 2 3" xfId="11487"/>
    <cellStyle name="PSHeading 2 2 2 3 2 3 2" xfId="15583"/>
    <cellStyle name="PSHeading 2 2 2 3 3" xfId="4278"/>
    <cellStyle name="PSHeading 2 2 2 3 3 2" xfId="14607"/>
    <cellStyle name="PSHeading 2 2 2 3 3 2 2" xfId="15663"/>
    <cellStyle name="PSHeading 2 2 2 3 3 3" xfId="11300"/>
    <cellStyle name="PSHeading 2 2 2 3 3 3 2" xfId="15569"/>
    <cellStyle name="PSHeading 2 2 2 3 4" xfId="5690"/>
    <cellStyle name="PSHeading 2 2 2 3 4 2" xfId="14609"/>
    <cellStyle name="PSHeading 2 2 2 3 4 2 2" xfId="15665"/>
    <cellStyle name="PSHeading 2 2 2 3 4 3" xfId="11656"/>
    <cellStyle name="PSHeading 2 2 2 3 4 3 2" xfId="15639"/>
    <cellStyle name="PSHeading 2 2 2 4" xfId="5179"/>
    <cellStyle name="PSHeading 2 2 2 4 2" xfId="5266"/>
    <cellStyle name="PSHeading 2 2 2 4 2 2" xfId="5413"/>
    <cellStyle name="PSHeading 2 2 2 4 2 2 2" xfId="14663"/>
    <cellStyle name="PSHeading 2 2 2 4 2 2 2 2" xfId="15715"/>
    <cellStyle name="PSHeading 2 2 2 4 2 2 3" xfId="11639"/>
    <cellStyle name="PSHeading 2 2 2 4 2 2 3 2" xfId="15622"/>
    <cellStyle name="PSHeading 2 2 2 4 3" xfId="5404"/>
    <cellStyle name="PSHeading 2 2 2 4 3 2" xfId="14604"/>
    <cellStyle name="PSHeading 2 2 2 4 3 2 2" xfId="15660"/>
    <cellStyle name="PSHeading 2 2 2 4 3 3" xfId="11632"/>
    <cellStyle name="PSHeading 2 2 2 4 3 3 2" xfId="15615"/>
    <cellStyle name="PSHeading 2 2 2 4 4" xfId="14629"/>
    <cellStyle name="PSHeading 2 2 2 4 4 2" xfId="15684"/>
    <cellStyle name="PSHeading 2 2 2 4 5" xfId="11537"/>
    <cellStyle name="PSHeading 2 2 2 4 5 2" xfId="15598"/>
    <cellStyle name="PSHeading 2 2 3" xfId="2142"/>
    <cellStyle name="PSHeading 2 2 3 2" xfId="14664"/>
    <cellStyle name="PSHeading 2 2 3 2 2" xfId="15716"/>
    <cellStyle name="PSHeading 2 2 3 3" xfId="11193"/>
    <cellStyle name="PSHeading 2 2 3 3 2" xfId="15554"/>
    <cellStyle name="PSHeading 2 2 4" xfId="2376"/>
    <cellStyle name="PSHeading 2 2 4 2" xfId="4903"/>
    <cellStyle name="PSHeading 2 2 4 2 2" xfId="14648"/>
    <cellStyle name="PSHeading 2 2 4 2 2 2" xfId="15701"/>
    <cellStyle name="PSHeading 2 2 4 2 3" xfId="11486"/>
    <cellStyle name="PSHeading 2 2 4 2 3 2" xfId="15582"/>
    <cellStyle name="PSHeading 2 2 4 3" xfId="4277"/>
    <cellStyle name="PSHeading 2 2 4 3 2" xfId="14683"/>
    <cellStyle name="PSHeading 2 2 4 3 2 2" xfId="15734"/>
    <cellStyle name="PSHeading 2 2 4 3 3" xfId="11299"/>
    <cellStyle name="PSHeading 2 2 4 3 3 2" xfId="15568"/>
    <cellStyle name="PSHeading 2 2 4 4" xfId="5689"/>
    <cellStyle name="PSHeading 2 2 4 4 2" xfId="14635"/>
    <cellStyle name="PSHeading 2 2 4 4 2 2" xfId="15690"/>
    <cellStyle name="PSHeading 2 2 4 4 3" xfId="11655"/>
    <cellStyle name="PSHeading 2 2 4 4 3 2" xfId="15638"/>
    <cellStyle name="PSHeading 2 2 5" xfId="5367"/>
    <cellStyle name="PSHeading 2 2 5 2" xfId="5294"/>
    <cellStyle name="PSHeading 2 2 5 2 2" xfId="5417"/>
    <cellStyle name="PSHeading 2 2 5 2 2 2" xfId="14670"/>
    <cellStyle name="PSHeading 2 2 5 2 2 2 2" xfId="15722"/>
    <cellStyle name="PSHeading 2 2 5 2 2 3" xfId="11643"/>
    <cellStyle name="PSHeading 2 2 5 2 2 3 2" xfId="15626"/>
    <cellStyle name="PSHeading 2 2 5 3" xfId="5422"/>
    <cellStyle name="PSHeading 2 2 5 3 2" xfId="14639"/>
    <cellStyle name="PSHeading 2 2 5 3 2 2" xfId="15693"/>
    <cellStyle name="PSHeading 2 2 5 3 3" xfId="11648"/>
    <cellStyle name="PSHeading 2 2 5 3 3 2" xfId="15631"/>
    <cellStyle name="PSHeading 2 2 5 4" xfId="14685"/>
    <cellStyle name="PSHeading 2 2 5 4 2" xfId="15735"/>
    <cellStyle name="PSHeading 2 2 5 5" xfId="11620"/>
    <cellStyle name="PSHeading 2 2 5 5 2" xfId="15606"/>
    <cellStyle name="PSHeading 2 3" xfId="537"/>
    <cellStyle name="PSHeading 2 3 2" xfId="2144"/>
    <cellStyle name="PSHeading 2 3 2 2" xfId="14675"/>
    <cellStyle name="PSHeading 2 3 2 2 2" xfId="15727"/>
    <cellStyle name="PSHeading 2 3 2 3" xfId="11195"/>
    <cellStyle name="PSHeading 2 3 2 3 2" xfId="15556"/>
    <cellStyle name="PSHeading 2 3 3" xfId="2378"/>
    <cellStyle name="PSHeading 2 3 3 2" xfId="4905"/>
    <cellStyle name="PSHeading 2 3 3 2 2" xfId="14693"/>
    <cellStyle name="PSHeading 2 3 3 2 2 2" xfId="15743"/>
    <cellStyle name="PSHeading 2 3 3 2 3" xfId="11488"/>
    <cellStyle name="PSHeading 2 3 3 2 3 2" xfId="15584"/>
    <cellStyle name="PSHeading 2 3 3 3" xfId="4279"/>
    <cellStyle name="PSHeading 2 3 3 3 2" xfId="14672"/>
    <cellStyle name="PSHeading 2 3 3 3 2 2" xfId="15724"/>
    <cellStyle name="PSHeading 2 3 3 3 3" xfId="11301"/>
    <cellStyle name="PSHeading 2 3 3 3 3 2" xfId="15570"/>
    <cellStyle name="PSHeading 2 3 3 4" xfId="5691"/>
    <cellStyle name="PSHeading 2 3 3 4 2" xfId="14634"/>
    <cellStyle name="PSHeading 2 3 3 4 2 2" xfId="15689"/>
    <cellStyle name="PSHeading 2 3 3 4 3" xfId="11657"/>
    <cellStyle name="PSHeading 2 3 3 4 3 2" xfId="15640"/>
    <cellStyle name="PSHeading 2 3 4" xfId="5133"/>
    <cellStyle name="PSHeading 2 3 4 2" xfId="5243"/>
    <cellStyle name="PSHeading 2 3 4 2 2" xfId="5411"/>
    <cellStyle name="PSHeading 2 3 4 2 2 2" xfId="14689"/>
    <cellStyle name="PSHeading 2 3 4 2 2 2 2" xfId="15739"/>
    <cellStyle name="PSHeading 2 3 4 2 2 3" xfId="11637"/>
    <cellStyle name="PSHeading 2 3 4 2 2 3 2" xfId="15620"/>
    <cellStyle name="PSHeading 2 3 4 3" xfId="5400"/>
    <cellStyle name="PSHeading 2 3 4 3 2" xfId="14647"/>
    <cellStyle name="PSHeading 2 3 4 3 2 2" xfId="15700"/>
    <cellStyle name="PSHeading 2 3 4 3 3" xfId="11628"/>
    <cellStyle name="PSHeading 2 3 4 3 3 2" xfId="15611"/>
    <cellStyle name="PSHeading 2 3 4 4" xfId="14677"/>
    <cellStyle name="PSHeading 2 3 4 4 2" xfId="15729"/>
    <cellStyle name="PSHeading 2 3 4 5" xfId="11516"/>
    <cellStyle name="PSHeading 2 3 4 5 2" xfId="15596"/>
    <cellStyle name="PSHeading 2 4" xfId="2141"/>
    <cellStyle name="PSHeading 2 4 2" xfId="14699"/>
    <cellStyle name="PSHeading 2 4 2 2" xfId="15749"/>
    <cellStyle name="PSHeading 2 4 3" xfId="11192"/>
    <cellStyle name="PSHeading 2 4 3 2" xfId="15553"/>
    <cellStyle name="PSHeading 2 5" xfId="2375"/>
    <cellStyle name="PSHeading 2 5 2" xfId="4902"/>
    <cellStyle name="PSHeading 2 5 2 2" xfId="14696"/>
    <cellStyle name="PSHeading 2 5 2 2 2" xfId="15746"/>
    <cellStyle name="PSHeading 2 5 2 3" xfId="11485"/>
    <cellStyle name="PSHeading 2 5 2 3 2" xfId="15581"/>
    <cellStyle name="PSHeading 2 5 3" xfId="4276"/>
    <cellStyle name="PSHeading 2 5 3 2" xfId="14640"/>
    <cellStyle name="PSHeading 2 5 3 2 2" xfId="15694"/>
    <cellStyle name="PSHeading 2 5 3 3" xfId="11298"/>
    <cellStyle name="PSHeading 2 5 3 3 2" xfId="15567"/>
    <cellStyle name="PSHeading 2 5 4" xfId="5688"/>
    <cellStyle name="PSHeading 2 5 4 2" xfId="14680"/>
    <cellStyle name="PSHeading 2 5 4 2 2" xfId="15732"/>
    <cellStyle name="PSHeading 2 5 4 3" xfId="11654"/>
    <cellStyle name="PSHeading 2 5 4 3 2" xfId="15637"/>
    <cellStyle name="PSHeading 2 6" xfId="5124"/>
    <cellStyle name="PSHeading 2 6 2" xfId="5321"/>
    <cellStyle name="PSHeading 2 6 2 2" xfId="5419"/>
    <cellStyle name="PSHeading 2 6 2 2 2" xfId="14674"/>
    <cellStyle name="PSHeading 2 6 2 2 2 2" xfId="15726"/>
    <cellStyle name="PSHeading 2 6 2 2 3" xfId="11645"/>
    <cellStyle name="PSHeading 2 6 2 2 3 2" xfId="15628"/>
    <cellStyle name="PSHeading 2 6 3" xfId="5399"/>
    <cellStyle name="PSHeading 2 6 3 2" xfId="14626"/>
    <cellStyle name="PSHeading 2 6 3 2 2" xfId="15681"/>
    <cellStyle name="PSHeading 2 6 3 3" xfId="11627"/>
    <cellStyle name="PSHeading 2 6 3 3 2" xfId="15610"/>
    <cellStyle name="PSHeading 2 6 4" xfId="14621"/>
    <cellStyle name="PSHeading 2 6 4 2" xfId="15676"/>
    <cellStyle name="PSHeading 2 6 5" xfId="11509"/>
    <cellStyle name="PSHeading 2 6 5 2" xfId="15595"/>
    <cellStyle name="PSHeading 3" xfId="538"/>
    <cellStyle name="PSHeading 3 2" xfId="539"/>
    <cellStyle name="PSHeading 3 2 2" xfId="540"/>
    <cellStyle name="PSHeading 3 2 2 2" xfId="541"/>
    <cellStyle name="PSHeading 3 2 2 2 2" xfId="2148"/>
    <cellStyle name="PSHeading 3 2 2 2 2 2" xfId="14654"/>
    <cellStyle name="PSHeading 3 2 2 2 2 2 2" xfId="15706"/>
    <cellStyle name="PSHeading 3 2 2 2 2 3" xfId="11199"/>
    <cellStyle name="PSHeading 3 2 2 2 2 3 2" xfId="15560"/>
    <cellStyle name="PSHeading 3 2 2 2 3" xfId="2382"/>
    <cellStyle name="PSHeading 3 2 2 2 3 2" xfId="4909"/>
    <cellStyle name="PSHeading 3 2 2 2 3 2 2" xfId="14656"/>
    <cellStyle name="PSHeading 3 2 2 2 3 2 2 2" xfId="15708"/>
    <cellStyle name="PSHeading 3 2 2 2 3 2 3" xfId="11492"/>
    <cellStyle name="PSHeading 3 2 2 2 3 2 3 2" xfId="15588"/>
    <cellStyle name="PSHeading 3 2 2 2 3 3" xfId="4283"/>
    <cellStyle name="PSHeading 3 2 2 2 3 3 2" xfId="14628"/>
    <cellStyle name="PSHeading 3 2 2 2 3 3 2 2" xfId="15683"/>
    <cellStyle name="PSHeading 3 2 2 2 3 3 3" xfId="11305"/>
    <cellStyle name="PSHeading 3 2 2 2 3 3 3 2" xfId="15574"/>
    <cellStyle name="PSHeading 3 2 2 2 3 4" xfId="5695"/>
    <cellStyle name="PSHeading 3 2 2 2 3 4 2" xfId="14620"/>
    <cellStyle name="PSHeading 3 2 2 2 3 4 2 2" xfId="15675"/>
    <cellStyle name="PSHeading 3 2 2 2 3 4 3" xfId="11661"/>
    <cellStyle name="PSHeading 3 2 2 2 3 4 3 2" xfId="15644"/>
    <cellStyle name="PSHeading 3 2 2 2 4" xfId="5335"/>
    <cellStyle name="PSHeading 3 2 2 2 4 2" xfId="5382"/>
    <cellStyle name="PSHeading 3 2 2 2 4 2 2" xfId="5425"/>
    <cellStyle name="PSHeading 3 2 2 2 4 2 2 2" xfId="14612"/>
    <cellStyle name="PSHeading 3 2 2 2 4 2 2 2 2" xfId="15668"/>
    <cellStyle name="PSHeading 3 2 2 2 4 2 2 3" xfId="11651"/>
    <cellStyle name="PSHeading 3 2 2 2 4 2 2 3 2" xfId="15634"/>
    <cellStyle name="PSHeading 3 2 2 2 4 3" xfId="5420"/>
    <cellStyle name="PSHeading 3 2 2 2 4 3 2" xfId="14695"/>
    <cellStyle name="PSHeading 3 2 2 2 4 3 2 2" xfId="15745"/>
    <cellStyle name="PSHeading 3 2 2 2 4 3 3" xfId="11646"/>
    <cellStyle name="PSHeading 3 2 2 2 4 3 3 2" xfId="15629"/>
    <cellStyle name="PSHeading 3 2 2 2 4 4" xfId="14698"/>
    <cellStyle name="PSHeading 3 2 2 2 4 4 2" xfId="15748"/>
    <cellStyle name="PSHeading 3 2 2 2 4 5" xfId="11604"/>
    <cellStyle name="PSHeading 3 2 2 2 4 5 2" xfId="15604"/>
    <cellStyle name="PSHeading 3 2 2 3" xfId="2147"/>
    <cellStyle name="PSHeading 3 2 2 3 2" xfId="14608"/>
    <cellStyle name="PSHeading 3 2 2 3 2 2" xfId="15664"/>
    <cellStyle name="PSHeading 3 2 2 3 3" xfId="11198"/>
    <cellStyle name="PSHeading 3 2 2 3 3 2" xfId="15559"/>
    <cellStyle name="PSHeading 3 2 2 4" xfId="2381"/>
    <cellStyle name="PSHeading 3 2 2 4 2" xfId="4908"/>
    <cellStyle name="PSHeading 3 2 2 4 2 2" xfId="14611"/>
    <cellStyle name="PSHeading 3 2 2 4 2 2 2" xfId="15667"/>
    <cellStyle name="PSHeading 3 2 2 4 2 3" xfId="11491"/>
    <cellStyle name="PSHeading 3 2 2 4 2 3 2" xfId="15587"/>
    <cellStyle name="PSHeading 3 2 2 4 3" xfId="4282"/>
    <cellStyle name="PSHeading 3 2 2 4 3 2" xfId="14690"/>
    <cellStyle name="PSHeading 3 2 2 4 3 2 2" xfId="15740"/>
    <cellStyle name="PSHeading 3 2 2 4 3 3" xfId="11304"/>
    <cellStyle name="PSHeading 3 2 2 4 3 3 2" xfId="15573"/>
    <cellStyle name="PSHeading 3 2 2 4 4" xfId="5694"/>
    <cellStyle name="PSHeading 3 2 2 4 4 2" xfId="14598"/>
    <cellStyle name="PSHeading 3 2 2 4 4 2 2" xfId="15654"/>
    <cellStyle name="PSHeading 3 2 2 4 4 3" xfId="11660"/>
    <cellStyle name="PSHeading 3 2 2 4 4 3 2" xfId="15643"/>
    <cellStyle name="PSHeading 3 2 2 5" xfId="5368"/>
    <cellStyle name="PSHeading 3 2 2 5 2" xfId="5253"/>
    <cellStyle name="PSHeading 3 2 2 5 2 2" xfId="5412"/>
    <cellStyle name="PSHeading 3 2 2 5 2 2 2" xfId="14646"/>
    <cellStyle name="PSHeading 3 2 2 5 2 2 2 2" xfId="15699"/>
    <cellStyle name="PSHeading 3 2 2 5 2 2 3" xfId="11638"/>
    <cellStyle name="PSHeading 3 2 2 5 2 2 3 2" xfId="15621"/>
    <cellStyle name="PSHeading 3 2 2 5 3" xfId="5423"/>
    <cellStyle name="PSHeading 3 2 2 5 3 2" xfId="14613"/>
    <cellStyle name="PSHeading 3 2 2 5 3 2 2" xfId="15669"/>
    <cellStyle name="PSHeading 3 2 2 5 3 3" xfId="11649"/>
    <cellStyle name="PSHeading 3 2 2 5 3 3 2" xfId="15632"/>
    <cellStyle name="PSHeading 3 2 2 5 4" xfId="14617"/>
    <cellStyle name="PSHeading 3 2 2 5 4 2" xfId="15673"/>
    <cellStyle name="PSHeading 3 2 2 5 5" xfId="11621"/>
    <cellStyle name="PSHeading 3 2 2 5 5 2" xfId="15607"/>
    <cellStyle name="PSHeading 3 2 3" xfId="542"/>
    <cellStyle name="PSHeading 3 2 3 2" xfId="2149"/>
    <cellStyle name="PSHeading 3 2 3 2 2" xfId="14666"/>
    <cellStyle name="PSHeading 3 2 3 2 2 2" xfId="15718"/>
    <cellStyle name="PSHeading 3 2 3 2 3" xfId="11200"/>
    <cellStyle name="PSHeading 3 2 3 2 3 2" xfId="15561"/>
    <cellStyle name="PSHeading 3 2 3 3" xfId="2383"/>
    <cellStyle name="PSHeading 3 2 3 3 2" xfId="4910"/>
    <cellStyle name="PSHeading 3 2 3 3 2 2" xfId="14650"/>
    <cellStyle name="PSHeading 3 2 3 3 2 2 2" xfId="15703"/>
    <cellStyle name="PSHeading 3 2 3 3 2 3" xfId="11493"/>
    <cellStyle name="PSHeading 3 2 3 3 2 3 2" xfId="15589"/>
    <cellStyle name="PSHeading 3 2 3 3 3" xfId="4284"/>
    <cellStyle name="PSHeading 3 2 3 3 3 2" xfId="14606"/>
    <cellStyle name="PSHeading 3 2 3 3 3 2 2" xfId="15662"/>
    <cellStyle name="PSHeading 3 2 3 3 3 3" xfId="11306"/>
    <cellStyle name="PSHeading 3 2 3 3 3 3 2" xfId="15575"/>
    <cellStyle name="PSHeading 3 2 3 3 4" xfId="5696"/>
    <cellStyle name="PSHeading 3 2 3 3 4 2" xfId="14657"/>
    <cellStyle name="PSHeading 3 2 3 3 4 2 2" xfId="15709"/>
    <cellStyle name="PSHeading 3 2 3 3 4 3" xfId="11662"/>
    <cellStyle name="PSHeading 3 2 3 3 4 3 2" xfId="15645"/>
    <cellStyle name="PSHeading 3 2 3 4" xfId="5289"/>
    <cellStyle name="PSHeading 3 2 3 4 2" xfId="5384"/>
    <cellStyle name="PSHeading 3 2 3 4 2 2" xfId="5426"/>
    <cellStyle name="PSHeading 3 2 3 4 2 2 2" xfId="14624"/>
    <cellStyle name="PSHeading 3 2 3 4 2 2 2 2" xfId="15679"/>
    <cellStyle name="PSHeading 3 2 3 4 2 2 3" xfId="11652"/>
    <cellStyle name="PSHeading 3 2 3 4 2 2 3 2" xfId="15635"/>
    <cellStyle name="PSHeading 3 2 3 4 3" xfId="5415"/>
    <cellStyle name="PSHeading 3 2 3 4 3 2" xfId="14603"/>
    <cellStyle name="PSHeading 3 2 3 4 3 2 2" xfId="15659"/>
    <cellStyle name="PSHeading 3 2 3 4 3 3" xfId="11641"/>
    <cellStyle name="PSHeading 3 2 3 4 3 3 2" xfId="15624"/>
    <cellStyle name="PSHeading 3 2 3 4 4" xfId="14691"/>
    <cellStyle name="PSHeading 3 2 3 4 4 2" xfId="15741"/>
    <cellStyle name="PSHeading 3 2 3 4 5" xfId="11585"/>
    <cellStyle name="PSHeading 3 2 3 4 5 2" xfId="15602"/>
    <cellStyle name="PSHeading 3 2 4" xfId="2146"/>
    <cellStyle name="PSHeading 3 2 4 2" xfId="14610"/>
    <cellStyle name="PSHeading 3 2 4 2 2" xfId="15666"/>
    <cellStyle name="PSHeading 3 2 4 3" xfId="11197"/>
    <cellStyle name="PSHeading 3 2 4 3 2" xfId="15558"/>
    <cellStyle name="PSHeading 3 2 5" xfId="2380"/>
    <cellStyle name="PSHeading 3 2 5 2" xfId="4907"/>
    <cellStyle name="PSHeading 3 2 5 2 2" xfId="14597"/>
    <cellStyle name="PSHeading 3 2 5 2 2 2" xfId="15653"/>
    <cellStyle name="PSHeading 3 2 5 2 3" xfId="11490"/>
    <cellStyle name="PSHeading 3 2 5 2 3 2" xfId="15586"/>
    <cellStyle name="PSHeading 3 2 5 3" xfId="4281"/>
    <cellStyle name="PSHeading 3 2 5 3 2" xfId="14642"/>
    <cellStyle name="PSHeading 3 2 5 3 2 2" xfId="15696"/>
    <cellStyle name="PSHeading 3 2 5 3 3" xfId="11303"/>
    <cellStyle name="PSHeading 3 2 5 3 3 2" xfId="15572"/>
    <cellStyle name="PSHeading 3 2 5 4" xfId="5693"/>
    <cellStyle name="PSHeading 3 2 5 4 2" xfId="14658"/>
    <cellStyle name="PSHeading 3 2 5 4 2 2" xfId="15710"/>
    <cellStyle name="PSHeading 3 2 5 4 3" xfId="11659"/>
    <cellStyle name="PSHeading 3 2 5 4 3 2" xfId="15642"/>
    <cellStyle name="PSHeading 3 2 6" xfId="5357"/>
    <cellStyle name="PSHeading 3 2 6 2" xfId="5369"/>
    <cellStyle name="PSHeading 3 2 6 2 2" xfId="5424"/>
    <cellStyle name="PSHeading 3 2 6 2 2 2" xfId="14644"/>
    <cellStyle name="PSHeading 3 2 6 2 2 2 2" xfId="15697"/>
    <cellStyle name="PSHeading 3 2 6 2 2 3" xfId="11650"/>
    <cellStyle name="PSHeading 3 2 6 2 2 3 2" xfId="15633"/>
    <cellStyle name="PSHeading 3 2 6 3" xfId="5421"/>
    <cellStyle name="PSHeading 3 2 6 3 2" xfId="14668"/>
    <cellStyle name="PSHeading 3 2 6 3 2 2" xfId="15720"/>
    <cellStyle name="PSHeading 3 2 6 3 3" xfId="11647"/>
    <cellStyle name="PSHeading 3 2 6 3 3 2" xfId="15630"/>
    <cellStyle name="PSHeading 3 2 6 4" xfId="14660"/>
    <cellStyle name="PSHeading 3 2 6 4 2" xfId="15712"/>
    <cellStyle name="PSHeading 3 2 6 5" xfId="11613"/>
    <cellStyle name="PSHeading 3 2 6 5 2" xfId="15605"/>
    <cellStyle name="PSHeading 3 3" xfId="543"/>
    <cellStyle name="PSHeading 3 3 2" xfId="2150"/>
    <cellStyle name="PSHeading 3 3 2 2" xfId="14655"/>
    <cellStyle name="PSHeading 3 3 2 2 2" xfId="15707"/>
    <cellStyle name="PSHeading 3 3 2 3" xfId="11201"/>
    <cellStyle name="PSHeading 3 3 2 3 2" xfId="15562"/>
    <cellStyle name="PSHeading 3 3 3" xfId="2384"/>
    <cellStyle name="PSHeading 3 3 3 2" xfId="4911"/>
    <cellStyle name="PSHeading 3 3 3 2 2" xfId="14694"/>
    <cellStyle name="PSHeading 3 3 3 2 2 2" xfId="15744"/>
    <cellStyle name="PSHeading 3 3 3 2 3" xfId="11494"/>
    <cellStyle name="PSHeading 3 3 3 2 3 2" xfId="15590"/>
    <cellStyle name="PSHeading 3 3 3 3" xfId="4285"/>
    <cellStyle name="PSHeading 3 3 3 3 2" xfId="14637"/>
    <cellStyle name="PSHeading 3 3 3 3 2 2" xfId="15691"/>
    <cellStyle name="PSHeading 3 3 3 3 3" xfId="11307"/>
    <cellStyle name="PSHeading 3 3 3 3 3 2" xfId="15576"/>
    <cellStyle name="PSHeading 3 3 3 4" xfId="5697"/>
    <cellStyle name="PSHeading 3 3 3 4 2" xfId="14673"/>
    <cellStyle name="PSHeading 3 3 3 4 2 2" xfId="15725"/>
    <cellStyle name="PSHeading 3 3 3 4 3" xfId="11663"/>
    <cellStyle name="PSHeading 3 3 3 4 3 2" xfId="15646"/>
    <cellStyle name="PSHeading 3 3 4" xfId="5216"/>
    <cellStyle name="PSHeading 3 3 4 2" xfId="5116"/>
    <cellStyle name="PSHeading 3 3 4 2 2" xfId="5398"/>
    <cellStyle name="PSHeading 3 3 4 2 2 2" xfId="14627"/>
    <cellStyle name="PSHeading 3 3 4 2 2 2 2" xfId="15682"/>
    <cellStyle name="PSHeading 3 3 4 2 2 3" xfId="11626"/>
    <cellStyle name="PSHeading 3 3 4 2 2 3 2" xfId="15609"/>
    <cellStyle name="PSHeading 3 3 4 3" xfId="5409"/>
    <cellStyle name="PSHeading 3 3 4 3 2" xfId="14605"/>
    <cellStyle name="PSHeading 3 3 4 3 2 2" xfId="15661"/>
    <cellStyle name="PSHeading 3 3 4 3 3" xfId="11635"/>
    <cellStyle name="PSHeading 3 3 4 3 3 2" xfId="15618"/>
    <cellStyle name="PSHeading 3 3 4 4" xfId="14669"/>
    <cellStyle name="PSHeading 3 3 4 4 2" xfId="15721"/>
    <cellStyle name="PSHeading 3 3 4 5" xfId="11550"/>
    <cellStyle name="PSHeading 3 3 4 5 2" xfId="15600"/>
    <cellStyle name="PSHeading 3 4" xfId="2145"/>
    <cellStyle name="PSHeading 3 4 2" xfId="14641"/>
    <cellStyle name="PSHeading 3 4 2 2" xfId="15695"/>
    <cellStyle name="PSHeading 3 4 3" xfId="11196"/>
    <cellStyle name="PSHeading 3 4 3 2" xfId="15557"/>
    <cellStyle name="PSHeading 3 5" xfId="2379"/>
    <cellStyle name="PSHeading 3 5 2" xfId="4906"/>
    <cellStyle name="PSHeading 3 5 2 2" xfId="14632"/>
    <cellStyle name="PSHeading 3 5 2 2 2" xfId="15687"/>
    <cellStyle name="PSHeading 3 5 2 3" xfId="11489"/>
    <cellStyle name="PSHeading 3 5 2 3 2" xfId="15585"/>
    <cellStyle name="PSHeading 3 5 3" xfId="4280"/>
    <cellStyle name="PSHeading 3 5 3 2" xfId="14615"/>
    <cellStyle name="PSHeading 3 5 3 2 2" xfId="15671"/>
    <cellStyle name="PSHeading 3 5 3 3" xfId="11302"/>
    <cellStyle name="PSHeading 3 5 3 3 2" xfId="15571"/>
    <cellStyle name="PSHeading 3 5 4" xfId="5692"/>
    <cellStyle name="PSHeading 3 5 4 2" xfId="14678"/>
    <cellStyle name="PSHeading 3 5 4 2 2" xfId="15730"/>
    <cellStyle name="PSHeading 3 5 4 3" xfId="11658"/>
    <cellStyle name="PSHeading 3 5 4 3 2" xfId="15641"/>
    <cellStyle name="PSHeading 3 6" xfId="5174"/>
    <cellStyle name="PSHeading 3 6 2" xfId="5138"/>
    <cellStyle name="PSHeading 3 6 2 2" xfId="5401"/>
    <cellStyle name="PSHeading 3 6 2 2 2" xfId="14631"/>
    <cellStyle name="PSHeading 3 6 2 2 2 2" xfId="15686"/>
    <cellStyle name="PSHeading 3 6 2 2 3" xfId="11629"/>
    <cellStyle name="PSHeading 3 6 2 2 3 2" xfId="15612"/>
    <cellStyle name="PSHeading 3 6 3" xfId="5403"/>
    <cellStyle name="PSHeading 3 6 3 2" xfId="14697"/>
    <cellStyle name="PSHeading 3 6 3 2 2" xfId="15747"/>
    <cellStyle name="PSHeading 3 6 3 3" xfId="11631"/>
    <cellStyle name="PSHeading 3 6 3 3 2" xfId="15614"/>
    <cellStyle name="PSHeading 3 6 4" xfId="14596"/>
    <cellStyle name="PSHeading 3 6 4 2" xfId="15652"/>
    <cellStyle name="PSHeading 3 6 5" xfId="11534"/>
    <cellStyle name="PSHeading 3 6 5 2" xfId="15597"/>
    <cellStyle name="PSHeading 4" xfId="544"/>
    <cellStyle name="PSHeading 4 2" xfId="545"/>
    <cellStyle name="PSHeading 4 2 2" xfId="2152"/>
    <cellStyle name="PSHeading 4 2 2 2" xfId="14638"/>
    <cellStyle name="PSHeading 4 2 2 2 2" xfId="15692"/>
    <cellStyle name="PSHeading 4 2 2 3" xfId="11203"/>
    <cellStyle name="PSHeading 4 2 2 3 2" xfId="15564"/>
    <cellStyle name="PSHeading 4 2 3" xfId="2386"/>
    <cellStyle name="PSHeading 4 2 3 2" xfId="4913"/>
    <cellStyle name="PSHeading 4 2 3 2 2" xfId="14681"/>
    <cellStyle name="PSHeading 4 2 3 2 2 2" xfId="15733"/>
    <cellStyle name="PSHeading 4 2 3 2 3" xfId="11496"/>
    <cellStyle name="PSHeading 4 2 3 2 3 2" xfId="15592"/>
    <cellStyle name="PSHeading 4 2 3 3" xfId="4287"/>
    <cellStyle name="PSHeading 4 2 3 3 2" xfId="14625"/>
    <cellStyle name="PSHeading 4 2 3 3 2 2" xfId="15680"/>
    <cellStyle name="PSHeading 4 2 3 3 3" xfId="11309"/>
    <cellStyle name="PSHeading 4 2 3 3 3 2" xfId="15578"/>
    <cellStyle name="PSHeading 4 2 3 4" xfId="5699"/>
    <cellStyle name="PSHeading 4 2 3 4 2" xfId="14671"/>
    <cellStyle name="PSHeading 4 2 3 4 2 2" xfId="15723"/>
    <cellStyle name="PSHeading 4 2 3 4 3" xfId="11665"/>
    <cellStyle name="PSHeading 4 2 3 4 3 2" xfId="15648"/>
    <cellStyle name="PSHeading 4 2 4" xfId="5209"/>
    <cellStyle name="PSHeading 4 2 4 2" xfId="5205"/>
    <cellStyle name="PSHeading 4 2 4 2 2" xfId="5407"/>
    <cellStyle name="PSHeading 4 2 4 2 2 2" xfId="14653"/>
    <cellStyle name="PSHeading 4 2 4 2 2 2 2" xfId="15705"/>
    <cellStyle name="PSHeading 4 2 4 2 2 3" xfId="11633"/>
    <cellStyle name="PSHeading 4 2 4 2 2 3 2" xfId="15616"/>
    <cellStyle name="PSHeading 4 2 4 3" xfId="5408"/>
    <cellStyle name="PSHeading 4 2 4 3 2" xfId="14687"/>
    <cellStyle name="PSHeading 4 2 4 3 2 2" xfId="15737"/>
    <cellStyle name="PSHeading 4 2 4 3 3" xfId="11634"/>
    <cellStyle name="PSHeading 4 2 4 3 3 2" xfId="15617"/>
    <cellStyle name="PSHeading 4 2 4 4" xfId="14630"/>
    <cellStyle name="PSHeading 4 2 4 4 2" xfId="15685"/>
    <cellStyle name="PSHeading 4 2 4 5" xfId="11544"/>
    <cellStyle name="PSHeading 4 2 4 5 2" xfId="15599"/>
    <cellStyle name="PSHeading 4 3" xfId="2151"/>
    <cellStyle name="PSHeading 4 3 2" xfId="14616"/>
    <cellStyle name="PSHeading 4 3 2 2" xfId="15672"/>
    <cellStyle name="PSHeading 4 3 3" xfId="11202"/>
    <cellStyle name="PSHeading 4 3 3 2" xfId="15563"/>
    <cellStyle name="PSHeading 4 4" xfId="2385"/>
    <cellStyle name="PSHeading 4 4 2" xfId="4912"/>
    <cellStyle name="PSHeading 4 4 2 2" xfId="14652"/>
    <cellStyle name="PSHeading 4 4 2 2 2" xfId="15704"/>
    <cellStyle name="PSHeading 4 4 2 3" xfId="11495"/>
    <cellStyle name="PSHeading 4 4 2 3 2" xfId="15591"/>
    <cellStyle name="PSHeading 4 4 3" xfId="4286"/>
    <cellStyle name="PSHeading 4 4 3 2" xfId="14686"/>
    <cellStyle name="PSHeading 4 4 3 2 2" xfId="15736"/>
    <cellStyle name="PSHeading 4 4 3 3" xfId="11308"/>
    <cellStyle name="PSHeading 4 4 3 3 2" xfId="15577"/>
    <cellStyle name="PSHeading 4 4 4" xfId="5698"/>
    <cellStyle name="PSHeading 4 4 4 2" xfId="14633"/>
    <cellStyle name="PSHeading 4 4 4 2 2" xfId="15688"/>
    <cellStyle name="PSHeading 4 4 4 3" xfId="11664"/>
    <cellStyle name="PSHeading 4 4 4 3 2" xfId="15647"/>
    <cellStyle name="PSHeading 4 5" xfId="5290"/>
    <cellStyle name="PSHeading 4 5 2" xfId="5313"/>
    <cellStyle name="PSHeading 4 5 2 2" xfId="5418"/>
    <cellStyle name="PSHeading 4 5 2 2 2" xfId="14659"/>
    <cellStyle name="PSHeading 4 5 2 2 2 2" xfId="15711"/>
    <cellStyle name="PSHeading 4 5 2 2 3" xfId="11644"/>
    <cellStyle name="PSHeading 4 5 2 2 3 2" xfId="15627"/>
    <cellStyle name="PSHeading 4 5 3" xfId="5416"/>
    <cellStyle name="PSHeading 4 5 3 2" xfId="14602"/>
    <cellStyle name="PSHeading 4 5 3 2 2" xfId="15658"/>
    <cellStyle name="PSHeading 4 5 3 3" xfId="11642"/>
    <cellStyle name="PSHeading 4 5 3 3 2" xfId="15625"/>
    <cellStyle name="PSHeading 4 5 4" xfId="14679"/>
    <cellStyle name="PSHeading 4 5 4 2" xfId="15731"/>
    <cellStyle name="PSHeading 4 5 5" xfId="11586"/>
    <cellStyle name="PSHeading 4 5 5 2" xfId="15603"/>
    <cellStyle name="PSHeading 5" xfId="546"/>
    <cellStyle name="PSHeading 5 2" xfId="2153"/>
    <cellStyle name="PSHeading 5 2 2" xfId="14601"/>
    <cellStyle name="PSHeading 5 2 2 2" xfId="15657"/>
    <cellStyle name="PSHeading 5 2 3" xfId="11204"/>
    <cellStyle name="PSHeading 5 2 3 2" xfId="15565"/>
    <cellStyle name="PSHeading 5 3" xfId="2387"/>
    <cellStyle name="PSHeading 5 3 2" xfId="4914"/>
    <cellStyle name="PSHeading 5 3 2 2" xfId="14692"/>
    <cellStyle name="PSHeading 5 3 2 2 2" xfId="15742"/>
    <cellStyle name="PSHeading 5 3 2 3" xfId="11497"/>
    <cellStyle name="PSHeading 5 3 2 3 2" xfId="15593"/>
    <cellStyle name="PSHeading 5 3 3" xfId="4288"/>
    <cellStyle name="PSHeading 5 3 3 2" xfId="14649"/>
    <cellStyle name="PSHeading 5 3 3 2 2" xfId="15702"/>
    <cellStyle name="PSHeading 5 3 3 3" xfId="11310"/>
    <cellStyle name="PSHeading 5 3 3 3 2" xfId="15579"/>
    <cellStyle name="PSHeading 5 3 4" xfId="5700"/>
    <cellStyle name="PSHeading 5 3 4 2" xfId="14662"/>
    <cellStyle name="PSHeading 5 3 4 2 2" xfId="15714"/>
    <cellStyle name="PSHeading 5 3 4 3" xfId="11666"/>
    <cellStyle name="PSHeading 5 3 4 3 2" xfId="15649"/>
    <cellStyle name="PSHeading 5 4" xfId="5098"/>
    <cellStyle name="PSHeading 5 4 2" xfId="5280"/>
    <cellStyle name="PSHeading 5 4 2 2" xfId="5414"/>
    <cellStyle name="PSHeading 5 4 2 2 2" xfId="14665"/>
    <cellStyle name="PSHeading 5 4 2 2 2 2" xfId="15717"/>
    <cellStyle name="PSHeading 5 4 2 2 3" xfId="11640"/>
    <cellStyle name="PSHeading 5 4 2 2 3 2" xfId="15623"/>
    <cellStyle name="PSHeading 5 4 3" xfId="5397"/>
    <cellStyle name="PSHeading 5 4 3 2" xfId="14667"/>
    <cellStyle name="PSHeading 5 4 3 2 2" xfId="15719"/>
    <cellStyle name="PSHeading 5 4 3 3" xfId="11625"/>
    <cellStyle name="PSHeading 5 4 3 3 2" xfId="15608"/>
    <cellStyle name="PSHeading 5 4 4" xfId="14661"/>
    <cellStyle name="PSHeading 5 4 4 2" xfId="15713"/>
    <cellStyle name="PSHeading 5 4 5" xfId="11500"/>
    <cellStyle name="PSHeading 5 4 5 2" xfId="15594"/>
    <cellStyle name="PSHeading 6" xfId="2140"/>
    <cellStyle name="PSHeading 6 2" xfId="14600"/>
    <cellStyle name="PSHeading 6 2 2" xfId="15656"/>
    <cellStyle name="PSHeading 6 3" xfId="11191"/>
    <cellStyle name="PSHeading 6 3 2" xfId="15552"/>
    <cellStyle name="PSHeading 7" xfId="2374"/>
    <cellStyle name="PSHeading 7 2" xfId="4901"/>
    <cellStyle name="PSHeading 7 2 2" xfId="14622"/>
    <cellStyle name="PSHeading 7 2 2 2" xfId="15677"/>
    <cellStyle name="PSHeading 7 2 3" xfId="11484"/>
    <cellStyle name="PSHeading 7 2 3 2" xfId="15580"/>
    <cellStyle name="PSHeading 7 3" xfId="4275"/>
    <cellStyle name="PSHeading 7 3 2" xfId="14688"/>
    <cellStyle name="PSHeading 7 3 2 2" xfId="15738"/>
    <cellStyle name="PSHeading 7 3 3" xfId="11297"/>
    <cellStyle name="PSHeading 7 3 3 2" xfId="15566"/>
    <cellStyle name="PSHeading 7 4" xfId="5687"/>
    <cellStyle name="PSHeading 7 4 2" xfId="14599"/>
    <cellStyle name="PSHeading 7 4 2 2" xfId="15655"/>
    <cellStyle name="PSHeading 7 4 3" xfId="11653"/>
    <cellStyle name="PSHeading 7 4 3 2" xfId="15636"/>
    <cellStyle name="PSHeading 8" xfId="5222"/>
    <cellStyle name="PSHeading 8 2" xfId="5165"/>
    <cellStyle name="PSHeading 8 2 2" xfId="5402"/>
    <cellStyle name="PSHeading 8 2 2 2" xfId="14676"/>
    <cellStyle name="PSHeading 8 2 2 2 2" xfId="15728"/>
    <cellStyle name="PSHeading 8 2 2 3" xfId="11630"/>
    <cellStyle name="PSHeading 8 2 2 3 2" xfId="15613"/>
    <cellStyle name="PSHeading 8 3" xfId="5410"/>
    <cellStyle name="PSHeading 8 3 2" xfId="14645"/>
    <cellStyle name="PSHeading 8 3 2 2" xfId="15698"/>
    <cellStyle name="PSHeading 8 3 3" xfId="11636"/>
    <cellStyle name="PSHeading 8 3 3 2" xfId="15619"/>
    <cellStyle name="PSHeading 8 4" xfId="14618"/>
    <cellStyle name="PSHeading 8 4 2" xfId="15674"/>
    <cellStyle name="PSHeading 8 5" xfId="11556"/>
    <cellStyle name="PSHeading 8 5 2" xfId="15601"/>
    <cellStyle name="PSInt" xfId="547"/>
    <cellStyle name="PSSpacer" xfId="548"/>
    <cellStyle name="R04L" xfId="1164"/>
    <cellStyle name="Ratio" xfId="549"/>
    <cellStyle name="Ratio 2" xfId="550"/>
    <cellStyle name="Ratio_29(d) - Gas extensions -tariffs" xfId="551"/>
    <cellStyle name="Right Currency" xfId="1165"/>
    <cellStyle name="Right Date" xfId="552"/>
    <cellStyle name="Right Multiple" xfId="1166"/>
    <cellStyle name="Right Number" xfId="553"/>
    <cellStyle name="Right Percentage" xfId="1167"/>
    <cellStyle name="Right Year" xfId="554"/>
    <cellStyle name="RIN_Input$_3dp" xfId="555"/>
    <cellStyle name="SAPBEXaggData" xfId="1168"/>
    <cellStyle name="SAPBEXaggData 2" xfId="1169"/>
    <cellStyle name="SAPBEXaggData 2 2" xfId="1170"/>
    <cellStyle name="SAPBEXaggData 2 3" xfId="2000"/>
    <cellStyle name="SAPBEXaggData 3" xfId="1171"/>
    <cellStyle name="SAPBEXaggData 3 2" xfId="1172"/>
    <cellStyle name="SAPBEXaggData 4" xfId="1173"/>
    <cellStyle name="SAPBEXaggData 5" xfId="1174"/>
    <cellStyle name="SAPBEXaggData 6" xfId="1175"/>
    <cellStyle name="SAPBEXaggData 7" xfId="1176"/>
    <cellStyle name="SAPBEXaggData 8" xfId="11052"/>
    <cellStyle name="SAPBEXaggDataEmph" xfId="1177"/>
    <cellStyle name="SAPBEXaggDataEmph 2" xfId="1178"/>
    <cellStyle name="SAPBEXaggDataEmph 2 2" xfId="1179"/>
    <cellStyle name="SAPBEXaggDataEmph 2 3" xfId="2001"/>
    <cellStyle name="SAPBEXaggDataEmph 3" xfId="1180"/>
    <cellStyle name="SAPBEXaggDataEmph 3 2" xfId="1181"/>
    <cellStyle name="SAPBEXaggDataEmph 4" xfId="1182"/>
    <cellStyle name="SAPBEXaggDataEmph 5" xfId="1183"/>
    <cellStyle name="SAPBEXaggDataEmph 6" xfId="1184"/>
    <cellStyle name="SAPBEXaggDataEmph 7" xfId="1185"/>
    <cellStyle name="SAPBEXaggDataEmph 8" xfId="11053"/>
    <cellStyle name="SAPBEXaggItem" xfId="1186"/>
    <cellStyle name="SAPBEXaggItem 2" xfId="1187"/>
    <cellStyle name="SAPBEXaggItem 2 2" xfId="1188"/>
    <cellStyle name="SAPBEXaggItem 2 3" xfId="2002"/>
    <cellStyle name="SAPBEXaggItem 3" xfId="1189"/>
    <cellStyle name="SAPBEXaggItem 3 2" xfId="1190"/>
    <cellStyle name="SAPBEXaggItem 4" xfId="1191"/>
    <cellStyle name="SAPBEXaggItem 5" xfId="1192"/>
    <cellStyle name="SAPBEXaggItem 6" xfId="1193"/>
    <cellStyle name="SAPBEXaggItem 7" xfId="1194"/>
    <cellStyle name="SAPBEXaggItem 8" xfId="11054"/>
    <cellStyle name="SAPBEXaggItemX" xfId="1195"/>
    <cellStyle name="SAPBEXaggItemX 2" xfId="1196"/>
    <cellStyle name="SAPBEXaggItemX 2 2" xfId="1197"/>
    <cellStyle name="SAPBEXaggItemX 2 3" xfId="2003"/>
    <cellStyle name="SAPBEXaggItemX 3" xfId="1198"/>
    <cellStyle name="SAPBEXaggItemX 3 2" xfId="1199"/>
    <cellStyle name="SAPBEXaggItemX 4" xfId="1200"/>
    <cellStyle name="SAPBEXaggItemX 5" xfId="1201"/>
    <cellStyle name="SAPBEXaggItemX 6" xfId="1202"/>
    <cellStyle name="SAPBEXaggItemX 7" xfId="1203"/>
    <cellStyle name="SAPBEXaggItemX 8" xfId="11055"/>
    <cellStyle name="SAPBEXchaText" xfId="1204"/>
    <cellStyle name="SAPBEXchaText 2" xfId="1205"/>
    <cellStyle name="SAPBEXchaText 2 2" xfId="1206"/>
    <cellStyle name="SAPBEXchaText 2 3" xfId="2004"/>
    <cellStyle name="SAPBEXchaText 3" xfId="1207"/>
    <cellStyle name="SAPBEXchaText 3 2" xfId="1208"/>
    <cellStyle name="SAPBEXchaText 4" xfId="1209"/>
    <cellStyle name="SAPBEXchaText 5" xfId="1210"/>
    <cellStyle name="SAPBEXchaText 6" xfId="1211"/>
    <cellStyle name="SAPBEXchaText 7" xfId="11056"/>
    <cellStyle name="SAPBEXchaText_AIMRO_CP" xfId="1212"/>
    <cellStyle name="SAPBEXexcBad7" xfId="1213"/>
    <cellStyle name="SAPBEXexcBad7 2" xfId="1214"/>
    <cellStyle name="SAPBEXexcBad7 2 2" xfId="1215"/>
    <cellStyle name="SAPBEXexcBad7 2 3" xfId="2005"/>
    <cellStyle name="SAPBEXexcBad7 3" xfId="1216"/>
    <cellStyle name="SAPBEXexcBad7 3 2" xfId="1217"/>
    <cellStyle name="SAPBEXexcBad7 4" xfId="1218"/>
    <cellStyle name="SAPBEXexcBad7 5" xfId="1219"/>
    <cellStyle name="SAPBEXexcBad7 6" xfId="1220"/>
    <cellStyle name="SAPBEXexcBad7 7" xfId="1221"/>
    <cellStyle name="SAPBEXexcBad7 8" xfId="11057"/>
    <cellStyle name="SAPBEXexcBad8" xfId="1222"/>
    <cellStyle name="SAPBEXexcBad8 2" xfId="1223"/>
    <cellStyle name="SAPBEXexcBad8 2 2" xfId="1224"/>
    <cellStyle name="SAPBEXexcBad8 2 3" xfId="2006"/>
    <cellStyle name="SAPBEXexcBad8 3" xfId="1225"/>
    <cellStyle name="SAPBEXexcBad8 3 2" xfId="1226"/>
    <cellStyle name="SAPBEXexcBad8 4" xfId="1227"/>
    <cellStyle name="SAPBEXexcBad8 5" xfId="1228"/>
    <cellStyle name="SAPBEXexcBad8 6" xfId="1229"/>
    <cellStyle name="SAPBEXexcBad8 7" xfId="1230"/>
    <cellStyle name="SAPBEXexcBad8 8" xfId="11058"/>
    <cellStyle name="SAPBEXexcBad9" xfId="1231"/>
    <cellStyle name="SAPBEXexcBad9 2" xfId="1232"/>
    <cellStyle name="SAPBEXexcBad9 2 2" xfId="1233"/>
    <cellStyle name="SAPBEXexcBad9 2 3" xfId="2007"/>
    <cellStyle name="SAPBEXexcBad9 3" xfId="1234"/>
    <cellStyle name="SAPBEXexcBad9 3 2" xfId="1235"/>
    <cellStyle name="SAPBEXexcBad9 4" xfId="1236"/>
    <cellStyle name="SAPBEXexcBad9 5" xfId="1237"/>
    <cellStyle name="SAPBEXexcBad9 6" xfId="1238"/>
    <cellStyle name="SAPBEXexcBad9 7" xfId="1239"/>
    <cellStyle name="SAPBEXexcBad9 8" xfId="11059"/>
    <cellStyle name="SAPBEXexcCritical4" xfId="1240"/>
    <cellStyle name="SAPBEXexcCritical4 2" xfId="1241"/>
    <cellStyle name="SAPBEXexcCritical4 2 2" xfId="1242"/>
    <cellStyle name="SAPBEXexcCritical4 2 3" xfId="2008"/>
    <cellStyle name="SAPBEXexcCritical4 3" xfId="1243"/>
    <cellStyle name="SAPBEXexcCritical4 3 2" xfId="1244"/>
    <cellStyle name="SAPBEXexcCritical4 4" xfId="1245"/>
    <cellStyle name="SAPBEXexcCritical4 5" xfId="1246"/>
    <cellStyle name="SAPBEXexcCritical4 6" xfId="1247"/>
    <cellStyle name="SAPBEXexcCritical4 7" xfId="1248"/>
    <cellStyle name="SAPBEXexcCritical4 8" xfId="11060"/>
    <cellStyle name="SAPBEXexcCritical5" xfId="1249"/>
    <cellStyle name="SAPBEXexcCritical5 2" xfId="1250"/>
    <cellStyle name="SAPBEXexcCritical5 2 2" xfId="1251"/>
    <cellStyle name="SAPBEXexcCritical5 2 3" xfId="2009"/>
    <cellStyle name="SAPBEXexcCritical5 3" xfId="1252"/>
    <cellStyle name="SAPBEXexcCritical5 3 2" xfId="1253"/>
    <cellStyle name="SAPBEXexcCritical5 4" xfId="1254"/>
    <cellStyle name="SAPBEXexcCritical5 5" xfId="1255"/>
    <cellStyle name="SAPBEXexcCritical5 6" xfId="1256"/>
    <cellStyle name="SAPBEXexcCritical5 7" xfId="1257"/>
    <cellStyle name="SAPBEXexcCritical5 8" xfId="11061"/>
    <cellStyle name="SAPBEXexcCritical6" xfId="1258"/>
    <cellStyle name="SAPBEXexcCritical6 2" xfId="1259"/>
    <cellStyle name="SAPBEXexcCritical6 2 2" xfId="1260"/>
    <cellStyle name="SAPBEXexcCritical6 2 3" xfId="2010"/>
    <cellStyle name="SAPBEXexcCritical6 3" xfId="1261"/>
    <cellStyle name="SAPBEXexcCritical6 3 2" xfId="1262"/>
    <cellStyle name="SAPBEXexcCritical6 4" xfId="1263"/>
    <cellStyle name="SAPBEXexcCritical6 5" xfId="1264"/>
    <cellStyle name="SAPBEXexcCritical6 6" xfId="1265"/>
    <cellStyle name="SAPBEXexcCritical6 7" xfId="1266"/>
    <cellStyle name="SAPBEXexcCritical6 8" xfId="11062"/>
    <cellStyle name="SAPBEXexcGood1" xfId="1267"/>
    <cellStyle name="SAPBEXexcGood1 2" xfId="1268"/>
    <cellStyle name="SAPBEXexcGood1 2 2" xfId="1269"/>
    <cellStyle name="SAPBEXexcGood1 2 3" xfId="2011"/>
    <cellStyle name="SAPBEXexcGood1 3" xfId="1270"/>
    <cellStyle name="SAPBEXexcGood1 3 2" xfId="1271"/>
    <cellStyle name="SAPBEXexcGood1 4" xfId="1272"/>
    <cellStyle name="SAPBEXexcGood1 5" xfId="1273"/>
    <cellStyle name="SAPBEXexcGood1 6" xfId="1274"/>
    <cellStyle name="SAPBEXexcGood1 7" xfId="1275"/>
    <cellStyle name="SAPBEXexcGood1 8" xfId="11063"/>
    <cellStyle name="SAPBEXexcGood2" xfId="1276"/>
    <cellStyle name="SAPBEXexcGood2 2" xfId="1277"/>
    <cellStyle name="SAPBEXexcGood2 2 2" xfId="1278"/>
    <cellStyle name="SAPBEXexcGood2 2 3" xfId="2012"/>
    <cellStyle name="SAPBEXexcGood2 3" xfId="1279"/>
    <cellStyle name="SAPBEXexcGood2 3 2" xfId="1280"/>
    <cellStyle name="SAPBEXexcGood2 4" xfId="1281"/>
    <cellStyle name="SAPBEXexcGood2 5" xfId="1282"/>
    <cellStyle name="SAPBEXexcGood2 6" xfId="1283"/>
    <cellStyle name="SAPBEXexcGood2 7" xfId="1284"/>
    <cellStyle name="SAPBEXexcGood2 8" xfId="11064"/>
    <cellStyle name="SAPBEXexcGood3" xfId="1285"/>
    <cellStyle name="SAPBEXexcGood3 2" xfId="1286"/>
    <cellStyle name="SAPBEXexcGood3 2 2" xfId="1287"/>
    <cellStyle name="SAPBEXexcGood3 2 3" xfId="2013"/>
    <cellStyle name="SAPBEXexcGood3 3" xfId="1288"/>
    <cellStyle name="SAPBEXexcGood3 3 2" xfId="1289"/>
    <cellStyle name="SAPBEXexcGood3 4" xfId="1290"/>
    <cellStyle name="SAPBEXexcGood3 5" xfId="1291"/>
    <cellStyle name="SAPBEXexcGood3 6" xfId="1292"/>
    <cellStyle name="SAPBEXexcGood3 7" xfId="1293"/>
    <cellStyle name="SAPBEXexcGood3 8" xfId="11065"/>
    <cellStyle name="SAPBEXfilterDrill" xfId="1294"/>
    <cellStyle name="SAPBEXfilterDrill 10" xfId="2116"/>
    <cellStyle name="SAPBEXfilterDrill 10 2" xfId="4296"/>
    <cellStyle name="SAPBEXfilterDrill 10 2 2" xfId="7109"/>
    <cellStyle name="SAPBEXfilterDrill 10 3" xfId="5580"/>
    <cellStyle name="SAPBEXfilterDrill 10 3 2" xfId="6567"/>
    <cellStyle name="SAPBEXfilterDrill 10 4" xfId="7554"/>
    <cellStyle name="SAPBEXfilterDrill 11" xfId="2836"/>
    <cellStyle name="SAPBEXfilterDrill 11 2" xfId="3601"/>
    <cellStyle name="SAPBEXfilterDrill 11 2 2" xfId="7954"/>
    <cellStyle name="SAPBEXfilterDrill 11 3" xfId="5768"/>
    <cellStyle name="SAPBEXfilterDrill 11 3 2" xfId="7000"/>
    <cellStyle name="SAPBEXfilterDrill 11 4" xfId="9556"/>
    <cellStyle name="SAPBEXfilterDrill 12" xfId="2752"/>
    <cellStyle name="SAPBEXfilterDrill 12 2" xfId="3607"/>
    <cellStyle name="SAPBEXfilterDrill 12 2 2" xfId="9305"/>
    <cellStyle name="SAPBEXfilterDrill 12 3" xfId="5704"/>
    <cellStyle name="SAPBEXfilterDrill 12 3 2" xfId="7083"/>
    <cellStyle name="SAPBEXfilterDrill 12 4" xfId="7332"/>
    <cellStyle name="SAPBEXfilterDrill 13" xfId="3070"/>
    <cellStyle name="SAPBEXfilterDrill 13 2" xfId="4084"/>
    <cellStyle name="SAPBEXfilterDrill 13 2 2" xfId="8663"/>
    <cellStyle name="SAPBEXfilterDrill 13 3" xfId="5969"/>
    <cellStyle name="SAPBEXfilterDrill 13 3 2" xfId="9863"/>
    <cellStyle name="SAPBEXfilterDrill 13 4" xfId="9226"/>
    <cellStyle name="SAPBEXfilterDrill 14" xfId="3305"/>
    <cellStyle name="SAPBEXfilterDrill 14 2" xfId="3549"/>
    <cellStyle name="SAPBEXfilterDrill 14 2 2" xfId="7915"/>
    <cellStyle name="SAPBEXfilterDrill 14 3" xfId="6174"/>
    <cellStyle name="SAPBEXfilterDrill 14 3 2" xfId="10068"/>
    <cellStyle name="SAPBEXfilterDrill 14 4" xfId="8576"/>
    <cellStyle name="SAPBEXfilterDrill 15" xfId="3410"/>
    <cellStyle name="SAPBEXfilterDrill 15 2" xfId="4983"/>
    <cellStyle name="SAPBEXfilterDrill 15 2 2" xfId="7655"/>
    <cellStyle name="SAPBEXfilterDrill 15 3" xfId="8550"/>
    <cellStyle name="SAPBEXfilterDrill 16" xfId="4178"/>
    <cellStyle name="SAPBEXfilterDrill 16 2" xfId="9647"/>
    <cellStyle name="SAPBEXfilterDrill 17" xfId="6426"/>
    <cellStyle name="SAPBEXfilterDrill 2" xfId="1295"/>
    <cellStyle name="SAPBEXfilterDrill 2 2" xfId="1296"/>
    <cellStyle name="SAPBEXfilterDrill 2 3" xfId="2015"/>
    <cellStyle name="SAPBEXfilterDrill 2 3 2" xfId="2094"/>
    <cellStyle name="SAPBEXfilterDrill 2 3 2 2" xfId="3282"/>
    <cellStyle name="SAPBEXfilterDrill 2 3 2 2 2" xfId="3680"/>
    <cellStyle name="SAPBEXfilterDrill 2 3 2 2 2 2" xfId="9430"/>
    <cellStyle name="SAPBEXfilterDrill 2 3 2 2 3" xfId="7876"/>
    <cellStyle name="SAPBEXfilterDrill 2 3 2 3" xfId="4682"/>
    <cellStyle name="SAPBEXfilterDrill 2 3 2 3 2" xfId="6564"/>
    <cellStyle name="SAPBEXfilterDrill 2 3 2 4" xfId="5571"/>
    <cellStyle name="SAPBEXfilterDrill 2 3 2 4 2" xfId="7517"/>
    <cellStyle name="SAPBEXfilterDrill 2 3 2 5" xfId="9310"/>
    <cellStyle name="SAPBEXfilterDrill 2 3 3" xfId="2546"/>
    <cellStyle name="SAPBEXfilterDrill 2 3 3 2" xfId="4598"/>
    <cellStyle name="SAPBEXfilterDrill 2 3 3 2 2" xfId="7470"/>
    <cellStyle name="SAPBEXfilterDrill 2 3 3 3" xfId="5702"/>
    <cellStyle name="SAPBEXfilterDrill 2 3 3 3 2" xfId="6943"/>
    <cellStyle name="SAPBEXfilterDrill 2 3 3 4" xfId="6822"/>
    <cellStyle name="SAPBEXfilterDrill 2 3 4" xfId="3110"/>
    <cellStyle name="SAPBEXfilterDrill 2 3 4 2" xfId="3743"/>
    <cellStyle name="SAPBEXfilterDrill 2 3 4 2 2" xfId="6385"/>
    <cellStyle name="SAPBEXfilterDrill 2 3 4 3" xfId="6006"/>
    <cellStyle name="SAPBEXfilterDrill 2 3 4 3 2" xfId="9900"/>
    <cellStyle name="SAPBEXfilterDrill 2 3 4 4" xfId="7459"/>
    <cellStyle name="SAPBEXfilterDrill 2 3 5" xfId="3320"/>
    <cellStyle name="SAPBEXfilterDrill 2 3 5 2" xfId="3535"/>
    <cellStyle name="SAPBEXfilterDrill 2 3 5 2 2" xfId="7327"/>
    <cellStyle name="SAPBEXfilterDrill 2 3 5 3" xfId="6188"/>
    <cellStyle name="SAPBEXfilterDrill 2 3 5 3 2" xfId="10082"/>
    <cellStyle name="SAPBEXfilterDrill 2 3 5 4" xfId="9253"/>
    <cellStyle name="SAPBEXfilterDrill 2 3 6" xfId="3366"/>
    <cellStyle name="SAPBEXfilterDrill 2 3 6 2" xfId="4955"/>
    <cellStyle name="SAPBEXfilterDrill 2 3 6 2 2" xfId="9690"/>
    <cellStyle name="SAPBEXfilterDrill 2 3 6 3" xfId="6231"/>
    <cellStyle name="SAPBEXfilterDrill 2 3 6 3 2" xfId="10125"/>
    <cellStyle name="SAPBEXfilterDrill 2 3 6 4" xfId="9520"/>
    <cellStyle name="SAPBEXfilterDrill 2 3 7" xfId="3513"/>
    <cellStyle name="SAPBEXfilterDrill 2 3 7 2" xfId="5083"/>
    <cellStyle name="SAPBEXfilterDrill 2 3 7 2 2" xfId="9330"/>
    <cellStyle name="SAPBEXfilterDrill 2 3 7 3" xfId="9185"/>
    <cellStyle name="SAPBEXfilterDrill 2 3 8" xfId="4066"/>
    <cellStyle name="SAPBEXfilterDrill 2 3 8 2" xfId="8746"/>
    <cellStyle name="SAPBEXfilterDrill 2 3 9" xfId="7989"/>
    <cellStyle name="SAPBEXfilterDrill 3" xfId="1297"/>
    <cellStyle name="SAPBEXfilterDrill 3 2" xfId="1298"/>
    <cellStyle name="SAPBEXfilterDrill 3 2 10" xfId="3411"/>
    <cellStyle name="SAPBEXfilterDrill 3 2 10 2" xfId="4984"/>
    <cellStyle name="SAPBEXfilterDrill 3 2 10 2 2" xfId="8257"/>
    <cellStyle name="SAPBEXfilterDrill 3 2 10 3" xfId="9589"/>
    <cellStyle name="SAPBEXfilterDrill 3 2 11" xfId="3999"/>
    <cellStyle name="SAPBEXfilterDrill 3 2 11 2" xfId="8004"/>
    <cellStyle name="SAPBEXfilterDrill 3 2 12" xfId="6894"/>
    <cellStyle name="SAPBEXfilterDrill 3 2 2" xfId="1756"/>
    <cellStyle name="SAPBEXfilterDrill 3 2 2 10" xfId="3485"/>
    <cellStyle name="SAPBEXfilterDrill 3 2 2 10 2" xfId="5055"/>
    <cellStyle name="SAPBEXfilterDrill 3 2 2 10 2 2" xfId="9372"/>
    <cellStyle name="SAPBEXfilterDrill 3 2 2 10 3" xfId="8497"/>
    <cellStyle name="SAPBEXfilterDrill 3 2 2 11" xfId="4240"/>
    <cellStyle name="SAPBEXfilterDrill 3 2 2 11 2" xfId="6486"/>
    <cellStyle name="SAPBEXfilterDrill 3 2 2 12" xfId="6448"/>
    <cellStyle name="SAPBEXfilterDrill 3 2 2 2" xfId="1705"/>
    <cellStyle name="SAPBEXfilterDrill 3 2 2 2 10" xfId="6350"/>
    <cellStyle name="SAPBEXfilterDrill 3 2 2 2 2" xfId="2450"/>
    <cellStyle name="SAPBEXfilterDrill 3 2 2 2 2 2" xfId="2584"/>
    <cellStyle name="SAPBEXfilterDrill 3 2 2 2 2 2 2" xfId="4681"/>
    <cellStyle name="SAPBEXfilterDrill 3 2 2 2 2 2 2 2" xfId="8709"/>
    <cellStyle name="SAPBEXfilterDrill 3 2 2 2 2 2 3" xfId="6845"/>
    <cellStyle name="SAPBEXfilterDrill 3 2 2 2 2 3" xfId="4477"/>
    <cellStyle name="SAPBEXfilterDrill 3 2 2 2 2 3 2" xfId="7618"/>
    <cellStyle name="SAPBEXfilterDrill 3 2 2 2 2 4" xfId="6337"/>
    <cellStyle name="SAPBEXfilterDrill 3 2 2 2 3" xfId="2201"/>
    <cellStyle name="SAPBEXfilterDrill 3 2 2 2 3 2" xfId="2955"/>
    <cellStyle name="SAPBEXfilterDrill 3 2 2 2 3 2 2" xfId="3829"/>
    <cellStyle name="SAPBEXfilterDrill 3 2 2 2 3 2 2 2" xfId="8447"/>
    <cellStyle name="SAPBEXfilterDrill 3 2 2 2 3 2 3" xfId="6510"/>
    <cellStyle name="SAPBEXfilterDrill 3 2 2 2 3 3" xfId="4834"/>
    <cellStyle name="SAPBEXfilterDrill 3 2 2 2 3 3 2" xfId="6688"/>
    <cellStyle name="SAPBEXfilterDrill 3 2 2 2 3 4" xfId="5609"/>
    <cellStyle name="SAPBEXfilterDrill 3 2 2 2 3 4 2" xfId="6905"/>
    <cellStyle name="SAPBEXfilterDrill 3 2 2 2 3 5" xfId="9229"/>
    <cellStyle name="SAPBEXfilterDrill 3 2 2 2 4" xfId="2330"/>
    <cellStyle name="SAPBEXfilterDrill 3 2 2 2 4 2" xfId="4622"/>
    <cellStyle name="SAPBEXfilterDrill 3 2 2 2 4 2 2" xfId="9517"/>
    <cellStyle name="SAPBEXfilterDrill 3 2 2 2 4 3" xfId="5666"/>
    <cellStyle name="SAPBEXfilterDrill 3 2 2 2 4 3 2" xfId="7789"/>
    <cellStyle name="SAPBEXfilterDrill 3 2 2 2 4 4" xfId="8341"/>
    <cellStyle name="SAPBEXfilterDrill 3 2 2 2 5" xfId="3313"/>
    <cellStyle name="SAPBEXfilterDrill 3 2 2 2 5 2" xfId="3541"/>
    <cellStyle name="SAPBEXfilterDrill 3 2 2 2 5 2 2" xfId="6278"/>
    <cellStyle name="SAPBEXfilterDrill 3 2 2 2 5 3" xfId="6182"/>
    <cellStyle name="SAPBEXfilterDrill 3 2 2 2 5 3 2" xfId="10076"/>
    <cellStyle name="SAPBEXfilterDrill 3 2 2 2 5 4" xfId="9567"/>
    <cellStyle name="SAPBEXfilterDrill 3 2 2 2 6" xfId="3271"/>
    <cellStyle name="SAPBEXfilterDrill 3 2 2 2 6 2" xfId="4186"/>
    <cellStyle name="SAPBEXfilterDrill 3 2 2 2 6 2 2" xfId="6707"/>
    <cellStyle name="SAPBEXfilterDrill 3 2 2 2 6 3" xfId="6146"/>
    <cellStyle name="SAPBEXfilterDrill 3 2 2 2 6 3 2" xfId="10040"/>
    <cellStyle name="SAPBEXfilterDrill 3 2 2 2 6 4" xfId="6739"/>
    <cellStyle name="SAPBEXfilterDrill 3 2 2 2 7" xfId="3275"/>
    <cellStyle name="SAPBEXfilterDrill 3 2 2 2 7 2" xfId="3682"/>
    <cellStyle name="SAPBEXfilterDrill 3 2 2 2 7 2 2" xfId="6579"/>
    <cellStyle name="SAPBEXfilterDrill 3 2 2 2 7 3" xfId="6150"/>
    <cellStyle name="SAPBEXfilterDrill 3 2 2 2 7 3 2" xfId="10044"/>
    <cellStyle name="SAPBEXfilterDrill 3 2 2 2 7 4" xfId="7597"/>
    <cellStyle name="SAPBEXfilterDrill 3 2 2 2 8" xfId="3449"/>
    <cellStyle name="SAPBEXfilterDrill 3 2 2 2 8 2" xfId="5019"/>
    <cellStyle name="SAPBEXfilterDrill 3 2 2 2 8 2 2" xfId="8869"/>
    <cellStyle name="SAPBEXfilterDrill 3 2 2 2 8 3" xfId="8559"/>
    <cellStyle name="SAPBEXfilterDrill 3 2 2 2 9" xfId="3650"/>
    <cellStyle name="SAPBEXfilterDrill 3 2 2 2 9 2" xfId="9504"/>
    <cellStyle name="SAPBEXfilterDrill 3 2 2 3" xfId="2471"/>
    <cellStyle name="SAPBEXfilterDrill 3 2 2 3 2" xfId="2594"/>
    <cellStyle name="SAPBEXfilterDrill 3 2 2 3 2 2" xfId="4672"/>
    <cellStyle name="SAPBEXfilterDrill 3 2 2 3 2 2 2" xfId="7740"/>
    <cellStyle name="SAPBEXfilterDrill 3 2 2 3 2 3" xfId="6297"/>
    <cellStyle name="SAPBEXfilterDrill 3 2 2 3 3" xfId="4814"/>
    <cellStyle name="SAPBEXfilterDrill 3 2 2 3 3 2" xfId="9488"/>
    <cellStyle name="SAPBEXfilterDrill 3 2 2 3 4" xfId="5180"/>
    <cellStyle name="SAPBEXfilterDrill 3 2 2 3 4 2" xfId="9473"/>
    <cellStyle name="SAPBEXfilterDrill 3 2 2 3 5" xfId="7281"/>
    <cellStyle name="SAPBEXfilterDrill 3 2 2 4" xfId="2184"/>
    <cellStyle name="SAPBEXfilterDrill 3 2 2 4 2" xfId="2697"/>
    <cellStyle name="SAPBEXfilterDrill 3 2 2 4 2 2" xfId="3956"/>
    <cellStyle name="SAPBEXfilterDrill 3 2 2 4 2 2 2" xfId="9012"/>
    <cellStyle name="SAPBEXfilterDrill 3 2 2 4 2 3" xfId="7661"/>
    <cellStyle name="SAPBEXfilterDrill 3 2 2 4 3" xfId="4635"/>
    <cellStyle name="SAPBEXfilterDrill 3 2 2 4 3 2" xfId="9233"/>
    <cellStyle name="SAPBEXfilterDrill 3 2 2 4 4" xfId="5553"/>
    <cellStyle name="SAPBEXfilterDrill 3 2 2 4 4 2" xfId="7047"/>
    <cellStyle name="SAPBEXfilterDrill 3 2 2 4 5" xfId="6544"/>
    <cellStyle name="SAPBEXfilterDrill 3 2 2 5" xfId="2260"/>
    <cellStyle name="SAPBEXfilterDrill 3 2 2 5 2" xfId="4424"/>
    <cellStyle name="SAPBEXfilterDrill 3 2 2 5 2 2" xfId="8072"/>
    <cellStyle name="SAPBEXfilterDrill 3 2 2 5 3" xfId="5634"/>
    <cellStyle name="SAPBEXfilterDrill 3 2 2 5 3 2" xfId="6695"/>
    <cellStyle name="SAPBEXfilterDrill 3 2 2 5 4" xfId="9230"/>
    <cellStyle name="SAPBEXfilterDrill 3 2 2 6" xfId="3060"/>
    <cellStyle name="SAPBEXfilterDrill 3 2 2 6 2" xfId="4141"/>
    <cellStyle name="SAPBEXfilterDrill 3 2 2 6 2 2" xfId="6919"/>
    <cellStyle name="SAPBEXfilterDrill 3 2 2 6 3" xfId="5960"/>
    <cellStyle name="SAPBEXfilterDrill 3 2 2 6 3 2" xfId="9854"/>
    <cellStyle name="SAPBEXfilterDrill 3 2 2 6 4" xfId="6992"/>
    <cellStyle name="SAPBEXfilterDrill 3 2 2 7" xfId="3130"/>
    <cellStyle name="SAPBEXfilterDrill 3 2 2 7 2" xfId="3725"/>
    <cellStyle name="SAPBEXfilterDrill 3 2 2 7 2 2" xfId="9748"/>
    <cellStyle name="SAPBEXfilterDrill 3 2 2 7 3" xfId="6026"/>
    <cellStyle name="SAPBEXfilterDrill 3 2 2 7 3 2" xfId="9920"/>
    <cellStyle name="SAPBEXfilterDrill 3 2 2 7 4" xfId="7767"/>
    <cellStyle name="SAPBEXfilterDrill 3 2 2 8" xfId="3312"/>
    <cellStyle name="SAPBEXfilterDrill 3 2 2 8 2" xfId="3542"/>
    <cellStyle name="SAPBEXfilterDrill 3 2 2 8 2 2" xfId="9475"/>
    <cellStyle name="SAPBEXfilterDrill 3 2 2 8 3" xfId="6181"/>
    <cellStyle name="SAPBEXfilterDrill 3 2 2 8 3 2" xfId="10075"/>
    <cellStyle name="SAPBEXfilterDrill 3 2 2 8 4" xfId="7086"/>
    <cellStyle name="SAPBEXfilterDrill 3 2 2 9" xfId="3052"/>
    <cellStyle name="SAPBEXfilterDrill 3 2 2 9 2" xfId="4211"/>
    <cellStyle name="SAPBEXfilterDrill 3 2 2 9 2 2" xfId="9757"/>
    <cellStyle name="SAPBEXfilterDrill 3 2 2 9 3" xfId="5953"/>
    <cellStyle name="SAPBEXfilterDrill 3 2 2 9 3 2" xfId="9847"/>
    <cellStyle name="SAPBEXfilterDrill 3 2 2 9 4" xfId="7019"/>
    <cellStyle name="SAPBEXfilterDrill 3 2 3" xfId="2406"/>
    <cellStyle name="SAPBEXfilterDrill 3 2 3 2" xfId="2548"/>
    <cellStyle name="SAPBEXfilterDrill 3 2 3 2 2" xfId="4181"/>
    <cellStyle name="SAPBEXfilterDrill 3 2 3 2 2 2" xfId="9489"/>
    <cellStyle name="SAPBEXfilterDrill 3 2 3 2 3" xfId="7060"/>
    <cellStyle name="SAPBEXfilterDrill 3 2 3 3" xfId="4870"/>
    <cellStyle name="SAPBEXfilterDrill 3 2 3 3 2" xfId="7330"/>
    <cellStyle name="SAPBEXfilterDrill 3 2 3 4" xfId="5355"/>
    <cellStyle name="SAPBEXfilterDrill 3 2 3 4 2" xfId="7078"/>
    <cellStyle name="SAPBEXfilterDrill 3 2 3 5" xfId="6814"/>
    <cellStyle name="SAPBEXfilterDrill 3 2 4" xfId="2234"/>
    <cellStyle name="SAPBEXfilterDrill 3 2 4 2" xfId="2637"/>
    <cellStyle name="SAPBEXfilterDrill 3 2 4 2 2" xfId="4438"/>
    <cellStyle name="SAPBEXfilterDrill 3 2 4 2 2 2" xfId="9112"/>
    <cellStyle name="SAPBEXfilterDrill 3 2 4 2 3" xfId="8017"/>
    <cellStyle name="SAPBEXfilterDrill 3 2 4 3" xfId="4698"/>
    <cellStyle name="SAPBEXfilterDrill 3 2 4 3 2" xfId="9140"/>
    <cellStyle name="SAPBEXfilterDrill 3 2 4 4" xfId="5468"/>
    <cellStyle name="SAPBEXfilterDrill 3 2 4 4 2" xfId="7872"/>
    <cellStyle name="SAPBEXfilterDrill 3 2 4 5" xfId="8199"/>
    <cellStyle name="SAPBEXfilterDrill 3 2 5" xfId="2235"/>
    <cellStyle name="SAPBEXfilterDrill 3 2 5 2" xfId="4670"/>
    <cellStyle name="SAPBEXfilterDrill 3 2 5 2 2" xfId="9689"/>
    <cellStyle name="SAPBEXfilterDrill 3 2 5 3" xfId="5630"/>
    <cellStyle name="SAPBEXfilterDrill 3 2 5 3 2" xfId="6766"/>
    <cellStyle name="SAPBEXfilterDrill 3 2 5 4" xfId="9322"/>
    <cellStyle name="SAPBEXfilterDrill 3 2 6" xfId="3300"/>
    <cellStyle name="SAPBEXfilterDrill 3 2 6 2" xfId="3672"/>
    <cellStyle name="SAPBEXfilterDrill 3 2 6 2 2" xfId="7708"/>
    <cellStyle name="SAPBEXfilterDrill 3 2 6 3" xfId="6169"/>
    <cellStyle name="SAPBEXfilterDrill 3 2 6 3 2" xfId="10063"/>
    <cellStyle name="SAPBEXfilterDrill 3 2 6 4" xfId="7033"/>
    <cellStyle name="SAPBEXfilterDrill 3 2 7" xfId="3009"/>
    <cellStyle name="SAPBEXfilterDrill 3 2 7 2" xfId="4143"/>
    <cellStyle name="SAPBEXfilterDrill 3 2 7 2 2" xfId="9080"/>
    <cellStyle name="SAPBEXfilterDrill 3 2 7 3" xfId="5911"/>
    <cellStyle name="SAPBEXfilterDrill 3 2 7 3 2" xfId="9805"/>
    <cellStyle name="SAPBEXfilterDrill 3 2 7 4" xfId="6812"/>
    <cellStyle name="SAPBEXfilterDrill 3 2 8" xfId="3308"/>
    <cellStyle name="SAPBEXfilterDrill 3 2 8 2" xfId="3546"/>
    <cellStyle name="SAPBEXfilterDrill 3 2 8 2 2" xfId="6346"/>
    <cellStyle name="SAPBEXfilterDrill 3 2 8 3" xfId="6177"/>
    <cellStyle name="SAPBEXfilterDrill 3 2 8 3 2" xfId="10071"/>
    <cellStyle name="SAPBEXfilterDrill 3 2 8 4" xfId="8756"/>
    <cellStyle name="SAPBEXfilterDrill 3 2 9" xfId="3080"/>
    <cellStyle name="SAPBEXfilterDrill 3 2 9 2" xfId="4209"/>
    <cellStyle name="SAPBEXfilterDrill 3 2 9 2 2" xfId="9142"/>
    <cellStyle name="SAPBEXfilterDrill 3 2 9 3" xfId="5977"/>
    <cellStyle name="SAPBEXfilterDrill 3 2 9 3 2" xfId="9871"/>
    <cellStyle name="SAPBEXfilterDrill 3 2 9 4" xfId="8006"/>
    <cellStyle name="SAPBEXfilterDrill 4" xfId="1299"/>
    <cellStyle name="SAPBEXfilterDrill 5" xfId="1300"/>
    <cellStyle name="SAPBEXfilterDrill 6" xfId="1301"/>
    <cellStyle name="SAPBEXfilterDrill 6 10" xfId="3412"/>
    <cellStyle name="SAPBEXfilterDrill 6 10 2" xfId="4985"/>
    <cellStyle name="SAPBEXfilterDrill 6 10 2 2" xfId="9492"/>
    <cellStyle name="SAPBEXfilterDrill 6 10 3" xfId="8673"/>
    <cellStyle name="SAPBEXfilterDrill 6 11" xfId="3998"/>
    <cellStyle name="SAPBEXfilterDrill 6 11 2" xfId="9715"/>
    <cellStyle name="SAPBEXfilterDrill 6 12" xfId="6257"/>
    <cellStyle name="SAPBEXfilterDrill 6 2" xfId="1757"/>
    <cellStyle name="SAPBEXfilterDrill 6 2 10" xfId="3486"/>
    <cellStyle name="SAPBEXfilterDrill 6 2 10 2" xfId="5056"/>
    <cellStyle name="SAPBEXfilterDrill 6 2 10 2 2" xfId="8849"/>
    <cellStyle name="SAPBEXfilterDrill 6 2 10 3" xfId="6961"/>
    <cellStyle name="SAPBEXfilterDrill 6 2 11" xfId="3989"/>
    <cellStyle name="SAPBEXfilterDrill 6 2 11 2" xfId="9697"/>
    <cellStyle name="SAPBEXfilterDrill 6 2 12" xfId="7958"/>
    <cellStyle name="SAPBEXfilterDrill 6 2 2" xfId="1745"/>
    <cellStyle name="SAPBEXfilterDrill 6 2 2 10" xfId="6626"/>
    <cellStyle name="SAPBEXfilterDrill 6 2 2 2" xfId="2461"/>
    <cellStyle name="SAPBEXfilterDrill 6 2 2 2 2" xfId="2587"/>
    <cellStyle name="SAPBEXfilterDrill 6 2 2 2 2 2" xfId="4745"/>
    <cellStyle name="SAPBEXfilterDrill 6 2 2 2 2 2 2" xfId="8984"/>
    <cellStyle name="SAPBEXfilterDrill 6 2 2 2 2 3" xfId="8544"/>
    <cellStyle name="SAPBEXfilterDrill 6 2 2 2 3" xfId="4298"/>
    <cellStyle name="SAPBEXfilterDrill 6 2 2 2 3 2" xfId="9720"/>
    <cellStyle name="SAPBEXfilterDrill 6 2 2 2 4" xfId="8037"/>
    <cellStyle name="SAPBEXfilterDrill 6 2 2 3" xfId="2342"/>
    <cellStyle name="SAPBEXfilterDrill 6 2 2 3 2" xfId="2938"/>
    <cellStyle name="SAPBEXfilterDrill 6 2 2 3 2 2" xfId="3844"/>
    <cellStyle name="SAPBEXfilterDrill 6 2 2 3 2 2 2" xfId="8397"/>
    <cellStyle name="SAPBEXfilterDrill 6 2 2 3 2 3" xfId="7447"/>
    <cellStyle name="SAPBEXfilterDrill 6 2 2 3 3" xfId="4886"/>
    <cellStyle name="SAPBEXfilterDrill 6 2 2 3 3 2" xfId="8208"/>
    <cellStyle name="SAPBEXfilterDrill 6 2 2 3 4" xfId="5673"/>
    <cellStyle name="SAPBEXfilterDrill 6 2 2 3 4 2" xfId="6735"/>
    <cellStyle name="SAPBEXfilterDrill 6 2 2 3 5" xfId="6738"/>
    <cellStyle name="SAPBEXfilterDrill 6 2 2 4" xfId="2162"/>
    <cellStyle name="SAPBEXfilterDrill 6 2 2 4 2" xfId="3978"/>
    <cellStyle name="SAPBEXfilterDrill 6 2 2 4 2 2" xfId="8641"/>
    <cellStyle name="SAPBEXfilterDrill 6 2 2 4 3" xfId="5594"/>
    <cellStyle name="SAPBEXfilterDrill 6 2 2 4 3 2" xfId="7571"/>
    <cellStyle name="SAPBEXfilterDrill 6 2 2 4 4" xfId="7602"/>
    <cellStyle name="SAPBEXfilterDrill 6 2 2 5" xfId="2872"/>
    <cellStyle name="SAPBEXfilterDrill 6 2 2 5 2" xfId="3878"/>
    <cellStyle name="SAPBEXfilterDrill 6 2 2 5 2 2" xfId="6794"/>
    <cellStyle name="SAPBEXfilterDrill 6 2 2 5 3" xfId="5803"/>
    <cellStyle name="SAPBEXfilterDrill 6 2 2 5 3 2" xfId="7772"/>
    <cellStyle name="SAPBEXfilterDrill 6 2 2 5 4" xfId="8696"/>
    <cellStyle name="SAPBEXfilterDrill 6 2 2 6" xfId="3191"/>
    <cellStyle name="SAPBEXfilterDrill 6 2 2 6 2" xfId="3704"/>
    <cellStyle name="SAPBEXfilterDrill 6 2 2 6 2 2" xfId="9438"/>
    <cellStyle name="SAPBEXfilterDrill 6 2 2 6 3" xfId="6081"/>
    <cellStyle name="SAPBEXfilterDrill 6 2 2 6 3 2" xfId="9975"/>
    <cellStyle name="SAPBEXfilterDrill 6 2 2 6 4" xfId="6622"/>
    <cellStyle name="SAPBEXfilterDrill 6 2 2 7" xfId="3362"/>
    <cellStyle name="SAPBEXfilterDrill 6 2 2 7 2" xfId="4952"/>
    <cellStyle name="SAPBEXfilterDrill 6 2 2 7 2 2" xfId="9170"/>
    <cellStyle name="SAPBEXfilterDrill 6 2 2 7 3" xfId="6228"/>
    <cellStyle name="SAPBEXfilterDrill 6 2 2 7 3 2" xfId="10122"/>
    <cellStyle name="SAPBEXfilterDrill 6 2 2 7 4" xfId="7438"/>
    <cellStyle name="SAPBEXfilterDrill 6 2 2 8" xfId="3478"/>
    <cellStyle name="SAPBEXfilterDrill 6 2 2 8 2" xfId="5048"/>
    <cellStyle name="SAPBEXfilterDrill 6 2 2 8 2 2" xfId="6587"/>
    <cellStyle name="SAPBEXfilterDrill 6 2 2 8 3" xfId="9431"/>
    <cellStyle name="SAPBEXfilterDrill 6 2 2 9" xfId="3622"/>
    <cellStyle name="SAPBEXfilterDrill 6 2 2 9 2" xfId="8565"/>
    <cellStyle name="SAPBEXfilterDrill 6 2 3" xfId="2472"/>
    <cellStyle name="SAPBEXfilterDrill 6 2 3 2" xfId="2595"/>
    <cellStyle name="SAPBEXfilterDrill 6 2 3 2 2" xfId="4706"/>
    <cellStyle name="SAPBEXfilterDrill 6 2 3 2 2 2" xfId="6360"/>
    <cellStyle name="SAPBEXfilterDrill 6 2 3 2 3" xfId="8206"/>
    <cellStyle name="SAPBEXfilterDrill 6 2 3 3" xfId="4750"/>
    <cellStyle name="SAPBEXfilterDrill 6 2 3 3 2" xfId="9195"/>
    <cellStyle name="SAPBEXfilterDrill 6 2 3 4" xfId="5279"/>
    <cellStyle name="SAPBEXfilterDrill 6 2 3 4 2" xfId="7024"/>
    <cellStyle name="SAPBEXfilterDrill 6 2 3 5" xfId="6324"/>
    <cellStyle name="SAPBEXfilterDrill 6 2 4" xfId="2183"/>
    <cellStyle name="SAPBEXfilterDrill 6 2 4 2" xfId="2698"/>
    <cellStyle name="SAPBEXfilterDrill 6 2 4 2 2" xfId="3955"/>
    <cellStyle name="SAPBEXfilterDrill 6 2 4 2 2 2" xfId="7890"/>
    <cellStyle name="SAPBEXfilterDrill 6 2 4 2 3" xfId="7732"/>
    <cellStyle name="SAPBEXfilterDrill 6 2 4 3" xfId="4717"/>
    <cellStyle name="SAPBEXfilterDrill 6 2 4 3 2" xfId="9086"/>
    <cellStyle name="SAPBEXfilterDrill 6 2 4 4" xfId="5554"/>
    <cellStyle name="SAPBEXfilterDrill 6 2 4 4 2" xfId="7032"/>
    <cellStyle name="SAPBEXfilterDrill 6 2 4 5" xfId="6485"/>
    <cellStyle name="SAPBEXfilterDrill 6 2 5" xfId="2170"/>
    <cellStyle name="SAPBEXfilterDrill 6 2 5 2" xfId="4470"/>
    <cellStyle name="SAPBEXfilterDrill 6 2 5 2 2" xfId="9073"/>
    <cellStyle name="SAPBEXfilterDrill 6 2 5 3" xfId="5601"/>
    <cellStyle name="SAPBEXfilterDrill 6 2 5 3 2" xfId="7650"/>
    <cellStyle name="SAPBEXfilterDrill 6 2 5 4" xfId="9288"/>
    <cellStyle name="SAPBEXfilterDrill 6 2 6" xfId="3061"/>
    <cellStyle name="SAPBEXfilterDrill 6 2 6 2" xfId="4093"/>
    <cellStyle name="SAPBEXfilterDrill 6 2 6 2 2" xfId="9285"/>
    <cellStyle name="SAPBEXfilterDrill 6 2 6 3" xfId="5961"/>
    <cellStyle name="SAPBEXfilterDrill 6 2 6 3 2" xfId="9855"/>
    <cellStyle name="SAPBEXfilterDrill 6 2 6 4" xfId="6329"/>
    <cellStyle name="SAPBEXfilterDrill 6 2 7" xfId="3329"/>
    <cellStyle name="SAPBEXfilterDrill 6 2 7 2" xfId="4920"/>
    <cellStyle name="SAPBEXfilterDrill 6 2 7 2 2" xfId="9394"/>
    <cellStyle name="SAPBEXfilterDrill 6 2 7 3" xfId="6196"/>
    <cellStyle name="SAPBEXfilterDrill 6 2 7 3 2" xfId="10090"/>
    <cellStyle name="SAPBEXfilterDrill 6 2 7 4" xfId="7183"/>
    <cellStyle name="SAPBEXfilterDrill 6 2 8" xfId="2798"/>
    <cellStyle name="SAPBEXfilterDrill 6 2 8 2" xfId="3918"/>
    <cellStyle name="SAPBEXfilterDrill 6 2 8 2 2" xfId="9677"/>
    <cellStyle name="SAPBEXfilterDrill 6 2 8 3" xfId="5732"/>
    <cellStyle name="SAPBEXfilterDrill 6 2 8 3 2" xfId="6328"/>
    <cellStyle name="SAPBEXfilterDrill 6 2 8 4" xfId="6429"/>
    <cellStyle name="SAPBEXfilterDrill 6 2 9" xfId="3051"/>
    <cellStyle name="SAPBEXfilterDrill 6 2 9 2" xfId="4210"/>
    <cellStyle name="SAPBEXfilterDrill 6 2 9 2 2" xfId="8398"/>
    <cellStyle name="SAPBEXfilterDrill 6 2 9 3" xfId="5952"/>
    <cellStyle name="SAPBEXfilterDrill 6 2 9 3 2" xfId="9846"/>
    <cellStyle name="SAPBEXfilterDrill 6 2 9 4" xfId="9254"/>
    <cellStyle name="SAPBEXfilterDrill 6 3" xfId="2407"/>
    <cellStyle name="SAPBEXfilterDrill 6 3 2" xfId="2549"/>
    <cellStyle name="SAPBEXfilterDrill 6 3 2 2" xfId="4884"/>
    <cellStyle name="SAPBEXfilterDrill 6 3 2 2 2" xfId="9109"/>
    <cellStyle name="SAPBEXfilterDrill 6 3 2 3" xfId="9208"/>
    <cellStyle name="SAPBEXfilterDrill 6 3 3" xfId="3983"/>
    <cellStyle name="SAPBEXfilterDrill 6 3 3 2" xfId="9385"/>
    <cellStyle name="SAPBEXfilterDrill 6 3 4" xfId="5343"/>
    <cellStyle name="SAPBEXfilterDrill 6 3 4 2" xfId="7795"/>
    <cellStyle name="SAPBEXfilterDrill 6 3 5" xfId="6956"/>
    <cellStyle name="SAPBEXfilterDrill 6 4" xfId="2349"/>
    <cellStyle name="SAPBEXfilterDrill 6 4 2" xfId="2636"/>
    <cellStyle name="SAPBEXfilterDrill 6 4 2 2" xfId="4700"/>
    <cellStyle name="SAPBEXfilterDrill 6 4 2 2 2" xfId="9633"/>
    <cellStyle name="SAPBEXfilterDrill 6 4 2 3" xfId="8157"/>
    <cellStyle name="SAPBEXfilterDrill 6 4 3" xfId="4751"/>
    <cellStyle name="SAPBEXfilterDrill 6 4 3 2" xfId="7968"/>
    <cellStyle name="SAPBEXfilterDrill 6 4 4" xfId="5467"/>
    <cellStyle name="SAPBEXfilterDrill 6 4 4 2" xfId="6479"/>
    <cellStyle name="SAPBEXfilterDrill 6 4 5" xfId="8492"/>
    <cellStyle name="SAPBEXfilterDrill 6 5" xfId="2367"/>
    <cellStyle name="SAPBEXfilterDrill 6 5 2" xfId="4811"/>
    <cellStyle name="SAPBEXfilterDrill 6 5 2 2" xfId="9576"/>
    <cellStyle name="SAPBEXfilterDrill 6 5 3" xfId="5685"/>
    <cellStyle name="SAPBEXfilterDrill 6 5 3 2" xfId="7133"/>
    <cellStyle name="SAPBEXfilterDrill 6 5 4" xfId="6287"/>
    <cellStyle name="SAPBEXfilterDrill 6 6" xfId="2838"/>
    <cellStyle name="SAPBEXfilterDrill 6 6 2" xfId="3896"/>
    <cellStyle name="SAPBEXfilterDrill 6 6 2 2" xfId="7896"/>
    <cellStyle name="SAPBEXfilterDrill 6 6 3" xfId="5770"/>
    <cellStyle name="SAPBEXfilterDrill 6 6 3 2" xfId="7148"/>
    <cellStyle name="SAPBEXfilterDrill 6 6 4" xfId="7031"/>
    <cellStyle name="SAPBEXfilterDrill 6 7" xfId="3173"/>
    <cellStyle name="SAPBEXfilterDrill 6 7 2" xfId="4199"/>
    <cellStyle name="SAPBEXfilterDrill 6 7 2 2" xfId="7272"/>
    <cellStyle name="SAPBEXfilterDrill 6 7 3" xfId="6065"/>
    <cellStyle name="SAPBEXfilterDrill 6 7 3 2" xfId="9959"/>
    <cellStyle name="SAPBEXfilterDrill 6 7 4" xfId="8145"/>
    <cellStyle name="SAPBEXfilterDrill 6 8" xfId="3223"/>
    <cellStyle name="SAPBEXfilterDrill 6 8 2" xfId="3567"/>
    <cellStyle name="SAPBEXfilterDrill 6 8 2 2" xfId="9724"/>
    <cellStyle name="SAPBEXfilterDrill 6 8 3" xfId="6105"/>
    <cellStyle name="SAPBEXfilterDrill 6 8 3 2" xfId="9999"/>
    <cellStyle name="SAPBEXfilterDrill 6 8 4" xfId="8129"/>
    <cellStyle name="SAPBEXfilterDrill 6 9" xfId="3338"/>
    <cellStyle name="SAPBEXfilterDrill 6 9 2" xfId="4929"/>
    <cellStyle name="SAPBEXfilterDrill 6 9 2 2" xfId="9494"/>
    <cellStyle name="SAPBEXfilterDrill 6 9 3" xfId="6205"/>
    <cellStyle name="SAPBEXfilterDrill 6 9 3 2" xfId="10099"/>
    <cellStyle name="SAPBEXfilterDrill 6 9 4" xfId="9075"/>
    <cellStyle name="SAPBEXfilterDrill 7" xfId="1302"/>
    <cellStyle name="SAPBEXfilterDrill 8" xfId="2014"/>
    <cellStyle name="SAPBEXfilterDrill 8 10" xfId="7113"/>
    <cellStyle name="SAPBEXfilterDrill 8 2" xfId="2095"/>
    <cellStyle name="SAPBEXfilterDrill 8 2 2" xfId="3281"/>
    <cellStyle name="SAPBEXfilterDrill 8 2 2 2" xfId="4040"/>
    <cellStyle name="SAPBEXfilterDrill 8 2 2 2 2" xfId="7606"/>
    <cellStyle name="SAPBEXfilterDrill 8 2 2 3" xfId="8694"/>
    <cellStyle name="SAPBEXfilterDrill 8 2 3" xfId="4758"/>
    <cellStyle name="SAPBEXfilterDrill 8 2 3 2" xfId="9563"/>
    <cellStyle name="SAPBEXfilterDrill 8 2 4" xfId="5572"/>
    <cellStyle name="SAPBEXfilterDrill 8 2 4 2" xfId="6745"/>
    <cellStyle name="SAPBEXfilterDrill 8 2 5" xfId="6764"/>
    <cellStyle name="SAPBEXfilterDrill 8 3" xfId="2545"/>
    <cellStyle name="SAPBEXfilterDrill 8 3 2" xfId="4433"/>
    <cellStyle name="SAPBEXfilterDrill 8 3 2 2" xfId="8212"/>
    <cellStyle name="SAPBEXfilterDrill 8 3 3" xfId="5701"/>
    <cellStyle name="SAPBEXfilterDrill 8 3 3 2" xfId="7425"/>
    <cellStyle name="SAPBEXfilterDrill 8 3 4" xfId="6926"/>
    <cellStyle name="SAPBEXfilterDrill 8 4" xfId="3325"/>
    <cellStyle name="SAPBEXfilterDrill 8 4 2" xfId="3531"/>
    <cellStyle name="SAPBEXfilterDrill 8 4 2 2" xfId="8644"/>
    <cellStyle name="SAPBEXfilterDrill 8 4 3" xfId="6192"/>
    <cellStyle name="SAPBEXfilterDrill 8 4 3 2" xfId="10086"/>
    <cellStyle name="SAPBEXfilterDrill 8 4 4" xfId="9016"/>
    <cellStyle name="SAPBEXfilterDrill 8 5" xfId="3059"/>
    <cellStyle name="SAPBEXfilterDrill 8 5 2" xfId="3766"/>
    <cellStyle name="SAPBEXfilterDrill 8 5 2 2" xfId="9082"/>
    <cellStyle name="SAPBEXfilterDrill 8 5 3" xfId="5959"/>
    <cellStyle name="SAPBEXfilterDrill 8 5 3 2" xfId="9853"/>
    <cellStyle name="SAPBEXfilterDrill 8 5 4" xfId="6650"/>
    <cellStyle name="SAPBEXfilterDrill 8 6" xfId="3365"/>
    <cellStyle name="SAPBEXfilterDrill 8 6 2" xfId="4954"/>
    <cellStyle name="SAPBEXfilterDrill 8 6 2 2" xfId="6430"/>
    <cellStyle name="SAPBEXfilterDrill 8 6 3" xfId="6230"/>
    <cellStyle name="SAPBEXfilterDrill 8 6 3 2" xfId="10124"/>
    <cellStyle name="SAPBEXfilterDrill 8 6 4" xfId="8376"/>
    <cellStyle name="SAPBEXfilterDrill 8 7" xfId="3512"/>
    <cellStyle name="SAPBEXfilterDrill 8 7 2" xfId="5082"/>
    <cellStyle name="SAPBEXfilterDrill 8 7 2 2" xfId="9392"/>
    <cellStyle name="SAPBEXfilterDrill 8 7 3" xfId="6380"/>
    <cellStyle name="SAPBEXfilterDrill 8 8" xfId="4175"/>
    <cellStyle name="SAPBEXfilterDrill 8 8 2" xfId="8136"/>
    <cellStyle name="SAPBEXfilterDrill 8 9" xfId="5095"/>
    <cellStyle name="SAPBEXfilterDrill 8 9 2" xfId="9123"/>
    <cellStyle name="SAPBEXfilterDrill 9" xfId="2361"/>
    <cellStyle name="SAPBEXfilterDrill 9 2" xfId="2638"/>
    <cellStyle name="SAPBEXfilterDrill 9 2 2" xfId="4594"/>
    <cellStyle name="SAPBEXfilterDrill 9 2 2 2" xfId="8677"/>
    <cellStyle name="SAPBEXfilterDrill 9 2 3" xfId="7842"/>
    <cellStyle name="SAPBEXfilterDrill 9 3" xfId="4462"/>
    <cellStyle name="SAPBEXfilterDrill 9 3 2" xfId="7617"/>
    <cellStyle name="SAPBEXfilterDrill 9 4" xfId="5469"/>
    <cellStyle name="SAPBEXfilterDrill 9 4 2" xfId="8246"/>
    <cellStyle name="SAPBEXfilterDrill 9 5" xfId="6538"/>
    <cellStyle name="SAPBEXfilterItem" xfId="1303"/>
    <cellStyle name="SAPBEXfilterItem 2" xfId="1304"/>
    <cellStyle name="SAPBEXfilterItem 2 2" xfId="1305"/>
    <cellStyle name="SAPBEXfilterItem 2 3" xfId="2016"/>
    <cellStyle name="SAPBEXfilterItem 3" xfId="1306"/>
    <cellStyle name="SAPBEXfilterItem 3 2" xfId="1307"/>
    <cellStyle name="SAPBEXfilterItem 4" xfId="1308"/>
    <cellStyle name="SAPBEXfilterItem 5" xfId="1309"/>
    <cellStyle name="SAPBEXfilterItem 6" xfId="1310"/>
    <cellStyle name="SAPBEXfilterItem 7" xfId="11066"/>
    <cellStyle name="SAPBEXfilterText" xfId="1311"/>
    <cellStyle name="SAPBEXfilterText 2" xfId="1312"/>
    <cellStyle name="SAPBEXfilterText 2 2" xfId="1313"/>
    <cellStyle name="SAPBEXfilterText 2 3" xfId="2017"/>
    <cellStyle name="SAPBEXfilterText 3" xfId="1314"/>
    <cellStyle name="SAPBEXfilterText 3 2" xfId="1315"/>
    <cellStyle name="SAPBEXfilterText 4" xfId="1316"/>
    <cellStyle name="SAPBEXfilterText 5" xfId="1317"/>
    <cellStyle name="SAPBEXfilterText 6" xfId="1318"/>
    <cellStyle name="SAPBEXfilterText 7" xfId="11067"/>
    <cellStyle name="SAPBEXformats" xfId="1319"/>
    <cellStyle name="SAPBEXformats 2" xfId="1320"/>
    <cellStyle name="SAPBEXformats 2 2" xfId="1321"/>
    <cellStyle name="SAPBEXformats 2 3" xfId="2018"/>
    <cellStyle name="SAPBEXformats 3" xfId="1322"/>
    <cellStyle name="SAPBEXformats 3 2" xfId="1323"/>
    <cellStyle name="SAPBEXformats 4" xfId="1324"/>
    <cellStyle name="SAPBEXformats 5" xfId="1325"/>
    <cellStyle name="SAPBEXformats 6" xfId="1326"/>
    <cellStyle name="SAPBEXformats 7" xfId="11068"/>
    <cellStyle name="SAPBEXformats_AIMRO_CP" xfId="1327"/>
    <cellStyle name="SAPBEXheaderItem" xfId="1328"/>
    <cellStyle name="SAPBEXheaderItem 2" xfId="1329"/>
    <cellStyle name="SAPBEXheaderItem 2 2" xfId="1330"/>
    <cellStyle name="SAPBEXheaderItem 2 3" xfId="2019"/>
    <cellStyle name="SAPBEXheaderItem 3" xfId="1331"/>
    <cellStyle name="SAPBEXheaderItem 3 2" xfId="1332"/>
    <cellStyle name="SAPBEXheaderItem 4" xfId="1333"/>
    <cellStyle name="SAPBEXheaderItem 5" xfId="1334"/>
    <cellStyle name="SAPBEXheaderItem 6" xfId="1335"/>
    <cellStyle name="SAPBEXheaderItem 7" xfId="11069"/>
    <cellStyle name="SAPBEXheaderText" xfId="1336"/>
    <cellStyle name="SAPBEXheaderText 2" xfId="1337"/>
    <cellStyle name="SAPBEXheaderText 2 2" xfId="1338"/>
    <cellStyle name="SAPBEXheaderText 2 3" xfId="2020"/>
    <cellStyle name="SAPBEXheaderText 3" xfId="1339"/>
    <cellStyle name="SAPBEXheaderText 3 2" xfId="1340"/>
    <cellStyle name="SAPBEXheaderText 4" xfId="1341"/>
    <cellStyle name="SAPBEXheaderText 5" xfId="1342"/>
    <cellStyle name="SAPBEXheaderText 6" xfId="1343"/>
    <cellStyle name="SAPBEXheaderText 7" xfId="11070"/>
    <cellStyle name="SAPBEXHLevel0" xfId="1344"/>
    <cellStyle name="SAPBEXHLevel0 2" xfId="1345"/>
    <cellStyle name="SAPBEXHLevel0 2 2" xfId="1346"/>
    <cellStyle name="SAPBEXHLevel0 2 2 2" xfId="1347"/>
    <cellStyle name="SAPBEXHLevel0 2 3" xfId="2021"/>
    <cellStyle name="SAPBEXHLevel0 3" xfId="1348"/>
    <cellStyle name="SAPBEXHLevel0 3 2" xfId="1349"/>
    <cellStyle name="SAPBEXHLevel0 4" xfId="1350"/>
    <cellStyle name="SAPBEXHLevel0 5" xfId="1351"/>
    <cellStyle name="SAPBEXHLevel0 6" xfId="1352"/>
    <cellStyle name="SAPBEXHLevel0 7" xfId="1353"/>
    <cellStyle name="SAPBEXHLevel0 8" xfId="11071"/>
    <cellStyle name="SAPBEXHLevel0_AIMRO_CP" xfId="1354"/>
    <cellStyle name="SAPBEXHLevel0X" xfId="1355"/>
    <cellStyle name="SAPBEXHLevel0X 2" xfId="1356"/>
    <cellStyle name="SAPBEXHLevel0X 2 2" xfId="1357"/>
    <cellStyle name="SAPBEXHLevel0X 2 3" xfId="2022"/>
    <cellStyle name="SAPBEXHLevel0X 3" xfId="1358"/>
    <cellStyle name="SAPBEXHLevel0X 3 2" xfId="1359"/>
    <cellStyle name="SAPBEXHLevel0X 4" xfId="1360"/>
    <cellStyle name="SAPBEXHLevel0X 5" xfId="1361"/>
    <cellStyle name="SAPBEXHLevel0X 6" xfId="1362"/>
    <cellStyle name="SAPBEXHLevel0X 7" xfId="1363"/>
    <cellStyle name="SAPBEXHLevel0X 8" xfId="11072"/>
    <cellStyle name="SAPBEXHLevel1" xfId="1364"/>
    <cellStyle name="SAPBEXHLevel1 2" xfId="1365"/>
    <cellStyle name="SAPBEXHLevel1 2 2" xfId="1366"/>
    <cellStyle name="SAPBEXHLevel1 2 3" xfId="2024"/>
    <cellStyle name="SAPBEXHLevel1 3" xfId="1367"/>
    <cellStyle name="SAPBEXHLevel1 3 2" xfId="1368"/>
    <cellStyle name="SAPBEXHLevel1 4" xfId="1369"/>
    <cellStyle name="SAPBEXHLevel1 5" xfId="1370"/>
    <cellStyle name="SAPBEXHLevel1 6" xfId="1371"/>
    <cellStyle name="SAPBEXHLevel1 7" xfId="1372"/>
    <cellStyle name="SAPBEXHLevel1 8" xfId="11073"/>
    <cellStyle name="SAPBEXHLevel1_AIMRO_CP" xfId="1373"/>
    <cellStyle name="SAPBEXHLevel1X" xfId="1374"/>
    <cellStyle name="SAPBEXHLevel1X 2" xfId="1375"/>
    <cellStyle name="SAPBEXHLevel1X 2 2" xfId="1376"/>
    <cellStyle name="SAPBEXHLevel1X 2 3" xfId="2025"/>
    <cellStyle name="SAPBEXHLevel1X 3" xfId="1377"/>
    <cellStyle name="SAPBEXHLevel1X 3 2" xfId="1378"/>
    <cellStyle name="SAPBEXHLevel1X 4" xfId="1379"/>
    <cellStyle name="SAPBEXHLevel1X 5" xfId="1380"/>
    <cellStyle name="SAPBEXHLevel1X 6" xfId="1381"/>
    <cellStyle name="SAPBEXHLevel1X 7" xfId="1382"/>
    <cellStyle name="SAPBEXHLevel1X 8" xfId="11074"/>
    <cellStyle name="SAPBEXHLevel2" xfId="1383"/>
    <cellStyle name="SAPBEXHLevel2 2" xfId="1384"/>
    <cellStyle name="SAPBEXHLevel2 2 2" xfId="1385"/>
    <cellStyle name="SAPBEXHLevel2 2 3" xfId="2026"/>
    <cellStyle name="SAPBEXHLevel2 3" xfId="1386"/>
    <cellStyle name="SAPBEXHLevel2 3 2" xfId="1387"/>
    <cellStyle name="SAPBEXHLevel2 4" xfId="1388"/>
    <cellStyle name="SAPBEXHLevel2 5" xfId="1389"/>
    <cellStyle name="SAPBEXHLevel2 6" xfId="1390"/>
    <cellStyle name="SAPBEXHLevel2 7" xfId="1391"/>
    <cellStyle name="SAPBEXHLevel2 8" xfId="11075"/>
    <cellStyle name="SAPBEXHLevel2_AIMRO_CP" xfId="1392"/>
    <cellStyle name="SAPBEXHLevel2X" xfId="1393"/>
    <cellStyle name="SAPBEXHLevel2X 2" xfId="1394"/>
    <cellStyle name="SAPBEXHLevel2X 2 2" xfId="1395"/>
    <cellStyle name="SAPBEXHLevel2X 2 3" xfId="2027"/>
    <cellStyle name="SAPBEXHLevel2X 3" xfId="1396"/>
    <cellStyle name="SAPBEXHLevel2X 3 2" xfId="1397"/>
    <cellStyle name="SAPBEXHLevel2X 4" xfId="1398"/>
    <cellStyle name="SAPBEXHLevel2X 5" xfId="1399"/>
    <cellStyle name="SAPBEXHLevel2X 6" xfId="1400"/>
    <cellStyle name="SAPBEXHLevel2X 7" xfId="1401"/>
    <cellStyle name="SAPBEXHLevel2X 8" xfId="11076"/>
    <cellStyle name="SAPBEXHLevel3" xfId="1402"/>
    <cellStyle name="SAPBEXHLevel3 2" xfId="1403"/>
    <cellStyle name="SAPBEXHLevel3 2 2" xfId="1404"/>
    <cellStyle name="SAPBEXHLevel3 2 3" xfId="2028"/>
    <cellStyle name="SAPBEXHLevel3 3" xfId="1405"/>
    <cellStyle name="SAPBEXHLevel3 3 2" xfId="1406"/>
    <cellStyle name="SAPBEXHLevel3 4" xfId="1407"/>
    <cellStyle name="SAPBEXHLevel3 5" xfId="1408"/>
    <cellStyle name="SAPBEXHLevel3 6" xfId="1409"/>
    <cellStyle name="SAPBEXHLevel3 7" xfId="1410"/>
    <cellStyle name="SAPBEXHLevel3 8" xfId="11077"/>
    <cellStyle name="SAPBEXHLevel3_AIMRO_CP" xfId="1411"/>
    <cellStyle name="SAPBEXHLevel3X" xfId="1412"/>
    <cellStyle name="SAPBEXHLevel3X 2" xfId="1413"/>
    <cellStyle name="SAPBEXHLevel3X 2 2" xfId="1414"/>
    <cellStyle name="SAPBEXHLevel3X 2 3" xfId="2029"/>
    <cellStyle name="SAPBEXHLevel3X 3" xfId="1415"/>
    <cellStyle name="SAPBEXHLevel3X 3 2" xfId="1416"/>
    <cellStyle name="SAPBEXHLevel3X 4" xfId="1417"/>
    <cellStyle name="SAPBEXHLevel3X 5" xfId="1418"/>
    <cellStyle name="SAPBEXHLevel3X 6" xfId="1419"/>
    <cellStyle name="SAPBEXHLevel3X 7" xfId="1420"/>
    <cellStyle name="SAPBEXHLevel3X 8" xfId="11078"/>
    <cellStyle name="SAPBEXinputData" xfId="1421"/>
    <cellStyle name="SAPBEXinputData 10" xfId="1422"/>
    <cellStyle name="SAPBEXinputData 10 10" xfId="3413"/>
    <cellStyle name="SAPBEXinputData 10 10 2" xfId="4986"/>
    <cellStyle name="SAPBEXinputData 10 10 2 2" xfId="7777"/>
    <cellStyle name="SAPBEXinputData 10 10 3" xfId="6378"/>
    <cellStyle name="SAPBEXinputData 10 11" xfId="4600"/>
    <cellStyle name="SAPBEXinputData 10 11 2" xfId="9058"/>
    <cellStyle name="SAPBEXinputData 10 12" xfId="6790"/>
    <cellStyle name="SAPBEXinputData 10 2" xfId="1759"/>
    <cellStyle name="SAPBEXinputData 10 2 10" xfId="3488"/>
    <cellStyle name="SAPBEXinputData 10 2 10 2" xfId="5058"/>
    <cellStyle name="SAPBEXinputData 10 2 10 2 2" xfId="9373"/>
    <cellStyle name="SAPBEXinputData 10 2 10 3" xfId="9161"/>
    <cellStyle name="SAPBEXinputData 10 2 11" xfId="3619"/>
    <cellStyle name="SAPBEXinputData 10 2 11 2" xfId="7746"/>
    <cellStyle name="SAPBEXinputData 10 2 12" xfId="7854"/>
    <cellStyle name="SAPBEXinputData 10 2 2" xfId="1903"/>
    <cellStyle name="SAPBEXinputData 10 2 2 10" xfId="8744"/>
    <cellStyle name="SAPBEXinputData 10 2 2 2" xfId="2513"/>
    <cellStyle name="SAPBEXinputData 10 2 2 2 2" xfId="2614"/>
    <cellStyle name="SAPBEXinputData 10 2 2 2 2 2" xfId="4732"/>
    <cellStyle name="SAPBEXinputData 10 2 2 2 2 2 2" xfId="6791"/>
    <cellStyle name="SAPBEXinputData 10 2 2 2 2 3" xfId="7939"/>
    <cellStyle name="SAPBEXinputData 10 2 2 2 3" xfId="4873"/>
    <cellStyle name="SAPBEXinputData 10 2 2 2 3 2" xfId="6736"/>
    <cellStyle name="SAPBEXinputData 10 2 2 2 4" xfId="6963"/>
    <cellStyle name="SAPBEXinputData 10 2 2 3" xfId="2359"/>
    <cellStyle name="SAPBEXinputData 10 2 2 3 2" xfId="2766"/>
    <cellStyle name="SAPBEXinputData 10 2 2 3 2 2" xfId="4169"/>
    <cellStyle name="SAPBEXinputData 10 2 2 3 2 2 2" xfId="9403"/>
    <cellStyle name="SAPBEXinputData 10 2 2 3 2 3" xfId="6339"/>
    <cellStyle name="SAPBEXinputData 10 2 2 3 3" xfId="4748"/>
    <cellStyle name="SAPBEXinputData 10 2 2 3 3 2" xfId="7273"/>
    <cellStyle name="SAPBEXinputData 10 2 2 3 4" xfId="5680"/>
    <cellStyle name="SAPBEXinputData 10 2 2 3 4 2" xfId="7285"/>
    <cellStyle name="SAPBEXinputData 10 2 2 3 5" xfId="7512"/>
    <cellStyle name="SAPBEXinputData 10 2 2 4" xfId="2266"/>
    <cellStyle name="SAPBEXinputData 10 2 2 4 2" xfId="4490"/>
    <cellStyle name="SAPBEXinputData 10 2 2 4 2 2" xfId="9486"/>
    <cellStyle name="SAPBEXinputData 10 2 2 4 3" xfId="5640"/>
    <cellStyle name="SAPBEXinputData 10 2 2 4 3 2" xfId="6733"/>
    <cellStyle name="SAPBEXinputData 10 2 2 4 4" xfId="7338"/>
    <cellStyle name="SAPBEXinputData 10 2 2 5" xfId="3149"/>
    <cellStyle name="SAPBEXinputData 10 2 2 5 2" xfId="4130"/>
    <cellStyle name="SAPBEXinputData 10 2 2 5 2 2" xfId="9734"/>
    <cellStyle name="SAPBEXinputData 10 2 2 5 3" xfId="6043"/>
    <cellStyle name="SAPBEXinputData 10 2 2 5 3 2" xfId="9937"/>
    <cellStyle name="SAPBEXinputData 10 2 2 5 4" xfId="8462"/>
    <cellStyle name="SAPBEXinputData 10 2 2 6" xfId="3129"/>
    <cellStyle name="SAPBEXinputData 10 2 2 6 2" xfId="3726"/>
    <cellStyle name="SAPBEXinputData 10 2 2 6 2 2" xfId="9121"/>
    <cellStyle name="SAPBEXinputData 10 2 2 6 3" xfId="6025"/>
    <cellStyle name="SAPBEXinputData 10 2 2 6 3 2" xfId="9919"/>
    <cellStyle name="SAPBEXinputData 10 2 2 6 4" xfId="8543"/>
    <cellStyle name="SAPBEXinputData 10 2 2 7" xfId="3326"/>
    <cellStyle name="SAPBEXinputData 10 2 2 7 2" xfId="4917"/>
    <cellStyle name="SAPBEXinputData 10 2 2 7 2 2" xfId="9415"/>
    <cellStyle name="SAPBEXinputData 10 2 2 7 3" xfId="6193"/>
    <cellStyle name="SAPBEXinputData 10 2 2 7 3 2" xfId="10087"/>
    <cellStyle name="SAPBEXinputData 10 2 2 7 4" xfId="9158"/>
    <cellStyle name="SAPBEXinputData 10 2 2 8" xfId="3506"/>
    <cellStyle name="SAPBEXinputData 10 2 2 8 2" xfId="5076"/>
    <cellStyle name="SAPBEXinputData 10 2 2 8 2 2" xfId="9575"/>
    <cellStyle name="SAPBEXinputData 10 2 2 8 3" xfId="8001"/>
    <cellStyle name="SAPBEXinputData 10 2 2 9" xfId="4119"/>
    <cellStyle name="SAPBEXinputData 10 2 2 9 2" xfId="9088"/>
    <cellStyle name="SAPBEXinputData 10 2 3" xfId="2474"/>
    <cellStyle name="SAPBEXinputData 10 2 3 2" xfId="2597"/>
    <cellStyle name="SAPBEXinputData 10 2 3 2 2" xfId="4619"/>
    <cellStyle name="SAPBEXinputData 10 2 3 2 2 2" xfId="9536"/>
    <cellStyle name="SAPBEXinputData 10 2 3 2 3" xfId="6682"/>
    <cellStyle name="SAPBEXinputData 10 2 3 3" xfId="4471"/>
    <cellStyle name="SAPBEXinputData 10 2 3 3 2" xfId="7165"/>
    <cellStyle name="SAPBEXinputData 10 2 3 4" xfId="5134"/>
    <cellStyle name="SAPBEXinputData 10 2 3 4 2" xfId="8080"/>
    <cellStyle name="SAPBEXinputData 10 2 3 5" xfId="8496"/>
    <cellStyle name="SAPBEXinputData 10 2 4" xfId="2182"/>
    <cellStyle name="SAPBEXinputData 10 2 4 2" xfId="2699"/>
    <cellStyle name="SAPBEXinputData 10 2 4 2 2" xfId="3954"/>
    <cellStyle name="SAPBEXinputData 10 2 4 2 2 2" xfId="6352"/>
    <cellStyle name="SAPBEXinputData 10 2 4 2 3" xfId="6641"/>
    <cellStyle name="SAPBEXinputData 10 2 4 3" xfId="4830"/>
    <cellStyle name="SAPBEXinputData 10 2 4 3 2" xfId="8733"/>
    <cellStyle name="SAPBEXinputData 10 2 4 4" xfId="5555"/>
    <cellStyle name="SAPBEXinputData 10 2 4 4 2" xfId="7627"/>
    <cellStyle name="SAPBEXinputData 10 2 4 5" xfId="9289"/>
    <cellStyle name="SAPBEXinputData 10 2 5" xfId="2136"/>
    <cellStyle name="SAPBEXinputData 10 2 5 2" xfId="4895"/>
    <cellStyle name="SAPBEXinputData 10 2 5 2 2" xfId="8419"/>
    <cellStyle name="SAPBEXinputData 10 2 5 3" xfId="5590"/>
    <cellStyle name="SAPBEXinputData 10 2 5 3 2" xfId="8345"/>
    <cellStyle name="SAPBEXinputData 10 2 5 4" xfId="6887"/>
    <cellStyle name="SAPBEXinputData 10 2 6" xfId="3062"/>
    <cellStyle name="SAPBEXinputData 10 2 6 2" xfId="3765"/>
    <cellStyle name="SAPBEXinputData 10 2 6 2 2" xfId="9427"/>
    <cellStyle name="SAPBEXinputData 10 2 6 3" xfId="5962"/>
    <cellStyle name="SAPBEXinputData 10 2 6 3 2" xfId="9856"/>
    <cellStyle name="SAPBEXinputData 10 2 6 4" xfId="6942"/>
    <cellStyle name="SAPBEXinputData 10 2 7" xfId="2884"/>
    <cellStyle name="SAPBEXinputData 10 2 7 2" xfId="3868"/>
    <cellStyle name="SAPBEXinputData 10 2 7 2 2" xfId="7914"/>
    <cellStyle name="SAPBEXinputData 10 2 7 3" xfId="5815"/>
    <cellStyle name="SAPBEXinputData 10 2 7 3 2" xfId="6268"/>
    <cellStyle name="SAPBEXinputData 10 2 7 4" xfId="8648"/>
    <cellStyle name="SAPBEXinputData 10 2 8" xfId="3076"/>
    <cellStyle name="SAPBEXinputData 10 2 8 2" xfId="3583"/>
    <cellStyle name="SAPBEXinputData 10 2 8 2 2" xfId="9273"/>
    <cellStyle name="SAPBEXinputData 10 2 8 3" xfId="5974"/>
    <cellStyle name="SAPBEXinputData 10 2 8 3 2" xfId="9868"/>
    <cellStyle name="SAPBEXinputData 10 2 8 4" xfId="9344"/>
    <cellStyle name="SAPBEXinputData 10 2 9" xfId="3272"/>
    <cellStyle name="SAPBEXinputData 10 2 9 2" xfId="3683"/>
    <cellStyle name="SAPBEXinputData 10 2 9 2 2" xfId="9409"/>
    <cellStyle name="SAPBEXinputData 10 2 9 3" xfId="6147"/>
    <cellStyle name="SAPBEXinputData 10 2 9 3 2" xfId="10041"/>
    <cellStyle name="SAPBEXinputData 10 2 9 4" xfId="7553"/>
    <cellStyle name="SAPBEXinputData 10 3" xfId="2408"/>
    <cellStyle name="SAPBEXinputData 10 3 2" xfId="2550"/>
    <cellStyle name="SAPBEXinputData 10 3 2 2" xfId="4102"/>
    <cellStyle name="SAPBEXinputData 10 3 2 2 2" xfId="7818"/>
    <cellStyle name="SAPBEXinputData 10 3 2 3" xfId="9255"/>
    <cellStyle name="SAPBEXinputData 10 3 3" xfId="4869"/>
    <cellStyle name="SAPBEXinputData 10 3 3 2" xfId="9515"/>
    <cellStyle name="SAPBEXinputData 10 3 4" xfId="5323"/>
    <cellStyle name="SAPBEXinputData 10 3 4 2" xfId="7023"/>
    <cellStyle name="SAPBEXinputData 10 3 5" xfId="8301"/>
    <cellStyle name="SAPBEXinputData 10 4" xfId="2348"/>
    <cellStyle name="SAPBEXinputData 10 4 2" xfId="2635"/>
    <cellStyle name="SAPBEXinputData 10 4 2 2" xfId="4483"/>
    <cellStyle name="SAPBEXinputData 10 4 2 2 2" xfId="7936"/>
    <cellStyle name="SAPBEXinputData 10 4 2 3" xfId="8074"/>
    <cellStyle name="SAPBEXinputData 10 4 3" xfId="3971"/>
    <cellStyle name="SAPBEXinputData 10 4 3 2" xfId="9739"/>
    <cellStyle name="SAPBEXinputData 10 4 4" xfId="5466"/>
    <cellStyle name="SAPBEXinputData 10 4 4 2" xfId="8516"/>
    <cellStyle name="SAPBEXinputData 10 4 5" xfId="6711"/>
    <cellStyle name="SAPBEXinputData 10 5" xfId="2335"/>
    <cellStyle name="SAPBEXinputData 10 5 2" xfId="4642"/>
    <cellStyle name="SAPBEXinputData 10 5 2 2" xfId="7786"/>
    <cellStyle name="SAPBEXinputData 10 5 3" xfId="5667"/>
    <cellStyle name="SAPBEXinputData 10 5 3 2" xfId="7935"/>
    <cellStyle name="SAPBEXinputData 10 5 4" xfId="7398"/>
    <cellStyle name="SAPBEXinputData 10 6" xfId="2857"/>
    <cellStyle name="SAPBEXinputData 10 6 2" xfId="3891"/>
    <cellStyle name="SAPBEXinputData 10 6 2 2" xfId="9559"/>
    <cellStyle name="SAPBEXinputData 10 6 3" xfId="5788"/>
    <cellStyle name="SAPBEXinputData 10 6 3 2" xfId="6438"/>
    <cellStyle name="SAPBEXinputData 10 6 4" xfId="8468"/>
    <cellStyle name="SAPBEXinputData 10 7" xfId="3331"/>
    <cellStyle name="SAPBEXinputData 10 7 2" xfId="4922"/>
    <cellStyle name="SAPBEXinputData 10 7 2 2" xfId="8850"/>
    <cellStyle name="SAPBEXinputData 10 7 3" xfId="6198"/>
    <cellStyle name="SAPBEXinputData 10 7 3 2" xfId="10092"/>
    <cellStyle name="SAPBEXinputData 10 7 4" xfId="9529"/>
    <cellStyle name="SAPBEXinputData 10 8" xfId="3074"/>
    <cellStyle name="SAPBEXinputData 10 8 2" xfId="3762"/>
    <cellStyle name="SAPBEXinputData 10 8 2 2" xfId="9693"/>
    <cellStyle name="SAPBEXinputData 10 8 3" xfId="5972"/>
    <cellStyle name="SAPBEXinputData 10 8 3 2" xfId="9866"/>
    <cellStyle name="SAPBEXinputData 10 8 4" xfId="9284"/>
    <cellStyle name="SAPBEXinputData 10 9" xfId="2784"/>
    <cellStyle name="SAPBEXinputData 10 9 2" xfId="3604"/>
    <cellStyle name="SAPBEXinputData 10 9 2 2" xfId="9038"/>
    <cellStyle name="SAPBEXinputData 10 9 3" xfId="5720"/>
    <cellStyle name="SAPBEXinputData 10 9 3 2" xfId="7726"/>
    <cellStyle name="SAPBEXinputData 10 9 4" xfId="6333"/>
    <cellStyle name="SAPBEXinputData 11" xfId="1423"/>
    <cellStyle name="SAPBEXinputData 11 10" xfId="3414"/>
    <cellStyle name="SAPBEXinputData 11 10 2" xfId="4987"/>
    <cellStyle name="SAPBEXinputData 11 10 2 2" xfId="6838"/>
    <cellStyle name="SAPBEXinputData 11 10 3" xfId="9468"/>
    <cellStyle name="SAPBEXinputData 11 11" xfId="4319"/>
    <cellStyle name="SAPBEXinputData 11 11 2" xfId="9670"/>
    <cellStyle name="SAPBEXinputData 11 12" xfId="9744"/>
    <cellStyle name="SAPBEXinputData 11 2" xfId="1760"/>
    <cellStyle name="SAPBEXinputData 11 2 10" xfId="3489"/>
    <cellStyle name="SAPBEXinputData 11 2 10 2" xfId="5059"/>
    <cellStyle name="SAPBEXinputData 11 2 10 2 2" xfId="9206"/>
    <cellStyle name="SAPBEXinputData 11 2 10 3" xfId="7966"/>
    <cellStyle name="SAPBEXinputData 11 2 11" xfId="3618"/>
    <cellStyle name="SAPBEXinputData 11 2 11 2" xfId="9605"/>
    <cellStyle name="SAPBEXinputData 11 2 12" xfId="7563"/>
    <cellStyle name="SAPBEXinputData 11 2 2" xfId="1582"/>
    <cellStyle name="SAPBEXinputData 11 2 2 10" xfId="7375"/>
    <cellStyle name="SAPBEXinputData 11 2 2 2" xfId="2434"/>
    <cellStyle name="SAPBEXinputData 11 2 2 2 2" xfId="2568"/>
    <cellStyle name="SAPBEXinputData 11 2 2 2 2 2" xfId="4488"/>
    <cellStyle name="SAPBEXinputData 11 2 2 2 2 2 2" xfId="8665"/>
    <cellStyle name="SAPBEXinputData 11 2 2 2 2 3" xfId="9277"/>
    <cellStyle name="SAPBEXinputData 11 2 2 2 3" xfId="4035"/>
    <cellStyle name="SAPBEXinputData 11 2 2 2 3 2" xfId="6317"/>
    <cellStyle name="SAPBEXinputData 11 2 2 2 4" xfId="6292"/>
    <cellStyle name="SAPBEXinputData 11 2 2 3" xfId="2219"/>
    <cellStyle name="SAPBEXinputData 11 2 2 3 2" xfId="3217"/>
    <cellStyle name="SAPBEXinputData 11 2 2 3 2 2" xfId="4123"/>
    <cellStyle name="SAPBEXinputData 11 2 2 3 2 2 2" xfId="8117"/>
    <cellStyle name="SAPBEXinputData 11 2 2 3 2 3" xfId="8336"/>
    <cellStyle name="SAPBEXinputData 11 2 2 3 3" xfId="4890"/>
    <cellStyle name="SAPBEXinputData 11 2 2 3 3 2" xfId="9752"/>
    <cellStyle name="SAPBEXinputData 11 2 2 3 4" xfId="5625"/>
    <cellStyle name="SAPBEXinputData 11 2 2 3 4 2" xfId="8079"/>
    <cellStyle name="SAPBEXinputData 11 2 2 3 5" xfId="9265"/>
    <cellStyle name="SAPBEXinputData 11 2 2 4" xfId="2131"/>
    <cellStyle name="SAPBEXinputData 11 2 2 4 2" xfId="4813"/>
    <cellStyle name="SAPBEXinputData 11 2 2 4 2 2" xfId="7423"/>
    <cellStyle name="SAPBEXinputData 11 2 2 4 3" xfId="5588"/>
    <cellStyle name="SAPBEXinputData 11 2 2 4 3 2" xfId="7014"/>
    <cellStyle name="SAPBEXinputData 11 2 2 4 4" xfId="6709"/>
    <cellStyle name="SAPBEXinputData 11 2 2 5" xfId="3193"/>
    <cellStyle name="SAPBEXinputData 11 2 2 5 2" xfId="3703"/>
    <cellStyle name="SAPBEXinputData 11 2 2 5 2 2" xfId="6588"/>
    <cellStyle name="SAPBEXinputData 11 2 2 5 3" xfId="6082"/>
    <cellStyle name="SAPBEXinputData 11 2 2 5 3 2" xfId="9976"/>
    <cellStyle name="SAPBEXinputData 11 2 2 5 4" xfId="6373"/>
    <cellStyle name="SAPBEXinputData 11 2 2 6" xfId="3068"/>
    <cellStyle name="SAPBEXinputData 11 2 2 6 2" xfId="3763"/>
    <cellStyle name="SAPBEXinputData 11 2 2 6 2 2" xfId="7331"/>
    <cellStyle name="SAPBEXinputData 11 2 2 6 3" xfId="5968"/>
    <cellStyle name="SAPBEXinputData 11 2 2 6 3 2" xfId="9862"/>
    <cellStyle name="SAPBEXinputData 11 2 2 6 4" xfId="6629"/>
    <cellStyle name="SAPBEXinputData 11 2 2 7" xfId="3104"/>
    <cellStyle name="SAPBEXinputData 11 2 2 7 2" xfId="3747"/>
    <cellStyle name="SAPBEXinputData 11 2 2 7 2 2" xfId="9071"/>
    <cellStyle name="SAPBEXinputData 11 2 2 7 3" xfId="6001"/>
    <cellStyle name="SAPBEXinputData 11 2 2 7 3 2" xfId="9895"/>
    <cellStyle name="SAPBEXinputData 11 2 2 7 4" xfId="6304"/>
    <cellStyle name="SAPBEXinputData 11 2 2 8" xfId="3433"/>
    <cellStyle name="SAPBEXinputData 11 2 2 8 2" xfId="5004"/>
    <cellStyle name="SAPBEXinputData 11 2 2 8 2 2" xfId="9191"/>
    <cellStyle name="SAPBEXinputData 11 2 2 8 3" xfId="8167"/>
    <cellStyle name="SAPBEXinputData 11 2 2 9" xfId="3657"/>
    <cellStyle name="SAPBEXinputData 11 2 2 9 2" xfId="8886"/>
    <cellStyle name="SAPBEXinputData 11 2 3" xfId="2475"/>
    <cellStyle name="SAPBEXinputData 11 2 3 2" xfId="2598"/>
    <cellStyle name="SAPBEXinputData 11 2 3 2 2" xfId="4443"/>
    <cellStyle name="SAPBEXinputData 11 2 3 2 2 2" xfId="7178"/>
    <cellStyle name="SAPBEXinputData 11 2 3 2 3" xfId="6761"/>
    <cellStyle name="SAPBEXinputData 11 2 3 3" xfId="4613"/>
    <cellStyle name="SAPBEXinputData 11 2 3 3 2" xfId="9174"/>
    <cellStyle name="SAPBEXinputData 11 2 3 4" xfId="5269"/>
    <cellStyle name="SAPBEXinputData 11 2 3 4 2" xfId="7886"/>
    <cellStyle name="SAPBEXinputData 11 2 3 5" xfId="7851"/>
    <cellStyle name="SAPBEXinputData 11 2 4" xfId="2101"/>
    <cellStyle name="SAPBEXinputData 11 2 4 2" xfId="2700"/>
    <cellStyle name="SAPBEXinputData 11 2 4 2 2" xfId="3953"/>
    <cellStyle name="SAPBEXinputData 11 2 4 2 2 2" xfId="8708"/>
    <cellStyle name="SAPBEXinputData 11 2 4 2 3" xfId="7246"/>
    <cellStyle name="SAPBEXinputData 11 2 4 3" xfId="4840"/>
    <cellStyle name="SAPBEXinputData 11 2 4 3 2" xfId="7815"/>
    <cellStyle name="SAPBEXinputData 11 2 4 4" xfId="5556"/>
    <cellStyle name="SAPBEXinputData 11 2 4 4 2" xfId="6358"/>
    <cellStyle name="SAPBEXinputData 11 2 4 5" xfId="7295"/>
    <cellStyle name="SAPBEXinputData 11 2 5" xfId="2340"/>
    <cellStyle name="SAPBEXinputData 11 2 5 2" xfId="4307"/>
    <cellStyle name="SAPBEXinputData 11 2 5 2 2" xfId="9381"/>
    <cellStyle name="SAPBEXinputData 11 2 5 3" xfId="5671"/>
    <cellStyle name="SAPBEXinputData 11 2 5 3 2" xfId="7340"/>
    <cellStyle name="SAPBEXinputData 11 2 5 4" xfId="7644"/>
    <cellStyle name="SAPBEXinputData 11 2 6" xfId="3063"/>
    <cellStyle name="SAPBEXinputData 11 2 6 2" xfId="4140"/>
    <cellStyle name="SAPBEXinputData 11 2 6 2 2" xfId="7267"/>
    <cellStyle name="SAPBEXinputData 11 2 6 3" xfId="5963"/>
    <cellStyle name="SAPBEXinputData 11 2 6 3 2" xfId="9857"/>
    <cellStyle name="SAPBEXinputData 11 2 6 4" xfId="9765"/>
    <cellStyle name="SAPBEXinputData 11 2 7" xfId="2896"/>
    <cellStyle name="SAPBEXinputData 11 2 7 2" xfId="3859"/>
    <cellStyle name="SAPBEXinputData 11 2 7 2 2" xfId="7090"/>
    <cellStyle name="SAPBEXinputData 11 2 7 3" xfId="5827"/>
    <cellStyle name="SAPBEXinputData 11 2 7 3 2" xfId="7108"/>
    <cellStyle name="SAPBEXinputData 11 2 7 4" xfId="7103"/>
    <cellStyle name="SAPBEXinputData 11 2 8" xfId="3112"/>
    <cellStyle name="SAPBEXinputData 11 2 8 2" xfId="3741"/>
    <cellStyle name="SAPBEXinputData 11 2 8 2 2" xfId="9360"/>
    <cellStyle name="SAPBEXinputData 11 2 8 3" xfId="6008"/>
    <cellStyle name="SAPBEXinputData 11 2 8 3 2" xfId="9902"/>
    <cellStyle name="SAPBEXinputData 11 2 8 4" xfId="7784"/>
    <cellStyle name="SAPBEXinputData 11 2 9" xfId="3131"/>
    <cellStyle name="SAPBEXinputData 11 2 9 2" xfId="4204"/>
    <cellStyle name="SAPBEXinputData 11 2 9 2 2" xfId="8606"/>
    <cellStyle name="SAPBEXinputData 11 2 9 3" xfId="6027"/>
    <cellStyle name="SAPBEXinputData 11 2 9 3 2" xfId="9921"/>
    <cellStyle name="SAPBEXinputData 11 2 9 4" xfId="7979"/>
    <cellStyle name="SAPBEXinputData 11 3" xfId="2409"/>
    <cellStyle name="SAPBEXinputData 11 3 2" xfId="2551"/>
    <cellStyle name="SAPBEXinputData 11 3 2 2" xfId="4859"/>
    <cellStyle name="SAPBEXinputData 11 3 2 2 2" xfId="8610"/>
    <cellStyle name="SAPBEXinputData 11 3 2 3" xfId="9327"/>
    <cellStyle name="SAPBEXinputData 11 3 3" xfId="4710"/>
    <cellStyle name="SAPBEXinputData 11 3 3 2" xfId="9708"/>
    <cellStyle name="SAPBEXinputData 11 3 4" xfId="5196"/>
    <cellStyle name="SAPBEXinputData 11 3 4 2" xfId="7547"/>
    <cellStyle name="SAPBEXinputData 11 3 5" xfId="7028"/>
    <cellStyle name="SAPBEXinputData 11 4" xfId="2233"/>
    <cellStyle name="SAPBEXinputData 11 4 2" xfId="2696"/>
    <cellStyle name="SAPBEXinputData 11 4 2 2" xfId="3957"/>
    <cellStyle name="SAPBEXinputData 11 4 2 2 2" xfId="9111"/>
    <cellStyle name="SAPBEXinputData 11 4 2 3" xfId="6452"/>
    <cellStyle name="SAPBEXinputData 11 4 3" xfId="4726"/>
    <cellStyle name="SAPBEXinputData 11 4 3 2" xfId="8553"/>
    <cellStyle name="SAPBEXinputData 11 4 4" xfId="5526"/>
    <cellStyle name="SAPBEXinputData 11 4 4 2" xfId="6495"/>
    <cellStyle name="SAPBEXinputData 11 4 5" xfId="8258"/>
    <cellStyle name="SAPBEXinputData 11 5" xfId="2123"/>
    <cellStyle name="SAPBEXinputData 11 5 2" xfId="4759"/>
    <cellStyle name="SAPBEXinputData 11 5 2 2" xfId="8623"/>
    <cellStyle name="SAPBEXinputData 11 5 3" xfId="5581"/>
    <cellStyle name="SAPBEXinputData 11 5 3 2" xfId="7211"/>
    <cellStyle name="SAPBEXinputData 11 5 4" xfId="9256"/>
    <cellStyle name="SAPBEXinputData 11 6" xfId="2858"/>
    <cellStyle name="SAPBEXinputData 11 6 2" xfId="3890"/>
    <cellStyle name="SAPBEXinputData 11 6 2 2" xfId="6464"/>
    <cellStyle name="SAPBEXinputData 11 6 3" xfId="5789"/>
    <cellStyle name="SAPBEXinputData 11 6 3 2" xfId="8047"/>
    <cellStyle name="SAPBEXinputData 11 6 4" xfId="7702"/>
    <cellStyle name="SAPBEXinputData 11 7" xfId="3012"/>
    <cellStyle name="SAPBEXinputData 11 7 2" xfId="4142"/>
    <cellStyle name="SAPBEXinputData 11 7 2 2" xfId="9363"/>
    <cellStyle name="SAPBEXinputData 11 7 3" xfId="5914"/>
    <cellStyle name="SAPBEXinputData 11 7 3 2" xfId="9808"/>
    <cellStyle name="SAPBEXinputData 11 7 4" xfId="7776"/>
    <cellStyle name="SAPBEXinputData 11 8" xfId="3089"/>
    <cellStyle name="SAPBEXinputData 11 8 2" xfId="4135"/>
    <cellStyle name="SAPBEXinputData 11 8 2 2" xfId="7210"/>
    <cellStyle name="SAPBEXinputData 11 8 3" xfId="5986"/>
    <cellStyle name="SAPBEXinputData 11 8 3 2" xfId="9880"/>
    <cellStyle name="SAPBEXinputData 11 8 4" xfId="9291"/>
    <cellStyle name="SAPBEXinputData 11 9" xfId="2776"/>
    <cellStyle name="SAPBEXinputData 11 9 2" xfId="3936"/>
    <cellStyle name="SAPBEXinputData 11 9 2 2" xfId="8592"/>
    <cellStyle name="SAPBEXinputData 11 9 3" xfId="5713"/>
    <cellStyle name="SAPBEXinputData 11 9 3 2" xfId="7654"/>
    <cellStyle name="SAPBEXinputData 11 9 4" xfId="6503"/>
    <cellStyle name="SAPBEXinputData 12" xfId="1424"/>
    <cellStyle name="SAPBEXinputData 12 10" xfId="3415"/>
    <cellStyle name="SAPBEXinputData 12 10 2" xfId="4988"/>
    <cellStyle name="SAPBEXinputData 12 10 2 2" xfId="9538"/>
    <cellStyle name="SAPBEXinputData 12 10 3" xfId="9107"/>
    <cellStyle name="SAPBEXinputData 12 11" xfId="4244"/>
    <cellStyle name="SAPBEXinputData 12 11 2" xfId="6858"/>
    <cellStyle name="SAPBEXinputData 12 12" xfId="6478"/>
    <cellStyle name="SAPBEXinputData 12 2" xfId="1761"/>
    <cellStyle name="SAPBEXinputData 12 2 10" xfId="3490"/>
    <cellStyle name="SAPBEXinputData 12 2 10 2" xfId="5060"/>
    <cellStyle name="SAPBEXinputData 12 2 10 2 2" xfId="9087"/>
    <cellStyle name="SAPBEXinputData 12 2 10 3" xfId="9696"/>
    <cellStyle name="SAPBEXinputData 12 2 11" xfId="3988"/>
    <cellStyle name="SAPBEXinputData 12 2 11 2" xfId="6789"/>
    <cellStyle name="SAPBEXinputData 12 2 12" xfId="6995"/>
    <cellStyle name="SAPBEXinputData 12 2 2" xfId="1894"/>
    <cellStyle name="SAPBEXinputData 12 2 2 10" xfId="8514"/>
    <cellStyle name="SAPBEXinputData 12 2 2 2" xfId="2509"/>
    <cellStyle name="SAPBEXinputData 12 2 2 2 2" xfId="2610"/>
    <cellStyle name="SAPBEXinputData 12 2 2 2 2 2" xfId="4101"/>
    <cellStyle name="SAPBEXinputData 12 2 2 2 2 2 2" xfId="9737"/>
    <cellStyle name="SAPBEXinputData 12 2 2 2 2 3" xfId="7144"/>
    <cellStyle name="SAPBEXinputData 12 2 2 2 3" xfId="4701"/>
    <cellStyle name="SAPBEXinputData 12 2 2 2 3 2" xfId="7403"/>
    <cellStyle name="SAPBEXinputData 12 2 2 2 4" xfId="6970"/>
    <cellStyle name="SAPBEXinputData 12 2 2 3" xfId="2165"/>
    <cellStyle name="SAPBEXinputData 12 2 2 3 2" xfId="2771"/>
    <cellStyle name="SAPBEXinputData 12 2 2 3 2 2" xfId="3939"/>
    <cellStyle name="SAPBEXinputData 12 2 2 3 2 2 2" xfId="9586"/>
    <cellStyle name="SAPBEXinputData 12 2 2 3 2 3" xfId="6889"/>
    <cellStyle name="SAPBEXinputData 12 2 2 3 3" xfId="3977"/>
    <cellStyle name="SAPBEXinputData 12 2 2 3 3 2" xfId="9525"/>
    <cellStyle name="SAPBEXinputData 12 2 2 3 4" xfId="5597"/>
    <cellStyle name="SAPBEXinputData 12 2 2 3 4 2" xfId="8483"/>
    <cellStyle name="SAPBEXinputData 12 2 2 3 5" xfId="6913"/>
    <cellStyle name="SAPBEXinputData 12 2 2 4" xfId="2365"/>
    <cellStyle name="SAPBEXinputData 12 2 2 4 2" xfId="4836"/>
    <cellStyle name="SAPBEXinputData 12 2 2 4 2 2" xfId="8651"/>
    <cellStyle name="SAPBEXinputData 12 2 2 4 3" xfId="5683"/>
    <cellStyle name="SAPBEXinputData 12 2 2 4 3 2" xfId="7188"/>
    <cellStyle name="SAPBEXinputData 12 2 2 4 4" xfId="8552"/>
    <cellStyle name="SAPBEXinputData 12 2 2 5" xfId="2835"/>
    <cellStyle name="SAPBEXinputData 12 2 2 5 2" xfId="3897"/>
    <cellStyle name="SAPBEXinputData 12 2 2 5 2 2" xfId="9637"/>
    <cellStyle name="SAPBEXinputData 12 2 2 5 3" xfId="5767"/>
    <cellStyle name="SAPBEXinputData 12 2 2 5 3 2" xfId="7427"/>
    <cellStyle name="SAPBEXinputData 12 2 2 5 4" xfId="7912"/>
    <cellStyle name="SAPBEXinputData 12 2 2 6" xfId="3343"/>
    <cellStyle name="SAPBEXinputData 12 2 2 6 2" xfId="4934"/>
    <cellStyle name="SAPBEXinputData 12 2 2 6 2 2" xfId="7797"/>
    <cellStyle name="SAPBEXinputData 12 2 2 6 3" xfId="6210"/>
    <cellStyle name="SAPBEXinputData 12 2 2 6 3 2" xfId="10104"/>
    <cellStyle name="SAPBEXinputData 12 2 2 6 4" xfId="8358"/>
    <cellStyle name="SAPBEXinputData 12 2 2 7" xfId="3133"/>
    <cellStyle name="SAPBEXinputData 12 2 2 7 2" xfId="3724"/>
    <cellStyle name="SAPBEXinputData 12 2 2 7 2 2" xfId="8529"/>
    <cellStyle name="SAPBEXinputData 12 2 2 7 3" xfId="6029"/>
    <cellStyle name="SAPBEXinputData 12 2 2 7 3 2" xfId="9923"/>
    <cellStyle name="SAPBEXinputData 12 2 2 7 4" xfId="6549"/>
    <cellStyle name="SAPBEXinputData 12 2 2 8" xfId="3502"/>
    <cellStyle name="SAPBEXinputData 12 2 2 8 2" xfId="5072"/>
    <cellStyle name="SAPBEXinputData 12 2 2 8 2 2" xfId="8127"/>
    <cellStyle name="SAPBEXinputData 12 2 2 8 3" xfId="9459"/>
    <cellStyle name="SAPBEXinputData 12 2 2 9" xfId="3614"/>
    <cellStyle name="SAPBEXinputData 12 2 2 9 2" xfId="6348"/>
    <cellStyle name="SAPBEXinputData 12 2 3" xfId="2476"/>
    <cellStyle name="SAPBEXinputData 12 2 3 2" xfId="2599"/>
    <cellStyle name="SAPBEXinputData 12 2 3 2 2" xfId="4897"/>
    <cellStyle name="SAPBEXinputData 12 2 3 2 2 2" xfId="6637"/>
    <cellStyle name="SAPBEXinputData 12 2 3 2 3" xfId="8197"/>
    <cellStyle name="SAPBEXinputData 12 2 3 3" xfId="4453"/>
    <cellStyle name="SAPBEXinputData 12 2 3 3 2" xfId="8036"/>
    <cellStyle name="SAPBEXinputData 12 2 3 4" xfId="5284"/>
    <cellStyle name="SAPBEXinputData 12 2 3 4 2" xfId="7153"/>
    <cellStyle name="SAPBEXinputData 12 2 3 5" xfId="6872"/>
    <cellStyle name="SAPBEXinputData 12 2 4" xfId="2181"/>
    <cellStyle name="SAPBEXinputData 12 2 4 2" xfId="2701"/>
    <cellStyle name="SAPBEXinputData 12 2 4 2 2" xfId="4235"/>
    <cellStyle name="SAPBEXinputData 12 2 4 2 2 2" xfId="7840"/>
    <cellStyle name="SAPBEXinputData 12 2 4 2 3" xfId="7066"/>
    <cellStyle name="SAPBEXinputData 12 2 4 3" xfId="4875"/>
    <cellStyle name="SAPBEXinputData 12 2 4 3 2" xfId="9621"/>
    <cellStyle name="SAPBEXinputData 12 2 4 4" xfId="5557"/>
    <cellStyle name="SAPBEXinputData 12 2 4 4 2" xfId="6844"/>
    <cellStyle name="SAPBEXinputData 12 2 4 5" xfId="6356"/>
    <cellStyle name="SAPBEXinputData 12 2 5" xfId="2205"/>
    <cellStyle name="SAPBEXinputData 12 2 5 2" xfId="4799"/>
    <cellStyle name="SAPBEXinputData 12 2 5 2 2" xfId="9017"/>
    <cellStyle name="SAPBEXinputData 12 2 5 3" xfId="5612"/>
    <cellStyle name="SAPBEXinputData 12 2 5 3 2" xfId="6907"/>
    <cellStyle name="SAPBEXinputData 12 2 5 4" xfId="6807"/>
    <cellStyle name="SAPBEXinputData 12 2 6" xfId="3197"/>
    <cellStyle name="SAPBEXinputData 12 2 6 2" xfId="4051"/>
    <cellStyle name="SAPBEXinputData 12 2 6 2 2" xfId="6945"/>
    <cellStyle name="SAPBEXinputData 12 2 6 3" xfId="6086"/>
    <cellStyle name="SAPBEXinputData 12 2 6 3 2" xfId="9980"/>
    <cellStyle name="SAPBEXinputData 12 2 6 4" xfId="9213"/>
    <cellStyle name="SAPBEXinputData 12 2 7" xfId="3024"/>
    <cellStyle name="SAPBEXinputData 12 2 7 2" xfId="3792"/>
    <cellStyle name="SAPBEXinputData 12 2 7 2 2" xfId="7174"/>
    <cellStyle name="SAPBEXinputData 12 2 7 3" xfId="5926"/>
    <cellStyle name="SAPBEXinputData 12 2 7 3 2" xfId="9820"/>
    <cellStyle name="SAPBEXinputData 12 2 7 4" xfId="7800"/>
    <cellStyle name="SAPBEXinputData 12 2 8" xfId="3003"/>
    <cellStyle name="SAPBEXinputData 12 2 8 2" xfId="4145"/>
    <cellStyle name="SAPBEXinputData 12 2 8 2 2" xfId="9383"/>
    <cellStyle name="SAPBEXinputData 12 2 8 3" xfId="5906"/>
    <cellStyle name="SAPBEXinputData 12 2 8 3 2" xfId="9800"/>
    <cellStyle name="SAPBEXinputData 12 2 8 4" xfId="6597"/>
    <cellStyle name="SAPBEXinputData 12 2 9" xfId="2775"/>
    <cellStyle name="SAPBEXinputData 12 2 9 2" xfId="3937"/>
    <cellStyle name="SAPBEXinputData 12 2 9 2 2" xfId="9166"/>
    <cellStyle name="SAPBEXinputData 12 2 9 3" xfId="5712"/>
    <cellStyle name="SAPBEXinputData 12 2 9 3 2" xfId="7803"/>
    <cellStyle name="SAPBEXinputData 12 2 9 4" xfId="8280"/>
    <cellStyle name="SAPBEXinputData 12 3" xfId="2410"/>
    <cellStyle name="SAPBEXinputData 12 3 2" xfId="2552"/>
    <cellStyle name="SAPBEXinputData 12 3 2 2" xfId="3970"/>
    <cellStyle name="SAPBEXinputData 12 3 2 2 2" xfId="7608"/>
    <cellStyle name="SAPBEXinputData 12 3 2 3" xfId="9316"/>
    <cellStyle name="SAPBEXinputData 12 3 3" xfId="3982"/>
    <cellStyle name="SAPBEXinputData 12 3 3 2" xfId="6274"/>
    <cellStyle name="SAPBEXinputData 12 3 4" xfId="5156"/>
    <cellStyle name="SAPBEXinputData 12 3 4 2" xfId="9414"/>
    <cellStyle name="SAPBEXinputData 12 3 5" xfId="6299"/>
    <cellStyle name="SAPBEXinputData 12 4" xfId="2108"/>
    <cellStyle name="SAPBEXinputData 12 4 2" xfId="2667"/>
    <cellStyle name="SAPBEXinputData 12 4 2 2" xfId="4303"/>
    <cellStyle name="SAPBEXinputData 12 4 2 2 2" xfId="6284"/>
    <cellStyle name="SAPBEXinputData 12 4 2 3" xfId="7894"/>
    <cellStyle name="SAPBEXinputData 12 4 3" xfId="4877"/>
    <cellStyle name="SAPBEXinputData 12 4 3 2" xfId="8505"/>
    <cellStyle name="SAPBEXinputData 12 4 4" xfId="5497"/>
    <cellStyle name="SAPBEXinputData 12 4 4 2" xfId="7687"/>
    <cellStyle name="SAPBEXinputData 12 4 5" xfId="6442"/>
    <cellStyle name="SAPBEXinputData 12 5" xfId="2281"/>
    <cellStyle name="SAPBEXinputData 12 5 2" xfId="4863"/>
    <cellStyle name="SAPBEXinputData 12 5 2 2" xfId="6572"/>
    <cellStyle name="SAPBEXinputData 12 5 3" xfId="5642"/>
    <cellStyle name="SAPBEXinputData 12 5 3 2" xfId="7242"/>
    <cellStyle name="SAPBEXinputData 12 5 4" xfId="8460"/>
    <cellStyle name="SAPBEXinputData 12 6" xfId="2859"/>
    <cellStyle name="SAPBEXinputData 12 6 2" xfId="3889"/>
    <cellStyle name="SAPBEXinputData 12 6 2 2" xfId="7692"/>
    <cellStyle name="SAPBEXinputData 12 6 3" xfId="5790"/>
    <cellStyle name="SAPBEXinputData 12 6 3 2" xfId="7615"/>
    <cellStyle name="SAPBEXinputData 12 6 4" xfId="9030"/>
    <cellStyle name="SAPBEXinputData 12 7" xfId="3184"/>
    <cellStyle name="SAPBEXinputData 12 7 2" xfId="3706"/>
    <cellStyle name="SAPBEXinputData 12 7 2 2" xfId="8755"/>
    <cellStyle name="SAPBEXinputData 12 7 3" xfId="6075"/>
    <cellStyle name="SAPBEXinputData 12 7 3 2" xfId="9969"/>
    <cellStyle name="SAPBEXinputData 12 7 4" xfId="9266"/>
    <cellStyle name="SAPBEXinputData 12 8" xfId="3079"/>
    <cellStyle name="SAPBEXinputData 12 8 2" xfId="3582"/>
    <cellStyle name="SAPBEXinputData 12 8 2 2" xfId="9388"/>
    <cellStyle name="SAPBEXinputData 12 8 3" xfId="5976"/>
    <cellStyle name="SAPBEXinputData 12 8 3 2" xfId="9870"/>
    <cellStyle name="SAPBEXinputData 12 8 4" xfId="9311"/>
    <cellStyle name="SAPBEXinputData 12 9" xfId="3154"/>
    <cellStyle name="SAPBEXinputData 12 9 2" xfId="3715"/>
    <cellStyle name="SAPBEXinputData 12 9 2 2" xfId="9183"/>
    <cellStyle name="SAPBEXinputData 12 9 3" xfId="6048"/>
    <cellStyle name="SAPBEXinputData 12 9 3 2" xfId="9942"/>
    <cellStyle name="SAPBEXinputData 12 9 4" xfId="8131"/>
    <cellStyle name="SAPBEXinputData 13" xfId="1605"/>
    <cellStyle name="SAPBEXinputData 13 10" xfId="3443"/>
    <cellStyle name="SAPBEXinputData 13 10 2" xfId="5014"/>
    <cellStyle name="SAPBEXinputData 13 10 2 2" xfId="7770"/>
    <cellStyle name="SAPBEXinputData 13 10 3" xfId="8714"/>
    <cellStyle name="SAPBEXinputData 13 11" xfId="3654"/>
    <cellStyle name="SAPBEXinputData 13 11 2" xfId="8681"/>
    <cellStyle name="SAPBEXinputData 13 12" xfId="8634"/>
    <cellStyle name="SAPBEXinputData 13 13" xfId="11079"/>
    <cellStyle name="SAPBEXinputData 13 2" xfId="1586"/>
    <cellStyle name="SAPBEXinputData 13 2 10" xfId="9450"/>
    <cellStyle name="SAPBEXinputData 13 2 2" xfId="2435"/>
    <cellStyle name="SAPBEXinputData 13 2 2 2" xfId="2569"/>
    <cellStyle name="SAPBEXinputData 13 2 2 2 2" xfId="4618"/>
    <cellStyle name="SAPBEXinputData 13 2 2 2 2 2" xfId="7313"/>
    <cellStyle name="SAPBEXinputData 13 2 2 2 3" xfId="8974"/>
    <cellStyle name="SAPBEXinputData 13 2 2 3" xfId="4893"/>
    <cellStyle name="SAPBEXinputData 13 2 2 3 2" xfId="9491"/>
    <cellStyle name="SAPBEXinputData 13 2 2 4" xfId="6658"/>
    <cellStyle name="SAPBEXinputData 13 2 3" xfId="2218"/>
    <cellStyle name="SAPBEXinputData 13 2 3 2" xfId="2787"/>
    <cellStyle name="SAPBEXinputData 13 2 3 2 2" xfId="3927"/>
    <cellStyle name="SAPBEXinputData 13 2 3 2 2 2" xfId="9425"/>
    <cellStyle name="SAPBEXinputData 13 2 3 2 3" xfId="8348"/>
    <cellStyle name="SAPBEXinputData 13 2 3 3" xfId="4038"/>
    <cellStyle name="SAPBEXinputData 13 2 3 3 2" xfId="7865"/>
    <cellStyle name="SAPBEXinputData 13 2 3 4" xfId="5624"/>
    <cellStyle name="SAPBEXinputData 13 2 3 4 2" xfId="6777"/>
    <cellStyle name="SAPBEXinputData 13 2 3 5" xfId="7079"/>
    <cellStyle name="SAPBEXinputData 13 2 4" xfId="2356"/>
    <cellStyle name="SAPBEXinputData 13 2 4 2" xfId="4838"/>
    <cellStyle name="SAPBEXinputData 13 2 4 2 2" xfId="9478"/>
    <cellStyle name="SAPBEXinputData 13 2 4 3" xfId="5679"/>
    <cellStyle name="SAPBEXinputData 13 2 4 3 2" xfId="6530"/>
    <cellStyle name="SAPBEXinputData 13 2 4 4" xfId="7215"/>
    <cellStyle name="SAPBEXinputData 13 2 5" xfId="2792"/>
    <cellStyle name="SAPBEXinputData 13 2 5 2" xfId="3922"/>
    <cellStyle name="SAPBEXinputData 13 2 5 2 2" xfId="6546"/>
    <cellStyle name="SAPBEXinputData 13 2 5 3" xfId="5726"/>
    <cellStyle name="SAPBEXinputData 13 2 5 3 2" xfId="7586"/>
    <cellStyle name="SAPBEXinputData 13 2 5 4" xfId="8271"/>
    <cellStyle name="SAPBEXinputData 13 2 6" xfId="2790"/>
    <cellStyle name="SAPBEXinputData 13 2 6 2" xfId="3924"/>
    <cellStyle name="SAPBEXinputData 13 2 6 2 2" xfId="9666"/>
    <cellStyle name="SAPBEXinputData 13 2 6 3" xfId="5724"/>
    <cellStyle name="SAPBEXinputData 13 2 6 3 2" xfId="6498"/>
    <cellStyle name="SAPBEXinputData 13 2 6 4" xfId="6941"/>
    <cellStyle name="SAPBEXinputData 13 2 7" xfId="3115"/>
    <cellStyle name="SAPBEXinputData 13 2 7 2" xfId="3738"/>
    <cellStyle name="SAPBEXinputData 13 2 7 2 2" xfId="9524"/>
    <cellStyle name="SAPBEXinputData 13 2 7 3" xfId="6011"/>
    <cellStyle name="SAPBEXinputData 13 2 7 3 2" xfId="9905"/>
    <cellStyle name="SAPBEXinputData 13 2 7 4" xfId="8177"/>
    <cellStyle name="SAPBEXinputData 13 2 8" xfId="3434"/>
    <cellStyle name="SAPBEXinputData 13 2 8 2" xfId="5005"/>
    <cellStyle name="SAPBEXinputData 13 2 8 2 2" xfId="7336"/>
    <cellStyle name="SAPBEXinputData 13 2 8 3" xfId="8244"/>
    <cellStyle name="SAPBEXinputData 13 2 9" xfId="3996"/>
    <cellStyle name="SAPBEXinputData 13 2 9 2" xfId="8625"/>
    <cellStyle name="SAPBEXinputData 13 3" xfId="2445"/>
    <cellStyle name="SAPBEXinputData 13 3 2" xfId="2579"/>
    <cellStyle name="SAPBEXinputData 13 3 2 2" xfId="4291"/>
    <cellStyle name="SAPBEXinputData 13 3 2 2 2" xfId="7020"/>
    <cellStyle name="SAPBEXinputData 13 3 2 3" xfId="6681"/>
    <cellStyle name="SAPBEXinputData 13 3 3" xfId="4782"/>
    <cellStyle name="SAPBEXinputData 13 3 3 2" xfId="6787"/>
    <cellStyle name="SAPBEXinputData 13 3 4" xfId="5157"/>
    <cellStyle name="SAPBEXinputData 13 3 4 2" xfId="8870"/>
    <cellStyle name="SAPBEXinputData 13 3 5" xfId="6411"/>
    <cellStyle name="SAPBEXinputData 13 4" xfId="2211"/>
    <cellStyle name="SAPBEXinputData 13 4 2" xfId="2631"/>
    <cellStyle name="SAPBEXinputData 13 4 2 2" xfId="4894"/>
    <cellStyle name="SAPBEXinputData 13 4 2 2 2" xfId="8569"/>
    <cellStyle name="SAPBEXinputData 13 4 2 3" xfId="6394"/>
    <cellStyle name="SAPBEXinputData 13 4 3" xfId="4643"/>
    <cellStyle name="SAPBEXinputData 13 4 3 2" xfId="9594"/>
    <cellStyle name="SAPBEXinputData 13 4 4" xfId="5462"/>
    <cellStyle name="SAPBEXinputData 13 4 4 2" xfId="6468"/>
    <cellStyle name="SAPBEXinputData 13 4 5" xfId="9240"/>
    <cellStyle name="SAPBEXinputData 13 5" xfId="2329"/>
    <cellStyle name="SAPBEXinputData 13 5 2" xfId="4427"/>
    <cellStyle name="SAPBEXinputData 13 5 2 2" xfId="7062"/>
    <cellStyle name="SAPBEXinputData 13 5 3" xfId="5665"/>
    <cellStyle name="SAPBEXinputData 13 5 3 2" xfId="6646"/>
    <cellStyle name="SAPBEXinputData 13 5 4" xfId="7882"/>
    <cellStyle name="SAPBEXinputData 13 6" xfId="3261"/>
    <cellStyle name="SAPBEXinputData 13 6 2" xfId="4120"/>
    <cellStyle name="SAPBEXinputData 13 6 2 2" xfId="6621"/>
    <cellStyle name="SAPBEXinputData 13 6 3" xfId="6137"/>
    <cellStyle name="SAPBEXinputData 13 6 3 2" xfId="10031"/>
    <cellStyle name="SAPBEXinputData 13 6 4" xfId="8444"/>
    <cellStyle name="SAPBEXinputData 13 7" xfId="2794"/>
    <cellStyle name="SAPBEXinputData 13 7 2" xfId="3920"/>
    <cellStyle name="SAPBEXinputData 13 7 2 2" xfId="8196"/>
    <cellStyle name="SAPBEXinputData 13 7 3" xfId="5728"/>
    <cellStyle name="SAPBEXinputData 13 7 3 2" xfId="6521"/>
    <cellStyle name="SAPBEXinputData 13 7 4" xfId="7904"/>
    <cellStyle name="SAPBEXinputData 13 8" xfId="3288"/>
    <cellStyle name="SAPBEXinputData 13 8 2" xfId="3557"/>
    <cellStyle name="SAPBEXinputData 13 8 2 2" xfId="9151"/>
    <cellStyle name="SAPBEXinputData 13 8 3" xfId="6158"/>
    <cellStyle name="SAPBEXinputData 13 8 3 2" xfId="10052"/>
    <cellStyle name="SAPBEXinputData 13 8 4" xfId="7405"/>
    <cellStyle name="SAPBEXinputData 13 9" xfId="3364"/>
    <cellStyle name="SAPBEXinputData 13 9 2" xfId="4953"/>
    <cellStyle name="SAPBEXinputData 13 9 2 2" xfId="6531"/>
    <cellStyle name="SAPBEXinputData 13 9 3" xfId="6229"/>
    <cellStyle name="SAPBEXinputData 13 9 3 2" xfId="10123"/>
    <cellStyle name="SAPBEXinputData 13 9 4" xfId="8558"/>
    <cellStyle name="SAPBEXinputData 14" xfId="1884"/>
    <cellStyle name="SAPBEXinputData 2" xfId="1425"/>
    <cellStyle name="SAPBEXinputData 2 10" xfId="3168"/>
    <cellStyle name="SAPBEXinputData 2 10 2" xfId="3574"/>
    <cellStyle name="SAPBEXinputData 2 10 2 2" xfId="8560"/>
    <cellStyle name="SAPBEXinputData 2 10 3" xfId="6060"/>
    <cellStyle name="SAPBEXinputData 2 10 3 2" xfId="9954"/>
    <cellStyle name="SAPBEXinputData 2 10 4" xfId="8245"/>
    <cellStyle name="SAPBEXinputData 2 11" xfId="3416"/>
    <cellStyle name="SAPBEXinputData 2 11 2" xfId="4989"/>
    <cellStyle name="SAPBEXinputData 2 11 2 2" xfId="6249"/>
    <cellStyle name="SAPBEXinputData 2 11 3" xfId="6517"/>
    <cellStyle name="SAPBEXinputData 2 12" xfId="3530"/>
    <cellStyle name="SAPBEXinputData 2 12 2" xfId="9558"/>
    <cellStyle name="SAPBEXinputData 2 13" xfId="8540"/>
    <cellStyle name="SAPBEXinputData 2 2" xfId="1426"/>
    <cellStyle name="SAPBEXinputData 2 2 10" xfId="3417"/>
    <cellStyle name="SAPBEXinputData 2 2 10 2" xfId="4990"/>
    <cellStyle name="SAPBEXinputData 2 2 10 2 2" xfId="8362"/>
    <cellStyle name="SAPBEXinputData 2 2 10 3" xfId="9457"/>
    <cellStyle name="SAPBEXinputData 2 2 11" xfId="4177"/>
    <cellStyle name="SAPBEXinputData 2 2 11 2" xfId="7431"/>
    <cellStyle name="SAPBEXinputData 2 2 12" xfId="9480"/>
    <cellStyle name="SAPBEXinputData 2 2 2" xfId="1763"/>
    <cellStyle name="SAPBEXinputData 2 2 2 10" xfId="3492"/>
    <cellStyle name="SAPBEXinputData 2 2 2 10 2" xfId="5062"/>
    <cellStyle name="SAPBEXinputData 2 2 2 10 2 2" xfId="6598"/>
    <cellStyle name="SAPBEXinputData 2 2 2 10 3" xfId="8261"/>
    <cellStyle name="SAPBEXinputData 2 2 2 11" xfId="4238"/>
    <cellStyle name="SAPBEXinputData 2 2 2 11 2" xfId="8399"/>
    <cellStyle name="SAPBEXinputData 2 2 2 12" xfId="7898"/>
    <cellStyle name="SAPBEXinputData 2 2 2 2" xfId="1601"/>
    <cellStyle name="SAPBEXinputData 2 2 2 2 10" xfId="9154"/>
    <cellStyle name="SAPBEXinputData 2 2 2 2 2" xfId="2441"/>
    <cellStyle name="SAPBEXinputData 2 2 2 2 2 2" xfId="2575"/>
    <cellStyle name="SAPBEXinputData 2 2 2 2 2 2 2" xfId="4425"/>
    <cellStyle name="SAPBEXinputData 2 2 2 2 2 2 2 2" xfId="7418"/>
    <cellStyle name="SAPBEXinputData 2 2 2 2 2 2 3" xfId="9764"/>
    <cellStyle name="SAPBEXinputData 2 2 2 2 2 3" xfId="4736"/>
    <cellStyle name="SAPBEXinputData 2 2 2 2 2 3 2" xfId="6979"/>
    <cellStyle name="SAPBEXinputData 2 2 2 2 2 4" xfId="7263"/>
    <cellStyle name="SAPBEXinputData 2 2 2 2 3" xfId="2214"/>
    <cellStyle name="SAPBEXinputData 2 2 2 2 3 2" xfId="2975"/>
    <cellStyle name="SAPBEXinputData 2 2 2 2 3 2 2" xfId="3816"/>
    <cellStyle name="SAPBEXinputData 2 2 2 2 3 2 2 2" xfId="8555"/>
    <cellStyle name="SAPBEXinputData 2 2 2 2 3 2 3" xfId="7582"/>
    <cellStyle name="SAPBEXinputData 2 2 2 2 3 3" xfId="4640"/>
    <cellStyle name="SAPBEXinputData 2 2 2 2 3 3 2" xfId="9513"/>
    <cellStyle name="SAPBEXinputData 2 2 2 2 3 4" xfId="5620"/>
    <cellStyle name="SAPBEXinputData 2 2 2 2 3 4 2" xfId="6850"/>
    <cellStyle name="SAPBEXinputData 2 2 2 2 3 5" xfId="6612"/>
    <cellStyle name="SAPBEXinputData 2 2 2 2 4" xfId="2338"/>
    <cellStyle name="SAPBEXinputData 2 2 2 2 4 2" xfId="4432"/>
    <cellStyle name="SAPBEXinputData 2 2 2 2 4 2 2" xfId="8326"/>
    <cellStyle name="SAPBEXinputData 2 2 2 2 4 3" xfId="5669"/>
    <cellStyle name="SAPBEXinputData 2 2 2 2 4 3 2" xfId="7365"/>
    <cellStyle name="SAPBEXinputData 2 2 2 2 4 4" xfId="7348"/>
    <cellStyle name="SAPBEXinputData 2 2 2 2 5" xfId="2908"/>
    <cellStyle name="SAPBEXinputData 2 2 2 2 5 2" xfId="4155"/>
    <cellStyle name="SAPBEXinputData 2 2 2 2 5 2 2" xfId="6497"/>
    <cellStyle name="SAPBEXinputData 2 2 2 2 5 3" xfId="5839"/>
    <cellStyle name="SAPBEXinputData 2 2 2 2 5 3 2" xfId="7274"/>
    <cellStyle name="SAPBEXinputData 2 2 2 2 5 4" xfId="7944"/>
    <cellStyle name="SAPBEXinputData 2 2 2 2 6" xfId="2900"/>
    <cellStyle name="SAPBEXinputData 2 2 2 2 6 2" xfId="4095"/>
    <cellStyle name="SAPBEXinputData 2 2 2 2 6 2 2" xfId="8738"/>
    <cellStyle name="SAPBEXinputData 2 2 2 2 6 3" xfId="5831"/>
    <cellStyle name="SAPBEXinputData 2 2 2 2 6 3 2" xfId="6445"/>
    <cellStyle name="SAPBEXinputData 2 2 2 2 6 4" xfId="7620"/>
    <cellStyle name="SAPBEXinputData 2 2 2 2 7" xfId="2911"/>
    <cellStyle name="SAPBEXinputData 2 2 2 2 7 2" xfId="4154"/>
    <cellStyle name="SAPBEXinputData 2 2 2 2 7 2 2" xfId="9725"/>
    <cellStyle name="SAPBEXinputData 2 2 2 2 7 3" xfId="5842"/>
    <cellStyle name="SAPBEXinputData 2 2 2 2 7 3 2" xfId="8110"/>
    <cellStyle name="SAPBEXinputData 2 2 2 2 7 4" xfId="7930"/>
    <cellStyle name="SAPBEXinputData 2 2 2 2 8" xfId="3440"/>
    <cellStyle name="SAPBEXinputData 2 2 2 2 8 2" xfId="5011"/>
    <cellStyle name="SAPBEXinputData 2 2 2 2 8 2 2" xfId="7065"/>
    <cellStyle name="SAPBEXinputData 2 2 2 2 8 3" xfId="7978"/>
    <cellStyle name="SAPBEXinputData 2 2 2 2 9" xfId="3993"/>
    <cellStyle name="SAPBEXinputData 2 2 2 2 9 2" xfId="7464"/>
    <cellStyle name="SAPBEXinputData 2 2 2 3" xfId="2478"/>
    <cellStyle name="SAPBEXinputData 2 2 2 3 2" xfId="2601"/>
    <cellStyle name="SAPBEXinputData 2 2 2 3 2 2" xfId="4753"/>
    <cellStyle name="SAPBEXinputData 2 2 2 3 2 2 2" xfId="6840"/>
    <cellStyle name="SAPBEXinputData 2 2 2 3 2 3" xfId="8193"/>
    <cellStyle name="SAPBEXinputData 2 2 2 3 3" xfId="4680"/>
    <cellStyle name="SAPBEXinputData 2 2 2 3 3 2" xfId="9033"/>
    <cellStyle name="SAPBEXinputData 2 2 2 3 4" xfId="5332"/>
    <cellStyle name="SAPBEXinputData 2 2 2 3 4 2" xfId="6675"/>
    <cellStyle name="SAPBEXinputData 2 2 2 3 5" xfId="7600"/>
    <cellStyle name="SAPBEXinputData 2 2 2 4" xfId="2179"/>
    <cellStyle name="SAPBEXinputData 2 2 2 4 2" xfId="2703"/>
    <cellStyle name="SAPBEXinputData 2 2 2 4 2 2" xfId="3608"/>
    <cellStyle name="SAPBEXinputData 2 2 2 4 2 2 2" xfId="9042"/>
    <cellStyle name="SAPBEXinputData 2 2 2 4 2 3" xfId="9339"/>
    <cellStyle name="SAPBEXinputData 2 2 2 4 3" xfId="4625"/>
    <cellStyle name="SAPBEXinputData 2 2 2 4 3 2" xfId="9636"/>
    <cellStyle name="SAPBEXinputData 2 2 2 4 4" xfId="5559"/>
    <cellStyle name="SAPBEXinputData 2 2 2 4 4 2" xfId="7203"/>
    <cellStyle name="SAPBEXinputData 2 2 2 4 5" xfId="9298"/>
    <cellStyle name="SAPBEXinputData 2 2 2 5" xfId="2313"/>
    <cellStyle name="SAPBEXinputData 2 2 2 5 2" xfId="4097"/>
    <cellStyle name="SAPBEXinputData 2 2 2 5 2 2" xfId="7917"/>
    <cellStyle name="SAPBEXinputData 2 2 2 5 3" xfId="5657"/>
    <cellStyle name="SAPBEXinputData 2 2 2 5 3 2" xfId="7428"/>
    <cellStyle name="SAPBEXinputData 2 2 2 5 4" xfId="6821"/>
    <cellStyle name="SAPBEXinputData 2 2 2 6" xfId="3064"/>
    <cellStyle name="SAPBEXinputData 2 2 2 6 2" xfId="4072"/>
    <cellStyle name="SAPBEXinputData 2 2 2 6 2 2" xfId="6583"/>
    <cellStyle name="SAPBEXinputData 2 2 2 6 3" xfId="5964"/>
    <cellStyle name="SAPBEXinputData 2 2 2 6 3 2" xfId="9858"/>
    <cellStyle name="SAPBEXinputData 2 2 2 6 4" xfId="9346"/>
    <cellStyle name="SAPBEXinputData 2 2 2 7" xfId="3140"/>
    <cellStyle name="SAPBEXinputData 2 2 2 7 2" xfId="4133"/>
    <cellStyle name="SAPBEXinputData 2 2 2 7 2 2" xfId="9518"/>
    <cellStyle name="SAPBEXinputData 2 2 2 7 3" xfId="6036"/>
    <cellStyle name="SAPBEXinputData 2 2 2 7 3 2" xfId="9930"/>
    <cellStyle name="SAPBEXinputData 2 2 2 7 4" xfId="7200"/>
    <cellStyle name="SAPBEXinputData 2 2 2 8" xfId="2773"/>
    <cellStyle name="SAPBEXinputData 2 2 2 8 2" xfId="3938"/>
    <cellStyle name="SAPBEXinputData 2 2 2 8 2 2" xfId="6661"/>
    <cellStyle name="SAPBEXinputData 2 2 2 8 3" xfId="5710"/>
    <cellStyle name="SAPBEXinputData 2 2 2 8 3 2" xfId="6631"/>
    <cellStyle name="SAPBEXinputData 2 2 2 8 4" xfId="8403"/>
    <cellStyle name="SAPBEXinputData 2 2 2 9" xfId="3359"/>
    <cellStyle name="SAPBEXinputData 2 2 2 9 2" xfId="4949"/>
    <cellStyle name="SAPBEXinputData 2 2 2 9 2 2" xfId="7891"/>
    <cellStyle name="SAPBEXinputData 2 2 2 9 3" xfId="6225"/>
    <cellStyle name="SAPBEXinputData 2 2 2 9 3 2" xfId="10119"/>
    <cellStyle name="SAPBEXinputData 2 2 2 9 4" xfId="7052"/>
    <cellStyle name="SAPBEXinputData 2 2 3" xfId="2412"/>
    <cellStyle name="SAPBEXinputData 2 2 3 2" xfId="2554"/>
    <cellStyle name="SAPBEXinputData 2 2 3 2 2" xfId="4708"/>
    <cellStyle name="SAPBEXinputData 2 2 3 2 2 2" xfId="7212"/>
    <cellStyle name="SAPBEXinputData 2 2 3 2 3" xfId="9350"/>
    <cellStyle name="SAPBEXinputData 2 2 3 3" xfId="4735"/>
    <cellStyle name="SAPBEXinputData 2 2 3 3 2" xfId="8575"/>
    <cellStyle name="SAPBEXinputData 2 2 3 4" xfId="5296"/>
    <cellStyle name="SAPBEXinputData 2 2 3 4 2" xfId="7169"/>
    <cellStyle name="SAPBEXinputData 2 2 3 5" xfId="7206"/>
    <cellStyle name="SAPBEXinputData 2 2 4" xfId="2231"/>
    <cellStyle name="SAPBEXinputData 2 2 4 2" xfId="2634"/>
    <cellStyle name="SAPBEXinputData 2 2 4 2 2" xfId="4787"/>
    <cellStyle name="SAPBEXinputData 2 2 4 2 2 2" xfId="9499"/>
    <cellStyle name="SAPBEXinputData 2 2 4 2 3" xfId="6296"/>
    <cellStyle name="SAPBEXinputData 2 2 4 3" xfId="4607"/>
    <cellStyle name="SAPBEXinputData 2 2 4 3 2" xfId="8997"/>
    <cellStyle name="SAPBEXinputData 2 2 4 4" xfId="5465"/>
    <cellStyle name="SAPBEXinputData 2 2 4 4 2" xfId="8214"/>
    <cellStyle name="SAPBEXinputData 2 2 4 5" xfId="9224"/>
    <cellStyle name="SAPBEXinputData 2 2 5" xfId="2282"/>
    <cellStyle name="SAPBEXinputData 2 2 5 2" xfId="3974"/>
    <cellStyle name="SAPBEXinputData 2 2 5 2 2" xfId="9638"/>
    <cellStyle name="SAPBEXinputData 2 2 5 3" xfId="5643"/>
    <cellStyle name="SAPBEXinputData 2 2 5 3 2" xfId="6866"/>
    <cellStyle name="SAPBEXinputData 2 2 5 4" xfId="7756"/>
    <cellStyle name="SAPBEXinputData 2 2 6" xfId="2860"/>
    <cellStyle name="SAPBEXinputData 2 2 6 2" xfId="3888"/>
    <cellStyle name="SAPBEXinputData 2 2 6 2 2" xfId="8142"/>
    <cellStyle name="SAPBEXinputData 2 2 6 3" xfId="5791"/>
    <cellStyle name="SAPBEXinputData 2 2 6 3 2" xfId="6576"/>
    <cellStyle name="SAPBEXinputData 2 2 6 4" xfId="9194"/>
    <cellStyle name="SAPBEXinputData 2 2 7" xfId="2789"/>
    <cellStyle name="SAPBEXinputData 2 2 7 2" xfId="3925"/>
    <cellStyle name="SAPBEXinputData 2 2 7 2 2" xfId="8703"/>
    <cellStyle name="SAPBEXinputData 2 2 7 3" xfId="5723"/>
    <cellStyle name="SAPBEXinputData 2 2 7 3 2" xfId="7129"/>
    <cellStyle name="SAPBEXinputData 2 2 7 4" xfId="8032"/>
    <cellStyle name="SAPBEXinputData 2 2 8" xfId="2805"/>
    <cellStyle name="SAPBEXinputData 2 2 8 2" xfId="3911"/>
    <cellStyle name="SAPBEXinputData 2 2 8 2 2" xfId="6525"/>
    <cellStyle name="SAPBEXinputData 2 2 8 3" xfId="5739"/>
    <cellStyle name="SAPBEXinputData 2 2 8 3 2" xfId="7557"/>
    <cellStyle name="SAPBEXinputData 2 2 8 4" xfId="7848"/>
    <cellStyle name="SAPBEXinputData 2 2 9" xfId="3339"/>
    <cellStyle name="SAPBEXinputData 2 2 9 2" xfId="4930"/>
    <cellStyle name="SAPBEXinputData 2 2 9 2 2" xfId="8567"/>
    <cellStyle name="SAPBEXinputData 2 2 9 3" xfId="6206"/>
    <cellStyle name="SAPBEXinputData 2 2 9 3 2" xfId="10100"/>
    <cellStyle name="SAPBEXinputData 2 2 9 4" xfId="7859"/>
    <cellStyle name="SAPBEXinputData 2 3" xfId="1762"/>
    <cellStyle name="SAPBEXinputData 2 3 10" xfId="3491"/>
    <cellStyle name="SAPBEXinputData 2 3 10 2" xfId="5061"/>
    <cellStyle name="SAPBEXinputData 2 3 10 2 2" xfId="8749"/>
    <cellStyle name="SAPBEXinputData 2 3 10 3" xfId="8758"/>
    <cellStyle name="SAPBEXinputData 2 3 11" xfId="3617"/>
    <cellStyle name="SAPBEXinputData 2 3 11 2" xfId="8378"/>
    <cellStyle name="SAPBEXinputData 2 3 12" xfId="6386"/>
    <cellStyle name="SAPBEXinputData 2 3 2" xfId="1902"/>
    <cellStyle name="SAPBEXinputData 2 3 2 10" xfId="9479"/>
    <cellStyle name="SAPBEXinputData 2 3 2 2" xfId="2512"/>
    <cellStyle name="SAPBEXinputData 2 3 2 2 2" xfId="2613"/>
    <cellStyle name="SAPBEXinputData 2 3 2 2 2 2" xfId="4856"/>
    <cellStyle name="SAPBEXinputData 2 3 2 2 2 2 2" xfId="9139"/>
    <cellStyle name="SAPBEXinputData 2 3 2 2 2 3" xfId="7656"/>
    <cellStyle name="SAPBEXinputData 2 3 2 2 3" xfId="4484"/>
    <cellStyle name="SAPBEXinputData 2 3 2 2 3 2" xfId="9600"/>
    <cellStyle name="SAPBEXinputData 2 3 2 2 4" xfId="7707"/>
    <cellStyle name="SAPBEXinputData 2 3 2 3" xfId="2099"/>
    <cellStyle name="SAPBEXinputData 2 3 2 3 2" xfId="2767"/>
    <cellStyle name="SAPBEXinputData 2 3 2 3 2 2" xfId="4076"/>
    <cellStyle name="SAPBEXinputData 2 3 2 3 2 2 2" xfId="7022"/>
    <cellStyle name="SAPBEXinputData 2 3 2 3 2 3" xfId="6698"/>
    <cellStyle name="SAPBEXinputData 2 3 2 3 3" xfId="4454"/>
    <cellStyle name="SAPBEXinputData 2 3 2 3 3 2" xfId="9547"/>
    <cellStyle name="SAPBEXinputData 2 3 2 3 4" xfId="5575"/>
    <cellStyle name="SAPBEXinputData 2 3 2 3 4 2" xfId="6488"/>
    <cellStyle name="SAPBEXinputData 2 3 2 3 5" xfId="6570"/>
    <cellStyle name="SAPBEXinputData 2 3 2 4" xfId="2207"/>
    <cellStyle name="SAPBEXinputData 2 3 2 4 2" xfId="4626"/>
    <cellStyle name="SAPBEXinputData 2 3 2 4 2 2" xfId="8631"/>
    <cellStyle name="SAPBEXinputData 2 3 2 4 3" xfId="5614"/>
    <cellStyle name="SAPBEXinputData 2 3 2 4 3 2" xfId="7292"/>
    <cellStyle name="SAPBEXinputData 2 3 2 4 4" xfId="8400"/>
    <cellStyle name="SAPBEXinputData 2 3 2 5" xfId="2803"/>
    <cellStyle name="SAPBEXinputData 2 3 2 5 2" xfId="3913"/>
    <cellStyle name="SAPBEXinputData 2 3 2 5 2 2" xfId="8697"/>
    <cellStyle name="SAPBEXinputData 2 3 2 5 3" xfId="5737"/>
    <cellStyle name="SAPBEXinputData 2 3 2 5 3 2" xfId="6325"/>
    <cellStyle name="SAPBEXinputData 2 3 2 5 4" xfId="8439"/>
    <cellStyle name="SAPBEXinputData 2 3 2 6" xfId="3054"/>
    <cellStyle name="SAPBEXinputData 2 3 2 6 2" xfId="3584"/>
    <cellStyle name="SAPBEXinputData 2 3 2 6 2 2" xfId="9115"/>
    <cellStyle name="SAPBEXinputData 2 3 2 6 3" xfId="5954"/>
    <cellStyle name="SAPBEXinputData 2 3 2 6 3 2" xfId="9848"/>
    <cellStyle name="SAPBEXinputData 2 3 2 6 4" xfId="9278"/>
    <cellStyle name="SAPBEXinputData 2 3 2 7" xfId="3201"/>
    <cellStyle name="SAPBEXinputData 2 3 2 7 2" xfId="3569"/>
    <cellStyle name="SAPBEXinputData 2 3 2 7 2 2" xfId="7508"/>
    <cellStyle name="SAPBEXinputData 2 3 2 7 3" xfId="6090"/>
    <cellStyle name="SAPBEXinputData 2 3 2 7 3 2" xfId="9984"/>
    <cellStyle name="SAPBEXinputData 2 3 2 7 4" xfId="7634"/>
    <cellStyle name="SAPBEXinputData 2 3 2 8" xfId="3505"/>
    <cellStyle name="SAPBEXinputData 2 3 2 8 2" xfId="5075"/>
    <cellStyle name="SAPBEXinputData 2 3 2 8 2 2" xfId="6888"/>
    <cellStyle name="SAPBEXinputData 2 3 2 8 3" xfId="8357"/>
    <cellStyle name="SAPBEXinputData 2 3 2 9" xfId="4118"/>
    <cellStyle name="SAPBEXinputData 2 3 2 9 2" xfId="9006"/>
    <cellStyle name="SAPBEXinputData 2 3 3" xfId="2477"/>
    <cellStyle name="SAPBEXinputData 2 3 3 2" xfId="2600"/>
    <cellStyle name="SAPBEXinputData 2 3 3 2 2" xfId="4775"/>
    <cellStyle name="SAPBEXinputData 2 3 3 2 2 2" xfId="9172"/>
    <cellStyle name="SAPBEXinputData 2 3 3 2 3" xfId="7124"/>
    <cellStyle name="SAPBEXinputData 2 3 3 3" xfId="4641"/>
    <cellStyle name="SAPBEXinputData 2 3 3 3 2" xfId="8557"/>
    <cellStyle name="SAPBEXinputData 2 3 3 4" xfId="5151"/>
    <cellStyle name="SAPBEXinputData 2 3 3 4 2" xfId="8736"/>
    <cellStyle name="SAPBEXinputData 2 3 3 5" xfId="6362"/>
    <cellStyle name="SAPBEXinputData 2 3 4" xfId="2180"/>
    <cellStyle name="SAPBEXinputData 2 3 4 2" xfId="2702"/>
    <cellStyle name="SAPBEXinputData 2 3 4 2 2" xfId="3952"/>
    <cellStyle name="SAPBEXinputData 2 3 4 2 2 2" xfId="9106"/>
    <cellStyle name="SAPBEXinputData 2 3 4 2 3" xfId="9274"/>
    <cellStyle name="SAPBEXinputData 2 3 4 3" xfId="4491"/>
    <cellStyle name="SAPBEXinputData 2 3 4 3 2" xfId="8573"/>
    <cellStyle name="SAPBEXinputData 2 3 4 4" xfId="5558"/>
    <cellStyle name="SAPBEXinputData 2 3 4 4 2" xfId="8479"/>
    <cellStyle name="SAPBEXinputData 2 3 4 5" xfId="8494"/>
    <cellStyle name="SAPBEXinputData 2 3 5" xfId="2137"/>
    <cellStyle name="SAPBEXinputData 2 3 5 2" xfId="4824"/>
    <cellStyle name="SAPBEXinputData 2 3 5 2 2" xfId="6826"/>
    <cellStyle name="SAPBEXinputData 2 3 5 3" xfId="5591"/>
    <cellStyle name="SAPBEXinputData 2 3 5 3 2" xfId="8103"/>
    <cellStyle name="SAPBEXinputData 2 3 5 4" xfId="7250"/>
    <cellStyle name="SAPBEXinputData 2 3 6" xfId="3239"/>
    <cellStyle name="SAPBEXinputData 2 3 6 2" xfId="4045"/>
    <cellStyle name="SAPBEXinputData 2 3 6 2 2" xfId="7684"/>
    <cellStyle name="SAPBEXinputData 2 3 6 3" xfId="6121"/>
    <cellStyle name="SAPBEXinputData 2 3 6 3 2" xfId="10015"/>
    <cellStyle name="SAPBEXinputData 2 3 6 4" xfId="6990"/>
    <cellStyle name="SAPBEXinputData 2 3 7" xfId="3202"/>
    <cellStyle name="SAPBEXinputData 2 3 7 2" xfId="4259"/>
    <cellStyle name="SAPBEXinputData 2 3 7 2 2" xfId="7410"/>
    <cellStyle name="SAPBEXinputData 2 3 7 3" xfId="6091"/>
    <cellStyle name="SAPBEXinputData 2 3 7 3 2" xfId="9985"/>
    <cellStyle name="SAPBEXinputData 2 3 7 4" xfId="8337"/>
    <cellStyle name="SAPBEXinputData 2 3 8" xfId="3328"/>
    <cellStyle name="SAPBEXinputData 2 3 8 2" xfId="4919"/>
    <cellStyle name="SAPBEXinputData 2 3 8 2 2" xfId="7401"/>
    <cellStyle name="SAPBEXinputData 2 3 8 3" xfId="6195"/>
    <cellStyle name="SAPBEXinputData 2 3 8 3 2" xfId="10089"/>
    <cellStyle name="SAPBEXinputData 2 3 8 4" xfId="9542"/>
    <cellStyle name="SAPBEXinputData 2 3 9" xfId="2851"/>
    <cellStyle name="SAPBEXinputData 2 3 9 2" xfId="4159"/>
    <cellStyle name="SAPBEXinputData 2 3 9 2 2" xfId="7239"/>
    <cellStyle name="SAPBEXinputData 2 3 9 3" xfId="5783"/>
    <cellStyle name="SAPBEXinputData 2 3 9 3 2" xfId="7601"/>
    <cellStyle name="SAPBEXinputData 2 3 9 4" xfId="8872"/>
    <cellStyle name="SAPBEXinputData 2 4" xfId="2030"/>
    <cellStyle name="SAPBEXinputData 2 4 2" xfId="3245"/>
    <cellStyle name="SAPBEXinputData 2 4 3" xfId="2666"/>
    <cellStyle name="SAPBEXinputData 2 4 3 2" xfId="4597"/>
    <cellStyle name="SAPBEXinputData 2 4 3 2 2" xfId="8727"/>
    <cellStyle name="SAPBEXinputData 2 4 3 3" xfId="6799"/>
    <cellStyle name="SAPBEXinputData 2 4 4" xfId="5308"/>
    <cellStyle name="SAPBEXinputData 2 4 5" xfId="5496"/>
    <cellStyle name="SAPBEXinputData 2 4 5 2" xfId="7827"/>
    <cellStyle name="SAPBEXinputData 2 5" xfId="2411"/>
    <cellStyle name="SAPBEXinputData 2 5 2" xfId="2553"/>
    <cellStyle name="SAPBEXinputData 2 5 2 2" xfId="4858"/>
    <cellStyle name="SAPBEXinputData 2 5 2 2 2" xfId="6947"/>
    <cellStyle name="SAPBEXinputData 2 5 2 3" xfId="9216"/>
    <cellStyle name="SAPBEXinputData 2 5 3" xfId="4662"/>
    <cellStyle name="SAPBEXinputData 2 5 3 2" xfId="7730"/>
    <cellStyle name="SAPBEXinputData 2 5 4" xfId="6501"/>
    <cellStyle name="SAPBEXinputData 2 6" xfId="2232"/>
    <cellStyle name="SAPBEXinputData 2 6 2" xfId="3004"/>
    <cellStyle name="SAPBEXinputData 2 6 2 2" xfId="4079"/>
    <cellStyle name="SAPBEXinputData 2 6 2 2 2" xfId="7701"/>
    <cellStyle name="SAPBEXinputData 2 6 2 3" xfId="8461"/>
    <cellStyle name="SAPBEXinputData 2 6 3" xfId="4455"/>
    <cellStyle name="SAPBEXinputData 2 6 3 2" xfId="8679"/>
    <cellStyle name="SAPBEXinputData 2 6 4" xfId="5629"/>
    <cellStyle name="SAPBEXinputData 2 6 4 2" xfId="8152"/>
    <cellStyle name="SAPBEXinputData 2 6 5" xfId="7373"/>
    <cellStyle name="SAPBEXinputData 2 7" xfId="2124"/>
    <cellStyle name="SAPBEXinputData 2 7 2" xfId="4668"/>
    <cellStyle name="SAPBEXinputData 2 7 2 2" xfId="8701"/>
    <cellStyle name="SAPBEXinputData 2 7 3" xfId="5582"/>
    <cellStyle name="SAPBEXinputData 2 7 3 2" xfId="6653"/>
    <cellStyle name="SAPBEXinputData 2 7 4" xfId="8446"/>
    <cellStyle name="SAPBEXinputData 2 8" xfId="2774"/>
    <cellStyle name="SAPBEXinputData 2 8 2" xfId="3605"/>
    <cellStyle name="SAPBEXinputData 2 8 2 2" xfId="8426"/>
    <cellStyle name="SAPBEXinputData 2 8 3" xfId="5711"/>
    <cellStyle name="SAPBEXinputData 2 8 3 2" xfId="8194"/>
    <cellStyle name="SAPBEXinputData 2 8 4" xfId="7736"/>
    <cellStyle name="SAPBEXinputData 2 9" xfId="3114"/>
    <cellStyle name="SAPBEXinputData 2 9 2" xfId="3739"/>
    <cellStyle name="SAPBEXinputData 2 9 2 2" xfId="8680"/>
    <cellStyle name="SAPBEXinputData 2 9 3" xfId="6010"/>
    <cellStyle name="SAPBEXinputData 2 9 3 2" xfId="9904"/>
    <cellStyle name="SAPBEXinputData 2 9 4" xfId="7040"/>
    <cellStyle name="SAPBEXinputData 3" xfId="1427"/>
    <cellStyle name="SAPBEXinputData 3 10" xfId="2958"/>
    <cellStyle name="SAPBEXinputData 3 10 2" xfId="4219"/>
    <cellStyle name="SAPBEXinputData 3 10 2 2" xfId="6313"/>
    <cellStyle name="SAPBEXinputData 3 10 3" xfId="5876"/>
    <cellStyle name="SAPBEXinputData 3 10 3 2" xfId="7652"/>
    <cellStyle name="SAPBEXinputData 3 10 4" xfId="7626"/>
    <cellStyle name="SAPBEXinputData 3 11" xfId="3418"/>
    <cellStyle name="SAPBEXinputData 3 11 2" xfId="4991"/>
    <cellStyle name="SAPBEXinputData 3 11 2 2" xfId="9574"/>
    <cellStyle name="SAPBEXinputData 3 11 3" xfId="8846"/>
    <cellStyle name="SAPBEXinputData 3 12" xfId="4034"/>
    <cellStyle name="SAPBEXinputData 3 12 2" xfId="9076"/>
    <cellStyle name="SAPBEXinputData 3 13" xfId="8858"/>
    <cellStyle name="SAPBEXinputData 3 2" xfId="1428"/>
    <cellStyle name="SAPBEXinputData 3 3" xfId="1764"/>
    <cellStyle name="SAPBEXinputData 3 3 10" xfId="3493"/>
    <cellStyle name="SAPBEXinputData 3 3 10 2" xfId="5063"/>
    <cellStyle name="SAPBEXinputData 3 3 10 2 2" xfId="8346"/>
    <cellStyle name="SAPBEXinputData 3 3 10 3" xfId="9507"/>
    <cellStyle name="SAPBEXinputData 3 3 11" xfId="3987"/>
    <cellStyle name="SAPBEXinputData 3 3 11 2" xfId="8417"/>
    <cellStyle name="SAPBEXinputData 3 3 12" xfId="8309"/>
    <cellStyle name="SAPBEXinputData 3 3 2" xfId="1897"/>
    <cellStyle name="SAPBEXinputData 3 3 2 10" xfId="7353"/>
    <cellStyle name="SAPBEXinputData 3 3 2 2" xfId="2511"/>
    <cellStyle name="SAPBEXinputData 3 3 2 2 2" xfId="2612"/>
    <cellStyle name="SAPBEXinputData 3 3 2 2 2 2" xfId="3968"/>
    <cellStyle name="SAPBEXinputData 3 3 2 2 2 2 2" xfId="9755"/>
    <cellStyle name="SAPBEXinputData 3 3 2 2 2 3" xfId="6483"/>
    <cellStyle name="SAPBEXinputData 3 3 2 2 3" xfId="4630"/>
    <cellStyle name="SAPBEXinputData 3 3 2 2 3 2" xfId="7678"/>
    <cellStyle name="SAPBEXinputData 3 3 2 2 4" xfId="6835"/>
    <cellStyle name="SAPBEXinputData 3 3 2 3" xfId="2315"/>
    <cellStyle name="SAPBEXinputData 3 3 2 3 2" xfId="2769"/>
    <cellStyle name="SAPBEXinputData 3 3 2 3 2 2" xfId="4168"/>
    <cellStyle name="SAPBEXinputData 3 3 2 3 2 2 2" xfId="8382"/>
    <cellStyle name="SAPBEXinputData 3 3 2 3 2 3" xfId="8453"/>
    <cellStyle name="SAPBEXinputData 3 3 2 3 3" xfId="4103"/>
    <cellStyle name="SAPBEXinputData 3 3 2 3 3 2" xfId="8165"/>
    <cellStyle name="SAPBEXinputData 3 3 2 3 4" xfId="5659"/>
    <cellStyle name="SAPBEXinputData 3 3 2 3 4 2" xfId="6890"/>
    <cellStyle name="SAPBEXinputData 3 3 2 3 5" xfId="8270"/>
    <cellStyle name="SAPBEXinputData 3 3 2 4" xfId="2353"/>
    <cellStyle name="SAPBEXinputData 3 3 2 4 2" xfId="4417"/>
    <cellStyle name="SAPBEXinputData 3 3 2 4 2 2" xfId="9029"/>
    <cellStyle name="SAPBEXinputData 3 3 2 4 3" xfId="5678"/>
    <cellStyle name="SAPBEXinputData 3 3 2 4 3 2" xfId="7611"/>
    <cellStyle name="SAPBEXinputData 3 3 2 4 4" xfId="7005"/>
    <cellStyle name="SAPBEXinputData 3 3 2 5" xfId="3301"/>
    <cellStyle name="SAPBEXinputData 3 3 2 5 2" xfId="3671"/>
    <cellStyle name="SAPBEXinputData 3 3 2 5 2 2" xfId="9706"/>
    <cellStyle name="SAPBEXinputData 3 3 2 5 3" xfId="6170"/>
    <cellStyle name="SAPBEXinputData 3 3 2 5 3 2" xfId="10064"/>
    <cellStyle name="SAPBEXinputData 3 3 2 5 4" xfId="9661"/>
    <cellStyle name="SAPBEXinputData 3 3 2 6" xfId="3266"/>
    <cellStyle name="SAPBEXinputData 3 3 2 6 2" xfId="3685"/>
    <cellStyle name="SAPBEXinputData 3 3 2 6 2 2" xfId="9049"/>
    <cellStyle name="SAPBEXinputData 3 3 2 6 3" xfId="6141"/>
    <cellStyle name="SAPBEXinputData 3 3 2 6 3 2" xfId="10035"/>
    <cellStyle name="SAPBEXinputData 3 3 2 6 4" xfId="8082"/>
    <cellStyle name="SAPBEXinputData 3 3 2 7" xfId="3139"/>
    <cellStyle name="SAPBEXinputData 3 3 2 7 2" xfId="3719"/>
    <cellStyle name="SAPBEXinputData 3 3 2 7 2 2" xfId="9149"/>
    <cellStyle name="SAPBEXinputData 3 3 2 7 3" xfId="6035"/>
    <cellStyle name="SAPBEXinputData 3 3 2 7 3 2" xfId="9929"/>
    <cellStyle name="SAPBEXinputData 3 3 2 7 4" xfId="7525"/>
    <cellStyle name="SAPBEXinputData 3 3 2 8" xfId="3504"/>
    <cellStyle name="SAPBEXinputData 3 3 2 8 2" xfId="5074"/>
    <cellStyle name="SAPBEXinputData 3 3 2 8 2 2" xfId="7526"/>
    <cellStyle name="SAPBEXinputData 3 3 2 8 3" xfId="7785"/>
    <cellStyle name="SAPBEXinputData 3 3 2 9" xfId="4289"/>
    <cellStyle name="SAPBEXinputData 3 3 2 9 2" xfId="9756"/>
    <cellStyle name="SAPBEXinputData 3 3 3" xfId="2479"/>
    <cellStyle name="SAPBEXinputData 3 3 3 2" xfId="2602"/>
    <cellStyle name="SAPBEXinputData 3 3 3 2 2" xfId="4716"/>
    <cellStyle name="SAPBEXinputData 3 3 3 2 2 2" xfId="9369"/>
    <cellStyle name="SAPBEXinputData 3 3 3 2 3" xfId="6877"/>
    <cellStyle name="SAPBEXinputData 3 3 3 3" xfId="4729"/>
    <cellStyle name="SAPBEXinputData 3 3 3 3 2" xfId="8577"/>
    <cellStyle name="SAPBEXinputData 3 3 3 4" xfId="5169"/>
    <cellStyle name="SAPBEXinputData 3 3 3 4 2" xfId="9133"/>
    <cellStyle name="SAPBEXinputData 3 3 3 5" xfId="7361"/>
    <cellStyle name="SAPBEXinputData 3 3 4" xfId="2178"/>
    <cellStyle name="SAPBEXinputData 3 3 4 2" xfId="2704"/>
    <cellStyle name="SAPBEXinputData 3 3 4 2 2" xfId="3951"/>
    <cellStyle name="SAPBEXinputData 3 3 4 2 2 2" xfId="9454"/>
    <cellStyle name="SAPBEXinputData 3 3 4 2 3" xfId="9295"/>
    <cellStyle name="SAPBEXinputData 3 3 4 3" xfId="4431"/>
    <cellStyle name="SAPBEXinputData 3 3 4 3 2" xfId="9604"/>
    <cellStyle name="SAPBEXinputData 3 3 4 4" xfId="5560"/>
    <cellStyle name="SAPBEXinputData 3 3 4 4 2" xfId="7543"/>
    <cellStyle name="SAPBEXinputData 3 3 4 5" xfId="8434"/>
    <cellStyle name="SAPBEXinputData 3 3 5" xfId="2138"/>
    <cellStyle name="SAPBEXinputData 3 3 5 2" xfId="4833"/>
    <cellStyle name="SAPBEXinputData 3 3 5 2 2" xfId="8003"/>
    <cellStyle name="SAPBEXinputData 3 3 5 3" xfId="5592"/>
    <cellStyle name="SAPBEXinputData 3 3 5 3 2" xfId="8213"/>
    <cellStyle name="SAPBEXinputData 3 3 5 4" xfId="6389"/>
    <cellStyle name="SAPBEXinputData 3 3 6" xfId="3257"/>
    <cellStyle name="SAPBEXinputData 3 3 6 2" xfId="3529"/>
    <cellStyle name="SAPBEXinputData 3 3 6 2 2" xfId="6977"/>
    <cellStyle name="SAPBEXinputData 3 3 6 3" xfId="6134"/>
    <cellStyle name="SAPBEXinputData 3 3 6 3 2" xfId="10028"/>
    <cellStyle name="SAPBEXinputData 3 3 6 4" xfId="6849"/>
    <cellStyle name="SAPBEXinputData 3 3 7" xfId="2940"/>
    <cellStyle name="SAPBEXinputData 3 3 7 2" xfId="3842"/>
    <cellStyle name="SAPBEXinputData 3 3 7 2 2" xfId="9428"/>
    <cellStyle name="SAPBEXinputData 3 3 7 3" xfId="5861"/>
    <cellStyle name="SAPBEXinputData 3 3 7 3 2" xfId="6993"/>
    <cellStyle name="SAPBEXinputData 3 3 7 4" xfId="8321"/>
    <cellStyle name="SAPBEXinputData 3 3 8" xfId="3199"/>
    <cellStyle name="SAPBEXinputData 3 3 8 2" xfId="4196"/>
    <cellStyle name="SAPBEXinputData 3 3 8 2 2" xfId="8619"/>
    <cellStyle name="SAPBEXinputData 3 3 8 3" xfId="6088"/>
    <cellStyle name="SAPBEXinputData 3 3 8 3 2" xfId="9982"/>
    <cellStyle name="SAPBEXinputData 3 3 8 4" xfId="6302"/>
    <cellStyle name="SAPBEXinputData 3 3 9" xfId="3182"/>
    <cellStyle name="SAPBEXinputData 3 3 9 2" xfId="3572"/>
    <cellStyle name="SAPBEXinputData 3 3 9 2 2" xfId="7064"/>
    <cellStyle name="SAPBEXinputData 3 3 9 3" xfId="6073"/>
    <cellStyle name="SAPBEXinputData 3 3 9 3 2" xfId="9967"/>
    <cellStyle name="SAPBEXinputData 3 3 9 4" xfId="9290"/>
    <cellStyle name="SAPBEXinputData 3 4" xfId="2031"/>
    <cellStyle name="SAPBEXinputData 3 4 10" xfId="6264"/>
    <cellStyle name="SAPBEXinputData 3 4 2" xfId="2093"/>
    <cellStyle name="SAPBEXinputData 3 4 2 2" xfId="3286"/>
    <cellStyle name="SAPBEXinputData 3 4 2 2 2" xfId="4184"/>
    <cellStyle name="SAPBEXinputData 3 4 2 2 2 2" xfId="9597"/>
    <cellStyle name="SAPBEXinputData 3 4 2 2 3" xfId="9506"/>
    <cellStyle name="SAPBEXinputData 3 4 2 3" xfId="4691"/>
    <cellStyle name="SAPBEXinputData 3 4 2 3 2" xfId="7866"/>
    <cellStyle name="SAPBEXinputData 3 4 2 4" xfId="5570"/>
    <cellStyle name="SAPBEXinputData 3 4 2 4 2" xfId="7176"/>
    <cellStyle name="SAPBEXinputData 3 4 2 5" xfId="7187"/>
    <cellStyle name="SAPBEXinputData 3 4 3" xfId="2547"/>
    <cellStyle name="SAPBEXinputData 3 4 3 2" xfId="4306"/>
    <cellStyle name="SAPBEXinputData 3 4 3 2 2" xfId="6524"/>
    <cellStyle name="SAPBEXinputData 3 4 3 3" xfId="5703"/>
    <cellStyle name="SAPBEXinputData 3 4 3 3 2" xfId="6781"/>
    <cellStyle name="SAPBEXinputData 3 4 3 4" xfId="6592"/>
    <cellStyle name="SAPBEXinputData 3 4 4" xfId="3332"/>
    <cellStyle name="SAPBEXinputData 3 4 4 2" xfId="4923"/>
    <cellStyle name="SAPBEXinputData 3 4 4 2 2" xfId="9098"/>
    <cellStyle name="SAPBEXinputData 3 4 4 3" xfId="6199"/>
    <cellStyle name="SAPBEXinputData 3 4 4 3 2" xfId="10093"/>
    <cellStyle name="SAPBEXinputData 3 4 4 4" xfId="6712"/>
    <cellStyle name="SAPBEXinputData 3 4 5" xfId="2802"/>
    <cellStyle name="SAPBEXinputData 3 4 5 2" xfId="3914"/>
    <cellStyle name="SAPBEXinputData 3 4 5 2 2" xfId="7262"/>
    <cellStyle name="SAPBEXinputData 3 4 5 3" xfId="5736"/>
    <cellStyle name="SAPBEXinputData 3 4 5 3 2" xfId="7413"/>
    <cellStyle name="SAPBEXinputData 3 4 5 4" xfId="6568"/>
    <cellStyle name="SAPBEXinputData 3 4 6" xfId="3367"/>
    <cellStyle name="SAPBEXinputData 3 4 6 2" xfId="4956"/>
    <cellStyle name="SAPBEXinputData 3 4 6 2 2" xfId="7632"/>
    <cellStyle name="SAPBEXinputData 3 4 6 3" xfId="6232"/>
    <cellStyle name="SAPBEXinputData 3 4 6 3 2" xfId="10126"/>
    <cellStyle name="SAPBEXinputData 3 4 6 4" xfId="8737"/>
    <cellStyle name="SAPBEXinputData 3 4 7" xfId="3514"/>
    <cellStyle name="SAPBEXinputData 3 4 7 2" xfId="5084"/>
    <cellStyle name="SAPBEXinputData 3 4 7 2 2" xfId="8853"/>
    <cellStyle name="SAPBEXinputData 3 4 7 3" xfId="7093"/>
    <cellStyle name="SAPBEXinputData 3 4 8" xfId="3985"/>
    <cellStyle name="SAPBEXinputData 3 4 8 2" xfId="9066"/>
    <cellStyle name="SAPBEXinputData 3 4 9" xfId="5137"/>
    <cellStyle name="SAPBEXinputData 3 4 9 2" xfId="8751"/>
    <cellStyle name="SAPBEXinputData 3 5" xfId="2230"/>
    <cellStyle name="SAPBEXinputData 3 5 2" xfId="2630"/>
    <cellStyle name="SAPBEXinputData 3 5 2 2" xfId="4444"/>
    <cellStyle name="SAPBEXinputData 3 5 2 2 2" xfId="6753"/>
    <cellStyle name="SAPBEXinputData 3 5 2 3" xfId="8296"/>
    <cellStyle name="SAPBEXinputData 3 5 3" xfId="4468"/>
    <cellStyle name="SAPBEXinputData 3 5 3 2" xfId="7721"/>
    <cellStyle name="SAPBEXinputData 3 5 4" xfId="5435"/>
    <cellStyle name="SAPBEXinputData 3 5 4 2" xfId="8202"/>
    <cellStyle name="SAPBEXinputData 3 5 5" xfId="7318"/>
    <cellStyle name="SAPBEXinputData 3 6" xfId="2369"/>
    <cellStyle name="SAPBEXinputData 3 6 2" xfId="4792"/>
    <cellStyle name="SAPBEXinputData 3 6 2 2" xfId="6388"/>
    <cellStyle name="SAPBEXinputData 3 6 3" xfId="5686"/>
    <cellStyle name="SAPBEXinputData 3 6 3 2" xfId="7977"/>
    <cellStyle name="SAPBEXinputData 3 6 4" xfId="8340"/>
    <cellStyle name="SAPBEXinputData 3 7" xfId="2861"/>
    <cellStyle name="SAPBEXinputData 3 7 2" xfId="3887"/>
    <cellStyle name="SAPBEXinputData 3 7 2 2" xfId="9606"/>
    <cellStyle name="SAPBEXinputData 3 7 3" xfId="5792"/>
    <cellStyle name="SAPBEXinputData 3 7 3 2" xfId="6770"/>
    <cellStyle name="SAPBEXinputData 3 7 4" xfId="6706"/>
    <cellStyle name="SAPBEXinputData 3 8" xfId="3255"/>
    <cellStyle name="SAPBEXinputData 3 8 2" xfId="4311"/>
    <cellStyle name="SAPBEXinputData 3 8 2 2" xfId="6837"/>
    <cellStyle name="SAPBEXinputData 3 8 3" xfId="6132"/>
    <cellStyle name="SAPBEXinputData 3 8 3 2" xfId="10026"/>
    <cellStyle name="SAPBEXinputData 3 8 4" xfId="7594"/>
    <cellStyle name="SAPBEXinputData 3 9" xfId="2763"/>
    <cellStyle name="SAPBEXinputData 3 9 2" xfId="4170"/>
    <cellStyle name="SAPBEXinputData 3 9 2 2" xfId="9262"/>
    <cellStyle name="SAPBEXinputData 3 9 3" xfId="5706"/>
    <cellStyle name="SAPBEXinputData 3 9 3 2" xfId="6306"/>
    <cellStyle name="SAPBEXinputData 3 9 4" xfId="8545"/>
    <cellStyle name="SAPBEXinputData 4" xfId="1429"/>
    <cellStyle name="SAPBEXinputData 4 10" xfId="3419"/>
    <cellStyle name="SAPBEXinputData 4 10 2" xfId="4992"/>
    <cellStyle name="SAPBEXinputData 4 10 2 2" xfId="8216"/>
    <cellStyle name="SAPBEXinputData 4 10 3" xfId="6989"/>
    <cellStyle name="SAPBEXinputData 4 11" xfId="3666"/>
    <cellStyle name="SAPBEXinputData 4 11 2" xfId="8754"/>
    <cellStyle name="SAPBEXinputData 4 12" xfId="9437"/>
    <cellStyle name="SAPBEXinputData 4 2" xfId="1765"/>
    <cellStyle name="SAPBEXinputData 4 2 10" xfId="3494"/>
    <cellStyle name="SAPBEXinputData 4 2 10 2" xfId="5064"/>
    <cellStyle name="SAPBEXinputData 4 2 10 2 2" xfId="9646"/>
    <cellStyle name="SAPBEXinputData 4 2 10 3" xfId="8684"/>
    <cellStyle name="SAPBEXinputData 4 2 11" xfId="4239"/>
    <cellStyle name="SAPBEXinputData 4 2 11 2" xfId="9564"/>
    <cellStyle name="SAPBEXinputData 4 2 12" xfId="6446"/>
    <cellStyle name="SAPBEXinputData 4 2 2" xfId="1596"/>
    <cellStyle name="SAPBEXinputData 4 2 2 10" xfId="8719"/>
    <cellStyle name="SAPBEXinputData 4 2 2 2" xfId="2436"/>
    <cellStyle name="SAPBEXinputData 4 2 2 2 2" xfId="2570"/>
    <cellStyle name="SAPBEXinputData 4 2 2 2 2 2" xfId="4478"/>
    <cellStyle name="SAPBEXinputData 4 2 2 2 2 2 2" xfId="9511"/>
    <cellStyle name="SAPBEXinputData 4 2 2 2 2 3" xfId="8996"/>
    <cellStyle name="SAPBEXinputData 4 2 2 2 3" xfId="4111"/>
    <cellStyle name="SAPBEXinputData 4 2 2 2 3 2" xfId="8662"/>
    <cellStyle name="SAPBEXinputData 4 2 2 2 4" xfId="6702"/>
    <cellStyle name="SAPBEXinputData 4 2 2 3" xfId="2217"/>
    <cellStyle name="SAPBEXinputData 4 2 2 3 2" xfId="2980"/>
    <cellStyle name="SAPBEXinputData 4 2 2 3 2 2" xfId="4149"/>
    <cellStyle name="SAPBEXinputData 4 2 2 3 2 2 2" xfId="7291"/>
    <cellStyle name="SAPBEXinputData 4 2 2 3 2 3" xfId="9238"/>
    <cellStyle name="SAPBEXinputData 4 2 2 3 3" xfId="4295"/>
    <cellStyle name="SAPBEXinputData 4 2 2 3 3 2" xfId="9609"/>
    <cellStyle name="SAPBEXinputData 4 2 2 3 4" xfId="5623"/>
    <cellStyle name="SAPBEXinputData 4 2 2 3 4 2" xfId="6665"/>
    <cellStyle name="SAPBEXinputData 4 2 2 3 5" xfId="9331"/>
    <cellStyle name="SAPBEXinputData 4 2 2 4" xfId="2306"/>
    <cellStyle name="SAPBEXinputData 4 2 2 4 2" xfId="4730"/>
    <cellStyle name="SAPBEXinputData 4 2 2 4 2 2" xfId="8132"/>
    <cellStyle name="SAPBEXinputData 4 2 2 4 3" xfId="5654"/>
    <cellStyle name="SAPBEXinputData 4 2 2 4 3 2" xfId="7538"/>
    <cellStyle name="SAPBEXinputData 4 2 2 4 4" xfId="6391"/>
    <cellStyle name="SAPBEXinputData 4 2 2 5" xfId="2921"/>
    <cellStyle name="SAPBEXinputData 4 2 2 5 2" xfId="4274"/>
    <cellStyle name="SAPBEXinputData 4 2 2 5 2 2" xfId="7017"/>
    <cellStyle name="SAPBEXinputData 4 2 2 5 3" xfId="5850"/>
    <cellStyle name="SAPBEXinputData 4 2 2 5 3 2" xfId="7173"/>
    <cellStyle name="SAPBEXinputData 4 2 2 5 4" xfId="7534"/>
    <cellStyle name="SAPBEXinputData 4 2 2 6" xfId="3252"/>
    <cellStyle name="SAPBEXinputData 4 2 2 6 2" xfId="3563"/>
    <cellStyle name="SAPBEXinputData 4 2 2 6 2 2" xfId="9657"/>
    <cellStyle name="SAPBEXinputData 4 2 2 6 3" xfId="6129"/>
    <cellStyle name="SAPBEXinputData 4 2 2 6 3 2" xfId="10023"/>
    <cellStyle name="SAPBEXinputData 4 2 2 6 4" xfId="7574"/>
    <cellStyle name="SAPBEXinputData 4 2 2 7" xfId="3236"/>
    <cellStyle name="SAPBEXinputData 4 2 2 7 2" xfId="3692"/>
    <cellStyle name="SAPBEXinputData 4 2 2 7 2 2" xfId="9738"/>
    <cellStyle name="SAPBEXinputData 4 2 2 7 3" xfId="6118"/>
    <cellStyle name="SAPBEXinputData 4 2 2 7 3 2" xfId="10012"/>
    <cellStyle name="SAPBEXinputData 4 2 2 7 4" xfId="7852"/>
    <cellStyle name="SAPBEXinputData 4 2 2 8" xfId="3435"/>
    <cellStyle name="SAPBEXinputData 4 2 2 8 2" xfId="5006"/>
    <cellStyle name="SAPBEXinputData 4 2 2 8 2 2" xfId="9660"/>
    <cellStyle name="SAPBEXinputData 4 2 2 8 3" xfId="8598"/>
    <cellStyle name="SAPBEXinputData 4 2 2 9" xfId="3995"/>
    <cellStyle name="SAPBEXinputData 4 2 2 9 2" xfId="9705"/>
    <cellStyle name="SAPBEXinputData 4 2 3" xfId="2480"/>
    <cellStyle name="SAPBEXinputData 4 2 3 2" xfId="2603"/>
    <cellStyle name="SAPBEXinputData 4 2 3 2 2" xfId="4446"/>
    <cellStyle name="SAPBEXinputData 4 2 3 2 2 2" xfId="8655"/>
    <cellStyle name="SAPBEXinputData 4 2 3 2 3" xfId="8360"/>
    <cellStyle name="SAPBEXinputData 4 2 3 3" xfId="4774"/>
    <cellStyle name="SAPBEXinputData 4 2 3 3 2" xfId="6966"/>
    <cellStyle name="SAPBEXinputData 4 2 3 4" xfId="5176"/>
    <cellStyle name="SAPBEXinputData 4 2 3 4 2" xfId="7805"/>
    <cellStyle name="SAPBEXinputData 4 2 3 5" xfId="7362"/>
    <cellStyle name="SAPBEXinputData 4 2 4" xfId="2177"/>
    <cellStyle name="SAPBEXinputData 4 2 4 2" xfId="2705"/>
    <cellStyle name="SAPBEXinputData 4 2 4 2 2" xfId="3950"/>
    <cellStyle name="SAPBEXinputData 4 2 4 2 2 2" xfId="7672"/>
    <cellStyle name="SAPBEXinputData 4 2 4 2 3" xfId="7392"/>
    <cellStyle name="SAPBEXinputData 4 2 4 3" xfId="4703"/>
    <cellStyle name="SAPBEXinputData 4 2 4 3 2" xfId="7385"/>
    <cellStyle name="SAPBEXinputData 4 2 4 4" xfId="5561"/>
    <cellStyle name="SAPBEXinputData 4 2 4 4 2" xfId="6663"/>
    <cellStyle name="SAPBEXinputData 4 2 4 5" xfId="9304"/>
    <cellStyle name="SAPBEXinputData 4 2 5" xfId="2286"/>
    <cellStyle name="SAPBEXinputData 4 2 5 2" xfId="4721"/>
    <cellStyle name="SAPBEXinputData 4 2 5 2 2" xfId="9091"/>
    <cellStyle name="SAPBEXinputData 4 2 5 3" xfId="5645"/>
    <cellStyle name="SAPBEXinputData 4 2 5 3 2" xfId="7271"/>
    <cellStyle name="SAPBEXinputData 4 2 5 4" xfId="7945"/>
    <cellStyle name="SAPBEXinputData 4 2 6" xfId="3198"/>
    <cellStyle name="SAPBEXinputData 4 2 6 2" xfId="3702"/>
    <cellStyle name="SAPBEXinputData 4 2 6 2 2" xfId="8991"/>
    <cellStyle name="SAPBEXinputData 4 2 6 3" xfId="6087"/>
    <cellStyle name="SAPBEXinputData 4 2 6 3 2" xfId="9981"/>
    <cellStyle name="SAPBEXinputData 4 2 6 4" xfId="7500"/>
    <cellStyle name="SAPBEXinputData 4 2 7" xfId="2928"/>
    <cellStyle name="SAPBEXinputData 4 2 7 2" xfId="3848"/>
    <cellStyle name="SAPBEXinputData 4 2 7 2 2" xfId="8642"/>
    <cellStyle name="SAPBEXinputData 4 2 7 3" xfId="5857"/>
    <cellStyle name="SAPBEXinputData 4 2 7 3 2" xfId="6547"/>
    <cellStyle name="SAPBEXinputData 4 2 7 4" xfId="7575"/>
    <cellStyle name="SAPBEXinputData 4 2 8" xfId="3235"/>
    <cellStyle name="SAPBEXinputData 4 2 8 2" xfId="4191"/>
    <cellStyle name="SAPBEXinputData 4 2 8 2 2" xfId="9052"/>
    <cellStyle name="SAPBEXinputData 4 2 8 3" xfId="6117"/>
    <cellStyle name="SAPBEXinputData 4 2 8 3 2" xfId="10011"/>
    <cellStyle name="SAPBEXinputData 4 2 8 4" xfId="6810"/>
    <cellStyle name="SAPBEXinputData 4 2 9" xfId="3342"/>
    <cellStyle name="SAPBEXinputData 4 2 9 2" xfId="4933"/>
    <cellStyle name="SAPBEXinputData 4 2 9 2 2" xfId="9132"/>
    <cellStyle name="SAPBEXinputData 4 2 9 3" xfId="6209"/>
    <cellStyle name="SAPBEXinputData 4 2 9 3 2" xfId="10103"/>
    <cellStyle name="SAPBEXinputData 4 2 9 4" xfId="7087"/>
    <cellStyle name="SAPBEXinputData 4 3" xfId="2413"/>
    <cellStyle name="SAPBEXinputData 4 3 2" xfId="2555"/>
    <cellStyle name="SAPBEXinputData 4 3 2 2" xfId="3969"/>
    <cellStyle name="SAPBEXinputData 4 3 2 2 2" xfId="9128"/>
    <cellStyle name="SAPBEXinputData 4 3 2 3" xfId="9227"/>
    <cellStyle name="SAPBEXinputData 4 3 3" xfId="4655"/>
    <cellStyle name="SAPBEXinputData 4 3 3 2" xfId="9419"/>
    <cellStyle name="SAPBEXinputData 4 3 4" xfId="5314"/>
    <cellStyle name="SAPBEXinputData 4 3 4 2" xfId="7836"/>
    <cellStyle name="SAPBEXinputData 4 3 5" xfId="8355"/>
    <cellStyle name="SAPBEXinputData 4 4" xfId="2229"/>
    <cellStyle name="SAPBEXinputData 4 4 2" xfId="2629"/>
    <cellStyle name="SAPBEXinputData 4 4 2 2" xfId="4616"/>
    <cellStyle name="SAPBEXinputData 4 4 2 2 2" xfId="9626"/>
    <cellStyle name="SAPBEXinputData 4 4 2 3" xfId="7829"/>
    <cellStyle name="SAPBEXinputData 4 4 3" xfId="4742"/>
    <cellStyle name="SAPBEXinputData 4 4 3 2" xfId="8231"/>
    <cellStyle name="SAPBEXinputData 4 4 4" xfId="5434"/>
    <cellStyle name="SAPBEXinputData 4 4 4 2" xfId="8227"/>
    <cellStyle name="SAPBEXinputData 4 4 5" xfId="9210"/>
    <cellStyle name="SAPBEXinputData 4 5" xfId="2204"/>
    <cellStyle name="SAPBEXinputData 4 5 2" xfId="4673"/>
    <cellStyle name="SAPBEXinputData 4 5 2 2" xfId="9746"/>
    <cellStyle name="SAPBEXinputData 4 5 3" xfId="5611"/>
    <cellStyle name="SAPBEXinputData 4 5 3 2" xfId="7235"/>
    <cellStyle name="SAPBEXinputData 4 5 4" xfId="6759"/>
    <cellStyle name="SAPBEXinputData 4 6" xfId="3265"/>
    <cellStyle name="SAPBEXinputData 4 6 2" xfId="4187"/>
    <cellStyle name="SAPBEXinputData 4 6 2 2" xfId="9436"/>
    <cellStyle name="SAPBEXinputData 4 6 3" xfId="6140"/>
    <cellStyle name="SAPBEXinputData 4 6 3 2" xfId="10034"/>
    <cellStyle name="SAPBEXinputData 4 6 4" xfId="7048"/>
    <cellStyle name="SAPBEXinputData 4 7" xfId="3105"/>
    <cellStyle name="SAPBEXinputData 4 7 2" xfId="4207"/>
    <cellStyle name="SAPBEXinputData 4 7 2 2" xfId="7001"/>
    <cellStyle name="SAPBEXinputData 4 7 3" xfId="6002"/>
    <cellStyle name="SAPBEXinputData 4 7 3 2" xfId="9896"/>
    <cellStyle name="SAPBEXinputData 4 7 4" xfId="7529"/>
    <cellStyle name="SAPBEXinputData 4 8" xfId="3007"/>
    <cellStyle name="SAPBEXinputData 4 8 2" xfId="4047"/>
    <cellStyle name="SAPBEXinputData 4 8 2 2" xfId="9144"/>
    <cellStyle name="SAPBEXinputData 4 8 3" xfId="5909"/>
    <cellStyle name="SAPBEXinputData 4 8 3 2" xfId="9803"/>
    <cellStyle name="SAPBEXinputData 4 8 4" xfId="6279"/>
    <cellStyle name="SAPBEXinputData 4 9" xfId="3285"/>
    <cellStyle name="SAPBEXinputData 4 9 2" xfId="4308"/>
    <cellStyle name="SAPBEXinputData 4 9 2 2" xfId="9324"/>
    <cellStyle name="SAPBEXinputData 4 9 3" xfId="6156"/>
    <cellStyle name="SAPBEXinputData 4 9 3 2" xfId="10050"/>
    <cellStyle name="SAPBEXinputData 4 9 4" xfId="8449"/>
    <cellStyle name="SAPBEXinputData 5" xfId="1430"/>
    <cellStyle name="SAPBEXinputData 5 10" xfId="3420"/>
    <cellStyle name="SAPBEXinputData 5 10 2" xfId="4993"/>
    <cellStyle name="SAPBEXinputData 5 10 2 2" xfId="7054"/>
    <cellStyle name="SAPBEXinputData 5 10 3" xfId="7592"/>
    <cellStyle name="SAPBEXinputData 5 11" xfId="3665"/>
    <cellStyle name="SAPBEXinputData 5 11 2" xfId="9716"/>
    <cellStyle name="SAPBEXinputData 5 12" xfId="9048"/>
    <cellStyle name="SAPBEXinputData 5 2" xfId="1766"/>
    <cellStyle name="SAPBEXinputData 5 2 10" xfId="3495"/>
    <cellStyle name="SAPBEXinputData 5 2 10 2" xfId="5065"/>
    <cellStyle name="SAPBEXinputData 5 2 10 2 2" xfId="7753"/>
    <cellStyle name="SAPBEXinputData 5 2 10 3" xfId="7493"/>
    <cellStyle name="SAPBEXinputData 5 2 11" xfId="3616"/>
    <cellStyle name="SAPBEXinputData 5 2 11 2" xfId="8704"/>
    <cellStyle name="SAPBEXinputData 5 2 12" xfId="7243"/>
    <cellStyle name="SAPBEXinputData 5 2 2" xfId="1566"/>
    <cellStyle name="SAPBEXinputData 5 2 2 10" xfId="9252"/>
    <cellStyle name="SAPBEXinputData 5 2 2 2" xfId="2427"/>
    <cellStyle name="SAPBEXinputData 5 2 2 2 2" xfId="2561"/>
    <cellStyle name="SAPBEXinputData 5 2 2 2 2 2" xfId="4602"/>
    <cellStyle name="SAPBEXinputData 5 2 2 2 2 2 2" xfId="9467"/>
    <cellStyle name="SAPBEXinputData 5 2 2 2 2 3" xfId="6842"/>
    <cellStyle name="SAPBEXinputData 5 2 2 2 3" xfId="4657"/>
    <cellStyle name="SAPBEXinputData 5 2 2 2 3 2" xfId="6747"/>
    <cellStyle name="SAPBEXinputData 5 2 2 2 4" xfId="6440"/>
    <cellStyle name="SAPBEXinputData 5 2 2 3" xfId="2327"/>
    <cellStyle name="SAPBEXinputData 5 2 2 3 2" xfId="2985"/>
    <cellStyle name="SAPBEXinputData 5 2 2 3 2 2" xfId="3810"/>
    <cellStyle name="SAPBEXinputData 5 2 2 3 2 2 2" xfId="7826"/>
    <cellStyle name="SAPBEXinputData 5 2 2 3 2 3" xfId="9258"/>
    <cellStyle name="SAPBEXinputData 5 2 2 3 3" xfId="4796"/>
    <cellStyle name="SAPBEXinputData 5 2 2 3 3 2" xfId="9377"/>
    <cellStyle name="SAPBEXinputData 5 2 2 3 4" xfId="5664"/>
    <cellStyle name="SAPBEXinputData 5 2 2 3 4 2" xfId="8137"/>
    <cellStyle name="SAPBEXinputData 5 2 2 3 5" xfId="6357"/>
    <cellStyle name="SAPBEXinputData 5 2 2 4" xfId="2128"/>
    <cellStyle name="SAPBEXinputData 5 2 2 4 2" xfId="4804"/>
    <cellStyle name="SAPBEXinputData 5 2 2 4 2 2" xfId="7911"/>
    <cellStyle name="SAPBEXinputData 5 2 2 4 3" xfId="5585"/>
    <cellStyle name="SAPBEXinputData 5 2 2 4 3 2" xfId="6543"/>
    <cellStyle name="SAPBEXinputData 5 2 2 4 4" xfId="6885"/>
    <cellStyle name="SAPBEXinputData 5 2 2 5" xfId="3151"/>
    <cellStyle name="SAPBEXinputData 5 2 2 5 2" xfId="3716"/>
    <cellStyle name="SAPBEXinputData 5 2 2 5 2 2" xfId="7312"/>
    <cellStyle name="SAPBEXinputData 5 2 2 5 3" xfId="6045"/>
    <cellStyle name="SAPBEXinputData 5 2 2 5 3 2" xfId="9939"/>
    <cellStyle name="SAPBEXinputData 5 2 2 5 4" xfId="8430"/>
    <cellStyle name="SAPBEXinputData 5 2 2 6" xfId="2996"/>
    <cellStyle name="SAPBEXinputData 5 2 2 6 2" xfId="3590"/>
    <cellStyle name="SAPBEXinputData 5 2 2 6 2 2" xfId="6729"/>
    <cellStyle name="SAPBEXinputData 5 2 2 6 3" xfId="5899"/>
    <cellStyle name="SAPBEXinputData 5 2 2 6 3 2" xfId="9793"/>
    <cellStyle name="SAPBEXinputData 5 2 2 6 4" xfId="7931"/>
    <cellStyle name="SAPBEXinputData 5 2 2 7" xfId="3323"/>
    <cellStyle name="SAPBEXinputData 5 2 2 7 2" xfId="3532"/>
    <cellStyle name="SAPBEXinputData 5 2 2 7 2 2" xfId="7143"/>
    <cellStyle name="SAPBEXinputData 5 2 2 7 3" xfId="6191"/>
    <cellStyle name="SAPBEXinputData 5 2 2 7 3 2" xfId="10085"/>
    <cellStyle name="SAPBEXinputData 5 2 2 7 4" xfId="7689"/>
    <cellStyle name="SAPBEXinputData 5 2 2 8" xfId="3427"/>
    <cellStyle name="SAPBEXinputData 5 2 2 8 2" xfId="4998"/>
    <cellStyle name="SAPBEXinputData 5 2 2 8 2 2" xfId="9292"/>
    <cellStyle name="SAPBEXinputData 5 2 2 8 3" xfId="6930"/>
    <cellStyle name="SAPBEXinputData 5 2 2 9" xfId="3659"/>
    <cellStyle name="SAPBEXinputData 5 2 2 9 2" xfId="9389"/>
    <cellStyle name="SAPBEXinputData 5 2 3" xfId="2481"/>
    <cellStyle name="SAPBEXinputData 5 2 3 2" xfId="2604"/>
    <cellStyle name="SAPBEXinputData 5 2 3 2 2" xfId="4696"/>
    <cellStyle name="SAPBEXinputData 5 2 3 2 2 2" xfId="7673"/>
    <cellStyle name="SAPBEXinputData 5 2 3 2 3" xfId="6820"/>
    <cellStyle name="SAPBEXinputData 5 2 3 3" xfId="4781"/>
    <cellStyle name="SAPBEXinputData 5 2 3 3 2" xfId="9544"/>
    <cellStyle name="SAPBEXinputData 5 2 3 4" xfId="5356"/>
    <cellStyle name="SAPBEXinputData 5 2 3 4 2" xfId="7513"/>
    <cellStyle name="SAPBEXinputData 5 2 3 5" xfId="8269"/>
    <cellStyle name="SAPBEXinputData 5 2 4" xfId="2176"/>
    <cellStyle name="SAPBEXinputData 5 2 4 2" xfId="2706"/>
    <cellStyle name="SAPBEXinputData 5 2 4 2 2" xfId="3949"/>
    <cellStyle name="SAPBEXinputData 5 2 4 2 2 2" xfId="9043"/>
    <cellStyle name="SAPBEXinputData 5 2 4 2 3" xfId="8205"/>
    <cellStyle name="SAPBEXinputData 5 2 4 3" xfId="4809"/>
    <cellStyle name="SAPBEXinputData 5 2 4 3 2" xfId="7417"/>
    <cellStyle name="SAPBEXinputData 5 2 4 4" xfId="5562"/>
    <cellStyle name="SAPBEXinputData 5 2 4 4 2" xfId="8476"/>
    <cellStyle name="SAPBEXinputData 5 2 4 5" xfId="7974"/>
    <cellStyle name="SAPBEXinputData 5 2 5" xfId="2261"/>
    <cellStyle name="SAPBEXinputData 5 2 5 2" xfId="4648"/>
    <cellStyle name="SAPBEXinputData 5 2 5 2 2" xfId="8176"/>
    <cellStyle name="SAPBEXinputData 5 2 5 3" xfId="5635"/>
    <cellStyle name="SAPBEXinputData 5 2 5 3 2" xfId="7345"/>
    <cellStyle name="SAPBEXinputData 5 2 5 4" xfId="7297"/>
    <cellStyle name="SAPBEXinputData 5 2 6" xfId="3138"/>
    <cellStyle name="SAPBEXinputData 5 2 6 2" xfId="3720"/>
    <cellStyle name="SAPBEXinputData 5 2 6 2 2" xfId="7099"/>
    <cellStyle name="SAPBEXinputData 5 2 6 3" xfId="6034"/>
    <cellStyle name="SAPBEXinputData 5 2 6 3 2" xfId="9928"/>
    <cellStyle name="SAPBEXinputData 5 2 6 4" xfId="7106"/>
    <cellStyle name="SAPBEXinputData 5 2 7" xfId="3251"/>
    <cellStyle name="SAPBEXinputData 5 2 7 2" xfId="3689"/>
    <cellStyle name="SAPBEXinputData 5 2 7 2 2" xfId="8745"/>
    <cellStyle name="SAPBEXinputData 5 2 7 3" xfId="6128"/>
    <cellStyle name="SAPBEXinputData 5 2 7 3 2" xfId="10022"/>
    <cellStyle name="SAPBEXinputData 5 2 7 4" xfId="7467"/>
    <cellStyle name="SAPBEXinputData 5 2 8" xfId="3242"/>
    <cellStyle name="SAPBEXinputData 5 2 8 2" xfId="3564"/>
    <cellStyle name="SAPBEXinputData 5 2 8 2 2" xfId="8119"/>
    <cellStyle name="SAPBEXinputData 5 2 8 3" xfId="6124"/>
    <cellStyle name="SAPBEXinputData 5 2 8 3 2" xfId="10018"/>
    <cellStyle name="SAPBEXinputData 5 2 8 4" xfId="6494"/>
    <cellStyle name="SAPBEXinputData 5 2 9" xfId="3001"/>
    <cellStyle name="SAPBEXinputData 5 2 9 2" xfId="3804"/>
    <cellStyle name="SAPBEXinputData 5 2 9 2 2" xfId="7869"/>
    <cellStyle name="SAPBEXinputData 5 2 9 3" xfId="5904"/>
    <cellStyle name="SAPBEXinputData 5 2 9 3 2" xfId="9798"/>
    <cellStyle name="SAPBEXinputData 5 2 9 4" xfId="7012"/>
    <cellStyle name="SAPBEXinputData 5 3" xfId="2414"/>
    <cellStyle name="SAPBEXinputData 5 3 2" xfId="2556"/>
    <cellStyle name="SAPBEXinputData 5 3 2 2" xfId="4684"/>
    <cellStyle name="SAPBEXinputData 5 3 2 2 2" xfId="8857"/>
    <cellStyle name="SAPBEXinputData 5 3 2 3" xfId="9260"/>
    <cellStyle name="SAPBEXinputData 5 3 3" xfId="4737"/>
    <cellStyle name="SAPBEXinputData 5 3 3 2" xfId="9573"/>
    <cellStyle name="SAPBEXinputData 5 3 4" xfId="5105"/>
    <cellStyle name="SAPBEXinputData 5 3 4 2" xfId="7899"/>
    <cellStyle name="SAPBEXinputData 5 3 5" xfId="7528"/>
    <cellStyle name="SAPBEXinputData 5 4" xfId="2228"/>
    <cellStyle name="SAPBEXinputData 5 4 2" xfId="2633"/>
    <cellStyle name="SAPBEXinputData 5 4 2 2" xfId="4839"/>
    <cellStyle name="SAPBEXinputData 5 4 2 2 2" xfId="9108"/>
    <cellStyle name="SAPBEXinputData 5 4 2 3" xfId="7346"/>
    <cellStyle name="SAPBEXinputData 5 4 3" xfId="4653"/>
    <cellStyle name="SAPBEXinputData 5 4 3 2" xfId="8715"/>
    <cellStyle name="SAPBEXinputData 5 4 4" xfId="5464"/>
    <cellStyle name="SAPBEXinputData 5 4 4 2" xfId="6359"/>
    <cellStyle name="SAPBEXinputData 5 4 5" xfId="8523"/>
    <cellStyle name="SAPBEXinputData 5 5" xfId="2125"/>
    <cellStyle name="SAPBEXinputData 5 5 2" xfId="4419"/>
    <cellStyle name="SAPBEXinputData 5 5 2 2" xfId="9399"/>
    <cellStyle name="SAPBEXinputData 5 5 3" xfId="5583"/>
    <cellStyle name="SAPBEXinputData 5 5 3 2" xfId="8384"/>
    <cellStyle name="SAPBEXinputData 5 5 4" xfId="9231"/>
    <cellStyle name="SAPBEXinputData 5 6" xfId="2862"/>
    <cellStyle name="SAPBEXinputData 5 6 2" xfId="3886"/>
    <cellStyle name="SAPBEXinputData 5 6 2 2" xfId="7127"/>
    <cellStyle name="SAPBEXinputData 5 6 3" xfId="5793"/>
    <cellStyle name="SAPBEXinputData 5 6 3 2" xfId="6664"/>
    <cellStyle name="SAPBEXinputData 5 6 4" xfId="9548"/>
    <cellStyle name="SAPBEXinputData 5 7" xfId="3065"/>
    <cellStyle name="SAPBEXinputData 5 7 2" xfId="3764"/>
    <cellStyle name="SAPBEXinputData 5 7 2 2" xfId="8490"/>
    <cellStyle name="SAPBEXinputData 5 7 3" xfId="5965"/>
    <cellStyle name="SAPBEXinputData 5 7 3 2" xfId="9859"/>
    <cellStyle name="SAPBEXinputData 5 7 4" xfId="9347"/>
    <cellStyle name="SAPBEXinputData 5 8" xfId="2893"/>
    <cellStyle name="SAPBEXinputData 5 8 2" xfId="3596"/>
    <cellStyle name="SAPBEXinputData 5 8 2 2" xfId="8503"/>
    <cellStyle name="SAPBEXinputData 5 8 3" xfId="5824"/>
    <cellStyle name="SAPBEXinputData 5 8 3 2" xfId="8130"/>
    <cellStyle name="SAPBEXinputData 5 8 4" xfId="7226"/>
    <cellStyle name="SAPBEXinputData 5 9" xfId="3204"/>
    <cellStyle name="SAPBEXinputData 5 9 2" xfId="4318"/>
    <cellStyle name="SAPBEXinputData 5 9 2 2" xfId="8530"/>
    <cellStyle name="SAPBEXinputData 5 9 3" xfId="6093"/>
    <cellStyle name="SAPBEXinputData 5 9 3 2" xfId="9987"/>
    <cellStyle name="SAPBEXinputData 5 9 4" xfId="7280"/>
    <cellStyle name="SAPBEXinputData 6" xfId="1431"/>
    <cellStyle name="SAPBEXinputData 6 10" xfId="3421"/>
    <cellStyle name="SAPBEXinputData 6 10 2" xfId="4994"/>
    <cellStyle name="SAPBEXinputData 6 10 2 2" xfId="9416"/>
    <cellStyle name="SAPBEXinputData 6 10 3" xfId="6983"/>
    <cellStyle name="SAPBEXinputData 6 11" xfId="3664"/>
    <cellStyle name="SAPBEXinputData 6 11 2" xfId="7424"/>
    <cellStyle name="SAPBEXinputData 6 12" xfId="8622"/>
    <cellStyle name="SAPBEXinputData 6 2" xfId="1767"/>
    <cellStyle name="SAPBEXinputData 6 2 10" xfId="3496"/>
    <cellStyle name="SAPBEXinputData 6 2 10 2" xfId="5066"/>
    <cellStyle name="SAPBEXinputData 6 2 10 2 2" xfId="6708"/>
    <cellStyle name="SAPBEXinputData 6 2 10 3" xfId="9490"/>
    <cellStyle name="SAPBEXinputData 6 2 11" xfId="3615"/>
    <cellStyle name="SAPBEXinputData 6 2 11 2" xfId="9663"/>
    <cellStyle name="SAPBEXinputData 6 2 12" xfId="8290"/>
    <cellStyle name="SAPBEXinputData 6 2 2" xfId="1751"/>
    <cellStyle name="SAPBEXinputData 6 2 2 10" xfId="6283"/>
    <cellStyle name="SAPBEXinputData 6 2 2 2" xfId="2466"/>
    <cellStyle name="SAPBEXinputData 6 2 2 2 2" xfId="2589"/>
    <cellStyle name="SAPBEXinputData 6 2 2 2 2 2" xfId="4603"/>
    <cellStyle name="SAPBEXinputData 6 2 2 2 2 2 2" xfId="9023"/>
    <cellStyle name="SAPBEXinputData 6 2 2 2 2 3" xfId="7269"/>
    <cellStyle name="SAPBEXinputData 6 2 2 2 3" xfId="3981"/>
    <cellStyle name="SAPBEXinputData 6 2 2 2 3 2" xfId="9056"/>
    <cellStyle name="SAPBEXinputData 6 2 2 2 4" xfId="6634"/>
    <cellStyle name="SAPBEXinputData 6 2 2 3" xfId="2189"/>
    <cellStyle name="SAPBEXinputData 6 2 2 3 2" xfId="2935"/>
    <cellStyle name="SAPBEXinputData 6 2 2 3 2 2" xfId="4221"/>
    <cellStyle name="SAPBEXinputData 6 2 2 3 2 2 2" xfId="9500"/>
    <cellStyle name="SAPBEXinputData 6 2 2 3 2 3" xfId="6371"/>
    <cellStyle name="SAPBEXinputData 6 2 2 3 3" xfId="4294"/>
    <cellStyle name="SAPBEXinputData 6 2 2 3 3 2" xfId="8504"/>
    <cellStyle name="SAPBEXinputData 6 2 2 3 4" xfId="5606"/>
    <cellStyle name="SAPBEXinputData 6 2 2 3 4 2" xfId="6725"/>
    <cellStyle name="SAPBEXinputData 6 2 2 3 5" xfId="7315"/>
    <cellStyle name="SAPBEXinputData 6 2 2 4" xfId="2339"/>
    <cellStyle name="SAPBEXinputData 6 2 2 4 2" xfId="4599"/>
    <cellStyle name="SAPBEXinputData 6 2 2 4 2 2" xfId="9469"/>
    <cellStyle name="SAPBEXinputData 6 2 2 4 3" xfId="5670"/>
    <cellStyle name="SAPBEXinputData 6 2 2 4 3 2" xfId="6342"/>
    <cellStyle name="SAPBEXinputData 6 2 2 4 4" xfId="8429"/>
    <cellStyle name="SAPBEXinputData 6 2 2 5" xfId="3144"/>
    <cellStyle name="SAPBEXinputData 6 2 2 5 2" xfId="4073"/>
    <cellStyle name="SAPBEXinputData 6 2 2 5 2 2" xfId="6900"/>
    <cellStyle name="SAPBEXinputData 6 2 2 5 3" xfId="6038"/>
    <cellStyle name="SAPBEXinputData 6 2 2 5 3 2" xfId="9932"/>
    <cellStyle name="SAPBEXinputData 6 2 2 5 4" xfId="8278"/>
    <cellStyle name="SAPBEXinputData 6 2 2 6" xfId="3188"/>
    <cellStyle name="SAPBEXinputData 6 2 2 6 2" xfId="4261"/>
    <cellStyle name="SAPBEXinputData 6 2 2 6 2 2" xfId="9190"/>
    <cellStyle name="SAPBEXinputData 6 2 2 6 3" xfId="6078"/>
    <cellStyle name="SAPBEXinputData 6 2 2 6 3 2" xfId="9972"/>
    <cellStyle name="SAPBEXinputData 6 2 2 6 4" xfId="6400"/>
    <cellStyle name="SAPBEXinputData 6 2 2 7" xfId="3190"/>
    <cellStyle name="SAPBEXinputData 6 2 2 7 2" xfId="4052"/>
    <cellStyle name="SAPBEXinputData 6 2 2 7 2 2" xfId="7511"/>
    <cellStyle name="SAPBEXinputData 6 2 2 7 3" xfId="6080"/>
    <cellStyle name="SAPBEXinputData 6 2 2 7 3 2" xfId="9974"/>
    <cellStyle name="SAPBEXinputData 6 2 2 7 4" xfId="9267"/>
    <cellStyle name="SAPBEXinputData 6 2 2 8" xfId="3480"/>
    <cellStyle name="SAPBEXinputData 6 2 2 8 2" xfId="5050"/>
    <cellStyle name="SAPBEXinputData 6 2 2 8 2 2" xfId="8668"/>
    <cellStyle name="SAPBEXinputData 6 2 2 8 3" xfId="7990"/>
    <cellStyle name="SAPBEXinputData 6 2 2 9" xfId="4176"/>
    <cellStyle name="SAPBEXinputData 6 2 2 9 2" xfId="9165"/>
    <cellStyle name="SAPBEXinputData 6 2 3" xfId="2482"/>
    <cellStyle name="SAPBEXinputData 6 2 3 2" xfId="2605"/>
    <cellStyle name="SAPBEXinputData 6 2 3 2 2" xfId="4436"/>
    <cellStyle name="SAPBEXinputData 6 2 3 2 2 2" xfId="7630"/>
    <cellStyle name="SAPBEXinputData 6 2 3 2 3" xfId="8366"/>
    <cellStyle name="SAPBEXinputData 6 2 3 3" xfId="4435"/>
    <cellStyle name="SAPBEXinputData 6 2 3 3 2" xfId="6458"/>
    <cellStyle name="SAPBEXinputData 6 2 3 4" xfId="5230"/>
    <cellStyle name="SAPBEXinputData 6 2 3 4 2" xfId="7185"/>
    <cellStyle name="SAPBEXinputData 6 2 3 5" xfId="6906"/>
    <cellStyle name="SAPBEXinputData 6 2 4" xfId="2175"/>
    <cellStyle name="SAPBEXinputData 6 2 4 2" xfId="2707"/>
    <cellStyle name="SAPBEXinputData 6 2 4 2 2" xfId="3948"/>
    <cellStyle name="SAPBEXinputData 6 2 4 2 2 2" xfId="9476"/>
    <cellStyle name="SAPBEXinputData 6 2 4 2 3" xfId="6800"/>
    <cellStyle name="SAPBEXinputData 6 2 4 3" xfId="4807"/>
    <cellStyle name="SAPBEXinputData 6 2 4 3 2" xfId="7646"/>
    <cellStyle name="SAPBEXinputData 6 2 4 4" xfId="5563"/>
    <cellStyle name="SAPBEXinputData 6 2 4 4 2" xfId="7293"/>
    <cellStyle name="SAPBEXinputData 6 2 4 5" xfId="7498"/>
    <cellStyle name="SAPBEXinputData 6 2 5" xfId="2262"/>
    <cellStyle name="SAPBEXinputData 6 2 5 2" xfId="4805"/>
    <cellStyle name="SAPBEXinputData 6 2 5 2 2" xfId="9698"/>
    <cellStyle name="SAPBEXinputData 6 2 5 3" xfId="5636"/>
    <cellStyle name="SAPBEXinputData 6 2 5 3 2" xfId="6577"/>
    <cellStyle name="SAPBEXinputData 6 2 5 4" xfId="7975"/>
    <cellStyle name="SAPBEXinputData 6 2 6" xfId="3240"/>
    <cellStyle name="SAPBEXinputData 6 2 6 2" xfId="3691"/>
    <cellStyle name="SAPBEXinputData 6 2 6 2 2" xfId="7220"/>
    <cellStyle name="SAPBEXinputData 6 2 6 3" xfId="6122"/>
    <cellStyle name="SAPBEXinputData 6 2 6 3 2" xfId="10016"/>
    <cellStyle name="SAPBEXinputData 6 2 6 4" xfId="8187"/>
    <cellStyle name="SAPBEXinputData 6 2 7" xfId="3263"/>
    <cellStyle name="SAPBEXinputData 6 2 7 2" xfId="3686"/>
    <cellStyle name="SAPBEXinputData 6 2 7 2 2" xfId="8686"/>
    <cellStyle name="SAPBEXinputData 6 2 7 3" xfId="6138"/>
    <cellStyle name="SAPBEXinputData 6 2 7 3 2" xfId="10032"/>
    <cellStyle name="SAPBEXinputData 6 2 7 4" xfId="6755"/>
    <cellStyle name="SAPBEXinputData 6 2 8" xfId="2867"/>
    <cellStyle name="SAPBEXinputData 6 2 8 2" xfId="3883"/>
    <cellStyle name="SAPBEXinputData 6 2 8 2 2" xfId="7952"/>
    <cellStyle name="SAPBEXinputData 6 2 8 3" xfId="5798"/>
    <cellStyle name="SAPBEXinputData 6 2 8 3 2" xfId="8432"/>
    <cellStyle name="SAPBEXinputData 6 2 8 4" xfId="7908"/>
    <cellStyle name="SAPBEXinputData 6 2 9" xfId="3341"/>
    <cellStyle name="SAPBEXinputData 6 2 9 2" xfId="4932"/>
    <cellStyle name="SAPBEXinputData 6 2 9 2 2" xfId="9759"/>
    <cellStyle name="SAPBEXinputData 6 2 9 3" xfId="6208"/>
    <cellStyle name="SAPBEXinputData 6 2 9 3 2" xfId="10102"/>
    <cellStyle name="SAPBEXinputData 6 2 9 4" xfId="8588"/>
    <cellStyle name="SAPBEXinputData 6 3" xfId="2415"/>
    <cellStyle name="SAPBEXinputData 6 3 2" xfId="2557"/>
    <cellStyle name="SAPBEXinputData 6 3 2 2" xfId="4664"/>
    <cellStyle name="SAPBEXinputData 6 3 2 2 2" xfId="8593"/>
    <cellStyle name="SAPBEXinputData 6 3 2 3" xfId="9202"/>
    <cellStyle name="SAPBEXinputData 6 3 3" xfId="4420"/>
    <cellStyle name="SAPBEXinputData 6 3 3 2" xfId="9336"/>
    <cellStyle name="SAPBEXinputData 6 3 4" xfId="5345"/>
    <cellStyle name="SAPBEXinputData 6 3 4 2" xfId="7623"/>
    <cellStyle name="SAPBEXinputData 6 3 5" xfId="8252"/>
    <cellStyle name="SAPBEXinputData 6 4" xfId="2227"/>
    <cellStyle name="SAPBEXinputData 6 4 2" xfId="2628"/>
    <cellStyle name="SAPBEXinputData 6 4 2 2" xfId="4472"/>
    <cellStyle name="SAPBEXinputData 6 4 2 2 2" xfId="9379"/>
    <cellStyle name="SAPBEXinputData 6 4 2 3" xfId="7932"/>
    <cellStyle name="SAPBEXinputData 6 4 3" xfId="4768"/>
    <cellStyle name="SAPBEXinputData 6 4 3 2" xfId="7376"/>
    <cellStyle name="SAPBEXinputData 6 4 4" xfId="5433"/>
    <cellStyle name="SAPBEXinputData 6 4 4 2" xfId="7197"/>
    <cellStyle name="SAPBEXinputData 6 4 5" xfId="7481"/>
    <cellStyle name="SAPBEXinputData 6 5" xfId="2366"/>
    <cellStyle name="SAPBEXinputData 6 5 2" xfId="4694"/>
    <cellStyle name="SAPBEXinputData 6 5 2 2" xfId="9141"/>
    <cellStyle name="SAPBEXinputData 6 5 3" xfId="5684"/>
    <cellStyle name="SAPBEXinputData 6 5 3 2" xfId="7801"/>
    <cellStyle name="SAPBEXinputData 6 5 4" xfId="6484"/>
    <cellStyle name="SAPBEXinputData 6 6" xfId="3127"/>
    <cellStyle name="SAPBEXinputData 6 6 2" xfId="3728"/>
    <cellStyle name="SAPBEXinputData 6 6 2 2" xfId="6248"/>
    <cellStyle name="SAPBEXinputData 6 6 3" xfId="6023"/>
    <cellStyle name="SAPBEXinputData 6 6 3 2" xfId="9917"/>
    <cellStyle name="SAPBEXinputData 6 6 4" xfId="7837"/>
    <cellStyle name="SAPBEXinputData 6 7" xfId="2757"/>
    <cellStyle name="SAPBEXinputData 6 7 2" xfId="3606"/>
    <cellStyle name="SAPBEXinputData 6 7 2 2" xfId="9408"/>
    <cellStyle name="SAPBEXinputData 6 7 3" xfId="5705"/>
    <cellStyle name="SAPBEXinputData 6 7 3 2" xfId="8021"/>
    <cellStyle name="SAPBEXinputData 6 7 4" xfId="8073"/>
    <cellStyle name="SAPBEXinputData 6 8" xfId="3244"/>
    <cellStyle name="SAPBEXinputData 6 8 2" xfId="4190"/>
    <cellStyle name="SAPBEXinputData 6 8 2 2" xfId="9455"/>
    <cellStyle name="SAPBEXinputData 6 8 3" xfId="6126"/>
    <cellStyle name="SAPBEXinputData 6 8 3 2" xfId="10020"/>
    <cellStyle name="SAPBEXinputData 6 8 4" xfId="7436"/>
    <cellStyle name="SAPBEXinputData 6 9" xfId="3209"/>
    <cellStyle name="SAPBEXinputData 6 9 2" xfId="4124"/>
    <cellStyle name="SAPBEXinputData 6 9 2 2" xfId="9176"/>
    <cellStyle name="SAPBEXinputData 6 9 3" xfId="6097"/>
    <cellStyle name="SAPBEXinputData 6 9 3 2" xfId="9991"/>
    <cellStyle name="SAPBEXinputData 6 9 4" xfId="8298"/>
    <cellStyle name="SAPBEXinputData 7" xfId="1432"/>
    <cellStyle name="SAPBEXinputData 7 10" xfId="3422"/>
    <cellStyle name="SAPBEXinputData 7 10 2" xfId="4995"/>
    <cellStyle name="SAPBEXinputData 7 10 2 2" xfId="8657"/>
    <cellStyle name="SAPBEXinputData 7 10 3" xfId="8852"/>
    <cellStyle name="SAPBEXinputData 7 11" xfId="3663"/>
    <cellStyle name="SAPBEXinputData 7 11 2" xfId="7116"/>
    <cellStyle name="SAPBEXinputData 7 12" xfId="8531"/>
    <cellStyle name="SAPBEXinputData 7 2" xfId="1768"/>
    <cellStyle name="SAPBEXinputData 7 2 10" xfId="3497"/>
    <cellStyle name="SAPBEXinputData 7 2 10 2" xfId="5067"/>
    <cellStyle name="SAPBEXinputData 7 2 10 2 2" xfId="9546"/>
    <cellStyle name="SAPBEXinputData 7 2 10 3" xfId="8570"/>
    <cellStyle name="SAPBEXinputData 7 2 11" xfId="3986"/>
    <cellStyle name="SAPBEXinputData 7 2 11 2" xfId="9019"/>
    <cellStyle name="SAPBEXinputData 7 2 12" xfId="7128"/>
    <cellStyle name="SAPBEXinputData 7 2 2" xfId="1780"/>
    <cellStyle name="SAPBEXinputData 7 2 2 10" xfId="8083"/>
    <cellStyle name="SAPBEXinputData 7 2 2 2" xfId="2486"/>
    <cellStyle name="SAPBEXinputData 7 2 2 2 2" xfId="2609"/>
    <cellStyle name="SAPBEXinputData 7 2 2 2 2 2" xfId="4883"/>
    <cellStyle name="SAPBEXinputData 7 2 2 2 2 2 2" xfId="8981"/>
    <cellStyle name="SAPBEXinputData 7 2 2 2 2 3" xfId="8219"/>
    <cellStyle name="SAPBEXinputData 7 2 2 2 3" xfId="4677"/>
    <cellStyle name="SAPBEXinputData 7 2 2 2 3 2" xfId="8659"/>
    <cellStyle name="SAPBEXinputData 7 2 2 2 4" xfId="7265"/>
    <cellStyle name="SAPBEXinputData 7 2 2 3" xfId="2317"/>
    <cellStyle name="SAPBEXinputData 7 2 2 3 2" xfId="3178"/>
    <cellStyle name="SAPBEXinputData 7 2 2 3 2 2" xfId="4054"/>
    <cellStyle name="SAPBEXinputData 7 2 2 3 2 2 2" xfId="8018"/>
    <cellStyle name="SAPBEXinputData 7 2 2 3 2 3" xfId="6895"/>
    <cellStyle name="SAPBEXinputData 7 2 2 3 3" xfId="4683"/>
    <cellStyle name="SAPBEXinputData 7 2 2 3 3 2" xfId="7450"/>
    <cellStyle name="SAPBEXinputData 7 2 2 3 4" xfId="5661"/>
    <cellStyle name="SAPBEXinputData 7 2 2 3 4 2" xfId="8044"/>
    <cellStyle name="SAPBEXinputData 7 2 2 3 5" xfId="7167"/>
    <cellStyle name="SAPBEXinputData 7 2 2 4" xfId="2291"/>
    <cellStyle name="SAPBEXinputData 7 2 2 4 2" xfId="4474"/>
    <cellStyle name="SAPBEXinputData 7 2 2 4 2 2" xfId="9004"/>
    <cellStyle name="SAPBEXinputData 7 2 2 4 3" xfId="5648"/>
    <cellStyle name="SAPBEXinputData 7 2 2 4 3 2" xfId="6841"/>
    <cellStyle name="SAPBEXinputData 7 2 2 4 4" xfId="6258"/>
    <cellStyle name="SAPBEXinputData 7 2 2 5" xfId="3330"/>
    <cellStyle name="SAPBEXinputData 7 2 2 5 2" xfId="4921"/>
    <cellStyle name="SAPBEXinputData 7 2 2 5 2 2" xfId="9264"/>
    <cellStyle name="SAPBEXinputData 7 2 2 5 3" xfId="6197"/>
    <cellStyle name="SAPBEXinputData 7 2 2 5 3 2" xfId="10091"/>
    <cellStyle name="SAPBEXinputData 7 2 2 5 4" xfId="7476"/>
    <cellStyle name="SAPBEXinputData 7 2 2 6" xfId="2905"/>
    <cellStyle name="SAPBEXinputData 7 2 2 6 2" xfId="4156"/>
    <cellStyle name="SAPBEXinputData 7 2 2 6 2 2" xfId="6343"/>
    <cellStyle name="SAPBEXinputData 7 2 2 6 3" xfId="5836"/>
    <cellStyle name="SAPBEXinputData 7 2 2 6 3 2" xfId="6914"/>
    <cellStyle name="SAPBEXinputData 7 2 2 6 4" xfId="8363"/>
    <cellStyle name="SAPBEXinputData 7 2 2 7" xfId="3000"/>
    <cellStyle name="SAPBEXinputData 7 2 2 7 2" xfId="4215"/>
    <cellStyle name="SAPBEXinputData 7 2 2 7 2 2" xfId="9683"/>
    <cellStyle name="SAPBEXinputData 7 2 2 7 3" xfId="5903"/>
    <cellStyle name="SAPBEXinputData 7 2 2 7 3 2" xfId="9797"/>
    <cellStyle name="SAPBEXinputData 7 2 2 7 4" xfId="7477"/>
    <cellStyle name="SAPBEXinputData 7 2 2 8" xfId="3501"/>
    <cellStyle name="SAPBEXinputData 7 2 2 8 2" xfId="5071"/>
    <cellStyle name="SAPBEXinputData 7 2 2 8 2 2" xfId="6559"/>
    <cellStyle name="SAPBEXinputData 7 2 2 8 3" xfId="7480"/>
    <cellStyle name="SAPBEXinputData 7 2 2 9" xfId="4688"/>
    <cellStyle name="SAPBEXinputData 7 2 2 9 2" xfId="6656"/>
    <cellStyle name="SAPBEXinputData 7 2 3" xfId="2483"/>
    <cellStyle name="SAPBEXinputData 7 2 3 2" xfId="2606"/>
    <cellStyle name="SAPBEXinputData 7 2 3 2 2" xfId="4596"/>
    <cellStyle name="SAPBEXinputData 7 2 3 2 2 2" xfId="9711"/>
    <cellStyle name="SAPBEXinputData 7 2 3 2 3" xfId="8098"/>
    <cellStyle name="SAPBEXinputData 7 2 3 3" xfId="4629"/>
    <cellStyle name="SAPBEXinputData 7 2 3 3 2" xfId="6558"/>
    <cellStyle name="SAPBEXinputData 7 2 3 4" xfId="5354"/>
    <cellStyle name="SAPBEXinputData 7 2 3 4 2" xfId="6689"/>
    <cellStyle name="SAPBEXinputData 7 2 3 5" xfId="8371"/>
    <cellStyle name="SAPBEXinputData 7 2 4" xfId="2174"/>
    <cellStyle name="SAPBEXinputData 7 2 4 2" xfId="2708"/>
    <cellStyle name="SAPBEXinputData 7 2 4 2 2" xfId="3947"/>
    <cellStyle name="SAPBEXinputData 7 2 4 2 2 2" xfId="7662"/>
    <cellStyle name="SAPBEXinputData 7 2 4 2 3" xfId="7566"/>
    <cellStyle name="SAPBEXinputData 7 2 4 3" xfId="4718"/>
    <cellStyle name="SAPBEXinputData 7 2 4 3 2" xfId="6252"/>
    <cellStyle name="SAPBEXinputData 7 2 4 4" xfId="5564"/>
    <cellStyle name="SAPBEXinputData 7 2 4 4 2" xfId="7642"/>
    <cellStyle name="SAPBEXinputData 7 2 4 5" xfId="6692"/>
    <cellStyle name="SAPBEXinputData 7 2 5" xfId="2263"/>
    <cellStyle name="SAPBEXinputData 7 2 5 2" xfId="4785"/>
    <cellStyle name="SAPBEXinputData 7 2 5 2 2" xfId="8753"/>
    <cellStyle name="SAPBEXinputData 7 2 5 3" xfId="5637"/>
    <cellStyle name="SAPBEXinputData 7 2 5 3 2" xfId="6372"/>
    <cellStyle name="SAPBEXinputData 7 2 5 4" xfId="6938"/>
    <cellStyle name="SAPBEXinputData 7 2 6" xfId="3143"/>
    <cellStyle name="SAPBEXinputData 7 2 6 2" xfId="4132"/>
    <cellStyle name="SAPBEXinputData 7 2 6 2 2" xfId="8441"/>
    <cellStyle name="SAPBEXinputData 7 2 6 3" xfId="6037"/>
    <cellStyle name="SAPBEXinputData 7 2 6 3 2" xfId="9931"/>
    <cellStyle name="SAPBEXinputData 7 2 6 4" xfId="7224"/>
    <cellStyle name="SAPBEXinputData 7 2 7" xfId="2892"/>
    <cellStyle name="SAPBEXinputData 7 2 7 2" xfId="3862"/>
    <cellStyle name="SAPBEXinputData 7 2 7 2 2" xfId="7296"/>
    <cellStyle name="SAPBEXinputData 7 2 7 3" xfId="5823"/>
    <cellStyle name="SAPBEXinputData 7 2 7 3 2" xfId="7218"/>
    <cellStyle name="SAPBEXinputData 7 2 7 4" xfId="9591"/>
    <cellStyle name="SAPBEXinputData 7 2 8" xfId="3028"/>
    <cellStyle name="SAPBEXinputData 7 2 8 2" xfId="3791"/>
    <cellStyle name="SAPBEXinputData 7 2 8 2 2" xfId="8675"/>
    <cellStyle name="SAPBEXinputData 7 2 8 3" xfId="5929"/>
    <cellStyle name="SAPBEXinputData 7 2 8 3 2" xfId="9823"/>
    <cellStyle name="SAPBEXinputData 7 2 8 4" xfId="6281"/>
    <cellStyle name="SAPBEXinputData 7 2 9" xfId="3307"/>
    <cellStyle name="SAPBEXinputData 7 2 9 2" xfId="3547"/>
    <cellStyle name="SAPBEXinputData 7 2 9 2 2" xfId="9031"/>
    <cellStyle name="SAPBEXinputData 7 2 9 3" xfId="6176"/>
    <cellStyle name="SAPBEXinputData 7 2 9 3 2" xfId="10070"/>
    <cellStyle name="SAPBEXinputData 7 2 9 4" xfId="9707"/>
    <cellStyle name="SAPBEXinputData 7 3" xfId="2416"/>
    <cellStyle name="SAPBEXinputData 7 3 2" xfId="2558"/>
    <cellStyle name="SAPBEXinputData 7 3 2 2" xfId="4755"/>
    <cellStyle name="SAPBEXinputData 7 3 2 2 2" xfId="9549"/>
    <cellStyle name="SAPBEXinputData 7 3 2 3" xfId="7645"/>
    <cellStyle name="SAPBEXinputData 7 3 3" xfId="4614"/>
    <cellStyle name="SAPBEXinputData 7 3 3 2" xfId="7598"/>
    <cellStyle name="SAPBEXinputData 7 3 4" xfId="5153"/>
    <cellStyle name="SAPBEXinputData 7 3 4 2" xfId="9695"/>
    <cellStyle name="SAPBEXinputData 7 3 5" xfId="7969"/>
    <cellStyle name="SAPBEXinputData 7 4" xfId="2226"/>
    <cellStyle name="SAPBEXinputData 7 4 2" xfId="2695"/>
    <cellStyle name="SAPBEXinputData 7 4 2 2" xfId="3958"/>
    <cellStyle name="SAPBEXinputData 7 4 2 2 2" xfId="6462"/>
    <cellStyle name="SAPBEXinputData 7 4 2 3" xfId="8317"/>
    <cellStyle name="SAPBEXinputData 7 4 3" xfId="4793"/>
    <cellStyle name="SAPBEXinputData 7 4 3 2" xfId="9368"/>
    <cellStyle name="SAPBEXinputData 7 4 4" xfId="5525"/>
    <cellStyle name="SAPBEXinputData 7 4 4 2" xfId="8547"/>
    <cellStyle name="SAPBEXinputData 7 4 5" xfId="9296"/>
    <cellStyle name="SAPBEXinputData 7 5" xfId="2166"/>
    <cellStyle name="SAPBEXinputData 7 5 2" xfId="4835"/>
    <cellStyle name="SAPBEXinputData 7 5 2 2" xfId="9585"/>
    <cellStyle name="SAPBEXinputData 7 5 3" xfId="5598"/>
    <cellStyle name="SAPBEXinputData 7 5 3 2" xfId="6424"/>
    <cellStyle name="SAPBEXinputData 7 5 4" xfId="7503"/>
    <cellStyle name="SAPBEXinputData 7 6" xfId="2863"/>
    <cellStyle name="SAPBEXinputData 7 6 2" xfId="3885"/>
    <cellStyle name="SAPBEXinputData 7 6 2 2" xfId="9146"/>
    <cellStyle name="SAPBEXinputData 7 6 3" xfId="5794"/>
    <cellStyle name="SAPBEXinputData 7 6 3 2" xfId="7390"/>
    <cellStyle name="SAPBEXinputData 7 6 4" xfId="8649"/>
    <cellStyle name="SAPBEXinputData 7 7" xfId="3250"/>
    <cellStyle name="SAPBEXinputData 7 7 2" xfId="4189"/>
    <cellStyle name="SAPBEXinputData 7 7 2 2" xfId="8392"/>
    <cellStyle name="SAPBEXinputData 7 7 3" xfId="6127"/>
    <cellStyle name="SAPBEXinputData 7 7 3 2" xfId="10021"/>
    <cellStyle name="SAPBEXinputData 7 7 4" xfId="7671"/>
    <cellStyle name="SAPBEXinputData 7 8" xfId="3083"/>
    <cellStyle name="SAPBEXinputData 7 8 2" xfId="4137"/>
    <cellStyle name="SAPBEXinputData 7 8 2 2" xfId="8562"/>
    <cellStyle name="SAPBEXinputData 7 8 3" xfId="5980"/>
    <cellStyle name="SAPBEXinputData 7 8 3 2" xfId="9874"/>
    <cellStyle name="SAPBEXinputData 7 8 4" xfId="9313"/>
    <cellStyle name="SAPBEXinputData 7 9" xfId="3205"/>
    <cellStyle name="SAPBEXinputData 7 9 2" xfId="4195"/>
    <cellStyle name="SAPBEXinputData 7 9 2 2" xfId="9032"/>
    <cellStyle name="SAPBEXinputData 7 9 3" xfId="6094"/>
    <cellStyle name="SAPBEXinputData 7 9 3 2" xfId="9988"/>
    <cellStyle name="SAPBEXinputData 7 9 4" xfId="6758"/>
    <cellStyle name="SAPBEXinputData 8" xfId="1433"/>
    <cellStyle name="SAPBEXinputData 8 10" xfId="3423"/>
    <cellStyle name="SAPBEXinputData 8 10 2" xfId="4996"/>
    <cellStyle name="SAPBEXinputData 8 10 2 2" xfId="8410"/>
    <cellStyle name="SAPBEXinputData 8 10 3" xfId="9028"/>
    <cellStyle name="SAPBEXinputData 8 11" xfId="4033"/>
    <cellStyle name="SAPBEXinputData 8 11 2" xfId="9094"/>
    <cellStyle name="SAPBEXinputData 8 12" xfId="7612"/>
    <cellStyle name="SAPBEXinputData 8 2" xfId="1769"/>
    <cellStyle name="SAPBEXinputData 8 2 10" xfId="3498"/>
    <cellStyle name="SAPBEXinputData 8 2 10 2" xfId="5068"/>
    <cellStyle name="SAPBEXinputData 8 2 10 2 2" xfId="7137"/>
    <cellStyle name="SAPBEXinputData 8 2 10 3" xfId="7290"/>
    <cellStyle name="SAPBEXinputData 8 2 11" xfId="4900"/>
    <cellStyle name="SAPBEXinputData 8 2 11 2" xfId="8702"/>
    <cellStyle name="SAPBEXinputData 8 2 12" xfId="7471"/>
    <cellStyle name="SAPBEXinputData 8 2 2" xfId="1750"/>
    <cellStyle name="SAPBEXinputData 8 2 2 10" xfId="7475"/>
    <cellStyle name="SAPBEXinputData 8 2 2 2" xfId="2465"/>
    <cellStyle name="SAPBEXinputData 8 2 2 2 2" xfId="2588"/>
    <cellStyle name="SAPBEXinputData 8 2 2 2 2 2" xfId="4466"/>
    <cellStyle name="SAPBEXinputData 8 2 2 2 2 2 2" xfId="9617"/>
    <cellStyle name="SAPBEXinputData 8 2 2 2 2 3" xfId="6964"/>
    <cellStyle name="SAPBEXinputData 8 2 2 2 3" xfId="4868"/>
    <cellStyle name="SAPBEXinputData 8 2 2 2 3 2" xfId="7463"/>
    <cellStyle name="SAPBEXinputData 8 2 2 2 4" xfId="8381"/>
    <cellStyle name="SAPBEXinputData 8 2 2 3" xfId="2190"/>
    <cellStyle name="SAPBEXinputData 8 2 2 3 2" xfId="2936"/>
    <cellStyle name="SAPBEXinputData 8 2 2 3 2 2" xfId="3845"/>
    <cellStyle name="SAPBEXinputData 8 2 2 3 2 2 2" xfId="9407"/>
    <cellStyle name="SAPBEXinputData 8 2 2 3 2 3" xfId="7107"/>
    <cellStyle name="SAPBEXinputData 8 2 2 3 3" xfId="4037"/>
    <cellStyle name="SAPBEXinputData 8 2 2 3 3 2" xfId="7769"/>
    <cellStyle name="SAPBEXinputData 8 2 2 3 4" xfId="5607"/>
    <cellStyle name="SAPBEXinputData 8 2 2 3 4 2" xfId="8470"/>
    <cellStyle name="SAPBEXinputData 8 2 2 3 5" xfId="9306"/>
    <cellStyle name="SAPBEXinputData 8 2 2 4" xfId="2285"/>
    <cellStyle name="SAPBEXinputData 8 2 2 4 2" xfId="3973"/>
    <cellStyle name="SAPBEXinputData 8 2 2 4 2 2" xfId="7158"/>
    <cellStyle name="SAPBEXinputData 8 2 2 4 3" xfId="5644"/>
    <cellStyle name="SAPBEXinputData 8 2 2 4 3 2" xfId="7284"/>
    <cellStyle name="SAPBEXinputData 8 2 2 4 4" xfId="7605"/>
    <cellStyle name="SAPBEXinputData 8 2 2 5" xfId="3108"/>
    <cellStyle name="SAPBEXinputData 8 2 2 5 2" xfId="3745"/>
    <cellStyle name="SAPBEXinputData 8 2 2 5 2 2" xfId="9307"/>
    <cellStyle name="SAPBEXinputData 8 2 2 5 3" xfId="6004"/>
    <cellStyle name="SAPBEXinputData 8 2 2 5 3 2" xfId="9898"/>
    <cellStyle name="SAPBEXinputData 8 2 2 5 4" xfId="8264"/>
    <cellStyle name="SAPBEXinputData 8 2 2 6" xfId="2854"/>
    <cellStyle name="SAPBEXinputData 8 2 2 6 2" xfId="4227"/>
    <cellStyle name="SAPBEXinputData 8 2 2 6 2 2" xfId="9365"/>
    <cellStyle name="SAPBEXinputData 8 2 2 6 3" xfId="5785"/>
    <cellStyle name="SAPBEXinputData 8 2 2 6 3 2" xfId="8029"/>
    <cellStyle name="SAPBEXinputData 8 2 2 6 4" xfId="9200"/>
    <cellStyle name="SAPBEXinputData 8 2 2 7" xfId="2982"/>
    <cellStyle name="SAPBEXinputData 8 2 2 7 2" xfId="3811"/>
    <cellStyle name="SAPBEXinputData 8 2 2 7 2 2" xfId="8014"/>
    <cellStyle name="SAPBEXinputData 8 2 2 7 3" xfId="5890"/>
    <cellStyle name="SAPBEXinputData 8 2 2 7 3 2" xfId="9784"/>
    <cellStyle name="SAPBEXinputData 8 2 2 7 4" xfId="9342"/>
    <cellStyle name="SAPBEXinputData 8 2 2 8" xfId="3479"/>
    <cellStyle name="SAPBEXinputData 8 2 2 8 2" xfId="5049"/>
    <cellStyle name="SAPBEXinputData 8 2 2 8 2 2" xfId="9673"/>
    <cellStyle name="SAPBEXinputData 8 2 2 8 3" xfId="9041"/>
    <cellStyle name="SAPBEXinputData 8 2 2 9" xfId="3621"/>
    <cellStyle name="SAPBEXinputData 8 2 2 9 2" xfId="9497"/>
    <cellStyle name="SAPBEXinputData 8 2 3" xfId="2484"/>
    <cellStyle name="SAPBEXinputData 8 2 3 2" xfId="2607"/>
    <cellStyle name="SAPBEXinputData 8 2 3 2 2" xfId="4302"/>
    <cellStyle name="SAPBEXinputData 8 2 3 2 2 2" xfId="6482"/>
    <cellStyle name="SAPBEXinputData 8 2 3 2 3" xfId="6804"/>
    <cellStyle name="SAPBEXinputData 8 2 3 3" xfId="4440"/>
    <cellStyle name="SAPBEXinputData 8 2 3 3 2" xfId="9472"/>
    <cellStyle name="SAPBEXinputData 8 2 3 4" xfId="5213"/>
    <cellStyle name="SAPBEXinputData 8 2 3 4 2" xfId="7134"/>
    <cellStyle name="SAPBEXinputData 8 2 3 5" xfId="7085"/>
    <cellStyle name="SAPBEXinputData 8 2 4" xfId="2173"/>
    <cellStyle name="SAPBEXinputData 8 2 4 2" xfId="2709"/>
    <cellStyle name="SAPBEXinputData 8 2 4 2 2" xfId="3946"/>
    <cellStyle name="SAPBEXinputData 8 2 4 2 2 2" xfId="7819"/>
    <cellStyle name="SAPBEXinputData 8 2 4 2 3" xfId="7997"/>
    <cellStyle name="SAPBEXinputData 8 2 4 3" xfId="4847"/>
    <cellStyle name="SAPBEXinputData 8 2 4 3 2" xfId="8586"/>
    <cellStyle name="SAPBEXinputData 8 2 4 4" xfId="5565"/>
    <cellStyle name="SAPBEXinputData 8 2 4 4 2" xfId="6710"/>
    <cellStyle name="SAPBEXinputData 8 2 4 5" xfId="8372"/>
    <cellStyle name="SAPBEXinputData 8 2 5" xfId="2264"/>
    <cellStyle name="SAPBEXinputData 8 2 5 2" xfId="4709"/>
    <cellStyle name="SAPBEXinputData 8 2 5 2 2" xfId="6691"/>
    <cellStyle name="SAPBEXinputData 8 2 5 3" xfId="5638"/>
    <cellStyle name="SAPBEXinputData 8 2 5 3 2" xfId="7941"/>
    <cellStyle name="SAPBEXinputData 8 2 5 4" xfId="8315"/>
    <cellStyle name="SAPBEXinputData 8 2 6" xfId="3243"/>
    <cellStyle name="SAPBEXinputData 8 2 6 2" xfId="4313"/>
    <cellStyle name="SAPBEXinputData 8 2 6 2 2" xfId="9493"/>
    <cellStyle name="SAPBEXinputData 8 2 6 3" xfId="6125"/>
    <cellStyle name="SAPBEXinputData 8 2 6 3 2" xfId="10019"/>
    <cellStyle name="SAPBEXinputData 8 2 6 4" xfId="8288"/>
    <cellStyle name="SAPBEXinputData 8 2 7" xfId="3152"/>
    <cellStyle name="SAPBEXinputData 8 2 7 2" xfId="4129"/>
    <cellStyle name="SAPBEXinputData 8 2 7 2 2" xfId="6614"/>
    <cellStyle name="SAPBEXinputData 8 2 7 3" xfId="6046"/>
    <cellStyle name="SAPBEXinputData 8 2 7 3 2" xfId="9940"/>
    <cellStyle name="SAPBEXinputData 8 2 7 4" xfId="8148"/>
    <cellStyle name="SAPBEXinputData 8 2 8" xfId="3025"/>
    <cellStyle name="SAPBEXinputData 8 2 8 2" xfId="4213"/>
    <cellStyle name="SAPBEXinputData 8 2 8 2 2" xfId="7983"/>
    <cellStyle name="SAPBEXinputData 8 2 8 3" xfId="5927"/>
    <cellStyle name="SAPBEXinputData 8 2 8 3 2" xfId="9821"/>
    <cellStyle name="SAPBEXinputData 8 2 8 4" xfId="7322"/>
    <cellStyle name="SAPBEXinputData 8 2 9" xfId="3292"/>
    <cellStyle name="SAPBEXinputData 8 2 9 2" xfId="3677"/>
    <cellStyle name="SAPBEXinputData 8 2 9 2 2" xfId="9692"/>
    <cellStyle name="SAPBEXinputData 8 2 9 3" xfId="6161"/>
    <cellStyle name="SAPBEXinputData 8 2 9 3 2" xfId="10055"/>
    <cellStyle name="SAPBEXinputData 8 2 9 4" xfId="9355"/>
    <cellStyle name="SAPBEXinputData 8 3" xfId="2417"/>
    <cellStyle name="SAPBEXinputData 8 3 2" xfId="2559"/>
    <cellStyle name="SAPBEXinputData 8 3 2 2" xfId="4746"/>
    <cellStyle name="SAPBEXinputData 8 3 2 2 2" xfId="9097"/>
    <cellStyle name="SAPBEXinputData 8 3 2 3" xfId="8620"/>
    <cellStyle name="SAPBEXinputData 8 3 3" xfId="4452"/>
    <cellStyle name="SAPBEXinputData 8 3 3 2" xfId="7157"/>
    <cellStyle name="SAPBEXinputData 8 3 4" xfId="5195"/>
    <cellStyle name="SAPBEXinputData 8 3 4 2" xfId="9135"/>
    <cellStyle name="SAPBEXinputData 8 3 5" xfId="8229"/>
    <cellStyle name="SAPBEXinputData 8 4" xfId="2225"/>
    <cellStyle name="SAPBEXinputData 8 4 2" xfId="2668"/>
    <cellStyle name="SAPBEXinputData 8 4 2 2" xfId="4117"/>
    <cellStyle name="SAPBEXinputData 8 4 2 2 2" xfId="8511"/>
    <cellStyle name="SAPBEXinputData 8 4 2 3" xfId="7578"/>
    <cellStyle name="SAPBEXinputData 8 4 3" xfId="3975"/>
    <cellStyle name="SAPBEXinputData 8 4 3 2" xfId="8329"/>
    <cellStyle name="SAPBEXinputData 8 4 4" xfId="5498"/>
    <cellStyle name="SAPBEXinputData 8 4 4 2" xfId="8473"/>
    <cellStyle name="SAPBEXinputData 8 4 5" xfId="7802"/>
    <cellStyle name="SAPBEXinputData 8 5" xfId="2305"/>
    <cellStyle name="SAPBEXinputData 8 5 2" xfId="4764"/>
    <cellStyle name="SAPBEXinputData 8 5 2 2" xfId="9477"/>
    <cellStyle name="SAPBEXinputData 8 5 3" xfId="5653"/>
    <cellStyle name="SAPBEXinputData 8 5 3 2" xfId="7604"/>
    <cellStyle name="SAPBEXinputData 8 5 4" xfId="8122"/>
    <cellStyle name="SAPBEXinputData 8 6" xfId="2864"/>
    <cellStyle name="SAPBEXinputData 8 6 2" xfId="4226"/>
    <cellStyle name="SAPBEXinputData 8 6 2 2" xfId="7514"/>
    <cellStyle name="SAPBEXinputData 8 6 3" xfId="5795"/>
    <cellStyle name="SAPBEXinputData 8 6 3 2" xfId="6676"/>
    <cellStyle name="SAPBEXinputData 8 6 4" xfId="7539"/>
    <cellStyle name="SAPBEXinputData 8 7" xfId="3132"/>
    <cellStyle name="SAPBEXinputData 8 7 2" xfId="4205"/>
    <cellStyle name="SAPBEXinputData 8 7 2 2" xfId="9143"/>
    <cellStyle name="SAPBEXinputData 8 7 3" xfId="6028"/>
    <cellStyle name="SAPBEXinputData 8 7 3 2" xfId="9922"/>
    <cellStyle name="SAPBEXinputData 8 7 4" xfId="6366"/>
    <cellStyle name="SAPBEXinputData 8 8" xfId="2957"/>
    <cellStyle name="SAPBEXinputData 8 8 2" xfId="3828"/>
    <cellStyle name="SAPBEXinputData 8 8 2 2" xfId="6903"/>
    <cellStyle name="SAPBEXinputData 8 8 3" xfId="5875"/>
    <cellStyle name="SAPBEXinputData 8 8 3 2" xfId="7119"/>
    <cellStyle name="SAPBEXinputData 8 8 4" xfId="8023"/>
    <cellStyle name="SAPBEXinputData 8 9" xfId="2831"/>
    <cellStyle name="SAPBEXinputData 8 9 2" xfId="3899"/>
    <cellStyle name="SAPBEXinputData 8 9 2 2" xfId="8387"/>
    <cellStyle name="SAPBEXinputData 8 9 3" xfId="5764"/>
    <cellStyle name="SAPBEXinputData 8 9 3 2" xfId="7580"/>
    <cellStyle name="SAPBEXinputData 8 9 4" xfId="7609"/>
    <cellStyle name="SAPBEXinputData 9" xfId="1434"/>
    <cellStyle name="SAPBEXinputData 9 10" xfId="3424"/>
    <cellStyle name="SAPBEXinputData 9 10 2" xfId="4997"/>
    <cellStyle name="SAPBEXinputData 9 10 2 2" xfId="9395"/>
    <cellStyle name="SAPBEXinputData 9 10 3" xfId="8180"/>
    <cellStyle name="SAPBEXinputData 9 11" xfId="3662"/>
    <cellStyle name="SAPBEXinputData 9 11 2" xfId="8881"/>
    <cellStyle name="SAPBEXinputData 9 12" xfId="7680"/>
    <cellStyle name="SAPBEXinputData 9 2" xfId="1770"/>
    <cellStyle name="SAPBEXinputData 9 2 10" xfId="3499"/>
    <cellStyle name="SAPBEXinputData 9 2 10 2" xfId="5069"/>
    <cellStyle name="SAPBEXinputData 9 2 10 2 2" xfId="7548"/>
    <cellStyle name="SAPBEXinputData 9 2 10 3" xfId="9443"/>
    <cellStyle name="SAPBEXinputData 9 2 11" xfId="4651"/>
    <cellStyle name="SAPBEXinputData 9 2 11 2" xfId="6395"/>
    <cellStyle name="SAPBEXinputData 9 2 12" xfId="7429"/>
    <cellStyle name="SAPBEXinputData 9 2 2" xfId="1905"/>
    <cellStyle name="SAPBEXinputData 9 2 2 10" xfId="8380"/>
    <cellStyle name="SAPBEXinputData 9 2 2 2" xfId="2515"/>
    <cellStyle name="SAPBEXinputData 9 2 2 2 2" xfId="2616"/>
    <cellStyle name="SAPBEXinputData 9 2 2 2 2 2" xfId="4676"/>
    <cellStyle name="SAPBEXinputData 9 2 2 2 2 2 2" xfId="9444"/>
    <cellStyle name="SAPBEXinputData 9 2 2 2 2 3" xfId="7180"/>
    <cellStyle name="SAPBEXinputData 9 2 2 2 3" xfId="4638"/>
    <cellStyle name="SAPBEXinputData 9 2 2 2 3 2" xfId="6897"/>
    <cellStyle name="SAPBEXinputData 9 2 2 2 4" xfId="7238"/>
    <cellStyle name="SAPBEXinputData 9 2 2 3" xfId="2337"/>
    <cellStyle name="SAPBEXinputData 9 2 2 3 2" xfId="3247"/>
    <cellStyle name="SAPBEXinputData 9 2 2 3 2 2" xfId="4253"/>
    <cellStyle name="SAPBEXinputData 9 2 2 3 2 2 2" xfId="6657"/>
    <cellStyle name="SAPBEXinputData 9 2 2 3 2 3" xfId="6290"/>
    <cellStyle name="SAPBEXinputData 9 2 2 3 3" xfId="4810"/>
    <cellStyle name="SAPBEXinputData 9 2 2 3 3 2" xfId="6760"/>
    <cellStyle name="SAPBEXinputData 9 2 2 3 4" xfId="5668"/>
    <cellStyle name="SAPBEXinputData 9 2 2 3 4 2" xfId="7076"/>
    <cellStyle name="SAPBEXinputData 9 2 2 3 5" xfId="8405"/>
    <cellStyle name="SAPBEXinputData 9 2 2 4" xfId="2287"/>
    <cellStyle name="SAPBEXinputData 9 2 2 4 2" xfId="4766"/>
    <cellStyle name="SAPBEXinputData 9 2 2 4 2 2" xfId="8632"/>
    <cellStyle name="SAPBEXinputData 9 2 2 4 3" xfId="5646"/>
    <cellStyle name="SAPBEXinputData 9 2 2 4 3 2" xfId="7960"/>
    <cellStyle name="SAPBEXinputData 9 2 2 4 4" xfId="7358"/>
    <cellStyle name="SAPBEXinputData 9 2 2 5" xfId="2904"/>
    <cellStyle name="SAPBEXinputData 9 2 2 5 2" xfId="3855"/>
    <cellStyle name="SAPBEXinputData 9 2 2 5 2 2" xfId="8672"/>
    <cellStyle name="SAPBEXinputData 9 2 2 5 3" xfId="5835"/>
    <cellStyle name="SAPBEXinputData 9 2 2 5 3 2" xfId="7948"/>
    <cellStyle name="SAPBEXinputData 9 2 2 5 4" xfId="9044"/>
    <cellStyle name="SAPBEXinputData 9 2 2 6" xfId="2901"/>
    <cellStyle name="SAPBEXinputData 9 2 2 6 2" xfId="3856"/>
    <cellStyle name="SAPBEXinputData 9 2 2 6 2 2" xfId="6291"/>
    <cellStyle name="SAPBEXinputData 9 2 2 6 3" xfId="5832"/>
    <cellStyle name="SAPBEXinputData 9 2 2 6 3 2" xfId="6722"/>
    <cellStyle name="SAPBEXinputData 9 2 2 6 4" xfId="8038"/>
    <cellStyle name="SAPBEXinputData 9 2 2 7" xfId="2856"/>
    <cellStyle name="SAPBEXinputData 9 2 2 7 2" xfId="3599"/>
    <cellStyle name="SAPBEXinputData 9 2 2 7 2 2" xfId="7009"/>
    <cellStyle name="SAPBEXinputData 9 2 2 7 3" xfId="5787"/>
    <cellStyle name="SAPBEXinputData 9 2 2 7 3 2" xfId="8454"/>
    <cellStyle name="SAPBEXinputData 9 2 2 7 4" xfId="6929"/>
    <cellStyle name="SAPBEXinputData 9 2 2 8" xfId="3508"/>
    <cellStyle name="SAPBEXinputData 9 2 2 8 2" xfId="5078"/>
    <cellStyle name="SAPBEXinputData 9 2 2 8 2 2" xfId="6771"/>
    <cellStyle name="SAPBEXinputData 9 2 2 8 3" xfId="9105"/>
    <cellStyle name="SAPBEXinputData 9 2 2 9" xfId="3612"/>
    <cellStyle name="SAPBEXinputData 9 2 2 9 2" xfId="8637"/>
    <cellStyle name="SAPBEXinputData 9 2 3" xfId="2485"/>
    <cellStyle name="SAPBEXinputData 9 2 3 2" xfId="2608"/>
    <cellStyle name="SAPBEXinputData 9 2 3 2 2" xfId="4116"/>
    <cellStyle name="SAPBEXinputData 9 2 3 2 2 2" xfId="6780"/>
    <cellStyle name="SAPBEXinputData 9 2 3 2 3" xfId="7925"/>
    <cellStyle name="SAPBEXinputData 9 2 3 3" xfId="4874"/>
    <cellStyle name="SAPBEXinputData 9 2 3 3 2" xfId="6768"/>
    <cellStyle name="SAPBEXinputData 9 2 3 4" xfId="5191"/>
    <cellStyle name="SAPBEXinputData 9 2 3 4 2" xfId="9169"/>
    <cellStyle name="SAPBEXinputData 9 2 3 5" xfId="6584"/>
    <cellStyle name="SAPBEXinputData 9 2 4" xfId="2172"/>
    <cellStyle name="SAPBEXinputData 9 2 4 2" xfId="2710"/>
    <cellStyle name="SAPBEXinputData 9 2 4 2 2" xfId="3945"/>
    <cellStyle name="SAPBEXinputData 9 2 4 2 2 2" xfId="9655"/>
    <cellStyle name="SAPBEXinputData 9 2 4 2 3" xfId="8295"/>
    <cellStyle name="SAPBEXinputData 9 2 4 3" xfId="4423"/>
    <cellStyle name="SAPBEXinputData 9 2 4 3 2" xfId="6477"/>
    <cellStyle name="SAPBEXinputData 9 2 4 4" xfId="5566"/>
    <cellStyle name="SAPBEXinputData 9 2 4 4 2" xfId="7933"/>
    <cellStyle name="SAPBEXinputData 9 2 4 5" xfId="9237"/>
    <cellStyle name="SAPBEXinputData 9 2 5" xfId="2265"/>
    <cellStyle name="SAPBEXinputData 9 2 5 2" xfId="4788"/>
    <cellStyle name="SAPBEXinputData 9 2 5 2 2" xfId="7460"/>
    <cellStyle name="SAPBEXinputData 9 2 5 3" xfId="5639"/>
    <cellStyle name="SAPBEXinputData 9 2 5 3 2" xfId="7555"/>
    <cellStyle name="SAPBEXinputData 9 2 5 4" xfId="6450"/>
    <cellStyle name="SAPBEXinputData 9 2 6" xfId="3145"/>
    <cellStyle name="SAPBEXinputData 9 2 6 2" xfId="3718"/>
    <cellStyle name="SAPBEXinputData 9 2 6 2 2" xfId="8601"/>
    <cellStyle name="SAPBEXinputData 9 2 6 3" xfId="6039"/>
    <cellStyle name="SAPBEXinputData 9 2 6 3 2" xfId="9933"/>
    <cellStyle name="SAPBEXinputData 9 2 6 4" xfId="7430"/>
    <cellStyle name="SAPBEXinputData 9 2 7" xfId="2873"/>
    <cellStyle name="SAPBEXinputData 9 2 7 2" xfId="3877"/>
    <cellStyle name="SAPBEXinputData 9 2 7 2 2" xfId="9181"/>
    <cellStyle name="SAPBEXinputData 9 2 7 3" xfId="5804"/>
    <cellStyle name="SAPBEXinputData 9 2 7 3 2" xfId="8424"/>
    <cellStyle name="SAPBEXinputData 9 2 7 4" xfId="8342"/>
    <cellStyle name="SAPBEXinputData 9 2 8" xfId="3335"/>
    <cellStyle name="SAPBEXinputData 9 2 8 2" xfId="4926"/>
    <cellStyle name="SAPBEXinputData 9 2 8 2 2" xfId="6354"/>
    <cellStyle name="SAPBEXinputData 9 2 8 3" xfId="6202"/>
    <cellStyle name="SAPBEXinputData 9 2 8 3 2" xfId="10096"/>
    <cellStyle name="SAPBEXinputData 9 2 8 4" xfId="7160"/>
    <cellStyle name="SAPBEXinputData 9 2 9" xfId="3086"/>
    <cellStyle name="SAPBEXinputData 9 2 9 2" xfId="4136"/>
    <cellStyle name="SAPBEXinputData 9 2 9 2 2" xfId="9501"/>
    <cellStyle name="SAPBEXinputData 9 2 9 3" xfId="5983"/>
    <cellStyle name="SAPBEXinputData 9 2 9 3 2" xfId="9877"/>
    <cellStyle name="SAPBEXinputData 9 2 9 4" xfId="9325"/>
    <cellStyle name="SAPBEXinputData 9 3" xfId="2418"/>
    <cellStyle name="SAPBEXinputData 9 3 2" xfId="2560"/>
    <cellStyle name="SAPBEXinputData 9 3 2 2" xfId="4496"/>
    <cellStyle name="SAPBEXinputData 9 3 2 2 2" xfId="9400"/>
    <cellStyle name="SAPBEXinputData 9 3 2 3" xfId="9204"/>
    <cellStyle name="SAPBEXinputData 9 3 3" xfId="4660"/>
    <cellStyle name="SAPBEXinputData 9 3 3 2" xfId="9040"/>
    <cellStyle name="SAPBEXinputData 9 3 4" xfId="5235"/>
    <cellStyle name="SAPBEXinputData 9 3 4 2" xfId="6741"/>
    <cellStyle name="SAPBEXinputData 9 3 5" xfId="7920"/>
    <cellStyle name="SAPBEXinputData 9 4" xfId="2224"/>
    <cellStyle name="SAPBEXinputData 9 4 2" xfId="2632"/>
    <cellStyle name="SAPBEXinputData 9 4 2 2" xfId="4724"/>
    <cellStyle name="SAPBEXinputData 9 4 2 2 2" xfId="8466"/>
    <cellStyle name="SAPBEXinputData 9 4 2 3" xfId="8195"/>
    <cellStyle name="SAPBEXinputData 9 4 3" xfId="4845"/>
    <cellStyle name="SAPBEXinputData 9 4 3 2" xfId="6847"/>
    <cellStyle name="SAPBEXinputData 9 4 4" xfId="5463"/>
    <cellStyle name="SAPBEXinputData 9 4 4 2" xfId="7214"/>
    <cellStyle name="SAPBEXinputData 9 4 5" xfId="9270"/>
    <cellStyle name="SAPBEXinputData 9 5" xfId="2126"/>
    <cellStyle name="SAPBEXinputData 9 5 2" xfId="4612"/>
    <cellStyle name="SAPBEXinputData 9 5 2 2" xfId="7640"/>
    <cellStyle name="SAPBEXinputData 9 5 3" xfId="5584"/>
    <cellStyle name="SAPBEXinputData 9 5 3 2" xfId="6591"/>
    <cellStyle name="SAPBEXinputData 9 5 4" xfId="6548"/>
    <cellStyle name="SAPBEXinputData 9 6" xfId="2865"/>
    <cellStyle name="SAPBEXinputData 9 6 2" xfId="3884"/>
    <cellStyle name="SAPBEXinputData 9 6 2 2" xfId="8722"/>
    <cellStyle name="SAPBEXinputData 9 6 3" xfId="5796"/>
    <cellStyle name="SAPBEXinputData 9 6 3 2" xfId="6580"/>
    <cellStyle name="SAPBEXinputData 9 6 4" xfId="9728"/>
    <cellStyle name="SAPBEXinputData 9 7" xfId="3106"/>
    <cellStyle name="SAPBEXinputData 9 7 2" xfId="3746"/>
    <cellStyle name="SAPBEXinputData 9 7 2 2" xfId="9021"/>
    <cellStyle name="SAPBEXinputData 9 7 3" xfId="6003"/>
    <cellStyle name="SAPBEXinputData 9 7 3 2" xfId="9897"/>
    <cellStyle name="SAPBEXinputData 9 7 4" xfId="7556"/>
    <cellStyle name="SAPBEXinputData 9 8" xfId="2852"/>
    <cellStyle name="SAPBEXinputData 9 8 2" xfId="4060"/>
    <cellStyle name="SAPBEXinputData 9 8 2 2" xfId="8726"/>
    <cellStyle name="SAPBEXinputData 9 8 3" xfId="5784"/>
    <cellStyle name="SAPBEXinputData 9 8 3 2" xfId="8365"/>
    <cellStyle name="SAPBEXinputData 9 8 4" xfId="8443"/>
    <cellStyle name="SAPBEXinputData 9 9" xfId="2960"/>
    <cellStyle name="SAPBEXinputData 9 9 2" xfId="3592"/>
    <cellStyle name="SAPBEXinputData 9 9 2 2" xfId="6971"/>
    <cellStyle name="SAPBEXinputData 9 9 3" xfId="5878"/>
    <cellStyle name="SAPBEXinputData 9 9 3 2" xfId="8347"/>
    <cellStyle name="SAPBEXinputData 9 9 4" xfId="6793"/>
    <cellStyle name="SAPBEXItemHeader" xfId="1435"/>
    <cellStyle name="SAPBEXItemHeader 2" xfId="1436"/>
    <cellStyle name="SAPBEXItemHeader 3" xfId="1437"/>
    <cellStyle name="SAPBEXItemHeader 4" xfId="1438"/>
    <cellStyle name="SAPBEXItemHeader 5" xfId="1439"/>
    <cellStyle name="SAPBEXresData" xfId="1440"/>
    <cellStyle name="SAPBEXresData 2" xfId="1441"/>
    <cellStyle name="SAPBEXresData 2 2" xfId="1442"/>
    <cellStyle name="SAPBEXresData 2 3" xfId="2032"/>
    <cellStyle name="SAPBEXresData 3" xfId="1443"/>
    <cellStyle name="SAPBEXresData 3 2" xfId="1444"/>
    <cellStyle name="SAPBEXresData 4" xfId="1445"/>
    <cellStyle name="SAPBEXresData 5" xfId="1446"/>
    <cellStyle name="SAPBEXresData 6" xfId="1447"/>
    <cellStyle name="SAPBEXresData 7" xfId="1448"/>
    <cellStyle name="SAPBEXresData 8" xfId="11080"/>
    <cellStyle name="SAPBEXresDataEmph" xfId="1449"/>
    <cellStyle name="SAPBEXresDataEmph 2" xfId="1450"/>
    <cellStyle name="SAPBEXresDataEmph 2 2" xfId="1451"/>
    <cellStyle name="SAPBEXresDataEmph 2 3" xfId="2033"/>
    <cellStyle name="SAPBEXresDataEmph 3" xfId="1452"/>
    <cellStyle name="SAPBEXresDataEmph 3 2" xfId="1453"/>
    <cellStyle name="SAPBEXresDataEmph 3 3" xfId="2034"/>
    <cellStyle name="SAPBEXresDataEmph 4" xfId="1454"/>
    <cellStyle name="SAPBEXresDataEmph 5" xfId="11081"/>
    <cellStyle name="SAPBEXresItem" xfId="1455"/>
    <cellStyle name="SAPBEXresItem 2" xfId="1456"/>
    <cellStyle name="SAPBEXresItem 2 2" xfId="1457"/>
    <cellStyle name="SAPBEXresItem 2 3" xfId="2035"/>
    <cellStyle name="SAPBEXresItem 3" xfId="1458"/>
    <cellStyle name="SAPBEXresItem 3 2" xfId="1459"/>
    <cellStyle name="SAPBEXresItem 4" xfId="1460"/>
    <cellStyle name="SAPBEXresItem 5" xfId="1461"/>
    <cellStyle name="SAPBEXresItem 6" xfId="1462"/>
    <cellStyle name="SAPBEXresItem 7" xfId="1463"/>
    <cellStyle name="SAPBEXresItem 8" xfId="11082"/>
    <cellStyle name="SAPBEXresItem_BI profit and loss" xfId="1464"/>
    <cellStyle name="SAPBEXresItemX" xfId="1465"/>
    <cellStyle name="SAPBEXresItemX 2" xfId="1466"/>
    <cellStyle name="SAPBEXresItemX 2 2" xfId="1467"/>
    <cellStyle name="SAPBEXresItemX 2 3" xfId="2036"/>
    <cellStyle name="SAPBEXresItemX 3" xfId="1468"/>
    <cellStyle name="SAPBEXresItemX 3 2" xfId="1469"/>
    <cellStyle name="SAPBEXresItemX 4" xfId="1470"/>
    <cellStyle name="SAPBEXresItemX 5" xfId="1471"/>
    <cellStyle name="SAPBEXresItemX 6" xfId="1472"/>
    <cellStyle name="SAPBEXresItemX 7" xfId="1473"/>
    <cellStyle name="SAPBEXresItemX 8" xfId="11083"/>
    <cellStyle name="SAPBEXstdData" xfId="1474"/>
    <cellStyle name="SAPBEXstdData 2" xfId="1475"/>
    <cellStyle name="SAPBEXstdData 2 2" xfId="1476"/>
    <cellStyle name="SAPBEXstdData 2 3" xfId="2037"/>
    <cellStyle name="SAPBEXstdData 3" xfId="1477"/>
    <cellStyle name="SAPBEXstdData 3 2" xfId="1478"/>
    <cellStyle name="SAPBEXstdData 4" xfId="1479"/>
    <cellStyle name="SAPBEXstdData 5" xfId="1480"/>
    <cellStyle name="SAPBEXstdData 6" xfId="1481"/>
    <cellStyle name="SAPBEXstdData 7" xfId="1482"/>
    <cellStyle name="SAPBEXstdData 8" xfId="11084"/>
    <cellStyle name="SAPBEXstdData_AIMRO_CP" xfId="1483"/>
    <cellStyle name="SAPBEXstdDataEmph" xfId="1484"/>
    <cellStyle name="SAPBEXstdDataEmph 2" xfId="1485"/>
    <cellStyle name="SAPBEXstdDataEmph 2 2" xfId="1486"/>
    <cellStyle name="SAPBEXstdDataEmph 2 3" xfId="2038"/>
    <cellStyle name="SAPBEXstdDataEmph 3" xfId="1487"/>
    <cellStyle name="SAPBEXstdDataEmph 3 2" xfId="1488"/>
    <cellStyle name="SAPBEXstdDataEmph 4" xfId="1489"/>
    <cellStyle name="SAPBEXstdDataEmph 5" xfId="1490"/>
    <cellStyle name="SAPBEXstdDataEmph 6" xfId="1491"/>
    <cellStyle name="SAPBEXstdDataEmph 7" xfId="1492"/>
    <cellStyle name="SAPBEXstdDataEmph 8" xfId="11085"/>
    <cellStyle name="SAPBEXstdItem" xfId="1493"/>
    <cellStyle name="SAPBEXstdItem 2" xfId="1494"/>
    <cellStyle name="SAPBEXstdItem 2 2" xfId="1495"/>
    <cellStyle name="SAPBEXstdItem 2 3" xfId="2039"/>
    <cellStyle name="SAPBEXstdItem 3" xfId="1496"/>
    <cellStyle name="SAPBEXstdItem 3 2" xfId="1497"/>
    <cellStyle name="SAPBEXstdItem 4" xfId="1498"/>
    <cellStyle name="SAPBEXstdItem 5" xfId="1499"/>
    <cellStyle name="SAPBEXstdItem 6" xfId="1500"/>
    <cellStyle name="SAPBEXstdItem 7" xfId="1501"/>
    <cellStyle name="SAPBEXstdItem 8" xfId="11086"/>
    <cellStyle name="SAPBEXstdItem_AIMRO_CP" xfId="1502"/>
    <cellStyle name="SAPBEXstdItemX" xfId="1503"/>
    <cellStyle name="SAPBEXstdItemX 2" xfId="1504"/>
    <cellStyle name="SAPBEXstdItemX 2 2" xfId="1505"/>
    <cellStyle name="SAPBEXstdItemX 2 3" xfId="2040"/>
    <cellStyle name="SAPBEXstdItemX 3" xfId="1506"/>
    <cellStyle name="SAPBEXstdItemX 3 2" xfId="1507"/>
    <cellStyle name="SAPBEXstdItemX 4" xfId="1508"/>
    <cellStyle name="SAPBEXstdItemX 5" xfId="1509"/>
    <cellStyle name="SAPBEXstdItemX 6" xfId="1510"/>
    <cellStyle name="SAPBEXstdItemX 7" xfId="1885"/>
    <cellStyle name="SAPBEXstdItemX_Sheet1" xfId="1511"/>
    <cellStyle name="SAPBEXtitle" xfId="1512"/>
    <cellStyle name="SAPBEXtitle 2" xfId="1513"/>
    <cellStyle name="SAPBEXtitle 2 2" xfId="1514"/>
    <cellStyle name="SAPBEXtitle 2 3" xfId="2041"/>
    <cellStyle name="SAPBEXtitle 3" xfId="1515"/>
    <cellStyle name="SAPBEXtitle 3 2" xfId="1516"/>
    <cellStyle name="SAPBEXtitle 4" xfId="1517"/>
    <cellStyle name="SAPBEXtitle 5" xfId="1518"/>
    <cellStyle name="SAPBEXtitle 6" xfId="1519"/>
    <cellStyle name="SAPBEXtitle 7" xfId="1886"/>
    <cellStyle name="SAPBEXtitle_Sheet1" xfId="1520"/>
    <cellStyle name="SAPBEXunassignedItem" xfId="1521"/>
    <cellStyle name="SAPBEXunassignedItem 2" xfId="1522"/>
    <cellStyle name="SAPBEXunassignedItem 3" xfId="1523"/>
    <cellStyle name="SAPBEXundefined" xfId="1524"/>
    <cellStyle name="SAPBEXundefined 2" xfId="1525"/>
    <cellStyle name="SAPBEXundefined 2 2" xfId="1526"/>
    <cellStyle name="SAPBEXundefined 2 3" xfId="2043"/>
    <cellStyle name="SAPBEXundefined 3" xfId="1527"/>
    <cellStyle name="SAPBEXundefined 3 2" xfId="1528"/>
    <cellStyle name="SAPBEXundefined 4" xfId="1529"/>
    <cellStyle name="SAPBEXundefined 5" xfId="1530"/>
    <cellStyle name="SAPBEXundefined 6" xfId="1531"/>
    <cellStyle name="SAPBEXundefined 7" xfId="1532"/>
    <cellStyle name="SAPBEXundefined 8" xfId="11087"/>
    <cellStyle name="SAPError" xfId="556"/>
    <cellStyle name="SAPError 2" xfId="557"/>
    <cellStyle name="SAPKey" xfId="558"/>
    <cellStyle name="SAPKey 2" xfId="559"/>
    <cellStyle name="SAPLocked" xfId="560"/>
    <cellStyle name="SAPLocked 2" xfId="561"/>
    <cellStyle name="SAPOutput" xfId="562"/>
    <cellStyle name="SAPOutput 2" xfId="563"/>
    <cellStyle name="SAPSpace" xfId="564"/>
    <cellStyle name="SAPSpace 2" xfId="565"/>
    <cellStyle name="SAPText" xfId="566"/>
    <cellStyle name="SAPText 2" xfId="567"/>
    <cellStyle name="SAPUnLocked" xfId="568"/>
    <cellStyle name="SAPUnLocked 2" xfId="569"/>
    <cellStyle name="Section Number" xfId="1533"/>
    <cellStyle name="SEM-BPS-data" xfId="1534"/>
    <cellStyle name="SEM-BPS-headdata" xfId="1535"/>
    <cellStyle name="SEM-BPS-headkey" xfId="1536"/>
    <cellStyle name="SEM-BPS-key" xfId="1537"/>
    <cellStyle name="Sheet Title" xfId="570"/>
    <cellStyle name="SheetHeader1" xfId="571"/>
    <cellStyle name="Special" xfId="1538"/>
    <cellStyle name="StaticText" xfId="1539"/>
    <cellStyle name="Style 1" xfId="572"/>
    <cellStyle name="Style 1 2" xfId="573"/>
    <cellStyle name="Style 1 2 2" xfId="574"/>
    <cellStyle name="Style 1 3" xfId="575"/>
    <cellStyle name="Style 1 3 2" xfId="576"/>
    <cellStyle name="Style 1 3 3" xfId="577"/>
    <cellStyle name="Style 1 4" xfId="578"/>
    <cellStyle name="Style 1_29(d) - Gas extensions -tariffs" xfId="579"/>
    <cellStyle name="Style 2" xfId="1540"/>
    <cellStyle name="Style2" xfId="580"/>
    <cellStyle name="Style3" xfId="581"/>
    <cellStyle name="Style4" xfId="582"/>
    <cellStyle name="Style4 2" xfId="583"/>
    <cellStyle name="Style4_29(d) - Gas extensions -tariffs" xfId="584"/>
    <cellStyle name="Style5" xfId="585"/>
    <cellStyle name="Style5 2" xfId="586"/>
    <cellStyle name="Style5_29(d) - Gas extensions -tariffs" xfId="587"/>
    <cellStyle name="Table Head Green" xfId="588"/>
    <cellStyle name="Table Head_pldt" xfId="589"/>
    <cellStyle name="Table Source" xfId="590"/>
    <cellStyle name="Table Units" xfId="591"/>
    <cellStyle name="TableLvl2" xfId="592"/>
    <cellStyle name="TableLvl3" xfId="593"/>
    <cellStyle name="Text" xfId="594"/>
    <cellStyle name="Text 2" xfId="595"/>
    <cellStyle name="Text 3" xfId="596"/>
    <cellStyle name="Text Head 1" xfId="597"/>
    <cellStyle name="Text Head 2" xfId="598"/>
    <cellStyle name="Text Indent 2" xfId="599"/>
    <cellStyle name="Theirs" xfId="600"/>
    <cellStyle name="Title 2" xfId="601"/>
    <cellStyle name="Title 2 2" xfId="2044"/>
    <cellStyle name="Title 3" xfId="1541"/>
    <cellStyle name="TOC 1" xfId="602"/>
    <cellStyle name="TOC 2" xfId="603"/>
    <cellStyle name="TOC 3" xfId="604"/>
    <cellStyle name="Total 2" xfId="605"/>
    <cellStyle name="Total 2 2" xfId="606"/>
    <cellStyle name="Total 2 2 2" xfId="1542"/>
    <cellStyle name="Total 2 2 3" xfId="2046"/>
    <cellStyle name="Total 2 3" xfId="607"/>
    <cellStyle name="Total 2 3 2" xfId="1543"/>
    <cellStyle name="Total 2 4" xfId="1544"/>
    <cellStyle name="Total 2 5" xfId="1545"/>
    <cellStyle name="Total 2 6" xfId="2045"/>
    <cellStyle name="Total 3" xfId="1546"/>
    <cellStyle name="Total 4" xfId="1547"/>
    <cellStyle name="Total 5" xfId="1548"/>
    <cellStyle name="Total 6" xfId="1549"/>
    <cellStyle name="Warning Text 2" xfId="608"/>
    <cellStyle name="Warning Text 2 2" xfId="1550"/>
    <cellStyle name="Warning Text 2 2 2" xfId="2048"/>
    <cellStyle name="Warning Text 2 3" xfId="2047"/>
    <cellStyle name="Warning Text 3" xfId="1551"/>
    <cellStyle name="year" xfId="609"/>
    <cellStyle name="year 2" xfId="610"/>
    <cellStyle name="year_29(d) - Gas extensions -tariffs" xfId="611"/>
  </cellStyles>
  <dxfs count="15">
    <dxf>
      <font>
        <b/>
        <i val="0"/>
        <color rgb="FFFF0000"/>
      </font>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s>
  <tableStyles count="0" defaultTableStyle="TableStyleMedium2" defaultPivotStyle="PivotStyleLight16"/>
  <colors>
    <mruColors>
      <color rgb="FFFFFF99"/>
      <color rgb="FFFFFFCC"/>
      <color rgb="FFFF00FF"/>
      <color rgb="FF0000FF"/>
      <color rgb="FFCCFFFF"/>
      <color rgb="FF00FFFF"/>
      <color rgb="FF00FF00"/>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3" Type="http://schemas.openxmlformats.org/officeDocument/2006/relationships/image" Target="../media/image3.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426656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4264025"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oleObject" Target="../embeddings/oleObject12.bin"/><Relationship Id="rId21" Type="http://schemas.openxmlformats.org/officeDocument/2006/relationships/image" Target="../media/image9.wmf"/><Relationship Id="rId34" Type="http://schemas.openxmlformats.org/officeDocument/2006/relationships/oleObject" Target="../embeddings/oleObject16.bin"/><Relationship Id="rId42" Type="http://schemas.openxmlformats.org/officeDocument/2006/relationships/oleObject" Target="../embeddings/oleObject20.bin"/><Relationship Id="rId47" Type="http://schemas.openxmlformats.org/officeDocument/2006/relationships/image" Target="../media/image22.wmf"/><Relationship Id="rId50" Type="http://schemas.openxmlformats.org/officeDocument/2006/relationships/oleObject" Target="../embeddings/oleObject24.bin"/><Relationship Id="rId55" Type="http://schemas.openxmlformats.org/officeDocument/2006/relationships/oleObject" Target="../embeddings/oleObject27.bin"/><Relationship Id="rId63" Type="http://schemas.openxmlformats.org/officeDocument/2006/relationships/oleObject" Target="../embeddings/oleObject31.bin"/><Relationship Id="rId68" Type="http://schemas.openxmlformats.org/officeDocument/2006/relationships/image" Target="../media/image31.wmf"/><Relationship Id="rId76" Type="http://schemas.openxmlformats.org/officeDocument/2006/relationships/oleObject" Target="../embeddings/oleObject40.bin"/><Relationship Id="rId84" Type="http://schemas.openxmlformats.org/officeDocument/2006/relationships/oleObject" Target="../embeddings/oleObject45.bin"/><Relationship Id="rId89" Type="http://schemas.openxmlformats.org/officeDocument/2006/relationships/oleObject" Target="../embeddings/oleObject48.bin"/><Relationship Id="rId97" Type="http://schemas.openxmlformats.org/officeDocument/2006/relationships/oleObject" Target="../embeddings/oleObject52.bin"/><Relationship Id="rId7" Type="http://schemas.openxmlformats.org/officeDocument/2006/relationships/image" Target="../media/image2.wmf"/><Relationship Id="rId71" Type="http://schemas.openxmlformats.org/officeDocument/2006/relationships/oleObject" Target="../embeddings/oleObject36.bin"/><Relationship Id="rId92" Type="http://schemas.openxmlformats.org/officeDocument/2006/relationships/image" Target="../media/image40.w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image" Target="../media/image13.wmf"/><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7.wmf"/><Relationship Id="rId40" Type="http://schemas.openxmlformats.org/officeDocument/2006/relationships/oleObject" Target="../embeddings/oleObject19.bin"/><Relationship Id="rId45" Type="http://schemas.openxmlformats.org/officeDocument/2006/relationships/image" Target="../media/image21.wmf"/><Relationship Id="rId53" Type="http://schemas.openxmlformats.org/officeDocument/2006/relationships/oleObject" Target="../embeddings/oleObject26.bin"/><Relationship Id="rId58" Type="http://schemas.openxmlformats.org/officeDocument/2006/relationships/image" Target="../media/image27.wmf"/><Relationship Id="rId66" Type="http://schemas.openxmlformats.org/officeDocument/2006/relationships/oleObject" Target="../embeddings/oleObject33.bin"/><Relationship Id="rId74" Type="http://schemas.openxmlformats.org/officeDocument/2006/relationships/image" Target="../media/image33.wmf"/><Relationship Id="rId79" Type="http://schemas.openxmlformats.org/officeDocument/2006/relationships/oleObject" Target="../embeddings/oleObject42.bin"/><Relationship Id="rId87" Type="http://schemas.openxmlformats.org/officeDocument/2006/relationships/oleObject" Target="../embeddings/oleObject47.bin"/><Relationship Id="rId5" Type="http://schemas.openxmlformats.org/officeDocument/2006/relationships/image" Target="../media/image1.wmf"/><Relationship Id="rId61" Type="http://schemas.openxmlformats.org/officeDocument/2006/relationships/oleObject" Target="../embeddings/oleObject30.bin"/><Relationship Id="rId82" Type="http://schemas.openxmlformats.org/officeDocument/2006/relationships/image" Target="../media/image36.wmf"/><Relationship Id="rId90" Type="http://schemas.openxmlformats.org/officeDocument/2006/relationships/image" Target="../media/image39.wmf"/><Relationship Id="rId95" Type="http://schemas.openxmlformats.org/officeDocument/2006/relationships/oleObject" Target="../embeddings/oleObject51.bin"/><Relationship Id="rId19" Type="http://schemas.openxmlformats.org/officeDocument/2006/relationships/image" Target="../media/image8.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wmf"/><Relationship Id="rId30" Type="http://schemas.openxmlformats.org/officeDocument/2006/relationships/oleObject" Target="../embeddings/oleObject14.bin"/><Relationship Id="rId35" Type="http://schemas.openxmlformats.org/officeDocument/2006/relationships/image" Target="../media/image16.wmf"/><Relationship Id="rId43" Type="http://schemas.openxmlformats.org/officeDocument/2006/relationships/image" Target="../media/image20.wmf"/><Relationship Id="rId48" Type="http://schemas.openxmlformats.org/officeDocument/2006/relationships/oleObject" Target="../embeddings/oleObject23.bin"/><Relationship Id="rId56" Type="http://schemas.openxmlformats.org/officeDocument/2006/relationships/image" Target="../media/image26.wmf"/><Relationship Id="rId64" Type="http://schemas.openxmlformats.org/officeDocument/2006/relationships/image" Target="../media/image30.wmf"/><Relationship Id="rId69" Type="http://schemas.openxmlformats.org/officeDocument/2006/relationships/oleObject" Target="../embeddings/oleObject35.bin"/><Relationship Id="rId77" Type="http://schemas.openxmlformats.org/officeDocument/2006/relationships/oleObject" Target="../embeddings/oleObject41.bin"/><Relationship Id="rId8" Type="http://schemas.openxmlformats.org/officeDocument/2006/relationships/oleObject" Target="../embeddings/oleObject3.bin"/><Relationship Id="rId51" Type="http://schemas.openxmlformats.org/officeDocument/2006/relationships/image" Target="../media/image24.wmf"/><Relationship Id="rId72" Type="http://schemas.openxmlformats.org/officeDocument/2006/relationships/oleObject" Target="../embeddings/oleObject37.bin"/><Relationship Id="rId80" Type="http://schemas.openxmlformats.org/officeDocument/2006/relationships/image" Target="../media/image35.wmf"/><Relationship Id="rId85" Type="http://schemas.openxmlformats.org/officeDocument/2006/relationships/oleObject" Target="../embeddings/oleObject46.bin"/><Relationship Id="rId93" Type="http://schemas.openxmlformats.org/officeDocument/2006/relationships/oleObject" Target="../embeddings/oleObject50.bin"/><Relationship Id="rId98" Type="http://schemas.openxmlformats.org/officeDocument/2006/relationships/image" Target="../media/image43.wmf"/><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image" Target="../media/image15.wmf"/><Relationship Id="rId38" Type="http://schemas.openxmlformats.org/officeDocument/2006/relationships/oleObject" Target="../embeddings/oleObject18.bin"/><Relationship Id="rId46" Type="http://schemas.openxmlformats.org/officeDocument/2006/relationships/oleObject" Target="../embeddings/oleObject22.bin"/><Relationship Id="rId59" Type="http://schemas.openxmlformats.org/officeDocument/2006/relationships/oleObject" Target="../embeddings/oleObject29.bin"/><Relationship Id="rId67" Type="http://schemas.openxmlformats.org/officeDocument/2006/relationships/oleObject" Target="../embeddings/oleObject34.bin"/><Relationship Id="rId20" Type="http://schemas.openxmlformats.org/officeDocument/2006/relationships/oleObject" Target="../embeddings/oleObject9.bin"/><Relationship Id="rId41" Type="http://schemas.openxmlformats.org/officeDocument/2006/relationships/image" Target="../media/image19.wmf"/><Relationship Id="rId54" Type="http://schemas.openxmlformats.org/officeDocument/2006/relationships/image" Target="../media/image25.wmf"/><Relationship Id="rId62" Type="http://schemas.openxmlformats.org/officeDocument/2006/relationships/image" Target="../media/image29.wmf"/><Relationship Id="rId70" Type="http://schemas.openxmlformats.org/officeDocument/2006/relationships/image" Target="../media/image32.wmf"/><Relationship Id="rId75" Type="http://schemas.openxmlformats.org/officeDocument/2006/relationships/oleObject" Target="../embeddings/oleObject39.bin"/><Relationship Id="rId83" Type="http://schemas.openxmlformats.org/officeDocument/2006/relationships/oleObject" Target="../embeddings/oleObject44.bin"/><Relationship Id="rId88" Type="http://schemas.openxmlformats.org/officeDocument/2006/relationships/image" Target="../media/image38.wmf"/><Relationship Id="rId91" Type="http://schemas.openxmlformats.org/officeDocument/2006/relationships/oleObject" Target="../embeddings/oleObject49.bin"/><Relationship Id="rId96" Type="http://schemas.openxmlformats.org/officeDocument/2006/relationships/image" Target="../media/image42.wmf"/><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3.wmf"/><Relationship Id="rId57" Type="http://schemas.openxmlformats.org/officeDocument/2006/relationships/oleObject" Target="../embeddings/oleObject28.bin"/><Relationship Id="rId10" Type="http://schemas.openxmlformats.org/officeDocument/2006/relationships/oleObject" Target="../embeddings/oleObject4.bin"/><Relationship Id="rId31" Type="http://schemas.openxmlformats.org/officeDocument/2006/relationships/image" Target="../media/image14.wmf"/><Relationship Id="rId44" Type="http://schemas.openxmlformats.org/officeDocument/2006/relationships/oleObject" Target="../embeddings/oleObject21.bin"/><Relationship Id="rId52" Type="http://schemas.openxmlformats.org/officeDocument/2006/relationships/oleObject" Target="../embeddings/oleObject25.bin"/><Relationship Id="rId60" Type="http://schemas.openxmlformats.org/officeDocument/2006/relationships/image" Target="../media/image28.wmf"/><Relationship Id="rId65" Type="http://schemas.openxmlformats.org/officeDocument/2006/relationships/oleObject" Target="../embeddings/oleObject32.bin"/><Relationship Id="rId73" Type="http://schemas.openxmlformats.org/officeDocument/2006/relationships/oleObject" Target="../embeddings/oleObject38.bin"/><Relationship Id="rId78" Type="http://schemas.openxmlformats.org/officeDocument/2006/relationships/image" Target="../media/image34.wmf"/><Relationship Id="rId81" Type="http://schemas.openxmlformats.org/officeDocument/2006/relationships/oleObject" Target="../embeddings/oleObject43.bin"/><Relationship Id="rId86" Type="http://schemas.openxmlformats.org/officeDocument/2006/relationships/image" Target="../media/image37.wmf"/><Relationship Id="rId94" Type="http://schemas.openxmlformats.org/officeDocument/2006/relationships/image" Target="../media/image41.wmf"/><Relationship Id="rId4" Type="http://schemas.openxmlformats.org/officeDocument/2006/relationships/oleObject" Target="../embeddings/oleObject1.bin"/><Relationship Id="rId9" Type="http://schemas.openxmlformats.org/officeDocument/2006/relationships/image" Target="../media/image3.wmf"/><Relationship Id="rId13" Type="http://schemas.openxmlformats.org/officeDocument/2006/relationships/image" Target="../media/image5.wmf"/><Relationship Id="rId18" Type="http://schemas.openxmlformats.org/officeDocument/2006/relationships/oleObject" Target="../embeddings/oleObject8.bin"/><Relationship Id="rId39" Type="http://schemas.openxmlformats.org/officeDocument/2006/relationships/image" Target="../media/image18.w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D32"/>
  <sheetViews>
    <sheetView zoomScale="90" zoomScaleNormal="90" workbookViewId="0">
      <selection activeCell="B46" sqref="B46"/>
    </sheetView>
  </sheetViews>
  <sheetFormatPr defaultRowHeight="12.75"/>
  <cols>
    <col min="2" max="2" width="33.140625" customWidth="1"/>
    <col min="3" max="3" width="46.140625" customWidth="1"/>
    <col min="4" max="4" width="44.42578125" customWidth="1"/>
  </cols>
  <sheetData>
    <row r="2" spans="1:4" ht="15">
      <c r="A2" s="721" t="s">
        <v>671</v>
      </c>
      <c r="B2" s="722"/>
      <c r="C2" s="722"/>
    </row>
    <row r="4" spans="1:4">
      <c r="A4" s="723" t="s">
        <v>672</v>
      </c>
      <c r="B4" s="724" t="s">
        <v>673</v>
      </c>
      <c r="C4" s="724" t="s">
        <v>674</v>
      </c>
      <c r="D4" s="724" t="s">
        <v>675</v>
      </c>
    </row>
    <row r="5" spans="1:4">
      <c r="A5" s="725">
        <v>1</v>
      </c>
      <c r="B5" s="726" t="s">
        <v>676</v>
      </c>
      <c r="C5" s="727" t="s">
        <v>410</v>
      </c>
      <c r="D5" t="s">
        <v>778</v>
      </c>
    </row>
    <row r="6" spans="1:4">
      <c r="A6" s="728"/>
      <c r="C6" s="727"/>
    </row>
    <row r="7" spans="1:4">
      <c r="A7" s="725">
        <f>A5+1</f>
        <v>2</v>
      </c>
      <c r="B7" s="726" t="s">
        <v>677</v>
      </c>
      <c r="C7" s="727" t="s">
        <v>678</v>
      </c>
      <c r="D7" t="s">
        <v>778</v>
      </c>
    </row>
    <row r="8" spans="1:4">
      <c r="A8" s="728"/>
      <c r="C8" s="727"/>
    </row>
    <row r="9" spans="1:4">
      <c r="A9" s="725">
        <f>A7+1</f>
        <v>3</v>
      </c>
      <c r="B9" s="726" t="s">
        <v>679</v>
      </c>
      <c r="C9" s="727" t="s">
        <v>680</v>
      </c>
      <c r="D9" t="s">
        <v>778</v>
      </c>
    </row>
    <row r="10" spans="1:4">
      <c r="C10" s="727"/>
    </row>
    <row r="11" spans="1:4">
      <c r="A11" s="725">
        <f>A9+1</f>
        <v>4</v>
      </c>
      <c r="B11" s="726" t="s">
        <v>681</v>
      </c>
      <c r="C11" s="727" t="s">
        <v>700</v>
      </c>
      <c r="D11" t="s">
        <v>779</v>
      </c>
    </row>
    <row r="12" spans="1:4">
      <c r="A12" s="728"/>
      <c r="C12" s="727"/>
    </row>
    <row r="13" spans="1:4">
      <c r="A13" s="725">
        <f>A11+1</f>
        <v>5</v>
      </c>
      <c r="B13" s="726" t="s">
        <v>682</v>
      </c>
      <c r="C13" s="727" t="s">
        <v>701</v>
      </c>
      <c r="D13" t="s">
        <v>778</v>
      </c>
    </row>
    <row r="14" spans="1:4">
      <c r="A14" s="728"/>
      <c r="C14" s="727"/>
    </row>
    <row r="15" spans="1:4">
      <c r="A15" s="725">
        <f>A13+1</f>
        <v>6</v>
      </c>
      <c r="B15" s="726" t="s">
        <v>683</v>
      </c>
      <c r="C15" s="727" t="s">
        <v>702</v>
      </c>
      <c r="D15" t="s">
        <v>780</v>
      </c>
    </row>
    <row r="16" spans="1:4">
      <c r="A16" s="728"/>
    </row>
    <row r="17" spans="1:4" ht="15">
      <c r="A17" s="725">
        <f>A15+1</f>
        <v>7</v>
      </c>
      <c r="B17" s="729" t="s">
        <v>684</v>
      </c>
      <c r="D17" s="670" t="s">
        <v>685</v>
      </c>
    </row>
    <row r="18" spans="1:4">
      <c r="A18" s="728"/>
      <c r="B18" t="s">
        <v>686</v>
      </c>
      <c r="C18" t="s">
        <v>703</v>
      </c>
    </row>
    <row r="19" spans="1:4">
      <c r="A19" s="725"/>
      <c r="B19" s="726" t="s">
        <v>687</v>
      </c>
      <c r="C19" t="s">
        <v>704</v>
      </c>
    </row>
    <row r="20" spans="1:4">
      <c r="A20" s="728"/>
      <c r="B20" t="s">
        <v>688</v>
      </c>
      <c r="C20" t="s">
        <v>705</v>
      </c>
    </row>
    <row r="21" spans="1:4">
      <c r="A21" s="725"/>
      <c r="B21" s="726"/>
    </row>
    <row r="22" spans="1:4">
      <c r="A22" s="728"/>
      <c r="B22" s="730" t="s">
        <v>689</v>
      </c>
      <c r="C22" s="730" t="s">
        <v>706</v>
      </c>
    </row>
    <row r="23" spans="1:4">
      <c r="A23" s="725"/>
      <c r="B23" s="731" t="s">
        <v>690</v>
      </c>
      <c r="C23" s="730" t="s">
        <v>707</v>
      </c>
    </row>
    <row r="24" spans="1:4">
      <c r="A24" s="728"/>
      <c r="B24" s="730" t="s">
        <v>691</v>
      </c>
      <c r="C24" s="730" t="s">
        <v>708</v>
      </c>
    </row>
    <row r="25" spans="1:4">
      <c r="A25" s="725"/>
      <c r="B25" s="731"/>
      <c r="C25" s="730"/>
    </row>
    <row r="26" spans="1:4">
      <c r="A26" s="728"/>
      <c r="B26" s="730" t="s">
        <v>692</v>
      </c>
      <c r="C26" s="730" t="s">
        <v>709</v>
      </c>
    </row>
    <row r="27" spans="1:4">
      <c r="A27" s="725"/>
      <c r="B27" s="731" t="s">
        <v>693</v>
      </c>
      <c r="C27" s="730" t="s">
        <v>298</v>
      </c>
    </row>
    <row r="28" spans="1:4">
      <c r="A28" s="728"/>
      <c r="B28" s="731" t="s">
        <v>694</v>
      </c>
      <c r="C28" s="730" t="s">
        <v>695</v>
      </c>
    </row>
    <row r="29" spans="1:4">
      <c r="A29" s="725"/>
      <c r="B29" s="731"/>
      <c r="C29" s="730"/>
    </row>
    <row r="30" spans="1:4">
      <c r="A30" s="725"/>
      <c r="B30" s="730" t="s">
        <v>696</v>
      </c>
      <c r="C30" s="730" t="s">
        <v>710</v>
      </c>
    </row>
    <row r="31" spans="1:4">
      <c r="A31" s="725"/>
      <c r="B31" s="731" t="s">
        <v>697</v>
      </c>
      <c r="C31" s="730" t="s">
        <v>336</v>
      </c>
    </row>
    <row r="32" spans="1:4">
      <c r="B32" s="731" t="s">
        <v>698</v>
      </c>
      <c r="C32" s="730" t="s">
        <v>699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239"/>
  <sheetViews>
    <sheetView zoomScaleNormal="100" workbookViewId="0"/>
  </sheetViews>
  <sheetFormatPr defaultRowHeight="12.75"/>
  <cols>
    <col min="1" max="1" width="5.85546875" style="157" customWidth="1"/>
    <col min="2" max="2" width="9.140625" style="157" customWidth="1"/>
    <col min="3" max="7" width="9.140625" style="157"/>
    <col min="8" max="8" width="44.5703125" style="157" customWidth="1"/>
    <col min="9" max="16384" width="9.140625" style="157"/>
  </cols>
  <sheetData>
    <row r="2" spans="2:8" ht="15.75">
      <c r="B2" s="91" t="s">
        <v>208</v>
      </c>
      <c r="G2" s="578"/>
    </row>
    <row r="3" spans="2:8" ht="15.75">
      <c r="B3" s="1" t="s">
        <v>0</v>
      </c>
    </row>
    <row r="4" spans="2:8" ht="36" customHeight="1">
      <c r="B4" s="2" t="s">
        <v>392</v>
      </c>
      <c r="H4" s="3" t="s">
        <v>1</v>
      </c>
    </row>
    <row r="5" spans="2:8" ht="30" customHeight="1">
      <c r="B5" s="2" t="s">
        <v>393</v>
      </c>
      <c r="H5" s="3" t="s">
        <v>2</v>
      </c>
    </row>
    <row r="6" spans="2:8" ht="24" customHeight="1">
      <c r="B6" s="2" t="s">
        <v>394</v>
      </c>
      <c r="H6" s="3" t="s">
        <v>3</v>
      </c>
    </row>
    <row r="7" spans="2:8" ht="27" customHeight="1">
      <c r="B7" s="2" t="s">
        <v>395</v>
      </c>
      <c r="H7" s="3" t="s">
        <v>4</v>
      </c>
    </row>
    <row r="9" spans="2:8" ht="14.25">
      <c r="B9" s="4" t="s">
        <v>5</v>
      </c>
    </row>
    <row r="10" spans="2:8" ht="14.25">
      <c r="C10" s="4" t="s">
        <v>6</v>
      </c>
    </row>
    <row r="11" spans="2:8" ht="14.25">
      <c r="D11" s="4" t="s">
        <v>7</v>
      </c>
    </row>
    <row r="12" spans="2:8" ht="14.25">
      <c r="D12" s="4" t="s">
        <v>8</v>
      </c>
    </row>
    <row r="13" spans="2:8" ht="14.25">
      <c r="B13" s="4" t="s">
        <v>9</v>
      </c>
      <c r="C13" s="4" t="s">
        <v>10</v>
      </c>
    </row>
    <row r="14" spans="2:8" ht="14.25">
      <c r="B14" s="4" t="s">
        <v>9</v>
      </c>
      <c r="D14" s="4" t="s">
        <v>11</v>
      </c>
    </row>
    <row r="15" spans="2:8" ht="14.25">
      <c r="D15" s="4" t="s">
        <v>12</v>
      </c>
    </row>
    <row r="16" spans="2:8" ht="14.25">
      <c r="B16" s="3" t="s">
        <v>396</v>
      </c>
    </row>
    <row r="17" spans="2:4" ht="14.25">
      <c r="D17" s="4" t="s">
        <v>12</v>
      </c>
    </row>
    <row r="18" spans="2:4" ht="14.25">
      <c r="B18" s="3" t="s">
        <v>397</v>
      </c>
    </row>
    <row r="19" spans="2:4">
      <c r="B19"/>
    </row>
    <row r="20" spans="2:4" ht="14.25">
      <c r="B20" s="5" t="s">
        <v>13</v>
      </c>
    </row>
    <row r="21" spans="2:4" ht="14.25">
      <c r="C21" s="5" t="s">
        <v>369</v>
      </c>
    </row>
    <row r="22" spans="2:4" ht="14.25">
      <c r="C22" s="7" t="s">
        <v>422</v>
      </c>
    </row>
    <row r="23" spans="2:4">
      <c r="C23"/>
    </row>
    <row r="24" spans="2:4" ht="14.25">
      <c r="C24" s="5"/>
    </row>
    <row r="25" spans="2:4" ht="14.25">
      <c r="B25" s="3" t="s">
        <v>398</v>
      </c>
    </row>
    <row r="26" spans="2:4" ht="14.25">
      <c r="B26" s="3" t="s">
        <v>399</v>
      </c>
    </row>
    <row r="27" spans="2:4">
      <c r="C27" s="579" t="s">
        <v>423</v>
      </c>
    </row>
    <row r="28" spans="2:4" ht="14.25">
      <c r="B28" s="4" t="s">
        <v>9</v>
      </c>
      <c r="C28" s="579" t="s">
        <v>424</v>
      </c>
    </row>
    <row r="29" spans="2:4">
      <c r="C29" s="579" t="s">
        <v>425</v>
      </c>
    </row>
    <row r="30" spans="2:4" ht="14.25">
      <c r="B30" s="7" t="s">
        <v>14</v>
      </c>
    </row>
    <row r="31" spans="2:4" ht="14.25">
      <c r="B31" s="7" t="s">
        <v>15</v>
      </c>
    </row>
    <row r="32" spans="2:4" ht="14.25">
      <c r="B32" s="7" t="s">
        <v>16</v>
      </c>
    </row>
    <row r="33" spans="2:3" ht="14.25">
      <c r="B33" s="7" t="s">
        <v>17</v>
      </c>
    </row>
    <row r="34" spans="2:3" ht="14.25">
      <c r="B34" s="4" t="s">
        <v>18</v>
      </c>
    </row>
    <row r="35" spans="2:3" ht="14.25">
      <c r="B35" s="395" t="s">
        <v>9</v>
      </c>
      <c r="C35" s="4" t="s">
        <v>19</v>
      </c>
    </row>
    <row r="36" spans="2:3" ht="14.25">
      <c r="B36" s="4"/>
      <c r="C36" s="4"/>
    </row>
    <row r="37" spans="2:3" ht="14.25">
      <c r="B37" s="4"/>
      <c r="C37" s="4"/>
    </row>
    <row r="38" spans="2:3" ht="14.25">
      <c r="B38" s="580" t="s">
        <v>426</v>
      </c>
      <c r="C38" s="581" t="s">
        <v>31</v>
      </c>
    </row>
    <row r="39" spans="2:3" ht="15.75">
      <c r="B39" s="580" t="s">
        <v>427</v>
      </c>
      <c r="C39" s="581" t="s">
        <v>428</v>
      </c>
    </row>
    <row r="40" spans="2:3" ht="14.25">
      <c r="B40" s="582" t="s">
        <v>429</v>
      </c>
      <c r="C40" s="579" t="s">
        <v>430</v>
      </c>
    </row>
    <row r="41" spans="2:3" ht="14.25">
      <c r="B41" s="4"/>
      <c r="C41" s="4"/>
    </row>
    <row r="42" spans="2:3" ht="14.25">
      <c r="B42" s="4"/>
      <c r="C42" s="4"/>
    </row>
    <row r="43" spans="2:3" ht="14.25">
      <c r="B43" s="4"/>
      <c r="C43" s="4"/>
    </row>
    <row r="44" spans="2:3" ht="15.75">
      <c r="B44" s="1" t="s">
        <v>431</v>
      </c>
    </row>
    <row r="45" spans="2:3" ht="15.75">
      <c r="B45" s="1"/>
    </row>
    <row r="46" spans="2:3" ht="15.75">
      <c r="B46" s="1"/>
    </row>
    <row r="47" spans="2:3" ht="15.75">
      <c r="B47" s="1"/>
    </row>
    <row r="48" spans="2:3" ht="15.75">
      <c r="B48" s="1"/>
    </row>
    <row r="50" spans="2:4" ht="14.25">
      <c r="C50" s="4" t="s">
        <v>20</v>
      </c>
    </row>
    <row r="51" spans="2:4" ht="14.25">
      <c r="D51" s="6" t="s">
        <v>21</v>
      </c>
    </row>
    <row r="52" spans="2:4" ht="14.25">
      <c r="C52" s="6" t="s">
        <v>22</v>
      </c>
    </row>
    <row r="53" spans="2:4" ht="14.25">
      <c r="D53" s="6" t="s">
        <v>23</v>
      </c>
    </row>
    <row r="54" spans="2:4">
      <c r="C54" s="157" t="s">
        <v>24</v>
      </c>
    </row>
    <row r="55" spans="2:4" ht="14.25">
      <c r="C55" s="7" t="s">
        <v>432</v>
      </c>
    </row>
    <row r="56" spans="2:4" ht="14.25">
      <c r="C56" s="7" t="s">
        <v>15</v>
      </c>
    </row>
    <row r="57" spans="2:4" ht="14.25">
      <c r="C57" s="7" t="s">
        <v>16</v>
      </c>
    </row>
    <row r="58" spans="2:4" ht="14.25">
      <c r="C58" s="7" t="s">
        <v>17</v>
      </c>
    </row>
    <row r="59" spans="2:4" ht="14.25">
      <c r="B59" s="4" t="s">
        <v>18</v>
      </c>
    </row>
    <row r="60" spans="2:4" ht="14.25">
      <c r="D60" s="6" t="s">
        <v>25</v>
      </c>
    </row>
    <row r="61" spans="2:4" ht="14.25">
      <c r="B61" s="4" t="s">
        <v>9</v>
      </c>
      <c r="C61" s="157" t="s">
        <v>26</v>
      </c>
    </row>
    <row r="62" spans="2:4" ht="14.25">
      <c r="D62" s="4" t="s">
        <v>27</v>
      </c>
    </row>
    <row r="63" spans="2:4" ht="14.25">
      <c r="D63" s="4" t="s">
        <v>28</v>
      </c>
    </row>
    <row r="64" spans="2:4" ht="14.25">
      <c r="D64" s="4" t="s">
        <v>29</v>
      </c>
    </row>
    <row r="65" spans="2:4" ht="14.25">
      <c r="B65" s="3" t="s">
        <v>397</v>
      </c>
    </row>
    <row r="66" spans="2:4">
      <c r="B66"/>
    </row>
    <row r="67" spans="2:4" ht="14.25">
      <c r="B67" s="5" t="s">
        <v>13</v>
      </c>
    </row>
    <row r="68" spans="2:4" ht="14.25">
      <c r="B68" s="5" t="s">
        <v>370</v>
      </c>
    </row>
    <row r="69" spans="2:4" ht="14.25">
      <c r="B69" s="541" t="s">
        <v>9</v>
      </c>
      <c r="C69" s="7" t="s">
        <v>433</v>
      </c>
    </row>
    <row r="70" spans="2:4" ht="14.25">
      <c r="C70" s="5"/>
    </row>
    <row r="71" spans="2:4" ht="14.25">
      <c r="C71" s="5"/>
    </row>
    <row r="72" spans="2:4" ht="14.25">
      <c r="B72" s="7" t="s">
        <v>434</v>
      </c>
      <c r="C72" s="5"/>
      <c r="D72"/>
    </row>
    <row r="73" spans="2:4" ht="14.25">
      <c r="B73" s="7" t="s">
        <v>435</v>
      </c>
    </row>
    <row r="74" spans="2:4" ht="14.25">
      <c r="B74" s="3" t="s">
        <v>399</v>
      </c>
    </row>
    <row r="75" spans="2:4" ht="14.25">
      <c r="B75" s="4" t="s">
        <v>30</v>
      </c>
    </row>
    <row r="77" spans="2:4" ht="14.25">
      <c r="B77" s="583" t="s">
        <v>436</v>
      </c>
      <c r="C77" s="581" t="s">
        <v>437</v>
      </c>
    </row>
    <row r="78" spans="2:4" ht="14.25">
      <c r="B78" s="583" t="s">
        <v>438</v>
      </c>
      <c r="C78" s="581" t="s">
        <v>32</v>
      </c>
    </row>
    <row r="81" spans="2:11">
      <c r="B81" s="8"/>
    </row>
    <row r="83" spans="2:11" ht="15.75">
      <c r="H83" s="1" t="s">
        <v>439</v>
      </c>
      <c r="I83" s="1" t="s">
        <v>440</v>
      </c>
      <c r="J83"/>
      <c r="K83"/>
    </row>
    <row r="84" spans="2:11">
      <c r="H84" s="812"/>
      <c r="I84" s="10" t="s">
        <v>33</v>
      </c>
      <c r="J84" s="10" t="s">
        <v>441</v>
      </c>
      <c r="K84" s="10" t="s">
        <v>35</v>
      </c>
    </row>
    <row r="85" spans="2:11">
      <c r="H85" s="812"/>
      <c r="I85" s="10" t="s">
        <v>34</v>
      </c>
      <c r="J85" s="10" t="s">
        <v>442</v>
      </c>
      <c r="K85" s="10" t="s">
        <v>36</v>
      </c>
    </row>
    <row r="86" spans="2:11">
      <c r="H86" s="11" t="s">
        <v>37</v>
      </c>
      <c r="I86" s="12" t="s">
        <v>38</v>
      </c>
      <c r="J86" s="12" t="s">
        <v>443</v>
      </c>
      <c r="K86" s="12" t="s">
        <v>444</v>
      </c>
    </row>
    <row r="87" spans="2:11">
      <c r="H87" s="13" t="s">
        <v>39</v>
      </c>
      <c r="I87" s="14" t="s">
        <v>40</v>
      </c>
      <c r="J87" s="14" t="s">
        <v>445</v>
      </c>
      <c r="K87" s="14" t="s">
        <v>446</v>
      </c>
    </row>
    <row r="88" spans="2:11">
      <c r="H88" s="15" t="s">
        <v>447</v>
      </c>
      <c r="I88" s="16" t="s">
        <v>448</v>
      </c>
      <c r="J88" s="16" t="s">
        <v>449</v>
      </c>
      <c r="K88" s="16" t="s">
        <v>41</v>
      </c>
    </row>
    <row r="89" spans="2:11">
      <c r="H89" s="17" t="s">
        <v>450</v>
      </c>
      <c r="I89" s="18" t="s">
        <v>42</v>
      </c>
      <c r="J89" s="18">
        <v>10</v>
      </c>
      <c r="K89" s="18">
        <v>14</v>
      </c>
    </row>
    <row r="90" spans="2:11">
      <c r="H90" s="15" t="s">
        <v>451</v>
      </c>
      <c r="I90" s="16">
        <v>1013</v>
      </c>
      <c r="J90" s="16">
        <v>0</v>
      </c>
      <c r="K90" s="16">
        <v>0</v>
      </c>
    </row>
    <row r="91" spans="2:11">
      <c r="H91" s="17" t="s">
        <v>452</v>
      </c>
      <c r="I91" s="18" t="s">
        <v>453</v>
      </c>
      <c r="J91" s="18">
        <v>24</v>
      </c>
      <c r="K91" s="18">
        <v>22</v>
      </c>
    </row>
    <row r="92" spans="2:11">
      <c r="H92" s="19" t="s">
        <v>43</v>
      </c>
      <c r="I92" s="20">
        <v>25</v>
      </c>
      <c r="J92" s="20">
        <v>24</v>
      </c>
      <c r="K92" s="20">
        <v>22</v>
      </c>
    </row>
    <row r="93" spans="2:11">
      <c r="H93" s="21" t="s">
        <v>44</v>
      </c>
      <c r="I93" s="22">
        <v>1824</v>
      </c>
      <c r="J93" s="22">
        <v>0</v>
      </c>
      <c r="K93" s="22">
        <v>0</v>
      </c>
    </row>
    <row r="94" spans="2:11">
      <c r="H94" s="25"/>
      <c r="I94" s="16"/>
      <c r="J94" s="16"/>
      <c r="K94" s="16"/>
    </row>
    <row r="95" spans="2:11" ht="22.5">
      <c r="H95" s="13" t="s">
        <v>45</v>
      </c>
      <c r="I95" s="14">
        <v>3740</v>
      </c>
      <c r="J95" s="14" t="s">
        <v>454</v>
      </c>
      <c r="K95" s="14" t="s">
        <v>455</v>
      </c>
    </row>
    <row r="96" spans="2:11">
      <c r="H96" s="25"/>
      <c r="I96" s="16"/>
      <c r="J96" s="16"/>
      <c r="K96" s="16"/>
    </row>
    <row r="97" spans="7:11">
      <c r="H97" s="577" t="s">
        <v>46</v>
      </c>
      <c r="I97" s="584"/>
      <c r="J97" s="584"/>
      <c r="K97" s="584"/>
    </row>
    <row r="98" spans="7:11">
      <c r="H98" s="25" t="s">
        <v>456</v>
      </c>
      <c r="I98" s="26">
        <v>0.05</v>
      </c>
      <c r="J98" s="26">
        <v>5.5E-2</v>
      </c>
      <c r="K98" s="26">
        <v>0.06</v>
      </c>
    </row>
    <row r="99" spans="7:11">
      <c r="H99" s="23" t="s">
        <v>47</v>
      </c>
      <c r="I99" s="18">
        <v>1737</v>
      </c>
      <c r="J99" s="18" t="s">
        <v>457</v>
      </c>
      <c r="K99" s="18">
        <v>4778</v>
      </c>
    </row>
    <row r="100" spans="7:11">
      <c r="H100" s="25" t="s">
        <v>458</v>
      </c>
      <c r="I100" s="16">
        <v>87</v>
      </c>
      <c r="J100" s="16">
        <v>311</v>
      </c>
      <c r="K100" s="16">
        <v>287</v>
      </c>
    </row>
    <row r="101" spans="7:11">
      <c r="H101" s="23" t="s">
        <v>48</v>
      </c>
      <c r="I101" s="18">
        <v>3740</v>
      </c>
      <c r="J101" s="18" t="s">
        <v>454</v>
      </c>
      <c r="K101" s="18" t="s">
        <v>455</v>
      </c>
    </row>
    <row r="102" spans="7:11">
      <c r="H102" s="25" t="s">
        <v>459</v>
      </c>
      <c r="I102" s="16">
        <v>92</v>
      </c>
      <c r="J102" s="16" t="s">
        <v>460</v>
      </c>
      <c r="K102" s="16" t="s">
        <v>461</v>
      </c>
    </row>
    <row r="103" spans="7:11" ht="13.5" thickBot="1">
      <c r="H103" s="30" t="s">
        <v>49</v>
      </c>
      <c r="I103" s="31">
        <v>5656</v>
      </c>
      <c r="J103" s="31">
        <v>4778</v>
      </c>
      <c r="K103" s="31" t="s">
        <v>462</v>
      </c>
    </row>
    <row r="104" spans="7:11">
      <c r="G104" s="29" t="s">
        <v>51</v>
      </c>
      <c r="H104" s="157" t="s">
        <v>463</v>
      </c>
      <c r="J104"/>
      <c r="K104"/>
    </row>
    <row r="105" spans="7:11">
      <c r="G105"/>
      <c r="H105" s="157" t="s">
        <v>464</v>
      </c>
      <c r="J105"/>
      <c r="K105"/>
    </row>
    <row r="106" spans="7:11">
      <c r="G106"/>
      <c r="H106" s="157" t="s">
        <v>465</v>
      </c>
      <c r="J106"/>
      <c r="K106"/>
    </row>
    <row r="107" spans="7:11">
      <c r="G107"/>
      <c r="H107" s="579" t="s">
        <v>466</v>
      </c>
      <c r="J107"/>
      <c r="K107"/>
    </row>
    <row r="113" spans="8:11" ht="15.75">
      <c r="H113" s="1" t="s">
        <v>467</v>
      </c>
      <c r="I113" s="1" t="s">
        <v>468</v>
      </c>
      <c r="J113"/>
      <c r="K113"/>
    </row>
    <row r="114" spans="8:11">
      <c r="H114" s="812"/>
      <c r="I114" s="10" t="s">
        <v>33</v>
      </c>
      <c r="J114" s="10" t="s">
        <v>441</v>
      </c>
      <c r="K114" s="10" t="s">
        <v>35</v>
      </c>
    </row>
    <row r="115" spans="8:11">
      <c r="H115" s="812"/>
      <c r="I115" s="10" t="s">
        <v>34</v>
      </c>
      <c r="J115" s="10" t="s">
        <v>442</v>
      </c>
      <c r="K115" s="10" t="s">
        <v>36</v>
      </c>
    </row>
    <row r="116" spans="8:11" ht="22.5">
      <c r="H116" s="11" t="s">
        <v>52</v>
      </c>
      <c r="I116" s="12" t="s">
        <v>53</v>
      </c>
      <c r="J116" s="12" t="s">
        <v>469</v>
      </c>
      <c r="K116" s="12" t="s">
        <v>470</v>
      </c>
    </row>
    <row r="117" spans="8:11">
      <c r="H117" s="13" t="s">
        <v>54</v>
      </c>
      <c r="I117" s="14" t="s">
        <v>471</v>
      </c>
      <c r="J117" s="14" t="s">
        <v>472</v>
      </c>
      <c r="K117" s="14" t="s">
        <v>473</v>
      </c>
    </row>
    <row r="118" spans="8:11">
      <c r="H118" s="15" t="s">
        <v>55</v>
      </c>
      <c r="I118" s="16" t="s">
        <v>474</v>
      </c>
      <c r="J118" s="16" t="s">
        <v>475</v>
      </c>
      <c r="K118" s="16" t="s">
        <v>56</v>
      </c>
    </row>
    <row r="119" spans="8:11">
      <c r="H119" s="17" t="s">
        <v>476</v>
      </c>
      <c r="I119" s="18">
        <v>572</v>
      </c>
      <c r="J119" s="18">
        <v>734</v>
      </c>
      <c r="K119" s="18">
        <v>800</v>
      </c>
    </row>
    <row r="120" spans="8:11">
      <c r="H120" s="15" t="s">
        <v>57</v>
      </c>
      <c r="I120" s="16">
        <v>121</v>
      </c>
      <c r="J120" s="16">
        <v>67</v>
      </c>
      <c r="K120" s="16">
        <v>400</v>
      </c>
    </row>
    <row r="121" spans="8:11">
      <c r="H121" s="23"/>
      <c r="I121" s="18"/>
      <c r="J121" s="18"/>
      <c r="K121" s="18"/>
    </row>
    <row r="122" spans="8:11" ht="22.5">
      <c r="H122" s="11" t="s">
        <v>45</v>
      </c>
      <c r="I122" s="12">
        <v>5712</v>
      </c>
      <c r="J122" s="12" t="s">
        <v>477</v>
      </c>
      <c r="K122" s="12" t="s">
        <v>478</v>
      </c>
    </row>
    <row r="123" spans="8:11">
      <c r="H123" s="23"/>
      <c r="I123" s="18"/>
      <c r="J123" s="18"/>
      <c r="K123" s="18"/>
    </row>
    <row r="124" spans="8:11">
      <c r="H124" s="576" t="s">
        <v>58</v>
      </c>
      <c r="I124" s="585"/>
      <c r="J124" s="585"/>
      <c r="K124" s="585"/>
    </row>
    <row r="125" spans="8:11">
      <c r="H125" s="23" t="s">
        <v>479</v>
      </c>
      <c r="I125" s="24">
        <v>0.05</v>
      </c>
      <c r="J125" s="24">
        <v>5.5E-2</v>
      </c>
      <c r="K125" s="24">
        <v>0.06</v>
      </c>
    </row>
    <row r="126" spans="8:11">
      <c r="H126" s="25" t="s">
        <v>47</v>
      </c>
      <c r="I126" s="16">
        <v>167</v>
      </c>
      <c r="J126" s="16" t="s">
        <v>480</v>
      </c>
      <c r="K126" s="16">
        <v>2467</v>
      </c>
    </row>
    <row r="127" spans="8:11">
      <c r="H127" s="23" t="s">
        <v>458</v>
      </c>
      <c r="I127" s="18">
        <v>8</v>
      </c>
      <c r="J127" s="18">
        <v>332</v>
      </c>
      <c r="K127" s="18">
        <v>148</v>
      </c>
    </row>
    <row r="128" spans="8:11">
      <c r="H128" s="25" t="s">
        <v>48</v>
      </c>
      <c r="I128" s="16">
        <v>5712</v>
      </c>
      <c r="J128" s="16" t="s">
        <v>477</v>
      </c>
      <c r="K128" s="16" t="s">
        <v>478</v>
      </c>
    </row>
    <row r="129" spans="7:11">
      <c r="H129" s="23" t="s">
        <v>459</v>
      </c>
      <c r="I129" s="18">
        <v>141</v>
      </c>
      <c r="J129" s="18" t="s">
        <v>481</v>
      </c>
      <c r="K129" s="18" t="s">
        <v>482</v>
      </c>
    </row>
    <row r="130" spans="7:11" ht="13.5" thickBot="1">
      <c r="H130" s="27" t="s">
        <v>49</v>
      </c>
      <c r="I130" s="28">
        <v>6028</v>
      </c>
      <c r="J130" s="28">
        <v>2467</v>
      </c>
      <c r="K130" s="28" t="s">
        <v>50</v>
      </c>
    </row>
    <row r="131" spans="7:11">
      <c r="G131" s="29" t="s">
        <v>51</v>
      </c>
      <c r="H131" s="157" t="s">
        <v>483</v>
      </c>
      <c r="J131"/>
      <c r="K131"/>
    </row>
    <row r="132" spans="7:11">
      <c r="H132" s="157" t="s">
        <v>484</v>
      </c>
      <c r="J132"/>
      <c r="K132"/>
    </row>
    <row r="133" spans="7:11">
      <c r="H133" s="579" t="s">
        <v>485</v>
      </c>
      <c r="J133"/>
      <c r="K133"/>
    </row>
    <row r="139" spans="7:11" ht="15.75">
      <c r="H139" s="1" t="s">
        <v>486</v>
      </c>
      <c r="I139"/>
      <c r="J139"/>
      <c r="K139"/>
    </row>
    <row r="140" spans="7:11">
      <c r="H140" s="812"/>
      <c r="I140" s="10" t="s">
        <v>33</v>
      </c>
      <c r="J140" s="10" t="s">
        <v>441</v>
      </c>
      <c r="K140" s="10" t="s">
        <v>35</v>
      </c>
    </row>
    <row r="141" spans="7:11">
      <c r="H141" s="812"/>
      <c r="I141" s="10" t="s">
        <v>34</v>
      </c>
      <c r="J141" s="10" t="s">
        <v>442</v>
      </c>
      <c r="K141" s="10" t="s">
        <v>36</v>
      </c>
    </row>
    <row r="142" spans="7:11">
      <c r="H142" s="11" t="s">
        <v>59</v>
      </c>
      <c r="I142" s="12" t="s">
        <v>60</v>
      </c>
      <c r="J142" s="12" t="s">
        <v>487</v>
      </c>
      <c r="K142" s="12" t="s">
        <v>488</v>
      </c>
    </row>
    <row r="143" spans="7:11" ht="22.5">
      <c r="H143" s="13" t="s">
        <v>61</v>
      </c>
      <c r="I143" s="14" t="s">
        <v>489</v>
      </c>
      <c r="J143" s="14" t="s">
        <v>490</v>
      </c>
      <c r="K143" s="14" t="s">
        <v>491</v>
      </c>
    </row>
    <row r="144" spans="7:11">
      <c r="H144" s="15" t="s">
        <v>62</v>
      </c>
      <c r="I144" s="16" t="s">
        <v>63</v>
      </c>
      <c r="J144" s="16" t="s">
        <v>64</v>
      </c>
      <c r="K144" s="16" t="s">
        <v>492</v>
      </c>
    </row>
    <row r="145" spans="7:11">
      <c r="H145" s="17" t="s">
        <v>65</v>
      </c>
      <c r="I145" s="18" t="s">
        <v>66</v>
      </c>
      <c r="J145" s="18">
        <v>7005</v>
      </c>
      <c r="K145" s="18" t="s">
        <v>493</v>
      </c>
    </row>
    <row r="146" spans="7:11">
      <c r="H146" s="25"/>
      <c r="I146" s="16"/>
      <c r="J146" s="16"/>
      <c r="K146" s="16"/>
    </row>
    <row r="147" spans="7:11" ht="22.5">
      <c r="H147" s="13" t="s">
        <v>45</v>
      </c>
      <c r="I147" s="14" t="s">
        <v>494</v>
      </c>
      <c r="J147" s="14">
        <v>2162</v>
      </c>
      <c r="K147" s="14" t="s">
        <v>495</v>
      </c>
    </row>
    <row r="148" spans="7:11">
      <c r="H148" s="25"/>
      <c r="I148" s="16"/>
      <c r="J148" s="16"/>
      <c r="K148" s="16"/>
    </row>
    <row r="149" spans="7:11" ht="21">
      <c r="H149" s="577" t="s">
        <v>67</v>
      </c>
      <c r="I149" s="584"/>
      <c r="J149" s="584"/>
      <c r="K149" s="584"/>
    </row>
    <row r="150" spans="7:11">
      <c r="H150" s="25" t="s">
        <v>479</v>
      </c>
      <c r="I150" s="26">
        <v>0.05</v>
      </c>
      <c r="J150" s="26">
        <v>5.5E-2</v>
      </c>
      <c r="K150" s="26">
        <v>0.06</v>
      </c>
    </row>
    <row r="151" spans="7:11">
      <c r="H151" s="23" t="s">
        <v>47</v>
      </c>
      <c r="I151" s="18" t="s">
        <v>496</v>
      </c>
      <c r="J151" s="18" t="s">
        <v>497</v>
      </c>
      <c r="K151" s="18">
        <v>1628</v>
      </c>
    </row>
    <row r="152" spans="7:11">
      <c r="H152" s="25" t="s">
        <v>458</v>
      </c>
      <c r="I152" s="16" t="s">
        <v>498</v>
      </c>
      <c r="J152" s="16" t="s">
        <v>460</v>
      </c>
      <c r="K152" s="16">
        <v>98</v>
      </c>
    </row>
    <row r="153" spans="7:11">
      <c r="H153" s="23" t="s">
        <v>48</v>
      </c>
      <c r="I153" s="18" t="s">
        <v>494</v>
      </c>
      <c r="J153" s="18">
        <v>2162</v>
      </c>
      <c r="K153" s="18" t="s">
        <v>495</v>
      </c>
    </row>
    <row r="154" spans="7:11">
      <c r="H154" s="25" t="s">
        <v>459</v>
      </c>
      <c r="I154" s="16" t="s">
        <v>42</v>
      </c>
      <c r="J154" s="16">
        <v>59</v>
      </c>
      <c r="K154" s="16" t="s">
        <v>499</v>
      </c>
    </row>
    <row r="155" spans="7:11" ht="13.5" thickBot="1">
      <c r="H155" s="30" t="s">
        <v>49</v>
      </c>
      <c r="I155" s="31" t="s">
        <v>500</v>
      </c>
      <c r="J155" s="31">
        <v>1628</v>
      </c>
      <c r="K155" s="31" t="s">
        <v>50</v>
      </c>
    </row>
    <row r="156" spans="7:11">
      <c r="G156" s="29" t="s">
        <v>51</v>
      </c>
      <c r="H156" s="157" t="s">
        <v>501</v>
      </c>
      <c r="J156"/>
      <c r="K156"/>
    </row>
    <row r="157" spans="7:11">
      <c r="H157" s="157" t="s">
        <v>484</v>
      </c>
      <c r="J157"/>
      <c r="K157"/>
    </row>
    <row r="158" spans="7:11">
      <c r="H158" s="579" t="s">
        <v>502</v>
      </c>
      <c r="J158"/>
      <c r="K158"/>
    </row>
    <row r="166" spans="1:8" ht="15.75">
      <c r="B166" s="91" t="s">
        <v>353</v>
      </c>
    </row>
    <row r="167" spans="1:8" ht="15.75">
      <c r="B167" s="1" t="s">
        <v>354</v>
      </c>
      <c r="C167" s="1" t="s">
        <v>355</v>
      </c>
    </row>
    <row r="168" spans="1:8" ht="41.25" customHeight="1">
      <c r="A168" s="2" t="s">
        <v>392</v>
      </c>
      <c r="B168" s="1"/>
      <c r="C168" s="1"/>
      <c r="H168" s="3" t="s">
        <v>1</v>
      </c>
    </row>
    <row r="170" spans="1:8" ht="27.75" customHeight="1">
      <c r="A170" s="2" t="s">
        <v>393</v>
      </c>
      <c r="H170" s="3" t="s">
        <v>2</v>
      </c>
    </row>
    <row r="172" spans="1:8" ht="27" customHeight="1">
      <c r="A172" s="2" t="s">
        <v>394</v>
      </c>
      <c r="H172" s="3" t="s">
        <v>2</v>
      </c>
    </row>
    <row r="175" spans="1:8" ht="14.25">
      <c r="B175" s="6" t="s">
        <v>5</v>
      </c>
    </row>
    <row r="176" spans="1:8" ht="14.25">
      <c r="B176" s="4" t="s">
        <v>9</v>
      </c>
      <c r="C176" s="4" t="s">
        <v>356</v>
      </c>
    </row>
    <row r="177" spans="2:5" ht="25.5" customHeight="1">
      <c r="E177" s="4" t="s">
        <v>357</v>
      </c>
    </row>
    <row r="178" spans="2:5" ht="24.75" customHeight="1">
      <c r="E178" s="4" t="s">
        <v>358</v>
      </c>
    </row>
    <row r="179" spans="2:5" ht="18" customHeight="1">
      <c r="D179" s="4" t="s">
        <v>359</v>
      </c>
    </row>
    <row r="180" spans="2:5" ht="21.75" customHeight="1">
      <c r="D180" s="4" t="s">
        <v>360</v>
      </c>
    </row>
    <row r="181" spans="2:5" ht="18" customHeight="1">
      <c r="E181" s="4" t="s">
        <v>361</v>
      </c>
    </row>
    <row r="182" spans="2:5" ht="16.5" customHeight="1">
      <c r="E182" s="4" t="s">
        <v>503</v>
      </c>
    </row>
    <row r="184" spans="2:5" ht="22.5" customHeight="1">
      <c r="D184" s="4" t="s">
        <v>362</v>
      </c>
    </row>
    <row r="185" spans="2:5" ht="19.5" customHeight="1">
      <c r="B185" s="4" t="s">
        <v>9</v>
      </c>
      <c r="C185" s="579" t="s">
        <v>504</v>
      </c>
    </row>
    <row r="186" spans="2:5" ht="14.25">
      <c r="B186" s="4" t="s">
        <v>14</v>
      </c>
    </row>
    <row r="187" spans="2:5" ht="14.25">
      <c r="B187" s="4" t="s">
        <v>15</v>
      </c>
    </row>
    <row r="188" spans="2:5" ht="14.25">
      <c r="B188" s="4" t="s">
        <v>16</v>
      </c>
    </row>
    <row r="189" spans="2:5" ht="14.25">
      <c r="B189" s="4" t="s">
        <v>17</v>
      </c>
    </row>
    <row r="190" spans="2:5" ht="14.25">
      <c r="B190" s="4" t="s">
        <v>18</v>
      </c>
    </row>
    <row r="191" spans="2:5" ht="14.25">
      <c r="B191" s="4" t="s">
        <v>9</v>
      </c>
      <c r="D191" s="4" t="s">
        <v>363</v>
      </c>
    </row>
    <row r="193" spans="2:5">
      <c r="B193" s="8"/>
    </row>
    <row r="194" spans="2:5" ht="14.25">
      <c r="B194" s="586" t="s">
        <v>505</v>
      </c>
      <c r="C194" s="579" t="s">
        <v>430</v>
      </c>
    </row>
    <row r="199" spans="2:5" ht="15.75">
      <c r="B199" s="1" t="s">
        <v>364</v>
      </c>
    </row>
    <row r="201" spans="2:5" ht="14.25">
      <c r="B201" s="4" t="s">
        <v>13</v>
      </c>
    </row>
    <row r="202" spans="2:5" ht="14.25">
      <c r="E202" s="4" t="s">
        <v>365</v>
      </c>
    </row>
    <row r="203" spans="2:5" ht="14.25">
      <c r="D203" s="4" t="s">
        <v>366</v>
      </c>
    </row>
    <row r="204" spans="2:5" ht="14.25">
      <c r="B204" s="4" t="s">
        <v>9</v>
      </c>
      <c r="C204" s="579" t="s">
        <v>506</v>
      </c>
    </row>
    <row r="205" spans="2:5" ht="14.25">
      <c r="B205" s="4" t="s">
        <v>507</v>
      </c>
    </row>
    <row r="206" spans="2:5" ht="14.25">
      <c r="B206" s="4" t="s">
        <v>15</v>
      </c>
    </row>
    <row r="207" spans="2:5" ht="14.25">
      <c r="B207" s="4" t="s">
        <v>16</v>
      </c>
    </row>
    <row r="208" spans="2:5" ht="14.25">
      <c r="B208" s="4" t="s">
        <v>17</v>
      </c>
    </row>
    <row r="209" spans="2:11" ht="14.25">
      <c r="B209" s="4" t="s">
        <v>18</v>
      </c>
    </row>
    <row r="210" spans="2:11" ht="14.25">
      <c r="B210" s="4" t="s">
        <v>9</v>
      </c>
      <c r="D210" s="4" t="s">
        <v>363</v>
      </c>
    </row>
    <row r="211" spans="2:11" ht="14.25">
      <c r="E211" s="4" t="s">
        <v>367</v>
      </c>
    </row>
    <row r="212" spans="2:11" ht="14.25">
      <c r="E212" s="4" t="s">
        <v>508</v>
      </c>
    </row>
    <row r="213" spans="2:11" ht="14.25">
      <c r="B213" s="4" t="s">
        <v>368</v>
      </c>
    </row>
    <row r="215" spans="2:11" ht="14.25">
      <c r="B215" s="583" t="s">
        <v>509</v>
      </c>
      <c r="C215" s="581" t="s">
        <v>32</v>
      </c>
    </row>
    <row r="216" spans="2:11">
      <c r="C216" s="9"/>
    </row>
    <row r="220" spans="2:11" ht="15.75">
      <c r="H220" s="1" t="s">
        <v>510</v>
      </c>
      <c r="I220" s="1" t="s">
        <v>511</v>
      </c>
      <c r="J220"/>
      <c r="K220"/>
    </row>
    <row r="221" spans="2:11">
      <c r="H221" s="812"/>
      <c r="I221" s="10" t="s">
        <v>33</v>
      </c>
      <c r="J221" s="10" t="s">
        <v>441</v>
      </c>
      <c r="K221" s="10" t="s">
        <v>35</v>
      </c>
    </row>
    <row r="222" spans="2:11">
      <c r="H222" s="812"/>
      <c r="I222" s="10" t="s">
        <v>34</v>
      </c>
      <c r="J222" s="10" t="s">
        <v>442</v>
      </c>
      <c r="K222" s="10" t="s">
        <v>36</v>
      </c>
    </row>
    <row r="223" spans="2:11">
      <c r="H223" s="11" t="s">
        <v>371</v>
      </c>
      <c r="I223" s="12" t="s">
        <v>512</v>
      </c>
      <c r="J223" s="12" t="s">
        <v>513</v>
      </c>
      <c r="K223" s="12" t="s">
        <v>514</v>
      </c>
    </row>
    <row r="224" spans="2:11">
      <c r="H224" s="13" t="s">
        <v>372</v>
      </c>
      <c r="I224" s="14" t="s">
        <v>515</v>
      </c>
      <c r="J224" s="14" t="s">
        <v>516</v>
      </c>
      <c r="K224" s="14" t="s">
        <v>517</v>
      </c>
    </row>
    <row r="225" spans="7:11">
      <c r="H225" s="15" t="s">
        <v>518</v>
      </c>
      <c r="I225" s="16" t="s">
        <v>519</v>
      </c>
      <c r="J225" s="16" t="s">
        <v>520</v>
      </c>
      <c r="K225" s="16" t="s">
        <v>521</v>
      </c>
    </row>
    <row r="226" spans="7:11" ht="22.5">
      <c r="H226" s="17" t="s">
        <v>522</v>
      </c>
      <c r="I226" s="18" t="s">
        <v>373</v>
      </c>
      <c r="J226" s="18">
        <v>10</v>
      </c>
      <c r="K226" s="18">
        <v>14</v>
      </c>
    </row>
    <row r="227" spans="7:11">
      <c r="H227" s="25"/>
      <c r="I227" s="16"/>
      <c r="J227" s="16"/>
      <c r="K227" s="16"/>
    </row>
    <row r="228" spans="7:11" ht="22.5">
      <c r="H228" s="13" t="s">
        <v>45</v>
      </c>
      <c r="I228" s="14" t="s">
        <v>523</v>
      </c>
      <c r="J228" s="14" t="s">
        <v>524</v>
      </c>
      <c r="K228" s="14" t="s">
        <v>525</v>
      </c>
    </row>
    <row r="229" spans="7:11">
      <c r="H229" s="25"/>
      <c r="I229" s="16"/>
      <c r="J229" s="16"/>
      <c r="K229" s="16"/>
    </row>
    <row r="230" spans="7:11">
      <c r="H230" s="577" t="s">
        <v>374</v>
      </c>
      <c r="I230" s="584"/>
      <c r="J230" s="584"/>
      <c r="K230" s="584"/>
    </row>
    <row r="231" spans="7:11">
      <c r="H231" s="25" t="s">
        <v>456</v>
      </c>
      <c r="I231" s="26">
        <v>0.05</v>
      </c>
      <c r="J231" s="26">
        <v>5.5E-2</v>
      </c>
      <c r="K231" s="26">
        <v>0.06</v>
      </c>
    </row>
    <row r="232" spans="7:11">
      <c r="H232" s="23" t="s">
        <v>47</v>
      </c>
      <c r="I232" s="18" t="s">
        <v>499</v>
      </c>
      <c r="J232" s="18" t="s">
        <v>526</v>
      </c>
      <c r="K232" s="18" t="s">
        <v>527</v>
      </c>
    </row>
    <row r="233" spans="7:11">
      <c r="H233" s="25" t="s">
        <v>458</v>
      </c>
      <c r="I233" s="16" t="s">
        <v>498</v>
      </c>
      <c r="J233" s="16">
        <v>58</v>
      </c>
      <c r="K233" s="16">
        <v>65</v>
      </c>
    </row>
    <row r="234" spans="7:11">
      <c r="H234" s="23" t="s">
        <v>48</v>
      </c>
      <c r="I234" s="18" t="s">
        <v>523</v>
      </c>
      <c r="J234" s="18" t="s">
        <v>524</v>
      </c>
      <c r="K234" s="18" t="s">
        <v>528</v>
      </c>
    </row>
    <row r="235" spans="7:11">
      <c r="H235" s="25" t="s">
        <v>459</v>
      </c>
      <c r="I235" s="16">
        <v>27</v>
      </c>
      <c r="J235" s="16" t="s">
        <v>529</v>
      </c>
      <c r="K235" s="16" t="s">
        <v>524</v>
      </c>
    </row>
    <row r="236" spans="7:11" ht="13.5" thickBot="1">
      <c r="H236" s="30" t="s">
        <v>49</v>
      </c>
      <c r="I236" s="31" t="s">
        <v>530</v>
      </c>
      <c r="J236" s="31" t="s">
        <v>527</v>
      </c>
      <c r="K236" s="31" t="s">
        <v>50</v>
      </c>
    </row>
    <row r="237" spans="7:11">
      <c r="G237" s="29" t="s">
        <v>51</v>
      </c>
      <c r="H237" s="157" t="s">
        <v>531</v>
      </c>
      <c r="J237"/>
      <c r="K237"/>
    </row>
    <row r="238" spans="7:11">
      <c r="H238" s="157" t="s">
        <v>484</v>
      </c>
      <c r="J238"/>
      <c r="K238"/>
    </row>
    <row r="239" spans="7:11">
      <c r="H239" s="579" t="s">
        <v>532</v>
      </c>
      <c r="J239"/>
      <c r="K239"/>
    </row>
  </sheetData>
  <mergeCells count="4">
    <mergeCell ref="H84:H85"/>
    <mergeCell ref="H114:H115"/>
    <mergeCell ref="H140:H141"/>
    <mergeCell ref="H221:H222"/>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Equation.3" shapeId="1078" r:id="rId4">
          <objectPr defaultSize="0" autoPict="0" r:id="rId5">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4"/>
      </mc:Fallback>
    </mc:AlternateContent>
    <mc:AlternateContent xmlns:mc="http://schemas.openxmlformats.org/markup-compatibility/2006">
      <mc:Choice Requires="x14">
        <oleObject progId="Equation.3" shapeId="1079" r:id="rId6">
          <objectPr defaultSize="0" autoPict="0" r:id="rId7">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6"/>
      </mc:Fallback>
    </mc:AlternateContent>
    <mc:AlternateContent xmlns:mc="http://schemas.openxmlformats.org/markup-compatibility/2006">
      <mc:Choice Requires="x14">
        <oleObject progId="Equation.3" shapeId="1080" r:id="rId8">
          <objectPr defaultSize="0" autoPict="0" r:id="rId9">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8"/>
      </mc:Fallback>
    </mc:AlternateContent>
    <mc:AlternateContent xmlns:mc="http://schemas.openxmlformats.org/markup-compatibility/2006">
      <mc:Choice Requires="x14">
        <oleObject progId="Equation.3" shapeId="1081" r:id="rId10">
          <objectPr defaultSize="0" autoPict="0" r:id="rId11">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10"/>
      </mc:Fallback>
    </mc:AlternateContent>
    <mc:AlternateContent xmlns:mc="http://schemas.openxmlformats.org/markup-compatibility/2006">
      <mc:Choice Requires="x14">
        <oleObject progId="Equation.3" shapeId="1082" r:id="rId12">
          <objectPr defaultSize="0" autoPict="0" r:id="rId13">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2"/>
      </mc:Fallback>
    </mc:AlternateContent>
    <mc:AlternateContent xmlns:mc="http://schemas.openxmlformats.org/markup-compatibility/2006">
      <mc:Choice Requires="x14">
        <oleObject progId="Equation.3" shapeId="1083" r:id="rId14">
          <objectPr defaultSize="0" autoPict="0" r:id="rId15">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4"/>
      </mc:Fallback>
    </mc:AlternateContent>
    <mc:AlternateContent xmlns:mc="http://schemas.openxmlformats.org/markup-compatibility/2006">
      <mc:Choice Requires="x14">
        <oleObject progId="Equation.3" shapeId="1084" r:id="rId16">
          <objectPr defaultSize="0" autoPict="0" r:id="rId17">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6"/>
      </mc:Fallback>
    </mc:AlternateContent>
    <mc:AlternateContent xmlns:mc="http://schemas.openxmlformats.org/markup-compatibility/2006">
      <mc:Choice Requires="x14">
        <oleObject progId="Equation.3" shapeId="1085" r:id="rId18">
          <objectPr defaultSize="0" autoPict="0" r:id="rId19">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8"/>
      </mc:Fallback>
    </mc:AlternateContent>
    <mc:AlternateContent xmlns:mc="http://schemas.openxmlformats.org/markup-compatibility/2006">
      <mc:Choice Requires="x14">
        <oleObject progId="Equation.3" shapeId="1086" r:id="rId20">
          <objectPr defaultSize="0" autoPict="0" r:id="rId21">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20"/>
      </mc:Fallback>
    </mc:AlternateContent>
    <mc:AlternateContent xmlns:mc="http://schemas.openxmlformats.org/markup-compatibility/2006">
      <mc:Choice Requires="x14">
        <oleObject progId="Equation.3" shapeId="1087" r:id="rId22">
          <objectPr defaultSize="0" autoPict="0" r:id="rId23">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2"/>
      </mc:Fallback>
    </mc:AlternateContent>
    <mc:AlternateContent xmlns:mc="http://schemas.openxmlformats.org/markup-compatibility/2006">
      <mc:Choice Requires="x14">
        <oleObject progId="Equation.3" shapeId="1088" r:id="rId24">
          <objectPr defaultSize="0" autoPict="0" r:id="rId25">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4"/>
      </mc:Fallback>
    </mc:AlternateContent>
    <mc:AlternateContent xmlns:mc="http://schemas.openxmlformats.org/markup-compatibility/2006">
      <mc:Choice Requires="x14">
        <oleObject progId="Equation.3" shapeId="1089" r:id="rId26">
          <objectPr defaultSize="0" autoPict="0" r:id="rId27">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6"/>
      </mc:Fallback>
    </mc:AlternateContent>
    <mc:AlternateContent xmlns:mc="http://schemas.openxmlformats.org/markup-compatibility/2006">
      <mc:Choice Requires="x14">
        <oleObject progId="Equation.3" shapeId="1090" r:id="rId28">
          <objectPr defaultSize="0" autoPict="0" r:id="rId29">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8"/>
      </mc:Fallback>
    </mc:AlternateContent>
    <mc:AlternateContent xmlns:mc="http://schemas.openxmlformats.org/markup-compatibility/2006">
      <mc:Choice Requires="x14">
        <oleObject progId="Equation.3" shapeId="1091" r:id="rId30">
          <objectPr defaultSize="0" autoPict="0" r:id="rId31">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30"/>
      </mc:Fallback>
    </mc:AlternateContent>
    <mc:AlternateContent xmlns:mc="http://schemas.openxmlformats.org/markup-compatibility/2006">
      <mc:Choice Requires="x14">
        <oleObject progId="Equation.3" shapeId="1092" r:id="rId32">
          <objectPr defaultSize="0" autoPict="0" r:id="rId33">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2"/>
      </mc:Fallback>
    </mc:AlternateContent>
    <mc:AlternateContent xmlns:mc="http://schemas.openxmlformats.org/markup-compatibility/2006">
      <mc:Choice Requires="x14">
        <oleObject progId="Equation.3" shapeId="1093" r:id="rId34">
          <objectPr defaultSize="0" autoPict="0" r:id="rId35">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4"/>
      </mc:Fallback>
    </mc:AlternateContent>
    <mc:AlternateContent xmlns:mc="http://schemas.openxmlformats.org/markup-compatibility/2006">
      <mc:Choice Requires="x14">
        <oleObject progId="Equation.3" shapeId="1094" r:id="rId36">
          <objectPr defaultSize="0" autoPict="0" r:id="rId37">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6"/>
      </mc:Fallback>
    </mc:AlternateContent>
    <mc:AlternateContent xmlns:mc="http://schemas.openxmlformats.org/markup-compatibility/2006">
      <mc:Choice Requires="x14">
        <oleObject progId="Equation.3" shapeId="1095" r:id="rId38">
          <objectPr defaultSize="0" autoPict="0" r:id="rId39">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8"/>
      </mc:Fallback>
    </mc:AlternateContent>
    <mc:AlternateContent xmlns:mc="http://schemas.openxmlformats.org/markup-compatibility/2006">
      <mc:Choice Requires="x14">
        <oleObject progId="Equation.3" shapeId="1096" r:id="rId40">
          <objectPr defaultSize="0" autoPict="0" r:id="rId41">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40"/>
      </mc:Fallback>
    </mc:AlternateContent>
    <mc:AlternateContent xmlns:mc="http://schemas.openxmlformats.org/markup-compatibility/2006">
      <mc:Choice Requires="x14">
        <oleObject progId="Equation.3" shapeId="1097" r:id="rId42">
          <objectPr defaultSize="0" autoPict="0" r:id="rId43">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2"/>
      </mc:Fallback>
    </mc:AlternateContent>
    <mc:AlternateContent xmlns:mc="http://schemas.openxmlformats.org/markup-compatibility/2006">
      <mc:Choice Requires="x14">
        <oleObject progId="Equation.3" shapeId="1098" r:id="rId44">
          <objectPr defaultSize="0" autoPict="0" r:id="rId45">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4"/>
      </mc:Fallback>
    </mc:AlternateContent>
    <mc:AlternateContent xmlns:mc="http://schemas.openxmlformats.org/markup-compatibility/2006">
      <mc:Choice Requires="x14">
        <oleObject progId="Equation.3" shapeId="1099" r:id="rId46">
          <objectPr defaultSize="0" autoPict="0" r:id="rId47">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6"/>
      </mc:Fallback>
    </mc:AlternateContent>
    <mc:AlternateContent xmlns:mc="http://schemas.openxmlformats.org/markup-compatibility/2006">
      <mc:Choice Requires="x14">
        <oleObject progId="Equation.3" shapeId="1100" r:id="rId48">
          <objectPr defaultSize="0" autoPict="0" r:id="rId49">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8"/>
      </mc:Fallback>
    </mc:AlternateContent>
    <mc:AlternateContent xmlns:mc="http://schemas.openxmlformats.org/markup-compatibility/2006">
      <mc:Choice Requires="x14">
        <oleObject progId="Equation.3" shapeId="1101" r:id="rId50">
          <objectPr defaultSize="0" autoPict="0" r:id="rId51">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50"/>
      </mc:Fallback>
    </mc:AlternateContent>
    <mc:AlternateContent xmlns:mc="http://schemas.openxmlformats.org/markup-compatibility/2006">
      <mc:Choice Requires="x14">
        <oleObject progId="Equation.3" shapeId="1102" r:id="rId52">
          <objectPr defaultSize="0" autoPict="0" r:id="rId25">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2"/>
      </mc:Fallback>
    </mc:AlternateContent>
    <mc:AlternateContent xmlns:mc="http://schemas.openxmlformats.org/markup-compatibility/2006">
      <mc:Choice Requires="x14">
        <oleObject progId="Equation.3" shapeId="1103" r:id="rId53">
          <objectPr defaultSize="0" autoPict="0" r:id="rId54">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3"/>
      </mc:Fallback>
    </mc:AlternateContent>
    <mc:AlternateContent xmlns:mc="http://schemas.openxmlformats.org/markup-compatibility/2006">
      <mc:Choice Requires="x14">
        <oleObject progId="Equation.3" shapeId="1104" r:id="rId55">
          <objectPr defaultSize="0" autoPict="0" r:id="rId56">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5"/>
      </mc:Fallback>
    </mc:AlternateContent>
    <mc:AlternateContent xmlns:mc="http://schemas.openxmlformats.org/markup-compatibility/2006">
      <mc:Choice Requires="x14">
        <oleObject progId="Equation.3" shapeId="1105" r:id="rId57">
          <objectPr defaultSize="0" autoPict="0" r:id="rId58">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7"/>
      </mc:Fallback>
    </mc:AlternateContent>
    <mc:AlternateContent xmlns:mc="http://schemas.openxmlformats.org/markup-compatibility/2006">
      <mc:Choice Requires="x14">
        <oleObject progId="Equation.3" shapeId="1106" r:id="rId59">
          <objectPr defaultSize="0" autoPict="0" r:id="rId60">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9"/>
      </mc:Fallback>
    </mc:AlternateContent>
    <mc:AlternateContent xmlns:mc="http://schemas.openxmlformats.org/markup-compatibility/2006">
      <mc:Choice Requires="x14">
        <oleObject progId="Equation.3" shapeId="1107" r:id="rId61">
          <objectPr defaultSize="0" autoPict="0" r:id="rId62">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1"/>
      </mc:Fallback>
    </mc:AlternateContent>
    <mc:AlternateContent xmlns:mc="http://schemas.openxmlformats.org/markup-compatibility/2006">
      <mc:Choice Requires="x14">
        <oleObject progId="Equation.3" shapeId="1108" r:id="rId63">
          <objectPr defaultSize="0" autoPict="0" r:id="rId64">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3"/>
      </mc:Fallback>
    </mc:AlternateContent>
    <mc:AlternateContent xmlns:mc="http://schemas.openxmlformats.org/markup-compatibility/2006">
      <mc:Choice Requires="x14">
        <oleObject progId="Equation.3" shapeId="1109" r:id="rId65">
          <objectPr defaultSize="0" autoPict="0" r:id="rId13">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5"/>
      </mc:Fallback>
    </mc:AlternateContent>
    <mc:AlternateContent xmlns:mc="http://schemas.openxmlformats.org/markup-compatibility/2006">
      <mc:Choice Requires="x14">
        <oleObject progId="Equation.3" shapeId="1110" r:id="rId66">
          <objectPr defaultSize="0" autoPict="0" r:id="rId15">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6"/>
      </mc:Fallback>
    </mc:AlternateContent>
    <mc:AlternateContent xmlns:mc="http://schemas.openxmlformats.org/markup-compatibility/2006">
      <mc:Choice Requires="x14">
        <oleObject progId="Equation.3" shapeId="1111" r:id="rId67">
          <objectPr defaultSize="0" autoPict="0" r:id="rId68">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7"/>
      </mc:Fallback>
    </mc:AlternateContent>
    <mc:AlternateContent xmlns:mc="http://schemas.openxmlformats.org/markup-compatibility/2006">
      <mc:Choice Requires="x14">
        <oleObject progId="Equation.3" shapeId="1112" r:id="rId69">
          <objectPr defaultSize="0" autoPict="0" r:id="rId70">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9"/>
      </mc:Fallback>
    </mc:AlternateContent>
    <mc:AlternateContent xmlns:mc="http://schemas.openxmlformats.org/markup-compatibility/2006">
      <mc:Choice Requires="x14">
        <oleObject progId="Equation.3" shapeId="1113" r:id="rId71">
          <objectPr defaultSize="0" autoPict="0" r:id="rId21">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1"/>
      </mc:Fallback>
    </mc:AlternateContent>
    <mc:AlternateContent xmlns:mc="http://schemas.openxmlformats.org/markup-compatibility/2006">
      <mc:Choice Requires="x14">
        <oleObject progId="Equation.3" shapeId="1114" r:id="rId72">
          <objectPr defaultSize="0" autoPict="0" r:id="rId23">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2"/>
      </mc:Fallback>
    </mc:AlternateContent>
    <mc:AlternateContent xmlns:mc="http://schemas.openxmlformats.org/markup-compatibility/2006">
      <mc:Choice Requires="x14">
        <oleObject progId="Equation.3" shapeId="1115" r:id="rId73">
          <objectPr defaultSize="0" autoPict="0" r:id="rId74">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3"/>
      </mc:Fallback>
    </mc:AlternateContent>
    <mc:AlternateContent xmlns:mc="http://schemas.openxmlformats.org/markup-compatibility/2006">
      <mc:Choice Requires="x14">
        <oleObject progId="Equation.3" shapeId="1116" r:id="rId75">
          <objectPr defaultSize="0" autoPict="0" r:id="rId31">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5"/>
      </mc:Fallback>
    </mc:AlternateContent>
    <mc:AlternateContent xmlns:mc="http://schemas.openxmlformats.org/markup-compatibility/2006">
      <mc:Choice Requires="x14">
        <oleObject progId="Equation.3" shapeId="1117" r:id="rId76">
          <objectPr defaultSize="0" autoPict="0" r:id="rId56">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6"/>
      </mc:Fallback>
    </mc:AlternateContent>
    <mc:AlternateContent xmlns:mc="http://schemas.openxmlformats.org/markup-compatibility/2006">
      <mc:Choice Requires="x14">
        <oleObject progId="Equation.3" shapeId="1118" r:id="rId77">
          <objectPr defaultSize="0" autoPict="0" r:id="rId78">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7"/>
      </mc:Fallback>
    </mc:AlternateContent>
    <mc:AlternateContent xmlns:mc="http://schemas.openxmlformats.org/markup-compatibility/2006">
      <mc:Choice Requires="x14">
        <oleObject progId="Equation.3" shapeId="1119" r:id="rId79">
          <objectPr defaultSize="0" autoPict="0" r:id="rId80">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9"/>
      </mc:Fallback>
    </mc:AlternateContent>
    <mc:AlternateContent xmlns:mc="http://schemas.openxmlformats.org/markup-compatibility/2006">
      <mc:Choice Requires="x14">
        <oleObject progId="Equation.3" shapeId="1120" r:id="rId81">
          <objectPr defaultSize="0" autoPict="0" r:id="rId82">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1"/>
      </mc:Fallback>
    </mc:AlternateContent>
    <mc:AlternateContent xmlns:mc="http://schemas.openxmlformats.org/markup-compatibility/2006">
      <mc:Choice Requires="x14">
        <oleObject progId="Equation.3" shapeId="1121" r:id="rId83">
          <objectPr defaultSize="0" autoPict="0" r:id="rId31">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3"/>
      </mc:Fallback>
    </mc:AlternateContent>
    <mc:AlternateContent xmlns:mc="http://schemas.openxmlformats.org/markup-compatibility/2006">
      <mc:Choice Requires="x14">
        <oleObject progId="Equation.3" shapeId="1122" r:id="rId84">
          <objectPr defaultSize="0" autoPict="0" r:id="rId56">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4"/>
      </mc:Fallback>
    </mc:AlternateContent>
    <mc:AlternateContent xmlns:mc="http://schemas.openxmlformats.org/markup-compatibility/2006">
      <mc:Choice Requires="x14">
        <oleObject progId="Equation.3" shapeId="1123" r:id="rId85">
          <objectPr defaultSize="0" autoPict="0" r:id="rId86">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5"/>
      </mc:Fallback>
    </mc:AlternateContent>
    <mc:AlternateContent xmlns:mc="http://schemas.openxmlformats.org/markup-compatibility/2006">
      <mc:Choice Requires="x14">
        <oleObject progId="Equation.3" shapeId="1124" r:id="rId87">
          <objectPr defaultSize="0" autoPict="0" r:id="rId88">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7"/>
      </mc:Fallback>
    </mc:AlternateContent>
    <mc:AlternateContent xmlns:mc="http://schemas.openxmlformats.org/markup-compatibility/2006">
      <mc:Choice Requires="x14">
        <oleObject progId="Equation.3" shapeId="1125" r:id="rId89">
          <objectPr defaultSize="0" autoPict="0" r:id="rId90">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9"/>
      </mc:Fallback>
    </mc:AlternateContent>
    <mc:AlternateContent xmlns:mc="http://schemas.openxmlformats.org/markup-compatibility/2006">
      <mc:Choice Requires="x14">
        <oleObject progId="Equation.3" shapeId="1126" r:id="rId91">
          <objectPr defaultSize="0" autoPict="0" r:id="rId92">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1"/>
      </mc:Fallback>
    </mc:AlternateContent>
    <mc:AlternateContent xmlns:mc="http://schemas.openxmlformats.org/markup-compatibility/2006">
      <mc:Choice Requires="x14">
        <oleObject progId="Equation.3" shapeId="1127" r:id="rId93">
          <objectPr defaultSize="0" autoPict="0" r:id="rId94">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3"/>
      </mc:Fallback>
    </mc:AlternateContent>
    <mc:AlternateContent xmlns:mc="http://schemas.openxmlformats.org/markup-compatibility/2006">
      <mc:Choice Requires="x14">
        <oleObject progId="Equation.3" shapeId="1128" r:id="rId95">
          <objectPr defaultSize="0" autoPict="0" r:id="rId96">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5"/>
      </mc:Fallback>
    </mc:AlternateContent>
    <mc:AlternateContent xmlns:mc="http://schemas.openxmlformats.org/markup-compatibility/2006">
      <mc:Choice Requires="x14">
        <oleObject progId="Equation.3" shapeId="1129" r:id="rId97">
          <objectPr defaultSize="0" autoPict="0" r:id="rId98">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93"/>
  <sheetViews>
    <sheetView showGridLines="0" topLeftCell="A73" zoomScale="80" zoomScaleNormal="80" workbookViewId="0">
      <selection activeCell="O63" sqref="O63"/>
    </sheetView>
  </sheetViews>
  <sheetFormatPr defaultRowHeight="12.75"/>
  <cols>
    <col min="1" max="1" width="30.28515625" style="397" customWidth="1"/>
    <col min="2" max="2" width="14.28515625" style="397" customWidth="1"/>
    <col min="3" max="3" width="12.85546875" style="397" customWidth="1"/>
    <col min="4" max="8" width="13.5703125" style="397" customWidth="1"/>
    <col min="9" max="9" width="12" style="397" bestFit="1" customWidth="1"/>
    <col min="10" max="10" width="9.7109375" style="397" customWidth="1"/>
    <col min="11" max="11" width="9.140625" style="397"/>
    <col min="12" max="12" width="14.28515625" style="397" bestFit="1" customWidth="1"/>
    <col min="13" max="16384" width="9.140625" style="397"/>
  </cols>
  <sheetData>
    <row r="1" spans="1:10">
      <c r="A1" s="396"/>
    </row>
    <row r="2" spans="1:10">
      <c r="A2" s="396"/>
    </row>
    <row r="3" spans="1:10">
      <c r="A3" s="398" t="s">
        <v>68</v>
      </c>
      <c r="C3" s="399" t="str">
        <f>A56</f>
        <v>Powercor</v>
      </c>
    </row>
    <row r="5" spans="1:10">
      <c r="A5" s="397" t="s">
        <v>69</v>
      </c>
      <c r="C5" s="400">
        <v>2018</v>
      </c>
    </row>
    <row r="7" spans="1:10">
      <c r="A7" s="397" t="s">
        <v>70</v>
      </c>
      <c r="B7" s="397" t="s">
        <v>71</v>
      </c>
      <c r="C7" s="397">
        <f>C5</f>
        <v>2018</v>
      </c>
    </row>
    <row r="8" spans="1:10">
      <c r="A8" s="397" t="s">
        <v>72</v>
      </c>
      <c r="B8" s="397" t="s">
        <v>71</v>
      </c>
      <c r="C8" s="397">
        <f t="shared" ref="C8:C11" si="0">C7-1</f>
        <v>2017</v>
      </c>
    </row>
    <row r="9" spans="1:10">
      <c r="A9" s="397" t="s">
        <v>73</v>
      </c>
      <c r="B9" s="397" t="s">
        <v>71</v>
      </c>
      <c r="C9" s="397">
        <f t="shared" si="0"/>
        <v>2016</v>
      </c>
    </row>
    <row r="10" spans="1:10">
      <c r="A10" s="397" t="s">
        <v>74</v>
      </c>
      <c r="B10" s="397" t="s">
        <v>71</v>
      </c>
      <c r="C10" s="397">
        <f t="shared" si="0"/>
        <v>2015</v>
      </c>
    </row>
    <row r="11" spans="1:10">
      <c r="A11" s="397" t="s">
        <v>127</v>
      </c>
      <c r="B11" s="397" t="s">
        <v>71</v>
      </c>
      <c r="C11" s="397">
        <f t="shared" si="0"/>
        <v>2014</v>
      </c>
    </row>
    <row r="13" spans="1:10">
      <c r="A13" s="397" t="s">
        <v>75</v>
      </c>
    </row>
    <row r="14" spans="1:10" ht="13.5" thickBot="1"/>
    <row r="15" spans="1:10" ht="24" customHeight="1">
      <c r="A15" s="215" t="s">
        <v>76</v>
      </c>
      <c r="B15" s="221" t="s">
        <v>77</v>
      </c>
      <c r="C15" s="221"/>
      <c r="D15" s="221"/>
      <c r="E15" s="221"/>
      <c r="F15" s="221"/>
      <c r="G15" s="216"/>
    </row>
    <row r="16" spans="1:10">
      <c r="A16" s="401" t="s">
        <v>78</v>
      </c>
      <c r="B16" s="402"/>
      <c r="C16" s="403">
        <v>99.8</v>
      </c>
      <c r="D16" s="222"/>
      <c r="G16" s="218"/>
      <c r="J16" s="404"/>
    </row>
    <row r="17" spans="1:10">
      <c r="A17" s="405" t="s">
        <v>79</v>
      </c>
      <c r="B17" s="222"/>
      <c r="C17" s="406">
        <v>101.8</v>
      </c>
      <c r="E17" s="407" t="s">
        <v>214</v>
      </c>
      <c r="F17" s="408">
        <f>C17/C16-1</f>
        <v>2.0040080160320661E-2</v>
      </c>
      <c r="G17" s="218"/>
      <c r="J17" s="153"/>
    </row>
    <row r="18" spans="1:10">
      <c r="A18" s="405" t="s">
        <v>80</v>
      </c>
      <c r="B18" s="222"/>
      <c r="C18" s="409">
        <v>104</v>
      </c>
      <c r="E18" s="410" t="s">
        <v>215</v>
      </c>
      <c r="F18" s="411">
        <f>C18/C17-1</f>
        <v>2.16110019646365E-2</v>
      </c>
      <c r="G18" s="218"/>
      <c r="J18" s="404"/>
    </row>
    <row r="19" spans="1:10">
      <c r="A19" s="405" t="s">
        <v>81</v>
      </c>
      <c r="B19" s="412"/>
      <c r="C19" s="409">
        <v>106.4</v>
      </c>
      <c r="E19" s="410" t="s">
        <v>216</v>
      </c>
      <c r="F19" s="411">
        <f>C19/C18-1</f>
        <v>2.3076923076923217E-2</v>
      </c>
      <c r="G19" s="218"/>
    </row>
    <row r="20" spans="1:10">
      <c r="A20" s="405" t="s">
        <v>101</v>
      </c>
      <c r="B20" s="412"/>
      <c r="C20" s="409">
        <v>108</v>
      </c>
      <c r="E20" s="410" t="s">
        <v>217</v>
      </c>
      <c r="F20" s="411">
        <f>C20/C19-1</f>
        <v>1.5037593984962294E-2</v>
      </c>
      <c r="G20" s="218"/>
    </row>
    <row r="21" spans="1:10">
      <c r="A21" s="405" t="s">
        <v>213</v>
      </c>
      <c r="B21" s="412"/>
      <c r="C21" s="413">
        <v>107.5</v>
      </c>
      <c r="E21" s="410"/>
      <c r="F21" s="414"/>
      <c r="G21" s="218"/>
    </row>
    <row r="22" spans="1:10">
      <c r="A22" s="405" t="s">
        <v>212</v>
      </c>
      <c r="B22" s="412"/>
      <c r="C22" s="409">
        <v>108.6</v>
      </c>
      <c r="E22" s="410" t="s">
        <v>218</v>
      </c>
      <c r="F22" s="411">
        <f>IF(OR(C21="",C22=""),0,C22/C21-1)</f>
        <v>1.0232558139534831E-2</v>
      </c>
      <c r="G22" s="218"/>
    </row>
    <row r="23" spans="1:10">
      <c r="A23" s="405" t="s">
        <v>211</v>
      </c>
      <c r="B23" s="412"/>
      <c r="C23" s="680">
        <v>110.7</v>
      </c>
      <c r="E23" s="410" t="s">
        <v>219</v>
      </c>
      <c r="F23" s="411">
        <f t="shared" ref="F23:F25" si="1">IF(OR(C22="",C23=""),0,C23/C22-1)</f>
        <v>1.9337016574585641E-2</v>
      </c>
      <c r="G23" s="218"/>
    </row>
    <row r="24" spans="1:10">
      <c r="A24" s="405" t="s">
        <v>210</v>
      </c>
      <c r="B24" s="412"/>
      <c r="C24" s="409"/>
      <c r="E24" s="410" t="s">
        <v>220</v>
      </c>
      <c r="F24" s="411">
        <f t="shared" si="1"/>
        <v>0</v>
      </c>
      <c r="G24" s="218"/>
    </row>
    <row r="25" spans="1:10">
      <c r="A25" s="415" t="s">
        <v>209</v>
      </c>
      <c r="B25" s="416"/>
      <c r="C25" s="409"/>
      <c r="E25" s="417" t="s">
        <v>221</v>
      </c>
      <c r="F25" s="418">
        <f t="shared" si="1"/>
        <v>0</v>
      </c>
      <c r="G25" s="218"/>
    </row>
    <row r="26" spans="1:10">
      <c r="A26" s="217"/>
      <c r="B26" s="222"/>
      <c r="C26" s="419"/>
      <c r="D26" s="222"/>
      <c r="G26" s="218"/>
    </row>
    <row r="27" spans="1:10">
      <c r="A27" s="217"/>
      <c r="B27" s="222"/>
      <c r="C27" s="419"/>
      <c r="D27" s="222"/>
      <c r="G27" s="218"/>
    </row>
    <row r="28" spans="1:10">
      <c r="A28" s="217" t="str">
        <f>"CPI " &amp;$C$9</f>
        <v>CPI 2016</v>
      </c>
      <c r="B28" s="222"/>
      <c r="C28" s="420">
        <f>VLOOKUP(A28,E$17:F$25,2,FALSE)</f>
        <v>1.5037593984962294E-2</v>
      </c>
      <c r="D28" s="442" t="s">
        <v>376</v>
      </c>
      <c r="G28" s="218"/>
    </row>
    <row r="29" spans="1:10">
      <c r="A29" s="217" t="str">
        <f>"CPI " &amp;$C$8</f>
        <v>CPI 2017</v>
      </c>
      <c r="B29" s="222"/>
      <c r="C29" s="420">
        <f t="shared" ref="C29:C30" si="2">VLOOKUP(A29,E$17:F$25,2,FALSE)</f>
        <v>1.0232558139534831E-2</v>
      </c>
      <c r="D29" s="442" t="s">
        <v>375</v>
      </c>
      <c r="G29" s="218"/>
    </row>
    <row r="30" spans="1:10">
      <c r="A30" s="217" t="str">
        <f>"CPI " &amp;$C$5</f>
        <v>CPI 2018</v>
      </c>
      <c r="B30" s="222"/>
      <c r="C30" s="420">
        <f t="shared" si="2"/>
        <v>1.9337016574585641E-2</v>
      </c>
      <c r="D30" s="544" t="s">
        <v>404</v>
      </c>
      <c r="G30" s="218"/>
    </row>
    <row r="31" spans="1:10" ht="13.5" thickBot="1">
      <c r="A31" s="219"/>
      <c r="B31" s="225"/>
      <c r="C31" s="225"/>
      <c r="D31" s="225"/>
      <c r="E31" s="225"/>
      <c r="F31" s="225"/>
      <c r="G31" s="220"/>
    </row>
    <row r="35" spans="1:8">
      <c r="A35" s="421" t="s">
        <v>410</v>
      </c>
      <c r="B35" s="422"/>
      <c r="C35" s="404"/>
      <c r="D35" s="423"/>
      <c r="E35" s="423"/>
      <c r="F35" s="423"/>
      <c r="G35" s="424"/>
      <c r="H35" s="423"/>
    </row>
    <row r="36" spans="1:8">
      <c r="A36" s="425" t="str">
        <f>"rvw for "&amp;C$5</f>
        <v>rvw for 2018</v>
      </c>
      <c r="B36" s="426"/>
      <c r="C36" s="197"/>
      <c r="D36" s="427" t="s">
        <v>405</v>
      </c>
      <c r="E36" s="427" t="s">
        <v>406</v>
      </c>
      <c r="F36" s="427" t="s">
        <v>407</v>
      </c>
      <c r="G36" s="428" t="s">
        <v>408</v>
      </c>
      <c r="H36" s="427" t="s">
        <v>409</v>
      </c>
    </row>
    <row r="37" spans="1:8">
      <c r="A37" s="429" t="str">
        <f>$A$54</f>
        <v>Jemena</v>
      </c>
      <c r="B37" s="430">
        <f>HLOOKUP($A$36,$D$36:$H$41,2,FALSE)</f>
        <v>3.8482708197709714E-2</v>
      </c>
      <c r="C37" s="404"/>
      <c r="D37" s="431">
        <v>3.9596959091813176E-2</v>
      </c>
      <c r="E37" s="668">
        <v>3.8998747434050608E-2</v>
      </c>
      <c r="F37" s="434">
        <v>3.8482708197709714E-2</v>
      </c>
      <c r="G37" s="433">
        <v>3.8482708197709714E-2</v>
      </c>
      <c r="H37" s="434">
        <v>3.8482708197709714E-2</v>
      </c>
    </row>
    <row r="38" spans="1:8">
      <c r="A38" s="429" t="str">
        <f>$A$55</f>
        <v>CitiPower</v>
      </c>
      <c r="B38" s="430">
        <f>HLOOKUP($A$36,$D$36:$H$41,3,FALSE)</f>
        <v>3.5897854460483589E-2</v>
      </c>
      <c r="C38" s="404"/>
      <c r="D38" s="431">
        <v>3.6967675843673664E-2</v>
      </c>
      <c r="E38" s="668">
        <v>3.6395072760831051E-2</v>
      </c>
      <c r="F38" s="434">
        <v>3.5897854460483589E-2</v>
      </c>
      <c r="G38" s="433">
        <v>3.5897854460483589E-2</v>
      </c>
      <c r="H38" s="434">
        <v>3.5897854460483589E-2</v>
      </c>
    </row>
    <row r="39" spans="1:8">
      <c r="A39" s="429" t="str">
        <f>$A$56</f>
        <v>Powercor</v>
      </c>
      <c r="B39" s="430">
        <f>HLOOKUP($A$36,$D$36:$H$41,4,FALSE)</f>
        <v>3.5897854460483589E-2</v>
      </c>
      <c r="C39" s="404"/>
      <c r="D39" s="431">
        <v>3.6967675843673664E-2</v>
      </c>
      <c r="E39" s="668">
        <v>3.6395072760831051E-2</v>
      </c>
      <c r="F39" s="434">
        <v>3.5897854460483589E-2</v>
      </c>
      <c r="G39" s="433">
        <v>3.5897854460483589E-2</v>
      </c>
      <c r="H39" s="434">
        <v>3.5897854460483589E-2</v>
      </c>
    </row>
    <row r="40" spans="1:8">
      <c r="A40" s="429" t="str">
        <f>$A$57</f>
        <v>AusNet Services</v>
      </c>
      <c r="B40" s="430">
        <f>HLOOKUP($A$36,$D$36:$H$41,5,FALSE)</f>
        <v>3.8281275483315946E-2</v>
      </c>
      <c r="C40" s="404"/>
      <c r="D40" s="431">
        <v>3.8984967311635851E-2</v>
      </c>
      <c r="E40" s="668">
        <v>3.8530391286089614E-2</v>
      </c>
      <c r="F40" s="434">
        <v>3.8281275483315946E-2</v>
      </c>
      <c r="G40" s="433">
        <v>3.8281275483315946E-2</v>
      </c>
      <c r="H40" s="434">
        <v>3.8281275483315946E-2</v>
      </c>
    </row>
    <row r="41" spans="1:8">
      <c r="A41" s="429" t="str">
        <f>$A$58</f>
        <v>United Energy</v>
      </c>
      <c r="B41" s="430">
        <f>HLOOKUP($A$36,$D$36:$H$41,6,FALSE)</f>
        <v>3.8391841352995247E-2</v>
      </c>
      <c r="C41" s="404"/>
      <c r="D41" s="431">
        <v>3.9598521188703287E-2</v>
      </c>
      <c r="E41" s="668">
        <v>3.8963198492823106E-2</v>
      </c>
      <c r="F41" s="434">
        <v>3.8391841352995247E-2</v>
      </c>
      <c r="G41" s="433">
        <v>3.8391841352995247E-2</v>
      </c>
      <c r="H41" s="434">
        <v>3.8391841352995247E-2</v>
      </c>
    </row>
    <row r="42" spans="1:8">
      <c r="A42" s="429"/>
      <c r="B42" s="430"/>
      <c r="C42" s="404"/>
      <c r="D42" s="431"/>
      <c r="E42" s="432"/>
      <c r="F42" s="431"/>
      <c r="G42" s="432"/>
      <c r="H42" s="431"/>
    </row>
    <row r="43" spans="1:8" ht="13.5" thickBot="1">
      <c r="A43" s="435" t="str">
        <f>"rvw (t) "&amp;C$5</f>
        <v>rvw (t) 2018</v>
      </c>
      <c r="B43" s="436">
        <f>VLOOKUP(C$3,A37:B41,2,FALSE)</f>
        <v>3.5897854460483589E-2</v>
      </c>
      <c r="C43" s="544" t="s">
        <v>404</v>
      </c>
      <c r="D43" s="437">
        <f>VLOOKUP($C$3,$A$37:$H$41,4,FALSE)</f>
        <v>3.6967675843673664E-2</v>
      </c>
      <c r="E43" s="438">
        <f>VLOOKUP($C$3,$A37:$H$41,5,FALSE)</f>
        <v>3.6395072760831051E-2</v>
      </c>
      <c r="F43" s="437">
        <f>VLOOKUP($C$3,$A$37:$H$41,6,FALSE)</f>
        <v>3.5897854460483589E-2</v>
      </c>
      <c r="G43" s="438">
        <f>VLOOKUP($C$3,$A$37:$H$41,7,FALSE)</f>
        <v>3.5897854460483589E-2</v>
      </c>
      <c r="H43" s="437">
        <f>VLOOKUP($C$3,$A$37:$H$41,8,FALSE)</f>
        <v>3.5897854460483589E-2</v>
      </c>
    </row>
    <row r="44" spans="1:8">
      <c r="B44" s="439"/>
    </row>
    <row r="45" spans="1:8">
      <c r="A45" s="440" t="str">
        <f>"rvw for "&amp;C$5-1</f>
        <v>rvw for 2017</v>
      </c>
      <c r="B45" s="441">
        <f>IF(C$5=2016,F$184,HLOOKUP($A45,D$36:H$43,8,FALSE))</f>
        <v>3.6395072760831051E-2</v>
      </c>
      <c r="C45" s="442" t="s">
        <v>375</v>
      </c>
    </row>
    <row r="46" spans="1:8">
      <c r="A46" s="429"/>
      <c r="B46" s="443"/>
    </row>
    <row r="47" spans="1:8" ht="13.5" thickBot="1">
      <c r="A47" s="444" t="str">
        <f>"rvw for "&amp;C$5-2</f>
        <v>rvw for 2016</v>
      </c>
      <c r="B47" s="445">
        <f>IF(OR(C$5=2016,C$5=2017),F$183,HLOOKUP($A47,D$36:H$43,8,FALSE))</f>
        <v>3.6967675843673664E-2</v>
      </c>
      <c r="C47" s="442" t="s">
        <v>376</v>
      </c>
    </row>
    <row r="52" spans="1:8" ht="13.5" thickBot="1">
      <c r="A52" s="446" t="s">
        <v>352</v>
      </c>
    </row>
    <row r="53" spans="1:8">
      <c r="A53" s="447" t="str">
        <f>"Xt for "&amp;C$5</f>
        <v>Xt for 2018</v>
      </c>
      <c r="B53" s="439"/>
      <c r="D53" s="448" t="s">
        <v>103</v>
      </c>
      <c r="E53" s="449" t="s">
        <v>97</v>
      </c>
      <c r="F53" s="423" t="s">
        <v>98</v>
      </c>
      <c r="G53" s="423" t="s">
        <v>99</v>
      </c>
      <c r="H53" s="449" t="s">
        <v>100</v>
      </c>
    </row>
    <row r="54" spans="1:8">
      <c r="A54" s="429" t="s">
        <v>82</v>
      </c>
      <c r="B54" s="450">
        <f>IF(C$5=2016,"n/a",HLOOKUP($A$53,$E$53:$H$58,2,FALSE))</f>
        <v>2.7000000000000001E-3</v>
      </c>
      <c r="D54" s="451">
        <v>238498758</v>
      </c>
      <c r="E54" s="669">
        <v>-3.2500000000000001E-2</v>
      </c>
      <c r="F54" s="434">
        <v>2.7000000000000001E-3</v>
      </c>
      <c r="G54" s="434">
        <v>-2.0199999999999999E-2</v>
      </c>
      <c r="H54" s="452">
        <v>-0.02</v>
      </c>
    </row>
    <row r="55" spans="1:8">
      <c r="A55" s="429" t="s">
        <v>83</v>
      </c>
      <c r="B55" s="450">
        <f>IF(C$5=2016,"n/a",HLOOKUP($A$53,$E$53:$H$58,3,FALSE))</f>
        <v>-5.0000000000000001E-4</v>
      </c>
      <c r="D55" s="567">
        <v>282881283</v>
      </c>
      <c r="E55" s="669">
        <v>4.0000000000000001E-3</v>
      </c>
      <c r="F55" s="434">
        <v>-5.0000000000000001E-4</v>
      </c>
      <c r="G55" s="434">
        <v>-1.2E-2</v>
      </c>
      <c r="H55" s="452">
        <v>-2.4E-2</v>
      </c>
    </row>
    <row r="56" spans="1:8">
      <c r="A56" s="429" t="s">
        <v>84</v>
      </c>
      <c r="B56" s="450">
        <f>IF(C$5=2016,"n/a",HLOOKUP($A$53,$E$53:$H$58,4,FALSE))</f>
        <v>-8.0999999999999996E-3</v>
      </c>
      <c r="D56" s="451">
        <v>621773294</v>
      </c>
      <c r="E56" s="669">
        <v>4.6800000000000001E-2</v>
      </c>
      <c r="F56" s="434">
        <v>-8.0999999999999996E-3</v>
      </c>
      <c r="G56" s="434">
        <v>-1.7999999999999999E-2</v>
      </c>
      <c r="H56" s="452">
        <v>-2.5999999999999999E-2</v>
      </c>
    </row>
    <row r="57" spans="1:8">
      <c r="A57" s="429" t="s">
        <v>106</v>
      </c>
      <c r="B57" s="450">
        <f>IF(C$5=2016,"n/a",HLOOKUP($A$53,$E$53:$H$58,5,FALSE))</f>
        <v>-1.84E-2</v>
      </c>
      <c r="D57" s="451">
        <v>586045137</v>
      </c>
      <c r="E57" s="669">
        <v>3.0000000000000001E-3</v>
      </c>
      <c r="F57" s="434">
        <v>-1.84E-2</v>
      </c>
      <c r="G57" s="434">
        <v>-2.5000000000000001E-2</v>
      </c>
      <c r="H57" s="452">
        <v>-0.03</v>
      </c>
    </row>
    <row r="58" spans="1:8">
      <c r="A58" s="429" t="s">
        <v>85</v>
      </c>
      <c r="B58" s="450">
        <f>IF(C$5=2016,"n/a",HLOOKUP($A$53,$E$53:$H$58,6,FALSE))</f>
        <v>-3.1600000000000003E-2</v>
      </c>
      <c r="D58" s="451">
        <v>375069867</v>
      </c>
      <c r="E58" s="669">
        <v>-3.8300000000000001E-2</v>
      </c>
      <c r="F58" s="434">
        <v>-3.1600000000000003E-2</v>
      </c>
      <c r="G58" s="434">
        <v>-3.5000000000000003E-2</v>
      </c>
      <c r="H58" s="452">
        <v>0</v>
      </c>
    </row>
    <row r="59" spans="1:8">
      <c r="A59" s="429"/>
      <c r="B59" s="430"/>
      <c r="D59" s="453"/>
      <c r="E59" s="454"/>
      <c r="F59" s="455"/>
      <c r="G59" s="455"/>
      <c r="H59" s="454"/>
    </row>
    <row r="60" spans="1:8" ht="13.5" thickBot="1">
      <c r="A60" s="456" t="str">
        <f>"Xt for"&amp;C$5</f>
        <v>Xt for2018</v>
      </c>
      <c r="B60" s="457">
        <f>VLOOKUP(C$3,A54:B58,2,FALSE)</f>
        <v>-8.0999999999999996E-3</v>
      </c>
      <c r="D60" s="458">
        <f>VLOOKUP($C$3,$A$54:$H$58,4,FALSE)</f>
        <v>621773294</v>
      </c>
      <c r="E60" s="438">
        <f>VLOOKUP($C$3,$A$54:$H$58,5,FALSE)</f>
        <v>4.6800000000000001E-2</v>
      </c>
      <c r="F60" s="437">
        <f>VLOOKUP($C$3,$A$54:$H$58,6,FALSE)</f>
        <v>-8.0999999999999996E-3</v>
      </c>
      <c r="G60" s="438">
        <f>VLOOKUP($C$3,$A$54:$H$58,7,FALSE)</f>
        <v>-1.7999999999999999E-2</v>
      </c>
      <c r="H60" s="437">
        <f>VLOOKUP($C$3,$A$54:$H$58,8,FALSE)</f>
        <v>-2.5999999999999999E-2</v>
      </c>
    </row>
    <row r="64" spans="1:8" ht="13.5" thickBot="1">
      <c r="A64" s="446" t="s">
        <v>353</v>
      </c>
    </row>
    <row r="65" spans="1:8">
      <c r="A65" s="447" t="str">
        <f>"Xt for "&amp;C$5</f>
        <v>Xt for 2018</v>
      </c>
      <c r="B65" s="439"/>
      <c r="D65" s="448" t="s">
        <v>103</v>
      </c>
      <c r="E65" s="449" t="s">
        <v>97</v>
      </c>
      <c r="F65" s="423" t="s">
        <v>98</v>
      </c>
      <c r="G65" s="423" t="s">
        <v>99</v>
      </c>
      <c r="H65" s="449" t="s">
        <v>100</v>
      </c>
    </row>
    <row r="66" spans="1:8">
      <c r="A66" s="429" t="s">
        <v>82</v>
      </c>
      <c r="B66" s="450">
        <f>IF(C$5=2016,"n/a",HLOOKUP($A$65,$E$65:$H$70,2,FALSE))</f>
        <v>-1.3599999999999999E-2</v>
      </c>
      <c r="D66" s="451">
        <v>44212949.016624629</v>
      </c>
      <c r="E66" s="669">
        <v>0.3473</v>
      </c>
      <c r="F66" s="434">
        <v>-1.3599999999999999E-2</v>
      </c>
      <c r="G66" s="434">
        <v>-1.4999999999999999E-2</v>
      </c>
      <c r="H66" s="452">
        <v>-1.4999999999999999E-2</v>
      </c>
    </row>
    <row r="67" spans="1:8">
      <c r="A67" s="429" t="s">
        <v>83</v>
      </c>
      <c r="B67" s="450">
        <f>IF(C$5=2016,"n/a",HLOOKUP($A$65,$E$65:$H$70,3,FALSE))</f>
        <v>7.6700000000000004E-2</v>
      </c>
      <c r="D67" s="451">
        <v>32973195.03847561</v>
      </c>
      <c r="E67" s="669">
        <v>0.14019999999999999</v>
      </c>
      <c r="F67" s="434">
        <v>7.6700000000000004E-2</v>
      </c>
      <c r="G67" s="434">
        <v>7.4999999999999997E-2</v>
      </c>
      <c r="H67" s="452">
        <v>7.4999999999999997E-2</v>
      </c>
    </row>
    <row r="68" spans="1:8">
      <c r="A68" s="429" t="s">
        <v>84</v>
      </c>
      <c r="B68" s="450">
        <f>IF(C$5=2016,"n/a",HLOOKUP($A$65,$E$65:$H$70,4,FALSE))</f>
        <v>8.1900000000000001E-2</v>
      </c>
      <c r="D68" s="451">
        <v>79145313.202280506</v>
      </c>
      <c r="E68" s="669">
        <v>0.1096</v>
      </c>
      <c r="F68" s="434">
        <v>8.1900000000000001E-2</v>
      </c>
      <c r="G68" s="434">
        <v>0.08</v>
      </c>
      <c r="H68" s="452">
        <v>0.08</v>
      </c>
    </row>
    <row r="69" spans="1:8">
      <c r="A69" s="429" t="s">
        <v>106</v>
      </c>
      <c r="B69" s="450">
        <f>IF(C$5=2016,"n/a",HLOOKUP($A$65,$E$65:$H$70,5,FALSE))</f>
        <v>0.1658</v>
      </c>
      <c r="D69" s="451">
        <v>92754610.443801105</v>
      </c>
      <c r="E69" s="669">
        <v>2.3099999999999999E-2</v>
      </c>
      <c r="F69" s="434">
        <v>0.1658</v>
      </c>
      <c r="G69" s="434">
        <v>0.16500000000000001</v>
      </c>
      <c r="H69" s="452">
        <v>0.16500000000000001</v>
      </c>
    </row>
    <row r="70" spans="1:8">
      <c r="A70" s="429" t="s">
        <v>85</v>
      </c>
      <c r="B70" s="450">
        <f>IF(C$5=2016,"n/a",HLOOKUP($A$65,$E$65:$H$70,6,FALSE))</f>
        <v>5.7000000000000002E-2</v>
      </c>
      <c r="D70" s="451">
        <v>62733316.946996652</v>
      </c>
      <c r="E70" s="669">
        <v>0.30809999999999998</v>
      </c>
      <c r="F70" s="434">
        <v>5.7000000000000002E-2</v>
      </c>
      <c r="G70" s="434">
        <v>5.5E-2</v>
      </c>
      <c r="H70" s="452">
        <v>5.5E-2</v>
      </c>
    </row>
    <row r="71" spans="1:8">
      <c r="A71" s="429"/>
      <c r="B71" s="430"/>
      <c r="D71" s="453"/>
      <c r="E71" s="454"/>
      <c r="F71" s="455"/>
      <c r="G71" s="455"/>
      <c r="H71" s="454"/>
    </row>
    <row r="72" spans="1:8" ht="13.5" thickBot="1">
      <c r="A72" s="456" t="str">
        <f>"Xt for"&amp;C$5</f>
        <v>Xt for2018</v>
      </c>
      <c r="B72" s="457">
        <f>VLOOKUP(C$3,A66:B70,2,FALSE)</f>
        <v>8.1900000000000001E-2</v>
      </c>
      <c r="D72" s="458">
        <f>VLOOKUP($C$3,$A$66:$H$70,4,FALSE)</f>
        <v>79145313.202280506</v>
      </c>
      <c r="E72" s="438">
        <f>VLOOKUP($C$3,$A$66:$H$70,5,FALSE)</f>
        <v>0.1096</v>
      </c>
      <c r="F72" s="437">
        <f>VLOOKUP($C$3,$A$66:$H$70,6,FALSE)</f>
        <v>8.1900000000000001E-2</v>
      </c>
      <c r="G72" s="438">
        <f>VLOOKUP($C$3,$A$66:$H$70,7,FALSE)</f>
        <v>0.08</v>
      </c>
      <c r="H72" s="437">
        <f>VLOOKUP($C$3,$A$66:$H$70,8,FALSE)</f>
        <v>0.08</v>
      </c>
    </row>
    <row r="76" spans="1:8">
      <c r="A76" s="446" t="s">
        <v>352</v>
      </c>
      <c r="D76" s="459"/>
    </row>
    <row r="77" spans="1:8">
      <c r="A77" s="421" t="s">
        <v>327</v>
      </c>
      <c r="B77" s="422"/>
      <c r="C77" s="404"/>
      <c r="D77" s="423"/>
      <c r="E77" s="423"/>
      <c r="F77" s="423"/>
      <c r="G77" s="424"/>
      <c r="H77" s="423"/>
    </row>
    <row r="78" spans="1:8">
      <c r="A78" s="425" t="str">
        <f>"rptw for "&amp;C$5</f>
        <v>rptw for 2018</v>
      </c>
      <c r="B78" s="426"/>
      <c r="C78" s="197"/>
      <c r="D78" s="427" t="s">
        <v>322</v>
      </c>
      <c r="E78" s="427" t="s">
        <v>323</v>
      </c>
      <c r="F78" s="427" t="s">
        <v>324</v>
      </c>
      <c r="G78" s="428" t="s">
        <v>325</v>
      </c>
      <c r="H78" s="427" t="s">
        <v>326</v>
      </c>
    </row>
    <row r="79" spans="1:8">
      <c r="A79" s="429" t="str">
        <f>$A$54</f>
        <v>Jemena</v>
      </c>
      <c r="B79" s="430">
        <f>HLOOKUP($A$78,$D$78:$H$83,2,FALSE)</f>
        <v>4.6119496184403141E-2</v>
      </c>
      <c r="C79" s="404"/>
      <c r="D79" s="431">
        <v>4.7233747078506916E-2</v>
      </c>
      <c r="E79" s="668">
        <v>4.6635535420744167E-2</v>
      </c>
      <c r="F79" s="434">
        <v>4.6119496184403141E-2</v>
      </c>
      <c r="G79" s="622"/>
      <c r="H79" s="621"/>
    </row>
    <row r="80" spans="1:8">
      <c r="A80" s="429" t="str">
        <f>$A$55</f>
        <v>CitiPower</v>
      </c>
      <c r="B80" s="430">
        <f>HLOOKUP($A$78,$D$78:$H$83,3,FALSE)</f>
        <v>4.3398745398363081E-2</v>
      </c>
      <c r="C80" s="404"/>
      <c r="D80" s="431">
        <v>4.4468566781553198E-2</v>
      </c>
      <c r="E80" s="668">
        <v>4.3895963698710627E-2</v>
      </c>
      <c r="F80" s="434">
        <v>4.3398745398363081E-2</v>
      </c>
      <c r="G80" s="622"/>
      <c r="H80" s="621"/>
    </row>
    <row r="81" spans="1:10">
      <c r="A81" s="429" t="str">
        <f>$A$56</f>
        <v>Powercor</v>
      </c>
      <c r="B81" s="430">
        <f>HLOOKUP($A$78,$D$78:$H$83,4,FALSE)</f>
        <v>4.240106689588341E-2</v>
      </c>
      <c r="C81" s="404"/>
      <c r="D81" s="431">
        <v>4.3470888279073527E-2</v>
      </c>
      <c r="E81" s="668">
        <v>4.2898285196230956E-2</v>
      </c>
      <c r="F81" s="434">
        <v>4.240106689588341E-2</v>
      </c>
      <c r="G81" s="622"/>
      <c r="H81" s="621"/>
    </row>
    <row r="82" spans="1:10">
      <c r="A82" s="429" t="str">
        <f>$A$57</f>
        <v>AusNet Services</v>
      </c>
      <c r="B82" s="430">
        <f>HLOOKUP($A$78,$D$78:$H$83,5,FALSE)</f>
        <v>4.4635078632446534E-2</v>
      </c>
      <c r="C82" s="404"/>
      <c r="D82" s="431">
        <v>4.5338770460766176E-2</v>
      </c>
      <c r="E82" s="668">
        <v>4.4884194435220071E-2</v>
      </c>
      <c r="F82" s="434">
        <v>4.4635078632446534E-2</v>
      </c>
      <c r="G82" s="622"/>
      <c r="H82" s="621"/>
    </row>
    <row r="83" spans="1:10">
      <c r="A83" s="429" t="str">
        <f>$A$58</f>
        <v>United Energy</v>
      </c>
      <c r="B83" s="430">
        <f>HLOOKUP($A$78,$D$78:$H$83,6,FALSE)</f>
        <v>4.6985137877234795E-2</v>
      </c>
      <c r="C83" s="404"/>
      <c r="D83" s="431">
        <v>4.8191817712942786E-2</v>
      </c>
      <c r="E83" s="668">
        <v>4.7556495017062606E-2</v>
      </c>
      <c r="F83" s="434">
        <v>4.6985137877234795E-2</v>
      </c>
      <c r="G83" s="622"/>
      <c r="H83" s="621"/>
    </row>
    <row r="84" spans="1:10">
      <c r="A84" s="429"/>
      <c r="B84" s="430"/>
      <c r="C84" s="404"/>
      <c r="D84" s="431"/>
      <c r="E84" s="432"/>
      <c r="F84" s="431"/>
      <c r="G84" s="432"/>
      <c r="H84" s="431"/>
    </row>
    <row r="85" spans="1:10" ht="13.5" thickBot="1">
      <c r="A85" s="435" t="str">
        <f>"rptw (t) "&amp;C$5</f>
        <v>rptw (t) 2018</v>
      </c>
      <c r="B85" s="436">
        <f>VLOOKUP(C$3,A79:B83,2,FALSE)</f>
        <v>4.240106689588341E-2</v>
      </c>
      <c r="C85" s="544" t="s">
        <v>404</v>
      </c>
      <c r="D85" s="437">
        <f>VLOOKUP($C$3,$A$79:$H$83,4,FALSE)</f>
        <v>4.3470888279073527E-2</v>
      </c>
      <c r="E85" s="438">
        <f>VLOOKUP($C$3,$A79:$H$83,5,FALSE)</f>
        <v>4.2898285196230956E-2</v>
      </c>
      <c r="F85" s="437">
        <f>VLOOKUP($C$3,$A$79:$H$83,6,FALSE)</f>
        <v>4.240106689588341E-2</v>
      </c>
      <c r="G85" s="438">
        <f>VLOOKUP($C$3,$A$79:$H$83,7,FALSE)</f>
        <v>0</v>
      </c>
      <c r="H85" s="437">
        <f>VLOOKUP($C$3,$A$79:$H$83,8,FALSE)</f>
        <v>0</v>
      </c>
    </row>
    <row r="86" spans="1:10">
      <c r="A86" s="460"/>
      <c r="B86" s="439"/>
      <c r="D86" s="459"/>
    </row>
    <row r="87" spans="1:10">
      <c r="A87" s="440" t="str">
        <f>"rptw for "&amp;C$5-1</f>
        <v>rptw for 2017</v>
      </c>
      <c r="B87" s="461">
        <f>IF(C$5=2016,B$184,HLOOKUP($A87,D$78:H$85,8,FALSE))</f>
        <v>4.2898285196230956E-2</v>
      </c>
      <c r="C87" s="442" t="s">
        <v>375</v>
      </c>
      <c r="D87" s="459"/>
    </row>
    <row r="88" spans="1:10">
      <c r="A88" s="429"/>
      <c r="B88" s="443"/>
      <c r="D88" s="459"/>
    </row>
    <row r="89" spans="1:10" ht="13.5" thickBot="1">
      <c r="A89" s="444" t="str">
        <f>"rptw for "&amp;C$5-2</f>
        <v>rptw for 2016</v>
      </c>
      <c r="B89" s="462">
        <f>IF(OR(C$5=2016,C$5=2017),B$183,HLOOKUP($A89,D$78:H$85,8,FALSE))</f>
        <v>4.3470888279073527E-2</v>
      </c>
      <c r="C89" s="442" t="s">
        <v>376</v>
      </c>
      <c r="D89" s="459"/>
    </row>
    <row r="90" spans="1:10">
      <c r="D90" s="459"/>
    </row>
    <row r="91" spans="1:10">
      <c r="D91" s="459"/>
    </row>
    <row r="92" spans="1:10" ht="13.5" thickBot="1">
      <c r="D92" s="459"/>
    </row>
    <row r="93" spans="1:10">
      <c r="A93" s="463" t="s">
        <v>90</v>
      </c>
      <c r="B93" s="464">
        <f>$C$5</f>
        <v>2018</v>
      </c>
      <c r="C93" s="439"/>
      <c r="D93" s="465">
        <v>2016</v>
      </c>
      <c r="E93" s="466">
        <f>+D93+1</f>
        <v>2017</v>
      </c>
      <c r="F93" s="466">
        <f t="shared" ref="F93:H93" si="3">+E93+1</f>
        <v>2018</v>
      </c>
      <c r="G93" s="466">
        <f t="shared" si="3"/>
        <v>2019</v>
      </c>
      <c r="H93" s="466">
        <f t="shared" si="3"/>
        <v>2020</v>
      </c>
      <c r="I93" s="404"/>
      <c r="J93" s="404"/>
    </row>
    <row r="94" spans="1:10">
      <c r="A94" s="429" t="str">
        <f>$A$54</f>
        <v>Jemena</v>
      </c>
      <c r="B94" s="467">
        <f>HLOOKUP($B$93,$D$93:$H$98,2,FALSE)</f>
        <v>655000</v>
      </c>
      <c r="C94" s="468"/>
      <c r="D94" s="469">
        <v>-680000</v>
      </c>
      <c r="E94" s="470">
        <v>70000</v>
      </c>
      <c r="F94" s="470">
        <v>655000</v>
      </c>
      <c r="G94" s="470"/>
      <c r="H94" s="470"/>
      <c r="I94" s="404"/>
      <c r="J94" s="404"/>
    </row>
    <row r="95" spans="1:10">
      <c r="A95" s="429" t="str">
        <f>$A$55</f>
        <v>CitiPower</v>
      </c>
      <c r="B95" s="467">
        <f>HLOOKUP($B$93,$D$93:$H$98,3,FALSE)</f>
        <v>140000</v>
      </c>
      <c r="C95" s="468"/>
      <c r="D95" s="469">
        <v>-15000</v>
      </c>
      <c r="E95" s="470">
        <v>410000</v>
      </c>
      <c r="F95" s="470">
        <v>140000</v>
      </c>
      <c r="G95" s="470"/>
      <c r="H95" s="470"/>
      <c r="I95" s="404"/>
      <c r="J95" s="404"/>
    </row>
    <row r="96" spans="1:10">
      <c r="A96" s="429" t="str">
        <f>$A$56</f>
        <v>Powercor</v>
      </c>
      <c r="B96" s="467">
        <f>HLOOKUP($B$93,$D$93:$H$98,4,FALSE)</f>
        <v>1755000</v>
      </c>
      <c r="C96" s="468"/>
      <c r="D96" s="469">
        <v>-1530000</v>
      </c>
      <c r="E96" s="470">
        <v>1420000</v>
      </c>
      <c r="F96" s="470">
        <v>1755000</v>
      </c>
      <c r="G96" s="470"/>
      <c r="H96" s="470"/>
      <c r="I96" s="404"/>
      <c r="J96" s="404"/>
    </row>
    <row r="97" spans="1:10">
      <c r="A97" s="429" t="str">
        <f>$A$57</f>
        <v>AusNet Services</v>
      </c>
      <c r="B97" s="467">
        <f>HLOOKUP($B$93,$D$93:$H$98,5,FALSE)</f>
        <v>750000</v>
      </c>
      <c r="C97" s="468"/>
      <c r="D97" s="469">
        <v>1870000</v>
      </c>
      <c r="E97" s="470">
        <v>3420000</v>
      </c>
      <c r="F97" s="470">
        <v>750000</v>
      </c>
      <c r="G97" s="470"/>
      <c r="H97" s="470"/>
      <c r="I97" s="404"/>
      <c r="J97" s="404"/>
    </row>
    <row r="98" spans="1:10">
      <c r="A98" s="429" t="str">
        <f>$A$58</f>
        <v>United Energy</v>
      </c>
      <c r="B98" s="467">
        <f>HLOOKUP($B$93,$D$93:$H$98,6,FALSE)</f>
        <v>1000000</v>
      </c>
      <c r="C98" s="468"/>
      <c r="D98" s="469">
        <v>-2245000</v>
      </c>
      <c r="E98" s="470">
        <v>555000</v>
      </c>
      <c r="F98" s="470">
        <v>1000000</v>
      </c>
      <c r="G98" s="470"/>
      <c r="H98" s="470"/>
      <c r="I98" s="404"/>
      <c r="J98" s="404"/>
    </row>
    <row r="99" spans="1:10">
      <c r="A99" s="429"/>
      <c r="B99" s="404"/>
      <c r="C99" s="468"/>
      <c r="D99" s="471"/>
      <c r="E99" s="430"/>
      <c r="F99" s="430"/>
      <c r="G99" s="430"/>
      <c r="H99" s="430"/>
      <c r="I99" s="404"/>
      <c r="J99" s="404"/>
    </row>
    <row r="100" spans="1:10" ht="13.5" thickBot="1">
      <c r="A100" s="435" t="str">
        <f>"Ifactor (t) "&amp;C$5</f>
        <v>Ifactor (t) 2018</v>
      </c>
      <c r="B100" s="472">
        <f>VLOOKUP(C$3,A94:B98,2,FALSE)</f>
        <v>1755000</v>
      </c>
      <c r="C100" s="473"/>
      <c r="D100" s="474">
        <f>VLOOKUP($C$3,$A$94:$H$98,4,FALSE)</f>
        <v>-1530000</v>
      </c>
      <c r="E100" s="475">
        <f>VLOOKUP($C$3,$A$94:$H$98,5,FALSE)</f>
        <v>1420000</v>
      </c>
      <c r="F100" s="475">
        <f>VLOOKUP($C$3,$A$94:$H$98,6,FALSE)</f>
        <v>1755000</v>
      </c>
      <c r="G100" s="475">
        <f>VLOOKUP($C$3,$A$94:$H$98,7,FALSE)</f>
        <v>0</v>
      </c>
      <c r="H100" s="475">
        <f>VLOOKUP($C$3,$A$94:$H$98,8,FALSE)</f>
        <v>0</v>
      </c>
      <c r="I100" s="404"/>
      <c r="J100" s="404"/>
    </row>
    <row r="101" spans="1:10">
      <c r="D101" s="459"/>
    </row>
    <row r="102" spans="1:10">
      <c r="D102" s="459"/>
    </row>
    <row r="103" spans="1:10" ht="13.5" thickBot="1">
      <c r="D103" s="459"/>
    </row>
    <row r="104" spans="1:10">
      <c r="A104" s="463" t="s">
        <v>420</v>
      </c>
      <c r="B104" s="464">
        <f>$C$5</f>
        <v>2018</v>
      </c>
      <c r="C104" s="439"/>
      <c r="D104" s="465">
        <v>2016</v>
      </c>
      <c r="E104" s="466">
        <f>+D104+1</f>
        <v>2017</v>
      </c>
      <c r="F104" s="466">
        <f t="shared" ref="F104:H104" si="4">+E104+1</f>
        <v>2018</v>
      </c>
      <c r="G104" s="466">
        <f t="shared" si="4"/>
        <v>2019</v>
      </c>
      <c r="H104" s="466">
        <f t="shared" si="4"/>
        <v>2020</v>
      </c>
      <c r="I104" s="404"/>
      <c r="J104" s="404"/>
    </row>
    <row r="105" spans="1:10">
      <c r="A105" s="429" t="str">
        <f>$A$54</f>
        <v>Jemena</v>
      </c>
      <c r="B105" s="569">
        <f>HLOOKUP($B$104,$D$104:$H$109,2,FALSE)</f>
        <v>-3.9711537226499671E-2</v>
      </c>
      <c r="C105" s="468"/>
      <c r="D105" s="570">
        <v>3.997406405685925E-2</v>
      </c>
      <c r="E105" s="571">
        <v>1.4883104689629834E-2</v>
      </c>
      <c r="F105" s="571">
        <v>-3.9711537226499671E-2</v>
      </c>
      <c r="G105" s="571"/>
      <c r="H105" s="571"/>
      <c r="I105" s="404"/>
      <c r="J105" s="404"/>
    </row>
    <row r="106" spans="1:10">
      <c r="A106" s="429" t="str">
        <f>$A$55</f>
        <v>CitiPower</v>
      </c>
      <c r="B106" s="569">
        <f>HLOOKUP($B$104,$D$104:$H$109,3,FALSE)</f>
        <v>1.8570526636221274E-2</v>
      </c>
      <c r="C106" s="468"/>
      <c r="D106" s="570">
        <v>-1.2687890034873129E-2</v>
      </c>
      <c r="E106" s="571">
        <v>4.0321456836540648E-3</v>
      </c>
      <c r="F106" s="571">
        <v>1.8570526636221274E-2</v>
      </c>
      <c r="G106" s="571"/>
      <c r="H106" s="571"/>
      <c r="I106" s="404"/>
      <c r="J106" s="404"/>
    </row>
    <row r="107" spans="1:10">
      <c r="A107" s="429" t="str">
        <f>$A$56</f>
        <v>Powercor</v>
      </c>
      <c r="B107" s="569">
        <f>HLOOKUP($B$104,$D$104:$H$109,4,FALSE)</f>
        <v>-1.3841682273256106E-2</v>
      </c>
      <c r="C107" s="468"/>
      <c r="D107" s="570">
        <v>-1.184910821327374E-2</v>
      </c>
      <c r="E107" s="571">
        <v>5.1006485422781411E-2</v>
      </c>
      <c r="F107" s="571">
        <v>-1.3841682273256106E-2</v>
      </c>
      <c r="G107" s="571"/>
      <c r="H107" s="571"/>
      <c r="I107" s="404"/>
      <c r="J107" s="404"/>
    </row>
    <row r="108" spans="1:10">
      <c r="A108" s="429" t="str">
        <f>$A$57</f>
        <v>AusNet Services</v>
      </c>
      <c r="B108" s="569">
        <f>HLOOKUP($B$104,$D$104:$H$109,5,FALSE)</f>
        <v>-6.3433641222553572E-2</v>
      </c>
      <c r="C108" s="468"/>
      <c r="D108" s="570">
        <v>3.3573974889361931E-2</v>
      </c>
      <c r="E108" s="571">
        <v>3.2178765868161374E-2</v>
      </c>
      <c r="F108" s="571">
        <v>-6.3433641222553572E-2</v>
      </c>
      <c r="G108" s="571"/>
      <c r="H108" s="571"/>
      <c r="I108" s="404"/>
      <c r="J108" s="404"/>
    </row>
    <row r="109" spans="1:10">
      <c r="A109" s="429" t="str">
        <f>$A$58</f>
        <v>United Energy</v>
      </c>
      <c r="B109" s="569">
        <f>HLOOKUP($B$104,$D$104:$H$109,6,FALSE)</f>
        <v>2.2767038821999375E-2</v>
      </c>
      <c r="C109" s="468"/>
      <c r="D109" s="570">
        <v>-2.9478704479005153E-2</v>
      </c>
      <c r="E109" s="571">
        <v>2.8366723271978866E-2</v>
      </c>
      <c r="F109" s="571">
        <v>2.2767038821999375E-2</v>
      </c>
      <c r="G109" s="571"/>
      <c r="H109" s="571"/>
      <c r="I109" s="404"/>
      <c r="J109" s="404"/>
    </row>
    <row r="110" spans="1:10">
      <c r="A110" s="429"/>
      <c r="B110" s="572"/>
      <c r="C110" s="468"/>
      <c r="D110" s="471"/>
      <c r="E110" s="430"/>
      <c r="F110" s="430"/>
      <c r="G110" s="430"/>
      <c r="H110" s="430"/>
      <c r="I110" s="404"/>
      <c r="J110" s="404"/>
    </row>
    <row r="111" spans="1:10" ht="13.5" thickBot="1">
      <c r="A111" s="435" t="str">
        <f>"S factor (t) "&amp;C$5</f>
        <v>S factor (t) 2018</v>
      </c>
      <c r="B111" s="573">
        <f>VLOOKUP(C$3,A105:B109,2,FALSE)</f>
        <v>-1.3841682273256106E-2</v>
      </c>
      <c r="C111" s="473"/>
      <c r="D111" s="574">
        <f>VLOOKUP($C$3,$A$105:$H$109,4,FALSE)</f>
        <v>-1.184910821327374E-2</v>
      </c>
      <c r="E111" s="462">
        <f>VLOOKUP($C$3,$A$105:$H$109,5,FALSE)</f>
        <v>5.1006485422781411E-2</v>
      </c>
      <c r="F111" s="462">
        <f>VLOOKUP($C$3,$A$105:$H$109,6,FALSE)</f>
        <v>-1.3841682273256106E-2</v>
      </c>
      <c r="G111" s="462">
        <f>VLOOKUP($C$3,$A$105:$H$109,7,FALSE)</f>
        <v>0</v>
      </c>
      <c r="H111" s="462">
        <f>VLOOKUP($C$3,$A$105:$H$109,8,FALSE)</f>
        <v>0</v>
      </c>
      <c r="I111" s="404"/>
      <c r="J111" s="404"/>
    </row>
    <row r="112" spans="1:10">
      <c r="D112" s="459"/>
    </row>
    <row r="113" spans="1:8">
      <c r="D113" s="459"/>
    </row>
    <row r="114" spans="1:8" ht="13.5" thickBot="1">
      <c r="D114" s="459"/>
    </row>
    <row r="115" spans="1:8">
      <c r="A115" s="463" t="s">
        <v>377</v>
      </c>
      <c r="B115" s="464">
        <f>$C$5</f>
        <v>2018</v>
      </c>
      <c r="C115" s="439"/>
      <c r="D115" s="465">
        <v>2016</v>
      </c>
      <c r="E115" s="466">
        <f>+D115+1</f>
        <v>2017</v>
      </c>
      <c r="F115" s="466">
        <f t="shared" ref="F115:H115" si="5">+E115+1</f>
        <v>2018</v>
      </c>
      <c r="G115" s="466">
        <f t="shared" si="5"/>
        <v>2019</v>
      </c>
      <c r="H115" s="466">
        <f t="shared" si="5"/>
        <v>2020</v>
      </c>
    </row>
    <row r="116" spans="1:8">
      <c r="A116" s="429" t="str">
        <f>$A$54</f>
        <v>Jemena</v>
      </c>
      <c r="B116" s="467">
        <f>HLOOKUP($B$115,$D$115:$H$120,2,FALSE)</f>
        <v>0</v>
      </c>
      <c r="C116" s="468"/>
      <c r="D116" s="469">
        <v>0</v>
      </c>
      <c r="E116" s="470">
        <v>0</v>
      </c>
      <c r="F116" s="470">
        <v>0</v>
      </c>
      <c r="G116" s="470"/>
      <c r="H116" s="470"/>
    </row>
    <row r="117" spans="1:8">
      <c r="A117" s="429" t="str">
        <f>$A$55</f>
        <v>CitiPower</v>
      </c>
      <c r="B117" s="467">
        <f>HLOOKUP($B$115,$D$115:$H$120,3,FALSE)</f>
        <v>0</v>
      </c>
      <c r="C117" s="468"/>
      <c r="D117" s="469">
        <v>0</v>
      </c>
      <c r="E117" s="470">
        <v>0</v>
      </c>
      <c r="F117" s="470">
        <v>0</v>
      </c>
      <c r="G117" s="470"/>
      <c r="H117" s="470"/>
    </row>
    <row r="118" spans="1:8">
      <c r="A118" s="429" t="str">
        <f>$A$56</f>
        <v>Powercor</v>
      </c>
      <c r="B118" s="467">
        <f>HLOOKUP($B$115,$D$115:$H$120,4,FALSE)</f>
        <v>0</v>
      </c>
      <c r="C118" s="468"/>
      <c r="D118" s="469">
        <v>0</v>
      </c>
      <c r="E118" s="470">
        <v>0</v>
      </c>
      <c r="F118" s="470">
        <v>0</v>
      </c>
      <c r="G118" s="470"/>
      <c r="H118" s="470"/>
    </row>
    <row r="119" spans="1:8">
      <c r="A119" s="568" t="str">
        <f>$A$57</f>
        <v>AusNet Services</v>
      </c>
      <c r="B119" s="467">
        <f>HLOOKUP($B$115,$D$115:$H$120,5,FALSE)</f>
        <v>0</v>
      </c>
      <c r="C119" s="468"/>
      <c r="D119" s="565">
        <f>-(5723000*(1+0.0975))</f>
        <v>-6280992.5</v>
      </c>
      <c r="E119" s="470">
        <v>0</v>
      </c>
      <c r="F119" s="470">
        <v>0</v>
      </c>
      <c r="G119" s="470"/>
      <c r="H119" s="470"/>
    </row>
    <row r="120" spans="1:8">
      <c r="A120" s="429" t="str">
        <f>$A$58</f>
        <v>United Energy</v>
      </c>
      <c r="B120" s="467">
        <f>HLOOKUP($B$115,$D$115:$H$120,6,FALSE)</f>
        <v>0</v>
      </c>
      <c r="C120" s="468"/>
      <c r="D120" s="469">
        <v>0</v>
      </c>
      <c r="E120" s="470">
        <v>0</v>
      </c>
      <c r="F120" s="470">
        <v>0</v>
      </c>
      <c r="G120" s="470"/>
      <c r="H120" s="470"/>
    </row>
    <row r="121" spans="1:8">
      <c r="A121" s="429"/>
      <c r="B121" s="404"/>
      <c r="C121" s="468"/>
      <c r="D121" s="471"/>
      <c r="E121" s="430"/>
      <c r="F121" s="430"/>
      <c r="G121" s="430"/>
      <c r="H121" s="430"/>
    </row>
    <row r="122" spans="1:8" ht="13.5" thickBot="1">
      <c r="A122" s="456" t="str">
        <f>"Pass through amounts (t) "&amp;C$5</f>
        <v>Pass through amounts (t) 2018</v>
      </c>
      <c r="B122" s="472">
        <f>VLOOKUP(C$3,A116:B120,2,FALSE)</f>
        <v>0</v>
      </c>
      <c r="C122" s="473"/>
      <c r="D122" s="474">
        <f>VLOOKUP($C$3,$A$116:$H$120,4,FALSE)</f>
        <v>0</v>
      </c>
      <c r="E122" s="475">
        <f>VLOOKUP($C$3,$A$116:$H$120,5,FALSE)</f>
        <v>0</v>
      </c>
      <c r="F122" s="475">
        <f>VLOOKUP($C$3,$A$116:$H$120,6,FALSE)</f>
        <v>0</v>
      </c>
      <c r="G122" s="475">
        <f>VLOOKUP($C$3,$A$116:$H$120,7,FALSE)</f>
        <v>0</v>
      </c>
      <c r="H122" s="475">
        <f>VLOOKUP($C$3,$A$116:$H$120,8,FALSE)</f>
        <v>0</v>
      </c>
    </row>
    <row r="123" spans="1:8">
      <c r="D123" s="459"/>
    </row>
    <row r="124" spans="1:8">
      <c r="D124" s="459"/>
    </row>
    <row r="125" spans="1:8" ht="13.5" thickBot="1">
      <c r="C125" s="681" t="s">
        <v>659</v>
      </c>
      <c r="D125" s="682" t="str">
        <f>TEXT(D126-2,"####")&amp;"-"&amp;RIGHT(TEXT(D126-1,"##"),2)</f>
        <v>2014-15</v>
      </c>
      <c r="E125" s="683" t="str">
        <f t="shared" ref="E125:H125" si="6">TEXT(E126-2,"####")&amp;"-"&amp;RIGHT(TEXT(E126-1,"##"),2)</f>
        <v>2015-16</v>
      </c>
      <c r="F125" s="683" t="str">
        <f t="shared" si="6"/>
        <v>2016-17</v>
      </c>
      <c r="G125" s="683" t="str">
        <f t="shared" si="6"/>
        <v>2017-18</v>
      </c>
      <c r="H125" s="683" t="str">
        <f t="shared" si="6"/>
        <v>2018-19</v>
      </c>
    </row>
    <row r="126" spans="1:8">
      <c r="A126" s="463" t="s">
        <v>419</v>
      </c>
      <c r="B126" s="464">
        <f>$C$5</f>
        <v>2018</v>
      </c>
      <c r="C126" s="439"/>
      <c r="D126" s="465">
        <v>2016</v>
      </c>
      <c r="E126" s="466">
        <f>+D126+1</f>
        <v>2017</v>
      </c>
      <c r="F126" s="466">
        <f t="shared" ref="F126:H126" si="7">+E126+1</f>
        <v>2018</v>
      </c>
      <c r="G126" s="466">
        <f t="shared" si="7"/>
        <v>2019</v>
      </c>
      <c r="H126" s="466">
        <f t="shared" si="7"/>
        <v>2020</v>
      </c>
    </row>
    <row r="127" spans="1:8">
      <c r="A127" s="429" t="str">
        <f>$A$54</f>
        <v>Jemena</v>
      </c>
      <c r="B127" s="467">
        <f>HLOOKUP($B$126,$D$126:$H$131,2,FALSE)</f>
        <v>76545</v>
      </c>
      <c r="C127" s="468"/>
      <c r="D127" s="469">
        <v>36033</v>
      </c>
      <c r="E127" s="470">
        <v>39516</v>
      </c>
      <c r="F127" s="470">
        <v>76545</v>
      </c>
      <c r="G127" s="470"/>
      <c r="H127" s="470"/>
    </row>
    <row r="128" spans="1:8">
      <c r="A128" s="429" t="str">
        <f>$A$55</f>
        <v>CitiPower</v>
      </c>
      <c r="B128" s="467">
        <f>HLOOKUP($B$126,$D$126:$H$131,3,FALSE)</f>
        <v>78091</v>
      </c>
      <c r="C128" s="468"/>
      <c r="D128" s="469">
        <v>36475</v>
      </c>
      <c r="E128" s="470">
        <v>40445</v>
      </c>
      <c r="F128" s="470">
        <v>78091</v>
      </c>
      <c r="G128" s="470"/>
      <c r="H128" s="470"/>
    </row>
    <row r="129" spans="1:8">
      <c r="A129" s="429" t="str">
        <f>$A$56</f>
        <v>Powercor</v>
      </c>
      <c r="B129" s="467">
        <f>HLOOKUP($B$126,$D$126:$H$131,4,FALSE)</f>
        <v>185081</v>
      </c>
      <c r="C129" s="468"/>
      <c r="D129" s="469">
        <v>85205</v>
      </c>
      <c r="E129" s="470">
        <v>94964</v>
      </c>
      <c r="F129" s="470">
        <v>185081</v>
      </c>
      <c r="G129" s="470"/>
      <c r="H129" s="470"/>
    </row>
    <row r="130" spans="1:8">
      <c r="A130" s="568" t="str">
        <f>$A$57</f>
        <v>AusNet Services</v>
      </c>
      <c r="B130" s="467">
        <f>HLOOKUP($B$126,$D$126:$H$131,5,FALSE)</f>
        <v>168235</v>
      </c>
      <c r="C130" s="468"/>
      <c r="D130" s="565">
        <v>74811</v>
      </c>
      <c r="E130" s="470">
        <v>85031</v>
      </c>
      <c r="F130" s="470">
        <v>168235</v>
      </c>
      <c r="G130" s="470"/>
      <c r="H130" s="470"/>
    </row>
    <row r="131" spans="1:8">
      <c r="A131" s="429" t="str">
        <f>$A$58</f>
        <v>United Energy</v>
      </c>
      <c r="B131" s="467">
        <f>HLOOKUP($B$126,$D$126:$H$131,6,FALSE)</f>
        <v>158262</v>
      </c>
      <c r="C131" s="468"/>
      <c r="D131" s="469">
        <v>74197</v>
      </c>
      <c r="E131" s="470">
        <v>81712</v>
      </c>
      <c r="F131" s="470">
        <v>158262</v>
      </c>
      <c r="G131" s="470"/>
      <c r="H131" s="470"/>
    </row>
    <row r="132" spans="1:8">
      <c r="A132" s="429"/>
      <c r="B132" s="404"/>
      <c r="C132" s="468"/>
      <c r="D132" s="471"/>
      <c r="E132" s="430"/>
      <c r="F132" s="430"/>
      <c r="G132" s="430"/>
      <c r="H132" s="430"/>
    </row>
    <row r="133" spans="1:8" ht="13.5" thickBot="1">
      <c r="A133" s="456" t="str">
        <f>"Licence Fee (t-1) "&amp;TEXT(C$5-2,"####")&amp;"-"&amp;RIGHT(TEXT(C$5-1,"##"),2)</f>
        <v>Licence Fee (t-1) 2016-17</v>
      </c>
      <c r="B133" s="472">
        <f>VLOOKUP(C$3,A127:B131,2,FALSE)</f>
        <v>185081</v>
      </c>
      <c r="C133" s="473"/>
      <c r="D133" s="474">
        <f>VLOOKUP($C$3,$A$127:$H$131,4,FALSE)</f>
        <v>85205</v>
      </c>
      <c r="E133" s="475">
        <f>VLOOKUP($C$3,$A$127:$H$131,5,FALSE)</f>
        <v>94964</v>
      </c>
      <c r="F133" s="475">
        <f>VLOOKUP($C$3,$A$127:$H$131,6,FALSE)</f>
        <v>185081</v>
      </c>
      <c r="G133" s="475">
        <f>VLOOKUP($C$3,$A$127:$H$131,7,FALSE)</f>
        <v>0</v>
      </c>
      <c r="H133" s="475">
        <f>VLOOKUP($C$3,$A$127:$H$131,8,FALSE)</f>
        <v>0</v>
      </c>
    </row>
    <row r="134" spans="1:8">
      <c r="D134" s="459"/>
    </row>
    <row r="135" spans="1:8">
      <c r="D135" s="459"/>
    </row>
    <row r="136" spans="1:8" ht="13.5" thickBot="1">
      <c r="D136" s="459"/>
    </row>
    <row r="137" spans="1:8">
      <c r="A137" s="463" t="s">
        <v>542</v>
      </c>
      <c r="B137" s="464">
        <f>$C$5</f>
        <v>2018</v>
      </c>
      <c r="C137" s="439"/>
      <c r="D137" s="465">
        <v>2016</v>
      </c>
      <c r="E137" s="466">
        <f>+D137+1</f>
        <v>2017</v>
      </c>
      <c r="F137" s="466">
        <f t="shared" ref="F137:H137" si="8">+E137+1</f>
        <v>2018</v>
      </c>
      <c r="G137" s="466">
        <f t="shared" si="8"/>
        <v>2019</v>
      </c>
      <c r="H137" s="466">
        <f t="shared" si="8"/>
        <v>2020</v>
      </c>
    </row>
    <row r="138" spans="1:8">
      <c r="A138" s="429" t="str">
        <f>$A$54</f>
        <v>Jemena</v>
      </c>
      <c r="B138" s="467">
        <f>HLOOKUP($B$137,$D$137:$H$142,2,FALSE)</f>
        <v>0</v>
      </c>
      <c r="C138" s="468"/>
      <c r="D138" s="623"/>
      <c r="E138" s="624">
        <f>H154</f>
        <v>-91286.962539198226</v>
      </c>
      <c r="F138" s="625"/>
      <c r="G138" s="625"/>
      <c r="H138" s="625"/>
    </row>
    <row r="139" spans="1:8">
      <c r="A139" s="429" t="str">
        <f>$A$55</f>
        <v>CitiPower</v>
      </c>
      <c r="B139" s="467">
        <f>HLOOKUP($B$137,$D$137:$H$142,3,FALSE)</f>
        <v>0</v>
      </c>
      <c r="C139" s="468"/>
      <c r="D139" s="623"/>
      <c r="E139" s="625"/>
      <c r="F139" s="625"/>
      <c r="G139" s="625"/>
      <c r="H139" s="625"/>
    </row>
    <row r="140" spans="1:8">
      <c r="A140" s="429" t="str">
        <f>$A$56</f>
        <v>Powercor</v>
      </c>
      <c r="B140" s="467">
        <f>HLOOKUP($B$137,$D$137:$H$142,4,FALSE)</f>
        <v>0</v>
      </c>
      <c r="C140" s="468"/>
      <c r="D140" s="623"/>
      <c r="E140" s="625"/>
      <c r="F140" s="625"/>
      <c r="G140" s="625"/>
      <c r="H140" s="625"/>
    </row>
    <row r="141" spans="1:8">
      <c r="A141" s="568" t="str">
        <f>$A$57</f>
        <v>AusNet Services</v>
      </c>
      <c r="B141" s="467">
        <f>HLOOKUP($B$137,$D$137:$H$142,5,FALSE)</f>
        <v>0</v>
      </c>
      <c r="C141" s="468"/>
      <c r="D141" s="623"/>
      <c r="E141" s="625"/>
      <c r="F141" s="625"/>
      <c r="G141" s="625"/>
      <c r="H141" s="625"/>
    </row>
    <row r="142" spans="1:8">
      <c r="A142" s="429" t="str">
        <f>$A$58</f>
        <v>United Energy</v>
      </c>
      <c r="B142" s="467">
        <f>HLOOKUP($B$137,$D$137:$H$142,6,FALSE)</f>
        <v>0</v>
      </c>
      <c r="C142" s="468"/>
      <c r="D142" s="623"/>
      <c r="E142" s="470">
        <f>H163</f>
        <v>-479908.40011946909</v>
      </c>
      <c r="F142" s="625"/>
      <c r="G142" s="625"/>
      <c r="H142" s="625"/>
    </row>
    <row r="143" spans="1:8">
      <c r="A143" s="429"/>
      <c r="B143" s="404"/>
      <c r="C143" s="468"/>
      <c r="D143" s="471"/>
      <c r="E143" s="430"/>
      <c r="F143" s="430"/>
      <c r="G143" s="430"/>
      <c r="H143" s="430"/>
    </row>
    <row r="144" spans="1:8" ht="13.5" thickBot="1">
      <c r="A144" s="435" t="str">
        <f>"T factor (t) "&amp;C$5</f>
        <v>T factor (t) 2018</v>
      </c>
      <c r="B144" s="472">
        <f>VLOOKUP(C$3,A138:B142,2,FALSE)</f>
        <v>0</v>
      </c>
      <c r="C144" s="473"/>
      <c r="D144" s="474">
        <f>VLOOKUP($C$3,$A$138:$H$142,4,FALSE)</f>
        <v>0</v>
      </c>
      <c r="E144" s="475">
        <f>VLOOKUP($C$3,$A$138:$H$142,5,FALSE)</f>
        <v>0</v>
      </c>
      <c r="F144" s="475">
        <f>VLOOKUP($C$3,$A$138:$H$142,6,FALSE)</f>
        <v>0</v>
      </c>
      <c r="G144" s="475">
        <f>VLOOKUP($C$3,$A$138:$H$142,7,FALSE)</f>
        <v>0</v>
      </c>
      <c r="H144" s="475">
        <f>VLOOKUP($C$3,$A$138:$H$142,8,FALSE)</f>
        <v>0</v>
      </c>
    </row>
    <row r="145" spans="1:13">
      <c r="D145" s="459"/>
    </row>
    <row r="146" spans="1:13">
      <c r="D146" s="459"/>
    </row>
    <row r="147" spans="1:13" ht="15">
      <c r="A147" s="626" t="s">
        <v>542</v>
      </c>
      <c r="B147" s="404"/>
      <c r="C147" s="404"/>
      <c r="D147" s="536"/>
      <c r="E147" s="404"/>
      <c r="F147" s="404"/>
      <c r="G147" s="404"/>
      <c r="H147" s="404"/>
      <c r="I147" s="404"/>
      <c r="J147" s="404"/>
      <c r="K147" s="404"/>
      <c r="L147" s="404"/>
      <c r="M147" s="404"/>
    </row>
    <row r="148" spans="1:13" ht="15">
      <c r="A148" s="627" t="s">
        <v>82</v>
      </c>
      <c r="B148" s="509"/>
      <c r="C148" s="628" t="s">
        <v>543</v>
      </c>
      <c r="D148" s="629">
        <v>2016</v>
      </c>
      <c r="E148" s="629">
        <v>2017</v>
      </c>
      <c r="F148" s="630"/>
      <c r="G148" s="630"/>
      <c r="H148" s="631"/>
      <c r="J148" s="404"/>
      <c r="K148" s="404"/>
      <c r="L148" s="404"/>
      <c r="M148" s="404"/>
    </row>
    <row r="149" spans="1:13" ht="15">
      <c r="A149" s="632" t="s">
        <v>544</v>
      </c>
      <c r="B149" s="404"/>
      <c r="C149" s="633"/>
      <c r="D149" s="634">
        <v>2.3230798209937155E-2</v>
      </c>
      <c r="E149" s="634">
        <v>2.3230798209937155E-2</v>
      </c>
      <c r="F149" s="635"/>
      <c r="G149" s="635"/>
      <c r="H149" s="636"/>
      <c r="J149" s="404"/>
      <c r="K149" s="404"/>
      <c r="L149" s="404"/>
      <c r="M149" s="404"/>
    </row>
    <row r="150" spans="1:13" ht="15">
      <c r="A150" s="637" t="s">
        <v>545</v>
      </c>
      <c r="B150" s="404"/>
      <c r="C150" s="634">
        <v>0.1033058647680111</v>
      </c>
      <c r="D150" s="638">
        <f>(1+D149)*(1+D37)-1</f>
        <v>6.3747626268139346E-2</v>
      </c>
      <c r="E150" s="638">
        <f>(1+E149)*(1+E37)-1</f>
        <v>6.3135517676068398E-2</v>
      </c>
      <c r="F150" s="635"/>
      <c r="G150" s="635"/>
      <c r="H150" s="636"/>
      <c r="J150" s="404"/>
      <c r="K150" s="404"/>
      <c r="L150" s="404"/>
      <c r="M150" s="404"/>
    </row>
    <row r="151" spans="1:13">
      <c r="A151" s="637"/>
      <c r="B151" s="404"/>
      <c r="C151" s="635"/>
      <c r="D151" s="635"/>
      <c r="E151" s="635"/>
      <c r="F151" s="635"/>
      <c r="G151" s="635"/>
      <c r="H151" s="636"/>
      <c r="J151" s="404"/>
      <c r="K151" s="404"/>
      <c r="L151" s="404"/>
      <c r="M151" s="404"/>
    </row>
    <row r="152" spans="1:13" ht="15">
      <c r="A152" s="637"/>
      <c r="B152" s="404"/>
      <c r="C152" s="629">
        <v>2011</v>
      </c>
      <c r="D152" s="629">
        <v>2012</v>
      </c>
      <c r="E152" s="629">
        <v>2013</v>
      </c>
      <c r="F152" s="629">
        <v>2014</v>
      </c>
      <c r="G152" s="629">
        <v>2015</v>
      </c>
      <c r="H152" s="639" t="s">
        <v>122</v>
      </c>
      <c r="J152" s="404"/>
      <c r="K152" s="404"/>
      <c r="L152" s="404"/>
      <c r="M152" s="404"/>
    </row>
    <row r="153" spans="1:13" ht="15">
      <c r="A153" s="637" t="s">
        <v>546</v>
      </c>
      <c r="B153" s="404"/>
      <c r="C153" s="640">
        <v>-263938</v>
      </c>
      <c r="D153" s="640">
        <v>-16375.399999999965</v>
      </c>
      <c r="E153" s="640">
        <v>163676.67136000004</v>
      </c>
      <c r="F153" s="640">
        <v>153066.62606841602</v>
      </c>
      <c r="G153" s="640">
        <v>125690.58545944223</v>
      </c>
      <c r="H153" s="641">
        <f>SUM(C153:G153)</f>
        <v>162120.48288785832</v>
      </c>
      <c r="J153" s="404"/>
      <c r="K153" s="404"/>
      <c r="L153" s="404"/>
      <c r="M153" s="404"/>
    </row>
    <row r="154" spans="1:13" ht="15">
      <c r="A154" s="637" t="s">
        <v>542</v>
      </c>
      <c r="B154" s="404"/>
      <c r="C154" s="642">
        <f>0-(C153/(1+$C150))*(1+$C150)^5*(1+$D150)*(1+$E150)</f>
        <v>442295.84533796879</v>
      </c>
      <c r="D154" s="642">
        <f>C154-(D153/(1+$C150))*(1+$C150)^4*(1+$D150)*(1+$E150)</f>
        <v>467167.62885189749</v>
      </c>
      <c r="E154" s="642">
        <f>D154-(E153/(1+$C150))*(1+$C150)^3*(1+$D150)*(1+$E150)</f>
        <v>241844.45017688599</v>
      </c>
      <c r="F154" s="642">
        <f>E154-(F153/(1+$C150))*(1+$C150)^2*(1+$D150)*(1+$E150)</f>
        <v>50857.51141715594</v>
      </c>
      <c r="G154" s="642">
        <f>F154-(G153/(1+$C150))*(1+$C150)^1*(1+$D150)*(1+$E150)</f>
        <v>-91286.962539198226</v>
      </c>
      <c r="H154" s="643">
        <f>G154</f>
        <v>-91286.962539198226</v>
      </c>
      <c r="J154" s="644"/>
      <c r="K154" s="404"/>
      <c r="L154" s="404"/>
      <c r="M154" s="404"/>
    </row>
    <row r="155" spans="1:13" ht="15">
      <c r="A155" s="645"/>
      <c r="B155" s="528"/>
      <c r="C155" s="646"/>
      <c r="D155" s="647"/>
      <c r="E155" s="647"/>
      <c r="F155" s="647"/>
      <c r="G155" s="648"/>
      <c r="H155" s="649"/>
      <c r="J155" s="404"/>
      <c r="K155" s="404"/>
      <c r="L155" s="404"/>
      <c r="M155" s="404"/>
    </row>
    <row r="156" spans="1:13">
      <c r="A156" s="637"/>
      <c r="B156" s="404"/>
      <c r="C156" s="536"/>
      <c r="D156" s="404"/>
      <c r="E156" s="404"/>
      <c r="F156" s="404"/>
      <c r="G156" s="404"/>
      <c r="H156" s="404"/>
      <c r="J156" s="404"/>
      <c r="K156" s="404"/>
      <c r="L156" s="404"/>
      <c r="M156" s="404"/>
    </row>
    <row r="157" spans="1:13" ht="15">
      <c r="A157" s="627" t="s">
        <v>547</v>
      </c>
      <c r="B157" s="509"/>
      <c r="C157" s="628" t="s">
        <v>543</v>
      </c>
      <c r="D157" s="629">
        <v>2016</v>
      </c>
      <c r="E157" s="629">
        <v>2017</v>
      </c>
      <c r="F157" s="630"/>
      <c r="G157" s="630"/>
      <c r="H157" s="631"/>
      <c r="J157" s="404"/>
      <c r="K157" s="404"/>
      <c r="L157" s="404"/>
      <c r="M157" s="404"/>
    </row>
    <row r="158" spans="1:13" ht="15">
      <c r="A158" s="632" t="s">
        <v>544</v>
      </c>
      <c r="B158" s="404"/>
      <c r="C158" s="633"/>
      <c r="D158" s="634">
        <v>2.3230798209937155E-2</v>
      </c>
      <c r="E158" s="634">
        <v>2.3230798209937155E-2</v>
      </c>
      <c r="F158" s="635"/>
      <c r="G158" s="635"/>
      <c r="H158" s="636"/>
      <c r="J158" s="404"/>
      <c r="K158" s="404"/>
      <c r="L158" s="404"/>
      <c r="M158" s="404"/>
    </row>
    <row r="159" spans="1:13" ht="15">
      <c r="A159" s="637" t="s">
        <v>545</v>
      </c>
      <c r="B159" s="404"/>
      <c r="C159" s="634">
        <v>9.4897728819182986E-2</v>
      </c>
      <c r="D159" s="638">
        <f>(1+D158)*(1+D41)-1</f>
        <v>6.3749224653787184E-2</v>
      </c>
      <c r="E159" s="638">
        <f>(1+E158)*(1+E41)-1</f>
        <v>6.3099142904560868E-2</v>
      </c>
      <c r="F159" s="635"/>
      <c r="G159" s="635"/>
      <c r="H159" s="636"/>
      <c r="J159" s="404"/>
      <c r="K159" s="404"/>
      <c r="L159" s="404"/>
      <c r="M159" s="404"/>
    </row>
    <row r="160" spans="1:13">
      <c r="A160" s="637"/>
      <c r="B160" s="404"/>
      <c r="C160" s="635"/>
      <c r="D160" s="635"/>
      <c r="E160" s="635"/>
      <c r="F160" s="635"/>
      <c r="G160" s="635"/>
      <c r="H160" s="636"/>
      <c r="J160" s="404"/>
      <c r="K160" s="404"/>
      <c r="L160" s="404"/>
      <c r="M160" s="404"/>
    </row>
    <row r="161" spans="1:13" ht="15">
      <c r="A161" s="637"/>
      <c r="B161" s="404"/>
      <c r="C161" s="629">
        <v>2011</v>
      </c>
      <c r="D161" s="629">
        <v>2012</v>
      </c>
      <c r="E161" s="629">
        <v>2013</v>
      </c>
      <c r="F161" s="629">
        <v>2014</v>
      </c>
      <c r="G161" s="629">
        <v>2015</v>
      </c>
      <c r="H161" s="639" t="s">
        <v>122</v>
      </c>
      <c r="J161" s="404"/>
      <c r="K161" s="404"/>
      <c r="L161" s="404"/>
      <c r="M161" s="404"/>
    </row>
    <row r="162" spans="1:13" ht="15">
      <c r="A162" s="637" t="s">
        <v>546</v>
      </c>
      <c r="B162" s="404"/>
      <c r="C162" s="640">
        <v>406960</v>
      </c>
      <c r="D162" s="640">
        <v>327739.20000000007</v>
      </c>
      <c r="E162" s="640">
        <v>91075.342720000073</v>
      </c>
      <c r="F162" s="640">
        <v>-227853.74786316796</v>
      </c>
      <c r="G162" s="640">
        <v>-450364.82908111555</v>
      </c>
      <c r="H162" s="641">
        <f>SUM(C162:G162)</f>
        <v>147555.96577571658</v>
      </c>
      <c r="J162" s="404"/>
      <c r="K162" s="404"/>
      <c r="L162" s="404"/>
      <c r="M162" s="404"/>
    </row>
    <row r="163" spans="1:13" ht="15">
      <c r="A163" s="637" t="s">
        <v>542</v>
      </c>
      <c r="B163" s="404"/>
      <c r="C163" s="642">
        <f>0-(C162/(1+$C159))*(1+$C159)^5*(1+$D159)*(1+$E159)</f>
        <v>-661392.04760761408</v>
      </c>
      <c r="D163" s="642">
        <f>C163-(D162/(1+$C159))*(1+$C159)^4*(1+$D159)*(1+$E159)</f>
        <v>-1147868.7858490096</v>
      </c>
      <c r="E163" s="642">
        <f>D163-(E162/(1+$C159))*(1+$C159)^3*(1+$D159)*(1+$E159)</f>
        <v>-1271338.6438105071</v>
      </c>
      <c r="F163" s="642">
        <f>E163-(F162/(1+$C159))*(1+$C159)^2*(1+$D159)*(1+$E159)</f>
        <v>-989212.87475443596</v>
      </c>
      <c r="G163" s="642">
        <f>F163-(G162/(1+$C159))*(1+$C159)^1*(1+$D159)*(1+$E159)</f>
        <v>-479908.40011946909</v>
      </c>
      <c r="H163" s="643">
        <f>G163</f>
        <v>-479908.40011946909</v>
      </c>
      <c r="J163" s="644"/>
      <c r="K163" s="404"/>
      <c r="L163" s="404"/>
      <c r="M163" s="404"/>
    </row>
    <row r="164" spans="1:13" ht="15">
      <c r="A164" s="645"/>
      <c r="B164" s="528"/>
      <c r="C164" s="528"/>
      <c r="D164" s="647"/>
      <c r="E164" s="647"/>
      <c r="F164" s="647"/>
      <c r="G164" s="647"/>
      <c r="H164" s="650"/>
      <c r="J164" s="404"/>
      <c r="K164" s="404"/>
      <c r="L164" s="404"/>
      <c r="M164" s="404"/>
    </row>
    <row r="165" spans="1:13">
      <c r="D165" s="459"/>
    </row>
    <row r="166" spans="1:13">
      <c r="D166" s="459"/>
    </row>
    <row r="167" spans="1:13">
      <c r="D167" s="459"/>
    </row>
    <row r="168" spans="1:13">
      <c r="D168" s="459"/>
    </row>
    <row r="169" spans="1:13">
      <c r="D169" s="459"/>
    </row>
    <row r="170" spans="1:13" ht="13.5" thickBot="1">
      <c r="D170" s="459"/>
      <c r="J170" s="404"/>
      <c r="K170" s="404"/>
    </row>
    <row r="171" spans="1:13">
      <c r="A171" s="460"/>
      <c r="B171" s="486"/>
      <c r="C171" s="486"/>
      <c r="D171" s="487"/>
      <c r="E171" s="486"/>
      <c r="F171" s="486"/>
      <c r="G171" s="486"/>
      <c r="H171" s="486"/>
      <c r="I171" s="439"/>
      <c r="J171" s="404"/>
      <c r="K171" s="404"/>
    </row>
    <row r="172" spans="1:13" ht="18">
      <c r="A172" s="540" t="s">
        <v>104</v>
      </c>
      <c r="B172" s="404"/>
      <c r="C172" s="404"/>
      <c r="D172" s="536"/>
      <c r="E172" s="404"/>
      <c r="F172" s="404"/>
      <c r="G172" s="404"/>
      <c r="H172" s="404"/>
      <c r="I172" s="468"/>
      <c r="J172" s="404"/>
      <c r="K172" s="404"/>
    </row>
    <row r="173" spans="1:13">
      <c r="A173" s="429"/>
      <c r="B173" s="404"/>
      <c r="C173" s="404"/>
      <c r="D173" s="536"/>
      <c r="E173" s="404"/>
      <c r="F173" s="404"/>
      <c r="G173" s="404"/>
      <c r="H173" s="404"/>
      <c r="I173" s="468"/>
      <c r="J173" s="404"/>
      <c r="K173" s="404"/>
    </row>
    <row r="174" spans="1:13" ht="13.5" thickBot="1">
      <c r="A174" s="537" t="s">
        <v>352</v>
      </c>
      <c r="B174" s="404"/>
      <c r="C174" s="404"/>
      <c r="D174" s="536"/>
      <c r="E174" s="404"/>
      <c r="F174" s="404"/>
      <c r="G174" s="404"/>
      <c r="H174" s="404"/>
      <c r="I174" s="468"/>
      <c r="J174" s="404"/>
      <c r="K174" s="404"/>
    </row>
    <row r="175" spans="1:13" s="479" customFormat="1">
      <c r="A175" s="476" t="s">
        <v>412</v>
      </c>
      <c r="B175" s="477"/>
      <c r="C175" s="478"/>
      <c r="D175" s="561" t="s">
        <v>411</v>
      </c>
      <c r="E175" s="562"/>
      <c r="F175" s="563"/>
      <c r="G175" s="478"/>
      <c r="H175" s="478"/>
      <c r="I175" s="538"/>
      <c r="J175" s="478"/>
      <c r="K175" s="478"/>
    </row>
    <row r="176" spans="1:13" s="479" customFormat="1">
      <c r="A176" s="480"/>
      <c r="B176" s="481"/>
      <c r="C176" s="482"/>
      <c r="D176" s="484"/>
      <c r="E176" s="478"/>
      <c r="F176" s="538"/>
      <c r="G176" s="478"/>
      <c r="H176" s="478"/>
      <c r="I176" s="538"/>
      <c r="J176" s="478"/>
      <c r="K176" s="478"/>
    </row>
    <row r="177" spans="1:12" s="479" customFormat="1">
      <c r="A177" s="429" t="str">
        <f>$A$54</f>
        <v>Jemena</v>
      </c>
      <c r="B177" s="483">
        <v>8.6999999999999994E-2</v>
      </c>
      <c r="C177" s="404"/>
      <c r="D177" s="429" t="str">
        <f>$A$54</f>
        <v>Jemena</v>
      </c>
      <c r="E177" s="404"/>
      <c r="F177" s="483">
        <v>7.5600000000000001E-2</v>
      </c>
      <c r="G177" s="404"/>
      <c r="H177" s="478"/>
      <c r="I177" s="538"/>
      <c r="J177" s="478"/>
      <c r="K177" s="478"/>
    </row>
    <row r="178" spans="1:12" s="479" customFormat="1">
      <c r="A178" s="429" t="str">
        <f>$A$55</f>
        <v>CitiPower</v>
      </c>
      <c r="B178" s="483">
        <v>7.8600000000000003E-2</v>
      </c>
      <c r="C178" s="478"/>
      <c r="D178" s="429" t="str">
        <f>$A$55</f>
        <v>CitiPower</v>
      </c>
      <c r="E178" s="478"/>
      <c r="F178" s="483">
        <v>6.7400000000000002E-2</v>
      </c>
      <c r="G178" s="478"/>
      <c r="H178" s="478"/>
      <c r="I178" s="538"/>
      <c r="J178" s="478"/>
      <c r="K178" s="478"/>
    </row>
    <row r="179" spans="1:12" s="479" customFormat="1">
      <c r="A179" s="429" t="str">
        <f>$A$56</f>
        <v>Powercor</v>
      </c>
      <c r="B179" s="483">
        <v>7.7600000000000002E-2</v>
      </c>
      <c r="C179" s="478"/>
      <c r="D179" s="429" t="str">
        <f>$A$56</f>
        <v>Powercor</v>
      </c>
      <c r="E179" s="478"/>
      <c r="F179" s="483">
        <v>6.7400000000000002E-2</v>
      </c>
      <c r="G179" s="478"/>
      <c r="H179" s="478"/>
      <c r="I179" s="538"/>
      <c r="J179" s="478"/>
      <c r="K179" s="478"/>
    </row>
    <row r="180" spans="1:12" s="479" customFormat="1">
      <c r="A180" s="429" t="str">
        <f>$A$57</f>
        <v>AusNet Services</v>
      </c>
      <c r="B180" s="483">
        <v>7.8E-2</v>
      </c>
      <c r="C180" s="478"/>
      <c r="D180" s="429" t="str">
        <f>$A$57</f>
        <v>AusNet Services</v>
      </c>
      <c r="E180" s="478"/>
      <c r="F180" s="483">
        <v>6.9900000000000004E-2</v>
      </c>
      <c r="G180" s="478"/>
      <c r="H180" s="478"/>
      <c r="I180" s="538"/>
      <c r="J180" s="478"/>
      <c r="K180" s="478"/>
    </row>
    <row r="181" spans="1:12" s="479" customFormat="1">
      <c r="A181" s="429" t="str">
        <f>$A$58</f>
        <v>United Energy</v>
      </c>
      <c r="B181" s="483">
        <v>7.9100000000000004E-2</v>
      </c>
      <c r="C181" s="478"/>
      <c r="D181" s="429" t="str">
        <f>$A$58</f>
        <v>United Energy</v>
      </c>
      <c r="E181" s="478"/>
      <c r="F181" s="483">
        <v>6.7400000000000002E-2</v>
      </c>
      <c r="G181" s="478"/>
      <c r="H181" s="478"/>
      <c r="I181" s="538"/>
      <c r="J181" s="478"/>
      <c r="K181" s="478"/>
    </row>
    <row r="182" spans="1:12" s="479" customFormat="1">
      <c r="A182" s="484"/>
      <c r="B182" s="430"/>
      <c r="C182" s="478"/>
      <c r="D182" s="484"/>
      <c r="E182" s="478"/>
      <c r="F182" s="430"/>
      <c r="G182" s="478"/>
      <c r="H182" s="478"/>
      <c r="I182" s="538"/>
      <c r="J182" s="478"/>
      <c r="K182" s="478"/>
    </row>
    <row r="183" spans="1:12" s="479" customFormat="1" ht="15" thickBot="1">
      <c r="A183" s="485" t="s">
        <v>400</v>
      </c>
      <c r="B183" s="436">
        <f>VLOOKUP($C$3,A177:B181,2,FALSE)</f>
        <v>7.7600000000000002E-2</v>
      </c>
      <c r="C183" s="478"/>
      <c r="D183" s="560" t="s">
        <v>413</v>
      </c>
      <c r="E183" s="564"/>
      <c r="F183" s="436">
        <f>VLOOKUP($C$3,D177:F181,3,FALSE)</f>
        <v>6.7400000000000002E-2</v>
      </c>
      <c r="G183" s="478"/>
      <c r="H183" s="478"/>
      <c r="I183" s="538"/>
      <c r="J183" s="478"/>
      <c r="K183" s="478"/>
    </row>
    <row r="184" spans="1:12">
      <c r="A184" s="429"/>
      <c r="B184" s="404"/>
      <c r="C184" s="404"/>
      <c r="D184" s="536"/>
      <c r="E184" s="404"/>
      <c r="F184" s="404"/>
      <c r="G184" s="404"/>
      <c r="H184" s="404"/>
      <c r="I184" s="468"/>
      <c r="J184" s="404"/>
      <c r="K184" s="404"/>
    </row>
    <row r="185" spans="1:12">
      <c r="A185" s="429"/>
      <c r="B185" s="404"/>
      <c r="C185" s="404"/>
      <c r="D185" s="536"/>
      <c r="E185" s="404"/>
      <c r="F185" s="404"/>
      <c r="G185" s="404"/>
      <c r="H185" s="404"/>
      <c r="I185" s="468"/>
      <c r="J185" s="404"/>
      <c r="K185" s="404"/>
    </row>
    <row r="186" spans="1:12" ht="13.5" thickBot="1">
      <c r="A186" s="534"/>
      <c r="B186" s="535"/>
      <c r="C186" s="535"/>
      <c r="D186" s="539"/>
      <c r="E186" s="535"/>
      <c r="F186" s="535"/>
      <c r="G186" s="535"/>
      <c r="H186" s="535"/>
      <c r="I186" s="473"/>
      <c r="J186" s="404"/>
      <c r="K186" s="404"/>
    </row>
    <row r="187" spans="1:12">
      <c r="A187" s="460"/>
      <c r="B187" s="486"/>
      <c r="C187" s="486"/>
      <c r="D187" s="487"/>
      <c r="E187" s="486"/>
      <c r="F187" s="486"/>
      <c r="G187" s="486"/>
      <c r="H187" s="486"/>
      <c r="I187" s="439"/>
      <c r="J187" s="404"/>
      <c r="K187" s="404"/>
    </row>
    <row r="188" spans="1:12">
      <c r="A188" s="488" t="s">
        <v>86</v>
      </c>
      <c r="B188" s="404"/>
      <c r="C188" s="404"/>
      <c r="D188" s="404"/>
      <c r="E188" s="489">
        <v>2014</v>
      </c>
      <c r="F188" s="489">
        <v>2015</v>
      </c>
      <c r="G188" s="404"/>
      <c r="H188" s="404"/>
      <c r="I188" s="468"/>
      <c r="J188" s="404"/>
      <c r="K188" s="404"/>
    </row>
    <row r="189" spans="1:12">
      <c r="A189" s="429"/>
      <c r="B189" s="404"/>
      <c r="C189" s="404"/>
      <c r="D189" s="404"/>
      <c r="E189" s="404"/>
      <c r="F189" s="404"/>
      <c r="G189" s="404"/>
      <c r="H189" s="404"/>
      <c r="I189" s="468"/>
      <c r="J189" s="404"/>
      <c r="K189" s="404"/>
    </row>
    <row r="190" spans="1:12">
      <c r="A190" s="490" t="str">
        <f>A204</f>
        <v>F Factor pass through</v>
      </c>
      <c r="B190" s="404"/>
      <c r="C190" s="404"/>
      <c r="D190" s="404"/>
      <c r="E190" s="491">
        <f>B204</f>
        <v>2470000</v>
      </c>
      <c r="F190" s="491">
        <f>C204</f>
        <v>-2405000</v>
      </c>
      <c r="G190" s="404"/>
      <c r="H190" s="404"/>
      <c r="I190" s="468"/>
      <c r="J190" s="404"/>
      <c r="K190" s="404"/>
      <c r="L190" s="492"/>
    </row>
    <row r="191" spans="1:12">
      <c r="A191" s="490" t="s">
        <v>87</v>
      </c>
      <c r="B191" s="404"/>
      <c r="C191" s="404"/>
      <c r="D191" s="404"/>
      <c r="E191" s="493">
        <f>B215</f>
        <v>7193170.4538582545</v>
      </c>
      <c r="F191" s="493">
        <f>C215</f>
        <v>8768550.3783121537</v>
      </c>
      <c r="G191" s="404"/>
      <c r="H191" s="404"/>
      <c r="I191" s="468"/>
      <c r="J191" s="404"/>
      <c r="K191" s="404"/>
    </row>
    <row r="192" spans="1:12">
      <c r="A192" s="490" t="s">
        <v>88</v>
      </c>
      <c r="B192" s="404"/>
      <c r="C192" s="404"/>
      <c r="D192" s="404"/>
      <c r="E192" s="493">
        <f>B226</f>
        <v>0</v>
      </c>
      <c r="F192" s="493">
        <f>C226</f>
        <v>8777690.4553783704</v>
      </c>
      <c r="G192" s="404"/>
      <c r="H192" s="404"/>
      <c r="I192" s="468"/>
      <c r="J192" s="404"/>
      <c r="K192" s="404"/>
    </row>
    <row r="193" spans="1:12" ht="13.5" thickBot="1">
      <c r="A193" s="494" t="s">
        <v>89</v>
      </c>
      <c r="B193" s="187"/>
      <c r="C193" s="187"/>
      <c r="D193" s="187"/>
      <c r="E193" s="495">
        <f t="shared" ref="E193" si="9">SUM(E190:E192)</f>
        <v>9663170.4538582545</v>
      </c>
      <c r="F193" s="495">
        <f>SUM(F190:F192)</f>
        <v>15141240.833690524</v>
      </c>
      <c r="G193" s="404"/>
      <c r="H193" s="404"/>
      <c r="I193" s="468"/>
      <c r="J193" s="404"/>
      <c r="K193" s="404"/>
      <c r="L193" s="496"/>
    </row>
    <row r="194" spans="1:12" s="501" customFormat="1" ht="13.5" thickTop="1">
      <c r="A194" s="497"/>
      <c r="B194" s="498"/>
      <c r="C194" s="498"/>
      <c r="D194" s="498"/>
      <c r="E194" s="499"/>
      <c r="F194" s="499"/>
      <c r="G194" s="499"/>
      <c r="H194" s="498"/>
      <c r="I194" s="500"/>
      <c r="J194" s="498"/>
      <c r="K194" s="498"/>
    </row>
    <row r="195" spans="1:12">
      <c r="A195" s="429"/>
      <c r="B195" s="404"/>
      <c r="C195" s="404"/>
      <c r="D195" s="404"/>
      <c r="E195" s="404"/>
      <c r="F195" s="404"/>
      <c r="G195" s="404"/>
      <c r="H195" s="404"/>
      <c r="I195" s="468"/>
      <c r="J195" s="404"/>
      <c r="K195" s="404"/>
    </row>
    <row r="196" spans="1:12" ht="13.5" thickBot="1">
      <c r="A196" s="429"/>
      <c r="B196" s="404"/>
      <c r="C196" s="404"/>
      <c r="D196" s="404"/>
      <c r="E196" s="404"/>
      <c r="F196" s="404"/>
      <c r="G196" s="404"/>
      <c r="H196" s="404"/>
      <c r="I196" s="468"/>
      <c r="J196" s="404"/>
      <c r="K196" s="404"/>
    </row>
    <row r="197" spans="1:12">
      <c r="A197" s="463" t="s">
        <v>90</v>
      </c>
      <c r="B197" s="502">
        <v>2014</v>
      </c>
      <c r="C197" s="466">
        <v>2015</v>
      </c>
      <c r="D197" s="404"/>
      <c r="E197" s="404"/>
      <c r="F197" s="404"/>
      <c r="G197" s="404"/>
      <c r="H197" s="404"/>
      <c r="I197" s="468"/>
      <c r="J197" s="404"/>
      <c r="K197" s="404"/>
    </row>
    <row r="198" spans="1:12">
      <c r="A198" s="429" t="str">
        <f>$A$54</f>
        <v>Jemena</v>
      </c>
      <c r="B198" s="503">
        <v>370000</v>
      </c>
      <c r="C198" s="470">
        <v>-855000</v>
      </c>
      <c r="D198" s="404"/>
      <c r="E198" s="404"/>
      <c r="F198" s="404"/>
      <c r="G198" s="404"/>
      <c r="H198" s="404"/>
      <c r="I198" s="468"/>
      <c r="J198" s="404"/>
      <c r="K198" s="404"/>
    </row>
    <row r="199" spans="1:12">
      <c r="A199" s="429" t="str">
        <f>$A$55</f>
        <v>CitiPower</v>
      </c>
      <c r="B199" s="503">
        <v>10000</v>
      </c>
      <c r="C199" s="470">
        <v>-65000</v>
      </c>
      <c r="D199" s="404"/>
      <c r="E199" s="404"/>
      <c r="F199" s="404"/>
      <c r="G199" s="404"/>
      <c r="H199" s="404"/>
      <c r="I199" s="468"/>
      <c r="J199" s="404"/>
      <c r="K199" s="404"/>
    </row>
    <row r="200" spans="1:12">
      <c r="A200" s="429" t="str">
        <f>$A$56</f>
        <v>Powercor</v>
      </c>
      <c r="B200" s="503">
        <v>2470000</v>
      </c>
      <c r="C200" s="470">
        <v>-2405000</v>
      </c>
      <c r="D200" s="404"/>
      <c r="E200" s="404"/>
      <c r="F200" s="404"/>
      <c r="G200" s="404"/>
      <c r="H200" s="404"/>
      <c r="I200" s="468"/>
      <c r="J200" s="404"/>
      <c r="K200" s="404"/>
    </row>
    <row r="201" spans="1:12">
      <c r="A201" s="429" t="str">
        <f>$A$57</f>
        <v>AusNet Services</v>
      </c>
      <c r="B201" s="503">
        <v>1970000</v>
      </c>
      <c r="C201" s="470">
        <v>2020000</v>
      </c>
      <c r="D201" s="404"/>
      <c r="E201" s="404"/>
      <c r="F201" s="404"/>
      <c r="G201" s="404"/>
      <c r="H201" s="404"/>
      <c r="I201" s="468"/>
      <c r="J201" s="404"/>
      <c r="K201" s="404"/>
    </row>
    <row r="202" spans="1:12">
      <c r="A202" s="429" t="str">
        <f>$A$58</f>
        <v>United Energy</v>
      </c>
      <c r="B202" s="503">
        <v>980000</v>
      </c>
      <c r="C202" s="470">
        <v>-70000</v>
      </c>
      <c r="D202" s="404"/>
      <c r="E202" s="404"/>
      <c r="F202" s="404"/>
      <c r="G202" s="404"/>
      <c r="H202" s="404"/>
      <c r="I202" s="468"/>
      <c r="J202" s="404"/>
      <c r="K202" s="404"/>
    </row>
    <row r="203" spans="1:12">
      <c r="A203" s="429"/>
      <c r="B203" s="504"/>
      <c r="C203" s="430"/>
      <c r="D203" s="404"/>
      <c r="E203" s="404"/>
      <c r="F203" s="404"/>
      <c r="G203" s="404"/>
      <c r="H203" s="404"/>
      <c r="I203" s="468"/>
      <c r="J203" s="404"/>
      <c r="K203" s="404"/>
    </row>
    <row r="204" spans="1:12" ht="13.5" thickBot="1">
      <c r="A204" s="505" t="s">
        <v>91</v>
      </c>
      <c r="B204" s="506">
        <f>VLOOKUP($C$3,$A$198:$C$202,2,FALSE)</f>
        <v>2470000</v>
      </c>
      <c r="C204" s="475">
        <f>VLOOKUP($C$3,$A$198:$C$202,3,FALSE)</f>
        <v>-2405000</v>
      </c>
      <c r="D204" s="404"/>
      <c r="E204" s="404"/>
      <c r="F204" s="404"/>
      <c r="G204" s="404"/>
      <c r="H204" s="404"/>
      <c r="I204" s="468"/>
      <c r="J204" s="404"/>
      <c r="K204" s="404"/>
    </row>
    <row r="205" spans="1:12">
      <c r="A205" s="429"/>
      <c r="B205" s="404"/>
      <c r="C205" s="404"/>
      <c r="D205" s="404"/>
      <c r="E205" s="404"/>
      <c r="F205" s="404"/>
      <c r="G205" s="404"/>
      <c r="H205" s="404"/>
      <c r="I205" s="468"/>
      <c r="J205" s="404"/>
      <c r="K205" s="404"/>
    </row>
    <row r="206" spans="1:12">
      <c r="A206" s="429"/>
      <c r="B206" s="404"/>
      <c r="C206" s="404"/>
      <c r="D206" s="404"/>
      <c r="E206" s="404"/>
      <c r="F206" s="404"/>
      <c r="G206" s="404"/>
      <c r="H206" s="404"/>
      <c r="I206" s="468"/>
      <c r="J206" s="404"/>
      <c r="K206" s="404"/>
    </row>
    <row r="207" spans="1:12" ht="13.5" thickBot="1">
      <c r="A207" s="429"/>
      <c r="B207" s="404"/>
      <c r="C207" s="404"/>
      <c r="D207" s="404"/>
      <c r="E207" s="404"/>
      <c r="F207" s="404"/>
      <c r="G207" s="404"/>
      <c r="H207" s="404"/>
      <c r="I207" s="468"/>
      <c r="J207" s="404"/>
      <c r="K207" s="404"/>
    </row>
    <row r="208" spans="1:12">
      <c r="A208" s="463" t="s">
        <v>87</v>
      </c>
      <c r="B208" s="502">
        <v>2014</v>
      </c>
      <c r="C208" s="466">
        <v>2015</v>
      </c>
      <c r="D208" s="404"/>
      <c r="E208" s="404"/>
      <c r="F208" s="404"/>
      <c r="G208" s="404"/>
      <c r="H208" s="404"/>
      <c r="I208" s="468"/>
      <c r="J208" s="404"/>
      <c r="K208" s="404"/>
    </row>
    <row r="209" spans="1:11">
      <c r="A209" s="429" t="str">
        <f>$A$54</f>
        <v>Jemena</v>
      </c>
      <c r="B209" s="503">
        <v>0</v>
      </c>
      <c r="C209" s="470">
        <v>0</v>
      </c>
      <c r="D209" s="404"/>
      <c r="E209" s="404"/>
      <c r="F209" s="404"/>
      <c r="G209" s="404"/>
      <c r="H209" s="404"/>
      <c r="I209" s="468"/>
      <c r="J209" s="404"/>
      <c r="K209" s="404"/>
    </row>
    <row r="210" spans="1:11">
      <c r="A210" s="429" t="str">
        <f>$A$55</f>
        <v>CitiPower</v>
      </c>
      <c r="B210" s="503">
        <v>0</v>
      </c>
      <c r="C210" s="470">
        <v>0</v>
      </c>
      <c r="D210" s="404"/>
      <c r="E210" s="404"/>
      <c r="F210" s="404"/>
      <c r="G210" s="404"/>
      <c r="H210" s="404"/>
      <c r="I210" s="468"/>
      <c r="J210" s="404"/>
      <c r="K210" s="404"/>
    </row>
    <row r="211" spans="1:11">
      <c r="A211" s="429" t="str">
        <f>$A$56</f>
        <v>Powercor</v>
      </c>
      <c r="B211" s="503">
        <f>H245</f>
        <v>7193170.4538582545</v>
      </c>
      <c r="C211" s="470">
        <f>I245</f>
        <v>8768550.3783121537</v>
      </c>
      <c r="D211" s="404"/>
      <c r="E211" s="404"/>
      <c r="F211" s="404"/>
      <c r="G211" s="404"/>
      <c r="H211" s="404"/>
      <c r="I211" s="468"/>
      <c r="J211" s="404"/>
      <c r="K211" s="404"/>
    </row>
    <row r="212" spans="1:11">
      <c r="A212" s="429" t="str">
        <f>$A$57</f>
        <v>AusNet Services</v>
      </c>
      <c r="B212" s="503">
        <f>H262</f>
        <v>6039778.1580883265</v>
      </c>
      <c r="C212" s="470">
        <f>I262</f>
        <v>8341755.2122622114</v>
      </c>
      <c r="D212" s="404"/>
      <c r="E212" s="404"/>
      <c r="F212" s="404"/>
      <c r="G212" s="404"/>
      <c r="H212" s="404"/>
      <c r="I212" s="468"/>
      <c r="J212" s="404"/>
      <c r="K212" s="404"/>
    </row>
    <row r="213" spans="1:11">
      <c r="A213" s="429" t="str">
        <f>$A$58</f>
        <v>United Energy</v>
      </c>
      <c r="B213" s="503">
        <v>0</v>
      </c>
      <c r="C213" s="470">
        <v>0</v>
      </c>
      <c r="D213" s="404"/>
      <c r="E213" s="404"/>
      <c r="F213" s="404"/>
      <c r="G213" s="404"/>
      <c r="H213" s="404"/>
      <c r="I213" s="468"/>
      <c r="J213" s="404"/>
      <c r="K213" s="404"/>
    </row>
    <row r="214" spans="1:11">
      <c r="A214" s="429"/>
      <c r="B214" s="504"/>
      <c r="C214" s="430"/>
      <c r="D214" s="404"/>
      <c r="E214" s="404"/>
      <c r="F214" s="404"/>
      <c r="G214" s="404"/>
      <c r="H214" s="404"/>
      <c r="I214" s="468"/>
      <c r="J214" s="404"/>
      <c r="K214" s="404"/>
    </row>
    <row r="215" spans="1:11" ht="13.5" thickBot="1">
      <c r="A215" s="505" t="s">
        <v>105</v>
      </c>
      <c r="B215" s="506">
        <f>VLOOKUP($C$3,$A$209:$C$213,2,FALSE)</f>
        <v>7193170.4538582545</v>
      </c>
      <c r="C215" s="475">
        <f>VLOOKUP($C$3,$A$209:$C$213,3,FALSE)</f>
        <v>8768550.3783121537</v>
      </c>
      <c r="D215" s="404"/>
      <c r="E215" s="404"/>
      <c r="F215" s="404"/>
      <c r="G215" s="404"/>
      <c r="H215" s="404"/>
      <c r="I215" s="468"/>
      <c r="J215" s="404"/>
      <c r="K215" s="404"/>
    </row>
    <row r="216" spans="1:11">
      <c r="A216" s="429"/>
      <c r="B216" s="404"/>
      <c r="C216" s="404"/>
      <c r="D216" s="404"/>
      <c r="E216" s="404"/>
      <c r="F216" s="404"/>
      <c r="G216" s="404"/>
      <c r="H216" s="404"/>
      <c r="I216" s="468"/>
      <c r="J216" s="404"/>
      <c r="K216" s="404"/>
    </row>
    <row r="217" spans="1:11">
      <c r="A217" s="429"/>
      <c r="B217" s="404"/>
      <c r="C217" s="404"/>
      <c r="D217" s="404"/>
      <c r="E217" s="404"/>
      <c r="F217" s="404"/>
      <c r="G217" s="404"/>
      <c r="H217" s="404"/>
      <c r="I217" s="468"/>
      <c r="J217" s="404"/>
      <c r="K217" s="404"/>
    </row>
    <row r="218" spans="1:11" ht="13.5" thickBot="1">
      <c r="A218" s="429"/>
      <c r="B218" s="404"/>
      <c r="C218" s="404"/>
      <c r="D218" s="404"/>
      <c r="E218" s="404"/>
      <c r="F218" s="404"/>
      <c r="G218" s="404"/>
      <c r="H218" s="404"/>
      <c r="I218" s="468"/>
      <c r="J218" s="404"/>
      <c r="K218" s="404"/>
    </row>
    <row r="219" spans="1:11" ht="25.5">
      <c r="A219" s="507" t="s">
        <v>88</v>
      </c>
      <c r="B219" s="502">
        <v>2014</v>
      </c>
      <c r="C219" s="466">
        <v>2015</v>
      </c>
      <c r="D219" s="404"/>
      <c r="E219" s="404"/>
      <c r="F219" s="404"/>
      <c r="G219" s="404"/>
      <c r="H219" s="404"/>
      <c r="I219" s="468"/>
      <c r="J219" s="404"/>
      <c r="K219" s="404"/>
    </row>
    <row r="220" spans="1:11">
      <c r="A220" s="429" t="str">
        <f>$A$54</f>
        <v>Jemena</v>
      </c>
      <c r="B220" s="503">
        <v>0</v>
      </c>
      <c r="C220" s="470">
        <v>0</v>
      </c>
      <c r="D220" s="404"/>
      <c r="E220" s="404"/>
      <c r="F220" s="404"/>
      <c r="G220" s="404"/>
      <c r="H220" s="404"/>
      <c r="I220" s="468"/>
      <c r="J220" s="404"/>
      <c r="K220" s="404"/>
    </row>
    <row r="221" spans="1:11">
      <c r="A221" s="429" t="str">
        <f>$A$55</f>
        <v>CitiPower</v>
      </c>
      <c r="B221" s="503">
        <v>0</v>
      </c>
      <c r="C221" s="470">
        <v>0</v>
      </c>
      <c r="D221" s="404"/>
      <c r="E221" s="404"/>
      <c r="F221" s="404"/>
      <c r="G221" s="404"/>
      <c r="H221" s="404"/>
      <c r="I221" s="468"/>
      <c r="J221" s="404"/>
      <c r="K221" s="404"/>
    </row>
    <row r="222" spans="1:11">
      <c r="A222" s="429" t="str">
        <f>$A$56</f>
        <v>Powercor</v>
      </c>
      <c r="B222" s="503">
        <f>H249</f>
        <v>0</v>
      </c>
      <c r="C222" s="470">
        <v>8777690.4553783704</v>
      </c>
      <c r="D222" s="404"/>
      <c r="E222" s="404"/>
      <c r="F222" s="404"/>
      <c r="G222" s="404"/>
      <c r="H222" s="404"/>
      <c r="I222" s="468"/>
      <c r="J222" s="404"/>
      <c r="K222" s="404"/>
    </row>
    <row r="223" spans="1:11">
      <c r="A223" s="429" t="str">
        <f>$A$57</f>
        <v>AusNet Services</v>
      </c>
      <c r="B223" s="503">
        <v>0</v>
      </c>
      <c r="C223" s="470">
        <v>5723419.3099999996</v>
      </c>
      <c r="D223" s="404"/>
      <c r="E223" s="404"/>
      <c r="F223" s="404"/>
      <c r="G223" s="404"/>
      <c r="H223" s="404"/>
      <c r="I223" s="468"/>
      <c r="J223" s="404"/>
      <c r="K223" s="404"/>
    </row>
    <row r="224" spans="1:11">
      <c r="A224" s="429" t="str">
        <f>$A$58</f>
        <v>United Energy</v>
      </c>
      <c r="B224" s="503">
        <v>0</v>
      </c>
      <c r="C224" s="470">
        <v>0</v>
      </c>
      <c r="D224" s="404"/>
      <c r="E224" s="404"/>
      <c r="F224" s="404"/>
      <c r="G224" s="404"/>
      <c r="H224" s="404"/>
      <c r="I224" s="468"/>
      <c r="J224" s="404"/>
      <c r="K224" s="404"/>
    </row>
    <row r="225" spans="1:19">
      <c r="A225" s="429"/>
      <c r="B225" s="504"/>
      <c r="C225" s="430"/>
      <c r="D225" s="404"/>
      <c r="E225" s="404"/>
      <c r="F225" s="404"/>
      <c r="G225" s="404"/>
      <c r="H225" s="404"/>
      <c r="I225" s="468"/>
      <c r="J225" s="404"/>
      <c r="K225" s="404"/>
    </row>
    <row r="226" spans="1:19" ht="26.25" thickBot="1">
      <c r="A226" s="505" t="s">
        <v>88</v>
      </c>
      <c r="B226" s="506">
        <f>VLOOKUP($C$3,$A$219:$C$224,2,FALSE)</f>
        <v>0</v>
      </c>
      <c r="C226" s="475">
        <f>VLOOKUP($C$3,$A$219:$C$224,3,FALSE)</f>
        <v>8777690.4553783704</v>
      </c>
      <c r="D226" s="404"/>
      <c r="E226" s="404"/>
      <c r="F226" s="404"/>
      <c r="G226" s="404"/>
      <c r="H226" s="404"/>
      <c r="I226" s="468"/>
      <c r="J226" s="404"/>
      <c r="K226" s="404"/>
    </row>
    <row r="227" spans="1:19">
      <c r="A227" s="429"/>
      <c r="B227" s="404"/>
      <c r="C227" s="404"/>
      <c r="D227" s="404"/>
      <c r="E227" s="404"/>
      <c r="F227" s="404"/>
      <c r="G227" s="404"/>
      <c r="H227" s="404"/>
      <c r="I227" s="468"/>
      <c r="J227" s="404"/>
      <c r="K227" s="404"/>
    </row>
    <row r="228" spans="1:19">
      <c r="A228" s="429"/>
      <c r="B228" s="404"/>
      <c r="C228" s="404"/>
      <c r="D228" s="404"/>
      <c r="E228" s="404"/>
      <c r="F228" s="404"/>
      <c r="G228" s="404"/>
      <c r="H228" s="404"/>
      <c r="I228" s="468"/>
      <c r="J228" s="404"/>
      <c r="K228" s="404"/>
    </row>
    <row r="229" spans="1:19">
      <c r="A229" s="429"/>
      <c r="B229" s="404"/>
      <c r="C229" s="404"/>
      <c r="D229" s="404"/>
      <c r="E229" s="404"/>
      <c r="F229" s="404"/>
      <c r="G229" s="404"/>
      <c r="H229" s="404"/>
      <c r="I229" s="468"/>
      <c r="J229" s="404"/>
      <c r="K229" s="404"/>
    </row>
    <row r="230" spans="1:19">
      <c r="A230" s="429"/>
      <c r="B230" s="404"/>
      <c r="C230" s="404"/>
      <c r="D230" s="404"/>
      <c r="E230" s="404"/>
      <c r="F230" s="404"/>
      <c r="G230" s="404"/>
      <c r="H230" s="404"/>
      <c r="I230" s="468"/>
      <c r="J230" s="404"/>
      <c r="K230" s="404"/>
    </row>
    <row r="231" spans="1:19">
      <c r="A231" s="508" t="s">
        <v>87</v>
      </c>
      <c r="B231" s="509"/>
      <c r="C231" s="509"/>
      <c r="D231" s="509"/>
      <c r="E231" s="509"/>
      <c r="F231" s="509"/>
      <c r="G231" s="509"/>
      <c r="H231" s="509"/>
      <c r="I231" s="510"/>
      <c r="J231" s="404"/>
      <c r="K231" s="404"/>
    </row>
    <row r="232" spans="1:19">
      <c r="A232" s="429"/>
      <c r="B232" s="404"/>
      <c r="C232" s="404"/>
      <c r="D232" s="404"/>
      <c r="E232" s="404"/>
      <c r="F232" s="404"/>
      <c r="G232" s="404"/>
      <c r="H232" s="404"/>
      <c r="I232" s="468"/>
      <c r="J232" s="404"/>
      <c r="K232" s="404"/>
    </row>
    <row r="233" spans="1:19">
      <c r="A233" s="511" t="s">
        <v>84</v>
      </c>
      <c r="B233" s="404"/>
      <c r="C233" s="404"/>
      <c r="D233" s="404"/>
      <c r="E233" s="489">
        <v>2011</v>
      </c>
      <c r="F233" s="489">
        <v>2012</v>
      </c>
      <c r="G233" s="489">
        <v>2013</v>
      </c>
      <c r="H233" s="489">
        <v>2014</v>
      </c>
      <c r="I233" s="512">
        <v>2015</v>
      </c>
      <c r="J233" s="404"/>
      <c r="K233" s="404"/>
    </row>
    <row r="234" spans="1:19">
      <c r="A234" s="513" t="s">
        <v>92</v>
      </c>
      <c r="B234" s="197"/>
      <c r="C234" s="197"/>
      <c r="D234" s="404"/>
      <c r="E234" s="404"/>
      <c r="F234" s="404"/>
      <c r="G234" s="514">
        <v>10270612</v>
      </c>
      <c r="H234" s="514">
        <v>7181525</v>
      </c>
      <c r="I234" s="515">
        <v>8777217</v>
      </c>
      <c r="J234" s="404"/>
      <c r="K234" s="404"/>
      <c r="S234" s="230"/>
    </row>
    <row r="235" spans="1:19">
      <c r="A235" s="516" t="s">
        <v>102</v>
      </c>
      <c r="B235" s="517"/>
      <c r="C235" s="517"/>
      <c r="D235" s="517"/>
      <c r="E235" s="517"/>
      <c r="F235" s="498"/>
      <c r="G235" s="498"/>
      <c r="H235" s="498"/>
      <c r="I235" s="468"/>
      <c r="J235" s="404"/>
      <c r="K235" s="404"/>
    </row>
    <row r="236" spans="1:19">
      <c r="A236" s="429" t="s">
        <v>93</v>
      </c>
      <c r="B236" s="404"/>
      <c r="C236" s="404"/>
      <c r="D236" s="404"/>
      <c r="E236" s="518">
        <v>2.5748753401775293E-2</v>
      </c>
      <c r="F236" s="518">
        <v>2.5748753401775293E-2</v>
      </c>
      <c r="G236" s="518">
        <v>2.5748753401775293E-2</v>
      </c>
      <c r="H236" s="518">
        <v>2.5748753401775293E-2</v>
      </c>
      <c r="I236" s="519">
        <v>2.5748753401775293E-2</v>
      </c>
      <c r="J236" s="404"/>
      <c r="K236" s="404"/>
    </row>
    <row r="237" spans="1:19">
      <c r="A237" s="429"/>
      <c r="B237" s="404"/>
      <c r="C237" s="404"/>
      <c r="D237" s="404"/>
      <c r="E237" s="520">
        <f>1+E236</f>
        <v>1.0257487534017753</v>
      </c>
      <c r="F237" s="520">
        <f>E237*(1+F236)</f>
        <v>1.052160505105296</v>
      </c>
      <c r="G237" s="520">
        <f>F237*(1+G236)</f>
        <v>1.0792523264903395</v>
      </c>
      <c r="H237" s="520">
        <f>G237*(1+H236)</f>
        <v>1.1070417285034315</v>
      </c>
      <c r="I237" s="521">
        <f>H237*(1+I236)</f>
        <v>1.1355466729761414</v>
      </c>
      <c r="J237" s="404"/>
      <c r="K237" s="404"/>
    </row>
    <row r="238" spans="1:19">
      <c r="A238" s="429"/>
      <c r="B238" s="404"/>
      <c r="C238" s="404"/>
      <c r="D238" s="404"/>
      <c r="E238" s="404"/>
      <c r="F238" s="404"/>
      <c r="G238" s="404"/>
      <c r="H238" s="404"/>
      <c r="I238" s="468"/>
      <c r="J238" s="404"/>
      <c r="K238" s="404"/>
    </row>
    <row r="239" spans="1:19">
      <c r="A239" s="513" t="s">
        <v>94</v>
      </c>
      <c r="B239" s="404"/>
      <c r="C239" s="404"/>
      <c r="D239" s="404"/>
      <c r="E239" s="404"/>
      <c r="F239" s="404"/>
      <c r="G239" s="493">
        <f>G234/G237</f>
        <v>9516414.0469350498</v>
      </c>
      <c r="H239" s="493">
        <f>H234/H237</f>
        <v>6487131.257200608</v>
      </c>
      <c r="I239" s="522">
        <f>I234/I237</f>
        <v>7729507.9179756576</v>
      </c>
      <c r="J239" s="404"/>
      <c r="K239" s="404"/>
    </row>
    <row r="240" spans="1:19">
      <c r="A240" s="429"/>
      <c r="B240" s="404"/>
      <c r="C240" s="404"/>
      <c r="D240" s="404"/>
      <c r="E240" s="404"/>
      <c r="F240" s="404"/>
      <c r="G240" s="404"/>
      <c r="H240" s="404"/>
      <c r="I240" s="468"/>
      <c r="J240" s="404"/>
      <c r="K240" s="404"/>
    </row>
    <row r="241" spans="1:11">
      <c r="A241" s="429"/>
      <c r="B241" s="404"/>
      <c r="C241" s="404"/>
      <c r="D241" s="404"/>
      <c r="E241" s="404"/>
      <c r="F241" s="404"/>
      <c r="G241" s="404"/>
      <c r="H241" s="404"/>
      <c r="I241" s="468"/>
      <c r="J241" s="404"/>
      <c r="K241" s="404"/>
    </row>
    <row r="242" spans="1:11">
      <c r="A242" s="429" t="s">
        <v>95</v>
      </c>
      <c r="B242" s="404"/>
      <c r="C242" s="404"/>
      <c r="D242" s="404"/>
      <c r="E242" s="523">
        <f>173.3/168.6-1</f>
        <v>2.7876631079478242E-2</v>
      </c>
      <c r="F242" s="523">
        <f>179.4/173.3-1</f>
        <v>3.5199076745527913E-2</v>
      </c>
      <c r="G242" s="523">
        <f>C17/C16-1</f>
        <v>2.0040080160320661E-2</v>
      </c>
      <c r="H242" s="523">
        <f>C18/C17-1</f>
        <v>2.16110019646365E-2</v>
      </c>
      <c r="I242" s="430">
        <f>C19/C18-1</f>
        <v>2.3076923076923217E-2</v>
      </c>
      <c r="J242" s="404"/>
      <c r="K242" s="404"/>
    </row>
    <row r="243" spans="1:11">
      <c r="A243" s="429"/>
      <c r="B243" s="404"/>
      <c r="C243" s="404"/>
      <c r="D243" s="404"/>
      <c r="E243" s="523">
        <f>1+E242</f>
        <v>1.0278766310794782</v>
      </c>
      <c r="F243" s="523">
        <f>E243*(1+F242)</f>
        <v>1.0640569395017794</v>
      </c>
      <c r="G243" s="523">
        <f>F243*(1+G242)</f>
        <v>1.0853807258645405</v>
      </c>
      <c r="H243" s="523">
        <f t="shared" ref="H243:I243" si="10">G243*(1+H242)</f>
        <v>1.1088368908635777</v>
      </c>
      <c r="I243" s="524">
        <f t="shared" si="10"/>
        <v>1.1344254344988911</v>
      </c>
      <c r="J243" s="404"/>
      <c r="K243" s="404"/>
    </row>
    <row r="244" spans="1:11">
      <c r="A244" s="429"/>
      <c r="B244" s="404"/>
      <c r="C244" s="404"/>
      <c r="D244" s="404"/>
      <c r="E244" s="404"/>
      <c r="F244" s="404"/>
      <c r="G244" s="404"/>
      <c r="H244" s="404"/>
      <c r="I244" s="468"/>
      <c r="J244" s="404"/>
      <c r="K244" s="404"/>
    </row>
    <row r="245" spans="1:11">
      <c r="A245" s="513" t="s">
        <v>96</v>
      </c>
      <c r="B245" s="404"/>
      <c r="C245" s="404"/>
      <c r="D245" s="404"/>
      <c r="E245" s="404"/>
      <c r="F245" s="404"/>
      <c r="G245" s="525">
        <f>G239*G243</f>
        <v>10328932.385889873</v>
      </c>
      <c r="H245" s="525">
        <f>H239*H243</f>
        <v>7193170.4538582545</v>
      </c>
      <c r="I245" s="526">
        <f>I239*I243</f>
        <v>8768550.3783121537</v>
      </c>
      <c r="J245" s="404"/>
      <c r="K245" s="404"/>
    </row>
    <row r="246" spans="1:11">
      <c r="A246" s="429"/>
      <c r="B246" s="404"/>
      <c r="C246" s="404"/>
      <c r="D246" s="404"/>
      <c r="E246" s="404"/>
      <c r="F246" s="404"/>
      <c r="G246" s="404"/>
      <c r="H246" s="404"/>
      <c r="I246" s="468"/>
      <c r="J246" s="404"/>
      <c r="K246" s="404"/>
    </row>
    <row r="247" spans="1:11">
      <c r="A247" s="527"/>
      <c r="B247" s="528"/>
      <c r="C247" s="528"/>
      <c r="D247" s="528"/>
      <c r="E247" s="528"/>
      <c r="F247" s="528"/>
      <c r="G247" s="528"/>
      <c r="H247" s="528"/>
      <c r="I247" s="529"/>
      <c r="J247" s="404"/>
      <c r="K247" s="404"/>
    </row>
    <row r="248" spans="1:11">
      <c r="A248" s="429"/>
      <c r="B248" s="404"/>
      <c r="C248" s="404"/>
      <c r="D248" s="404"/>
      <c r="E248" s="404"/>
      <c r="F248" s="404"/>
      <c r="G248" s="404"/>
      <c r="H248" s="404"/>
      <c r="I248" s="468"/>
      <c r="J248" s="404"/>
      <c r="K248" s="404"/>
    </row>
    <row r="249" spans="1:11" s="479" customFormat="1">
      <c r="A249" s="484"/>
      <c r="B249" s="404"/>
      <c r="C249" s="404"/>
      <c r="D249" s="404"/>
      <c r="E249" s="404"/>
      <c r="F249" s="404"/>
      <c r="G249" s="404"/>
      <c r="H249" s="404"/>
      <c r="I249" s="468"/>
      <c r="J249" s="404"/>
      <c r="K249" s="478"/>
    </row>
    <row r="250" spans="1:11" s="479" customFormat="1">
      <c r="A250" s="511" t="s">
        <v>106</v>
      </c>
      <c r="B250" s="404"/>
      <c r="C250" s="404"/>
      <c r="D250" s="404"/>
      <c r="E250" s="489">
        <v>2011</v>
      </c>
      <c r="F250" s="489">
        <v>2012</v>
      </c>
      <c r="G250" s="489">
        <v>2013</v>
      </c>
      <c r="H250" s="489">
        <v>2014</v>
      </c>
      <c r="I250" s="512">
        <v>2015</v>
      </c>
      <c r="J250" s="404"/>
      <c r="K250" s="478"/>
    </row>
    <row r="251" spans="1:11" s="479" customFormat="1">
      <c r="A251" s="513" t="s">
        <v>92</v>
      </c>
      <c r="B251" s="197"/>
      <c r="C251" s="197"/>
      <c r="D251" s="404"/>
      <c r="E251" s="404"/>
      <c r="F251" s="404"/>
      <c r="G251" s="514">
        <v>5790000</v>
      </c>
      <c r="H251" s="514">
        <v>6030000</v>
      </c>
      <c r="I251" s="515">
        <v>8350000</v>
      </c>
      <c r="J251" s="404"/>
      <c r="K251" s="478"/>
    </row>
    <row r="252" spans="1:11" s="479" customFormat="1">
      <c r="A252" s="530" t="s">
        <v>107</v>
      </c>
      <c r="B252" s="531"/>
      <c r="C252" s="531"/>
      <c r="D252" s="531"/>
      <c r="E252" s="531"/>
      <c r="F252" s="531"/>
      <c r="G252" s="532"/>
      <c r="H252" s="532"/>
      <c r="I252" s="533"/>
      <c r="J252" s="478"/>
      <c r="K252" s="478"/>
    </row>
    <row r="253" spans="1:11" s="479" customFormat="1">
      <c r="A253" s="429" t="s">
        <v>93</v>
      </c>
      <c r="B253" s="404"/>
      <c r="C253" s="404"/>
      <c r="D253" s="404"/>
      <c r="E253" s="518">
        <v>2.5748753401775293E-2</v>
      </c>
      <c r="F253" s="518">
        <v>2.5748753401775293E-2</v>
      </c>
      <c r="G253" s="518">
        <v>2.5748753401775293E-2</v>
      </c>
      <c r="H253" s="518">
        <v>2.5748753401775293E-2</v>
      </c>
      <c r="I253" s="519">
        <v>2.5748753401775293E-2</v>
      </c>
      <c r="J253" s="404"/>
      <c r="K253" s="478"/>
    </row>
    <row r="254" spans="1:11" s="479" customFormat="1">
      <c r="A254" s="429"/>
      <c r="B254" s="404"/>
      <c r="C254" s="404"/>
      <c r="D254" s="404"/>
      <c r="E254" s="520">
        <f>1+E253</f>
        <v>1.0257487534017753</v>
      </c>
      <c r="F254" s="520">
        <f>E254*(1+F253)</f>
        <v>1.052160505105296</v>
      </c>
      <c r="G254" s="520">
        <f>F254*(1+G253)</f>
        <v>1.0792523264903395</v>
      </c>
      <c r="H254" s="520">
        <f>G254*(1+H253)</f>
        <v>1.1070417285034315</v>
      </c>
      <c r="I254" s="521">
        <f>H254*(1+I253)</f>
        <v>1.1355466729761414</v>
      </c>
      <c r="J254" s="404"/>
      <c r="K254" s="478"/>
    </row>
    <row r="255" spans="1:11" s="479" customFormat="1">
      <c r="A255" s="429"/>
      <c r="B255" s="404"/>
      <c r="C255" s="404"/>
      <c r="D255" s="404"/>
      <c r="E255" s="404"/>
      <c r="F255" s="404"/>
      <c r="G255" s="404"/>
      <c r="H255" s="404"/>
      <c r="I255" s="468"/>
      <c r="J255" s="404"/>
      <c r="K255" s="478"/>
    </row>
    <row r="256" spans="1:11" s="479" customFormat="1">
      <c r="A256" s="513" t="s">
        <v>94</v>
      </c>
      <c r="B256" s="404"/>
      <c r="C256" s="404"/>
      <c r="D256" s="404"/>
      <c r="E256" s="404"/>
      <c r="F256" s="404"/>
      <c r="G256" s="493">
        <f>G251/G254</f>
        <v>5364825.1274368009</v>
      </c>
      <c r="H256" s="493">
        <f>H251/H254</f>
        <v>5446949.14811543</v>
      </c>
      <c r="I256" s="522">
        <f>I251/I254</f>
        <v>7353286.4819334811</v>
      </c>
      <c r="J256" s="404"/>
      <c r="K256" s="478"/>
    </row>
    <row r="257" spans="1:14" s="479" customFormat="1">
      <c r="A257" s="429"/>
      <c r="B257" s="404"/>
      <c r="C257" s="404"/>
      <c r="D257" s="404"/>
      <c r="E257" s="404"/>
      <c r="F257" s="404"/>
      <c r="G257" s="404"/>
      <c r="H257" s="404"/>
      <c r="I257" s="468"/>
      <c r="J257" s="404"/>
      <c r="K257" s="478"/>
    </row>
    <row r="258" spans="1:14" s="479" customFormat="1">
      <c r="A258" s="429"/>
      <c r="B258" s="404"/>
      <c r="C258" s="404"/>
      <c r="D258" s="404"/>
      <c r="E258" s="478"/>
      <c r="F258" s="404"/>
      <c r="G258" s="404"/>
      <c r="H258" s="404"/>
      <c r="I258" s="468"/>
      <c r="J258" s="404"/>
      <c r="K258" s="478"/>
    </row>
    <row r="259" spans="1:14" s="479" customFormat="1">
      <c r="A259" s="429" t="s">
        <v>95</v>
      </c>
      <c r="B259" s="404"/>
      <c r="C259" s="404"/>
      <c r="D259" s="404"/>
      <c r="E259" s="523">
        <f>173.3/168.6-1</f>
        <v>2.7876631079478242E-2</v>
      </c>
      <c r="F259" s="523">
        <f>179.4/173.3-1</f>
        <v>3.5199076745527913E-2</v>
      </c>
      <c r="G259" s="523">
        <f>C17/C16-1</f>
        <v>2.0040080160320661E-2</v>
      </c>
      <c r="H259" s="523">
        <f>C18/C17-1</f>
        <v>2.16110019646365E-2</v>
      </c>
      <c r="I259" s="430">
        <f>C19/C18-1</f>
        <v>2.3076923076923217E-2</v>
      </c>
      <c r="J259" s="404"/>
      <c r="K259" s="478"/>
    </row>
    <row r="260" spans="1:14" s="479" customFormat="1">
      <c r="A260" s="429"/>
      <c r="B260" s="404"/>
      <c r="C260" s="404"/>
      <c r="D260" s="404"/>
      <c r="E260" s="523">
        <f>1+E259</f>
        <v>1.0278766310794782</v>
      </c>
      <c r="F260" s="523">
        <f>E260*(1+F259)</f>
        <v>1.0640569395017794</v>
      </c>
      <c r="G260" s="523">
        <f>F260*(1+G259)</f>
        <v>1.0853807258645405</v>
      </c>
      <c r="H260" s="523">
        <f t="shared" ref="H260:I260" si="11">G260*(1+H259)</f>
        <v>1.1088368908635777</v>
      </c>
      <c r="I260" s="524">
        <f t="shared" si="11"/>
        <v>1.1344254344988911</v>
      </c>
      <c r="J260" s="404"/>
      <c r="K260" s="478"/>
    </row>
    <row r="261" spans="1:14" s="479" customFormat="1">
      <c r="A261" s="429"/>
      <c r="B261" s="404"/>
      <c r="C261" s="404"/>
      <c r="D261" s="404"/>
      <c r="E261" s="404"/>
      <c r="F261" s="404"/>
      <c r="G261" s="404"/>
      <c r="H261" s="404"/>
      <c r="I261" s="468"/>
      <c r="J261" s="404"/>
      <c r="K261" s="478"/>
    </row>
    <row r="262" spans="1:14" s="479" customFormat="1">
      <c r="A262" s="513" t="s">
        <v>96</v>
      </c>
      <c r="B262" s="404"/>
      <c r="C262" s="404"/>
      <c r="D262" s="404"/>
      <c r="E262" s="404"/>
      <c r="F262" s="404"/>
      <c r="G262" s="525">
        <f>G256*G260</f>
        <v>5822877.7909536809</v>
      </c>
      <c r="H262" s="525">
        <f>H256*H260</f>
        <v>6039778.1580883265</v>
      </c>
      <c r="I262" s="526">
        <f>I256*I260</f>
        <v>8341755.2122622114</v>
      </c>
      <c r="J262" s="404"/>
      <c r="K262" s="478"/>
    </row>
    <row r="263" spans="1:14">
      <c r="A263" s="429"/>
      <c r="B263" s="404"/>
      <c r="C263" s="404"/>
      <c r="D263" s="404"/>
      <c r="E263" s="404"/>
      <c r="F263" s="404"/>
      <c r="G263" s="404"/>
      <c r="H263" s="404"/>
      <c r="I263" s="468"/>
      <c r="J263" s="404"/>
      <c r="K263" s="404"/>
    </row>
    <row r="264" spans="1:14" ht="13.5" thickBot="1">
      <c r="A264" s="534"/>
      <c r="B264" s="535"/>
      <c r="C264" s="535"/>
      <c r="D264" s="535"/>
      <c r="E264" s="535"/>
      <c r="F264" s="535"/>
      <c r="G264" s="535"/>
      <c r="H264" s="535"/>
      <c r="I264" s="473"/>
      <c r="J264" s="404"/>
      <c r="K264" s="404"/>
    </row>
    <row r="265" spans="1:14">
      <c r="A265" s="429"/>
      <c r="B265" s="404"/>
      <c r="C265" s="404"/>
      <c r="D265" s="404"/>
      <c r="E265" s="404"/>
      <c r="F265" s="404"/>
      <c r="G265" s="404"/>
      <c r="H265" s="404"/>
      <c r="I265" s="404"/>
      <c r="J265" s="404"/>
      <c r="K265" s="404"/>
    </row>
    <row r="266" spans="1:14">
      <c r="A266" s="404"/>
      <c r="B266" s="404"/>
      <c r="C266" s="404"/>
      <c r="D266" s="404"/>
      <c r="E266" s="404"/>
      <c r="F266" s="404"/>
      <c r="G266" s="404"/>
      <c r="H266" s="404"/>
      <c r="I266" s="404"/>
      <c r="J266" s="404"/>
      <c r="K266" s="404"/>
    </row>
    <row r="267" spans="1:14">
      <c r="A267" s="404"/>
      <c r="B267" s="404"/>
      <c r="C267" s="404"/>
      <c r="D267" s="404"/>
      <c r="E267" s="404"/>
      <c r="F267" s="404"/>
      <c r="G267" s="404"/>
      <c r="H267" s="404"/>
      <c r="I267" s="404"/>
      <c r="J267" s="404"/>
      <c r="K267" s="404"/>
    </row>
    <row r="268" spans="1:14">
      <c r="A268" s="404"/>
      <c r="B268" s="404"/>
      <c r="C268" s="404"/>
      <c r="D268" s="404"/>
      <c r="E268" s="404"/>
      <c r="F268" s="404"/>
      <c r="G268" s="404"/>
      <c r="H268" s="404"/>
      <c r="I268" s="404"/>
      <c r="J268" s="404"/>
      <c r="K268" s="404"/>
    </row>
    <row r="269" spans="1:14" ht="13.5" thickBot="1">
      <c r="A269" s="404"/>
      <c r="B269" s="404"/>
      <c r="C269" s="404"/>
      <c r="D269" s="404"/>
      <c r="E269" s="404"/>
      <c r="F269" s="404"/>
      <c r="G269" s="404"/>
      <c r="H269" s="404"/>
      <c r="I269" s="404"/>
      <c r="J269" s="404"/>
      <c r="K269" s="404"/>
      <c r="L269" s="404"/>
      <c r="M269" s="404"/>
      <c r="N269" s="404"/>
    </row>
    <row r="270" spans="1:14" ht="15.75">
      <c r="A270" s="684" t="s">
        <v>660</v>
      </c>
      <c r="B270" s="685"/>
      <c r="C270" s="685"/>
      <c r="D270" s="486"/>
      <c r="E270" s="486"/>
      <c r="F270" s="486"/>
      <c r="G270" s="486"/>
      <c r="H270" s="486"/>
      <c r="I270" s="486"/>
      <c r="J270" s="486"/>
      <c r="K270" s="486"/>
      <c r="L270" s="486"/>
      <c r="M270" s="486"/>
      <c r="N270" s="439"/>
    </row>
    <row r="271" spans="1:14">
      <c r="A271" s="440" t="str">
        <f>C3</f>
        <v>Powercor</v>
      </c>
      <c r="B271" s="187"/>
      <c r="C271" s="187"/>
      <c r="D271" s="404"/>
      <c r="E271" s="404"/>
      <c r="F271" s="404"/>
      <c r="G271" s="404"/>
      <c r="H271" s="404"/>
      <c r="I271" s="404"/>
      <c r="J271" s="404"/>
      <c r="K271" s="404"/>
      <c r="L271" s="404"/>
      <c r="M271" s="404"/>
      <c r="N271" s="468"/>
    </row>
    <row r="272" spans="1:14" ht="15">
      <c r="A272" s="429"/>
      <c r="B272" s="404"/>
      <c r="C272" s="686">
        <v>2009</v>
      </c>
      <c r="D272" s="686">
        <v>2010</v>
      </c>
      <c r="E272" s="686">
        <v>2011</v>
      </c>
      <c r="F272" s="686">
        <v>2012</v>
      </c>
      <c r="G272" s="687">
        <v>2013</v>
      </c>
      <c r="H272" s="686">
        <v>2014</v>
      </c>
      <c r="I272" s="687">
        <v>2015</v>
      </c>
      <c r="J272" s="688">
        <v>2016</v>
      </c>
      <c r="K272" s="688">
        <v>2017</v>
      </c>
      <c r="L272" s="688">
        <v>2018</v>
      </c>
      <c r="M272" s="688">
        <v>2019</v>
      </c>
      <c r="N272" s="689">
        <v>2020</v>
      </c>
    </row>
    <row r="273" spans="1:14" ht="15">
      <c r="A273" s="690" t="s">
        <v>76</v>
      </c>
      <c r="B273" s="404"/>
      <c r="C273" s="691">
        <v>4.9810844892812067E-2</v>
      </c>
      <c r="D273" s="691">
        <v>1.2612612612612484E-2</v>
      </c>
      <c r="E273" s="691">
        <v>2.7876631079478242E-2</v>
      </c>
      <c r="F273" s="691">
        <v>3.5199076745527913E-2</v>
      </c>
      <c r="G273" s="692">
        <f>$F17</f>
        <v>2.0040080160320661E-2</v>
      </c>
      <c r="H273" s="523">
        <f>$F18</f>
        <v>2.16110019646365E-2</v>
      </c>
      <c r="I273" s="692">
        <f>$F19</f>
        <v>2.3076923076923217E-2</v>
      </c>
      <c r="J273" s="523">
        <f>$F20</f>
        <v>1.5037593984962294E-2</v>
      </c>
      <c r="K273" s="523">
        <f>$F22</f>
        <v>1.0232558139534831E-2</v>
      </c>
      <c r="L273" s="523">
        <f>$F23</f>
        <v>1.9337016574585641E-2</v>
      </c>
      <c r="M273" s="523">
        <f>$F24</f>
        <v>0</v>
      </c>
      <c r="N273" s="524">
        <f>$F25</f>
        <v>0</v>
      </c>
    </row>
    <row r="274" spans="1:14" ht="15">
      <c r="A274" s="693"/>
      <c r="B274" s="197"/>
      <c r="C274" s="694"/>
      <c r="D274" s="694"/>
      <c r="E274" s="694"/>
      <c r="F274" s="694"/>
      <c r="G274" s="695"/>
      <c r="H274" s="696"/>
      <c r="I274" s="695"/>
      <c r="J274" s="696"/>
      <c r="K274" s="696"/>
      <c r="L274" s="696"/>
      <c r="M274" s="696"/>
      <c r="N274" s="697"/>
    </row>
    <row r="275" spans="1:14" ht="15">
      <c r="A275" s="690" t="s">
        <v>661</v>
      </c>
      <c r="B275" s="404"/>
      <c r="C275" s="691">
        <v>6.7716458658346301E-2</v>
      </c>
      <c r="D275" s="523">
        <f>$C275</f>
        <v>6.7716458658346301E-2</v>
      </c>
      <c r="E275" s="523">
        <f t="shared" ref="E275:G275" si="12">$C275</f>
        <v>6.7716458658346301E-2</v>
      </c>
      <c r="F275" s="523">
        <f t="shared" si="12"/>
        <v>6.7716458658346301E-2</v>
      </c>
      <c r="G275" s="692">
        <f t="shared" si="12"/>
        <v>6.7716458658346301E-2</v>
      </c>
      <c r="H275" s="691">
        <v>5.0239094369083762E-2</v>
      </c>
      <c r="I275" s="692">
        <f>H275</f>
        <v>5.0239094369083762E-2</v>
      </c>
      <c r="J275" s="523">
        <f>D43</f>
        <v>3.6967675843673664E-2</v>
      </c>
      <c r="K275" s="523">
        <f>E43</f>
        <v>3.6395072760831051E-2</v>
      </c>
      <c r="L275" s="523">
        <f>F43</f>
        <v>3.5897854460483589E-2</v>
      </c>
      <c r="M275" s="523">
        <f>G43</f>
        <v>3.5897854460483589E-2</v>
      </c>
      <c r="N275" s="524">
        <f>H43</f>
        <v>3.5897854460483589E-2</v>
      </c>
    </row>
    <row r="276" spans="1:14" ht="15">
      <c r="A276" s="690" t="s">
        <v>662</v>
      </c>
      <c r="B276" s="404"/>
      <c r="C276" s="698">
        <f t="shared" ref="C276:N276" si="13">(1+C275)*(1+C273)-1</f>
        <v>0.1209003175700798</v>
      </c>
      <c r="D276" s="698">
        <f t="shared" si="13"/>
        <v>8.1183152731514552E-2</v>
      </c>
      <c r="E276" s="698">
        <f t="shared" si="13"/>
        <v>9.7480796473851994E-2</v>
      </c>
      <c r="F276" s="698">
        <f t="shared" si="13"/>
        <v>0.10529909222912481</v>
      </c>
      <c r="G276" s="699">
        <f t="shared" si="13"/>
        <v>8.9113582078353293E-2</v>
      </c>
      <c r="H276" s="698">
        <f t="shared" si="13"/>
        <v>7.2935813500832225E-2</v>
      </c>
      <c r="I276" s="699">
        <f t="shared" si="13"/>
        <v>7.4475381162216747E-2</v>
      </c>
      <c r="J276" s="698">
        <f t="shared" si="13"/>
        <v>5.2561174728540827E-2</v>
      </c>
      <c r="K276" s="698">
        <f t="shared" si="13"/>
        <v>4.7000045598383666E-2</v>
      </c>
      <c r="L276" s="698">
        <f t="shared" si="13"/>
        <v>5.5929028441763728E-2</v>
      </c>
      <c r="M276" s="698">
        <f t="shared" si="13"/>
        <v>3.5897854460483547E-2</v>
      </c>
      <c r="N276" s="700">
        <f t="shared" si="13"/>
        <v>3.5897854460483547E-2</v>
      </c>
    </row>
    <row r="277" spans="1:14" ht="15">
      <c r="A277" s="690"/>
      <c r="B277" s="404"/>
      <c r="C277" s="404"/>
      <c r="D277" s="404"/>
      <c r="E277" s="404"/>
      <c r="F277" s="404"/>
      <c r="G277" s="454"/>
      <c r="H277" s="404"/>
      <c r="I277" s="454"/>
      <c r="J277" s="404"/>
      <c r="K277" s="404"/>
      <c r="L277" s="404"/>
      <c r="M277" s="404"/>
      <c r="N277" s="468"/>
    </row>
    <row r="278" spans="1:14" ht="15">
      <c r="A278" s="690" t="s">
        <v>663</v>
      </c>
      <c r="B278" s="404"/>
      <c r="C278" s="701">
        <f>(1+C276)^0.5</f>
        <v>1.0587257990481198</v>
      </c>
      <c r="D278" s="702">
        <f t="shared" ref="D278:N278" si="14">C278*(D276+1)</f>
        <v>1.1446764972930381</v>
      </c>
      <c r="E278" s="702">
        <f t="shared" si="14"/>
        <v>1.2562604739540626</v>
      </c>
      <c r="F278" s="702">
        <f t="shared" si="14"/>
        <v>1.3885435614647554</v>
      </c>
      <c r="G278" s="703">
        <f t="shared" si="14"/>
        <v>1.5122816520987139</v>
      </c>
      <c r="H278" s="702">
        <f t="shared" si="14"/>
        <v>1.6225811446369161</v>
      </c>
      <c r="I278" s="703">
        <f t="shared" si="14"/>
        <v>1.7434234938503763</v>
      </c>
      <c r="J278" s="702">
        <f t="shared" si="14"/>
        <v>1.8350598807364891</v>
      </c>
      <c r="K278" s="702">
        <f t="shared" si="14"/>
        <v>1.9213077788068686</v>
      </c>
      <c r="L278" s="702">
        <f t="shared" si="14"/>
        <v>2.0287646562131401</v>
      </c>
      <c r="M278" s="702">
        <f t="shared" si="14"/>
        <v>2.1015929545764522</v>
      </c>
      <c r="N278" s="704">
        <f t="shared" si="14"/>
        <v>2.1770356325950155</v>
      </c>
    </row>
    <row r="279" spans="1:14" ht="15">
      <c r="A279" s="705"/>
      <c r="B279" s="404"/>
      <c r="C279" s="404"/>
      <c r="D279" s="404"/>
      <c r="E279" s="404"/>
      <c r="F279" s="404"/>
      <c r="G279" s="404"/>
      <c r="H279" s="404"/>
      <c r="I279" s="404"/>
      <c r="J279" s="404"/>
      <c r="K279" s="404"/>
      <c r="L279" s="404"/>
      <c r="M279" s="404"/>
      <c r="N279" s="468"/>
    </row>
    <row r="280" spans="1:14" ht="15">
      <c r="A280" s="706" t="s">
        <v>664</v>
      </c>
      <c r="B280" s="404"/>
      <c r="C280" s="404"/>
      <c r="D280" s="404"/>
      <c r="E280" s="404"/>
      <c r="F280" s="404"/>
      <c r="G280" s="404"/>
      <c r="H280" s="404"/>
      <c r="I280" s="404"/>
      <c r="J280" s="404"/>
      <c r="K280" s="404"/>
      <c r="L280" s="404"/>
      <c r="M280" s="404"/>
      <c r="N280" s="468"/>
    </row>
    <row r="281" spans="1:14" ht="15">
      <c r="A281" s="707" t="s">
        <v>665</v>
      </c>
      <c r="B281" s="404"/>
      <c r="C281" s="404"/>
      <c r="D281" s="404"/>
      <c r="E281" s="404"/>
      <c r="F281" s="404"/>
      <c r="G281" s="404"/>
      <c r="H281" s="404"/>
      <c r="I281" s="404"/>
      <c r="J281" s="404"/>
      <c r="K281" s="404"/>
      <c r="L281" s="404"/>
      <c r="M281" s="404"/>
      <c r="N281" s="468"/>
    </row>
    <row r="282" spans="1:14" ht="15">
      <c r="A282" s="708" t="s">
        <v>666</v>
      </c>
      <c r="B282" s="404"/>
      <c r="C282" s="404"/>
      <c r="D282" s="709">
        <v>5766.9529001730843</v>
      </c>
      <c r="E282" s="404"/>
      <c r="F282" s="404"/>
      <c r="G282" s="404"/>
      <c r="H282" s="404"/>
      <c r="I282" s="404"/>
      <c r="J282" s="404"/>
      <c r="K282" s="404"/>
      <c r="L282" s="404"/>
      <c r="M282" s="404"/>
      <c r="N282" s="468"/>
    </row>
    <row r="283" spans="1:14" ht="15">
      <c r="A283" s="705"/>
      <c r="B283" s="404"/>
      <c r="C283" s="404"/>
      <c r="D283" s="404"/>
      <c r="E283" s="404"/>
      <c r="F283" s="404"/>
      <c r="G283" s="404"/>
      <c r="H283" s="404"/>
      <c r="I283" s="404"/>
      <c r="J283" s="404"/>
      <c r="K283" s="404"/>
      <c r="L283" s="404"/>
      <c r="M283" s="404"/>
      <c r="N283" s="468"/>
    </row>
    <row r="284" spans="1:14" ht="15">
      <c r="A284" s="708" t="s">
        <v>660</v>
      </c>
      <c r="B284" s="404"/>
      <c r="C284" s="404"/>
      <c r="D284" s="710">
        <f>-D282*L278*10^3</f>
        <v>-11699790.217917018</v>
      </c>
      <c r="E284" s="404"/>
      <c r="F284" s="404"/>
      <c r="G284" s="404"/>
      <c r="H284" s="404"/>
      <c r="I284" s="404"/>
      <c r="J284" s="404"/>
      <c r="K284" s="404"/>
      <c r="L284" s="404"/>
      <c r="M284" s="404"/>
      <c r="N284" s="468"/>
    </row>
    <row r="285" spans="1:14" ht="15">
      <c r="A285" s="705"/>
      <c r="B285" s="404"/>
      <c r="C285" s="404"/>
      <c r="D285" s="404"/>
      <c r="E285" s="404"/>
      <c r="F285" s="404"/>
      <c r="G285" s="404"/>
      <c r="H285" s="404"/>
      <c r="I285" s="404"/>
      <c r="J285" s="404"/>
      <c r="K285" s="404"/>
      <c r="L285" s="404"/>
      <c r="M285" s="404"/>
      <c r="N285" s="468"/>
    </row>
    <row r="286" spans="1:14" ht="15">
      <c r="A286" s="706" t="s">
        <v>667</v>
      </c>
      <c r="B286" s="404"/>
      <c r="C286" s="404"/>
      <c r="D286" s="404"/>
      <c r="E286" s="404"/>
      <c r="F286" s="404"/>
      <c r="G286" s="404"/>
      <c r="H286" s="404"/>
      <c r="I286" s="404"/>
      <c r="J286" s="404"/>
      <c r="K286" s="404"/>
      <c r="L286" s="404"/>
      <c r="M286" s="404"/>
      <c r="N286" s="468"/>
    </row>
    <row r="287" spans="1:14">
      <c r="A287" s="711" t="s">
        <v>668</v>
      </c>
      <c r="B287" s="404"/>
      <c r="C287" s="404"/>
      <c r="D287" s="404"/>
      <c r="E287" s="404"/>
      <c r="F287" s="404"/>
      <c r="G287" s="404"/>
      <c r="H287" s="404"/>
      <c r="I287" s="404"/>
      <c r="J287" s="404"/>
      <c r="K287" s="404"/>
      <c r="L287" s="404"/>
      <c r="M287" s="404"/>
      <c r="N287" s="468"/>
    </row>
    <row r="288" spans="1:14" ht="15">
      <c r="A288" s="708" t="s">
        <v>669</v>
      </c>
      <c r="B288" s="404"/>
      <c r="C288" s="404"/>
      <c r="D288" s="709">
        <v>1706.0918691507254</v>
      </c>
      <c r="E288" s="404"/>
      <c r="F288" s="404"/>
      <c r="G288" s="404"/>
      <c r="H288" s="404"/>
      <c r="I288" s="404"/>
      <c r="J288" s="404"/>
      <c r="K288" s="404"/>
      <c r="L288" s="404"/>
      <c r="M288" s="404"/>
      <c r="N288" s="468"/>
    </row>
    <row r="289" spans="1:14" ht="15">
      <c r="A289" s="712"/>
      <c r="B289" s="404"/>
      <c r="C289" s="404"/>
      <c r="D289" s="404"/>
      <c r="E289" s="404"/>
      <c r="F289" s="404"/>
      <c r="G289" s="404"/>
      <c r="H289" s="404"/>
      <c r="I289" s="404"/>
      <c r="J289" s="404"/>
      <c r="K289" s="404"/>
      <c r="L289" s="404"/>
      <c r="M289" s="404"/>
      <c r="N289" s="468"/>
    </row>
    <row r="290" spans="1:14" ht="15">
      <c r="A290" s="708" t="s">
        <v>660</v>
      </c>
      <c r="B290" s="404"/>
      <c r="C290" s="404"/>
      <c r="D290" s="710">
        <f>D288*L278/I278*10^3</f>
        <v>1985323.0707252682</v>
      </c>
      <c r="E290" s="404"/>
      <c r="F290" s="404"/>
      <c r="G290" s="404"/>
      <c r="H290" s="404"/>
      <c r="I290" s="404"/>
      <c r="J290" s="404"/>
      <c r="K290" s="404"/>
      <c r="L290" s="404"/>
      <c r="M290" s="404"/>
      <c r="N290" s="468"/>
    </row>
    <row r="291" spans="1:14" ht="15">
      <c r="A291" s="705"/>
      <c r="B291" s="404"/>
      <c r="C291" s="404"/>
      <c r="D291" s="404"/>
      <c r="E291" s="404"/>
      <c r="F291" s="404"/>
      <c r="G291" s="404"/>
      <c r="H291" s="404"/>
      <c r="I291" s="404"/>
      <c r="J291" s="404"/>
      <c r="K291" s="404"/>
      <c r="L291" s="404"/>
      <c r="M291" s="404"/>
      <c r="N291" s="468"/>
    </row>
    <row r="292" spans="1:14" ht="15.75">
      <c r="A292" s="713" t="s">
        <v>670</v>
      </c>
      <c r="B292" s="714"/>
      <c r="C292" s="404"/>
      <c r="D292" s="715">
        <f>SUM(D284,D290)</f>
        <v>-9714467.1471917499</v>
      </c>
      <c r="E292" s="404"/>
      <c r="F292" s="404"/>
      <c r="G292" s="404"/>
      <c r="H292" s="404"/>
      <c r="I292" s="404"/>
      <c r="J292" s="404"/>
      <c r="K292" s="404"/>
      <c r="L292" s="404"/>
      <c r="M292" s="404"/>
      <c r="N292" s="468"/>
    </row>
    <row r="293" spans="1:14" ht="13.5" thickBot="1">
      <c r="A293" s="534"/>
      <c r="B293" s="535"/>
      <c r="C293" s="535"/>
      <c r="D293" s="535"/>
      <c r="E293" s="535"/>
      <c r="F293" s="535"/>
      <c r="G293" s="535"/>
      <c r="H293" s="535"/>
      <c r="I293" s="535"/>
      <c r="J293" s="535"/>
      <c r="K293" s="535"/>
      <c r="L293" s="535"/>
      <c r="M293" s="535"/>
      <c r="N293" s="473"/>
    </row>
  </sheetData>
  <pageMargins left="0.74803149606299213" right="0.74803149606299213" top="0.98425196850393704" bottom="0.98425196850393704" header="0.51181102362204722" footer="0.51181102362204722"/>
  <pageSetup paperSize="9" scale="12"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00FF"/>
  </sheetPr>
  <dimension ref="A1:V93"/>
  <sheetViews>
    <sheetView zoomScale="85" zoomScaleNormal="85" workbookViewId="0">
      <selection activeCell="E25" sqref="E25:E27"/>
    </sheetView>
  </sheetViews>
  <sheetFormatPr defaultRowHeight="12.75"/>
  <cols>
    <col min="1" max="1" width="1.85546875" style="199" customWidth="1"/>
    <col min="2" max="2" width="37.28515625" style="199" customWidth="1"/>
    <col min="3" max="3" width="33.42578125" style="199" customWidth="1"/>
    <col min="4" max="4" width="22" style="199" customWidth="1"/>
    <col min="5" max="5" width="20.28515625" style="199" customWidth="1"/>
    <col min="6" max="6" width="20" style="199" customWidth="1"/>
    <col min="7" max="7" width="2.28515625" style="199" customWidth="1"/>
    <col min="8" max="8" width="19.42578125" style="199" customWidth="1"/>
    <col min="9" max="9" width="20.28515625" style="199" customWidth="1"/>
    <col min="10" max="10" width="2.28515625" style="199" customWidth="1"/>
    <col min="11" max="11" width="14.7109375" style="199" customWidth="1"/>
    <col min="12" max="12" width="16.140625" style="199" customWidth="1"/>
    <col min="13" max="13" width="11.5703125" style="199" bestFit="1" customWidth="1"/>
    <col min="14" max="16384" width="9.140625" style="199"/>
  </cols>
  <sheetData>
    <row r="1" spans="1:18" s="183" customFormat="1" ht="15">
      <c r="A1" s="250"/>
      <c r="B1" s="182" t="str">
        <f>"Tariff Approval - "&amp;'Model update'!C3</f>
        <v>Tariff Approval - Powercor</v>
      </c>
      <c r="C1" s="182"/>
      <c r="D1" s="384"/>
      <c r="E1" s="384"/>
      <c r="F1" s="250"/>
      <c r="G1" s="250"/>
      <c r="H1" s="250"/>
      <c r="I1" s="182"/>
      <c r="J1" s="250"/>
      <c r="K1" s="250"/>
      <c r="L1" s="250"/>
      <c r="M1" s="185"/>
      <c r="N1" s="185"/>
      <c r="O1" s="185"/>
      <c r="P1" s="185"/>
      <c r="Q1" s="185"/>
      <c r="R1" s="185"/>
    </row>
    <row r="2" spans="1:18" s="183" customFormat="1">
      <c r="A2" s="250"/>
      <c r="B2" s="250"/>
      <c r="C2" s="250"/>
      <c r="D2" s="250"/>
      <c r="E2" s="250"/>
      <c r="F2" s="250"/>
      <c r="G2" s="250"/>
      <c r="H2" s="384"/>
      <c r="I2" s="250"/>
      <c r="J2" s="250"/>
      <c r="K2" s="250"/>
      <c r="L2" s="250"/>
      <c r="M2" s="185"/>
      <c r="N2" s="185"/>
      <c r="O2" s="185"/>
      <c r="P2" s="185"/>
      <c r="Q2" s="185"/>
      <c r="R2" s="185"/>
    </row>
    <row r="3" spans="1:18" s="183" customFormat="1">
      <c r="A3" s="250"/>
      <c r="B3" s="184" t="str">
        <f>"PROPOSED "&amp;'Model update'!$C$5&amp;" METERING TARIFFS AND REVENUE"</f>
        <v>PROPOSED 2018 METERING TARIFFS AND REVENUE</v>
      </c>
      <c r="C3" s="184"/>
      <c r="D3" s="250"/>
      <c r="E3" s="250"/>
      <c r="F3" s="250"/>
      <c r="G3" s="250"/>
      <c r="H3" s="250"/>
      <c r="I3" s="184"/>
      <c r="J3" s="250"/>
      <c r="K3" s="250"/>
      <c r="L3" s="250"/>
      <c r="M3" s="185"/>
      <c r="N3" s="185"/>
      <c r="O3" s="185"/>
      <c r="P3" s="185"/>
      <c r="Q3" s="185"/>
      <c r="R3" s="185"/>
    </row>
    <row r="4" spans="1:18" s="183" customFormat="1" ht="15.75" thickBot="1">
      <c r="A4" s="250"/>
      <c r="B4" s="182"/>
      <c r="C4" s="182"/>
      <c r="D4" s="250"/>
      <c r="E4" s="250"/>
      <c r="F4" s="250"/>
      <c r="G4" s="250"/>
      <c r="H4" s="250"/>
      <c r="I4" s="182"/>
      <c r="J4" s="250"/>
      <c r="K4" s="250"/>
      <c r="L4" s="250"/>
      <c r="M4" s="185"/>
      <c r="N4" s="185"/>
      <c r="O4" s="185"/>
      <c r="P4" s="185"/>
      <c r="Q4" s="185"/>
      <c r="R4" s="185"/>
    </row>
    <row r="5" spans="1:18" s="183" customFormat="1" ht="26.25" thickBot="1">
      <c r="A5" s="185"/>
      <c r="B5" s="185"/>
      <c r="C5" s="185"/>
      <c r="D5" s="186" t="str">
        <f>"Proposed Metering Tariffs P(t) for " &amp;'Model update'!$C$5</f>
        <v>Proposed Metering Tariffs P(t) for 2018</v>
      </c>
      <c r="E5" s="186" t="str">
        <f>"Current Metering Tariffs P(t-1) for" &amp;'Model update'!$C$8</f>
        <v>Current Metering Tariffs P(t-1) for2017</v>
      </c>
      <c r="F5" s="186" t="str">
        <f>"Forecast Quantities   (Qt) for "&amp;'Model update'!$C$5</f>
        <v>Forecast Quantities   (Qt) for 2018</v>
      </c>
      <c r="G5" s="188"/>
      <c r="H5" s="186" t="str">
        <f>"Forecast Revenue (Pt "&amp;'Model update'!$C$5&amp;")*(Qt " &amp;'Model update'!$C$5&amp;")"</f>
        <v>Forecast Revenue (Pt 2018)*(Qt 2018)</v>
      </c>
      <c r="I5" s="186" t="str">
        <f>"Revenue                    (Pt-1 "&amp;'Model update'!$C$8&amp;")*(Qt " &amp;'Model update'!$C$5&amp;")"</f>
        <v>Revenue                    (Pt-1 2017)*(Qt 2018)</v>
      </c>
      <c r="J5" s="188"/>
      <c r="K5" s="549" t="s">
        <v>227</v>
      </c>
      <c r="L5" s="550" t="s">
        <v>391</v>
      </c>
      <c r="M5" s="185"/>
      <c r="N5" s="185"/>
      <c r="O5" s="185"/>
      <c r="P5" s="185"/>
      <c r="Q5" s="185"/>
      <c r="R5" s="185"/>
    </row>
    <row r="6" spans="1:18" s="183" customFormat="1" ht="25.5">
      <c r="A6" s="185"/>
      <c r="B6" s="189" t="s">
        <v>128</v>
      </c>
      <c r="C6" s="190" t="s">
        <v>129</v>
      </c>
      <c r="D6" s="191" t="s">
        <v>346</v>
      </c>
      <c r="E6" s="191" t="s">
        <v>350</v>
      </c>
      <c r="F6" s="191" t="s">
        <v>351</v>
      </c>
      <c r="G6" s="188"/>
      <c r="H6" s="191" t="s">
        <v>145</v>
      </c>
      <c r="I6" s="191" t="s">
        <v>153</v>
      </c>
      <c r="J6" s="188"/>
      <c r="K6" s="551"/>
      <c r="L6" s="551"/>
      <c r="M6" s="185"/>
      <c r="N6" s="185"/>
      <c r="O6" s="185"/>
      <c r="P6" s="185"/>
      <c r="Q6" s="185"/>
      <c r="R6" s="185"/>
    </row>
    <row r="7" spans="1:18" s="183" customFormat="1">
      <c r="A7" s="185"/>
      <c r="B7" s="192"/>
      <c r="C7" s="193"/>
      <c r="D7" s="385"/>
      <c r="E7" s="385"/>
      <c r="F7" s="194"/>
      <c r="G7" s="188"/>
      <c r="H7" s="545"/>
      <c r="I7" s="546"/>
      <c r="J7" s="188"/>
      <c r="K7" s="552"/>
      <c r="L7" s="553"/>
      <c r="M7" s="185"/>
      <c r="N7" s="185"/>
      <c r="O7" s="185"/>
      <c r="P7" s="185"/>
      <c r="Q7" s="185"/>
      <c r="R7" s="185"/>
    </row>
    <row r="8" spans="1:18" s="183" customFormat="1">
      <c r="A8" s="185"/>
      <c r="B8" s="192" t="s">
        <v>347</v>
      </c>
      <c r="C8" s="193" t="s">
        <v>347</v>
      </c>
      <c r="D8" s="738">
        <v>65.7</v>
      </c>
      <c r="E8" s="737">
        <v>88.16</v>
      </c>
      <c r="F8" s="739">
        <v>659298</v>
      </c>
      <c r="G8" s="188"/>
      <c r="H8" s="545">
        <f t="shared" ref="H8:H16" si="0">D8*F8</f>
        <v>43315878.600000001</v>
      </c>
      <c r="I8" s="545">
        <f t="shared" ref="I8:I16" si="1">E8*F8</f>
        <v>58123711.68</v>
      </c>
      <c r="J8" s="188"/>
      <c r="K8" s="554">
        <f>IFERROR(H8/I8,"")</f>
        <v>0.74523593466424687</v>
      </c>
      <c r="L8" s="555" t="str">
        <f t="shared" ref="L8:L16" si="2">IF(B8="","",IF(K8&lt;$I$30,"COMPLIANT","BREACHED"))</f>
        <v>COMPLIANT</v>
      </c>
      <c r="M8" s="185"/>
      <c r="N8" s="185"/>
      <c r="O8" s="185"/>
      <c r="P8" s="185"/>
      <c r="Q8" s="185"/>
      <c r="R8" s="185"/>
    </row>
    <row r="9" spans="1:18" s="183" customFormat="1">
      <c r="A9" s="185"/>
      <c r="B9" s="192" t="s">
        <v>348</v>
      </c>
      <c r="C9" s="193" t="s">
        <v>348</v>
      </c>
      <c r="D9" s="738">
        <v>91.25</v>
      </c>
      <c r="E9" s="737">
        <v>116.29</v>
      </c>
      <c r="F9" s="739">
        <v>130329</v>
      </c>
      <c r="G9" s="188"/>
      <c r="H9" s="545">
        <f t="shared" si="0"/>
        <v>11892521.25</v>
      </c>
      <c r="I9" s="545">
        <f t="shared" si="1"/>
        <v>15155959.41</v>
      </c>
      <c r="J9" s="188"/>
      <c r="K9" s="554">
        <f t="shared" ref="K9:K16" si="3">IFERROR(H9/I9,"")</f>
        <v>0.78467624043339923</v>
      </c>
      <c r="L9" s="555" t="str">
        <f t="shared" si="2"/>
        <v>COMPLIANT</v>
      </c>
      <c r="M9" s="185"/>
      <c r="N9" s="185"/>
      <c r="O9" s="185"/>
      <c r="P9" s="185"/>
      <c r="Q9" s="185"/>
      <c r="R9" s="185"/>
    </row>
    <row r="10" spans="1:18" s="183" customFormat="1">
      <c r="A10" s="185"/>
      <c r="B10" s="192" t="s">
        <v>349</v>
      </c>
      <c r="C10" s="193" t="s">
        <v>349</v>
      </c>
      <c r="D10" s="738">
        <v>135.05000000000001</v>
      </c>
      <c r="E10" s="737">
        <v>154.36000000000001</v>
      </c>
      <c r="F10" s="739">
        <v>5694</v>
      </c>
      <c r="G10" s="188"/>
      <c r="H10" s="545">
        <f t="shared" si="0"/>
        <v>768974.70000000007</v>
      </c>
      <c r="I10" s="545">
        <f t="shared" si="1"/>
        <v>878925.84000000008</v>
      </c>
      <c r="J10" s="188"/>
      <c r="K10" s="554">
        <f t="shared" si="3"/>
        <v>0.8749028245659497</v>
      </c>
      <c r="L10" s="555" t="str">
        <f t="shared" si="2"/>
        <v>COMPLIANT</v>
      </c>
      <c r="M10" s="185"/>
      <c r="N10" s="185"/>
      <c r="O10" s="185"/>
      <c r="P10" s="185"/>
      <c r="Q10" s="185"/>
      <c r="R10" s="185"/>
    </row>
    <row r="11" spans="1:18" s="183" customFormat="1">
      <c r="A11" s="185"/>
      <c r="B11" s="192"/>
      <c r="C11" s="193"/>
      <c r="D11" s="386"/>
      <c r="E11" s="387"/>
      <c r="F11" s="388"/>
      <c r="G11" s="188"/>
      <c r="H11" s="545">
        <f t="shared" si="0"/>
        <v>0</v>
      </c>
      <c r="I11" s="545">
        <f t="shared" si="1"/>
        <v>0</v>
      </c>
      <c r="J11" s="188"/>
      <c r="K11" s="556" t="str">
        <f t="shared" si="3"/>
        <v/>
      </c>
      <c r="L11" s="555" t="str">
        <f t="shared" si="2"/>
        <v/>
      </c>
      <c r="M11" s="185"/>
      <c r="N11" s="185"/>
      <c r="O11" s="185"/>
      <c r="P11" s="185"/>
      <c r="Q11" s="185"/>
      <c r="R11" s="185"/>
    </row>
    <row r="12" spans="1:18" s="183" customFormat="1">
      <c r="A12" s="185"/>
      <c r="B12" s="192"/>
      <c r="C12" s="193"/>
      <c r="D12" s="387"/>
      <c r="E12" s="387"/>
      <c r="F12" s="388"/>
      <c r="G12" s="188"/>
      <c r="H12" s="545">
        <f t="shared" si="0"/>
        <v>0</v>
      </c>
      <c r="I12" s="545">
        <f t="shared" si="1"/>
        <v>0</v>
      </c>
      <c r="J12" s="188"/>
      <c r="K12" s="556" t="str">
        <f t="shared" si="3"/>
        <v/>
      </c>
      <c r="L12" s="555" t="str">
        <f t="shared" si="2"/>
        <v/>
      </c>
      <c r="M12" s="185"/>
      <c r="N12" s="185"/>
      <c r="O12" s="185"/>
      <c r="P12" s="185"/>
      <c r="Q12" s="185"/>
      <c r="R12" s="185"/>
    </row>
    <row r="13" spans="1:18" s="183" customFormat="1">
      <c r="A13" s="185"/>
      <c r="B13" s="192"/>
      <c r="C13" s="193"/>
      <c r="D13" s="387"/>
      <c r="E13" s="387"/>
      <c r="F13" s="388"/>
      <c r="G13" s="188"/>
      <c r="H13" s="545">
        <f t="shared" si="0"/>
        <v>0</v>
      </c>
      <c r="I13" s="545">
        <f t="shared" si="1"/>
        <v>0</v>
      </c>
      <c r="J13" s="188"/>
      <c r="K13" s="556" t="str">
        <f t="shared" si="3"/>
        <v/>
      </c>
      <c r="L13" s="555" t="str">
        <f t="shared" si="2"/>
        <v/>
      </c>
      <c r="M13" s="185"/>
      <c r="N13" s="185"/>
      <c r="O13" s="185"/>
      <c r="P13" s="185"/>
      <c r="Q13" s="185"/>
      <c r="R13" s="185"/>
    </row>
    <row r="14" spans="1:18" s="183" customFormat="1">
      <c r="A14" s="185"/>
      <c r="B14" s="192"/>
      <c r="C14" s="193"/>
      <c r="D14" s="387"/>
      <c r="E14" s="387"/>
      <c r="F14" s="388"/>
      <c r="G14" s="188"/>
      <c r="H14" s="545">
        <f t="shared" si="0"/>
        <v>0</v>
      </c>
      <c r="I14" s="545">
        <f t="shared" si="1"/>
        <v>0</v>
      </c>
      <c r="J14" s="188"/>
      <c r="K14" s="556" t="str">
        <f t="shared" si="3"/>
        <v/>
      </c>
      <c r="L14" s="555" t="str">
        <f t="shared" si="2"/>
        <v/>
      </c>
      <c r="M14" s="185"/>
      <c r="N14" s="185"/>
      <c r="O14" s="185"/>
      <c r="P14" s="185"/>
      <c r="Q14" s="185"/>
      <c r="R14" s="185"/>
    </row>
    <row r="15" spans="1:18" s="183" customFormat="1">
      <c r="A15" s="185"/>
      <c r="B15" s="192"/>
      <c r="C15" s="193"/>
      <c r="D15" s="387"/>
      <c r="E15" s="387"/>
      <c r="F15" s="388"/>
      <c r="G15" s="188"/>
      <c r="H15" s="545">
        <f t="shared" si="0"/>
        <v>0</v>
      </c>
      <c r="I15" s="545">
        <f t="shared" si="1"/>
        <v>0</v>
      </c>
      <c r="J15" s="188"/>
      <c r="K15" s="556" t="str">
        <f t="shared" si="3"/>
        <v/>
      </c>
      <c r="L15" s="555" t="str">
        <f t="shared" si="2"/>
        <v/>
      </c>
      <c r="M15" s="185"/>
      <c r="N15" s="185"/>
      <c r="O15" s="185"/>
      <c r="P15" s="185"/>
      <c r="Q15" s="185"/>
      <c r="R15" s="185"/>
    </row>
    <row r="16" spans="1:18" s="183" customFormat="1" ht="13.5" thickBot="1">
      <c r="A16" s="185"/>
      <c r="B16" s="195"/>
      <c r="C16" s="196"/>
      <c r="D16" s="389"/>
      <c r="E16" s="389"/>
      <c r="F16" s="390"/>
      <c r="G16" s="188"/>
      <c r="H16" s="547">
        <f t="shared" si="0"/>
        <v>0</v>
      </c>
      <c r="I16" s="547">
        <f t="shared" si="1"/>
        <v>0</v>
      </c>
      <c r="J16" s="188"/>
      <c r="K16" s="557" t="str">
        <f t="shared" si="3"/>
        <v/>
      </c>
      <c r="L16" s="558" t="str">
        <f t="shared" si="2"/>
        <v/>
      </c>
      <c r="M16" s="185"/>
      <c r="N16" s="185"/>
      <c r="O16" s="185"/>
      <c r="P16" s="185"/>
      <c r="Q16" s="185"/>
      <c r="R16" s="185"/>
    </row>
    <row r="17" spans="1:22" s="197" customFormat="1" ht="13.5" thickBot="1">
      <c r="A17" s="188"/>
      <c r="B17" s="188"/>
      <c r="C17" s="188"/>
      <c r="D17" s="188"/>
      <c r="E17" s="188"/>
      <c r="F17" s="188"/>
      <c r="G17" s="188"/>
      <c r="H17" s="548">
        <f>SUM(H7:H16)</f>
        <v>55977374.550000004</v>
      </c>
      <c r="I17" s="548">
        <f>SUM(I7:I16)</f>
        <v>74158596.930000007</v>
      </c>
      <c r="J17" s="188"/>
      <c r="K17" s="188"/>
      <c r="L17" s="188"/>
      <c r="M17" s="188"/>
      <c r="N17" s="188"/>
      <c r="O17" s="188"/>
      <c r="P17" s="188"/>
      <c r="Q17" s="188"/>
      <c r="R17" s="188"/>
    </row>
    <row r="18" spans="1:22" s="183" customFormat="1" ht="13.5" thickTop="1">
      <c r="A18" s="185"/>
      <c r="B18" s="185"/>
      <c r="C18" s="185"/>
      <c r="D18" s="185"/>
      <c r="E18" s="185"/>
      <c r="F18" s="185"/>
      <c r="G18" s="185"/>
      <c r="H18" s="185"/>
      <c r="I18" s="185"/>
      <c r="J18" s="185"/>
      <c r="K18" s="185"/>
      <c r="L18" s="185"/>
      <c r="M18" s="185"/>
      <c r="N18" s="185"/>
      <c r="O18" s="185"/>
      <c r="P18" s="185"/>
      <c r="Q18" s="185"/>
      <c r="R18" s="185"/>
    </row>
    <row r="19" spans="1:22" s="183" customFormat="1">
      <c r="A19" s="185"/>
      <c r="B19" s="185"/>
      <c r="C19" s="185"/>
      <c r="D19" s="185"/>
      <c r="E19" s="185"/>
      <c r="F19" s="185"/>
      <c r="G19" s="185"/>
      <c r="H19" s="185"/>
      <c r="I19" s="185"/>
      <c r="J19" s="185"/>
      <c r="K19" s="185"/>
      <c r="L19" s="185"/>
      <c r="M19" s="185"/>
      <c r="N19" s="185"/>
      <c r="O19" s="185"/>
      <c r="P19" s="185"/>
      <c r="Q19" s="185"/>
      <c r="R19" s="185"/>
    </row>
    <row r="20" spans="1:22" s="183" customFormat="1">
      <c r="A20" s="185"/>
      <c r="B20" s="185"/>
      <c r="C20" s="185"/>
      <c r="D20" s="185"/>
      <c r="E20" s="185"/>
      <c r="F20" s="185"/>
      <c r="G20" s="185"/>
      <c r="H20" s="185"/>
      <c r="I20" s="185"/>
      <c r="J20" s="185"/>
      <c r="K20" s="185"/>
      <c r="L20" s="185"/>
      <c r="M20" s="185"/>
      <c r="N20" s="185"/>
      <c r="O20" s="185"/>
      <c r="P20" s="185"/>
      <c r="Q20" s="185"/>
      <c r="R20" s="185"/>
    </row>
    <row r="21" spans="1:22" s="183" customFormat="1">
      <c r="A21" s="185"/>
      <c r="B21" s="185"/>
      <c r="C21" s="185"/>
      <c r="D21" s="185"/>
      <c r="E21" s="185"/>
      <c r="F21" s="185"/>
      <c r="G21" s="185"/>
      <c r="H21" s="185"/>
      <c r="I21" s="185"/>
      <c r="J21" s="185"/>
      <c r="K21" s="185"/>
      <c r="L21" s="185"/>
      <c r="M21" s="185"/>
      <c r="N21" s="185"/>
      <c r="O21" s="185"/>
      <c r="P21" s="185"/>
      <c r="Q21" s="185"/>
      <c r="R21" s="185"/>
    </row>
    <row r="22" spans="1:22" s="35" customFormat="1" ht="16.5">
      <c r="A22" s="32"/>
      <c r="B22" s="74" t="s">
        <v>268</v>
      </c>
      <c r="C22" s="543"/>
      <c r="D22" s="542">
        <f>'Model update'!C5</f>
        <v>2018</v>
      </c>
      <c r="H22" s="78"/>
      <c r="I22" s="604"/>
      <c r="J22" s="604"/>
      <c r="K22" s="604"/>
      <c r="L22" s="604"/>
      <c r="M22" s="183"/>
      <c r="N22" s="78"/>
      <c r="O22" s="78"/>
      <c r="P22" s="78"/>
      <c r="Q22" s="78"/>
      <c r="R22" s="78"/>
    </row>
    <row r="23" spans="1:22" s="35" customFormat="1" ht="15">
      <c r="A23" s="32"/>
      <c r="B23" s="37"/>
      <c r="C23" s="40"/>
      <c r="D23" s="41"/>
      <c r="E23" s="32"/>
      <c r="F23" s="32"/>
      <c r="G23" s="204"/>
      <c r="H23" s="205"/>
      <c r="I23" s="204"/>
      <c r="J23" s="204"/>
      <c r="K23" s="84"/>
      <c r="L23" s="84"/>
      <c r="M23" s="84"/>
      <c r="N23" s="84"/>
      <c r="O23" s="84"/>
      <c r="P23" s="84"/>
      <c r="Q23" s="32"/>
    </row>
    <row r="24" spans="1:22" s="35" customFormat="1" ht="18" customHeight="1">
      <c r="A24" s="43"/>
      <c r="B24" s="44" t="s">
        <v>378</v>
      </c>
      <c r="C24" s="45"/>
      <c r="D24" s="46"/>
      <c r="E24" s="47"/>
      <c r="G24" s="201"/>
      <c r="H24" s="813" t="s">
        <v>390</v>
      </c>
      <c r="I24" s="814"/>
      <c r="J24" s="201"/>
      <c r="K24" s="47"/>
      <c r="L24" s="78"/>
      <c r="M24" s="78"/>
      <c r="N24" s="78"/>
      <c r="O24" s="78"/>
      <c r="P24" s="78"/>
    </row>
    <row r="25" spans="1:22" s="35" customFormat="1" ht="18" customHeight="1">
      <c r="A25" s="43"/>
      <c r="B25" s="167" t="s">
        <v>379</v>
      </c>
      <c r="C25" s="163"/>
      <c r="D25" s="73">
        <f>H17</f>
        <v>55977374.550000004</v>
      </c>
      <c r="E25" s="36"/>
      <c r="G25" s="201"/>
      <c r="H25" s="206" t="str">
        <f>"CPI "&amp;'Model update'!$C$5</f>
        <v>CPI 2018</v>
      </c>
      <c r="I25" s="210">
        <f>D37</f>
        <v>1.9337016574585641E-2</v>
      </c>
      <c r="J25" s="201"/>
      <c r="K25" s="47"/>
      <c r="L25" s="78"/>
      <c r="M25" s="78"/>
      <c r="N25" s="78"/>
      <c r="O25" s="78"/>
      <c r="P25" s="78"/>
    </row>
    <row r="26" spans="1:22" s="35" customFormat="1" ht="18" customHeight="1">
      <c r="A26" s="43"/>
      <c r="B26" s="168" t="s">
        <v>380</v>
      </c>
      <c r="C26" s="164"/>
      <c r="D26" s="86">
        <f>D33</f>
        <v>55977374.550000004</v>
      </c>
      <c r="E26" s="36"/>
      <c r="G26" s="76"/>
      <c r="H26" s="207" t="str">
        <f>"X "&amp; 'Model update'!$C$5</f>
        <v>X 2018</v>
      </c>
      <c r="I26" s="211">
        <f>MIN(D38,0)</f>
        <v>0</v>
      </c>
      <c r="J26" s="76"/>
      <c r="K26" s="47"/>
      <c r="L26"/>
      <c r="M26"/>
      <c r="N26"/>
      <c r="O26"/>
      <c r="P26"/>
      <c r="Q26"/>
      <c r="R26"/>
      <c r="S26"/>
      <c r="T26"/>
    </row>
    <row r="27" spans="1:22" s="35" customFormat="1" ht="18" customHeight="1">
      <c r="A27" s="43"/>
      <c r="B27" s="87"/>
      <c r="C27" s="88"/>
      <c r="D27" s="89" t="str">
        <f>IF(D25="","",IF(D26&gt;=D25,"METERING REVENUE CAP FORMULA COMPLIANT","METERING REVENUE CAP FORMULA BREACHED"))</f>
        <v>METERING REVENUE CAP FORMULA COMPLIANT</v>
      </c>
      <c r="E27" s="36"/>
      <c r="F27" s="76"/>
      <c r="G27" s="76"/>
      <c r="H27" s="207" t="str">
        <f>"Tt "&amp;'Model update'!$C$5</f>
        <v>Tt 2018</v>
      </c>
      <c r="I27" s="211">
        <f>D31/I17</f>
        <v>-0.13099583257166336</v>
      </c>
      <c r="J27" s="76"/>
      <c r="K27" s="47"/>
      <c r="L27"/>
      <c r="M27"/>
      <c r="N27"/>
      <c r="O27"/>
      <c r="P27"/>
      <c r="Q27"/>
      <c r="R27"/>
      <c r="S27"/>
      <c r="T27"/>
      <c r="U27" s="51"/>
      <c r="V27" s="51"/>
    </row>
    <row r="28" spans="1:22" s="35" customFormat="1" ht="18" customHeight="1">
      <c r="A28" s="43"/>
      <c r="B28" s="50"/>
      <c r="C28" s="50"/>
      <c r="D28" s="50"/>
      <c r="E28" s="75"/>
      <c r="F28" s="76"/>
      <c r="G28" s="76"/>
      <c r="H28" s="207" t="str">
        <f>"Bt "&amp;'Model update'!$C$5</f>
        <v>Bt 2018</v>
      </c>
      <c r="I28" s="212">
        <f>D32/I17</f>
        <v>-1.2587985858075799E-2</v>
      </c>
      <c r="J28" s="76"/>
      <c r="K28" s="47"/>
      <c r="L28"/>
      <c r="M28" s="789"/>
      <c r="N28"/>
      <c r="O28"/>
      <c r="P28"/>
      <c r="Q28"/>
      <c r="R28"/>
      <c r="S28"/>
      <c r="T28"/>
      <c r="U28" s="51"/>
      <c r="V28" s="51"/>
    </row>
    <row r="29" spans="1:22" s="35" customFormat="1" ht="18" customHeight="1">
      <c r="A29" s="43"/>
      <c r="B29" s="44" t="s">
        <v>382</v>
      </c>
      <c r="C29" s="50"/>
      <c r="D29" s="50"/>
      <c r="E29" s="75"/>
      <c r="F29" s="76"/>
      <c r="G29" s="76"/>
      <c r="H29" s="200"/>
      <c r="I29" s="213"/>
      <c r="J29" s="76"/>
      <c r="K29" s="47"/>
      <c r="L29"/>
      <c r="M29"/>
      <c r="N29"/>
      <c r="O29"/>
      <c r="P29"/>
      <c r="Q29"/>
      <c r="R29"/>
      <c r="S29"/>
      <c r="T29"/>
      <c r="U29" s="51"/>
      <c r="V29" s="51"/>
    </row>
    <row r="30" spans="1:22" s="35" customFormat="1" ht="18" customHeight="1">
      <c r="A30" s="43"/>
      <c r="B30" s="169" t="s">
        <v>381</v>
      </c>
      <c r="C30" s="52"/>
      <c r="D30" s="64">
        <f>D39</f>
        <v>66625349.066601336</v>
      </c>
      <c r="E30" s="75"/>
      <c r="F30" s="76"/>
      <c r="G30" s="76"/>
      <c r="H30" s="200"/>
      <c r="I30" s="214">
        <f>(1+I25)*(1-I26)*(1+0.02)+SUM(I27:I28)</f>
        <v>0.89613993847633822</v>
      </c>
      <c r="J30" s="76"/>
      <c r="K30" s="47"/>
      <c r="L30"/>
      <c r="M30"/>
      <c r="N30"/>
      <c r="O30"/>
      <c r="P30"/>
      <c r="Q30"/>
      <c r="R30"/>
      <c r="S30"/>
      <c r="T30"/>
      <c r="U30" s="51"/>
      <c r="V30" s="51"/>
    </row>
    <row r="31" spans="1:22" s="35" customFormat="1" ht="18" customHeight="1">
      <c r="A31" s="43"/>
      <c r="B31" s="170" t="s">
        <v>384</v>
      </c>
      <c r="C31" s="165"/>
      <c r="D31" s="64">
        <f>'Model update'!D292</f>
        <v>-9714467.1471917499</v>
      </c>
      <c r="E31" s="75"/>
      <c r="F31" s="76"/>
      <c r="G31" s="76"/>
      <c r="H31" s="202"/>
      <c r="I31" s="203"/>
      <c r="J31" s="76"/>
      <c r="K31" s="47"/>
      <c r="L31"/>
      <c r="M31"/>
      <c r="N31"/>
      <c r="O31"/>
      <c r="P31"/>
      <c r="Q31"/>
      <c r="R31"/>
      <c r="S31"/>
      <c r="T31"/>
      <c r="U31" s="51"/>
      <c r="V31" s="51"/>
    </row>
    <row r="32" spans="1:22" s="35" customFormat="1" ht="18" customHeight="1">
      <c r="A32" s="43"/>
      <c r="B32" s="170" t="s">
        <v>109</v>
      </c>
      <c r="C32" s="55"/>
      <c r="D32" s="64">
        <f>F57</f>
        <v>-933507.36940958351</v>
      </c>
      <c r="E32" s="75"/>
      <c r="F32" s="76"/>
      <c r="G32" s="201"/>
      <c r="K32" s="78"/>
      <c r="L32"/>
      <c r="M32"/>
      <c r="N32"/>
      <c r="O32"/>
      <c r="P32"/>
      <c r="Q32"/>
      <c r="R32"/>
      <c r="S32"/>
      <c r="T32"/>
      <c r="U32" s="51"/>
      <c r="V32" s="51"/>
    </row>
    <row r="33" spans="1:22" s="35" customFormat="1" ht="18" customHeight="1">
      <c r="A33" s="43"/>
      <c r="B33" s="167" t="s">
        <v>119</v>
      </c>
      <c r="C33" s="166"/>
      <c r="D33" s="181">
        <f>SUM(D30:D32)</f>
        <v>55977374.550000004</v>
      </c>
      <c r="E33" s="75"/>
      <c r="F33" s="76"/>
      <c r="G33" s="76"/>
      <c r="H33"/>
      <c r="I33"/>
      <c r="J33" s="76"/>
      <c r="K33" s="78"/>
      <c r="L33"/>
      <c r="M33"/>
      <c r="N33"/>
      <c r="O33"/>
      <c r="P33"/>
      <c r="Q33"/>
      <c r="R33"/>
      <c r="S33"/>
      <c r="T33"/>
      <c r="U33" s="51"/>
      <c r="V33" s="51"/>
    </row>
    <row r="34" spans="1:22" s="35" customFormat="1" ht="18" customHeight="1">
      <c r="A34" s="43"/>
      <c r="B34" s="56"/>
      <c r="C34" s="56"/>
      <c r="D34" s="92"/>
      <c r="E34" s="75"/>
      <c r="F34" s="76"/>
      <c r="G34" s="76"/>
      <c r="H34" s="76"/>
      <c r="I34" s="76"/>
      <c r="J34" s="76"/>
      <c r="K34" s="78"/>
      <c r="L34"/>
      <c r="M34"/>
      <c r="N34"/>
      <c r="O34"/>
      <c r="P34"/>
      <c r="Q34"/>
      <c r="R34"/>
      <c r="S34"/>
      <c r="T34"/>
      <c r="U34" s="51"/>
      <c r="V34" s="51"/>
    </row>
    <row r="35" spans="1:22" s="35" customFormat="1" ht="18" customHeight="1">
      <c r="A35" s="43"/>
      <c r="B35" s="44" t="s">
        <v>383</v>
      </c>
      <c r="C35" s="50"/>
      <c r="D35" s="50"/>
      <c r="E35" s="75"/>
      <c r="F35" s="76"/>
      <c r="G35" s="76"/>
      <c r="H35" s="76"/>
      <c r="I35" s="76"/>
      <c r="J35" s="76"/>
      <c r="K35" s="78"/>
      <c r="L35"/>
      <c r="M35"/>
      <c r="N35"/>
      <c r="O35"/>
      <c r="P35"/>
      <c r="Q35"/>
      <c r="R35"/>
      <c r="S35"/>
      <c r="T35"/>
      <c r="U35" s="51"/>
      <c r="V35" s="51"/>
    </row>
    <row r="36" spans="1:22" s="35" customFormat="1" ht="18" customHeight="1">
      <c r="A36" s="43"/>
      <c r="B36" s="167" t="s">
        <v>121</v>
      </c>
      <c r="C36" s="164"/>
      <c r="D36" s="66">
        <v>71192085.345662564</v>
      </c>
      <c r="E36" s="75"/>
      <c r="F36" s="76"/>
      <c r="G36" s="76"/>
      <c r="H36" s="76"/>
      <c r="I36" s="76"/>
      <c r="J36" s="76"/>
      <c r="K36" s="78"/>
      <c r="L36" s="78"/>
      <c r="M36" s="78"/>
      <c r="N36" s="78"/>
      <c r="O36" s="78"/>
      <c r="P36" s="78"/>
      <c r="T36" s="51"/>
      <c r="U36" s="51"/>
      <c r="V36" s="51"/>
    </row>
    <row r="37" spans="1:22" s="35" customFormat="1" ht="18" customHeight="1">
      <c r="A37" s="43"/>
      <c r="B37" s="169" t="s">
        <v>110</v>
      </c>
      <c r="C37" s="164"/>
      <c r="D37" s="67">
        <f>'Model update'!C30</f>
        <v>1.9337016574585641E-2</v>
      </c>
      <c r="E37" s="75"/>
      <c r="F37" s="76"/>
      <c r="G37" s="76"/>
      <c r="H37" s="76"/>
      <c r="I37" s="76"/>
      <c r="J37" s="76"/>
      <c r="K37" s="78"/>
      <c r="L37" s="78"/>
      <c r="M37" s="78"/>
      <c r="N37" s="78"/>
      <c r="O37" s="78"/>
      <c r="P37" s="78"/>
      <c r="T37" s="51"/>
      <c r="U37" s="51"/>
      <c r="V37" s="51"/>
    </row>
    <row r="38" spans="1:22" s="35" customFormat="1" ht="18" customHeight="1">
      <c r="A38" s="43"/>
      <c r="B38" s="169" t="s">
        <v>111</v>
      </c>
      <c r="C38" s="165"/>
      <c r="D38" s="67">
        <f>'Model update'!B72</f>
        <v>8.1900000000000001E-2</v>
      </c>
      <c r="E38" s="75"/>
      <c r="F38" s="76"/>
      <c r="G38" s="76"/>
      <c r="H38" s="76"/>
      <c r="I38" s="76"/>
      <c r="J38" s="76"/>
      <c r="K38" s="78"/>
      <c r="L38" s="78"/>
      <c r="M38" s="78"/>
      <c r="N38" s="78"/>
      <c r="O38" s="78"/>
      <c r="P38" s="78"/>
      <c r="T38" s="51"/>
      <c r="U38" s="51"/>
      <c r="V38" s="51"/>
    </row>
    <row r="39" spans="1:22" s="35" customFormat="1" ht="18" customHeight="1">
      <c r="A39" s="43"/>
      <c r="B39" s="167" t="s">
        <v>120</v>
      </c>
      <c r="C39" s="166"/>
      <c r="D39" s="65">
        <f>IF(D22=2016,'Model update'!D72,(D36*(1+D37)*(1-D38)))</f>
        <v>66625349.066601336</v>
      </c>
      <c r="E39" s="75"/>
      <c r="F39" s="76"/>
      <c r="G39" s="76"/>
      <c r="H39" s="76"/>
      <c r="I39" s="76"/>
      <c r="J39" s="76"/>
      <c r="K39" s="78"/>
      <c r="L39" s="78"/>
      <c r="M39" s="78"/>
      <c r="N39" s="78"/>
      <c r="O39" s="78"/>
      <c r="P39" s="78"/>
      <c r="T39" s="51"/>
      <c r="U39" s="51"/>
      <c r="V39" s="51"/>
    </row>
    <row r="40" spans="1:22" s="35" customFormat="1" ht="18" customHeight="1">
      <c r="A40" s="43"/>
      <c r="B40" s="57"/>
      <c r="C40" s="44"/>
      <c r="D40" s="68"/>
      <c r="E40" s="75"/>
      <c r="F40" s="76"/>
      <c r="G40" s="76"/>
      <c r="H40" s="76"/>
      <c r="I40" s="76"/>
      <c r="J40" s="76"/>
      <c r="K40" s="78"/>
      <c r="L40" s="78"/>
      <c r="M40" s="78"/>
      <c r="N40" s="78"/>
      <c r="O40" s="78"/>
      <c r="P40" s="78"/>
      <c r="T40" s="51"/>
      <c r="U40" s="51"/>
      <c r="V40" s="51"/>
    </row>
    <row r="41" spans="1:22" s="35" customFormat="1" ht="14.25">
      <c r="A41" s="32"/>
      <c r="B41" s="119"/>
      <c r="C41" s="33"/>
      <c r="D41" s="34"/>
      <c r="H41" s="36"/>
    </row>
    <row r="42" spans="1:22" s="35" customFormat="1" ht="14.25">
      <c r="A42" s="32"/>
      <c r="B42" s="119"/>
      <c r="C42" s="33"/>
      <c r="D42" s="34"/>
      <c r="H42" s="36"/>
    </row>
    <row r="43" spans="1:22" s="35" customFormat="1" ht="14.25">
      <c r="A43" s="32"/>
      <c r="B43" s="119"/>
      <c r="C43" s="33"/>
      <c r="D43" s="34"/>
      <c r="H43" s="36"/>
    </row>
    <row r="44" spans="1:22" s="35" customFormat="1" ht="15.75">
      <c r="A44" s="32"/>
      <c r="B44" s="208" t="s">
        <v>389</v>
      </c>
      <c r="C44" s="33"/>
      <c r="D44" s="34"/>
      <c r="H44" s="36"/>
    </row>
    <row r="45" spans="1:22" s="35" customFormat="1" ht="15">
      <c r="A45" s="32"/>
      <c r="B45" s="172"/>
      <c r="C45" s="176"/>
      <c r="D45" s="113" t="s">
        <v>267</v>
      </c>
      <c r="E45" s="113" t="s">
        <v>539</v>
      </c>
      <c r="F45" s="113" t="s">
        <v>35</v>
      </c>
      <c r="H45" s="36"/>
    </row>
    <row r="46" spans="1:22" s="35" customFormat="1" ht="15">
      <c r="A46" s="32"/>
      <c r="B46" s="173"/>
      <c r="C46" s="177"/>
      <c r="D46" s="114" t="s">
        <v>34</v>
      </c>
      <c r="E46" s="114" t="s">
        <v>442</v>
      </c>
      <c r="F46" s="114" t="s">
        <v>36</v>
      </c>
      <c r="H46" s="36"/>
    </row>
    <row r="47" spans="1:22" s="35" customFormat="1" ht="15">
      <c r="A47" s="32"/>
      <c r="B47" s="173"/>
      <c r="C47" s="177"/>
      <c r="D47" s="115">
        <f>E47-1</f>
        <v>2016</v>
      </c>
      <c r="E47" s="115">
        <f>F47-1</f>
        <v>2017</v>
      </c>
      <c r="F47" s="115">
        <f>D$22</f>
        <v>2018</v>
      </c>
      <c r="H47" s="36"/>
    </row>
    <row r="48" spans="1:22" s="35" customFormat="1" ht="14.25">
      <c r="A48" s="32"/>
      <c r="B48" s="173"/>
      <c r="C48" s="177"/>
      <c r="D48" s="98"/>
      <c r="E48" s="98"/>
      <c r="F48" s="111"/>
      <c r="H48" s="36"/>
    </row>
    <row r="49" spans="1:8" s="35" customFormat="1" ht="15">
      <c r="A49" s="32"/>
      <c r="B49" s="171" t="s">
        <v>385</v>
      </c>
      <c r="C49" s="177"/>
      <c r="D49" s="97">
        <v>77811373.079999983</v>
      </c>
      <c r="E49" s="605">
        <f>E89</f>
        <v>73269592.549999997</v>
      </c>
      <c r="F49" s="96">
        <f>D25</f>
        <v>55977374.550000004</v>
      </c>
      <c r="H49" s="36"/>
    </row>
    <row r="50" spans="1:8" s="35" customFormat="1" ht="14.25">
      <c r="A50" s="32"/>
      <c r="B50" s="174"/>
      <c r="C50" s="177"/>
      <c r="D50" s="98"/>
      <c r="E50" s="98"/>
      <c r="F50" s="110"/>
      <c r="H50" s="36"/>
    </row>
    <row r="51" spans="1:8" s="35" customFormat="1" ht="14.25">
      <c r="A51" s="32"/>
      <c r="B51" s="174"/>
      <c r="C51" s="177"/>
      <c r="D51" s="98"/>
      <c r="E51" s="98"/>
      <c r="F51" s="110"/>
      <c r="H51" s="36"/>
    </row>
    <row r="52" spans="1:8" s="35" customFormat="1" ht="15">
      <c r="A52" s="32"/>
      <c r="B52" s="175" t="s">
        <v>386</v>
      </c>
      <c r="C52" s="177"/>
      <c r="D52" s="96">
        <f>SUM(D53:D54)</f>
        <v>79145313.202280506</v>
      </c>
      <c r="E52" s="96">
        <f>SUM(E53:E54)</f>
        <v>71192085.345662564</v>
      </c>
      <c r="F52" s="96">
        <f>SUM(F53:F54)</f>
        <v>56910881.919409588</v>
      </c>
      <c r="H52" s="36"/>
    </row>
    <row r="53" spans="1:8" s="35" customFormat="1" ht="14.25">
      <c r="A53" s="32"/>
      <c r="B53" s="147" t="s">
        <v>261</v>
      </c>
      <c r="C53" s="177"/>
      <c r="D53" s="72">
        <v>79145313.202280506</v>
      </c>
      <c r="E53" s="575">
        <f>D36</f>
        <v>71192085.345662564</v>
      </c>
      <c r="F53" s="559">
        <f>D30</f>
        <v>66625349.066601336</v>
      </c>
      <c r="H53" s="36"/>
    </row>
    <row r="54" spans="1:8" s="35" customFormat="1" ht="14.25">
      <c r="A54" s="32"/>
      <c r="B54" s="147" t="s">
        <v>387</v>
      </c>
      <c r="C54" s="177"/>
      <c r="D54" s="120">
        <v>0</v>
      </c>
      <c r="E54" s="120">
        <v>0</v>
      </c>
      <c r="F54" s="121">
        <f>D31</f>
        <v>-9714467.1471917499</v>
      </c>
      <c r="H54" s="36"/>
    </row>
    <row r="55" spans="1:8" s="35" customFormat="1" ht="14.25">
      <c r="A55" s="32"/>
      <c r="B55" s="147"/>
      <c r="C55" s="177"/>
      <c r="D55" s="148"/>
      <c r="E55" s="148"/>
      <c r="F55" s="112"/>
      <c r="H55" s="36"/>
    </row>
    <row r="56" spans="1:8" s="35" customFormat="1" ht="14.25">
      <c r="A56" s="32"/>
      <c r="B56" s="117"/>
      <c r="C56" s="177"/>
      <c r="D56" s="98"/>
      <c r="E56" s="98"/>
      <c r="F56" s="110"/>
      <c r="H56" s="36"/>
    </row>
    <row r="57" spans="1:8" s="35" customFormat="1" ht="15">
      <c r="A57" s="32"/>
      <c r="B57" s="118" t="s">
        <v>45</v>
      </c>
      <c r="C57" s="180"/>
      <c r="D57" s="96">
        <f>D49-D52</f>
        <v>-1333940.1222805232</v>
      </c>
      <c r="E57" s="96">
        <f>E49-E52</f>
        <v>2077507.204337433</v>
      </c>
      <c r="F57" s="96">
        <f>F49-F52</f>
        <v>-933507.36940958351</v>
      </c>
      <c r="H57" s="36"/>
    </row>
    <row r="58" spans="1:8" s="35" customFormat="1" ht="14.25">
      <c r="A58" s="32"/>
      <c r="B58" s="209"/>
      <c r="C58" s="33"/>
      <c r="E58" s="34"/>
      <c r="H58" s="36"/>
    </row>
    <row r="59" spans="1:8" s="35" customFormat="1" ht="14.25">
      <c r="A59" s="32"/>
      <c r="B59" s="209"/>
      <c r="C59" s="33"/>
      <c r="E59" s="34"/>
      <c r="H59" s="36"/>
    </row>
    <row r="60" spans="1:8" s="35" customFormat="1" ht="14.25">
      <c r="A60" s="32"/>
      <c r="B60" s="209"/>
      <c r="C60" s="33"/>
      <c r="E60" s="34"/>
      <c r="H60" s="36"/>
    </row>
    <row r="61" spans="1:8" s="35" customFormat="1" ht="15.75">
      <c r="A61" s="32"/>
      <c r="B61" s="208" t="s">
        <v>388</v>
      </c>
      <c r="C61" s="33"/>
      <c r="E61" s="34"/>
      <c r="H61" s="36"/>
    </row>
    <row r="62" spans="1:8" s="35" customFormat="1" ht="15">
      <c r="A62" s="32"/>
      <c r="B62" s="116"/>
      <c r="C62" s="176"/>
      <c r="D62" s="113" t="s">
        <v>267</v>
      </c>
      <c r="E62" s="113" t="s">
        <v>539</v>
      </c>
      <c r="F62" s="113" t="s">
        <v>35</v>
      </c>
      <c r="H62" s="36"/>
    </row>
    <row r="63" spans="1:8" s="35" customFormat="1" ht="15">
      <c r="A63" s="32"/>
      <c r="B63" s="117"/>
      <c r="C63" s="177"/>
      <c r="D63" s="114" t="s">
        <v>34</v>
      </c>
      <c r="E63" s="114" t="s">
        <v>442</v>
      </c>
      <c r="F63" s="114" t="s">
        <v>36</v>
      </c>
      <c r="H63" s="36"/>
    </row>
    <row r="64" spans="1:8" s="35" customFormat="1" ht="15">
      <c r="A64" s="32"/>
      <c r="B64" s="117" t="s">
        <v>269</v>
      </c>
      <c r="C64" s="177"/>
      <c r="D64" s="115">
        <f>E64-1</f>
        <v>2016</v>
      </c>
      <c r="E64" s="115">
        <f>F64-1</f>
        <v>2017</v>
      </c>
      <c r="F64" s="115">
        <f>D$22</f>
        <v>2018</v>
      </c>
      <c r="H64" s="36"/>
    </row>
    <row r="65" spans="1:22" s="35" customFormat="1" ht="14.25">
      <c r="A65" s="32"/>
      <c r="B65" s="178"/>
      <c r="C65" s="176"/>
      <c r="D65" s="109"/>
      <c r="E65" s="109"/>
      <c r="F65" s="179"/>
      <c r="H65" s="36"/>
    </row>
    <row r="66" spans="1:22" s="35" customFormat="1" ht="14.25">
      <c r="A66" s="32"/>
      <c r="B66" s="117" t="s">
        <v>540</v>
      </c>
      <c r="C66" s="177"/>
      <c r="D66" s="606">
        <f>(1+'Model update'!$B$47)*(1+'Model update'!$C$28)-1</f>
        <v>5.2561174728540827E-2</v>
      </c>
      <c r="E66" s="109">
        <f>(1+'Model update'!$B$45)*(1+'Model update'!$C$29)-1</f>
        <v>4.7000045598383666E-2</v>
      </c>
      <c r="F66" s="607">
        <f>(1+'Model update'!$B$43)*(1+'Model update'!$C$30)-1</f>
        <v>5.5929028441763728E-2</v>
      </c>
      <c r="H66" s="36"/>
    </row>
    <row r="67" spans="1:22" s="35" customFormat="1" ht="14.25">
      <c r="A67" s="32"/>
      <c r="B67" s="117"/>
      <c r="C67" s="177"/>
      <c r="D67" s="98"/>
      <c r="E67" s="98"/>
      <c r="F67" s="111"/>
      <c r="H67" s="36"/>
    </row>
    <row r="68" spans="1:22" s="35" customFormat="1" ht="14.25">
      <c r="A68" s="32"/>
      <c r="B68" s="117" t="s">
        <v>47</v>
      </c>
      <c r="C68" s="177"/>
      <c r="D68" s="99">
        <v>0</v>
      </c>
      <c r="E68" s="110">
        <f>D72</f>
        <v>-1368547.919156794</v>
      </c>
      <c r="F68" s="110">
        <f>E72</f>
        <v>692898.38189291698</v>
      </c>
      <c r="H68" s="36"/>
    </row>
    <row r="69" spans="1:22" s="35" customFormat="1" ht="14.25">
      <c r="A69" s="32"/>
      <c r="B69" s="117" t="s">
        <v>541</v>
      </c>
      <c r="C69" s="177"/>
      <c r="D69" s="148">
        <f>D68*D66</f>
        <v>0</v>
      </c>
      <c r="E69" s="148">
        <f>E68*E66</f>
        <v>-64321.814603942403</v>
      </c>
      <c r="F69" s="148">
        <f>F68*F66</f>
        <v>38753.133308141019</v>
      </c>
      <c r="H69" s="36"/>
    </row>
    <row r="70" spans="1:22" s="35" customFormat="1" ht="14.25">
      <c r="A70" s="32"/>
      <c r="B70" s="107" t="s">
        <v>48</v>
      </c>
      <c r="C70" s="177"/>
      <c r="D70" s="110">
        <f>D57</f>
        <v>-1333940.1222805232</v>
      </c>
      <c r="E70" s="110">
        <f>E57</f>
        <v>2077507.204337433</v>
      </c>
      <c r="F70" s="110">
        <f>F57</f>
        <v>-933507.36940958351</v>
      </c>
      <c r="H70" s="36"/>
    </row>
    <row r="71" spans="1:22" s="35" customFormat="1" ht="14.25">
      <c r="A71" s="32"/>
      <c r="B71" s="107" t="s">
        <v>459</v>
      </c>
      <c r="C71" s="177"/>
      <c r="D71" s="148">
        <f>D70*((1+D66)^0.5-1)</f>
        <v>-34607.796876270797</v>
      </c>
      <c r="E71" s="148">
        <f>E70*((1+E66)^0.5-1)</f>
        <v>48260.911316220474</v>
      </c>
      <c r="F71" s="148">
        <f>F70*((1+F66)^0.5-1)</f>
        <v>-25749.936040893161</v>
      </c>
      <c r="H71" s="36"/>
    </row>
    <row r="72" spans="1:22" s="35" customFormat="1" ht="15">
      <c r="A72" s="32"/>
      <c r="B72" s="118" t="s">
        <v>401</v>
      </c>
      <c r="C72" s="180"/>
      <c r="D72" s="96">
        <f>SUM(D68:D71)</f>
        <v>-1368547.919156794</v>
      </c>
      <c r="E72" s="96">
        <f t="shared" ref="E72:F72" si="4">SUM(E68:E71)</f>
        <v>692898.38189291698</v>
      </c>
      <c r="F72" s="96">
        <f t="shared" si="4"/>
        <v>-227605.79024941867</v>
      </c>
      <c r="H72" s="36"/>
    </row>
    <row r="73" spans="1:22" s="35" customFormat="1" ht="14.25">
      <c r="A73" s="32"/>
      <c r="B73" s="209"/>
      <c r="C73" s="33"/>
      <c r="E73" s="34"/>
      <c r="H73" s="36"/>
      <c r="K73" s="78"/>
      <c r="L73" s="78"/>
      <c r="M73" s="78"/>
      <c r="N73" s="78"/>
      <c r="O73" s="78"/>
      <c r="P73" s="78"/>
      <c r="Q73" s="78"/>
      <c r="R73" s="78"/>
      <c r="S73" s="78"/>
      <c r="T73" s="78"/>
      <c r="U73" s="78"/>
      <c r="V73" s="78"/>
    </row>
    <row r="74" spans="1:22" s="35" customFormat="1" ht="14.25">
      <c r="A74" s="32"/>
      <c r="B74" s="670" t="s">
        <v>548</v>
      </c>
      <c r="C74" s="33"/>
      <c r="E74" s="34"/>
      <c r="H74" s="36"/>
      <c r="K74" s="78"/>
      <c r="L74" s="78"/>
      <c r="M74" s="78"/>
      <c r="N74" s="78"/>
      <c r="O74" s="78"/>
      <c r="P74" s="78"/>
      <c r="Q74" s="78"/>
      <c r="R74" s="78"/>
      <c r="S74" s="78"/>
      <c r="T74" s="78"/>
      <c r="U74" s="78"/>
      <c r="V74" s="78"/>
    </row>
    <row r="75" spans="1:22" s="35" customFormat="1" ht="14.25">
      <c r="A75" s="32"/>
      <c r="B75" s="209"/>
      <c r="C75" s="33"/>
      <c r="E75" s="34"/>
      <c r="H75" s="36"/>
      <c r="K75" s="78"/>
      <c r="L75" s="78"/>
      <c r="M75" s="78"/>
      <c r="N75" s="78"/>
      <c r="O75" s="78"/>
      <c r="P75" s="78"/>
      <c r="Q75" s="78"/>
      <c r="R75" s="78"/>
      <c r="S75" s="78"/>
      <c r="T75" s="78"/>
      <c r="U75" s="78"/>
      <c r="V75" s="78"/>
    </row>
    <row r="76" spans="1:22" s="35" customFormat="1" ht="15" thickBot="1">
      <c r="A76" s="84"/>
      <c r="B76" s="608"/>
      <c r="C76" s="609"/>
      <c r="D76" s="78"/>
      <c r="E76" s="610"/>
      <c r="F76" s="78"/>
      <c r="G76" s="78"/>
      <c r="H76" s="611"/>
      <c r="I76" s="78"/>
      <c r="J76" s="78"/>
      <c r="K76" s="78"/>
      <c r="L76" s="78"/>
      <c r="M76" s="78"/>
      <c r="N76" s="78"/>
      <c r="O76" s="78"/>
      <c r="P76" s="78"/>
      <c r="Q76" s="78"/>
      <c r="R76" s="78"/>
      <c r="S76" s="78"/>
      <c r="T76" s="78"/>
      <c r="U76" s="78"/>
      <c r="V76" s="78"/>
    </row>
    <row r="77" spans="1:22" s="183" customFormat="1" ht="39" thickBot="1">
      <c r="C77" s="186" t="str">
        <f>"Current Metering Tariffs P(t-1) for " &amp;'Model update'!$C$8</f>
        <v>Current Metering Tariffs P(t-1) for 2017</v>
      </c>
      <c r="D77" s="186" t="str">
        <f>"Estimated Quantities   (Qt-1) for "&amp;'Model update'!$C$5-1</f>
        <v>Estimated Quantities   (Qt-1) for 2017</v>
      </c>
      <c r="E77" s="186" t="str">
        <f>"Revenue                    (Pt-1 "&amp;'Model update'!$C$8&amp;")*(Qt-1 " &amp;'Model update'!$C$5-1&amp;")"</f>
        <v>Revenue                    (Pt-1 2017)*(Qt-1 2017)</v>
      </c>
      <c r="G77" s="197"/>
      <c r="H77" s="78"/>
      <c r="J77" s="197"/>
      <c r="K77" s="78"/>
      <c r="L77" s="78"/>
    </row>
    <row r="78" spans="1:22" s="183" customFormat="1" ht="25.5">
      <c r="B78" s="190" t="s">
        <v>129</v>
      </c>
      <c r="C78" s="191" t="s">
        <v>350</v>
      </c>
      <c r="D78" s="191" t="s">
        <v>351</v>
      </c>
      <c r="E78" s="191" t="s">
        <v>153</v>
      </c>
      <c r="G78" s="197"/>
      <c r="H78" s="78"/>
      <c r="I78"/>
      <c r="J78"/>
      <c r="K78" s="78"/>
      <c r="L78" s="78"/>
    </row>
    <row r="79" spans="1:22" s="183" customFormat="1" ht="14.25">
      <c r="B79" s="193"/>
      <c r="C79" s="385"/>
      <c r="D79" s="194"/>
      <c r="E79" s="546"/>
      <c r="G79" s="197"/>
      <c r="H79" s="78"/>
      <c r="I79"/>
      <c r="J79"/>
      <c r="K79" s="78"/>
      <c r="L79" s="78"/>
    </row>
    <row r="80" spans="1:22" s="183" customFormat="1" ht="14.25">
      <c r="B80" s="193" t="s">
        <v>347</v>
      </c>
      <c r="C80" s="386">
        <f>E8</f>
        <v>88.16</v>
      </c>
      <c r="D80" s="651">
        <v>651159</v>
      </c>
      <c r="E80" s="545">
        <f t="shared" ref="E80:E88" si="5">C80*D80</f>
        <v>57406177.439999998</v>
      </c>
      <c r="G80" s="197"/>
      <c r="H80" s="78"/>
      <c r="I80" s="782"/>
      <c r="J80"/>
      <c r="K80" s="78"/>
      <c r="L80" s="78"/>
    </row>
    <row r="81" spans="1:22" s="183" customFormat="1" ht="14.25">
      <c r="B81" s="193" t="s">
        <v>348</v>
      </c>
      <c r="C81" s="386">
        <f t="shared" ref="C81:C82" si="6">E9</f>
        <v>116.29</v>
      </c>
      <c r="D81" s="651">
        <v>129039</v>
      </c>
      <c r="E81" s="545">
        <f t="shared" si="5"/>
        <v>15005945.310000001</v>
      </c>
      <c r="G81" s="197"/>
      <c r="H81" s="78"/>
      <c r="I81" s="782"/>
      <c r="J81"/>
      <c r="K81" s="78"/>
      <c r="L81" s="78"/>
    </row>
    <row r="82" spans="1:22" s="183" customFormat="1" ht="14.25">
      <c r="B82" s="193" t="s">
        <v>349</v>
      </c>
      <c r="C82" s="386">
        <f t="shared" si="6"/>
        <v>154.36000000000001</v>
      </c>
      <c r="D82" s="651">
        <v>5555</v>
      </c>
      <c r="E82" s="545">
        <f t="shared" si="5"/>
        <v>857469.8</v>
      </c>
      <c r="G82" s="197"/>
      <c r="H82" s="78"/>
      <c r="I82" s="782"/>
      <c r="J82"/>
      <c r="K82" s="78"/>
      <c r="L82" s="78"/>
    </row>
    <row r="83" spans="1:22" s="183" customFormat="1" ht="14.25">
      <c r="B83" s="193"/>
      <c r="C83" s="386"/>
      <c r="D83" s="612"/>
      <c r="E83" s="545">
        <f t="shared" si="5"/>
        <v>0</v>
      </c>
      <c r="G83" s="197"/>
      <c r="H83" s="78"/>
      <c r="J83" s="197"/>
      <c r="K83" s="78"/>
      <c r="L83" s="78"/>
    </row>
    <row r="84" spans="1:22" s="183" customFormat="1" ht="14.25">
      <c r="B84" s="193"/>
      <c r="C84" s="386"/>
      <c r="D84" s="612"/>
      <c r="E84" s="545">
        <f t="shared" si="5"/>
        <v>0</v>
      </c>
      <c r="G84" s="197"/>
      <c r="H84" s="78"/>
      <c r="J84" s="197"/>
      <c r="K84" s="78"/>
      <c r="L84" s="78"/>
    </row>
    <row r="85" spans="1:22" s="183" customFormat="1" ht="14.25">
      <c r="B85" s="193"/>
      <c r="C85" s="387"/>
      <c r="D85" s="388"/>
      <c r="E85" s="545">
        <f t="shared" si="5"/>
        <v>0</v>
      </c>
      <c r="G85" s="197"/>
      <c r="H85" s="78"/>
      <c r="J85" s="197"/>
      <c r="K85" s="78"/>
      <c r="L85" s="78"/>
    </row>
    <row r="86" spans="1:22" s="183" customFormat="1" ht="14.25">
      <c r="B86" s="193"/>
      <c r="C86" s="387"/>
      <c r="D86" s="388"/>
      <c r="E86" s="545">
        <f t="shared" si="5"/>
        <v>0</v>
      </c>
      <c r="G86" s="197"/>
      <c r="H86" s="78"/>
      <c r="J86" s="197"/>
      <c r="K86" s="78"/>
      <c r="L86" s="78"/>
    </row>
    <row r="87" spans="1:22" s="183" customFormat="1" ht="14.25">
      <c r="B87" s="193"/>
      <c r="C87" s="387"/>
      <c r="D87" s="388"/>
      <c r="E87" s="545">
        <f t="shared" si="5"/>
        <v>0</v>
      </c>
      <c r="G87" s="197"/>
      <c r="H87" s="78"/>
      <c r="J87" s="197"/>
      <c r="K87" s="78"/>
      <c r="L87" s="78"/>
    </row>
    <row r="88" spans="1:22" s="183" customFormat="1" ht="15" thickBot="1">
      <c r="B88" s="196"/>
      <c r="C88" s="389"/>
      <c r="D88" s="390"/>
      <c r="E88" s="547">
        <f t="shared" si="5"/>
        <v>0</v>
      </c>
      <c r="G88" s="197"/>
      <c r="H88" s="78"/>
      <c r="J88" s="197"/>
      <c r="K88" s="78"/>
      <c r="L88" s="78"/>
    </row>
    <row r="89" spans="1:22" s="197" customFormat="1" ht="15" thickBot="1">
      <c r="E89" s="548">
        <f>SUM(E79:E88)</f>
        <v>73269592.549999997</v>
      </c>
      <c r="H89" s="78"/>
    </row>
    <row r="90" spans="1:22" ht="13.5" thickTop="1">
      <c r="A90" s="183"/>
      <c r="B90" s="183"/>
      <c r="C90" s="183"/>
      <c r="D90" s="183"/>
      <c r="E90" s="183"/>
      <c r="F90" s="183"/>
      <c r="G90" s="183"/>
      <c r="H90" s="183"/>
      <c r="I90" s="183"/>
      <c r="J90" s="183"/>
      <c r="K90" s="183"/>
      <c r="L90" s="183"/>
      <c r="M90" s="183"/>
      <c r="N90" s="183"/>
      <c r="O90" s="183"/>
      <c r="P90" s="183"/>
      <c r="Q90" s="183"/>
      <c r="R90" s="183"/>
      <c r="S90" s="183"/>
      <c r="T90" s="183"/>
      <c r="U90" s="183"/>
      <c r="V90" s="183"/>
    </row>
    <row r="91" spans="1:22">
      <c r="A91" s="183"/>
      <c r="B91" s="183"/>
      <c r="C91" s="183"/>
      <c r="D91" s="183"/>
      <c r="E91" s="183"/>
      <c r="F91" s="183"/>
      <c r="G91" s="183"/>
      <c r="H91" s="183"/>
      <c r="I91" s="183"/>
      <c r="J91" s="183"/>
      <c r="K91" s="183"/>
      <c r="L91" s="183"/>
      <c r="M91" s="183"/>
      <c r="N91" s="183"/>
      <c r="O91" s="183"/>
      <c r="P91" s="183"/>
      <c r="Q91" s="183"/>
      <c r="R91" s="183"/>
      <c r="S91" s="183"/>
      <c r="T91" s="183"/>
      <c r="U91" s="183"/>
      <c r="V91" s="183"/>
    </row>
    <row r="92" spans="1:22">
      <c r="A92" s="183"/>
      <c r="B92" s="183"/>
      <c r="C92" s="183"/>
      <c r="D92" s="183"/>
      <c r="E92" s="183"/>
      <c r="F92" s="183"/>
      <c r="G92" s="183"/>
      <c r="H92" s="183"/>
      <c r="I92" s="183"/>
      <c r="J92" s="183"/>
      <c r="K92" s="183"/>
      <c r="L92" s="183"/>
      <c r="M92" s="183"/>
      <c r="N92" s="183"/>
      <c r="O92" s="183"/>
      <c r="P92" s="183"/>
      <c r="Q92" s="183"/>
      <c r="R92" s="183"/>
      <c r="S92" s="183"/>
      <c r="T92" s="183"/>
      <c r="U92" s="183"/>
      <c r="V92" s="183"/>
    </row>
    <row r="93" spans="1:22">
      <c r="A93" s="183"/>
      <c r="B93" s="183"/>
      <c r="C93" s="183"/>
      <c r="D93" s="183"/>
      <c r="E93" s="183"/>
      <c r="F93" s="183"/>
      <c r="G93" s="183"/>
      <c r="H93" s="183"/>
      <c r="I93" s="183"/>
      <c r="J93" s="183"/>
      <c r="K93" s="183"/>
      <c r="L93" s="183"/>
      <c r="M93" s="183"/>
      <c r="N93" s="183"/>
      <c r="O93" s="183"/>
      <c r="P93" s="183"/>
      <c r="Q93" s="183"/>
      <c r="R93" s="183"/>
      <c r="S93" s="183"/>
      <c r="T93" s="183"/>
      <c r="U93" s="183"/>
      <c r="V93" s="183"/>
    </row>
  </sheetData>
  <mergeCells count="1">
    <mergeCell ref="H24:I24"/>
  </mergeCells>
  <pageMargins left="0.7" right="0.7" top="0.75" bottom="0.75" header="0.3" footer="0.3"/>
  <pageSetup scale="5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pageSetUpPr autoPageBreaks="0"/>
  </sheetPr>
  <dimension ref="A1:DK105"/>
  <sheetViews>
    <sheetView tabSelected="1" zoomScale="80" zoomScaleNormal="80" zoomScaleSheetLayoutView="85" workbookViewId="0">
      <pane xSplit="3" ySplit="5" topLeftCell="D6" activePane="bottomRight" state="frozen"/>
      <selection activeCell="B33" sqref="B33"/>
      <selection pane="topRight" activeCell="B33" sqref="B33"/>
      <selection pane="bottomLeft" activeCell="B33" sqref="B33"/>
      <selection pane="bottomRight" activeCell="D6" sqref="D6"/>
    </sheetView>
  </sheetViews>
  <sheetFormatPr defaultRowHeight="12.75"/>
  <cols>
    <col min="1" max="1" width="4.7109375" style="199" customWidth="1"/>
    <col min="2" max="3" width="45" style="199" customWidth="1"/>
    <col min="4" max="4" width="15" style="199" customWidth="1"/>
    <col min="5" max="5" width="11.28515625" style="199" bestFit="1" customWidth="1"/>
    <col min="6" max="6" width="12.42578125" style="199" bestFit="1" customWidth="1"/>
    <col min="7" max="7" width="13.5703125" style="199" customWidth="1"/>
    <col min="8" max="8" width="12.42578125" style="199" bestFit="1" customWidth="1"/>
    <col min="9" max="9" width="11.28515625" style="199" bestFit="1" customWidth="1"/>
    <col min="10" max="11" width="9.140625" style="199"/>
    <col min="12" max="12" width="9.7109375" style="199" customWidth="1"/>
    <col min="13" max="13" width="13.28515625" style="199" customWidth="1"/>
    <col min="14" max="14" width="10.5703125" style="199" customWidth="1"/>
    <col min="15" max="16" width="11" style="199" bestFit="1" customWidth="1"/>
    <col min="17" max="24" width="11" style="199" customWidth="1"/>
    <col min="25" max="25" width="1.85546875" style="199" customWidth="1"/>
    <col min="26" max="26" width="14.5703125" style="199" customWidth="1"/>
    <col min="27" max="30" width="11.28515625" style="199" bestFit="1" customWidth="1"/>
    <col min="31" max="31" width="10" style="199" bestFit="1" customWidth="1"/>
    <col min="32" max="34" width="9.85546875" style="199" bestFit="1" customWidth="1"/>
    <col min="35" max="35" width="12.42578125" style="199" customWidth="1"/>
    <col min="36" max="38" width="10.5703125" style="199" customWidth="1"/>
    <col min="39" max="39" width="11.28515625" style="199" bestFit="1" customWidth="1"/>
    <col min="40" max="40" width="11.7109375" style="199" customWidth="1"/>
    <col min="41" max="41" width="12.7109375" style="199" customWidth="1"/>
    <col min="42" max="42" width="9.140625" style="199"/>
    <col min="43" max="43" width="10.85546875" style="199" customWidth="1"/>
    <col min="44" max="45" width="10" style="199" bestFit="1" customWidth="1"/>
    <col min="46" max="46" width="9.42578125" style="199" bestFit="1" customWidth="1"/>
    <col min="47" max="47" width="1.85546875" style="199" customWidth="1"/>
    <col min="48" max="48" width="15.7109375" style="199" bestFit="1" customWidth="1"/>
    <col min="49" max="49" width="19.140625" style="199" bestFit="1" customWidth="1"/>
    <col min="50" max="50" width="17.85546875" style="199" bestFit="1" customWidth="1"/>
    <col min="51" max="51" width="15.7109375" style="199" customWidth="1"/>
    <col min="52" max="52" width="17.85546875" style="199" bestFit="1" customWidth="1"/>
    <col min="53" max="53" width="19.140625" style="199" bestFit="1" customWidth="1"/>
    <col min="54" max="55" width="17.85546875" style="199" bestFit="1" customWidth="1"/>
    <col min="56" max="56" width="10" style="199" bestFit="1" customWidth="1"/>
    <col min="57" max="57" width="13.140625" style="199" bestFit="1" customWidth="1"/>
    <col min="58" max="58" width="11.28515625" style="199" bestFit="1" customWidth="1"/>
    <col min="59" max="60" width="10.5703125" style="199" bestFit="1" customWidth="1"/>
    <col min="61" max="63" width="15.7109375" style="199" bestFit="1" customWidth="1"/>
    <col min="64" max="64" width="10.28515625" style="199" customWidth="1"/>
    <col min="65" max="65" width="14.7109375" style="199" customWidth="1"/>
    <col min="66" max="66" width="14.85546875" style="199" bestFit="1" customWidth="1"/>
    <col min="67" max="67" width="14.85546875" style="199" customWidth="1"/>
    <col min="68" max="68" width="10.7109375" style="199" customWidth="1"/>
    <col min="69" max="69" width="19.140625" style="199" customWidth="1"/>
    <col min="70" max="70" width="14.42578125" style="199" bestFit="1" customWidth="1"/>
    <col min="71" max="71" width="15.7109375" style="199" bestFit="1" customWidth="1"/>
    <col min="72" max="72" width="15.5703125" style="199" customWidth="1"/>
    <col min="73" max="75" width="14.42578125" style="199" bestFit="1" customWidth="1"/>
    <col min="76" max="78" width="9.85546875" style="199" bestFit="1" customWidth="1"/>
    <col min="79" max="79" width="16.28515625" style="199" customWidth="1"/>
    <col min="80" max="82" width="10.5703125" style="199" bestFit="1" customWidth="1"/>
    <col min="83" max="84" width="17.85546875" style="199" bestFit="1" customWidth="1"/>
    <col min="85" max="85" width="15.7109375" style="199" bestFit="1" customWidth="1"/>
    <col min="86" max="86" width="10.42578125" style="199" customWidth="1"/>
    <col min="87" max="87" width="14.42578125" style="199" bestFit="1" customWidth="1"/>
    <col min="88" max="88" width="13.140625" style="199" bestFit="1" customWidth="1"/>
    <col min="89" max="89" width="12.42578125" style="199" bestFit="1" customWidth="1"/>
    <col min="90" max="90" width="9.85546875" style="199" bestFit="1" customWidth="1"/>
    <col min="91" max="91" width="17.85546875" style="199" customWidth="1"/>
    <col min="92" max="92" width="1.5703125" style="199" customWidth="1"/>
    <col min="93" max="93" width="14.5703125" style="199" customWidth="1"/>
    <col min="94" max="94" width="15.7109375" style="199" bestFit="1" customWidth="1"/>
    <col min="95" max="95" width="15.85546875" style="199" customWidth="1"/>
    <col min="96" max="98" width="14.42578125" style="199" bestFit="1" customWidth="1"/>
    <col min="99" max="101" width="10" style="199" bestFit="1" customWidth="1"/>
    <col min="102" max="102" width="18.140625" style="199" customWidth="1"/>
    <col min="103" max="103" width="13.85546875" style="199" customWidth="1"/>
    <col min="104" max="105" width="10.5703125" style="199" bestFit="1" customWidth="1"/>
    <col min="106" max="108" width="17.85546875" style="199" bestFit="1" customWidth="1"/>
    <col min="109" max="109" width="9.140625" style="199"/>
    <col min="110" max="110" width="14.42578125" style="199" bestFit="1" customWidth="1"/>
    <col min="111" max="111" width="13.28515625" style="199" customWidth="1"/>
    <col min="112" max="112" width="12.42578125" style="199" bestFit="1" customWidth="1"/>
    <col min="113" max="113" width="10" style="199" bestFit="1" customWidth="1"/>
    <col min="114" max="114" width="17.85546875" style="199" bestFit="1" customWidth="1"/>
    <col min="115" max="16384" width="9.140625" style="199"/>
  </cols>
  <sheetData>
    <row r="1" spans="1:115" ht="15">
      <c r="B1" s="154" t="str">
        <f>"Tariff Approval - "&amp;'Model update'!$C$3</f>
        <v>Tariff Approval - Powercor</v>
      </c>
      <c r="C1" s="154"/>
      <c r="F1" s="618"/>
      <c r="CO1" s="807" t="s">
        <v>795</v>
      </c>
    </row>
    <row r="2" spans="1:115">
      <c r="CO2" s="806" t="s">
        <v>796</v>
      </c>
    </row>
    <row r="3" spans="1:115">
      <c r="B3" s="227" t="str">
        <f>"PROPOSED "&amp;'Model update'!$C$5&amp;" DISTRIBUTION TARIFFS"</f>
        <v>PROPOSED 2018 DISTRIBUTION TARIFFS</v>
      </c>
      <c r="C3" s="227"/>
      <c r="CO3" s="806" t="s">
        <v>797</v>
      </c>
    </row>
    <row r="4" spans="1:115" ht="13.5" thickBot="1">
      <c r="C4" s="618"/>
      <c r="D4" s="229" t="str">
        <f>"Proposed Distribution Tariffs (Pt) for "&amp;'Model update'!$C$5</f>
        <v>Proposed Distribution Tariffs (Pt) for 2018</v>
      </c>
      <c r="E4" s="230"/>
      <c r="F4" s="230"/>
      <c r="G4" s="230"/>
      <c r="H4" s="230"/>
      <c r="M4" s="370"/>
      <c r="Z4" s="229" t="str">
        <f>"Current Distribution Tariffs (Pt-1) for "&amp;'Model update'!$C$8</f>
        <v>Current Distribution Tariffs (Pt-1) for 2017</v>
      </c>
      <c r="AA4" s="230"/>
      <c r="AB4" s="230"/>
      <c r="AC4" s="230"/>
      <c r="AD4" s="230"/>
      <c r="AV4" s="229" t="str">
        <f>"Forecast Quantities (Qt) for "&amp;'Model update'!$C$5</f>
        <v>Forecast Quantities (Qt) for 2018</v>
      </c>
      <c r="AW4" s="230"/>
      <c r="AX4" s="230"/>
      <c r="AY4" s="230"/>
      <c r="AZ4" s="230"/>
      <c r="BR4" s="229" t="str">
        <f>"Forecast Revenue (Pt "&amp;'Model update'!$C$5&amp;")*(Qt " &amp;'Model update'!$C$5&amp;")"</f>
        <v>Forecast Revenue (Pt 2018)*(Qt 2018)</v>
      </c>
      <c r="BS4" s="230"/>
      <c r="BT4" s="230"/>
      <c r="BU4" s="230"/>
      <c r="BV4" s="230"/>
      <c r="CO4" s="229" t="str">
        <f>"Revenue (Pt-1 "&amp;'Model update'!$C$8&amp;")*(Qt " &amp;'Model update'!$C$5&amp;")"</f>
        <v>Revenue (Pt-1 2017)*(Qt 2018)</v>
      </c>
      <c r="CP4" s="230"/>
      <c r="CQ4" s="230"/>
      <c r="CR4" s="230"/>
      <c r="CS4" s="230"/>
    </row>
    <row r="5" spans="1:115" ht="38.25">
      <c r="B5" s="233" t="s">
        <v>128</v>
      </c>
      <c r="C5" s="371" t="s">
        <v>129</v>
      </c>
      <c r="D5" s="234" t="s">
        <v>130</v>
      </c>
      <c r="E5" s="235" t="s">
        <v>572</v>
      </c>
      <c r="F5" s="235" t="s">
        <v>573</v>
      </c>
      <c r="G5" s="235"/>
      <c r="H5" s="235"/>
      <c r="I5" s="235" t="s">
        <v>131</v>
      </c>
      <c r="J5" s="235"/>
      <c r="K5" s="235"/>
      <c r="L5" s="235"/>
      <c r="M5" s="235" t="s">
        <v>574</v>
      </c>
      <c r="N5" s="235" t="s">
        <v>575</v>
      </c>
      <c r="O5" s="235" t="s">
        <v>576</v>
      </c>
      <c r="P5" s="235" t="s">
        <v>577</v>
      </c>
      <c r="Q5" s="236" t="s">
        <v>132</v>
      </c>
      <c r="R5" s="235" t="s">
        <v>133</v>
      </c>
      <c r="S5" s="235" t="s">
        <v>134</v>
      </c>
      <c r="T5" s="235"/>
      <c r="U5" s="235" t="s">
        <v>135</v>
      </c>
      <c r="V5" s="235" t="s">
        <v>136</v>
      </c>
      <c r="W5" s="235" t="s">
        <v>137</v>
      </c>
      <c r="X5" s="237"/>
      <c r="Z5" s="234" t="s">
        <v>138</v>
      </c>
      <c r="AA5" s="235" t="s">
        <v>578</v>
      </c>
      <c r="AB5" s="235" t="s">
        <v>579</v>
      </c>
      <c r="AC5" s="235"/>
      <c r="AD5" s="235"/>
      <c r="AE5" s="235" t="s">
        <v>580</v>
      </c>
      <c r="AF5" s="235"/>
      <c r="AG5" s="235"/>
      <c r="AH5" s="235"/>
      <c r="AI5" s="235" t="s">
        <v>581</v>
      </c>
      <c r="AJ5" s="235" t="s">
        <v>582</v>
      </c>
      <c r="AK5" s="235" t="s">
        <v>583</v>
      </c>
      <c r="AL5" s="235" t="s">
        <v>584</v>
      </c>
      <c r="AM5" s="236" t="s">
        <v>139</v>
      </c>
      <c r="AN5" s="235" t="s">
        <v>140</v>
      </c>
      <c r="AO5" s="235" t="s">
        <v>141</v>
      </c>
      <c r="AP5" s="235"/>
      <c r="AQ5" s="235" t="s">
        <v>142</v>
      </c>
      <c r="AR5" s="235" t="s">
        <v>143</v>
      </c>
      <c r="AS5" s="235" t="s">
        <v>144</v>
      </c>
      <c r="AT5" s="237"/>
      <c r="AV5" s="234" t="s">
        <v>201</v>
      </c>
      <c r="AW5" s="235" t="s">
        <v>585</v>
      </c>
      <c r="AX5" s="235" t="s">
        <v>586</v>
      </c>
      <c r="AY5" s="235"/>
      <c r="AZ5" s="235"/>
      <c r="BA5" s="235" t="s">
        <v>587</v>
      </c>
      <c r="BB5" s="235"/>
      <c r="BC5" s="235"/>
      <c r="BD5" s="235"/>
      <c r="BE5" s="235" t="s">
        <v>588</v>
      </c>
      <c r="BF5" s="235" t="s">
        <v>589</v>
      </c>
      <c r="BG5" s="235" t="s">
        <v>590</v>
      </c>
      <c r="BH5" s="235" t="s">
        <v>591</v>
      </c>
      <c r="BI5" s="236" t="s">
        <v>202</v>
      </c>
      <c r="BJ5" s="235" t="s">
        <v>203</v>
      </c>
      <c r="BK5" s="235" t="s">
        <v>204</v>
      </c>
      <c r="BL5" s="235"/>
      <c r="BM5" s="235" t="s">
        <v>205</v>
      </c>
      <c r="BN5" s="235" t="s">
        <v>206</v>
      </c>
      <c r="BO5" s="235" t="s">
        <v>207</v>
      </c>
      <c r="BP5" s="237"/>
      <c r="BQ5" s="780" t="s">
        <v>785</v>
      </c>
      <c r="BR5" s="234" t="s">
        <v>145</v>
      </c>
      <c r="BS5" s="235" t="s">
        <v>592</v>
      </c>
      <c r="BT5" s="235" t="s">
        <v>593</v>
      </c>
      <c r="BU5" s="235"/>
      <c r="BV5" s="235"/>
      <c r="BW5" s="235" t="s">
        <v>594</v>
      </c>
      <c r="BX5" s="235"/>
      <c r="BY5" s="235"/>
      <c r="BZ5" s="235"/>
      <c r="CA5" s="235" t="s">
        <v>595</v>
      </c>
      <c r="CB5" s="235" t="s">
        <v>596</v>
      </c>
      <c r="CC5" s="235" t="s">
        <v>597</v>
      </c>
      <c r="CD5" s="235" t="s">
        <v>598</v>
      </c>
      <c r="CE5" s="372" t="s">
        <v>146</v>
      </c>
      <c r="CF5" s="372" t="s">
        <v>147</v>
      </c>
      <c r="CG5" s="372" t="s">
        <v>148</v>
      </c>
      <c r="CH5" s="372"/>
      <c r="CI5" s="372" t="s">
        <v>149</v>
      </c>
      <c r="CJ5" s="372" t="s">
        <v>150</v>
      </c>
      <c r="CK5" s="372" t="s">
        <v>151</v>
      </c>
      <c r="CL5" s="372"/>
      <c r="CM5" s="237" t="s">
        <v>152</v>
      </c>
      <c r="CO5" s="234" t="s">
        <v>153</v>
      </c>
      <c r="CP5" s="235" t="s">
        <v>599</v>
      </c>
      <c r="CQ5" s="235" t="s">
        <v>600</v>
      </c>
      <c r="CR5" s="235"/>
      <c r="CS5" s="235"/>
      <c r="CT5" s="235" t="s">
        <v>601</v>
      </c>
      <c r="CU5" s="235"/>
      <c r="CV5" s="235"/>
      <c r="CW5" s="235"/>
      <c r="CX5" s="235" t="s">
        <v>602</v>
      </c>
      <c r="CY5" s="235" t="s">
        <v>603</v>
      </c>
      <c r="CZ5" s="235" t="s">
        <v>604</v>
      </c>
      <c r="DA5" s="235" t="s">
        <v>605</v>
      </c>
      <c r="DB5" s="372" t="s">
        <v>154</v>
      </c>
      <c r="DC5" s="372" t="s">
        <v>155</v>
      </c>
      <c r="DD5" s="372" t="s">
        <v>156</v>
      </c>
      <c r="DE5" s="372"/>
      <c r="DF5" s="372" t="s">
        <v>157</v>
      </c>
      <c r="DG5" s="372" t="s">
        <v>158</v>
      </c>
      <c r="DH5" s="372" t="s">
        <v>159</v>
      </c>
      <c r="DI5" s="372"/>
      <c r="DJ5" s="237" t="s">
        <v>160</v>
      </c>
    </row>
    <row r="6" spans="1:115">
      <c r="B6" s="238"/>
      <c r="C6" s="238"/>
      <c r="D6" s="302"/>
      <c r="E6" s="286"/>
      <c r="F6" s="286"/>
      <c r="G6" s="286"/>
      <c r="H6" s="286"/>
      <c r="I6" s="286"/>
      <c r="J6" s="286"/>
      <c r="K6" s="286"/>
      <c r="L6" s="286"/>
      <c r="M6" s="286"/>
      <c r="N6" s="286"/>
      <c r="O6" s="286"/>
      <c r="P6" s="286"/>
      <c r="Q6" s="285"/>
      <c r="R6" s="286"/>
      <c r="S6" s="286"/>
      <c r="T6" s="286"/>
      <c r="U6" s="286"/>
      <c r="V6" s="286"/>
      <c r="W6" s="286"/>
      <c r="X6" s="287"/>
      <c r="Z6" s="239"/>
      <c r="AA6" s="240"/>
      <c r="AB6" s="240"/>
      <c r="AC6" s="240"/>
      <c r="AD6" s="240"/>
      <c r="AE6" s="240"/>
      <c r="AF6" s="240"/>
      <c r="AG6" s="240"/>
      <c r="AH6" s="240"/>
      <c r="AI6" s="241"/>
      <c r="AJ6" s="241"/>
      <c r="AK6" s="241"/>
      <c r="AL6" s="241"/>
      <c r="AM6" s="373"/>
      <c r="AN6" s="241"/>
      <c r="AO6" s="241"/>
      <c r="AP6" s="241"/>
      <c r="AQ6" s="241"/>
      <c r="AR6" s="241"/>
      <c r="AS6" s="241"/>
      <c r="AT6" s="242"/>
      <c r="AV6" s="254"/>
      <c r="AW6" s="255"/>
      <c r="AX6" s="255"/>
      <c r="AY6" s="255"/>
      <c r="AZ6" s="255"/>
      <c r="BA6" s="255"/>
      <c r="BB6" s="255"/>
      <c r="BC6" s="255"/>
      <c r="BD6" s="255"/>
      <c r="BE6" s="255"/>
      <c r="BF6" s="255"/>
      <c r="BG6" s="255"/>
      <c r="BH6" s="255"/>
      <c r="BI6" s="374"/>
      <c r="BJ6" s="255"/>
      <c r="BK6" s="255"/>
      <c r="BL6" s="255"/>
      <c r="BM6" s="255"/>
      <c r="BN6" s="255"/>
      <c r="BO6" s="255"/>
      <c r="BP6" s="256"/>
      <c r="BQ6" s="780"/>
      <c r="BR6" s="306">
        <f>D6*AV6</f>
        <v>0</v>
      </c>
      <c r="BS6" s="307">
        <f t="shared" ref="BS6:BZ21" si="0">E6/100*AW6</f>
        <v>0</v>
      </c>
      <c r="BT6" s="307">
        <f t="shared" si="0"/>
        <v>0</v>
      </c>
      <c r="BU6" s="307">
        <f t="shared" si="0"/>
        <v>0</v>
      </c>
      <c r="BV6" s="307">
        <f t="shared" si="0"/>
        <v>0</v>
      </c>
      <c r="BW6" s="307">
        <f t="shared" si="0"/>
        <v>0</v>
      </c>
      <c r="BX6" s="307">
        <f t="shared" si="0"/>
        <v>0</v>
      </c>
      <c r="BY6" s="307">
        <f t="shared" si="0"/>
        <v>0</v>
      </c>
      <c r="BZ6" s="307">
        <f t="shared" si="0"/>
        <v>0</v>
      </c>
      <c r="CA6" s="307">
        <f>M6*BE6</f>
        <v>0</v>
      </c>
      <c r="CB6" s="307">
        <f>N6*BF6</f>
        <v>0</v>
      </c>
      <c r="CC6" s="307">
        <f>O6*BG6</f>
        <v>0</v>
      </c>
      <c r="CD6" s="307">
        <f>P6*BH6</f>
        <v>0</v>
      </c>
      <c r="CE6" s="307">
        <f>Q6/100*BI6</f>
        <v>0</v>
      </c>
      <c r="CF6" s="307">
        <f t="shared" ref="CF6:CL25" si="1">R6/100*BJ6</f>
        <v>0</v>
      </c>
      <c r="CG6" s="307">
        <f t="shared" si="1"/>
        <v>0</v>
      </c>
      <c r="CH6" s="307">
        <f t="shared" si="1"/>
        <v>0</v>
      </c>
      <c r="CI6" s="307">
        <f t="shared" si="1"/>
        <v>0</v>
      </c>
      <c r="CJ6" s="307">
        <f t="shared" si="1"/>
        <v>0</v>
      </c>
      <c r="CK6" s="307">
        <f t="shared" si="1"/>
        <v>0</v>
      </c>
      <c r="CL6" s="307">
        <f t="shared" si="1"/>
        <v>0</v>
      </c>
      <c r="CM6" s="259">
        <f>SUM(BR6:CL6)</f>
        <v>0</v>
      </c>
      <c r="CO6" s="306">
        <f>Z6*AV6</f>
        <v>0</v>
      </c>
      <c r="CP6" s="307">
        <f t="shared" ref="CP6:CW6" si="2">AA6/100*AW6</f>
        <v>0</v>
      </c>
      <c r="CQ6" s="307">
        <f t="shared" si="2"/>
        <v>0</v>
      </c>
      <c r="CR6" s="307">
        <f t="shared" si="2"/>
        <v>0</v>
      </c>
      <c r="CS6" s="307">
        <f t="shared" si="2"/>
        <v>0</v>
      </c>
      <c r="CT6" s="307">
        <f t="shared" si="2"/>
        <v>0</v>
      </c>
      <c r="CU6" s="307">
        <f t="shared" si="2"/>
        <v>0</v>
      </c>
      <c r="CV6" s="307">
        <f t="shared" si="2"/>
        <v>0</v>
      </c>
      <c r="CW6" s="307">
        <f t="shared" si="2"/>
        <v>0</v>
      </c>
      <c r="CX6" s="307">
        <f>AI6*BE6</f>
        <v>0</v>
      </c>
      <c r="CY6" s="307">
        <f>AJ6*BF6</f>
        <v>0</v>
      </c>
      <c r="CZ6" s="307">
        <f>AK6*BG6</f>
        <v>0</v>
      </c>
      <c r="DA6" s="307">
        <f>AL6*BH6</f>
        <v>0</v>
      </c>
      <c r="DB6" s="307">
        <f>AM6/100*BI6</f>
        <v>0</v>
      </c>
      <c r="DC6" s="803">
        <f t="shared" ref="DC6:DH6" si="3">AN6/100*BJ6</f>
        <v>0</v>
      </c>
      <c r="DD6" s="803">
        <f t="shared" si="3"/>
        <v>0</v>
      </c>
      <c r="DE6" s="803">
        <f t="shared" si="3"/>
        <v>0</v>
      </c>
      <c r="DF6" s="803">
        <f t="shared" si="3"/>
        <v>0</v>
      </c>
      <c r="DG6" s="803">
        <f t="shared" si="3"/>
        <v>0</v>
      </c>
      <c r="DH6" s="803">
        <f t="shared" si="3"/>
        <v>0</v>
      </c>
      <c r="DI6" s="307">
        <f t="shared" ref="DI6" si="4">AT6/100*BP6</f>
        <v>0</v>
      </c>
      <c r="DJ6" s="259">
        <f t="shared" ref="DJ6:DJ64" si="5">SUM(CO6:DI6)</f>
        <v>0</v>
      </c>
    </row>
    <row r="7" spans="1:115">
      <c r="A7" s="741" t="s">
        <v>606</v>
      </c>
      <c r="B7" s="742" t="s">
        <v>161</v>
      </c>
      <c r="C7" s="742" t="s">
        <v>161</v>
      </c>
      <c r="D7" s="749">
        <v>125</v>
      </c>
      <c r="E7" s="746">
        <v>5.31</v>
      </c>
      <c r="F7" s="746">
        <v>0</v>
      </c>
      <c r="G7" s="746">
        <v>0</v>
      </c>
      <c r="H7" s="746">
        <v>0</v>
      </c>
      <c r="I7" s="746">
        <v>0</v>
      </c>
      <c r="J7" s="746">
        <v>0</v>
      </c>
      <c r="K7" s="746">
        <v>0</v>
      </c>
      <c r="L7" s="746">
        <v>0</v>
      </c>
      <c r="M7" s="746">
        <v>0</v>
      </c>
      <c r="N7" s="746">
        <v>0</v>
      </c>
      <c r="O7" s="746">
        <v>0</v>
      </c>
      <c r="P7" s="746">
        <v>0</v>
      </c>
      <c r="Q7" s="746">
        <v>0</v>
      </c>
      <c r="R7" s="746">
        <v>0</v>
      </c>
      <c r="S7" s="746">
        <v>0</v>
      </c>
      <c r="T7" s="746">
        <v>0</v>
      </c>
      <c r="U7" s="746">
        <v>0</v>
      </c>
      <c r="V7" s="746">
        <v>0</v>
      </c>
      <c r="W7" s="746">
        <v>0</v>
      </c>
      <c r="X7" s="747">
        <v>0</v>
      </c>
      <c r="Z7" s="750">
        <v>125</v>
      </c>
      <c r="AA7" s="751">
        <v>5.39</v>
      </c>
      <c r="AB7" s="751">
        <v>0</v>
      </c>
      <c r="AC7" s="751">
        <v>0</v>
      </c>
      <c r="AD7" s="751">
        <v>0</v>
      </c>
      <c r="AE7" s="751">
        <v>0</v>
      </c>
      <c r="AF7" s="751">
        <v>0</v>
      </c>
      <c r="AG7" s="751">
        <v>0</v>
      </c>
      <c r="AH7" s="751">
        <v>0</v>
      </c>
      <c r="AI7" s="751">
        <v>0</v>
      </c>
      <c r="AJ7" s="751">
        <v>0</v>
      </c>
      <c r="AK7" s="751">
        <v>0</v>
      </c>
      <c r="AL7" s="751">
        <v>0</v>
      </c>
      <c r="AM7" s="751">
        <v>0</v>
      </c>
      <c r="AN7" s="751">
        <v>0</v>
      </c>
      <c r="AO7" s="751">
        <v>0</v>
      </c>
      <c r="AP7" s="751">
        <v>0</v>
      </c>
      <c r="AQ7" s="751">
        <v>0</v>
      </c>
      <c r="AR7" s="751">
        <v>0</v>
      </c>
      <c r="AS7" s="751">
        <v>0</v>
      </c>
      <c r="AT7" s="752">
        <v>0</v>
      </c>
      <c r="AU7" s="325"/>
      <c r="AV7" s="759">
        <v>539032.46582811594</v>
      </c>
      <c r="AW7" s="760">
        <v>2272899089.5894732</v>
      </c>
      <c r="AX7" s="760">
        <v>0</v>
      </c>
      <c r="AY7" s="760">
        <v>0</v>
      </c>
      <c r="AZ7" s="760">
        <v>0</v>
      </c>
      <c r="BA7" s="760">
        <v>0</v>
      </c>
      <c r="BB7" s="760">
        <v>0</v>
      </c>
      <c r="BC7" s="760">
        <v>0</v>
      </c>
      <c r="BD7" s="760">
        <v>0</v>
      </c>
      <c r="BE7" s="760">
        <v>0</v>
      </c>
      <c r="BF7" s="760">
        <v>0</v>
      </c>
      <c r="BG7" s="760">
        <v>0</v>
      </c>
      <c r="BH7" s="760">
        <v>0</v>
      </c>
      <c r="BI7" s="760">
        <v>0</v>
      </c>
      <c r="BJ7" s="760">
        <v>0</v>
      </c>
      <c r="BK7" s="760">
        <v>0</v>
      </c>
      <c r="BL7" s="760">
        <v>0</v>
      </c>
      <c r="BM7" s="760">
        <v>0</v>
      </c>
      <c r="BN7" s="760">
        <v>0</v>
      </c>
      <c r="BO7" s="760">
        <v>0</v>
      </c>
      <c r="BP7" s="761">
        <v>0</v>
      </c>
      <c r="BQ7" s="781">
        <f>SUM(AW7:BD7,BI7:BO7)</f>
        <v>2272899089.5894732</v>
      </c>
      <c r="BR7" s="306">
        <f t="shared" ref="BR7:BR25" si="6">D7*AV7</f>
        <v>67379058.228514493</v>
      </c>
      <c r="BS7" s="307">
        <f t="shared" si="0"/>
        <v>120690941.65720102</v>
      </c>
      <c r="BT7" s="307">
        <f t="shared" si="0"/>
        <v>0</v>
      </c>
      <c r="BU7" s="307">
        <f t="shared" si="0"/>
        <v>0</v>
      </c>
      <c r="BV7" s="307">
        <f t="shared" si="0"/>
        <v>0</v>
      </c>
      <c r="BW7" s="307">
        <f t="shared" si="0"/>
        <v>0</v>
      </c>
      <c r="BX7" s="307">
        <f t="shared" si="0"/>
        <v>0</v>
      </c>
      <c r="BY7" s="307">
        <f t="shared" si="0"/>
        <v>0</v>
      </c>
      <c r="BZ7" s="307">
        <f t="shared" si="0"/>
        <v>0</v>
      </c>
      <c r="CA7" s="307">
        <f t="shared" ref="CA7:CD25" si="7">M7*BE7</f>
        <v>0</v>
      </c>
      <c r="CB7" s="307">
        <f t="shared" si="7"/>
        <v>0</v>
      </c>
      <c r="CC7" s="307">
        <f t="shared" si="7"/>
        <v>0</v>
      </c>
      <c r="CD7" s="307">
        <f t="shared" si="7"/>
        <v>0</v>
      </c>
      <c r="CE7" s="307">
        <f t="shared" ref="CE7:CE25" si="8">Q7/100*BI7</f>
        <v>0</v>
      </c>
      <c r="CF7" s="307">
        <f t="shared" si="1"/>
        <v>0</v>
      </c>
      <c r="CG7" s="307">
        <f t="shared" si="1"/>
        <v>0</v>
      </c>
      <c r="CH7" s="307">
        <f t="shared" si="1"/>
        <v>0</v>
      </c>
      <c r="CI7" s="307">
        <f t="shared" si="1"/>
        <v>0</v>
      </c>
      <c r="CJ7" s="307">
        <f t="shared" si="1"/>
        <v>0</v>
      </c>
      <c r="CK7" s="307">
        <f t="shared" si="1"/>
        <v>0</v>
      </c>
      <c r="CL7" s="307">
        <f t="shared" si="1"/>
        <v>0</v>
      </c>
      <c r="CM7" s="259">
        <f t="shared" ref="CM7:CM65" si="9">SUM(BR7:CL7)</f>
        <v>188069999.88571551</v>
      </c>
      <c r="CN7" s="325"/>
      <c r="CO7" s="834">
        <f t="shared" ref="CO7:CO36" si="10">Z7*AV7</f>
        <v>67379058.228514493</v>
      </c>
      <c r="CP7" s="835">
        <f t="shared" ref="CP7:CP36" si="11">AA7/100*AW7</f>
        <v>122509260.9288726</v>
      </c>
      <c r="CQ7" s="835">
        <f t="shared" ref="CQ7:CQ36" si="12">AB7/100*AX7</f>
        <v>0</v>
      </c>
      <c r="CR7" s="835">
        <f t="shared" ref="CR7:CR36" si="13">AC7/100*AY7</f>
        <v>0</v>
      </c>
      <c r="CS7" s="835">
        <f t="shared" ref="CS7:CS36" si="14">AD7/100*AZ7</f>
        <v>0</v>
      </c>
      <c r="CT7" s="835">
        <f t="shared" ref="CT7:CT36" si="15">AE7/100*BA7</f>
        <v>0</v>
      </c>
      <c r="CU7" s="835">
        <f t="shared" ref="CU7:CU36" si="16">AF7/100*BB7</f>
        <v>0</v>
      </c>
      <c r="CV7" s="835">
        <f t="shared" ref="CV7:CV36" si="17">AG7/100*BC7</f>
        <v>0</v>
      </c>
      <c r="CW7" s="835">
        <f t="shared" ref="CW7:CW36" si="18">AH7/100*BD7</f>
        <v>0</v>
      </c>
      <c r="CX7" s="835">
        <f t="shared" ref="CX7:CX36" si="19">AI7*BE7</f>
        <v>0</v>
      </c>
      <c r="CY7" s="835">
        <f t="shared" ref="CY7:CY36" si="20">AJ7*BF7</f>
        <v>0</v>
      </c>
      <c r="CZ7" s="835">
        <f t="shared" ref="CZ7:CZ36" si="21">AK7*BG7</f>
        <v>0</v>
      </c>
      <c r="DA7" s="835">
        <f t="shared" ref="DA7:DA36" si="22">AL7*BH7</f>
        <v>0</v>
      </c>
      <c r="DB7" s="835">
        <f t="shared" ref="DB7:DB36" si="23">AM7/100*BI7</f>
        <v>0</v>
      </c>
      <c r="DC7" s="835">
        <f t="shared" ref="DC7:DC36" si="24">AN7/100*BJ7</f>
        <v>0</v>
      </c>
      <c r="DD7" s="835">
        <f t="shared" ref="DD7:DD36" si="25">AO7/100*BK7</f>
        <v>0</v>
      </c>
      <c r="DE7" s="835">
        <f t="shared" ref="DE7:DE36" si="26">AP7/100*BL7</f>
        <v>0</v>
      </c>
      <c r="DF7" s="835">
        <f t="shared" ref="DF7:DF36" si="27">AQ7/100*BM7</f>
        <v>0</v>
      </c>
      <c r="DG7" s="835">
        <f t="shared" ref="DG7:DG36" si="28">AR7/100*BN7</f>
        <v>0</v>
      </c>
      <c r="DH7" s="835">
        <f t="shared" ref="DH7:DH36" si="29">AS7/100*BO7</f>
        <v>0</v>
      </c>
      <c r="DI7" s="835">
        <f t="shared" ref="DI7:DI36" si="30">AT7/100*BP7</f>
        <v>0</v>
      </c>
      <c r="DJ7" s="836">
        <f t="shared" ref="DJ7:DJ36" si="31">SUM(CO7:DI7)</f>
        <v>189888319.15738708</v>
      </c>
      <c r="DK7" s="325"/>
    </row>
    <row r="8" spans="1:115">
      <c r="A8" s="741" t="s">
        <v>607</v>
      </c>
      <c r="B8" s="742" t="s">
        <v>162</v>
      </c>
      <c r="C8" s="742" t="s">
        <v>162</v>
      </c>
      <c r="D8" s="749">
        <v>0</v>
      </c>
      <c r="E8" s="746">
        <v>0</v>
      </c>
      <c r="F8" s="746">
        <v>7.52</v>
      </c>
      <c r="G8" s="746">
        <v>0</v>
      </c>
      <c r="H8" s="746">
        <v>0</v>
      </c>
      <c r="I8" s="746">
        <v>1.53</v>
      </c>
      <c r="J8" s="746">
        <v>0</v>
      </c>
      <c r="K8" s="746">
        <v>0</v>
      </c>
      <c r="L8" s="746">
        <v>0</v>
      </c>
      <c r="M8" s="746">
        <v>0</v>
      </c>
      <c r="N8" s="746">
        <v>0</v>
      </c>
      <c r="O8" s="746">
        <v>0</v>
      </c>
      <c r="P8" s="746">
        <v>0</v>
      </c>
      <c r="Q8" s="746">
        <v>0</v>
      </c>
      <c r="R8" s="746">
        <v>0</v>
      </c>
      <c r="S8" s="746">
        <v>0</v>
      </c>
      <c r="T8" s="746">
        <v>0</v>
      </c>
      <c r="U8" s="746">
        <v>0</v>
      </c>
      <c r="V8" s="746">
        <v>0</v>
      </c>
      <c r="W8" s="746">
        <v>0</v>
      </c>
      <c r="X8" s="747">
        <v>0</v>
      </c>
      <c r="Z8" s="750">
        <v>0</v>
      </c>
      <c r="AA8" s="751">
        <v>0</v>
      </c>
      <c r="AB8" s="751">
        <v>7.65</v>
      </c>
      <c r="AC8" s="751">
        <v>0</v>
      </c>
      <c r="AD8" s="751">
        <v>0</v>
      </c>
      <c r="AE8" s="751">
        <v>1.53</v>
      </c>
      <c r="AF8" s="751">
        <v>0</v>
      </c>
      <c r="AG8" s="751">
        <v>0</v>
      </c>
      <c r="AH8" s="751">
        <v>0</v>
      </c>
      <c r="AI8" s="751">
        <v>0</v>
      </c>
      <c r="AJ8" s="751">
        <v>0</v>
      </c>
      <c r="AK8" s="751">
        <v>0</v>
      </c>
      <c r="AL8" s="751">
        <v>0</v>
      </c>
      <c r="AM8" s="751">
        <v>0</v>
      </c>
      <c r="AN8" s="751">
        <v>0</v>
      </c>
      <c r="AO8" s="751">
        <v>0</v>
      </c>
      <c r="AP8" s="751">
        <v>0</v>
      </c>
      <c r="AQ8" s="751">
        <v>0</v>
      </c>
      <c r="AR8" s="751">
        <v>0</v>
      </c>
      <c r="AS8" s="751">
        <v>0</v>
      </c>
      <c r="AT8" s="752">
        <v>0</v>
      </c>
      <c r="AV8" s="762">
        <v>16710.636963036683</v>
      </c>
      <c r="AW8" s="760">
        <v>0</v>
      </c>
      <c r="AX8" s="760">
        <v>9017601.6452304553</v>
      </c>
      <c r="AY8" s="760">
        <v>0</v>
      </c>
      <c r="AZ8" s="760">
        <v>0</v>
      </c>
      <c r="BA8" s="760">
        <v>18758723.332495101</v>
      </c>
      <c r="BB8" s="760">
        <v>0</v>
      </c>
      <c r="BC8" s="760">
        <v>0</v>
      </c>
      <c r="BD8" s="760">
        <v>0</v>
      </c>
      <c r="BE8" s="760">
        <v>0</v>
      </c>
      <c r="BF8" s="760">
        <v>0</v>
      </c>
      <c r="BG8" s="760">
        <v>0</v>
      </c>
      <c r="BH8" s="760">
        <v>0</v>
      </c>
      <c r="BI8" s="760">
        <v>0</v>
      </c>
      <c r="BJ8" s="760">
        <v>0</v>
      </c>
      <c r="BK8" s="760">
        <v>0</v>
      </c>
      <c r="BL8" s="760">
        <v>0</v>
      </c>
      <c r="BM8" s="760">
        <v>0</v>
      </c>
      <c r="BN8" s="760">
        <v>0</v>
      </c>
      <c r="BO8" s="760">
        <v>0</v>
      </c>
      <c r="BP8" s="761">
        <v>0</v>
      </c>
      <c r="BQ8" s="781">
        <f>SUM(AW8:BD8,BI8:BO8)</f>
        <v>27776324.977725558</v>
      </c>
      <c r="BR8" s="306">
        <f t="shared" si="6"/>
        <v>0</v>
      </c>
      <c r="BS8" s="307">
        <f t="shared" si="0"/>
        <v>0</v>
      </c>
      <c r="BT8" s="307">
        <f t="shared" si="0"/>
        <v>678123.6437213301</v>
      </c>
      <c r="BU8" s="307">
        <f t="shared" si="0"/>
        <v>0</v>
      </c>
      <c r="BV8" s="307">
        <f t="shared" si="0"/>
        <v>0</v>
      </c>
      <c r="BW8" s="307">
        <f t="shared" si="0"/>
        <v>287008.46698717505</v>
      </c>
      <c r="BX8" s="307">
        <f t="shared" si="0"/>
        <v>0</v>
      </c>
      <c r="BY8" s="307">
        <f t="shared" si="0"/>
        <v>0</v>
      </c>
      <c r="BZ8" s="307">
        <f t="shared" si="0"/>
        <v>0</v>
      </c>
      <c r="CA8" s="307">
        <f t="shared" si="7"/>
        <v>0</v>
      </c>
      <c r="CB8" s="307">
        <f t="shared" si="7"/>
        <v>0</v>
      </c>
      <c r="CC8" s="307">
        <f t="shared" si="7"/>
        <v>0</v>
      </c>
      <c r="CD8" s="307">
        <f t="shared" si="7"/>
        <v>0</v>
      </c>
      <c r="CE8" s="307">
        <f t="shared" si="8"/>
        <v>0</v>
      </c>
      <c r="CF8" s="307">
        <f t="shared" si="1"/>
        <v>0</v>
      </c>
      <c r="CG8" s="307">
        <f t="shared" si="1"/>
        <v>0</v>
      </c>
      <c r="CH8" s="307">
        <f t="shared" si="1"/>
        <v>0</v>
      </c>
      <c r="CI8" s="307">
        <f t="shared" si="1"/>
        <v>0</v>
      </c>
      <c r="CJ8" s="307">
        <f t="shared" si="1"/>
        <v>0</v>
      </c>
      <c r="CK8" s="307">
        <f t="shared" si="1"/>
        <v>0</v>
      </c>
      <c r="CL8" s="307">
        <f t="shared" si="1"/>
        <v>0</v>
      </c>
      <c r="CM8" s="259">
        <f t="shared" si="9"/>
        <v>965132.11070850515</v>
      </c>
      <c r="CN8" s="325"/>
      <c r="CO8" s="834">
        <f t="shared" si="10"/>
        <v>0</v>
      </c>
      <c r="CP8" s="835">
        <f t="shared" si="11"/>
        <v>0</v>
      </c>
      <c r="CQ8" s="835">
        <f t="shared" si="12"/>
        <v>689846.52586012986</v>
      </c>
      <c r="CR8" s="835">
        <f t="shared" si="13"/>
        <v>0</v>
      </c>
      <c r="CS8" s="835">
        <f t="shared" si="14"/>
        <v>0</v>
      </c>
      <c r="CT8" s="835">
        <f t="shared" si="15"/>
        <v>287008.46698717505</v>
      </c>
      <c r="CU8" s="835">
        <f t="shared" si="16"/>
        <v>0</v>
      </c>
      <c r="CV8" s="835">
        <f t="shared" si="17"/>
        <v>0</v>
      </c>
      <c r="CW8" s="835">
        <f t="shared" si="18"/>
        <v>0</v>
      </c>
      <c r="CX8" s="835">
        <f t="shared" si="19"/>
        <v>0</v>
      </c>
      <c r="CY8" s="835">
        <f t="shared" si="20"/>
        <v>0</v>
      </c>
      <c r="CZ8" s="835">
        <f t="shared" si="21"/>
        <v>0</v>
      </c>
      <c r="DA8" s="835">
        <f t="shared" si="22"/>
        <v>0</v>
      </c>
      <c r="DB8" s="835">
        <f t="shared" si="23"/>
        <v>0</v>
      </c>
      <c r="DC8" s="835">
        <f t="shared" si="24"/>
        <v>0</v>
      </c>
      <c r="DD8" s="835">
        <f t="shared" si="25"/>
        <v>0</v>
      </c>
      <c r="DE8" s="835">
        <f t="shared" si="26"/>
        <v>0</v>
      </c>
      <c r="DF8" s="835">
        <f t="shared" si="27"/>
        <v>0</v>
      </c>
      <c r="DG8" s="835">
        <f t="shared" si="28"/>
        <v>0</v>
      </c>
      <c r="DH8" s="835">
        <f t="shared" si="29"/>
        <v>0</v>
      </c>
      <c r="DI8" s="835">
        <f t="shared" si="30"/>
        <v>0</v>
      </c>
      <c r="DJ8" s="836">
        <f t="shared" si="31"/>
        <v>976854.99284730491</v>
      </c>
      <c r="DK8" s="325"/>
    </row>
    <row r="9" spans="1:115">
      <c r="A9" s="741" t="s">
        <v>608</v>
      </c>
      <c r="B9" s="742" t="s">
        <v>163</v>
      </c>
      <c r="C9" s="742" t="s">
        <v>163</v>
      </c>
      <c r="D9" s="749">
        <v>0</v>
      </c>
      <c r="E9" s="746">
        <v>0</v>
      </c>
      <c r="F9" s="746">
        <v>7.52</v>
      </c>
      <c r="G9" s="746">
        <v>0</v>
      </c>
      <c r="H9" s="746">
        <v>0</v>
      </c>
      <c r="I9" s="746">
        <v>1.53</v>
      </c>
      <c r="J9" s="746">
        <v>0</v>
      </c>
      <c r="K9" s="746">
        <v>0</v>
      </c>
      <c r="L9" s="746">
        <v>0</v>
      </c>
      <c r="M9" s="746">
        <v>0</v>
      </c>
      <c r="N9" s="746">
        <v>0</v>
      </c>
      <c r="O9" s="746">
        <v>0</v>
      </c>
      <c r="P9" s="746">
        <v>0</v>
      </c>
      <c r="Q9" s="746">
        <v>0</v>
      </c>
      <c r="R9" s="746">
        <v>0</v>
      </c>
      <c r="S9" s="746">
        <v>0</v>
      </c>
      <c r="T9" s="746">
        <v>0</v>
      </c>
      <c r="U9" s="746">
        <v>0</v>
      </c>
      <c r="V9" s="746">
        <v>0</v>
      </c>
      <c r="W9" s="746">
        <v>0</v>
      </c>
      <c r="X9" s="747">
        <v>0</v>
      </c>
      <c r="Z9" s="750">
        <v>0</v>
      </c>
      <c r="AA9" s="751">
        <v>0</v>
      </c>
      <c r="AB9" s="751">
        <v>7.65</v>
      </c>
      <c r="AC9" s="751">
        <v>0</v>
      </c>
      <c r="AD9" s="751">
        <v>0</v>
      </c>
      <c r="AE9" s="751">
        <v>1.53</v>
      </c>
      <c r="AF9" s="751">
        <v>0</v>
      </c>
      <c r="AG9" s="751">
        <v>0</v>
      </c>
      <c r="AH9" s="751">
        <v>0</v>
      </c>
      <c r="AI9" s="751">
        <v>0</v>
      </c>
      <c r="AJ9" s="751">
        <v>0</v>
      </c>
      <c r="AK9" s="751">
        <v>0</v>
      </c>
      <c r="AL9" s="751">
        <v>0</v>
      </c>
      <c r="AM9" s="751">
        <v>0</v>
      </c>
      <c r="AN9" s="751">
        <v>0</v>
      </c>
      <c r="AO9" s="751">
        <v>0</v>
      </c>
      <c r="AP9" s="751">
        <v>0</v>
      </c>
      <c r="AQ9" s="751">
        <v>0</v>
      </c>
      <c r="AR9" s="751">
        <v>0</v>
      </c>
      <c r="AS9" s="751">
        <v>0</v>
      </c>
      <c r="AT9" s="752">
        <v>0</v>
      </c>
      <c r="AV9" s="762">
        <v>4570.6460355197851</v>
      </c>
      <c r="AW9" s="760">
        <v>0</v>
      </c>
      <c r="AX9" s="760">
        <v>2542127.9655480371</v>
      </c>
      <c r="AY9" s="760">
        <v>0</v>
      </c>
      <c r="AZ9" s="760">
        <v>0</v>
      </c>
      <c r="BA9" s="760">
        <v>5918747.1318818275</v>
      </c>
      <c r="BB9" s="760">
        <v>0</v>
      </c>
      <c r="BC9" s="760">
        <v>0</v>
      </c>
      <c r="BD9" s="760">
        <v>0</v>
      </c>
      <c r="BE9" s="760">
        <v>0</v>
      </c>
      <c r="BF9" s="760">
        <v>0</v>
      </c>
      <c r="BG9" s="760">
        <v>0</v>
      </c>
      <c r="BH9" s="760">
        <v>0</v>
      </c>
      <c r="BI9" s="760">
        <v>0</v>
      </c>
      <c r="BJ9" s="760">
        <v>0</v>
      </c>
      <c r="BK9" s="760">
        <v>0</v>
      </c>
      <c r="BL9" s="760">
        <v>0</v>
      </c>
      <c r="BM9" s="760">
        <v>0</v>
      </c>
      <c r="BN9" s="760">
        <v>0</v>
      </c>
      <c r="BO9" s="760">
        <v>0</v>
      </c>
      <c r="BP9" s="761">
        <v>0</v>
      </c>
      <c r="BQ9" s="781">
        <f t="shared" ref="BQ9:BQ65" si="32">SUM(AW9:BD9,BI9:BO9)</f>
        <v>8460875.0974298641</v>
      </c>
      <c r="BR9" s="306">
        <f t="shared" si="6"/>
        <v>0</v>
      </c>
      <c r="BS9" s="307">
        <f t="shared" si="0"/>
        <v>0</v>
      </c>
      <c r="BT9" s="307">
        <f t="shared" si="0"/>
        <v>191168.02300921237</v>
      </c>
      <c r="BU9" s="307">
        <f t="shared" si="0"/>
        <v>0</v>
      </c>
      <c r="BV9" s="307">
        <f t="shared" si="0"/>
        <v>0</v>
      </c>
      <c r="BW9" s="307">
        <f t="shared" si="0"/>
        <v>90556.831117791968</v>
      </c>
      <c r="BX9" s="307">
        <f t="shared" si="0"/>
        <v>0</v>
      </c>
      <c r="BY9" s="307">
        <f t="shared" si="0"/>
        <v>0</v>
      </c>
      <c r="BZ9" s="307">
        <f t="shared" si="0"/>
        <v>0</v>
      </c>
      <c r="CA9" s="307">
        <f t="shared" si="7"/>
        <v>0</v>
      </c>
      <c r="CB9" s="307">
        <f t="shared" si="7"/>
        <v>0</v>
      </c>
      <c r="CC9" s="307">
        <f t="shared" si="7"/>
        <v>0</v>
      </c>
      <c r="CD9" s="307">
        <f t="shared" si="7"/>
        <v>0</v>
      </c>
      <c r="CE9" s="307">
        <f t="shared" si="8"/>
        <v>0</v>
      </c>
      <c r="CF9" s="307">
        <f t="shared" si="1"/>
        <v>0</v>
      </c>
      <c r="CG9" s="307">
        <f t="shared" si="1"/>
        <v>0</v>
      </c>
      <c r="CH9" s="307">
        <f t="shared" si="1"/>
        <v>0</v>
      </c>
      <c r="CI9" s="307">
        <f t="shared" si="1"/>
        <v>0</v>
      </c>
      <c r="CJ9" s="307">
        <f t="shared" si="1"/>
        <v>0</v>
      </c>
      <c r="CK9" s="307">
        <f t="shared" si="1"/>
        <v>0</v>
      </c>
      <c r="CL9" s="307">
        <f t="shared" si="1"/>
        <v>0</v>
      </c>
      <c r="CM9" s="259">
        <f t="shared" si="9"/>
        <v>281724.85412700434</v>
      </c>
      <c r="CN9" s="325"/>
      <c r="CO9" s="834">
        <f t="shared" si="10"/>
        <v>0</v>
      </c>
      <c r="CP9" s="835">
        <f t="shared" si="11"/>
        <v>0</v>
      </c>
      <c r="CQ9" s="835">
        <f t="shared" si="12"/>
        <v>194472.78936442483</v>
      </c>
      <c r="CR9" s="835">
        <f t="shared" si="13"/>
        <v>0</v>
      </c>
      <c r="CS9" s="835">
        <f t="shared" si="14"/>
        <v>0</v>
      </c>
      <c r="CT9" s="835">
        <f t="shared" si="15"/>
        <v>90556.831117791968</v>
      </c>
      <c r="CU9" s="835">
        <f t="shared" si="16"/>
        <v>0</v>
      </c>
      <c r="CV9" s="835">
        <f t="shared" si="17"/>
        <v>0</v>
      </c>
      <c r="CW9" s="835">
        <f t="shared" si="18"/>
        <v>0</v>
      </c>
      <c r="CX9" s="835">
        <f t="shared" si="19"/>
        <v>0</v>
      </c>
      <c r="CY9" s="835">
        <f t="shared" si="20"/>
        <v>0</v>
      </c>
      <c r="CZ9" s="835">
        <f t="shared" si="21"/>
        <v>0</v>
      </c>
      <c r="DA9" s="835">
        <f t="shared" si="22"/>
        <v>0</v>
      </c>
      <c r="DB9" s="835">
        <f t="shared" si="23"/>
        <v>0</v>
      </c>
      <c r="DC9" s="835">
        <f t="shared" si="24"/>
        <v>0</v>
      </c>
      <c r="DD9" s="835">
        <f t="shared" si="25"/>
        <v>0</v>
      </c>
      <c r="DE9" s="835">
        <f t="shared" si="26"/>
        <v>0</v>
      </c>
      <c r="DF9" s="835">
        <f t="shared" si="27"/>
        <v>0</v>
      </c>
      <c r="DG9" s="835">
        <f t="shared" si="28"/>
        <v>0</v>
      </c>
      <c r="DH9" s="835">
        <f t="shared" si="29"/>
        <v>0</v>
      </c>
      <c r="DI9" s="835">
        <f t="shared" si="30"/>
        <v>0</v>
      </c>
      <c r="DJ9" s="836">
        <f t="shared" si="31"/>
        <v>285029.62048221682</v>
      </c>
      <c r="DK9" s="325"/>
    </row>
    <row r="10" spans="1:115">
      <c r="A10" s="741" t="s">
        <v>609</v>
      </c>
      <c r="B10" s="742" t="s">
        <v>164</v>
      </c>
      <c r="C10" s="742" t="s">
        <v>164</v>
      </c>
      <c r="D10" s="749">
        <v>125</v>
      </c>
      <c r="E10" s="746">
        <v>0</v>
      </c>
      <c r="F10" s="746">
        <v>0</v>
      </c>
      <c r="G10" s="746">
        <v>0</v>
      </c>
      <c r="H10" s="746">
        <v>0</v>
      </c>
      <c r="I10" s="746">
        <v>0</v>
      </c>
      <c r="J10" s="746">
        <v>0</v>
      </c>
      <c r="K10" s="746">
        <v>0</v>
      </c>
      <c r="L10" s="746">
        <v>0</v>
      </c>
      <c r="M10" s="746">
        <v>0</v>
      </c>
      <c r="N10" s="746">
        <v>0</v>
      </c>
      <c r="O10" s="746">
        <v>0</v>
      </c>
      <c r="P10" s="746">
        <v>0</v>
      </c>
      <c r="Q10" s="746">
        <v>9.74</v>
      </c>
      <c r="R10" s="746">
        <v>5.53</v>
      </c>
      <c r="S10" s="746">
        <v>2.16</v>
      </c>
      <c r="T10" s="746">
        <v>0</v>
      </c>
      <c r="U10" s="746">
        <v>9.74</v>
      </c>
      <c r="V10" s="746">
        <v>5.53</v>
      </c>
      <c r="W10" s="746">
        <v>2.16</v>
      </c>
      <c r="X10" s="747">
        <v>0</v>
      </c>
      <c r="Z10" s="750">
        <v>125</v>
      </c>
      <c r="AA10" s="751">
        <v>0</v>
      </c>
      <c r="AB10" s="751">
        <v>0</v>
      </c>
      <c r="AC10" s="751">
        <v>0</v>
      </c>
      <c r="AD10" s="751">
        <v>0</v>
      </c>
      <c r="AE10" s="751">
        <v>0</v>
      </c>
      <c r="AF10" s="751">
        <v>0</v>
      </c>
      <c r="AG10" s="751">
        <v>0</v>
      </c>
      <c r="AH10" s="751">
        <v>0</v>
      </c>
      <c r="AI10" s="751">
        <v>0</v>
      </c>
      <c r="AJ10" s="751">
        <v>0</v>
      </c>
      <c r="AK10" s="751">
        <v>0</v>
      </c>
      <c r="AL10" s="751">
        <v>0</v>
      </c>
      <c r="AM10" s="751">
        <v>9.92</v>
      </c>
      <c r="AN10" s="751">
        <v>5.62</v>
      </c>
      <c r="AO10" s="751">
        <v>2.1800000000000002</v>
      </c>
      <c r="AP10" s="751">
        <v>0</v>
      </c>
      <c r="AQ10" s="751">
        <v>9.92</v>
      </c>
      <c r="AR10" s="751">
        <v>5.62</v>
      </c>
      <c r="AS10" s="751">
        <v>2.1800000000000002</v>
      </c>
      <c r="AT10" s="752">
        <v>0</v>
      </c>
      <c r="AV10" s="762">
        <v>2967.2671330352036</v>
      </c>
      <c r="AW10" s="760">
        <v>0</v>
      </c>
      <c r="AX10" s="760">
        <v>0</v>
      </c>
      <c r="AY10" s="760">
        <v>0</v>
      </c>
      <c r="AZ10" s="760">
        <v>0</v>
      </c>
      <c r="BA10" s="760">
        <v>0</v>
      </c>
      <c r="BB10" s="760">
        <v>0</v>
      </c>
      <c r="BC10" s="760">
        <v>0</v>
      </c>
      <c r="BD10" s="760">
        <v>0</v>
      </c>
      <c r="BE10" s="760">
        <v>0</v>
      </c>
      <c r="BF10" s="760">
        <v>0</v>
      </c>
      <c r="BG10" s="760">
        <v>0</v>
      </c>
      <c r="BH10" s="760">
        <v>0</v>
      </c>
      <c r="BI10" s="760">
        <v>956328.95984420308</v>
      </c>
      <c r="BJ10" s="760">
        <v>1626467.6717377924</v>
      </c>
      <c r="BK10" s="760">
        <v>1172486.5586365885</v>
      </c>
      <c r="BL10" s="760">
        <v>0</v>
      </c>
      <c r="BM10" s="760">
        <v>2937193.6717076828</v>
      </c>
      <c r="BN10" s="760">
        <v>5211028.6206758963</v>
      </c>
      <c r="BO10" s="760">
        <v>4120190.7016217099</v>
      </c>
      <c r="BP10" s="761">
        <v>0</v>
      </c>
      <c r="BQ10" s="781">
        <f t="shared" si="32"/>
        <v>16023696.184223874</v>
      </c>
      <c r="BR10" s="306">
        <f t="shared" si="6"/>
        <v>370908.39162940043</v>
      </c>
      <c r="BS10" s="307">
        <f t="shared" si="0"/>
        <v>0</v>
      </c>
      <c r="BT10" s="307">
        <f t="shared" si="0"/>
        <v>0</v>
      </c>
      <c r="BU10" s="307">
        <f t="shared" si="0"/>
        <v>0</v>
      </c>
      <c r="BV10" s="307">
        <f t="shared" si="0"/>
        <v>0</v>
      </c>
      <c r="BW10" s="307">
        <f t="shared" si="0"/>
        <v>0</v>
      </c>
      <c r="BX10" s="307">
        <f t="shared" si="0"/>
        <v>0</v>
      </c>
      <c r="BY10" s="307">
        <f t="shared" si="0"/>
        <v>0</v>
      </c>
      <c r="BZ10" s="307">
        <f t="shared" si="0"/>
        <v>0</v>
      </c>
      <c r="CA10" s="307">
        <f t="shared" si="7"/>
        <v>0</v>
      </c>
      <c r="CB10" s="307">
        <f t="shared" si="7"/>
        <v>0</v>
      </c>
      <c r="CC10" s="307">
        <f t="shared" si="7"/>
        <v>0</v>
      </c>
      <c r="CD10" s="307">
        <f t="shared" si="7"/>
        <v>0</v>
      </c>
      <c r="CE10" s="307">
        <f t="shared" si="8"/>
        <v>93146.440688825387</v>
      </c>
      <c r="CF10" s="307">
        <f t="shared" si="1"/>
        <v>89943.662247099928</v>
      </c>
      <c r="CG10" s="307">
        <f t="shared" si="1"/>
        <v>25325.709666550312</v>
      </c>
      <c r="CH10" s="307">
        <f t="shared" si="1"/>
        <v>0</v>
      </c>
      <c r="CI10" s="307">
        <f t="shared" si="1"/>
        <v>286082.66362432833</v>
      </c>
      <c r="CJ10" s="307">
        <f t="shared" si="1"/>
        <v>288169.88272337709</v>
      </c>
      <c r="CK10" s="307">
        <f t="shared" si="1"/>
        <v>88996.119155028937</v>
      </c>
      <c r="CL10" s="307">
        <f t="shared" si="1"/>
        <v>0</v>
      </c>
      <c r="CM10" s="259">
        <f t="shared" si="9"/>
        <v>1242572.8697346104</v>
      </c>
      <c r="CN10" s="325"/>
      <c r="CO10" s="834">
        <f t="shared" si="10"/>
        <v>370908.39162940043</v>
      </c>
      <c r="CP10" s="835">
        <f t="shared" si="11"/>
        <v>0</v>
      </c>
      <c r="CQ10" s="835">
        <f t="shared" si="12"/>
        <v>0</v>
      </c>
      <c r="CR10" s="835">
        <f t="shared" si="13"/>
        <v>0</v>
      </c>
      <c r="CS10" s="835">
        <f t="shared" si="14"/>
        <v>0</v>
      </c>
      <c r="CT10" s="835">
        <f t="shared" si="15"/>
        <v>0</v>
      </c>
      <c r="CU10" s="835">
        <f t="shared" si="16"/>
        <v>0</v>
      </c>
      <c r="CV10" s="835">
        <f t="shared" si="17"/>
        <v>0</v>
      </c>
      <c r="CW10" s="835">
        <f t="shared" si="18"/>
        <v>0</v>
      </c>
      <c r="CX10" s="835">
        <f t="shared" si="19"/>
        <v>0</v>
      </c>
      <c r="CY10" s="835">
        <f t="shared" si="20"/>
        <v>0</v>
      </c>
      <c r="CZ10" s="835">
        <f t="shared" si="21"/>
        <v>0</v>
      </c>
      <c r="DA10" s="835">
        <f t="shared" si="22"/>
        <v>0</v>
      </c>
      <c r="DB10" s="835">
        <f t="shared" si="23"/>
        <v>94867.832816544949</v>
      </c>
      <c r="DC10" s="835">
        <f t="shared" si="24"/>
        <v>91407.483151663939</v>
      </c>
      <c r="DD10" s="835">
        <f t="shared" si="25"/>
        <v>25560.206978277631</v>
      </c>
      <c r="DE10" s="835">
        <f t="shared" si="26"/>
        <v>0</v>
      </c>
      <c r="DF10" s="835">
        <f t="shared" si="27"/>
        <v>291369.61223340215</v>
      </c>
      <c r="DG10" s="835">
        <f t="shared" si="28"/>
        <v>292859.80848198535</v>
      </c>
      <c r="DH10" s="835">
        <f t="shared" si="29"/>
        <v>89820.157295353274</v>
      </c>
      <c r="DI10" s="835">
        <f t="shared" si="30"/>
        <v>0</v>
      </c>
      <c r="DJ10" s="836">
        <f t="shared" si="31"/>
        <v>1256793.4925866276</v>
      </c>
      <c r="DK10" s="325"/>
    </row>
    <row r="11" spans="1:115">
      <c r="A11" s="741" t="s">
        <v>610</v>
      </c>
      <c r="B11" s="742" t="s">
        <v>165</v>
      </c>
      <c r="C11" s="742" t="s">
        <v>165</v>
      </c>
      <c r="D11" s="749">
        <v>125</v>
      </c>
      <c r="E11" s="746">
        <v>0</v>
      </c>
      <c r="F11" s="746">
        <v>0</v>
      </c>
      <c r="G11" s="746">
        <v>0</v>
      </c>
      <c r="H11" s="746">
        <v>0</v>
      </c>
      <c r="I11" s="746">
        <v>0</v>
      </c>
      <c r="J11" s="746">
        <v>0</v>
      </c>
      <c r="K11" s="746">
        <v>0</v>
      </c>
      <c r="L11" s="746">
        <v>0</v>
      </c>
      <c r="M11" s="746">
        <v>0</v>
      </c>
      <c r="N11" s="746">
        <v>0</v>
      </c>
      <c r="O11" s="746">
        <v>0</v>
      </c>
      <c r="P11" s="746">
        <v>0</v>
      </c>
      <c r="Q11" s="746">
        <v>5.27</v>
      </c>
      <c r="R11" s="746">
        <v>2.9</v>
      </c>
      <c r="S11" s="746">
        <v>1.01</v>
      </c>
      <c r="T11" s="746">
        <v>0</v>
      </c>
      <c r="U11" s="746">
        <v>5.27</v>
      </c>
      <c r="V11" s="746">
        <v>2.9</v>
      </c>
      <c r="W11" s="746">
        <v>1.01</v>
      </c>
      <c r="X11" s="747">
        <v>0</v>
      </c>
      <c r="Z11" s="750">
        <v>125</v>
      </c>
      <c r="AA11" s="751">
        <v>0</v>
      </c>
      <c r="AB11" s="751">
        <v>0</v>
      </c>
      <c r="AC11" s="751">
        <v>0</v>
      </c>
      <c r="AD11" s="751">
        <v>0</v>
      </c>
      <c r="AE11" s="751">
        <v>0</v>
      </c>
      <c r="AF11" s="751">
        <v>0</v>
      </c>
      <c r="AG11" s="751">
        <v>0</v>
      </c>
      <c r="AH11" s="751">
        <v>0</v>
      </c>
      <c r="AI11" s="751">
        <v>0</v>
      </c>
      <c r="AJ11" s="751">
        <v>0</v>
      </c>
      <c r="AK11" s="751">
        <v>0</v>
      </c>
      <c r="AL11" s="751">
        <v>0</v>
      </c>
      <c r="AM11" s="751">
        <v>5.35</v>
      </c>
      <c r="AN11" s="751">
        <v>2.93</v>
      </c>
      <c r="AO11" s="751">
        <v>0.99</v>
      </c>
      <c r="AP11" s="751">
        <v>0</v>
      </c>
      <c r="AQ11" s="751">
        <v>5.35</v>
      </c>
      <c r="AR11" s="751">
        <v>2.93</v>
      </c>
      <c r="AS11" s="751">
        <v>0.99</v>
      </c>
      <c r="AT11" s="752">
        <v>0</v>
      </c>
      <c r="AV11" s="762">
        <v>1</v>
      </c>
      <c r="AW11" s="760">
        <v>0</v>
      </c>
      <c r="AX11" s="760">
        <v>0</v>
      </c>
      <c r="AY11" s="760">
        <v>0</v>
      </c>
      <c r="AZ11" s="760">
        <v>0</v>
      </c>
      <c r="BA11" s="760">
        <v>0</v>
      </c>
      <c r="BB11" s="760">
        <v>0</v>
      </c>
      <c r="BC11" s="760">
        <v>0</v>
      </c>
      <c r="BD11" s="760">
        <v>0</v>
      </c>
      <c r="BE11" s="760">
        <v>0</v>
      </c>
      <c r="BF11" s="760">
        <v>0</v>
      </c>
      <c r="BG11" s="760">
        <v>0</v>
      </c>
      <c r="BH11" s="760">
        <v>0</v>
      </c>
      <c r="BI11" s="760">
        <v>298.5290379142466</v>
      </c>
      <c r="BJ11" s="760">
        <v>617.70654978974005</v>
      </c>
      <c r="BK11" s="760">
        <v>457.87060744643088</v>
      </c>
      <c r="BL11" s="760">
        <v>0</v>
      </c>
      <c r="BM11" s="760">
        <v>1021.464471610342</v>
      </c>
      <c r="BN11" s="760">
        <v>1968.8847604433372</v>
      </c>
      <c r="BO11" s="760">
        <v>1310.1094060087664</v>
      </c>
      <c r="BP11" s="761">
        <v>0</v>
      </c>
      <c r="BQ11" s="781">
        <f t="shared" si="32"/>
        <v>5674.564833212863</v>
      </c>
      <c r="BR11" s="306">
        <f t="shared" si="6"/>
        <v>125</v>
      </c>
      <c r="BS11" s="307">
        <f t="shared" si="0"/>
        <v>0</v>
      </c>
      <c r="BT11" s="307">
        <f t="shared" si="0"/>
        <v>0</v>
      </c>
      <c r="BU11" s="307">
        <f t="shared" si="0"/>
        <v>0</v>
      </c>
      <c r="BV11" s="307">
        <f t="shared" si="0"/>
        <v>0</v>
      </c>
      <c r="BW11" s="307">
        <f t="shared" si="0"/>
        <v>0</v>
      </c>
      <c r="BX11" s="307">
        <f t="shared" si="0"/>
        <v>0</v>
      </c>
      <c r="BY11" s="307">
        <f t="shared" si="0"/>
        <v>0</v>
      </c>
      <c r="BZ11" s="307">
        <f t="shared" si="0"/>
        <v>0</v>
      </c>
      <c r="CA11" s="307">
        <f t="shared" si="7"/>
        <v>0</v>
      </c>
      <c r="CB11" s="307">
        <f t="shared" si="7"/>
        <v>0</v>
      </c>
      <c r="CC11" s="307">
        <f t="shared" si="7"/>
        <v>0</v>
      </c>
      <c r="CD11" s="307">
        <f t="shared" si="7"/>
        <v>0</v>
      </c>
      <c r="CE11" s="307">
        <f>Q11/100*BI11</f>
        <v>15.732480298080795</v>
      </c>
      <c r="CF11" s="307">
        <f t="shared" si="1"/>
        <v>17.913489943902459</v>
      </c>
      <c r="CG11" s="307">
        <f t="shared" si="1"/>
        <v>4.6244931352089518</v>
      </c>
      <c r="CH11" s="307">
        <f t="shared" si="1"/>
        <v>0</v>
      </c>
      <c r="CI11" s="307">
        <f t="shared" si="1"/>
        <v>53.831177653865019</v>
      </c>
      <c r="CJ11" s="307">
        <f t="shared" si="1"/>
        <v>57.097658052856772</v>
      </c>
      <c r="CK11" s="307">
        <f t="shared" si="1"/>
        <v>13.23210500068854</v>
      </c>
      <c r="CL11" s="307">
        <f t="shared" si="1"/>
        <v>0</v>
      </c>
      <c r="CM11" s="259">
        <f t="shared" si="9"/>
        <v>287.43140408460249</v>
      </c>
      <c r="CN11" s="325"/>
      <c r="CO11" s="834">
        <f t="shared" si="10"/>
        <v>125</v>
      </c>
      <c r="CP11" s="835">
        <f t="shared" si="11"/>
        <v>0</v>
      </c>
      <c r="CQ11" s="835">
        <f t="shared" si="12"/>
        <v>0</v>
      </c>
      <c r="CR11" s="835">
        <f t="shared" si="13"/>
        <v>0</v>
      </c>
      <c r="CS11" s="835">
        <f t="shared" si="14"/>
        <v>0</v>
      </c>
      <c r="CT11" s="835">
        <f t="shared" si="15"/>
        <v>0</v>
      </c>
      <c r="CU11" s="835">
        <f t="shared" si="16"/>
        <v>0</v>
      </c>
      <c r="CV11" s="835">
        <f t="shared" si="17"/>
        <v>0</v>
      </c>
      <c r="CW11" s="835">
        <f t="shared" si="18"/>
        <v>0</v>
      </c>
      <c r="CX11" s="835">
        <f t="shared" si="19"/>
        <v>0</v>
      </c>
      <c r="CY11" s="835">
        <f t="shared" si="20"/>
        <v>0</v>
      </c>
      <c r="CZ11" s="835">
        <f t="shared" si="21"/>
        <v>0</v>
      </c>
      <c r="DA11" s="835">
        <f t="shared" si="22"/>
        <v>0</v>
      </c>
      <c r="DB11" s="835">
        <f t="shared" si="23"/>
        <v>15.971303528412193</v>
      </c>
      <c r="DC11" s="835">
        <f t="shared" si="24"/>
        <v>18.098801908839384</v>
      </c>
      <c r="DD11" s="835">
        <f t="shared" si="25"/>
        <v>4.5329190137196651</v>
      </c>
      <c r="DE11" s="835">
        <f t="shared" si="26"/>
        <v>0</v>
      </c>
      <c r="DF11" s="835">
        <f t="shared" si="27"/>
        <v>54.648349231153297</v>
      </c>
      <c r="DG11" s="835">
        <f t="shared" si="28"/>
        <v>57.688323480989787</v>
      </c>
      <c r="DH11" s="835">
        <f t="shared" si="29"/>
        <v>12.970083119486786</v>
      </c>
      <c r="DI11" s="835">
        <f t="shared" si="30"/>
        <v>0</v>
      </c>
      <c r="DJ11" s="836">
        <f t="shared" si="31"/>
        <v>288.9097802826011</v>
      </c>
      <c r="DK11" s="325"/>
    </row>
    <row r="12" spans="1:115">
      <c r="A12" s="741" t="s">
        <v>611</v>
      </c>
      <c r="B12" s="742" t="s">
        <v>166</v>
      </c>
      <c r="C12" s="742" t="s">
        <v>166</v>
      </c>
      <c r="D12" s="749">
        <v>0</v>
      </c>
      <c r="E12" s="746">
        <v>0</v>
      </c>
      <c r="F12" s="746">
        <v>0</v>
      </c>
      <c r="G12" s="746">
        <v>0</v>
      </c>
      <c r="H12" s="746">
        <v>0</v>
      </c>
      <c r="I12" s="746">
        <v>0</v>
      </c>
      <c r="J12" s="746">
        <v>0</v>
      </c>
      <c r="K12" s="746">
        <v>0</v>
      </c>
      <c r="L12" s="746">
        <v>0</v>
      </c>
      <c r="M12" s="746">
        <v>0</v>
      </c>
      <c r="N12" s="746">
        <v>0</v>
      </c>
      <c r="O12" s="746">
        <v>0</v>
      </c>
      <c r="P12" s="746">
        <v>0</v>
      </c>
      <c r="Q12" s="746">
        <v>7.52</v>
      </c>
      <c r="R12" s="746">
        <v>0</v>
      </c>
      <c r="S12" s="746">
        <v>0</v>
      </c>
      <c r="T12" s="746">
        <v>0</v>
      </c>
      <c r="U12" s="746">
        <v>1.53</v>
      </c>
      <c r="V12" s="746">
        <v>0</v>
      </c>
      <c r="W12" s="746">
        <v>0</v>
      </c>
      <c r="X12" s="747">
        <v>0</v>
      </c>
      <c r="Z12" s="750">
        <v>0</v>
      </c>
      <c r="AA12" s="751">
        <v>0</v>
      </c>
      <c r="AB12" s="751">
        <v>0</v>
      </c>
      <c r="AC12" s="751">
        <v>0</v>
      </c>
      <c r="AD12" s="751">
        <v>0</v>
      </c>
      <c r="AE12" s="751">
        <v>0</v>
      </c>
      <c r="AF12" s="751">
        <v>0</v>
      </c>
      <c r="AG12" s="751">
        <v>0</v>
      </c>
      <c r="AH12" s="751">
        <v>0</v>
      </c>
      <c r="AI12" s="751">
        <v>0</v>
      </c>
      <c r="AJ12" s="751">
        <v>0</v>
      </c>
      <c r="AK12" s="751">
        <v>0</v>
      </c>
      <c r="AL12" s="751">
        <v>0</v>
      </c>
      <c r="AM12" s="751">
        <v>7.65</v>
      </c>
      <c r="AN12" s="751">
        <v>0</v>
      </c>
      <c r="AO12" s="751">
        <v>0</v>
      </c>
      <c r="AP12" s="751">
        <v>0</v>
      </c>
      <c r="AQ12" s="751">
        <v>1.53</v>
      </c>
      <c r="AR12" s="751">
        <v>0</v>
      </c>
      <c r="AS12" s="751">
        <v>0</v>
      </c>
      <c r="AT12" s="752">
        <v>0</v>
      </c>
      <c r="AV12" s="762">
        <v>61.27586321164447</v>
      </c>
      <c r="AW12" s="760">
        <v>0</v>
      </c>
      <c r="AX12" s="760">
        <v>0</v>
      </c>
      <c r="AY12" s="760">
        <v>0</v>
      </c>
      <c r="AZ12" s="760">
        <v>0</v>
      </c>
      <c r="BA12" s="760">
        <v>0</v>
      </c>
      <c r="BB12" s="760">
        <v>0</v>
      </c>
      <c r="BC12" s="760">
        <v>0</v>
      </c>
      <c r="BD12" s="760">
        <v>0</v>
      </c>
      <c r="BE12" s="760">
        <v>0</v>
      </c>
      <c r="BF12" s="760">
        <v>0</v>
      </c>
      <c r="BG12" s="760">
        <v>0</v>
      </c>
      <c r="BH12" s="760">
        <v>0</v>
      </c>
      <c r="BI12" s="760">
        <v>24228.472062985416</v>
      </c>
      <c r="BJ12" s="760">
        <v>0</v>
      </c>
      <c r="BK12" s="760">
        <v>0</v>
      </c>
      <c r="BL12" s="760">
        <v>0</v>
      </c>
      <c r="BM12" s="760">
        <v>68208.94308571906</v>
      </c>
      <c r="BN12" s="760">
        <v>0</v>
      </c>
      <c r="BO12" s="760">
        <v>0</v>
      </c>
      <c r="BP12" s="761">
        <v>0</v>
      </c>
      <c r="BQ12" s="781">
        <f t="shared" si="32"/>
        <v>92437.415148704473</v>
      </c>
      <c r="BR12" s="306">
        <f t="shared" si="6"/>
        <v>0</v>
      </c>
      <c r="BS12" s="307">
        <f t="shared" si="0"/>
        <v>0</v>
      </c>
      <c r="BT12" s="307">
        <f t="shared" si="0"/>
        <v>0</v>
      </c>
      <c r="BU12" s="307">
        <f t="shared" si="0"/>
        <v>0</v>
      </c>
      <c r="BV12" s="307">
        <f t="shared" si="0"/>
        <v>0</v>
      </c>
      <c r="BW12" s="307">
        <f t="shared" si="0"/>
        <v>0</v>
      </c>
      <c r="BX12" s="307">
        <f t="shared" si="0"/>
        <v>0</v>
      </c>
      <c r="BY12" s="307">
        <f t="shared" si="0"/>
        <v>0</v>
      </c>
      <c r="BZ12" s="307">
        <f t="shared" si="0"/>
        <v>0</v>
      </c>
      <c r="CA12" s="307">
        <f t="shared" si="7"/>
        <v>0</v>
      </c>
      <c r="CB12" s="307">
        <f t="shared" si="7"/>
        <v>0</v>
      </c>
      <c r="CC12" s="307">
        <f t="shared" si="7"/>
        <v>0</v>
      </c>
      <c r="CD12" s="307">
        <f t="shared" si="7"/>
        <v>0</v>
      </c>
      <c r="CE12" s="307">
        <f t="shared" si="8"/>
        <v>1821.981099136503</v>
      </c>
      <c r="CF12" s="307">
        <f t="shared" si="1"/>
        <v>0</v>
      </c>
      <c r="CG12" s="307">
        <f t="shared" si="1"/>
        <v>0</v>
      </c>
      <c r="CH12" s="307">
        <f t="shared" si="1"/>
        <v>0</v>
      </c>
      <c r="CI12" s="307">
        <f t="shared" si="1"/>
        <v>1043.5968292115017</v>
      </c>
      <c r="CJ12" s="307">
        <f t="shared" si="1"/>
        <v>0</v>
      </c>
      <c r="CK12" s="307">
        <f t="shared" si="1"/>
        <v>0</v>
      </c>
      <c r="CL12" s="307">
        <f t="shared" si="1"/>
        <v>0</v>
      </c>
      <c r="CM12" s="259">
        <f t="shared" si="9"/>
        <v>2865.5779283480047</v>
      </c>
      <c r="CN12" s="325"/>
      <c r="CO12" s="834">
        <f t="shared" si="10"/>
        <v>0</v>
      </c>
      <c r="CP12" s="835">
        <f t="shared" si="11"/>
        <v>0</v>
      </c>
      <c r="CQ12" s="835">
        <f t="shared" si="12"/>
        <v>0</v>
      </c>
      <c r="CR12" s="835">
        <f t="shared" si="13"/>
        <v>0</v>
      </c>
      <c r="CS12" s="835">
        <f t="shared" si="14"/>
        <v>0</v>
      </c>
      <c r="CT12" s="835">
        <f t="shared" si="15"/>
        <v>0</v>
      </c>
      <c r="CU12" s="835">
        <f t="shared" si="16"/>
        <v>0</v>
      </c>
      <c r="CV12" s="835">
        <f t="shared" si="17"/>
        <v>0</v>
      </c>
      <c r="CW12" s="835">
        <f t="shared" si="18"/>
        <v>0</v>
      </c>
      <c r="CX12" s="835">
        <f t="shared" si="19"/>
        <v>0</v>
      </c>
      <c r="CY12" s="835">
        <f t="shared" si="20"/>
        <v>0</v>
      </c>
      <c r="CZ12" s="835">
        <f t="shared" si="21"/>
        <v>0</v>
      </c>
      <c r="DA12" s="835">
        <f t="shared" si="22"/>
        <v>0</v>
      </c>
      <c r="DB12" s="835">
        <f t="shared" si="23"/>
        <v>1853.4781128183843</v>
      </c>
      <c r="DC12" s="835">
        <f t="shared" si="24"/>
        <v>0</v>
      </c>
      <c r="DD12" s="835">
        <f t="shared" si="25"/>
        <v>0</v>
      </c>
      <c r="DE12" s="835">
        <f t="shared" si="26"/>
        <v>0</v>
      </c>
      <c r="DF12" s="835">
        <f t="shared" si="27"/>
        <v>1043.5968292115017</v>
      </c>
      <c r="DG12" s="835">
        <f t="shared" si="28"/>
        <v>0</v>
      </c>
      <c r="DH12" s="835">
        <f t="shared" si="29"/>
        <v>0</v>
      </c>
      <c r="DI12" s="835">
        <f t="shared" si="30"/>
        <v>0</v>
      </c>
      <c r="DJ12" s="836">
        <f t="shared" si="31"/>
        <v>2897.0749420298862</v>
      </c>
      <c r="DK12" s="325"/>
    </row>
    <row r="13" spans="1:115">
      <c r="A13" s="741" t="s">
        <v>612</v>
      </c>
      <c r="B13" s="742" t="s">
        <v>167</v>
      </c>
      <c r="C13" s="742" t="s">
        <v>167</v>
      </c>
      <c r="D13" s="749">
        <v>125</v>
      </c>
      <c r="E13" s="746">
        <v>4.84</v>
      </c>
      <c r="F13" s="746">
        <v>0</v>
      </c>
      <c r="G13" s="746">
        <v>0</v>
      </c>
      <c r="H13" s="746">
        <v>0</v>
      </c>
      <c r="I13" s="746">
        <v>0</v>
      </c>
      <c r="J13" s="746">
        <v>0</v>
      </c>
      <c r="K13" s="746">
        <v>0</v>
      </c>
      <c r="L13" s="746">
        <v>0</v>
      </c>
      <c r="M13" s="746">
        <v>0</v>
      </c>
      <c r="N13" s="746">
        <v>0</v>
      </c>
      <c r="O13" s="746">
        <v>0</v>
      </c>
      <c r="P13" s="746">
        <v>0</v>
      </c>
      <c r="Q13" s="746">
        <v>0</v>
      </c>
      <c r="R13" s="746">
        <v>0</v>
      </c>
      <c r="S13" s="746">
        <v>0</v>
      </c>
      <c r="T13" s="746">
        <v>0</v>
      </c>
      <c r="U13" s="746">
        <v>0</v>
      </c>
      <c r="V13" s="746">
        <v>0</v>
      </c>
      <c r="W13" s="746">
        <v>0</v>
      </c>
      <c r="X13" s="747">
        <v>0</v>
      </c>
      <c r="Z13" s="750">
        <v>125</v>
      </c>
      <c r="AA13" s="751">
        <v>4.92</v>
      </c>
      <c r="AB13" s="751">
        <v>0</v>
      </c>
      <c r="AC13" s="751">
        <v>0</v>
      </c>
      <c r="AD13" s="751">
        <v>0</v>
      </c>
      <c r="AE13" s="751">
        <v>0</v>
      </c>
      <c r="AF13" s="751">
        <v>0</v>
      </c>
      <c r="AG13" s="751">
        <v>0</v>
      </c>
      <c r="AH13" s="751">
        <v>0</v>
      </c>
      <c r="AI13" s="751">
        <v>0</v>
      </c>
      <c r="AJ13" s="751">
        <v>0</v>
      </c>
      <c r="AK13" s="751">
        <v>0</v>
      </c>
      <c r="AL13" s="751">
        <v>0</v>
      </c>
      <c r="AM13" s="751">
        <v>0</v>
      </c>
      <c r="AN13" s="751">
        <v>0</v>
      </c>
      <c r="AO13" s="751">
        <v>0</v>
      </c>
      <c r="AP13" s="751">
        <v>0</v>
      </c>
      <c r="AQ13" s="751">
        <v>0</v>
      </c>
      <c r="AR13" s="751">
        <v>0</v>
      </c>
      <c r="AS13" s="751">
        <v>0</v>
      </c>
      <c r="AT13" s="752">
        <v>0</v>
      </c>
      <c r="AV13" s="762">
        <v>1</v>
      </c>
      <c r="AW13" s="760">
        <v>11930.930400874076</v>
      </c>
      <c r="AX13" s="760">
        <v>0</v>
      </c>
      <c r="AY13" s="760">
        <v>0</v>
      </c>
      <c r="AZ13" s="760">
        <v>0</v>
      </c>
      <c r="BA13" s="760">
        <v>0</v>
      </c>
      <c r="BB13" s="760">
        <v>0</v>
      </c>
      <c r="BC13" s="760">
        <v>0</v>
      </c>
      <c r="BD13" s="760">
        <v>0</v>
      </c>
      <c r="BE13" s="760">
        <v>0</v>
      </c>
      <c r="BF13" s="760">
        <v>0</v>
      </c>
      <c r="BG13" s="760">
        <v>0</v>
      </c>
      <c r="BH13" s="760">
        <v>0</v>
      </c>
      <c r="BI13" s="760">
        <v>0</v>
      </c>
      <c r="BJ13" s="760">
        <v>0</v>
      </c>
      <c r="BK13" s="760">
        <v>0</v>
      </c>
      <c r="BL13" s="760">
        <v>0</v>
      </c>
      <c r="BM13" s="760">
        <v>0</v>
      </c>
      <c r="BN13" s="760">
        <v>0</v>
      </c>
      <c r="BO13" s="760">
        <v>0</v>
      </c>
      <c r="BP13" s="761">
        <v>0</v>
      </c>
      <c r="BQ13" s="781">
        <f t="shared" si="32"/>
        <v>11930.930400874076</v>
      </c>
      <c r="BR13" s="306">
        <f t="shared" si="6"/>
        <v>125</v>
      </c>
      <c r="BS13" s="307">
        <f t="shared" si="0"/>
        <v>577.45703140230523</v>
      </c>
      <c r="BT13" s="307">
        <f t="shared" si="0"/>
        <v>0</v>
      </c>
      <c r="BU13" s="307">
        <f t="shared" si="0"/>
        <v>0</v>
      </c>
      <c r="BV13" s="307">
        <f t="shared" si="0"/>
        <v>0</v>
      </c>
      <c r="BW13" s="307">
        <f t="shared" si="0"/>
        <v>0</v>
      </c>
      <c r="BX13" s="307">
        <f t="shared" si="0"/>
        <v>0</v>
      </c>
      <c r="BY13" s="307">
        <f t="shared" si="0"/>
        <v>0</v>
      </c>
      <c r="BZ13" s="307">
        <f t="shared" si="0"/>
        <v>0</v>
      </c>
      <c r="CA13" s="307">
        <f t="shared" si="7"/>
        <v>0</v>
      </c>
      <c r="CB13" s="307">
        <f t="shared" si="7"/>
        <v>0</v>
      </c>
      <c r="CC13" s="307">
        <f t="shared" si="7"/>
        <v>0</v>
      </c>
      <c r="CD13" s="307">
        <f t="shared" si="7"/>
        <v>0</v>
      </c>
      <c r="CE13" s="307">
        <f t="shared" si="8"/>
        <v>0</v>
      </c>
      <c r="CF13" s="307">
        <f t="shared" si="1"/>
        <v>0</v>
      </c>
      <c r="CG13" s="307">
        <f t="shared" si="1"/>
        <v>0</v>
      </c>
      <c r="CH13" s="307">
        <f t="shared" si="1"/>
        <v>0</v>
      </c>
      <c r="CI13" s="307">
        <f t="shared" si="1"/>
        <v>0</v>
      </c>
      <c r="CJ13" s="307">
        <f t="shared" si="1"/>
        <v>0</v>
      </c>
      <c r="CK13" s="307">
        <f t="shared" si="1"/>
        <v>0</v>
      </c>
      <c r="CL13" s="307">
        <f t="shared" si="1"/>
        <v>0</v>
      </c>
      <c r="CM13" s="259">
        <f t="shared" si="9"/>
        <v>702.45703140230523</v>
      </c>
      <c r="CN13" s="325"/>
      <c r="CO13" s="834">
        <f t="shared" si="10"/>
        <v>125</v>
      </c>
      <c r="CP13" s="835">
        <f t="shared" si="11"/>
        <v>587.00177572300458</v>
      </c>
      <c r="CQ13" s="835">
        <f t="shared" si="12"/>
        <v>0</v>
      </c>
      <c r="CR13" s="835">
        <f t="shared" si="13"/>
        <v>0</v>
      </c>
      <c r="CS13" s="835">
        <f t="shared" si="14"/>
        <v>0</v>
      </c>
      <c r="CT13" s="835">
        <f t="shared" si="15"/>
        <v>0</v>
      </c>
      <c r="CU13" s="835">
        <f t="shared" si="16"/>
        <v>0</v>
      </c>
      <c r="CV13" s="835">
        <f t="shared" si="17"/>
        <v>0</v>
      </c>
      <c r="CW13" s="835">
        <f t="shared" si="18"/>
        <v>0</v>
      </c>
      <c r="CX13" s="835">
        <f t="shared" si="19"/>
        <v>0</v>
      </c>
      <c r="CY13" s="835">
        <f t="shared" si="20"/>
        <v>0</v>
      </c>
      <c r="CZ13" s="835">
        <f t="shared" si="21"/>
        <v>0</v>
      </c>
      <c r="DA13" s="835">
        <f t="shared" si="22"/>
        <v>0</v>
      </c>
      <c r="DB13" s="835">
        <f t="shared" si="23"/>
        <v>0</v>
      </c>
      <c r="DC13" s="835">
        <f t="shared" si="24"/>
        <v>0</v>
      </c>
      <c r="DD13" s="835">
        <f t="shared" si="25"/>
        <v>0</v>
      </c>
      <c r="DE13" s="835">
        <f t="shared" si="26"/>
        <v>0</v>
      </c>
      <c r="DF13" s="835">
        <f t="shared" si="27"/>
        <v>0</v>
      </c>
      <c r="DG13" s="835">
        <f t="shared" si="28"/>
        <v>0</v>
      </c>
      <c r="DH13" s="835">
        <f t="shared" si="29"/>
        <v>0</v>
      </c>
      <c r="DI13" s="835">
        <f t="shared" si="30"/>
        <v>0</v>
      </c>
      <c r="DJ13" s="836">
        <f t="shared" si="31"/>
        <v>712.00177572300458</v>
      </c>
      <c r="DK13" s="325"/>
    </row>
    <row r="14" spans="1:115">
      <c r="A14" s="741" t="s">
        <v>613</v>
      </c>
      <c r="B14" s="742" t="s">
        <v>168</v>
      </c>
      <c r="C14" s="742" t="s">
        <v>168</v>
      </c>
      <c r="D14" s="749">
        <v>125</v>
      </c>
      <c r="E14" s="746">
        <v>0</v>
      </c>
      <c r="F14" s="746">
        <v>9.31</v>
      </c>
      <c r="G14" s="746">
        <v>0</v>
      </c>
      <c r="H14" s="746">
        <v>0</v>
      </c>
      <c r="I14" s="746">
        <v>1.77</v>
      </c>
      <c r="J14" s="746">
        <v>0</v>
      </c>
      <c r="K14" s="746">
        <v>0</v>
      </c>
      <c r="L14" s="746">
        <v>0</v>
      </c>
      <c r="M14" s="746">
        <v>0</v>
      </c>
      <c r="N14" s="746">
        <v>0</v>
      </c>
      <c r="O14" s="746">
        <v>0</v>
      </c>
      <c r="P14" s="746">
        <v>0</v>
      </c>
      <c r="Q14" s="746">
        <v>0</v>
      </c>
      <c r="R14" s="746">
        <v>0</v>
      </c>
      <c r="S14" s="746">
        <v>0</v>
      </c>
      <c r="T14" s="746">
        <v>0</v>
      </c>
      <c r="U14" s="746">
        <v>0</v>
      </c>
      <c r="V14" s="746">
        <v>0</v>
      </c>
      <c r="W14" s="746">
        <v>0</v>
      </c>
      <c r="X14" s="747">
        <v>0</v>
      </c>
      <c r="Z14" s="750">
        <v>125</v>
      </c>
      <c r="AA14" s="751">
        <v>0</v>
      </c>
      <c r="AB14" s="751">
        <v>9.48</v>
      </c>
      <c r="AC14" s="751">
        <v>0</v>
      </c>
      <c r="AD14" s="751">
        <v>0</v>
      </c>
      <c r="AE14" s="751">
        <v>1.78</v>
      </c>
      <c r="AF14" s="751">
        <v>0</v>
      </c>
      <c r="AG14" s="751">
        <v>0</v>
      </c>
      <c r="AH14" s="751">
        <v>0</v>
      </c>
      <c r="AI14" s="751">
        <v>0</v>
      </c>
      <c r="AJ14" s="751">
        <v>0</v>
      </c>
      <c r="AK14" s="751">
        <v>0</v>
      </c>
      <c r="AL14" s="751">
        <v>0</v>
      </c>
      <c r="AM14" s="751">
        <v>0</v>
      </c>
      <c r="AN14" s="751">
        <v>0</v>
      </c>
      <c r="AO14" s="751">
        <v>0</v>
      </c>
      <c r="AP14" s="751">
        <v>0</v>
      </c>
      <c r="AQ14" s="751">
        <v>0</v>
      </c>
      <c r="AR14" s="751">
        <v>0</v>
      </c>
      <c r="AS14" s="751">
        <v>0</v>
      </c>
      <c r="AT14" s="752">
        <v>0</v>
      </c>
      <c r="AV14" s="762">
        <v>45013.527025864743</v>
      </c>
      <c r="AW14" s="760">
        <v>0</v>
      </c>
      <c r="AX14" s="760">
        <v>123396558.84951775</v>
      </c>
      <c r="AY14" s="760">
        <v>0</v>
      </c>
      <c r="AZ14" s="760">
        <v>0</v>
      </c>
      <c r="BA14" s="760">
        <v>113802346.92927302</v>
      </c>
      <c r="BB14" s="760">
        <v>0</v>
      </c>
      <c r="BC14" s="760">
        <v>0</v>
      </c>
      <c r="BD14" s="760">
        <v>0</v>
      </c>
      <c r="BE14" s="760">
        <v>0</v>
      </c>
      <c r="BF14" s="760">
        <v>0</v>
      </c>
      <c r="BG14" s="760">
        <v>0</v>
      </c>
      <c r="BH14" s="760">
        <v>0</v>
      </c>
      <c r="BI14" s="760">
        <v>0</v>
      </c>
      <c r="BJ14" s="760">
        <v>0</v>
      </c>
      <c r="BK14" s="760">
        <v>0</v>
      </c>
      <c r="BL14" s="760">
        <v>0</v>
      </c>
      <c r="BM14" s="760">
        <v>0</v>
      </c>
      <c r="BN14" s="760">
        <v>0</v>
      </c>
      <c r="BO14" s="760">
        <v>0</v>
      </c>
      <c r="BP14" s="761">
        <v>0</v>
      </c>
      <c r="BQ14" s="781">
        <f t="shared" si="32"/>
        <v>237198905.77879077</v>
      </c>
      <c r="BR14" s="306">
        <f t="shared" si="6"/>
        <v>5626690.8782330928</v>
      </c>
      <c r="BS14" s="307">
        <f t="shared" si="0"/>
        <v>0</v>
      </c>
      <c r="BT14" s="307">
        <f t="shared" si="0"/>
        <v>11488219.628890103</v>
      </c>
      <c r="BU14" s="307">
        <f t="shared" si="0"/>
        <v>0</v>
      </c>
      <c r="BV14" s="307">
        <f t="shared" si="0"/>
        <v>0</v>
      </c>
      <c r="BW14" s="307">
        <f t="shared" si="0"/>
        <v>2014301.5406481326</v>
      </c>
      <c r="BX14" s="307">
        <f t="shared" si="0"/>
        <v>0</v>
      </c>
      <c r="BY14" s="307">
        <f t="shared" si="0"/>
        <v>0</v>
      </c>
      <c r="BZ14" s="307">
        <f t="shared" si="0"/>
        <v>0</v>
      </c>
      <c r="CA14" s="307">
        <f t="shared" si="7"/>
        <v>0</v>
      </c>
      <c r="CB14" s="307">
        <f t="shared" si="7"/>
        <v>0</v>
      </c>
      <c r="CC14" s="307">
        <f t="shared" si="7"/>
        <v>0</v>
      </c>
      <c r="CD14" s="307">
        <f t="shared" si="7"/>
        <v>0</v>
      </c>
      <c r="CE14" s="307">
        <f t="shared" si="8"/>
        <v>0</v>
      </c>
      <c r="CF14" s="307">
        <f t="shared" si="1"/>
        <v>0</v>
      </c>
      <c r="CG14" s="307">
        <f t="shared" si="1"/>
        <v>0</v>
      </c>
      <c r="CH14" s="307">
        <f t="shared" si="1"/>
        <v>0</v>
      </c>
      <c r="CI14" s="307">
        <f t="shared" si="1"/>
        <v>0</v>
      </c>
      <c r="CJ14" s="307">
        <f t="shared" si="1"/>
        <v>0</v>
      </c>
      <c r="CK14" s="307">
        <f t="shared" si="1"/>
        <v>0</v>
      </c>
      <c r="CL14" s="307">
        <f t="shared" si="1"/>
        <v>0</v>
      </c>
      <c r="CM14" s="259">
        <f t="shared" si="9"/>
        <v>19129212.047771327</v>
      </c>
      <c r="CN14" s="325"/>
      <c r="CO14" s="834">
        <f t="shared" si="10"/>
        <v>5626690.8782330928</v>
      </c>
      <c r="CP14" s="835">
        <f t="shared" si="11"/>
        <v>0</v>
      </c>
      <c r="CQ14" s="835">
        <f t="shared" si="12"/>
        <v>11697993.778934283</v>
      </c>
      <c r="CR14" s="835">
        <f t="shared" si="13"/>
        <v>0</v>
      </c>
      <c r="CS14" s="835">
        <f t="shared" si="14"/>
        <v>0</v>
      </c>
      <c r="CT14" s="835">
        <f t="shared" si="15"/>
        <v>2025681.7753410598</v>
      </c>
      <c r="CU14" s="835">
        <f t="shared" si="16"/>
        <v>0</v>
      </c>
      <c r="CV14" s="835">
        <f t="shared" si="17"/>
        <v>0</v>
      </c>
      <c r="CW14" s="835">
        <f t="shared" si="18"/>
        <v>0</v>
      </c>
      <c r="CX14" s="835">
        <f t="shared" si="19"/>
        <v>0</v>
      </c>
      <c r="CY14" s="835">
        <f t="shared" si="20"/>
        <v>0</v>
      </c>
      <c r="CZ14" s="835">
        <f t="shared" si="21"/>
        <v>0</v>
      </c>
      <c r="DA14" s="835">
        <f t="shared" si="22"/>
        <v>0</v>
      </c>
      <c r="DB14" s="835">
        <f t="shared" si="23"/>
        <v>0</v>
      </c>
      <c r="DC14" s="835">
        <f t="shared" si="24"/>
        <v>0</v>
      </c>
      <c r="DD14" s="835">
        <f t="shared" si="25"/>
        <v>0</v>
      </c>
      <c r="DE14" s="835">
        <f t="shared" si="26"/>
        <v>0</v>
      </c>
      <c r="DF14" s="835">
        <f t="shared" si="27"/>
        <v>0</v>
      </c>
      <c r="DG14" s="835">
        <f t="shared" si="28"/>
        <v>0</v>
      </c>
      <c r="DH14" s="835">
        <f t="shared" si="29"/>
        <v>0</v>
      </c>
      <c r="DI14" s="835">
        <f t="shared" si="30"/>
        <v>0</v>
      </c>
      <c r="DJ14" s="836">
        <f t="shared" si="31"/>
        <v>19350366.432508435</v>
      </c>
      <c r="DK14" s="325"/>
    </row>
    <row r="15" spans="1:115">
      <c r="A15" s="741" t="s">
        <v>614</v>
      </c>
      <c r="B15" s="742" t="s">
        <v>169</v>
      </c>
      <c r="C15" s="742" t="s">
        <v>169</v>
      </c>
      <c r="D15" s="749">
        <v>125</v>
      </c>
      <c r="E15" s="746">
        <v>0</v>
      </c>
      <c r="F15" s="746">
        <v>8.7100000000000009</v>
      </c>
      <c r="G15" s="746">
        <v>0</v>
      </c>
      <c r="H15" s="746">
        <v>0</v>
      </c>
      <c r="I15" s="746">
        <v>1.53</v>
      </c>
      <c r="J15" s="746">
        <v>0</v>
      </c>
      <c r="K15" s="746">
        <v>0</v>
      </c>
      <c r="L15" s="746">
        <v>0</v>
      </c>
      <c r="M15" s="746">
        <v>0</v>
      </c>
      <c r="N15" s="746">
        <v>0</v>
      </c>
      <c r="O15" s="746">
        <v>0</v>
      </c>
      <c r="P15" s="746">
        <v>0</v>
      </c>
      <c r="Q15" s="746">
        <v>0</v>
      </c>
      <c r="R15" s="746">
        <v>0</v>
      </c>
      <c r="S15" s="746">
        <v>0</v>
      </c>
      <c r="T15" s="746">
        <v>0</v>
      </c>
      <c r="U15" s="746">
        <v>0</v>
      </c>
      <c r="V15" s="746">
        <v>0</v>
      </c>
      <c r="W15" s="746">
        <v>0</v>
      </c>
      <c r="X15" s="747">
        <v>0</v>
      </c>
      <c r="Z15" s="750">
        <v>125</v>
      </c>
      <c r="AA15" s="751">
        <v>0</v>
      </c>
      <c r="AB15" s="751">
        <v>8.8699999999999992</v>
      </c>
      <c r="AC15" s="751">
        <v>0</v>
      </c>
      <c r="AD15" s="751">
        <v>0</v>
      </c>
      <c r="AE15" s="751">
        <v>1.53</v>
      </c>
      <c r="AF15" s="751">
        <v>0</v>
      </c>
      <c r="AG15" s="751">
        <v>0</v>
      </c>
      <c r="AH15" s="751">
        <v>0</v>
      </c>
      <c r="AI15" s="751">
        <v>0</v>
      </c>
      <c r="AJ15" s="751">
        <v>0</v>
      </c>
      <c r="AK15" s="751">
        <v>0</v>
      </c>
      <c r="AL15" s="751">
        <v>0</v>
      </c>
      <c r="AM15" s="751">
        <v>0</v>
      </c>
      <c r="AN15" s="751">
        <v>0</v>
      </c>
      <c r="AO15" s="751">
        <v>0</v>
      </c>
      <c r="AP15" s="751">
        <v>0</v>
      </c>
      <c r="AQ15" s="751">
        <v>0</v>
      </c>
      <c r="AR15" s="751">
        <v>0</v>
      </c>
      <c r="AS15" s="751">
        <v>0</v>
      </c>
      <c r="AT15" s="752">
        <v>0</v>
      </c>
      <c r="AV15" s="762">
        <v>584.14659843199854</v>
      </c>
      <c r="AW15" s="760">
        <v>0</v>
      </c>
      <c r="AX15" s="760">
        <v>1780658.2324994251</v>
      </c>
      <c r="AY15" s="760">
        <v>0</v>
      </c>
      <c r="AZ15" s="760">
        <v>0</v>
      </c>
      <c r="BA15" s="760">
        <v>1663261.2945882643</v>
      </c>
      <c r="BB15" s="760">
        <v>0</v>
      </c>
      <c r="BC15" s="760">
        <v>0</v>
      </c>
      <c r="BD15" s="760">
        <v>0</v>
      </c>
      <c r="BE15" s="760">
        <v>0</v>
      </c>
      <c r="BF15" s="760">
        <v>0</v>
      </c>
      <c r="BG15" s="760">
        <v>0</v>
      </c>
      <c r="BH15" s="760">
        <v>0</v>
      </c>
      <c r="BI15" s="760">
        <v>0</v>
      </c>
      <c r="BJ15" s="760">
        <v>0</v>
      </c>
      <c r="BK15" s="760">
        <v>0</v>
      </c>
      <c r="BL15" s="760">
        <v>0</v>
      </c>
      <c r="BM15" s="760">
        <v>0</v>
      </c>
      <c r="BN15" s="760">
        <v>0</v>
      </c>
      <c r="BO15" s="760">
        <v>0</v>
      </c>
      <c r="BP15" s="761">
        <v>0</v>
      </c>
      <c r="BQ15" s="781">
        <f t="shared" si="32"/>
        <v>3443919.5270876894</v>
      </c>
      <c r="BR15" s="306">
        <f t="shared" si="6"/>
        <v>73018.324803999814</v>
      </c>
      <c r="BS15" s="307">
        <f t="shared" si="0"/>
        <v>0</v>
      </c>
      <c r="BT15" s="307">
        <f t="shared" si="0"/>
        <v>155095.33205069994</v>
      </c>
      <c r="BU15" s="307">
        <f t="shared" si="0"/>
        <v>0</v>
      </c>
      <c r="BV15" s="307">
        <f t="shared" si="0"/>
        <v>0</v>
      </c>
      <c r="BW15" s="307">
        <f t="shared" si="0"/>
        <v>25447.897807200447</v>
      </c>
      <c r="BX15" s="307">
        <f t="shared" si="0"/>
        <v>0</v>
      </c>
      <c r="BY15" s="307">
        <f t="shared" si="0"/>
        <v>0</v>
      </c>
      <c r="BZ15" s="307">
        <f t="shared" si="0"/>
        <v>0</v>
      </c>
      <c r="CA15" s="307">
        <f t="shared" si="7"/>
        <v>0</v>
      </c>
      <c r="CB15" s="307">
        <f t="shared" si="7"/>
        <v>0</v>
      </c>
      <c r="CC15" s="307">
        <f t="shared" si="7"/>
        <v>0</v>
      </c>
      <c r="CD15" s="307">
        <f t="shared" si="7"/>
        <v>0</v>
      </c>
      <c r="CE15" s="307">
        <f t="shared" si="8"/>
        <v>0</v>
      </c>
      <c r="CF15" s="307">
        <f t="shared" si="1"/>
        <v>0</v>
      </c>
      <c r="CG15" s="307">
        <f t="shared" si="1"/>
        <v>0</v>
      </c>
      <c r="CH15" s="307">
        <f t="shared" si="1"/>
        <v>0</v>
      </c>
      <c r="CI15" s="307">
        <f t="shared" si="1"/>
        <v>0</v>
      </c>
      <c r="CJ15" s="307">
        <f t="shared" si="1"/>
        <v>0</v>
      </c>
      <c r="CK15" s="307">
        <f t="shared" si="1"/>
        <v>0</v>
      </c>
      <c r="CL15" s="307">
        <f t="shared" si="1"/>
        <v>0</v>
      </c>
      <c r="CM15" s="259">
        <f t="shared" si="9"/>
        <v>253561.55466190021</v>
      </c>
      <c r="CN15" s="325"/>
      <c r="CO15" s="834">
        <f t="shared" si="10"/>
        <v>73018.324803999814</v>
      </c>
      <c r="CP15" s="835">
        <f t="shared" si="11"/>
        <v>0</v>
      </c>
      <c r="CQ15" s="835">
        <f t="shared" si="12"/>
        <v>157944.38522269897</v>
      </c>
      <c r="CR15" s="835">
        <f t="shared" si="13"/>
        <v>0</v>
      </c>
      <c r="CS15" s="835">
        <f t="shared" si="14"/>
        <v>0</v>
      </c>
      <c r="CT15" s="835">
        <f t="shared" si="15"/>
        <v>25447.897807200447</v>
      </c>
      <c r="CU15" s="835">
        <f t="shared" si="16"/>
        <v>0</v>
      </c>
      <c r="CV15" s="835">
        <f t="shared" si="17"/>
        <v>0</v>
      </c>
      <c r="CW15" s="835">
        <f t="shared" si="18"/>
        <v>0</v>
      </c>
      <c r="CX15" s="835">
        <f t="shared" si="19"/>
        <v>0</v>
      </c>
      <c r="CY15" s="835">
        <f t="shared" si="20"/>
        <v>0</v>
      </c>
      <c r="CZ15" s="835">
        <f t="shared" si="21"/>
        <v>0</v>
      </c>
      <c r="DA15" s="835">
        <f t="shared" si="22"/>
        <v>0</v>
      </c>
      <c r="DB15" s="835">
        <f t="shared" si="23"/>
        <v>0</v>
      </c>
      <c r="DC15" s="835">
        <f t="shared" si="24"/>
        <v>0</v>
      </c>
      <c r="DD15" s="835">
        <f t="shared" si="25"/>
        <v>0</v>
      </c>
      <c r="DE15" s="835">
        <f t="shared" si="26"/>
        <v>0</v>
      </c>
      <c r="DF15" s="835">
        <f t="shared" si="27"/>
        <v>0</v>
      </c>
      <c r="DG15" s="835">
        <f t="shared" si="28"/>
        <v>0</v>
      </c>
      <c r="DH15" s="835">
        <f t="shared" si="29"/>
        <v>0</v>
      </c>
      <c r="DI15" s="835">
        <f t="shared" si="30"/>
        <v>0</v>
      </c>
      <c r="DJ15" s="836">
        <f t="shared" si="31"/>
        <v>256410.60783389921</v>
      </c>
      <c r="DK15" s="325"/>
    </row>
    <row r="16" spans="1:115">
      <c r="A16" s="741" t="s">
        <v>615</v>
      </c>
      <c r="B16" s="742" t="s">
        <v>170</v>
      </c>
      <c r="C16" s="742" t="s">
        <v>170</v>
      </c>
      <c r="D16" s="749">
        <v>125</v>
      </c>
      <c r="E16" s="746">
        <v>0</v>
      </c>
      <c r="F16" s="746">
        <v>9.31</v>
      </c>
      <c r="G16" s="746">
        <v>0</v>
      </c>
      <c r="H16" s="746">
        <v>0</v>
      </c>
      <c r="I16" s="746">
        <v>1.77</v>
      </c>
      <c r="J16" s="746">
        <v>0</v>
      </c>
      <c r="K16" s="746">
        <v>0</v>
      </c>
      <c r="L16" s="746">
        <v>0</v>
      </c>
      <c r="M16" s="746">
        <v>0</v>
      </c>
      <c r="N16" s="746">
        <v>0</v>
      </c>
      <c r="O16" s="746">
        <v>0</v>
      </c>
      <c r="P16" s="746">
        <v>0</v>
      </c>
      <c r="Q16" s="746">
        <v>0</v>
      </c>
      <c r="R16" s="746">
        <v>0</v>
      </c>
      <c r="S16" s="746">
        <v>0</v>
      </c>
      <c r="T16" s="746">
        <v>0</v>
      </c>
      <c r="U16" s="746">
        <v>0</v>
      </c>
      <c r="V16" s="746">
        <v>0</v>
      </c>
      <c r="W16" s="746">
        <v>0</v>
      </c>
      <c r="X16" s="747">
        <v>0</v>
      </c>
      <c r="Z16" s="750">
        <v>125</v>
      </c>
      <c r="AA16" s="751">
        <v>0</v>
      </c>
      <c r="AB16" s="751">
        <v>9.48</v>
      </c>
      <c r="AC16" s="751">
        <v>0</v>
      </c>
      <c r="AD16" s="751">
        <v>0</v>
      </c>
      <c r="AE16" s="751">
        <v>1.78</v>
      </c>
      <c r="AF16" s="751">
        <v>0</v>
      </c>
      <c r="AG16" s="751">
        <v>0</v>
      </c>
      <c r="AH16" s="751">
        <v>0</v>
      </c>
      <c r="AI16" s="751">
        <v>0</v>
      </c>
      <c r="AJ16" s="751">
        <v>0</v>
      </c>
      <c r="AK16" s="751">
        <v>0</v>
      </c>
      <c r="AL16" s="751">
        <v>0</v>
      </c>
      <c r="AM16" s="751">
        <v>0</v>
      </c>
      <c r="AN16" s="751">
        <v>0</v>
      </c>
      <c r="AO16" s="751">
        <v>0</v>
      </c>
      <c r="AP16" s="751">
        <v>0</v>
      </c>
      <c r="AQ16" s="751">
        <v>0</v>
      </c>
      <c r="AR16" s="751">
        <v>0</v>
      </c>
      <c r="AS16" s="751">
        <v>0</v>
      </c>
      <c r="AT16" s="752">
        <v>0</v>
      </c>
      <c r="AV16" s="762">
        <v>108683.36714234816</v>
      </c>
      <c r="AW16" s="760">
        <v>0</v>
      </c>
      <c r="AX16" s="760">
        <v>270572283.99365795</v>
      </c>
      <c r="AY16" s="760">
        <v>0</v>
      </c>
      <c r="AZ16" s="760">
        <v>0</v>
      </c>
      <c r="BA16" s="760">
        <v>288164384.03561866</v>
      </c>
      <c r="BB16" s="760">
        <v>0</v>
      </c>
      <c r="BC16" s="760">
        <v>0</v>
      </c>
      <c r="BD16" s="760">
        <v>0</v>
      </c>
      <c r="BE16" s="760">
        <v>0</v>
      </c>
      <c r="BF16" s="760">
        <v>0</v>
      </c>
      <c r="BG16" s="760">
        <v>0</v>
      </c>
      <c r="BH16" s="760">
        <v>0</v>
      </c>
      <c r="BI16" s="760">
        <v>0</v>
      </c>
      <c r="BJ16" s="760">
        <v>0</v>
      </c>
      <c r="BK16" s="760">
        <v>0</v>
      </c>
      <c r="BL16" s="760">
        <v>0</v>
      </c>
      <c r="BM16" s="760">
        <v>0</v>
      </c>
      <c r="BN16" s="760">
        <v>0</v>
      </c>
      <c r="BO16" s="760">
        <v>0</v>
      </c>
      <c r="BP16" s="761">
        <v>0</v>
      </c>
      <c r="BQ16" s="781">
        <f t="shared" si="32"/>
        <v>558736668.02927661</v>
      </c>
      <c r="BR16" s="306">
        <f t="shared" si="6"/>
        <v>13585420.892793519</v>
      </c>
      <c r="BS16" s="307">
        <f t="shared" si="0"/>
        <v>0</v>
      </c>
      <c r="BT16" s="307">
        <f t="shared" si="0"/>
        <v>25190279.639809556</v>
      </c>
      <c r="BU16" s="307">
        <f t="shared" si="0"/>
        <v>0</v>
      </c>
      <c r="BV16" s="307">
        <f t="shared" si="0"/>
        <v>0</v>
      </c>
      <c r="BW16" s="307">
        <f t="shared" si="0"/>
        <v>5100509.5974304508</v>
      </c>
      <c r="BX16" s="307">
        <f t="shared" si="0"/>
        <v>0</v>
      </c>
      <c r="BY16" s="307">
        <f t="shared" si="0"/>
        <v>0</v>
      </c>
      <c r="BZ16" s="307">
        <f t="shared" si="0"/>
        <v>0</v>
      </c>
      <c r="CA16" s="307">
        <f t="shared" si="7"/>
        <v>0</v>
      </c>
      <c r="CB16" s="307">
        <f t="shared" si="7"/>
        <v>0</v>
      </c>
      <c r="CC16" s="307">
        <f t="shared" si="7"/>
        <v>0</v>
      </c>
      <c r="CD16" s="307">
        <f t="shared" si="7"/>
        <v>0</v>
      </c>
      <c r="CE16" s="307">
        <f t="shared" si="8"/>
        <v>0</v>
      </c>
      <c r="CF16" s="307">
        <f t="shared" si="1"/>
        <v>0</v>
      </c>
      <c r="CG16" s="307">
        <f t="shared" si="1"/>
        <v>0</v>
      </c>
      <c r="CH16" s="307">
        <f t="shared" si="1"/>
        <v>0</v>
      </c>
      <c r="CI16" s="307">
        <f t="shared" si="1"/>
        <v>0</v>
      </c>
      <c r="CJ16" s="307">
        <f t="shared" si="1"/>
        <v>0</v>
      </c>
      <c r="CK16" s="307">
        <f t="shared" si="1"/>
        <v>0</v>
      </c>
      <c r="CL16" s="307">
        <f t="shared" si="1"/>
        <v>0</v>
      </c>
      <c r="CM16" s="259">
        <f t="shared" si="9"/>
        <v>43876210.13003353</v>
      </c>
      <c r="CN16" s="325"/>
      <c r="CO16" s="834">
        <f t="shared" si="10"/>
        <v>13585420.892793519</v>
      </c>
      <c r="CP16" s="835">
        <f t="shared" si="11"/>
        <v>0</v>
      </c>
      <c r="CQ16" s="835">
        <f t="shared" si="12"/>
        <v>25650252.522598777</v>
      </c>
      <c r="CR16" s="835">
        <f t="shared" si="13"/>
        <v>0</v>
      </c>
      <c r="CS16" s="835">
        <f t="shared" si="14"/>
        <v>0</v>
      </c>
      <c r="CT16" s="835">
        <f t="shared" si="15"/>
        <v>5129326.0358340126</v>
      </c>
      <c r="CU16" s="835">
        <f t="shared" si="16"/>
        <v>0</v>
      </c>
      <c r="CV16" s="835">
        <f t="shared" si="17"/>
        <v>0</v>
      </c>
      <c r="CW16" s="835">
        <f t="shared" si="18"/>
        <v>0</v>
      </c>
      <c r="CX16" s="835">
        <f t="shared" si="19"/>
        <v>0</v>
      </c>
      <c r="CY16" s="835">
        <f t="shared" si="20"/>
        <v>0</v>
      </c>
      <c r="CZ16" s="835">
        <f t="shared" si="21"/>
        <v>0</v>
      </c>
      <c r="DA16" s="835">
        <f t="shared" si="22"/>
        <v>0</v>
      </c>
      <c r="DB16" s="835">
        <f t="shared" si="23"/>
        <v>0</v>
      </c>
      <c r="DC16" s="835">
        <f t="shared" si="24"/>
        <v>0</v>
      </c>
      <c r="DD16" s="835">
        <f t="shared" si="25"/>
        <v>0</v>
      </c>
      <c r="DE16" s="835">
        <f t="shared" si="26"/>
        <v>0</v>
      </c>
      <c r="DF16" s="835">
        <f t="shared" si="27"/>
        <v>0</v>
      </c>
      <c r="DG16" s="835">
        <f t="shared" si="28"/>
        <v>0</v>
      </c>
      <c r="DH16" s="835">
        <f t="shared" si="29"/>
        <v>0</v>
      </c>
      <c r="DI16" s="835">
        <f t="shared" si="30"/>
        <v>0</v>
      </c>
      <c r="DJ16" s="836">
        <f t="shared" si="31"/>
        <v>44364999.451226309</v>
      </c>
      <c r="DK16" s="325"/>
    </row>
    <row r="17" spans="1:115">
      <c r="A17" s="741" t="s">
        <v>616</v>
      </c>
      <c r="B17" s="742" t="s">
        <v>171</v>
      </c>
      <c r="C17" s="742" t="s">
        <v>171</v>
      </c>
      <c r="D17" s="749">
        <v>0</v>
      </c>
      <c r="E17" s="746">
        <v>0</v>
      </c>
      <c r="F17" s="746">
        <v>0</v>
      </c>
      <c r="G17" s="746">
        <v>0</v>
      </c>
      <c r="H17" s="746">
        <v>0</v>
      </c>
      <c r="I17" s="746">
        <v>1.53</v>
      </c>
      <c r="J17" s="746">
        <v>0</v>
      </c>
      <c r="K17" s="746">
        <v>0</v>
      </c>
      <c r="L17" s="746">
        <v>0</v>
      </c>
      <c r="M17" s="746">
        <v>0</v>
      </c>
      <c r="N17" s="746">
        <v>0</v>
      </c>
      <c r="O17" s="746">
        <v>0</v>
      </c>
      <c r="P17" s="746">
        <v>0</v>
      </c>
      <c r="Q17" s="746">
        <v>0</v>
      </c>
      <c r="R17" s="746">
        <v>0</v>
      </c>
      <c r="S17" s="746">
        <v>0</v>
      </c>
      <c r="T17" s="746">
        <v>0</v>
      </c>
      <c r="U17" s="746">
        <v>0</v>
      </c>
      <c r="V17" s="746">
        <v>0</v>
      </c>
      <c r="W17" s="746">
        <v>0</v>
      </c>
      <c r="X17" s="747">
        <v>0</v>
      </c>
      <c r="Z17" s="750">
        <v>0</v>
      </c>
      <c r="AA17" s="751">
        <v>0</v>
      </c>
      <c r="AB17" s="751">
        <v>0</v>
      </c>
      <c r="AC17" s="751">
        <v>0</v>
      </c>
      <c r="AD17" s="751">
        <v>0</v>
      </c>
      <c r="AE17" s="751">
        <v>1.53</v>
      </c>
      <c r="AF17" s="751">
        <v>0</v>
      </c>
      <c r="AG17" s="751">
        <v>0</v>
      </c>
      <c r="AH17" s="751">
        <v>0</v>
      </c>
      <c r="AI17" s="751">
        <v>0</v>
      </c>
      <c r="AJ17" s="751">
        <v>0</v>
      </c>
      <c r="AK17" s="751">
        <v>0</v>
      </c>
      <c r="AL17" s="751">
        <v>0</v>
      </c>
      <c r="AM17" s="751">
        <v>0</v>
      </c>
      <c r="AN17" s="751">
        <v>0</v>
      </c>
      <c r="AO17" s="751">
        <v>0</v>
      </c>
      <c r="AP17" s="751">
        <v>0</v>
      </c>
      <c r="AQ17" s="751">
        <v>0</v>
      </c>
      <c r="AR17" s="751">
        <v>0</v>
      </c>
      <c r="AS17" s="751">
        <v>0</v>
      </c>
      <c r="AT17" s="752">
        <v>0</v>
      </c>
      <c r="AV17" s="762">
        <v>42980.366969201663</v>
      </c>
      <c r="AW17" s="760">
        <v>0</v>
      </c>
      <c r="AX17" s="760">
        <v>0</v>
      </c>
      <c r="AY17" s="760">
        <v>0</v>
      </c>
      <c r="AZ17" s="760">
        <v>0</v>
      </c>
      <c r="BA17" s="760">
        <v>86643719.340103775</v>
      </c>
      <c r="BB17" s="760">
        <v>0</v>
      </c>
      <c r="BC17" s="760">
        <v>0</v>
      </c>
      <c r="BD17" s="760">
        <v>0</v>
      </c>
      <c r="BE17" s="760">
        <v>0</v>
      </c>
      <c r="BF17" s="760">
        <v>0</v>
      </c>
      <c r="BG17" s="760">
        <v>0</v>
      </c>
      <c r="BH17" s="760">
        <v>0</v>
      </c>
      <c r="BI17" s="760">
        <v>0</v>
      </c>
      <c r="BJ17" s="760">
        <v>0</v>
      </c>
      <c r="BK17" s="760">
        <v>0</v>
      </c>
      <c r="BL17" s="760">
        <v>0</v>
      </c>
      <c r="BM17" s="760">
        <v>0</v>
      </c>
      <c r="BN17" s="760">
        <v>0</v>
      </c>
      <c r="BO17" s="760">
        <v>0</v>
      </c>
      <c r="BP17" s="761">
        <v>0</v>
      </c>
      <c r="BQ17" s="781">
        <f t="shared" si="32"/>
        <v>86643719.340103775</v>
      </c>
      <c r="BR17" s="306">
        <f t="shared" si="6"/>
        <v>0</v>
      </c>
      <c r="BS17" s="307">
        <f t="shared" si="0"/>
        <v>0</v>
      </c>
      <c r="BT17" s="307">
        <f t="shared" si="0"/>
        <v>0</v>
      </c>
      <c r="BU17" s="307">
        <f t="shared" si="0"/>
        <v>0</v>
      </c>
      <c r="BV17" s="307">
        <f t="shared" si="0"/>
        <v>0</v>
      </c>
      <c r="BW17" s="307">
        <f t="shared" si="0"/>
        <v>1325648.9059035878</v>
      </c>
      <c r="BX17" s="307">
        <f t="shared" si="0"/>
        <v>0</v>
      </c>
      <c r="BY17" s="307">
        <f t="shared" si="0"/>
        <v>0</v>
      </c>
      <c r="BZ17" s="307">
        <f t="shared" si="0"/>
        <v>0</v>
      </c>
      <c r="CA17" s="307">
        <f t="shared" si="7"/>
        <v>0</v>
      </c>
      <c r="CB17" s="307">
        <f t="shared" si="7"/>
        <v>0</v>
      </c>
      <c r="CC17" s="307">
        <f t="shared" si="7"/>
        <v>0</v>
      </c>
      <c r="CD17" s="307">
        <f t="shared" si="7"/>
        <v>0</v>
      </c>
      <c r="CE17" s="307">
        <f t="shared" si="8"/>
        <v>0</v>
      </c>
      <c r="CF17" s="307">
        <f t="shared" si="1"/>
        <v>0</v>
      </c>
      <c r="CG17" s="307">
        <f t="shared" si="1"/>
        <v>0</v>
      </c>
      <c r="CH17" s="307">
        <f t="shared" si="1"/>
        <v>0</v>
      </c>
      <c r="CI17" s="307">
        <f t="shared" si="1"/>
        <v>0</v>
      </c>
      <c r="CJ17" s="307">
        <f t="shared" si="1"/>
        <v>0</v>
      </c>
      <c r="CK17" s="307">
        <f t="shared" si="1"/>
        <v>0</v>
      </c>
      <c r="CL17" s="307">
        <f t="shared" si="1"/>
        <v>0</v>
      </c>
      <c r="CM17" s="259">
        <f t="shared" si="9"/>
        <v>1325648.9059035878</v>
      </c>
      <c r="CN17" s="325"/>
      <c r="CO17" s="834">
        <f t="shared" si="10"/>
        <v>0</v>
      </c>
      <c r="CP17" s="835">
        <f t="shared" si="11"/>
        <v>0</v>
      </c>
      <c r="CQ17" s="835">
        <f t="shared" si="12"/>
        <v>0</v>
      </c>
      <c r="CR17" s="835">
        <f t="shared" si="13"/>
        <v>0</v>
      </c>
      <c r="CS17" s="835">
        <f t="shared" si="14"/>
        <v>0</v>
      </c>
      <c r="CT17" s="835">
        <f t="shared" si="15"/>
        <v>1325648.9059035878</v>
      </c>
      <c r="CU17" s="835">
        <f t="shared" si="16"/>
        <v>0</v>
      </c>
      <c r="CV17" s="835">
        <f t="shared" si="17"/>
        <v>0</v>
      </c>
      <c r="CW17" s="835">
        <f t="shared" si="18"/>
        <v>0</v>
      </c>
      <c r="CX17" s="835">
        <f t="shared" si="19"/>
        <v>0</v>
      </c>
      <c r="CY17" s="835">
        <f t="shared" si="20"/>
        <v>0</v>
      </c>
      <c r="CZ17" s="835">
        <f t="shared" si="21"/>
        <v>0</v>
      </c>
      <c r="DA17" s="835">
        <f t="shared" si="22"/>
        <v>0</v>
      </c>
      <c r="DB17" s="835">
        <f t="shared" si="23"/>
        <v>0</v>
      </c>
      <c r="DC17" s="835">
        <f t="shared" si="24"/>
        <v>0</v>
      </c>
      <c r="DD17" s="835">
        <f t="shared" si="25"/>
        <v>0</v>
      </c>
      <c r="DE17" s="835">
        <f t="shared" si="26"/>
        <v>0</v>
      </c>
      <c r="DF17" s="835">
        <f t="shared" si="27"/>
        <v>0</v>
      </c>
      <c r="DG17" s="835">
        <f t="shared" si="28"/>
        <v>0</v>
      </c>
      <c r="DH17" s="835">
        <f t="shared" si="29"/>
        <v>0</v>
      </c>
      <c r="DI17" s="835">
        <f t="shared" si="30"/>
        <v>0</v>
      </c>
      <c r="DJ17" s="836">
        <f t="shared" si="31"/>
        <v>1325648.9059035878</v>
      </c>
      <c r="DK17" s="325"/>
    </row>
    <row r="18" spans="1:115">
      <c r="A18" s="741" t="s">
        <v>617</v>
      </c>
      <c r="B18" s="742" t="s">
        <v>172</v>
      </c>
      <c r="C18" s="742" t="s">
        <v>172</v>
      </c>
      <c r="D18" s="749">
        <v>0</v>
      </c>
      <c r="E18" s="746">
        <v>0</v>
      </c>
      <c r="F18" s="746">
        <v>0</v>
      </c>
      <c r="G18" s="746">
        <v>0</v>
      </c>
      <c r="H18" s="746">
        <v>0</v>
      </c>
      <c r="I18" s="746">
        <v>1.53</v>
      </c>
      <c r="J18" s="746">
        <v>0</v>
      </c>
      <c r="K18" s="746">
        <v>0</v>
      </c>
      <c r="L18" s="746">
        <v>0</v>
      </c>
      <c r="M18" s="746">
        <v>0</v>
      </c>
      <c r="N18" s="746">
        <v>0</v>
      </c>
      <c r="O18" s="746">
        <v>0</v>
      </c>
      <c r="P18" s="746">
        <v>0</v>
      </c>
      <c r="Q18" s="746">
        <v>0</v>
      </c>
      <c r="R18" s="746">
        <v>0</v>
      </c>
      <c r="S18" s="746">
        <v>0</v>
      </c>
      <c r="T18" s="746">
        <v>0</v>
      </c>
      <c r="U18" s="746">
        <v>0</v>
      </c>
      <c r="V18" s="746">
        <v>0</v>
      </c>
      <c r="W18" s="746">
        <v>0</v>
      </c>
      <c r="X18" s="747">
        <v>0</v>
      </c>
      <c r="Z18" s="750">
        <v>0</v>
      </c>
      <c r="AA18" s="751">
        <v>0</v>
      </c>
      <c r="AB18" s="751">
        <v>0</v>
      </c>
      <c r="AC18" s="751">
        <v>0</v>
      </c>
      <c r="AD18" s="751">
        <v>0</v>
      </c>
      <c r="AE18" s="751">
        <v>1.53</v>
      </c>
      <c r="AF18" s="751">
        <v>0</v>
      </c>
      <c r="AG18" s="751">
        <v>0</v>
      </c>
      <c r="AH18" s="751">
        <v>0</v>
      </c>
      <c r="AI18" s="751">
        <v>0</v>
      </c>
      <c r="AJ18" s="751">
        <v>0</v>
      </c>
      <c r="AK18" s="751">
        <v>0</v>
      </c>
      <c r="AL18" s="751">
        <v>0</v>
      </c>
      <c r="AM18" s="751">
        <v>0</v>
      </c>
      <c r="AN18" s="751">
        <v>0</v>
      </c>
      <c r="AO18" s="751">
        <v>0</v>
      </c>
      <c r="AP18" s="751">
        <v>0</v>
      </c>
      <c r="AQ18" s="751">
        <v>0</v>
      </c>
      <c r="AR18" s="751">
        <v>0</v>
      </c>
      <c r="AS18" s="751">
        <v>0</v>
      </c>
      <c r="AT18" s="752">
        <v>0</v>
      </c>
      <c r="AV18" s="762">
        <v>69.06153231550978</v>
      </c>
      <c r="AW18" s="760">
        <v>0</v>
      </c>
      <c r="AX18" s="760">
        <v>0</v>
      </c>
      <c r="AY18" s="760">
        <v>0</v>
      </c>
      <c r="AZ18" s="760">
        <v>0</v>
      </c>
      <c r="BA18" s="760">
        <v>130691.57086432293</v>
      </c>
      <c r="BB18" s="760">
        <v>0</v>
      </c>
      <c r="BC18" s="760">
        <v>0</v>
      </c>
      <c r="BD18" s="760">
        <v>0</v>
      </c>
      <c r="BE18" s="760">
        <v>0</v>
      </c>
      <c r="BF18" s="760">
        <v>0</v>
      </c>
      <c r="BG18" s="760">
        <v>0</v>
      </c>
      <c r="BH18" s="760">
        <v>0</v>
      </c>
      <c r="BI18" s="760">
        <v>0</v>
      </c>
      <c r="BJ18" s="760">
        <v>0</v>
      </c>
      <c r="BK18" s="760">
        <v>0</v>
      </c>
      <c r="BL18" s="760">
        <v>0</v>
      </c>
      <c r="BM18" s="760">
        <v>0</v>
      </c>
      <c r="BN18" s="760">
        <v>0</v>
      </c>
      <c r="BO18" s="760">
        <v>0</v>
      </c>
      <c r="BP18" s="761">
        <v>0</v>
      </c>
      <c r="BQ18" s="781">
        <f t="shared" si="32"/>
        <v>130691.57086432293</v>
      </c>
      <c r="BR18" s="306">
        <f t="shared" si="6"/>
        <v>0</v>
      </c>
      <c r="BS18" s="307">
        <f t="shared" si="0"/>
        <v>0</v>
      </c>
      <c r="BT18" s="307">
        <f t="shared" si="0"/>
        <v>0</v>
      </c>
      <c r="BU18" s="307">
        <f t="shared" si="0"/>
        <v>0</v>
      </c>
      <c r="BV18" s="307">
        <f t="shared" si="0"/>
        <v>0</v>
      </c>
      <c r="BW18" s="307">
        <f t="shared" si="0"/>
        <v>1999.5810342241409</v>
      </c>
      <c r="BX18" s="307">
        <f t="shared" si="0"/>
        <v>0</v>
      </c>
      <c r="BY18" s="307">
        <f t="shared" si="0"/>
        <v>0</v>
      </c>
      <c r="BZ18" s="307">
        <f t="shared" si="0"/>
        <v>0</v>
      </c>
      <c r="CA18" s="307">
        <f t="shared" si="7"/>
        <v>0</v>
      </c>
      <c r="CB18" s="307">
        <f t="shared" si="7"/>
        <v>0</v>
      </c>
      <c r="CC18" s="307">
        <f t="shared" si="7"/>
        <v>0</v>
      </c>
      <c r="CD18" s="307">
        <f t="shared" si="7"/>
        <v>0</v>
      </c>
      <c r="CE18" s="307">
        <f t="shared" si="8"/>
        <v>0</v>
      </c>
      <c r="CF18" s="307">
        <f t="shared" si="1"/>
        <v>0</v>
      </c>
      <c r="CG18" s="307">
        <f t="shared" si="1"/>
        <v>0</v>
      </c>
      <c r="CH18" s="307">
        <f t="shared" si="1"/>
        <v>0</v>
      </c>
      <c r="CI18" s="307">
        <f t="shared" si="1"/>
        <v>0</v>
      </c>
      <c r="CJ18" s="307">
        <f t="shared" si="1"/>
        <v>0</v>
      </c>
      <c r="CK18" s="307">
        <f t="shared" si="1"/>
        <v>0</v>
      </c>
      <c r="CL18" s="307">
        <f t="shared" si="1"/>
        <v>0</v>
      </c>
      <c r="CM18" s="259">
        <f t="shared" si="9"/>
        <v>1999.5810342241409</v>
      </c>
      <c r="CN18" s="325"/>
      <c r="CO18" s="834">
        <f t="shared" si="10"/>
        <v>0</v>
      </c>
      <c r="CP18" s="835">
        <f t="shared" si="11"/>
        <v>0</v>
      </c>
      <c r="CQ18" s="835">
        <f t="shared" si="12"/>
        <v>0</v>
      </c>
      <c r="CR18" s="835">
        <f t="shared" si="13"/>
        <v>0</v>
      </c>
      <c r="CS18" s="835">
        <f t="shared" si="14"/>
        <v>0</v>
      </c>
      <c r="CT18" s="835">
        <f t="shared" si="15"/>
        <v>1999.5810342241409</v>
      </c>
      <c r="CU18" s="835">
        <f t="shared" si="16"/>
        <v>0</v>
      </c>
      <c r="CV18" s="835">
        <f t="shared" si="17"/>
        <v>0</v>
      </c>
      <c r="CW18" s="835">
        <f t="shared" si="18"/>
        <v>0</v>
      </c>
      <c r="CX18" s="835">
        <f t="shared" si="19"/>
        <v>0</v>
      </c>
      <c r="CY18" s="835">
        <f t="shared" si="20"/>
        <v>0</v>
      </c>
      <c r="CZ18" s="835">
        <f t="shared" si="21"/>
        <v>0</v>
      </c>
      <c r="DA18" s="835">
        <f t="shared" si="22"/>
        <v>0</v>
      </c>
      <c r="DB18" s="835">
        <f t="shared" si="23"/>
        <v>0</v>
      </c>
      <c r="DC18" s="835">
        <f t="shared" si="24"/>
        <v>0</v>
      </c>
      <c r="DD18" s="835">
        <f t="shared" si="25"/>
        <v>0</v>
      </c>
      <c r="DE18" s="835">
        <f t="shared" si="26"/>
        <v>0</v>
      </c>
      <c r="DF18" s="835">
        <f t="shared" si="27"/>
        <v>0</v>
      </c>
      <c r="DG18" s="835">
        <f t="shared" si="28"/>
        <v>0</v>
      </c>
      <c r="DH18" s="835">
        <f t="shared" si="29"/>
        <v>0</v>
      </c>
      <c r="DI18" s="835">
        <f t="shared" si="30"/>
        <v>0</v>
      </c>
      <c r="DJ18" s="836">
        <f t="shared" si="31"/>
        <v>1999.5810342241409</v>
      </c>
      <c r="DK18" s="325"/>
    </row>
    <row r="19" spans="1:115">
      <c r="A19" s="741" t="s">
        <v>618</v>
      </c>
      <c r="B19" s="742" t="s">
        <v>173</v>
      </c>
      <c r="C19" s="742" t="s">
        <v>173</v>
      </c>
      <c r="D19" s="749">
        <v>0</v>
      </c>
      <c r="E19" s="746">
        <v>0</v>
      </c>
      <c r="F19" s="746">
        <v>0</v>
      </c>
      <c r="G19" s="746">
        <v>0</v>
      </c>
      <c r="H19" s="746">
        <v>0</v>
      </c>
      <c r="I19" s="746">
        <v>1.53</v>
      </c>
      <c r="J19" s="746">
        <v>0</v>
      </c>
      <c r="K19" s="746">
        <v>0</v>
      </c>
      <c r="L19" s="746">
        <v>0</v>
      </c>
      <c r="M19" s="746">
        <v>0</v>
      </c>
      <c r="N19" s="746">
        <v>0</v>
      </c>
      <c r="O19" s="746">
        <v>0</v>
      </c>
      <c r="P19" s="746">
        <v>0</v>
      </c>
      <c r="Q19" s="746">
        <v>0</v>
      </c>
      <c r="R19" s="746">
        <v>0</v>
      </c>
      <c r="S19" s="746">
        <v>0</v>
      </c>
      <c r="T19" s="746">
        <v>0</v>
      </c>
      <c r="U19" s="746">
        <v>0</v>
      </c>
      <c r="V19" s="746">
        <v>0</v>
      </c>
      <c r="W19" s="746">
        <v>0</v>
      </c>
      <c r="X19" s="747">
        <v>0</v>
      </c>
      <c r="Z19" s="750">
        <v>0</v>
      </c>
      <c r="AA19" s="751">
        <v>0</v>
      </c>
      <c r="AB19" s="751">
        <v>0</v>
      </c>
      <c r="AC19" s="751">
        <v>0</v>
      </c>
      <c r="AD19" s="751">
        <v>0</v>
      </c>
      <c r="AE19" s="751">
        <v>1.53</v>
      </c>
      <c r="AF19" s="751">
        <v>0</v>
      </c>
      <c r="AG19" s="751">
        <v>0</v>
      </c>
      <c r="AH19" s="751">
        <v>0</v>
      </c>
      <c r="AI19" s="751">
        <v>0</v>
      </c>
      <c r="AJ19" s="751">
        <v>0</v>
      </c>
      <c r="AK19" s="751">
        <v>0</v>
      </c>
      <c r="AL19" s="751">
        <v>0</v>
      </c>
      <c r="AM19" s="751">
        <v>0</v>
      </c>
      <c r="AN19" s="751">
        <v>0</v>
      </c>
      <c r="AO19" s="751">
        <v>0</v>
      </c>
      <c r="AP19" s="751">
        <v>0</v>
      </c>
      <c r="AQ19" s="751">
        <v>0</v>
      </c>
      <c r="AR19" s="751">
        <v>0</v>
      </c>
      <c r="AS19" s="751">
        <v>0</v>
      </c>
      <c r="AT19" s="752">
        <v>0</v>
      </c>
      <c r="AV19" s="762">
        <v>156259.03352615036</v>
      </c>
      <c r="AW19" s="760">
        <v>0</v>
      </c>
      <c r="AX19" s="760">
        <v>0</v>
      </c>
      <c r="AY19" s="760">
        <v>0</v>
      </c>
      <c r="AZ19" s="760">
        <v>0</v>
      </c>
      <c r="BA19" s="760">
        <v>314989326.96128088</v>
      </c>
      <c r="BB19" s="760">
        <v>0</v>
      </c>
      <c r="BC19" s="760">
        <v>0</v>
      </c>
      <c r="BD19" s="760">
        <v>0</v>
      </c>
      <c r="BE19" s="760">
        <v>0</v>
      </c>
      <c r="BF19" s="760">
        <v>0</v>
      </c>
      <c r="BG19" s="760">
        <v>0</v>
      </c>
      <c r="BH19" s="760">
        <v>0</v>
      </c>
      <c r="BI19" s="760">
        <v>0</v>
      </c>
      <c r="BJ19" s="760">
        <v>0</v>
      </c>
      <c r="BK19" s="760">
        <v>0</v>
      </c>
      <c r="BL19" s="760">
        <v>0</v>
      </c>
      <c r="BM19" s="760">
        <v>0</v>
      </c>
      <c r="BN19" s="760">
        <v>0</v>
      </c>
      <c r="BO19" s="760">
        <v>0</v>
      </c>
      <c r="BP19" s="761">
        <v>0</v>
      </c>
      <c r="BQ19" s="781">
        <f t="shared" si="32"/>
        <v>314989326.96128088</v>
      </c>
      <c r="BR19" s="306">
        <f t="shared" si="6"/>
        <v>0</v>
      </c>
      <c r="BS19" s="307">
        <f t="shared" si="0"/>
        <v>0</v>
      </c>
      <c r="BT19" s="307">
        <f t="shared" si="0"/>
        <v>0</v>
      </c>
      <c r="BU19" s="307">
        <f t="shared" si="0"/>
        <v>0</v>
      </c>
      <c r="BV19" s="307">
        <f t="shared" si="0"/>
        <v>0</v>
      </c>
      <c r="BW19" s="307">
        <f t="shared" si="0"/>
        <v>4819336.7025075974</v>
      </c>
      <c r="BX19" s="307">
        <f t="shared" si="0"/>
        <v>0</v>
      </c>
      <c r="BY19" s="307">
        <f t="shared" si="0"/>
        <v>0</v>
      </c>
      <c r="BZ19" s="307">
        <f t="shared" si="0"/>
        <v>0</v>
      </c>
      <c r="CA19" s="307">
        <f t="shared" si="7"/>
        <v>0</v>
      </c>
      <c r="CB19" s="307">
        <f t="shared" si="7"/>
        <v>0</v>
      </c>
      <c r="CC19" s="307">
        <f t="shared" si="7"/>
        <v>0</v>
      </c>
      <c r="CD19" s="307">
        <f t="shared" si="7"/>
        <v>0</v>
      </c>
      <c r="CE19" s="307">
        <f t="shared" si="8"/>
        <v>0</v>
      </c>
      <c r="CF19" s="307">
        <f t="shared" si="1"/>
        <v>0</v>
      </c>
      <c r="CG19" s="307">
        <f t="shared" si="1"/>
        <v>0</v>
      </c>
      <c r="CH19" s="307">
        <f t="shared" si="1"/>
        <v>0</v>
      </c>
      <c r="CI19" s="307">
        <f t="shared" si="1"/>
        <v>0</v>
      </c>
      <c r="CJ19" s="307">
        <f t="shared" si="1"/>
        <v>0</v>
      </c>
      <c r="CK19" s="307">
        <f t="shared" si="1"/>
        <v>0</v>
      </c>
      <c r="CL19" s="307">
        <f t="shared" si="1"/>
        <v>0</v>
      </c>
      <c r="CM19" s="259">
        <f t="shared" si="9"/>
        <v>4819336.7025075974</v>
      </c>
      <c r="CN19" s="325"/>
      <c r="CO19" s="834">
        <f t="shared" si="10"/>
        <v>0</v>
      </c>
      <c r="CP19" s="835">
        <f t="shared" si="11"/>
        <v>0</v>
      </c>
      <c r="CQ19" s="835">
        <f t="shared" si="12"/>
        <v>0</v>
      </c>
      <c r="CR19" s="835">
        <f t="shared" si="13"/>
        <v>0</v>
      </c>
      <c r="CS19" s="835">
        <f t="shared" si="14"/>
        <v>0</v>
      </c>
      <c r="CT19" s="835">
        <f t="shared" si="15"/>
        <v>4819336.7025075974</v>
      </c>
      <c r="CU19" s="835">
        <f t="shared" si="16"/>
        <v>0</v>
      </c>
      <c r="CV19" s="835">
        <f t="shared" si="17"/>
        <v>0</v>
      </c>
      <c r="CW19" s="835">
        <f t="shared" si="18"/>
        <v>0</v>
      </c>
      <c r="CX19" s="835">
        <f t="shared" si="19"/>
        <v>0</v>
      </c>
      <c r="CY19" s="835">
        <f t="shared" si="20"/>
        <v>0</v>
      </c>
      <c r="CZ19" s="835">
        <f t="shared" si="21"/>
        <v>0</v>
      </c>
      <c r="DA19" s="835">
        <f t="shared" si="22"/>
        <v>0</v>
      </c>
      <c r="DB19" s="835">
        <f t="shared" si="23"/>
        <v>0</v>
      </c>
      <c r="DC19" s="835">
        <f t="shared" si="24"/>
        <v>0</v>
      </c>
      <c r="DD19" s="835">
        <f t="shared" si="25"/>
        <v>0</v>
      </c>
      <c r="DE19" s="835">
        <f t="shared" si="26"/>
        <v>0</v>
      </c>
      <c r="DF19" s="835">
        <f t="shared" si="27"/>
        <v>0</v>
      </c>
      <c r="DG19" s="835">
        <f t="shared" si="28"/>
        <v>0</v>
      </c>
      <c r="DH19" s="835">
        <f t="shared" si="29"/>
        <v>0</v>
      </c>
      <c r="DI19" s="835">
        <f t="shared" si="30"/>
        <v>0</v>
      </c>
      <c r="DJ19" s="836">
        <f t="shared" si="31"/>
        <v>4819336.7025075974</v>
      </c>
      <c r="DK19" s="325"/>
    </row>
    <row r="20" spans="1:115">
      <c r="A20" s="741" t="s">
        <v>619</v>
      </c>
      <c r="B20" s="742" t="s">
        <v>174</v>
      </c>
      <c r="C20" s="742" t="s">
        <v>174</v>
      </c>
      <c r="D20" s="749">
        <v>0</v>
      </c>
      <c r="E20" s="746">
        <v>0</v>
      </c>
      <c r="F20" s="746">
        <v>0</v>
      </c>
      <c r="G20" s="746">
        <v>0</v>
      </c>
      <c r="H20" s="746">
        <v>0</v>
      </c>
      <c r="I20" s="746">
        <v>1.53</v>
      </c>
      <c r="J20" s="746">
        <v>0</v>
      </c>
      <c r="K20" s="746">
        <v>0</v>
      </c>
      <c r="L20" s="746">
        <v>0</v>
      </c>
      <c r="M20" s="746">
        <v>0</v>
      </c>
      <c r="N20" s="746">
        <v>0</v>
      </c>
      <c r="O20" s="746">
        <v>0</v>
      </c>
      <c r="P20" s="746">
        <v>0</v>
      </c>
      <c r="Q20" s="746">
        <v>0</v>
      </c>
      <c r="R20" s="746">
        <v>0</v>
      </c>
      <c r="S20" s="746">
        <v>0</v>
      </c>
      <c r="T20" s="746">
        <v>0</v>
      </c>
      <c r="U20" s="746">
        <v>0</v>
      </c>
      <c r="V20" s="746">
        <v>0</v>
      </c>
      <c r="W20" s="746">
        <v>0</v>
      </c>
      <c r="X20" s="747">
        <v>0</v>
      </c>
      <c r="Z20" s="750">
        <v>0</v>
      </c>
      <c r="AA20" s="751">
        <v>0</v>
      </c>
      <c r="AB20" s="751">
        <v>0</v>
      </c>
      <c r="AC20" s="751">
        <v>0</v>
      </c>
      <c r="AD20" s="751">
        <v>0</v>
      </c>
      <c r="AE20" s="751">
        <v>1.53</v>
      </c>
      <c r="AF20" s="751">
        <v>0</v>
      </c>
      <c r="AG20" s="751">
        <v>0</v>
      </c>
      <c r="AH20" s="751">
        <v>0</v>
      </c>
      <c r="AI20" s="751">
        <v>0</v>
      </c>
      <c r="AJ20" s="751">
        <v>0</v>
      </c>
      <c r="AK20" s="751">
        <v>0</v>
      </c>
      <c r="AL20" s="751">
        <v>0</v>
      </c>
      <c r="AM20" s="751">
        <v>0</v>
      </c>
      <c r="AN20" s="751">
        <v>0</v>
      </c>
      <c r="AO20" s="751">
        <v>0</v>
      </c>
      <c r="AP20" s="751">
        <v>0</v>
      </c>
      <c r="AQ20" s="751">
        <v>0</v>
      </c>
      <c r="AR20" s="751">
        <v>0</v>
      </c>
      <c r="AS20" s="751">
        <v>0</v>
      </c>
      <c r="AT20" s="752">
        <v>0</v>
      </c>
      <c r="AV20" s="762">
        <v>5471.4804018196492</v>
      </c>
      <c r="AW20" s="760">
        <v>0</v>
      </c>
      <c r="AX20" s="760">
        <v>0</v>
      </c>
      <c r="AY20" s="760">
        <v>0</v>
      </c>
      <c r="AZ20" s="760">
        <v>0</v>
      </c>
      <c r="BA20" s="760">
        <v>10630893.4556701</v>
      </c>
      <c r="BB20" s="760">
        <v>0</v>
      </c>
      <c r="BC20" s="760">
        <v>0</v>
      </c>
      <c r="BD20" s="760">
        <v>0</v>
      </c>
      <c r="BE20" s="760">
        <v>0</v>
      </c>
      <c r="BF20" s="760">
        <v>0</v>
      </c>
      <c r="BG20" s="760">
        <v>0</v>
      </c>
      <c r="BH20" s="760">
        <v>0</v>
      </c>
      <c r="BI20" s="760">
        <v>0</v>
      </c>
      <c r="BJ20" s="760">
        <v>0</v>
      </c>
      <c r="BK20" s="760">
        <v>0</v>
      </c>
      <c r="BL20" s="760">
        <v>0</v>
      </c>
      <c r="BM20" s="760">
        <v>0</v>
      </c>
      <c r="BN20" s="760">
        <v>0</v>
      </c>
      <c r="BO20" s="760">
        <v>0</v>
      </c>
      <c r="BP20" s="761">
        <v>0</v>
      </c>
      <c r="BQ20" s="781">
        <f t="shared" si="32"/>
        <v>10630893.4556701</v>
      </c>
      <c r="BR20" s="306">
        <f t="shared" si="6"/>
        <v>0</v>
      </c>
      <c r="BS20" s="307">
        <f t="shared" si="0"/>
        <v>0</v>
      </c>
      <c r="BT20" s="307">
        <f t="shared" si="0"/>
        <v>0</v>
      </c>
      <c r="BU20" s="307">
        <f t="shared" si="0"/>
        <v>0</v>
      </c>
      <c r="BV20" s="307">
        <f t="shared" si="0"/>
        <v>0</v>
      </c>
      <c r="BW20" s="307">
        <f t="shared" si="0"/>
        <v>162652.66987175253</v>
      </c>
      <c r="BX20" s="307">
        <f t="shared" si="0"/>
        <v>0</v>
      </c>
      <c r="BY20" s="307">
        <f t="shared" si="0"/>
        <v>0</v>
      </c>
      <c r="BZ20" s="307">
        <f t="shared" si="0"/>
        <v>0</v>
      </c>
      <c r="CA20" s="307">
        <f t="shared" si="7"/>
        <v>0</v>
      </c>
      <c r="CB20" s="307">
        <f t="shared" si="7"/>
        <v>0</v>
      </c>
      <c r="CC20" s="307">
        <f t="shared" si="7"/>
        <v>0</v>
      </c>
      <c r="CD20" s="307">
        <f t="shared" si="7"/>
        <v>0</v>
      </c>
      <c r="CE20" s="307">
        <f t="shared" si="8"/>
        <v>0</v>
      </c>
      <c r="CF20" s="307">
        <f t="shared" si="1"/>
        <v>0</v>
      </c>
      <c r="CG20" s="307">
        <f t="shared" si="1"/>
        <v>0</v>
      </c>
      <c r="CH20" s="307">
        <f t="shared" si="1"/>
        <v>0</v>
      </c>
      <c r="CI20" s="307">
        <f t="shared" si="1"/>
        <v>0</v>
      </c>
      <c r="CJ20" s="307">
        <f t="shared" si="1"/>
        <v>0</v>
      </c>
      <c r="CK20" s="307">
        <f t="shared" si="1"/>
        <v>0</v>
      </c>
      <c r="CL20" s="307">
        <f t="shared" si="1"/>
        <v>0</v>
      </c>
      <c r="CM20" s="259">
        <f t="shared" si="9"/>
        <v>162652.66987175253</v>
      </c>
      <c r="CN20" s="325"/>
      <c r="CO20" s="834">
        <f t="shared" si="10"/>
        <v>0</v>
      </c>
      <c r="CP20" s="835">
        <f t="shared" si="11"/>
        <v>0</v>
      </c>
      <c r="CQ20" s="835">
        <f t="shared" si="12"/>
        <v>0</v>
      </c>
      <c r="CR20" s="835">
        <f t="shared" si="13"/>
        <v>0</v>
      </c>
      <c r="CS20" s="835">
        <f t="shared" si="14"/>
        <v>0</v>
      </c>
      <c r="CT20" s="835">
        <f t="shared" si="15"/>
        <v>162652.66987175253</v>
      </c>
      <c r="CU20" s="835">
        <f t="shared" si="16"/>
        <v>0</v>
      </c>
      <c r="CV20" s="835">
        <f t="shared" si="17"/>
        <v>0</v>
      </c>
      <c r="CW20" s="835">
        <f t="shared" si="18"/>
        <v>0</v>
      </c>
      <c r="CX20" s="835">
        <f t="shared" si="19"/>
        <v>0</v>
      </c>
      <c r="CY20" s="835">
        <f t="shared" si="20"/>
        <v>0</v>
      </c>
      <c r="CZ20" s="835">
        <f t="shared" si="21"/>
        <v>0</v>
      </c>
      <c r="DA20" s="835">
        <f t="shared" si="22"/>
        <v>0</v>
      </c>
      <c r="DB20" s="835">
        <f t="shared" si="23"/>
        <v>0</v>
      </c>
      <c r="DC20" s="835">
        <f t="shared" si="24"/>
        <v>0</v>
      </c>
      <c r="DD20" s="835">
        <f t="shared" si="25"/>
        <v>0</v>
      </c>
      <c r="DE20" s="835">
        <f t="shared" si="26"/>
        <v>0</v>
      </c>
      <c r="DF20" s="835">
        <f t="shared" si="27"/>
        <v>0</v>
      </c>
      <c r="DG20" s="835">
        <f t="shared" si="28"/>
        <v>0</v>
      </c>
      <c r="DH20" s="835">
        <f t="shared" si="29"/>
        <v>0</v>
      </c>
      <c r="DI20" s="835">
        <f t="shared" si="30"/>
        <v>0</v>
      </c>
      <c r="DJ20" s="836">
        <f t="shared" si="31"/>
        <v>162652.66987175253</v>
      </c>
      <c r="DK20" s="325"/>
    </row>
    <row r="21" spans="1:115">
      <c r="A21" s="741" t="s">
        <v>620</v>
      </c>
      <c r="B21" s="742" t="s">
        <v>621</v>
      </c>
      <c r="C21" s="742" t="s">
        <v>621</v>
      </c>
      <c r="D21" s="749">
        <v>125</v>
      </c>
      <c r="E21" s="746">
        <v>2.36</v>
      </c>
      <c r="F21" s="746">
        <v>0</v>
      </c>
      <c r="G21" s="746">
        <v>0</v>
      </c>
      <c r="H21" s="746">
        <v>0</v>
      </c>
      <c r="I21" s="746">
        <v>0</v>
      </c>
      <c r="J21" s="746">
        <v>0</v>
      </c>
      <c r="K21" s="746">
        <v>0</v>
      </c>
      <c r="L21" s="746">
        <v>0</v>
      </c>
      <c r="M21" s="746">
        <v>0</v>
      </c>
      <c r="N21" s="746">
        <v>0</v>
      </c>
      <c r="O21" s="746">
        <v>7.73</v>
      </c>
      <c r="P21" s="746">
        <v>2.58</v>
      </c>
      <c r="Q21" s="746">
        <v>0</v>
      </c>
      <c r="R21" s="746">
        <v>0</v>
      </c>
      <c r="S21" s="746">
        <v>0</v>
      </c>
      <c r="T21" s="746">
        <v>0</v>
      </c>
      <c r="U21" s="746">
        <v>0</v>
      </c>
      <c r="V21" s="746">
        <v>0</v>
      </c>
      <c r="W21" s="746">
        <v>0</v>
      </c>
      <c r="X21" s="747">
        <v>0</v>
      </c>
      <c r="Z21" s="750">
        <v>125</v>
      </c>
      <c r="AA21" s="751">
        <v>2.37</v>
      </c>
      <c r="AB21" s="751">
        <v>0</v>
      </c>
      <c r="AC21" s="751">
        <v>0</v>
      </c>
      <c r="AD21" s="751">
        <v>0</v>
      </c>
      <c r="AE21" s="751">
        <v>0</v>
      </c>
      <c r="AF21" s="751">
        <v>0</v>
      </c>
      <c r="AG21" s="751">
        <v>0</v>
      </c>
      <c r="AH21" s="751">
        <v>0</v>
      </c>
      <c r="AI21" s="751">
        <v>0</v>
      </c>
      <c r="AJ21" s="751">
        <v>0</v>
      </c>
      <c r="AK21" s="751">
        <v>7.9</v>
      </c>
      <c r="AL21" s="751">
        <v>2.63</v>
      </c>
      <c r="AM21" s="751">
        <v>0</v>
      </c>
      <c r="AN21" s="751">
        <v>0</v>
      </c>
      <c r="AO21" s="751">
        <v>0</v>
      </c>
      <c r="AP21" s="751">
        <v>0</v>
      </c>
      <c r="AQ21" s="751">
        <v>0</v>
      </c>
      <c r="AR21" s="751">
        <v>0</v>
      </c>
      <c r="AS21" s="751">
        <v>0</v>
      </c>
      <c r="AT21" s="752">
        <v>0</v>
      </c>
      <c r="AV21" s="762">
        <v>5</v>
      </c>
      <c r="AW21" s="760">
        <v>27500</v>
      </c>
      <c r="AX21" s="760">
        <v>0</v>
      </c>
      <c r="AY21" s="760">
        <v>0</v>
      </c>
      <c r="AZ21" s="760">
        <v>0</v>
      </c>
      <c r="BA21" s="760">
        <v>0</v>
      </c>
      <c r="BB21" s="760">
        <v>0</v>
      </c>
      <c r="BC21" s="760">
        <v>0</v>
      </c>
      <c r="BD21" s="760">
        <v>0</v>
      </c>
      <c r="BE21" s="760">
        <v>0</v>
      </c>
      <c r="BF21" s="760">
        <v>0</v>
      </c>
      <c r="BG21" s="760">
        <v>62.785388127853878</v>
      </c>
      <c r="BH21" s="760">
        <v>100.45662100456622</v>
      </c>
      <c r="BI21" s="760">
        <v>0</v>
      </c>
      <c r="BJ21" s="760">
        <v>0</v>
      </c>
      <c r="BK21" s="760">
        <v>0</v>
      </c>
      <c r="BL21" s="760">
        <v>0</v>
      </c>
      <c r="BM21" s="760">
        <v>0</v>
      </c>
      <c r="BN21" s="760">
        <v>0</v>
      </c>
      <c r="BO21" s="760">
        <v>0</v>
      </c>
      <c r="BP21" s="761">
        <v>0</v>
      </c>
      <c r="BQ21" s="781">
        <f t="shared" si="32"/>
        <v>27500</v>
      </c>
      <c r="BR21" s="306">
        <f t="shared" si="6"/>
        <v>625</v>
      </c>
      <c r="BS21" s="307">
        <f t="shared" si="0"/>
        <v>649</v>
      </c>
      <c r="BT21" s="307">
        <f t="shared" si="0"/>
        <v>0</v>
      </c>
      <c r="BU21" s="307">
        <f t="shared" si="0"/>
        <v>0</v>
      </c>
      <c r="BV21" s="307">
        <f t="shared" si="0"/>
        <v>0</v>
      </c>
      <c r="BW21" s="307">
        <f t="shared" si="0"/>
        <v>0</v>
      </c>
      <c r="BX21" s="307">
        <f t="shared" si="0"/>
        <v>0</v>
      </c>
      <c r="BY21" s="307">
        <f t="shared" si="0"/>
        <v>0</v>
      </c>
      <c r="BZ21" s="307">
        <f t="shared" si="0"/>
        <v>0</v>
      </c>
      <c r="CA21" s="307">
        <f t="shared" si="7"/>
        <v>0</v>
      </c>
      <c r="CB21" s="307">
        <f t="shared" si="7"/>
        <v>0</v>
      </c>
      <c r="CC21" s="307">
        <f t="shared" si="7"/>
        <v>485.33105022831052</v>
      </c>
      <c r="CD21" s="307">
        <f t="shared" si="7"/>
        <v>259.17808219178085</v>
      </c>
      <c r="CE21" s="307">
        <f t="shared" si="8"/>
        <v>0</v>
      </c>
      <c r="CF21" s="307">
        <f t="shared" si="1"/>
        <v>0</v>
      </c>
      <c r="CG21" s="307">
        <f t="shared" si="1"/>
        <v>0</v>
      </c>
      <c r="CH21" s="307">
        <f t="shared" si="1"/>
        <v>0</v>
      </c>
      <c r="CI21" s="307">
        <f t="shared" si="1"/>
        <v>0</v>
      </c>
      <c r="CJ21" s="307">
        <f t="shared" si="1"/>
        <v>0</v>
      </c>
      <c r="CK21" s="307">
        <f t="shared" si="1"/>
        <v>0</v>
      </c>
      <c r="CL21" s="307">
        <f t="shared" si="1"/>
        <v>0</v>
      </c>
      <c r="CM21" s="259">
        <f t="shared" si="9"/>
        <v>2018.5091324200912</v>
      </c>
      <c r="CN21" s="325"/>
      <c r="CO21" s="834">
        <f t="shared" si="10"/>
        <v>625</v>
      </c>
      <c r="CP21" s="835">
        <f t="shared" si="11"/>
        <v>651.75000000000011</v>
      </c>
      <c r="CQ21" s="835">
        <f t="shared" si="12"/>
        <v>0</v>
      </c>
      <c r="CR21" s="835">
        <f t="shared" si="13"/>
        <v>0</v>
      </c>
      <c r="CS21" s="835">
        <f t="shared" si="14"/>
        <v>0</v>
      </c>
      <c r="CT21" s="835">
        <f t="shared" si="15"/>
        <v>0</v>
      </c>
      <c r="CU21" s="835">
        <f t="shared" si="16"/>
        <v>0</v>
      </c>
      <c r="CV21" s="835">
        <f t="shared" si="17"/>
        <v>0</v>
      </c>
      <c r="CW21" s="835">
        <f t="shared" si="18"/>
        <v>0</v>
      </c>
      <c r="CX21" s="835">
        <f t="shared" si="19"/>
        <v>0</v>
      </c>
      <c r="CY21" s="835">
        <f t="shared" si="20"/>
        <v>0</v>
      </c>
      <c r="CZ21" s="835">
        <f t="shared" si="21"/>
        <v>496.00456621004565</v>
      </c>
      <c r="DA21" s="835">
        <f t="shared" si="22"/>
        <v>264.20091324200916</v>
      </c>
      <c r="DB21" s="835">
        <f t="shared" si="23"/>
        <v>0</v>
      </c>
      <c r="DC21" s="835">
        <f t="shared" si="24"/>
        <v>0</v>
      </c>
      <c r="DD21" s="835">
        <f t="shared" si="25"/>
        <v>0</v>
      </c>
      <c r="DE21" s="835">
        <f t="shared" si="26"/>
        <v>0</v>
      </c>
      <c r="DF21" s="835">
        <f t="shared" si="27"/>
        <v>0</v>
      </c>
      <c r="DG21" s="835">
        <f t="shared" si="28"/>
        <v>0</v>
      </c>
      <c r="DH21" s="835">
        <f t="shared" si="29"/>
        <v>0</v>
      </c>
      <c r="DI21" s="835">
        <f t="shared" si="30"/>
        <v>0</v>
      </c>
      <c r="DJ21" s="836">
        <f t="shared" si="31"/>
        <v>2036.9554794520548</v>
      </c>
      <c r="DK21" s="325"/>
    </row>
    <row r="22" spans="1:115" s="764" customFormat="1">
      <c r="A22" s="764" t="s">
        <v>781</v>
      </c>
      <c r="B22" s="765" t="s">
        <v>791</v>
      </c>
      <c r="C22" s="808" t="str">
        <f>C21</f>
        <v>Residential Demand</v>
      </c>
      <c r="D22" s="773">
        <v>360</v>
      </c>
      <c r="E22" s="771">
        <v>0</v>
      </c>
      <c r="F22" s="771">
        <v>0</v>
      </c>
      <c r="G22" s="771">
        <v>0</v>
      </c>
      <c r="H22" s="771">
        <v>0</v>
      </c>
      <c r="I22" s="771">
        <v>0</v>
      </c>
      <c r="J22" s="771">
        <v>0</v>
      </c>
      <c r="K22" s="771">
        <v>0</v>
      </c>
      <c r="L22" s="771">
        <v>0</v>
      </c>
      <c r="M22" s="771">
        <v>0</v>
      </c>
      <c r="N22" s="771">
        <v>0</v>
      </c>
      <c r="O22" s="771">
        <v>1.55</v>
      </c>
      <c r="P22" s="771">
        <v>1.55</v>
      </c>
      <c r="Q22" s="771">
        <v>0</v>
      </c>
      <c r="R22" s="771">
        <v>0</v>
      </c>
      <c r="S22" s="771">
        <v>0</v>
      </c>
      <c r="T22" s="771">
        <v>0</v>
      </c>
      <c r="U22" s="771">
        <v>0</v>
      </c>
      <c r="V22" s="771">
        <v>0</v>
      </c>
      <c r="W22" s="771">
        <v>0</v>
      </c>
      <c r="X22" s="772">
        <v>0</v>
      </c>
      <c r="Z22" s="809">
        <f t="shared" ref="Z22:AT22" si="33">Z21</f>
        <v>125</v>
      </c>
      <c r="AA22" s="810">
        <f t="shared" si="33"/>
        <v>2.37</v>
      </c>
      <c r="AB22" s="810">
        <f t="shared" si="33"/>
        <v>0</v>
      </c>
      <c r="AC22" s="810">
        <f t="shared" si="33"/>
        <v>0</v>
      </c>
      <c r="AD22" s="810">
        <f t="shared" si="33"/>
        <v>0</v>
      </c>
      <c r="AE22" s="810">
        <f t="shared" si="33"/>
        <v>0</v>
      </c>
      <c r="AF22" s="810">
        <f t="shared" si="33"/>
        <v>0</v>
      </c>
      <c r="AG22" s="810">
        <f t="shared" si="33"/>
        <v>0</v>
      </c>
      <c r="AH22" s="810">
        <f t="shared" si="33"/>
        <v>0</v>
      </c>
      <c r="AI22" s="810">
        <f t="shared" si="33"/>
        <v>0</v>
      </c>
      <c r="AJ22" s="810">
        <f t="shared" si="33"/>
        <v>0</v>
      </c>
      <c r="AK22" s="810">
        <f t="shared" si="33"/>
        <v>7.9</v>
      </c>
      <c r="AL22" s="810">
        <f t="shared" si="33"/>
        <v>2.63</v>
      </c>
      <c r="AM22" s="810">
        <f t="shared" si="33"/>
        <v>0</v>
      </c>
      <c r="AN22" s="810">
        <f t="shared" si="33"/>
        <v>0</v>
      </c>
      <c r="AO22" s="810">
        <f t="shared" si="33"/>
        <v>0</v>
      </c>
      <c r="AP22" s="810">
        <f t="shared" si="33"/>
        <v>0</v>
      </c>
      <c r="AQ22" s="810">
        <f t="shared" si="33"/>
        <v>0</v>
      </c>
      <c r="AR22" s="810">
        <f t="shared" si="33"/>
        <v>0</v>
      </c>
      <c r="AS22" s="810">
        <f t="shared" si="33"/>
        <v>0</v>
      </c>
      <c r="AT22" s="811">
        <f t="shared" si="33"/>
        <v>0</v>
      </c>
      <c r="AV22" s="762">
        <v>0</v>
      </c>
      <c r="AW22" s="770">
        <v>0</v>
      </c>
      <c r="AX22" s="770">
        <v>0</v>
      </c>
      <c r="AY22" s="770">
        <v>0</v>
      </c>
      <c r="AZ22" s="770">
        <v>0</v>
      </c>
      <c r="BA22" s="770">
        <v>0</v>
      </c>
      <c r="BB22" s="770">
        <v>0</v>
      </c>
      <c r="BC22" s="770">
        <v>0</v>
      </c>
      <c r="BD22" s="770">
        <v>0</v>
      </c>
      <c r="BE22" s="770">
        <v>0</v>
      </c>
      <c r="BF22" s="770">
        <v>0</v>
      </c>
      <c r="BG22" s="770">
        <v>0</v>
      </c>
      <c r="BH22" s="770">
        <v>0</v>
      </c>
      <c r="BI22" s="770">
        <v>0</v>
      </c>
      <c r="BJ22" s="770">
        <v>0</v>
      </c>
      <c r="BK22" s="770">
        <v>0</v>
      </c>
      <c r="BL22" s="770">
        <v>0</v>
      </c>
      <c r="BM22" s="770">
        <v>0</v>
      </c>
      <c r="BN22" s="770">
        <v>0</v>
      </c>
      <c r="BO22" s="770">
        <v>0</v>
      </c>
      <c r="BP22" s="761">
        <v>0</v>
      </c>
      <c r="BQ22" s="781">
        <f t="shared" si="32"/>
        <v>0</v>
      </c>
      <c r="BR22" s="306">
        <f t="shared" si="6"/>
        <v>0</v>
      </c>
      <c r="BS22" s="307">
        <f t="shared" ref="BS22:BZ25" si="34">E22/100*AW22</f>
        <v>0</v>
      </c>
      <c r="BT22" s="307">
        <f t="shared" si="34"/>
        <v>0</v>
      </c>
      <c r="BU22" s="307">
        <f t="shared" si="34"/>
        <v>0</v>
      </c>
      <c r="BV22" s="307">
        <f t="shared" si="34"/>
        <v>0</v>
      </c>
      <c r="BW22" s="307">
        <f t="shared" si="34"/>
        <v>0</v>
      </c>
      <c r="BX22" s="307">
        <f t="shared" si="34"/>
        <v>0</v>
      </c>
      <c r="BY22" s="307">
        <f t="shared" si="34"/>
        <v>0</v>
      </c>
      <c r="BZ22" s="307">
        <f t="shared" si="34"/>
        <v>0</v>
      </c>
      <c r="CA22" s="307">
        <f t="shared" si="7"/>
        <v>0</v>
      </c>
      <c r="CB22" s="307">
        <f t="shared" si="7"/>
        <v>0</v>
      </c>
      <c r="CC22" s="307">
        <f t="shared" si="7"/>
        <v>0</v>
      </c>
      <c r="CD22" s="307">
        <f t="shared" si="7"/>
        <v>0</v>
      </c>
      <c r="CE22" s="307">
        <f t="shared" si="8"/>
        <v>0</v>
      </c>
      <c r="CF22" s="307">
        <f t="shared" si="1"/>
        <v>0</v>
      </c>
      <c r="CG22" s="307">
        <f t="shared" si="1"/>
        <v>0</v>
      </c>
      <c r="CH22" s="307">
        <f t="shared" si="1"/>
        <v>0</v>
      </c>
      <c r="CI22" s="307">
        <f t="shared" si="1"/>
        <v>0</v>
      </c>
      <c r="CJ22" s="307">
        <f t="shared" si="1"/>
        <v>0</v>
      </c>
      <c r="CK22" s="307">
        <f t="shared" si="1"/>
        <v>0</v>
      </c>
      <c r="CL22" s="307">
        <f t="shared" si="1"/>
        <v>0</v>
      </c>
      <c r="CM22" s="259">
        <f t="shared" si="9"/>
        <v>0</v>
      </c>
      <c r="CN22" s="325"/>
      <c r="CO22" s="834">
        <f t="shared" si="10"/>
        <v>0</v>
      </c>
      <c r="CP22" s="835">
        <f t="shared" si="11"/>
        <v>0</v>
      </c>
      <c r="CQ22" s="835">
        <f t="shared" si="12"/>
        <v>0</v>
      </c>
      <c r="CR22" s="835">
        <f t="shared" si="13"/>
        <v>0</v>
      </c>
      <c r="CS22" s="835">
        <f t="shared" si="14"/>
        <v>0</v>
      </c>
      <c r="CT22" s="835">
        <f t="shared" si="15"/>
        <v>0</v>
      </c>
      <c r="CU22" s="835">
        <f t="shared" si="16"/>
        <v>0</v>
      </c>
      <c r="CV22" s="835">
        <f t="shared" si="17"/>
        <v>0</v>
      </c>
      <c r="CW22" s="835">
        <f t="shared" si="18"/>
        <v>0</v>
      </c>
      <c r="CX22" s="835">
        <f t="shared" si="19"/>
        <v>0</v>
      </c>
      <c r="CY22" s="835">
        <f t="shared" si="20"/>
        <v>0</v>
      </c>
      <c r="CZ22" s="835">
        <f t="shared" si="21"/>
        <v>0</v>
      </c>
      <c r="DA22" s="835">
        <f t="shared" si="22"/>
        <v>0</v>
      </c>
      <c r="DB22" s="835">
        <f t="shared" si="23"/>
        <v>0</v>
      </c>
      <c r="DC22" s="835">
        <f t="shared" si="24"/>
        <v>0</v>
      </c>
      <c r="DD22" s="835">
        <f t="shared" si="25"/>
        <v>0</v>
      </c>
      <c r="DE22" s="835">
        <f t="shared" si="26"/>
        <v>0</v>
      </c>
      <c r="DF22" s="835">
        <f t="shared" si="27"/>
        <v>0</v>
      </c>
      <c r="DG22" s="835">
        <f t="shared" si="28"/>
        <v>0</v>
      </c>
      <c r="DH22" s="835">
        <f t="shared" si="29"/>
        <v>0</v>
      </c>
      <c r="DI22" s="835">
        <f t="shared" si="30"/>
        <v>0</v>
      </c>
      <c r="DJ22" s="836">
        <f t="shared" si="31"/>
        <v>0</v>
      </c>
      <c r="DK22" s="325"/>
    </row>
    <row r="23" spans="1:115">
      <c r="A23" s="741" t="s">
        <v>622</v>
      </c>
      <c r="B23" s="742" t="s">
        <v>175</v>
      </c>
      <c r="C23" s="742" t="s">
        <v>175</v>
      </c>
      <c r="D23" s="773">
        <v>160</v>
      </c>
      <c r="E23" s="746">
        <v>6.29</v>
      </c>
      <c r="F23" s="746">
        <v>0</v>
      </c>
      <c r="G23" s="746">
        <v>0</v>
      </c>
      <c r="H23" s="746">
        <v>0</v>
      </c>
      <c r="I23" s="746">
        <v>0</v>
      </c>
      <c r="J23" s="746">
        <v>0</v>
      </c>
      <c r="K23" s="746">
        <v>0</v>
      </c>
      <c r="L23" s="746">
        <v>0</v>
      </c>
      <c r="M23" s="746">
        <v>0</v>
      </c>
      <c r="N23" s="746">
        <v>0</v>
      </c>
      <c r="O23" s="746">
        <v>0</v>
      </c>
      <c r="P23" s="746">
        <v>0</v>
      </c>
      <c r="Q23" s="746">
        <v>0</v>
      </c>
      <c r="R23" s="746">
        <v>0</v>
      </c>
      <c r="S23" s="746">
        <v>0</v>
      </c>
      <c r="T23" s="746">
        <v>0</v>
      </c>
      <c r="U23" s="746">
        <v>0</v>
      </c>
      <c r="V23" s="746">
        <v>0</v>
      </c>
      <c r="W23" s="746">
        <v>0</v>
      </c>
      <c r="X23" s="747">
        <v>0</v>
      </c>
      <c r="Z23" s="750">
        <v>160</v>
      </c>
      <c r="AA23" s="751">
        <v>6.65</v>
      </c>
      <c r="AB23" s="751">
        <v>0</v>
      </c>
      <c r="AC23" s="751">
        <v>0</v>
      </c>
      <c r="AD23" s="751">
        <v>0</v>
      </c>
      <c r="AE23" s="751">
        <v>0</v>
      </c>
      <c r="AF23" s="751">
        <v>0</v>
      </c>
      <c r="AG23" s="751">
        <v>0</v>
      </c>
      <c r="AH23" s="751">
        <v>0</v>
      </c>
      <c r="AI23" s="751">
        <v>0</v>
      </c>
      <c r="AJ23" s="751">
        <v>0</v>
      </c>
      <c r="AK23" s="751">
        <v>0</v>
      </c>
      <c r="AL23" s="751">
        <v>0</v>
      </c>
      <c r="AM23" s="751">
        <v>0</v>
      </c>
      <c r="AN23" s="751">
        <v>0</v>
      </c>
      <c r="AO23" s="751">
        <v>0</v>
      </c>
      <c r="AP23" s="751">
        <v>0</v>
      </c>
      <c r="AQ23" s="751">
        <v>0</v>
      </c>
      <c r="AR23" s="751">
        <v>0</v>
      </c>
      <c r="AS23" s="751">
        <v>0</v>
      </c>
      <c r="AT23" s="752">
        <v>0</v>
      </c>
      <c r="AV23" s="762">
        <v>42209.54354501221</v>
      </c>
      <c r="AW23" s="760">
        <v>256381416.1258947</v>
      </c>
      <c r="AX23" s="760">
        <v>0</v>
      </c>
      <c r="AY23" s="760">
        <v>0</v>
      </c>
      <c r="AZ23" s="760">
        <v>0</v>
      </c>
      <c r="BA23" s="760">
        <v>0</v>
      </c>
      <c r="BB23" s="760">
        <v>0</v>
      </c>
      <c r="BC23" s="760">
        <v>0</v>
      </c>
      <c r="BD23" s="760">
        <v>0</v>
      </c>
      <c r="BE23" s="760">
        <v>0</v>
      </c>
      <c r="BF23" s="760">
        <v>0</v>
      </c>
      <c r="BG23" s="760">
        <v>0</v>
      </c>
      <c r="BH23" s="760">
        <v>0</v>
      </c>
      <c r="BI23" s="760">
        <v>0</v>
      </c>
      <c r="BJ23" s="760">
        <v>0</v>
      </c>
      <c r="BK23" s="760">
        <v>0</v>
      </c>
      <c r="BL23" s="760">
        <v>0</v>
      </c>
      <c r="BM23" s="760">
        <v>0</v>
      </c>
      <c r="BN23" s="760">
        <v>0</v>
      </c>
      <c r="BO23" s="760">
        <v>0</v>
      </c>
      <c r="BP23" s="761">
        <v>0</v>
      </c>
      <c r="BQ23" s="781">
        <f t="shared" si="32"/>
        <v>256381416.1258947</v>
      </c>
      <c r="BR23" s="306">
        <f t="shared" si="6"/>
        <v>6753526.9672019538</v>
      </c>
      <c r="BS23" s="307">
        <f t="shared" si="34"/>
        <v>16126391.074318776</v>
      </c>
      <c r="BT23" s="307">
        <f t="shared" si="34"/>
        <v>0</v>
      </c>
      <c r="BU23" s="307">
        <f t="shared" si="34"/>
        <v>0</v>
      </c>
      <c r="BV23" s="307">
        <f t="shared" si="34"/>
        <v>0</v>
      </c>
      <c r="BW23" s="307">
        <f t="shared" si="34"/>
        <v>0</v>
      </c>
      <c r="BX23" s="307">
        <f t="shared" si="34"/>
        <v>0</v>
      </c>
      <c r="BY23" s="307">
        <f t="shared" si="34"/>
        <v>0</v>
      </c>
      <c r="BZ23" s="307">
        <f t="shared" si="34"/>
        <v>0</v>
      </c>
      <c r="CA23" s="307">
        <f t="shared" si="7"/>
        <v>0</v>
      </c>
      <c r="CB23" s="307">
        <f t="shared" si="7"/>
        <v>0</v>
      </c>
      <c r="CC23" s="307">
        <f t="shared" si="7"/>
        <v>0</v>
      </c>
      <c r="CD23" s="307">
        <f t="shared" si="7"/>
        <v>0</v>
      </c>
      <c r="CE23" s="307">
        <f t="shared" si="8"/>
        <v>0</v>
      </c>
      <c r="CF23" s="307">
        <f t="shared" si="1"/>
        <v>0</v>
      </c>
      <c r="CG23" s="307">
        <f t="shared" si="1"/>
        <v>0</v>
      </c>
      <c r="CH23" s="307">
        <f t="shared" si="1"/>
        <v>0</v>
      </c>
      <c r="CI23" s="307">
        <f t="shared" si="1"/>
        <v>0</v>
      </c>
      <c r="CJ23" s="307">
        <f t="shared" si="1"/>
        <v>0</v>
      </c>
      <c r="CK23" s="307">
        <f t="shared" si="1"/>
        <v>0</v>
      </c>
      <c r="CL23" s="307">
        <f t="shared" si="1"/>
        <v>0</v>
      </c>
      <c r="CM23" s="259">
        <f t="shared" si="9"/>
        <v>22879918.04152073</v>
      </c>
      <c r="CN23" s="325"/>
      <c r="CO23" s="834">
        <f t="shared" si="10"/>
        <v>6753526.9672019538</v>
      </c>
      <c r="CP23" s="835">
        <f t="shared" si="11"/>
        <v>17049364.172371998</v>
      </c>
      <c r="CQ23" s="835">
        <f t="shared" si="12"/>
        <v>0</v>
      </c>
      <c r="CR23" s="835">
        <f t="shared" si="13"/>
        <v>0</v>
      </c>
      <c r="CS23" s="835">
        <f t="shared" si="14"/>
        <v>0</v>
      </c>
      <c r="CT23" s="835">
        <f t="shared" si="15"/>
        <v>0</v>
      </c>
      <c r="CU23" s="835">
        <f t="shared" si="16"/>
        <v>0</v>
      </c>
      <c r="CV23" s="835">
        <f t="shared" si="17"/>
        <v>0</v>
      </c>
      <c r="CW23" s="835">
        <f t="shared" si="18"/>
        <v>0</v>
      </c>
      <c r="CX23" s="835">
        <f t="shared" si="19"/>
        <v>0</v>
      </c>
      <c r="CY23" s="835">
        <f t="shared" si="20"/>
        <v>0</v>
      </c>
      <c r="CZ23" s="835">
        <f t="shared" si="21"/>
        <v>0</v>
      </c>
      <c r="DA23" s="835">
        <f t="shared" si="22"/>
        <v>0</v>
      </c>
      <c r="DB23" s="835">
        <f t="shared" si="23"/>
        <v>0</v>
      </c>
      <c r="DC23" s="835">
        <f t="shared" si="24"/>
        <v>0</v>
      </c>
      <c r="DD23" s="835">
        <f t="shared" si="25"/>
        <v>0</v>
      </c>
      <c r="DE23" s="835">
        <f t="shared" si="26"/>
        <v>0</v>
      </c>
      <c r="DF23" s="835">
        <f t="shared" si="27"/>
        <v>0</v>
      </c>
      <c r="DG23" s="835">
        <f t="shared" si="28"/>
        <v>0</v>
      </c>
      <c r="DH23" s="835">
        <f t="shared" si="29"/>
        <v>0</v>
      </c>
      <c r="DI23" s="835">
        <f t="shared" si="30"/>
        <v>0</v>
      </c>
      <c r="DJ23" s="836">
        <f t="shared" si="31"/>
        <v>23802891.139573954</v>
      </c>
      <c r="DK23" s="325"/>
    </row>
    <row r="24" spans="1:115">
      <c r="A24" s="741" t="s">
        <v>623</v>
      </c>
      <c r="B24" s="742" t="s">
        <v>538</v>
      </c>
      <c r="C24" s="742" t="s">
        <v>538</v>
      </c>
      <c r="D24" s="773">
        <v>160</v>
      </c>
      <c r="E24" s="746">
        <v>0</v>
      </c>
      <c r="F24" s="746">
        <v>0</v>
      </c>
      <c r="G24" s="746">
        <v>0</v>
      </c>
      <c r="H24" s="746">
        <v>0</v>
      </c>
      <c r="I24" s="746">
        <v>0</v>
      </c>
      <c r="J24" s="746">
        <v>0</v>
      </c>
      <c r="K24" s="746">
        <v>0</v>
      </c>
      <c r="L24" s="746">
        <v>0</v>
      </c>
      <c r="M24" s="746">
        <v>0</v>
      </c>
      <c r="N24" s="746">
        <v>0</v>
      </c>
      <c r="O24" s="746">
        <v>0</v>
      </c>
      <c r="P24" s="746">
        <v>0</v>
      </c>
      <c r="Q24" s="746">
        <v>10.19</v>
      </c>
      <c r="R24" s="746">
        <v>3.19</v>
      </c>
      <c r="S24" s="746">
        <v>2.44</v>
      </c>
      <c r="T24" s="746">
        <v>0</v>
      </c>
      <c r="U24" s="746">
        <v>10.19</v>
      </c>
      <c r="V24" s="746">
        <v>3.19</v>
      </c>
      <c r="W24" s="746">
        <v>2.44</v>
      </c>
      <c r="X24" s="747">
        <v>0</v>
      </c>
      <c r="Z24" s="750">
        <v>160</v>
      </c>
      <c r="AA24" s="751">
        <v>0</v>
      </c>
      <c r="AB24" s="751">
        <v>0</v>
      </c>
      <c r="AC24" s="751">
        <v>0</v>
      </c>
      <c r="AD24" s="751">
        <v>0</v>
      </c>
      <c r="AE24" s="751">
        <v>0</v>
      </c>
      <c r="AF24" s="751">
        <v>0</v>
      </c>
      <c r="AG24" s="751">
        <v>0</v>
      </c>
      <c r="AH24" s="751">
        <v>0</v>
      </c>
      <c r="AI24" s="751">
        <v>0</v>
      </c>
      <c r="AJ24" s="751">
        <v>0</v>
      </c>
      <c r="AK24" s="751">
        <v>0</v>
      </c>
      <c r="AL24" s="751">
        <v>0</v>
      </c>
      <c r="AM24" s="751">
        <v>10.8</v>
      </c>
      <c r="AN24" s="751">
        <v>3.36</v>
      </c>
      <c r="AO24" s="751">
        <v>2.56</v>
      </c>
      <c r="AP24" s="751">
        <v>0</v>
      </c>
      <c r="AQ24" s="751">
        <v>10.8</v>
      </c>
      <c r="AR24" s="751">
        <v>3.36</v>
      </c>
      <c r="AS24" s="751">
        <v>2.56</v>
      </c>
      <c r="AT24" s="752">
        <v>0</v>
      </c>
      <c r="AV24" s="762">
        <v>186.11307242474166</v>
      </c>
      <c r="AW24" s="760">
        <v>0</v>
      </c>
      <c r="AX24" s="760">
        <v>0</v>
      </c>
      <c r="AY24" s="760">
        <v>0</v>
      </c>
      <c r="AZ24" s="760">
        <v>0</v>
      </c>
      <c r="BA24" s="760">
        <v>0</v>
      </c>
      <c r="BB24" s="760">
        <v>0</v>
      </c>
      <c r="BC24" s="760">
        <v>0</v>
      </c>
      <c r="BD24" s="760">
        <v>0</v>
      </c>
      <c r="BE24" s="760">
        <v>0</v>
      </c>
      <c r="BF24" s="760">
        <v>0</v>
      </c>
      <c r="BG24" s="760">
        <v>0</v>
      </c>
      <c r="BH24" s="760">
        <v>0</v>
      </c>
      <c r="BI24" s="760">
        <v>425233.80130471708</v>
      </c>
      <c r="BJ24" s="760">
        <v>148156.11479246127</v>
      </c>
      <c r="BK24" s="760">
        <v>478715.03718373307</v>
      </c>
      <c r="BL24" s="760">
        <v>0</v>
      </c>
      <c r="BM24" s="760">
        <v>1248433.2383987384</v>
      </c>
      <c r="BN24" s="760">
        <v>361061.69917074154</v>
      </c>
      <c r="BO24" s="760">
        <v>1112012.8908404843</v>
      </c>
      <c r="BP24" s="761">
        <v>0</v>
      </c>
      <c r="BQ24" s="781">
        <f t="shared" si="32"/>
        <v>3773612.781690876</v>
      </c>
      <c r="BR24" s="306">
        <f t="shared" si="6"/>
        <v>29778.091587958665</v>
      </c>
      <c r="BS24" s="307">
        <f t="shared" si="34"/>
        <v>0</v>
      </c>
      <c r="BT24" s="307">
        <f t="shared" si="34"/>
        <v>0</v>
      </c>
      <c r="BU24" s="307">
        <f t="shared" si="34"/>
        <v>0</v>
      </c>
      <c r="BV24" s="307">
        <f t="shared" si="34"/>
        <v>0</v>
      </c>
      <c r="BW24" s="307">
        <f t="shared" si="34"/>
        <v>0</v>
      </c>
      <c r="BX24" s="307">
        <f t="shared" si="34"/>
        <v>0</v>
      </c>
      <c r="BY24" s="307">
        <f t="shared" si="34"/>
        <v>0</v>
      </c>
      <c r="BZ24" s="307">
        <f t="shared" si="34"/>
        <v>0</v>
      </c>
      <c r="CA24" s="307">
        <f t="shared" si="7"/>
        <v>0</v>
      </c>
      <c r="CB24" s="307">
        <f t="shared" si="7"/>
        <v>0</v>
      </c>
      <c r="CC24" s="307">
        <f t="shared" si="7"/>
        <v>0</v>
      </c>
      <c r="CD24" s="307">
        <f t="shared" si="7"/>
        <v>0</v>
      </c>
      <c r="CE24" s="307">
        <f t="shared" si="8"/>
        <v>43331.324352950665</v>
      </c>
      <c r="CF24" s="307">
        <f t="shared" si="1"/>
        <v>4726.1800618795141</v>
      </c>
      <c r="CG24" s="307">
        <f t="shared" si="1"/>
        <v>11680.646907283086</v>
      </c>
      <c r="CH24" s="307">
        <f t="shared" si="1"/>
        <v>0</v>
      </c>
      <c r="CI24" s="307">
        <f t="shared" si="1"/>
        <v>127215.34699283143</v>
      </c>
      <c r="CJ24" s="307">
        <f t="shared" si="1"/>
        <v>11517.868203546654</v>
      </c>
      <c r="CK24" s="307">
        <f t="shared" si="1"/>
        <v>27133.114536507816</v>
      </c>
      <c r="CL24" s="307">
        <f t="shared" si="1"/>
        <v>0</v>
      </c>
      <c r="CM24" s="259">
        <f t="shared" si="9"/>
        <v>255382.57264295782</v>
      </c>
      <c r="CN24" s="325"/>
      <c r="CO24" s="834">
        <f t="shared" si="10"/>
        <v>29778.091587958665</v>
      </c>
      <c r="CP24" s="835">
        <f t="shared" si="11"/>
        <v>0</v>
      </c>
      <c r="CQ24" s="835">
        <f t="shared" si="12"/>
        <v>0</v>
      </c>
      <c r="CR24" s="835">
        <f t="shared" si="13"/>
        <v>0</v>
      </c>
      <c r="CS24" s="835">
        <f t="shared" si="14"/>
        <v>0</v>
      </c>
      <c r="CT24" s="835">
        <f t="shared" si="15"/>
        <v>0</v>
      </c>
      <c r="CU24" s="835">
        <f t="shared" si="16"/>
        <v>0</v>
      </c>
      <c r="CV24" s="835">
        <f t="shared" si="17"/>
        <v>0</v>
      </c>
      <c r="CW24" s="835">
        <f t="shared" si="18"/>
        <v>0</v>
      </c>
      <c r="CX24" s="835">
        <f t="shared" si="19"/>
        <v>0</v>
      </c>
      <c r="CY24" s="835">
        <f t="shared" si="20"/>
        <v>0</v>
      </c>
      <c r="CZ24" s="835">
        <f t="shared" si="21"/>
        <v>0</v>
      </c>
      <c r="DA24" s="835">
        <f t="shared" si="22"/>
        <v>0</v>
      </c>
      <c r="DB24" s="835">
        <f t="shared" si="23"/>
        <v>45925.250540909452</v>
      </c>
      <c r="DC24" s="835">
        <f t="shared" si="24"/>
        <v>4978.0454570266984</v>
      </c>
      <c r="DD24" s="835">
        <f t="shared" si="25"/>
        <v>12255.104951903568</v>
      </c>
      <c r="DE24" s="835">
        <f t="shared" si="26"/>
        <v>0</v>
      </c>
      <c r="DF24" s="835">
        <f t="shared" si="27"/>
        <v>134830.78974706377</v>
      </c>
      <c r="DG24" s="835">
        <f t="shared" si="28"/>
        <v>12131.673092136914</v>
      </c>
      <c r="DH24" s="835">
        <f t="shared" si="29"/>
        <v>28467.530005516401</v>
      </c>
      <c r="DI24" s="835">
        <f t="shared" si="30"/>
        <v>0</v>
      </c>
      <c r="DJ24" s="836">
        <f t="shared" si="31"/>
        <v>268366.48538251547</v>
      </c>
      <c r="DK24" s="325"/>
    </row>
    <row r="25" spans="1:115">
      <c r="A25" s="741" t="s">
        <v>624</v>
      </c>
      <c r="B25" s="742" t="s">
        <v>176</v>
      </c>
      <c r="C25" s="742" t="s">
        <v>176</v>
      </c>
      <c r="D25" s="773">
        <v>160</v>
      </c>
      <c r="E25" s="746">
        <v>0</v>
      </c>
      <c r="F25" s="746">
        <v>10.31</v>
      </c>
      <c r="G25" s="746">
        <v>0</v>
      </c>
      <c r="H25" s="746">
        <v>0</v>
      </c>
      <c r="I25" s="746">
        <v>2.34</v>
      </c>
      <c r="J25" s="746">
        <v>0</v>
      </c>
      <c r="K25" s="746">
        <v>0</v>
      </c>
      <c r="L25" s="746">
        <v>0</v>
      </c>
      <c r="M25" s="746">
        <v>0</v>
      </c>
      <c r="N25" s="746">
        <v>0</v>
      </c>
      <c r="O25" s="746">
        <v>0</v>
      </c>
      <c r="P25" s="746">
        <v>0</v>
      </c>
      <c r="Q25" s="746">
        <v>0</v>
      </c>
      <c r="R25" s="746">
        <v>0</v>
      </c>
      <c r="S25" s="746">
        <v>0</v>
      </c>
      <c r="T25" s="746">
        <v>0</v>
      </c>
      <c r="U25" s="746">
        <v>0</v>
      </c>
      <c r="V25" s="746">
        <v>0</v>
      </c>
      <c r="W25" s="746">
        <v>0</v>
      </c>
      <c r="X25" s="747">
        <v>0</v>
      </c>
      <c r="Z25" s="750">
        <v>160</v>
      </c>
      <c r="AA25" s="751">
        <v>0</v>
      </c>
      <c r="AB25" s="751">
        <v>10.93</v>
      </c>
      <c r="AC25" s="751">
        <v>0</v>
      </c>
      <c r="AD25" s="751">
        <v>0</v>
      </c>
      <c r="AE25" s="751">
        <v>2.4500000000000002</v>
      </c>
      <c r="AF25" s="751">
        <v>0</v>
      </c>
      <c r="AG25" s="751">
        <v>0</v>
      </c>
      <c r="AH25" s="751">
        <v>0</v>
      </c>
      <c r="AI25" s="751">
        <v>0</v>
      </c>
      <c r="AJ25" s="751">
        <v>0</v>
      </c>
      <c r="AK25" s="751">
        <v>0</v>
      </c>
      <c r="AL25" s="751">
        <v>0</v>
      </c>
      <c r="AM25" s="751">
        <v>0</v>
      </c>
      <c r="AN25" s="751">
        <v>0</v>
      </c>
      <c r="AO25" s="751">
        <v>0</v>
      </c>
      <c r="AP25" s="751">
        <v>0</v>
      </c>
      <c r="AQ25" s="751">
        <v>0</v>
      </c>
      <c r="AR25" s="751">
        <v>0</v>
      </c>
      <c r="AS25" s="751">
        <v>0</v>
      </c>
      <c r="AT25" s="752">
        <v>0</v>
      </c>
      <c r="AV25" s="762">
        <v>24184.201071330088</v>
      </c>
      <c r="AW25" s="760">
        <v>0</v>
      </c>
      <c r="AX25" s="760">
        <v>207323954.65497863</v>
      </c>
      <c r="AY25" s="760">
        <v>0</v>
      </c>
      <c r="AZ25" s="760">
        <v>0</v>
      </c>
      <c r="BA25" s="760">
        <v>176674793.86974853</v>
      </c>
      <c r="BB25" s="760">
        <v>0</v>
      </c>
      <c r="BC25" s="760">
        <v>0</v>
      </c>
      <c r="BD25" s="760">
        <v>0</v>
      </c>
      <c r="BE25" s="760">
        <v>0</v>
      </c>
      <c r="BF25" s="760">
        <v>0</v>
      </c>
      <c r="BG25" s="760">
        <v>0</v>
      </c>
      <c r="BH25" s="760">
        <v>0</v>
      </c>
      <c r="BI25" s="760">
        <v>0</v>
      </c>
      <c r="BJ25" s="760">
        <v>0</v>
      </c>
      <c r="BK25" s="760">
        <v>0</v>
      </c>
      <c r="BL25" s="760">
        <v>0</v>
      </c>
      <c r="BM25" s="760">
        <v>0</v>
      </c>
      <c r="BN25" s="760">
        <v>0</v>
      </c>
      <c r="BO25" s="760">
        <v>0</v>
      </c>
      <c r="BP25" s="761">
        <v>0</v>
      </c>
      <c r="BQ25" s="781">
        <f t="shared" si="32"/>
        <v>383998748.52472717</v>
      </c>
      <c r="BR25" s="306">
        <f t="shared" si="6"/>
        <v>3869472.1714128139</v>
      </c>
      <c r="BS25" s="307">
        <f t="shared" si="34"/>
        <v>0</v>
      </c>
      <c r="BT25" s="307">
        <f t="shared" si="34"/>
        <v>21375099.724928301</v>
      </c>
      <c r="BU25" s="307">
        <f t="shared" si="34"/>
        <v>0</v>
      </c>
      <c r="BV25" s="307">
        <f t="shared" si="34"/>
        <v>0</v>
      </c>
      <c r="BW25" s="307">
        <f t="shared" si="34"/>
        <v>4134190.176552115</v>
      </c>
      <c r="BX25" s="307">
        <f t="shared" si="34"/>
        <v>0</v>
      </c>
      <c r="BY25" s="307">
        <f t="shared" si="34"/>
        <v>0</v>
      </c>
      <c r="BZ25" s="307">
        <f t="shared" si="34"/>
        <v>0</v>
      </c>
      <c r="CA25" s="307">
        <f t="shared" si="7"/>
        <v>0</v>
      </c>
      <c r="CB25" s="307">
        <f t="shared" si="7"/>
        <v>0</v>
      </c>
      <c r="CC25" s="307">
        <f t="shared" si="7"/>
        <v>0</v>
      </c>
      <c r="CD25" s="307">
        <f t="shared" si="7"/>
        <v>0</v>
      </c>
      <c r="CE25" s="307">
        <f t="shared" si="8"/>
        <v>0</v>
      </c>
      <c r="CF25" s="307">
        <f t="shared" si="1"/>
        <v>0</v>
      </c>
      <c r="CG25" s="307">
        <f t="shared" si="1"/>
        <v>0</v>
      </c>
      <c r="CH25" s="307">
        <f t="shared" si="1"/>
        <v>0</v>
      </c>
      <c r="CI25" s="307">
        <f t="shared" si="1"/>
        <v>0</v>
      </c>
      <c r="CJ25" s="307">
        <f t="shared" si="1"/>
        <v>0</v>
      </c>
      <c r="CK25" s="307">
        <f t="shared" si="1"/>
        <v>0</v>
      </c>
      <c r="CL25" s="307">
        <f t="shared" si="1"/>
        <v>0</v>
      </c>
      <c r="CM25" s="259">
        <f t="shared" si="9"/>
        <v>29378762.072893232</v>
      </c>
      <c r="CN25" s="325"/>
      <c r="CO25" s="834">
        <f t="shared" si="10"/>
        <v>3869472.1714128139</v>
      </c>
      <c r="CP25" s="835">
        <f t="shared" si="11"/>
        <v>0</v>
      </c>
      <c r="CQ25" s="835">
        <f t="shared" si="12"/>
        <v>22660508.243789162</v>
      </c>
      <c r="CR25" s="835">
        <f t="shared" si="13"/>
        <v>0</v>
      </c>
      <c r="CS25" s="835">
        <f t="shared" si="14"/>
        <v>0</v>
      </c>
      <c r="CT25" s="835">
        <f t="shared" si="15"/>
        <v>4328532.4498088388</v>
      </c>
      <c r="CU25" s="835">
        <f t="shared" si="16"/>
        <v>0</v>
      </c>
      <c r="CV25" s="835">
        <f t="shared" si="17"/>
        <v>0</v>
      </c>
      <c r="CW25" s="835">
        <f t="shared" si="18"/>
        <v>0</v>
      </c>
      <c r="CX25" s="835">
        <f t="shared" si="19"/>
        <v>0</v>
      </c>
      <c r="CY25" s="835">
        <f t="shared" si="20"/>
        <v>0</v>
      </c>
      <c r="CZ25" s="835">
        <f t="shared" si="21"/>
        <v>0</v>
      </c>
      <c r="DA25" s="835">
        <f t="shared" si="22"/>
        <v>0</v>
      </c>
      <c r="DB25" s="835">
        <f t="shared" si="23"/>
        <v>0</v>
      </c>
      <c r="DC25" s="835">
        <f t="shared" si="24"/>
        <v>0</v>
      </c>
      <c r="DD25" s="835">
        <f t="shared" si="25"/>
        <v>0</v>
      </c>
      <c r="DE25" s="835">
        <f t="shared" si="26"/>
        <v>0</v>
      </c>
      <c r="DF25" s="835">
        <f t="shared" si="27"/>
        <v>0</v>
      </c>
      <c r="DG25" s="835">
        <f t="shared" si="28"/>
        <v>0</v>
      </c>
      <c r="DH25" s="835">
        <f t="shared" si="29"/>
        <v>0</v>
      </c>
      <c r="DI25" s="835">
        <f t="shared" si="30"/>
        <v>0</v>
      </c>
      <c r="DJ25" s="836">
        <f t="shared" si="31"/>
        <v>30858512.865010817</v>
      </c>
      <c r="DK25" s="325"/>
    </row>
    <row r="26" spans="1:115">
      <c r="A26" s="741" t="s">
        <v>625</v>
      </c>
      <c r="B26" s="742" t="s">
        <v>177</v>
      </c>
      <c r="C26" s="742" t="s">
        <v>177</v>
      </c>
      <c r="D26" s="773">
        <v>160</v>
      </c>
      <c r="E26" s="746">
        <v>0</v>
      </c>
      <c r="F26" s="746">
        <v>10.31</v>
      </c>
      <c r="G26" s="746">
        <v>0</v>
      </c>
      <c r="H26" s="746">
        <v>0</v>
      </c>
      <c r="I26" s="746">
        <v>2.34</v>
      </c>
      <c r="J26" s="746">
        <v>0</v>
      </c>
      <c r="K26" s="746">
        <v>0</v>
      </c>
      <c r="L26" s="746">
        <v>0</v>
      </c>
      <c r="M26" s="746">
        <v>0</v>
      </c>
      <c r="N26" s="746">
        <v>0</v>
      </c>
      <c r="O26" s="746">
        <v>0</v>
      </c>
      <c r="P26" s="746">
        <v>0</v>
      </c>
      <c r="Q26" s="746">
        <v>0</v>
      </c>
      <c r="R26" s="746">
        <v>0</v>
      </c>
      <c r="S26" s="746">
        <v>0</v>
      </c>
      <c r="T26" s="746">
        <v>0</v>
      </c>
      <c r="U26" s="746">
        <v>0</v>
      </c>
      <c r="V26" s="746">
        <v>0</v>
      </c>
      <c r="W26" s="746">
        <v>0</v>
      </c>
      <c r="X26" s="747">
        <v>0</v>
      </c>
      <c r="Z26" s="750">
        <v>160</v>
      </c>
      <c r="AA26" s="751">
        <v>0</v>
      </c>
      <c r="AB26" s="751">
        <v>10.93</v>
      </c>
      <c r="AC26" s="751">
        <v>0</v>
      </c>
      <c r="AD26" s="751">
        <v>0</v>
      </c>
      <c r="AE26" s="751">
        <v>2.4500000000000002</v>
      </c>
      <c r="AF26" s="751">
        <v>0</v>
      </c>
      <c r="AG26" s="751">
        <v>0</v>
      </c>
      <c r="AH26" s="751">
        <v>0</v>
      </c>
      <c r="AI26" s="751">
        <v>0</v>
      </c>
      <c r="AJ26" s="751">
        <v>0</v>
      </c>
      <c r="AK26" s="751">
        <v>0</v>
      </c>
      <c r="AL26" s="751">
        <v>0</v>
      </c>
      <c r="AM26" s="751">
        <v>0</v>
      </c>
      <c r="AN26" s="751">
        <v>0</v>
      </c>
      <c r="AO26" s="751">
        <v>0</v>
      </c>
      <c r="AP26" s="751">
        <v>0</v>
      </c>
      <c r="AQ26" s="751">
        <v>0</v>
      </c>
      <c r="AR26" s="751">
        <v>0</v>
      </c>
      <c r="AS26" s="751">
        <v>0</v>
      </c>
      <c r="AT26" s="752">
        <v>0</v>
      </c>
      <c r="AV26" s="762">
        <v>12412.001320594669</v>
      </c>
      <c r="AW26" s="760">
        <v>0</v>
      </c>
      <c r="AX26" s="760">
        <v>96843792.196453899</v>
      </c>
      <c r="AY26" s="760">
        <v>0</v>
      </c>
      <c r="AZ26" s="760">
        <v>0</v>
      </c>
      <c r="BA26" s="760">
        <v>66506894.747274607</v>
      </c>
      <c r="BB26" s="760">
        <v>0</v>
      </c>
      <c r="BC26" s="760">
        <v>0</v>
      </c>
      <c r="BD26" s="760">
        <v>0</v>
      </c>
      <c r="BE26" s="760">
        <v>0</v>
      </c>
      <c r="BF26" s="760">
        <v>0</v>
      </c>
      <c r="BG26" s="760">
        <v>0</v>
      </c>
      <c r="BH26" s="760">
        <v>0</v>
      </c>
      <c r="BI26" s="760">
        <v>0</v>
      </c>
      <c r="BJ26" s="760">
        <v>0</v>
      </c>
      <c r="BK26" s="760">
        <v>0</v>
      </c>
      <c r="BL26" s="760">
        <v>0</v>
      </c>
      <c r="BM26" s="760">
        <v>0</v>
      </c>
      <c r="BN26" s="760">
        <v>0</v>
      </c>
      <c r="BO26" s="760">
        <v>0</v>
      </c>
      <c r="BP26" s="761">
        <v>0</v>
      </c>
      <c r="BQ26" s="781">
        <f t="shared" si="32"/>
        <v>163350686.94372851</v>
      </c>
      <c r="BR26" s="306">
        <f t="shared" ref="BR26:BR65" si="35">D26*AV26</f>
        <v>1985920.211295147</v>
      </c>
      <c r="BS26" s="307">
        <f t="shared" ref="BS26:BS65" si="36">E26/100*AW26</f>
        <v>0</v>
      </c>
      <c r="BT26" s="307">
        <f t="shared" ref="BT26:BT65" si="37">F26/100*AX26</f>
        <v>9984594.9754543975</v>
      </c>
      <c r="BU26" s="307">
        <f t="shared" ref="BU26:BU65" si="38">G26/100*AY26</f>
        <v>0</v>
      </c>
      <c r="BV26" s="307">
        <f t="shared" ref="BV26:BV65" si="39">H26/100*AZ26</f>
        <v>0</v>
      </c>
      <c r="BW26" s="307">
        <f t="shared" ref="BW26:BW65" si="40">I26/100*BA26</f>
        <v>1556261.3370862256</v>
      </c>
      <c r="BX26" s="307">
        <f t="shared" ref="BX26:BX65" si="41">J26/100*BB26</f>
        <v>0</v>
      </c>
      <c r="BY26" s="307">
        <f t="shared" ref="BY26:BY65" si="42">K26/100*BC26</f>
        <v>0</v>
      </c>
      <c r="BZ26" s="307">
        <f t="shared" ref="BZ26:BZ65" si="43">L26/100*BD26</f>
        <v>0</v>
      </c>
      <c r="CA26" s="307">
        <f t="shared" ref="CA26:CA65" si="44">M26*BE26</f>
        <v>0</v>
      </c>
      <c r="CB26" s="307">
        <f t="shared" ref="CB26:CB65" si="45">N26*BF26</f>
        <v>0</v>
      </c>
      <c r="CC26" s="307">
        <f t="shared" ref="CC26:CC65" si="46">O26*BG26</f>
        <v>0</v>
      </c>
      <c r="CD26" s="307">
        <f t="shared" ref="CD26:CD65" si="47">P26*BH26</f>
        <v>0</v>
      </c>
      <c r="CE26" s="307">
        <f t="shared" ref="CE26:CE65" si="48">Q26/100*BI26</f>
        <v>0</v>
      </c>
      <c r="CF26" s="307">
        <f t="shared" ref="CF26:CF65" si="49">R26/100*BJ26</f>
        <v>0</v>
      </c>
      <c r="CG26" s="307">
        <f t="shared" ref="CG26:CG65" si="50">S26/100*BK26</f>
        <v>0</v>
      </c>
      <c r="CH26" s="307">
        <f t="shared" ref="CH26:CH65" si="51">T26/100*BL26</f>
        <v>0</v>
      </c>
      <c r="CI26" s="307">
        <f t="shared" ref="CI26:CI65" si="52">U26/100*BM26</f>
        <v>0</v>
      </c>
      <c r="CJ26" s="307">
        <f t="shared" ref="CJ26:CJ65" si="53">V26/100*BN26</f>
        <v>0</v>
      </c>
      <c r="CK26" s="307">
        <f t="shared" ref="CK26:CK65" si="54">W26/100*BO26</f>
        <v>0</v>
      </c>
      <c r="CL26" s="307">
        <f t="shared" ref="CL26:CL65" si="55">X26/100*BP26</f>
        <v>0</v>
      </c>
      <c r="CM26" s="259">
        <f t="shared" si="9"/>
        <v>13526776.523835769</v>
      </c>
      <c r="CN26" s="325"/>
      <c r="CO26" s="834">
        <f t="shared" si="10"/>
        <v>1985920.211295147</v>
      </c>
      <c r="CP26" s="835">
        <f t="shared" si="11"/>
        <v>0</v>
      </c>
      <c r="CQ26" s="835">
        <f t="shared" si="12"/>
        <v>10585026.48707241</v>
      </c>
      <c r="CR26" s="835">
        <f t="shared" si="13"/>
        <v>0</v>
      </c>
      <c r="CS26" s="835">
        <f t="shared" si="14"/>
        <v>0</v>
      </c>
      <c r="CT26" s="835">
        <f t="shared" si="15"/>
        <v>1629418.921308228</v>
      </c>
      <c r="CU26" s="835">
        <f t="shared" si="16"/>
        <v>0</v>
      </c>
      <c r="CV26" s="835">
        <f t="shared" si="17"/>
        <v>0</v>
      </c>
      <c r="CW26" s="835">
        <f t="shared" si="18"/>
        <v>0</v>
      </c>
      <c r="CX26" s="835">
        <f t="shared" si="19"/>
        <v>0</v>
      </c>
      <c r="CY26" s="835">
        <f t="shared" si="20"/>
        <v>0</v>
      </c>
      <c r="CZ26" s="835">
        <f t="shared" si="21"/>
        <v>0</v>
      </c>
      <c r="DA26" s="835">
        <f t="shared" si="22"/>
        <v>0</v>
      </c>
      <c r="DB26" s="835">
        <f t="shared" si="23"/>
        <v>0</v>
      </c>
      <c r="DC26" s="835">
        <f t="shared" si="24"/>
        <v>0</v>
      </c>
      <c r="DD26" s="835">
        <f t="shared" si="25"/>
        <v>0</v>
      </c>
      <c r="DE26" s="835">
        <f t="shared" si="26"/>
        <v>0</v>
      </c>
      <c r="DF26" s="835">
        <f t="shared" si="27"/>
        <v>0</v>
      </c>
      <c r="DG26" s="835">
        <f t="shared" si="28"/>
        <v>0</v>
      </c>
      <c r="DH26" s="835">
        <f t="shared" si="29"/>
        <v>0</v>
      </c>
      <c r="DI26" s="835">
        <f t="shared" si="30"/>
        <v>0</v>
      </c>
      <c r="DJ26" s="836">
        <f t="shared" si="31"/>
        <v>14200365.619675785</v>
      </c>
      <c r="DK26" s="325"/>
    </row>
    <row r="27" spans="1:115">
      <c r="A27" s="741" t="s">
        <v>626</v>
      </c>
      <c r="B27" s="742" t="s">
        <v>178</v>
      </c>
      <c r="C27" s="742" t="s">
        <v>178</v>
      </c>
      <c r="D27" s="773">
        <v>160</v>
      </c>
      <c r="E27" s="746">
        <v>0</v>
      </c>
      <c r="F27" s="746">
        <v>9.09</v>
      </c>
      <c r="G27" s="746">
        <v>0</v>
      </c>
      <c r="H27" s="746">
        <v>0</v>
      </c>
      <c r="I27" s="746">
        <v>2.34</v>
      </c>
      <c r="J27" s="746">
        <v>0</v>
      </c>
      <c r="K27" s="746">
        <v>0</v>
      </c>
      <c r="L27" s="746">
        <v>0</v>
      </c>
      <c r="M27" s="746">
        <v>0</v>
      </c>
      <c r="N27" s="746">
        <v>0</v>
      </c>
      <c r="O27" s="746">
        <v>0</v>
      </c>
      <c r="P27" s="746">
        <v>0</v>
      </c>
      <c r="Q27" s="746">
        <v>0</v>
      </c>
      <c r="R27" s="746">
        <v>0</v>
      </c>
      <c r="S27" s="746">
        <v>0</v>
      </c>
      <c r="T27" s="746">
        <v>0</v>
      </c>
      <c r="U27" s="746">
        <v>0</v>
      </c>
      <c r="V27" s="746">
        <v>0</v>
      </c>
      <c r="W27" s="746">
        <v>0</v>
      </c>
      <c r="X27" s="747">
        <v>0</v>
      </c>
      <c r="Z27" s="750">
        <v>160</v>
      </c>
      <c r="AA27" s="751">
        <v>0</v>
      </c>
      <c r="AB27" s="751">
        <v>9.6300000000000008</v>
      </c>
      <c r="AC27" s="751">
        <v>0</v>
      </c>
      <c r="AD27" s="751">
        <v>0</v>
      </c>
      <c r="AE27" s="751">
        <v>2.4500000000000002</v>
      </c>
      <c r="AF27" s="751">
        <v>0</v>
      </c>
      <c r="AG27" s="751">
        <v>0</v>
      </c>
      <c r="AH27" s="751">
        <v>0</v>
      </c>
      <c r="AI27" s="751">
        <v>0</v>
      </c>
      <c r="AJ27" s="751">
        <v>0</v>
      </c>
      <c r="AK27" s="751">
        <v>0</v>
      </c>
      <c r="AL27" s="751">
        <v>0</v>
      </c>
      <c r="AM27" s="751">
        <v>0</v>
      </c>
      <c r="AN27" s="751">
        <v>0</v>
      </c>
      <c r="AO27" s="751">
        <v>0</v>
      </c>
      <c r="AP27" s="751">
        <v>0</v>
      </c>
      <c r="AQ27" s="751">
        <v>0</v>
      </c>
      <c r="AR27" s="751">
        <v>0</v>
      </c>
      <c r="AS27" s="751">
        <v>0</v>
      </c>
      <c r="AT27" s="752">
        <v>0</v>
      </c>
      <c r="AV27" s="762">
        <v>7219.5879665538523</v>
      </c>
      <c r="AW27" s="760">
        <v>0</v>
      </c>
      <c r="AX27" s="760">
        <v>58018282.435126752</v>
      </c>
      <c r="AY27" s="760">
        <v>0</v>
      </c>
      <c r="AZ27" s="760">
        <v>0</v>
      </c>
      <c r="BA27" s="760">
        <v>22573877.489206318</v>
      </c>
      <c r="BB27" s="760">
        <v>0</v>
      </c>
      <c r="BC27" s="760">
        <v>0</v>
      </c>
      <c r="BD27" s="760">
        <v>0</v>
      </c>
      <c r="BE27" s="760">
        <v>0</v>
      </c>
      <c r="BF27" s="760">
        <v>0</v>
      </c>
      <c r="BG27" s="760">
        <v>0</v>
      </c>
      <c r="BH27" s="760">
        <v>0</v>
      </c>
      <c r="BI27" s="760">
        <v>0</v>
      </c>
      <c r="BJ27" s="760">
        <v>0</v>
      </c>
      <c r="BK27" s="760">
        <v>0</v>
      </c>
      <c r="BL27" s="760">
        <v>0</v>
      </c>
      <c r="BM27" s="760">
        <v>0</v>
      </c>
      <c r="BN27" s="760">
        <v>0</v>
      </c>
      <c r="BO27" s="760">
        <v>0</v>
      </c>
      <c r="BP27" s="761">
        <v>0</v>
      </c>
      <c r="BQ27" s="781">
        <f t="shared" si="32"/>
        <v>80592159.924333066</v>
      </c>
      <c r="BR27" s="306">
        <f t="shared" si="35"/>
        <v>1155134.0746486164</v>
      </c>
      <c r="BS27" s="307">
        <f t="shared" si="36"/>
        <v>0</v>
      </c>
      <c r="BT27" s="307">
        <f t="shared" si="37"/>
        <v>5273861.8733530212</v>
      </c>
      <c r="BU27" s="307">
        <f t="shared" si="38"/>
        <v>0</v>
      </c>
      <c r="BV27" s="307">
        <f t="shared" si="39"/>
        <v>0</v>
      </c>
      <c r="BW27" s="307">
        <f t="shared" si="40"/>
        <v>528228.73324742774</v>
      </c>
      <c r="BX27" s="307">
        <f t="shared" si="41"/>
        <v>0</v>
      </c>
      <c r="BY27" s="307">
        <f t="shared" si="42"/>
        <v>0</v>
      </c>
      <c r="BZ27" s="307">
        <f t="shared" si="43"/>
        <v>0</v>
      </c>
      <c r="CA27" s="307">
        <f t="shared" si="44"/>
        <v>0</v>
      </c>
      <c r="CB27" s="307">
        <f t="shared" si="45"/>
        <v>0</v>
      </c>
      <c r="CC27" s="307">
        <f t="shared" si="46"/>
        <v>0</v>
      </c>
      <c r="CD27" s="307">
        <f t="shared" si="47"/>
        <v>0</v>
      </c>
      <c r="CE27" s="307">
        <f t="shared" si="48"/>
        <v>0</v>
      </c>
      <c r="CF27" s="307">
        <f t="shared" si="49"/>
        <v>0</v>
      </c>
      <c r="CG27" s="307">
        <f t="shared" si="50"/>
        <v>0</v>
      </c>
      <c r="CH27" s="307">
        <f t="shared" si="51"/>
        <v>0</v>
      </c>
      <c r="CI27" s="307">
        <f t="shared" si="52"/>
        <v>0</v>
      </c>
      <c r="CJ27" s="307">
        <f t="shared" si="53"/>
        <v>0</v>
      </c>
      <c r="CK27" s="307">
        <f t="shared" si="54"/>
        <v>0</v>
      </c>
      <c r="CL27" s="307">
        <f t="shared" si="55"/>
        <v>0</v>
      </c>
      <c r="CM27" s="259">
        <f t="shared" si="9"/>
        <v>6957224.6812490653</v>
      </c>
      <c r="CN27" s="325"/>
      <c r="CO27" s="834">
        <f t="shared" si="10"/>
        <v>1155134.0746486164</v>
      </c>
      <c r="CP27" s="835">
        <f t="shared" si="11"/>
        <v>0</v>
      </c>
      <c r="CQ27" s="835">
        <f t="shared" si="12"/>
        <v>5587160.5985027067</v>
      </c>
      <c r="CR27" s="835">
        <f t="shared" si="13"/>
        <v>0</v>
      </c>
      <c r="CS27" s="835">
        <f t="shared" si="14"/>
        <v>0</v>
      </c>
      <c r="CT27" s="835">
        <f t="shared" si="15"/>
        <v>553059.99848555482</v>
      </c>
      <c r="CU27" s="835">
        <f t="shared" si="16"/>
        <v>0</v>
      </c>
      <c r="CV27" s="835">
        <f t="shared" si="17"/>
        <v>0</v>
      </c>
      <c r="CW27" s="835">
        <f t="shared" si="18"/>
        <v>0</v>
      </c>
      <c r="CX27" s="835">
        <f t="shared" si="19"/>
        <v>0</v>
      </c>
      <c r="CY27" s="835">
        <f t="shared" si="20"/>
        <v>0</v>
      </c>
      <c r="CZ27" s="835">
        <f t="shared" si="21"/>
        <v>0</v>
      </c>
      <c r="DA27" s="835">
        <f t="shared" si="22"/>
        <v>0</v>
      </c>
      <c r="DB27" s="835">
        <f t="shared" si="23"/>
        <v>0</v>
      </c>
      <c r="DC27" s="835">
        <f t="shared" si="24"/>
        <v>0</v>
      </c>
      <c r="DD27" s="835">
        <f t="shared" si="25"/>
        <v>0</v>
      </c>
      <c r="DE27" s="835">
        <f t="shared" si="26"/>
        <v>0</v>
      </c>
      <c r="DF27" s="835">
        <f t="shared" si="27"/>
        <v>0</v>
      </c>
      <c r="DG27" s="835">
        <f t="shared" si="28"/>
        <v>0</v>
      </c>
      <c r="DH27" s="835">
        <f t="shared" si="29"/>
        <v>0</v>
      </c>
      <c r="DI27" s="835">
        <f t="shared" si="30"/>
        <v>0</v>
      </c>
      <c r="DJ27" s="836">
        <f t="shared" si="31"/>
        <v>7295354.6716368785</v>
      </c>
      <c r="DK27" s="325"/>
    </row>
    <row r="28" spans="1:115">
      <c r="A28" s="741" t="s">
        <v>627</v>
      </c>
      <c r="B28" s="742" t="s">
        <v>628</v>
      </c>
      <c r="C28" s="742" t="s">
        <v>628</v>
      </c>
      <c r="D28" s="773">
        <v>160</v>
      </c>
      <c r="E28" s="746">
        <v>2.99</v>
      </c>
      <c r="F28" s="746">
        <v>0</v>
      </c>
      <c r="G28" s="746">
        <v>0</v>
      </c>
      <c r="H28" s="746">
        <v>0</v>
      </c>
      <c r="I28" s="746">
        <v>0</v>
      </c>
      <c r="J28" s="746">
        <v>0</v>
      </c>
      <c r="K28" s="746">
        <v>0</v>
      </c>
      <c r="L28" s="746">
        <v>0</v>
      </c>
      <c r="M28" s="746">
        <v>0</v>
      </c>
      <c r="N28" s="746">
        <v>0</v>
      </c>
      <c r="O28" s="746">
        <v>11.09</v>
      </c>
      <c r="P28" s="746">
        <v>3.7</v>
      </c>
      <c r="Q28" s="746">
        <v>0</v>
      </c>
      <c r="R28" s="746">
        <v>0</v>
      </c>
      <c r="S28" s="746">
        <v>0</v>
      </c>
      <c r="T28" s="746">
        <v>0</v>
      </c>
      <c r="U28" s="746">
        <v>0</v>
      </c>
      <c r="V28" s="746">
        <v>0</v>
      </c>
      <c r="W28" s="746">
        <v>0</v>
      </c>
      <c r="X28" s="747">
        <v>0</v>
      </c>
      <c r="Z28" s="750">
        <v>160</v>
      </c>
      <c r="AA28" s="751">
        <v>3.14</v>
      </c>
      <c r="AB28" s="751">
        <v>0</v>
      </c>
      <c r="AC28" s="751">
        <v>0</v>
      </c>
      <c r="AD28" s="751">
        <v>0</v>
      </c>
      <c r="AE28" s="751">
        <v>0</v>
      </c>
      <c r="AF28" s="751">
        <v>0</v>
      </c>
      <c r="AG28" s="751">
        <v>0</v>
      </c>
      <c r="AH28" s="751">
        <v>0</v>
      </c>
      <c r="AI28" s="751">
        <v>0</v>
      </c>
      <c r="AJ28" s="751">
        <v>0</v>
      </c>
      <c r="AK28" s="751">
        <v>11.79</v>
      </c>
      <c r="AL28" s="751">
        <v>3.93</v>
      </c>
      <c r="AM28" s="751">
        <v>0</v>
      </c>
      <c r="AN28" s="751">
        <v>0</v>
      </c>
      <c r="AO28" s="751">
        <v>0</v>
      </c>
      <c r="AP28" s="751">
        <v>0</v>
      </c>
      <c r="AQ28" s="751">
        <v>0</v>
      </c>
      <c r="AR28" s="751">
        <v>0</v>
      </c>
      <c r="AS28" s="751">
        <v>0</v>
      </c>
      <c r="AT28" s="752">
        <v>0</v>
      </c>
      <c r="AV28" s="762">
        <v>6.3540450788168705</v>
      </c>
      <c r="AW28" s="760">
        <v>127080.9015763374</v>
      </c>
      <c r="AX28" s="760">
        <v>0</v>
      </c>
      <c r="AY28" s="760">
        <v>0</v>
      </c>
      <c r="AZ28" s="760">
        <v>0</v>
      </c>
      <c r="BA28" s="760">
        <v>0</v>
      </c>
      <c r="BB28" s="760">
        <v>0</v>
      </c>
      <c r="BC28" s="760">
        <v>0</v>
      </c>
      <c r="BD28" s="760">
        <v>0</v>
      </c>
      <c r="BE28" s="760">
        <v>0</v>
      </c>
      <c r="BF28" s="760">
        <v>0</v>
      </c>
      <c r="BG28" s="760">
        <v>165.79373982561958</v>
      </c>
      <c r="BH28" s="760">
        <v>290.13904469483424</v>
      </c>
      <c r="BI28" s="760">
        <v>0</v>
      </c>
      <c r="BJ28" s="760">
        <v>0</v>
      </c>
      <c r="BK28" s="760">
        <v>0</v>
      </c>
      <c r="BL28" s="760">
        <v>0</v>
      </c>
      <c r="BM28" s="760">
        <v>0</v>
      </c>
      <c r="BN28" s="760">
        <v>0</v>
      </c>
      <c r="BO28" s="760">
        <v>0</v>
      </c>
      <c r="BP28" s="761">
        <v>0</v>
      </c>
      <c r="BQ28" s="781">
        <f t="shared" si="32"/>
        <v>127080.9015763374</v>
      </c>
      <c r="BR28" s="306">
        <f t="shared" si="35"/>
        <v>1016.6472126106993</v>
      </c>
      <c r="BS28" s="307">
        <f t="shared" si="36"/>
        <v>3799.7189571324889</v>
      </c>
      <c r="BT28" s="307">
        <f t="shared" si="37"/>
        <v>0</v>
      </c>
      <c r="BU28" s="307">
        <f t="shared" si="38"/>
        <v>0</v>
      </c>
      <c r="BV28" s="307">
        <f t="shared" si="39"/>
        <v>0</v>
      </c>
      <c r="BW28" s="307">
        <f t="shared" si="40"/>
        <v>0</v>
      </c>
      <c r="BX28" s="307">
        <f t="shared" si="41"/>
        <v>0</v>
      </c>
      <c r="BY28" s="307">
        <f t="shared" si="42"/>
        <v>0</v>
      </c>
      <c r="BZ28" s="307">
        <f t="shared" si="43"/>
        <v>0</v>
      </c>
      <c r="CA28" s="307">
        <f t="shared" si="44"/>
        <v>0</v>
      </c>
      <c r="CB28" s="307">
        <f t="shared" si="45"/>
        <v>0</v>
      </c>
      <c r="CC28" s="307">
        <f t="shared" si="46"/>
        <v>1838.6525746661212</v>
      </c>
      <c r="CD28" s="307">
        <f t="shared" si="47"/>
        <v>1073.5144653708867</v>
      </c>
      <c r="CE28" s="307">
        <f t="shared" si="48"/>
        <v>0</v>
      </c>
      <c r="CF28" s="307">
        <f t="shared" si="49"/>
        <v>0</v>
      </c>
      <c r="CG28" s="307">
        <f t="shared" si="50"/>
        <v>0</v>
      </c>
      <c r="CH28" s="307">
        <f t="shared" si="51"/>
        <v>0</v>
      </c>
      <c r="CI28" s="307">
        <f t="shared" si="52"/>
        <v>0</v>
      </c>
      <c r="CJ28" s="307">
        <f t="shared" si="53"/>
        <v>0</v>
      </c>
      <c r="CK28" s="307">
        <f t="shared" si="54"/>
        <v>0</v>
      </c>
      <c r="CL28" s="307">
        <f t="shared" si="55"/>
        <v>0</v>
      </c>
      <c r="CM28" s="259">
        <f t="shared" si="9"/>
        <v>7728.5332097801956</v>
      </c>
      <c r="CN28" s="325"/>
      <c r="CO28" s="834">
        <f t="shared" si="10"/>
        <v>1016.6472126106993</v>
      </c>
      <c r="CP28" s="835">
        <f t="shared" si="11"/>
        <v>3990.3403094969949</v>
      </c>
      <c r="CQ28" s="835">
        <f t="shared" si="12"/>
        <v>0</v>
      </c>
      <c r="CR28" s="835">
        <f t="shared" si="13"/>
        <v>0</v>
      </c>
      <c r="CS28" s="835">
        <f t="shared" si="14"/>
        <v>0</v>
      </c>
      <c r="CT28" s="835">
        <f t="shared" si="15"/>
        <v>0</v>
      </c>
      <c r="CU28" s="835">
        <f t="shared" si="16"/>
        <v>0</v>
      </c>
      <c r="CV28" s="835">
        <f t="shared" si="17"/>
        <v>0</v>
      </c>
      <c r="CW28" s="835">
        <f t="shared" si="18"/>
        <v>0</v>
      </c>
      <c r="CX28" s="835">
        <f t="shared" si="19"/>
        <v>0</v>
      </c>
      <c r="CY28" s="835">
        <f t="shared" si="20"/>
        <v>0</v>
      </c>
      <c r="CZ28" s="835">
        <f t="shared" si="21"/>
        <v>1954.7081925440548</v>
      </c>
      <c r="DA28" s="835">
        <f t="shared" si="22"/>
        <v>1140.2464456506987</v>
      </c>
      <c r="DB28" s="835">
        <f t="shared" si="23"/>
        <v>0</v>
      </c>
      <c r="DC28" s="835">
        <f t="shared" si="24"/>
        <v>0</v>
      </c>
      <c r="DD28" s="835">
        <f t="shared" si="25"/>
        <v>0</v>
      </c>
      <c r="DE28" s="835">
        <f t="shared" si="26"/>
        <v>0</v>
      </c>
      <c r="DF28" s="835">
        <f t="shared" si="27"/>
        <v>0</v>
      </c>
      <c r="DG28" s="835">
        <f t="shared" si="28"/>
        <v>0</v>
      </c>
      <c r="DH28" s="835">
        <f t="shared" si="29"/>
        <v>0</v>
      </c>
      <c r="DI28" s="835">
        <f t="shared" si="30"/>
        <v>0</v>
      </c>
      <c r="DJ28" s="836">
        <f t="shared" si="31"/>
        <v>8101.9421603024475</v>
      </c>
      <c r="DK28" s="325"/>
    </row>
    <row r="29" spans="1:115">
      <c r="A29" s="741" t="s">
        <v>629</v>
      </c>
      <c r="B29" s="742" t="s">
        <v>782</v>
      </c>
      <c r="C29" s="742" t="s">
        <v>630</v>
      </c>
      <c r="D29" s="773">
        <v>900</v>
      </c>
      <c r="E29" s="746">
        <v>0</v>
      </c>
      <c r="F29" s="746">
        <v>7.21</v>
      </c>
      <c r="G29" s="746">
        <v>0</v>
      </c>
      <c r="H29" s="746">
        <v>0</v>
      </c>
      <c r="I29" s="746">
        <v>3.52</v>
      </c>
      <c r="J29" s="746">
        <v>0</v>
      </c>
      <c r="K29" s="746">
        <v>0</v>
      </c>
      <c r="L29" s="746">
        <v>0</v>
      </c>
      <c r="M29" s="746">
        <v>0</v>
      </c>
      <c r="N29" s="746">
        <v>0</v>
      </c>
      <c r="O29" s="746">
        <v>3.19</v>
      </c>
      <c r="P29" s="746">
        <v>1.6</v>
      </c>
      <c r="Q29" s="746">
        <v>0</v>
      </c>
      <c r="R29" s="746">
        <v>0</v>
      </c>
      <c r="S29" s="746">
        <v>0</v>
      </c>
      <c r="T29" s="746">
        <v>0</v>
      </c>
      <c r="U29" s="746">
        <v>0</v>
      </c>
      <c r="V29" s="746">
        <v>0</v>
      </c>
      <c r="W29" s="746">
        <v>0</v>
      </c>
      <c r="X29" s="747">
        <v>0</v>
      </c>
      <c r="Z29" s="750">
        <v>900</v>
      </c>
      <c r="AA29" s="751">
        <v>0</v>
      </c>
      <c r="AB29" s="751">
        <v>8.9</v>
      </c>
      <c r="AC29" s="751">
        <v>0</v>
      </c>
      <c r="AD29" s="751">
        <v>0</v>
      </c>
      <c r="AE29" s="751">
        <v>3.55</v>
      </c>
      <c r="AF29" s="751">
        <v>0</v>
      </c>
      <c r="AG29" s="751">
        <v>0</v>
      </c>
      <c r="AH29" s="751">
        <v>0</v>
      </c>
      <c r="AI29" s="751">
        <v>0</v>
      </c>
      <c r="AJ29" s="751">
        <v>0</v>
      </c>
      <c r="AK29" s="751">
        <v>0</v>
      </c>
      <c r="AL29" s="751">
        <v>0</v>
      </c>
      <c r="AM29" s="751">
        <v>0</v>
      </c>
      <c r="AN29" s="751">
        <v>0</v>
      </c>
      <c r="AO29" s="751">
        <v>0</v>
      </c>
      <c r="AP29" s="751">
        <v>0</v>
      </c>
      <c r="AQ29" s="751">
        <v>0</v>
      </c>
      <c r="AR29" s="751">
        <v>0</v>
      </c>
      <c r="AS29" s="751">
        <v>0</v>
      </c>
      <c r="AT29" s="752">
        <v>0</v>
      </c>
      <c r="AV29" s="762">
        <v>7925.7018417699537</v>
      </c>
      <c r="AW29" s="760">
        <v>0</v>
      </c>
      <c r="AX29" s="760">
        <v>582897214.73159027</v>
      </c>
      <c r="AY29" s="760">
        <v>0</v>
      </c>
      <c r="AZ29" s="760">
        <v>0</v>
      </c>
      <c r="BA29" s="760">
        <v>452515803.7680673</v>
      </c>
      <c r="BB29" s="760">
        <v>0</v>
      </c>
      <c r="BC29" s="760">
        <v>0</v>
      </c>
      <c r="BD29" s="760">
        <v>0</v>
      </c>
      <c r="BE29" s="760">
        <v>0</v>
      </c>
      <c r="BF29" s="760">
        <v>0</v>
      </c>
      <c r="BG29" s="760">
        <v>1449178.436540826</v>
      </c>
      <c r="BH29" s="760">
        <v>2541062.218924256</v>
      </c>
      <c r="BI29" s="760">
        <v>0</v>
      </c>
      <c r="BJ29" s="760">
        <v>0</v>
      </c>
      <c r="BK29" s="760">
        <v>0</v>
      </c>
      <c r="BL29" s="760">
        <v>0</v>
      </c>
      <c r="BM29" s="760">
        <v>0</v>
      </c>
      <c r="BN29" s="760">
        <v>0</v>
      </c>
      <c r="BO29" s="760">
        <v>0</v>
      </c>
      <c r="BP29" s="761">
        <v>0</v>
      </c>
      <c r="BQ29" s="781">
        <f t="shared" si="32"/>
        <v>1035413018.4996576</v>
      </c>
      <c r="BR29" s="306">
        <f t="shared" si="35"/>
        <v>7133131.6575929588</v>
      </c>
      <c r="BS29" s="307">
        <f t="shared" si="36"/>
        <v>0</v>
      </c>
      <c r="BT29" s="307">
        <f t="shared" si="37"/>
        <v>42026889.182147659</v>
      </c>
      <c r="BU29" s="307">
        <f t="shared" si="38"/>
        <v>0</v>
      </c>
      <c r="BV29" s="307">
        <f t="shared" si="39"/>
        <v>0</v>
      </c>
      <c r="BW29" s="307">
        <f t="shared" si="40"/>
        <v>15928556.29263597</v>
      </c>
      <c r="BX29" s="307">
        <f t="shared" si="41"/>
        <v>0</v>
      </c>
      <c r="BY29" s="307">
        <f t="shared" si="42"/>
        <v>0</v>
      </c>
      <c r="BZ29" s="307">
        <f t="shared" si="43"/>
        <v>0</v>
      </c>
      <c r="CA29" s="307">
        <f t="shared" si="44"/>
        <v>0</v>
      </c>
      <c r="CB29" s="307">
        <f t="shared" si="45"/>
        <v>0</v>
      </c>
      <c r="CC29" s="307">
        <f t="shared" si="46"/>
        <v>4622879.2125652349</v>
      </c>
      <c r="CD29" s="307">
        <f t="shared" si="47"/>
        <v>4065699.5502788099</v>
      </c>
      <c r="CE29" s="307">
        <f t="shared" si="48"/>
        <v>0</v>
      </c>
      <c r="CF29" s="307">
        <f t="shared" si="49"/>
        <v>0</v>
      </c>
      <c r="CG29" s="307">
        <f t="shared" si="50"/>
        <v>0</v>
      </c>
      <c r="CH29" s="307">
        <f t="shared" si="51"/>
        <v>0</v>
      </c>
      <c r="CI29" s="307">
        <f t="shared" si="52"/>
        <v>0</v>
      </c>
      <c r="CJ29" s="307">
        <f t="shared" si="53"/>
        <v>0</v>
      </c>
      <c r="CK29" s="307">
        <f t="shared" si="54"/>
        <v>0</v>
      </c>
      <c r="CL29" s="307">
        <f t="shared" si="55"/>
        <v>0</v>
      </c>
      <c r="CM29" s="259">
        <f t="shared" si="9"/>
        <v>73777155.895220637</v>
      </c>
      <c r="CN29" s="325"/>
      <c r="CO29" s="834">
        <f t="shared" si="10"/>
        <v>7133131.6575929588</v>
      </c>
      <c r="CP29" s="835">
        <f t="shared" si="11"/>
        <v>0</v>
      </c>
      <c r="CQ29" s="835">
        <f t="shared" si="12"/>
        <v>51877852.111111537</v>
      </c>
      <c r="CR29" s="835">
        <f t="shared" si="13"/>
        <v>0</v>
      </c>
      <c r="CS29" s="835">
        <f t="shared" si="14"/>
        <v>0</v>
      </c>
      <c r="CT29" s="835">
        <f t="shared" si="15"/>
        <v>16064311.033766387</v>
      </c>
      <c r="CU29" s="835">
        <f t="shared" si="16"/>
        <v>0</v>
      </c>
      <c r="CV29" s="835">
        <f t="shared" si="17"/>
        <v>0</v>
      </c>
      <c r="CW29" s="835">
        <f t="shared" si="18"/>
        <v>0</v>
      </c>
      <c r="CX29" s="835">
        <f t="shared" si="19"/>
        <v>0</v>
      </c>
      <c r="CY29" s="835">
        <f t="shared" si="20"/>
        <v>0</v>
      </c>
      <c r="CZ29" s="835">
        <f t="shared" si="21"/>
        <v>0</v>
      </c>
      <c r="DA29" s="835">
        <f t="shared" si="22"/>
        <v>0</v>
      </c>
      <c r="DB29" s="835">
        <f t="shared" si="23"/>
        <v>0</v>
      </c>
      <c r="DC29" s="835">
        <f t="shared" si="24"/>
        <v>0</v>
      </c>
      <c r="DD29" s="835">
        <f t="shared" si="25"/>
        <v>0</v>
      </c>
      <c r="DE29" s="835">
        <f t="shared" si="26"/>
        <v>0</v>
      </c>
      <c r="DF29" s="835">
        <f t="shared" si="27"/>
        <v>0</v>
      </c>
      <c r="DG29" s="835">
        <f t="shared" si="28"/>
        <v>0</v>
      </c>
      <c r="DH29" s="835">
        <f t="shared" si="29"/>
        <v>0</v>
      </c>
      <c r="DI29" s="835">
        <f t="shared" si="30"/>
        <v>0</v>
      </c>
      <c r="DJ29" s="836">
        <f t="shared" si="31"/>
        <v>75075294.802470878</v>
      </c>
      <c r="DK29" s="325"/>
    </row>
    <row r="30" spans="1:115" s="764" customFormat="1">
      <c r="A30" s="764" t="s">
        <v>783</v>
      </c>
      <c r="B30" s="765" t="s">
        <v>784</v>
      </c>
      <c r="C30" s="808" t="str">
        <f>C29</f>
        <v>Medium business</v>
      </c>
      <c r="D30" s="773">
        <v>900</v>
      </c>
      <c r="E30" s="771">
        <v>0</v>
      </c>
      <c r="F30" s="771">
        <v>11.3</v>
      </c>
      <c r="G30" s="771">
        <v>0</v>
      </c>
      <c r="H30" s="771">
        <v>0</v>
      </c>
      <c r="I30" s="771">
        <v>3.66</v>
      </c>
      <c r="J30" s="771">
        <v>0</v>
      </c>
      <c r="K30" s="771">
        <v>0</v>
      </c>
      <c r="L30" s="771">
        <v>0</v>
      </c>
      <c r="M30" s="771">
        <v>0</v>
      </c>
      <c r="N30" s="771">
        <v>0</v>
      </c>
      <c r="O30" s="771">
        <v>0</v>
      </c>
      <c r="P30" s="771">
        <v>0</v>
      </c>
      <c r="Q30" s="771">
        <v>0</v>
      </c>
      <c r="R30" s="771">
        <v>0</v>
      </c>
      <c r="S30" s="771">
        <v>0</v>
      </c>
      <c r="T30" s="771">
        <v>0</v>
      </c>
      <c r="U30" s="771">
        <v>0</v>
      </c>
      <c r="V30" s="771">
        <v>0</v>
      </c>
      <c r="W30" s="771">
        <v>0</v>
      </c>
      <c r="X30" s="772">
        <v>0</v>
      </c>
      <c r="Z30" s="809">
        <f>Z29</f>
        <v>900</v>
      </c>
      <c r="AA30" s="810">
        <f t="shared" ref="AA30:AT30" si="56">AA29</f>
        <v>0</v>
      </c>
      <c r="AB30" s="810">
        <f t="shared" si="56"/>
        <v>8.9</v>
      </c>
      <c r="AC30" s="810">
        <f t="shared" si="56"/>
        <v>0</v>
      </c>
      <c r="AD30" s="810">
        <f t="shared" si="56"/>
        <v>0</v>
      </c>
      <c r="AE30" s="810">
        <f t="shared" si="56"/>
        <v>3.55</v>
      </c>
      <c r="AF30" s="810">
        <f t="shared" si="56"/>
        <v>0</v>
      </c>
      <c r="AG30" s="810">
        <f t="shared" si="56"/>
        <v>0</v>
      </c>
      <c r="AH30" s="810">
        <f t="shared" si="56"/>
        <v>0</v>
      </c>
      <c r="AI30" s="810">
        <f t="shared" si="56"/>
        <v>0</v>
      </c>
      <c r="AJ30" s="810">
        <f t="shared" si="56"/>
        <v>0</v>
      </c>
      <c r="AK30" s="810">
        <f t="shared" si="56"/>
        <v>0</v>
      </c>
      <c r="AL30" s="810">
        <f t="shared" si="56"/>
        <v>0</v>
      </c>
      <c r="AM30" s="810">
        <f t="shared" si="56"/>
        <v>0</v>
      </c>
      <c r="AN30" s="810">
        <f t="shared" si="56"/>
        <v>0</v>
      </c>
      <c r="AO30" s="810">
        <f t="shared" si="56"/>
        <v>0</v>
      </c>
      <c r="AP30" s="810">
        <f t="shared" si="56"/>
        <v>0</v>
      </c>
      <c r="AQ30" s="810">
        <f t="shared" si="56"/>
        <v>0</v>
      </c>
      <c r="AR30" s="810">
        <f t="shared" si="56"/>
        <v>0</v>
      </c>
      <c r="AS30" s="810">
        <f t="shared" si="56"/>
        <v>0</v>
      </c>
      <c r="AT30" s="811">
        <f t="shared" si="56"/>
        <v>0</v>
      </c>
      <c r="AV30" s="762">
        <v>81</v>
      </c>
      <c r="AW30" s="770">
        <v>0</v>
      </c>
      <c r="AX30" s="770">
        <v>3137768.4964809464</v>
      </c>
      <c r="AY30" s="770">
        <v>0</v>
      </c>
      <c r="AZ30" s="770">
        <v>0</v>
      </c>
      <c r="BA30" s="770">
        <v>3347230.554593876</v>
      </c>
      <c r="BB30" s="770">
        <v>0</v>
      </c>
      <c r="BC30" s="770">
        <v>0</v>
      </c>
      <c r="BD30" s="770">
        <v>0</v>
      </c>
      <c r="BE30" s="770">
        <v>0</v>
      </c>
      <c r="BF30" s="770">
        <v>0</v>
      </c>
      <c r="BG30" s="770">
        <v>0</v>
      </c>
      <c r="BH30" s="770">
        <v>0</v>
      </c>
      <c r="BI30" s="770">
        <v>0</v>
      </c>
      <c r="BJ30" s="770">
        <v>0</v>
      </c>
      <c r="BK30" s="770">
        <v>0</v>
      </c>
      <c r="BL30" s="770">
        <v>0</v>
      </c>
      <c r="BM30" s="770">
        <v>0</v>
      </c>
      <c r="BN30" s="770">
        <v>0</v>
      </c>
      <c r="BO30" s="770">
        <v>0</v>
      </c>
      <c r="BP30" s="761">
        <v>0</v>
      </c>
      <c r="BQ30" s="781">
        <f t="shared" si="32"/>
        <v>6484999.0510748224</v>
      </c>
      <c r="BR30" s="306">
        <f t="shared" si="35"/>
        <v>72900</v>
      </c>
      <c r="BS30" s="307">
        <f t="shared" si="36"/>
        <v>0</v>
      </c>
      <c r="BT30" s="307">
        <f t="shared" si="37"/>
        <v>354567.84010234696</v>
      </c>
      <c r="BU30" s="307">
        <f t="shared" si="38"/>
        <v>0</v>
      </c>
      <c r="BV30" s="307">
        <f t="shared" si="39"/>
        <v>0</v>
      </c>
      <c r="BW30" s="307">
        <f t="shared" si="40"/>
        <v>122508.63829813586</v>
      </c>
      <c r="BX30" s="307">
        <f t="shared" si="41"/>
        <v>0</v>
      </c>
      <c r="BY30" s="307">
        <f t="shared" si="42"/>
        <v>0</v>
      </c>
      <c r="BZ30" s="307">
        <f t="shared" si="43"/>
        <v>0</v>
      </c>
      <c r="CA30" s="307">
        <f t="shared" si="44"/>
        <v>0</v>
      </c>
      <c r="CB30" s="307">
        <f t="shared" si="45"/>
        <v>0</v>
      </c>
      <c r="CC30" s="307">
        <f t="shared" si="46"/>
        <v>0</v>
      </c>
      <c r="CD30" s="307">
        <f t="shared" si="47"/>
        <v>0</v>
      </c>
      <c r="CE30" s="307">
        <f t="shared" si="48"/>
        <v>0</v>
      </c>
      <c r="CF30" s="307">
        <f t="shared" si="49"/>
        <v>0</v>
      </c>
      <c r="CG30" s="307">
        <f t="shared" si="50"/>
        <v>0</v>
      </c>
      <c r="CH30" s="307">
        <f t="shared" si="51"/>
        <v>0</v>
      </c>
      <c r="CI30" s="307">
        <f t="shared" si="52"/>
        <v>0</v>
      </c>
      <c r="CJ30" s="307">
        <f t="shared" si="53"/>
        <v>0</v>
      </c>
      <c r="CK30" s="307">
        <f t="shared" si="54"/>
        <v>0</v>
      </c>
      <c r="CL30" s="307">
        <f t="shared" si="55"/>
        <v>0</v>
      </c>
      <c r="CM30" s="259">
        <f t="shared" si="9"/>
        <v>549976.4784004828</v>
      </c>
      <c r="CN30" s="325"/>
      <c r="CO30" s="834">
        <f t="shared" si="10"/>
        <v>72900</v>
      </c>
      <c r="CP30" s="835">
        <f t="shared" si="11"/>
        <v>0</v>
      </c>
      <c r="CQ30" s="835">
        <f t="shared" si="12"/>
        <v>279261.39618680428</v>
      </c>
      <c r="CR30" s="835">
        <f t="shared" si="13"/>
        <v>0</v>
      </c>
      <c r="CS30" s="835">
        <f t="shared" si="14"/>
        <v>0</v>
      </c>
      <c r="CT30" s="835">
        <f t="shared" si="15"/>
        <v>118826.68468808259</v>
      </c>
      <c r="CU30" s="835">
        <f t="shared" si="16"/>
        <v>0</v>
      </c>
      <c r="CV30" s="835">
        <f t="shared" si="17"/>
        <v>0</v>
      </c>
      <c r="CW30" s="835">
        <f t="shared" si="18"/>
        <v>0</v>
      </c>
      <c r="CX30" s="835">
        <f t="shared" si="19"/>
        <v>0</v>
      </c>
      <c r="CY30" s="835">
        <f t="shared" si="20"/>
        <v>0</v>
      </c>
      <c r="CZ30" s="835">
        <f t="shared" si="21"/>
        <v>0</v>
      </c>
      <c r="DA30" s="835">
        <f t="shared" si="22"/>
        <v>0</v>
      </c>
      <c r="DB30" s="835">
        <f t="shared" si="23"/>
        <v>0</v>
      </c>
      <c r="DC30" s="835">
        <f t="shared" si="24"/>
        <v>0</v>
      </c>
      <c r="DD30" s="835">
        <f t="shared" si="25"/>
        <v>0</v>
      </c>
      <c r="DE30" s="835">
        <f t="shared" si="26"/>
        <v>0</v>
      </c>
      <c r="DF30" s="835">
        <f t="shared" si="27"/>
        <v>0</v>
      </c>
      <c r="DG30" s="835">
        <f t="shared" si="28"/>
        <v>0</v>
      </c>
      <c r="DH30" s="835">
        <f t="shared" si="29"/>
        <v>0</v>
      </c>
      <c r="DI30" s="835">
        <f t="shared" si="30"/>
        <v>0</v>
      </c>
      <c r="DJ30" s="836">
        <f t="shared" si="31"/>
        <v>470988.08087488689</v>
      </c>
      <c r="DK30" s="325"/>
    </row>
    <row r="31" spans="1:115">
      <c r="A31" s="741" t="s">
        <v>631</v>
      </c>
      <c r="B31" s="742" t="s">
        <v>179</v>
      </c>
      <c r="C31" s="742" t="s">
        <v>179</v>
      </c>
      <c r="D31" s="773">
        <v>0</v>
      </c>
      <c r="E31" s="746">
        <v>0</v>
      </c>
      <c r="F31" s="746">
        <v>11.86</v>
      </c>
      <c r="G31" s="746">
        <v>0</v>
      </c>
      <c r="H31" s="746">
        <v>0</v>
      </c>
      <c r="I31" s="746">
        <v>3.38</v>
      </c>
      <c r="J31" s="746">
        <v>0</v>
      </c>
      <c r="K31" s="746">
        <v>0</v>
      </c>
      <c r="L31" s="746">
        <v>0</v>
      </c>
      <c r="M31" s="746">
        <v>0</v>
      </c>
      <c r="N31" s="746">
        <v>0</v>
      </c>
      <c r="O31" s="746">
        <v>0</v>
      </c>
      <c r="P31" s="746">
        <v>0</v>
      </c>
      <c r="Q31" s="746">
        <v>0</v>
      </c>
      <c r="R31" s="746">
        <v>0</v>
      </c>
      <c r="S31" s="746">
        <v>0</v>
      </c>
      <c r="T31" s="746">
        <v>0</v>
      </c>
      <c r="U31" s="746">
        <v>0</v>
      </c>
      <c r="V31" s="746">
        <v>0</v>
      </c>
      <c r="W31" s="746">
        <v>0</v>
      </c>
      <c r="X31" s="747">
        <v>0</v>
      </c>
      <c r="Z31" s="750">
        <v>0</v>
      </c>
      <c r="AA31" s="751">
        <v>0</v>
      </c>
      <c r="AB31" s="751">
        <v>12.57</v>
      </c>
      <c r="AC31" s="751">
        <v>0</v>
      </c>
      <c r="AD31" s="751">
        <v>0</v>
      </c>
      <c r="AE31" s="751">
        <v>3.55</v>
      </c>
      <c r="AF31" s="751">
        <v>0</v>
      </c>
      <c r="AG31" s="751">
        <v>0</v>
      </c>
      <c r="AH31" s="751">
        <v>0</v>
      </c>
      <c r="AI31" s="751">
        <v>0</v>
      </c>
      <c r="AJ31" s="751">
        <v>0</v>
      </c>
      <c r="AK31" s="751">
        <v>0</v>
      </c>
      <c r="AL31" s="751">
        <v>0</v>
      </c>
      <c r="AM31" s="751">
        <v>0</v>
      </c>
      <c r="AN31" s="751">
        <v>0</v>
      </c>
      <c r="AO31" s="751">
        <v>0</v>
      </c>
      <c r="AP31" s="751">
        <v>0</v>
      </c>
      <c r="AQ31" s="751">
        <v>0</v>
      </c>
      <c r="AR31" s="751">
        <v>0</v>
      </c>
      <c r="AS31" s="751">
        <v>0</v>
      </c>
      <c r="AT31" s="752">
        <v>0</v>
      </c>
      <c r="AV31" s="762">
        <v>7344.7000000000007</v>
      </c>
      <c r="AW31" s="760">
        <v>0</v>
      </c>
      <c r="AX31" s="760">
        <v>27764943.806519702</v>
      </c>
      <c r="AY31" s="760">
        <v>0</v>
      </c>
      <c r="AZ31" s="760">
        <v>0</v>
      </c>
      <c r="BA31" s="760">
        <v>68379507.256635308</v>
      </c>
      <c r="BB31" s="760">
        <v>0</v>
      </c>
      <c r="BC31" s="760">
        <v>0</v>
      </c>
      <c r="BD31" s="760">
        <v>0</v>
      </c>
      <c r="BE31" s="760">
        <v>0</v>
      </c>
      <c r="BF31" s="760">
        <v>0</v>
      </c>
      <c r="BG31" s="760">
        <v>0</v>
      </c>
      <c r="BH31" s="760">
        <v>0</v>
      </c>
      <c r="BI31" s="760">
        <v>0</v>
      </c>
      <c r="BJ31" s="760">
        <v>0</v>
      </c>
      <c r="BK31" s="760">
        <v>0</v>
      </c>
      <c r="BL31" s="760">
        <v>0</v>
      </c>
      <c r="BM31" s="760">
        <v>0</v>
      </c>
      <c r="BN31" s="760">
        <v>0</v>
      </c>
      <c r="BO31" s="760">
        <v>0</v>
      </c>
      <c r="BP31" s="761">
        <v>0</v>
      </c>
      <c r="BQ31" s="781">
        <f t="shared" si="32"/>
        <v>96144451.06315501</v>
      </c>
      <c r="BR31" s="306">
        <f t="shared" si="35"/>
        <v>0</v>
      </c>
      <c r="BS31" s="307">
        <f t="shared" si="36"/>
        <v>0</v>
      </c>
      <c r="BT31" s="307">
        <f t="shared" si="37"/>
        <v>3292922.3354532365</v>
      </c>
      <c r="BU31" s="307">
        <f t="shared" si="38"/>
        <v>0</v>
      </c>
      <c r="BV31" s="307">
        <f t="shared" si="39"/>
        <v>0</v>
      </c>
      <c r="BW31" s="307">
        <f t="shared" si="40"/>
        <v>2311227.3452742733</v>
      </c>
      <c r="BX31" s="307">
        <f t="shared" si="41"/>
        <v>0</v>
      </c>
      <c r="BY31" s="307">
        <f t="shared" si="42"/>
        <v>0</v>
      </c>
      <c r="BZ31" s="307">
        <f t="shared" si="43"/>
        <v>0</v>
      </c>
      <c r="CA31" s="307">
        <f t="shared" si="44"/>
        <v>0</v>
      </c>
      <c r="CB31" s="307">
        <f t="shared" si="45"/>
        <v>0</v>
      </c>
      <c r="CC31" s="307">
        <f t="shared" si="46"/>
        <v>0</v>
      </c>
      <c r="CD31" s="307">
        <f t="shared" si="47"/>
        <v>0</v>
      </c>
      <c r="CE31" s="307">
        <f t="shared" si="48"/>
        <v>0</v>
      </c>
      <c r="CF31" s="307">
        <f t="shared" si="49"/>
        <v>0</v>
      </c>
      <c r="CG31" s="307">
        <f t="shared" si="50"/>
        <v>0</v>
      </c>
      <c r="CH31" s="307">
        <f t="shared" si="51"/>
        <v>0</v>
      </c>
      <c r="CI31" s="307">
        <f t="shared" si="52"/>
        <v>0</v>
      </c>
      <c r="CJ31" s="307">
        <f t="shared" si="53"/>
        <v>0</v>
      </c>
      <c r="CK31" s="307">
        <f t="shared" si="54"/>
        <v>0</v>
      </c>
      <c r="CL31" s="307">
        <f t="shared" si="55"/>
        <v>0</v>
      </c>
      <c r="CM31" s="259">
        <f t="shared" si="9"/>
        <v>5604149.6807275098</v>
      </c>
      <c r="CN31" s="325"/>
      <c r="CO31" s="834">
        <f t="shared" si="10"/>
        <v>0</v>
      </c>
      <c r="CP31" s="835">
        <f t="shared" si="11"/>
        <v>0</v>
      </c>
      <c r="CQ31" s="835">
        <f t="shared" si="12"/>
        <v>3490053.4364795266</v>
      </c>
      <c r="CR31" s="835">
        <f t="shared" si="13"/>
        <v>0</v>
      </c>
      <c r="CS31" s="835">
        <f t="shared" si="14"/>
        <v>0</v>
      </c>
      <c r="CT31" s="835">
        <f t="shared" si="15"/>
        <v>2427472.5076105534</v>
      </c>
      <c r="CU31" s="835">
        <f t="shared" si="16"/>
        <v>0</v>
      </c>
      <c r="CV31" s="835">
        <f t="shared" si="17"/>
        <v>0</v>
      </c>
      <c r="CW31" s="835">
        <f t="shared" si="18"/>
        <v>0</v>
      </c>
      <c r="CX31" s="835">
        <f t="shared" si="19"/>
        <v>0</v>
      </c>
      <c r="CY31" s="835">
        <f t="shared" si="20"/>
        <v>0</v>
      </c>
      <c r="CZ31" s="835">
        <f t="shared" si="21"/>
        <v>0</v>
      </c>
      <c r="DA31" s="835">
        <f t="shared" si="22"/>
        <v>0</v>
      </c>
      <c r="DB31" s="835">
        <f t="shared" si="23"/>
        <v>0</v>
      </c>
      <c r="DC31" s="835">
        <f t="shared" si="24"/>
        <v>0</v>
      </c>
      <c r="DD31" s="835">
        <f t="shared" si="25"/>
        <v>0</v>
      </c>
      <c r="DE31" s="835">
        <f t="shared" si="26"/>
        <v>0</v>
      </c>
      <c r="DF31" s="835">
        <f t="shared" si="27"/>
        <v>0</v>
      </c>
      <c r="DG31" s="835">
        <f t="shared" si="28"/>
        <v>0</v>
      </c>
      <c r="DH31" s="835">
        <f t="shared" si="29"/>
        <v>0</v>
      </c>
      <c r="DI31" s="835">
        <f t="shared" si="30"/>
        <v>0</v>
      </c>
      <c r="DJ31" s="836">
        <f t="shared" si="31"/>
        <v>5917525.9440900795</v>
      </c>
      <c r="DK31" s="325"/>
    </row>
    <row r="32" spans="1:115">
      <c r="A32" s="741" t="s">
        <v>230</v>
      </c>
      <c r="B32" s="742" t="s">
        <v>632</v>
      </c>
      <c r="C32" s="742" t="s">
        <v>632</v>
      </c>
      <c r="D32" s="749">
        <v>7900</v>
      </c>
      <c r="E32" s="746">
        <v>0</v>
      </c>
      <c r="F32" s="746">
        <v>3.14</v>
      </c>
      <c r="G32" s="746">
        <v>0</v>
      </c>
      <c r="H32" s="746">
        <v>0</v>
      </c>
      <c r="I32" s="746">
        <v>1.54</v>
      </c>
      <c r="J32" s="746">
        <v>0</v>
      </c>
      <c r="K32" s="746">
        <v>0</v>
      </c>
      <c r="L32" s="746">
        <v>0</v>
      </c>
      <c r="M32" s="746">
        <v>87.42</v>
      </c>
      <c r="N32" s="746">
        <v>0</v>
      </c>
      <c r="O32" s="746">
        <v>0</v>
      </c>
      <c r="P32" s="746">
        <v>0</v>
      </c>
      <c r="Q32" s="746">
        <v>0</v>
      </c>
      <c r="R32" s="746">
        <v>0</v>
      </c>
      <c r="S32" s="746">
        <v>0</v>
      </c>
      <c r="T32" s="746">
        <v>0</v>
      </c>
      <c r="U32" s="746">
        <v>0</v>
      </c>
      <c r="V32" s="746">
        <v>0</v>
      </c>
      <c r="W32" s="746">
        <v>0</v>
      </c>
      <c r="X32" s="747">
        <v>0</v>
      </c>
      <c r="Z32" s="750">
        <v>7749</v>
      </c>
      <c r="AA32" s="751">
        <v>0</v>
      </c>
      <c r="AB32" s="751">
        <v>3.02</v>
      </c>
      <c r="AC32" s="751">
        <v>0</v>
      </c>
      <c r="AD32" s="751">
        <v>0</v>
      </c>
      <c r="AE32" s="751">
        <v>1.47</v>
      </c>
      <c r="AF32" s="751">
        <v>0</v>
      </c>
      <c r="AG32" s="751">
        <v>0</v>
      </c>
      <c r="AH32" s="751">
        <v>0</v>
      </c>
      <c r="AI32" s="751">
        <v>85.16</v>
      </c>
      <c r="AJ32" s="751">
        <v>0</v>
      </c>
      <c r="AK32" s="751">
        <v>0</v>
      </c>
      <c r="AL32" s="751">
        <v>0</v>
      </c>
      <c r="AM32" s="751">
        <v>0</v>
      </c>
      <c r="AN32" s="751">
        <v>0</v>
      </c>
      <c r="AO32" s="751">
        <v>0</v>
      </c>
      <c r="AP32" s="751">
        <v>0</v>
      </c>
      <c r="AQ32" s="751">
        <v>0</v>
      </c>
      <c r="AR32" s="751">
        <v>0</v>
      </c>
      <c r="AS32" s="751">
        <v>0</v>
      </c>
      <c r="AT32" s="752">
        <v>0</v>
      </c>
      <c r="AV32" s="762">
        <v>2749.2308243888324</v>
      </c>
      <c r="AW32" s="760">
        <v>0</v>
      </c>
      <c r="AX32" s="760">
        <v>1363564037.0325396</v>
      </c>
      <c r="AY32" s="760">
        <v>0</v>
      </c>
      <c r="AZ32" s="760">
        <v>0</v>
      </c>
      <c r="BA32" s="760">
        <v>1037238631.3345442</v>
      </c>
      <c r="BB32" s="760">
        <v>0</v>
      </c>
      <c r="BC32" s="760">
        <v>0</v>
      </c>
      <c r="BD32" s="760">
        <v>0</v>
      </c>
      <c r="BE32" s="760">
        <v>840288.6815456989</v>
      </c>
      <c r="BF32" s="760">
        <v>0</v>
      </c>
      <c r="BG32" s="760">
        <v>0</v>
      </c>
      <c r="BH32" s="760">
        <v>0</v>
      </c>
      <c r="BI32" s="760">
        <v>0</v>
      </c>
      <c r="BJ32" s="760">
        <v>0</v>
      </c>
      <c r="BK32" s="760">
        <v>0</v>
      </c>
      <c r="BL32" s="760">
        <v>0</v>
      </c>
      <c r="BM32" s="760">
        <v>0</v>
      </c>
      <c r="BN32" s="760">
        <v>0</v>
      </c>
      <c r="BO32" s="760">
        <v>0</v>
      </c>
      <c r="BP32" s="761">
        <v>0</v>
      </c>
      <c r="BQ32" s="781">
        <f t="shared" si="32"/>
        <v>2400802668.3670835</v>
      </c>
      <c r="BR32" s="306">
        <f t="shared" si="35"/>
        <v>21718923.512671776</v>
      </c>
      <c r="BS32" s="307">
        <f t="shared" si="36"/>
        <v>0</v>
      </c>
      <c r="BT32" s="307">
        <f t="shared" si="37"/>
        <v>42815910.762821749</v>
      </c>
      <c r="BU32" s="307">
        <f t="shared" si="38"/>
        <v>0</v>
      </c>
      <c r="BV32" s="307">
        <f t="shared" si="39"/>
        <v>0</v>
      </c>
      <c r="BW32" s="307">
        <f t="shared" si="40"/>
        <v>15973474.92255198</v>
      </c>
      <c r="BX32" s="307">
        <f t="shared" si="41"/>
        <v>0</v>
      </c>
      <c r="BY32" s="307">
        <f t="shared" si="42"/>
        <v>0</v>
      </c>
      <c r="BZ32" s="307">
        <f t="shared" si="43"/>
        <v>0</v>
      </c>
      <c r="CA32" s="307">
        <f t="shared" si="44"/>
        <v>73458036.540724993</v>
      </c>
      <c r="CB32" s="307">
        <f t="shared" si="45"/>
        <v>0</v>
      </c>
      <c r="CC32" s="307">
        <f t="shared" si="46"/>
        <v>0</v>
      </c>
      <c r="CD32" s="307">
        <f t="shared" si="47"/>
        <v>0</v>
      </c>
      <c r="CE32" s="307">
        <f t="shared" si="48"/>
        <v>0</v>
      </c>
      <c r="CF32" s="307">
        <f t="shared" si="49"/>
        <v>0</v>
      </c>
      <c r="CG32" s="307">
        <f t="shared" si="50"/>
        <v>0</v>
      </c>
      <c r="CH32" s="307">
        <f t="shared" si="51"/>
        <v>0</v>
      </c>
      <c r="CI32" s="307">
        <f t="shared" si="52"/>
        <v>0</v>
      </c>
      <c r="CJ32" s="307">
        <f t="shared" si="53"/>
        <v>0</v>
      </c>
      <c r="CK32" s="307">
        <f t="shared" si="54"/>
        <v>0</v>
      </c>
      <c r="CL32" s="307">
        <f t="shared" si="55"/>
        <v>0</v>
      </c>
      <c r="CM32" s="259">
        <f t="shared" si="9"/>
        <v>153966345.73877048</v>
      </c>
      <c r="CN32" s="325"/>
      <c r="CO32" s="834">
        <f t="shared" si="10"/>
        <v>21303789.658189062</v>
      </c>
      <c r="CP32" s="835">
        <f t="shared" si="11"/>
        <v>0</v>
      </c>
      <c r="CQ32" s="835">
        <f t="shared" si="12"/>
        <v>41179633.918382697</v>
      </c>
      <c r="CR32" s="835">
        <f t="shared" si="13"/>
        <v>0</v>
      </c>
      <c r="CS32" s="835">
        <f t="shared" si="14"/>
        <v>0</v>
      </c>
      <c r="CT32" s="835">
        <f t="shared" si="15"/>
        <v>15247407.880617799</v>
      </c>
      <c r="CU32" s="835">
        <f t="shared" si="16"/>
        <v>0</v>
      </c>
      <c r="CV32" s="835">
        <f t="shared" si="17"/>
        <v>0</v>
      </c>
      <c r="CW32" s="835">
        <f t="shared" si="18"/>
        <v>0</v>
      </c>
      <c r="CX32" s="835">
        <f t="shared" si="19"/>
        <v>71558984.120431721</v>
      </c>
      <c r="CY32" s="835">
        <f t="shared" si="20"/>
        <v>0</v>
      </c>
      <c r="CZ32" s="835">
        <f t="shared" si="21"/>
        <v>0</v>
      </c>
      <c r="DA32" s="835">
        <f t="shared" si="22"/>
        <v>0</v>
      </c>
      <c r="DB32" s="835">
        <f t="shared" si="23"/>
        <v>0</v>
      </c>
      <c r="DC32" s="835">
        <f t="shared" si="24"/>
        <v>0</v>
      </c>
      <c r="DD32" s="835">
        <f t="shared" si="25"/>
        <v>0</v>
      </c>
      <c r="DE32" s="835">
        <f t="shared" si="26"/>
        <v>0</v>
      </c>
      <c r="DF32" s="835">
        <f t="shared" si="27"/>
        <v>0</v>
      </c>
      <c r="DG32" s="835">
        <f t="shared" si="28"/>
        <v>0</v>
      </c>
      <c r="DH32" s="835">
        <f t="shared" si="29"/>
        <v>0</v>
      </c>
      <c r="DI32" s="835">
        <f t="shared" si="30"/>
        <v>0</v>
      </c>
      <c r="DJ32" s="836">
        <f t="shared" si="31"/>
        <v>149289815.57762128</v>
      </c>
      <c r="DK32" s="325"/>
    </row>
    <row r="33" spans="1:115">
      <c r="A33" s="741" t="s">
        <v>231</v>
      </c>
      <c r="B33" s="742" t="s">
        <v>643</v>
      </c>
      <c r="C33" s="742" t="s">
        <v>643</v>
      </c>
      <c r="D33" s="749">
        <v>44900</v>
      </c>
      <c r="E33" s="746">
        <v>0</v>
      </c>
      <c r="F33" s="746">
        <v>1.62</v>
      </c>
      <c r="G33" s="746">
        <v>0</v>
      </c>
      <c r="H33" s="746">
        <v>0</v>
      </c>
      <c r="I33" s="746">
        <v>0.62</v>
      </c>
      <c r="J33" s="746">
        <v>0</v>
      </c>
      <c r="K33" s="746">
        <v>0</v>
      </c>
      <c r="L33" s="746">
        <v>0</v>
      </c>
      <c r="M33" s="746">
        <v>58.06</v>
      </c>
      <c r="N33" s="746">
        <v>0</v>
      </c>
      <c r="O33" s="746">
        <v>0</v>
      </c>
      <c r="P33" s="746">
        <v>0</v>
      </c>
      <c r="Q33" s="746">
        <v>0</v>
      </c>
      <c r="R33" s="746">
        <v>0</v>
      </c>
      <c r="S33" s="746">
        <v>0</v>
      </c>
      <c r="T33" s="746">
        <v>0</v>
      </c>
      <c r="U33" s="746">
        <v>0</v>
      </c>
      <c r="V33" s="746">
        <v>0</v>
      </c>
      <c r="W33" s="746">
        <v>0</v>
      </c>
      <c r="X33" s="747">
        <v>0</v>
      </c>
      <c r="Z33" s="750">
        <v>44000</v>
      </c>
      <c r="AA33" s="751">
        <v>0</v>
      </c>
      <c r="AB33" s="751">
        <v>1.57</v>
      </c>
      <c r="AC33" s="751">
        <v>0</v>
      </c>
      <c r="AD33" s="751">
        <v>0</v>
      </c>
      <c r="AE33" s="751">
        <v>0.6</v>
      </c>
      <c r="AF33" s="751">
        <v>0</v>
      </c>
      <c r="AG33" s="751">
        <v>0</v>
      </c>
      <c r="AH33" s="751">
        <v>0</v>
      </c>
      <c r="AI33" s="751">
        <v>56.28</v>
      </c>
      <c r="AJ33" s="751">
        <v>0</v>
      </c>
      <c r="AK33" s="751">
        <v>0</v>
      </c>
      <c r="AL33" s="751">
        <v>0</v>
      </c>
      <c r="AM33" s="751">
        <v>0</v>
      </c>
      <c r="AN33" s="751">
        <v>0</v>
      </c>
      <c r="AO33" s="751">
        <v>0</v>
      </c>
      <c r="AP33" s="751">
        <v>0</v>
      </c>
      <c r="AQ33" s="751">
        <v>0</v>
      </c>
      <c r="AR33" s="751">
        <v>0</v>
      </c>
      <c r="AS33" s="751">
        <v>0</v>
      </c>
      <c r="AT33" s="752">
        <v>0</v>
      </c>
      <c r="AV33" s="762">
        <v>173</v>
      </c>
      <c r="AW33" s="760">
        <v>0</v>
      </c>
      <c r="AX33" s="760">
        <v>761179064.62163103</v>
      </c>
      <c r="AY33" s="760">
        <v>0</v>
      </c>
      <c r="AZ33" s="760">
        <v>0</v>
      </c>
      <c r="BA33" s="760">
        <v>676982871.92553103</v>
      </c>
      <c r="BB33" s="760">
        <v>0</v>
      </c>
      <c r="BC33" s="760">
        <v>0</v>
      </c>
      <c r="BD33" s="760">
        <v>0</v>
      </c>
      <c r="BE33" s="760">
        <v>394844.72541610571</v>
      </c>
      <c r="BF33" s="760">
        <v>0</v>
      </c>
      <c r="BG33" s="760">
        <v>0</v>
      </c>
      <c r="BH33" s="760">
        <v>0</v>
      </c>
      <c r="BI33" s="760">
        <v>0</v>
      </c>
      <c r="BJ33" s="760">
        <v>0</v>
      </c>
      <c r="BK33" s="760">
        <v>0</v>
      </c>
      <c r="BL33" s="760">
        <v>0</v>
      </c>
      <c r="BM33" s="760">
        <v>0</v>
      </c>
      <c r="BN33" s="760">
        <v>0</v>
      </c>
      <c r="BO33" s="760">
        <v>0</v>
      </c>
      <c r="BP33" s="761">
        <v>0</v>
      </c>
      <c r="BQ33" s="781">
        <f t="shared" si="32"/>
        <v>1438161936.5471621</v>
      </c>
      <c r="BR33" s="306">
        <f t="shared" si="35"/>
        <v>7767700</v>
      </c>
      <c r="BS33" s="307">
        <f t="shared" si="36"/>
        <v>0</v>
      </c>
      <c r="BT33" s="307">
        <f t="shared" si="37"/>
        <v>12331100.846870424</v>
      </c>
      <c r="BU33" s="307">
        <f t="shared" si="38"/>
        <v>0</v>
      </c>
      <c r="BV33" s="307">
        <f t="shared" si="39"/>
        <v>0</v>
      </c>
      <c r="BW33" s="307">
        <f t="shared" si="40"/>
        <v>4197293.8059382923</v>
      </c>
      <c r="BX33" s="307">
        <f t="shared" si="41"/>
        <v>0</v>
      </c>
      <c r="BY33" s="307">
        <f t="shared" si="42"/>
        <v>0</v>
      </c>
      <c r="BZ33" s="307">
        <f t="shared" si="43"/>
        <v>0</v>
      </c>
      <c r="CA33" s="307">
        <f t="shared" si="44"/>
        <v>22924684.7576591</v>
      </c>
      <c r="CB33" s="307">
        <f t="shared" si="45"/>
        <v>0</v>
      </c>
      <c r="CC33" s="307">
        <f t="shared" si="46"/>
        <v>0</v>
      </c>
      <c r="CD33" s="307">
        <f t="shared" si="47"/>
        <v>0</v>
      </c>
      <c r="CE33" s="307">
        <f t="shared" si="48"/>
        <v>0</v>
      </c>
      <c r="CF33" s="307">
        <f t="shared" si="49"/>
        <v>0</v>
      </c>
      <c r="CG33" s="307">
        <f t="shared" si="50"/>
        <v>0</v>
      </c>
      <c r="CH33" s="307">
        <f t="shared" si="51"/>
        <v>0</v>
      </c>
      <c r="CI33" s="307">
        <f t="shared" si="52"/>
        <v>0</v>
      </c>
      <c r="CJ33" s="307">
        <f t="shared" si="53"/>
        <v>0</v>
      </c>
      <c r="CK33" s="307">
        <f t="shared" si="54"/>
        <v>0</v>
      </c>
      <c r="CL33" s="307">
        <f t="shared" si="55"/>
        <v>0</v>
      </c>
      <c r="CM33" s="259">
        <f t="shared" si="9"/>
        <v>47220779.410467818</v>
      </c>
      <c r="CN33" s="325"/>
      <c r="CO33" s="834">
        <f t="shared" si="10"/>
        <v>7612000</v>
      </c>
      <c r="CP33" s="835">
        <f t="shared" si="11"/>
        <v>0</v>
      </c>
      <c r="CQ33" s="835">
        <f t="shared" si="12"/>
        <v>11950511.314559609</v>
      </c>
      <c r="CR33" s="835">
        <f t="shared" si="13"/>
        <v>0</v>
      </c>
      <c r="CS33" s="835">
        <f t="shared" si="14"/>
        <v>0</v>
      </c>
      <c r="CT33" s="835">
        <f t="shared" si="15"/>
        <v>4061897.2315531862</v>
      </c>
      <c r="CU33" s="835">
        <f t="shared" si="16"/>
        <v>0</v>
      </c>
      <c r="CV33" s="835">
        <f t="shared" si="17"/>
        <v>0</v>
      </c>
      <c r="CW33" s="835">
        <f t="shared" si="18"/>
        <v>0</v>
      </c>
      <c r="CX33" s="835">
        <f t="shared" si="19"/>
        <v>22221861.14641843</v>
      </c>
      <c r="CY33" s="835">
        <f t="shared" si="20"/>
        <v>0</v>
      </c>
      <c r="CZ33" s="835">
        <f t="shared" si="21"/>
        <v>0</v>
      </c>
      <c r="DA33" s="835">
        <f t="shared" si="22"/>
        <v>0</v>
      </c>
      <c r="DB33" s="835">
        <f t="shared" si="23"/>
        <v>0</v>
      </c>
      <c r="DC33" s="835">
        <f t="shared" si="24"/>
        <v>0</v>
      </c>
      <c r="DD33" s="835">
        <f t="shared" si="25"/>
        <v>0</v>
      </c>
      <c r="DE33" s="835">
        <f t="shared" si="26"/>
        <v>0</v>
      </c>
      <c r="DF33" s="835">
        <f t="shared" si="27"/>
        <v>0</v>
      </c>
      <c r="DG33" s="835">
        <f t="shared" si="28"/>
        <v>0</v>
      </c>
      <c r="DH33" s="835">
        <f t="shared" si="29"/>
        <v>0</v>
      </c>
      <c r="DI33" s="835">
        <f t="shared" si="30"/>
        <v>0</v>
      </c>
      <c r="DJ33" s="836">
        <f t="shared" si="31"/>
        <v>45846269.692531228</v>
      </c>
      <c r="DK33" s="325"/>
    </row>
    <row r="34" spans="1:115">
      <c r="A34" s="741" t="s">
        <v>644</v>
      </c>
      <c r="B34" s="742" t="s">
        <v>645</v>
      </c>
      <c r="C34" s="742" t="s">
        <v>645</v>
      </c>
      <c r="D34" s="749">
        <v>35900</v>
      </c>
      <c r="E34" s="746">
        <v>0</v>
      </c>
      <c r="F34" s="746">
        <v>1.28</v>
      </c>
      <c r="G34" s="746">
        <v>0</v>
      </c>
      <c r="H34" s="746">
        <v>0</v>
      </c>
      <c r="I34" s="746">
        <v>0.5</v>
      </c>
      <c r="J34" s="746">
        <v>0</v>
      </c>
      <c r="K34" s="746">
        <v>0</v>
      </c>
      <c r="L34" s="746">
        <v>0</v>
      </c>
      <c r="M34" s="746">
        <v>47.46</v>
      </c>
      <c r="N34" s="746">
        <v>0</v>
      </c>
      <c r="O34" s="746">
        <v>0</v>
      </c>
      <c r="P34" s="746">
        <v>0</v>
      </c>
      <c r="Q34" s="746">
        <v>0</v>
      </c>
      <c r="R34" s="746">
        <v>0</v>
      </c>
      <c r="S34" s="746">
        <v>0</v>
      </c>
      <c r="T34" s="746">
        <v>0</v>
      </c>
      <c r="U34" s="746">
        <v>0</v>
      </c>
      <c r="V34" s="746">
        <v>0</v>
      </c>
      <c r="W34" s="746">
        <v>0</v>
      </c>
      <c r="X34" s="747">
        <v>0</v>
      </c>
      <c r="Z34" s="750">
        <v>35200</v>
      </c>
      <c r="AA34" s="751">
        <v>0</v>
      </c>
      <c r="AB34" s="751">
        <v>1.24</v>
      </c>
      <c r="AC34" s="751">
        <v>0</v>
      </c>
      <c r="AD34" s="751">
        <v>0</v>
      </c>
      <c r="AE34" s="751">
        <v>0.49</v>
      </c>
      <c r="AF34" s="751">
        <v>0</v>
      </c>
      <c r="AG34" s="751">
        <v>0</v>
      </c>
      <c r="AH34" s="751">
        <v>0</v>
      </c>
      <c r="AI34" s="751">
        <v>46</v>
      </c>
      <c r="AJ34" s="751">
        <v>0</v>
      </c>
      <c r="AK34" s="751">
        <v>0</v>
      </c>
      <c r="AL34" s="751">
        <v>0</v>
      </c>
      <c r="AM34" s="751">
        <v>0</v>
      </c>
      <c r="AN34" s="751">
        <v>0</v>
      </c>
      <c r="AO34" s="751">
        <v>0</v>
      </c>
      <c r="AP34" s="751">
        <v>0</v>
      </c>
      <c r="AQ34" s="751">
        <v>0</v>
      </c>
      <c r="AR34" s="751">
        <v>0</v>
      </c>
      <c r="AS34" s="751">
        <v>0</v>
      </c>
      <c r="AT34" s="752">
        <v>0</v>
      </c>
      <c r="AV34" s="762">
        <v>9</v>
      </c>
      <c r="AW34" s="760">
        <v>0</v>
      </c>
      <c r="AX34" s="760">
        <v>142211194.67899999</v>
      </c>
      <c r="AY34" s="760">
        <v>0</v>
      </c>
      <c r="AZ34" s="760">
        <v>0</v>
      </c>
      <c r="BA34" s="760">
        <v>148646852.37099999</v>
      </c>
      <c r="BB34" s="760">
        <v>0</v>
      </c>
      <c r="BC34" s="760">
        <v>0</v>
      </c>
      <c r="BD34" s="760">
        <v>0</v>
      </c>
      <c r="BE34" s="760">
        <v>58586.290333333331</v>
      </c>
      <c r="BF34" s="760">
        <v>0</v>
      </c>
      <c r="BG34" s="760">
        <v>0</v>
      </c>
      <c r="BH34" s="760">
        <v>0</v>
      </c>
      <c r="BI34" s="760">
        <v>0</v>
      </c>
      <c r="BJ34" s="760">
        <v>0</v>
      </c>
      <c r="BK34" s="760">
        <v>0</v>
      </c>
      <c r="BL34" s="760">
        <v>0</v>
      </c>
      <c r="BM34" s="760">
        <v>0</v>
      </c>
      <c r="BN34" s="760">
        <v>0</v>
      </c>
      <c r="BO34" s="760">
        <v>0</v>
      </c>
      <c r="BP34" s="761">
        <v>0</v>
      </c>
      <c r="BQ34" s="781">
        <f t="shared" si="32"/>
        <v>290858047.04999995</v>
      </c>
      <c r="BR34" s="306">
        <f t="shared" si="35"/>
        <v>323100</v>
      </c>
      <c r="BS34" s="307">
        <f t="shared" si="36"/>
        <v>0</v>
      </c>
      <c r="BT34" s="307">
        <f t="shared" si="37"/>
        <v>1820303.2918912</v>
      </c>
      <c r="BU34" s="307">
        <f t="shared" si="38"/>
        <v>0</v>
      </c>
      <c r="BV34" s="307">
        <f t="shared" si="39"/>
        <v>0</v>
      </c>
      <c r="BW34" s="307">
        <f t="shared" si="40"/>
        <v>743234.26185499993</v>
      </c>
      <c r="BX34" s="307">
        <f t="shared" si="41"/>
        <v>0</v>
      </c>
      <c r="BY34" s="307">
        <f t="shared" si="42"/>
        <v>0</v>
      </c>
      <c r="BZ34" s="307">
        <f t="shared" si="43"/>
        <v>0</v>
      </c>
      <c r="CA34" s="307">
        <f t="shared" si="44"/>
        <v>2780505.33922</v>
      </c>
      <c r="CB34" s="307">
        <f t="shared" si="45"/>
        <v>0</v>
      </c>
      <c r="CC34" s="307">
        <f t="shared" si="46"/>
        <v>0</v>
      </c>
      <c r="CD34" s="307">
        <f t="shared" si="47"/>
        <v>0</v>
      </c>
      <c r="CE34" s="307">
        <f t="shared" si="48"/>
        <v>0</v>
      </c>
      <c r="CF34" s="307">
        <f t="shared" si="49"/>
        <v>0</v>
      </c>
      <c r="CG34" s="307">
        <f t="shared" si="50"/>
        <v>0</v>
      </c>
      <c r="CH34" s="307">
        <f t="shared" si="51"/>
        <v>0</v>
      </c>
      <c r="CI34" s="307">
        <f t="shared" si="52"/>
        <v>0</v>
      </c>
      <c r="CJ34" s="307">
        <f t="shared" si="53"/>
        <v>0</v>
      </c>
      <c r="CK34" s="307">
        <f t="shared" si="54"/>
        <v>0</v>
      </c>
      <c r="CL34" s="307">
        <f t="shared" si="55"/>
        <v>0</v>
      </c>
      <c r="CM34" s="259">
        <f t="shared" si="9"/>
        <v>5667142.8929661997</v>
      </c>
      <c r="CN34" s="325"/>
      <c r="CO34" s="834">
        <f t="shared" si="10"/>
        <v>316800</v>
      </c>
      <c r="CP34" s="835">
        <f t="shared" si="11"/>
        <v>0</v>
      </c>
      <c r="CQ34" s="835">
        <f t="shared" si="12"/>
        <v>1763418.8140195999</v>
      </c>
      <c r="CR34" s="835">
        <f t="shared" si="13"/>
        <v>0</v>
      </c>
      <c r="CS34" s="835">
        <f t="shared" si="14"/>
        <v>0</v>
      </c>
      <c r="CT34" s="835">
        <f t="shared" si="15"/>
        <v>728369.57661789993</v>
      </c>
      <c r="CU34" s="835">
        <f t="shared" si="16"/>
        <v>0</v>
      </c>
      <c r="CV34" s="835">
        <f t="shared" si="17"/>
        <v>0</v>
      </c>
      <c r="CW34" s="835">
        <f t="shared" si="18"/>
        <v>0</v>
      </c>
      <c r="CX34" s="835">
        <f t="shared" si="19"/>
        <v>2694969.3553333334</v>
      </c>
      <c r="CY34" s="835">
        <f t="shared" si="20"/>
        <v>0</v>
      </c>
      <c r="CZ34" s="835">
        <f t="shared" si="21"/>
        <v>0</v>
      </c>
      <c r="DA34" s="835">
        <f t="shared" si="22"/>
        <v>0</v>
      </c>
      <c r="DB34" s="835">
        <f t="shared" si="23"/>
        <v>0</v>
      </c>
      <c r="DC34" s="835">
        <f t="shared" si="24"/>
        <v>0</v>
      </c>
      <c r="DD34" s="835">
        <f t="shared" si="25"/>
        <v>0</v>
      </c>
      <c r="DE34" s="835">
        <f t="shared" si="26"/>
        <v>0</v>
      </c>
      <c r="DF34" s="835">
        <f t="shared" si="27"/>
        <v>0</v>
      </c>
      <c r="DG34" s="835">
        <f t="shared" si="28"/>
        <v>0</v>
      </c>
      <c r="DH34" s="835">
        <f t="shared" si="29"/>
        <v>0</v>
      </c>
      <c r="DI34" s="835">
        <f t="shared" si="30"/>
        <v>0</v>
      </c>
      <c r="DJ34" s="836">
        <f t="shared" si="31"/>
        <v>5503557.7459708331</v>
      </c>
      <c r="DK34" s="325"/>
    </row>
    <row r="35" spans="1:115">
      <c r="A35" s="741" t="s">
        <v>654</v>
      </c>
      <c r="B35" s="742" t="s">
        <v>655</v>
      </c>
      <c r="C35" s="742" t="s">
        <v>655</v>
      </c>
      <c r="D35" s="749">
        <v>242800</v>
      </c>
      <c r="E35" s="746">
        <v>0</v>
      </c>
      <c r="F35" s="746">
        <v>0.51</v>
      </c>
      <c r="G35" s="746">
        <v>0</v>
      </c>
      <c r="H35" s="746">
        <v>0</v>
      </c>
      <c r="I35" s="746">
        <v>0.15</v>
      </c>
      <c r="J35" s="746">
        <v>0</v>
      </c>
      <c r="K35" s="746">
        <v>0</v>
      </c>
      <c r="L35" s="746">
        <v>0</v>
      </c>
      <c r="M35" s="746">
        <v>4.7300000000000004</v>
      </c>
      <c r="N35" s="746">
        <v>0</v>
      </c>
      <c r="O35" s="746">
        <v>0</v>
      </c>
      <c r="P35" s="746">
        <v>0</v>
      </c>
      <c r="Q35" s="748">
        <v>0</v>
      </c>
      <c r="R35" s="746">
        <v>0</v>
      </c>
      <c r="S35" s="746">
        <v>0</v>
      </c>
      <c r="T35" s="746">
        <v>0</v>
      </c>
      <c r="U35" s="746">
        <v>0</v>
      </c>
      <c r="V35" s="746">
        <v>0</v>
      </c>
      <c r="W35" s="746">
        <v>0</v>
      </c>
      <c r="X35" s="747">
        <v>0</v>
      </c>
      <c r="Z35" s="753">
        <v>238000</v>
      </c>
      <c r="AA35" s="751">
        <v>0</v>
      </c>
      <c r="AB35" s="751">
        <v>0.49</v>
      </c>
      <c r="AC35" s="751">
        <v>0</v>
      </c>
      <c r="AD35" s="751">
        <v>0</v>
      </c>
      <c r="AE35" s="751">
        <v>0.15</v>
      </c>
      <c r="AF35" s="751">
        <v>0</v>
      </c>
      <c r="AG35" s="751">
        <v>0</v>
      </c>
      <c r="AH35" s="751">
        <v>0</v>
      </c>
      <c r="AI35" s="751">
        <v>4.57</v>
      </c>
      <c r="AJ35" s="751">
        <v>0</v>
      </c>
      <c r="AK35" s="751">
        <v>0</v>
      </c>
      <c r="AL35" s="751">
        <v>0</v>
      </c>
      <c r="AM35" s="754">
        <v>0</v>
      </c>
      <c r="AN35" s="751">
        <v>0</v>
      </c>
      <c r="AO35" s="751">
        <v>0</v>
      </c>
      <c r="AP35" s="751">
        <v>0</v>
      </c>
      <c r="AQ35" s="751">
        <v>0</v>
      </c>
      <c r="AR35" s="751">
        <v>0</v>
      </c>
      <c r="AS35" s="751">
        <v>0</v>
      </c>
      <c r="AT35" s="752">
        <v>0</v>
      </c>
      <c r="AV35" s="759">
        <v>11</v>
      </c>
      <c r="AW35" s="760">
        <v>0</v>
      </c>
      <c r="AX35" s="760">
        <v>530995472.648</v>
      </c>
      <c r="AY35" s="760">
        <v>0</v>
      </c>
      <c r="AZ35" s="760">
        <v>0</v>
      </c>
      <c r="BA35" s="760">
        <v>460236066.01800001</v>
      </c>
      <c r="BB35" s="760">
        <v>0</v>
      </c>
      <c r="BC35" s="760">
        <v>0</v>
      </c>
      <c r="BD35" s="760">
        <v>0</v>
      </c>
      <c r="BE35" s="760">
        <v>267192.94533333339</v>
      </c>
      <c r="BF35" s="760">
        <v>0</v>
      </c>
      <c r="BG35" s="760">
        <v>0</v>
      </c>
      <c r="BH35" s="760">
        <v>0</v>
      </c>
      <c r="BI35" s="763">
        <v>0</v>
      </c>
      <c r="BJ35" s="760">
        <v>0</v>
      </c>
      <c r="BK35" s="760">
        <v>0</v>
      </c>
      <c r="BL35" s="760">
        <v>0</v>
      </c>
      <c r="BM35" s="760">
        <v>0</v>
      </c>
      <c r="BN35" s="760">
        <v>0</v>
      </c>
      <c r="BO35" s="760">
        <v>0</v>
      </c>
      <c r="BP35" s="761">
        <v>0</v>
      </c>
      <c r="BQ35" s="781">
        <f t="shared" si="32"/>
        <v>991231538.66600001</v>
      </c>
      <c r="BR35" s="306">
        <f t="shared" si="35"/>
        <v>2670800</v>
      </c>
      <c r="BS35" s="307">
        <f t="shared" si="36"/>
        <v>0</v>
      </c>
      <c r="BT35" s="307">
        <f t="shared" si="37"/>
        <v>2708076.9105048003</v>
      </c>
      <c r="BU35" s="307">
        <f t="shared" si="38"/>
        <v>0</v>
      </c>
      <c r="BV35" s="307">
        <f t="shared" si="39"/>
        <v>0</v>
      </c>
      <c r="BW35" s="307">
        <f t="shared" si="40"/>
        <v>690354.09902700002</v>
      </c>
      <c r="BX35" s="307">
        <f t="shared" si="41"/>
        <v>0</v>
      </c>
      <c r="BY35" s="307">
        <f t="shared" si="42"/>
        <v>0</v>
      </c>
      <c r="BZ35" s="307">
        <f t="shared" si="43"/>
        <v>0</v>
      </c>
      <c r="CA35" s="307">
        <f t="shared" si="44"/>
        <v>1263822.6314266671</v>
      </c>
      <c r="CB35" s="307">
        <f t="shared" si="45"/>
        <v>0</v>
      </c>
      <c r="CC35" s="307">
        <f t="shared" si="46"/>
        <v>0</v>
      </c>
      <c r="CD35" s="307">
        <f t="shared" si="47"/>
        <v>0</v>
      </c>
      <c r="CE35" s="307">
        <f t="shared" si="48"/>
        <v>0</v>
      </c>
      <c r="CF35" s="307">
        <f t="shared" si="49"/>
        <v>0</v>
      </c>
      <c r="CG35" s="307">
        <f t="shared" si="50"/>
        <v>0</v>
      </c>
      <c r="CH35" s="307">
        <f t="shared" si="51"/>
        <v>0</v>
      </c>
      <c r="CI35" s="307">
        <f t="shared" si="52"/>
        <v>0</v>
      </c>
      <c r="CJ35" s="307">
        <f t="shared" si="53"/>
        <v>0</v>
      </c>
      <c r="CK35" s="307">
        <f t="shared" si="54"/>
        <v>0</v>
      </c>
      <c r="CL35" s="307">
        <f t="shared" si="55"/>
        <v>0</v>
      </c>
      <c r="CM35" s="259">
        <f t="shared" si="9"/>
        <v>7333053.6409584675</v>
      </c>
      <c r="CN35" s="325"/>
      <c r="CO35" s="834">
        <f t="shared" si="10"/>
        <v>2618000</v>
      </c>
      <c r="CP35" s="835">
        <f t="shared" si="11"/>
        <v>0</v>
      </c>
      <c r="CQ35" s="835">
        <f t="shared" si="12"/>
        <v>2601877.8159751999</v>
      </c>
      <c r="CR35" s="835">
        <f t="shared" si="13"/>
        <v>0</v>
      </c>
      <c r="CS35" s="835">
        <f t="shared" si="14"/>
        <v>0</v>
      </c>
      <c r="CT35" s="835">
        <f t="shared" si="15"/>
        <v>690354.09902700002</v>
      </c>
      <c r="CU35" s="835">
        <f t="shared" si="16"/>
        <v>0</v>
      </c>
      <c r="CV35" s="835">
        <f t="shared" si="17"/>
        <v>0</v>
      </c>
      <c r="CW35" s="835">
        <f t="shared" si="18"/>
        <v>0</v>
      </c>
      <c r="CX35" s="835">
        <f t="shared" si="19"/>
        <v>1221071.7601733336</v>
      </c>
      <c r="CY35" s="835">
        <f t="shared" si="20"/>
        <v>0</v>
      </c>
      <c r="CZ35" s="835">
        <f t="shared" si="21"/>
        <v>0</v>
      </c>
      <c r="DA35" s="835">
        <f t="shared" si="22"/>
        <v>0</v>
      </c>
      <c r="DB35" s="835">
        <f t="shared" si="23"/>
        <v>0</v>
      </c>
      <c r="DC35" s="835">
        <f t="shared" si="24"/>
        <v>0</v>
      </c>
      <c r="DD35" s="835">
        <f t="shared" si="25"/>
        <v>0</v>
      </c>
      <c r="DE35" s="835">
        <f t="shared" si="26"/>
        <v>0</v>
      </c>
      <c r="DF35" s="835">
        <f t="shared" si="27"/>
        <v>0</v>
      </c>
      <c r="DG35" s="835">
        <f t="shared" si="28"/>
        <v>0</v>
      </c>
      <c r="DH35" s="835">
        <f t="shared" si="29"/>
        <v>0</v>
      </c>
      <c r="DI35" s="835">
        <f t="shared" si="30"/>
        <v>0</v>
      </c>
      <c r="DJ35" s="836">
        <f t="shared" si="31"/>
        <v>7131303.6751755346</v>
      </c>
      <c r="DK35" s="325"/>
    </row>
    <row r="36" spans="1:115">
      <c r="A36" s="741"/>
      <c r="B36" s="742"/>
      <c r="C36" s="742"/>
      <c r="D36" s="749"/>
      <c r="E36" s="743">
        <v>0</v>
      </c>
      <c r="F36" s="743">
        <v>0</v>
      </c>
      <c r="G36" s="743">
        <v>0</v>
      </c>
      <c r="H36" s="743">
        <v>0</v>
      </c>
      <c r="I36" s="743">
        <v>0</v>
      </c>
      <c r="J36" s="743">
        <v>0</v>
      </c>
      <c r="K36" s="743">
        <v>0</v>
      </c>
      <c r="L36" s="743">
        <v>0</v>
      </c>
      <c r="M36" s="743">
        <v>0</v>
      </c>
      <c r="N36" s="743">
        <v>0</v>
      </c>
      <c r="O36" s="743">
        <v>0</v>
      </c>
      <c r="P36" s="743">
        <v>0</v>
      </c>
      <c r="Q36" s="745">
        <v>0</v>
      </c>
      <c r="R36" s="743">
        <v>0</v>
      </c>
      <c r="S36" s="743">
        <v>0</v>
      </c>
      <c r="T36" s="743">
        <v>0</v>
      </c>
      <c r="U36" s="743">
        <v>0</v>
      </c>
      <c r="V36" s="743">
        <v>0</v>
      </c>
      <c r="W36" s="743">
        <v>0</v>
      </c>
      <c r="X36" s="744">
        <v>0</v>
      </c>
      <c r="Z36" s="753"/>
      <c r="AA36" s="751"/>
      <c r="AB36" s="751"/>
      <c r="AC36" s="751"/>
      <c r="AD36" s="751"/>
      <c r="AE36" s="751"/>
      <c r="AF36" s="751"/>
      <c r="AG36" s="751"/>
      <c r="AH36" s="751"/>
      <c r="AI36" s="751"/>
      <c r="AJ36" s="751"/>
      <c r="AK36" s="751"/>
      <c r="AL36" s="751"/>
      <c r="AM36" s="754"/>
      <c r="AN36" s="751"/>
      <c r="AO36" s="751"/>
      <c r="AP36" s="751"/>
      <c r="AQ36" s="751"/>
      <c r="AR36" s="751"/>
      <c r="AS36" s="751"/>
      <c r="AT36" s="752"/>
      <c r="AV36" s="755">
        <v>0</v>
      </c>
      <c r="AW36" s="756">
        <v>0</v>
      </c>
      <c r="AX36" s="756">
        <v>0</v>
      </c>
      <c r="AY36" s="756">
        <v>0</v>
      </c>
      <c r="AZ36" s="756">
        <v>0</v>
      </c>
      <c r="BA36" s="756">
        <v>0</v>
      </c>
      <c r="BB36" s="756">
        <v>0</v>
      </c>
      <c r="BC36" s="756">
        <v>0</v>
      </c>
      <c r="BD36" s="756">
        <v>0</v>
      </c>
      <c r="BE36" s="756">
        <v>0</v>
      </c>
      <c r="BF36" s="756">
        <v>0</v>
      </c>
      <c r="BG36" s="756">
        <v>0</v>
      </c>
      <c r="BH36" s="756">
        <v>0</v>
      </c>
      <c r="BI36" s="758">
        <v>0</v>
      </c>
      <c r="BJ36" s="756">
        <v>0</v>
      </c>
      <c r="BK36" s="756">
        <v>0</v>
      </c>
      <c r="BL36" s="756">
        <v>0</v>
      </c>
      <c r="BM36" s="756">
        <v>0</v>
      </c>
      <c r="BN36" s="756">
        <v>0</v>
      </c>
      <c r="BO36" s="756">
        <v>0</v>
      </c>
      <c r="BP36" s="757">
        <v>0</v>
      </c>
      <c r="BQ36" s="781">
        <f t="shared" si="32"/>
        <v>0</v>
      </c>
      <c r="BR36" s="306">
        <f t="shared" si="35"/>
        <v>0</v>
      </c>
      <c r="BS36" s="307">
        <f t="shared" si="36"/>
        <v>0</v>
      </c>
      <c r="BT36" s="307">
        <f t="shared" si="37"/>
        <v>0</v>
      </c>
      <c r="BU36" s="307">
        <f t="shared" si="38"/>
        <v>0</v>
      </c>
      <c r="BV36" s="307">
        <f t="shared" si="39"/>
        <v>0</v>
      </c>
      <c r="BW36" s="307">
        <f t="shared" si="40"/>
        <v>0</v>
      </c>
      <c r="BX36" s="307">
        <f t="shared" si="41"/>
        <v>0</v>
      </c>
      <c r="BY36" s="307">
        <f t="shared" si="42"/>
        <v>0</v>
      </c>
      <c r="BZ36" s="307">
        <f t="shared" si="43"/>
        <v>0</v>
      </c>
      <c r="CA36" s="307">
        <f t="shared" si="44"/>
        <v>0</v>
      </c>
      <c r="CB36" s="307">
        <f t="shared" si="45"/>
        <v>0</v>
      </c>
      <c r="CC36" s="307">
        <f t="shared" si="46"/>
        <v>0</v>
      </c>
      <c r="CD36" s="307">
        <f t="shared" si="47"/>
        <v>0</v>
      </c>
      <c r="CE36" s="307">
        <f t="shared" si="48"/>
        <v>0</v>
      </c>
      <c r="CF36" s="307">
        <f t="shared" si="49"/>
        <v>0</v>
      </c>
      <c r="CG36" s="307">
        <f t="shared" si="50"/>
        <v>0</v>
      </c>
      <c r="CH36" s="307">
        <f t="shared" si="51"/>
        <v>0</v>
      </c>
      <c r="CI36" s="307">
        <f t="shared" si="52"/>
        <v>0</v>
      </c>
      <c r="CJ36" s="307">
        <f t="shared" si="53"/>
        <v>0</v>
      </c>
      <c r="CK36" s="307">
        <f t="shared" si="54"/>
        <v>0</v>
      </c>
      <c r="CL36" s="307">
        <f t="shared" si="55"/>
        <v>0</v>
      </c>
      <c r="CM36" s="259">
        <f t="shared" si="9"/>
        <v>0</v>
      </c>
      <c r="CN36" s="325"/>
      <c r="CO36" s="834">
        <f t="shared" si="10"/>
        <v>0</v>
      </c>
      <c r="CP36" s="835">
        <f t="shared" si="11"/>
        <v>0</v>
      </c>
      <c r="CQ36" s="835">
        <f t="shared" si="12"/>
        <v>0</v>
      </c>
      <c r="CR36" s="835">
        <f t="shared" si="13"/>
        <v>0</v>
      </c>
      <c r="CS36" s="835">
        <f t="shared" si="14"/>
        <v>0</v>
      </c>
      <c r="CT36" s="835">
        <f t="shared" si="15"/>
        <v>0</v>
      </c>
      <c r="CU36" s="835">
        <f t="shared" si="16"/>
        <v>0</v>
      </c>
      <c r="CV36" s="835">
        <f t="shared" si="17"/>
        <v>0</v>
      </c>
      <c r="CW36" s="835">
        <f t="shared" si="18"/>
        <v>0</v>
      </c>
      <c r="CX36" s="835">
        <f t="shared" si="19"/>
        <v>0</v>
      </c>
      <c r="CY36" s="835">
        <f t="shared" si="20"/>
        <v>0</v>
      </c>
      <c r="CZ36" s="835">
        <f t="shared" si="21"/>
        <v>0</v>
      </c>
      <c r="DA36" s="835">
        <f t="shared" si="22"/>
        <v>0</v>
      </c>
      <c r="DB36" s="835">
        <f t="shared" si="23"/>
        <v>0</v>
      </c>
      <c r="DC36" s="835">
        <f t="shared" si="24"/>
        <v>0</v>
      </c>
      <c r="DD36" s="835">
        <f t="shared" si="25"/>
        <v>0</v>
      </c>
      <c r="DE36" s="835">
        <f t="shared" si="26"/>
        <v>0</v>
      </c>
      <c r="DF36" s="835">
        <f t="shared" si="27"/>
        <v>0</v>
      </c>
      <c r="DG36" s="835">
        <f t="shared" si="28"/>
        <v>0</v>
      </c>
      <c r="DH36" s="835">
        <f t="shared" si="29"/>
        <v>0</v>
      </c>
      <c r="DI36" s="835">
        <f t="shared" si="30"/>
        <v>0</v>
      </c>
      <c r="DJ36" s="836">
        <f t="shared" si="31"/>
        <v>0</v>
      </c>
      <c r="DK36" s="325"/>
    </row>
    <row r="37" spans="1:115">
      <c r="B37" s="238"/>
      <c r="C37" s="238"/>
      <c r="D37" s="673"/>
      <c r="E37" s="652"/>
      <c r="F37" s="652"/>
      <c r="G37" s="652"/>
      <c r="H37" s="652"/>
      <c r="I37" s="652"/>
      <c r="J37" s="652"/>
      <c r="K37" s="652"/>
      <c r="L37" s="652"/>
      <c r="M37" s="652"/>
      <c r="N37" s="652"/>
      <c r="O37" s="652"/>
      <c r="P37" s="652"/>
      <c r="Q37" s="652"/>
      <c r="R37" s="652"/>
      <c r="S37" s="652"/>
      <c r="T37" s="652"/>
      <c r="U37" s="652"/>
      <c r="V37" s="652"/>
      <c r="W37" s="652"/>
      <c r="X37" s="653"/>
      <c r="Z37" s="251"/>
      <c r="AA37" s="252"/>
      <c r="AB37" s="252"/>
      <c r="AC37" s="252"/>
      <c r="AD37" s="252"/>
      <c r="AE37" s="252"/>
      <c r="AF37" s="252"/>
      <c r="AG37" s="252"/>
      <c r="AH37" s="252"/>
      <c r="AI37" s="252"/>
      <c r="AJ37" s="252"/>
      <c r="AK37" s="252"/>
      <c r="AL37" s="252"/>
      <c r="AM37" s="252"/>
      <c r="AN37" s="252"/>
      <c r="AO37" s="252"/>
      <c r="AP37" s="252"/>
      <c r="AQ37" s="252"/>
      <c r="AR37" s="252"/>
      <c r="AS37" s="252"/>
      <c r="AT37" s="253"/>
      <c r="AV37" s="658"/>
      <c r="AW37" s="656"/>
      <c r="AX37" s="656"/>
      <c r="AY37" s="656"/>
      <c r="AZ37" s="656"/>
      <c r="BA37" s="656"/>
      <c r="BB37" s="656"/>
      <c r="BC37" s="656"/>
      <c r="BD37" s="656"/>
      <c r="BE37" s="656"/>
      <c r="BF37" s="656"/>
      <c r="BG37" s="656"/>
      <c r="BH37" s="656"/>
      <c r="BI37" s="656"/>
      <c r="BJ37" s="656"/>
      <c r="BK37" s="656"/>
      <c r="BL37" s="656"/>
      <c r="BM37" s="656"/>
      <c r="BN37" s="656"/>
      <c r="BO37" s="656"/>
      <c r="BP37" s="657"/>
      <c r="BQ37" s="781">
        <f t="shared" si="32"/>
        <v>0</v>
      </c>
      <c r="BR37" s="306"/>
      <c r="BS37" s="307"/>
      <c r="BT37" s="307"/>
      <c r="BU37" s="307"/>
      <c r="BV37" s="307"/>
      <c r="BW37" s="307"/>
      <c r="BX37" s="307"/>
      <c r="BY37" s="307"/>
      <c r="BZ37" s="307"/>
      <c r="CA37" s="307"/>
      <c r="CB37" s="307"/>
      <c r="CC37" s="307"/>
      <c r="CD37" s="307"/>
      <c r="CE37" s="307"/>
      <c r="CF37" s="307"/>
      <c r="CG37" s="307"/>
      <c r="CH37" s="307"/>
      <c r="CI37" s="307"/>
      <c r="CJ37" s="307"/>
      <c r="CK37" s="307"/>
      <c r="CL37" s="307"/>
      <c r="CM37" s="259"/>
      <c r="CN37" s="325"/>
      <c r="CO37" s="802"/>
      <c r="CP37" s="803"/>
      <c r="CQ37" s="803"/>
      <c r="CR37" s="803"/>
      <c r="CS37" s="803"/>
      <c r="CT37" s="803"/>
      <c r="CU37" s="803"/>
      <c r="CV37" s="803"/>
      <c r="CW37" s="803"/>
      <c r="CX37" s="803"/>
      <c r="CY37" s="803"/>
      <c r="CZ37" s="803"/>
      <c r="DA37" s="803"/>
      <c r="DB37" s="803"/>
      <c r="DC37" s="803"/>
      <c r="DD37" s="803"/>
      <c r="DE37" s="803"/>
      <c r="DF37" s="803"/>
      <c r="DG37" s="803"/>
      <c r="DH37" s="803"/>
      <c r="DI37" s="803"/>
      <c r="DJ37" s="259"/>
      <c r="DK37" s="325"/>
    </row>
    <row r="38" spans="1:115">
      <c r="B38" s="238"/>
      <c r="C38" s="238"/>
      <c r="D38" s="673"/>
      <c r="E38" s="652"/>
      <c r="F38" s="652"/>
      <c r="G38" s="652"/>
      <c r="H38" s="652"/>
      <c r="I38" s="652"/>
      <c r="J38" s="652"/>
      <c r="K38" s="652"/>
      <c r="L38" s="652"/>
      <c r="M38" s="652"/>
      <c r="N38" s="652"/>
      <c r="O38" s="652"/>
      <c r="P38" s="652"/>
      <c r="Q38" s="652"/>
      <c r="R38" s="652"/>
      <c r="S38" s="652"/>
      <c r="T38" s="652"/>
      <c r="U38" s="652"/>
      <c r="V38" s="652"/>
      <c r="W38" s="652"/>
      <c r="X38" s="653"/>
      <c r="Z38" s="251"/>
      <c r="AA38" s="252"/>
      <c r="AB38" s="252"/>
      <c r="AC38" s="252"/>
      <c r="AD38" s="252"/>
      <c r="AE38" s="252"/>
      <c r="AF38" s="252"/>
      <c r="AG38" s="252"/>
      <c r="AH38" s="252"/>
      <c r="AI38" s="252"/>
      <c r="AJ38" s="252"/>
      <c r="AK38" s="252"/>
      <c r="AL38" s="252"/>
      <c r="AM38" s="252"/>
      <c r="AN38" s="252"/>
      <c r="AO38" s="252"/>
      <c r="AP38" s="252"/>
      <c r="AQ38" s="252"/>
      <c r="AR38" s="252"/>
      <c r="AS38" s="252"/>
      <c r="AT38" s="253"/>
      <c r="AV38" s="658"/>
      <c r="AW38" s="656"/>
      <c r="AX38" s="656"/>
      <c r="AY38" s="656"/>
      <c r="AZ38" s="656"/>
      <c r="BA38" s="656"/>
      <c r="BB38" s="656"/>
      <c r="BC38" s="656"/>
      <c r="BD38" s="656"/>
      <c r="BE38" s="656"/>
      <c r="BF38" s="656"/>
      <c r="BG38" s="656"/>
      <c r="BH38" s="656"/>
      <c r="BI38" s="656"/>
      <c r="BJ38" s="656"/>
      <c r="BK38" s="656"/>
      <c r="BL38" s="656"/>
      <c r="BM38" s="656"/>
      <c r="BN38" s="656"/>
      <c r="BO38" s="656"/>
      <c r="BP38" s="657"/>
      <c r="BQ38" s="781">
        <f t="shared" si="32"/>
        <v>0</v>
      </c>
      <c r="BR38" s="306"/>
      <c r="BS38" s="307"/>
      <c r="BT38" s="307"/>
      <c r="BU38" s="307"/>
      <c r="BV38" s="307"/>
      <c r="BW38" s="307"/>
      <c r="BX38" s="307"/>
      <c r="BY38" s="307"/>
      <c r="BZ38" s="307"/>
      <c r="CA38" s="307"/>
      <c r="CB38" s="307"/>
      <c r="CC38" s="307"/>
      <c r="CD38" s="307"/>
      <c r="CE38" s="307"/>
      <c r="CF38" s="307"/>
      <c r="CG38" s="307"/>
      <c r="CH38" s="307"/>
      <c r="CI38" s="307"/>
      <c r="CJ38" s="307"/>
      <c r="CK38" s="307"/>
      <c r="CL38" s="307"/>
      <c r="CM38" s="259"/>
      <c r="CN38" s="325"/>
      <c r="CO38" s="802"/>
      <c r="CP38" s="803"/>
      <c r="CQ38" s="803"/>
      <c r="CR38" s="803"/>
      <c r="CS38" s="803"/>
      <c r="CT38" s="803"/>
      <c r="CU38" s="803"/>
      <c r="CV38" s="803"/>
      <c r="CW38" s="803"/>
      <c r="CX38" s="803"/>
      <c r="CY38" s="803"/>
      <c r="CZ38" s="803"/>
      <c r="DA38" s="803"/>
      <c r="DB38" s="803"/>
      <c r="DC38" s="803"/>
      <c r="DD38" s="803"/>
      <c r="DE38" s="803"/>
      <c r="DF38" s="803"/>
      <c r="DG38" s="803"/>
      <c r="DH38" s="803"/>
      <c r="DI38" s="803"/>
      <c r="DJ38" s="259"/>
      <c r="DK38" s="325"/>
    </row>
    <row r="39" spans="1:115">
      <c r="B39" s="238"/>
      <c r="C39" s="238"/>
      <c r="D39" s="673"/>
      <c r="E39" s="652"/>
      <c r="F39" s="652"/>
      <c r="G39" s="652"/>
      <c r="H39" s="652"/>
      <c r="I39" s="652"/>
      <c r="J39" s="652"/>
      <c r="K39" s="652"/>
      <c r="L39" s="652"/>
      <c r="M39" s="652"/>
      <c r="N39" s="652"/>
      <c r="O39" s="652"/>
      <c r="P39" s="652"/>
      <c r="Q39" s="652"/>
      <c r="R39" s="652"/>
      <c r="S39" s="652"/>
      <c r="T39" s="652"/>
      <c r="U39" s="652"/>
      <c r="V39" s="652"/>
      <c r="W39" s="652"/>
      <c r="X39" s="653"/>
      <c r="Z39" s="251"/>
      <c r="AA39" s="252"/>
      <c r="AB39" s="252"/>
      <c r="AC39" s="252"/>
      <c r="AD39" s="252"/>
      <c r="AE39" s="252"/>
      <c r="AF39" s="252"/>
      <c r="AG39" s="252"/>
      <c r="AH39" s="252"/>
      <c r="AI39" s="252"/>
      <c r="AJ39" s="252"/>
      <c r="AK39" s="252"/>
      <c r="AL39" s="252"/>
      <c r="AM39" s="252"/>
      <c r="AN39" s="252"/>
      <c r="AO39" s="252"/>
      <c r="AP39" s="252"/>
      <c r="AQ39" s="252"/>
      <c r="AR39" s="252"/>
      <c r="AS39" s="252"/>
      <c r="AT39" s="253"/>
      <c r="AV39" s="658"/>
      <c r="AW39" s="656"/>
      <c r="AX39" s="656"/>
      <c r="AY39" s="656"/>
      <c r="AZ39" s="656"/>
      <c r="BA39" s="656"/>
      <c r="BB39" s="656"/>
      <c r="BC39" s="656"/>
      <c r="BD39" s="656"/>
      <c r="BE39" s="656"/>
      <c r="BF39" s="656"/>
      <c r="BG39" s="656"/>
      <c r="BH39" s="656"/>
      <c r="BI39" s="656"/>
      <c r="BJ39" s="656"/>
      <c r="BK39" s="656"/>
      <c r="BL39" s="656"/>
      <c r="BM39" s="656"/>
      <c r="BN39" s="656"/>
      <c r="BO39" s="656"/>
      <c r="BP39" s="657"/>
      <c r="BQ39" s="781">
        <f t="shared" si="32"/>
        <v>0</v>
      </c>
      <c r="BR39" s="306"/>
      <c r="BS39" s="307"/>
      <c r="BT39" s="307"/>
      <c r="BU39" s="307"/>
      <c r="BV39" s="307"/>
      <c r="BW39" s="307"/>
      <c r="BX39" s="307"/>
      <c r="BY39" s="307"/>
      <c r="BZ39" s="307"/>
      <c r="CA39" s="307"/>
      <c r="CB39" s="307"/>
      <c r="CC39" s="307"/>
      <c r="CD39" s="307"/>
      <c r="CE39" s="307"/>
      <c r="CF39" s="307"/>
      <c r="CG39" s="307"/>
      <c r="CH39" s="307"/>
      <c r="CI39" s="307"/>
      <c r="CJ39" s="307"/>
      <c r="CK39" s="307"/>
      <c r="CL39" s="307"/>
      <c r="CM39" s="259"/>
      <c r="CN39" s="325"/>
      <c r="CO39" s="802"/>
      <c r="CP39" s="803"/>
      <c r="CQ39" s="803"/>
      <c r="CR39" s="803"/>
      <c r="CS39" s="803"/>
      <c r="CT39" s="803"/>
      <c r="CU39" s="803"/>
      <c r="CV39" s="803"/>
      <c r="CW39" s="803"/>
      <c r="CX39" s="803"/>
      <c r="CY39" s="803"/>
      <c r="CZ39" s="803"/>
      <c r="DA39" s="803"/>
      <c r="DB39" s="803"/>
      <c r="DC39" s="803"/>
      <c r="DD39" s="803"/>
      <c r="DE39" s="803"/>
      <c r="DF39" s="803"/>
      <c r="DG39" s="803"/>
      <c r="DH39" s="803"/>
      <c r="DI39" s="803"/>
      <c r="DJ39" s="259"/>
      <c r="DK39" s="325"/>
    </row>
    <row r="40" spans="1:115">
      <c r="B40" s="238"/>
      <c r="C40" s="238"/>
      <c r="D40" s="673"/>
      <c r="E40" s="652"/>
      <c r="F40" s="652"/>
      <c r="G40" s="652"/>
      <c r="H40" s="652"/>
      <c r="I40" s="652"/>
      <c r="J40" s="652"/>
      <c r="K40" s="652"/>
      <c r="L40" s="652"/>
      <c r="M40" s="652"/>
      <c r="N40" s="652"/>
      <c r="O40" s="652"/>
      <c r="P40" s="652"/>
      <c r="Q40" s="652"/>
      <c r="R40" s="652"/>
      <c r="S40" s="652"/>
      <c r="T40" s="652"/>
      <c r="U40" s="652"/>
      <c r="V40" s="652"/>
      <c r="W40" s="652"/>
      <c r="X40" s="653"/>
      <c r="Z40" s="251"/>
      <c r="AA40" s="252"/>
      <c r="AB40" s="252"/>
      <c r="AC40" s="252"/>
      <c r="AD40" s="252"/>
      <c r="AE40" s="252"/>
      <c r="AF40" s="252"/>
      <c r="AG40" s="252"/>
      <c r="AH40" s="252"/>
      <c r="AI40" s="252"/>
      <c r="AJ40" s="252"/>
      <c r="AK40" s="252"/>
      <c r="AL40" s="252"/>
      <c r="AM40" s="252"/>
      <c r="AN40" s="252"/>
      <c r="AO40" s="252"/>
      <c r="AP40" s="252"/>
      <c r="AQ40" s="252"/>
      <c r="AR40" s="252"/>
      <c r="AS40" s="252"/>
      <c r="AT40" s="253"/>
      <c r="AV40" s="658"/>
      <c r="AW40" s="656"/>
      <c r="AX40" s="656"/>
      <c r="AY40" s="656"/>
      <c r="AZ40" s="656"/>
      <c r="BA40" s="656"/>
      <c r="BB40" s="656"/>
      <c r="BC40" s="656"/>
      <c r="BD40" s="656"/>
      <c r="BE40" s="656"/>
      <c r="BF40" s="656"/>
      <c r="BG40" s="656"/>
      <c r="BH40" s="656"/>
      <c r="BI40" s="656"/>
      <c r="BJ40" s="656"/>
      <c r="BK40" s="656"/>
      <c r="BL40" s="656"/>
      <c r="BM40" s="656"/>
      <c r="BN40" s="656"/>
      <c r="BO40" s="656"/>
      <c r="BP40" s="657"/>
      <c r="BQ40" s="781">
        <f t="shared" si="32"/>
        <v>0</v>
      </c>
      <c r="BR40" s="306"/>
      <c r="BS40" s="307"/>
      <c r="BT40" s="307"/>
      <c r="BU40" s="307"/>
      <c r="BV40" s="307"/>
      <c r="BW40" s="307"/>
      <c r="BX40" s="307"/>
      <c r="BY40" s="307"/>
      <c r="BZ40" s="307"/>
      <c r="CA40" s="307"/>
      <c r="CB40" s="307"/>
      <c r="CC40" s="307"/>
      <c r="CD40" s="307"/>
      <c r="CE40" s="307"/>
      <c r="CF40" s="307"/>
      <c r="CG40" s="307"/>
      <c r="CH40" s="307"/>
      <c r="CI40" s="307"/>
      <c r="CJ40" s="307"/>
      <c r="CK40" s="307"/>
      <c r="CL40" s="307"/>
      <c r="CM40" s="259"/>
      <c r="CN40" s="325"/>
      <c r="CO40" s="802"/>
      <c r="CP40" s="803"/>
      <c r="CQ40" s="803"/>
      <c r="CR40" s="803"/>
      <c r="CS40" s="803"/>
      <c r="CT40" s="803"/>
      <c r="CU40" s="803"/>
      <c r="CV40" s="803"/>
      <c r="CW40" s="803"/>
      <c r="CX40" s="803"/>
      <c r="CY40" s="803"/>
      <c r="CZ40" s="803"/>
      <c r="DA40" s="803"/>
      <c r="DB40" s="803"/>
      <c r="DC40" s="803"/>
      <c r="DD40" s="803"/>
      <c r="DE40" s="803"/>
      <c r="DF40" s="803"/>
      <c r="DG40" s="803"/>
      <c r="DH40" s="803"/>
      <c r="DI40" s="803"/>
      <c r="DJ40" s="259"/>
      <c r="DK40" s="325"/>
    </row>
    <row r="41" spans="1:115">
      <c r="B41" s="238"/>
      <c r="C41" s="238"/>
      <c r="D41" s="673"/>
      <c r="E41" s="652"/>
      <c r="F41" s="652"/>
      <c r="G41" s="652"/>
      <c r="H41" s="652"/>
      <c r="I41" s="652"/>
      <c r="J41" s="652"/>
      <c r="K41" s="652"/>
      <c r="L41" s="652"/>
      <c r="M41" s="652"/>
      <c r="N41" s="652"/>
      <c r="O41" s="652"/>
      <c r="P41" s="652"/>
      <c r="Q41" s="652"/>
      <c r="R41" s="652"/>
      <c r="S41" s="652"/>
      <c r="T41" s="652"/>
      <c r="U41" s="652"/>
      <c r="V41" s="652"/>
      <c r="W41" s="652"/>
      <c r="X41" s="653"/>
      <c r="Z41" s="251"/>
      <c r="AA41" s="252"/>
      <c r="AB41" s="252"/>
      <c r="AC41" s="252"/>
      <c r="AD41" s="252"/>
      <c r="AE41" s="252"/>
      <c r="AF41" s="252"/>
      <c r="AG41" s="252"/>
      <c r="AH41" s="252"/>
      <c r="AI41" s="252"/>
      <c r="AJ41" s="252"/>
      <c r="AK41" s="252"/>
      <c r="AL41" s="252"/>
      <c r="AM41" s="252"/>
      <c r="AN41" s="252"/>
      <c r="AO41" s="252"/>
      <c r="AP41" s="252"/>
      <c r="AQ41" s="252"/>
      <c r="AR41" s="252"/>
      <c r="AS41" s="252"/>
      <c r="AT41" s="253"/>
      <c r="AV41" s="658"/>
      <c r="AW41" s="656"/>
      <c r="AX41" s="656"/>
      <c r="AY41" s="656"/>
      <c r="AZ41" s="656"/>
      <c r="BA41" s="656"/>
      <c r="BB41" s="656"/>
      <c r="BC41" s="656"/>
      <c r="BD41" s="656"/>
      <c r="BE41" s="656"/>
      <c r="BF41" s="656"/>
      <c r="BG41" s="656"/>
      <c r="BH41" s="656"/>
      <c r="BI41" s="656"/>
      <c r="BJ41" s="656"/>
      <c r="BK41" s="656"/>
      <c r="BL41" s="656"/>
      <c r="BM41" s="656"/>
      <c r="BN41" s="656"/>
      <c r="BO41" s="656"/>
      <c r="BP41" s="657"/>
      <c r="BQ41" s="781">
        <f t="shared" si="32"/>
        <v>0</v>
      </c>
      <c r="BR41" s="306"/>
      <c r="BS41" s="307"/>
      <c r="BT41" s="307"/>
      <c r="BU41" s="307"/>
      <c r="BV41" s="307"/>
      <c r="BW41" s="307"/>
      <c r="BX41" s="307"/>
      <c r="BY41" s="307"/>
      <c r="BZ41" s="307"/>
      <c r="CA41" s="307"/>
      <c r="CB41" s="307"/>
      <c r="CC41" s="307"/>
      <c r="CD41" s="307"/>
      <c r="CE41" s="307"/>
      <c r="CF41" s="307"/>
      <c r="CG41" s="307"/>
      <c r="CH41" s="307"/>
      <c r="CI41" s="307"/>
      <c r="CJ41" s="307"/>
      <c r="CK41" s="307"/>
      <c r="CL41" s="307"/>
      <c r="CM41" s="259"/>
      <c r="CN41" s="325"/>
      <c r="CO41" s="802"/>
      <c r="CP41" s="803"/>
      <c r="CQ41" s="803"/>
      <c r="CR41" s="803"/>
      <c r="CS41" s="803"/>
      <c r="CT41" s="803"/>
      <c r="CU41" s="803"/>
      <c r="CV41" s="803"/>
      <c r="CW41" s="803"/>
      <c r="CX41" s="803"/>
      <c r="CY41" s="803"/>
      <c r="CZ41" s="803"/>
      <c r="DA41" s="803"/>
      <c r="DB41" s="803"/>
      <c r="DC41" s="803"/>
      <c r="DD41" s="803"/>
      <c r="DE41" s="803"/>
      <c r="DF41" s="803"/>
      <c r="DG41" s="803"/>
      <c r="DH41" s="803"/>
      <c r="DI41" s="803"/>
      <c r="DJ41" s="259"/>
      <c r="DK41" s="325"/>
    </row>
    <row r="42" spans="1:115">
      <c r="B42" s="238"/>
      <c r="C42" s="238"/>
      <c r="D42" s="673"/>
      <c r="E42" s="652"/>
      <c r="F42" s="652"/>
      <c r="G42" s="652"/>
      <c r="H42" s="652"/>
      <c r="I42" s="652"/>
      <c r="J42" s="652"/>
      <c r="K42" s="652"/>
      <c r="L42" s="652"/>
      <c r="M42" s="652"/>
      <c r="N42" s="652"/>
      <c r="O42" s="652"/>
      <c r="P42" s="652"/>
      <c r="Q42" s="652"/>
      <c r="R42" s="652"/>
      <c r="S42" s="652"/>
      <c r="T42" s="652"/>
      <c r="U42" s="652"/>
      <c r="V42" s="652"/>
      <c r="W42" s="652"/>
      <c r="X42" s="653"/>
      <c r="Z42" s="251"/>
      <c r="AA42" s="252"/>
      <c r="AB42" s="252"/>
      <c r="AC42" s="252"/>
      <c r="AD42" s="252"/>
      <c r="AE42" s="252"/>
      <c r="AF42" s="252"/>
      <c r="AG42" s="252"/>
      <c r="AH42" s="252"/>
      <c r="AI42" s="252"/>
      <c r="AJ42" s="252"/>
      <c r="AK42" s="252"/>
      <c r="AL42" s="252"/>
      <c r="AM42" s="252"/>
      <c r="AN42" s="252"/>
      <c r="AO42" s="252"/>
      <c r="AP42" s="252"/>
      <c r="AQ42" s="252"/>
      <c r="AR42" s="252"/>
      <c r="AS42" s="252"/>
      <c r="AT42" s="253"/>
      <c r="AV42" s="658"/>
      <c r="AW42" s="656"/>
      <c r="AX42" s="656"/>
      <c r="AY42" s="656"/>
      <c r="AZ42" s="656"/>
      <c r="BA42" s="656"/>
      <c r="BB42" s="656"/>
      <c r="BC42" s="656"/>
      <c r="BD42" s="656"/>
      <c r="BE42" s="656"/>
      <c r="BF42" s="656"/>
      <c r="BG42" s="656"/>
      <c r="BH42" s="656"/>
      <c r="BI42" s="656"/>
      <c r="BJ42" s="656"/>
      <c r="BK42" s="656"/>
      <c r="BL42" s="656"/>
      <c r="BM42" s="656"/>
      <c r="BN42" s="656"/>
      <c r="BO42" s="656"/>
      <c r="BP42" s="657"/>
      <c r="BQ42" s="781">
        <f t="shared" si="32"/>
        <v>0</v>
      </c>
      <c r="BR42" s="306"/>
      <c r="BS42" s="307"/>
      <c r="BT42" s="307"/>
      <c r="BU42" s="307"/>
      <c r="BV42" s="307"/>
      <c r="BW42" s="307"/>
      <c r="BX42" s="307"/>
      <c r="BY42" s="307"/>
      <c r="BZ42" s="307"/>
      <c r="CA42" s="307"/>
      <c r="CB42" s="307"/>
      <c r="CC42" s="307"/>
      <c r="CD42" s="307"/>
      <c r="CE42" s="307"/>
      <c r="CF42" s="307"/>
      <c r="CG42" s="307"/>
      <c r="CH42" s="307"/>
      <c r="CI42" s="307"/>
      <c r="CJ42" s="307"/>
      <c r="CK42" s="307"/>
      <c r="CL42" s="307"/>
      <c r="CM42" s="259"/>
      <c r="CN42" s="325"/>
      <c r="CO42" s="802"/>
      <c r="CP42" s="803"/>
      <c r="CQ42" s="803"/>
      <c r="CR42" s="803"/>
      <c r="CS42" s="803"/>
      <c r="CT42" s="803"/>
      <c r="CU42" s="803"/>
      <c r="CV42" s="803"/>
      <c r="CW42" s="803"/>
      <c r="CX42" s="803"/>
      <c r="CY42" s="803"/>
      <c r="CZ42" s="803"/>
      <c r="DA42" s="803"/>
      <c r="DB42" s="803"/>
      <c r="DC42" s="803"/>
      <c r="DD42" s="803"/>
      <c r="DE42" s="803"/>
      <c r="DF42" s="803"/>
      <c r="DG42" s="803"/>
      <c r="DH42" s="803"/>
      <c r="DI42" s="803"/>
      <c r="DJ42" s="259"/>
      <c r="DK42" s="325"/>
    </row>
    <row r="43" spans="1:115">
      <c r="B43" s="238"/>
      <c r="C43" s="238"/>
      <c r="D43" s="673"/>
      <c r="E43" s="652"/>
      <c r="F43" s="652"/>
      <c r="G43" s="652"/>
      <c r="H43" s="652"/>
      <c r="I43" s="652"/>
      <c r="J43" s="652"/>
      <c r="K43" s="652"/>
      <c r="L43" s="652"/>
      <c r="M43" s="652"/>
      <c r="N43" s="652"/>
      <c r="O43" s="652"/>
      <c r="P43" s="652"/>
      <c r="Q43" s="652"/>
      <c r="R43" s="652"/>
      <c r="S43" s="652"/>
      <c r="T43" s="652"/>
      <c r="U43" s="652"/>
      <c r="V43" s="652"/>
      <c r="W43" s="652"/>
      <c r="X43" s="653"/>
      <c r="Z43" s="251"/>
      <c r="AA43" s="252"/>
      <c r="AB43" s="252"/>
      <c r="AC43" s="252"/>
      <c r="AD43" s="252"/>
      <c r="AE43" s="252"/>
      <c r="AF43" s="252"/>
      <c r="AG43" s="252"/>
      <c r="AH43" s="252"/>
      <c r="AI43" s="252"/>
      <c r="AJ43" s="252"/>
      <c r="AK43" s="252"/>
      <c r="AL43" s="252"/>
      <c r="AM43" s="252"/>
      <c r="AN43" s="252"/>
      <c r="AO43" s="252"/>
      <c r="AP43" s="252"/>
      <c r="AQ43" s="252"/>
      <c r="AR43" s="252"/>
      <c r="AS43" s="252"/>
      <c r="AT43" s="253"/>
      <c r="AV43" s="658"/>
      <c r="AW43" s="656"/>
      <c r="AX43" s="656"/>
      <c r="AY43" s="656"/>
      <c r="AZ43" s="656"/>
      <c r="BA43" s="656"/>
      <c r="BB43" s="656"/>
      <c r="BC43" s="656"/>
      <c r="BD43" s="656"/>
      <c r="BE43" s="656"/>
      <c r="BF43" s="656"/>
      <c r="BG43" s="656"/>
      <c r="BH43" s="656"/>
      <c r="BI43" s="656"/>
      <c r="BJ43" s="656"/>
      <c r="BK43" s="656"/>
      <c r="BL43" s="656"/>
      <c r="BM43" s="656"/>
      <c r="BN43" s="656"/>
      <c r="BO43" s="656"/>
      <c r="BP43" s="657"/>
      <c r="BQ43" s="781">
        <f t="shared" si="32"/>
        <v>0</v>
      </c>
      <c r="BR43" s="306"/>
      <c r="BS43" s="307"/>
      <c r="BT43" s="307"/>
      <c r="BU43" s="307"/>
      <c r="BV43" s="307"/>
      <c r="BW43" s="307"/>
      <c r="BX43" s="307"/>
      <c r="BY43" s="307"/>
      <c r="BZ43" s="307"/>
      <c r="CA43" s="307"/>
      <c r="CB43" s="307"/>
      <c r="CC43" s="307"/>
      <c r="CD43" s="307"/>
      <c r="CE43" s="307"/>
      <c r="CF43" s="307"/>
      <c r="CG43" s="307"/>
      <c r="CH43" s="307"/>
      <c r="CI43" s="307"/>
      <c r="CJ43" s="307"/>
      <c r="CK43" s="307"/>
      <c r="CL43" s="307"/>
      <c r="CM43" s="259"/>
      <c r="CN43" s="325"/>
      <c r="CO43" s="306"/>
      <c r="CP43" s="307"/>
      <c r="CQ43" s="307"/>
      <c r="CR43" s="307"/>
      <c r="CS43" s="307"/>
      <c r="CT43" s="307"/>
      <c r="CU43" s="307"/>
      <c r="CV43" s="307"/>
      <c r="CW43" s="307"/>
      <c r="CX43" s="307"/>
      <c r="CY43" s="307"/>
      <c r="CZ43" s="307"/>
      <c r="DA43" s="307"/>
      <c r="DB43" s="307"/>
      <c r="DC43" s="307"/>
      <c r="DD43" s="307"/>
      <c r="DE43" s="307"/>
      <c r="DF43" s="307"/>
      <c r="DG43" s="307"/>
      <c r="DH43" s="307"/>
      <c r="DI43" s="307"/>
      <c r="DJ43" s="259"/>
      <c r="DK43" s="325"/>
    </row>
    <row r="44" spans="1:115">
      <c r="B44" s="238"/>
      <c r="C44" s="238"/>
      <c r="D44" s="673"/>
      <c r="E44" s="652"/>
      <c r="F44" s="652"/>
      <c r="G44" s="652"/>
      <c r="H44" s="652"/>
      <c r="I44" s="652"/>
      <c r="J44" s="652"/>
      <c r="K44" s="652"/>
      <c r="L44" s="652"/>
      <c r="M44" s="652"/>
      <c r="N44" s="652"/>
      <c r="O44" s="652"/>
      <c r="P44" s="652"/>
      <c r="Q44" s="652"/>
      <c r="R44" s="652"/>
      <c r="S44" s="652"/>
      <c r="T44" s="652"/>
      <c r="U44" s="652"/>
      <c r="V44" s="652"/>
      <c r="W44" s="652"/>
      <c r="X44" s="653"/>
      <c r="Z44" s="251"/>
      <c r="AA44" s="252"/>
      <c r="AB44" s="252"/>
      <c r="AC44" s="252"/>
      <c r="AD44" s="252"/>
      <c r="AE44" s="252"/>
      <c r="AF44" s="252"/>
      <c r="AG44" s="252"/>
      <c r="AH44" s="252"/>
      <c r="AI44" s="252"/>
      <c r="AJ44" s="252"/>
      <c r="AK44" s="252"/>
      <c r="AL44" s="252"/>
      <c r="AM44" s="252"/>
      <c r="AN44" s="252"/>
      <c r="AO44" s="252"/>
      <c r="AP44" s="252"/>
      <c r="AQ44" s="252"/>
      <c r="AR44" s="252"/>
      <c r="AS44" s="252"/>
      <c r="AT44" s="253"/>
      <c r="AV44" s="658"/>
      <c r="AW44" s="656"/>
      <c r="AX44" s="656"/>
      <c r="AY44" s="656"/>
      <c r="AZ44" s="656"/>
      <c r="BA44" s="656"/>
      <c r="BB44" s="656"/>
      <c r="BC44" s="656"/>
      <c r="BD44" s="656"/>
      <c r="BE44" s="656"/>
      <c r="BF44" s="656"/>
      <c r="BG44" s="656"/>
      <c r="BH44" s="656"/>
      <c r="BI44" s="656"/>
      <c r="BJ44" s="656"/>
      <c r="BK44" s="656"/>
      <c r="BL44" s="656"/>
      <c r="BM44" s="656"/>
      <c r="BN44" s="656"/>
      <c r="BO44" s="656"/>
      <c r="BP44" s="657"/>
      <c r="BQ44" s="781">
        <f t="shared" si="32"/>
        <v>0</v>
      </c>
      <c r="BR44" s="306"/>
      <c r="BS44" s="307"/>
      <c r="BT44" s="307"/>
      <c r="BU44" s="307"/>
      <c r="BV44" s="307"/>
      <c r="BW44" s="307"/>
      <c r="BX44" s="307"/>
      <c r="BY44" s="307"/>
      <c r="BZ44" s="307"/>
      <c r="CA44" s="307"/>
      <c r="CB44" s="307"/>
      <c r="CC44" s="307"/>
      <c r="CD44" s="307"/>
      <c r="CE44" s="307"/>
      <c r="CF44" s="307"/>
      <c r="CG44" s="307"/>
      <c r="CH44" s="307"/>
      <c r="CI44" s="307"/>
      <c r="CJ44" s="307"/>
      <c r="CK44" s="307"/>
      <c r="CL44" s="307"/>
      <c r="CM44" s="259"/>
      <c r="CN44" s="325"/>
      <c r="CO44" s="306"/>
      <c r="CP44" s="307"/>
      <c r="CQ44" s="307"/>
      <c r="CR44" s="307"/>
      <c r="CS44" s="307"/>
      <c r="CT44" s="307"/>
      <c r="CU44" s="307"/>
      <c r="CV44" s="307"/>
      <c r="CW44" s="307"/>
      <c r="CX44" s="307"/>
      <c r="CY44" s="307"/>
      <c r="CZ44" s="307"/>
      <c r="DA44" s="307"/>
      <c r="DB44" s="307"/>
      <c r="DC44" s="307"/>
      <c r="DD44" s="307"/>
      <c r="DE44" s="307"/>
      <c r="DF44" s="307"/>
      <c r="DG44" s="307"/>
      <c r="DH44" s="307"/>
      <c r="DI44" s="307"/>
      <c r="DJ44" s="259"/>
      <c r="DK44" s="325"/>
    </row>
    <row r="45" spans="1:115">
      <c r="B45" s="238"/>
      <c r="C45" s="238"/>
      <c r="D45" s="673"/>
      <c r="E45" s="652"/>
      <c r="F45" s="652"/>
      <c r="G45" s="652"/>
      <c r="H45" s="652"/>
      <c r="I45" s="652"/>
      <c r="J45" s="652"/>
      <c r="K45" s="652"/>
      <c r="L45" s="652"/>
      <c r="M45" s="652"/>
      <c r="N45" s="652"/>
      <c r="O45" s="652"/>
      <c r="P45" s="652"/>
      <c r="Q45" s="652"/>
      <c r="R45" s="652"/>
      <c r="S45" s="652"/>
      <c r="T45" s="652"/>
      <c r="U45" s="652"/>
      <c r="V45" s="652"/>
      <c r="W45" s="652"/>
      <c r="X45" s="653"/>
      <c r="Z45" s="251"/>
      <c r="AA45" s="252"/>
      <c r="AB45" s="252"/>
      <c r="AC45" s="252"/>
      <c r="AD45" s="252"/>
      <c r="AE45" s="252"/>
      <c r="AF45" s="252"/>
      <c r="AG45" s="252"/>
      <c r="AH45" s="252"/>
      <c r="AI45" s="252"/>
      <c r="AJ45" s="252"/>
      <c r="AK45" s="252"/>
      <c r="AL45" s="252"/>
      <c r="AM45" s="252"/>
      <c r="AN45" s="252"/>
      <c r="AO45" s="252"/>
      <c r="AP45" s="252"/>
      <c r="AQ45" s="252"/>
      <c r="AR45" s="252"/>
      <c r="AS45" s="252"/>
      <c r="AT45" s="253"/>
      <c r="AV45" s="658"/>
      <c r="AW45" s="656"/>
      <c r="AX45" s="656"/>
      <c r="AY45" s="656"/>
      <c r="AZ45" s="656"/>
      <c r="BA45" s="656"/>
      <c r="BB45" s="656"/>
      <c r="BC45" s="656"/>
      <c r="BD45" s="656"/>
      <c r="BE45" s="656"/>
      <c r="BF45" s="656"/>
      <c r="BG45" s="656"/>
      <c r="BH45" s="656"/>
      <c r="BI45" s="656"/>
      <c r="BJ45" s="656"/>
      <c r="BK45" s="656"/>
      <c r="BL45" s="656"/>
      <c r="BM45" s="656"/>
      <c r="BN45" s="656"/>
      <c r="BO45" s="656"/>
      <c r="BP45" s="657"/>
      <c r="BQ45" s="781">
        <f t="shared" si="32"/>
        <v>0</v>
      </c>
      <c r="BR45" s="306"/>
      <c r="BS45" s="307"/>
      <c r="BT45" s="307"/>
      <c r="BU45" s="307"/>
      <c r="BV45" s="307"/>
      <c r="BW45" s="307"/>
      <c r="BX45" s="307"/>
      <c r="BY45" s="307"/>
      <c r="BZ45" s="307"/>
      <c r="CA45" s="307"/>
      <c r="CB45" s="307"/>
      <c r="CC45" s="307"/>
      <c r="CD45" s="307"/>
      <c r="CE45" s="307"/>
      <c r="CF45" s="307"/>
      <c r="CG45" s="307"/>
      <c r="CH45" s="307"/>
      <c r="CI45" s="307"/>
      <c r="CJ45" s="307"/>
      <c r="CK45" s="307"/>
      <c r="CL45" s="307"/>
      <c r="CM45" s="259"/>
      <c r="CN45" s="325"/>
      <c r="CO45" s="306"/>
      <c r="CP45" s="307"/>
      <c r="CQ45" s="307"/>
      <c r="CR45" s="307"/>
      <c r="CS45" s="307"/>
      <c r="CT45" s="307"/>
      <c r="CU45" s="307"/>
      <c r="CV45" s="307"/>
      <c r="CW45" s="307"/>
      <c r="CX45" s="307"/>
      <c r="CY45" s="307"/>
      <c r="CZ45" s="307"/>
      <c r="DA45" s="307"/>
      <c r="DB45" s="307"/>
      <c r="DC45" s="307"/>
      <c r="DD45" s="307"/>
      <c r="DE45" s="307"/>
      <c r="DF45" s="307"/>
      <c r="DG45" s="307"/>
      <c r="DH45" s="307"/>
      <c r="DI45" s="307"/>
      <c r="DJ45" s="259"/>
      <c r="DK45" s="325"/>
    </row>
    <row r="46" spans="1:115">
      <c r="B46" s="238"/>
      <c r="C46" s="238"/>
      <c r="D46" s="673"/>
      <c r="E46" s="652"/>
      <c r="F46" s="652"/>
      <c r="G46" s="652"/>
      <c r="H46" s="652"/>
      <c r="I46" s="652"/>
      <c r="J46" s="652"/>
      <c r="K46" s="652"/>
      <c r="L46" s="652"/>
      <c r="M46" s="652"/>
      <c r="N46" s="652"/>
      <c r="O46" s="652"/>
      <c r="P46" s="652"/>
      <c r="Q46" s="652"/>
      <c r="R46" s="652"/>
      <c r="S46" s="652"/>
      <c r="T46" s="652"/>
      <c r="U46" s="652"/>
      <c r="V46" s="652"/>
      <c r="W46" s="652"/>
      <c r="X46" s="653"/>
      <c r="Z46" s="251"/>
      <c r="AA46" s="252"/>
      <c r="AB46" s="252"/>
      <c r="AC46" s="252"/>
      <c r="AD46" s="252"/>
      <c r="AE46" s="252"/>
      <c r="AF46" s="252"/>
      <c r="AG46" s="252"/>
      <c r="AH46" s="252"/>
      <c r="AI46" s="252"/>
      <c r="AJ46" s="252"/>
      <c r="AK46" s="252"/>
      <c r="AL46" s="252"/>
      <c r="AM46" s="252"/>
      <c r="AN46" s="252"/>
      <c r="AO46" s="252"/>
      <c r="AP46" s="252"/>
      <c r="AQ46" s="252"/>
      <c r="AR46" s="252"/>
      <c r="AS46" s="252"/>
      <c r="AT46" s="253"/>
      <c r="AV46" s="658"/>
      <c r="AW46" s="656"/>
      <c r="AX46" s="656"/>
      <c r="AY46" s="656"/>
      <c r="AZ46" s="656"/>
      <c r="BA46" s="656"/>
      <c r="BB46" s="656"/>
      <c r="BC46" s="656"/>
      <c r="BD46" s="656"/>
      <c r="BE46" s="656"/>
      <c r="BF46" s="656"/>
      <c r="BG46" s="656"/>
      <c r="BH46" s="656"/>
      <c r="BI46" s="656"/>
      <c r="BJ46" s="656"/>
      <c r="BK46" s="656"/>
      <c r="BL46" s="656"/>
      <c r="BM46" s="656"/>
      <c r="BN46" s="656"/>
      <c r="BO46" s="656"/>
      <c r="BP46" s="657"/>
      <c r="BQ46" s="781">
        <f t="shared" si="32"/>
        <v>0</v>
      </c>
      <c r="BR46" s="306"/>
      <c r="BS46" s="307"/>
      <c r="BT46" s="307"/>
      <c r="BU46" s="307"/>
      <c r="BV46" s="307"/>
      <c r="BW46" s="307"/>
      <c r="BX46" s="307"/>
      <c r="BY46" s="307"/>
      <c r="BZ46" s="307"/>
      <c r="CA46" s="307"/>
      <c r="CB46" s="307"/>
      <c r="CC46" s="307"/>
      <c r="CD46" s="307"/>
      <c r="CE46" s="307"/>
      <c r="CF46" s="307"/>
      <c r="CG46" s="307"/>
      <c r="CH46" s="307"/>
      <c r="CI46" s="307"/>
      <c r="CJ46" s="307"/>
      <c r="CK46" s="307"/>
      <c r="CL46" s="307"/>
      <c r="CM46" s="259"/>
      <c r="CN46" s="325"/>
      <c r="CO46" s="306"/>
      <c r="CP46" s="307"/>
      <c r="CQ46" s="307"/>
      <c r="CR46" s="307"/>
      <c r="CS46" s="307"/>
      <c r="CT46" s="307"/>
      <c r="CU46" s="307"/>
      <c r="CV46" s="307"/>
      <c r="CW46" s="307"/>
      <c r="CX46" s="307"/>
      <c r="CY46" s="307"/>
      <c r="CZ46" s="307"/>
      <c r="DA46" s="307"/>
      <c r="DB46" s="307"/>
      <c r="DC46" s="307"/>
      <c r="DD46" s="307"/>
      <c r="DE46" s="307"/>
      <c r="DF46" s="307"/>
      <c r="DG46" s="307"/>
      <c r="DH46" s="307"/>
      <c r="DI46" s="307"/>
      <c r="DJ46" s="259"/>
      <c r="DK46" s="325"/>
    </row>
    <row r="47" spans="1:115">
      <c r="B47" s="238"/>
      <c r="C47" s="238"/>
      <c r="D47" s="673"/>
      <c r="E47" s="652"/>
      <c r="F47" s="652"/>
      <c r="G47" s="652"/>
      <c r="H47" s="652"/>
      <c r="I47" s="652"/>
      <c r="J47" s="652"/>
      <c r="K47" s="652"/>
      <c r="L47" s="652"/>
      <c r="M47" s="652"/>
      <c r="N47" s="652"/>
      <c r="O47" s="652"/>
      <c r="P47" s="652"/>
      <c r="Q47" s="652"/>
      <c r="R47" s="652"/>
      <c r="S47" s="652"/>
      <c r="T47" s="652"/>
      <c r="U47" s="652"/>
      <c r="V47" s="652"/>
      <c r="W47" s="652"/>
      <c r="X47" s="653"/>
      <c r="Z47" s="251"/>
      <c r="AA47" s="252"/>
      <c r="AB47" s="252"/>
      <c r="AC47" s="252"/>
      <c r="AD47" s="252"/>
      <c r="AE47" s="252"/>
      <c r="AF47" s="252"/>
      <c r="AG47" s="252"/>
      <c r="AH47" s="252"/>
      <c r="AI47" s="252"/>
      <c r="AJ47" s="252"/>
      <c r="AK47" s="252"/>
      <c r="AL47" s="252"/>
      <c r="AM47" s="252"/>
      <c r="AN47" s="252"/>
      <c r="AO47" s="252"/>
      <c r="AP47" s="252"/>
      <c r="AQ47" s="252"/>
      <c r="AR47" s="252"/>
      <c r="AS47" s="252"/>
      <c r="AT47" s="253"/>
      <c r="AV47" s="658"/>
      <c r="AW47" s="656"/>
      <c r="AX47" s="656"/>
      <c r="AY47" s="656"/>
      <c r="AZ47" s="656"/>
      <c r="BA47" s="656"/>
      <c r="BB47" s="656"/>
      <c r="BC47" s="656"/>
      <c r="BD47" s="656"/>
      <c r="BE47" s="656"/>
      <c r="BF47" s="656"/>
      <c r="BG47" s="656"/>
      <c r="BH47" s="656"/>
      <c r="BI47" s="656"/>
      <c r="BJ47" s="656"/>
      <c r="BK47" s="656"/>
      <c r="BL47" s="656"/>
      <c r="BM47" s="656"/>
      <c r="BN47" s="656"/>
      <c r="BO47" s="656"/>
      <c r="BP47" s="657"/>
      <c r="BQ47" s="781">
        <f t="shared" si="32"/>
        <v>0</v>
      </c>
      <c r="BR47" s="306"/>
      <c r="BS47" s="307"/>
      <c r="BT47" s="307"/>
      <c r="BU47" s="307"/>
      <c r="BV47" s="307"/>
      <c r="BW47" s="307"/>
      <c r="BX47" s="307"/>
      <c r="BY47" s="307"/>
      <c r="BZ47" s="307"/>
      <c r="CA47" s="307"/>
      <c r="CB47" s="307"/>
      <c r="CC47" s="307"/>
      <c r="CD47" s="307"/>
      <c r="CE47" s="307"/>
      <c r="CF47" s="307"/>
      <c r="CG47" s="307"/>
      <c r="CH47" s="307"/>
      <c r="CI47" s="307"/>
      <c r="CJ47" s="307"/>
      <c r="CK47" s="307"/>
      <c r="CL47" s="307"/>
      <c r="CM47" s="259"/>
      <c r="CN47" s="325"/>
      <c r="CO47" s="306"/>
      <c r="CP47" s="307"/>
      <c r="CQ47" s="307"/>
      <c r="CR47" s="307"/>
      <c r="CS47" s="307"/>
      <c r="CT47" s="307"/>
      <c r="CU47" s="307"/>
      <c r="CV47" s="307"/>
      <c r="CW47" s="307"/>
      <c r="CX47" s="307"/>
      <c r="CY47" s="307"/>
      <c r="CZ47" s="307"/>
      <c r="DA47" s="307"/>
      <c r="DB47" s="307"/>
      <c r="DC47" s="307"/>
      <c r="DD47" s="307"/>
      <c r="DE47" s="307"/>
      <c r="DF47" s="307"/>
      <c r="DG47" s="307"/>
      <c r="DH47" s="307"/>
      <c r="DI47" s="307"/>
      <c r="DJ47" s="259"/>
      <c r="DK47" s="325"/>
    </row>
    <row r="48" spans="1:115">
      <c r="B48" s="238"/>
      <c r="C48" s="238"/>
      <c r="D48" s="673"/>
      <c r="E48" s="652"/>
      <c r="F48" s="652"/>
      <c r="G48" s="652"/>
      <c r="H48" s="652"/>
      <c r="I48" s="652"/>
      <c r="J48" s="652"/>
      <c r="K48" s="652"/>
      <c r="L48" s="652"/>
      <c r="M48" s="652"/>
      <c r="N48" s="652"/>
      <c r="O48" s="652"/>
      <c r="P48" s="652"/>
      <c r="Q48" s="654"/>
      <c r="R48" s="652"/>
      <c r="S48" s="652"/>
      <c r="T48" s="652"/>
      <c r="U48" s="652"/>
      <c r="V48" s="652"/>
      <c r="W48" s="652"/>
      <c r="X48" s="653"/>
      <c r="Z48" s="321"/>
      <c r="AA48" s="252"/>
      <c r="AB48" s="252"/>
      <c r="AC48" s="252"/>
      <c r="AD48" s="252"/>
      <c r="AE48" s="252"/>
      <c r="AF48" s="252"/>
      <c r="AG48" s="252"/>
      <c r="AH48" s="252"/>
      <c r="AI48" s="252"/>
      <c r="AJ48" s="252"/>
      <c r="AK48" s="252"/>
      <c r="AL48" s="252"/>
      <c r="AM48" s="587"/>
      <c r="AN48" s="252"/>
      <c r="AO48" s="252"/>
      <c r="AP48" s="252"/>
      <c r="AQ48" s="252"/>
      <c r="AR48" s="252"/>
      <c r="AS48" s="252"/>
      <c r="AT48" s="253"/>
      <c r="AV48" s="655"/>
      <c r="AW48" s="656"/>
      <c r="AX48" s="656"/>
      <c r="AY48" s="656"/>
      <c r="AZ48" s="656"/>
      <c r="BA48" s="656"/>
      <c r="BB48" s="656"/>
      <c r="BC48" s="656"/>
      <c r="BD48" s="656"/>
      <c r="BE48" s="656"/>
      <c r="BF48" s="656"/>
      <c r="BG48" s="656"/>
      <c r="BH48" s="656"/>
      <c r="BI48" s="659"/>
      <c r="BJ48" s="656"/>
      <c r="BK48" s="656"/>
      <c r="BL48" s="656"/>
      <c r="BM48" s="656"/>
      <c r="BN48" s="656"/>
      <c r="BO48" s="656"/>
      <c r="BP48" s="657"/>
      <c r="BQ48" s="781">
        <f t="shared" si="32"/>
        <v>0</v>
      </c>
      <c r="BR48" s="306"/>
      <c r="BS48" s="307"/>
      <c r="BT48" s="307"/>
      <c r="BU48" s="307"/>
      <c r="BV48" s="307"/>
      <c r="BW48" s="307"/>
      <c r="BX48" s="307"/>
      <c r="BY48" s="307"/>
      <c r="BZ48" s="307"/>
      <c r="CA48" s="307"/>
      <c r="CB48" s="307"/>
      <c r="CC48" s="307"/>
      <c r="CD48" s="307"/>
      <c r="CE48" s="307"/>
      <c r="CF48" s="307"/>
      <c r="CG48" s="307"/>
      <c r="CH48" s="307"/>
      <c r="CI48" s="307"/>
      <c r="CJ48" s="307"/>
      <c r="CK48" s="307"/>
      <c r="CL48" s="307"/>
      <c r="CM48" s="259"/>
      <c r="CN48" s="325"/>
      <c r="CO48" s="306"/>
      <c r="CP48" s="307"/>
      <c r="CQ48" s="307"/>
      <c r="CR48" s="307"/>
      <c r="CS48" s="307"/>
      <c r="CT48" s="307"/>
      <c r="CU48" s="307"/>
      <c r="CV48" s="307"/>
      <c r="CW48" s="307"/>
      <c r="CX48" s="307"/>
      <c r="CY48" s="307"/>
      <c r="CZ48" s="307"/>
      <c r="DA48" s="307"/>
      <c r="DB48" s="307"/>
      <c r="DC48" s="307"/>
      <c r="DD48" s="307"/>
      <c r="DE48" s="307"/>
      <c r="DF48" s="307"/>
      <c r="DG48" s="307"/>
      <c r="DH48" s="307"/>
      <c r="DI48" s="307"/>
      <c r="DJ48" s="259"/>
      <c r="DK48" s="325"/>
    </row>
    <row r="49" spans="2:115">
      <c r="B49" s="238"/>
      <c r="C49" s="238"/>
      <c r="D49" s="673"/>
      <c r="E49" s="652"/>
      <c r="F49" s="652"/>
      <c r="G49" s="652"/>
      <c r="H49" s="652"/>
      <c r="I49" s="652"/>
      <c r="J49" s="652"/>
      <c r="K49" s="652"/>
      <c r="L49" s="652"/>
      <c r="M49" s="652"/>
      <c r="N49" s="652"/>
      <c r="O49" s="652"/>
      <c r="P49" s="652"/>
      <c r="Q49" s="654"/>
      <c r="R49" s="652"/>
      <c r="S49" s="652"/>
      <c r="T49" s="652"/>
      <c r="U49" s="652"/>
      <c r="V49" s="652"/>
      <c r="W49" s="652"/>
      <c r="X49" s="653"/>
      <c r="Z49" s="321"/>
      <c r="AA49" s="252"/>
      <c r="AB49" s="252"/>
      <c r="AC49" s="252"/>
      <c r="AD49" s="252"/>
      <c r="AE49" s="252"/>
      <c r="AF49" s="252"/>
      <c r="AG49" s="252"/>
      <c r="AH49" s="252"/>
      <c r="AI49" s="252"/>
      <c r="AJ49" s="252"/>
      <c r="AK49" s="252"/>
      <c r="AL49" s="252"/>
      <c r="AM49" s="587"/>
      <c r="AN49" s="252"/>
      <c r="AO49" s="252"/>
      <c r="AP49" s="252"/>
      <c r="AQ49" s="252"/>
      <c r="AR49" s="252"/>
      <c r="AS49" s="252"/>
      <c r="AT49" s="253"/>
      <c r="AV49" s="655"/>
      <c r="AW49" s="656"/>
      <c r="AX49" s="656"/>
      <c r="AY49" s="656"/>
      <c r="AZ49" s="656"/>
      <c r="BA49" s="656"/>
      <c r="BB49" s="656"/>
      <c r="BC49" s="656"/>
      <c r="BD49" s="656"/>
      <c r="BE49" s="656"/>
      <c r="BF49" s="656"/>
      <c r="BG49" s="656"/>
      <c r="BH49" s="656"/>
      <c r="BI49" s="659"/>
      <c r="BJ49" s="656"/>
      <c r="BK49" s="656"/>
      <c r="BL49" s="656"/>
      <c r="BM49" s="656"/>
      <c r="BN49" s="656"/>
      <c r="BO49" s="656"/>
      <c r="BP49" s="657"/>
      <c r="BQ49" s="781">
        <f t="shared" si="32"/>
        <v>0</v>
      </c>
      <c r="BR49" s="306"/>
      <c r="BS49" s="307"/>
      <c r="BT49" s="307"/>
      <c r="BU49" s="307"/>
      <c r="BV49" s="307"/>
      <c r="BW49" s="307"/>
      <c r="BX49" s="307"/>
      <c r="BY49" s="307"/>
      <c r="BZ49" s="307"/>
      <c r="CA49" s="307"/>
      <c r="CB49" s="307"/>
      <c r="CC49" s="307"/>
      <c r="CD49" s="307"/>
      <c r="CE49" s="307"/>
      <c r="CF49" s="307"/>
      <c r="CG49" s="307"/>
      <c r="CH49" s="307"/>
      <c r="CI49" s="307"/>
      <c r="CJ49" s="307"/>
      <c r="CK49" s="307"/>
      <c r="CL49" s="307"/>
      <c r="CM49" s="259"/>
      <c r="CN49" s="325"/>
      <c r="CO49" s="306"/>
      <c r="CP49" s="307"/>
      <c r="CQ49" s="307"/>
      <c r="CR49" s="307"/>
      <c r="CS49" s="307"/>
      <c r="CT49" s="307"/>
      <c r="CU49" s="307"/>
      <c r="CV49" s="307"/>
      <c r="CW49" s="307"/>
      <c r="CX49" s="307"/>
      <c r="CY49" s="307"/>
      <c r="CZ49" s="307"/>
      <c r="DA49" s="307"/>
      <c r="DB49" s="307"/>
      <c r="DC49" s="307"/>
      <c r="DD49" s="307"/>
      <c r="DE49" s="307"/>
      <c r="DF49" s="307"/>
      <c r="DG49" s="307"/>
      <c r="DH49" s="307"/>
      <c r="DI49" s="307"/>
      <c r="DJ49" s="259"/>
      <c r="DK49" s="325"/>
    </row>
    <row r="50" spans="2:115">
      <c r="B50" s="238"/>
      <c r="C50" s="238"/>
      <c r="D50" s="673"/>
      <c r="E50" s="652"/>
      <c r="F50" s="652"/>
      <c r="G50" s="652"/>
      <c r="H50" s="652"/>
      <c r="I50" s="652"/>
      <c r="J50" s="652"/>
      <c r="K50" s="652"/>
      <c r="L50" s="652"/>
      <c r="M50" s="652"/>
      <c r="N50" s="652"/>
      <c r="O50" s="652"/>
      <c r="P50" s="652"/>
      <c r="Q50" s="654"/>
      <c r="R50" s="652"/>
      <c r="S50" s="652"/>
      <c r="T50" s="652"/>
      <c r="U50" s="652"/>
      <c r="V50" s="652"/>
      <c r="W50" s="652"/>
      <c r="X50" s="653"/>
      <c r="Z50" s="321"/>
      <c r="AA50" s="252"/>
      <c r="AB50" s="252"/>
      <c r="AC50" s="252"/>
      <c r="AD50" s="252"/>
      <c r="AE50" s="252"/>
      <c r="AF50" s="252"/>
      <c r="AG50" s="252"/>
      <c r="AH50" s="252"/>
      <c r="AI50" s="252"/>
      <c r="AJ50" s="252"/>
      <c r="AK50" s="252"/>
      <c r="AL50" s="252"/>
      <c r="AM50" s="587"/>
      <c r="AN50" s="252"/>
      <c r="AO50" s="252"/>
      <c r="AP50" s="252"/>
      <c r="AQ50" s="252"/>
      <c r="AR50" s="252"/>
      <c r="AS50" s="252"/>
      <c r="AT50" s="253"/>
      <c r="AV50" s="655"/>
      <c r="AW50" s="656"/>
      <c r="AX50" s="656"/>
      <c r="AY50" s="656"/>
      <c r="AZ50" s="656"/>
      <c r="BA50" s="656"/>
      <c r="BB50" s="656"/>
      <c r="BC50" s="656"/>
      <c r="BD50" s="656"/>
      <c r="BE50" s="656"/>
      <c r="BF50" s="656"/>
      <c r="BG50" s="656"/>
      <c r="BH50" s="656"/>
      <c r="BI50" s="659"/>
      <c r="BJ50" s="656"/>
      <c r="BK50" s="656"/>
      <c r="BL50" s="656"/>
      <c r="BM50" s="656"/>
      <c r="BN50" s="656"/>
      <c r="BO50" s="656"/>
      <c r="BP50" s="657"/>
      <c r="BQ50" s="781">
        <f t="shared" si="32"/>
        <v>0</v>
      </c>
      <c r="BR50" s="306"/>
      <c r="BS50" s="307"/>
      <c r="BT50" s="307"/>
      <c r="BU50" s="307"/>
      <c r="BV50" s="307"/>
      <c r="BW50" s="307"/>
      <c r="BX50" s="307"/>
      <c r="BY50" s="307"/>
      <c r="BZ50" s="307"/>
      <c r="CA50" s="307"/>
      <c r="CB50" s="307"/>
      <c r="CC50" s="307"/>
      <c r="CD50" s="307"/>
      <c r="CE50" s="307"/>
      <c r="CF50" s="307"/>
      <c r="CG50" s="307"/>
      <c r="CH50" s="307"/>
      <c r="CI50" s="307"/>
      <c r="CJ50" s="307"/>
      <c r="CK50" s="307"/>
      <c r="CL50" s="307"/>
      <c r="CM50" s="259"/>
      <c r="CN50" s="325"/>
      <c r="CO50" s="306"/>
      <c r="CP50" s="307"/>
      <c r="CQ50" s="307"/>
      <c r="CR50" s="307"/>
      <c r="CS50" s="307"/>
      <c r="CT50" s="307"/>
      <c r="CU50" s="307"/>
      <c r="CV50" s="307"/>
      <c r="CW50" s="307"/>
      <c r="CX50" s="307"/>
      <c r="CY50" s="307"/>
      <c r="CZ50" s="307"/>
      <c r="DA50" s="307"/>
      <c r="DB50" s="307"/>
      <c r="DC50" s="307"/>
      <c r="DD50" s="307"/>
      <c r="DE50" s="307"/>
      <c r="DF50" s="307"/>
      <c r="DG50" s="307"/>
      <c r="DH50" s="307"/>
      <c r="DI50" s="307"/>
      <c r="DJ50" s="259"/>
      <c r="DK50" s="325"/>
    </row>
    <row r="51" spans="2:115">
      <c r="B51" s="238"/>
      <c r="C51" s="238"/>
      <c r="D51" s="673"/>
      <c r="E51" s="652"/>
      <c r="F51" s="652"/>
      <c r="G51" s="652"/>
      <c r="H51" s="652"/>
      <c r="I51" s="652"/>
      <c r="J51" s="652"/>
      <c r="K51" s="652"/>
      <c r="L51" s="652"/>
      <c r="M51" s="652"/>
      <c r="N51" s="652"/>
      <c r="O51" s="652"/>
      <c r="P51" s="652"/>
      <c r="Q51" s="654"/>
      <c r="R51" s="652"/>
      <c r="S51" s="652"/>
      <c r="T51" s="652"/>
      <c r="U51" s="652"/>
      <c r="V51" s="652"/>
      <c r="W51" s="652"/>
      <c r="X51" s="653"/>
      <c r="Z51" s="321"/>
      <c r="AA51" s="252"/>
      <c r="AB51" s="252"/>
      <c r="AC51" s="252"/>
      <c r="AD51" s="252"/>
      <c r="AE51" s="252"/>
      <c r="AF51" s="252"/>
      <c r="AG51" s="252"/>
      <c r="AH51" s="252"/>
      <c r="AI51" s="252"/>
      <c r="AJ51" s="252"/>
      <c r="AK51" s="252"/>
      <c r="AL51" s="252"/>
      <c r="AM51" s="587"/>
      <c r="AN51" s="252"/>
      <c r="AO51" s="252"/>
      <c r="AP51" s="252"/>
      <c r="AQ51" s="252"/>
      <c r="AR51" s="252"/>
      <c r="AS51" s="252"/>
      <c r="AT51" s="253"/>
      <c r="AV51" s="655"/>
      <c r="AW51" s="656"/>
      <c r="AX51" s="656"/>
      <c r="AY51" s="656"/>
      <c r="AZ51" s="656"/>
      <c r="BA51" s="656"/>
      <c r="BB51" s="656"/>
      <c r="BC51" s="656"/>
      <c r="BD51" s="656"/>
      <c r="BE51" s="656"/>
      <c r="BF51" s="656"/>
      <c r="BG51" s="656"/>
      <c r="BH51" s="656"/>
      <c r="BI51" s="659"/>
      <c r="BJ51" s="656"/>
      <c r="BK51" s="656"/>
      <c r="BL51" s="656"/>
      <c r="BM51" s="656"/>
      <c r="BN51" s="656"/>
      <c r="BO51" s="656"/>
      <c r="BP51" s="657"/>
      <c r="BQ51" s="781">
        <f t="shared" si="32"/>
        <v>0</v>
      </c>
      <c r="BR51" s="306"/>
      <c r="BS51" s="307"/>
      <c r="BT51" s="307"/>
      <c r="BU51" s="307"/>
      <c r="BV51" s="307"/>
      <c r="BW51" s="307"/>
      <c r="BX51" s="307"/>
      <c r="BY51" s="307"/>
      <c r="BZ51" s="307"/>
      <c r="CA51" s="307"/>
      <c r="CB51" s="307"/>
      <c r="CC51" s="307"/>
      <c r="CD51" s="307"/>
      <c r="CE51" s="307"/>
      <c r="CF51" s="307"/>
      <c r="CG51" s="307"/>
      <c r="CH51" s="307"/>
      <c r="CI51" s="307"/>
      <c r="CJ51" s="307"/>
      <c r="CK51" s="307"/>
      <c r="CL51" s="307"/>
      <c r="CM51" s="259"/>
      <c r="CN51" s="325"/>
      <c r="CO51" s="306"/>
      <c r="CP51" s="307"/>
      <c r="CQ51" s="307"/>
      <c r="CR51" s="307"/>
      <c r="CS51" s="307"/>
      <c r="CT51" s="307"/>
      <c r="CU51" s="307"/>
      <c r="CV51" s="307"/>
      <c r="CW51" s="307"/>
      <c r="CX51" s="307"/>
      <c r="CY51" s="307"/>
      <c r="CZ51" s="307"/>
      <c r="DA51" s="307"/>
      <c r="DB51" s="307"/>
      <c r="DC51" s="307"/>
      <c r="DD51" s="307"/>
      <c r="DE51" s="307"/>
      <c r="DF51" s="307"/>
      <c r="DG51" s="307"/>
      <c r="DH51" s="307"/>
      <c r="DI51" s="307"/>
      <c r="DJ51" s="259"/>
      <c r="DK51" s="325"/>
    </row>
    <row r="52" spans="2:115">
      <c r="B52" s="238"/>
      <c r="C52" s="238"/>
      <c r="D52" s="673"/>
      <c r="E52" s="300"/>
      <c r="F52" s="300"/>
      <c r="G52" s="300"/>
      <c r="H52" s="300"/>
      <c r="I52" s="300"/>
      <c r="J52" s="300"/>
      <c r="K52" s="300"/>
      <c r="L52" s="300"/>
      <c r="M52" s="300"/>
      <c r="N52" s="300"/>
      <c r="O52" s="300"/>
      <c r="P52" s="300"/>
      <c r="Q52" s="375"/>
      <c r="R52" s="300"/>
      <c r="S52" s="300"/>
      <c r="T52" s="300"/>
      <c r="U52" s="300"/>
      <c r="V52" s="300"/>
      <c r="W52" s="300"/>
      <c r="X52" s="301"/>
      <c r="Z52" s="321"/>
      <c r="AA52" s="252"/>
      <c r="AB52" s="252"/>
      <c r="AC52" s="252"/>
      <c r="AD52" s="252"/>
      <c r="AE52" s="252"/>
      <c r="AF52" s="252"/>
      <c r="AG52" s="252"/>
      <c r="AH52" s="252"/>
      <c r="AI52" s="252"/>
      <c r="AJ52" s="252"/>
      <c r="AK52" s="252"/>
      <c r="AL52" s="252"/>
      <c r="AM52" s="587"/>
      <c r="AN52" s="252"/>
      <c r="AO52" s="252"/>
      <c r="AP52" s="252"/>
      <c r="AQ52" s="252"/>
      <c r="AR52" s="252"/>
      <c r="AS52" s="252"/>
      <c r="AT52" s="253"/>
      <c r="AV52" s="254"/>
      <c r="AW52" s="311"/>
      <c r="AX52" s="311"/>
      <c r="AY52" s="311"/>
      <c r="AZ52" s="311"/>
      <c r="BA52" s="311"/>
      <c r="BB52" s="311"/>
      <c r="BC52" s="311"/>
      <c r="BD52" s="311"/>
      <c r="BE52" s="311"/>
      <c r="BF52" s="311"/>
      <c r="BG52" s="311"/>
      <c r="BH52" s="311"/>
      <c r="BI52" s="376"/>
      <c r="BJ52" s="311"/>
      <c r="BK52" s="311"/>
      <c r="BL52" s="311"/>
      <c r="BM52" s="311"/>
      <c r="BN52" s="311"/>
      <c r="BO52" s="311"/>
      <c r="BP52" s="312"/>
      <c r="BQ52" s="781">
        <f t="shared" si="32"/>
        <v>0</v>
      </c>
      <c r="BR52" s="306"/>
      <c r="BS52" s="307"/>
      <c r="BT52" s="307"/>
      <c r="BU52" s="307"/>
      <c r="BV52" s="307"/>
      <c r="BW52" s="307"/>
      <c r="BX52" s="307"/>
      <c r="BY52" s="307"/>
      <c r="BZ52" s="307"/>
      <c r="CA52" s="307"/>
      <c r="CB52" s="307"/>
      <c r="CC52" s="307"/>
      <c r="CD52" s="307"/>
      <c r="CE52" s="307"/>
      <c r="CF52" s="307"/>
      <c r="CG52" s="307"/>
      <c r="CH52" s="307"/>
      <c r="CI52" s="307"/>
      <c r="CJ52" s="307"/>
      <c r="CK52" s="307"/>
      <c r="CL52" s="307"/>
      <c r="CM52" s="259"/>
      <c r="CN52" s="325"/>
      <c r="CO52" s="306"/>
      <c r="CP52" s="307"/>
      <c r="CQ52" s="307"/>
      <c r="CR52" s="307"/>
      <c r="CS52" s="307"/>
      <c r="CT52" s="307"/>
      <c r="CU52" s="307"/>
      <c r="CV52" s="307"/>
      <c r="CW52" s="307"/>
      <c r="CX52" s="307"/>
      <c r="CY52" s="307"/>
      <c r="CZ52" s="307"/>
      <c r="DA52" s="307"/>
      <c r="DB52" s="307"/>
      <c r="DC52" s="307"/>
      <c r="DD52" s="307"/>
      <c r="DE52" s="307"/>
      <c r="DF52" s="307"/>
      <c r="DG52" s="307"/>
      <c r="DH52" s="307"/>
      <c r="DI52" s="307"/>
      <c r="DJ52" s="259"/>
      <c r="DK52" s="325"/>
    </row>
    <row r="53" spans="2:115">
      <c r="B53" s="238"/>
      <c r="C53" s="238"/>
      <c r="D53" s="673"/>
      <c r="E53" s="300"/>
      <c r="F53" s="300"/>
      <c r="G53" s="300"/>
      <c r="H53" s="300"/>
      <c r="I53" s="300"/>
      <c r="J53" s="300"/>
      <c r="K53" s="300"/>
      <c r="L53" s="300"/>
      <c r="M53" s="300"/>
      <c r="N53" s="300"/>
      <c r="O53" s="300"/>
      <c r="P53" s="300"/>
      <c r="Q53" s="375"/>
      <c r="R53" s="300"/>
      <c r="S53" s="300"/>
      <c r="T53" s="300"/>
      <c r="U53" s="300"/>
      <c r="V53" s="300"/>
      <c r="W53" s="300"/>
      <c r="X53" s="301"/>
      <c r="Z53" s="321"/>
      <c r="AA53" s="252"/>
      <c r="AB53" s="252"/>
      <c r="AC53" s="252"/>
      <c r="AD53" s="252"/>
      <c r="AE53" s="252"/>
      <c r="AF53" s="252"/>
      <c r="AG53" s="252"/>
      <c r="AH53" s="252"/>
      <c r="AI53" s="252"/>
      <c r="AJ53" s="252"/>
      <c r="AK53" s="252"/>
      <c r="AL53" s="252"/>
      <c r="AM53" s="587"/>
      <c r="AN53" s="252"/>
      <c r="AO53" s="252"/>
      <c r="AP53" s="252"/>
      <c r="AQ53" s="252"/>
      <c r="AR53" s="252"/>
      <c r="AS53" s="252"/>
      <c r="AT53" s="253"/>
      <c r="AV53" s="254"/>
      <c r="AW53" s="311"/>
      <c r="AX53" s="311"/>
      <c r="AY53" s="311"/>
      <c r="AZ53" s="311"/>
      <c r="BA53" s="311"/>
      <c r="BB53" s="311"/>
      <c r="BC53" s="311"/>
      <c r="BD53" s="311"/>
      <c r="BE53" s="311"/>
      <c r="BF53" s="311"/>
      <c r="BG53" s="311"/>
      <c r="BH53" s="311"/>
      <c r="BI53" s="376"/>
      <c r="BJ53" s="311"/>
      <c r="BK53" s="311"/>
      <c r="BL53" s="311"/>
      <c r="BM53" s="311"/>
      <c r="BN53" s="311"/>
      <c r="BO53" s="311"/>
      <c r="BP53" s="312"/>
      <c r="BQ53" s="781">
        <f t="shared" si="32"/>
        <v>0</v>
      </c>
      <c r="BR53" s="306"/>
      <c r="BS53" s="307"/>
      <c r="BT53" s="307"/>
      <c r="BU53" s="307"/>
      <c r="BV53" s="307"/>
      <c r="BW53" s="307"/>
      <c r="BX53" s="307"/>
      <c r="BY53" s="307"/>
      <c r="BZ53" s="307"/>
      <c r="CA53" s="307"/>
      <c r="CB53" s="307"/>
      <c r="CC53" s="307"/>
      <c r="CD53" s="307"/>
      <c r="CE53" s="307"/>
      <c r="CF53" s="307"/>
      <c r="CG53" s="307"/>
      <c r="CH53" s="307"/>
      <c r="CI53" s="307"/>
      <c r="CJ53" s="307"/>
      <c r="CK53" s="307"/>
      <c r="CL53" s="307"/>
      <c r="CM53" s="259"/>
      <c r="CN53" s="325"/>
      <c r="CO53" s="306"/>
      <c r="CP53" s="307"/>
      <c r="CQ53" s="307"/>
      <c r="CR53" s="307"/>
      <c r="CS53" s="307"/>
      <c r="CT53" s="307"/>
      <c r="CU53" s="307"/>
      <c r="CV53" s="307"/>
      <c r="CW53" s="307"/>
      <c r="CX53" s="307"/>
      <c r="CY53" s="307"/>
      <c r="CZ53" s="307"/>
      <c r="DA53" s="307"/>
      <c r="DB53" s="307"/>
      <c r="DC53" s="307"/>
      <c r="DD53" s="307"/>
      <c r="DE53" s="307"/>
      <c r="DF53" s="307"/>
      <c r="DG53" s="307"/>
      <c r="DH53" s="307"/>
      <c r="DI53" s="307"/>
      <c r="DJ53" s="259"/>
      <c r="DK53" s="325"/>
    </row>
    <row r="54" spans="2:115">
      <c r="B54" s="238"/>
      <c r="C54" s="238"/>
      <c r="D54" s="673"/>
      <c r="E54" s="300"/>
      <c r="F54" s="300"/>
      <c r="G54" s="300"/>
      <c r="H54" s="300"/>
      <c r="I54" s="300"/>
      <c r="J54" s="300"/>
      <c r="K54" s="300"/>
      <c r="L54" s="300"/>
      <c r="M54" s="300"/>
      <c r="N54" s="300"/>
      <c r="O54" s="300"/>
      <c r="P54" s="300"/>
      <c r="Q54" s="375"/>
      <c r="R54" s="300"/>
      <c r="S54" s="300"/>
      <c r="T54" s="300"/>
      <c r="U54" s="300"/>
      <c r="V54" s="300"/>
      <c r="W54" s="300"/>
      <c r="X54" s="301"/>
      <c r="Z54" s="321"/>
      <c r="AA54" s="252"/>
      <c r="AB54" s="252"/>
      <c r="AC54" s="252"/>
      <c r="AD54" s="252"/>
      <c r="AE54" s="252"/>
      <c r="AF54" s="252"/>
      <c r="AG54" s="252"/>
      <c r="AH54" s="252"/>
      <c r="AI54" s="252"/>
      <c r="AJ54" s="252"/>
      <c r="AK54" s="252"/>
      <c r="AL54" s="252"/>
      <c r="AM54" s="587"/>
      <c r="AN54" s="252"/>
      <c r="AO54" s="252"/>
      <c r="AP54" s="252"/>
      <c r="AQ54" s="252"/>
      <c r="AR54" s="252"/>
      <c r="AS54" s="252"/>
      <c r="AT54" s="253"/>
      <c r="AV54" s="254"/>
      <c r="AW54" s="311"/>
      <c r="AX54" s="311"/>
      <c r="AY54" s="311"/>
      <c r="AZ54" s="311"/>
      <c r="BA54" s="311"/>
      <c r="BB54" s="311"/>
      <c r="BC54" s="311"/>
      <c r="BD54" s="311"/>
      <c r="BE54" s="311"/>
      <c r="BF54" s="311"/>
      <c r="BG54" s="311"/>
      <c r="BH54" s="311"/>
      <c r="BI54" s="376"/>
      <c r="BJ54" s="311"/>
      <c r="BK54" s="311"/>
      <c r="BL54" s="311"/>
      <c r="BM54" s="311"/>
      <c r="BN54" s="311"/>
      <c r="BO54" s="311"/>
      <c r="BP54" s="312"/>
      <c r="BQ54" s="781">
        <f t="shared" si="32"/>
        <v>0</v>
      </c>
      <c r="BR54" s="306"/>
      <c r="BS54" s="307"/>
      <c r="BT54" s="307"/>
      <c r="BU54" s="307"/>
      <c r="BV54" s="307"/>
      <c r="BW54" s="307"/>
      <c r="BX54" s="307"/>
      <c r="BY54" s="307"/>
      <c r="BZ54" s="307"/>
      <c r="CA54" s="307"/>
      <c r="CB54" s="307"/>
      <c r="CC54" s="307"/>
      <c r="CD54" s="307"/>
      <c r="CE54" s="307"/>
      <c r="CF54" s="307"/>
      <c r="CG54" s="307"/>
      <c r="CH54" s="307"/>
      <c r="CI54" s="307"/>
      <c r="CJ54" s="307"/>
      <c r="CK54" s="307"/>
      <c r="CL54" s="307"/>
      <c r="CM54" s="259"/>
      <c r="CN54" s="325"/>
      <c r="CO54" s="306"/>
      <c r="CP54" s="307"/>
      <c r="CQ54" s="307"/>
      <c r="CR54" s="307"/>
      <c r="CS54" s="307"/>
      <c r="CT54" s="307"/>
      <c r="CU54" s="307"/>
      <c r="CV54" s="307"/>
      <c r="CW54" s="307"/>
      <c r="CX54" s="307"/>
      <c r="CY54" s="307"/>
      <c r="CZ54" s="307"/>
      <c r="DA54" s="307"/>
      <c r="DB54" s="307"/>
      <c r="DC54" s="307"/>
      <c r="DD54" s="307"/>
      <c r="DE54" s="307"/>
      <c r="DF54" s="307"/>
      <c r="DG54" s="307"/>
      <c r="DH54" s="307"/>
      <c r="DI54" s="307"/>
      <c r="DJ54" s="259"/>
      <c r="DK54" s="325"/>
    </row>
    <row r="55" spans="2:115">
      <c r="B55" s="238"/>
      <c r="C55" s="238"/>
      <c r="D55" s="299"/>
      <c r="E55" s="300"/>
      <c r="F55" s="300"/>
      <c r="G55" s="300"/>
      <c r="H55" s="300"/>
      <c r="I55" s="300"/>
      <c r="J55" s="300"/>
      <c r="K55" s="300"/>
      <c r="L55" s="300"/>
      <c r="M55" s="300"/>
      <c r="N55" s="300"/>
      <c r="O55" s="300"/>
      <c r="P55" s="300"/>
      <c r="Q55" s="375"/>
      <c r="R55" s="300"/>
      <c r="S55" s="300"/>
      <c r="T55" s="300"/>
      <c r="U55" s="300"/>
      <c r="V55" s="300"/>
      <c r="W55" s="300"/>
      <c r="X55" s="301"/>
      <c r="Z55" s="321"/>
      <c r="AA55" s="252"/>
      <c r="AB55" s="252"/>
      <c r="AC55" s="252"/>
      <c r="AD55" s="252"/>
      <c r="AE55" s="252"/>
      <c r="AF55" s="252"/>
      <c r="AG55" s="252"/>
      <c r="AH55" s="252"/>
      <c r="AI55" s="252"/>
      <c r="AJ55" s="252"/>
      <c r="AK55" s="252"/>
      <c r="AL55" s="252"/>
      <c r="AM55" s="375"/>
      <c r="AN55" s="300"/>
      <c r="AO55" s="300"/>
      <c r="AP55" s="300"/>
      <c r="AQ55" s="300"/>
      <c r="AR55" s="300"/>
      <c r="AS55" s="300"/>
      <c r="AT55" s="301"/>
      <c r="AV55" s="254"/>
      <c r="AW55" s="311"/>
      <c r="AX55" s="311"/>
      <c r="AY55" s="311"/>
      <c r="AZ55" s="311"/>
      <c r="BA55" s="311"/>
      <c r="BB55" s="311"/>
      <c r="BC55" s="311"/>
      <c r="BD55" s="311"/>
      <c r="BE55" s="311"/>
      <c r="BF55" s="311"/>
      <c r="BG55" s="311"/>
      <c r="BH55" s="311"/>
      <c r="BI55" s="376"/>
      <c r="BJ55" s="311"/>
      <c r="BK55" s="311"/>
      <c r="BL55" s="311"/>
      <c r="BM55" s="311"/>
      <c r="BN55" s="311"/>
      <c r="BO55" s="311"/>
      <c r="BP55" s="312"/>
      <c r="BQ55" s="781">
        <f t="shared" si="32"/>
        <v>0</v>
      </c>
      <c r="BR55" s="306"/>
      <c r="BS55" s="307"/>
      <c r="BT55" s="307"/>
      <c r="BU55" s="307"/>
      <c r="BV55" s="307"/>
      <c r="BW55" s="307"/>
      <c r="BX55" s="307"/>
      <c r="BY55" s="307"/>
      <c r="BZ55" s="307"/>
      <c r="CA55" s="307"/>
      <c r="CB55" s="307"/>
      <c r="CC55" s="307"/>
      <c r="CD55" s="307"/>
      <c r="CE55" s="307"/>
      <c r="CF55" s="307"/>
      <c r="CG55" s="307"/>
      <c r="CH55" s="307"/>
      <c r="CI55" s="307"/>
      <c r="CJ55" s="307"/>
      <c r="CK55" s="307"/>
      <c r="CL55" s="307"/>
      <c r="CM55" s="259"/>
      <c r="CN55" s="325"/>
      <c r="CO55" s="306"/>
      <c r="CP55" s="307"/>
      <c r="CQ55" s="307"/>
      <c r="CR55" s="307"/>
      <c r="CS55" s="307"/>
      <c r="CT55" s="307"/>
      <c r="CU55" s="307"/>
      <c r="CV55" s="307"/>
      <c r="CW55" s="307"/>
      <c r="CX55" s="307"/>
      <c r="CY55" s="307"/>
      <c r="CZ55" s="307"/>
      <c r="DA55" s="307"/>
      <c r="DB55" s="307"/>
      <c r="DC55" s="307"/>
      <c r="DD55" s="307"/>
      <c r="DE55" s="307"/>
      <c r="DF55" s="307"/>
      <c r="DG55" s="307"/>
      <c r="DH55" s="307"/>
      <c r="DI55" s="307"/>
      <c r="DJ55" s="259"/>
      <c r="DK55" s="325"/>
    </row>
    <row r="56" spans="2:115">
      <c r="B56" s="238"/>
      <c r="C56" s="238"/>
      <c r="D56" s="299"/>
      <c r="E56" s="300"/>
      <c r="F56" s="300"/>
      <c r="G56" s="300"/>
      <c r="H56" s="300"/>
      <c r="I56" s="300"/>
      <c r="J56" s="300"/>
      <c r="K56" s="300"/>
      <c r="L56" s="300"/>
      <c r="M56" s="300"/>
      <c r="N56" s="300"/>
      <c r="O56" s="300"/>
      <c r="P56" s="300"/>
      <c r="Q56" s="375"/>
      <c r="R56" s="300"/>
      <c r="S56" s="300"/>
      <c r="T56" s="300"/>
      <c r="U56" s="300"/>
      <c r="V56" s="300"/>
      <c r="W56" s="300"/>
      <c r="X56" s="301"/>
      <c r="Z56" s="321"/>
      <c r="AA56" s="252"/>
      <c r="AB56" s="252"/>
      <c r="AC56" s="252"/>
      <c r="AD56" s="252"/>
      <c r="AE56" s="252"/>
      <c r="AF56" s="252"/>
      <c r="AG56" s="252"/>
      <c r="AH56" s="252"/>
      <c r="AI56" s="252"/>
      <c r="AJ56" s="252"/>
      <c r="AK56" s="252"/>
      <c r="AL56" s="252"/>
      <c r="AM56" s="375"/>
      <c r="AN56" s="300"/>
      <c r="AO56" s="300"/>
      <c r="AP56" s="300"/>
      <c r="AQ56" s="300"/>
      <c r="AR56" s="300"/>
      <c r="AS56" s="300"/>
      <c r="AT56" s="301"/>
      <c r="AV56" s="254"/>
      <c r="AW56" s="311"/>
      <c r="AX56" s="311"/>
      <c r="AY56" s="311"/>
      <c r="AZ56" s="311"/>
      <c r="BA56" s="311"/>
      <c r="BB56" s="311"/>
      <c r="BC56" s="311"/>
      <c r="BD56" s="311"/>
      <c r="BE56" s="311"/>
      <c r="BF56" s="311"/>
      <c r="BG56" s="311"/>
      <c r="BH56" s="311"/>
      <c r="BI56" s="376"/>
      <c r="BJ56" s="311"/>
      <c r="BK56" s="311"/>
      <c r="BL56" s="311"/>
      <c r="BM56" s="311"/>
      <c r="BN56" s="311"/>
      <c r="BO56" s="311"/>
      <c r="BP56" s="312"/>
      <c r="BQ56" s="781">
        <f t="shared" si="32"/>
        <v>0</v>
      </c>
      <c r="BR56" s="306">
        <f t="shared" si="35"/>
        <v>0</v>
      </c>
      <c r="BS56" s="307">
        <f t="shared" si="36"/>
        <v>0</v>
      </c>
      <c r="BT56" s="307">
        <f t="shared" si="37"/>
        <v>0</v>
      </c>
      <c r="BU56" s="307">
        <f t="shared" si="38"/>
        <v>0</v>
      </c>
      <c r="BV56" s="307">
        <f t="shared" si="39"/>
        <v>0</v>
      </c>
      <c r="BW56" s="307">
        <f t="shared" si="40"/>
        <v>0</v>
      </c>
      <c r="BX56" s="307">
        <f t="shared" si="41"/>
        <v>0</v>
      </c>
      <c r="BY56" s="307">
        <f t="shared" si="42"/>
        <v>0</v>
      </c>
      <c r="BZ56" s="307">
        <f t="shared" si="43"/>
        <v>0</v>
      </c>
      <c r="CA56" s="307">
        <f t="shared" si="44"/>
        <v>0</v>
      </c>
      <c r="CB56" s="307">
        <f t="shared" si="45"/>
        <v>0</v>
      </c>
      <c r="CC56" s="307">
        <f t="shared" si="46"/>
        <v>0</v>
      </c>
      <c r="CD56" s="307">
        <f t="shared" si="47"/>
        <v>0</v>
      </c>
      <c r="CE56" s="307">
        <f t="shared" si="48"/>
        <v>0</v>
      </c>
      <c r="CF56" s="307">
        <f t="shared" si="49"/>
        <v>0</v>
      </c>
      <c r="CG56" s="307">
        <f t="shared" si="50"/>
        <v>0</v>
      </c>
      <c r="CH56" s="307">
        <f t="shared" si="51"/>
        <v>0</v>
      </c>
      <c r="CI56" s="307">
        <f t="shared" si="52"/>
        <v>0</v>
      </c>
      <c r="CJ56" s="307">
        <f t="shared" si="53"/>
        <v>0</v>
      </c>
      <c r="CK56" s="307">
        <f t="shared" si="54"/>
        <v>0</v>
      </c>
      <c r="CL56" s="307">
        <f t="shared" si="55"/>
        <v>0</v>
      </c>
      <c r="CM56" s="259">
        <f t="shared" si="9"/>
        <v>0</v>
      </c>
      <c r="CN56" s="325"/>
      <c r="CO56" s="306">
        <f t="shared" ref="CO56:CO65" si="57">Z56*AV56</f>
        <v>0</v>
      </c>
      <c r="CP56" s="307">
        <f t="shared" ref="CP56:CP65" si="58">AA56/100*AW56</f>
        <v>0</v>
      </c>
      <c r="CQ56" s="307">
        <f t="shared" ref="CQ56:CQ65" si="59">AB56/100*AX56</f>
        <v>0</v>
      </c>
      <c r="CR56" s="307">
        <f t="shared" ref="CR56:CR65" si="60">AC56/100*AY56</f>
        <v>0</v>
      </c>
      <c r="CS56" s="307">
        <f t="shared" ref="CS56:CS65" si="61">AD56/100*AZ56</f>
        <v>0</v>
      </c>
      <c r="CT56" s="307">
        <f t="shared" ref="CT56:CT65" si="62">AE56/100*BA56</f>
        <v>0</v>
      </c>
      <c r="CU56" s="307">
        <f t="shared" ref="CU56:CU65" si="63">AF56/100*BB56</f>
        <v>0</v>
      </c>
      <c r="CV56" s="307">
        <f t="shared" ref="CV56:CV65" si="64">AG56/100*BC56</f>
        <v>0</v>
      </c>
      <c r="CW56" s="307">
        <f t="shared" ref="CW56:CW65" si="65">AH56/100*BD56</f>
        <v>0</v>
      </c>
      <c r="CX56" s="307">
        <f t="shared" ref="CX56:CX65" si="66">AI56*BE56</f>
        <v>0</v>
      </c>
      <c r="CY56" s="307">
        <f t="shared" ref="CY56:CY65" si="67">AJ56*BF56</f>
        <v>0</v>
      </c>
      <c r="CZ56" s="307">
        <f t="shared" ref="CZ56:CZ65" si="68">AK56*BG56</f>
        <v>0</v>
      </c>
      <c r="DA56" s="307">
        <f t="shared" ref="DA56:DA65" si="69">AL56*BH56</f>
        <v>0</v>
      </c>
      <c r="DB56" s="307">
        <f t="shared" ref="DB56:DB65" si="70">AM56/100*BI56</f>
        <v>0</v>
      </c>
      <c r="DC56" s="307">
        <f t="shared" ref="DC56:DC65" si="71">AN56/100*BJ56</f>
        <v>0</v>
      </c>
      <c r="DD56" s="307">
        <f t="shared" ref="DD56:DD65" si="72">AO56/100*BK56</f>
        <v>0</v>
      </c>
      <c r="DE56" s="307">
        <f t="shared" ref="DE56:DE65" si="73">AP56/100*BL56</f>
        <v>0</v>
      </c>
      <c r="DF56" s="307">
        <f t="shared" ref="DF56:DF65" si="74">AQ56/100*BM56</f>
        <v>0</v>
      </c>
      <c r="DG56" s="307">
        <f t="shared" ref="DG56:DG65" si="75">AR56/100*BN56</f>
        <v>0</v>
      </c>
      <c r="DH56" s="307">
        <f t="shared" ref="DH56:DH65" si="76">AS56/100*BO56</f>
        <v>0</v>
      </c>
      <c r="DI56" s="307">
        <f t="shared" ref="DI56:DI65" si="77">AT56/100*BP56</f>
        <v>0</v>
      </c>
      <c r="DJ56" s="259">
        <f t="shared" si="5"/>
        <v>0</v>
      </c>
      <c r="DK56" s="325"/>
    </row>
    <row r="57" spans="2:115">
      <c r="B57" s="238"/>
      <c r="C57" s="238"/>
      <c r="D57" s="299"/>
      <c r="E57" s="300"/>
      <c r="F57" s="300"/>
      <c r="G57" s="300"/>
      <c r="H57" s="300"/>
      <c r="I57" s="300"/>
      <c r="J57" s="300"/>
      <c r="K57" s="300"/>
      <c r="L57" s="300"/>
      <c r="M57" s="300"/>
      <c r="N57" s="300"/>
      <c r="O57" s="300"/>
      <c r="P57" s="300"/>
      <c r="Q57" s="375"/>
      <c r="R57" s="300"/>
      <c r="S57" s="300"/>
      <c r="T57" s="300"/>
      <c r="U57" s="300"/>
      <c r="V57" s="300"/>
      <c r="W57" s="300"/>
      <c r="X57" s="301"/>
      <c r="Z57" s="321"/>
      <c r="AA57" s="252"/>
      <c r="AB57" s="252"/>
      <c r="AC57" s="252"/>
      <c r="AD57" s="252"/>
      <c r="AE57" s="252"/>
      <c r="AF57" s="252"/>
      <c r="AG57" s="252"/>
      <c r="AH57" s="252"/>
      <c r="AI57" s="252"/>
      <c r="AJ57" s="252"/>
      <c r="AK57" s="252"/>
      <c r="AL57" s="252"/>
      <c r="AM57" s="375"/>
      <c r="AN57" s="300"/>
      <c r="AO57" s="300"/>
      <c r="AP57" s="300"/>
      <c r="AQ57" s="300"/>
      <c r="AR57" s="300"/>
      <c r="AS57" s="300"/>
      <c r="AT57" s="301"/>
      <c r="AV57" s="254"/>
      <c r="AW57" s="311"/>
      <c r="AX57" s="311"/>
      <c r="AY57" s="311"/>
      <c r="AZ57" s="311"/>
      <c r="BA57" s="311"/>
      <c r="BB57" s="311"/>
      <c r="BC57" s="311"/>
      <c r="BD57" s="311"/>
      <c r="BE57" s="311"/>
      <c r="BF57" s="311"/>
      <c r="BG57" s="311"/>
      <c r="BH57" s="311"/>
      <c r="BI57" s="376"/>
      <c r="BJ57" s="311"/>
      <c r="BK57" s="311"/>
      <c r="BL57" s="311"/>
      <c r="BM57" s="311"/>
      <c r="BN57" s="311"/>
      <c r="BO57" s="311"/>
      <c r="BP57" s="312"/>
      <c r="BQ57" s="781">
        <f t="shared" si="32"/>
        <v>0</v>
      </c>
      <c r="BR57" s="306">
        <f t="shared" si="35"/>
        <v>0</v>
      </c>
      <c r="BS57" s="307">
        <f t="shared" si="36"/>
        <v>0</v>
      </c>
      <c r="BT57" s="307">
        <f t="shared" si="37"/>
        <v>0</v>
      </c>
      <c r="BU57" s="307">
        <f t="shared" si="38"/>
        <v>0</v>
      </c>
      <c r="BV57" s="307">
        <f t="shared" si="39"/>
        <v>0</v>
      </c>
      <c r="BW57" s="307">
        <f t="shared" si="40"/>
        <v>0</v>
      </c>
      <c r="BX57" s="307">
        <f t="shared" si="41"/>
        <v>0</v>
      </c>
      <c r="BY57" s="307">
        <f t="shared" si="42"/>
        <v>0</v>
      </c>
      <c r="BZ57" s="307">
        <f t="shared" si="43"/>
        <v>0</v>
      </c>
      <c r="CA57" s="307">
        <f t="shared" si="44"/>
        <v>0</v>
      </c>
      <c r="CB57" s="307">
        <f t="shared" si="45"/>
        <v>0</v>
      </c>
      <c r="CC57" s="307">
        <f t="shared" si="46"/>
        <v>0</v>
      </c>
      <c r="CD57" s="307">
        <f t="shared" si="47"/>
        <v>0</v>
      </c>
      <c r="CE57" s="307">
        <f t="shared" si="48"/>
        <v>0</v>
      </c>
      <c r="CF57" s="307">
        <f t="shared" si="49"/>
        <v>0</v>
      </c>
      <c r="CG57" s="307">
        <f t="shared" si="50"/>
        <v>0</v>
      </c>
      <c r="CH57" s="307">
        <f t="shared" si="51"/>
        <v>0</v>
      </c>
      <c r="CI57" s="307">
        <f t="shared" si="52"/>
        <v>0</v>
      </c>
      <c r="CJ57" s="307">
        <f t="shared" si="53"/>
        <v>0</v>
      </c>
      <c r="CK57" s="307">
        <f t="shared" si="54"/>
        <v>0</v>
      </c>
      <c r="CL57" s="307">
        <f t="shared" si="55"/>
        <v>0</v>
      </c>
      <c r="CM57" s="259">
        <f t="shared" si="9"/>
        <v>0</v>
      </c>
      <c r="CN57" s="325"/>
      <c r="CO57" s="306">
        <f t="shared" si="57"/>
        <v>0</v>
      </c>
      <c r="CP57" s="307">
        <f t="shared" si="58"/>
        <v>0</v>
      </c>
      <c r="CQ57" s="307">
        <f t="shared" si="59"/>
        <v>0</v>
      </c>
      <c r="CR57" s="307">
        <f t="shared" si="60"/>
        <v>0</v>
      </c>
      <c r="CS57" s="307">
        <f t="shared" si="61"/>
        <v>0</v>
      </c>
      <c r="CT57" s="307">
        <f t="shared" si="62"/>
        <v>0</v>
      </c>
      <c r="CU57" s="307">
        <f t="shared" si="63"/>
        <v>0</v>
      </c>
      <c r="CV57" s="307">
        <f t="shared" si="64"/>
        <v>0</v>
      </c>
      <c r="CW57" s="307">
        <f t="shared" si="65"/>
        <v>0</v>
      </c>
      <c r="CX57" s="307">
        <f t="shared" si="66"/>
        <v>0</v>
      </c>
      <c r="CY57" s="307">
        <f t="shared" si="67"/>
        <v>0</v>
      </c>
      <c r="CZ57" s="307">
        <f t="shared" si="68"/>
        <v>0</v>
      </c>
      <c r="DA57" s="307">
        <f t="shared" si="69"/>
        <v>0</v>
      </c>
      <c r="DB57" s="307">
        <f t="shared" si="70"/>
        <v>0</v>
      </c>
      <c r="DC57" s="307">
        <f t="shared" si="71"/>
        <v>0</v>
      </c>
      <c r="DD57" s="307">
        <f t="shared" si="72"/>
        <v>0</v>
      </c>
      <c r="DE57" s="307">
        <f t="shared" si="73"/>
        <v>0</v>
      </c>
      <c r="DF57" s="307">
        <f t="shared" si="74"/>
        <v>0</v>
      </c>
      <c r="DG57" s="307">
        <f t="shared" si="75"/>
        <v>0</v>
      </c>
      <c r="DH57" s="307">
        <f t="shared" si="76"/>
        <v>0</v>
      </c>
      <c r="DI57" s="307">
        <f t="shared" si="77"/>
        <v>0</v>
      </c>
      <c r="DJ57" s="259">
        <f t="shared" si="5"/>
        <v>0</v>
      </c>
      <c r="DK57" s="325"/>
    </row>
    <row r="58" spans="2:115">
      <c r="B58" s="238"/>
      <c r="C58" s="238"/>
      <c r="D58" s="299"/>
      <c r="E58" s="300"/>
      <c r="F58" s="300"/>
      <c r="G58" s="300"/>
      <c r="H58" s="300"/>
      <c r="I58" s="300"/>
      <c r="J58" s="300"/>
      <c r="K58" s="300"/>
      <c r="L58" s="300"/>
      <c r="M58" s="300"/>
      <c r="N58" s="300"/>
      <c r="O58" s="300"/>
      <c r="P58" s="300"/>
      <c r="Q58" s="375"/>
      <c r="R58" s="300"/>
      <c r="S58" s="300"/>
      <c r="T58" s="300"/>
      <c r="U58" s="300"/>
      <c r="V58" s="300"/>
      <c r="W58" s="300"/>
      <c r="X58" s="301"/>
      <c r="Z58" s="321"/>
      <c r="AA58" s="252"/>
      <c r="AB58" s="252"/>
      <c r="AC58" s="252"/>
      <c r="AD58" s="252"/>
      <c r="AE58" s="252"/>
      <c r="AF58" s="252"/>
      <c r="AG58" s="252"/>
      <c r="AH58" s="252"/>
      <c r="AI58" s="252"/>
      <c r="AJ58" s="252"/>
      <c r="AK58" s="252"/>
      <c r="AL58" s="252"/>
      <c r="AM58" s="375"/>
      <c r="AN58" s="300"/>
      <c r="AO58" s="300"/>
      <c r="AP58" s="300"/>
      <c r="AQ58" s="300"/>
      <c r="AR58" s="300"/>
      <c r="AS58" s="300"/>
      <c r="AT58" s="301"/>
      <c r="AV58" s="254"/>
      <c r="AW58" s="311"/>
      <c r="AX58" s="311"/>
      <c r="AY58" s="311"/>
      <c r="AZ58" s="311"/>
      <c r="BA58" s="311"/>
      <c r="BB58" s="311"/>
      <c r="BC58" s="311"/>
      <c r="BD58" s="311"/>
      <c r="BE58" s="311"/>
      <c r="BF58" s="311"/>
      <c r="BG58" s="311"/>
      <c r="BH58" s="311"/>
      <c r="BI58" s="376"/>
      <c r="BJ58" s="311"/>
      <c r="BK58" s="311"/>
      <c r="BL58" s="311"/>
      <c r="BM58" s="311"/>
      <c r="BN58" s="311"/>
      <c r="BO58" s="311"/>
      <c r="BP58" s="312"/>
      <c r="BQ58" s="781">
        <f t="shared" si="32"/>
        <v>0</v>
      </c>
      <c r="BR58" s="306">
        <f t="shared" si="35"/>
        <v>0</v>
      </c>
      <c r="BS58" s="307">
        <f t="shared" si="36"/>
        <v>0</v>
      </c>
      <c r="BT58" s="307">
        <f t="shared" si="37"/>
        <v>0</v>
      </c>
      <c r="BU58" s="307">
        <f t="shared" si="38"/>
        <v>0</v>
      </c>
      <c r="BV58" s="307">
        <f t="shared" si="39"/>
        <v>0</v>
      </c>
      <c r="BW58" s="307">
        <f t="shared" si="40"/>
        <v>0</v>
      </c>
      <c r="BX58" s="307">
        <f t="shared" si="41"/>
        <v>0</v>
      </c>
      <c r="BY58" s="307">
        <f t="shared" si="42"/>
        <v>0</v>
      </c>
      <c r="BZ58" s="307">
        <f t="shared" si="43"/>
        <v>0</v>
      </c>
      <c r="CA58" s="307">
        <f t="shared" si="44"/>
        <v>0</v>
      </c>
      <c r="CB58" s="307">
        <f t="shared" si="45"/>
        <v>0</v>
      </c>
      <c r="CC58" s="307">
        <f t="shared" si="46"/>
        <v>0</v>
      </c>
      <c r="CD58" s="307">
        <f t="shared" si="47"/>
        <v>0</v>
      </c>
      <c r="CE58" s="307">
        <f t="shared" si="48"/>
        <v>0</v>
      </c>
      <c r="CF58" s="307">
        <f t="shared" si="49"/>
        <v>0</v>
      </c>
      <c r="CG58" s="307">
        <f t="shared" si="50"/>
        <v>0</v>
      </c>
      <c r="CH58" s="307">
        <f t="shared" si="51"/>
        <v>0</v>
      </c>
      <c r="CI58" s="307">
        <f t="shared" si="52"/>
        <v>0</v>
      </c>
      <c r="CJ58" s="307">
        <f t="shared" si="53"/>
        <v>0</v>
      </c>
      <c r="CK58" s="307">
        <f t="shared" si="54"/>
        <v>0</v>
      </c>
      <c r="CL58" s="307">
        <f t="shared" si="55"/>
        <v>0</v>
      </c>
      <c r="CM58" s="259">
        <f t="shared" si="9"/>
        <v>0</v>
      </c>
      <c r="CN58" s="325"/>
      <c r="CO58" s="306">
        <f t="shared" si="57"/>
        <v>0</v>
      </c>
      <c r="CP58" s="307">
        <f t="shared" si="58"/>
        <v>0</v>
      </c>
      <c r="CQ58" s="307">
        <f t="shared" si="59"/>
        <v>0</v>
      </c>
      <c r="CR58" s="307">
        <f t="shared" si="60"/>
        <v>0</v>
      </c>
      <c r="CS58" s="307">
        <f t="shared" si="61"/>
        <v>0</v>
      </c>
      <c r="CT58" s="307">
        <f t="shared" si="62"/>
        <v>0</v>
      </c>
      <c r="CU58" s="307">
        <f t="shared" si="63"/>
        <v>0</v>
      </c>
      <c r="CV58" s="307">
        <f t="shared" si="64"/>
        <v>0</v>
      </c>
      <c r="CW58" s="307">
        <f t="shared" si="65"/>
        <v>0</v>
      </c>
      <c r="CX58" s="307">
        <f t="shared" si="66"/>
        <v>0</v>
      </c>
      <c r="CY58" s="307">
        <f t="shared" si="67"/>
        <v>0</v>
      </c>
      <c r="CZ58" s="307">
        <f t="shared" si="68"/>
        <v>0</v>
      </c>
      <c r="DA58" s="307">
        <f t="shared" si="69"/>
        <v>0</v>
      </c>
      <c r="DB58" s="307">
        <f t="shared" si="70"/>
        <v>0</v>
      </c>
      <c r="DC58" s="307">
        <f t="shared" si="71"/>
        <v>0</v>
      </c>
      <c r="DD58" s="307">
        <f t="shared" si="72"/>
        <v>0</v>
      </c>
      <c r="DE58" s="307">
        <f t="shared" si="73"/>
        <v>0</v>
      </c>
      <c r="DF58" s="307">
        <f t="shared" si="74"/>
        <v>0</v>
      </c>
      <c r="DG58" s="307">
        <f t="shared" si="75"/>
        <v>0</v>
      </c>
      <c r="DH58" s="307">
        <f t="shared" si="76"/>
        <v>0</v>
      </c>
      <c r="DI58" s="307">
        <f t="shared" si="77"/>
        <v>0</v>
      </c>
      <c r="DJ58" s="259">
        <f t="shared" si="5"/>
        <v>0</v>
      </c>
      <c r="DK58" s="325"/>
    </row>
    <row r="59" spans="2:115">
      <c r="B59" s="238"/>
      <c r="C59" s="377"/>
      <c r="D59" s="309"/>
      <c r="E59" s="292"/>
      <c r="F59" s="292"/>
      <c r="G59" s="292"/>
      <c r="H59" s="292"/>
      <c r="I59" s="292"/>
      <c r="J59" s="292"/>
      <c r="K59" s="292"/>
      <c r="L59" s="292"/>
      <c r="M59" s="292"/>
      <c r="N59" s="292"/>
      <c r="O59" s="292"/>
      <c r="P59" s="292"/>
      <c r="Q59" s="291"/>
      <c r="R59" s="292"/>
      <c r="S59" s="292"/>
      <c r="T59" s="292"/>
      <c r="U59" s="292"/>
      <c r="V59" s="292"/>
      <c r="W59" s="292"/>
      <c r="X59" s="293"/>
      <c r="Z59" s="260"/>
      <c r="AA59" s="261"/>
      <c r="AB59" s="261"/>
      <c r="AC59" s="261"/>
      <c r="AD59" s="261"/>
      <c r="AE59" s="261"/>
      <c r="AF59" s="261"/>
      <c r="AG59" s="261"/>
      <c r="AH59" s="261"/>
      <c r="AI59" s="262"/>
      <c r="AJ59" s="262"/>
      <c r="AK59" s="262"/>
      <c r="AL59" s="262"/>
      <c r="AM59" s="378"/>
      <c r="AN59" s="262"/>
      <c r="AO59" s="262"/>
      <c r="AP59" s="262"/>
      <c r="AQ59" s="262"/>
      <c r="AR59" s="262"/>
      <c r="AS59" s="262"/>
      <c r="AT59" s="263"/>
      <c r="AV59" s="310"/>
      <c r="AW59" s="311"/>
      <c r="AX59" s="311"/>
      <c r="AY59" s="311"/>
      <c r="AZ59" s="311"/>
      <c r="BA59" s="311"/>
      <c r="BB59" s="311"/>
      <c r="BC59" s="311"/>
      <c r="BD59" s="311"/>
      <c r="BE59" s="311"/>
      <c r="BF59" s="311"/>
      <c r="BG59" s="311"/>
      <c r="BH59" s="311"/>
      <c r="BI59" s="376"/>
      <c r="BJ59" s="311"/>
      <c r="BK59" s="311"/>
      <c r="BL59" s="311"/>
      <c r="BM59" s="311"/>
      <c r="BN59" s="311"/>
      <c r="BO59" s="311"/>
      <c r="BP59" s="312"/>
      <c r="BQ59" s="781">
        <f t="shared" si="32"/>
        <v>0</v>
      </c>
      <c r="BR59" s="306">
        <f t="shared" si="35"/>
        <v>0</v>
      </c>
      <c r="BS59" s="307">
        <f t="shared" si="36"/>
        <v>0</v>
      </c>
      <c r="BT59" s="307">
        <f t="shared" si="37"/>
        <v>0</v>
      </c>
      <c r="BU59" s="307">
        <f t="shared" si="38"/>
        <v>0</v>
      </c>
      <c r="BV59" s="307">
        <f t="shared" si="39"/>
        <v>0</v>
      </c>
      <c r="BW59" s="307">
        <f t="shared" si="40"/>
        <v>0</v>
      </c>
      <c r="BX59" s="307">
        <f t="shared" si="41"/>
        <v>0</v>
      </c>
      <c r="BY59" s="307">
        <f t="shared" si="42"/>
        <v>0</v>
      </c>
      <c r="BZ59" s="307">
        <f t="shared" si="43"/>
        <v>0</v>
      </c>
      <c r="CA59" s="307">
        <f t="shared" si="44"/>
        <v>0</v>
      </c>
      <c r="CB59" s="307">
        <f t="shared" si="45"/>
        <v>0</v>
      </c>
      <c r="CC59" s="307">
        <f t="shared" si="46"/>
        <v>0</v>
      </c>
      <c r="CD59" s="307">
        <f t="shared" si="47"/>
        <v>0</v>
      </c>
      <c r="CE59" s="307">
        <f t="shared" si="48"/>
        <v>0</v>
      </c>
      <c r="CF59" s="307">
        <f t="shared" si="49"/>
        <v>0</v>
      </c>
      <c r="CG59" s="307">
        <f t="shared" si="50"/>
        <v>0</v>
      </c>
      <c r="CH59" s="307">
        <f t="shared" si="51"/>
        <v>0</v>
      </c>
      <c r="CI59" s="307">
        <f t="shared" si="52"/>
        <v>0</v>
      </c>
      <c r="CJ59" s="307">
        <f t="shared" si="53"/>
        <v>0</v>
      </c>
      <c r="CK59" s="307">
        <f t="shared" si="54"/>
        <v>0</v>
      </c>
      <c r="CL59" s="307">
        <f t="shared" si="55"/>
        <v>0</v>
      </c>
      <c r="CM59" s="259">
        <f t="shared" si="9"/>
        <v>0</v>
      </c>
      <c r="CN59" s="325"/>
      <c r="CO59" s="306">
        <f t="shared" si="57"/>
        <v>0</v>
      </c>
      <c r="CP59" s="307">
        <f t="shared" si="58"/>
        <v>0</v>
      </c>
      <c r="CQ59" s="307">
        <f t="shared" si="59"/>
        <v>0</v>
      </c>
      <c r="CR59" s="307">
        <f t="shared" si="60"/>
        <v>0</v>
      </c>
      <c r="CS59" s="307">
        <f t="shared" si="61"/>
        <v>0</v>
      </c>
      <c r="CT59" s="307">
        <f t="shared" si="62"/>
        <v>0</v>
      </c>
      <c r="CU59" s="307">
        <f t="shared" si="63"/>
        <v>0</v>
      </c>
      <c r="CV59" s="307">
        <f t="shared" si="64"/>
        <v>0</v>
      </c>
      <c r="CW59" s="307">
        <f t="shared" si="65"/>
        <v>0</v>
      </c>
      <c r="CX59" s="307">
        <f t="shared" si="66"/>
        <v>0</v>
      </c>
      <c r="CY59" s="307">
        <f t="shared" si="67"/>
        <v>0</v>
      </c>
      <c r="CZ59" s="307">
        <f t="shared" si="68"/>
        <v>0</v>
      </c>
      <c r="DA59" s="307">
        <f t="shared" si="69"/>
        <v>0</v>
      </c>
      <c r="DB59" s="307">
        <f t="shared" si="70"/>
        <v>0</v>
      </c>
      <c r="DC59" s="307">
        <f t="shared" si="71"/>
        <v>0</v>
      </c>
      <c r="DD59" s="307">
        <f t="shared" si="72"/>
        <v>0</v>
      </c>
      <c r="DE59" s="307">
        <f t="shared" si="73"/>
        <v>0</v>
      </c>
      <c r="DF59" s="307">
        <f t="shared" si="74"/>
        <v>0</v>
      </c>
      <c r="DG59" s="307">
        <f t="shared" si="75"/>
        <v>0</v>
      </c>
      <c r="DH59" s="307">
        <f t="shared" si="76"/>
        <v>0</v>
      </c>
      <c r="DI59" s="307">
        <f t="shared" si="77"/>
        <v>0</v>
      </c>
      <c r="DJ59" s="259">
        <f t="shared" si="5"/>
        <v>0</v>
      </c>
      <c r="DK59" s="325"/>
    </row>
    <row r="60" spans="2:115">
      <c r="B60" s="238"/>
      <c r="C60" s="377"/>
      <c r="D60" s="309"/>
      <c r="E60" s="292"/>
      <c r="F60" s="292"/>
      <c r="G60" s="292"/>
      <c r="H60" s="292"/>
      <c r="I60" s="292"/>
      <c r="J60" s="292"/>
      <c r="K60" s="292"/>
      <c r="L60" s="292"/>
      <c r="M60" s="292"/>
      <c r="N60" s="292"/>
      <c r="O60" s="292"/>
      <c r="P60" s="292"/>
      <c r="Q60" s="291"/>
      <c r="R60" s="292"/>
      <c r="S60" s="292"/>
      <c r="T60" s="292"/>
      <c r="U60" s="292"/>
      <c r="V60" s="292"/>
      <c r="W60" s="292"/>
      <c r="X60" s="293"/>
      <c r="Z60" s="260"/>
      <c r="AA60" s="261"/>
      <c r="AB60" s="261"/>
      <c r="AC60" s="261"/>
      <c r="AD60" s="261"/>
      <c r="AE60" s="261"/>
      <c r="AF60" s="261"/>
      <c r="AG60" s="261"/>
      <c r="AH60" s="261"/>
      <c r="AI60" s="262"/>
      <c r="AJ60" s="262"/>
      <c r="AK60" s="262"/>
      <c r="AL60" s="262"/>
      <c r="AM60" s="378"/>
      <c r="AN60" s="262"/>
      <c r="AO60" s="262"/>
      <c r="AP60" s="262"/>
      <c r="AQ60" s="262"/>
      <c r="AR60" s="262"/>
      <c r="AS60" s="262"/>
      <c r="AT60" s="263"/>
      <c r="AV60" s="310"/>
      <c r="AW60" s="311"/>
      <c r="AX60" s="311"/>
      <c r="AY60" s="311"/>
      <c r="AZ60" s="311"/>
      <c r="BA60" s="311"/>
      <c r="BB60" s="311"/>
      <c r="BC60" s="311"/>
      <c r="BD60" s="311"/>
      <c r="BE60" s="311"/>
      <c r="BF60" s="311"/>
      <c r="BG60" s="311"/>
      <c r="BH60" s="311"/>
      <c r="BI60" s="376"/>
      <c r="BJ60" s="311"/>
      <c r="BK60" s="311"/>
      <c r="BL60" s="311"/>
      <c r="BM60" s="311"/>
      <c r="BN60" s="311"/>
      <c r="BO60" s="311"/>
      <c r="BP60" s="312"/>
      <c r="BQ60" s="781">
        <f t="shared" si="32"/>
        <v>0</v>
      </c>
      <c r="BR60" s="306">
        <f t="shared" si="35"/>
        <v>0</v>
      </c>
      <c r="BS60" s="307">
        <f t="shared" si="36"/>
        <v>0</v>
      </c>
      <c r="BT60" s="307">
        <f t="shared" si="37"/>
        <v>0</v>
      </c>
      <c r="BU60" s="307">
        <f t="shared" si="38"/>
        <v>0</v>
      </c>
      <c r="BV60" s="307">
        <f t="shared" si="39"/>
        <v>0</v>
      </c>
      <c r="BW60" s="307">
        <f t="shared" si="40"/>
        <v>0</v>
      </c>
      <c r="BX60" s="307">
        <f t="shared" si="41"/>
        <v>0</v>
      </c>
      <c r="BY60" s="307">
        <f t="shared" si="42"/>
        <v>0</v>
      </c>
      <c r="BZ60" s="307">
        <f t="shared" si="43"/>
        <v>0</v>
      </c>
      <c r="CA60" s="307">
        <f t="shared" si="44"/>
        <v>0</v>
      </c>
      <c r="CB60" s="307">
        <f t="shared" si="45"/>
        <v>0</v>
      </c>
      <c r="CC60" s="307">
        <f t="shared" si="46"/>
        <v>0</v>
      </c>
      <c r="CD60" s="307">
        <f t="shared" si="47"/>
        <v>0</v>
      </c>
      <c r="CE60" s="307">
        <f t="shared" si="48"/>
        <v>0</v>
      </c>
      <c r="CF60" s="307">
        <f t="shared" si="49"/>
        <v>0</v>
      </c>
      <c r="CG60" s="307">
        <f t="shared" si="50"/>
        <v>0</v>
      </c>
      <c r="CH60" s="307">
        <f t="shared" si="51"/>
        <v>0</v>
      </c>
      <c r="CI60" s="307">
        <f t="shared" si="52"/>
        <v>0</v>
      </c>
      <c r="CJ60" s="307">
        <f t="shared" si="53"/>
        <v>0</v>
      </c>
      <c r="CK60" s="307">
        <f t="shared" si="54"/>
        <v>0</v>
      </c>
      <c r="CL60" s="307">
        <f t="shared" si="55"/>
        <v>0</v>
      </c>
      <c r="CM60" s="259">
        <f t="shared" si="9"/>
        <v>0</v>
      </c>
      <c r="CN60" s="325"/>
      <c r="CO60" s="306">
        <f t="shared" si="57"/>
        <v>0</v>
      </c>
      <c r="CP60" s="307">
        <f t="shared" si="58"/>
        <v>0</v>
      </c>
      <c r="CQ60" s="307">
        <f t="shared" si="59"/>
        <v>0</v>
      </c>
      <c r="CR60" s="307">
        <f t="shared" si="60"/>
        <v>0</v>
      </c>
      <c r="CS60" s="307">
        <f t="shared" si="61"/>
        <v>0</v>
      </c>
      <c r="CT60" s="307">
        <f t="shared" si="62"/>
        <v>0</v>
      </c>
      <c r="CU60" s="307">
        <f t="shared" si="63"/>
        <v>0</v>
      </c>
      <c r="CV60" s="307">
        <f t="shared" si="64"/>
        <v>0</v>
      </c>
      <c r="CW60" s="307">
        <f t="shared" si="65"/>
        <v>0</v>
      </c>
      <c r="CX60" s="307">
        <f t="shared" si="66"/>
        <v>0</v>
      </c>
      <c r="CY60" s="307">
        <f t="shared" si="67"/>
        <v>0</v>
      </c>
      <c r="CZ60" s="307">
        <f t="shared" si="68"/>
        <v>0</v>
      </c>
      <c r="DA60" s="307">
        <f t="shared" si="69"/>
        <v>0</v>
      </c>
      <c r="DB60" s="307">
        <f t="shared" si="70"/>
        <v>0</v>
      </c>
      <c r="DC60" s="307">
        <f t="shared" si="71"/>
        <v>0</v>
      </c>
      <c r="DD60" s="307">
        <f t="shared" si="72"/>
        <v>0</v>
      </c>
      <c r="DE60" s="307">
        <f t="shared" si="73"/>
        <v>0</v>
      </c>
      <c r="DF60" s="307">
        <f t="shared" si="74"/>
        <v>0</v>
      </c>
      <c r="DG60" s="307">
        <f t="shared" si="75"/>
        <v>0</v>
      </c>
      <c r="DH60" s="307">
        <f t="shared" si="76"/>
        <v>0</v>
      </c>
      <c r="DI60" s="307">
        <f t="shared" si="77"/>
        <v>0</v>
      </c>
      <c r="DJ60" s="259">
        <f t="shared" si="5"/>
        <v>0</v>
      </c>
      <c r="DK60" s="325"/>
    </row>
    <row r="61" spans="2:115">
      <c r="B61" s="238"/>
      <c r="C61" s="377"/>
      <c r="D61" s="309"/>
      <c r="E61" s="292"/>
      <c r="F61" s="292"/>
      <c r="G61" s="292"/>
      <c r="H61" s="292"/>
      <c r="I61" s="292"/>
      <c r="J61" s="292"/>
      <c r="K61" s="292"/>
      <c r="L61" s="292"/>
      <c r="M61" s="292"/>
      <c r="N61" s="292"/>
      <c r="O61" s="292"/>
      <c r="P61" s="292"/>
      <c r="Q61" s="291"/>
      <c r="R61" s="292"/>
      <c r="S61" s="292"/>
      <c r="T61" s="292"/>
      <c r="U61" s="292"/>
      <c r="V61" s="292"/>
      <c r="W61" s="292"/>
      <c r="X61" s="293"/>
      <c r="Z61" s="260"/>
      <c r="AA61" s="261"/>
      <c r="AB61" s="261"/>
      <c r="AC61" s="261"/>
      <c r="AD61" s="261"/>
      <c r="AE61" s="261"/>
      <c r="AF61" s="261"/>
      <c r="AG61" s="261"/>
      <c r="AH61" s="261"/>
      <c r="AI61" s="262"/>
      <c r="AJ61" s="262"/>
      <c r="AK61" s="262"/>
      <c r="AL61" s="262"/>
      <c r="AM61" s="378"/>
      <c r="AN61" s="262"/>
      <c r="AO61" s="262"/>
      <c r="AP61" s="262"/>
      <c r="AQ61" s="262"/>
      <c r="AR61" s="262"/>
      <c r="AS61" s="262"/>
      <c r="AT61" s="263"/>
      <c r="AV61" s="310"/>
      <c r="AW61" s="311"/>
      <c r="AX61" s="311"/>
      <c r="AY61" s="311"/>
      <c r="AZ61" s="311"/>
      <c r="BA61" s="311"/>
      <c r="BB61" s="311"/>
      <c r="BC61" s="311"/>
      <c r="BD61" s="311"/>
      <c r="BE61" s="311"/>
      <c r="BF61" s="311"/>
      <c r="BG61" s="311"/>
      <c r="BH61" s="311"/>
      <c r="BI61" s="376"/>
      <c r="BJ61" s="311"/>
      <c r="BK61" s="311"/>
      <c r="BL61" s="311"/>
      <c r="BM61" s="311"/>
      <c r="BN61" s="311"/>
      <c r="BO61" s="311"/>
      <c r="BP61" s="312"/>
      <c r="BQ61" s="781">
        <f t="shared" si="32"/>
        <v>0</v>
      </c>
      <c r="BR61" s="306">
        <f t="shared" si="35"/>
        <v>0</v>
      </c>
      <c r="BS61" s="307">
        <f t="shared" si="36"/>
        <v>0</v>
      </c>
      <c r="BT61" s="307">
        <f t="shared" si="37"/>
        <v>0</v>
      </c>
      <c r="BU61" s="307">
        <f t="shared" si="38"/>
        <v>0</v>
      </c>
      <c r="BV61" s="307">
        <f t="shared" si="39"/>
        <v>0</v>
      </c>
      <c r="BW61" s="307">
        <f t="shared" si="40"/>
        <v>0</v>
      </c>
      <c r="BX61" s="307">
        <f t="shared" si="41"/>
        <v>0</v>
      </c>
      <c r="BY61" s="307">
        <f t="shared" si="42"/>
        <v>0</v>
      </c>
      <c r="BZ61" s="307">
        <f t="shared" si="43"/>
        <v>0</v>
      </c>
      <c r="CA61" s="307">
        <f t="shared" si="44"/>
        <v>0</v>
      </c>
      <c r="CB61" s="307">
        <f t="shared" si="45"/>
        <v>0</v>
      </c>
      <c r="CC61" s="307">
        <f t="shared" si="46"/>
        <v>0</v>
      </c>
      <c r="CD61" s="307">
        <f t="shared" si="47"/>
        <v>0</v>
      </c>
      <c r="CE61" s="307">
        <f t="shared" si="48"/>
        <v>0</v>
      </c>
      <c r="CF61" s="307">
        <f t="shared" si="49"/>
        <v>0</v>
      </c>
      <c r="CG61" s="307">
        <f t="shared" si="50"/>
        <v>0</v>
      </c>
      <c r="CH61" s="307">
        <f t="shared" si="51"/>
        <v>0</v>
      </c>
      <c r="CI61" s="307">
        <f t="shared" si="52"/>
        <v>0</v>
      </c>
      <c r="CJ61" s="307">
        <f t="shared" si="53"/>
        <v>0</v>
      </c>
      <c r="CK61" s="307">
        <f t="shared" si="54"/>
        <v>0</v>
      </c>
      <c r="CL61" s="307">
        <f t="shared" si="55"/>
        <v>0</v>
      </c>
      <c r="CM61" s="259">
        <f t="shared" si="9"/>
        <v>0</v>
      </c>
      <c r="CN61" s="325"/>
      <c r="CO61" s="306">
        <f t="shared" si="57"/>
        <v>0</v>
      </c>
      <c r="CP61" s="307">
        <f t="shared" si="58"/>
        <v>0</v>
      </c>
      <c r="CQ61" s="307">
        <f t="shared" si="59"/>
        <v>0</v>
      </c>
      <c r="CR61" s="307">
        <f t="shared" si="60"/>
        <v>0</v>
      </c>
      <c r="CS61" s="307">
        <f t="shared" si="61"/>
        <v>0</v>
      </c>
      <c r="CT61" s="307">
        <f t="shared" si="62"/>
        <v>0</v>
      </c>
      <c r="CU61" s="307">
        <f t="shared" si="63"/>
        <v>0</v>
      </c>
      <c r="CV61" s="307">
        <f t="shared" si="64"/>
        <v>0</v>
      </c>
      <c r="CW61" s="307">
        <f t="shared" si="65"/>
        <v>0</v>
      </c>
      <c r="CX61" s="307">
        <f t="shared" si="66"/>
        <v>0</v>
      </c>
      <c r="CY61" s="307">
        <f t="shared" si="67"/>
        <v>0</v>
      </c>
      <c r="CZ61" s="307">
        <f t="shared" si="68"/>
        <v>0</v>
      </c>
      <c r="DA61" s="307">
        <f t="shared" si="69"/>
        <v>0</v>
      </c>
      <c r="DB61" s="307">
        <f t="shared" si="70"/>
        <v>0</v>
      </c>
      <c r="DC61" s="307">
        <f t="shared" si="71"/>
        <v>0</v>
      </c>
      <c r="DD61" s="307">
        <f t="shared" si="72"/>
        <v>0</v>
      </c>
      <c r="DE61" s="307">
        <f t="shared" si="73"/>
        <v>0</v>
      </c>
      <c r="DF61" s="307">
        <f t="shared" si="74"/>
        <v>0</v>
      </c>
      <c r="DG61" s="307">
        <f t="shared" si="75"/>
        <v>0</v>
      </c>
      <c r="DH61" s="307">
        <f t="shared" si="76"/>
        <v>0</v>
      </c>
      <c r="DI61" s="307">
        <f t="shared" si="77"/>
        <v>0</v>
      </c>
      <c r="DJ61" s="259">
        <f t="shared" si="5"/>
        <v>0</v>
      </c>
      <c r="DK61" s="325"/>
    </row>
    <row r="62" spans="2:115">
      <c r="B62" s="238"/>
      <c r="C62" s="377"/>
      <c r="D62" s="309"/>
      <c r="E62" s="292"/>
      <c r="F62" s="292"/>
      <c r="G62" s="292"/>
      <c r="H62" s="292"/>
      <c r="I62" s="292"/>
      <c r="J62" s="292"/>
      <c r="K62" s="292"/>
      <c r="L62" s="292"/>
      <c r="M62" s="292"/>
      <c r="N62" s="292"/>
      <c r="O62" s="292"/>
      <c r="P62" s="292"/>
      <c r="Q62" s="291"/>
      <c r="R62" s="292"/>
      <c r="S62" s="292"/>
      <c r="T62" s="292"/>
      <c r="U62" s="292"/>
      <c r="V62" s="292"/>
      <c r="W62" s="292"/>
      <c r="X62" s="293"/>
      <c r="Z62" s="260"/>
      <c r="AA62" s="261"/>
      <c r="AB62" s="261"/>
      <c r="AC62" s="261"/>
      <c r="AD62" s="261"/>
      <c r="AE62" s="261"/>
      <c r="AF62" s="261"/>
      <c r="AG62" s="261"/>
      <c r="AH62" s="261"/>
      <c r="AI62" s="262"/>
      <c r="AJ62" s="262"/>
      <c r="AK62" s="262"/>
      <c r="AL62" s="262"/>
      <c r="AM62" s="378"/>
      <c r="AN62" s="262"/>
      <c r="AO62" s="262"/>
      <c r="AP62" s="262"/>
      <c r="AQ62" s="262"/>
      <c r="AR62" s="262"/>
      <c r="AS62" s="262"/>
      <c r="AT62" s="263"/>
      <c r="AV62" s="310"/>
      <c r="AW62" s="311"/>
      <c r="AX62" s="311"/>
      <c r="AY62" s="311"/>
      <c r="AZ62" s="311"/>
      <c r="BA62" s="311"/>
      <c r="BB62" s="311"/>
      <c r="BC62" s="311"/>
      <c r="BD62" s="311"/>
      <c r="BE62" s="311"/>
      <c r="BF62" s="311"/>
      <c r="BG62" s="311"/>
      <c r="BH62" s="311"/>
      <c r="BI62" s="376"/>
      <c r="BJ62" s="311"/>
      <c r="BK62" s="311"/>
      <c r="BL62" s="311"/>
      <c r="BM62" s="311"/>
      <c r="BN62" s="311"/>
      <c r="BO62" s="311"/>
      <c r="BP62" s="312"/>
      <c r="BQ62" s="781">
        <f t="shared" si="32"/>
        <v>0</v>
      </c>
      <c r="BR62" s="306">
        <f t="shared" si="35"/>
        <v>0</v>
      </c>
      <c r="BS62" s="307">
        <f t="shared" si="36"/>
        <v>0</v>
      </c>
      <c r="BT62" s="307">
        <f t="shared" si="37"/>
        <v>0</v>
      </c>
      <c r="BU62" s="307">
        <f t="shared" si="38"/>
        <v>0</v>
      </c>
      <c r="BV62" s="307">
        <f t="shared" si="39"/>
        <v>0</v>
      </c>
      <c r="BW62" s="307">
        <f t="shared" si="40"/>
        <v>0</v>
      </c>
      <c r="BX62" s="307">
        <f t="shared" si="41"/>
        <v>0</v>
      </c>
      <c r="BY62" s="307">
        <f t="shared" si="42"/>
        <v>0</v>
      </c>
      <c r="BZ62" s="307">
        <f t="shared" si="43"/>
        <v>0</v>
      </c>
      <c r="CA62" s="307">
        <f t="shared" si="44"/>
        <v>0</v>
      </c>
      <c r="CB62" s="307">
        <f t="shared" si="45"/>
        <v>0</v>
      </c>
      <c r="CC62" s="307">
        <f t="shared" si="46"/>
        <v>0</v>
      </c>
      <c r="CD62" s="307">
        <f t="shared" si="47"/>
        <v>0</v>
      </c>
      <c r="CE62" s="307">
        <f t="shared" si="48"/>
        <v>0</v>
      </c>
      <c r="CF62" s="307">
        <f t="shared" si="49"/>
        <v>0</v>
      </c>
      <c r="CG62" s="307">
        <f t="shared" si="50"/>
        <v>0</v>
      </c>
      <c r="CH62" s="307">
        <f t="shared" si="51"/>
        <v>0</v>
      </c>
      <c r="CI62" s="307">
        <f t="shared" si="52"/>
        <v>0</v>
      </c>
      <c r="CJ62" s="307">
        <f t="shared" si="53"/>
        <v>0</v>
      </c>
      <c r="CK62" s="307">
        <f t="shared" si="54"/>
        <v>0</v>
      </c>
      <c r="CL62" s="307">
        <f t="shared" si="55"/>
        <v>0</v>
      </c>
      <c r="CM62" s="259">
        <f t="shared" si="9"/>
        <v>0</v>
      </c>
      <c r="CN62" s="325"/>
      <c r="CO62" s="306">
        <f t="shared" si="57"/>
        <v>0</v>
      </c>
      <c r="CP62" s="307">
        <f t="shared" si="58"/>
        <v>0</v>
      </c>
      <c r="CQ62" s="307">
        <f t="shared" si="59"/>
        <v>0</v>
      </c>
      <c r="CR62" s="307">
        <f t="shared" si="60"/>
        <v>0</v>
      </c>
      <c r="CS62" s="307">
        <f t="shared" si="61"/>
        <v>0</v>
      </c>
      <c r="CT62" s="307">
        <f t="shared" si="62"/>
        <v>0</v>
      </c>
      <c r="CU62" s="307">
        <f t="shared" si="63"/>
        <v>0</v>
      </c>
      <c r="CV62" s="307">
        <f t="shared" si="64"/>
        <v>0</v>
      </c>
      <c r="CW62" s="307">
        <f t="shared" si="65"/>
        <v>0</v>
      </c>
      <c r="CX62" s="307">
        <f t="shared" si="66"/>
        <v>0</v>
      </c>
      <c r="CY62" s="307">
        <f t="shared" si="67"/>
        <v>0</v>
      </c>
      <c r="CZ62" s="307">
        <f t="shared" si="68"/>
        <v>0</v>
      </c>
      <c r="DA62" s="307">
        <f t="shared" si="69"/>
        <v>0</v>
      </c>
      <c r="DB62" s="307">
        <f t="shared" si="70"/>
        <v>0</v>
      </c>
      <c r="DC62" s="307">
        <f t="shared" si="71"/>
        <v>0</v>
      </c>
      <c r="DD62" s="307">
        <f t="shared" si="72"/>
        <v>0</v>
      </c>
      <c r="DE62" s="307">
        <f t="shared" si="73"/>
        <v>0</v>
      </c>
      <c r="DF62" s="307">
        <f t="shared" si="74"/>
        <v>0</v>
      </c>
      <c r="DG62" s="307">
        <f t="shared" si="75"/>
        <v>0</v>
      </c>
      <c r="DH62" s="307">
        <f t="shared" si="76"/>
        <v>0</v>
      </c>
      <c r="DI62" s="307">
        <f t="shared" si="77"/>
        <v>0</v>
      </c>
      <c r="DJ62" s="259">
        <f t="shared" si="5"/>
        <v>0</v>
      </c>
      <c r="DK62" s="325"/>
    </row>
    <row r="63" spans="2:115">
      <c r="B63" s="238"/>
      <c r="C63" s="377"/>
      <c r="D63" s="309"/>
      <c r="E63" s="292"/>
      <c r="F63" s="292"/>
      <c r="G63" s="292"/>
      <c r="H63" s="292"/>
      <c r="I63" s="292"/>
      <c r="J63" s="292"/>
      <c r="K63" s="292"/>
      <c r="L63" s="292"/>
      <c r="M63" s="292"/>
      <c r="N63" s="292"/>
      <c r="O63" s="292"/>
      <c r="P63" s="292"/>
      <c r="Q63" s="291"/>
      <c r="R63" s="292"/>
      <c r="S63" s="292"/>
      <c r="T63" s="292"/>
      <c r="U63" s="292"/>
      <c r="V63" s="292"/>
      <c r="W63" s="292"/>
      <c r="X63" s="293"/>
      <c r="Z63" s="260"/>
      <c r="AA63" s="261"/>
      <c r="AB63" s="261"/>
      <c r="AC63" s="261"/>
      <c r="AD63" s="261"/>
      <c r="AE63" s="261"/>
      <c r="AF63" s="261"/>
      <c r="AG63" s="261"/>
      <c r="AH63" s="261"/>
      <c r="AI63" s="262"/>
      <c r="AJ63" s="262"/>
      <c r="AK63" s="262"/>
      <c r="AL63" s="262"/>
      <c r="AM63" s="378"/>
      <c r="AN63" s="262"/>
      <c r="AO63" s="262"/>
      <c r="AP63" s="262"/>
      <c r="AQ63" s="262"/>
      <c r="AR63" s="262"/>
      <c r="AS63" s="262"/>
      <c r="AT63" s="263"/>
      <c r="AV63" s="310"/>
      <c r="AW63" s="311"/>
      <c r="AX63" s="311"/>
      <c r="AY63" s="311"/>
      <c r="AZ63" s="311"/>
      <c r="BA63" s="311"/>
      <c r="BB63" s="311"/>
      <c r="BC63" s="311"/>
      <c r="BD63" s="311"/>
      <c r="BE63" s="311"/>
      <c r="BF63" s="311"/>
      <c r="BG63" s="311"/>
      <c r="BH63" s="311"/>
      <c r="BI63" s="376"/>
      <c r="BJ63" s="311"/>
      <c r="BK63" s="311"/>
      <c r="BL63" s="311"/>
      <c r="BM63" s="311"/>
      <c r="BN63" s="311"/>
      <c r="BO63" s="311"/>
      <c r="BP63" s="312"/>
      <c r="BQ63" s="781">
        <f t="shared" si="32"/>
        <v>0</v>
      </c>
      <c r="BR63" s="306">
        <f t="shared" si="35"/>
        <v>0</v>
      </c>
      <c r="BS63" s="307">
        <f t="shared" si="36"/>
        <v>0</v>
      </c>
      <c r="BT63" s="307">
        <f t="shared" si="37"/>
        <v>0</v>
      </c>
      <c r="BU63" s="307">
        <f t="shared" si="38"/>
        <v>0</v>
      </c>
      <c r="BV63" s="307">
        <f t="shared" si="39"/>
        <v>0</v>
      </c>
      <c r="BW63" s="307">
        <f t="shared" si="40"/>
        <v>0</v>
      </c>
      <c r="BX63" s="307">
        <f t="shared" si="41"/>
        <v>0</v>
      </c>
      <c r="BY63" s="307">
        <f t="shared" si="42"/>
        <v>0</v>
      </c>
      <c r="BZ63" s="307">
        <f t="shared" si="43"/>
        <v>0</v>
      </c>
      <c r="CA63" s="307">
        <f t="shared" si="44"/>
        <v>0</v>
      </c>
      <c r="CB63" s="307">
        <f t="shared" si="45"/>
        <v>0</v>
      </c>
      <c r="CC63" s="307">
        <f t="shared" si="46"/>
        <v>0</v>
      </c>
      <c r="CD63" s="307">
        <f t="shared" si="47"/>
        <v>0</v>
      </c>
      <c r="CE63" s="307">
        <f t="shared" si="48"/>
        <v>0</v>
      </c>
      <c r="CF63" s="307">
        <f t="shared" si="49"/>
        <v>0</v>
      </c>
      <c r="CG63" s="307">
        <f t="shared" si="50"/>
        <v>0</v>
      </c>
      <c r="CH63" s="307">
        <f t="shared" si="51"/>
        <v>0</v>
      </c>
      <c r="CI63" s="307">
        <f t="shared" si="52"/>
        <v>0</v>
      </c>
      <c r="CJ63" s="307">
        <f t="shared" si="53"/>
        <v>0</v>
      </c>
      <c r="CK63" s="307">
        <f t="shared" si="54"/>
        <v>0</v>
      </c>
      <c r="CL63" s="307">
        <f t="shared" si="55"/>
        <v>0</v>
      </c>
      <c r="CM63" s="259">
        <f t="shared" si="9"/>
        <v>0</v>
      </c>
      <c r="CN63" s="325"/>
      <c r="CO63" s="306">
        <f t="shared" si="57"/>
        <v>0</v>
      </c>
      <c r="CP63" s="307">
        <f t="shared" si="58"/>
        <v>0</v>
      </c>
      <c r="CQ63" s="307">
        <f t="shared" si="59"/>
        <v>0</v>
      </c>
      <c r="CR63" s="307">
        <f t="shared" si="60"/>
        <v>0</v>
      </c>
      <c r="CS63" s="307">
        <f t="shared" si="61"/>
        <v>0</v>
      </c>
      <c r="CT63" s="307">
        <f t="shared" si="62"/>
        <v>0</v>
      </c>
      <c r="CU63" s="307">
        <f t="shared" si="63"/>
        <v>0</v>
      </c>
      <c r="CV63" s="307">
        <f t="shared" si="64"/>
        <v>0</v>
      </c>
      <c r="CW63" s="307">
        <f t="shared" si="65"/>
        <v>0</v>
      </c>
      <c r="CX63" s="307">
        <f t="shared" si="66"/>
        <v>0</v>
      </c>
      <c r="CY63" s="307">
        <f t="shared" si="67"/>
        <v>0</v>
      </c>
      <c r="CZ63" s="307">
        <f t="shared" si="68"/>
        <v>0</v>
      </c>
      <c r="DA63" s="307">
        <f t="shared" si="69"/>
        <v>0</v>
      </c>
      <c r="DB63" s="307">
        <f t="shared" si="70"/>
        <v>0</v>
      </c>
      <c r="DC63" s="307">
        <f t="shared" si="71"/>
        <v>0</v>
      </c>
      <c r="DD63" s="307">
        <f t="shared" si="72"/>
        <v>0</v>
      </c>
      <c r="DE63" s="307">
        <f t="shared" si="73"/>
        <v>0</v>
      </c>
      <c r="DF63" s="307">
        <f t="shared" si="74"/>
        <v>0</v>
      </c>
      <c r="DG63" s="307">
        <f t="shared" si="75"/>
        <v>0</v>
      </c>
      <c r="DH63" s="307">
        <f t="shared" si="76"/>
        <v>0</v>
      </c>
      <c r="DI63" s="307">
        <f t="shared" si="77"/>
        <v>0</v>
      </c>
      <c r="DJ63" s="259">
        <f t="shared" si="5"/>
        <v>0</v>
      </c>
      <c r="DK63" s="325"/>
    </row>
    <row r="64" spans="2:115">
      <c r="B64" s="238"/>
      <c r="C64" s="377"/>
      <c r="D64" s="309"/>
      <c r="E64" s="292"/>
      <c r="F64" s="292"/>
      <c r="G64" s="292"/>
      <c r="H64" s="292"/>
      <c r="I64" s="292"/>
      <c r="J64" s="292"/>
      <c r="K64" s="292"/>
      <c r="L64" s="292"/>
      <c r="M64" s="292"/>
      <c r="N64" s="292"/>
      <c r="O64" s="292"/>
      <c r="P64" s="292"/>
      <c r="Q64" s="291"/>
      <c r="R64" s="292"/>
      <c r="S64" s="292"/>
      <c r="T64" s="292"/>
      <c r="U64" s="292"/>
      <c r="V64" s="292"/>
      <c r="W64" s="292"/>
      <c r="X64" s="293"/>
      <c r="Z64" s="260"/>
      <c r="AA64" s="261"/>
      <c r="AB64" s="261"/>
      <c r="AC64" s="261"/>
      <c r="AD64" s="261"/>
      <c r="AE64" s="261"/>
      <c r="AF64" s="261"/>
      <c r="AG64" s="261"/>
      <c r="AH64" s="261"/>
      <c r="AI64" s="262"/>
      <c r="AJ64" s="262"/>
      <c r="AK64" s="262"/>
      <c r="AL64" s="262"/>
      <c r="AM64" s="378"/>
      <c r="AN64" s="262"/>
      <c r="AO64" s="262"/>
      <c r="AP64" s="262"/>
      <c r="AQ64" s="262"/>
      <c r="AR64" s="262"/>
      <c r="AS64" s="262"/>
      <c r="AT64" s="263"/>
      <c r="AV64" s="310"/>
      <c r="AW64" s="311"/>
      <c r="AX64" s="311"/>
      <c r="AY64" s="311"/>
      <c r="AZ64" s="311"/>
      <c r="BA64" s="311"/>
      <c r="BB64" s="311"/>
      <c r="BC64" s="311"/>
      <c r="BD64" s="311"/>
      <c r="BE64" s="311"/>
      <c r="BF64" s="311"/>
      <c r="BG64" s="311"/>
      <c r="BH64" s="311"/>
      <c r="BI64" s="376"/>
      <c r="BJ64" s="311"/>
      <c r="BK64" s="311"/>
      <c r="BL64" s="311"/>
      <c r="BM64" s="311"/>
      <c r="BN64" s="311"/>
      <c r="BO64" s="311"/>
      <c r="BP64" s="312"/>
      <c r="BQ64" s="781">
        <f t="shared" si="32"/>
        <v>0</v>
      </c>
      <c r="BR64" s="306">
        <f t="shared" si="35"/>
        <v>0</v>
      </c>
      <c r="BS64" s="307">
        <f t="shared" si="36"/>
        <v>0</v>
      </c>
      <c r="BT64" s="307">
        <f t="shared" si="37"/>
        <v>0</v>
      </c>
      <c r="BU64" s="307">
        <f t="shared" si="38"/>
        <v>0</v>
      </c>
      <c r="BV64" s="307">
        <f t="shared" si="39"/>
        <v>0</v>
      </c>
      <c r="BW64" s="307">
        <f t="shared" si="40"/>
        <v>0</v>
      </c>
      <c r="BX64" s="307">
        <f t="shared" si="41"/>
        <v>0</v>
      </c>
      <c r="BY64" s="307">
        <f t="shared" si="42"/>
        <v>0</v>
      </c>
      <c r="BZ64" s="307">
        <f t="shared" si="43"/>
        <v>0</v>
      </c>
      <c r="CA64" s="307">
        <f t="shared" si="44"/>
        <v>0</v>
      </c>
      <c r="CB64" s="307">
        <f t="shared" si="45"/>
        <v>0</v>
      </c>
      <c r="CC64" s="307">
        <f t="shared" si="46"/>
        <v>0</v>
      </c>
      <c r="CD64" s="307">
        <f t="shared" si="47"/>
        <v>0</v>
      </c>
      <c r="CE64" s="307">
        <f t="shared" si="48"/>
        <v>0</v>
      </c>
      <c r="CF64" s="307">
        <f t="shared" si="49"/>
        <v>0</v>
      </c>
      <c r="CG64" s="307">
        <f t="shared" si="50"/>
        <v>0</v>
      </c>
      <c r="CH64" s="307">
        <f t="shared" si="51"/>
        <v>0</v>
      </c>
      <c r="CI64" s="307">
        <f t="shared" si="52"/>
        <v>0</v>
      </c>
      <c r="CJ64" s="307">
        <f t="shared" si="53"/>
        <v>0</v>
      </c>
      <c r="CK64" s="307">
        <f t="shared" si="54"/>
        <v>0</v>
      </c>
      <c r="CL64" s="307">
        <f t="shared" si="55"/>
        <v>0</v>
      </c>
      <c r="CM64" s="259">
        <f t="shared" si="9"/>
        <v>0</v>
      </c>
      <c r="CN64" s="325"/>
      <c r="CO64" s="306">
        <f t="shared" si="57"/>
        <v>0</v>
      </c>
      <c r="CP64" s="307">
        <f t="shared" si="58"/>
        <v>0</v>
      </c>
      <c r="CQ64" s="307">
        <f t="shared" si="59"/>
        <v>0</v>
      </c>
      <c r="CR64" s="307">
        <f t="shared" si="60"/>
        <v>0</v>
      </c>
      <c r="CS64" s="307">
        <f t="shared" si="61"/>
        <v>0</v>
      </c>
      <c r="CT64" s="307">
        <f t="shared" si="62"/>
        <v>0</v>
      </c>
      <c r="CU64" s="307">
        <f t="shared" si="63"/>
        <v>0</v>
      </c>
      <c r="CV64" s="307">
        <f t="shared" si="64"/>
        <v>0</v>
      </c>
      <c r="CW64" s="307">
        <f t="shared" si="65"/>
        <v>0</v>
      </c>
      <c r="CX64" s="307">
        <f t="shared" si="66"/>
        <v>0</v>
      </c>
      <c r="CY64" s="307">
        <f t="shared" si="67"/>
        <v>0</v>
      </c>
      <c r="CZ64" s="307">
        <f t="shared" si="68"/>
        <v>0</v>
      </c>
      <c r="DA64" s="307">
        <f t="shared" si="69"/>
        <v>0</v>
      </c>
      <c r="DB64" s="307">
        <f t="shared" si="70"/>
        <v>0</v>
      </c>
      <c r="DC64" s="307">
        <f t="shared" si="71"/>
        <v>0</v>
      </c>
      <c r="DD64" s="307">
        <f t="shared" si="72"/>
        <v>0</v>
      </c>
      <c r="DE64" s="307">
        <f t="shared" si="73"/>
        <v>0</v>
      </c>
      <c r="DF64" s="307">
        <f t="shared" si="74"/>
        <v>0</v>
      </c>
      <c r="DG64" s="307">
        <f t="shared" si="75"/>
        <v>0</v>
      </c>
      <c r="DH64" s="307">
        <f t="shared" si="76"/>
        <v>0</v>
      </c>
      <c r="DI64" s="307">
        <f t="shared" si="77"/>
        <v>0</v>
      </c>
      <c r="DJ64" s="259">
        <f t="shared" si="5"/>
        <v>0</v>
      </c>
      <c r="DK64" s="325"/>
    </row>
    <row r="65" spans="2:115" ht="13.5" thickBot="1">
      <c r="B65" s="264"/>
      <c r="C65" s="379"/>
      <c r="D65" s="313"/>
      <c r="E65" s="297"/>
      <c r="F65" s="297"/>
      <c r="G65" s="297"/>
      <c r="H65" s="297"/>
      <c r="I65" s="297"/>
      <c r="J65" s="297"/>
      <c r="K65" s="297"/>
      <c r="L65" s="297"/>
      <c r="M65" s="297"/>
      <c r="N65" s="297"/>
      <c r="O65" s="297"/>
      <c r="P65" s="297"/>
      <c r="Q65" s="296"/>
      <c r="R65" s="297"/>
      <c r="S65" s="297"/>
      <c r="T65" s="297"/>
      <c r="U65" s="297"/>
      <c r="V65" s="297"/>
      <c r="W65" s="297"/>
      <c r="X65" s="298"/>
      <c r="Z65" s="265"/>
      <c r="AA65" s="266"/>
      <c r="AB65" s="266"/>
      <c r="AC65" s="266"/>
      <c r="AD65" s="266"/>
      <c r="AE65" s="266"/>
      <c r="AF65" s="266"/>
      <c r="AG65" s="266"/>
      <c r="AH65" s="266"/>
      <c r="AI65" s="267"/>
      <c r="AJ65" s="267"/>
      <c r="AK65" s="267"/>
      <c r="AL65" s="267"/>
      <c r="AM65" s="380"/>
      <c r="AN65" s="267"/>
      <c r="AO65" s="267"/>
      <c r="AP65" s="267"/>
      <c r="AQ65" s="267"/>
      <c r="AR65" s="267"/>
      <c r="AS65" s="267"/>
      <c r="AT65" s="268"/>
      <c r="AV65" s="314"/>
      <c r="AW65" s="315"/>
      <c r="AX65" s="315"/>
      <c r="AY65" s="315"/>
      <c r="AZ65" s="315"/>
      <c r="BA65" s="315"/>
      <c r="BB65" s="315"/>
      <c r="BC65" s="315"/>
      <c r="BD65" s="315"/>
      <c r="BE65" s="315"/>
      <c r="BF65" s="315"/>
      <c r="BG65" s="315"/>
      <c r="BH65" s="315"/>
      <c r="BI65" s="381"/>
      <c r="BJ65" s="315"/>
      <c r="BK65" s="315"/>
      <c r="BL65" s="315"/>
      <c r="BM65" s="315"/>
      <c r="BN65" s="315"/>
      <c r="BO65" s="315"/>
      <c r="BP65" s="316"/>
      <c r="BQ65" s="781">
        <f t="shared" si="32"/>
        <v>0</v>
      </c>
      <c r="BR65" s="317">
        <f t="shared" si="35"/>
        <v>0</v>
      </c>
      <c r="BS65" s="318">
        <f t="shared" si="36"/>
        <v>0</v>
      </c>
      <c r="BT65" s="318">
        <f t="shared" si="37"/>
        <v>0</v>
      </c>
      <c r="BU65" s="318">
        <f t="shared" si="38"/>
        <v>0</v>
      </c>
      <c r="BV65" s="318">
        <f t="shared" si="39"/>
        <v>0</v>
      </c>
      <c r="BW65" s="318">
        <f t="shared" si="40"/>
        <v>0</v>
      </c>
      <c r="BX65" s="318">
        <f t="shared" si="41"/>
        <v>0</v>
      </c>
      <c r="BY65" s="318">
        <f t="shared" si="42"/>
        <v>0</v>
      </c>
      <c r="BZ65" s="318">
        <f t="shared" si="43"/>
        <v>0</v>
      </c>
      <c r="CA65" s="318">
        <f t="shared" si="44"/>
        <v>0</v>
      </c>
      <c r="CB65" s="318">
        <f t="shared" si="45"/>
        <v>0</v>
      </c>
      <c r="CC65" s="318">
        <f t="shared" si="46"/>
        <v>0</v>
      </c>
      <c r="CD65" s="318">
        <f t="shared" si="47"/>
        <v>0</v>
      </c>
      <c r="CE65" s="318">
        <f t="shared" si="48"/>
        <v>0</v>
      </c>
      <c r="CF65" s="318">
        <f t="shared" si="49"/>
        <v>0</v>
      </c>
      <c r="CG65" s="318">
        <f t="shared" si="50"/>
        <v>0</v>
      </c>
      <c r="CH65" s="318">
        <f t="shared" si="51"/>
        <v>0</v>
      </c>
      <c r="CI65" s="318">
        <f t="shared" si="52"/>
        <v>0</v>
      </c>
      <c r="CJ65" s="318">
        <f t="shared" si="53"/>
        <v>0</v>
      </c>
      <c r="CK65" s="318">
        <f t="shared" si="54"/>
        <v>0</v>
      </c>
      <c r="CL65" s="318">
        <f t="shared" si="55"/>
        <v>0</v>
      </c>
      <c r="CM65" s="275">
        <f t="shared" si="9"/>
        <v>0</v>
      </c>
      <c r="CN65" s="325"/>
      <c r="CO65" s="317">
        <f t="shared" si="57"/>
        <v>0</v>
      </c>
      <c r="CP65" s="318">
        <f t="shared" si="58"/>
        <v>0</v>
      </c>
      <c r="CQ65" s="318">
        <f t="shared" si="59"/>
        <v>0</v>
      </c>
      <c r="CR65" s="318">
        <f t="shared" si="60"/>
        <v>0</v>
      </c>
      <c r="CS65" s="318">
        <f t="shared" si="61"/>
        <v>0</v>
      </c>
      <c r="CT65" s="318">
        <f t="shared" si="62"/>
        <v>0</v>
      </c>
      <c r="CU65" s="318">
        <f t="shared" si="63"/>
        <v>0</v>
      </c>
      <c r="CV65" s="318">
        <f t="shared" si="64"/>
        <v>0</v>
      </c>
      <c r="CW65" s="318">
        <f t="shared" si="65"/>
        <v>0</v>
      </c>
      <c r="CX65" s="318">
        <f t="shared" si="66"/>
        <v>0</v>
      </c>
      <c r="CY65" s="318">
        <f t="shared" si="67"/>
        <v>0</v>
      </c>
      <c r="CZ65" s="318">
        <f t="shared" si="68"/>
        <v>0</v>
      </c>
      <c r="DA65" s="318">
        <f t="shared" si="69"/>
        <v>0</v>
      </c>
      <c r="DB65" s="318">
        <f t="shared" si="70"/>
        <v>0</v>
      </c>
      <c r="DC65" s="318">
        <f t="shared" si="71"/>
        <v>0</v>
      </c>
      <c r="DD65" s="318">
        <f t="shared" si="72"/>
        <v>0</v>
      </c>
      <c r="DE65" s="318">
        <f t="shared" si="73"/>
        <v>0</v>
      </c>
      <c r="DF65" s="318">
        <f t="shared" si="74"/>
        <v>0</v>
      </c>
      <c r="DG65" s="318">
        <f t="shared" si="75"/>
        <v>0</v>
      </c>
      <c r="DH65" s="318">
        <f t="shared" si="76"/>
        <v>0</v>
      </c>
      <c r="DI65" s="318">
        <f t="shared" si="77"/>
        <v>0</v>
      </c>
      <c r="DJ65" s="275">
        <f>SUM(CO65:DI65)</f>
        <v>0</v>
      </c>
      <c r="DK65" s="325"/>
    </row>
    <row r="66" spans="2:115" s="155" customFormat="1" ht="13.5" thickBot="1">
      <c r="AV66" s="382">
        <f>SUM(AV6:AV65)-SUM(AV17:AV20)</f>
        <v>822141.76627671765</v>
      </c>
      <c r="AW66" s="382">
        <f t="shared" ref="AW66:BP66" si="78">SUM(AW6:AW65)</f>
        <v>2529447017.5473452</v>
      </c>
      <c r="AX66" s="382">
        <f t="shared" si="78"/>
        <v>4181244955.9887743</v>
      </c>
      <c r="AY66" s="383">
        <f t="shared" si="78"/>
        <v>0</v>
      </c>
      <c r="AZ66" s="383">
        <f t="shared" si="78"/>
        <v>0</v>
      </c>
      <c r="BA66" s="382">
        <f t="shared" si="78"/>
        <v>3953804623.3863769</v>
      </c>
      <c r="BB66" s="382">
        <f t="shared" si="78"/>
        <v>0</v>
      </c>
      <c r="BC66" s="382">
        <f t="shared" si="78"/>
        <v>0</v>
      </c>
      <c r="BD66" s="382">
        <f t="shared" si="78"/>
        <v>0</v>
      </c>
      <c r="BE66" s="382">
        <f t="shared" si="78"/>
        <v>1560912.6426284716</v>
      </c>
      <c r="BF66" s="382">
        <f t="shared" si="78"/>
        <v>0</v>
      </c>
      <c r="BG66" s="382">
        <f t="shared" si="78"/>
        <v>1449407.0156687794</v>
      </c>
      <c r="BH66" s="382">
        <f t="shared" si="78"/>
        <v>2541452.8145899554</v>
      </c>
      <c r="BI66" s="382">
        <f t="shared" si="78"/>
        <v>1406089.7622498199</v>
      </c>
      <c r="BJ66" s="382">
        <f t="shared" si="78"/>
        <v>1775241.4930800435</v>
      </c>
      <c r="BK66" s="382">
        <f t="shared" si="78"/>
        <v>1651659.4664277681</v>
      </c>
      <c r="BL66" s="382">
        <f t="shared" si="78"/>
        <v>0</v>
      </c>
      <c r="BM66" s="382">
        <f t="shared" si="78"/>
        <v>4254857.3176637506</v>
      </c>
      <c r="BN66" s="382">
        <f t="shared" si="78"/>
        <v>5574059.2046070807</v>
      </c>
      <c r="BO66" s="382">
        <f t="shared" si="78"/>
        <v>5233513.7018682025</v>
      </c>
      <c r="BP66" s="382">
        <f t="shared" si="78"/>
        <v>0</v>
      </c>
      <c r="BR66" s="277">
        <f t="shared" ref="BR66:CM66" si="79">SUM(BR6:BR65)</f>
        <v>140517375.04959831</v>
      </c>
      <c r="BS66" s="277">
        <f t="shared" si="79"/>
        <v>136822358.90750831</v>
      </c>
      <c r="BT66" s="277">
        <f t="shared" si="79"/>
        <v>179686214.01100802</v>
      </c>
      <c r="BU66" s="277">
        <f t="shared" si="79"/>
        <v>0</v>
      </c>
      <c r="BV66" s="277">
        <f t="shared" si="79"/>
        <v>0</v>
      </c>
      <c r="BW66" s="277">
        <f t="shared" si="79"/>
        <v>60012791.805774346</v>
      </c>
      <c r="BX66" s="277">
        <f t="shared" si="79"/>
        <v>0</v>
      </c>
      <c r="BY66" s="277">
        <f t="shared" si="79"/>
        <v>0</v>
      </c>
      <c r="BZ66" s="277">
        <f t="shared" si="79"/>
        <v>0</v>
      </c>
      <c r="CA66" s="277">
        <f t="shared" si="79"/>
        <v>100427049.26903076</v>
      </c>
      <c r="CB66" s="277">
        <f t="shared" si="79"/>
        <v>0</v>
      </c>
      <c r="CC66" s="277">
        <f t="shared" si="79"/>
        <v>4625203.196190129</v>
      </c>
      <c r="CD66" s="277">
        <f t="shared" si="79"/>
        <v>4067032.2428263724</v>
      </c>
      <c r="CE66" s="277">
        <f t="shared" si="79"/>
        <v>138315.47862121064</v>
      </c>
      <c r="CF66" s="277">
        <f t="shared" si="79"/>
        <v>94687.755798923346</v>
      </c>
      <c r="CG66" s="277">
        <f t="shared" si="79"/>
        <v>37010.981066968605</v>
      </c>
      <c r="CH66" s="277">
        <f t="shared" si="79"/>
        <v>0</v>
      </c>
      <c r="CI66" s="277">
        <f t="shared" si="79"/>
        <v>414395.43862402515</v>
      </c>
      <c r="CJ66" s="277">
        <f t="shared" si="79"/>
        <v>299744.84858497663</v>
      </c>
      <c r="CK66" s="277">
        <f t="shared" si="79"/>
        <v>116142.46579653744</v>
      </c>
      <c r="CL66" s="277">
        <f t="shared" si="79"/>
        <v>0</v>
      </c>
      <c r="CM66" s="277">
        <f t="shared" si="79"/>
        <v>627258321.45042896</v>
      </c>
      <c r="CN66" s="325"/>
      <c r="CO66" s="277">
        <f t="shared" ref="CO66:DJ66" si="80">SUM(CO6:CO65)</f>
        <v>139887441.1951156</v>
      </c>
      <c r="CP66" s="277">
        <f t="shared" si="80"/>
        <v>139563854.19332981</v>
      </c>
      <c r="CQ66" s="277">
        <f t="shared" si="80"/>
        <v>190365814.13805953</v>
      </c>
      <c r="CR66" s="277">
        <f t="shared" si="80"/>
        <v>0</v>
      </c>
      <c r="CS66" s="277">
        <f t="shared" si="80"/>
        <v>0</v>
      </c>
      <c r="CT66" s="277">
        <f t="shared" si="80"/>
        <v>59717309.249887928</v>
      </c>
      <c r="CU66" s="277">
        <f t="shared" si="80"/>
        <v>0</v>
      </c>
      <c r="CV66" s="277">
        <f t="shared" si="80"/>
        <v>0</v>
      </c>
      <c r="CW66" s="277">
        <f t="shared" si="80"/>
        <v>0</v>
      </c>
      <c r="CX66" s="277">
        <f t="shared" si="80"/>
        <v>97696886.382356808</v>
      </c>
      <c r="CY66" s="277">
        <f t="shared" si="80"/>
        <v>0</v>
      </c>
      <c r="CZ66" s="277">
        <f t="shared" si="80"/>
        <v>2450.7127587541004</v>
      </c>
      <c r="DA66" s="277">
        <f t="shared" si="80"/>
        <v>1404.4473588927078</v>
      </c>
      <c r="DB66" s="277">
        <f t="shared" si="80"/>
        <v>142662.53277380118</v>
      </c>
      <c r="DC66" s="277">
        <f t="shared" si="80"/>
        <v>96403.627410599482</v>
      </c>
      <c r="DD66" s="277">
        <f t="shared" si="80"/>
        <v>37819.844849194917</v>
      </c>
      <c r="DE66" s="277">
        <f t="shared" si="80"/>
        <v>0</v>
      </c>
      <c r="DF66" s="277">
        <f t="shared" si="80"/>
        <v>427298.6471589086</v>
      </c>
      <c r="DG66" s="277">
        <f t="shared" si="80"/>
        <v>305049.16989760328</v>
      </c>
      <c r="DH66" s="277">
        <f t="shared" si="80"/>
        <v>118300.65738398916</v>
      </c>
      <c r="DI66" s="277">
        <f t="shared" si="80"/>
        <v>0</v>
      </c>
      <c r="DJ66" s="277">
        <f t="shared" si="80"/>
        <v>628362694.79834139</v>
      </c>
      <c r="DK66" s="325"/>
    </row>
    <row r="67" spans="2:115" s="155" customFormat="1" ht="13.5" thickTop="1">
      <c r="AV67" s="677"/>
      <c r="AW67" s="677"/>
      <c r="AX67" s="677"/>
      <c r="AY67" s="677"/>
      <c r="AZ67" s="677"/>
      <c r="BA67" s="677"/>
      <c r="BB67" s="677"/>
      <c r="BC67" s="677"/>
      <c r="BD67" s="677"/>
      <c r="BE67" s="677"/>
      <c r="BF67" s="677"/>
      <c r="BG67" s="677"/>
      <c r="BH67" s="677"/>
      <c r="BI67" s="677"/>
      <c r="BJ67" s="677"/>
      <c r="BK67" s="677"/>
      <c r="BL67" s="677"/>
      <c r="BM67" s="677"/>
      <c r="BN67" s="677"/>
      <c r="BO67" s="677"/>
      <c r="BP67" s="677"/>
      <c r="CM67" s="674">
        <v>0</v>
      </c>
      <c r="CN67" s="325"/>
      <c r="DJ67" s="675">
        <v>0</v>
      </c>
      <c r="DK67" s="325"/>
    </row>
    <row r="68" spans="2:115" s="155" customFormat="1"/>
    <row r="69" spans="2:115" s="155" customFormat="1">
      <c r="CO69" s="588"/>
      <c r="CP69" s="588"/>
      <c r="CQ69" s="588"/>
      <c r="CR69" s="588"/>
      <c r="CS69" s="588"/>
      <c r="CT69" s="588"/>
      <c r="CU69" s="588"/>
      <c r="CV69" s="588"/>
      <c r="CW69" s="588"/>
      <c r="CX69" s="588"/>
      <c r="CY69" s="588"/>
      <c r="CZ69" s="588"/>
      <c r="DA69" s="588"/>
      <c r="DB69" s="588"/>
      <c r="DC69" s="588"/>
      <c r="DD69" s="588"/>
      <c r="DE69" s="588"/>
      <c r="DF69" s="588"/>
      <c r="DG69" s="588"/>
      <c r="DH69" s="588"/>
      <c r="DI69" s="588"/>
      <c r="DJ69" s="588"/>
    </row>
    <row r="70" spans="2:115" s="155" customFormat="1">
      <c r="CO70" s="588"/>
      <c r="CP70" s="588"/>
      <c r="CQ70" s="588"/>
      <c r="CR70" s="588"/>
      <c r="CS70" s="588"/>
      <c r="CT70" s="588"/>
      <c r="CU70" s="588"/>
      <c r="CV70" s="588"/>
      <c r="CW70" s="588"/>
      <c r="CX70" s="588"/>
      <c r="CY70" s="588"/>
      <c r="CZ70" s="588"/>
      <c r="DA70" s="588"/>
      <c r="DB70" s="588"/>
      <c r="DC70" s="588"/>
      <c r="DD70" s="588"/>
      <c r="DE70" s="588"/>
      <c r="DF70" s="588"/>
      <c r="DG70" s="588"/>
      <c r="DH70" s="588"/>
      <c r="DI70" s="588"/>
      <c r="DJ70" s="588"/>
    </row>
    <row r="71" spans="2:115" s="155" customFormat="1"/>
    <row r="72" spans="2:115" s="155" customFormat="1"/>
    <row r="73" spans="2:115" s="155" customFormat="1"/>
    <row r="74" spans="2:115" s="155" customFormat="1"/>
    <row r="75" spans="2:115" s="155" customFormat="1"/>
    <row r="76" spans="2:115" s="155" customFormat="1"/>
    <row r="77" spans="2:115" s="155" customFormat="1"/>
    <row r="78" spans="2:115" s="155" customFormat="1"/>
    <row r="79" spans="2:115" s="155" customFormat="1"/>
    <row r="80" spans="2:115" s="155" customFormat="1"/>
    <row r="81" s="155" customFormat="1"/>
    <row r="82" s="155" customFormat="1"/>
    <row r="83" s="155" customFormat="1"/>
    <row r="84" s="155" customFormat="1"/>
    <row r="85" s="155" customFormat="1"/>
    <row r="86" s="155" customFormat="1"/>
    <row r="87" s="155" customFormat="1"/>
    <row r="88" s="155" customFormat="1"/>
    <row r="89" s="155" customFormat="1"/>
    <row r="90" s="155" customFormat="1"/>
    <row r="91" s="155" customFormat="1"/>
    <row r="92" s="155" customFormat="1"/>
    <row r="93" s="155" customFormat="1"/>
    <row r="94" s="155" customFormat="1"/>
    <row r="95" s="155" customFormat="1"/>
    <row r="96" s="155" customFormat="1"/>
    <row r="97" s="155" customFormat="1"/>
    <row r="98" s="155" customFormat="1"/>
    <row r="99" s="155" customFormat="1"/>
    <row r="100" s="155" customFormat="1"/>
    <row r="101" s="155" customFormat="1"/>
    <row r="102" s="155" customFormat="1"/>
    <row r="103" s="155" customFormat="1"/>
    <row r="104" s="155" customFormat="1"/>
    <row r="105" s="155" customFormat="1"/>
  </sheetData>
  <dataConsolidate/>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3"/>
    <pageSetUpPr autoPageBreaks="0"/>
  </sheetPr>
  <dimension ref="A1:BU105"/>
  <sheetViews>
    <sheetView zoomScale="80" zoomScaleNormal="80" zoomScaleSheetLayoutView="85" workbookViewId="0">
      <pane xSplit="3" ySplit="5" topLeftCell="D6" activePane="bottomRight" state="frozen"/>
      <selection activeCell="B33" sqref="B33"/>
      <selection pane="topRight" activeCell="B33" sqref="B33"/>
      <selection pane="bottomLeft" activeCell="B33" sqref="B33"/>
      <selection pane="bottomRight" activeCell="F36" sqref="F36"/>
    </sheetView>
  </sheetViews>
  <sheetFormatPr defaultRowHeight="12.75"/>
  <cols>
    <col min="1" max="1" width="8.5703125" style="764" bestFit="1" customWidth="1"/>
    <col min="2" max="3" width="45" style="764" customWidth="1"/>
    <col min="4" max="4" width="1.85546875" style="764" customWidth="1"/>
    <col min="5" max="5" width="15.7109375" style="764" bestFit="1" customWidth="1"/>
    <col min="6" max="6" width="19.140625" style="764" bestFit="1" customWidth="1"/>
    <col min="7" max="7" width="17.85546875" style="764" bestFit="1" customWidth="1"/>
    <col min="8" max="8" width="15.7109375" style="764" customWidth="1"/>
    <col min="9" max="9" width="17.85546875" style="764" bestFit="1" customWidth="1"/>
    <col min="10" max="10" width="19.140625" style="764" bestFit="1" customWidth="1"/>
    <col min="11" max="12" width="17.85546875" style="764" bestFit="1" customWidth="1"/>
    <col min="13" max="13" width="10" style="764" bestFit="1" customWidth="1"/>
    <col min="14" max="14" width="13.140625" style="764" bestFit="1" customWidth="1"/>
    <col min="15" max="15" width="11.28515625" style="764" bestFit="1" customWidth="1"/>
    <col min="16" max="16" width="12.140625" style="764" customWidth="1"/>
    <col min="17" max="17" width="14.140625" style="764" customWidth="1"/>
    <col min="18" max="20" width="15.7109375" style="764" bestFit="1" customWidth="1"/>
    <col min="21" max="21" width="10.28515625" style="764" customWidth="1"/>
    <col min="22" max="22" width="14.7109375" style="764" customWidth="1"/>
    <col min="23" max="23" width="14.85546875" style="764" bestFit="1" customWidth="1"/>
    <col min="24" max="24" width="14.85546875" style="764" customWidth="1"/>
    <col min="25" max="25" width="10.7109375" style="764" customWidth="1"/>
    <col min="26" max="26" width="19.140625" style="764" customWidth="1"/>
    <col min="27" max="27" width="14.42578125" style="764" bestFit="1" customWidth="1"/>
    <col min="28" max="28" width="15.7109375" style="764" bestFit="1" customWidth="1"/>
    <col min="29" max="29" width="15.5703125" style="764" customWidth="1"/>
    <col min="30" max="32" width="14.42578125" style="764" bestFit="1" customWidth="1"/>
    <col min="33" max="35" width="9.85546875" style="764" bestFit="1" customWidth="1"/>
    <col min="36" max="36" width="16.28515625" style="764" customWidth="1"/>
    <col min="37" max="39" width="10.5703125" style="764" bestFit="1" customWidth="1"/>
    <col min="40" max="41" width="17.85546875" style="764" bestFit="1" customWidth="1"/>
    <col min="42" max="42" width="15.7109375" style="764" bestFit="1" customWidth="1"/>
    <col min="43" max="43" width="10.42578125" style="764" customWidth="1"/>
    <col min="44" max="44" width="14.42578125" style="764" bestFit="1" customWidth="1"/>
    <col min="45" max="45" width="13.140625" style="764" bestFit="1" customWidth="1"/>
    <col min="46" max="46" width="12.42578125" style="764" bestFit="1" customWidth="1"/>
    <col min="47" max="47" width="9.85546875" style="764" bestFit="1" customWidth="1"/>
    <col min="48" max="48" width="17.85546875" style="764" customWidth="1"/>
    <col min="49" max="49" width="1.5703125" style="764" customWidth="1"/>
    <col min="50" max="50" width="14.5703125" style="764" customWidth="1"/>
    <col min="51" max="51" width="15.7109375" style="764" bestFit="1" customWidth="1"/>
    <col min="52" max="52" width="15.85546875" style="764" customWidth="1"/>
    <col min="53" max="55" width="14.42578125" style="764" bestFit="1" customWidth="1"/>
    <col min="56" max="58" width="10" style="764" bestFit="1" customWidth="1"/>
    <col min="59" max="59" width="18.140625" style="764" customWidth="1"/>
    <col min="60" max="60" width="13.85546875" style="764" customWidth="1"/>
    <col min="61" max="62" width="10.5703125" style="764" bestFit="1" customWidth="1"/>
    <col min="63" max="65" width="17.85546875" style="764" bestFit="1" customWidth="1"/>
    <col min="66" max="66" width="9.140625" style="764"/>
    <col min="67" max="67" width="14.42578125" style="764" bestFit="1" customWidth="1"/>
    <col min="68" max="68" width="13.28515625" style="764" customWidth="1"/>
    <col min="69" max="69" width="12.42578125" style="764" bestFit="1" customWidth="1"/>
    <col min="70" max="70" width="10" style="764" bestFit="1" customWidth="1"/>
    <col min="71" max="71" width="17.85546875" style="764" bestFit="1" customWidth="1"/>
    <col min="72" max="16384" width="9.140625" style="764"/>
  </cols>
  <sheetData>
    <row r="1" spans="1:26" ht="15">
      <c r="B1" s="154" t="str">
        <f>"Tariff Approval - "&amp;'Model update'!$C$3</f>
        <v>Tariff Approval - Powercor</v>
      </c>
      <c r="C1" s="154"/>
    </row>
    <row r="2" spans="1:26">
      <c r="B2" s="791" t="s">
        <v>792</v>
      </c>
    </row>
    <row r="3" spans="1:26">
      <c r="B3" s="227" t="s">
        <v>793</v>
      </c>
      <c r="C3" s="227"/>
    </row>
    <row r="4" spans="1:26" ht="13.5" thickBot="1">
      <c r="B4" s="792" t="s">
        <v>794</v>
      </c>
      <c r="C4" s="618"/>
      <c r="E4" s="229" t="str">
        <f>"Forecast Quantities (Qt) for "&amp;'Model update'!$C$5</f>
        <v>Forecast Quantities (Qt) for 2018</v>
      </c>
      <c r="F4" s="230"/>
      <c r="G4" s="230"/>
      <c r="H4" s="230"/>
      <c r="I4" s="230"/>
    </row>
    <row r="5" spans="1:26" ht="38.25">
      <c r="B5" s="233" t="s">
        <v>128</v>
      </c>
      <c r="C5" s="371" t="s">
        <v>129</v>
      </c>
      <c r="E5" s="234" t="s">
        <v>201</v>
      </c>
      <c r="F5" s="235" t="s">
        <v>585</v>
      </c>
      <c r="G5" s="235" t="s">
        <v>586</v>
      </c>
      <c r="H5" s="235"/>
      <c r="I5" s="235"/>
      <c r="J5" s="235" t="s">
        <v>587</v>
      </c>
      <c r="K5" s="235"/>
      <c r="L5" s="235"/>
      <c r="M5" s="235"/>
      <c r="N5" s="235" t="s">
        <v>588</v>
      </c>
      <c r="O5" s="235" t="s">
        <v>589</v>
      </c>
      <c r="P5" s="235" t="s">
        <v>590</v>
      </c>
      <c r="Q5" s="235" t="s">
        <v>591</v>
      </c>
      <c r="R5" s="236" t="s">
        <v>202</v>
      </c>
      <c r="S5" s="235" t="s">
        <v>203</v>
      </c>
      <c r="T5" s="235" t="s">
        <v>204</v>
      </c>
      <c r="U5" s="235"/>
      <c r="V5" s="235" t="s">
        <v>205</v>
      </c>
      <c r="W5" s="235" t="s">
        <v>206</v>
      </c>
      <c r="X5" s="235" t="s">
        <v>207</v>
      </c>
      <c r="Y5" s="237"/>
      <c r="Z5" s="780"/>
    </row>
    <row r="6" spans="1:26">
      <c r="B6" s="765"/>
      <c r="C6" s="765"/>
      <c r="E6" s="755"/>
      <c r="F6" s="255"/>
      <c r="G6" s="255"/>
      <c r="H6" s="255"/>
      <c r="I6" s="255"/>
      <c r="J6" s="255"/>
      <c r="K6" s="255"/>
      <c r="L6" s="255"/>
      <c r="M6" s="255"/>
      <c r="N6" s="255"/>
      <c r="O6" s="255"/>
      <c r="P6" s="255"/>
      <c r="Q6" s="255"/>
      <c r="R6" s="374"/>
      <c r="S6" s="255"/>
      <c r="T6" s="255"/>
      <c r="U6" s="255"/>
      <c r="V6" s="255"/>
      <c r="W6" s="255"/>
      <c r="X6" s="255"/>
      <c r="Y6" s="256"/>
      <c r="Z6" s="780"/>
    </row>
    <row r="7" spans="1:26">
      <c r="A7" s="764" t="s">
        <v>606</v>
      </c>
      <c r="B7" s="765" t="s">
        <v>161</v>
      </c>
      <c r="C7" s="765" t="s">
        <v>161</v>
      </c>
      <c r="D7" s="325"/>
      <c r="E7" s="769">
        <v>539032.46582811594</v>
      </c>
      <c r="F7" s="770">
        <v>2272899089.5894732</v>
      </c>
      <c r="G7" s="770">
        <v>0</v>
      </c>
      <c r="H7" s="770">
        <v>0</v>
      </c>
      <c r="I7" s="770">
        <v>0</v>
      </c>
      <c r="J7" s="770">
        <v>0</v>
      </c>
      <c r="K7" s="770">
        <v>0</v>
      </c>
      <c r="L7" s="770">
        <v>0</v>
      </c>
      <c r="M7" s="770">
        <v>0</v>
      </c>
      <c r="N7" s="770">
        <v>0</v>
      </c>
      <c r="O7" s="770">
        <v>0</v>
      </c>
      <c r="P7" s="770">
        <v>0</v>
      </c>
      <c r="Q7" s="770">
        <v>0</v>
      </c>
      <c r="R7" s="770">
        <v>0</v>
      </c>
      <c r="S7" s="770">
        <v>0</v>
      </c>
      <c r="T7" s="770">
        <v>0</v>
      </c>
      <c r="U7" s="770">
        <v>0</v>
      </c>
      <c r="V7" s="770">
        <v>0</v>
      </c>
      <c r="W7" s="770">
        <v>0</v>
      </c>
      <c r="X7" s="770">
        <v>0</v>
      </c>
      <c r="Y7" s="761">
        <v>0</v>
      </c>
      <c r="Z7" s="781"/>
    </row>
    <row r="8" spans="1:26">
      <c r="A8" s="764" t="s">
        <v>607</v>
      </c>
      <c r="B8" s="765" t="s">
        <v>162</v>
      </c>
      <c r="C8" s="765" t="s">
        <v>162</v>
      </c>
      <c r="E8" s="762">
        <v>16710.636963036683</v>
      </c>
      <c r="F8" s="770">
        <v>0</v>
      </c>
      <c r="G8" s="770">
        <v>9017601.6452304553</v>
      </c>
      <c r="H8" s="770">
        <v>0</v>
      </c>
      <c r="I8" s="770">
        <v>0</v>
      </c>
      <c r="J8" s="770">
        <v>18758723.332495101</v>
      </c>
      <c r="K8" s="770">
        <v>0</v>
      </c>
      <c r="L8" s="770">
        <v>0</v>
      </c>
      <c r="M8" s="770">
        <v>0</v>
      </c>
      <c r="N8" s="770">
        <v>0</v>
      </c>
      <c r="O8" s="770">
        <v>0</v>
      </c>
      <c r="P8" s="770">
        <v>0</v>
      </c>
      <c r="Q8" s="770">
        <v>0</v>
      </c>
      <c r="R8" s="770">
        <v>0</v>
      </c>
      <c r="S8" s="770">
        <v>0</v>
      </c>
      <c r="T8" s="770">
        <v>0</v>
      </c>
      <c r="U8" s="770">
        <v>0</v>
      </c>
      <c r="V8" s="770">
        <v>0</v>
      </c>
      <c r="W8" s="770">
        <v>0</v>
      </c>
      <c r="X8" s="770">
        <v>0</v>
      </c>
      <c r="Y8" s="761">
        <v>0</v>
      </c>
      <c r="Z8" s="781"/>
    </row>
    <row r="9" spans="1:26">
      <c r="A9" s="764" t="s">
        <v>608</v>
      </c>
      <c r="B9" s="765" t="s">
        <v>163</v>
      </c>
      <c r="C9" s="765" t="s">
        <v>163</v>
      </c>
      <c r="E9" s="762">
        <v>4570.6460355197851</v>
      </c>
      <c r="F9" s="770">
        <v>0</v>
      </c>
      <c r="G9" s="770">
        <v>2542127.9655480371</v>
      </c>
      <c r="H9" s="770">
        <v>0</v>
      </c>
      <c r="I9" s="770">
        <v>0</v>
      </c>
      <c r="J9" s="770">
        <v>5918747.1318818275</v>
      </c>
      <c r="K9" s="770">
        <v>0</v>
      </c>
      <c r="L9" s="770">
        <v>0</v>
      </c>
      <c r="M9" s="770">
        <v>0</v>
      </c>
      <c r="N9" s="770">
        <v>0</v>
      </c>
      <c r="O9" s="770">
        <v>0</v>
      </c>
      <c r="P9" s="770">
        <v>0</v>
      </c>
      <c r="Q9" s="770">
        <v>0</v>
      </c>
      <c r="R9" s="770">
        <v>0</v>
      </c>
      <c r="S9" s="770">
        <v>0</v>
      </c>
      <c r="T9" s="770">
        <v>0</v>
      </c>
      <c r="U9" s="770">
        <v>0</v>
      </c>
      <c r="V9" s="770">
        <v>0</v>
      </c>
      <c r="W9" s="770">
        <v>0</v>
      </c>
      <c r="X9" s="770">
        <v>0</v>
      </c>
      <c r="Y9" s="761">
        <v>0</v>
      </c>
      <c r="Z9" s="781"/>
    </row>
    <row r="10" spans="1:26">
      <c r="A10" s="764" t="s">
        <v>609</v>
      </c>
      <c r="B10" s="765" t="s">
        <v>164</v>
      </c>
      <c r="C10" s="765" t="s">
        <v>164</v>
      </c>
      <c r="E10" s="762">
        <v>2967.2671330352036</v>
      </c>
      <c r="F10" s="770">
        <v>0</v>
      </c>
      <c r="G10" s="770">
        <v>0</v>
      </c>
      <c r="H10" s="770">
        <v>0</v>
      </c>
      <c r="I10" s="770">
        <v>0</v>
      </c>
      <c r="J10" s="770">
        <v>0</v>
      </c>
      <c r="K10" s="770">
        <v>0</v>
      </c>
      <c r="L10" s="770">
        <v>0</v>
      </c>
      <c r="M10" s="770">
        <v>0</v>
      </c>
      <c r="N10" s="770">
        <v>0</v>
      </c>
      <c r="O10" s="770">
        <v>0</v>
      </c>
      <c r="P10" s="770">
        <v>0</v>
      </c>
      <c r="Q10" s="770">
        <v>0</v>
      </c>
      <c r="R10" s="770">
        <v>956328.95984420308</v>
      </c>
      <c r="S10" s="770">
        <v>1626467.6717377924</v>
      </c>
      <c r="T10" s="770">
        <v>1172486.5586365885</v>
      </c>
      <c r="U10" s="770">
        <v>0</v>
      </c>
      <c r="V10" s="770">
        <v>2937193.6717076828</v>
      </c>
      <c r="W10" s="770">
        <v>5211028.6206758963</v>
      </c>
      <c r="X10" s="770">
        <v>4120190.7016217099</v>
      </c>
      <c r="Y10" s="761">
        <v>0</v>
      </c>
      <c r="Z10" s="781"/>
    </row>
    <row r="11" spans="1:26">
      <c r="A11" s="764" t="s">
        <v>610</v>
      </c>
      <c r="B11" s="765" t="s">
        <v>165</v>
      </c>
      <c r="C11" s="765" t="s">
        <v>165</v>
      </c>
      <c r="E11" s="762">
        <v>1</v>
      </c>
      <c r="F11" s="770">
        <v>0</v>
      </c>
      <c r="G11" s="770">
        <v>0</v>
      </c>
      <c r="H11" s="770">
        <v>0</v>
      </c>
      <c r="I11" s="770">
        <v>0</v>
      </c>
      <c r="J11" s="770">
        <v>0</v>
      </c>
      <c r="K11" s="770">
        <v>0</v>
      </c>
      <c r="L11" s="770">
        <v>0</v>
      </c>
      <c r="M11" s="770">
        <v>0</v>
      </c>
      <c r="N11" s="770">
        <v>0</v>
      </c>
      <c r="O11" s="770">
        <v>0</v>
      </c>
      <c r="P11" s="770">
        <v>0</v>
      </c>
      <c r="Q11" s="770">
        <v>0</v>
      </c>
      <c r="R11" s="770">
        <v>298.5290379142466</v>
      </c>
      <c r="S11" s="770">
        <v>617.70654978974005</v>
      </c>
      <c r="T11" s="770">
        <v>457.87060744643088</v>
      </c>
      <c r="U11" s="770">
        <v>0</v>
      </c>
      <c r="V11" s="770">
        <v>1021.464471610342</v>
      </c>
      <c r="W11" s="770">
        <v>1968.8847604433372</v>
      </c>
      <c r="X11" s="770">
        <v>1310.1094060087664</v>
      </c>
      <c r="Y11" s="761">
        <v>0</v>
      </c>
      <c r="Z11" s="781"/>
    </row>
    <row r="12" spans="1:26">
      <c r="A12" s="764" t="s">
        <v>611</v>
      </c>
      <c r="B12" s="765" t="s">
        <v>166</v>
      </c>
      <c r="C12" s="765" t="s">
        <v>166</v>
      </c>
      <c r="E12" s="762">
        <v>61.27586321164447</v>
      </c>
      <c r="F12" s="770">
        <v>0</v>
      </c>
      <c r="G12" s="770">
        <v>0</v>
      </c>
      <c r="H12" s="770">
        <v>0</v>
      </c>
      <c r="I12" s="770">
        <v>0</v>
      </c>
      <c r="J12" s="770">
        <v>0</v>
      </c>
      <c r="K12" s="770">
        <v>0</v>
      </c>
      <c r="L12" s="770">
        <v>0</v>
      </c>
      <c r="M12" s="770">
        <v>0</v>
      </c>
      <c r="N12" s="770">
        <v>0</v>
      </c>
      <c r="O12" s="770">
        <v>0</v>
      </c>
      <c r="P12" s="770">
        <v>0</v>
      </c>
      <c r="Q12" s="770">
        <v>0</v>
      </c>
      <c r="R12" s="770">
        <v>24228.472062985416</v>
      </c>
      <c r="S12" s="770">
        <v>0</v>
      </c>
      <c r="T12" s="770">
        <v>0</v>
      </c>
      <c r="U12" s="770">
        <v>0</v>
      </c>
      <c r="V12" s="770">
        <v>68208.94308571906</v>
      </c>
      <c r="W12" s="770">
        <v>0</v>
      </c>
      <c r="X12" s="770">
        <v>0</v>
      </c>
      <c r="Y12" s="761">
        <v>0</v>
      </c>
      <c r="Z12" s="781"/>
    </row>
    <row r="13" spans="1:26">
      <c r="A13" s="764" t="s">
        <v>612</v>
      </c>
      <c r="B13" s="765" t="s">
        <v>167</v>
      </c>
      <c r="C13" s="765" t="s">
        <v>167</v>
      </c>
      <c r="E13" s="762">
        <v>1</v>
      </c>
      <c r="F13" s="770">
        <v>11930.930400874076</v>
      </c>
      <c r="G13" s="770">
        <v>0</v>
      </c>
      <c r="H13" s="770">
        <v>0</v>
      </c>
      <c r="I13" s="770">
        <v>0</v>
      </c>
      <c r="J13" s="770">
        <v>0</v>
      </c>
      <c r="K13" s="770">
        <v>0</v>
      </c>
      <c r="L13" s="770">
        <v>0</v>
      </c>
      <c r="M13" s="770">
        <v>0</v>
      </c>
      <c r="N13" s="770">
        <v>0</v>
      </c>
      <c r="O13" s="770">
        <v>0</v>
      </c>
      <c r="P13" s="770">
        <v>0</v>
      </c>
      <c r="Q13" s="770">
        <v>0</v>
      </c>
      <c r="R13" s="770">
        <v>0</v>
      </c>
      <c r="S13" s="770">
        <v>0</v>
      </c>
      <c r="T13" s="770">
        <v>0</v>
      </c>
      <c r="U13" s="770">
        <v>0</v>
      </c>
      <c r="V13" s="770">
        <v>0</v>
      </c>
      <c r="W13" s="770">
        <v>0</v>
      </c>
      <c r="X13" s="770">
        <v>0</v>
      </c>
      <c r="Y13" s="761">
        <v>0</v>
      </c>
      <c r="Z13" s="781"/>
    </row>
    <row r="14" spans="1:26">
      <c r="A14" s="764" t="s">
        <v>613</v>
      </c>
      <c r="B14" s="765" t="s">
        <v>168</v>
      </c>
      <c r="C14" s="765" t="s">
        <v>168</v>
      </c>
      <c r="E14" s="762">
        <v>45013.527025864743</v>
      </c>
      <c r="F14" s="770">
        <v>0</v>
      </c>
      <c r="G14" s="770">
        <v>123396558.84951775</v>
      </c>
      <c r="H14" s="770">
        <v>0</v>
      </c>
      <c r="I14" s="770">
        <v>0</v>
      </c>
      <c r="J14" s="770">
        <v>113802346.92927302</v>
      </c>
      <c r="K14" s="770">
        <v>0</v>
      </c>
      <c r="L14" s="770">
        <v>0</v>
      </c>
      <c r="M14" s="770">
        <v>0</v>
      </c>
      <c r="N14" s="770">
        <v>0</v>
      </c>
      <c r="O14" s="770">
        <v>0</v>
      </c>
      <c r="P14" s="770">
        <v>0</v>
      </c>
      <c r="Q14" s="770">
        <v>0</v>
      </c>
      <c r="R14" s="770">
        <v>0</v>
      </c>
      <c r="S14" s="770">
        <v>0</v>
      </c>
      <c r="T14" s="770">
        <v>0</v>
      </c>
      <c r="U14" s="770">
        <v>0</v>
      </c>
      <c r="V14" s="770">
        <v>0</v>
      </c>
      <c r="W14" s="770">
        <v>0</v>
      </c>
      <c r="X14" s="770">
        <v>0</v>
      </c>
      <c r="Y14" s="761">
        <v>0</v>
      </c>
      <c r="Z14" s="781"/>
    </row>
    <row r="15" spans="1:26">
      <c r="A15" s="764" t="s">
        <v>614</v>
      </c>
      <c r="B15" s="765" t="s">
        <v>169</v>
      </c>
      <c r="C15" s="765" t="s">
        <v>169</v>
      </c>
      <c r="E15" s="762">
        <v>584.14659843199854</v>
      </c>
      <c r="F15" s="770">
        <v>0</v>
      </c>
      <c r="G15" s="770">
        <v>1780658.2324994251</v>
      </c>
      <c r="H15" s="770">
        <v>0</v>
      </c>
      <c r="I15" s="770">
        <v>0</v>
      </c>
      <c r="J15" s="770">
        <v>1663261.2945882643</v>
      </c>
      <c r="K15" s="770">
        <v>0</v>
      </c>
      <c r="L15" s="770">
        <v>0</v>
      </c>
      <c r="M15" s="770">
        <v>0</v>
      </c>
      <c r="N15" s="770">
        <v>0</v>
      </c>
      <c r="O15" s="770">
        <v>0</v>
      </c>
      <c r="P15" s="770">
        <v>0</v>
      </c>
      <c r="Q15" s="770">
        <v>0</v>
      </c>
      <c r="R15" s="770">
        <v>0</v>
      </c>
      <c r="S15" s="770">
        <v>0</v>
      </c>
      <c r="T15" s="770">
        <v>0</v>
      </c>
      <c r="U15" s="770">
        <v>0</v>
      </c>
      <c r="V15" s="770">
        <v>0</v>
      </c>
      <c r="W15" s="770">
        <v>0</v>
      </c>
      <c r="X15" s="770">
        <v>0</v>
      </c>
      <c r="Y15" s="761">
        <v>0</v>
      </c>
      <c r="Z15" s="781"/>
    </row>
    <row r="16" spans="1:26">
      <c r="A16" s="764" t="s">
        <v>615</v>
      </c>
      <c r="B16" s="765" t="s">
        <v>170</v>
      </c>
      <c r="C16" s="765" t="s">
        <v>170</v>
      </c>
      <c r="E16" s="762">
        <v>108683.36714234816</v>
      </c>
      <c r="F16" s="770">
        <v>0</v>
      </c>
      <c r="G16" s="770">
        <v>270572283.99365795</v>
      </c>
      <c r="H16" s="770">
        <v>0</v>
      </c>
      <c r="I16" s="770">
        <v>0</v>
      </c>
      <c r="J16" s="770">
        <v>288164384.03561866</v>
      </c>
      <c r="K16" s="770">
        <v>0</v>
      </c>
      <c r="L16" s="770">
        <v>0</v>
      </c>
      <c r="M16" s="770">
        <v>0</v>
      </c>
      <c r="N16" s="770">
        <v>0</v>
      </c>
      <c r="O16" s="770">
        <v>0</v>
      </c>
      <c r="P16" s="770">
        <v>0</v>
      </c>
      <c r="Q16" s="770">
        <v>0</v>
      </c>
      <c r="R16" s="770">
        <v>0</v>
      </c>
      <c r="S16" s="770">
        <v>0</v>
      </c>
      <c r="T16" s="770">
        <v>0</v>
      </c>
      <c r="U16" s="770">
        <v>0</v>
      </c>
      <c r="V16" s="770">
        <v>0</v>
      </c>
      <c r="W16" s="770">
        <v>0</v>
      </c>
      <c r="X16" s="770">
        <v>0</v>
      </c>
      <c r="Y16" s="761">
        <v>0</v>
      </c>
      <c r="Z16" s="781"/>
    </row>
    <row r="17" spans="1:26">
      <c r="A17" s="764" t="s">
        <v>616</v>
      </c>
      <c r="B17" s="765" t="s">
        <v>171</v>
      </c>
      <c r="C17" s="765" t="s">
        <v>171</v>
      </c>
      <c r="E17" s="762">
        <v>42980.366969201663</v>
      </c>
      <c r="F17" s="770">
        <v>0</v>
      </c>
      <c r="G17" s="770">
        <v>0</v>
      </c>
      <c r="H17" s="770">
        <v>0</v>
      </c>
      <c r="I17" s="770">
        <v>0</v>
      </c>
      <c r="J17" s="770">
        <v>86643719.340103775</v>
      </c>
      <c r="K17" s="770">
        <v>0</v>
      </c>
      <c r="L17" s="770">
        <v>0</v>
      </c>
      <c r="M17" s="770">
        <v>0</v>
      </c>
      <c r="N17" s="770">
        <v>0</v>
      </c>
      <c r="O17" s="770">
        <v>0</v>
      </c>
      <c r="P17" s="770">
        <v>0</v>
      </c>
      <c r="Q17" s="770">
        <v>0</v>
      </c>
      <c r="R17" s="770">
        <v>0</v>
      </c>
      <c r="S17" s="770">
        <v>0</v>
      </c>
      <c r="T17" s="770">
        <v>0</v>
      </c>
      <c r="U17" s="770">
        <v>0</v>
      </c>
      <c r="V17" s="770">
        <v>0</v>
      </c>
      <c r="W17" s="770">
        <v>0</v>
      </c>
      <c r="X17" s="770">
        <v>0</v>
      </c>
      <c r="Y17" s="761">
        <v>0</v>
      </c>
      <c r="Z17" s="781"/>
    </row>
    <row r="18" spans="1:26">
      <c r="A18" s="764" t="s">
        <v>617</v>
      </c>
      <c r="B18" s="765" t="s">
        <v>172</v>
      </c>
      <c r="C18" s="765" t="s">
        <v>172</v>
      </c>
      <c r="E18" s="762">
        <v>69.06153231550978</v>
      </c>
      <c r="F18" s="770">
        <v>0</v>
      </c>
      <c r="G18" s="770">
        <v>0</v>
      </c>
      <c r="H18" s="770">
        <v>0</v>
      </c>
      <c r="I18" s="770">
        <v>0</v>
      </c>
      <c r="J18" s="770">
        <v>130691.57086432293</v>
      </c>
      <c r="K18" s="770">
        <v>0</v>
      </c>
      <c r="L18" s="770">
        <v>0</v>
      </c>
      <c r="M18" s="770">
        <v>0</v>
      </c>
      <c r="N18" s="770">
        <v>0</v>
      </c>
      <c r="O18" s="770">
        <v>0</v>
      </c>
      <c r="P18" s="770">
        <v>0</v>
      </c>
      <c r="Q18" s="770">
        <v>0</v>
      </c>
      <c r="R18" s="770">
        <v>0</v>
      </c>
      <c r="S18" s="770">
        <v>0</v>
      </c>
      <c r="T18" s="770">
        <v>0</v>
      </c>
      <c r="U18" s="770">
        <v>0</v>
      </c>
      <c r="V18" s="770">
        <v>0</v>
      </c>
      <c r="W18" s="770">
        <v>0</v>
      </c>
      <c r="X18" s="770">
        <v>0</v>
      </c>
      <c r="Y18" s="761">
        <v>0</v>
      </c>
      <c r="Z18" s="781"/>
    </row>
    <row r="19" spans="1:26">
      <c r="A19" s="764" t="s">
        <v>618</v>
      </c>
      <c r="B19" s="765" t="s">
        <v>173</v>
      </c>
      <c r="C19" s="765" t="s">
        <v>173</v>
      </c>
      <c r="E19" s="762">
        <v>156259.03352615036</v>
      </c>
      <c r="F19" s="770">
        <v>0</v>
      </c>
      <c r="G19" s="770">
        <v>0</v>
      </c>
      <c r="H19" s="770">
        <v>0</v>
      </c>
      <c r="I19" s="770">
        <v>0</v>
      </c>
      <c r="J19" s="770">
        <v>314989326.96128088</v>
      </c>
      <c r="K19" s="770">
        <v>0</v>
      </c>
      <c r="L19" s="770">
        <v>0</v>
      </c>
      <c r="M19" s="770">
        <v>0</v>
      </c>
      <c r="N19" s="770">
        <v>0</v>
      </c>
      <c r="O19" s="770">
        <v>0</v>
      </c>
      <c r="P19" s="770">
        <v>0</v>
      </c>
      <c r="Q19" s="770">
        <v>0</v>
      </c>
      <c r="R19" s="770">
        <v>0</v>
      </c>
      <c r="S19" s="770">
        <v>0</v>
      </c>
      <c r="T19" s="770">
        <v>0</v>
      </c>
      <c r="U19" s="770">
        <v>0</v>
      </c>
      <c r="V19" s="770">
        <v>0</v>
      </c>
      <c r="W19" s="770">
        <v>0</v>
      </c>
      <c r="X19" s="770">
        <v>0</v>
      </c>
      <c r="Y19" s="761">
        <v>0</v>
      </c>
      <c r="Z19" s="781"/>
    </row>
    <row r="20" spans="1:26">
      <c r="A20" s="764" t="s">
        <v>619</v>
      </c>
      <c r="B20" s="765" t="s">
        <v>174</v>
      </c>
      <c r="C20" s="765" t="s">
        <v>174</v>
      </c>
      <c r="E20" s="762">
        <v>5471.4804018196492</v>
      </c>
      <c r="F20" s="770">
        <v>0</v>
      </c>
      <c r="G20" s="770">
        <v>0</v>
      </c>
      <c r="H20" s="770">
        <v>0</v>
      </c>
      <c r="I20" s="770">
        <v>0</v>
      </c>
      <c r="J20" s="770">
        <v>10630893.4556701</v>
      </c>
      <c r="K20" s="770">
        <v>0</v>
      </c>
      <c r="L20" s="770">
        <v>0</v>
      </c>
      <c r="M20" s="770">
        <v>0</v>
      </c>
      <c r="N20" s="770">
        <v>0</v>
      </c>
      <c r="O20" s="770">
        <v>0</v>
      </c>
      <c r="P20" s="770">
        <v>0</v>
      </c>
      <c r="Q20" s="770">
        <v>0</v>
      </c>
      <c r="R20" s="770">
        <v>0</v>
      </c>
      <c r="S20" s="770">
        <v>0</v>
      </c>
      <c r="T20" s="770">
        <v>0</v>
      </c>
      <c r="U20" s="770">
        <v>0</v>
      </c>
      <c r="V20" s="770">
        <v>0</v>
      </c>
      <c r="W20" s="770">
        <v>0</v>
      </c>
      <c r="X20" s="770">
        <v>0</v>
      </c>
      <c r="Y20" s="761">
        <v>0</v>
      </c>
      <c r="Z20" s="781"/>
    </row>
    <row r="21" spans="1:26">
      <c r="A21" s="764" t="s">
        <v>620</v>
      </c>
      <c r="B21" s="765" t="s">
        <v>621</v>
      </c>
      <c r="C21" s="765" t="s">
        <v>621</v>
      </c>
      <c r="E21" s="762">
        <v>5</v>
      </c>
      <c r="F21" s="770">
        <v>27500</v>
      </c>
      <c r="G21" s="770">
        <v>0</v>
      </c>
      <c r="H21" s="770">
        <v>0</v>
      </c>
      <c r="I21" s="770">
        <v>0</v>
      </c>
      <c r="J21" s="770">
        <v>0</v>
      </c>
      <c r="K21" s="770">
        <v>0</v>
      </c>
      <c r="L21" s="770">
        <v>0</v>
      </c>
      <c r="M21" s="770">
        <v>0</v>
      </c>
      <c r="N21" s="770">
        <v>0</v>
      </c>
      <c r="O21" s="770">
        <v>0</v>
      </c>
      <c r="P21" s="770">
        <v>62.785388127853878</v>
      </c>
      <c r="Q21" s="770">
        <v>100.45662100456622</v>
      </c>
      <c r="R21" s="770">
        <v>0</v>
      </c>
      <c r="S21" s="770">
        <v>0</v>
      </c>
      <c r="T21" s="770">
        <v>0</v>
      </c>
      <c r="U21" s="770">
        <v>0</v>
      </c>
      <c r="V21" s="770">
        <v>0</v>
      </c>
      <c r="W21" s="770">
        <v>0</v>
      </c>
      <c r="X21" s="770">
        <v>0</v>
      </c>
      <c r="Y21" s="761">
        <v>0</v>
      </c>
      <c r="Z21" s="781"/>
    </row>
    <row r="22" spans="1:26">
      <c r="A22" s="764" t="s">
        <v>781</v>
      </c>
      <c r="B22" s="765" t="s">
        <v>791</v>
      </c>
      <c r="C22" s="765"/>
      <c r="E22" s="762">
        <v>0</v>
      </c>
      <c r="F22" s="770">
        <v>0</v>
      </c>
      <c r="G22" s="770">
        <v>0</v>
      </c>
      <c r="H22" s="770">
        <v>0</v>
      </c>
      <c r="I22" s="770">
        <v>0</v>
      </c>
      <c r="J22" s="770">
        <v>0</v>
      </c>
      <c r="K22" s="770">
        <v>0</v>
      </c>
      <c r="L22" s="770">
        <v>0</v>
      </c>
      <c r="M22" s="770">
        <v>0</v>
      </c>
      <c r="N22" s="770">
        <v>0</v>
      </c>
      <c r="O22" s="770">
        <v>0</v>
      </c>
      <c r="P22" s="770">
        <v>0</v>
      </c>
      <c r="Q22" s="770">
        <v>0</v>
      </c>
      <c r="R22" s="770">
        <v>0</v>
      </c>
      <c r="S22" s="770">
        <v>0</v>
      </c>
      <c r="T22" s="770">
        <v>0</v>
      </c>
      <c r="U22" s="770">
        <v>0</v>
      </c>
      <c r="V22" s="770">
        <v>0</v>
      </c>
      <c r="W22" s="770">
        <v>0</v>
      </c>
      <c r="X22" s="770">
        <v>0</v>
      </c>
      <c r="Y22" s="761">
        <v>0</v>
      </c>
      <c r="Z22" s="781"/>
    </row>
    <row r="23" spans="1:26">
      <c r="A23" s="764" t="s">
        <v>622</v>
      </c>
      <c r="B23" s="765" t="s">
        <v>175</v>
      </c>
      <c r="C23" s="765" t="s">
        <v>175</v>
      </c>
      <c r="E23" s="762">
        <v>42209.54354501221</v>
      </c>
      <c r="F23" s="770">
        <v>256381416.1258947</v>
      </c>
      <c r="G23" s="770">
        <v>0</v>
      </c>
      <c r="H23" s="770">
        <v>0</v>
      </c>
      <c r="I23" s="770">
        <v>0</v>
      </c>
      <c r="J23" s="770">
        <v>0</v>
      </c>
      <c r="K23" s="770">
        <v>0</v>
      </c>
      <c r="L23" s="770">
        <v>0</v>
      </c>
      <c r="M23" s="770">
        <v>0</v>
      </c>
      <c r="N23" s="770">
        <v>0</v>
      </c>
      <c r="O23" s="770">
        <v>0</v>
      </c>
      <c r="P23" s="770">
        <v>0</v>
      </c>
      <c r="Q23" s="770">
        <v>0</v>
      </c>
      <c r="R23" s="770">
        <v>0</v>
      </c>
      <c r="S23" s="770">
        <v>0</v>
      </c>
      <c r="T23" s="770">
        <v>0</v>
      </c>
      <c r="U23" s="770">
        <v>0</v>
      </c>
      <c r="V23" s="770">
        <v>0</v>
      </c>
      <c r="W23" s="770">
        <v>0</v>
      </c>
      <c r="X23" s="770">
        <v>0</v>
      </c>
      <c r="Y23" s="761">
        <v>0</v>
      </c>
      <c r="Z23" s="781"/>
    </row>
    <row r="24" spans="1:26">
      <c r="A24" s="764" t="s">
        <v>623</v>
      </c>
      <c r="B24" s="765" t="s">
        <v>538</v>
      </c>
      <c r="C24" s="765" t="s">
        <v>538</v>
      </c>
      <c r="E24" s="762">
        <v>186.11307242474166</v>
      </c>
      <c r="F24" s="770">
        <v>0</v>
      </c>
      <c r="G24" s="770">
        <v>0</v>
      </c>
      <c r="H24" s="770">
        <v>0</v>
      </c>
      <c r="I24" s="770">
        <v>0</v>
      </c>
      <c r="J24" s="770">
        <v>0</v>
      </c>
      <c r="K24" s="770">
        <v>0</v>
      </c>
      <c r="L24" s="770">
        <v>0</v>
      </c>
      <c r="M24" s="770">
        <v>0</v>
      </c>
      <c r="N24" s="770">
        <v>0</v>
      </c>
      <c r="O24" s="770">
        <v>0</v>
      </c>
      <c r="P24" s="770">
        <v>0</v>
      </c>
      <c r="Q24" s="770">
        <v>0</v>
      </c>
      <c r="R24" s="770">
        <v>425233.80130471708</v>
      </c>
      <c r="S24" s="770">
        <v>148156.11479246127</v>
      </c>
      <c r="T24" s="770">
        <v>478715.03718373307</v>
      </c>
      <c r="U24" s="770">
        <v>0</v>
      </c>
      <c r="V24" s="770">
        <v>1248433.2383987384</v>
      </c>
      <c r="W24" s="770">
        <v>361061.69917074154</v>
      </c>
      <c r="X24" s="770">
        <v>1112012.8908404843</v>
      </c>
      <c r="Y24" s="761">
        <v>0</v>
      </c>
      <c r="Z24" s="781"/>
    </row>
    <row r="25" spans="1:26">
      <c r="A25" s="764" t="s">
        <v>624</v>
      </c>
      <c r="B25" s="765" t="s">
        <v>176</v>
      </c>
      <c r="C25" s="765" t="s">
        <v>176</v>
      </c>
      <c r="E25" s="762">
        <v>24184.201071330088</v>
      </c>
      <c r="F25" s="770">
        <v>0</v>
      </c>
      <c r="G25" s="770">
        <v>207323954.65497863</v>
      </c>
      <c r="H25" s="770">
        <v>0</v>
      </c>
      <c r="I25" s="770">
        <v>0</v>
      </c>
      <c r="J25" s="770">
        <v>176674793.86974853</v>
      </c>
      <c r="K25" s="770">
        <v>0</v>
      </c>
      <c r="L25" s="770">
        <v>0</v>
      </c>
      <c r="M25" s="770">
        <v>0</v>
      </c>
      <c r="N25" s="770">
        <v>0</v>
      </c>
      <c r="O25" s="770">
        <v>0</v>
      </c>
      <c r="P25" s="770">
        <v>0</v>
      </c>
      <c r="Q25" s="770">
        <v>0</v>
      </c>
      <c r="R25" s="770">
        <v>0</v>
      </c>
      <c r="S25" s="770">
        <v>0</v>
      </c>
      <c r="T25" s="770">
        <v>0</v>
      </c>
      <c r="U25" s="770">
        <v>0</v>
      </c>
      <c r="V25" s="770">
        <v>0</v>
      </c>
      <c r="W25" s="770">
        <v>0</v>
      </c>
      <c r="X25" s="770">
        <v>0</v>
      </c>
      <c r="Y25" s="761">
        <v>0</v>
      </c>
      <c r="Z25" s="781"/>
    </row>
    <row r="26" spans="1:26">
      <c r="A26" s="764" t="s">
        <v>625</v>
      </c>
      <c r="B26" s="765" t="s">
        <v>177</v>
      </c>
      <c r="C26" s="765" t="s">
        <v>177</v>
      </c>
      <c r="E26" s="762">
        <v>12412.001320594669</v>
      </c>
      <c r="F26" s="770">
        <v>0</v>
      </c>
      <c r="G26" s="770">
        <v>96843792.196453899</v>
      </c>
      <c r="H26" s="770">
        <v>0</v>
      </c>
      <c r="I26" s="770">
        <v>0</v>
      </c>
      <c r="J26" s="770">
        <v>66506894.747274607</v>
      </c>
      <c r="K26" s="770">
        <v>0</v>
      </c>
      <c r="L26" s="770">
        <v>0</v>
      </c>
      <c r="M26" s="770">
        <v>0</v>
      </c>
      <c r="N26" s="770">
        <v>0</v>
      </c>
      <c r="O26" s="770">
        <v>0</v>
      </c>
      <c r="P26" s="770">
        <v>0</v>
      </c>
      <c r="Q26" s="770">
        <v>0</v>
      </c>
      <c r="R26" s="770">
        <v>0</v>
      </c>
      <c r="S26" s="770">
        <v>0</v>
      </c>
      <c r="T26" s="770">
        <v>0</v>
      </c>
      <c r="U26" s="770">
        <v>0</v>
      </c>
      <c r="V26" s="770">
        <v>0</v>
      </c>
      <c r="W26" s="770">
        <v>0</v>
      </c>
      <c r="X26" s="770">
        <v>0</v>
      </c>
      <c r="Y26" s="761">
        <v>0</v>
      </c>
      <c r="Z26" s="781"/>
    </row>
    <row r="27" spans="1:26">
      <c r="A27" s="764" t="s">
        <v>626</v>
      </c>
      <c r="B27" s="765" t="s">
        <v>178</v>
      </c>
      <c r="C27" s="765" t="s">
        <v>178</v>
      </c>
      <c r="E27" s="762">
        <v>7219.5879665538523</v>
      </c>
      <c r="F27" s="770">
        <v>0</v>
      </c>
      <c r="G27" s="770">
        <v>58018282.435126752</v>
      </c>
      <c r="H27" s="770">
        <v>0</v>
      </c>
      <c r="I27" s="770">
        <v>0</v>
      </c>
      <c r="J27" s="770">
        <v>22573877.489206318</v>
      </c>
      <c r="K27" s="770">
        <v>0</v>
      </c>
      <c r="L27" s="770">
        <v>0</v>
      </c>
      <c r="M27" s="770">
        <v>0</v>
      </c>
      <c r="N27" s="770">
        <v>0</v>
      </c>
      <c r="O27" s="770">
        <v>0</v>
      </c>
      <c r="P27" s="770">
        <v>0</v>
      </c>
      <c r="Q27" s="770">
        <v>0</v>
      </c>
      <c r="R27" s="770">
        <v>0</v>
      </c>
      <c r="S27" s="770">
        <v>0</v>
      </c>
      <c r="T27" s="770">
        <v>0</v>
      </c>
      <c r="U27" s="770">
        <v>0</v>
      </c>
      <c r="V27" s="770">
        <v>0</v>
      </c>
      <c r="W27" s="770">
        <v>0</v>
      </c>
      <c r="X27" s="770">
        <v>0</v>
      </c>
      <c r="Y27" s="761">
        <v>0</v>
      </c>
      <c r="Z27" s="781"/>
    </row>
    <row r="28" spans="1:26">
      <c r="A28" s="764" t="s">
        <v>627</v>
      </c>
      <c r="B28" s="765" t="s">
        <v>628</v>
      </c>
      <c r="C28" s="765" t="s">
        <v>628</v>
      </c>
      <c r="E28" s="762">
        <v>6.3540450788168705</v>
      </c>
      <c r="F28" s="770">
        <v>127080.9015763374</v>
      </c>
      <c r="G28" s="770">
        <v>0</v>
      </c>
      <c r="H28" s="770">
        <v>0</v>
      </c>
      <c r="I28" s="770">
        <v>0</v>
      </c>
      <c r="J28" s="770">
        <v>0</v>
      </c>
      <c r="K28" s="770">
        <v>0</v>
      </c>
      <c r="L28" s="770">
        <v>0</v>
      </c>
      <c r="M28" s="770">
        <v>0</v>
      </c>
      <c r="N28" s="770">
        <v>0</v>
      </c>
      <c r="O28" s="770">
        <v>0</v>
      </c>
      <c r="P28" s="770">
        <v>165.79373982561958</v>
      </c>
      <c r="Q28" s="770">
        <v>290.13904469483424</v>
      </c>
      <c r="R28" s="770">
        <v>0</v>
      </c>
      <c r="S28" s="770">
        <v>0</v>
      </c>
      <c r="T28" s="770">
        <v>0</v>
      </c>
      <c r="U28" s="770">
        <v>0</v>
      </c>
      <c r="V28" s="770">
        <v>0</v>
      </c>
      <c r="W28" s="770">
        <v>0</v>
      </c>
      <c r="X28" s="770">
        <v>0</v>
      </c>
      <c r="Y28" s="761">
        <v>0</v>
      </c>
      <c r="Z28" s="781"/>
    </row>
    <row r="29" spans="1:26">
      <c r="A29" s="764" t="s">
        <v>629</v>
      </c>
      <c r="B29" s="765" t="s">
        <v>782</v>
      </c>
      <c r="C29" s="765" t="s">
        <v>630</v>
      </c>
      <c r="E29" s="762">
        <v>8006.7018417699537</v>
      </c>
      <c r="F29" s="770">
        <v>0</v>
      </c>
      <c r="G29" s="770">
        <v>586034983.22807121</v>
      </c>
      <c r="H29" s="770">
        <v>0</v>
      </c>
      <c r="I29" s="770">
        <v>0</v>
      </c>
      <c r="J29" s="770">
        <v>455863034.32266116</v>
      </c>
      <c r="K29" s="770">
        <v>0</v>
      </c>
      <c r="L29" s="770">
        <v>0</v>
      </c>
      <c r="M29" s="770">
        <v>0</v>
      </c>
      <c r="N29" s="770">
        <v>0</v>
      </c>
      <c r="O29" s="770">
        <v>0</v>
      </c>
      <c r="P29" s="770">
        <v>1463988.9171396764</v>
      </c>
      <c r="Q29" s="770">
        <v>2567031.6590876649</v>
      </c>
      <c r="R29" s="770">
        <v>0</v>
      </c>
      <c r="S29" s="770">
        <v>0</v>
      </c>
      <c r="T29" s="770">
        <v>0</v>
      </c>
      <c r="U29" s="770">
        <v>0</v>
      </c>
      <c r="V29" s="770">
        <v>0</v>
      </c>
      <c r="W29" s="770">
        <v>0</v>
      </c>
      <c r="X29" s="770">
        <v>0</v>
      </c>
      <c r="Y29" s="761">
        <v>0</v>
      </c>
      <c r="Z29" s="781"/>
    </row>
    <row r="30" spans="1:26" s="790" customFormat="1">
      <c r="A30" s="790" t="s">
        <v>783</v>
      </c>
      <c r="B30" s="793" t="s">
        <v>784</v>
      </c>
      <c r="C30" s="793"/>
      <c r="E30" s="794">
        <v>0</v>
      </c>
      <c r="F30" s="795">
        <v>0</v>
      </c>
      <c r="G30" s="794">
        <v>0</v>
      </c>
      <c r="H30" s="795">
        <v>0</v>
      </c>
      <c r="I30" s="795">
        <v>0</v>
      </c>
      <c r="J30" s="794">
        <v>0</v>
      </c>
      <c r="K30" s="795">
        <v>0</v>
      </c>
      <c r="L30" s="795">
        <v>0</v>
      </c>
      <c r="M30" s="795">
        <v>0</v>
      </c>
      <c r="N30" s="795">
        <v>0</v>
      </c>
      <c r="O30" s="795">
        <v>0</v>
      </c>
      <c r="P30" s="795">
        <v>0</v>
      </c>
      <c r="Q30" s="795">
        <v>0</v>
      </c>
      <c r="R30" s="795">
        <v>0</v>
      </c>
      <c r="S30" s="795">
        <v>0</v>
      </c>
      <c r="T30" s="795">
        <v>0</v>
      </c>
      <c r="U30" s="795">
        <v>0</v>
      </c>
      <c r="V30" s="795">
        <v>0</v>
      </c>
      <c r="W30" s="795">
        <v>0</v>
      </c>
      <c r="X30" s="795">
        <v>0</v>
      </c>
      <c r="Y30" s="796">
        <v>0</v>
      </c>
      <c r="Z30" s="781"/>
    </row>
    <row r="31" spans="1:26">
      <c r="A31" s="764" t="s">
        <v>631</v>
      </c>
      <c r="B31" s="765" t="s">
        <v>179</v>
      </c>
      <c r="C31" s="765" t="s">
        <v>179</v>
      </c>
      <c r="E31" s="762">
        <v>7344.7000000000007</v>
      </c>
      <c r="F31" s="770">
        <v>0</v>
      </c>
      <c r="G31" s="770">
        <v>27764943.806519702</v>
      </c>
      <c r="H31" s="770">
        <v>0</v>
      </c>
      <c r="I31" s="770">
        <v>0</v>
      </c>
      <c r="J31" s="770">
        <v>68379507.256635308</v>
      </c>
      <c r="K31" s="770">
        <v>0</v>
      </c>
      <c r="L31" s="770">
        <v>0</v>
      </c>
      <c r="M31" s="770">
        <v>0</v>
      </c>
      <c r="N31" s="770">
        <v>0</v>
      </c>
      <c r="O31" s="770">
        <v>0</v>
      </c>
      <c r="P31" s="770">
        <v>0</v>
      </c>
      <c r="Q31" s="770">
        <v>0</v>
      </c>
      <c r="R31" s="770">
        <v>0</v>
      </c>
      <c r="S31" s="770">
        <v>0</v>
      </c>
      <c r="T31" s="770">
        <v>0</v>
      </c>
      <c r="U31" s="770">
        <v>0</v>
      </c>
      <c r="V31" s="770">
        <v>0</v>
      </c>
      <c r="W31" s="770">
        <v>0</v>
      </c>
      <c r="X31" s="770">
        <v>0</v>
      </c>
      <c r="Y31" s="761">
        <v>0</v>
      </c>
      <c r="Z31" s="781"/>
    </row>
    <row r="32" spans="1:26">
      <c r="A32" s="764" t="s">
        <v>230</v>
      </c>
      <c r="B32" s="765" t="s">
        <v>632</v>
      </c>
      <c r="C32" s="765" t="s">
        <v>632</v>
      </c>
      <c r="E32" s="762">
        <v>2749.2308243888324</v>
      </c>
      <c r="F32" s="770">
        <v>0</v>
      </c>
      <c r="G32" s="770">
        <v>1363564037.0325396</v>
      </c>
      <c r="H32" s="770">
        <v>0</v>
      </c>
      <c r="I32" s="770">
        <v>0</v>
      </c>
      <c r="J32" s="770">
        <v>1037238631.3345442</v>
      </c>
      <c r="K32" s="770">
        <v>0</v>
      </c>
      <c r="L32" s="770">
        <v>0</v>
      </c>
      <c r="M32" s="770">
        <v>0</v>
      </c>
      <c r="N32" s="770">
        <v>840288.6815456989</v>
      </c>
      <c r="O32" s="770">
        <v>0</v>
      </c>
      <c r="P32" s="770">
        <v>0</v>
      </c>
      <c r="Q32" s="770">
        <v>0</v>
      </c>
      <c r="R32" s="770">
        <v>0</v>
      </c>
      <c r="S32" s="770">
        <v>0</v>
      </c>
      <c r="T32" s="770">
        <v>0</v>
      </c>
      <c r="U32" s="770">
        <v>0</v>
      </c>
      <c r="V32" s="770">
        <v>0</v>
      </c>
      <c r="W32" s="770">
        <v>0</v>
      </c>
      <c r="X32" s="770">
        <v>0</v>
      </c>
      <c r="Y32" s="761">
        <v>0</v>
      </c>
      <c r="Z32" s="781"/>
    </row>
    <row r="33" spans="1:26">
      <c r="A33" s="764" t="s">
        <v>231</v>
      </c>
      <c r="B33" s="765" t="s">
        <v>643</v>
      </c>
      <c r="C33" s="765" t="s">
        <v>643</v>
      </c>
      <c r="E33" s="762">
        <v>173</v>
      </c>
      <c r="F33" s="770">
        <v>0</v>
      </c>
      <c r="G33" s="770">
        <v>761179064.62163103</v>
      </c>
      <c r="H33" s="770">
        <v>0</v>
      </c>
      <c r="I33" s="770">
        <v>0</v>
      </c>
      <c r="J33" s="770">
        <v>676982871.92553103</v>
      </c>
      <c r="K33" s="770">
        <v>0</v>
      </c>
      <c r="L33" s="770">
        <v>0</v>
      </c>
      <c r="M33" s="770">
        <v>0</v>
      </c>
      <c r="N33" s="770">
        <v>394844.72541610571</v>
      </c>
      <c r="O33" s="770">
        <v>0</v>
      </c>
      <c r="P33" s="770">
        <v>0</v>
      </c>
      <c r="Q33" s="770">
        <v>0</v>
      </c>
      <c r="R33" s="770">
        <v>0</v>
      </c>
      <c r="S33" s="770">
        <v>0</v>
      </c>
      <c r="T33" s="770">
        <v>0</v>
      </c>
      <c r="U33" s="770">
        <v>0</v>
      </c>
      <c r="V33" s="770">
        <v>0</v>
      </c>
      <c r="W33" s="770">
        <v>0</v>
      </c>
      <c r="X33" s="770">
        <v>0</v>
      </c>
      <c r="Y33" s="761">
        <v>0</v>
      </c>
      <c r="Z33" s="781"/>
    </row>
    <row r="34" spans="1:26">
      <c r="A34" s="764" t="s">
        <v>644</v>
      </c>
      <c r="B34" s="765" t="s">
        <v>645</v>
      </c>
      <c r="C34" s="765" t="s">
        <v>645</v>
      </c>
      <c r="E34" s="762">
        <v>9</v>
      </c>
      <c r="F34" s="770">
        <v>0</v>
      </c>
      <c r="G34" s="770">
        <v>142211194.67899999</v>
      </c>
      <c r="H34" s="770">
        <v>0</v>
      </c>
      <c r="I34" s="770">
        <v>0</v>
      </c>
      <c r="J34" s="770">
        <v>148646852.37099999</v>
      </c>
      <c r="K34" s="770">
        <v>0</v>
      </c>
      <c r="L34" s="770">
        <v>0</v>
      </c>
      <c r="M34" s="770">
        <v>0</v>
      </c>
      <c r="N34" s="770">
        <v>58586.290333333331</v>
      </c>
      <c r="O34" s="770">
        <v>0</v>
      </c>
      <c r="P34" s="770">
        <v>0</v>
      </c>
      <c r="Q34" s="770">
        <v>0</v>
      </c>
      <c r="R34" s="770">
        <v>0</v>
      </c>
      <c r="S34" s="770">
        <v>0</v>
      </c>
      <c r="T34" s="770">
        <v>0</v>
      </c>
      <c r="U34" s="770">
        <v>0</v>
      </c>
      <c r="V34" s="770">
        <v>0</v>
      </c>
      <c r="W34" s="770">
        <v>0</v>
      </c>
      <c r="X34" s="770">
        <v>0</v>
      </c>
      <c r="Y34" s="761">
        <v>0</v>
      </c>
      <c r="Z34" s="781"/>
    </row>
    <row r="35" spans="1:26">
      <c r="A35" s="764" t="s">
        <v>654</v>
      </c>
      <c r="B35" s="765" t="s">
        <v>655</v>
      </c>
      <c r="C35" s="765" t="s">
        <v>655</v>
      </c>
      <c r="E35" s="769">
        <v>11</v>
      </c>
      <c r="F35" s="770">
        <v>0</v>
      </c>
      <c r="G35" s="770">
        <v>530995472.648</v>
      </c>
      <c r="H35" s="770">
        <v>0</v>
      </c>
      <c r="I35" s="770">
        <v>0</v>
      </c>
      <c r="J35" s="770">
        <v>460236066.01800001</v>
      </c>
      <c r="K35" s="770">
        <v>0</v>
      </c>
      <c r="L35" s="770">
        <v>0</v>
      </c>
      <c r="M35" s="770">
        <v>0</v>
      </c>
      <c r="N35" s="770">
        <v>267192.94533333339</v>
      </c>
      <c r="O35" s="770">
        <v>0</v>
      </c>
      <c r="P35" s="770">
        <v>0</v>
      </c>
      <c r="Q35" s="770">
        <v>0</v>
      </c>
      <c r="R35" s="763">
        <v>0</v>
      </c>
      <c r="S35" s="770">
        <v>0</v>
      </c>
      <c r="T35" s="770">
        <v>0</v>
      </c>
      <c r="U35" s="770">
        <v>0</v>
      </c>
      <c r="V35" s="770">
        <v>0</v>
      </c>
      <c r="W35" s="770">
        <v>0</v>
      </c>
      <c r="X35" s="770">
        <v>0</v>
      </c>
      <c r="Y35" s="761">
        <v>0</v>
      </c>
      <c r="Z35" s="781"/>
    </row>
    <row r="36" spans="1:26">
      <c r="B36" s="765"/>
      <c r="C36" s="765"/>
      <c r="E36" s="755">
        <v>0</v>
      </c>
      <c r="F36" s="756">
        <v>0</v>
      </c>
      <c r="G36" s="756">
        <v>0</v>
      </c>
      <c r="H36" s="756">
        <v>0</v>
      </c>
      <c r="I36" s="756">
        <v>0</v>
      </c>
      <c r="J36" s="756">
        <v>0</v>
      </c>
      <c r="K36" s="756">
        <v>0</v>
      </c>
      <c r="L36" s="756">
        <v>0</v>
      </c>
      <c r="M36" s="756">
        <v>0</v>
      </c>
      <c r="N36" s="756">
        <v>0</v>
      </c>
      <c r="O36" s="756">
        <v>0</v>
      </c>
      <c r="P36" s="756">
        <v>0</v>
      </c>
      <c r="Q36" s="756">
        <v>0</v>
      </c>
      <c r="R36" s="758">
        <v>0</v>
      </c>
      <c r="S36" s="756">
        <v>0</v>
      </c>
      <c r="T36" s="756">
        <v>0</v>
      </c>
      <c r="U36" s="756">
        <v>0</v>
      </c>
      <c r="V36" s="756">
        <v>0</v>
      </c>
      <c r="W36" s="756">
        <v>0</v>
      </c>
      <c r="X36" s="756">
        <v>0</v>
      </c>
      <c r="Y36" s="757">
        <v>0</v>
      </c>
      <c r="Z36" s="781"/>
    </row>
    <row r="37" spans="1:26">
      <c r="B37" s="765"/>
      <c r="C37" s="765"/>
      <c r="E37" s="762"/>
      <c r="F37" s="770"/>
      <c r="G37" s="770"/>
      <c r="H37" s="770"/>
      <c r="I37" s="770"/>
      <c r="J37" s="770"/>
      <c r="K37" s="770"/>
      <c r="L37" s="770"/>
      <c r="M37" s="770"/>
      <c r="N37" s="770"/>
      <c r="O37" s="770"/>
      <c r="P37" s="770"/>
      <c r="Q37" s="770"/>
      <c r="R37" s="770"/>
      <c r="S37" s="770"/>
      <c r="T37" s="770"/>
      <c r="U37" s="770"/>
      <c r="V37" s="770"/>
      <c r="W37" s="770"/>
      <c r="X37" s="770"/>
      <c r="Y37" s="761"/>
      <c r="Z37" s="781"/>
    </row>
    <row r="38" spans="1:26">
      <c r="B38" s="765"/>
      <c r="C38" s="765"/>
      <c r="E38" s="762"/>
      <c r="F38" s="770"/>
      <c r="G38" s="770"/>
      <c r="H38" s="770"/>
      <c r="I38" s="770"/>
      <c r="J38" s="770"/>
      <c r="K38" s="770"/>
      <c r="L38" s="770"/>
      <c r="M38" s="770"/>
      <c r="N38" s="770"/>
      <c r="O38" s="770"/>
      <c r="P38" s="770"/>
      <c r="Q38" s="770"/>
      <c r="R38" s="770"/>
      <c r="S38" s="770"/>
      <c r="T38" s="770"/>
      <c r="U38" s="770"/>
      <c r="V38" s="770"/>
      <c r="W38" s="770"/>
      <c r="X38" s="770"/>
      <c r="Y38" s="761"/>
      <c r="Z38" s="781"/>
    </row>
    <row r="39" spans="1:26">
      <c r="B39" s="765"/>
      <c r="C39" s="765"/>
      <c r="E39" s="762"/>
      <c r="F39" s="770"/>
      <c r="G39" s="770"/>
      <c r="H39" s="770"/>
      <c r="I39" s="770"/>
      <c r="J39" s="770"/>
      <c r="K39" s="770"/>
      <c r="L39" s="770"/>
      <c r="M39" s="770"/>
      <c r="N39" s="770"/>
      <c r="O39" s="770"/>
      <c r="P39" s="770"/>
      <c r="Q39" s="770"/>
      <c r="R39" s="770"/>
      <c r="S39" s="770"/>
      <c r="T39" s="770"/>
      <c r="U39" s="770"/>
      <c r="V39" s="770"/>
      <c r="W39" s="770"/>
      <c r="X39" s="770"/>
      <c r="Y39" s="761"/>
      <c r="Z39" s="781"/>
    </row>
    <row r="40" spans="1:26">
      <c r="B40" s="765"/>
      <c r="C40" s="765"/>
      <c r="E40" s="762"/>
      <c r="F40" s="770"/>
      <c r="G40" s="770"/>
      <c r="H40" s="770"/>
      <c r="I40" s="770"/>
      <c r="J40" s="770"/>
      <c r="K40" s="770"/>
      <c r="L40" s="770"/>
      <c r="M40" s="770"/>
      <c r="N40" s="770"/>
      <c r="O40" s="770"/>
      <c r="P40" s="770"/>
      <c r="Q40" s="770"/>
      <c r="R40" s="770"/>
      <c r="S40" s="770"/>
      <c r="T40" s="770"/>
      <c r="U40" s="770"/>
      <c r="V40" s="770"/>
      <c r="W40" s="770"/>
      <c r="X40" s="770"/>
      <c r="Y40" s="761"/>
      <c r="Z40" s="781"/>
    </row>
    <row r="41" spans="1:26">
      <c r="B41" s="765"/>
      <c r="C41" s="765"/>
      <c r="E41" s="762"/>
      <c r="F41" s="770"/>
      <c r="G41" s="770"/>
      <c r="H41" s="770"/>
      <c r="I41" s="770"/>
      <c r="J41" s="770"/>
      <c r="K41" s="770"/>
      <c r="L41" s="770"/>
      <c r="M41" s="770"/>
      <c r="N41" s="770"/>
      <c r="O41" s="770"/>
      <c r="P41" s="770"/>
      <c r="Q41" s="770"/>
      <c r="R41" s="770"/>
      <c r="S41" s="770"/>
      <c r="T41" s="770"/>
      <c r="U41" s="770"/>
      <c r="V41" s="770"/>
      <c r="W41" s="770"/>
      <c r="X41" s="770"/>
      <c r="Y41" s="761"/>
      <c r="Z41" s="781"/>
    </row>
    <row r="42" spans="1:26" s="797" customFormat="1">
      <c r="B42" s="798"/>
      <c r="C42" s="798"/>
      <c r="E42" s="762"/>
      <c r="F42" s="770"/>
      <c r="G42" s="770"/>
      <c r="H42" s="770"/>
      <c r="I42" s="770"/>
      <c r="J42" s="770"/>
      <c r="K42" s="770"/>
      <c r="L42" s="770"/>
      <c r="M42" s="770"/>
      <c r="N42" s="770"/>
      <c r="O42" s="770"/>
      <c r="P42" s="770"/>
      <c r="Q42" s="770"/>
      <c r="R42" s="770"/>
      <c r="S42" s="799"/>
      <c r="T42" s="799"/>
      <c r="U42" s="799"/>
      <c r="V42" s="799"/>
      <c r="W42" s="799"/>
      <c r="X42" s="799"/>
      <c r="Y42" s="800"/>
      <c r="Z42" s="801"/>
    </row>
    <row r="43" spans="1:26">
      <c r="B43" s="765"/>
      <c r="C43" s="765"/>
      <c r="E43" s="762"/>
      <c r="F43" s="770"/>
      <c r="G43" s="770"/>
      <c r="H43" s="770"/>
      <c r="I43" s="770"/>
      <c r="J43" s="770"/>
      <c r="K43" s="770"/>
      <c r="L43" s="770"/>
      <c r="M43" s="770"/>
      <c r="N43" s="770"/>
      <c r="O43" s="770"/>
      <c r="P43" s="770"/>
      <c r="Q43" s="770"/>
      <c r="R43" s="770"/>
      <c r="S43" s="770"/>
      <c r="T43" s="770"/>
      <c r="U43" s="770"/>
      <c r="V43" s="770"/>
      <c r="W43" s="770"/>
      <c r="X43" s="770"/>
      <c r="Y43" s="761"/>
      <c r="Z43" s="781"/>
    </row>
    <row r="44" spans="1:26">
      <c r="B44" s="765"/>
      <c r="C44" s="765"/>
      <c r="E44" s="762"/>
      <c r="F44" s="770"/>
      <c r="G44" s="770"/>
      <c r="H44" s="770"/>
      <c r="I44" s="770"/>
      <c r="J44" s="770"/>
      <c r="K44" s="770"/>
      <c r="L44" s="770"/>
      <c r="M44" s="770"/>
      <c r="N44" s="770"/>
      <c r="O44" s="770"/>
      <c r="P44" s="770"/>
      <c r="Q44" s="770"/>
      <c r="R44" s="770"/>
      <c r="S44" s="770"/>
      <c r="T44" s="770"/>
      <c r="U44" s="770"/>
      <c r="V44" s="770"/>
      <c r="W44" s="770"/>
      <c r="X44" s="770"/>
      <c r="Y44" s="761"/>
      <c r="Z44" s="781"/>
    </row>
    <row r="45" spans="1:26">
      <c r="B45" s="765"/>
      <c r="C45" s="765"/>
      <c r="E45" s="762"/>
      <c r="F45" s="770"/>
      <c r="G45" s="770"/>
      <c r="H45" s="770"/>
      <c r="I45" s="770"/>
      <c r="J45" s="770"/>
      <c r="K45" s="770"/>
      <c r="L45" s="770"/>
      <c r="M45" s="770"/>
      <c r="N45" s="770"/>
      <c r="O45" s="770"/>
      <c r="P45" s="770"/>
      <c r="Q45" s="770"/>
      <c r="R45" s="770"/>
      <c r="S45" s="770"/>
      <c r="T45" s="770"/>
      <c r="U45" s="770"/>
      <c r="V45" s="770"/>
      <c r="W45" s="770"/>
      <c r="X45" s="770"/>
      <c r="Y45" s="761"/>
      <c r="Z45" s="781"/>
    </row>
    <row r="46" spans="1:26">
      <c r="B46" s="765"/>
      <c r="C46" s="765"/>
      <c r="E46" s="762"/>
      <c r="F46" s="770"/>
      <c r="G46" s="770"/>
      <c r="H46" s="770"/>
      <c r="I46" s="770"/>
      <c r="J46" s="770"/>
      <c r="K46" s="770"/>
      <c r="L46" s="770"/>
      <c r="M46" s="770"/>
      <c r="N46" s="770"/>
      <c r="O46" s="770"/>
      <c r="P46" s="770"/>
      <c r="Q46" s="770"/>
      <c r="R46" s="770"/>
      <c r="S46" s="770"/>
      <c r="T46" s="770"/>
      <c r="U46" s="770"/>
      <c r="V46" s="770"/>
      <c r="W46" s="770"/>
      <c r="X46" s="770"/>
      <c r="Y46" s="761"/>
      <c r="Z46" s="781"/>
    </row>
    <row r="47" spans="1:26">
      <c r="B47" s="765"/>
      <c r="C47" s="765"/>
      <c r="E47" s="762"/>
      <c r="F47" s="770"/>
      <c r="G47" s="770"/>
      <c r="H47" s="770"/>
      <c r="I47" s="770"/>
      <c r="J47" s="770"/>
      <c r="K47" s="770"/>
      <c r="L47" s="770"/>
      <c r="M47" s="770"/>
      <c r="N47" s="770"/>
      <c r="O47" s="770"/>
      <c r="P47" s="770"/>
      <c r="Q47" s="770"/>
      <c r="R47" s="770"/>
      <c r="S47" s="770"/>
      <c r="T47" s="770"/>
      <c r="U47" s="770"/>
      <c r="V47" s="770"/>
      <c r="W47" s="770"/>
      <c r="X47" s="770"/>
      <c r="Y47" s="761"/>
      <c r="Z47" s="781"/>
    </row>
    <row r="48" spans="1:26">
      <c r="B48" s="765"/>
      <c r="C48" s="765"/>
      <c r="E48" s="769"/>
      <c r="F48" s="770"/>
      <c r="G48" s="770"/>
      <c r="H48" s="770"/>
      <c r="I48" s="770"/>
      <c r="J48" s="770"/>
      <c r="K48" s="770"/>
      <c r="L48" s="770"/>
      <c r="M48" s="770"/>
      <c r="N48" s="770"/>
      <c r="O48" s="770"/>
      <c r="P48" s="770"/>
      <c r="Q48" s="770"/>
      <c r="R48" s="763"/>
      <c r="S48" s="770"/>
      <c r="T48" s="770"/>
      <c r="U48" s="770"/>
      <c r="V48" s="770"/>
      <c r="W48" s="770"/>
      <c r="X48" s="770"/>
      <c r="Y48" s="761"/>
      <c r="Z48" s="781"/>
    </row>
    <row r="49" spans="2:26">
      <c r="B49" s="765"/>
      <c r="C49" s="765"/>
      <c r="E49" s="769"/>
      <c r="F49" s="770"/>
      <c r="G49" s="770"/>
      <c r="H49" s="770"/>
      <c r="I49" s="770"/>
      <c r="J49" s="770"/>
      <c r="K49" s="770"/>
      <c r="L49" s="770"/>
      <c r="M49" s="770"/>
      <c r="N49" s="770"/>
      <c r="O49" s="770"/>
      <c r="P49" s="770"/>
      <c r="Q49" s="770"/>
      <c r="R49" s="763"/>
      <c r="S49" s="770"/>
      <c r="T49" s="770"/>
      <c r="U49" s="770"/>
      <c r="V49" s="770"/>
      <c r="W49" s="770"/>
      <c r="X49" s="770"/>
      <c r="Y49" s="761"/>
      <c r="Z49" s="781"/>
    </row>
    <row r="50" spans="2:26">
      <c r="B50" s="765"/>
      <c r="C50" s="765"/>
      <c r="E50" s="769"/>
      <c r="F50" s="770"/>
      <c r="G50" s="770"/>
      <c r="H50" s="770"/>
      <c r="I50" s="770"/>
      <c r="J50" s="770"/>
      <c r="K50" s="770"/>
      <c r="L50" s="770"/>
      <c r="M50" s="770"/>
      <c r="N50" s="770"/>
      <c r="O50" s="770"/>
      <c r="P50" s="770"/>
      <c r="Q50" s="770"/>
      <c r="R50" s="763"/>
      <c r="S50" s="770"/>
      <c r="T50" s="770"/>
      <c r="U50" s="770"/>
      <c r="V50" s="770"/>
      <c r="W50" s="770"/>
      <c r="X50" s="770"/>
      <c r="Y50" s="761"/>
      <c r="Z50" s="781"/>
    </row>
    <row r="51" spans="2:26">
      <c r="B51" s="765"/>
      <c r="C51" s="765"/>
      <c r="E51" s="769"/>
      <c r="F51" s="770"/>
      <c r="G51" s="770"/>
      <c r="H51" s="770"/>
      <c r="I51" s="770"/>
      <c r="J51" s="770"/>
      <c r="K51" s="770"/>
      <c r="L51" s="770"/>
      <c r="M51" s="770"/>
      <c r="N51" s="770"/>
      <c r="O51" s="770"/>
      <c r="P51" s="770"/>
      <c r="Q51" s="770"/>
      <c r="R51" s="763"/>
      <c r="S51" s="770"/>
      <c r="T51" s="770"/>
      <c r="U51" s="770"/>
      <c r="V51" s="770"/>
      <c r="W51" s="770"/>
      <c r="X51" s="770"/>
      <c r="Y51" s="761"/>
      <c r="Z51" s="781"/>
    </row>
    <row r="52" spans="2:26">
      <c r="B52" s="765"/>
      <c r="C52" s="765"/>
      <c r="E52" s="755"/>
      <c r="F52" s="756"/>
      <c r="G52" s="756"/>
      <c r="H52" s="756"/>
      <c r="I52" s="756"/>
      <c r="J52" s="756"/>
      <c r="K52" s="756"/>
      <c r="L52" s="756"/>
      <c r="M52" s="756"/>
      <c r="N52" s="756"/>
      <c r="O52" s="756"/>
      <c r="P52" s="756"/>
      <c r="Q52" s="756"/>
      <c r="R52" s="758"/>
      <c r="S52" s="756"/>
      <c r="T52" s="756"/>
      <c r="U52" s="756"/>
      <c r="V52" s="756"/>
      <c r="W52" s="756"/>
      <c r="X52" s="756"/>
      <c r="Y52" s="757"/>
      <c r="Z52" s="781"/>
    </row>
    <row r="53" spans="2:26">
      <c r="B53" s="765"/>
      <c r="C53" s="765"/>
      <c r="E53" s="755"/>
      <c r="F53" s="756"/>
      <c r="G53" s="756"/>
      <c r="H53" s="756"/>
      <c r="I53" s="756"/>
      <c r="J53" s="756"/>
      <c r="K53" s="756"/>
      <c r="L53" s="756"/>
      <c r="M53" s="756"/>
      <c r="N53" s="756"/>
      <c r="O53" s="756"/>
      <c r="P53" s="756"/>
      <c r="Q53" s="756"/>
      <c r="R53" s="758"/>
      <c r="S53" s="756"/>
      <c r="T53" s="756"/>
      <c r="U53" s="756"/>
      <c r="V53" s="756"/>
      <c r="W53" s="756"/>
      <c r="X53" s="756"/>
      <c r="Y53" s="757"/>
      <c r="Z53" s="781"/>
    </row>
    <row r="54" spans="2:26">
      <c r="B54" s="765"/>
      <c r="C54" s="765"/>
      <c r="E54" s="755"/>
      <c r="F54" s="756"/>
      <c r="G54" s="756"/>
      <c r="H54" s="756"/>
      <c r="I54" s="756"/>
      <c r="J54" s="756"/>
      <c r="K54" s="756"/>
      <c r="L54" s="756"/>
      <c r="M54" s="756"/>
      <c r="N54" s="756"/>
      <c r="O54" s="756"/>
      <c r="P54" s="756"/>
      <c r="Q54" s="756"/>
      <c r="R54" s="758"/>
      <c r="S54" s="756"/>
      <c r="T54" s="756"/>
      <c r="U54" s="756"/>
      <c r="V54" s="756"/>
      <c r="W54" s="756"/>
      <c r="X54" s="756"/>
      <c r="Y54" s="757"/>
      <c r="Z54" s="781"/>
    </row>
    <row r="55" spans="2:26">
      <c r="B55" s="765"/>
      <c r="C55" s="765"/>
      <c r="E55" s="755"/>
      <c r="F55" s="756"/>
      <c r="G55" s="756"/>
      <c r="H55" s="756"/>
      <c r="I55" s="756"/>
      <c r="J55" s="756"/>
      <c r="K55" s="756"/>
      <c r="L55" s="756"/>
      <c r="M55" s="756"/>
      <c r="N55" s="756"/>
      <c r="O55" s="756"/>
      <c r="P55" s="756"/>
      <c r="Q55" s="756"/>
      <c r="R55" s="758"/>
      <c r="S55" s="756"/>
      <c r="T55" s="756"/>
      <c r="U55" s="756"/>
      <c r="V55" s="756"/>
      <c r="W55" s="756"/>
      <c r="X55" s="756"/>
      <c r="Y55" s="757"/>
      <c r="Z55" s="781"/>
    </row>
    <row r="56" spans="2:26">
      <c r="B56" s="765"/>
      <c r="C56" s="765"/>
      <c r="E56" s="755"/>
      <c r="F56" s="756"/>
      <c r="G56" s="756"/>
      <c r="H56" s="756"/>
      <c r="I56" s="756"/>
      <c r="J56" s="756"/>
      <c r="K56" s="756"/>
      <c r="L56" s="756"/>
      <c r="M56" s="756"/>
      <c r="N56" s="756"/>
      <c r="O56" s="756"/>
      <c r="P56" s="756"/>
      <c r="Q56" s="756"/>
      <c r="R56" s="758"/>
      <c r="S56" s="756"/>
      <c r="T56" s="756"/>
      <c r="U56" s="756"/>
      <c r="V56" s="756"/>
      <c r="W56" s="756"/>
      <c r="X56" s="756"/>
      <c r="Y56" s="757"/>
      <c r="Z56" s="781"/>
    </row>
    <row r="57" spans="2:26">
      <c r="B57" s="765"/>
      <c r="C57" s="765"/>
      <c r="E57" s="755"/>
      <c r="F57" s="756"/>
      <c r="G57" s="756"/>
      <c r="H57" s="756"/>
      <c r="I57" s="756"/>
      <c r="J57" s="756"/>
      <c r="K57" s="756"/>
      <c r="L57" s="756"/>
      <c r="M57" s="756"/>
      <c r="N57" s="756"/>
      <c r="O57" s="756"/>
      <c r="P57" s="756"/>
      <c r="Q57" s="756"/>
      <c r="R57" s="758"/>
      <c r="S57" s="756"/>
      <c r="T57" s="756"/>
      <c r="U57" s="756"/>
      <c r="V57" s="756"/>
      <c r="W57" s="756"/>
      <c r="X57" s="756"/>
      <c r="Y57" s="757"/>
      <c r="Z57" s="781"/>
    </row>
    <row r="58" spans="2:26">
      <c r="B58" s="765"/>
      <c r="C58" s="765"/>
      <c r="E58" s="755"/>
      <c r="F58" s="756"/>
      <c r="G58" s="756"/>
      <c r="H58" s="756"/>
      <c r="I58" s="756"/>
      <c r="J58" s="756"/>
      <c r="K58" s="756"/>
      <c r="L58" s="756"/>
      <c r="M58" s="756"/>
      <c r="N58" s="756"/>
      <c r="O58" s="756"/>
      <c r="P58" s="756"/>
      <c r="Q58" s="756"/>
      <c r="R58" s="758"/>
      <c r="S58" s="756"/>
      <c r="T58" s="756"/>
      <c r="U58" s="756"/>
      <c r="V58" s="756"/>
      <c r="W58" s="756"/>
      <c r="X58" s="756"/>
      <c r="Y58" s="757"/>
      <c r="Z58" s="781"/>
    </row>
    <row r="59" spans="2:26">
      <c r="B59" s="765"/>
      <c r="C59" s="377"/>
      <c r="E59" s="310"/>
      <c r="F59" s="756"/>
      <c r="G59" s="756"/>
      <c r="H59" s="756"/>
      <c r="I59" s="756"/>
      <c r="J59" s="756"/>
      <c r="K59" s="756"/>
      <c r="L59" s="756"/>
      <c r="M59" s="756"/>
      <c r="N59" s="756"/>
      <c r="O59" s="756"/>
      <c r="P59" s="756"/>
      <c r="Q59" s="756"/>
      <c r="R59" s="758"/>
      <c r="S59" s="756"/>
      <c r="T59" s="756"/>
      <c r="U59" s="756"/>
      <c r="V59" s="756"/>
      <c r="W59" s="756"/>
      <c r="X59" s="756"/>
      <c r="Y59" s="757"/>
      <c r="Z59" s="781"/>
    </row>
    <row r="60" spans="2:26">
      <c r="B60" s="765"/>
      <c r="C60" s="377"/>
      <c r="E60" s="310"/>
      <c r="F60" s="756"/>
      <c r="G60" s="756"/>
      <c r="H60" s="756"/>
      <c r="I60" s="756"/>
      <c r="J60" s="756"/>
      <c r="K60" s="756"/>
      <c r="L60" s="756"/>
      <c r="M60" s="756"/>
      <c r="N60" s="756"/>
      <c r="O60" s="756"/>
      <c r="P60" s="756"/>
      <c r="Q60" s="756"/>
      <c r="R60" s="758"/>
      <c r="S60" s="756"/>
      <c r="T60" s="756"/>
      <c r="U60" s="756"/>
      <c r="V60" s="756"/>
      <c r="W60" s="756"/>
      <c r="X60" s="756"/>
      <c r="Y60" s="757"/>
      <c r="Z60" s="781"/>
    </row>
    <row r="61" spans="2:26">
      <c r="B61" s="765"/>
      <c r="C61" s="377"/>
      <c r="E61" s="310"/>
      <c r="F61" s="756"/>
      <c r="G61" s="756"/>
      <c r="H61" s="756"/>
      <c r="I61" s="756"/>
      <c r="J61" s="756"/>
      <c r="K61" s="756"/>
      <c r="L61" s="756"/>
      <c r="M61" s="756"/>
      <c r="N61" s="756"/>
      <c r="O61" s="756"/>
      <c r="P61" s="756"/>
      <c r="Q61" s="756"/>
      <c r="R61" s="758"/>
      <c r="S61" s="756"/>
      <c r="T61" s="756"/>
      <c r="U61" s="756"/>
      <c r="V61" s="756"/>
      <c r="W61" s="756"/>
      <c r="X61" s="756"/>
      <c r="Y61" s="757"/>
      <c r="Z61" s="781"/>
    </row>
    <row r="62" spans="2:26">
      <c r="B62" s="765"/>
      <c r="C62" s="377"/>
      <c r="E62" s="310"/>
      <c r="F62" s="756"/>
      <c r="G62" s="756"/>
      <c r="H62" s="756"/>
      <c r="I62" s="756"/>
      <c r="J62" s="756"/>
      <c r="K62" s="756"/>
      <c r="L62" s="756"/>
      <c r="M62" s="756"/>
      <c r="N62" s="756"/>
      <c r="O62" s="756"/>
      <c r="P62" s="756"/>
      <c r="Q62" s="756"/>
      <c r="R62" s="758"/>
      <c r="S62" s="756"/>
      <c r="T62" s="756"/>
      <c r="U62" s="756"/>
      <c r="V62" s="756"/>
      <c r="W62" s="756"/>
      <c r="X62" s="756"/>
      <c r="Y62" s="757"/>
      <c r="Z62" s="781"/>
    </row>
    <row r="63" spans="2:26">
      <c r="B63" s="765"/>
      <c r="C63" s="377"/>
      <c r="E63" s="310"/>
      <c r="F63" s="756"/>
      <c r="G63" s="756"/>
      <c r="H63" s="756"/>
      <c r="I63" s="756"/>
      <c r="J63" s="756"/>
      <c r="K63" s="756"/>
      <c r="L63" s="756"/>
      <c r="M63" s="756"/>
      <c r="N63" s="756"/>
      <c r="O63" s="756"/>
      <c r="P63" s="756"/>
      <c r="Q63" s="756"/>
      <c r="R63" s="758"/>
      <c r="S63" s="756"/>
      <c r="T63" s="756"/>
      <c r="U63" s="756"/>
      <c r="V63" s="756"/>
      <c r="W63" s="756"/>
      <c r="X63" s="756"/>
      <c r="Y63" s="757"/>
      <c r="Z63" s="781"/>
    </row>
    <row r="64" spans="2:26">
      <c r="B64" s="765"/>
      <c r="C64" s="377"/>
      <c r="E64" s="310"/>
      <c r="F64" s="756"/>
      <c r="G64" s="756"/>
      <c r="H64" s="756"/>
      <c r="I64" s="756"/>
      <c r="J64" s="756"/>
      <c r="K64" s="756"/>
      <c r="L64" s="756"/>
      <c r="M64" s="756"/>
      <c r="N64" s="756"/>
      <c r="O64" s="756"/>
      <c r="P64" s="756"/>
      <c r="Q64" s="756"/>
      <c r="R64" s="758"/>
      <c r="S64" s="756"/>
      <c r="T64" s="756"/>
      <c r="U64" s="756"/>
      <c r="V64" s="756"/>
      <c r="W64" s="756"/>
      <c r="X64" s="756"/>
      <c r="Y64" s="757"/>
      <c r="Z64" s="781"/>
    </row>
    <row r="65" spans="2:73" ht="13.5" thickBot="1">
      <c r="B65" s="264"/>
      <c r="C65" s="379"/>
      <c r="E65" s="314"/>
      <c r="F65" s="315"/>
      <c r="G65" s="315"/>
      <c r="H65" s="315"/>
      <c r="I65" s="315"/>
      <c r="J65" s="315"/>
      <c r="K65" s="315"/>
      <c r="L65" s="315"/>
      <c r="M65" s="315"/>
      <c r="N65" s="315"/>
      <c r="O65" s="315"/>
      <c r="P65" s="315"/>
      <c r="Q65" s="315"/>
      <c r="R65" s="381"/>
      <c r="S65" s="315"/>
      <c r="T65" s="315"/>
      <c r="U65" s="315"/>
      <c r="V65" s="315"/>
      <c r="W65" s="315"/>
      <c r="X65" s="315"/>
      <c r="Y65" s="316"/>
      <c r="Z65" s="781"/>
    </row>
    <row r="66" spans="2:73" s="155" customFormat="1" ht="13.5" thickBot="1">
      <c r="E66" s="382">
        <f>SUM(E6:E65)-SUM(E17:E20)</f>
        <v>822141.76627671765</v>
      </c>
      <c r="F66" s="382">
        <f t="shared" ref="F66:Y66" si="0">SUM(F6:F65)</f>
        <v>2529447017.5473452</v>
      </c>
      <c r="G66" s="382">
        <f t="shared" si="0"/>
        <v>4181244955.9887743</v>
      </c>
      <c r="H66" s="383">
        <f t="shared" si="0"/>
        <v>0</v>
      </c>
      <c r="I66" s="383">
        <f t="shared" si="0"/>
        <v>0</v>
      </c>
      <c r="J66" s="382">
        <f t="shared" si="0"/>
        <v>3953804623.3863769</v>
      </c>
      <c r="K66" s="382">
        <f t="shared" si="0"/>
        <v>0</v>
      </c>
      <c r="L66" s="382">
        <f t="shared" si="0"/>
        <v>0</v>
      </c>
      <c r="M66" s="382">
        <f t="shared" si="0"/>
        <v>0</v>
      </c>
      <c r="N66" s="382">
        <f t="shared" si="0"/>
        <v>1560912.6426284716</v>
      </c>
      <c r="O66" s="382">
        <f t="shared" si="0"/>
        <v>0</v>
      </c>
      <c r="P66" s="382">
        <f t="shared" si="0"/>
        <v>1464217.4962676298</v>
      </c>
      <c r="Q66" s="382">
        <f t="shared" si="0"/>
        <v>2567422.2547533643</v>
      </c>
      <c r="R66" s="382">
        <f t="shared" si="0"/>
        <v>1406089.7622498199</v>
      </c>
      <c r="S66" s="382">
        <f t="shared" si="0"/>
        <v>1775241.4930800435</v>
      </c>
      <c r="T66" s="382">
        <f t="shared" si="0"/>
        <v>1651659.4664277681</v>
      </c>
      <c r="U66" s="382">
        <f t="shared" si="0"/>
        <v>0</v>
      </c>
      <c r="V66" s="382">
        <f t="shared" si="0"/>
        <v>4254857.3176637506</v>
      </c>
      <c r="W66" s="382">
        <f t="shared" si="0"/>
        <v>5574059.2046070807</v>
      </c>
      <c r="X66" s="382">
        <f t="shared" si="0"/>
        <v>5233513.7018682025</v>
      </c>
      <c r="Y66" s="382">
        <f t="shared" si="0"/>
        <v>0</v>
      </c>
      <c r="AA66" s="764"/>
      <c r="AB66" s="764"/>
      <c r="AC66" s="764"/>
      <c r="AD66" s="764"/>
      <c r="AE66" s="764"/>
      <c r="AF66" s="764"/>
      <c r="AG66" s="764"/>
      <c r="AH66" s="764"/>
      <c r="AI66" s="764"/>
      <c r="AJ66" s="764"/>
      <c r="AK66" s="764"/>
      <c r="AL66" s="764"/>
      <c r="AM66" s="764"/>
      <c r="AN66" s="764"/>
      <c r="AO66" s="764"/>
      <c r="AP66" s="764"/>
      <c r="AQ66" s="764"/>
      <c r="AR66" s="764"/>
      <c r="AS66" s="764"/>
      <c r="AT66" s="764"/>
      <c r="AU66" s="764"/>
      <c r="AV66" s="764"/>
      <c r="AW66" s="764"/>
      <c r="AX66" s="764"/>
      <c r="AY66" s="764"/>
      <c r="AZ66" s="764"/>
      <c r="BA66" s="764"/>
      <c r="BB66" s="764"/>
      <c r="BC66" s="764"/>
      <c r="BD66" s="764"/>
      <c r="BE66" s="764"/>
      <c r="BF66" s="764"/>
      <c r="BG66" s="764"/>
      <c r="BH66" s="764"/>
      <c r="BI66" s="764"/>
      <c r="BJ66" s="764"/>
      <c r="BK66" s="764"/>
      <c r="BL66" s="764"/>
      <c r="BM66" s="764"/>
      <c r="BN66" s="764"/>
      <c r="BO66" s="764"/>
      <c r="BP66" s="764"/>
      <c r="BQ66" s="764"/>
      <c r="BR66" s="764"/>
      <c r="BS66" s="764"/>
      <c r="BT66" s="764"/>
      <c r="BU66" s="764"/>
    </row>
    <row r="67" spans="2:73" s="155" customFormat="1" ht="13.5" thickTop="1">
      <c r="E67" s="677"/>
      <c r="F67" s="677"/>
      <c r="G67" s="677"/>
      <c r="H67" s="677"/>
      <c r="I67" s="677"/>
      <c r="J67" s="677"/>
      <c r="K67" s="677"/>
      <c r="L67" s="677"/>
      <c r="M67" s="677"/>
      <c r="N67" s="677"/>
      <c r="O67" s="677"/>
      <c r="P67" s="677"/>
      <c r="Q67" s="677"/>
      <c r="R67" s="677"/>
      <c r="S67" s="677"/>
      <c r="T67" s="677"/>
      <c r="U67" s="677"/>
      <c r="V67" s="677"/>
      <c r="W67" s="677"/>
      <c r="X67" s="677"/>
      <c r="Y67" s="677"/>
      <c r="AA67" s="764"/>
      <c r="AB67" s="764"/>
      <c r="AC67" s="764"/>
      <c r="AD67" s="764"/>
      <c r="AE67" s="764"/>
      <c r="AF67" s="764"/>
      <c r="AG67" s="764"/>
      <c r="AH67" s="764"/>
      <c r="AI67" s="764"/>
      <c r="AJ67" s="764"/>
      <c r="AK67" s="764"/>
      <c r="AL67" s="764"/>
      <c r="AM67" s="764"/>
      <c r="AN67" s="764"/>
      <c r="AO67" s="764"/>
      <c r="AP67" s="764"/>
      <c r="AQ67" s="764"/>
      <c r="AR67" s="764"/>
      <c r="AS67" s="764"/>
      <c r="AT67" s="764"/>
      <c r="AU67" s="764"/>
      <c r="AV67" s="764"/>
      <c r="AW67" s="764"/>
      <c r="AX67" s="764"/>
      <c r="AY67" s="764"/>
      <c r="AZ67" s="764"/>
      <c r="BA67" s="764"/>
      <c r="BB67" s="764"/>
      <c r="BC67" s="764"/>
      <c r="BD67" s="764"/>
      <c r="BE67" s="764"/>
      <c r="BF67" s="764"/>
      <c r="BG67" s="764"/>
      <c r="BH67" s="764"/>
      <c r="BI67" s="764"/>
      <c r="BJ67" s="764"/>
      <c r="BK67" s="764"/>
      <c r="BL67" s="764"/>
      <c r="BM67" s="764"/>
      <c r="BN67" s="764"/>
      <c r="BO67" s="764"/>
      <c r="BP67" s="764"/>
      <c r="BQ67" s="764"/>
      <c r="BR67" s="764"/>
      <c r="BS67" s="764"/>
      <c r="BT67" s="764"/>
      <c r="BU67" s="764"/>
    </row>
    <row r="68" spans="2:73" s="155" customFormat="1">
      <c r="AA68" s="764"/>
      <c r="AB68" s="764"/>
      <c r="AC68" s="764"/>
      <c r="AD68" s="764"/>
      <c r="AE68" s="764"/>
      <c r="AF68" s="764"/>
      <c r="AG68" s="764"/>
      <c r="AH68" s="764"/>
      <c r="AI68" s="764"/>
      <c r="AJ68" s="764"/>
      <c r="AK68" s="764"/>
      <c r="AL68" s="764"/>
      <c r="AM68" s="764"/>
      <c r="AN68" s="764"/>
      <c r="AO68" s="764"/>
      <c r="AP68" s="764"/>
      <c r="AQ68" s="764"/>
      <c r="AR68" s="764"/>
      <c r="AS68" s="764"/>
      <c r="AT68" s="764"/>
      <c r="AU68" s="764"/>
      <c r="AV68" s="764"/>
      <c r="AW68" s="764"/>
      <c r="AX68" s="764"/>
      <c r="AY68" s="764"/>
      <c r="AZ68" s="764"/>
      <c r="BA68" s="764"/>
      <c r="BB68" s="764"/>
      <c r="BC68" s="764"/>
      <c r="BD68" s="764"/>
      <c r="BE68" s="764"/>
      <c r="BF68" s="764"/>
      <c r="BG68" s="764"/>
      <c r="BH68" s="764"/>
      <c r="BI68" s="764"/>
      <c r="BJ68" s="764"/>
      <c r="BK68" s="764"/>
      <c r="BL68" s="764"/>
      <c r="BM68" s="764"/>
      <c r="BN68" s="764"/>
      <c r="BO68" s="764"/>
      <c r="BP68" s="764"/>
      <c r="BQ68" s="764"/>
      <c r="BR68" s="764"/>
      <c r="BS68" s="764"/>
      <c r="BT68" s="764"/>
      <c r="BU68" s="764"/>
    </row>
    <row r="69" spans="2:73" s="155" customFormat="1">
      <c r="AA69" s="764"/>
      <c r="AB69" s="764"/>
      <c r="AC69" s="764"/>
      <c r="AD69" s="764"/>
      <c r="AE69" s="764"/>
      <c r="AF69" s="764"/>
      <c r="AG69" s="764"/>
      <c r="AH69" s="764"/>
      <c r="AI69" s="764"/>
      <c r="AJ69" s="764"/>
      <c r="AK69" s="764"/>
      <c r="AL69" s="764"/>
      <c r="AM69" s="764"/>
      <c r="AN69" s="764"/>
      <c r="AO69" s="764"/>
      <c r="AP69" s="764"/>
      <c r="AQ69" s="764"/>
      <c r="AR69" s="764"/>
      <c r="AS69" s="764"/>
      <c r="AT69" s="764"/>
      <c r="AU69" s="764"/>
      <c r="AV69" s="764"/>
      <c r="AW69" s="764"/>
      <c r="AX69" s="764"/>
      <c r="AY69" s="764"/>
      <c r="AZ69" s="764"/>
      <c r="BA69" s="764"/>
      <c r="BB69" s="764"/>
      <c r="BC69" s="764"/>
      <c r="BD69" s="764"/>
      <c r="BE69" s="764"/>
      <c r="BF69" s="764"/>
      <c r="BG69" s="764"/>
      <c r="BH69" s="764"/>
      <c r="BI69" s="764"/>
      <c r="BJ69" s="764"/>
      <c r="BK69" s="764"/>
      <c r="BL69" s="764"/>
      <c r="BM69" s="764"/>
      <c r="BN69" s="764"/>
      <c r="BO69" s="764"/>
      <c r="BP69" s="764"/>
      <c r="BQ69" s="764"/>
      <c r="BR69" s="764"/>
      <c r="BS69" s="764"/>
      <c r="BT69" s="764"/>
      <c r="BU69" s="764"/>
    </row>
    <row r="70" spans="2:73" s="155" customFormat="1">
      <c r="AA70" s="764"/>
      <c r="AB70" s="764"/>
      <c r="AC70" s="764"/>
      <c r="AD70" s="764"/>
      <c r="AE70" s="764"/>
      <c r="AF70" s="764"/>
      <c r="AG70" s="764"/>
      <c r="AH70" s="764"/>
      <c r="AI70" s="764"/>
      <c r="AJ70" s="764"/>
      <c r="AK70" s="764"/>
      <c r="AL70" s="764"/>
      <c r="AM70" s="764"/>
      <c r="AN70" s="764"/>
      <c r="AO70" s="764"/>
      <c r="AP70" s="764"/>
      <c r="AQ70" s="764"/>
      <c r="AR70" s="764"/>
      <c r="AS70" s="764"/>
      <c r="AT70" s="764"/>
      <c r="AU70" s="764"/>
      <c r="AV70" s="764"/>
      <c r="AW70" s="764"/>
      <c r="AX70" s="764"/>
      <c r="AY70" s="764"/>
      <c r="AZ70" s="764"/>
      <c r="BA70" s="764"/>
      <c r="BB70" s="764"/>
      <c r="BC70" s="764"/>
      <c r="BD70" s="764"/>
      <c r="BE70" s="764"/>
      <c r="BF70" s="764"/>
      <c r="BG70" s="764"/>
      <c r="BH70" s="764"/>
      <c r="BI70" s="764"/>
      <c r="BJ70" s="764"/>
      <c r="BK70" s="764"/>
      <c r="BL70" s="764"/>
      <c r="BM70" s="764"/>
      <c r="BN70" s="764"/>
      <c r="BO70" s="764"/>
      <c r="BP70" s="764"/>
      <c r="BQ70" s="764"/>
      <c r="BR70" s="764"/>
      <c r="BS70" s="764"/>
      <c r="BT70" s="764"/>
      <c r="BU70" s="764"/>
    </row>
    <row r="71" spans="2:73" s="155" customFormat="1">
      <c r="AA71" s="764"/>
      <c r="AB71" s="764"/>
      <c r="AC71" s="764"/>
      <c r="AD71" s="764"/>
      <c r="AE71" s="764"/>
      <c r="AF71" s="764"/>
      <c r="AG71" s="764"/>
      <c r="AH71" s="764"/>
      <c r="AI71" s="764"/>
      <c r="AJ71" s="764"/>
      <c r="AK71" s="764"/>
      <c r="AL71" s="764"/>
      <c r="AM71" s="764"/>
      <c r="AN71" s="764"/>
      <c r="AO71" s="764"/>
      <c r="AP71" s="764"/>
      <c r="AQ71" s="764"/>
      <c r="AR71" s="764"/>
      <c r="AS71" s="764"/>
      <c r="AT71" s="764"/>
      <c r="AU71" s="764"/>
      <c r="AV71" s="764"/>
      <c r="AW71" s="764"/>
      <c r="AX71" s="764"/>
      <c r="AY71" s="764"/>
      <c r="AZ71" s="764"/>
      <c r="BA71" s="764"/>
      <c r="BB71" s="764"/>
      <c r="BC71" s="764"/>
      <c r="BD71" s="764"/>
      <c r="BE71" s="764"/>
      <c r="BF71" s="764"/>
      <c r="BG71" s="764"/>
      <c r="BH71" s="764"/>
      <c r="BI71" s="764"/>
      <c r="BJ71" s="764"/>
      <c r="BK71" s="764"/>
      <c r="BL71" s="764"/>
      <c r="BM71" s="764"/>
      <c r="BN71" s="764"/>
      <c r="BO71" s="764"/>
      <c r="BP71" s="764"/>
      <c r="BQ71" s="764"/>
      <c r="BR71" s="764"/>
      <c r="BS71" s="764"/>
      <c r="BT71" s="764"/>
      <c r="BU71" s="764"/>
    </row>
    <row r="72" spans="2:73" s="155" customFormat="1">
      <c r="AA72" s="764"/>
      <c r="AB72" s="764"/>
      <c r="AC72" s="764"/>
      <c r="AD72" s="764"/>
      <c r="AE72" s="764"/>
      <c r="AF72" s="764"/>
      <c r="AG72" s="764"/>
      <c r="AH72" s="764"/>
      <c r="AI72" s="764"/>
      <c r="AJ72" s="764"/>
      <c r="AK72" s="764"/>
      <c r="AL72" s="764"/>
      <c r="AM72" s="764"/>
      <c r="AN72" s="764"/>
      <c r="AO72" s="764"/>
      <c r="AP72" s="764"/>
      <c r="AQ72" s="764"/>
      <c r="AR72" s="764"/>
      <c r="AS72" s="764"/>
      <c r="AT72" s="764"/>
      <c r="AU72" s="764"/>
      <c r="AV72" s="764"/>
      <c r="AW72" s="764"/>
      <c r="AX72" s="764"/>
      <c r="AY72" s="764"/>
      <c r="AZ72" s="764"/>
      <c r="BA72" s="764"/>
      <c r="BB72" s="764"/>
      <c r="BC72" s="764"/>
      <c r="BD72" s="764"/>
      <c r="BE72" s="764"/>
      <c r="BF72" s="764"/>
      <c r="BG72" s="764"/>
      <c r="BH72" s="764"/>
      <c r="BI72" s="764"/>
      <c r="BJ72" s="764"/>
      <c r="BK72" s="764"/>
      <c r="BL72" s="764"/>
      <c r="BM72" s="764"/>
      <c r="BN72" s="764"/>
      <c r="BO72" s="764"/>
      <c r="BP72" s="764"/>
      <c r="BQ72" s="764"/>
      <c r="BR72" s="764"/>
      <c r="BS72" s="764"/>
      <c r="BT72" s="764"/>
      <c r="BU72" s="764"/>
    </row>
    <row r="73" spans="2:73" s="155" customFormat="1">
      <c r="AA73" s="764"/>
      <c r="AB73" s="764"/>
      <c r="AC73" s="764"/>
      <c r="AD73" s="764"/>
      <c r="AE73" s="764"/>
      <c r="AF73" s="764"/>
      <c r="AG73" s="764"/>
      <c r="AH73" s="764"/>
      <c r="AI73" s="764"/>
      <c r="AJ73" s="764"/>
      <c r="AK73" s="764"/>
      <c r="AL73" s="764"/>
      <c r="AM73" s="764"/>
      <c r="AN73" s="764"/>
      <c r="AO73" s="764"/>
      <c r="AP73" s="764"/>
      <c r="AQ73" s="764"/>
      <c r="AR73" s="764"/>
      <c r="AS73" s="764"/>
      <c r="AT73" s="764"/>
      <c r="AU73" s="764"/>
      <c r="AV73" s="764"/>
      <c r="AW73" s="764"/>
      <c r="AX73" s="764"/>
      <c r="AY73" s="764"/>
      <c r="AZ73" s="764"/>
      <c r="BA73" s="764"/>
      <c r="BB73" s="764"/>
      <c r="BC73" s="764"/>
      <c r="BD73" s="764"/>
      <c r="BE73" s="764"/>
      <c r="BF73" s="764"/>
      <c r="BG73" s="764"/>
      <c r="BH73" s="764"/>
      <c r="BI73" s="764"/>
      <c r="BJ73" s="764"/>
      <c r="BK73" s="764"/>
      <c r="BL73" s="764"/>
      <c r="BM73" s="764"/>
      <c r="BN73" s="764"/>
      <c r="BO73" s="764"/>
      <c r="BP73" s="764"/>
      <c r="BQ73" s="764"/>
      <c r="BR73" s="764"/>
      <c r="BS73" s="764"/>
      <c r="BT73" s="764"/>
      <c r="BU73" s="764"/>
    </row>
    <row r="74" spans="2:73" s="155" customFormat="1">
      <c r="AA74" s="764"/>
      <c r="AB74" s="764"/>
      <c r="AC74" s="764"/>
      <c r="AD74" s="764"/>
      <c r="AE74" s="764"/>
      <c r="AF74" s="764"/>
      <c r="AG74" s="764"/>
      <c r="AH74" s="764"/>
      <c r="AI74" s="764"/>
      <c r="AJ74" s="764"/>
      <c r="AK74" s="764"/>
      <c r="AL74" s="764"/>
      <c r="AM74" s="764"/>
      <c r="AN74" s="764"/>
      <c r="AO74" s="764"/>
      <c r="AP74" s="764"/>
      <c r="AQ74" s="764"/>
      <c r="AR74" s="764"/>
      <c r="AS74" s="764"/>
      <c r="AT74" s="764"/>
      <c r="AU74" s="764"/>
      <c r="AV74" s="764"/>
      <c r="AW74" s="764"/>
      <c r="AX74" s="764"/>
      <c r="AY74" s="764"/>
      <c r="AZ74" s="764"/>
      <c r="BA74" s="764"/>
      <c r="BB74" s="764"/>
      <c r="BC74" s="764"/>
      <c r="BD74" s="764"/>
      <c r="BE74" s="764"/>
      <c r="BF74" s="764"/>
      <c r="BG74" s="764"/>
      <c r="BH74" s="764"/>
      <c r="BI74" s="764"/>
      <c r="BJ74" s="764"/>
      <c r="BK74" s="764"/>
      <c r="BL74" s="764"/>
      <c r="BM74" s="764"/>
      <c r="BN74" s="764"/>
      <c r="BO74" s="764"/>
      <c r="BP74" s="764"/>
      <c r="BQ74" s="764"/>
      <c r="BR74" s="764"/>
      <c r="BS74" s="764"/>
      <c r="BT74" s="764"/>
      <c r="BU74" s="764"/>
    </row>
    <row r="75" spans="2:73" s="155" customFormat="1">
      <c r="AA75" s="764"/>
      <c r="AB75" s="764"/>
      <c r="AC75" s="764"/>
      <c r="AD75" s="764"/>
      <c r="AE75" s="764"/>
      <c r="AF75" s="764"/>
      <c r="AG75" s="764"/>
      <c r="AH75" s="764"/>
      <c r="AI75" s="764"/>
      <c r="AJ75" s="764"/>
      <c r="AK75" s="764"/>
      <c r="AL75" s="764"/>
      <c r="AM75" s="764"/>
      <c r="AN75" s="764"/>
      <c r="AO75" s="764"/>
      <c r="AP75" s="764"/>
      <c r="AQ75" s="764"/>
      <c r="AR75" s="764"/>
      <c r="AS75" s="764"/>
      <c r="AT75" s="764"/>
      <c r="AU75" s="764"/>
      <c r="AV75" s="764"/>
      <c r="AW75" s="764"/>
      <c r="AX75" s="764"/>
      <c r="AY75" s="764"/>
      <c r="AZ75" s="764"/>
      <c r="BA75" s="764"/>
      <c r="BB75" s="764"/>
      <c r="BC75" s="764"/>
      <c r="BD75" s="764"/>
      <c r="BE75" s="764"/>
      <c r="BF75" s="764"/>
      <c r="BG75" s="764"/>
      <c r="BH75" s="764"/>
      <c r="BI75" s="764"/>
      <c r="BJ75" s="764"/>
      <c r="BK75" s="764"/>
      <c r="BL75" s="764"/>
      <c r="BM75" s="764"/>
      <c r="BN75" s="764"/>
      <c r="BO75" s="764"/>
      <c r="BP75" s="764"/>
      <c r="BQ75" s="764"/>
      <c r="BR75" s="764"/>
      <c r="BS75" s="764"/>
      <c r="BT75" s="764"/>
      <c r="BU75" s="764"/>
    </row>
    <row r="76" spans="2:73" s="155" customFormat="1">
      <c r="AA76" s="764"/>
      <c r="AB76" s="764"/>
      <c r="AC76" s="764"/>
      <c r="AD76" s="764"/>
      <c r="AE76" s="764"/>
      <c r="AF76" s="764"/>
      <c r="AG76" s="764"/>
      <c r="AH76" s="764"/>
      <c r="AI76" s="764"/>
      <c r="AJ76" s="764"/>
      <c r="AK76" s="764"/>
      <c r="AL76" s="764"/>
      <c r="AM76" s="764"/>
      <c r="AN76" s="764"/>
      <c r="AO76" s="764"/>
      <c r="AP76" s="764"/>
      <c r="AQ76" s="764"/>
      <c r="AR76" s="764"/>
      <c r="AS76" s="764"/>
      <c r="AT76" s="764"/>
      <c r="AU76" s="764"/>
      <c r="AV76" s="764"/>
      <c r="AW76" s="764"/>
      <c r="AX76" s="764"/>
      <c r="AY76" s="764"/>
      <c r="AZ76" s="764"/>
      <c r="BA76" s="764"/>
      <c r="BB76" s="764"/>
      <c r="BC76" s="764"/>
      <c r="BD76" s="764"/>
      <c r="BE76" s="764"/>
      <c r="BF76" s="764"/>
      <c r="BG76" s="764"/>
      <c r="BH76" s="764"/>
      <c r="BI76" s="764"/>
      <c r="BJ76" s="764"/>
      <c r="BK76" s="764"/>
      <c r="BL76" s="764"/>
      <c r="BM76" s="764"/>
      <c r="BN76" s="764"/>
      <c r="BO76" s="764"/>
      <c r="BP76" s="764"/>
      <c r="BQ76" s="764"/>
      <c r="BR76" s="764"/>
      <c r="BS76" s="764"/>
      <c r="BT76" s="764"/>
      <c r="BU76" s="764"/>
    </row>
    <row r="77" spans="2:73" s="155" customFormat="1">
      <c r="AA77" s="764"/>
      <c r="AB77" s="764"/>
      <c r="AC77" s="764"/>
      <c r="AD77" s="764"/>
      <c r="AE77" s="764"/>
      <c r="AF77" s="764"/>
      <c r="AG77" s="764"/>
      <c r="AH77" s="764"/>
      <c r="AI77" s="764"/>
      <c r="AJ77" s="764"/>
      <c r="AK77" s="764"/>
      <c r="AL77" s="764"/>
      <c r="AM77" s="764"/>
      <c r="AN77" s="764"/>
      <c r="AO77" s="764"/>
      <c r="AP77" s="764"/>
      <c r="AQ77" s="764"/>
      <c r="AR77" s="764"/>
      <c r="AS77" s="764"/>
      <c r="AT77" s="764"/>
      <c r="AU77" s="764"/>
      <c r="AV77" s="764"/>
      <c r="AW77" s="764"/>
      <c r="AX77" s="764"/>
      <c r="AY77" s="764"/>
      <c r="AZ77" s="764"/>
      <c r="BA77" s="764"/>
      <c r="BB77" s="764"/>
      <c r="BC77" s="764"/>
      <c r="BD77" s="764"/>
      <c r="BE77" s="764"/>
      <c r="BF77" s="764"/>
      <c r="BG77" s="764"/>
      <c r="BH77" s="764"/>
      <c r="BI77" s="764"/>
      <c r="BJ77" s="764"/>
      <c r="BK77" s="764"/>
      <c r="BL77" s="764"/>
      <c r="BM77" s="764"/>
      <c r="BN77" s="764"/>
      <c r="BO77" s="764"/>
      <c r="BP77" s="764"/>
      <c r="BQ77" s="764"/>
      <c r="BR77" s="764"/>
      <c r="BS77" s="764"/>
      <c r="BT77" s="764"/>
      <c r="BU77" s="764"/>
    </row>
    <row r="78" spans="2:73" s="155" customFormat="1">
      <c r="AA78" s="764"/>
      <c r="AB78" s="764"/>
      <c r="AC78" s="764"/>
      <c r="AD78" s="764"/>
      <c r="AE78" s="764"/>
      <c r="AF78" s="764"/>
      <c r="AG78" s="764"/>
      <c r="AH78" s="764"/>
      <c r="AI78" s="764"/>
      <c r="AJ78" s="764"/>
      <c r="AK78" s="764"/>
      <c r="AL78" s="764"/>
      <c r="AM78" s="764"/>
      <c r="AN78" s="764"/>
      <c r="AO78" s="764"/>
      <c r="AP78" s="764"/>
      <c r="AQ78" s="764"/>
      <c r="AR78" s="764"/>
      <c r="AS78" s="764"/>
      <c r="AT78" s="764"/>
      <c r="AU78" s="764"/>
      <c r="AV78" s="764"/>
      <c r="AW78" s="764"/>
      <c r="AX78" s="764"/>
      <c r="AY78" s="764"/>
      <c r="AZ78" s="764"/>
      <c r="BA78" s="764"/>
      <c r="BB78" s="764"/>
      <c r="BC78" s="764"/>
      <c r="BD78" s="764"/>
      <c r="BE78" s="764"/>
      <c r="BF78" s="764"/>
      <c r="BG78" s="764"/>
      <c r="BH78" s="764"/>
      <c r="BI78" s="764"/>
      <c r="BJ78" s="764"/>
      <c r="BK78" s="764"/>
      <c r="BL78" s="764"/>
      <c r="BM78" s="764"/>
      <c r="BN78" s="764"/>
      <c r="BO78" s="764"/>
      <c r="BP78" s="764"/>
      <c r="BQ78" s="764"/>
      <c r="BR78" s="764"/>
      <c r="BS78" s="764"/>
      <c r="BT78" s="764"/>
      <c r="BU78" s="764"/>
    </row>
    <row r="79" spans="2:73" s="155" customFormat="1">
      <c r="AA79" s="764"/>
      <c r="AB79" s="764"/>
      <c r="AC79" s="764"/>
      <c r="AD79" s="764"/>
      <c r="AE79" s="764"/>
      <c r="AF79" s="764"/>
      <c r="AG79" s="764"/>
      <c r="AH79" s="764"/>
      <c r="AI79" s="764"/>
      <c r="AJ79" s="764"/>
      <c r="AK79" s="764"/>
      <c r="AL79" s="764"/>
      <c r="AM79" s="764"/>
      <c r="AN79" s="764"/>
      <c r="AO79" s="764"/>
      <c r="AP79" s="764"/>
      <c r="AQ79" s="764"/>
      <c r="AR79" s="764"/>
      <c r="AS79" s="764"/>
      <c r="AT79" s="764"/>
      <c r="AU79" s="764"/>
      <c r="AV79" s="764"/>
      <c r="AW79" s="764"/>
      <c r="AX79" s="764"/>
      <c r="AY79" s="764"/>
      <c r="AZ79" s="764"/>
      <c r="BA79" s="764"/>
      <c r="BB79" s="764"/>
      <c r="BC79" s="764"/>
      <c r="BD79" s="764"/>
      <c r="BE79" s="764"/>
      <c r="BF79" s="764"/>
      <c r="BG79" s="764"/>
      <c r="BH79" s="764"/>
      <c r="BI79" s="764"/>
      <c r="BJ79" s="764"/>
      <c r="BK79" s="764"/>
      <c r="BL79" s="764"/>
      <c r="BM79" s="764"/>
      <c r="BN79" s="764"/>
      <c r="BO79" s="764"/>
      <c r="BP79" s="764"/>
      <c r="BQ79" s="764"/>
      <c r="BR79" s="764"/>
      <c r="BS79" s="764"/>
      <c r="BT79" s="764"/>
      <c r="BU79" s="764"/>
    </row>
    <row r="80" spans="2:73" s="155" customFormat="1">
      <c r="AA80" s="764"/>
      <c r="AB80" s="764"/>
      <c r="AC80" s="764"/>
      <c r="AD80" s="764"/>
      <c r="AE80" s="764"/>
      <c r="AF80" s="764"/>
      <c r="AG80" s="764"/>
      <c r="AH80" s="764"/>
      <c r="AI80" s="764"/>
      <c r="AJ80" s="764"/>
      <c r="AK80" s="764"/>
      <c r="AL80" s="764"/>
      <c r="AM80" s="764"/>
      <c r="AN80" s="764"/>
      <c r="AO80" s="764"/>
      <c r="AP80" s="764"/>
      <c r="AQ80" s="764"/>
      <c r="AR80" s="764"/>
      <c r="AS80" s="764"/>
      <c r="AT80" s="764"/>
      <c r="AU80" s="764"/>
      <c r="AV80" s="764"/>
      <c r="AW80" s="764"/>
      <c r="AX80" s="764"/>
      <c r="AY80" s="764"/>
      <c r="AZ80" s="764"/>
      <c r="BA80" s="764"/>
      <c r="BB80" s="764"/>
      <c r="BC80" s="764"/>
      <c r="BD80" s="764"/>
      <c r="BE80" s="764"/>
      <c r="BF80" s="764"/>
      <c r="BG80" s="764"/>
      <c r="BH80" s="764"/>
      <c r="BI80" s="764"/>
      <c r="BJ80" s="764"/>
      <c r="BK80" s="764"/>
      <c r="BL80" s="764"/>
      <c r="BM80" s="764"/>
      <c r="BN80" s="764"/>
      <c r="BO80" s="764"/>
      <c r="BP80" s="764"/>
      <c r="BQ80" s="764"/>
      <c r="BR80" s="764"/>
      <c r="BS80" s="764"/>
      <c r="BT80" s="764"/>
      <c r="BU80" s="764"/>
    </row>
    <row r="81" s="155" customFormat="1"/>
    <row r="82" s="155" customFormat="1"/>
    <row r="83" s="155" customFormat="1"/>
    <row r="84" s="155" customFormat="1"/>
    <row r="85" s="155" customFormat="1"/>
    <row r="86" s="155" customFormat="1"/>
    <row r="87" s="155" customFormat="1"/>
    <row r="88" s="155" customFormat="1"/>
    <row r="89" s="155" customFormat="1"/>
    <row r="90" s="155" customFormat="1"/>
    <row r="91" s="155" customFormat="1"/>
    <row r="92" s="155" customFormat="1"/>
    <row r="93" s="155" customFormat="1"/>
    <row r="94" s="155" customFormat="1"/>
    <row r="95" s="155" customFormat="1"/>
    <row r="96" s="155" customFormat="1"/>
    <row r="97" s="155" customFormat="1"/>
    <row r="98" s="155" customFormat="1"/>
    <row r="99" s="155" customFormat="1"/>
    <row r="100" s="155" customFormat="1"/>
    <row r="101" s="155" customFormat="1"/>
    <row r="102" s="155" customFormat="1"/>
    <row r="103" s="155" customFormat="1"/>
    <row r="104" s="155" customFormat="1"/>
    <row r="105" s="155" customFormat="1"/>
  </sheetData>
  <dataConsolidate/>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3" manualBreakCount="3">
    <brk id="4" max="1048575" man="1"/>
    <brk id="26" max="1048575" man="1"/>
    <brk id="49" max="1048575" man="1"/>
  </col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2:AC78"/>
  <sheetViews>
    <sheetView zoomScale="80" zoomScaleNormal="80" workbookViewId="0">
      <selection activeCell="R41" sqref="R41"/>
    </sheetView>
  </sheetViews>
  <sheetFormatPr defaultRowHeight="14.25"/>
  <cols>
    <col min="1" max="1" width="5.42578125" style="32" customWidth="1"/>
    <col min="2" max="2" width="78.42578125" style="33" customWidth="1"/>
    <col min="3" max="3" width="18.5703125" style="34" customWidth="1"/>
    <col min="4" max="5" width="18.5703125" style="35" customWidth="1"/>
    <col min="6" max="6" width="9.28515625" style="35" customWidth="1"/>
    <col min="7" max="8" width="18.5703125" style="35" customWidth="1"/>
    <col min="9" max="10" width="9.140625" style="36" customWidth="1"/>
    <col min="11" max="16" width="9.140625" style="35" customWidth="1"/>
    <col min="17" max="20" width="9.140625" style="35"/>
    <col min="21" max="21" width="9.14062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c r="B2" s="63" t="str">
        <f>"Tariff Approval - "&amp;'Model update'!$C$3</f>
        <v>Tariff Approval - Powercor</v>
      </c>
      <c r="D2" s="38"/>
      <c r="M2" s="78"/>
      <c r="N2" s="78"/>
      <c r="O2" s="78"/>
      <c r="P2" s="78"/>
      <c r="Q2" s="78"/>
      <c r="R2" s="78"/>
    </row>
    <row r="3" spans="1:24" ht="15">
      <c r="B3" s="143"/>
      <c r="D3" s="38"/>
      <c r="M3" s="78"/>
      <c r="N3" s="78"/>
      <c r="O3" s="78"/>
      <c r="P3" s="78"/>
      <c r="Q3" s="78"/>
      <c r="R3" s="78"/>
    </row>
    <row r="4" spans="1:24" ht="18.75">
      <c r="B4" s="144" t="s">
        <v>294</v>
      </c>
      <c r="C4" s="145"/>
      <c r="D4" s="38"/>
      <c r="M4" s="78"/>
      <c r="N4" s="78"/>
      <c r="O4" s="78"/>
      <c r="P4" s="78"/>
      <c r="Q4" s="78"/>
      <c r="R4" s="78"/>
    </row>
    <row r="5" spans="1:24" ht="15">
      <c r="B5" s="39"/>
      <c r="D5" s="38"/>
      <c r="M5" s="78"/>
      <c r="N5" s="78"/>
      <c r="O5" s="78"/>
      <c r="P5" s="78"/>
      <c r="Q5" s="78"/>
      <c r="R5" s="78"/>
    </row>
    <row r="6" spans="1:24" ht="15">
      <c r="B6" s="74" t="s">
        <v>268</v>
      </c>
      <c r="C6" s="94">
        <f>'Model update'!C5</f>
        <v>2018</v>
      </c>
      <c r="D6" s="38"/>
      <c r="H6" s="613">
        <f>C6-1</f>
        <v>2017</v>
      </c>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108</v>
      </c>
      <c r="C8" s="46"/>
      <c r="D8" s="47"/>
      <c r="E8" s="47"/>
      <c r="M8" s="78"/>
      <c r="N8" s="78"/>
      <c r="O8" s="78"/>
      <c r="P8" s="78"/>
      <c r="Q8" s="78"/>
      <c r="R8" s="78"/>
    </row>
    <row r="9" spans="1:24" ht="18" customHeight="1">
      <c r="A9" s="43"/>
      <c r="B9" s="48" t="s">
        <v>118</v>
      </c>
      <c r="C9" s="73">
        <f>Prop2018DistTar!CM66</f>
        <v>627258321.45042896</v>
      </c>
      <c r="D9" s="672"/>
      <c r="E9" s="36"/>
      <c r="G9" s="149"/>
      <c r="H9" s="36"/>
      <c r="I9" s="35"/>
      <c r="J9" s="35"/>
      <c r="M9" s="78"/>
      <c r="N9" s="78"/>
      <c r="O9" s="78"/>
      <c r="P9" s="78"/>
      <c r="Q9" s="78"/>
      <c r="R9" s="78"/>
    </row>
    <row r="10" spans="1:24" ht="18" customHeight="1">
      <c r="A10" s="43"/>
      <c r="B10" s="85" t="s">
        <v>119</v>
      </c>
      <c r="C10" s="86">
        <f>C18</f>
        <v>627258321.45042896</v>
      </c>
      <c r="D10" s="49"/>
      <c r="E10" s="36"/>
      <c r="H10" s="36"/>
      <c r="I10" s="35"/>
      <c r="J10" s="35"/>
      <c r="M10" s="78"/>
      <c r="N10" s="78"/>
      <c r="O10" s="78"/>
      <c r="P10" s="78"/>
      <c r="Q10" s="78"/>
      <c r="R10" s="78"/>
    </row>
    <row r="11" spans="1:24" ht="18" customHeight="1">
      <c r="A11" s="43"/>
      <c r="B11" s="87"/>
      <c r="C11" s="89" t="str">
        <f>IF(C9="","",IF(C10&gt;=C9,"DUoS REVENUE CAP FORMULA COMPLIANT","DUoS REVENUE CAP FORMULA BREACHED"))</f>
        <v>DUoS REVENUE CAP FORMULA COMPLIANT</v>
      </c>
      <c r="D11" s="50"/>
      <c r="E11" s="75"/>
      <c r="F11" s="76"/>
      <c r="G11" s="76"/>
      <c r="H11" s="36"/>
      <c r="I11" s="76"/>
      <c r="J11" s="76"/>
      <c r="K11" s="76"/>
      <c r="L11" s="76"/>
      <c r="M11" s="78"/>
      <c r="N11" s="78"/>
      <c r="O11" s="78"/>
      <c r="P11" s="78"/>
      <c r="Q11" s="78"/>
      <c r="R11" s="78"/>
      <c r="V11" s="51"/>
      <c r="W11" s="51"/>
      <c r="X11" s="51"/>
    </row>
    <row r="12" spans="1:24" ht="18" customHeight="1">
      <c r="A12" s="43"/>
      <c r="B12" s="50"/>
      <c r="C12" s="50"/>
      <c r="D12" s="50"/>
      <c r="E12" s="75"/>
      <c r="F12" s="76"/>
      <c r="G12" s="76"/>
      <c r="H12" s="50"/>
      <c r="I12" s="76"/>
      <c r="J12" s="76"/>
      <c r="K12" s="76"/>
      <c r="L12" s="76"/>
      <c r="M12" s="78"/>
      <c r="N12" s="78"/>
      <c r="O12" s="78"/>
      <c r="P12" s="78"/>
      <c r="Q12" s="78"/>
      <c r="R12" s="78"/>
      <c r="V12" s="51"/>
      <c r="W12" s="51"/>
      <c r="X12" s="51"/>
    </row>
    <row r="13" spans="1:24" ht="18" customHeight="1">
      <c r="A13" s="43"/>
      <c r="B13" s="44" t="s">
        <v>115</v>
      </c>
      <c r="C13" s="50"/>
      <c r="D13" s="50"/>
      <c r="E13" s="75"/>
      <c r="F13" s="76"/>
      <c r="G13" s="76"/>
      <c r="H13" s="50"/>
      <c r="I13" s="76"/>
      <c r="J13" s="76"/>
      <c r="K13" s="76"/>
      <c r="L13" s="76"/>
      <c r="M13" s="78"/>
      <c r="N13" s="78"/>
      <c r="O13" s="78"/>
      <c r="P13" s="78"/>
      <c r="Q13" s="78"/>
      <c r="R13" s="78"/>
      <c r="V13" s="51"/>
      <c r="W13" s="51"/>
      <c r="X13" s="51"/>
    </row>
    <row r="14" spans="1:24" ht="18" customHeight="1">
      <c r="A14" s="43"/>
      <c r="B14" s="53" t="s">
        <v>120</v>
      </c>
      <c r="C14" s="64">
        <f>C25</f>
        <v>630135829.93750882</v>
      </c>
      <c r="D14" s="672"/>
      <c r="E14" s="75"/>
      <c r="F14" s="76"/>
      <c r="G14" s="76"/>
      <c r="H14" s="64">
        <f>H25</f>
        <v>621822055.59227026</v>
      </c>
      <c r="I14" s="76"/>
      <c r="J14" s="76"/>
      <c r="K14" s="76"/>
      <c r="L14" s="76"/>
      <c r="M14" s="78"/>
      <c r="N14" s="78"/>
      <c r="O14" s="78"/>
      <c r="P14" s="78"/>
      <c r="Q14" s="78"/>
      <c r="R14" s="78"/>
      <c r="V14" s="51"/>
      <c r="W14" s="51"/>
      <c r="X14" s="51"/>
    </row>
    <row r="15" spans="1:24" ht="18" customHeight="1">
      <c r="A15" s="43"/>
      <c r="B15" s="54" t="s">
        <v>117</v>
      </c>
      <c r="C15" s="64">
        <f>'Model update'!B$100</f>
        <v>1755000</v>
      </c>
      <c r="D15" s="672"/>
      <c r="E15" s="75"/>
      <c r="F15" s="76"/>
      <c r="G15" s="76"/>
      <c r="H15" s="575">
        <f>INDEX('Model update'!$D$100:$H$100,1,MATCH($H$6,'Model update'!$D$93:$H$93,0))</f>
        <v>1420000</v>
      </c>
      <c r="I15" s="76"/>
      <c r="J15" s="76"/>
      <c r="K15" s="76"/>
      <c r="L15" s="76"/>
      <c r="M15" s="78"/>
      <c r="N15" s="78"/>
      <c r="O15" s="78"/>
      <c r="P15" s="78"/>
      <c r="Q15" s="78"/>
      <c r="R15" s="78"/>
      <c r="V15" s="51"/>
      <c r="W15" s="51"/>
      <c r="X15" s="51"/>
    </row>
    <row r="16" spans="1:24" ht="18" customHeight="1">
      <c r="A16" s="43"/>
      <c r="B16" s="54" t="s">
        <v>116</v>
      </c>
      <c r="C16" s="64">
        <f>'Model update'!B144</f>
        <v>0</v>
      </c>
      <c r="D16" s="672"/>
      <c r="E16" s="75"/>
      <c r="F16" s="76"/>
      <c r="G16" s="76"/>
      <c r="H16" s="64">
        <f>INDEX('Model update'!$D$144:$H$144,1,MATCH($H$6,'Model update'!$D$137:$H$137,0))</f>
        <v>0</v>
      </c>
      <c r="I16" s="76"/>
      <c r="J16" s="76"/>
      <c r="K16" s="76"/>
      <c r="L16" s="76"/>
      <c r="M16" s="78"/>
      <c r="N16" s="78"/>
      <c r="O16" s="78"/>
      <c r="P16" s="78"/>
      <c r="Q16" s="78"/>
      <c r="R16" s="78"/>
      <c r="V16" s="51"/>
      <c r="W16" s="51"/>
      <c r="X16" s="51"/>
    </row>
    <row r="17" spans="1:29" ht="18" customHeight="1">
      <c r="A17" s="43"/>
      <c r="B17" s="54" t="s">
        <v>109</v>
      </c>
      <c r="C17" s="64">
        <f>C32</f>
        <v>-4632508.4870798988</v>
      </c>
      <c r="D17" s="672"/>
      <c r="E17" s="75"/>
      <c r="F17" s="76"/>
      <c r="G17" s="76"/>
      <c r="H17" s="64">
        <f>H32</f>
        <v>-5448248.81490523</v>
      </c>
      <c r="I17" s="76"/>
      <c r="J17" s="76"/>
      <c r="K17" s="76"/>
      <c r="L17" s="76"/>
      <c r="M17" s="78"/>
      <c r="N17" s="78"/>
      <c r="O17" s="78"/>
      <c r="P17" s="78"/>
      <c r="Q17" s="78"/>
      <c r="R17" s="78"/>
      <c r="V17" s="51"/>
      <c r="W17" s="51"/>
      <c r="X17" s="51"/>
    </row>
    <row r="18" spans="1:29" ht="18" customHeight="1">
      <c r="A18" s="43"/>
      <c r="B18" s="48" t="s">
        <v>119</v>
      </c>
      <c r="C18" s="65">
        <f>C14+C15+C16+C17</f>
        <v>627258321.45042896</v>
      </c>
      <c r="D18" s="672"/>
      <c r="E18" s="75"/>
      <c r="F18" s="76"/>
      <c r="G18" s="76"/>
      <c r="H18" s="65">
        <f>H14+H15+H16+H17</f>
        <v>617793806.77736497</v>
      </c>
      <c r="I18" s="76"/>
      <c r="J18" s="76"/>
      <c r="K18" s="76"/>
      <c r="L18" s="76"/>
      <c r="M18" s="78"/>
      <c r="N18" s="78"/>
      <c r="O18" s="78"/>
      <c r="P18" s="78"/>
      <c r="Q18" s="78"/>
      <c r="R18" s="78"/>
      <c r="V18" s="51"/>
      <c r="W18" s="51"/>
      <c r="X18" s="51"/>
    </row>
    <row r="19" spans="1:29" ht="18" customHeight="1">
      <c r="A19" s="43"/>
      <c r="B19" s="56"/>
      <c r="C19" s="92"/>
      <c r="D19" s="50"/>
      <c r="E19" s="75"/>
      <c r="F19" s="76"/>
      <c r="G19" s="76"/>
      <c r="H19" s="92"/>
      <c r="I19" s="76"/>
      <c r="J19" s="76"/>
      <c r="K19" s="76"/>
      <c r="L19" s="76"/>
      <c r="M19" s="78"/>
      <c r="N19" s="78"/>
      <c r="O19" s="78"/>
      <c r="P19" s="78"/>
      <c r="Q19" s="78"/>
      <c r="R19" s="78"/>
      <c r="V19" s="51"/>
      <c r="W19" s="51"/>
      <c r="X19" s="51"/>
    </row>
    <row r="20" spans="1:29" ht="18" customHeight="1">
      <c r="A20" s="43"/>
      <c r="B20" s="44" t="s">
        <v>114</v>
      </c>
      <c r="C20" s="93"/>
      <c r="D20" s="50"/>
      <c r="E20" s="75"/>
      <c r="F20" s="76"/>
      <c r="G20" s="76"/>
      <c r="H20" s="93"/>
      <c r="I20" s="76"/>
      <c r="J20" s="76"/>
      <c r="K20" s="76"/>
      <c r="L20" s="76"/>
      <c r="M20" s="78"/>
      <c r="N20" s="78"/>
      <c r="O20" s="78"/>
      <c r="P20" s="78"/>
      <c r="Q20" s="78"/>
      <c r="R20" s="78"/>
      <c r="V20" s="51"/>
      <c r="W20" s="51"/>
      <c r="X20" s="51"/>
    </row>
    <row r="21" spans="1:29" ht="18" customHeight="1">
      <c r="A21" s="43"/>
      <c r="B21" s="48" t="s">
        <v>121</v>
      </c>
      <c r="C21" s="718">
        <f>H25</f>
        <v>621822055.59227026</v>
      </c>
      <c r="D21" s="50"/>
      <c r="E21" s="75"/>
      <c r="F21" s="76"/>
      <c r="G21" s="76"/>
      <c r="H21" s="66">
        <v>614405834.95527029</v>
      </c>
      <c r="I21" s="76"/>
      <c r="J21" s="76"/>
      <c r="K21" s="76"/>
      <c r="L21" s="76"/>
      <c r="M21" s="78"/>
      <c r="N21" s="78"/>
      <c r="O21" s="78"/>
      <c r="P21" s="78"/>
      <c r="Q21" s="78"/>
      <c r="R21" s="78"/>
      <c r="V21" s="51"/>
      <c r="W21" s="51"/>
      <c r="X21" s="51"/>
    </row>
    <row r="22" spans="1:29" ht="18" customHeight="1">
      <c r="A22" s="43"/>
      <c r="B22" s="53" t="s">
        <v>110</v>
      </c>
      <c r="C22" s="67">
        <f>'Model update'!C30</f>
        <v>1.9337016574585641E-2</v>
      </c>
      <c r="D22" s="50"/>
      <c r="E22" s="75"/>
      <c r="F22" s="76"/>
      <c r="G22" s="76"/>
      <c r="H22" s="67">
        <f>'Model update'!C29</f>
        <v>1.0232558139534831E-2</v>
      </c>
      <c r="I22" s="76"/>
      <c r="J22" s="76"/>
      <c r="K22" s="76"/>
      <c r="L22" s="76"/>
      <c r="M22" s="78"/>
      <c r="N22" s="78"/>
      <c r="O22" s="78"/>
      <c r="P22" s="78"/>
      <c r="Q22" s="78"/>
      <c r="R22" s="78"/>
      <c r="V22" s="51"/>
      <c r="W22" s="51"/>
      <c r="X22" s="51"/>
    </row>
    <row r="23" spans="1:29" ht="18" customHeight="1">
      <c r="A23" s="43"/>
      <c r="B23" s="53" t="s">
        <v>111</v>
      </c>
      <c r="C23" s="67">
        <f>'Model update'!B60</f>
        <v>-8.0999999999999996E-3</v>
      </c>
      <c r="D23" s="50"/>
      <c r="E23" s="75"/>
      <c r="F23" s="76"/>
      <c r="G23" s="76"/>
      <c r="H23" s="67">
        <f>INDEX('Model update'!$E$60:$H$60,1,MATCH("Xt for "&amp;$H$6,'Model update'!$E$53:$H$53,0))</f>
        <v>4.6800000000000001E-2</v>
      </c>
      <c r="I23" s="76"/>
      <c r="J23" s="76"/>
      <c r="K23" s="76"/>
      <c r="L23" s="76"/>
      <c r="M23" s="78"/>
      <c r="N23" s="78"/>
      <c r="O23" s="78"/>
      <c r="P23" s="78"/>
      <c r="Q23" s="78"/>
      <c r="R23" s="78"/>
      <c r="V23" s="51"/>
      <c r="W23" s="51"/>
      <c r="X23" s="51"/>
    </row>
    <row r="24" spans="1:29" ht="18" customHeight="1">
      <c r="A24" s="43"/>
      <c r="B24" s="53" t="s">
        <v>112</v>
      </c>
      <c r="C24" s="67">
        <f>'Model update'!B111</f>
        <v>-1.3841682273256106E-2</v>
      </c>
      <c r="D24" s="50"/>
      <c r="E24" s="75"/>
      <c r="F24" s="76"/>
      <c r="G24" s="76"/>
      <c r="H24" s="67">
        <f>INDEX('Model update'!$D$111:$H$111,1,MATCH($H$6,'Model update'!$D$104:$H$104,0))</f>
        <v>5.1006485422781411E-2</v>
      </c>
      <c r="I24" s="76"/>
      <c r="J24" s="76"/>
      <c r="K24" s="76"/>
      <c r="L24" s="76"/>
      <c r="M24" s="78"/>
      <c r="N24" s="78"/>
      <c r="O24" s="78"/>
      <c r="P24" s="78"/>
      <c r="Q24" s="78"/>
      <c r="R24" s="78"/>
      <c r="V24" s="51"/>
      <c r="W24" s="51"/>
      <c r="X24" s="51"/>
    </row>
    <row r="25" spans="1:29" ht="18" customHeight="1">
      <c r="A25" s="43"/>
      <c r="B25" s="53" t="s">
        <v>120</v>
      </c>
      <c r="C25" s="65">
        <f>IF(C6=2016,'Model update'!D60*(1+C24),(C21*(1+C22)*(1-C23)*(1+C24)))</f>
        <v>630135829.93750882</v>
      </c>
      <c r="D25" s="50"/>
      <c r="E25" s="75"/>
      <c r="F25" s="76"/>
      <c r="G25" s="76"/>
      <c r="H25" s="65">
        <f>IF(H6=2016,'Model update'!D60*(1+H24),(H21*(1+H22)*(1-H23)*(1+H24)))</f>
        <v>621822055.59227026</v>
      </c>
      <c r="I25" s="76"/>
      <c r="J25" s="76"/>
      <c r="K25" s="76"/>
      <c r="L25" s="76"/>
      <c r="M25" s="78"/>
      <c r="N25" s="78"/>
      <c r="O25" s="78"/>
      <c r="P25" s="78"/>
      <c r="Q25" s="78"/>
      <c r="R25" s="78"/>
      <c r="V25" s="51"/>
      <c r="W25" s="51"/>
      <c r="X25" s="51"/>
    </row>
    <row r="26" spans="1:29" ht="18" customHeight="1">
      <c r="A26" s="43"/>
      <c r="B26" s="57"/>
      <c r="C26" s="68"/>
      <c r="D26" s="50"/>
      <c r="E26" s="75"/>
      <c r="F26" s="76"/>
      <c r="G26" s="76"/>
      <c r="H26" s="68"/>
      <c r="I26" s="76"/>
      <c r="J26" s="76"/>
      <c r="K26" s="76"/>
      <c r="L26" s="76"/>
      <c r="M26" s="78"/>
      <c r="N26" s="78"/>
      <c r="O26" s="78"/>
      <c r="P26" s="78"/>
      <c r="Q26" s="78"/>
      <c r="R26" s="78"/>
      <c r="V26" s="51"/>
      <c r="W26" s="51"/>
      <c r="X26" s="51"/>
    </row>
    <row r="27" spans="1:29" ht="18" customHeight="1">
      <c r="A27" s="57"/>
      <c r="B27" s="58" t="s">
        <v>415</v>
      </c>
      <c r="C27" s="69"/>
      <c r="D27" s="50"/>
      <c r="E27" s="75"/>
      <c r="F27" s="76"/>
      <c r="G27" s="76"/>
      <c r="H27" s="69"/>
      <c r="I27" s="76"/>
      <c r="J27" s="76"/>
      <c r="K27" s="76"/>
      <c r="L27" s="76"/>
      <c r="M27" s="78"/>
      <c r="N27" s="78"/>
      <c r="O27" s="78"/>
      <c r="P27" s="78"/>
      <c r="Q27" s="78"/>
      <c r="R27" s="78"/>
      <c r="V27" s="51"/>
      <c r="W27" s="51"/>
      <c r="X27" s="51"/>
    </row>
    <row r="28" spans="1:29" ht="18" customHeight="1">
      <c r="A28" s="43"/>
      <c r="B28" s="60" t="s">
        <v>113</v>
      </c>
      <c r="C28" s="70">
        <f>E60</f>
        <v>-4832480.8216686249</v>
      </c>
      <c r="D28" s="672"/>
      <c r="E28" s="75"/>
      <c r="F28" s="76"/>
      <c r="G28" s="76"/>
      <c r="H28" s="719">
        <v>-5339181.3532559872</v>
      </c>
      <c r="I28" s="76"/>
      <c r="J28" s="76"/>
      <c r="K28" s="76"/>
      <c r="L28" s="76"/>
      <c r="M28" s="78"/>
      <c r="N28" s="78"/>
      <c r="O28" s="78"/>
      <c r="P28" s="78"/>
      <c r="Q28" s="78"/>
      <c r="R28" s="78"/>
      <c r="V28" s="51"/>
      <c r="W28" s="51"/>
      <c r="X28" s="51"/>
    </row>
    <row r="29" spans="1:29" ht="18" customHeight="1">
      <c r="A29" s="43"/>
      <c r="B29" s="60" t="s">
        <v>123</v>
      </c>
      <c r="C29" s="70">
        <f>C38</f>
        <v>199972.33458872605</v>
      </c>
      <c r="D29" s="672"/>
      <c r="E29" s="75"/>
      <c r="F29" s="75"/>
      <c r="G29" s="75"/>
      <c r="H29" s="70">
        <f>H38</f>
        <v>102006.85857190168</v>
      </c>
      <c r="I29" s="75"/>
      <c r="J29" s="75"/>
      <c r="K29" s="76"/>
      <c r="L29" s="76"/>
      <c r="M29" s="76"/>
      <c r="N29" s="76"/>
      <c r="O29" s="76"/>
      <c r="P29" s="76"/>
      <c r="Q29" s="76"/>
      <c r="R29" s="78"/>
      <c r="AA29" s="51"/>
      <c r="AB29" s="51"/>
      <c r="AC29" s="51"/>
    </row>
    <row r="30" spans="1:29" ht="18" customHeight="1">
      <c r="A30" s="43"/>
      <c r="B30" s="60" t="s">
        <v>124</v>
      </c>
      <c r="C30" s="70">
        <f>'Model update'!B122</f>
        <v>0</v>
      </c>
      <c r="D30" s="672"/>
      <c r="E30" s="75"/>
      <c r="F30" s="76"/>
      <c r="G30" s="75"/>
      <c r="H30" s="70">
        <f>INDEX('Model update'!$D$122:$H$122,1,MATCH($H$6,'Model update'!$D$115:$H$115,0))</f>
        <v>0</v>
      </c>
      <c r="I30" s="75"/>
      <c r="J30" s="75"/>
      <c r="K30" s="76"/>
      <c r="L30" s="76"/>
      <c r="M30" s="76"/>
      <c r="N30" s="76"/>
      <c r="O30" s="76"/>
      <c r="P30" s="76"/>
      <c r="Q30" s="76"/>
      <c r="R30" s="78"/>
      <c r="AA30" s="51"/>
      <c r="AB30" s="51"/>
      <c r="AC30" s="51"/>
    </row>
    <row r="31" spans="1:29" ht="18" customHeight="1">
      <c r="A31" s="43"/>
      <c r="B31" s="60" t="s">
        <v>414</v>
      </c>
      <c r="C31" s="716"/>
      <c r="D31" s="672"/>
      <c r="E31" s="75"/>
      <c r="F31" s="76"/>
      <c r="G31" s="75"/>
      <c r="H31" s="720">
        <v>-211074.3202211445</v>
      </c>
      <c r="I31" s="75"/>
      <c r="J31" s="75"/>
      <c r="K31" s="76"/>
      <c r="L31" s="76"/>
      <c r="M31" s="76"/>
      <c r="N31" s="76"/>
      <c r="O31" s="76"/>
      <c r="P31" s="76"/>
      <c r="Q31" s="76"/>
      <c r="R31" s="78"/>
      <c r="AA31" s="51"/>
      <c r="AB31" s="51"/>
      <c r="AC31" s="51"/>
    </row>
    <row r="32" spans="1:29" ht="18" customHeight="1">
      <c r="A32" s="43"/>
      <c r="B32" s="59" t="s">
        <v>109</v>
      </c>
      <c r="C32" s="71">
        <f>SUM(C28:C31)</f>
        <v>-4632508.4870798988</v>
      </c>
      <c r="D32" s="672"/>
      <c r="E32" s="76"/>
      <c r="F32" s="76"/>
      <c r="G32" s="76"/>
      <c r="H32" s="71">
        <f>SUM(H28:H31)</f>
        <v>-5448248.81490523</v>
      </c>
      <c r="I32" s="75"/>
      <c r="J32" s="76"/>
      <c r="K32" s="76"/>
      <c r="L32" s="76"/>
      <c r="M32" s="76"/>
      <c r="N32" s="76"/>
      <c r="O32" s="76"/>
      <c r="P32" s="76"/>
      <c r="Q32" s="78"/>
      <c r="R32" s="78"/>
      <c r="Z32" s="51"/>
      <c r="AA32" s="51"/>
      <c r="AB32" s="51"/>
    </row>
    <row r="33" spans="1:28" ht="18" customHeight="1">
      <c r="A33" s="43"/>
      <c r="B33" s="44"/>
      <c r="C33" s="93"/>
      <c r="D33" s="50"/>
      <c r="E33" s="76"/>
      <c r="F33" s="76"/>
      <c r="G33" s="76"/>
      <c r="H33" s="93"/>
      <c r="I33" s="75"/>
      <c r="J33" s="76"/>
      <c r="K33" s="76"/>
      <c r="L33" s="76"/>
      <c r="M33" s="76"/>
      <c r="N33" s="76"/>
      <c r="O33" s="76"/>
      <c r="P33" s="76"/>
      <c r="Q33" s="78"/>
      <c r="R33" s="78"/>
      <c r="Z33" s="51"/>
      <c r="AA33" s="51"/>
      <c r="AB33" s="51"/>
    </row>
    <row r="34" spans="1:28" ht="15">
      <c r="A34" s="61"/>
      <c r="B34" s="58" t="s">
        <v>416</v>
      </c>
      <c r="C34" s="62"/>
      <c r="D34" s="61"/>
      <c r="E34" s="77"/>
      <c r="F34" s="77"/>
      <c r="G34" s="77"/>
      <c r="H34" s="62"/>
      <c r="I34" s="77"/>
      <c r="J34" s="77"/>
      <c r="K34" s="77"/>
      <c r="L34" s="77"/>
      <c r="M34" s="77"/>
      <c r="N34" s="77"/>
      <c r="O34" s="77"/>
      <c r="P34" s="77"/>
      <c r="Q34" s="77"/>
      <c r="R34" s="78"/>
    </row>
    <row r="35" spans="1:28">
      <c r="A35" s="61"/>
      <c r="B35" s="79" t="s">
        <v>125</v>
      </c>
      <c r="C35" s="575">
        <f>'Model update'!B133</f>
        <v>185081</v>
      </c>
      <c r="D35" s="61"/>
      <c r="E35" s="77"/>
      <c r="F35" s="77"/>
      <c r="G35" s="77"/>
      <c r="H35" s="575">
        <f>INDEX('Model update'!$D$133:$H$133,1,MATCH($H$6,'Model update'!$D$126:$H$126,0))</f>
        <v>94964</v>
      </c>
      <c r="I35" s="77"/>
      <c r="J35" s="77"/>
      <c r="K35" s="77"/>
      <c r="L35" s="77"/>
      <c r="M35" s="77"/>
      <c r="N35" s="77"/>
      <c r="O35" s="77"/>
      <c r="P35" s="77"/>
      <c r="Q35" s="77"/>
      <c r="R35" s="78"/>
    </row>
    <row r="36" spans="1:28">
      <c r="A36" s="35"/>
      <c r="B36" s="80" t="s">
        <v>421</v>
      </c>
      <c r="C36" s="81">
        <f>(1+'Model update'!$B$43)*(1+'Model update'!$C$30)-1</f>
        <v>5.5929028441763728E-2</v>
      </c>
      <c r="E36" s="78"/>
      <c r="F36" s="78"/>
      <c r="G36" s="78"/>
      <c r="H36" s="81">
        <f>(1+'Model update'!$B$45)*(1+'Model update'!$C$29)-1</f>
        <v>4.7000045598383666E-2</v>
      </c>
      <c r="I36" s="78"/>
      <c r="J36" s="78"/>
      <c r="K36" s="78"/>
      <c r="L36" s="78"/>
      <c r="M36" s="78"/>
      <c r="N36" s="78"/>
      <c r="O36" s="78"/>
      <c r="P36" s="78"/>
      <c r="Q36" s="78"/>
      <c r="R36" s="78"/>
    </row>
    <row r="37" spans="1:28">
      <c r="A37" s="35"/>
      <c r="B37" s="80" t="s">
        <v>126</v>
      </c>
      <c r="C37" s="81">
        <f>(1+'Model update'!$B$45)*(1+'Model update'!$C$29)-1</f>
        <v>4.7000045598383666E-2</v>
      </c>
      <c r="H37" s="81">
        <f>(1+'Model update'!$B$47)*(1+'Model update'!$C$28)-1</f>
        <v>5.2561174728540827E-2</v>
      </c>
      <c r="I37" s="35"/>
      <c r="J37" s="35"/>
      <c r="M37" s="78"/>
      <c r="N37" s="78"/>
      <c r="O37" s="78"/>
      <c r="P37" s="78"/>
      <c r="Q37" s="78"/>
      <c r="R37" s="78"/>
    </row>
    <row r="38" spans="1:28" ht="15">
      <c r="B38" s="82" t="s">
        <v>123</v>
      </c>
      <c r="C38" s="83">
        <f>C35*(1+C36)*(1+C37)^0.5</f>
        <v>199972.33458872605</v>
      </c>
      <c r="H38" s="83">
        <f>H35*(1+H36)*(1+H37)^0.5</f>
        <v>102006.85857190168</v>
      </c>
      <c r="M38" s="78"/>
      <c r="N38" s="78"/>
      <c r="O38" s="78"/>
      <c r="P38" s="78"/>
      <c r="Q38" s="78"/>
      <c r="R38" s="78"/>
    </row>
    <row r="42" spans="1:28" ht="15.75">
      <c r="B42" s="108" t="s">
        <v>417</v>
      </c>
      <c r="D42" s="740"/>
    </row>
    <row r="43" spans="1:28" ht="15">
      <c r="B43" s="100"/>
      <c r="C43" s="113" t="s">
        <v>267</v>
      </c>
      <c r="D43" s="113" t="s">
        <v>539</v>
      </c>
      <c r="E43" s="113" t="s">
        <v>35</v>
      </c>
    </row>
    <row r="44" spans="1:28" ht="15">
      <c r="B44" s="101"/>
      <c r="C44" s="114" t="s">
        <v>34</v>
      </c>
      <c r="D44" s="114" t="s">
        <v>442</v>
      </c>
      <c r="E44" s="114" t="s">
        <v>36</v>
      </c>
    </row>
    <row r="45" spans="1:28" ht="15">
      <c r="B45" s="101"/>
      <c r="C45" s="115">
        <f>D45-1</f>
        <v>2016</v>
      </c>
      <c r="D45" s="115">
        <f>E45-1</f>
        <v>2017</v>
      </c>
      <c r="E45" s="115">
        <f>C$6</f>
        <v>2018</v>
      </c>
    </row>
    <row r="46" spans="1:28">
      <c r="B46" s="101"/>
      <c r="C46" s="98"/>
      <c r="D46" s="98"/>
      <c r="E46" s="111"/>
    </row>
    <row r="47" spans="1:28" ht="15">
      <c r="B47" s="614" t="s">
        <v>260</v>
      </c>
      <c r="C47" s="97">
        <v>620923820.95000005</v>
      </c>
      <c r="D47" s="774">
        <f>Est2017DistRev!BQ66</f>
        <v>618316773.15876317</v>
      </c>
      <c r="E47" s="96">
        <f>C9</f>
        <v>627258321.45042896</v>
      </c>
      <c r="F47"/>
      <c r="G47"/>
      <c r="H47"/>
    </row>
    <row r="48" spans="1:28">
      <c r="B48" s="102"/>
      <c r="C48" s="98"/>
      <c r="D48" s="98"/>
      <c r="E48" s="110"/>
      <c r="F48"/>
      <c r="G48"/>
      <c r="H48"/>
    </row>
    <row r="49" spans="1:10">
      <c r="A49" s="35"/>
      <c r="B49" s="102"/>
      <c r="C49" s="98"/>
      <c r="D49" s="98"/>
      <c r="E49" s="110"/>
      <c r="F49"/>
      <c r="G49"/>
      <c r="H49"/>
      <c r="I49" s="35"/>
      <c r="J49" s="35"/>
    </row>
    <row r="50" spans="1:10" ht="15">
      <c r="A50" s="35"/>
      <c r="B50" s="103" t="s">
        <v>304</v>
      </c>
      <c r="C50" s="96">
        <f>SUM(C51:C54)</f>
        <v>611968987.31973624</v>
      </c>
      <c r="D50" s="96">
        <f>SUM(D51:D54)</f>
        <v>623132988.13062096</v>
      </c>
      <c r="E50" s="96">
        <f>SUM(E51:E54)</f>
        <v>632090802.27209759</v>
      </c>
      <c r="F50"/>
      <c r="G50"/>
      <c r="H50"/>
      <c r="I50" s="35"/>
      <c r="J50" s="35"/>
    </row>
    <row r="51" spans="1:10">
      <c r="A51" s="35"/>
      <c r="B51" s="104" t="s">
        <v>261</v>
      </c>
      <c r="C51" s="148">
        <f>H21</f>
        <v>614405834.95527029</v>
      </c>
      <c r="D51" s="148">
        <f>C21</f>
        <v>621822055.59227026</v>
      </c>
      <c r="E51" s="110">
        <f>C14</f>
        <v>630135829.93750882</v>
      </c>
      <c r="I51" s="35"/>
      <c r="J51" s="35"/>
    </row>
    <row r="52" spans="1:10">
      <c r="A52" s="35"/>
      <c r="B52" s="104" t="s">
        <v>262</v>
      </c>
      <c r="C52" s="148">
        <f>INDEX('Model update'!$D$100:$H$100,1,MATCH($C$45,'Model update'!$D$93:$H$93,0))</f>
        <v>-1530000</v>
      </c>
      <c r="D52" s="148">
        <f>H15</f>
        <v>1420000</v>
      </c>
      <c r="E52" s="110">
        <f>C15</f>
        <v>1755000</v>
      </c>
      <c r="I52" s="35"/>
      <c r="J52" s="35"/>
    </row>
    <row r="53" spans="1:10">
      <c r="A53" s="35"/>
      <c r="B53" s="104" t="s">
        <v>263</v>
      </c>
      <c r="C53" s="717">
        <f>INDEX('Model update'!$D$144:$H$144,1,MATCH($C$45,'Model update'!$D$137:$H$137,0))</f>
        <v>0</v>
      </c>
      <c r="D53" s="148">
        <f>H16</f>
        <v>0</v>
      </c>
      <c r="E53" s="110">
        <f>C16</f>
        <v>0</v>
      </c>
      <c r="I53" s="35"/>
      <c r="J53" s="35"/>
    </row>
    <row r="54" spans="1:10">
      <c r="A54" s="35"/>
      <c r="B54" s="104" t="s">
        <v>264</v>
      </c>
      <c r="C54" s="95">
        <f>SUM(C55:C57)</f>
        <v>-906847.63553407532</v>
      </c>
      <c r="D54" s="95">
        <f>SUM(D55:D57)</f>
        <v>-109067.46164924282</v>
      </c>
      <c r="E54" s="95">
        <f>SUM(E55:E57)</f>
        <v>199972.33458872605</v>
      </c>
      <c r="I54" s="35"/>
      <c r="J54" s="35"/>
    </row>
    <row r="55" spans="1:10">
      <c r="A55" s="35"/>
      <c r="B55" s="105" t="s">
        <v>265</v>
      </c>
      <c r="C55" s="99">
        <v>93129.378973376195</v>
      </c>
      <c r="D55" s="148">
        <f>H29</f>
        <v>102006.85857190168</v>
      </c>
      <c r="E55" s="110">
        <f>C29</f>
        <v>199972.33458872605</v>
      </c>
      <c r="I55" s="35"/>
      <c r="J55" s="35"/>
    </row>
    <row r="56" spans="1:10">
      <c r="A56" s="35"/>
      <c r="B56" s="105" t="s">
        <v>266</v>
      </c>
      <c r="C56" s="148">
        <f>INDEX('Model update'!$D$122:$H$122,1,MATCH($C$45,'Model update'!$D$115:$H$115,0))</f>
        <v>0</v>
      </c>
      <c r="D56" s="148">
        <f t="shared" ref="D56" si="0">H30</f>
        <v>0</v>
      </c>
      <c r="E56" s="110">
        <f>C30</f>
        <v>0</v>
      </c>
      <c r="I56" s="35"/>
      <c r="J56" s="35"/>
    </row>
    <row r="57" spans="1:10">
      <c r="A57" s="35"/>
      <c r="B57" s="105" t="s">
        <v>418</v>
      </c>
      <c r="C57" s="120">
        <v>-999977.01450745156</v>
      </c>
      <c r="D57" s="620">
        <f>H31</f>
        <v>-211074.3202211445</v>
      </c>
      <c r="E57" s="121">
        <f>C31</f>
        <v>0</v>
      </c>
      <c r="I57" s="35"/>
      <c r="J57" s="35"/>
    </row>
    <row r="58" spans="1:10" ht="15">
      <c r="A58" s="35"/>
      <c r="B58" s="106"/>
      <c r="C58" s="98"/>
      <c r="D58" s="98"/>
      <c r="E58" s="110"/>
      <c r="I58" s="35"/>
      <c r="J58" s="35"/>
    </row>
    <row r="59" spans="1:10">
      <c r="A59" s="35"/>
      <c r="B59" s="107"/>
      <c r="C59" s="98"/>
      <c r="D59" s="98"/>
      <c r="E59" s="110"/>
      <c r="I59" s="35"/>
      <c r="J59" s="35"/>
    </row>
    <row r="60" spans="1:10" ht="15">
      <c r="A60" s="35"/>
      <c r="B60" s="615" t="s">
        <v>45</v>
      </c>
      <c r="C60" s="96">
        <f>C47-C50</f>
        <v>8954833.6302638054</v>
      </c>
      <c r="D60" s="96">
        <f>D47-D50</f>
        <v>-4816214.9718577862</v>
      </c>
      <c r="E60" s="96">
        <f>E47-E50</f>
        <v>-4832480.8216686249</v>
      </c>
      <c r="I60" s="35"/>
      <c r="J60" s="35"/>
    </row>
    <row r="61" spans="1:10">
      <c r="A61" s="35"/>
      <c r="B61" s="40"/>
      <c r="D61" s="34"/>
      <c r="I61" s="35"/>
      <c r="J61" s="35"/>
    </row>
    <row r="62" spans="1:10">
      <c r="A62" s="35"/>
      <c r="B62" s="40"/>
      <c r="D62" s="34"/>
      <c r="I62" s="35"/>
      <c r="J62" s="35"/>
    </row>
    <row r="63" spans="1:10">
      <c r="A63" s="35"/>
      <c r="B63" s="40"/>
      <c r="D63" s="34"/>
      <c r="I63" s="35"/>
      <c r="J63" s="35"/>
    </row>
    <row r="64" spans="1:10" ht="15.75">
      <c r="A64" s="35"/>
      <c r="B64" s="108" t="s">
        <v>271</v>
      </c>
      <c r="D64" s="34"/>
      <c r="I64" s="35"/>
      <c r="J64" s="35"/>
    </row>
    <row r="65" spans="1:10" ht="15">
      <c r="A65" s="35"/>
      <c r="B65" s="616"/>
      <c r="C65" s="113" t="s">
        <v>267</v>
      </c>
      <c r="D65" s="113" t="s">
        <v>539</v>
      </c>
      <c r="E65" s="113" t="s">
        <v>35</v>
      </c>
      <c r="I65" s="35"/>
      <c r="J65" s="35"/>
    </row>
    <row r="66" spans="1:10" ht="15">
      <c r="A66" s="35"/>
      <c r="B66" s="107"/>
      <c r="C66" s="114" t="s">
        <v>34</v>
      </c>
      <c r="D66" s="114" t="s">
        <v>442</v>
      </c>
      <c r="E66" s="114" t="s">
        <v>36</v>
      </c>
      <c r="I66" s="35"/>
      <c r="J66" s="35"/>
    </row>
    <row r="67" spans="1:10" ht="15">
      <c r="A67" s="35"/>
      <c r="B67" s="617" t="s">
        <v>269</v>
      </c>
      <c r="C67" s="115">
        <f>D67-1</f>
        <v>2016</v>
      </c>
      <c r="D67" s="115">
        <f>E67-1</f>
        <v>2017</v>
      </c>
      <c r="E67" s="115">
        <f>C$6</f>
        <v>2018</v>
      </c>
      <c r="I67" s="35"/>
      <c r="J67" s="35"/>
    </row>
    <row r="68" spans="1:10">
      <c r="A68" s="35"/>
      <c r="B68" s="107"/>
      <c r="C68" s="109"/>
      <c r="D68" s="109"/>
      <c r="E68" s="111"/>
      <c r="I68" s="35"/>
      <c r="J68" s="35"/>
    </row>
    <row r="69" spans="1:10">
      <c r="A69" s="35"/>
      <c r="B69" s="107" t="s">
        <v>540</v>
      </c>
      <c r="C69" s="606">
        <f>(1+'Model update'!$B$47)*(1+'Model update'!$C$28)-1</f>
        <v>5.2561174728540827E-2</v>
      </c>
      <c r="D69" s="109">
        <f>(1+'Model update'!$B$45)*(1+'Model update'!$C$29)-1</f>
        <v>4.7000045598383666E-2</v>
      </c>
      <c r="E69" s="607">
        <f>(1+'Model update'!$B$43)*(1+'Model update'!$C$30)-1</f>
        <v>5.5929028441763728E-2</v>
      </c>
      <c r="I69" s="35"/>
      <c r="J69" s="35"/>
    </row>
    <row r="70" spans="1:10">
      <c r="A70" s="35"/>
      <c r="B70" s="107"/>
      <c r="C70" s="98"/>
      <c r="D70" s="98"/>
      <c r="E70" s="111"/>
      <c r="I70" s="35"/>
      <c r="J70" s="35"/>
    </row>
    <row r="71" spans="1:10">
      <c r="A71" s="35"/>
      <c r="B71" s="107" t="s">
        <v>47</v>
      </c>
      <c r="C71" s="99">
        <v>0</v>
      </c>
      <c r="D71" s="110">
        <f>C75</f>
        <v>9187158.198781278</v>
      </c>
      <c r="E71" s="110">
        <f>D75</f>
        <v>4690858.4361299127</v>
      </c>
      <c r="I71" s="35"/>
      <c r="J71" s="35"/>
    </row>
    <row r="72" spans="1:10">
      <c r="A72" s="35"/>
      <c r="B72" s="107" t="s">
        <v>541</v>
      </c>
      <c r="C72" s="148">
        <f>C71*C69</f>
        <v>0</v>
      </c>
      <c r="D72" s="148">
        <f>D71*D69</f>
        <v>431796.85426228441</v>
      </c>
      <c r="E72" s="148">
        <f>E71*E69</f>
        <v>262355.15489059722</v>
      </c>
      <c r="I72" s="35"/>
      <c r="J72" s="35"/>
    </row>
    <row r="73" spans="1:10">
      <c r="A73" s="35"/>
      <c r="B73" s="107" t="s">
        <v>48</v>
      </c>
      <c r="C73" s="110">
        <f>C60</f>
        <v>8954833.6302638054</v>
      </c>
      <c r="D73" s="110">
        <f>D60</f>
        <v>-4816214.9718577862</v>
      </c>
      <c r="E73" s="110">
        <f>E60</f>
        <v>-4832480.8216686249</v>
      </c>
      <c r="I73" s="35"/>
      <c r="J73" s="35"/>
    </row>
    <row r="74" spans="1:10">
      <c r="A74" s="35"/>
      <c r="B74" s="107" t="s">
        <v>459</v>
      </c>
      <c r="C74" s="148">
        <f>C73*((1+C69)^0.5-1)</f>
        <v>232324.5685174735</v>
      </c>
      <c r="D74" s="148">
        <f>D73*((1+D69)^0.5-1)</f>
        <v>-111881.64505586444</v>
      </c>
      <c r="E74" s="148">
        <f>E73*((1+E69)^0.5-1)</f>
        <v>-133299.50695034378</v>
      </c>
      <c r="I74" s="35"/>
      <c r="J74" s="35"/>
    </row>
    <row r="75" spans="1:10" ht="15">
      <c r="A75" s="35"/>
      <c r="B75" s="615" t="s">
        <v>270</v>
      </c>
      <c r="C75" s="96">
        <f>SUM(C71:C74)</f>
        <v>9187158.198781278</v>
      </c>
      <c r="D75" s="96">
        <f t="shared" ref="D75:E75" si="1">SUM(D71:D74)</f>
        <v>4690858.4361299127</v>
      </c>
      <c r="E75" s="96">
        <f t="shared" si="1"/>
        <v>-12566.737598459062</v>
      </c>
      <c r="I75" s="35"/>
      <c r="J75" s="35"/>
    </row>
    <row r="76" spans="1:10">
      <c r="A76" s="35"/>
      <c r="I76" s="35"/>
      <c r="J76" s="35"/>
    </row>
    <row r="77" spans="1:10">
      <c r="A77" s="35"/>
      <c r="B77" s="670" t="s">
        <v>549</v>
      </c>
      <c r="I77" s="35"/>
      <c r="J77" s="35"/>
    </row>
    <row r="78" spans="1:10">
      <c r="A78" s="35"/>
      <c r="I78" s="35"/>
      <c r="J78" s="35"/>
    </row>
  </sheetData>
  <conditionalFormatting sqref="C30">
    <cfRule type="cellIs" dxfId="14" priority="15" stopIfTrue="1" operator="equal">
      <formula>"YES"</formula>
    </cfRule>
    <cfRule type="cellIs" dxfId="13" priority="16" stopIfTrue="1" operator="equal">
      <formula>"NO"</formula>
    </cfRule>
  </conditionalFormatting>
  <conditionalFormatting sqref="H29 H31">
    <cfRule type="cellIs" dxfId="12" priority="7" stopIfTrue="1" operator="equal">
      <formula>"YES"</formula>
    </cfRule>
    <cfRule type="cellIs" dxfId="11" priority="8" stopIfTrue="1" operator="equal">
      <formula>"NO"</formula>
    </cfRule>
  </conditionalFormatting>
  <conditionalFormatting sqref="C28">
    <cfRule type="cellIs" dxfId="10" priority="5" stopIfTrue="1" operator="equal">
      <formula>"YES"</formula>
    </cfRule>
    <cfRule type="cellIs" dxfId="9" priority="6" stopIfTrue="1" operator="equal">
      <formula>"NO"</formula>
    </cfRule>
  </conditionalFormatting>
  <conditionalFormatting sqref="C29">
    <cfRule type="cellIs" dxfId="8" priority="3" stopIfTrue="1" operator="equal">
      <formula>"YES"</formula>
    </cfRule>
    <cfRule type="cellIs" dxfId="7" priority="4" stopIfTrue="1" operator="equal">
      <formula>"NO"</formula>
    </cfRule>
  </conditionalFormatting>
  <conditionalFormatting sqref="H30">
    <cfRule type="cellIs" dxfId="6" priority="1" stopIfTrue="1" operator="equal">
      <formula>"YES"</formula>
    </cfRule>
    <cfRule type="cellIs" dxfId="5" priority="2" stopIfTrue="1" operator="equal">
      <formula>"NO"</formula>
    </cfRule>
  </conditionalFormatting>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3"/>
    <pageSetUpPr autoPageBreaks="0"/>
  </sheetPr>
  <dimension ref="A1:DK138"/>
  <sheetViews>
    <sheetView zoomScale="80" zoomScaleNormal="80" zoomScaleSheetLayoutView="85" workbookViewId="0">
      <selection activeCell="O26" sqref="O26"/>
    </sheetView>
  </sheetViews>
  <sheetFormatPr defaultRowHeight="12.75"/>
  <cols>
    <col min="1" max="1" width="11.5703125" style="199" customWidth="1"/>
    <col min="2" max="2" width="35.85546875" style="328" customWidth="1"/>
    <col min="3" max="3" width="29.5703125" style="328" customWidth="1"/>
    <col min="4" max="5" width="37.140625" style="328" customWidth="1"/>
    <col min="6" max="6" width="15.5703125" style="328" customWidth="1"/>
    <col min="7" max="7" width="13" style="328" customWidth="1"/>
    <col min="8" max="8" width="7.140625" style="328" customWidth="1"/>
    <col min="9" max="9" width="18.140625" style="328" customWidth="1"/>
    <col min="10" max="10" width="12.7109375" style="328" customWidth="1"/>
    <col min="11" max="11" width="12.5703125" style="328" customWidth="1"/>
    <col min="12" max="13" width="10" style="328" bestFit="1" customWidth="1"/>
    <col min="14" max="14" width="9.7109375" style="328" customWidth="1"/>
    <col min="15" max="15" width="10.85546875" style="328" customWidth="1"/>
    <col min="16" max="16" width="11" style="328" customWidth="1"/>
    <col min="17" max="18" width="10.7109375" style="328" bestFit="1" customWidth="1"/>
    <col min="19" max="19" width="11.28515625" style="328" customWidth="1"/>
    <col min="20" max="22" width="10.5703125" style="328" customWidth="1"/>
    <col min="23" max="23" width="11.140625" style="328" customWidth="1"/>
    <col min="24" max="26" width="10.5703125" style="328" customWidth="1"/>
    <col min="27" max="27" width="1.85546875" style="328" customWidth="1"/>
    <col min="28" max="28" width="14.42578125" style="328" customWidth="1"/>
    <col min="29" max="32" width="12" style="328" customWidth="1"/>
    <col min="33" max="36" width="10.5703125" style="328" customWidth="1"/>
    <col min="37" max="37" width="11.85546875" style="328" customWidth="1"/>
    <col min="38" max="40" width="10.5703125" style="328" customWidth="1"/>
    <col min="41" max="41" width="11.28515625" style="328" bestFit="1" customWidth="1"/>
    <col min="42" max="44" width="10.5703125" style="328" customWidth="1"/>
    <col min="45" max="45" width="11.28515625" style="328" bestFit="1" customWidth="1"/>
    <col min="46" max="48" width="10.5703125" style="328" customWidth="1"/>
    <col min="49" max="49" width="1.85546875" style="328" customWidth="1"/>
    <col min="50" max="50" width="15.7109375" style="328" bestFit="1" customWidth="1"/>
    <col min="51" max="51" width="19.140625" style="328" bestFit="1" customWidth="1"/>
    <col min="52" max="52" width="17.85546875" style="328" bestFit="1" customWidth="1"/>
    <col min="53" max="53" width="15.7109375" style="328" customWidth="1"/>
    <col min="54" max="54" width="17.85546875" style="328" bestFit="1" customWidth="1"/>
    <col min="55" max="55" width="19.140625" style="328" bestFit="1" customWidth="1"/>
    <col min="56" max="57" width="17.85546875" style="328" bestFit="1" customWidth="1"/>
    <col min="58" max="58" width="10" style="328" bestFit="1" customWidth="1"/>
    <col min="59" max="60" width="15.7109375" style="328" bestFit="1" customWidth="1"/>
    <col min="61" max="62" width="10.7109375" style="328" bestFit="1" customWidth="1"/>
    <col min="63" max="65" width="15.7109375" style="328" bestFit="1" customWidth="1"/>
    <col min="66" max="66" width="9.140625" style="328"/>
    <col min="67" max="67" width="14.5703125" style="328" customWidth="1"/>
    <col min="68" max="69" width="14.85546875" style="328" bestFit="1" customWidth="1"/>
    <col min="70" max="70" width="10.7109375" style="328" customWidth="1"/>
    <col min="71" max="71" width="1.85546875" style="328" customWidth="1"/>
    <col min="72" max="72" width="14.42578125" style="328" bestFit="1" customWidth="1"/>
    <col min="73" max="74" width="15.7109375" style="328" bestFit="1" customWidth="1"/>
    <col min="75" max="79" width="14.42578125" style="328" bestFit="1" customWidth="1"/>
    <col min="80" max="80" width="9.85546875" style="328" bestFit="1" customWidth="1"/>
    <col min="81" max="82" width="14.42578125" style="328" bestFit="1" customWidth="1"/>
    <col min="83" max="84" width="10.5703125" style="328" bestFit="1" customWidth="1"/>
    <col min="85" max="86" width="14.42578125" style="328" bestFit="1" customWidth="1"/>
    <col min="87" max="87" width="13.140625" style="328" bestFit="1" customWidth="1"/>
    <col min="88" max="88" width="9.140625" style="328"/>
    <col min="89" max="89" width="13.5703125" style="328" customWidth="1"/>
    <col min="90" max="90" width="13.85546875" style="328" customWidth="1"/>
    <col min="91" max="91" width="12.7109375" style="328" customWidth="1"/>
    <col min="92" max="92" width="10.5703125" style="328" customWidth="1"/>
    <col min="93" max="93" width="15.7109375" style="328" bestFit="1" customWidth="1"/>
    <col min="94" max="94" width="1.85546875" style="328" customWidth="1"/>
    <col min="95" max="95" width="14.42578125" style="328" customWidth="1"/>
    <col min="96" max="96" width="15.7109375" style="328" bestFit="1" customWidth="1"/>
    <col min="97" max="102" width="14.42578125" style="328" bestFit="1" customWidth="1"/>
    <col min="103" max="103" width="10" style="328" bestFit="1" customWidth="1"/>
    <col min="104" max="105" width="14.42578125" style="328" bestFit="1" customWidth="1"/>
    <col min="106" max="107" width="10.5703125" style="328" bestFit="1" customWidth="1"/>
    <col min="108" max="110" width="14.42578125" style="328" bestFit="1" customWidth="1"/>
    <col min="111" max="111" width="9.140625" style="328"/>
    <col min="112" max="114" width="13.5703125" style="328" customWidth="1"/>
    <col min="115" max="115" width="10.5703125" style="328" customWidth="1"/>
    <col min="116" max="116" width="15.7109375" style="328" bestFit="1" customWidth="1"/>
    <col min="117" max="16384" width="9.140625" style="328"/>
  </cols>
  <sheetData>
    <row r="1" spans="2:4" ht="15">
      <c r="B1" s="326" t="str">
        <f>"Tariff Approval - "&amp;'Model update'!C3</f>
        <v>Tariff Approval - Powercor</v>
      </c>
    </row>
    <row r="3" spans="2:4">
      <c r="B3" s="150" t="str">
        <f>'Model update'!C5&amp;" DISTRIBUTION TARIFF REBALANCING CONTROL"</f>
        <v>2018 DISTRIBUTION TARIFF REBALANCING CONTROL</v>
      </c>
    </row>
    <row r="4" spans="2:4" ht="6" customHeight="1" thickBot="1">
      <c r="B4" s="150"/>
    </row>
    <row r="5" spans="2:4" ht="6" customHeight="1">
      <c r="B5" s="329"/>
      <c r="C5" s="330"/>
      <c r="D5" s="331"/>
    </row>
    <row r="6" spans="2:4">
      <c r="B6" s="332" t="s">
        <v>222</v>
      </c>
      <c r="C6" s="198"/>
      <c r="D6" s="333"/>
    </row>
    <row r="7" spans="2:4" ht="6" customHeight="1">
      <c r="B7" s="334"/>
      <c r="C7" s="198"/>
      <c r="D7" s="333"/>
    </row>
    <row r="8" spans="2:4">
      <c r="B8" s="334" t="str">
        <f>"CPI "&amp;'Model update'!$C$5</f>
        <v>CPI 2018</v>
      </c>
      <c r="C8" s="335">
        <f>'2018DistRevCapForm'!C22</f>
        <v>1.9337016574585641E-2</v>
      </c>
      <c r="D8" s="333"/>
    </row>
    <row r="9" spans="2:4">
      <c r="B9" s="334" t="str">
        <f>"X "&amp; 'Model update'!$C$5</f>
        <v>X 2018</v>
      </c>
      <c r="C9" s="151">
        <f>MIN('2018DistRevCapForm'!C23,0)</f>
        <v>-8.0999999999999996E-3</v>
      </c>
      <c r="D9" s="333"/>
    </row>
    <row r="10" spans="2:4">
      <c r="B10" s="334" t="str">
        <f>"St "&amp;'Model update'!$C$5</f>
        <v>St 2018</v>
      </c>
      <c r="C10" s="151">
        <f>'2018DistRevCapForm'!C24</f>
        <v>-1.3841682273256106E-2</v>
      </c>
      <c r="D10" s="333"/>
    </row>
    <row r="11" spans="2:4">
      <c r="B11" s="334" t="str">
        <f>"It "&amp;'Model update'!$C$5</f>
        <v>It 2018</v>
      </c>
      <c r="C11" s="151">
        <f>('2018DistRevCapForm'!C15-'2018DistRevCapForm'!H15)/Prop2018DistTar!DJ$66</f>
        <v>5.3313158590280506E-4</v>
      </c>
      <c r="D11" s="333"/>
    </row>
    <row r="12" spans="2:4">
      <c r="B12" s="334" t="str">
        <f>"Tt "&amp;'Model update'!$C$5</f>
        <v>Tt 2018</v>
      </c>
      <c r="C12" s="151">
        <f>('2018DistRevCapForm'!C16-'2018DistRevCapForm'!H16)/Prop2018DistTar!DJ$66</f>
        <v>0</v>
      </c>
      <c r="D12" s="333"/>
    </row>
    <row r="13" spans="2:4">
      <c r="B13" s="334" t="str">
        <f>"Bt "&amp;'Model update'!$C$5</f>
        <v>Bt 2018</v>
      </c>
      <c r="C13" s="152">
        <f>('2018DistRevCapForm'!C17-'2018DistRevCapForm'!H17)/Prop2018DistTar!DJ$66</f>
        <v>1.2981998049504265E-3</v>
      </c>
      <c r="D13" s="333"/>
    </row>
    <row r="14" spans="2:4" ht="6" customHeight="1">
      <c r="B14" s="334"/>
      <c r="C14" s="198"/>
      <c r="D14" s="333"/>
    </row>
    <row r="15" spans="2:4" ht="6" customHeight="1">
      <c r="B15" s="334"/>
      <c r="C15" s="198"/>
      <c r="D15" s="333"/>
    </row>
    <row r="16" spans="2:4">
      <c r="B16" s="336"/>
      <c r="C16" s="337">
        <f>(1+C8)*(1-C9)*(1+0.02)*(1+C10)+SUM(C11:C13)</f>
        <v>1.03546875347307</v>
      </c>
      <c r="D16" s="333"/>
    </row>
    <row r="17" spans="1:6" ht="6" customHeight="1" thickBot="1">
      <c r="B17" s="338"/>
      <c r="C17" s="339"/>
      <c r="D17" s="340"/>
    </row>
    <row r="18" spans="1:6" ht="6" customHeight="1" thickBot="1">
      <c r="B18" s="341"/>
      <c r="C18" s="341"/>
      <c r="D18" s="341"/>
    </row>
    <row r="19" spans="1:6" s="599" customFormat="1">
      <c r="A19" s="595"/>
      <c r="B19" s="596"/>
      <c r="C19" s="597"/>
      <c r="D19" s="597"/>
      <c r="E19" s="597"/>
      <c r="F19" s="598"/>
    </row>
    <row r="20" spans="1:6" s="599" customFormat="1">
      <c r="A20" s="595"/>
      <c r="B20" s="600" t="s">
        <v>223</v>
      </c>
      <c r="C20" s="601" t="str">
        <f>"Pt-1*(Qt " &amp;'Model update'!$C$5&amp;")"</f>
        <v>Pt-1*(Qt 2018)</v>
      </c>
      <c r="D20" s="601" t="str">
        <f>"Pt*(Qt " &amp;'Model update'!$C$5&amp;")"</f>
        <v>Pt*(Qt 2018)</v>
      </c>
      <c r="E20" s="602"/>
      <c r="F20" s="603"/>
    </row>
    <row r="21" spans="1:6">
      <c r="B21" s="342" t="s">
        <v>224</v>
      </c>
      <c r="C21" s="343" t="s">
        <v>225</v>
      </c>
      <c r="D21" s="343" t="s">
        <v>226</v>
      </c>
      <c r="E21" s="343" t="s">
        <v>227</v>
      </c>
      <c r="F21" s="344"/>
    </row>
    <row r="22" spans="1:6" ht="12.75" customHeight="1">
      <c r="B22" s="345" t="s">
        <v>228</v>
      </c>
      <c r="C22" s="346">
        <f t="shared" ref="C22:C33" si="0">IF(B22="","",SUMIF($B$39:$B$98,$B22,$I$39:$I$98))</f>
        <v>262694346.55616647</v>
      </c>
      <c r="D22" s="346">
        <f t="shared" ref="D22:D33" si="1">IF(B22="","",SUMIF($B$39:$B$98,$B22,$F$39:$F$98))</f>
        <v>260133925.28756574</v>
      </c>
      <c r="E22" s="335">
        <f t="shared" ref="E22:E33" si="2">IF(B22="","",D22/C22)</f>
        <v>0.99025323040953495</v>
      </c>
      <c r="F22" s="344" t="str">
        <f>IF(B22="","",IF(E22&lt;$C$16,"COMPLIANT","BREACHED"))</f>
        <v>COMPLIANT</v>
      </c>
    </row>
    <row r="23" spans="1:6" ht="12.75" customHeight="1">
      <c r="B23" s="347" t="s">
        <v>229</v>
      </c>
      <c r="C23" s="348">
        <f t="shared" si="0"/>
        <v>157897401.55087611</v>
      </c>
      <c r="D23" s="348">
        <f t="shared" si="1"/>
        <v>152937074.47970018</v>
      </c>
      <c r="E23" s="151">
        <f t="shared" si="2"/>
        <v>0.96858512538866792</v>
      </c>
      <c r="F23" s="344" t="str">
        <f t="shared" ref="F23:F33" si="3">IF(B23="","",IF(E23&lt;$C$16,"COMPLIANT","BREACHED"))</f>
        <v>COMPLIANT</v>
      </c>
    </row>
    <row r="24" spans="1:6">
      <c r="B24" s="347" t="s">
        <v>230</v>
      </c>
      <c r="C24" s="348">
        <f t="shared" si="0"/>
        <v>149289815.57762128</v>
      </c>
      <c r="D24" s="348">
        <f t="shared" si="1"/>
        <v>153966345.73877048</v>
      </c>
      <c r="E24" s="151">
        <f t="shared" si="2"/>
        <v>1.0313251787675879</v>
      </c>
      <c r="F24" s="344" t="str">
        <f t="shared" si="3"/>
        <v>COMPLIANT</v>
      </c>
    </row>
    <row r="25" spans="1:6">
      <c r="B25" s="347" t="s">
        <v>231</v>
      </c>
      <c r="C25" s="348">
        <f t="shared" si="0"/>
        <v>51349827.438502058</v>
      </c>
      <c r="D25" s="348">
        <f t="shared" si="1"/>
        <v>52887922.303434014</v>
      </c>
      <c r="E25" s="151">
        <f t="shared" si="2"/>
        <v>1.0299532625844561</v>
      </c>
      <c r="F25" s="344" t="str">
        <f t="shared" si="3"/>
        <v>COMPLIANT</v>
      </c>
    </row>
    <row r="26" spans="1:6">
      <c r="B26" s="347" t="s">
        <v>232</v>
      </c>
      <c r="C26" s="348">
        <f t="shared" si="0"/>
        <v>7131303.6751755346</v>
      </c>
      <c r="D26" s="348">
        <f t="shared" si="1"/>
        <v>7333053.6409584675</v>
      </c>
      <c r="E26" s="151">
        <f t="shared" si="2"/>
        <v>1.0282907550950657</v>
      </c>
      <c r="F26" s="344" t="str">
        <f t="shared" si="3"/>
        <v>COMPLIANT</v>
      </c>
    </row>
    <row r="27" spans="1:6">
      <c r="B27" s="349"/>
      <c r="C27" s="348" t="str">
        <f t="shared" si="0"/>
        <v/>
      </c>
      <c r="D27" s="348" t="str">
        <f t="shared" si="1"/>
        <v/>
      </c>
      <c r="E27" s="151" t="str">
        <f t="shared" si="2"/>
        <v/>
      </c>
      <c r="F27" s="344" t="str">
        <f t="shared" si="3"/>
        <v/>
      </c>
    </row>
    <row r="28" spans="1:6">
      <c r="B28" s="349"/>
      <c r="C28" s="348" t="str">
        <f t="shared" si="0"/>
        <v/>
      </c>
      <c r="D28" s="348" t="str">
        <f t="shared" si="1"/>
        <v/>
      </c>
      <c r="E28" s="151" t="str">
        <f t="shared" si="2"/>
        <v/>
      </c>
      <c r="F28" s="344" t="str">
        <f t="shared" si="3"/>
        <v/>
      </c>
    </row>
    <row r="29" spans="1:6">
      <c r="B29" s="349"/>
      <c r="C29" s="348" t="str">
        <f t="shared" si="0"/>
        <v/>
      </c>
      <c r="D29" s="348" t="str">
        <f t="shared" si="1"/>
        <v/>
      </c>
      <c r="E29" s="151" t="str">
        <f t="shared" si="2"/>
        <v/>
      </c>
      <c r="F29" s="344" t="str">
        <f t="shared" si="3"/>
        <v/>
      </c>
    </row>
    <row r="30" spans="1:6">
      <c r="B30" s="349"/>
      <c r="C30" s="348" t="str">
        <f t="shared" si="0"/>
        <v/>
      </c>
      <c r="D30" s="348" t="str">
        <f t="shared" si="1"/>
        <v/>
      </c>
      <c r="E30" s="151" t="str">
        <f t="shared" si="2"/>
        <v/>
      </c>
      <c r="F30" s="344" t="str">
        <f t="shared" si="3"/>
        <v/>
      </c>
    </row>
    <row r="31" spans="1:6">
      <c r="B31" s="349"/>
      <c r="C31" s="348" t="str">
        <f t="shared" si="0"/>
        <v/>
      </c>
      <c r="D31" s="348" t="str">
        <f t="shared" si="1"/>
        <v/>
      </c>
      <c r="E31" s="151" t="str">
        <f t="shared" si="2"/>
        <v/>
      </c>
      <c r="F31" s="344" t="str">
        <f t="shared" si="3"/>
        <v/>
      </c>
    </row>
    <row r="32" spans="1:6">
      <c r="B32" s="349"/>
      <c r="C32" s="348" t="str">
        <f t="shared" si="0"/>
        <v/>
      </c>
      <c r="D32" s="348" t="str">
        <f t="shared" si="1"/>
        <v/>
      </c>
      <c r="E32" s="151" t="str">
        <f t="shared" si="2"/>
        <v/>
      </c>
      <c r="F32" s="344" t="str">
        <f t="shared" si="3"/>
        <v/>
      </c>
    </row>
    <row r="33" spans="1:15" ht="13.5" thickBot="1">
      <c r="B33" s="394"/>
      <c r="C33" s="351" t="str">
        <f t="shared" si="0"/>
        <v/>
      </c>
      <c r="D33" s="351" t="str">
        <f t="shared" si="1"/>
        <v/>
      </c>
      <c r="E33" s="352" t="str">
        <f t="shared" si="2"/>
        <v/>
      </c>
      <c r="F33" s="353" t="str">
        <f t="shared" si="3"/>
        <v/>
      </c>
    </row>
    <row r="34" spans="1:15">
      <c r="B34" s="354" t="s">
        <v>233</v>
      </c>
      <c r="C34" s="355" t="str">
        <f>IF(ABS(SUM(C22:C33)-I99)&lt;0.01,"Ok","Error")</f>
        <v>Ok</v>
      </c>
      <c r="D34" s="356" t="str">
        <f>IF(ABS(SUM(D22:D33)-F99)&lt;0.01,"Ok","Error")</f>
        <v>Ok</v>
      </c>
      <c r="E34" s="150"/>
    </row>
    <row r="35" spans="1:15">
      <c r="B35" s="357"/>
      <c r="C35" s="358" t="str">
        <f>IF(ABS(SUM(C22:C33)-Prop2018DistTar!DJ66)&lt;0.01,"Ok","Error")</f>
        <v>Ok</v>
      </c>
      <c r="D35" s="358" t="str">
        <f>IF(ABS(SUM(D22:D33)-Prop2018DistTar!CM66)&lt;0.01,"Ok","Error")</f>
        <v>Ok</v>
      </c>
      <c r="E35" s="150"/>
    </row>
    <row r="36" spans="1:15">
      <c r="B36" s="359"/>
      <c r="C36" s="359"/>
      <c r="D36" s="359"/>
      <c r="E36" s="359"/>
    </row>
    <row r="37" spans="1:15" ht="13.5" thickBot="1">
      <c r="F37" s="360" t="str">
        <f>"Revenue (Pt "&amp;'Model update'!$C$5&amp;")*(Qt " &amp;'Model update'!$C$5&amp;")"</f>
        <v>Revenue (Pt 2018)*(Qt 2018)</v>
      </c>
      <c r="G37" s="327"/>
      <c r="I37" s="590" t="str">
        <f>"Revenue (Pt-1 "&amp;'Model update'!$C$8&amp;")*(Qt " &amp;'Model update'!$C$5&amp;")"</f>
        <v>Revenue (Pt-1 2017)*(Qt 2018)</v>
      </c>
      <c r="J37" s="590"/>
      <c r="O37" s="361"/>
    </row>
    <row r="38" spans="1:15" ht="30" customHeight="1" thickBot="1">
      <c r="A38" s="362" t="s">
        <v>234</v>
      </c>
      <c r="B38" s="363" t="s">
        <v>235</v>
      </c>
      <c r="C38" s="363" t="s">
        <v>236</v>
      </c>
      <c r="D38" s="363" t="s">
        <v>128</v>
      </c>
      <c r="E38" s="364" t="s">
        <v>129</v>
      </c>
      <c r="F38" s="591" t="s">
        <v>152</v>
      </c>
      <c r="I38" s="591" t="s">
        <v>160</v>
      </c>
    </row>
    <row r="39" spans="1:15">
      <c r="A39" s="365" t="b">
        <f t="array" ref="A39">OR(EXACT(D39,Prop2018DistTar!C$6:C$65))</f>
        <v>1</v>
      </c>
      <c r="B39" s="349"/>
      <c r="C39" s="349"/>
      <c r="D39" s="366" t="str">
        <f>IF(Prop2018DistTar!B6="","",Prop2018DistTar!B6)</f>
        <v/>
      </c>
      <c r="E39" s="334" t="str">
        <f>IF(Prop2018DistTar!C6="","",Prop2018DistTar!C6)</f>
        <v/>
      </c>
      <c r="F39" s="592">
        <f>Prop2018DistTar!CM6</f>
        <v>0</v>
      </c>
      <c r="I39" s="592">
        <f>Prop2018DistTar!DJ6</f>
        <v>0</v>
      </c>
    </row>
    <row r="40" spans="1:15">
      <c r="A40" s="365" t="b">
        <f t="array" ref="A40">OR(EXACT(D40,Prop2018DistTar!C$6:C$65))</f>
        <v>1</v>
      </c>
      <c r="B40" s="594" t="s">
        <v>228</v>
      </c>
      <c r="C40" s="594" t="s">
        <v>228</v>
      </c>
      <c r="D40" s="366" t="str">
        <f>IF(Prop2018DistTar!B7="","",Prop2018DistTar!B7)</f>
        <v>Residential Single Rate</v>
      </c>
      <c r="E40" s="334" t="str">
        <f>IF(Prop2018DistTar!C7="","",Prop2018DistTar!C7)</f>
        <v>Residential Single Rate</v>
      </c>
      <c r="F40" s="592">
        <f>Prop2018DistTar!CM7</f>
        <v>188069999.88571551</v>
      </c>
      <c r="I40" s="592">
        <f>Prop2018DistTar!DJ7</f>
        <v>189888319.15738708</v>
      </c>
    </row>
    <row r="41" spans="1:15">
      <c r="A41" s="365" t="b">
        <f t="array" ref="A41">OR(EXACT(D41,Prop2018DistTar!C$6:C$65))</f>
        <v>1</v>
      </c>
      <c r="B41" s="594" t="s">
        <v>228</v>
      </c>
      <c r="C41" s="594" t="s">
        <v>228</v>
      </c>
      <c r="D41" s="366" t="str">
        <f>IF(Prop2018DistTar!B8="","",Prop2018DistTar!B8)</f>
        <v>Climate Saver</v>
      </c>
      <c r="E41" s="334" t="str">
        <f>IF(Prop2018DistTar!C8="","",Prop2018DistTar!C8)</f>
        <v>Climate Saver</v>
      </c>
      <c r="F41" s="592">
        <f>Prop2018DistTar!CM8</f>
        <v>965132.11070850515</v>
      </c>
      <c r="I41" s="592">
        <f>Prop2018DistTar!DJ8</f>
        <v>976854.99284730491</v>
      </c>
    </row>
    <row r="42" spans="1:15">
      <c r="A42" s="365" t="b">
        <f t="array" ref="A42">OR(EXACT(D42,Prop2018DistTar!C$6:C$65))</f>
        <v>1</v>
      </c>
      <c r="B42" s="594" t="s">
        <v>228</v>
      </c>
      <c r="C42" s="594" t="s">
        <v>228</v>
      </c>
      <c r="D42" s="366" t="str">
        <f>IF(Prop2018DistTar!B9="","",Prop2018DistTar!B9)</f>
        <v>Climate Saver Interval</v>
      </c>
      <c r="E42" s="334" t="str">
        <f>IF(Prop2018DistTar!C9="","",Prop2018DistTar!C9)</f>
        <v>Climate Saver Interval</v>
      </c>
      <c r="F42" s="592">
        <f>Prop2018DistTar!CM9</f>
        <v>281724.85412700434</v>
      </c>
      <c r="I42" s="592">
        <f>Prop2018DistTar!DJ9</f>
        <v>285029.62048221682</v>
      </c>
    </row>
    <row r="43" spans="1:15">
      <c r="A43" s="365" t="b">
        <f t="array" ref="A43">OR(EXACT(D43,Prop2018DistTar!C$6:C$65))</f>
        <v>1</v>
      </c>
      <c r="B43" s="594" t="s">
        <v>228</v>
      </c>
      <c r="C43" s="594" t="s">
        <v>228</v>
      </c>
      <c r="D43" s="366" t="str">
        <f>IF(Prop2018DistTar!B10="","",Prop2018DistTar!B10)</f>
        <v>Residential - Flexible Pricing</v>
      </c>
      <c r="E43" s="334" t="str">
        <f>IF(Prop2018DistTar!C10="","",Prop2018DistTar!C10)</f>
        <v>Residential - Flexible Pricing</v>
      </c>
      <c r="F43" s="592">
        <f>Prop2018DistTar!CM10</f>
        <v>1242572.8697346104</v>
      </c>
      <c r="I43" s="592">
        <f>Prop2018DistTar!DJ10</f>
        <v>1256793.4925866276</v>
      </c>
    </row>
    <row r="44" spans="1:15">
      <c r="A44" s="365" t="b">
        <f t="array" ref="A44">OR(EXACT(D44,Prop2018DistTar!C$6:C$65))</f>
        <v>1</v>
      </c>
      <c r="B44" s="594" t="s">
        <v>228</v>
      </c>
      <c r="C44" s="594" t="s">
        <v>228</v>
      </c>
      <c r="D44" s="366" t="str">
        <f>IF(Prop2018DistTar!B11="","",Prop2018DistTar!B11)</f>
        <v>Residential Docklands  - Flexible Pricing</v>
      </c>
      <c r="E44" s="334" t="str">
        <f>IF(Prop2018DistTar!C11="","",Prop2018DistTar!C11)</f>
        <v>Residential Docklands  - Flexible Pricing</v>
      </c>
      <c r="F44" s="592">
        <f>Prop2018DistTar!CM11</f>
        <v>287.43140408460249</v>
      </c>
      <c r="I44" s="592">
        <f>Prop2018DistTar!DJ11</f>
        <v>288.9097802826011</v>
      </c>
    </row>
    <row r="45" spans="1:15">
      <c r="A45" s="365" t="b">
        <f t="array" ref="A45">OR(EXACT(D45,Prop2018DistTar!C$6:C$65))</f>
        <v>1</v>
      </c>
      <c r="B45" s="594" t="s">
        <v>228</v>
      </c>
      <c r="C45" s="594" t="s">
        <v>228</v>
      </c>
      <c r="D45" s="366" t="str">
        <f>IF(Prop2018DistTar!B12="","",Prop2018DistTar!B12)</f>
        <v>Climate Saver - Flexible Pricing</v>
      </c>
      <c r="E45" s="334" t="str">
        <f>IF(Prop2018DistTar!C12="","",Prop2018DistTar!C12)</f>
        <v>Climate Saver - Flexible Pricing</v>
      </c>
      <c r="F45" s="592">
        <f>Prop2018DistTar!CM12</f>
        <v>2865.5779283480047</v>
      </c>
      <c r="I45" s="592">
        <f>Prop2018DistTar!DJ12</f>
        <v>2897.0749420298862</v>
      </c>
    </row>
    <row r="46" spans="1:15">
      <c r="A46" s="365" t="b">
        <f t="array" ref="A46">OR(EXACT(D46,Prop2018DistTar!C$6:C$65))</f>
        <v>1</v>
      </c>
      <c r="B46" s="594" t="s">
        <v>228</v>
      </c>
      <c r="C46" s="594" t="s">
        <v>228</v>
      </c>
      <c r="D46" s="366" t="str">
        <f>IF(Prop2018DistTar!B13="","",Prop2018DistTar!B13)</f>
        <v>Docklands single rate</v>
      </c>
      <c r="E46" s="334" t="str">
        <f>IF(Prop2018DistTar!C13="","",Prop2018DistTar!C13)</f>
        <v>Docklands single rate</v>
      </c>
      <c r="F46" s="592">
        <f>Prop2018DistTar!CM13</f>
        <v>702.45703140230523</v>
      </c>
      <c r="I46" s="592">
        <f>Prop2018DistTar!DJ13</f>
        <v>712.00177572300458</v>
      </c>
    </row>
    <row r="47" spans="1:15">
      <c r="A47" s="365" t="b">
        <f t="array" ref="A47">OR(EXACT(D47,Prop2018DistTar!C$6:C$65))</f>
        <v>1</v>
      </c>
      <c r="B47" s="594" t="s">
        <v>228</v>
      </c>
      <c r="C47" s="594" t="s">
        <v>228</v>
      </c>
      <c r="D47" s="366" t="str">
        <f>IF(Prop2018DistTar!B14="","",Prop2018DistTar!B14)</f>
        <v>Residential Two Rate 5d</v>
      </c>
      <c r="E47" s="334" t="str">
        <f>IF(Prop2018DistTar!C14="","",Prop2018DistTar!C14)</f>
        <v>Residential Two Rate 5d</v>
      </c>
      <c r="F47" s="592">
        <f>Prop2018DistTar!CM14</f>
        <v>19129212.047771327</v>
      </c>
      <c r="I47" s="592">
        <f>Prop2018DistTar!DJ14</f>
        <v>19350366.432508435</v>
      </c>
    </row>
    <row r="48" spans="1:15">
      <c r="A48" s="365" t="b">
        <f t="array" ref="A48">OR(EXACT(D48,Prop2018DistTar!C$6:C$65))</f>
        <v>1</v>
      </c>
      <c r="B48" s="594" t="s">
        <v>228</v>
      </c>
      <c r="C48" s="594" t="s">
        <v>228</v>
      </c>
      <c r="D48" s="366" t="str">
        <f>IF(Prop2018DistTar!B15="","",Prop2018DistTar!B15)</f>
        <v>Docklands Two Rate 5d</v>
      </c>
      <c r="E48" s="334" t="str">
        <f>IF(Prop2018DistTar!C15="","",Prop2018DistTar!C15)</f>
        <v>Docklands Two Rate 5d</v>
      </c>
      <c r="F48" s="592">
        <f>Prop2018DistTar!CM15</f>
        <v>253561.55466190021</v>
      </c>
      <c r="I48" s="592">
        <f>Prop2018DistTar!DJ15</f>
        <v>256410.60783389921</v>
      </c>
    </row>
    <row r="49" spans="1:9">
      <c r="A49" s="365" t="b">
        <f t="array" ref="A49">OR(EXACT(D49,Prop2018DistTar!C$6:C$65))</f>
        <v>1</v>
      </c>
      <c r="B49" s="594" t="s">
        <v>228</v>
      </c>
      <c r="C49" s="594" t="s">
        <v>228</v>
      </c>
      <c r="D49" s="366" t="str">
        <f>IF(Prop2018DistTar!B16="","",Prop2018DistTar!B16)</f>
        <v>Residential Interval</v>
      </c>
      <c r="E49" s="334" t="str">
        <f>IF(Prop2018DistTar!C16="","",Prop2018DistTar!C16)</f>
        <v>Residential Interval</v>
      </c>
      <c r="F49" s="592">
        <f>Prop2018DistTar!CM16</f>
        <v>43876210.13003353</v>
      </c>
      <c r="I49" s="592">
        <f>Prop2018DistTar!DJ16</f>
        <v>44364999.451226309</v>
      </c>
    </row>
    <row r="50" spans="1:9">
      <c r="A50" s="365" t="b">
        <f t="array" ref="A50">OR(EXACT(D50,Prop2018DistTar!C$6:C$65))</f>
        <v>1</v>
      </c>
      <c r="B50" s="594" t="s">
        <v>228</v>
      </c>
      <c r="C50" s="594" t="s">
        <v>228</v>
      </c>
      <c r="D50" s="366" t="str">
        <f>IF(Prop2018DistTar!B17="","",Prop2018DistTar!B17)</f>
        <v>Residential Two Rate 5d - controlled load</v>
      </c>
      <c r="E50" s="334" t="str">
        <f>IF(Prop2018DistTar!C17="","",Prop2018DistTar!C17)</f>
        <v>Residential Two Rate 5d - controlled load</v>
      </c>
      <c r="F50" s="592">
        <f>Prop2018DistTar!CM17</f>
        <v>1325648.9059035878</v>
      </c>
      <c r="I50" s="592">
        <f>Prop2018DistTar!DJ17</f>
        <v>1325648.9059035878</v>
      </c>
    </row>
    <row r="51" spans="1:9">
      <c r="A51" s="365" t="b">
        <f t="array" ref="A51">OR(EXACT(D51,Prop2018DistTar!C$6:C$65))</f>
        <v>1</v>
      </c>
      <c r="B51" s="594" t="s">
        <v>228</v>
      </c>
      <c r="C51" s="594" t="s">
        <v>228</v>
      </c>
      <c r="D51" s="366" t="str">
        <f>IF(Prop2018DistTar!B18="","",Prop2018DistTar!B18)</f>
        <v>Docklands Two Rate 5d - controlled load</v>
      </c>
      <c r="E51" s="334" t="str">
        <f>IF(Prop2018DistTar!C18="","",Prop2018DistTar!C18)</f>
        <v>Docklands Two Rate 5d - controlled load</v>
      </c>
      <c r="F51" s="592">
        <f>Prop2018DistTar!CM18</f>
        <v>1999.5810342241409</v>
      </c>
      <c r="I51" s="592">
        <f>Prop2018DistTar!DJ18</f>
        <v>1999.5810342241409</v>
      </c>
    </row>
    <row r="52" spans="1:9">
      <c r="A52" s="365" t="b">
        <f t="array" ref="A52">OR(EXACT(D52,Prop2018DistTar!C$6:C$65))</f>
        <v>1</v>
      </c>
      <c r="B52" s="594" t="s">
        <v>228</v>
      </c>
      <c r="C52" s="594" t="s">
        <v>228</v>
      </c>
      <c r="D52" s="366" t="str">
        <f>IF(Prop2018DistTar!B19="","",Prop2018DistTar!B19)</f>
        <v>Dedicated circuit</v>
      </c>
      <c r="E52" s="334" t="str">
        <f>IF(Prop2018DistTar!C19="","",Prop2018DistTar!C19)</f>
        <v>Dedicated circuit</v>
      </c>
      <c r="F52" s="592">
        <f>Prop2018DistTar!CM19</f>
        <v>4819336.7025075974</v>
      </c>
      <c r="I52" s="592">
        <f>Prop2018DistTar!DJ19</f>
        <v>4819336.7025075974</v>
      </c>
    </row>
    <row r="53" spans="1:9">
      <c r="A53" s="365" t="b">
        <f t="array" ref="A53">OR(EXACT(D53,Prop2018DistTar!C$6:C$65))</f>
        <v>1</v>
      </c>
      <c r="B53" s="594" t="s">
        <v>228</v>
      </c>
      <c r="C53" s="594" t="s">
        <v>228</v>
      </c>
      <c r="D53" s="366" t="str">
        <f>IF(Prop2018DistTar!B20="","",Prop2018DistTar!B20)</f>
        <v>Hot Water Interval</v>
      </c>
      <c r="E53" s="334" t="str">
        <f>IF(Prop2018DistTar!C20="","",Prop2018DistTar!C20)</f>
        <v>Hot Water Interval</v>
      </c>
      <c r="F53" s="592">
        <f>Prop2018DistTar!CM20</f>
        <v>162652.66987175253</v>
      </c>
      <c r="I53" s="592">
        <f>Prop2018DistTar!DJ20</f>
        <v>162652.66987175253</v>
      </c>
    </row>
    <row r="54" spans="1:9">
      <c r="A54" s="365" t="b">
        <f t="array" ref="A54">OR(EXACT(D54,Prop2018DistTar!C$6:C$65))</f>
        <v>1</v>
      </c>
      <c r="B54" s="594" t="s">
        <v>228</v>
      </c>
      <c r="C54" s="594" t="s">
        <v>228</v>
      </c>
      <c r="D54" s="366" t="str">
        <f>IF(Prop2018DistTar!B21="","",Prop2018DistTar!B21)</f>
        <v>Residential Demand</v>
      </c>
      <c r="E54" s="334" t="str">
        <f>IF(Prop2018DistTar!C21="","",Prop2018DistTar!C21)</f>
        <v>Residential Demand</v>
      </c>
      <c r="F54" s="592">
        <f>Prop2018DistTar!CM21</f>
        <v>2018.5091324200912</v>
      </c>
      <c r="I54" s="592">
        <f>Prop2018DistTar!DJ21</f>
        <v>2036.9554794520548</v>
      </c>
    </row>
    <row r="55" spans="1:9">
      <c r="A55" s="365" t="b">
        <f t="array" ref="A55">OR(EXACT(D55,Prop2018DistTar!C$6:C$65))</f>
        <v>0</v>
      </c>
      <c r="B55" s="594" t="s">
        <v>228</v>
      </c>
      <c r="C55" s="594" t="s">
        <v>228</v>
      </c>
      <c r="D55" s="366" t="str">
        <f>IF(Prop2018DistTar!B22="","",Prop2018DistTar!B22)</f>
        <v>Newstead Residential Trial</v>
      </c>
      <c r="E55" s="334" t="str">
        <f>IF(Prop2018DistTar!C22="","",Prop2018DistTar!C22)</f>
        <v>Residential Demand</v>
      </c>
      <c r="F55" s="592">
        <f>Prop2018DistTar!CM22</f>
        <v>0</v>
      </c>
      <c r="I55" s="592">
        <f>Prop2018DistTar!DJ22</f>
        <v>0</v>
      </c>
    </row>
    <row r="56" spans="1:9">
      <c r="A56" s="365" t="b">
        <f t="array" ref="A56">OR(EXACT(D56,Prop2018DistTar!C$6:C$65))</f>
        <v>1</v>
      </c>
      <c r="B56" s="594" t="s">
        <v>229</v>
      </c>
      <c r="C56" s="594" t="s">
        <v>229</v>
      </c>
      <c r="D56" s="366" t="str">
        <f>IF(Prop2018DistTar!B23="","",Prop2018DistTar!B23)</f>
        <v>Non-Residential Single Rate</v>
      </c>
      <c r="E56" s="334" t="str">
        <f>IF(Prop2018DistTar!C23="","",Prop2018DistTar!C23)</f>
        <v>Non-Residential Single Rate</v>
      </c>
      <c r="F56" s="592">
        <f>Prop2018DistTar!CM23</f>
        <v>22879918.04152073</v>
      </c>
      <c r="I56" s="592">
        <f>Prop2018DistTar!DJ23</f>
        <v>23802891.139573954</v>
      </c>
    </row>
    <row r="57" spans="1:9">
      <c r="A57" s="365" t="b">
        <f t="array" ref="A57">OR(EXACT(D57,Prop2018DistTar!C$6:C$65))</f>
        <v>1</v>
      </c>
      <c r="B57" s="594" t="s">
        <v>229</v>
      </c>
      <c r="C57" s="594" t="s">
        <v>229</v>
      </c>
      <c r="D57" s="366" t="str">
        <f>IF(Prop2018DistTar!B24="","",Prop2018DistTar!B24)</f>
        <v>Non-Residential Flexible Pricing</v>
      </c>
      <c r="E57" s="334" t="str">
        <f>IF(Prop2018DistTar!C24="","",Prop2018DistTar!C24)</f>
        <v>Non-Residential Flexible Pricing</v>
      </c>
      <c r="F57" s="592">
        <f>Prop2018DistTar!CM24</f>
        <v>255382.57264295782</v>
      </c>
      <c r="I57" s="592">
        <f>Prop2018DistTar!DJ24</f>
        <v>268366.48538251547</v>
      </c>
    </row>
    <row r="58" spans="1:9">
      <c r="A58" s="365" t="b">
        <f t="array" ref="A58">OR(EXACT(D58,Prop2018DistTar!C$6:C$65))</f>
        <v>1</v>
      </c>
      <c r="B58" s="594" t="s">
        <v>229</v>
      </c>
      <c r="C58" s="594" t="s">
        <v>229</v>
      </c>
      <c r="D58" s="366" t="str">
        <f>IF(Prop2018DistTar!B25="","",Prop2018DistTar!B25)</f>
        <v>Non-Residential Two Rate 5d</v>
      </c>
      <c r="E58" s="334" t="str">
        <f>IF(Prop2018DistTar!C25="","",Prop2018DistTar!C25)</f>
        <v>Non-Residential Two Rate 5d</v>
      </c>
      <c r="F58" s="592">
        <f>Prop2018DistTar!CM25</f>
        <v>29378762.072893232</v>
      </c>
      <c r="I58" s="592">
        <f>Prop2018DistTar!DJ25</f>
        <v>30858512.865010817</v>
      </c>
    </row>
    <row r="59" spans="1:9">
      <c r="A59" s="365" t="b">
        <f t="array" ref="A59">OR(EXACT(D59,Prop2018DistTar!C$6:C$65))</f>
        <v>1</v>
      </c>
      <c r="B59" s="594" t="s">
        <v>229</v>
      </c>
      <c r="C59" s="594" t="s">
        <v>229</v>
      </c>
      <c r="D59" s="366" t="str">
        <f>IF(Prop2018DistTar!B26="","",Prop2018DistTar!B26)</f>
        <v>Non-Residential Interval</v>
      </c>
      <c r="E59" s="334" t="str">
        <f>IF(Prop2018DistTar!C26="","",Prop2018DistTar!C26)</f>
        <v>Non-Residential Interval</v>
      </c>
      <c r="F59" s="592">
        <f>Prop2018DistTar!CM26</f>
        <v>13526776.523835769</v>
      </c>
      <c r="I59" s="592">
        <f>Prop2018DistTar!DJ26</f>
        <v>14200365.619675785</v>
      </c>
    </row>
    <row r="60" spans="1:9">
      <c r="A60" s="365" t="b">
        <f t="array" ref="A60">OR(EXACT(D60,Prop2018DistTar!C$6:C$65))</f>
        <v>1</v>
      </c>
      <c r="B60" s="594" t="s">
        <v>229</v>
      </c>
      <c r="C60" s="594" t="s">
        <v>229</v>
      </c>
      <c r="D60" s="366" t="str">
        <f>IF(Prop2018DistTar!B27="","",Prop2018DistTar!B27)</f>
        <v>Non-Residential Two Rate 7d</v>
      </c>
      <c r="E60" s="334" t="str">
        <f>IF(Prop2018DistTar!C27="","",Prop2018DistTar!C27)</f>
        <v>Non-Residential Two Rate 7d</v>
      </c>
      <c r="F60" s="592">
        <f>Prop2018DistTar!CM27</f>
        <v>6957224.6812490653</v>
      </c>
      <c r="I60" s="592">
        <f>Prop2018DistTar!DJ27</f>
        <v>7295354.6716368785</v>
      </c>
    </row>
    <row r="61" spans="1:9">
      <c r="A61" s="365" t="b">
        <f t="array" ref="A61">OR(EXACT(D61,Prop2018DistTar!C$6:C$65))</f>
        <v>1</v>
      </c>
      <c r="B61" s="594" t="s">
        <v>229</v>
      </c>
      <c r="C61" s="594" t="s">
        <v>229</v>
      </c>
      <c r="D61" s="366" t="str">
        <f>IF(Prop2018DistTar!B28="","",Prop2018DistTar!B28)</f>
        <v>Non-Residential Demand</v>
      </c>
      <c r="E61" s="334" t="str">
        <f>IF(Prop2018DistTar!C28="","",Prop2018DistTar!C28)</f>
        <v>Non-Residential Demand</v>
      </c>
      <c r="F61" s="592">
        <f>Prop2018DistTar!CM28</f>
        <v>7728.5332097801956</v>
      </c>
      <c r="I61" s="592">
        <f>Prop2018DistTar!DJ28</f>
        <v>8101.9421603024475</v>
      </c>
    </row>
    <row r="62" spans="1:9">
      <c r="A62" s="365" t="b">
        <f t="array" ref="A62">OR(EXACT(D62,Prop2018DistTar!C$6:C$65))</f>
        <v>0</v>
      </c>
      <c r="B62" s="594" t="s">
        <v>229</v>
      </c>
      <c r="C62" s="594" t="s">
        <v>229</v>
      </c>
      <c r="D62" s="366" t="str">
        <f>IF(Prop2018DistTar!B29="","",Prop2018DistTar!B29)</f>
        <v>Medium business Demand</v>
      </c>
      <c r="E62" s="334" t="str">
        <f>IF(Prop2018DistTar!C29="","",Prop2018DistTar!C29)</f>
        <v>Medium business</v>
      </c>
      <c r="F62" s="592">
        <f>Prop2018DistTar!CM29</f>
        <v>73777155.895220637</v>
      </c>
      <c r="I62" s="592">
        <f>Prop2018DistTar!DJ29</f>
        <v>75075294.802470878</v>
      </c>
    </row>
    <row r="63" spans="1:9">
      <c r="A63" s="365" t="b">
        <f t="array" ref="A63">OR(EXACT(D63,Prop2018DistTar!C$6:C$65))</f>
        <v>0</v>
      </c>
      <c r="B63" s="594" t="s">
        <v>229</v>
      </c>
      <c r="C63" s="594" t="s">
        <v>229</v>
      </c>
      <c r="D63" s="366" t="str">
        <f>IF(Prop2018DistTar!B30="","",Prop2018DistTar!B30)</f>
        <v>Medium business Opt-out</v>
      </c>
      <c r="E63" s="334" t="str">
        <f>IF(Prop2018DistTar!C30="","",Prop2018DistTar!C30)</f>
        <v>Medium business</v>
      </c>
      <c r="F63" s="592">
        <f>Prop2018DistTar!CM30</f>
        <v>549976.4784004828</v>
      </c>
      <c r="I63" s="592">
        <f>Prop2018DistTar!DJ30</f>
        <v>470988.08087488689</v>
      </c>
    </row>
    <row r="64" spans="1:9">
      <c r="A64" s="365" t="b">
        <f t="array" ref="A64">OR(EXACT(D64,Prop2018DistTar!C$6:C$65))</f>
        <v>1</v>
      </c>
      <c r="B64" s="594" t="s">
        <v>229</v>
      </c>
      <c r="C64" s="594" t="s">
        <v>229</v>
      </c>
      <c r="D64" s="366" t="str">
        <f>IF(Prop2018DistTar!B31="","",Prop2018DistTar!B31)</f>
        <v>Public Lighting</v>
      </c>
      <c r="E64" s="334" t="str">
        <f>IF(Prop2018DistTar!C31="","",Prop2018DistTar!C31)</f>
        <v>Public Lighting</v>
      </c>
      <c r="F64" s="592">
        <f>Prop2018DistTar!CM31</f>
        <v>5604149.6807275098</v>
      </c>
      <c r="I64" s="592">
        <f>Prop2018DistTar!DJ31</f>
        <v>5917525.9440900795</v>
      </c>
    </row>
    <row r="65" spans="1:9">
      <c r="A65" s="365" t="b">
        <f t="array" ref="A65">OR(EXACT(D65,Prop2018DistTar!C$6:C$65))</f>
        <v>1</v>
      </c>
      <c r="B65" s="594" t="s">
        <v>230</v>
      </c>
      <c r="C65" s="594" t="s">
        <v>230</v>
      </c>
      <c r="D65" s="366" t="str">
        <f>IF(Prop2018DistTar!B32="","",Prop2018DistTar!B32)</f>
        <v>Large low Voltage</v>
      </c>
      <c r="E65" s="334" t="str">
        <f>IF(Prop2018DistTar!C32="","",Prop2018DistTar!C32)</f>
        <v>Large low Voltage</v>
      </c>
      <c r="F65" s="592">
        <f>Prop2018DistTar!CM32</f>
        <v>153966345.73877048</v>
      </c>
      <c r="I65" s="592">
        <f>Prop2018DistTar!DJ32</f>
        <v>149289815.57762128</v>
      </c>
    </row>
    <row r="66" spans="1:9">
      <c r="A66" s="365" t="b">
        <f t="array" ref="A66">OR(EXACT(D66,Prop2018DistTar!C$6:C$65))</f>
        <v>1</v>
      </c>
      <c r="B66" s="594" t="s">
        <v>231</v>
      </c>
      <c r="C66" s="594" t="s">
        <v>231</v>
      </c>
      <c r="D66" s="366" t="str">
        <f>IF(Prop2018DistTar!B33="","",Prop2018DistTar!B33)</f>
        <v>High Voltage</v>
      </c>
      <c r="E66" s="334" t="str">
        <f>IF(Prop2018DistTar!C33="","",Prop2018DistTar!C33)</f>
        <v>High Voltage</v>
      </c>
      <c r="F66" s="592">
        <f>Prop2018DistTar!CM33</f>
        <v>47220779.410467818</v>
      </c>
      <c r="I66" s="592">
        <f>Prop2018DistTar!DJ33</f>
        <v>45846269.692531228</v>
      </c>
    </row>
    <row r="67" spans="1:9">
      <c r="A67" s="365" t="b">
        <f t="array" ref="A67">OR(EXACT(D67,Prop2018DistTar!C$6:C$65))</f>
        <v>1</v>
      </c>
      <c r="B67" s="594" t="s">
        <v>231</v>
      </c>
      <c r="C67" s="594" t="s">
        <v>231</v>
      </c>
      <c r="D67" s="366" t="str">
        <f>IF(Prop2018DistTar!B34="","",Prop2018DistTar!B34)</f>
        <v>High Voltage Docklands</v>
      </c>
      <c r="E67" s="334" t="str">
        <f>IF(Prop2018DistTar!C34="","",Prop2018DistTar!C34)</f>
        <v>High Voltage Docklands</v>
      </c>
      <c r="F67" s="592">
        <f>Prop2018DistTar!CM34</f>
        <v>5667142.8929661997</v>
      </c>
      <c r="I67" s="592">
        <f>Prop2018DistTar!DJ34</f>
        <v>5503557.7459708331</v>
      </c>
    </row>
    <row r="68" spans="1:9">
      <c r="A68" s="365" t="b">
        <f t="array" ref="A68">OR(EXACT(D68,Prop2018DistTar!C$6:C$65))</f>
        <v>1</v>
      </c>
      <c r="B68" s="594" t="s">
        <v>232</v>
      </c>
      <c r="C68" s="594" t="s">
        <v>232</v>
      </c>
      <c r="D68" s="366" t="str">
        <f>IF(Prop2018DistTar!B35="","",Prop2018DistTar!B35)</f>
        <v>Subtransmission</v>
      </c>
      <c r="E68" s="334" t="str">
        <f>IF(Prop2018DistTar!C35="","",Prop2018DistTar!C35)</f>
        <v>Subtransmission</v>
      </c>
      <c r="F68" s="592">
        <f>Prop2018DistTar!CM35</f>
        <v>7333053.6409584675</v>
      </c>
      <c r="I68" s="592">
        <f>Prop2018DistTar!DJ35</f>
        <v>7131303.6751755346</v>
      </c>
    </row>
    <row r="69" spans="1:9">
      <c r="A69" s="365" t="b">
        <f t="array" ref="A69">OR(EXACT(D69,Prop2018DistTar!C$6:C$65))</f>
        <v>1</v>
      </c>
      <c r="B69" s="594"/>
      <c r="C69" s="594"/>
      <c r="D69" s="366" t="str">
        <f>IF(Prop2018DistTar!B36="","",Prop2018DistTar!B36)</f>
        <v/>
      </c>
      <c r="E69" s="334" t="str">
        <f>IF(Prop2018DistTar!C36="","",Prop2018DistTar!C36)</f>
        <v/>
      </c>
      <c r="F69" s="592">
        <f>Prop2018DistTar!CM36</f>
        <v>0</v>
      </c>
      <c r="I69" s="592">
        <f>Prop2018DistTar!DJ36</f>
        <v>0</v>
      </c>
    </row>
    <row r="70" spans="1:9">
      <c r="A70" s="365" t="b">
        <f t="array" ref="A70">OR(EXACT(D70,Prop2018DistTar!C$6:C$65))</f>
        <v>1</v>
      </c>
      <c r="B70" s="594"/>
      <c r="C70" s="594"/>
      <c r="D70" s="366" t="str">
        <f>IF(Prop2018DistTar!B37="","",Prop2018DistTar!B37)</f>
        <v/>
      </c>
      <c r="E70" s="334" t="str">
        <f>IF(Prop2018DistTar!C37="","",Prop2018DistTar!C37)</f>
        <v/>
      </c>
      <c r="F70" s="592">
        <f>Prop2018DistTar!CM37</f>
        <v>0</v>
      </c>
      <c r="I70" s="592">
        <f>Prop2018DistTar!DJ37</f>
        <v>0</v>
      </c>
    </row>
    <row r="71" spans="1:9">
      <c r="A71" s="365" t="b">
        <f t="array" ref="A71">OR(EXACT(D71,Prop2018DistTar!C$6:C$65))</f>
        <v>1</v>
      </c>
      <c r="B71" s="594"/>
      <c r="C71" s="594"/>
      <c r="D71" s="366" t="str">
        <f>IF(Prop2018DistTar!B38="","",Prop2018DistTar!B38)</f>
        <v/>
      </c>
      <c r="E71" s="334" t="str">
        <f>IF(Prop2018DistTar!C38="","",Prop2018DistTar!C38)</f>
        <v/>
      </c>
      <c r="F71" s="592">
        <f>Prop2018DistTar!CM38</f>
        <v>0</v>
      </c>
      <c r="I71" s="592">
        <f>Prop2018DistTar!DJ38</f>
        <v>0</v>
      </c>
    </row>
    <row r="72" spans="1:9">
      <c r="A72" s="365" t="b">
        <f t="array" ref="A72">OR(EXACT(D72,Prop2018DistTar!C$6:C$65))</f>
        <v>1</v>
      </c>
      <c r="B72" s="594"/>
      <c r="C72" s="594"/>
      <c r="D72" s="366" t="str">
        <f>IF(Prop2018DistTar!B39="","",Prop2018DistTar!B39)</f>
        <v/>
      </c>
      <c r="E72" s="334" t="str">
        <f>IF(Prop2018DistTar!C39="","",Prop2018DistTar!C39)</f>
        <v/>
      </c>
      <c r="F72" s="592">
        <f>Prop2018DistTar!CM39</f>
        <v>0</v>
      </c>
      <c r="I72" s="592">
        <f>Prop2018DistTar!DJ39</f>
        <v>0</v>
      </c>
    </row>
    <row r="73" spans="1:9">
      <c r="A73" s="365" t="b">
        <f t="array" ref="A73">OR(EXACT(D73,Prop2018DistTar!C$6:C$65))</f>
        <v>1</v>
      </c>
      <c r="B73" s="594"/>
      <c r="C73" s="594"/>
      <c r="D73" s="366" t="str">
        <f>IF(Prop2018DistTar!B40="","",Prop2018DistTar!B40)</f>
        <v/>
      </c>
      <c r="E73" s="334" t="str">
        <f>IF(Prop2018DistTar!C40="","",Prop2018DistTar!C40)</f>
        <v/>
      </c>
      <c r="F73" s="592">
        <f>Prop2018DistTar!CM40</f>
        <v>0</v>
      </c>
      <c r="I73" s="592">
        <f>Prop2018DistTar!DJ40</f>
        <v>0</v>
      </c>
    </row>
    <row r="74" spans="1:9">
      <c r="A74" s="365" t="b">
        <f t="array" ref="A74">OR(EXACT(D74,Prop2018DistTar!C$6:C$65))</f>
        <v>1</v>
      </c>
      <c r="B74" s="594"/>
      <c r="C74" s="594"/>
      <c r="D74" s="366" t="str">
        <f>IF(Prop2018DistTar!B41="","",Prop2018DistTar!B41)</f>
        <v/>
      </c>
      <c r="E74" s="334" t="str">
        <f>IF(Prop2018DistTar!C41="","",Prop2018DistTar!C41)</f>
        <v/>
      </c>
      <c r="F74" s="592">
        <f>Prop2018DistTar!CM41</f>
        <v>0</v>
      </c>
      <c r="I74" s="592">
        <f>Prop2018DistTar!DJ41</f>
        <v>0</v>
      </c>
    </row>
    <row r="75" spans="1:9">
      <c r="A75" s="365" t="b">
        <f t="array" ref="A75">OR(EXACT(D75,Prop2018DistTar!C$6:C$65))</f>
        <v>1</v>
      </c>
      <c r="B75" s="594"/>
      <c r="C75" s="594"/>
      <c r="D75" s="366" t="str">
        <f>IF(Prop2018DistTar!B42="","",Prop2018DistTar!B42)</f>
        <v/>
      </c>
      <c r="E75" s="334" t="str">
        <f>IF(Prop2018DistTar!C42="","",Prop2018DistTar!C42)</f>
        <v/>
      </c>
      <c r="F75" s="592">
        <f>Prop2018DistTar!CM42</f>
        <v>0</v>
      </c>
      <c r="I75" s="592">
        <f>Prop2018DistTar!DJ42</f>
        <v>0</v>
      </c>
    </row>
    <row r="76" spans="1:9">
      <c r="A76" s="365" t="b">
        <f t="array" ref="A76">OR(EXACT(D76,Prop2018DistTar!C$6:C$65))</f>
        <v>1</v>
      </c>
      <c r="B76" s="594"/>
      <c r="C76" s="594"/>
      <c r="D76" s="366" t="str">
        <f>IF(Prop2018DistTar!B43="","",Prop2018DistTar!B43)</f>
        <v/>
      </c>
      <c r="E76" s="334" t="str">
        <f>IF(Prop2018DistTar!C43="","",Prop2018DistTar!C43)</f>
        <v/>
      </c>
      <c r="F76" s="592">
        <f>Prop2018DistTar!CM43</f>
        <v>0</v>
      </c>
      <c r="I76" s="592">
        <f>Prop2018DistTar!DJ43</f>
        <v>0</v>
      </c>
    </row>
    <row r="77" spans="1:9">
      <c r="A77" s="365" t="b">
        <f t="array" ref="A77">OR(EXACT(D77,Prop2018DistTar!C$6:C$65))</f>
        <v>1</v>
      </c>
      <c r="B77" s="594"/>
      <c r="C77" s="594"/>
      <c r="D77" s="366" t="str">
        <f>IF(Prop2018DistTar!B44="","",Prop2018DistTar!B44)</f>
        <v/>
      </c>
      <c r="E77" s="334" t="str">
        <f>IF(Prop2018DistTar!C44="","",Prop2018DistTar!C44)</f>
        <v/>
      </c>
      <c r="F77" s="592">
        <f>Prop2018DistTar!CM44</f>
        <v>0</v>
      </c>
      <c r="I77" s="592">
        <f>Prop2018DistTar!DJ44</f>
        <v>0</v>
      </c>
    </row>
    <row r="78" spans="1:9">
      <c r="A78" s="365" t="b">
        <f t="array" ref="A78">OR(EXACT(D78,Prop2018DistTar!C$6:C$65))</f>
        <v>1</v>
      </c>
      <c r="B78" s="594"/>
      <c r="C78" s="594"/>
      <c r="D78" s="366" t="str">
        <f>IF(Prop2018DistTar!B45="","",Prop2018DistTar!B45)</f>
        <v/>
      </c>
      <c r="E78" s="334" t="str">
        <f>IF(Prop2018DistTar!C45="","",Prop2018DistTar!C45)</f>
        <v/>
      </c>
      <c r="F78" s="592">
        <f>Prop2018DistTar!CM45</f>
        <v>0</v>
      </c>
      <c r="I78" s="592">
        <f>Prop2018DistTar!DJ45</f>
        <v>0</v>
      </c>
    </row>
    <row r="79" spans="1:9">
      <c r="A79" s="365" t="b">
        <f t="array" ref="A79">OR(EXACT(D79,Prop2018DistTar!C$6:C$65))</f>
        <v>1</v>
      </c>
      <c r="B79" s="594"/>
      <c r="C79" s="594"/>
      <c r="D79" s="366" t="str">
        <f>IF(Prop2018DistTar!B46="","",Prop2018DistTar!B46)</f>
        <v/>
      </c>
      <c r="E79" s="334" t="str">
        <f>IF(Prop2018DistTar!C46="","",Prop2018DistTar!C46)</f>
        <v/>
      </c>
      <c r="F79" s="592">
        <f>Prop2018DistTar!CM46</f>
        <v>0</v>
      </c>
      <c r="I79" s="592">
        <f>Prop2018DistTar!DJ46</f>
        <v>0</v>
      </c>
    </row>
    <row r="80" spans="1:9">
      <c r="A80" s="365" t="b">
        <f t="array" ref="A80">OR(EXACT(D80,Prop2018DistTar!C$6:C$65))</f>
        <v>1</v>
      </c>
      <c r="B80" s="594"/>
      <c r="C80" s="594"/>
      <c r="D80" s="366" t="str">
        <f>IF(Prop2018DistTar!B47="","",Prop2018DistTar!B47)</f>
        <v/>
      </c>
      <c r="E80" s="334" t="str">
        <f>IF(Prop2018DistTar!C47="","",Prop2018DistTar!C47)</f>
        <v/>
      </c>
      <c r="F80" s="592">
        <f>Prop2018DistTar!CM47</f>
        <v>0</v>
      </c>
      <c r="I80" s="592">
        <f>Prop2018DistTar!DJ47</f>
        <v>0</v>
      </c>
    </row>
    <row r="81" spans="1:9">
      <c r="A81" s="365" t="b">
        <f t="array" ref="A81">OR(EXACT(D81,Prop2018DistTar!C$6:C$65))</f>
        <v>1</v>
      </c>
      <c r="B81" s="594"/>
      <c r="C81" s="594"/>
      <c r="D81" s="366" t="str">
        <f>IF(Prop2018DistTar!B48="","",Prop2018DistTar!B48)</f>
        <v/>
      </c>
      <c r="E81" s="334" t="str">
        <f>IF(Prop2018DistTar!C48="","",Prop2018DistTar!C48)</f>
        <v/>
      </c>
      <c r="F81" s="592">
        <f>Prop2018DistTar!CM48</f>
        <v>0</v>
      </c>
      <c r="I81" s="592">
        <f>Prop2018DistTar!DJ48</f>
        <v>0</v>
      </c>
    </row>
    <row r="82" spans="1:9">
      <c r="A82" s="365" t="b">
        <f t="array" ref="A82">OR(EXACT(D82,Prop2018DistTar!C$6:C$65))</f>
        <v>1</v>
      </c>
      <c r="B82" s="594"/>
      <c r="C82" s="594"/>
      <c r="D82" s="366" t="str">
        <f>IF(Prop2018DistTar!B49="","",Prop2018DistTar!B49)</f>
        <v/>
      </c>
      <c r="E82" s="334" t="str">
        <f>IF(Prop2018DistTar!C49="","",Prop2018DistTar!C49)</f>
        <v/>
      </c>
      <c r="F82" s="592">
        <f>Prop2018DistTar!CM49</f>
        <v>0</v>
      </c>
      <c r="I82" s="592">
        <f>Prop2018DistTar!DJ49</f>
        <v>0</v>
      </c>
    </row>
    <row r="83" spans="1:9">
      <c r="A83" s="365" t="b">
        <f t="array" ref="A83">OR(EXACT(D83,Prop2018DistTar!C$6:C$65))</f>
        <v>1</v>
      </c>
      <c r="B83" s="594"/>
      <c r="C83" s="594"/>
      <c r="D83" s="366" t="str">
        <f>IF(Prop2018DistTar!B50="","",Prop2018DistTar!B50)</f>
        <v/>
      </c>
      <c r="E83" s="334" t="str">
        <f>IF(Prop2018DistTar!C50="","",Prop2018DistTar!C50)</f>
        <v/>
      </c>
      <c r="F83" s="592">
        <f>Prop2018DistTar!CM50</f>
        <v>0</v>
      </c>
      <c r="I83" s="592">
        <f>Prop2018DistTar!DJ50</f>
        <v>0</v>
      </c>
    </row>
    <row r="84" spans="1:9">
      <c r="A84" s="365" t="b">
        <f t="array" ref="A84">OR(EXACT(D84,Prop2018DistTar!C$6:C$65))</f>
        <v>1</v>
      </c>
      <c r="B84" s="594"/>
      <c r="C84" s="594"/>
      <c r="D84" s="366" t="str">
        <f>IF(Prop2018DistTar!B51="","",Prop2018DistTar!B51)</f>
        <v/>
      </c>
      <c r="E84" s="334" t="str">
        <f>IF(Prop2018DistTar!C51="","",Prop2018DistTar!C51)</f>
        <v/>
      </c>
      <c r="F84" s="592">
        <f>Prop2018DistTar!CM51</f>
        <v>0</v>
      </c>
      <c r="I84" s="592">
        <f>Prop2018DistTar!DJ51</f>
        <v>0</v>
      </c>
    </row>
    <row r="85" spans="1:9">
      <c r="A85" s="365" t="b">
        <f t="array" ref="A85">OR(EXACT(D85,Prop2018DistTar!C$6:C$65))</f>
        <v>1</v>
      </c>
      <c r="B85" s="594"/>
      <c r="C85" s="594"/>
      <c r="D85" s="366" t="str">
        <f>IF(Prop2018DistTar!B52="","",Prop2018DistTar!B52)</f>
        <v/>
      </c>
      <c r="E85" s="334" t="str">
        <f>IF(Prop2018DistTar!C52="","",Prop2018DistTar!C52)</f>
        <v/>
      </c>
      <c r="F85" s="592">
        <f>Prop2018DistTar!CM52</f>
        <v>0</v>
      </c>
      <c r="I85" s="592">
        <f>Prop2018DistTar!DJ52</f>
        <v>0</v>
      </c>
    </row>
    <row r="86" spans="1:9">
      <c r="A86" s="365" t="b">
        <f t="array" ref="A86">OR(EXACT(D86,Prop2018DistTar!C$6:C$65))</f>
        <v>1</v>
      </c>
      <c r="B86" s="594"/>
      <c r="C86" s="594"/>
      <c r="D86" s="366" t="str">
        <f>IF(Prop2018DistTar!B53="","",Prop2018DistTar!B53)</f>
        <v/>
      </c>
      <c r="E86" s="334" t="str">
        <f>IF(Prop2018DistTar!C53="","",Prop2018DistTar!C53)</f>
        <v/>
      </c>
      <c r="F86" s="592">
        <f>Prop2018DistTar!CM53</f>
        <v>0</v>
      </c>
      <c r="I86" s="592">
        <f>Prop2018DistTar!DJ53</f>
        <v>0</v>
      </c>
    </row>
    <row r="87" spans="1:9">
      <c r="A87" s="365" t="b">
        <f t="array" ref="A87">OR(EXACT(D87,Prop2018DistTar!C$6:C$65))</f>
        <v>1</v>
      </c>
      <c r="B87" s="594"/>
      <c r="C87" s="594"/>
      <c r="D87" s="366" t="str">
        <f>IF(Prop2018DistTar!B54="","",Prop2018DistTar!B54)</f>
        <v/>
      </c>
      <c r="E87" s="334" t="str">
        <f>IF(Prop2018DistTar!C54="","",Prop2018DistTar!C54)</f>
        <v/>
      </c>
      <c r="F87" s="592">
        <f>Prop2018DistTar!CM54</f>
        <v>0</v>
      </c>
      <c r="I87" s="592">
        <f>Prop2018DistTar!DJ54</f>
        <v>0</v>
      </c>
    </row>
    <row r="88" spans="1:9">
      <c r="A88" s="365" t="b">
        <f t="array" ref="A88">OR(EXACT(D88,Prop2018DistTar!C$6:C$65))</f>
        <v>1</v>
      </c>
      <c r="B88" s="349"/>
      <c r="C88" s="349"/>
      <c r="D88" s="366" t="str">
        <f>IF(Prop2018DistTar!B55="","",Prop2018DistTar!B55)</f>
        <v/>
      </c>
      <c r="E88" s="334" t="str">
        <f>IF(Prop2018DistTar!C55="","",Prop2018DistTar!C55)</f>
        <v/>
      </c>
      <c r="F88" s="592">
        <f>Prop2018DistTar!CM55</f>
        <v>0</v>
      </c>
      <c r="I88" s="592">
        <f>Prop2018DistTar!DJ55</f>
        <v>0</v>
      </c>
    </row>
    <row r="89" spans="1:9">
      <c r="A89" s="365" t="b">
        <f t="array" ref="A89">OR(EXACT(D89,Prop2018DistTar!C$6:C$65))</f>
        <v>1</v>
      </c>
      <c r="B89" s="349"/>
      <c r="C89" s="349"/>
      <c r="D89" s="366" t="str">
        <f>IF(Prop2018DistTar!B56="","",Prop2018DistTar!B56)</f>
        <v/>
      </c>
      <c r="E89" s="334" t="str">
        <f>IF(Prop2018DistTar!C56="","",Prop2018DistTar!C56)</f>
        <v/>
      </c>
      <c r="F89" s="592">
        <f>Prop2018DistTar!CM56</f>
        <v>0</v>
      </c>
      <c r="I89" s="592">
        <f>Prop2018DistTar!DJ56</f>
        <v>0</v>
      </c>
    </row>
    <row r="90" spans="1:9">
      <c r="A90" s="365" t="b">
        <f t="array" ref="A90">OR(EXACT(D90,Prop2018DistTar!C$6:C$65))</f>
        <v>1</v>
      </c>
      <c r="B90" s="349"/>
      <c r="C90" s="349"/>
      <c r="D90" s="366" t="str">
        <f>IF(Prop2018DistTar!B57="","",Prop2018DistTar!B57)</f>
        <v/>
      </c>
      <c r="E90" s="334" t="str">
        <f>IF(Prop2018DistTar!C57="","",Prop2018DistTar!C57)</f>
        <v/>
      </c>
      <c r="F90" s="592">
        <f>Prop2018DistTar!CM57</f>
        <v>0</v>
      </c>
      <c r="I90" s="592">
        <f>Prop2018DistTar!DJ57</f>
        <v>0</v>
      </c>
    </row>
    <row r="91" spans="1:9">
      <c r="A91" s="365" t="b">
        <f t="array" ref="A91">OR(EXACT(D91,Prop2018DistTar!C$6:C$65))</f>
        <v>1</v>
      </c>
      <c r="B91" s="349"/>
      <c r="C91" s="349"/>
      <c r="D91" s="366" t="str">
        <f>IF(Prop2018DistTar!B58="","",Prop2018DistTar!B58)</f>
        <v/>
      </c>
      <c r="E91" s="334" t="str">
        <f>IF(Prop2018DistTar!C58="","",Prop2018DistTar!C58)</f>
        <v/>
      </c>
      <c r="F91" s="592">
        <f>Prop2018DistTar!CM58</f>
        <v>0</v>
      </c>
      <c r="I91" s="592">
        <f>Prop2018DistTar!DJ58</f>
        <v>0</v>
      </c>
    </row>
    <row r="92" spans="1:9">
      <c r="A92" s="365" t="b">
        <f t="array" ref="A92">OR(EXACT(D92,Prop2018DistTar!C$6:C$65))</f>
        <v>1</v>
      </c>
      <c r="B92" s="349"/>
      <c r="C92" s="349"/>
      <c r="D92" s="366" t="str">
        <f>IF(Prop2018DistTar!B59="","",Prop2018DistTar!B59)</f>
        <v/>
      </c>
      <c r="E92" s="334" t="str">
        <f>IF(Prop2018DistTar!C59="","",Prop2018DistTar!C59)</f>
        <v/>
      </c>
      <c r="F92" s="592">
        <f>Prop2018DistTar!CM59</f>
        <v>0</v>
      </c>
      <c r="I92" s="592">
        <f>Prop2018DistTar!DJ59</f>
        <v>0</v>
      </c>
    </row>
    <row r="93" spans="1:9">
      <c r="A93" s="365" t="b">
        <f t="array" ref="A93">OR(EXACT(D93,Prop2018DistTar!C$6:C$65))</f>
        <v>1</v>
      </c>
      <c r="B93" s="349"/>
      <c r="C93" s="349"/>
      <c r="D93" s="366" t="str">
        <f>IF(Prop2018DistTar!B60="","",Prop2018DistTar!B60)</f>
        <v/>
      </c>
      <c r="E93" s="334" t="str">
        <f>IF(Prop2018DistTar!C60="","",Prop2018DistTar!C60)</f>
        <v/>
      </c>
      <c r="F93" s="592">
        <f>Prop2018DistTar!CM60</f>
        <v>0</v>
      </c>
      <c r="I93" s="592">
        <f>Prop2018DistTar!DJ60</f>
        <v>0</v>
      </c>
    </row>
    <row r="94" spans="1:9">
      <c r="A94" s="365" t="b">
        <f t="array" ref="A94">OR(EXACT(D94,Prop2018DistTar!C$6:C$65))</f>
        <v>1</v>
      </c>
      <c r="B94" s="349"/>
      <c r="C94" s="349"/>
      <c r="D94" s="366" t="str">
        <f>IF(Prop2018DistTar!B61="","",Prop2018DistTar!B61)</f>
        <v/>
      </c>
      <c r="E94" s="334" t="str">
        <f>IF(Prop2018DistTar!C61="","",Prop2018DistTar!C61)</f>
        <v/>
      </c>
      <c r="F94" s="592">
        <f>Prop2018DistTar!CM61</f>
        <v>0</v>
      </c>
      <c r="I94" s="592">
        <f>Prop2018DistTar!DJ61</f>
        <v>0</v>
      </c>
    </row>
    <row r="95" spans="1:9">
      <c r="A95" s="365" t="b">
        <f t="array" ref="A95">OR(EXACT(D95,Prop2018DistTar!C$6:C$65))</f>
        <v>1</v>
      </c>
      <c r="B95" s="349"/>
      <c r="C95" s="349"/>
      <c r="D95" s="366" t="str">
        <f>IF(Prop2018DistTar!B62="","",Prop2018DistTar!B62)</f>
        <v/>
      </c>
      <c r="E95" s="334" t="str">
        <f>IF(Prop2018DistTar!C62="","",Prop2018DistTar!C62)</f>
        <v/>
      </c>
      <c r="F95" s="592">
        <f>Prop2018DistTar!CM62</f>
        <v>0</v>
      </c>
      <c r="I95" s="592">
        <f>Prop2018DistTar!DJ62</f>
        <v>0</v>
      </c>
    </row>
    <row r="96" spans="1:9">
      <c r="A96" s="365" t="b">
        <f t="array" ref="A96">OR(EXACT(D96,Prop2018DistTar!C$6:C$65))</f>
        <v>1</v>
      </c>
      <c r="B96" s="349"/>
      <c r="C96" s="349"/>
      <c r="D96" s="366" t="str">
        <f>IF(Prop2018DistTar!B63="","",Prop2018DistTar!B63)</f>
        <v/>
      </c>
      <c r="E96" s="334" t="str">
        <f>IF(Prop2018DistTar!C63="","",Prop2018DistTar!C63)</f>
        <v/>
      </c>
      <c r="F96" s="592">
        <f>Prop2018DistTar!CM63</f>
        <v>0</v>
      </c>
      <c r="I96" s="592">
        <f>Prop2018DistTar!DJ63</f>
        <v>0</v>
      </c>
    </row>
    <row r="97" spans="1:115">
      <c r="A97" s="365" t="b">
        <f t="array" ref="A97">OR(EXACT(D97,Prop2018DistTar!C$6:C$65))</f>
        <v>1</v>
      </c>
      <c r="B97" s="349"/>
      <c r="C97" s="349"/>
      <c r="D97" s="366" t="str">
        <f>IF(Prop2018DistTar!B64="","",Prop2018DistTar!B64)</f>
        <v/>
      </c>
      <c r="E97" s="334" t="str">
        <f>IF(Prop2018DistTar!C64="","",Prop2018DistTar!C64)</f>
        <v/>
      </c>
      <c r="F97" s="592">
        <f>Prop2018DistTar!CM64</f>
        <v>0</v>
      </c>
      <c r="I97" s="592">
        <f>Prop2018DistTar!DJ64</f>
        <v>0</v>
      </c>
    </row>
    <row r="98" spans="1:115" ht="13.5" thickBot="1">
      <c r="A98" s="156" t="b">
        <f t="array" ref="A98">OR(EXACT(D98,Prop2018DistTar!C$6:C$65))</f>
        <v>1</v>
      </c>
      <c r="B98" s="350"/>
      <c r="C98" s="367"/>
      <c r="D98" s="368" t="str">
        <f>IF(Prop2018DistTar!B65="","",Prop2018DistTar!B65)</f>
        <v/>
      </c>
      <c r="E98" s="338" t="str">
        <f>IF(Prop2018DistTar!C65="","",Prop2018DistTar!C65)</f>
        <v/>
      </c>
      <c r="F98" s="593">
        <f>Prop2018DistTar!CM65</f>
        <v>0</v>
      </c>
      <c r="I98" s="593">
        <f>Prop2018DistTar!DJ65</f>
        <v>0</v>
      </c>
    </row>
    <row r="99" spans="1:115" s="341" customFormat="1" ht="13.5" thickBot="1">
      <c r="A99" s="155"/>
      <c r="F99" s="369">
        <f>SUM(F39:F98)</f>
        <v>627258321.45042896</v>
      </c>
      <c r="G99" s="328"/>
      <c r="H99" s="328"/>
      <c r="I99" s="369">
        <f>SUM(I39:I98)</f>
        <v>628362694.79834139</v>
      </c>
      <c r="J99" s="328"/>
      <c r="K99" s="328"/>
      <c r="L99" s="328"/>
      <c r="M99" s="328"/>
      <c r="N99" s="328"/>
      <c r="O99" s="328"/>
      <c r="P99" s="328"/>
      <c r="Q99" s="328"/>
      <c r="R99" s="328"/>
      <c r="S99" s="328"/>
      <c r="T99" s="328"/>
      <c r="U99" s="328"/>
      <c r="V99" s="328"/>
      <c r="W99" s="328"/>
      <c r="X99" s="328"/>
      <c r="Y99" s="328"/>
      <c r="Z99" s="328"/>
      <c r="AA99" s="328"/>
      <c r="AB99" s="328"/>
      <c r="AC99" s="328"/>
      <c r="AD99" s="328"/>
      <c r="AE99" s="328"/>
      <c r="AF99" s="328"/>
      <c r="AG99" s="328"/>
      <c r="AH99" s="328"/>
      <c r="AI99" s="328"/>
      <c r="AJ99" s="328"/>
      <c r="AK99" s="328"/>
      <c r="AL99" s="328"/>
      <c r="AM99" s="328"/>
      <c r="AN99" s="328"/>
      <c r="AO99" s="328"/>
      <c r="AP99" s="328"/>
      <c r="AQ99" s="328"/>
      <c r="AR99" s="328"/>
      <c r="AS99" s="328"/>
      <c r="AT99" s="328"/>
      <c r="AU99" s="328"/>
      <c r="AV99" s="328"/>
      <c r="AW99" s="328"/>
      <c r="AX99" s="328"/>
      <c r="AY99" s="328"/>
      <c r="AZ99" s="328"/>
      <c r="BA99" s="328"/>
      <c r="BB99" s="328"/>
      <c r="BC99" s="328"/>
      <c r="BD99" s="328"/>
      <c r="BE99" s="328"/>
      <c r="BF99" s="328"/>
      <c r="BG99" s="328"/>
      <c r="BH99" s="328"/>
      <c r="BI99" s="328"/>
      <c r="BJ99" s="328"/>
      <c r="BK99" s="328"/>
      <c r="BL99" s="328"/>
      <c r="BM99" s="328"/>
      <c r="BN99" s="328"/>
      <c r="BO99" s="328"/>
      <c r="BP99" s="328"/>
      <c r="BQ99" s="328"/>
      <c r="BR99" s="328"/>
      <c r="BS99" s="328"/>
      <c r="BT99" s="328"/>
      <c r="BU99" s="328"/>
      <c r="BV99" s="328"/>
      <c r="BW99" s="328"/>
      <c r="BX99" s="328"/>
      <c r="BY99" s="328"/>
      <c r="BZ99" s="328"/>
      <c r="CA99" s="328"/>
      <c r="CB99" s="328"/>
      <c r="CC99" s="328"/>
      <c r="CD99" s="328"/>
      <c r="CE99" s="328"/>
      <c r="CF99" s="328"/>
      <c r="CG99" s="328"/>
      <c r="CH99" s="328"/>
      <c r="CI99" s="328"/>
      <c r="CJ99" s="328"/>
      <c r="CK99" s="328"/>
      <c r="CL99" s="328"/>
      <c r="CM99" s="328"/>
      <c r="CN99" s="328"/>
      <c r="CO99" s="328"/>
      <c r="CQ99" s="328"/>
      <c r="CR99" s="328"/>
      <c r="CS99" s="328"/>
      <c r="CT99" s="328"/>
      <c r="CU99" s="328"/>
      <c r="CV99" s="328"/>
      <c r="CW99" s="328"/>
      <c r="CX99" s="328"/>
      <c r="CY99" s="328"/>
      <c r="CZ99" s="328"/>
      <c r="DA99" s="328"/>
      <c r="DB99" s="328"/>
      <c r="DC99" s="328"/>
      <c r="DD99" s="328"/>
      <c r="DE99" s="328"/>
      <c r="DF99" s="328"/>
      <c r="DG99" s="328"/>
      <c r="DH99" s="328"/>
      <c r="DI99" s="328"/>
      <c r="DJ99" s="328"/>
      <c r="DK99" s="328"/>
    </row>
    <row r="100" spans="1:115" s="341" customFormat="1" ht="13.5" thickTop="1">
      <c r="A100" s="155"/>
      <c r="G100" s="328"/>
      <c r="H100" s="328"/>
      <c r="I100" s="328"/>
      <c r="J100" s="328"/>
      <c r="K100" s="328"/>
      <c r="L100" s="328"/>
      <c r="M100" s="328"/>
      <c r="N100" s="328"/>
      <c r="O100" s="328"/>
      <c r="P100" s="328"/>
      <c r="Q100" s="328"/>
      <c r="R100" s="328"/>
      <c r="S100" s="328"/>
      <c r="T100" s="328"/>
      <c r="U100" s="328"/>
      <c r="V100" s="328"/>
      <c r="W100" s="328"/>
      <c r="X100" s="328"/>
      <c r="Y100" s="328"/>
      <c r="Z100" s="328"/>
      <c r="AA100" s="328"/>
      <c r="AB100" s="328"/>
      <c r="AC100" s="328"/>
      <c r="AD100" s="328"/>
      <c r="AE100" s="328"/>
      <c r="AF100" s="328"/>
      <c r="AG100" s="328"/>
      <c r="AH100" s="328"/>
      <c r="AI100" s="328"/>
      <c r="AJ100" s="328"/>
      <c r="AK100" s="328"/>
      <c r="AL100" s="328"/>
      <c r="AM100" s="328"/>
      <c r="AN100" s="328"/>
      <c r="AO100" s="328"/>
      <c r="AP100" s="328"/>
      <c r="AQ100" s="328"/>
      <c r="AR100" s="328"/>
      <c r="AS100" s="328"/>
      <c r="AT100" s="328"/>
      <c r="AU100" s="328"/>
      <c r="AV100" s="328"/>
      <c r="AW100" s="328"/>
      <c r="AX100" s="328"/>
      <c r="AY100" s="328"/>
      <c r="AZ100" s="328"/>
      <c r="BA100" s="328"/>
      <c r="BB100" s="328"/>
      <c r="BC100" s="328"/>
      <c r="BD100" s="328"/>
      <c r="BE100" s="328"/>
      <c r="BF100" s="328"/>
      <c r="BG100" s="328"/>
      <c r="BH100" s="328"/>
      <c r="BI100" s="328"/>
      <c r="BJ100" s="328"/>
      <c r="BK100" s="328"/>
      <c r="BL100" s="328"/>
      <c r="BM100" s="328"/>
      <c r="BN100" s="328"/>
      <c r="BO100" s="328"/>
      <c r="BP100" s="328"/>
      <c r="BQ100" s="328"/>
      <c r="BR100" s="328"/>
      <c r="BS100" s="328"/>
      <c r="BT100" s="328"/>
      <c r="BU100" s="328"/>
      <c r="BV100" s="328"/>
      <c r="BW100" s="328"/>
      <c r="BX100" s="328"/>
      <c r="BY100" s="328"/>
      <c r="BZ100" s="328"/>
      <c r="CA100" s="328"/>
      <c r="CB100" s="328"/>
      <c r="CC100" s="328"/>
      <c r="CD100" s="328"/>
      <c r="CE100" s="328"/>
      <c r="CF100" s="328"/>
      <c r="CG100" s="328"/>
      <c r="CH100" s="328"/>
      <c r="CI100" s="328"/>
      <c r="CJ100" s="328"/>
      <c r="CK100" s="328"/>
      <c r="CL100" s="328"/>
      <c r="CM100" s="328"/>
      <c r="CN100" s="328"/>
      <c r="CO100" s="328"/>
      <c r="CQ100" s="328"/>
      <c r="CR100" s="328"/>
      <c r="CS100" s="328"/>
      <c r="CT100" s="328"/>
      <c r="CU100" s="328"/>
      <c r="CV100" s="328"/>
      <c r="CW100" s="328"/>
      <c r="CX100" s="328"/>
      <c r="CY100" s="328"/>
      <c r="CZ100" s="328"/>
      <c r="DA100" s="328"/>
      <c r="DB100" s="328"/>
      <c r="DC100" s="328"/>
      <c r="DD100" s="328"/>
      <c r="DE100" s="328"/>
      <c r="DF100" s="328"/>
      <c r="DG100" s="328"/>
      <c r="DH100" s="328"/>
      <c r="DI100" s="328"/>
      <c r="DJ100" s="328"/>
      <c r="DK100" s="328"/>
    </row>
    <row r="101" spans="1:115" s="341" customFormat="1">
      <c r="A101" s="155"/>
      <c r="G101" s="328"/>
      <c r="H101" s="328"/>
      <c r="I101" s="328"/>
      <c r="J101" s="328"/>
      <c r="K101" s="328"/>
      <c r="L101" s="328"/>
      <c r="M101" s="328"/>
      <c r="N101" s="328"/>
      <c r="O101" s="328"/>
      <c r="P101" s="328"/>
      <c r="Q101" s="328"/>
      <c r="R101" s="328"/>
      <c r="S101" s="328"/>
      <c r="T101" s="328"/>
      <c r="U101" s="328"/>
      <c r="V101" s="328"/>
      <c r="W101" s="328"/>
      <c r="X101" s="328"/>
      <c r="Y101" s="328"/>
      <c r="Z101" s="328"/>
      <c r="AA101" s="328"/>
      <c r="AB101" s="328"/>
      <c r="AC101" s="328"/>
      <c r="AD101" s="328"/>
      <c r="AE101" s="328"/>
      <c r="AF101" s="328"/>
      <c r="AG101" s="328"/>
      <c r="AH101" s="328"/>
      <c r="AI101" s="328"/>
      <c r="AJ101" s="328"/>
      <c r="AK101" s="328"/>
      <c r="AL101" s="328"/>
      <c r="AM101" s="328"/>
      <c r="AN101" s="328"/>
      <c r="AO101" s="328"/>
      <c r="AP101" s="328"/>
      <c r="AQ101" s="328"/>
      <c r="AR101" s="328"/>
      <c r="AS101" s="328"/>
      <c r="AT101" s="328"/>
      <c r="AU101" s="328"/>
      <c r="AV101" s="328"/>
      <c r="AW101" s="328"/>
      <c r="AX101" s="328"/>
      <c r="AY101" s="328"/>
      <c r="AZ101" s="328"/>
      <c r="BA101" s="328"/>
      <c r="BB101" s="328"/>
      <c r="BC101" s="328"/>
      <c r="BD101" s="328"/>
      <c r="BE101" s="328"/>
      <c r="BF101" s="328"/>
      <c r="BG101" s="328"/>
      <c r="BH101" s="328"/>
      <c r="BI101" s="328"/>
      <c r="BJ101" s="328"/>
      <c r="BK101" s="328"/>
      <c r="BL101" s="328"/>
      <c r="BM101" s="328"/>
      <c r="BN101" s="328"/>
      <c r="BO101" s="328"/>
      <c r="BP101" s="328"/>
      <c r="BQ101" s="328"/>
      <c r="BR101" s="328"/>
      <c r="BS101" s="328"/>
      <c r="BT101" s="328"/>
      <c r="BU101" s="328"/>
      <c r="BV101" s="328"/>
      <c r="BW101" s="328"/>
      <c r="BX101" s="328"/>
      <c r="BY101" s="328"/>
      <c r="BZ101" s="328"/>
      <c r="CA101" s="328"/>
      <c r="CB101" s="328"/>
      <c r="CC101" s="328"/>
      <c r="CD101" s="328"/>
      <c r="CE101" s="328"/>
      <c r="CF101" s="328"/>
      <c r="CG101" s="328"/>
      <c r="CH101" s="328"/>
      <c r="CI101" s="328"/>
      <c r="CJ101" s="328"/>
      <c r="CK101" s="328"/>
      <c r="CL101" s="328"/>
      <c r="CM101" s="328"/>
      <c r="CN101" s="328"/>
      <c r="CO101" s="328"/>
      <c r="CQ101" s="328"/>
      <c r="CR101" s="328"/>
      <c r="CS101" s="328"/>
      <c r="CT101" s="328"/>
      <c r="CU101" s="328"/>
      <c r="CV101" s="328"/>
      <c r="CW101" s="328"/>
      <c r="CX101" s="328"/>
      <c r="CY101" s="328"/>
      <c r="CZ101" s="328"/>
      <c r="DA101" s="328"/>
      <c r="DB101" s="328"/>
      <c r="DC101" s="328"/>
      <c r="DD101" s="328"/>
      <c r="DE101" s="328"/>
      <c r="DF101" s="328"/>
      <c r="DG101" s="328"/>
      <c r="DH101" s="328"/>
      <c r="DI101" s="328"/>
      <c r="DJ101" s="328"/>
      <c r="DK101" s="328"/>
    </row>
    <row r="102" spans="1:115" s="341" customFormat="1">
      <c r="A102" s="155"/>
      <c r="E102" s="805"/>
      <c r="F102" s="805"/>
      <c r="G102" s="804"/>
      <c r="H102" s="804"/>
      <c r="I102" s="804"/>
      <c r="J102" s="328"/>
      <c r="K102" s="328"/>
      <c r="L102" s="328"/>
      <c r="M102" s="328"/>
      <c r="N102" s="328"/>
      <c r="O102" s="328"/>
      <c r="P102" s="328"/>
      <c r="Q102" s="328"/>
      <c r="R102" s="328"/>
      <c r="S102" s="328"/>
      <c r="T102" s="328"/>
      <c r="U102" s="328"/>
      <c r="V102" s="328"/>
      <c r="W102" s="328"/>
      <c r="X102" s="328"/>
      <c r="Y102" s="328"/>
      <c r="Z102" s="328"/>
      <c r="AA102" s="328"/>
      <c r="AB102" s="328"/>
      <c r="AC102" s="328"/>
      <c r="AD102" s="328"/>
      <c r="AE102" s="328"/>
      <c r="AF102" s="328"/>
      <c r="AG102" s="328"/>
      <c r="AH102" s="328"/>
      <c r="AI102" s="328"/>
      <c r="AJ102" s="328"/>
      <c r="AK102" s="328"/>
      <c r="AL102" s="328"/>
      <c r="AM102" s="328"/>
      <c r="AN102" s="328"/>
      <c r="AO102" s="328"/>
      <c r="AP102" s="328"/>
      <c r="AQ102" s="328"/>
      <c r="AR102" s="328"/>
      <c r="AS102" s="328"/>
      <c r="AT102" s="328"/>
      <c r="AU102" s="328"/>
      <c r="AV102" s="328"/>
      <c r="AW102" s="328"/>
      <c r="AX102" s="328"/>
      <c r="AY102" s="328"/>
      <c r="AZ102" s="328"/>
      <c r="BA102" s="328"/>
      <c r="BB102" s="328"/>
      <c r="BC102" s="328"/>
      <c r="BD102" s="328"/>
      <c r="BE102" s="328"/>
      <c r="BF102" s="328"/>
      <c r="BG102" s="328"/>
      <c r="BH102" s="328"/>
      <c r="BI102" s="328"/>
      <c r="BJ102" s="328"/>
      <c r="BK102" s="328"/>
      <c r="BL102" s="328"/>
      <c r="BM102" s="328"/>
      <c r="BN102" s="328"/>
      <c r="BO102" s="328"/>
      <c r="BP102" s="328"/>
      <c r="BQ102" s="328"/>
      <c r="BR102" s="328"/>
      <c r="BS102" s="328"/>
      <c r="BT102" s="328"/>
      <c r="BU102" s="328"/>
      <c r="BV102" s="328"/>
      <c r="BW102" s="328"/>
      <c r="BX102" s="328"/>
      <c r="BY102" s="328"/>
      <c r="BZ102" s="328"/>
      <c r="CA102" s="328"/>
      <c r="CB102" s="328"/>
      <c r="CC102" s="328"/>
      <c r="CD102" s="328"/>
      <c r="CE102" s="328"/>
      <c r="CF102" s="328"/>
      <c r="CG102" s="328"/>
      <c r="CH102" s="328"/>
      <c r="CI102" s="328"/>
      <c r="CJ102" s="328"/>
      <c r="CK102" s="328"/>
      <c r="CL102" s="328"/>
      <c r="CM102" s="328"/>
      <c r="CN102" s="328"/>
      <c r="CO102" s="328"/>
      <c r="CQ102" s="328"/>
      <c r="CR102" s="328"/>
      <c r="CS102" s="328"/>
      <c r="CT102" s="328"/>
      <c r="CU102" s="328"/>
      <c r="CV102" s="328"/>
      <c r="CW102" s="328"/>
      <c r="CX102" s="328"/>
      <c r="CY102" s="328"/>
      <c r="CZ102" s="328"/>
      <c r="DA102" s="328"/>
      <c r="DB102" s="328"/>
      <c r="DC102" s="328"/>
      <c r="DD102" s="328"/>
      <c r="DE102" s="328"/>
      <c r="DF102" s="328"/>
      <c r="DG102" s="328"/>
      <c r="DH102" s="328"/>
      <c r="DI102" s="328"/>
      <c r="DJ102" s="328"/>
      <c r="DK102" s="328"/>
    </row>
    <row r="103" spans="1:115" s="341" customFormat="1">
      <c r="A103" s="155"/>
      <c r="E103" s="805"/>
      <c r="F103" s="805"/>
      <c r="G103" s="804"/>
      <c r="H103" s="804"/>
      <c r="I103" s="804"/>
      <c r="CQ103" s="328"/>
      <c r="CR103" s="328"/>
      <c r="CS103" s="328"/>
      <c r="CT103" s="328"/>
      <c r="CU103" s="328"/>
      <c r="CV103" s="328"/>
      <c r="CW103" s="328"/>
      <c r="CX103" s="328"/>
      <c r="CY103" s="328"/>
      <c r="CZ103" s="328"/>
      <c r="DA103" s="328"/>
      <c r="DB103" s="328"/>
      <c r="DC103" s="328"/>
      <c r="DD103" s="328"/>
      <c r="DE103" s="328"/>
      <c r="DF103" s="328"/>
      <c r="DG103" s="328"/>
      <c r="DH103" s="328"/>
      <c r="DI103" s="328"/>
      <c r="DJ103" s="328"/>
      <c r="DK103" s="328"/>
    </row>
    <row r="104" spans="1:115" s="341" customFormat="1">
      <c r="A104" s="155"/>
      <c r="E104" s="805"/>
      <c r="F104" s="805"/>
      <c r="G104" s="804"/>
      <c r="H104" s="804"/>
      <c r="I104" s="804"/>
    </row>
    <row r="105" spans="1:115" s="341" customFormat="1">
      <c r="A105" s="155"/>
    </row>
    <row r="106" spans="1:115" s="341" customFormat="1">
      <c r="A106" s="155"/>
    </row>
    <row r="107" spans="1:115" s="341" customFormat="1">
      <c r="A107" s="155"/>
    </row>
    <row r="108" spans="1:115" s="341" customFormat="1">
      <c r="A108" s="155"/>
    </row>
    <row r="109" spans="1:115" s="341" customFormat="1">
      <c r="A109" s="155"/>
    </row>
    <row r="110" spans="1:115" s="341" customFormat="1">
      <c r="A110" s="155"/>
    </row>
    <row r="111" spans="1:115" s="341" customFormat="1">
      <c r="A111" s="155"/>
    </row>
    <row r="112" spans="1:115" s="341" customFormat="1">
      <c r="A112" s="155"/>
    </row>
    <row r="113" spans="1:1" s="341" customFormat="1">
      <c r="A113" s="155"/>
    </row>
    <row r="114" spans="1:1" s="341" customFormat="1">
      <c r="A114" s="155"/>
    </row>
    <row r="115" spans="1:1" s="341" customFormat="1">
      <c r="A115" s="155"/>
    </row>
    <row r="116" spans="1:1" s="341" customFormat="1">
      <c r="A116" s="155"/>
    </row>
    <row r="117" spans="1:1" s="341" customFormat="1">
      <c r="A117" s="155"/>
    </row>
    <row r="118" spans="1:1" s="341" customFormat="1">
      <c r="A118" s="155"/>
    </row>
    <row r="119" spans="1:1" s="341" customFormat="1">
      <c r="A119" s="155"/>
    </row>
    <row r="120" spans="1:1" s="341" customFormat="1">
      <c r="A120" s="155"/>
    </row>
    <row r="121" spans="1:1" s="341" customFormat="1">
      <c r="A121" s="155"/>
    </row>
    <row r="122" spans="1:1" s="341" customFormat="1">
      <c r="A122" s="155"/>
    </row>
    <row r="123" spans="1:1" s="341" customFormat="1">
      <c r="A123" s="155"/>
    </row>
    <row r="124" spans="1:1" s="341" customFormat="1">
      <c r="A124" s="155"/>
    </row>
    <row r="125" spans="1:1" s="341" customFormat="1">
      <c r="A125" s="155"/>
    </row>
    <row r="126" spans="1:1" s="341" customFormat="1">
      <c r="A126" s="155"/>
    </row>
    <row r="127" spans="1:1" s="341" customFormat="1">
      <c r="A127" s="155"/>
    </row>
    <row r="128" spans="1:1" s="341" customFormat="1">
      <c r="A128" s="155"/>
    </row>
    <row r="129" spans="1:1" s="341" customFormat="1">
      <c r="A129" s="155"/>
    </row>
    <row r="130" spans="1:1" s="341" customFormat="1">
      <c r="A130" s="155"/>
    </row>
    <row r="131" spans="1:1" s="341" customFormat="1">
      <c r="A131" s="155"/>
    </row>
    <row r="132" spans="1:1" s="341" customFormat="1">
      <c r="A132" s="155"/>
    </row>
    <row r="133" spans="1:1" s="341" customFormat="1">
      <c r="A133" s="155"/>
    </row>
    <row r="134" spans="1:1" s="341" customFormat="1">
      <c r="A134" s="155"/>
    </row>
    <row r="135" spans="1:1" s="341" customFormat="1">
      <c r="A135" s="155"/>
    </row>
    <row r="136" spans="1:1" s="341" customFormat="1">
      <c r="A136" s="155"/>
    </row>
    <row r="137" spans="1:1" s="341" customFormat="1">
      <c r="A137" s="155"/>
    </row>
    <row r="138" spans="1:1" s="341" customFormat="1">
      <c r="A138" s="155"/>
    </row>
  </sheetData>
  <conditionalFormatting sqref="F22:F33">
    <cfRule type="cellIs" dxfId="4" priority="2" stopIfTrue="1" operator="equal">
      <formula>"BREACHED"</formula>
    </cfRule>
  </conditionalFormatting>
  <conditionalFormatting sqref="A39:A98">
    <cfRule type="cellIs" dxfId="3" priority="3" stopIfTrue="1" operator="equal">
      <formula>FALSE</formula>
    </cfRule>
  </conditionalFormatting>
  <conditionalFormatting sqref="C34:D34 D35">
    <cfRule type="cellIs" dxfId="2" priority="4" stopIfTrue="1" operator="equal">
      <formula>"Error"</formula>
    </cfRule>
  </conditionalFormatting>
  <conditionalFormatting sqref="C35">
    <cfRule type="cellIs" dxfId="1"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99" max="16383" man="1"/>
  </rowBreaks>
  <colBreaks count="4" manualBreakCount="4">
    <brk id="27" max="96" man="1"/>
    <brk id="49" max="1048575" man="1"/>
    <brk id="71" max="1048575" man="1"/>
    <brk id="94" max="1048575" man="1"/>
  </colBreak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autoPageBreaks="0"/>
  </sheetPr>
  <dimension ref="A1:BR102"/>
  <sheetViews>
    <sheetView zoomScale="85" zoomScaleNormal="85" workbookViewId="0">
      <pane xSplit="3" ySplit="5" topLeftCell="D6" activePane="bottomRight" state="frozen"/>
      <selection activeCell="B33" sqref="B33"/>
      <selection pane="topRight" activeCell="B33" sqref="B33"/>
      <selection pane="bottomLeft" activeCell="B33" sqref="B33"/>
      <selection pane="bottomRight" activeCell="AX27" sqref="AX27"/>
    </sheetView>
  </sheetViews>
  <sheetFormatPr defaultRowHeight="12.75"/>
  <cols>
    <col min="1" max="1" width="6.7109375" style="199" customWidth="1"/>
    <col min="2" max="2" width="45" style="199" customWidth="1"/>
    <col min="3" max="3" width="2.85546875" style="199" customWidth="1"/>
    <col min="4" max="4" width="15.7109375" style="199" customWidth="1"/>
    <col min="5" max="8" width="11.5703125" style="199" customWidth="1"/>
    <col min="9" max="9" width="13.42578125" style="199" bestFit="1" customWidth="1"/>
    <col min="10" max="10" width="11.5703125" style="199" customWidth="1"/>
    <col min="11" max="19" width="12.28515625" style="199" customWidth="1"/>
    <col min="20" max="20" width="14.28515625" style="199" customWidth="1"/>
    <col min="21" max="24" width="12.28515625" style="199" customWidth="1"/>
    <col min="25" max="25" width="1.85546875" style="199" customWidth="1"/>
    <col min="26" max="26" width="17.5703125" style="199" customWidth="1"/>
    <col min="27" max="27" width="18.7109375" style="199" bestFit="1" customWidth="1"/>
    <col min="28" max="28" width="18" style="199" customWidth="1"/>
    <col min="29" max="30" width="8" style="199" customWidth="1"/>
    <col min="31" max="31" width="18.28515625" style="199" customWidth="1"/>
    <col min="32" max="34" width="6.140625" style="199" customWidth="1"/>
    <col min="35" max="36" width="14.85546875" style="199" bestFit="1" customWidth="1"/>
    <col min="37" max="37" width="12.7109375" style="199" customWidth="1"/>
    <col min="38" max="38" width="12.28515625" style="199" customWidth="1"/>
    <col min="39" max="41" width="14.85546875" style="199" bestFit="1" customWidth="1"/>
    <col min="42" max="42" width="11.28515625" style="199" customWidth="1"/>
    <col min="43" max="43" width="15.85546875" style="199" customWidth="1"/>
    <col min="44" max="45" width="14.85546875" style="199" customWidth="1"/>
    <col min="46" max="46" width="11.28515625" style="199" bestFit="1" customWidth="1"/>
    <col min="47" max="47" width="14.5703125" style="199" customWidth="1"/>
    <col min="48" max="48" width="13.85546875" style="199" customWidth="1"/>
    <col min="49" max="49" width="15.5703125" style="199" customWidth="1"/>
    <col min="50" max="50" width="15" style="199" customWidth="1"/>
    <col min="51" max="51" width="12.42578125" style="199" bestFit="1" customWidth="1"/>
    <col min="52" max="52" width="13.5703125" style="199" bestFit="1" customWidth="1"/>
    <col min="53" max="53" width="17.28515625" style="199" bestFit="1" customWidth="1"/>
    <col min="54" max="54" width="12.42578125" style="199" bestFit="1" customWidth="1"/>
    <col min="55" max="55" width="11.5703125" style="199" customWidth="1"/>
    <col min="56" max="56" width="11.140625" style="199" customWidth="1"/>
    <col min="57" max="57" width="13.5703125" style="199" bestFit="1" customWidth="1"/>
    <col min="58" max="58" width="12.42578125" style="199" bestFit="1" customWidth="1"/>
    <col min="59" max="59" width="11.85546875" style="199" customWidth="1"/>
    <col min="60" max="60" width="11.140625" style="199" customWidth="1"/>
    <col min="61" max="63" width="10.5703125" style="199" bestFit="1" customWidth="1"/>
    <col min="64" max="64" width="9.85546875" style="199" customWidth="1"/>
    <col min="65" max="66" width="10.5703125" style="199" customWidth="1"/>
    <col min="67" max="68" width="9.85546875" style="199" customWidth="1"/>
    <col min="69" max="69" width="17.28515625" style="199" bestFit="1" customWidth="1"/>
    <col min="70" max="70" width="16.28515625" style="199" bestFit="1" customWidth="1"/>
    <col min="71" max="16384" width="9.140625" style="199"/>
  </cols>
  <sheetData>
    <row r="1" spans="1:70" ht="15">
      <c r="B1" s="154" t="str">
        <f>"Tariff Approval - "&amp;'Model update'!C3</f>
        <v>Tariff Approval - Powercor</v>
      </c>
      <c r="C1" s="154"/>
    </row>
    <row r="3" spans="1:70">
      <c r="B3" s="227" t="str">
        <f>"ESTIMATED "&amp;'Model update'!$C$8&amp;" Distribution Revenue"</f>
        <v>ESTIMATED 2017 Distribution Revenue</v>
      </c>
      <c r="C3" s="227"/>
    </row>
    <row r="4" spans="1:70" ht="13.5" thickBot="1">
      <c r="D4" s="229" t="str">
        <f>"Current Distribution Tariffs (Pt-1) for "&amp;'Model update'!$C$8</f>
        <v>Current Distribution Tariffs (Pt-1) for 2017</v>
      </c>
      <c r="E4" s="230"/>
      <c r="F4" s="230"/>
      <c r="G4" s="230"/>
      <c r="H4" s="230"/>
      <c r="I4" s="230"/>
      <c r="J4" s="230"/>
      <c r="Z4" s="229" t="str">
        <f>" Estimated Distribution Quantities for "&amp;'Model update'!$C$8&amp;" (Qt-1)"</f>
        <v xml:space="preserve"> Estimated Distribution Quantities for 2017 (Qt-1)</v>
      </c>
      <c r="AA4" s="230"/>
      <c r="AB4" s="230"/>
      <c r="AC4" s="230"/>
      <c r="AD4" s="230"/>
      <c r="AV4" s="229" t="str">
        <f>"Estimated Revenue (Pt-1 "&amp;'Model update'!$C$8&amp;")*(Qt-1 " &amp;'Model update'!$C$8&amp;")"</f>
        <v>Estimated Revenue (Pt-1 2017)*(Qt-1 2017)</v>
      </c>
      <c r="AW4" s="230"/>
      <c r="AX4" s="230"/>
      <c r="AY4" s="230"/>
    </row>
    <row r="5" spans="1:70" ht="38.25">
      <c r="B5" s="233" t="str">
        <f>"Tariffs "&amp;'Model update'!C8</f>
        <v>Tariffs 2017</v>
      </c>
      <c r="C5" s="283"/>
      <c r="D5" s="234" t="s">
        <v>237</v>
      </c>
      <c r="E5" s="235" t="s">
        <v>552</v>
      </c>
      <c r="F5" s="235" t="s">
        <v>553</v>
      </c>
      <c r="G5" s="235"/>
      <c r="H5" s="235"/>
      <c r="I5" s="235" t="s">
        <v>252</v>
      </c>
      <c r="J5" s="235"/>
      <c r="K5" s="235"/>
      <c r="L5" s="235"/>
      <c r="M5" s="235" t="s">
        <v>554</v>
      </c>
      <c r="N5" s="235" t="s">
        <v>555</v>
      </c>
      <c r="O5" s="235" t="s">
        <v>556</v>
      </c>
      <c r="P5" s="235" t="s">
        <v>557</v>
      </c>
      <c r="Q5" s="235" t="s">
        <v>238</v>
      </c>
      <c r="R5" s="235" t="s">
        <v>239</v>
      </c>
      <c r="S5" s="235" t="s">
        <v>240</v>
      </c>
      <c r="T5" s="235"/>
      <c r="U5" s="235" t="s">
        <v>241</v>
      </c>
      <c r="V5" s="235" t="s">
        <v>242</v>
      </c>
      <c r="W5" s="235" t="s">
        <v>243</v>
      </c>
      <c r="X5" s="237"/>
      <c r="Z5" s="234" t="s">
        <v>253</v>
      </c>
      <c r="AA5" s="235" t="s">
        <v>559</v>
      </c>
      <c r="AB5" s="235" t="s">
        <v>558</v>
      </c>
      <c r="AC5" s="235"/>
      <c r="AD5" s="235"/>
      <c r="AE5" s="235" t="s">
        <v>560</v>
      </c>
      <c r="AF5" s="235"/>
      <c r="AG5" s="235"/>
      <c r="AH5" s="235"/>
      <c r="AI5" s="235" t="s">
        <v>561</v>
      </c>
      <c r="AJ5" s="235" t="s">
        <v>562</v>
      </c>
      <c r="AK5" s="235" t="s">
        <v>563</v>
      </c>
      <c r="AL5" s="235" t="s">
        <v>564</v>
      </c>
      <c r="AM5" s="235" t="s">
        <v>254</v>
      </c>
      <c r="AN5" s="235" t="s">
        <v>255</v>
      </c>
      <c r="AO5" s="235" t="s">
        <v>256</v>
      </c>
      <c r="AP5" s="235"/>
      <c r="AQ5" s="235" t="s">
        <v>257</v>
      </c>
      <c r="AR5" s="235" t="s">
        <v>258</v>
      </c>
      <c r="AS5" s="235" t="s">
        <v>259</v>
      </c>
      <c r="AT5" s="237"/>
      <c r="AU5" s="780"/>
      <c r="AV5" s="234" t="s">
        <v>244</v>
      </c>
      <c r="AW5" s="235" t="s">
        <v>565</v>
      </c>
      <c r="AX5" s="235" t="s">
        <v>566</v>
      </c>
      <c r="AY5" s="235"/>
      <c r="AZ5" s="235"/>
      <c r="BA5" s="235" t="s">
        <v>567</v>
      </c>
      <c r="BB5" s="235"/>
      <c r="BC5" s="235"/>
      <c r="BD5" s="235"/>
      <c r="BE5" s="235" t="s">
        <v>568</v>
      </c>
      <c r="BF5" s="235" t="s">
        <v>569</v>
      </c>
      <c r="BG5" s="235" t="s">
        <v>570</v>
      </c>
      <c r="BH5" s="235" t="s">
        <v>571</v>
      </c>
      <c r="BI5" s="235" t="s">
        <v>245</v>
      </c>
      <c r="BJ5" s="235" t="s">
        <v>246</v>
      </c>
      <c r="BK5" s="235" t="s">
        <v>247</v>
      </c>
      <c r="BL5" s="235"/>
      <c r="BM5" s="235" t="s">
        <v>248</v>
      </c>
      <c r="BN5" s="235" t="s">
        <v>249</v>
      </c>
      <c r="BO5" s="235" t="s">
        <v>250</v>
      </c>
      <c r="BP5" s="235"/>
      <c r="BQ5" s="237" t="s">
        <v>251</v>
      </c>
    </row>
    <row r="6" spans="1:70">
      <c r="B6" s="238"/>
      <c r="C6" s="284"/>
      <c r="D6" s="239"/>
      <c r="E6" s="240"/>
      <c r="F6" s="240"/>
      <c r="G6" s="240"/>
      <c r="H6" s="240"/>
      <c r="I6" s="240"/>
      <c r="J6" s="240"/>
      <c r="K6" s="240"/>
      <c r="L6" s="240"/>
      <c r="M6" s="240"/>
      <c r="N6" s="240"/>
      <c r="O6" s="240"/>
      <c r="P6" s="240"/>
      <c r="Q6" s="240"/>
      <c r="R6" s="240"/>
      <c r="S6" s="240"/>
      <c r="T6" s="240"/>
      <c r="U6" s="240"/>
      <c r="V6" s="240"/>
      <c r="W6" s="240"/>
      <c r="X6" s="322"/>
      <c r="Z6" s="660"/>
      <c r="AA6" s="661"/>
      <c r="AB6" s="661"/>
      <c r="AC6" s="661"/>
      <c r="AD6" s="661"/>
      <c r="AE6" s="661"/>
      <c r="AF6" s="661"/>
      <c r="AG6" s="661"/>
      <c r="AH6" s="661"/>
      <c r="AI6" s="661"/>
      <c r="AJ6" s="661"/>
      <c r="AK6" s="661"/>
      <c r="AL6" s="661"/>
      <c r="AM6" s="661"/>
      <c r="AN6" s="661"/>
      <c r="AO6" s="661"/>
      <c r="AP6" s="661"/>
      <c r="AQ6" s="661"/>
      <c r="AR6" s="661"/>
      <c r="AS6" s="661"/>
      <c r="AT6" s="662"/>
      <c r="AU6" s="780"/>
      <c r="AV6" s="288"/>
      <c r="AW6" s="223"/>
      <c r="AX6" s="223"/>
      <c r="AY6" s="223"/>
      <c r="AZ6" s="223"/>
      <c r="BA6" s="223"/>
      <c r="BB6" s="223"/>
      <c r="BC6" s="223"/>
      <c r="BD6" s="223"/>
      <c r="BE6" s="223"/>
      <c r="BF6" s="223"/>
      <c r="BG6" s="223"/>
      <c r="BH6" s="223"/>
      <c r="BI6" s="247"/>
      <c r="BJ6" s="247"/>
      <c r="BK6" s="247"/>
      <c r="BL6" s="247"/>
      <c r="BM6" s="247"/>
      <c r="BN6" s="247"/>
      <c r="BO6" s="247"/>
      <c r="BP6" s="247"/>
      <c r="BQ6" s="248"/>
    </row>
    <row r="7" spans="1:70">
      <c r="A7" s="764" t="s">
        <v>606</v>
      </c>
      <c r="B7" s="765" t="s">
        <v>161</v>
      </c>
      <c r="C7" s="289"/>
      <c r="D7" s="767">
        <f>IFERROR(INDEX(Prop2018DistTar!Z:Z,MATCH($A7,Prop2018DistTar!$A:$A,),1),)</f>
        <v>125</v>
      </c>
      <c r="E7" s="766">
        <f>IFERROR(INDEX(Prop2018DistTar!AA:AA,MATCH($A7,Prop2018DistTar!$A:$A,),1),)</f>
        <v>5.39</v>
      </c>
      <c r="F7" s="766">
        <f>IFERROR(INDEX(Prop2018DistTar!AB:AB,MATCH($A7,Prop2018DistTar!$A:$A,),1),)</f>
        <v>0</v>
      </c>
      <c r="G7" s="766">
        <f>IFERROR(INDEX(Prop2018DistTar!AC:AC,MATCH($A7,Prop2018DistTar!$A:$A,),1),)</f>
        <v>0</v>
      </c>
      <c r="H7" s="766">
        <f>IFERROR(INDEX(Prop2018DistTar!AD:AD,MATCH($A7,Prop2018DistTar!$A:$A,),1),)</f>
        <v>0</v>
      </c>
      <c r="I7" s="766">
        <f>IFERROR(INDEX(Prop2018DistTar!AE:AE,MATCH($A7,Prop2018DistTar!$A:$A,),1),)</f>
        <v>0</v>
      </c>
      <c r="J7" s="766">
        <f>IFERROR(INDEX(Prop2018DistTar!AF:AF,MATCH($A7,Prop2018DistTar!$A:$A,),1),)</f>
        <v>0</v>
      </c>
      <c r="K7" s="766">
        <f>IFERROR(INDEX(Prop2018DistTar!AG:AG,MATCH($A7,Prop2018DistTar!$A:$A,),1),)</f>
        <v>0</v>
      </c>
      <c r="L7" s="766">
        <f>IFERROR(INDEX(Prop2018DistTar!AH:AH,MATCH($A7,Prop2018DistTar!$A:$A,),1),)</f>
        <v>0</v>
      </c>
      <c r="M7" s="766">
        <f>IFERROR(INDEX(Prop2018DistTar!AI:AI,MATCH($A7,Prop2018DistTar!$A:$A,),1),)</f>
        <v>0</v>
      </c>
      <c r="N7" s="766">
        <f>IFERROR(INDEX(Prop2018DistTar!AJ:AJ,MATCH($A7,Prop2018DistTar!$A:$A,),1),)</f>
        <v>0</v>
      </c>
      <c r="O7" s="766">
        <f>IFERROR(INDEX(Prop2018DistTar!AK:AK,MATCH($A7,Prop2018DistTar!$A:$A,),1),)</f>
        <v>0</v>
      </c>
      <c r="P7" s="766">
        <f>IFERROR(INDEX(Prop2018DistTar!AL:AL,MATCH($A7,Prop2018DistTar!$A:$A,),1),)</f>
        <v>0</v>
      </c>
      <c r="Q7" s="766">
        <f>IFERROR(INDEX(Prop2018DistTar!AM:AM,MATCH($A7,Prop2018DistTar!$A:$A,),1),)</f>
        <v>0</v>
      </c>
      <c r="R7" s="766">
        <f>IFERROR(INDEX(Prop2018DistTar!AN:AN,MATCH($A7,Prop2018DistTar!$A:$A,),1),)</f>
        <v>0</v>
      </c>
      <c r="S7" s="766">
        <f>IFERROR(INDEX(Prop2018DistTar!AO:AO,MATCH($A7,Prop2018DistTar!$A:$A,),1),)</f>
        <v>0</v>
      </c>
      <c r="T7" s="766">
        <f>IFERROR(INDEX(Prop2018DistTar!AP:AP,MATCH($A7,Prop2018DistTar!$A:$A,),1),)</f>
        <v>0</v>
      </c>
      <c r="U7" s="766">
        <f>IFERROR(INDEX(Prop2018DistTar!AQ:AQ,MATCH($A7,Prop2018DistTar!$A:$A,),1),)</f>
        <v>0</v>
      </c>
      <c r="V7" s="766">
        <f>IFERROR(INDEX(Prop2018DistTar!AR:AR,MATCH($A7,Prop2018DistTar!$A:$A,),1),)</f>
        <v>0</v>
      </c>
      <c r="W7" s="766">
        <f>IFERROR(INDEX(Prop2018DistTar!AS:AS,MATCH($A7,Prop2018DistTar!$A:$A,),1),)</f>
        <v>0</v>
      </c>
      <c r="X7" s="768"/>
      <c r="Z7" s="769">
        <v>518241.69866666663</v>
      </c>
      <c r="AA7" s="770">
        <v>2020419147.501261</v>
      </c>
      <c r="AB7" s="770">
        <v>0</v>
      </c>
      <c r="AC7" s="770">
        <v>0</v>
      </c>
      <c r="AD7" s="770">
        <v>0</v>
      </c>
      <c r="AE7" s="770">
        <v>0</v>
      </c>
      <c r="AF7" s="770">
        <v>0</v>
      </c>
      <c r="AG7" s="770">
        <v>0</v>
      </c>
      <c r="AH7" s="770">
        <v>0</v>
      </c>
      <c r="AI7" s="770">
        <v>0</v>
      </c>
      <c r="AJ7" s="770">
        <v>0</v>
      </c>
      <c r="AK7" s="770">
        <v>0</v>
      </c>
      <c r="AL7" s="770">
        <v>0</v>
      </c>
      <c r="AM7" s="770">
        <v>0</v>
      </c>
      <c r="AN7" s="770">
        <v>0</v>
      </c>
      <c r="AO7" s="770">
        <v>0</v>
      </c>
      <c r="AP7" s="770">
        <v>0</v>
      </c>
      <c r="AQ7" s="770">
        <v>0</v>
      </c>
      <c r="AR7" s="770">
        <v>0</v>
      </c>
      <c r="AS7" s="770">
        <v>0</v>
      </c>
      <c r="AT7" s="657">
        <v>0</v>
      </c>
      <c r="AU7" s="781"/>
      <c r="AV7" s="257">
        <f t="shared" ref="AV7" si="0">D7*Z7</f>
        <v>64780212.333333328</v>
      </c>
      <c r="AW7" s="224">
        <f t="shared" ref="AW7:BD7" si="1">E7/100*AA7</f>
        <v>108900592.05031796</v>
      </c>
      <c r="AX7" s="224">
        <f t="shared" si="1"/>
        <v>0</v>
      </c>
      <c r="AY7" s="224">
        <f t="shared" si="1"/>
        <v>0</v>
      </c>
      <c r="AZ7" s="224">
        <f t="shared" si="1"/>
        <v>0</v>
      </c>
      <c r="BA7" s="224">
        <f t="shared" si="1"/>
        <v>0</v>
      </c>
      <c r="BB7" s="224">
        <f t="shared" si="1"/>
        <v>0</v>
      </c>
      <c r="BC7" s="224">
        <f t="shared" si="1"/>
        <v>0</v>
      </c>
      <c r="BD7" s="224">
        <f t="shared" si="1"/>
        <v>0</v>
      </c>
      <c r="BE7" s="224">
        <f t="shared" ref="BE7:BH7" si="2">M7*AI7</f>
        <v>0</v>
      </c>
      <c r="BF7" s="224">
        <f t="shared" si="2"/>
        <v>0</v>
      </c>
      <c r="BG7" s="224">
        <f t="shared" si="2"/>
        <v>0</v>
      </c>
      <c r="BH7" s="224">
        <f t="shared" si="2"/>
        <v>0</v>
      </c>
      <c r="BI7" s="258">
        <f t="shared" ref="BI7:BP7" si="3">Q7/100*AM7</f>
        <v>0</v>
      </c>
      <c r="BJ7" s="258">
        <f t="shared" si="3"/>
        <v>0</v>
      </c>
      <c r="BK7" s="258">
        <f t="shared" si="3"/>
        <v>0</v>
      </c>
      <c r="BL7" s="258">
        <f t="shared" si="3"/>
        <v>0</v>
      </c>
      <c r="BM7" s="258">
        <f t="shared" si="3"/>
        <v>0</v>
      </c>
      <c r="BN7" s="258">
        <f t="shared" si="3"/>
        <v>0</v>
      </c>
      <c r="BO7" s="258">
        <f t="shared" si="3"/>
        <v>0</v>
      </c>
      <c r="BP7" s="258">
        <f t="shared" si="3"/>
        <v>0</v>
      </c>
      <c r="BQ7" s="259">
        <f t="shared" ref="BQ7" si="4">SUM(AV7:BP7)</f>
        <v>173680804.38365129</v>
      </c>
      <c r="BR7" s="679"/>
    </row>
    <row r="8" spans="1:70">
      <c r="A8" s="764" t="s">
        <v>607</v>
      </c>
      <c r="B8" s="765" t="s">
        <v>162</v>
      </c>
      <c r="C8" s="289"/>
      <c r="D8" s="767">
        <f>IFERROR(INDEX(Prop2018DistTar!Z:Z,MATCH($A8,Prop2018DistTar!$A:$A,),1),)</f>
        <v>0</v>
      </c>
      <c r="E8" s="766">
        <f>IFERROR(INDEX(Prop2018DistTar!AA:AA,MATCH($A8,Prop2018DistTar!$A:$A,),1),)</f>
        <v>0</v>
      </c>
      <c r="F8" s="766">
        <f>IFERROR(INDEX(Prop2018DistTar!AB:AB,MATCH($A8,Prop2018DistTar!$A:$A,),1),)</f>
        <v>7.65</v>
      </c>
      <c r="G8" s="766">
        <f>IFERROR(INDEX(Prop2018DistTar!AC:AC,MATCH($A8,Prop2018DistTar!$A:$A,),1),)</f>
        <v>0</v>
      </c>
      <c r="H8" s="766">
        <f>IFERROR(INDEX(Prop2018DistTar!AD:AD,MATCH($A8,Prop2018DistTar!$A:$A,),1),)</f>
        <v>0</v>
      </c>
      <c r="I8" s="766">
        <f>IFERROR(INDEX(Prop2018DistTar!AE:AE,MATCH($A8,Prop2018DistTar!$A:$A,),1),)</f>
        <v>1.53</v>
      </c>
      <c r="J8" s="766">
        <f>IFERROR(INDEX(Prop2018DistTar!AF:AF,MATCH($A8,Prop2018DistTar!$A:$A,),1),)</f>
        <v>0</v>
      </c>
      <c r="K8" s="766">
        <f>IFERROR(INDEX(Prop2018DistTar!AG:AG,MATCH($A8,Prop2018DistTar!$A:$A,),1),)</f>
        <v>0</v>
      </c>
      <c r="L8" s="766">
        <f>IFERROR(INDEX(Prop2018DistTar!AH:AH,MATCH($A8,Prop2018DistTar!$A:$A,),1),)</f>
        <v>0</v>
      </c>
      <c r="M8" s="766">
        <f>IFERROR(INDEX(Prop2018DistTar!AI:AI,MATCH($A8,Prop2018DistTar!$A:$A,),1),)</f>
        <v>0</v>
      </c>
      <c r="N8" s="766">
        <f>IFERROR(INDEX(Prop2018DistTar!AJ:AJ,MATCH($A8,Prop2018DistTar!$A:$A,),1),)</f>
        <v>0</v>
      </c>
      <c r="O8" s="766">
        <f>IFERROR(INDEX(Prop2018DistTar!AK:AK,MATCH($A8,Prop2018DistTar!$A:$A,),1),)</f>
        <v>0</v>
      </c>
      <c r="P8" s="766">
        <f>IFERROR(INDEX(Prop2018DistTar!AL:AL,MATCH($A8,Prop2018DistTar!$A:$A,),1),)</f>
        <v>0</v>
      </c>
      <c r="Q8" s="766">
        <f>IFERROR(INDEX(Prop2018DistTar!AM:AM,MATCH($A8,Prop2018DistTar!$A:$A,),1),)</f>
        <v>0</v>
      </c>
      <c r="R8" s="766">
        <f>IFERROR(INDEX(Prop2018DistTar!AN:AN,MATCH($A8,Prop2018DistTar!$A:$A,),1),)</f>
        <v>0</v>
      </c>
      <c r="S8" s="766">
        <f>IFERROR(INDEX(Prop2018DistTar!AO:AO,MATCH($A8,Prop2018DistTar!$A:$A,),1),)</f>
        <v>0</v>
      </c>
      <c r="T8" s="766">
        <f>IFERROR(INDEX(Prop2018DistTar!AP:AP,MATCH($A8,Prop2018DistTar!$A:$A,),1),)</f>
        <v>0</v>
      </c>
      <c r="U8" s="766">
        <f>IFERROR(INDEX(Prop2018DistTar!AQ:AQ,MATCH($A8,Prop2018DistTar!$A:$A,),1),)</f>
        <v>0</v>
      </c>
      <c r="V8" s="766">
        <f>IFERROR(INDEX(Prop2018DistTar!AR:AR,MATCH($A8,Prop2018DistTar!$A:$A,),1),)</f>
        <v>0</v>
      </c>
      <c r="W8" s="766">
        <f>IFERROR(INDEX(Prop2018DistTar!AS:AS,MATCH($A8,Prop2018DistTar!$A:$A,),1),)</f>
        <v>0</v>
      </c>
      <c r="X8" s="768"/>
      <c r="Z8" s="769">
        <v>17458.859333333334</v>
      </c>
      <c r="AA8" s="770">
        <v>0</v>
      </c>
      <c r="AB8" s="770">
        <v>8537325.9492801614</v>
      </c>
      <c r="AC8" s="770">
        <v>0</v>
      </c>
      <c r="AD8" s="770">
        <v>0</v>
      </c>
      <c r="AE8" s="770">
        <v>24278479.924076673</v>
      </c>
      <c r="AF8" s="770">
        <v>0</v>
      </c>
      <c r="AG8" s="770">
        <v>0</v>
      </c>
      <c r="AH8" s="770">
        <v>0</v>
      </c>
      <c r="AI8" s="770">
        <v>0</v>
      </c>
      <c r="AJ8" s="770">
        <v>0</v>
      </c>
      <c r="AK8" s="770">
        <v>0</v>
      </c>
      <c r="AL8" s="770">
        <v>0</v>
      </c>
      <c r="AM8" s="770">
        <v>0</v>
      </c>
      <c r="AN8" s="770">
        <v>0</v>
      </c>
      <c r="AO8" s="770">
        <v>0</v>
      </c>
      <c r="AP8" s="770">
        <v>0</v>
      </c>
      <c r="AQ8" s="770">
        <v>0</v>
      </c>
      <c r="AR8" s="770">
        <v>0</v>
      </c>
      <c r="AS8" s="770">
        <v>0</v>
      </c>
      <c r="AT8" s="657">
        <v>0</v>
      </c>
      <c r="AU8" s="781"/>
      <c r="AV8" s="257">
        <f t="shared" ref="AV8:AV65" si="5">D8*Z8</f>
        <v>0</v>
      </c>
      <c r="AW8" s="224">
        <f t="shared" ref="AW8:AW65" si="6">E8/100*AA8</f>
        <v>0</v>
      </c>
      <c r="AX8" s="224">
        <f t="shared" ref="AX8:AX65" si="7">F8/100*AB8</f>
        <v>653105.43511993228</v>
      </c>
      <c r="AY8" s="224">
        <f t="shared" ref="AY8:AY65" si="8">G8/100*AC8</f>
        <v>0</v>
      </c>
      <c r="AZ8" s="224">
        <f t="shared" ref="AZ8:AZ65" si="9">H8/100*AD8</f>
        <v>0</v>
      </c>
      <c r="BA8" s="224">
        <f t="shared" ref="BA8:BA65" si="10">I8/100*AE8</f>
        <v>371460.74283837312</v>
      </c>
      <c r="BB8" s="224">
        <f t="shared" ref="BB8:BB65" si="11">J8/100*AF8</f>
        <v>0</v>
      </c>
      <c r="BC8" s="224">
        <f t="shared" ref="BC8:BC65" si="12">K8/100*AG8</f>
        <v>0</v>
      </c>
      <c r="BD8" s="224">
        <f t="shared" ref="BD8:BD65" si="13">L8/100*AH8</f>
        <v>0</v>
      </c>
      <c r="BE8" s="224">
        <f t="shared" ref="BE8:BE65" si="14">M8*AI8</f>
        <v>0</v>
      </c>
      <c r="BF8" s="224">
        <f t="shared" ref="BF8:BF65" si="15">N8*AJ8</f>
        <v>0</v>
      </c>
      <c r="BG8" s="224">
        <f t="shared" ref="BG8:BG65" si="16">O8*AK8</f>
        <v>0</v>
      </c>
      <c r="BH8" s="224">
        <f t="shared" ref="BH8:BH65" si="17">P8*AL8</f>
        <v>0</v>
      </c>
      <c r="BI8" s="258">
        <f t="shared" ref="BI8:BI65" si="18">Q8/100*AM8</f>
        <v>0</v>
      </c>
      <c r="BJ8" s="258">
        <f t="shared" ref="BJ8:BJ65" si="19">R8/100*AN8</f>
        <v>0</v>
      </c>
      <c r="BK8" s="258">
        <f t="shared" ref="BK8:BK65" si="20">S8/100*AO8</f>
        <v>0</v>
      </c>
      <c r="BL8" s="258">
        <f t="shared" ref="BL8:BL65" si="21">T8/100*AP8</f>
        <v>0</v>
      </c>
      <c r="BM8" s="258">
        <f t="shared" ref="BM8:BM65" si="22">U8/100*AQ8</f>
        <v>0</v>
      </c>
      <c r="BN8" s="258">
        <f t="shared" ref="BN8:BN65" si="23">V8/100*AR8</f>
        <v>0</v>
      </c>
      <c r="BO8" s="258">
        <f t="shared" ref="BO8:BO65" si="24">W8/100*AS8</f>
        <v>0</v>
      </c>
      <c r="BP8" s="258">
        <f t="shared" ref="BP8:BP65" si="25">X8/100*AT8</f>
        <v>0</v>
      </c>
      <c r="BQ8" s="259">
        <f t="shared" ref="BQ8:BQ65" si="26">SUM(AV8:BP8)</f>
        <v>1024566.1779583055</v>
      </c>
      <c r="BR8" s="676"/>
    </row>
    <row r="9" spans="1:70">
      <c r="A9" s="764" t="s">
        <v>608</v>
      </c>
      <c r="B9" s="765" t="s">
        <v>163</v>
      </c>
      <c r="C9" s="289"/>
      <c r="D9" s="767">
        <f>IFERROR(INDEX(Prop2018DistTar!Z:Z,MATCH($A9,Prop2018DistTar!$A:$A,),1),)</f>
        <v>0</v>
      </c>
      <c r="E9" s="766">
        <f>IFERROR(INDEX(Prop2018DistTar!AA:AA,MATCH($A9,Prop2018DistTar!$A:$A,),1),)</f>
        <v>0</v>
      </c>
      <c r="F9" s="766">
        <f>IFERROR(INDEX(Prop2018DistTar!AB:AB,MATCH($A9,Prop2018DistTar!$A:$A,),1),)</f>
        <v>7.65</v>
      </c>
      <c r="G9" s="766">
        <f>IFERROR(INDEX(Prop2018DistTar!AC:AC,MATCH($A9,Prop2018DistTar!$A:$A,),1),)</f>
        <v>0</v>
      </c>
      <c r="H9" s="766">
        <f>IFERROR(INDEX(Prop2018DistTar!AD:AD,MATCH($A9,Prop2018DistTar!$A:$A,),1),)</f>
        <v>0</v>
      </c>
      <c r="I9" s="766">
        <f>IFERROR(INDEX(Prop2018DistTar!AE:AE,MATCH($A9,Prop2018DistTar!$A:$A,),1),)</f>
        <v>1.53</v>
      </c>
      <c r="J9" s="766">
        <f>IFERROR(INDEX(Prop2018DistTar!AF:AF,MATCH($A9,Prop2018DistTar!$A:$A,),1),)</f>
        <v>0</v>
      </c>
      <c r="K9" s="766">
        <f>IFERROR(INDEX(Prop2018DistTar!AG:AG,MATCH($A9,Prop2018DistTar!$A:$A,),1),)</f>
        <v>0</v>
      </c>
      <c r="L9" s="766">
        <f>IFERROR(INDEX(Prop2018DistTar!AH:AH,MATCH($A9,Prop2018DistTar!$A:$A,),1),)</f>
        <v>0</v>
      </c>
      <c r="M9" s="766">
        <f>IFERROR(INDEX(Prop2018DistTar!AI:AI,MATCH($A9,Prop2018DistTar!$A:$A,),1),)</f>
        <v>0</v>
      </c>
      <c r="N9" s="766">
        <f>IFERROR(INDEX(Prop2018DistTar!AJ:AJ,MATCH($A9,Prop2018DistTar!$A:$A,),1),)</f>
        <v>0</v>
      </c>
      <c r="O9" s="766">
        <f>IFERROR(INDEX(Prop2018DistTar!AK:AK,MATCH($A9,Prop2018DistTar!$A:$A,),1),)</f>
        <v>0</v>
      </c>
      <c r="P9" s="766">
        <f>IFERROR(INDEX(Prop2018DistTar!AL:AL,MATCH($A9,Prop2018DistTar!$A:$A,),1),)</f>
        <v>0</v>
      </c>
      <c r="Q9" s="766">
        <f>IFERROR(INDEX(Prop2018DistTar!AM:AM,MATCH($A9,Prop2018DistTar!$A:$A,),1),)</f>
        <v>0</v>
      </c>
      <c r="R9" s="766">
        <f>IFERROR(INDEX(Prop2018DistTar!AN:AN,MATCH($A9,Prop2018DistTar!$A:$A,),1),)</f>
        <v>0</v>
      </c>
      <c r="S9" s="766">
        <f>IFERROR(INDEX(Prop2018DistTar!AO:AO,MATCH($A9,Prop2018DistTar!$A:$A,),1),)</f>
        <v>0</v>
      </c>
      <c r="T9" s="766">
        <f>IFERROR(INDEX(Prop2018DistTar!AP:AP,MATCH($A9,Prop2018DistTar!$A:$A,),1),)</f>
        <v>0</v>
      </c>
      <c r="U9" s="766">
        <f>IFERROR(INDEX(Prop2018DistTar!AQ:AQ,MATCH($A9,Prop2018DistTar!$A:$A,),1),)</f>
        <v>0</v>
      </c>
      <c r="V9" s="766">
        <f>IFERROR(INDEX(Prop2018DistTar!AR:AR,MATCH($A9,Prop2018DistTar!$A:$A,),1),)</f>
        <v>0</v>
      </c>
      <c r="W9" s="766">
        <f>IFERROR(INDEX(Prop2018DistTar!AS:AS,MATCH($A9,Prop2018DistTar!$A:$A,),1),)</f>
        <v>0</v>
      </c>
      <c r="X9" s="768"/>
      <c r="Z9" s="769">
        <v>4737.6926666666668</v>
      </c>
      <c r="AA9" s="770">
        <v>0</v>
      </c>
      <c r="AB9" s="770">
        <v>2390070.1331056547</v>
      </c>
      <c r="AC9" s="770">
        <v>0</v>
      </c>
      <c r="AD9" s="770">
        <v>0</v>
      </c>
      <c r="AE9" s="770">
        <v>8636963.3115216345</v>
      </c>
      <c r="AF9" s="770">
        <v>0</v>
      </c>
      <c r="AG9" s="770">
        <v>0</v>
      </c>
      <c r="AH9" s="770">
        <v>0</v>
      </c>
      <c r="AI9" s="770">
        <v>0</v>
      </c>
      <c r="AJ9" s="770">
        <v>0</v>
      </c>
      <c r="AK9" s="770">
        <v>0</v>
      </c>
      <c r="AL9" s="770">
        <v>0</v>
      </c>
      <c r="AM9" s="770">
        <v>0</v>
      </c>
      <c r="AN9" s="770">
        <v>0</v>
      </c>
      <c r="AO9" s="770">
        <v>0</v>
      </c>
      <c r="AP9" s="770">
        <v>0</v>
      </c>
      <c r="AQ9" s="770">
        <v>0</v>
      </c>
      <c r="AR9" s="770">
        <v>0</v>
      </c>
      <c r="AS9" s="770">
        <v>0</v>
      </c>
      <c r="AT9" s="657">
        <v>0</v>
      </c>
      <c r="AU9" s="781"/>
      <c r="AV9" s="257">
        <f t="shared" si="5"/>
        <v>0</v>
      </c>
      <c r="AW9" s="224">
        <f t="shared" si="6"/>
        <v>0</v>
      </c>
      <c r="AX9" s="224">
        <f t="shared" si="7"/>
        <v>182840.36518258258</v>
      </c>
      <c r="AY9" s="224">
        <f t="shared" si="8"/>
        <v>0</v>
      </c>
      <c r="AZ9" s="224">
        <f t="shared" si="9"/>
        <v>0</v>
      </c>
      <c r="BA9" s="224">
        <f t="shared" si="10"/>
        <v>132145.53866628101</v>
      </c>
      <c r="BB9" s="224">
        <f t="shared" si="11"/>
        <v>0</v>
      </c>
      <c r="BC9" s="224">
        <f t="shared" si="12"/>
        <v>0</v>
      </c>
      <c r="BD9" s="224">
        <f t="shared" si="13"/>
        <v>0</v>
      </c>
      <c r="BE9" s="224">
        <f t="shared" si="14"/>
        <v>0</v>
      </c>
      <c r="BF9" s="224">
        <f t="shared" si="15"/>
        <v>0</v>
      </c>
      <c r="BG9" s="224">
        <f t="shared" si="16"/>
        <v>0</v>
      </c>
      <c r="BH9" s="224">
        <f t="shared" si="17"/>
        <v>0</v>
      </c>
      <c r="BI9" s="258">
        <f t="shared" si="18"/>
        <v>0</v>
      </c>
      <c r="BJ9" s="258">
        <f t="shared" si="19"/>
        <v>0</v>
      </c>
      <c r="BK9" s="258">
        <f t="shared" si="20"/>
        <v>0</v>
      </c>
      <c r="BL9" s="258">
        <f t="shared" si="21"/>
        <v>0</v>
      </c>
      <c r="BM9" s="258">
        <f t="shared" si="22"/>
        <v>0</v>
      </c>
      <c r="BN9" s="258">
        <f t="shared" si="23"/>
        <v>0</v>
      </c>
      <c r="BO9" s="258">
        <f t="shared" si="24"/>
        <v>0</v>
      </c>
      <c r="BP9" s="258">
        <f t="shared" si="25"/>
        <v>0</v>
      </c>
      <c r="BQ9" s="259">
        <f t="shared" si="26"/>
        <v>314985.90384886356</v>
      </c>
      <c r="BR9" s="676"/>
    </row>
    <row r="10" spans="1:70">
      <c r="A10" s="764" t="s">
        <v>609</v>
      </c>
      <c r="B10" s="765" t="s">
        <v>164</v>
      </c>
      <c r="C10" s="289"/>
      <c r="D10" s="767">
        <f>IFERROR(INDEX(Prop2018DistTar!Z:Z,MATCH($A10,Prop2018DistTar!$A:$A,),1),)</f>
        <v>125</v>
      </c>
      <c r="E10" s="766">
        <f>IFERROR(INDEX(Prop2018DistTar!AA:AA,MATCH($A10,Prop2018DistTar!$A:$A,),1),)</f>
        <v>0</v>
      </c>
      <c r="F10" s="766">
        <f>IFERROR(INDEX(Prop2018DistTar!AB:AB,MATCH($A10,Prop2018DistTar!$A:$A,),1),)</f>
        <v>0</v>
      </c>
      <c r="G10" s="766">
        <f>IFERROR(INDEX(Prop2018DistTar!AC:AC,MATCH($A10,Prop2018DistTar!$A:$A,),1),)</f>
        <v>0</v>
      </c>
      <c r="H10" s="766">
        <f>IFERROR(INDEX(Prop2018DistTar!AD:AD,MATCH($A10,Prop2018DistTar!$A:$A,),1),)</f>
        <v>0</v>
      </c>
      <c r="I10" s="766">
        <f>IFERROR(INDEX(Prop2018DistTar!AE:AE,MATCH($A10,Prop2018DistTar!$A:$A,),1),)</f>
        <v>0</v>
      </c>
      <c r="J10" s="766">
        <f>IFERROR(INDEX(Prop2018DistTar!AF:AF,MATCH($A10,Prop2018DistTar!$A:$A,),1),)</f>
        <v>0</v>
      </c>
      <c r="K10" s="766">
        <f>IFERROR(INDEX(Prop2018DistTar!AG:AG,MATCH($A10,Prop2018DistTar!$A:$A,),1),)</f>
        <v>0</v>
      </c>
      <c r="L10" s="766">
        <f>IFERROR(INDEX(Prop2018DistTar!AH:AH,MATCH($A10,Prop2018DistTar!$A:$A,),1),)</f>
        <v>0</v>
      </c>
      <c r="M10" s="766">
        <f>IFERROR(INDEX(Prop2018DistTar!AI:AI,MATCH($A10,Prop2018DistTar!$A:$A,),1),)</f>
        <v>0</v>
      </c>
      <c r="N10" s="766">
        <f>IFERROR(INDEX(Prop2018DistTar!AJ:AJ,MATCH($A10,Prop2018DistTar!$A:$A,),1),)</f>
        <v>0</v>
      </c>
      <c r="O10" s="766">
        <f>IFERROR(INDEX(Prop2018DistTar!AK:AK,MATCH($A10,Prop2018DistTar!$A:$A,),1),)</f>
        <v>0</v>
      </c>
      <c r="P10" s="766">
        <f>IFERROR(INDEX(Prop2018DistTar!AL:AL,MATCH($A10,Prop2018DistTar!$A:$A,),1),)</f>
        <v>0</v>
      </c>
      <c r="Q10" s="766">
        <f>IFERROR(INDEX(Prop2018DistTar!AM:AM,MATCH($A10,Prop2018DistTar!$A:$A,),1),)</f>
        <v>9.92</v>
      </c>
      <c r="R10" s="766">
        <f>IFERROR(INDEX(Prop2018DistTar!AN:AN,MATCH($A10,Prop2018DistTar!$A:$A,),1),)</f>
        <v>5.62</v>
      </c>
      <c r="S10" s="766">
        <f>IFERROR(INDEX(Prop2018DistTar!AO:AO,MATCH($A10,Prop2018DistTar!$A:$A,),1),)</f>
        <v>2.1800000000000002</v>
      </c>
      <c r="T10" s="766">
        <f>IFERROR(INDEX(Prop2018DistTar!AP:AP,MATCH($A10,Prop2018DistTar!$A:$A,),1),)</f>
        <v>0</v>
      </c>
      <c r="U10" s="766">
        <f>IFERROR(INDEX(Prop2018DistTar!AQ:AQ,MATCH($A10,Prop2018DistTar!$A:$A,),1),)</f>
        <v>9.92</v>
      </c>
      <c r="V10" s="766">
        <f>IFERROR(INDEX(Prop2018DistTar!AR:AR,MATCH($A10,Prop2018DistTar!$A:$A,),1),)</f>
        <v>5.62</v>
      </c>
      <c r="W10" s="766">
        <f>IFERROR(INDEX(Prop2018DistTar!AS:AS,MATCH($A10,Prop2018DistTar!$A:$A,),1),)</f>
        <v>2.1800000000000002</v>
      </c>
      <c r="X10" s="768"/>
      <c r="Z10" s="769">
        <v>2779.606666666667</v>
      </c>
      <c r="AA10" s="770">
        <v>0</v>
      </c>
      <c r="AB10" s="770">
        <v>0</v>
      </c>
      <c r="AC10" s="770">
        <v>0</v>
      </c>
      <c r="AD10" s="770">
        <v>0</v>
      </c>
      <c r="AE10" s="770">
        <v>0</v>
      </c>
      <c r="AF10" s="770">
        <v>0</v>
      </c>
      <c r="AG10" s="770">
        <v>0</v>
      </c>
      <c r="AH10" s="770">
        <v>0</v>
      </c>
      <c r="AI10" s="770">
        <v>0</v>
      </c>
      <c r="AJ10" s="770">
        <v>0</v>
      </c>
      <c r="AK10" s="770">
        <v>0</v>
      </c>
      <c r="AL10" s="770">
        <v>0</v>
      </c>
      <c r="AM10" s="770">
        <v>3193271.5784366024</v>
      </c>
      <c r="AN10" s="770">
        <v>6308467.4328894904</v>
      </c>
      <c r="AO10" s="770">
        <v>4989095.807089855</v>
      </c>
      <c r="AP10" s="770">
        <v>0</v>
      </c>
      <c r="AQ10" s="770">
        <v>3193271.5784366024</v>
      </c>
      <c r="AR10" s="770">
        <v>6308467.4328894904</v>
      </c>
      <c r="AS10" s="770">
        <v>4989095.807089855</v>
      </c>
      <c r="AT10" s="657">
        <v>0</v>
      </c>
      <c r="AU10" s="781"/>
      <c r="AV10" s="257">
        <f t="shared" si="5"/>
        <v>347450.83333333337</v>
      </c>
      <c r="AW10" s="224">
        <f t="shared" si="6"/>
        <v>0</v>
      </c>
      <c r="AX10" s="224">
        <f t="shared" si="7"/>
        <v>0</v>
      </c>
      <c r="AY10" s="224">
        <f t="shared" si="8"/>
        <v>0</v>
      </c>
      <c r="AZ10" s="224">
        <f t="shared" si="9"/>
        <v>0</v>
      </c>
      <c r="BA10" s="224">
        <f t="shared" si="10"/>
        <v>0</v>
      </c>
      <c r="BB10" s="224">
        <f t="shared" si="11"/>
        <v>0</v>
      </c>
      <c r="BC10" s="224">
        <f t="shared" si="12"/>
        <v>0</v>
      </c>
      <c r="BD10" s="224">
        <f t="shared" si="13"/>
        <v>0</v>
      </c>
      <c r="BE10" s="224">
        <f t="shared" si="14"/>
        <v>0</v>
      </c>
      <c r="BF10" s="224">
        <f t="shared" si="15"/>
        <v>0</v>
      </c>
      <c r="BG10" s="224">
        <f t="shared" si="16"/>
        <v>0</v>
      </c>
      <c r="BH10" s="224">
        <f t="shared" si="17"/>
        <v>0</v>
      </c>
      <c r="BI10" s="258">
        <f t="shared" si="18"/>
        <v>316772.54058091092</v>
      </c>
      <c r="BJ10" s="258">
        <f t="shared" si="19"/>
        <v>354535.86972838937</v>
      </c>
      <c r="BK10" s="258">
        <f t="shared" si="20"/>
        <v>108762.28859455884</v>
      </c>
      <c r="BL10" s="258">
        <f t="shared" si="21"/>
        <v>0</v>
      </c>
      <c r="BM10" s="258">
        <f t="shared" si="22"/>
        <v>316772.54058091092</v>
      </c>
      <c r="BN10" s="258">
        <f t="shared" si="23"/>
        <v>354535.86972838937</v>
      </c>
      <c r="BO10" s="258">
        <f t="shared" si="24"/>
        <v>108762.28859455884</v>
      </c>
      <c r="BP10" s="258">
        <f t="shared" si="25"/>
        <v>0</v>
      </c>
      <c r="BQ10" s="259">
        <f t="shared" si="26"/>
        <v>1907592.2311410517</v>
      </c>
      <c r="BR10" s="676"/>
    </row>
    <row r="11" spans="1:70">
      <c r="A11" s="764" t="s">
        <v>610</v>
      </c>
      <c r="B11" s="765" t="s">
        <v>165</v>
      </c>
      <c r="C11" s="289"/>
      <c r="D11" s="767">
        <f>IFERROR(INDEX(Prop2018DistTar!Z:Z,MATCH($A11,Prop2018DistTar!$A:$A,),1),)</f>
        <v>125</v>
      </c>
      <c r="E11" s="766">
        <f>IFERROR(INDEX(Prop2018DistTar!AA:AA,MATCH($A11,Prop2018DistTar!$A:$A,),1),)</f>
        <v>0</v>
      </c>
      <c r="F11" s="766">
        <f>IFERROR(INDEX(Prop2018DistTar!AB:AB,MATCH($A11,Prop2018DistTar!$A:$A,),1),)</f>
        <v>0</v>
      </c>
      <c r="G11" s="766">
        <f>IFERROR(INDEX(Prop2018DistTar!AC:AC,MATCH($A11,Prop2018DistTar!$A:$A,),1),)</f>
        <v>0</v>
      </c>
      <c r="H11" s="766">
        <f>IFERROR(INDEX(Prop2018DistTar!AD:AD,MATCH($A11,Prop2018DistTar!$A:$A,),1),)</f>
        <v>0</v>
      </c>
      <c r="I11" s="766">
        <f>IFERROR(INDEX(Prop2018DistTar!AE:AE,MATCH($A11,Prop2018DistTar!$A:$A,),1),)</f>
        <v>0</v>
      </c>
      <c r="J11" s="766">
        <f>IFERROR(INDEX(Prop2018DistTar!AF:AF,MATCH($A11,Prop2018DistTar!$A:$A,),1),)</f>
        <v>0</v>
      </c>
      <c r="K11" s="766">
        <f>IFERROR(INDEX(Prop2018DistTar!AG:AG,MATCH($A11,Prop2018DistTar!$A:$A,),1),)</f>
        <v>0</v>
      </c>
      <c r="L11" s="766">
        <f>IFERROR(INDEX(Prop2018DistTar!AH:AH,MATCH($A11,Prop2018DistTar!$A:$A,),1),)</f>
        <v>0</v>
      </c>
      <c r="M11" s="766">
        <f>IFERROR(INDEX(Prop2018DistTar!AI:AI,MATCH($A11,Prop2018DistTar!$A:$A,),1),)</f>
        <v>0</v>
      </c>
      <c r="N11" s="766">
        <f>IFERROR(INDEX(Prop2018DistTar!AJ:AJ,MATCH($A11,Prop2018DistTar!$A:$A,),1),)</f>
        <v>0</v>
      </c>
      <c r="O11" s="766">
        <f>IFERROR(INDEX(Prop2018DistTar!AK:AK,MATCH($A11,Prop2018DistTar!$A:$A,),1),)</f>
        <v>0</v>
      </c>
      <c r="P11" s="766">
        <f>IFERROR(INDEX(Prop2018DistTar!AL:AL,MATCH($A11,Prop2018DistTar!$A:$A,),1),)</f>
        <v>0</v>
      </c>
      <c r="Q11" s="766">
        <f>IFERROR(INDEX(Prop2018DistTar!AM:AM,MATCH($A11,Prop2018DistTar!$A:$A,),1),)</f>
        <v>5.35</v>
      </c>
      <c r="R11" s="766">
        <f>IFERROR(INDEX(Prop2018DistTar!AN:AN,MATCH($A11,Prop2018DistTar!$A:$A,),1),)</f>
        <v>2.93</v>
      </c>
      <c r="S11" s="766">
        <f>IFERROR(INDEX(Prop2018DistTar!AO:AO,MATCH($A11,Prop2018DistTar!$A:$A,),1),)</f>
        <v>0.99</v>
      </c>
      <c r="T11" s="766">
        <f>IFERROR(INDEX(Prop2018DistTar!AP:AP,MATCH($A11,Prop2018DistTar!$A:$A,),1),)</f>
        <v>0</v>
      </c>
      <c r="U11" s="766">
        <f>IFERROR(INDEX(Prop2018DistTar!AQ:AQ,MATCH($A11,Prop2018DistTar!$A:$A,),1),)</f>
        <v>5.35</v>
      </c>
      <c r="V11" s="766">
        <f>IFERROR(INDEX(Prop2018DistTar!AR:AR,MATCH($A11,Prop2018DistTar!$A:$A,),1),)</f>
        <v>2.93</v>
      </c>
      <c r="W11" s="766">
        <f>IFERROR(INDEX(Prop2018DistTar!AS:AS,MATCH($A11,Prop2018DistTar!$A:$A,),1),)</f>
        <v>0.99</v>
      </c>
      <c r="X11" s="768"/>
      <c r="Z11" s="769">
        <v>1.016</v>
      </c>
      <c r="AA11" s="770">
        <v>0</v>
      </c>
      <c r="AB11" s="770">
        <v>0</v>
      </c>
      <c r="AC11" s="770">
        <v>0</v>
      </c>
      <c r="AD11" s="770">
        <v>0</v>
      </c>
      <c r="AE11" s="770">
        <v>0</v>
      </c>
      <c r="AF11" s="770">
        <v>0</v>
      </c>
      <c r="AG11" s="770">
        <v>0</v>
      </c>
      <c r="AH11" s="770">
        <v>0</v>
      </c>
      <c r="AI11" s="770">
        <v>0</v>
      </c>
      <c r="AJ11" s="770">
        <v>0</v>
      </c>
      <c r="AK11" s="770">
        <v>0</v>
      </c>
      <c r="AL11" s="770">
        <v>0</v>
      </c>
      <c r="AM11" s="770">
        <v>1694.7944187829996</v>
      </c>
      <c r="AN11" s="770">
        <v>2947.3827136374098</v>
      </c>
      <c r="AO11" s="770">
        <v>2050.1780335300659</v>
      </c>
      <c r="AP11" s="770">
        <v>0</v>
      </c>
      <c r="AQ11" s="770">
        <v>1694.7944187829996</v>
      </c>
      <c r="AR11" s="770">
        <v>2947.3827136374098</v>
      </c>
      <c r="AS11" s="770">
        <v>2050.1780335300659</v>
      </c>
      <c r="AT11" s="657">
        <v>0</v>
      </c>
      <c r="AU11" s="781"/>
      <c r="AV11" s="257">
        <f t="shared" si="5"/>
        <v>127</v>
      </c>
      <c r="AW11" s="224">
        <f t="shared" si="6"/>
        <v>0</v>
      </c>
      <c r="AX11" s="224">
        <f t="shared" si="7"/>
        <v>0</v>
      </c>
      <c r="AY11" s="224">
        <f t="shared" si="8"/>
        <v>0</v>
      </c>
      <c r="AZ11" s="224">
        <f t="shared" si="9"/>
        <v>0</v>
      </c>
      <c r="BA11" s="224">
        <f t="shared" si="10"/>
        <v>0</v>
      </c>
      <c r="BB11" s="224">
        <f t="shared" si="11"/>
        <v>0</v>
      </c>
      <c r="BC11" s="224">
        <f t="shared" si="12"/>
        <v>0</v>
      </c>
      <c r="BD11" s="224">
        <f t="shared" si="13"/>
        <v>0</v>
      </c>
      <c r="BE11" s="224">
        <f t="shared" si="14"/>
        <v>0</v>
      </c>
      <c r="BF11" s="224">
        <f t="shared" si="15"/>
        <v>0</v>
      </c>
      <c r="BG11" s="224">
        <f t="shared" si="16"/>
        <v>0</v>
      </c>
      <c r="BH11" s="224">
        <f t="shared" si="17"/>
        <v>0</v>
      </c>
      <c r="BI11" s="258">
        <f t="shared" si="18"/>
        <v>90.671501404890478</v>
      </c>
      <c r="BJ11" s="258">
        <f t="shared" si="19"/>
        <v>86.358313509576121</v>
      </c>
      <c r="BK11" s="258">
        <f t="shared" si="20"/>
        <v>20.29676253194765</v>
      </c>
      <c r="BL11" s="258">
        <f t="shared" si="21"/>
        <v>0</v>
      </c>
      <c r="BM11" s="258">
        <f t="shared" si="22"/>
        <v>90.671501404890478</v>
      </c>
      <c r="BN11" s="258">
        <f t="shared" si="23"/>
        <v>86.358313509576121</v>
      </c>
      <c r="BO11" s="258">
        <f t="shared" si="24"/>
        <v>20.29676253194765</v>
      </c>
      <c r="BP11" s="258">
        <f t="shared" si="25"/>
        <v>0</v>
      </c>
      <c r="BQ11" s="259">
        <f t="shared" si="26"/>
        <v>521.65315489282852</v>
      </c>
      <c r="BR11" s="676"/>
    </row>
    <row r="12" spans="1:70">
      <c r="A12" s="764" t="s">
        <v>611</v>
      </c>
      <c r="B12" s="765" t="s">
        <v>166</v>
      </c>
      <c r="C12" s="289"/>
      <c r="D12" s="767">
        <f>IFERROR(INDEX(Prop2018DistTar!Z:Z,MATCH($A12,Prop2018DistTar!$A:$A,),1),)</f>
        <v>0</v>
      </c>
      <c r="E12" s="766">
        <f>IFERROR(INDEX(Prop2018DistTar!AA:AA,MATCH($A12,Prop2018DistTar!$A:$A,),1),)</f>
        <v>0</v>
      </c>
      <c r="F12" s="766">
        <f>IFERROR(INDEX(Prop2018DistTar!AB:AB,MATCH($A12,Prop2018DistTar!$A:$A,),1),)</f>
        <v>0</v>
      </c>
      <c r="G12" s="766">
        <f>IFERROR(INDEX(Prop2018DistTar!AC:AC,MATCH($A12,Prop2018DistTar!$A:$A,),1),)</f>
        <v>0</v>
      </c>
      <c r="H12" s="766">
        <f>IFERROR(INDEX(Prop2018DistTar!AD:AD,MATCH($A12,Prop2018DistTar!$A:$A,),1),)</f>
        <v>0</v>
      </c>
      <c r="I12" s="766">
        <f>IFERROR(INDEX(Prop2018DistTar!AE:AE,MATCH($A12,Prop2018DistTar!$A:$A,),1),)</f>
        <v>0</v>
      </c>
      <c r="J12" s="766">
        <f>IFERROR(INDEX(Prop2018DistTar!AF:AF,MATCH($A12,Prop2018DistTar!$A:$A,),1),)</f>
        <v>0</v>
      </c>
      <c r="K12" s="766">
        <f>IFERROR(INDEX(Prop2018DistTar!AG:AG,MATCH($A12,Prop2018DistTar!$A:$A,),1),)</f>
        <v>0</v>
      </c>
      <c r="L12" s="766">
        <f>IFERROR(INDEX(Prop2018DistTar!AH:AH,MATCH($A12,Prop2018DistTar!$A:$A,),1),)</f>
        <v>0</v>
      </c>
      <c r="M12" s="766">
        <f>IFERROR(INDEX(Prop2018DistTar!AI:AI,MATCH($A12,Prop2018DistTar!$A:$A,),1),)</f>
        <v>0</v>
      </c>
      <c r="N12" s="766">
        <f>IFERROR(INDEX(Prop2018DistTar!AJ:AJ,MATCH($A12,Prop2018DistTar!$A:$A,),1),)</f>
        <v>0</v>
      </c>
      <c r="O12" s="766">
        <f>IFERROR(INDEX(Prop2018DistTar!AK:AK,MATCH($A12,Prop2018DistTar!$A:$A,),1),)</f>
        <v>0</v>
      </c>
      <c r="P12" s="766">
        <f>IFERROR(INDEX(Prop2018DistTar!AL:AL,MATCH($A12,Prop2018DistTar!$A:$A,),1),)</f>
        <v>0</v>
      </c>
      <c r="Q12" s="766">
        <f>IFERROR(INDEX(Prop2018DistTar!AM:AM,MATCH($A12,Prop2018DistTar!$A:$A,),1),)</f>
        <v>7.65</v>
      </c>
      <c r="R12" s="766">
        <f>IFERROR(INDEX(Prop2018DistTar!AN:AN,MATCH($A12,Prop2018DistTar!$A:$A,),1),)</f>
        <v>0</v>
      </c>
      <c r="S12" s="766">
        <f>IFERROR(INDEX(Prop2018DistTar!AO:AO,MATCH($A12,Prop2018DistTar!$A:$A,),1),)</f>
        <v>0</v>
      </c>
      <c r="T12" s="766">
        <f>IFERROR(INDEX(Prop2018DistTar!AP:AP,MATCH($A12,Prop2018DistTar!$A:$A,),1),)</f>
        <v>0</v>
      </c>
      <c r="U12" s="766">
        <f>IFERROR(INDEX(Prop2018DistTar!AQ:AQ,MATCH($A12,Prop2018DistTar!$A:$A,),1),)</f>
        <v>1.53</v>
      </c>
      <c r="V12" s="766">
        <f>IFERROR(INDEX(Prop2018DistTar!AR:AR,MATCH($A12,Prop2018DistTar!$A:$A,),1),)</f>
        <v>0</v>
      </c>
      <c r="W12" s="766">
        <f>IFERROR(INDEX(Prop2018DistTar!AS:AS,MATCH($A12,Prop2018DistTar!$A:$A,),1),)</f>
        <v>0</v>
      </c>
      <c r="X12" s="768"/>
      <c r="Z12" s="769">
        <v>0</v>
      </c>
      <c r="AA12" s="770">
        <v>0</v>
      </c>
      <c r="AB12" s="770">
        <v>0</v>
      </c>
      <c r="AC12" s="770">
        <v>0</v>
      </c>
      <c r="AD12" s="770">
        <v>0</v>
      </c>
      <c r="AE12" s="770">
        <v>0</v>
      </c>
      <c r="AF12" s="770">
        <v>0</v>
      </c>
      <c r="AG12" s="770">
        <v>0</v>
      </c>
      <c r="AH12" s="770">
        <v>0</v>
      </c>
      <c r="AI12" s="770">
        <v>0</v>
      </c>
      <c r="AJ12" s="770">
        <v>0</v>
      </c>
      <c r="AK12" s="770">
        <v>0</v>
      </c>
      <c r="AL12" s="770">
        <v>0</v>
      </c>
      <c r="AM12" s="770">
        <v>12044.168215029615</v>
      </c>
      <c r="AN12" s="770">
        <v>0</v>
      </c>
      <c r="AO12" s="770">
        <v>0</v>
      </c>
      <c r="AP12" s="770">
        <v>0</v>
      </c>
      <c r="AQ12" s="770">
        <v>12044.168215029615</v>
      </c>
      <c r="AR12" s="770">
        <v>0</v>
      </c>
      <c r="AS12" s="770">
        <v>0</v>
      </c>
      <c r="AT12" s="657">
        <v>0</v>
      </c>
      <c r="AU12" s="781"/>
      <c r="AV12" s="257">
        <f t="shared" si="5"/>
        <v>0</v>
      </c>
      <c r="AW12" s="224">
        <f t="shared" si="6"/>
        <v>0</v>
      </c>
      <c r="AX12" s="224">
        <f t="shared" si="7"/>
        <v>0</v>
      </c>
      <c r="AY12" s="224">
        <f t="shared" si="8"/>
        <v>0</v>
      </c>
      <c r="AZ12" s="224">
        <f t="shared" si="9"/>
        <v>0</v>
      </c>
      <c r="BA12" s="224">
        <f t="shared" si="10"/>
        <v>0</v>
      </c>
      <c r="BB12" s="224">
        <f t="shared" si="11"/>
        <v>0</v>
      </c>
      <c r="BC12" s="224">
        <f t="shared" si="12"/>
        <v>0</v>
      </c>
      <c r="BD12" s="224">
        <f t="shared" si="13"/>
        <v>0</v>
      </c>
      <c r="BE12" s="224">
        <f t="shared" si="14"/>
        <v>0</v>
      </c>
      <c r="BF12" s="224">
        <f t="shared" si="15"/>
        <v>0</v>
      </c>
      <c r="BG12" s="224">
        <f t="shared" si="16"/>
        <v>0</v>
      </c>
      <c r="BH12" s="224">
        <f t="shared" si="17"/>
        <v>0</v>
      </c>
      <c r="BI12" s="258">
        <f t="shared" si="18"/>
        <v>921.37886844976549</v>
      </c>
      <c r="BJ12" s="258">
        <f t="shared" si="19"/>
        <v>0</v>
      </c>
      <c r="BK12" s="258">
        <f t="shared" si="20"/>
        <v>0</v>
      </c>
      <c r="BL12" s="258">
        <f t="shared" si="21"/>
        <v>0</v>
      </c>
      <c r="BM12" s="258">
        <f t="shared" si="22"/>
        <v>184.27577368995313</v>
      </c>
      <c r="BN12" s="258">
        <f t="shared" si="23"/>
        <v>0</v>
      </c>
      <c r="BO12" s="258">
        <f t="shared" si="24"/>
        <v>0</v>
      </c>
      <c r="BP12" s="258">
        <f t="shared" si="25"/>
        <v>0</v>
      </c>
      <c r="BQ12" s="259">
        <f t="shared" si="26"/>
        <v>1105.6546421397186</v>
      </c>
      <c r="BR12" s="676"/>
    </row>
    <row r="13" spans="1:70">
      <c r="A13" s="764" t="s">
        <v>612</v>
      </c>
      <c r="B13" s="765" t="s">
        <v>167</v>
      </c>
      <c r="C13" s="289"/>
      <c r="D13" s="767">
        <f>IFERROR(INDEX(Prop2018DistTar!Z:Z,MATCH($A13,Prop2018DistTar!$A:$A,),1),)</f>
        <v>125</v>
      </c>
      <c r="E13" s="766">
        <f>IFERROR(INDEX(Prop2018DistTar!AA:AA,MATCH($A13,Prop2018DistTar!$A:$A,),1),)</f>
        <v>4.92</v>
      </c>
      <c r="F13" s="766">
        <f>IFERROR(INDEX(Prop2018DistTar!AB:AB,MATCH($A13,Prop2018DistTar!$A:$A,),1),)</f>
        <v>0</v>
      </c>
      <c r="G13" s="766">
        <f>IFERROR(INDEX(Prop2018DistTar!AC:AC,MATCH($A13,Prop2018DistTar!$A:$A,),1),)</f>
        <v>0</v>
      </c>
      <c r="H13" s="766">
        <f>IFERROR(INDEX(Prop2018DistTar!AD:AD,MATCH($A13,Prop2018DistTar!$A:$A,),1),)</f>
        <v>0</v>
      </c>
      <c r="I13" s="766">
        <f>IFERROR(INDEX(Prop2018DistTar!AE:AE,MATCH($A13,Prop2018DistTar!$A:$A,),1),)</f>
        <v>0</v>
      </c>
      <c r="J13" s="766">
        <f>IFERROR(INDEX(Prop2018DistTar!AF:AF,MATCH($A13,Prop2018DistTar!$A:$A,),1),)</f>
        <v>0</v>
      </c>
      <c r="K13" s="766">
        <f>IFERROR(INDEX(Prop2018DistTar!AG:AG,MATCH($A13,Prop2018DistTar!$A:$A,),1),)</f>
        <v>0</v>
      </c>
      <c r="L13" s="766">
        <f>IFERROR(INDEX(Prop2018DistTar!AH:AH,MATCH($A13,Prop2018DistTar!$A:$A,),1),)</f>
        <v>0</v>
      </c>
      <c r="M13" s="766">
        <f>IFERROR(INDEX(Prop2018DistTar!AI:AI,MATCH($A13,Prop2018DistTar!$A:$A,),1),)</f>
        <v>0</v>
      </c>
      <c r="N13" s="766">
        <f>IFERROR(INDEX(Prop2018DistTar!AJ:AJ,MATCH($A13,Prop2018DistTar!$A:$A,),1),)</f>
        <v>0</v>
      </c>
      <c r="O13" s="766">
        <f>IFERROR(INDEX(Prop2018DistTar!AK:AK,MATCH($A13,Prop2018DistTar!$A:$A,),1),)</f>
        <v>0</v>
      </c>
      <c r="P13" s="766">
        <f>IFERROR(INDEX(Prop2018DistTar!AL:AL,MATCH($A13,Prop2018DistTar!$A:$A,),1),)</f>
        <v>0</v>
      </c>
      <c r="Q13" s="766">
        <f>IFERROR(INDEX(Prop2018DistTar!AM:AM,MATCH($A13,Prop2018DistTar!$A:$A,),1),)</f>
        <v>0</v>
      </c>
      <c r="R13" s="766">
        <f>IFERROR(INDEX(Prop2018DistTar!AN:AN,MATCH($A13,Prop2018DistTar!$A:$A,),1),)</f>
        <v>0</v>
      </c>
      <c r="S13" s="766">
        <f>IFERROR(INDEX(Prop2018DistTar!AO:AO,MATCH($A13,Prop2018DistTar!$A:$A,),1),)</f>
        <v>0</v>
      </c>
      <c r="T13" s="766">
        <f>IFERROR(INDEX(Prop2018DistTar!AP:AP,MATCH($A13,Prop2018DistTar!$A:$A,),1),)</f>
        <v>0</v>
      </c>
      <c r="U13" s="766">
        <f>IFERROR(INDEX(Prop2018DistTar!AQ:AQ,MATCH($A13,Prop2018DistTar!$A:$A,),1),)</f>
        <v>0</v>
      </c>
      <c r="V13" s="766">
        <f>IFERROR(INDEX(Prop2018DistTar!AR:AR,MATCH($A13,Prop2018DistTar!$A:$A,),1),)</f>
        <v>0</v>
      </c>
      <c r="W13" s="766">
        <f>IFERROR(INDEX(Prop2018DistTar!AS:AS,MATCH($A13,Prop2018DistTar!$A:$A,),1),)</f>
        <v>0</v>
      </c>
      <c r="X13" s="768"/>
      <c r="Z13" s="769">
        <v>0</v>
      </c>
      <c r="AA13" s="770">
        <v>0</v>
      </c>
      <c r="AB13" s="770">
        <v>0</v>
      </c>
      <c r="AC13" s="770">
        <v>0</v>
      </c>
      <c r="AD13" s="770">
        <v>0</v>
      </c>
      <c r="AE13" s="770">
        <v>0</v>
      </c>
      <c r="AF13" s="770">
        <v>0</v>
      </c>
      <c r="AG13" s="770">
        <v>0</v>
      </c>
      <c r="AH13" s="770">
        <v>0</v>
      </c>
      <c r="AI13" s="770">
        <v>0</v>
      </c>
      <c r="AJ13" s="770">
        <v>0</v>
      </c>
      <c r="AK13" s="770">
        <v>0</v>
      </c>
      <c r="AL13" s="770">
        <v>0</v>
      </c>
      <c r="AM13" s="770">
        <v>0</v>
      </c>
      <c r="AN13" s="770">
        <v>0</v>
      </c>
      <c r="AO13" s="770">
        <v>0</v>
      </c>
      <c r="AP13" s="770">
        <v>0</v>
      </c>
      <c r="AQ13" s="770">
        <v>0</v>
      </c>
      <c r="AR13" s="770">
        <v>0</v>
      </c>
      <c r="AS13" s="770">
        <v>0</v>
      </c>
      <c r="AT13" s="657">
        <v>0</v>
      </c>
      <c r="AU13" s="781"/>
      <c r="AV13" s="257">
        <f t="shared" si="5"/>
        <v>0</v>
      </c>
      <c r="AW13" s="224">
        <f t="shared" si="6"/>
        <v>0</v>
      </c>
      <c r="AX13" s="224">
        <f t="shared" si="7"/>
        <v>0</v>
      </c>
      <c r="AY13" s="224">
        <f t="shared" si="8"/>
        <v>0</v>
      </c>
      <c r="AZ13" s="224">
        <f t="shared" si="9"/>
        <v>0</v>
      </c>
      <c r="BA13" s="224">
        <f t="shared" si="10"/>
        <v>0</v>
      </c>
      <c r="BB13" s="224">
        <f t="shared" si="11"/>
        <v>0</v>
      </c>
      <c r="BC13" s="224">
        <f t="shared" si="12"/>
        <v>0</v>
      </c>
      <c r="BD13" s="224">
        <f t="shared" si="13"/>
        <v>0</v>
      </c>
      <c r="BE13" s="224">
        <f t="shared" si="14"/>
        <v>0</v>
      </c>
      <c r="BF13" s="224">
        <f t="shared" si="15"/>
        <v>0</v>
      </c>
      <c r="BG13" s="224">
        <f t="shared" si="16"/>
        <v>0</v>
      </c>
      <c r="BH13" s="224">
        <f t="shared" si="17"/>
        <v>0</v>
      </c>
      <c r="BI13" s="258">
        <f t="shared" si="18"/>
        <v>0</v>
      </c>
      <c r="BJ13" s="258">
        <f t="shared" si="19"/>
        <v>0</v>
      </c>
      <c r="BK13" s="258">
        <f t="shared" si="20"/>
        <v>0</v>
      </c>
      <c r="BL13" s="258">
        <f t="shared" si="21"/>
        <v>0</v>
      </c>
      <c r="BM13" s="258">
        <f t="shared" si="22"/>
        <v>0</v>
      </c>
      <c r="BN13" s="258">
        <f t="shared" si="23"/>
        <v>0</v>
      </c>
      <c r="BO13" s="258">
        <f t="shared" si="24"/>
        <v>0</v>
      </c>
      <c r="BP13" s="258">
        <f t="shared" si="25"/>
        <v>0</v>
      </c>
      <c r="BQ13" s="259">
        <f t="shared" si="26"/>
        <v>0</v>
      </c>
      <c r="BR13" s="676"/>
    </row>
    <row r="14" spans="1:70">
      <c r="A14" s="764" t="s">
        <v>613</v>
      </c>
      <c r="B14" s="765" t="s">
        <v>168</v>
      </c>
      <c r="C14" s="289"/>
      <c r="D14" s="767">
        <f>IFERROR(INDEX(Prop2018DistTar!Z:Z,MATCH($A14,Prop2018DistTar!$A:$A,),1),)</f>
        <v>125</v>
      </c>
      <c r="E14" s="766">
        <f>IFERROR(INDEX(Prop2018DistTar!AA:AA,MATCH($A14,Prop2018DistTar!$A:$A,),1),)</f>
        <v>0</v>
      </c>
      <c r="F14" s="766">
        <f>IFERROR(INDEX(Prop2018DistTar!AB:AB,MATCH($A14,Prop2018DistTar!$A:$A,),1),)</f>
        <v>9.48</v>
      </c>
      <c r="G14" s="766">
        <f>IFERROR(INDEX(Prop2018DistTar!AC:AC,MATCH($A14,Prop2018DistTar!$A:$A,),1),)</f>
        <v>0</v>
      </c>
      <c r="H14" s="766">
        <f>IFERROR(INDEX(Prop2018DistTar!AD:AD,MATCH($A14,Prop2018DistTar!$A:$A,),1),)</f>
        <v>0</v>
      </c>
      <c r="I14" s="766">
        <f>IFERROR(INDEX(Prop2018DistTar!AE:AE,MATCH($A14,Prop2018DistTar!$A:$A,),1),)</f>
        <v>1.78</v>
      </c>
      <c r="J14" s="766">
        <f>IFERROR(INDEX(Prop2018DistTar!AF:AF,MATCH($A14,Prop2018DistTar!$A:$A,),1),)</f>
        <v>0</v>
      </c>
      <c r="K14" s="766">
        <f>IFERROR(INDEX(Prop2018DistTar!AG:AG,MATCH($A14,Prop2018DistTar!$A:$A,),1),)</f>
        <v>0</v>
      </c>
      <c r="L14" s="766">
        <f>IFERROR(INDEX(Prop2018DistTar!AH:AH,MATCH($A14,Prop2018DistTar!$A:$A,),1),)</f>
        <v>0</v>
      </c>
      <c r="M14" s="766">
        <f>IFERROR(INDEX(Prop2018DistTar!AI:AI,MATCH($A14,Prop2018DistTar!$A:$A,),1),)</f>
        <v>0</v>
      </c>
      <c r="N14" s="766">
        <f>IFERROR(INDEX(Prop2018DistTar!AJ:AJ,MATCH($A14,Prop2018DistTar!$A:$A,),1),)</f>
        <v>0</v>
      </c>
      <c r="O14" s="766">
        <f>IFERROR(INDEX(Prop2018DistTar!AK:AK,MATCH($A14,Prop2018DistTar!$A:$A,),1),)</f>
        <v>0</v>
      </c>
      <c r="P14" s="766">
        <f>IFERROR(INDEX(Prop2018DistTar!AL:AL,MATCH($A14,Prop2018DistTar!$A:$A,),1),)</f>
        <v>0</v>
      </c>
      <c r="Q14" s="766">
        <f>IFERROR(INDEX(Prop2018DistTar!AM:AM,MATCH($A14,Prop2018DistTar!$A:$A,),1),)</f>
        <v>0</v>
      </c>
      <c r="R14" s="766">
        <f>IFERROR(INDEX(Prop2018DistTar!AN:AN,MATCH($A14,Prop2018DistTar!$A:$A,),1),)</f>
        <v>0</v>
      </c>
      <c r="S14" s="766">
        <f>IFERROR(INDEX(Prop2018DistTar!AO:AO,MATCH($A14,Prop2018DistTar!$A:$A,),1),)</f>
        <v>0</v>
      </c>
      <c r="T14" s="766">
        <f>IFERROR(INDEX(Prop2018DistTar!AP:AP,MATCH($A14,Prop2018DistTar!$A:$A,),1),)</f>
        <v>0</v>
      </c>
      <c r="U14" s="766">
        <f>IFERROR(INDEX(Prop2018DistTar!AQ:AQ,MATCH($A14,Prop2018DistTar!$A:$A,),1),)</f>
        <v>0</v>
      </c>
      <c r="V14" s="766">
        <f>IFERROR(INDEX(Prop2018DistTar!AR:AR,MATCH($A14,Prop2018DistTar!$A:$A,),1),)</f>
        <v>0</v>
      </c>
      <c r="W14" s="766">
        <f>IFERROR(INDEX(Prop2018DistTar!AS:AS,MATCH($A14,Prop2018DistTar!$A:$A,),1),)</f>
        <v>0</v>
      </c>
      <c r="X14" s="768"/>
      <c r="Z14" s="769">
        <v>46517.136666666673</v>
      </c>
      <c r="AA14" s="770">
        <v>0</v>
      </c>
      <c r="AB14" s="770">
        <v>108942665.5263553</v>
      </c>
      <c r="AC14" s="770">
        <v>0</v>
      </c>
      <c r="AD14" s="770">
        <v>0</v>
      </c>
      <c r="AE14" s="770">
        <v>91811104.21200189</v>
      </c>
      <c r="AF14" s="770">
        <v>0</v>
      </c>
      <c r="AG14" s="770">
        <v>0</v>
      </c>
      <c r="AH14" s="770">
        <v>0</v>
      </c>
      <c r="AI14" s="770">
        <v>0</v>
      </c>
      <c r="AJ14" s="770">
        <v>0</v>
      </c>
      <c r="AK14" s="770">
        <v>0</v>
      </c>
      <c r="AL14" s="770">
        <v>0</v>
      </c>
      <c r="AM14" s="770">
        <v>0</v>
      </c>
      <c r="AN14" s="770">
        <v>0</v>
      </c>
      <c r="AO14" s="770">
        <v>0</v>
      </c>
      <c r="AP14" s="770">
        <v>0</v>
      </c>
      <c r="AQ14" s="770">
        <v>0</v>
      </c>
      <c r="AR14" s="770">
        <v>0</v>
      </c>
      <c r="AS14" s="770">
        <v>0</v>
      </c>
      <c r="AT14" s="657">
        <v>0</v>
      </c>
      <c r="AU14" s="781"/>
      <c r="AV14" s="257">
        <f t="shared" si="5"/>
        <v>5814642.083333334</v>
      </c>
      <c r="AW14" s="224">
        <f t="shared" si="6"/>
        <v>0</v>
      </c>
      <c r="AX14" s="224">
        <f t="shared" si="7"/>
        <v>10327764.691898484</v>
      </c>
      <c r="AY14" s="224">
        <f t="shared" si="8"/>
        <v>0</v>
      </c>
      <c r="AZ14" s="224">
        <f t="shared" si="9"/>
        <v>0</v>
      </c>
      <c r="BA14" s="224">
        <f t="shared" si="10"/>
        <v>1634237.6549736336</v>
      </c>
      <c r="BB14" s="224">
        <f t="shared" si="11"/>
        <v>0</v>
      </c>
      <c r="BC14" s="224">
        <f t="shared" si="12"/>
        <v>0</v>
      </c>
      <c r="BD14" s="224">
        <f t="shared" si="13"/>
        <v>0</v>
      </c>
      <c r="BE14" s="224">
        <f t="shared" si="14"/>
        <v>0</v>
      </c>
      <c r="BF14" s="224">
        <f t="shared" si="15"/>
        <v>0</v>
      </c>
      <c r="BG14" s="224">
        <f t="shared" si="16"/>
        <v>0</v>
      </c>
      <c r="BH14" s="224">
        <f t="shared" si="17"/>
        <v>0</v>
      </c>
      <c r="BI14" s="258">
        <f t="shared" si="18"/>
        <v>0</v>
      </c>
      <c r="BJ14" s="258">
        <f t="shared" si="19"/>
        <v>0</v>
      </c>
      <c r="BK14" s="258">
        <f t="shared" si="20"/>
        <v>0</v>
      </c>
      <c r="BL14" s="258">
        <f t="shared" si="21"/>
        <v>0</v>
      </c>
      <c r="BM14" s="258">
        <f t="shared" si="22"/>
        <v>0</v>
      </c>
      <c r="BN14" s="258">
        <f t="shared" si="23"/>
        <v>0</v>
      </c>
      <c r="BO14" s="258">
        <f t="shared" si="24"/>
        <v>0</v>
      </c>
      <c r="BP14" s="258">
        <f t="shared" si="25"/>
        <v>0</v>
      </c>
      <c r="BQ14" s="259">
        <f t="shared" si="26"/>
        <v>17776644.430205449</v>
      </c>
      <c r="BR14" s="676"/>
    </row>
    <row r="15" spans="1:70">
      <c r="A15" s="764" t="s">
        <v>614</v>
      </c>
      <c r="B15" s="765" t="s">
        <v>169</v>
      </c>
      <c r="C15" s="289"/>
      <c r="D15" s="767">
        <f>IFERROR(INDEX(Prop2018DistTar!Z:Z,MATCH($A15,Prop2018DistTar!$A:$A,),1),)</f>
        <v>125</v>
      </c>
      <c r="E15" s="766">
        <f>IFERROR(INDEX(Prop2018DistTar!AA:AA,MATCH($A15,Prop2018DistTar!$A:$A,),1),)</f>
        <v>0</v>
      </c>
      <c r="F15" s="766">
        <f>IFERROR(INDEX(Prop2018DistTar!AB:AB,MATCH($A15,Prop2018DistTar!$A:$A,),1),)</f>
        <v>8.8699999999999992</v>
      </c>
      <c r="G15" s="766">
        <f>IFERROR(INDEX(Prop2018DistTar!AC:AC,MATCH($A15,Prop2018DistTar!$A:$A,),1),)</f>
        <v>0</v>
      </c>
      <c r="H15" s="766">
        <f>IFERROR(INDEX(Prop2018DistTar!AD:AD,MATCH($A15,Prop2018DistTar!$A:$A,),1),)</f>
        <v>0</v>
      </c>
      <c r="I15" s="766">
        <f>IFERROR(INDEX(Prop2018DistTar!AE:AE,MATCH($A15,Prop2018DistTar!$A:$A,),1),)</f>
        <v>1.53</v>
      </c>
      <c r="J15" s="766">
        <f>IFERROR(INDEX(Prop2018DistTar!AF:AF,MATCH($A15,Prop2018DistTar!$A:$A,),1),)</f>
        <v>0</v>
      </c>
      <c r="K15" s="766">
        <f>IFERROR(INDEX(Prop2018DistTar!AG:AG,MATCH($A15,Prop2018DistTar!$A:$A,),1),)</f>
        <v>0</v>
      </c>
      <c r="L15" s="766">
        <f>IFERROR(INDEX(Prop2018DistTar!AH:AH,MATCH($A15,Prop2018DistTar!$A:$A,),1),)</f>
        <v>0</v>
      </c>
      <c r="M15" s="766">
        <f>IFERROR(INDEX(Prop2018DistTar!AI:AI,MATCH($A15,Prop2018DistTar!$A:$A,),1),)</f>
        <v>0</v>
      </c>
      <c r="N15" s="766">
        <f>IFERROR(INDEX(Prop2018DistTar!AJ:AJ,MATCH($A15,Prop2018DistTar!$A:$A,),1),)</f>
        <v>0</v>
      </c>
      <c r="O15" s="766">
        <f>IFERROR(INDEX(Prop2018DistTar!AK:AK,MATCH($A15,Prop2018DistTar!$A:$A,),1),)</f>
        <v>0</v>
      </c>
      <c r="P15" s="766">
        <f>IFERROR(INDEX(Prop2018DistTar!AL:AL,MATCH($A15,Prop2018DistTar!$A:$A,),1),)</f>
        <v>0</v>
      </c>
      <c r="Q15" s="766">
        <f>IFERROR(INDEX(Prop2018DistTar!AM:AM,MATCH($A15,Prop2018DistTar!$A:$A,),1),)</f>
        <v>0</v>
      </c>
      <c r="R15" s="766">
        <f>IFERROR(INDEX(Prop2018DistTar!AN:AN,MATCH($A15,Prop2018DistTar!$A:$A,),1),)</f>
        <v>0</v>
      </c>
      <c r="S15" s="766">
        <f>IFERROR(INDEX(Prop2018DistTar!AO:AO,MATCH($A15,Prop2018DistTar!$A:$A,),1),)</f>
        <v>0</v>
      </c>
      <c r="T15" s="766">
        <f>IFERROR(INDEX(Prop2018DistTar!AP:AP,MATCH($A15,Prop2018DistTar!$A:$A,),1),)</f>
        <v>0</v>
      </c>
      <c r="U15" s="766">
        <f>IFERROR(INDEX(Prop2018DistTar!AQ:AQ,MATCH($A15,Prop2018DistTar!$A:$A,),1),)</f>
        <v>0</v>
      </c>
      <c r="V15" s="766">
        <f>IFERROR(INDEX(Prop2018DistTar!AR:AR,MATCH($A15,Prop2018DistTar!$A:$A,),1),)</f>
        <v>0</v>
      </c>
      <c r="W15" s="766">
        <f>IFERROR(INDEX(Prop2018DistTar!AS:AS,MATCH($A15,Prop2018DistTar!$A:$A,),1),)</f>
        <v>0</v>
      </c>
      <c r="X15" s="768"/>
      <c r="Z15" s="769">
        <v>597.57733333333329</v>
      </c>
      <c r="AA15" s="770">
        <v>0</v>
      </c>
      <c r="AB15" s="770">
        <v>1881879.4437823901</v>
      </c>
      <c r="AC15" s="770">
        <v>0</v>
      </c>
      <c r="AD15" s="770">
        <v>0</v>
      </c>
      <c r="AE15" s="770">
        <v>1633431.6029321533</v>
      </c>
      <c r="AF15" s="770">
        <v>0</v>
      </c>
      <c r="AG15" s="770">
        <v>0</v>
      </c>
      <c r="AH15" s="770">
        <v>0</v>
      </c>
      <c r="AI15" s="770">
        <v>0</v>
      </c>
      <c r="AJ15" s="770">
        <v>0</v>
      </c>
      <c r="AK15" s="770">
        <v>0</v>
      </c>
      <c r="AL15" s="770">
        <v>0</v>
      </c>
      <c r="AM15" s="770">
        <v>0</v>
      </c>
      <c r="AN15" s="770">
        <v>0</v>
      </c>
      <c r="AO15" s="770">
        <v>0</v>
      </c>
      <c r="AP15" s="770">
        <v>0</v>
      </c>
      <c r="AQ15" s="770">
        <v>0</v>
      </c>
      <c r="AR15" s="770">
        <v>0</v>
      </c>
      <c r="AS15" s="770">
        <v>0</v>
      </c>
      <c r="AT15" s="657">
        <v>0</v>
      </c>
      <c r="AU15" s="781"/>
      <c r="AV15" s="257">
        <f t="shared" si="5"/>
        <v>74697.166666666657</v>
      </c>
      <c r="AW15" s="224">
        <f t="shared" si="6"/>
        <v>0</v>
      </c>
      <c r="AX15" s="224">
        <f t="shared" si="7"/>
        <v>166922.70666349799</v>
      </c>
      <c r="AY15" s="224">
        <f t="shared" si="8"/>
        <v>0</v>
      </c>
      <c r="AZ15" s="224">
        <f t="shared" si="9"/>
        <v>0</v>
      </c>
      <c r="BA15" s="224">
        <f t="shared" si="10"/>
        <v>24991.503524861946</v>
      </c>
      <c r="BB15" s="224">
        <f t="shared" si="11"/>
        <v>0</v>
      </c>
      <c r="BC15" s="224">
        <f t="shared" si="12"/>
        <v>0</v>
      </c>
      <c r="BD15" s="224">
        <f t="shared" si="13"/>
        <v>0</v>
      </c>
      <c r="BE15" s="224">
        <f t="shared" si="14"/>
        <v>0</v>
      </c>
      <c r="BF15" s="224">
        <f t="shared" si="15"/>
        <v>0</v>
      </c>
      <c r="BG15" s="224">
        <f t="shared" si="16"/>
        <v>0</v>
      </c>
      <c r="BH15" s="224">
        <f t="shared" si="17"/>
        <v>0</v>
      </c>
      <c r="BI15" s="258">
        <f t="shared" si="18"/>
        <v>0</v>
      </c>
      <c r="BJ15" s="258">
        <f t="shared" si="19"/>
        <v>0</v>
      </c>
      <c r="BK15" s="258">
        <f t="shared" si="20"/>
        <v>0</v>
      </c>
      <c r="BL15" s="258">
        <f t="shared" si="21"/>
        <v>0</v>
      </c>
      <c r="BM15" s="258">
        <f t="shared" si="22"/>
        <v>0</v>
      </c>
      <c r="BN15" s="258">
        <f t="shared" si="23"/>
        <v>0</v>
      </c>
      <c r="BO15" s="258">
        <f t="shared" si="24"/>
        <v>0</v>
      </c>
      <c r="BP15" s="258">
        <f t="shared" si="25"/>
        <v>0</v>
      </c>
      <c r="BQ15" s="259">
        <f t="shared" si="26"/>
        <v>266611.37685502658</v>
      </c>
      <c r="BR15" s="676"/>
    </row>
    <row r="16" spans="1:70">
      <c r="A16" s="764" t="s">
        <v>615</v>
      </c>
      <c r="B16" s="765" t="s">
        <v>170</v>
      </c>
      <c r="C16" s="289"/>
      <c r="D16" s="767">
        <f>IFERROR(INDEX(Prop2018DistTar!Z:Z,MATCH($A16,Prop2018DistTar!$A:$A,),1),)</f>
        <v>125</v>
      </c>
      <c r="E16" s="766">
        <f>IFERROR(INDEX(Prop2018DistTar!AA:AA,MATCH($A16,Prop2018DistTar!$A:$A,),1),)</f>
        <v>0</v>
      </c>
      <c r="F16" s="766">
        <f>IFERROR(INDEX(Prop2018DistTar!AB:AB,MATCH($A16,Prop2018DistTar!$A:$A,),1),)</f>
        <v>9.48</v>
      </c>
      <c r="G16" s="766">
        <f>IFERROR(INDEX(Prop2018DistTar!AC:AC,MATCH($A16,Prop2018DistTar!$A:$A,),1),)</f>
        <v>0</v>
      </c>
      <c r="H16" s="766">
        <f>IFERROR(INDEX(Prop2018DistTar!AD:AD,MATCH($A16,Prop2018DistTar!$A:$A,),1),)</f>
        <v>0</v>
      </c>
      <c r="I16" s="766">
        <f>IFERROR(INDEX(Prop2018DistTar!AE:AE,MATCH($A16,Prop2018DistTar!$A:$A,),1),)</f>
        <v>1.78</v>
      </c>
      <c r="J16" s="766">
        <f>IFERROR(INDEX(Prop2018DistTar!AF:AF,MATCH($A16,Prop2018DistTar!$A:$A,),1),)</f>
        <v>0</v>
      </c>
      <c r="K16" s="766">
        <f>IFERROR(INDEX(Prop2018DistTar!AG:AG,MATCH($A16,Prop2018DistTar!$A:$A,),1),)</f>
        <v>0</v>
      </c>
      <c r="L16" s="766">
        <f>IFERROR(INDEX(Prop2018DistTar!AH:AH,MATCH($A16,Prop2018DistTar!$A:$A,),1),)</f>
        <v>0</v>
      </c>
      <c r="M16" s="766">
        <f>IFERROR(INDEX(Prop2018DistTar!AI:AI,MATCH($A16,Prop2018DistTar!$A:$A,),1),)</f>
        <v>0</v>
      </c>
      <c r="N16" s="766">
        <f>IFERROR(INDEX(Prop2018DistTar!AJ:AJ,MATCH($A16,Prop2018DistTar!$A:$A,),1),)</f>
        <v>0</v>
      </c>
      <c r="O16" s="766">
        <f>IFERROR(INDEX(Prop2018DistTar!AK:AK,MATCH($A16,Prop2018DistTar!$A:$A,),1),)</f>
        <v>0</v>
      </c>
      <c r="P16" s="766">
        <f>IFERROR(INDEX(Prop2018DistTar!AL:AL,MATCH($A16,Prop2018DistTar!$A:$A,),1),)</f>
        <v>0</v>
      </c>
      <c r="Q16" s="766">
        <f>IFERROR(INDEX(Prop2018DistTar!AM:AM,MATCH($A16,Prop2018DistTar!$A:$A,),1),)</f>
        <v>0</v>
      </c>
      <c r="R16" s="766">
        <f>IFERROR(INDEX(Prop2018DistTar!AN:AN,MATCH($A16,Prop2018DistTar!$A:$A,),1),)</f>
        <v>0</v>
      </c>
      <c r="S16" s="766">
        <f>IFERROR(INDEX(Prop2018DistTar!AO:AO,MATCH($A16,Prop2018DistTar!$A:$A,),1),)</f>
        <v>0</v>
      </c>
      <c r="T16" s="766">
        <f>IFERROR(INDEX(Prop2018DistTar!AP:AP,MATCH($A16,Prop2018DistTar!$A:$A,),1),)</f>
        <v>0</v>
      </c>
      <c r="U16" s="766">
        <f>IFERROR(INDEX(Prop2018DistTar!AQ:AQ,MATCH($A16,Prop2018DistTar!$A:$A,),1),)</f>
        <v>0</v>
      </c>
      <c r="V16" s="766">
        <f>IFERROR(INDEX(Prop2018DistTar!AR:AR,MATCH($A16,Prop2018DistTar!$A:$A,),1),)</f>
        <v>0</v>
      </c>
      <c r="W16" s="766">
        <f>IFERROR(INDEX(Prop2018DistTar!AS:AS,MATCH($A16,Prop2018DistTar!$A:$A,),1),)</f>
        <v>0</v>
      </c>
      <c r="X16" s="768"/>
      <c r="Z16" s="769">
        <v>110743.91533333334</v>
      </c>
      <c r="AA16" s="770">
        <v>0</v>
      </c>
      <c r="AB16" s="770">
        <v>265090478.7460216</v>
      </c>
      <c r="AC16" s="770">
        <v>0</v>
      </c>
      <c r="AD16" s="770">
        <v>0</v>
      </c>
      <c r="AE16" s="770">
        <v>268547798.58756679</v>
      </c>
      <c r="AF16" s="770">
        <v>0</v>
      </c>
      <c r="AG16" s="770">
        <v>0</v>
      </c>
      <c r="AH16" s="770">
        <v>0</v>
      </c>
      <c r="AI16" s="770">
        <v>0</v>
      </c>
      <c r="AJ16" s="770">
        <v>0</v>
      </c>
      <c r="AK16" s="770">
        <v>0</v>
      </c>
      <c r="AL16" s="770">
        <v>0</v>
      </c>
      <c r="AM16" s="770">
        <v>0</v>
      </c>
      <c r="AN16" s="770">
        <v>0</v>
      </c>
      <c r="AO16" s="770">
        <v>0</v>
      </c>
      <c r="AP16" s="770">
        <v>0</v>
      </c>
      <c r="AQ16" s="770">
        <v>0</v>
      </c>
      <c r="AR16" s="770">
        <v>0</v>
      </c>
      <c r="AS16" s="770">
        <v>0</v>
      </c>
      <c r="AT16" s="657">
        <v>0</v>
      </c>
      <c r="AU16" s="781"/>
      <c r="AV16" s="257">
        <f t="shared" si="5"/>
        <v>13842989.416666668</v>
      </c>
      <c r="AW16" s="224">
        <f t="shared" si="6"/>
        <v>0</v>
      </c>
      <c r="AX16" s="224">
        <f t="shared" si="7"/>
        <v>25130577.385122851</v>
      </c>
      <c r="AY16" s="224">
        <f t="shared" si="8"/>
        <v>0</v>
      </c>
      <c r="AZ16" s="224">
        <f t="shared" si="9"/>
        <v>0</v>
      </c>
      <c r="BA16" s="224">
        <f t="shared" si="10"/>
        <v>4780150.814858689</v>
      </c>
      <c r="BB16" s="224">
        <f t="shared" si="11"/>
        <v>0</v>
      </c>
      <c r="BC16" s="224">
        <f t="shared" si="12"/>
        <v>0</v>
      </c>
      <c r="BD16" s="224">
        <f t="shared" si="13"/>
        <v>0</v>
      </c>
      <c r="BE16" s="224">
        <f t="shared" si="14"/>
        <v>0</v>
      </c>
      <c r="BF16" s="224">
        <f t="shared" si="15"/>
        <v>0</v>
      </c>
      <c r="BG16" s="224">
        <f t="shared" si="16"/>
        <v>0</v>
      </c>
      <c r="BH16" s="224">
        <f t="shared" si="17"/>
        <v>0</v>
      </c>
      <c r="BI16" s="258">
        <f t="shared" si="18"/>
        <v>0</v>
      </c>
      <c r="BJ16" s="258">
        <f t="shared" si="19"/>
        <v>0</v>
      </c>
      <c r="BK16" s="258">
        <f t="shared" si="20"/>
        <v>0</v>
      </c>
      <c r="BL16" s="258">
        <f t="shared" si="21"/>
        <v>0</v>
      </c>
      <c r="BM16" s="258">
        <f t="shared" si="22"/>
        <v>0</v>
      </c>
      <c r="BN16" s="258">
        <f t="shared" si="23"/>
        <v>0</v>
      </c>
      <c r="BO16" s="258">
        <f t="shared" si="24"/>
        <v>0</v>
      </c>
      <c r="BP16" s="258">
        <f t="shared" si="25"/>
        <v>0</v>
      </c>
      <c r="BQ16" s="259">
        <f t="shared" si="26"/>
        <v>43753717.616648212</v>
      </c>
      <c r="BR16" s="676"/>
    </row>
    <row r="17" spans="1:70">
      <c r="A17" s="764" t="s">
        <v>616</v>
      </c>
      <c r="B17" s="765" t="s">
        <v>171</v>
      </c>
      <c r="C17" s="289"/>
      <c r="D17" s="767">
        <f>IFERROR(INDEX(Prop2018DistTar!Z:Z,MATCH($A17,Prop2018DistTar!$A:$A,),1),)</f>
        <v>0</v>
      </c>
      <c r="E17" s="766">
        <f>IFERROR(INDEX(Prop2018DistTar!AA:AA,MATCH($A17,Prop2018DistTar!$A:$A,),1),)</f>
        <v>0</v>
      </c>
      <c r="F17" s="766">
        <f>IFERROR(INDEX(Prop2018DistTar!AB:AB,MATCH($A17,Prop2018DistTar!$A:$A,),1),)</f>
        <v>0</v>
      </c>
      <c r="G17" s="766">
        <f>IFERROR(INDEX(Prop2018DistTar!AC:AC,MATCH($A17,Prop2018DistTar!$A:$A,),1),)</f>
        <v>0</v>
      </c>
      <c r="H17" s="766">
        <f>IFERROR(INDEX(Prop2018DistTar!AD:AD,MATCH($A17,Prop2018DistTar!$A:$A,),1),)</f>
        <v>0</v>
      </c>
      <c r="I17" s="766">
        <f>IFERROR(INDEX(Prop2018DistTar!AE:AE,MATCH($A17,Prop2018DistTar!$A:$A,),1),)</f>
        <v>1.53</v>
      </c>
      <c r="J17" s="766">
        <f>IFERROR(INDEX(Prop2018DistTar!AF:AF,MATCH($A17,Prop2018DistTar!$A:$A,),1),)</f>
        <v>0</v>
      </c>
      <c r="K17" s="766">
        <f>IFERROR(INDEX(Prop2018DistTar!AG:AG,MATCH($A17,Prop2018DistTar!$A:$A,),1),)</f>
        <v>0</v>
      </c>
      <c r="L17" s="766">
        <f>IFERROR(INDEX(Prop2018DistTar!AH:AH,MATCH($A17,Prop2018DistTar!$A:$A,),1),)</f>
        <v>0</v>
      </c>
      <c r="M17" s="766">
        <f>IFERROR(INDEX(Prop2018DistTar!AI:AI,MATCH($A17,Prop2018DistTar!$A:$A,),1),)</f>
        <v>0</v>
      </c>
      <c r="N17" s="766">
        <f>IFERROR(INDEX(Prop2018DistTar!AJ:AJ,MATCH($A17,Prop2018DistTar!$A:$A,),1),)</f>
        <v>0</v>
      </c>
      <c r="O17" s="766">
        <f>IFERROR(INDEX(Prop2018DistTar!AK:AK,MATCH($A17,Prop2018DistTar!$A:$A,),1),)</f>
        <v>0</v>
      </c>
      <c r="P17" s="766">
        <f>IFERROR(INDEX(Prop2018DistTar!AL:AL,MATCH($A17,Prop2018DistTar!$A:$A,),1),)</f>
        <v>0</v>
      </c>
      <c r="Q17" s="766">
        <f>IFERROR(INDEX(Prop2018DistTar!AM:AM,MATCH($A17,Prop2018DistTar!$A:$A,),1),)</f>
        <v>0</v>
      </c>
      <c r="R17" s="766">
        <f>IFERROR(INDEX(Prop2018DistTar!AN:AN,MATCH($A17,Prop2018DistTar!$A:$A,),1),)</f>
        <v>0</v>
      </c>
      <c r="S17" s="766">
        <f>IFERROR(INDEX(Prop2018DistTar!AO:AO,MATCH($A17,Prop2018DistTar!$A:$A,),1),)</f>
        <v>0</v>
      </c>
      <c r="T17" s="766">
        <f>IFERROR(INDEX(Prop2018DistTar!AP:AP,MATCH($A17,Prop2018DistTar!$A:$A,),1),)</f>
        <v>0</v>
      </c>
      <c r="U17" s="766">
        <f>IFERROR(INDEX(Prop2018DistTar!AQ:AQ,MATCH($A17,Prop2018DistTar!$A:$A,),1),)</f>
        <v>0</v>
      </c>
      <c r="V17" s="766">
        <f>IFERROR(INDEX(Prop2018DistTar!AR:AR,MATCH($A17,Prop2018DistTar!$A:$A,),1),)</f>
        <v>0</v>
      </c>
      <c r="W17" s="766">
        <f>IFERROR(INDEX(Prop2018DistTar!AS:AS,MATCH($A17,Prop2018DistTar!$A:$A,),1),)</f>
        <v>0</v>
      </c>
      <c r="X17" s="768"/>
      <c r="Z17" s="769">
        <v>44006.770000000004</v>
      </c>
      <c r="AA17" s="770">
        <v>0</v>
      </c>
      <c r="AB17" s="770">
        <v>0</v>
      </c>
      <c r="AC17" s="770">
        <v>0</v>
      </c>
      <c r="AD17" s="770">
        <v>0</v>
      </c>
      <c r="AE17" s="770">
        <v>154161131.7488364</v>
      </c>
      <c r="AF17" s="770">
        <v>0</v>
      </c>
      <c r="AG17" s="770">
        <v>0</v>
      </c>
      <c r="AH17" s="770">
        <v>0</v>
      </c>
      <c r="AI17" s="770">
        <v>0</v>
      </c>
      <c r="AJ17" s="770">
        <v>0</v>
      </c>
      <c r="AK17" s="770">
        <v>0</v>
      </c>
      <c r="AL17" s="770">
        <v>0</v>
      </c>
      <c r="AM17" s="770">
        <v>0</v>
      </c>
      <c r="AN17" s="770">
        <v>0</v>
      </c>
      <c r="AO17" s="770">
        <v>0</v>
      </c>
      <c r="AP17" s="770">
        <v>0</v>
      </c>
      <c r="AQ17" s="770">
        <v>0</v>
      </c>
      <c r="AR17" s="770">
        <v>0</v>
      </c>
      <c r="AS17" s="770">
        <v>0</v>
      </c>
      <c r="AT17" s="657">
        <v>0</v>
      </c>
      <c r="AU17" s="781"/>
      <c r="AV17" s="257">
        <f t="shared" si="5"/>
        <v>0</v>
      </c>
      <c r="AW17" s="224">
        <f t="shared" si="6"/>
        <v>0</v>
      </c>
      <c r="AX17" s="224">
        <f t="shared" si="7"/>
        <v>0</v>
      </c>
      <c r="AY17" s="224">
        <f t="shared" si="8"/>
        <v>0</v>
      </c>
      <c r="AZ17" s="224">
        <f t="shared" si="9"/>
        <v>0</v>
      </c>
      <c r="BA17" s="224">
        <f t="shared" si="10"/>
        <v>2358665.3157571969</v>
      </c>
      <c r="BB17" s="224">
        <f t="shared" si="11"/>
        <v>0</v>
      </c>
      <c r="BC17" s="224">
        <f t="shared" si="12"/>
        <v>0</v>
      </c>
      <c r="BD17" s="224">
        <f t="shared" si="13"/>
        <v>0</v>
      </c>
      <c r="BE17" s="224">
        <f t="shared" si="14"/>
        <v>0</v>
      </c>
      <c r="BF17" s="224">
        <f t="shared" si="15"/>
        <v>0</v>
      </c>
      <c r="BG17" s="224">
        <f t="shared" si="16"/>
        <v>0</v>
      </c>
      <c r="BH17" s="224">
        <f t="shared" si="17"/>
        <v>0</v>
      </c>
      <c r="BI17" s="258">
        <f t="shared" si="18"/>
        <v>0</v>
      </c>
      <c r="BJ17" s="258">
        <f t="shared" si="19"/>
        <v>0</v>
      </c>
      <c r="BK17" s="258">
        <f t="shared" si="20"/>
        <v>0</v>
      </c>
      <c r="BL17" s="258">
        <f t="shared" si="21"/>
        <v>0</v>
      </c>
      <c r="BM17" s="258">
        <f t="shared" si="22"/>
        <v>0</v>
      </c>
      <c r="BN17" s="258">
        <f t="shared" si="23"/>
        <v>0</v>
      </c>
      <c r="BO17" s="258">
        <f t="shared" si="24"/>
        <v>0</v>
      </c>
      <c r="BP17" s="258">
        <f t="shared" si="25"/>
        <v>0</v>
      </c>
      <c r="BQ17" s="259">
        <f t="shared" si="26"/>
        <v>2358665.3157571969</v>
      </c>
      <c r="BR17" s="676"/>
    </row>
    <row r="18" spans="1:70">
      <c r="A18" s="764" t="s">
        <v>617</v>
      </c>
      <c r="B18" s="765" t="s">
        <v>172</v>
      </c>
      <c r="C18" s="289"/>
      <c r="D18" s="767">
        <f>IFERROR(INDEX(Prop2018DistTar!Z:Z,MATCH($A18,Prop2018DistTar!$A:$A,),1),)</f>
        <v>0</v>
      </c>
      <c r="E18" s="766">
        <f>IFERROR(INDEX(Prop2018DistTar!AA:AA,MATCH($A18,Prop2018DistTar!$A:$A,),1),)</f>
        <v>0</v>
      </c>
      <c r="F18" s="766">
        <f>IFERROR(INDEX(Prop2018DistTar!AB:AB,MATCH($A18,Prop2018DistTar!$A:$A,),1),)</f>
        <v>0</v>
      </c>
      <c r="G18" s="766">
        <f>IFERROR(INDEX(Prop2018DistTar!AC:AC,MATCH($A18,Prop2018DistTar!$A:$A,),1),)</f>
        <v>0</v>
      </c>
      <c r="H18" s="766">
        <f>IFERROR(INDEX(Prop2018DistTar!AD:AD,MATCH($A18,Prop2018DistTar!$A:$A,),1),)</f>
        <v>0</v>
      </c>
      <c r="I18" s="766">
        <f>IFERROR(INDEX(Prop2018DistTar!AE:AE,MATCH($A18,Prop2018DistTar!$A:$A,),1),)</f>
        <v>1.53</v>
      </c>
      <c r="J18" s="766">
        <f>IFERROR(INDEX(Prop2018DistTar!AF:AF,MATCH($A18,Prop2018DistTar!$A:$A,),1),)</f>
        <v>0</v>
      </c>
      <c r="K18" s="766">
        <f>IFERROR(INDEX(Prop2018DistTar!AG:AG,MATCH($A18,Prop2018DistTar!$A:$A,),1),)</f>
        <v>0</v>
      </c>
      <c r="L18" s="766">
        <f>IFERROR(INDEX(Prop2018DistTar!AH:AH,MATCH($A18,Prop2018DistTar!$A:$A,),1),)</f>
        <v>0</v>
      </c>
      <c r="M18" s="766">
        <f>IFERROR(INDEX(Prop2018DistTar!AI:AI,MATCH($A18,Prop2018DistTar!$A:$A,),1),)</f>
        <v>0</v>
      </c>
      <c r="N18" s="766">
        <f>IFERROR(INDEX(Prop2018DistTar!AJ:AJ,MATCH($A18,Prop2018DistTar!$A:$A,),1),)</f>
        <v>0</v>
      </c>
      <c r="O18" s="766">
        <f>IFERROR(INDEX(Prop2018DistTar!AK:AK,MATCH($A18,Prop2018DistTar!$A:$A,),1),)</f>
        <v>0</v>
      </c>
      <c r="P18" s="766">
        <f>IFERROR(INDEX(Prop2018DistTar!AL:AL,MATCH($A18,Prop2018DistTar!$A:$A,),1),)</f>
        <v>0</v>
      </c>
      <c r="Q18" s="766">
        <f>IFERROR(INDEX(Prop2018DistTar!AM:AM,MATCH($A18,Prop2018DistTar!$A:$A,),1),)</f>
        <v>0</v>
      </c>
      <c r="R18" s="766">
        <f>IFERROR(INDEX(Prop2018DistTar!AN:AN,MATCH($A18,Prop2018DistTar!$A:$A,),1),)</f>
        <v>0</v>
      </c>
      <c r="S18" s="766">
        <f>IFERROR(INDEX(Prop2018DistTar!AO:AO,MATCH($A18,Prop2018DistTar!$A:$A,),1),)</f>
        <v>0</v>
      </c>
      <c r="T18" s="766">
        <f>IFERROR(INDEX(Prop2018DistTar!AP:AP,MATCH($A18,Prop2018DistTar!$A:$A,),1),)</f>
        <v>0</v>
      </c>
      <c r="U18" s="766">
        <f>IFERROR(INDEX(Prop2018DistTar!AQ:AQ,MATCH($A18,Prop2018DistTar!$A:$A,),1),)</f>
        <v>0</v>
      </c>
      <c r="V18" s="766">
        <f>IFERROR(INDEX(Prop2018DistTar!AR:AR,MATCH($A18,Prop2018DistTar!$A:$A,),1),)</f>
        <v>0</v>
      </c>
      <c r="W18" s="766">
        <f>IFERROR(INDEX(Prop2018DistTar!AS:AS,MATCH($A18,Prop2018DistTar!$A:$A,),1),)</f>
        <v>0</v>
      </c>
      <c r="X18" s="768"/>
      <c r="Z18" s="769">
        <v>71.543333333333337</v>
      </c>
      <c r="AA18" s="770">
        <v>0</v>
      </c>
      <c r="AB18" s="770">
        <v>0</v>
      </c>
      <c r="AC18" s="770">
        <v>0</v>
      </c>
      <c r="AD18" s="770">
        <v>0</v>
      </c>
      <c r="AE18" s="770">
        <v>236514.13002538538</v>
      </c>
      <c r="AF18" s="770">
        <v>0</v>
      </c>
      <c r="AG18" s="770">
        <v>0</v>
      </c>
      <c r="AH18" s="770">
        <v>0</v>
      </c>
      <c r="AI18" s="770">
        <v>0</v>
      </c>
      <c r="AJ18" s="770">
        <v>0</v>
      </c>
      <c r="AK18" s="770">
        <v>0</v>
      </c>
      <c r="AL18" s="770">
        <v>0</v>
      </c>
      <c r="AM18" s="770">
        <v>0</v>
      </c>
      <c r="AN18" s="770">
        <v>0</v>
      </c>
      <c r="AO18" s="770">
        <v>0</v>
      </c>
      <c r="AP18" s="770">
        <v>0</v>
      </c>
      <c r="AQ18" s="770">
        <v>0</v>
      </c>
      <c r="AR18" s="770">
        <v>0</v>
      </c>
      <c r="AS18" s="770">
        <v>0</v>
      </c>
      <c r="AT18" s="657">
        <v>0</v>
      </c>
      <c r="AU18" s="781"/>
      <c r="AV18" s="257">
        <f t="shared" si="5"/>
        <v>0</v>
      </c>
      <c r="AW18" s="224">
        <f t="shared" si="6"/>
        <v>0</v>
      </c>
      <c r="AX18" s="224">
        <f t="shared" si="7"/>
        <v>0</v>
      </c>
      <c r="AY18" s="224">
        <f t="shared" si="8"/>
        <v>0</v>
      </c>
      <c r="AZ18" s="224">
        <f t="shared" si="9"/>
        <v>0</v>
      </c>
      <c r="BA18" s="224">
        <f t="shared" si="10"/>
        <v>3618.6661893883966</v>
      </c>
      <c r="BB18" s="224">
        <f t="shared" si="11"/>
        <v>0</v>
      </c>
      <c r="BC18" s="224">
        <f t="shared" si="12"/>
        <v>0</v>
      </c>
      <c r="BD18" s="224">
        <f t="shared" si="13"/>
        <v>0</v>
      </c>
      <c r="BE18" s="224">
        <f t="shared" si="14"/>
        <v>0</v>
      </c>
      <c r="BF18" s="224">
        <f t="shared" si="15"/>
        <v>0</v>
      </c>
      <c r="BG18" s="224">
        <f t="shared" si="16"/>
        <v>0</v>
      </c>
      <c r="BH18" s="224">
        <f t="shared" si="17"/>
        <v>0</v>
      </c>
      <c r="BI18" s="258">
        <f t="shared" si="18"/>
        <v>0</v>
      </c>
      <c r="BJ18" s="258">
        <f t="shared" si="19"/>
        <v>0</v>
      </c>
      <c r="BK18" s="258">
        <f t="shared" si="20"/>
        <v>0</v>
      </c>
      <c r="BL18" s="258">
        <f t="shared" si="21"/>
        <v>0</v>
      </c>
      <c r="BM18" s="258">
        <f t="shared" si="22"/>
        <v>0</v>
      </c>
      <c r="BN18" s="258">
        <f t="shared" si="23"/>
        <v>0</v>
      </c>
      <c r="BO18" s="258">
        <f t="shared" si="24"/>
        <v>0</v>
      </c>
      <c r="BP18" s="258">
        <f t="shared" si="25"/>
        <v>0</v>
      </c>
      <c r="BQ18" s="259">
        <f t="shared" si="26"/>
        <v>3618.6661893883966</v>
      </c>
      <c r="BR18" s="676"/>
    </row>
    <row r="19" spans="1:70">
      <c r="A19" s="764" t="s">
        <v>618</v>
      </c>
      <c r="B19" s="765" t="s">
        <v>173</v>
      </c>
      <c r="C19" s="289"/>
      <c r="D19" s="767">
        <f>IFERROR(INDEX(Prop2018DistTar!Z:Z,MATCH($A19,Prop2018DistTar!$A:$A,),1),)</f>
        <v>0</v>
      </c>
      <c r="E19" s="766">
        <f>IFERROR(INDEX(Prop2018DistTar!AA:AA,MATCH($A19,Prop2018DistTar!$A:$A,),1),)</f>
        <v>0</v>
      </c>
      <c r="F19" s="766">
        <f>IFERROR(INDEX(Prop2018DistTar!AB:AB,MATCH($A19,Prop2018DistTar!$A:$A,),1),)</f>
        <v>0</v>
      </c>
      <c r="G19" s="766">
        <f>IFERROR(INDEX(Prop2018DistTar!AC:AC,MATCH($A19,Prop2018DistTar!$A:$A,),1),)</f>
        <v>0</v>
      </c>
      <c r="H19" s="766">
        <f>IFERROR(INDEX(Prop2018DistTar!AD:AD,MATCH($A19,Prop2018DistTar!$A:$A,),1),)</f>
        <v>0</v>
      </c>
      <c r="I19" s="766">
        <f>IFERROR(INDEX(Prop2018DistTar!AE:AE,MATCH($A19,Prop2018DistTar!$A:$A,),1),)</f>
        <v>1.53</v>
      </c>
      <c r="J19" s="766">
        <f>IFERROR(INDEX(Prop2018DistTar!AF:AF,MATCH($A19,Prop2018DistTar!$A:$A,),1),)</f>
        <v>0</v>
      </c>
      <c r="K19" s="766">
        <f>IFERROR(INDEX(Prop2018DistTar!AG:AG,MATCH($A19,Prop2018DistTar!$A:$A,),1),)</f>
        <v>0</v>
      </c>
      <c r="L19" s="766">
        <f>IFERROR(INDEX(Prop2018DistTar!AH:AH,MATCH($A19,Prop2018DistTar!$A:$A,),1),)</f>
        <v>0</v>
      </c>
      <c r="M19" s="766">
        <f>IFERROR(INDEX(Prop2018DistTar!AI:AI,MATCH($A19,Prop2018DistTar!$A:$A,),1),)</f>
        <v>0</v>
      </c>
      <c r="N19" s="766">
        <f>IFERROR(INDEX(Prop2018DistTar!AJ:AJ,MATCH($A19,Prop2018DistTar!$A:$A,),1),)</f>
        <v>0</v>
      </c>
      <c r="O19" s="766">
        <f>IFERROR(INDEX(Prop2018DistTar!AK:AK,MATCH($A19,Prop2018DistTar!$A:$A,),1),)</f>
        <v>0</v>
      </c>
      <c r="P19" s="766">
        <f>IFERROR(INDEX(Prop2018DistTar!AL:AL,MATCH($A19,Prop2018DistTar!$A:$A,),1),)</f>
        <v>0</v>
      </c>
      <c r="Q19" s="766">
        <f>IFERROR(INDEX(Prop2018DistTar!AM:AM,MATCH($A19,Prop2018DistTar!$A:$A,),1),)</f>
        <v>0</v>
      </c>
      <c r="R19" s="766">
        <f>IFERROR(INDEX(Prop2018DistTar!AN:AN,MATCH($A19,Prop2018DistTar!$A:$A,),1),)</f>
        <v>0</v>
      </c>
      <c r="S19" s="766">
        <f>IFERROR(INDEX(Prop2018DistTar!AO:AO,MATCH($A19,Prop2018DistTar!$A:$A,),1),)</f>
        <v>0</v>
      </c>
      <c r="T19" s="766">
        <f>IFERROR(INDEX(Prop2018DistTar!AP:AP,MATCH($A19,Prop2018DistTar!$A:$A,),1),)</f>
        <v>0</v>
      </c>
      <c r="U19" s="766">
        <f>IFERROR(INDEX(Prop2018DistTar!AQ:AQ,MATCH($A19,Prop2018DistTar!$A:$A,),1),)</f>
        <v>0</v>
      </c>
      <c r="V19" s="766">
        <f>IFERROR(INDEX(Prop2018DistTar!AR:AR,MATCH($A19,Prop2018DistTar!$A:$A,),1),)</f>
        <v>0</v>
      </c>
      <c r="W19" s="766">
        <f>IFERROR(INDEX(Prop2018DistTar!AS:AS,MATCH($A19,Prop2018DistTar!$A:$A,),1),)</f>
        <v>0</v>
      </c>
      <c r="X19" s="768"/>
      <c r="Z19" s="769">
        <v>162615.45666666667</v>
      </c>
      <c r="AA19" s="770">
        <v>0</v>
      </c>
      <c r="AB19" s="770">
        <v>0</v>
      </c>
      <c r="AC19" s="770">
        <v>0</v>
      </c>
      <c r="AD19" s="770">
        <v>0</v>
      </c>
      <c r="AE19" s="770">
        <v>309268174.56061345</v>
      </c>
      <c r="AF19" s="770">
        <v>0</v>
      </c>
      <c r="AG19" s="770">
        <v>0</v>
      </c>
      <c r="AH19" s="770">
        <v>0</v>
      </c>
      <c r="AI19" s="770">
        <v>0</v>
      </c>
      <c r="AJ19" s="770">
        <v>0</v>
      </c>
      <c r="AK19" s="770">
        <v>0</v>
      </c>
      <c r="AL19" s="770">
        <v>0</v>
      </c>
      <c r="AM19" s="770">
        <v>0</v>
      </c>
      <c r="AN19" s="770">
        <v>0</v>
      </c>
      <c r="AO19" s="770">
        <v>0</v>
      </c>
      <c r="AP19" s="770">
        <v>0</v>
      </c>
      <c r="AQ19" s="770">
        <v>0</v>
      </c>
      <c r="AR19" s="770">
        <v>0</v>
      </c>
      <c r="AS19" s="770">
        <v>0</v>
      </c>
      <c r="AT19" s="657">
        <v>0</v>
      </c>
      <c r="AU19" s="781"/>
      <c r="AV19" s="257">
        <f t="shared" si="5"/>
        <v>0</v>
      </c>
      <c r="AW19" s="224">
        <f t="shared" si="6"/>
        <v>0</v>
      </c>
      <c r="AX19" s="224">
        <f t="shared" si="7"/>
        <v>0</v>
      </c>
      <c r="AY19" s="224">
        <f t="shared" si="8"/>
        <v>0</v>
      </c>
      <c r="AZ19" s="224">
        <f t="shared" si="9"/>
        <v>0</v>
      </c>
      <c r="BA19" s="224">
        <f t="shared" si="10"/>
        <v>4731803.0707773864</v>
      </c>
      <c r="BB19" s="224">
        <f t="shared" si="11"/>
        <v>0</v>
      </c>
      <c r="BC19" s="224">
        <f t="shared" si="12"/>
        <v>0</v>
      </c>
      <c r="BD19" s="224">
        <f t="shared" si="13"/>
        <v>0</v>
      </c>
      <c r="BE19" s="224">
        <f t="shared" si="14"/>
        <v>0</v>
      </c>
      <c r="BF19" s="224">
        <f t="shared" si="15"/>
        <v>0</v>
      </c>
      <c r="BG19" s="224">
        <f t="shared" si="16"/>
        <v>0</v>
      </c>
      <c r="BH19" s="224">
        <f t="shared" si="17"/>
        <v>0</v>
      </c>
      <c r="BI19" s="258">
        <f t="shared" si="18"/>
        <v>0</v>
      </c>
      <c r="BJ19" s="258">
        <f t="shared" si="19"/>
        <v>0</v>
      </c>
      <c r="BK19" s="258">
        <f t="shared" si="20"/>
        <v>0</v>
      </c>
      <c r="BL19" s="258">
        <f t="shared" si="21"/>
        <v>0</v>
      </c>
      <c r="BM19" s="258">
        <f t="shared" si="22"/>
        <v>0</v>
      </c>
      <c r="BN19" s="258">
        <f t="shared" si="23"/>
        <v>0</v>
      </c>
      <c r="BO19" s="258">
        <f t="shared" si="24"/>
        <v>0</v>
      </c>
      <c r="BP19" s="258">
        <f t="shared" si="25"/>
        <v>0</v>
      </c>
      <c r="BQ19" s="259">
        <f t="shared" si="26"/>
        <v>4731803.0707773864</v>
      </c>
      <c r="BR19" s="676"/>
    </row>
    <row r="20" spans="1:70">
      <c r="A20" s="764" t="s">
        <v>619</v>
      </c>
      <c r="B20" s="765" t="s">
        <v>174</v>
      </c>
      <c r="C20" s="289"/>
      <c r="D20" s="767">
        <f>IFERROR(INDEX(Prop2018DistTar!Z:Z,MATCH($A20,Prop2018DistTar!$A:$A,),1),)</f>
        <v>0</v>
      </c>
      <c r="E20" s="766">
        <f>IFERROR(INDEX(Prop2018DistTar!AA:AA,MATCH($A20,Prop2018DistTar!$A:$A,),1),)</f>
        <v>0</v>
      </c>
      <c r="F20" s="766">
        <f>IFERROR(INDEX(Prop2018DistTar!AB:AB,MATCH($A20,Prop2018DistTar!$A:$A,),1),)</f>
        <v>0</v>
      </c>
      <c r="G20" s="766">
        <f>IFERROR(INDEX(Prop2018DistTar!AC:AC,MATCH($A20,Prop2018DistTar!$A:$A,),1),)</f>
        <v>0</v>
      </c>
      <c r="H20" s="766">
        <f>IFERROR(INDEX(Prop2018DistTar!AD:AD,MATCH($A20,Prop2018DistTar!$A:$A,),1),)</f>
        <v>0</v>
      </c>
      <c r="I20" s="766">
        <f>IFERROR(INDEX(Prop2018DistTar!AE:AE,MATCH($A20,Prop2018DistTar!$A:$A,),1),)</f>
        <v>1.53</v>
      </c>
      <c r="J20" s="766">
        <f>IFERROR(INDEX(Prop2018DistTar!AF:AF,MATCH($A20,Prop2018DistTar!$A:$A,),1),)</f>
        <v>0</v>
      </c>
      <c r="K20" s="766">
        <f>IFERROR(INDEX(Prop2018DistTar!AG:AG,MATCH($A20,Prop2018DistTar!$A:$A,),1),)</f>
        <v>0</v>
      </c>
      <c r="L20" s="766">
        <f>IFERROR(INDEX(Prop2018DistTar!AH:AH,MATCH($A20,Prop2018DistTar!$A:$A,),1),)</f>
        <v>0</v>
      </c>
      <c r="M20" s="766">
        <f>IFERROR(INDEX(Prop2018DistTar!AI:AI,MATCH($A20,Prop2018DistTar!$A:$A,),1),)</f>
        <v>0</v>
      </c>
      <c r="N20" s="766">
        <f>IFERROR(INDEX(Prop2018DistTar!AJ:AJ,MATCH($A20,Prop2018DistTar!$A:$A,),1),)</f>
        <v>0</v>
      </c>
      <c r="O20" s="766">
        <f>IFERROR(INDEX(Prop2018DistTar!AK:AK,MATCH($A20,Prop2018DistTar!$A:$A,),1),)</f>
        <v>0</v>
      </c>
      <c r="P20" s="766">
        <f>IFERROR(INDEX(Prop2018DistTar!AL:AL,MATCH($A20,Prop2018DistTar!$A:$A,),1),)</f>
        <v>0</v>
      </c>
      <c r="Q20" s="766">
        <f>IFERROR(INDEX(Prop2018DistTar!AM:AM,MATCH($A20,Prop2018DistTar!$A:$A,),1),)</f>
        <v>0</v>
      </c>
      <c r="R20" s="766">
        <f>IFERROR(INDEX(Prop2018DistTar!AN:AN,MATCH($A20,Prop2018DistTar!$A:$A,),1),)</f>
        <v>0</v>
      </c>
      <c r="S20" s="766">
        <f>IFERROR(INDEX(Prop2018DistTar!AO:AO,MATCH($A20,Prop2018DistTar!$A:$A,),1),)</f>
        <v>0</v>
      </c>
      <c r="T20" s="766">
        <f>IFERROR(INDEX(Prop2018DistTar!AP:AP,MATCH($A20,Prop2018DistTar!$A:$A,),1),)</f>
        <v>0</v>
      </c>
      <c r="U20" s="766">
        <f>IFERROR(INDEX(Prop2018DistTar!AQ:AQ,MATCH($A20,Prop2018DistTar!$A:$A,),1),)</f>
        <v>0</v>
      </c>
      <c r="V20" s="766">
        <f>IFERROR(INDEX(Prop2018DistTar!AR:AR,MATCH($A20,Prop2018DistTar!$A:$A,),1),)</f>
        <v>0</v>
      </c>
      <c r="W20" s="766">
        <f>IFERROR(INDEX(Prop2018DistTar!AS:AS,MATCH($A20,Prop2018DistTar!$A:$A,),1),)</f>
        <v>0</v>
      </c>
      <c r="X20" s="768"/>
      <c r="Z20" s="769">
        <v>5649.0446666666667</v>
      </c>
      <c r="AA20" s="770">
        <v>0</v>
      </c>
      <c r="AB20" s="770">
        <v>0</v>
      </c>
      <c r="AC20" s="770">
        <v>0</v>
      </c>
      <c r="AD20" s="770">
        <v>0</v>
      </c>
      <c r="AE20" s="770">
        <v>10262602.38403964</v>
      </c>
      <c r="AF20" s="770">
        <v>0</v>
      </c>
      <c r="AG20" s="770">
        <v>0</v>
      </c>
      <c r="AH20" s="770">
        <v>0</v>
      </c>
      <c r="AI20" s="770">
        <v>0</v>
      </c>
      <c r="AJ20" s="770">
        <v>0</v>
      </c>
      <c r="AK20" s="770">
        <v>0</v>
      </c>
      <c r="AL20" s="770">
        <v>0</v>
      </c>
      <c r="AM20" s="770">
        <v>0</v>
      </c>
      <c r="AN20" s="770">
        <v>0</v>
      </c>
      <c r="AO20" s="770">
        <v>0</v>
      </c>
      <c r="AP20" s="770">
        <v>0</v>
      </c>
      <c r="AQ20" s="770">
        <v>0</v>
      </c>
      <c r="AR20" s="770">
        <v>0</v>
      </c>
      <c r="AS20" s="770">
        <v>0</v>
      </c>
      <c r="AT20" s="657">
        <v>0</v>
      </c>
      <c r="AU20" s="781"/>
      <c r="AV20" s="257">
        <f t="shared" si="5"/>
        <v>0</v>
      </c>
      <c r="AW20" s="224">
        <f t="shared" si="6"/>
        <v>0</v>
      </c>
      <c r="AX20" s="224">
        <f t="shared" si="7"/>
        <v>0</v>
      </c>
      <c r="AY20" s="224">
        <f t="shared" si="8"/>
        <v>0</v>
      </c>
      <c r="AZ20" s="224">
        <f t="shared" si="9"/>
        <v>0</v>
      </c>
      <c r="BA20" s="224">
        <f t="shared" si="10"/>
        <v>157017.8164758065</v>
      </c>
      <c r="BB20" s="224">
        <f t="shared" si="11"/>
        <v>0</v>
      </c>
      <c r="BC20" s="224">
        <f t="shared" si="12"/>
        <v>0</v>
      </c>
      <c r="BD20" s="224">
        <f t="shared" si="13"/>
        <v>0</v>
      </c>
      <c r="BE20" s="224">
        <f t="shared" si="14"/>
        <v>0</v>
      </c>
      <c r="BF20" s="224">
        <f t="shared" si="15"/>
        <v>0</v>
      </c>
      <c r="BG20" s="224">
        <f t="shared" si="16"/>
        <v>0</v>
      </c>
      <c r="BH20" s="224">
        <f t="shared" si="17"/>
        <v>0</v>
      </c>
      <c r="BI20" s="258">
        <f t="shared" si="18"/>
        <v>0</v>
      </c>
      <c r="BJ20" s="258">
        <f t="shared" si="19"/>
        <v>0</v>
      </c>
      <c r="BK20" s="258">
        <f t="shared" si="20"/>
        <v>0</v>
      </c>
      <c r="BL20" s="258">
        <f t="shared" si="21"/>
        <v>0</v>
      </c>
      <c r="BM20" s="258">
        <f t="shared" si="22"/>
        <v>0</v>
      </c>
      <c r="BN20" s="258">
        <f t="shared" si="23"/>
        <v>0</v>
      </c>
      <c r="BO20" s="258">
        <f t="shared" si="24"/>
        <v>0</v>
      </c>
      <c r="BP20" s="258">
        <f t="shared" si="25"/>
        <v>0</v>
      </c>
      <c r="BQ20" s="259">
        <f t="shared" si="26"/>
        <v>157017.8164758065</v>
      </c>
      <c r="BR20" s="676"/>
    </row>
    <row r="21" spans="1:70">
      <c r="A21" s="764" t="s">
        <v>620</v>
      </c>
      <c r="B21" s="765" t="s">
        <v>621</v>
      </c>
      <c r="C21" s="289"/>
      <c r="D21" s="767">
        <f>IFERROR(INDEX(Prop2018DistTar!Z:Z,MATCH($A21,Prop2018DistTar!$A:$A,),1),)</f>
        <v>125</v>
      </c>
      <c r="E21" s="766">
        <f>IFERROR(INDEX(Prop2018DistTar!AA:AA,MATCH($A21,Prop2018DistTar!$A:$A,),1),)</f>
        <v>2.37</v>
      </c>
      <c r="F21" s="766">
        <f>IFERROR(INDEX(Prop2018DistTar!AB:AB,MATCH($A21,Prop2018DistTar!$A:$A,),1),)</f>
        <v>0</v>
      </c>
      <c r="G21" s="766">
        <f>IFERROR(INDEX(Prop2018DistTar!AC:AC,MATCH($A21,Prop2018DistTar!$A:$A,),1),)</f>
        <v>0</v>
      </c>
      <c r="H21" s="766">
        <f>IFERROR(INDEX(Prop2018DistTar!AD:AD,MATCH($A21,Prop2018DistTar!$A:$A,),1),)</f>
        <v>0</v>
      </c>
      <c r="I21" s="766">
        <f>IFERROR(INDEX(Prop2018DistTar!AE:AE,MATCH($A21,Prop2018DistTar!$A:$A,),1),)</f>
        <v>0</v>
      </c>
      <c r="J21" s="766">
        <f>IFERROR(INDEX(Prop2018DistTar!AF:AF,MATCH($A21,Prop2018DistTar!$A:$A,),1),)</f>
        <v>0</v>
      </c>
      <c r="K21" s="766">
        <f>IFERROR(INDEX(Prop2018DistTar!AG:AG,MATCH($A21,Prop2018DistTar!$A:$A,),1),)</f>
        <v>0</v>
      </c>
      <c r="L21" s="766">
        <f>IFERROR(INDEX(Prop2018DistTar!AH:AH,MATCH($A21,Prop2018DistTar!$A:$A,),1),)</f>
        <v>0</v>
      </c>
      <c r="M21" s="766">
        <f>IFERROR(INDEX(Prop2018DistTar!AI:AI,MATCH($A21,Prop2018DistTar!$A:$A,),1),)</f>
        <v>0</v>
      </c>
      <c r="N21" s="766">
        <f>IFERROR(INDEX(Prop2018DistTar!AJ:AJ,MATCH($A21,Prop2018DistTar!$A:$A,),1),)</f>
        <v>0</v>
      </c>
      <c r="O21" s="766">
        <f>IFERROR(INDEX(Prop2018DistTar!AK:AK,MATCH($A21,Prop2018DistTar!$A:$A,),1),)</f>
        <v>7.9</v>
      </c>
      <c r="P21" s="766">
        <f>IFERROR(INDEX(Prop2018DistTar!AL:AL,MATCH($A21,Prop2018DistTar!$A:$A,),1),)</f>
        <v>2.63</v>
      </c>
      <c r="Q21" s="766">
        <f>IFERROR(INDEX(Prop2018DistTar!AM:AM,MATCH($A21,Prop2018DistTar!$A:$A,),1),)</f>
        <v>0</v>
      </c>
      <c r="R21" s="766">
        <f>IFERROR(INDEX(Prop2018DistTar!AN:AN,MATCH($A21,Prop2018DistTar!$A:$A,),1),)</f>
        <v>0</v>
      </c>
      <c r="S21" s="766">
        <f>IFERROR(INDEX(Prop2018DistTar!AO:AO,MATCH($A21,Prop2018DistTar!$A:$A,),1),)</f>
        <v>0</v>
      </c>
      <c r="T21" s="766">
        <f>IFERROR(INDEX(Prop2018DistTar!AP:AP,MATCH($A21,Prop2018DistTar!$A:$A,),1),)</f>
        <v>0</v>
      </c>
      <c r="U21" s="766">
        <f>IFERROR(INDEX(Prop2018DistTar!AQ:AQ,MATCH($A21,Prop2018DistTar!$A:$A,),1),)</f>
        <v>0</v>
      </c>
      <c r="V21" s="766">
        <f>IFERROR(INDEX(Prop2018DistTar!AR:AR,MATCH($A21,Prop2018DistTar!$A:$A,),1),)</f>
        <v>0</v>
      </c>
      <c r="W21" s="766">
        <f>IFERROR(INDEX(Prop2018DistTar!AS:AS,MATCH($A21,Prop2018DistTar!$A:$A,),1),)</f>
        <v>0</v>
      </c>
      <c r="X21" s="768"/>
      <c r="Z21" s="769">
        <v>5</v>
      </c>
      <c r="AA21" s="770">
        <v>27500</v>
      </c>
      <c r="AB21" s="770">
        <v>0</v>
      </c>
      <c r="AC21" s="770">
        <v>0</v>
      </c>
      <c r="AD21" s="770">
        <v>0</v>
      </c>
      <c r="AE21" s="770">
        <v>0</v>
      </c>
      <c r="AF21" s="770">
        <v>0</v>
      </c>
      <c r="AG21" s="770">
        <v>0</v>
      </c>
      <c r="AH21" s="770">
        <v>0</v>
      </c>
      <c r="AI21" s="770">
        <v>0</v>
      </c>
      <c r="AJ21" s="770">
        <v>0</v>
      </c>
      <c r="AK21" s="770">
        <v>62.785388127853878</v>
      </c>
      <c r="AL21" s="770">
        <v>100.45662100456622</v>
      </c>
      <c r="AM21" s="770">
        <v>0</v>
      </c>
      <c r="AN21" s="770">
        <v>0</v>
      </c>
      <c r="AO21" s="770">
        <v>0</v>
      </c>
      <c r="AP21" s="770">
        <v>0</v>
      </c>
      <c r="AQ21" s="770">
        <v>0</v>
      </c>
      <c r="AR21" s="770">
        <v>0</v>
      </c>
      <c r="AS21" s="770">
        <v>0</v>
      </c>
      <c r="AT21" s="657">
        <v>0</v>
      </c>
      <c r="AU21" s="781"/>
      <c r="AV21" s="257">
        <f t="shared" si="5"/>
        <v>625</v>
      </c>
      <c r="AW21" s="224">
        <f t="shared" si="6"/>
        <v>651.75000000000011</v>
      </c>
      <c r="AX21" s="224">
        <f t="shared" si="7"/>
        <v>0</v>
      </c>
      <c r="AY21" s="224">
        <f t="shared" si="8"/>
        <v>0</v>
      </c>
      <c r="AZ21" s="224">
        <f t="shared" si="9"/>
        <v>0</v>
      </c>
      <c r="BA21" s="224">
        <f t="shared" si="10"/>
        <v>0</v>
      </c>
      <c r="BB21" s="224">
        <f t="shared" si="11"/>
        <v>0</v>
      </c>
      <c r="BC21" s="224">
        <f t="shared" si="12"/>
        <v>0</v>
      </c>
      <c r="BD21" s="224">
        <f t="shared" si="13"/>
        <v>0</v>
      </c>
      <c r="BE21" s="224">
        <f t="shared" si="14"/>
        <v>0</v>
      </c>
      <c r="BF21" s="224">
        <f t="shared" si="15"/>
        <v>0</v>
      </c>
      <c r="BG21" s="224">
        <f t="shared" si="16"/>
        <v>496.00456621004565</v>
      </c>
      <c r="BH21" s="224">
        <f t="shared" si="17"/>
        <v>264.20091324200916</v>
      </c>
      <c r="BI21" s="258">
        <f t="shared" si="18"/>
        <v>0</v>
      </c>
      <c r="BJ21" s="258">
        <f t="shared" si="19"/>
        <v>0</v>
      </c>
      <c r="BK21" s="258">
        <f t="shared" si="20"/>
        <v>0</v>
      </c>
      <c r="BL21" s="258">
        <f t="shared" si="21"/>
        <v>0</v>
      </c>
      <c r="BM21" s="258">
        <f t="shared" si="22"/>
        <v>0</v>
      </c>
      <c r="BN21" s="258">
        <f t="shared" si="23"/>
        <v>0</v>
      </c>
      <c r="BO21" s="258">
        <f t="shared" si="24"/>
        <v>0</v>
      </c>
      <c r="BP21" s="258">
        <f t="shared" si="25"/>
        <v>0</v>
      </c>
      <c r="BQ21" s="259">
        <f t="shared" si="26"/>
        <v>2036.9554794520548</v>
      </c>
      <c r="BR21" s="676"/>
    </row>
    <row r="22" spans="1:70">
      <c r="A22" s="764" t="s">
        <v>622</v>
      </c>
      <c r="B22" s="765" t="s">
        <v>175</v>
      </c>
      <c r="C22" s="289"/>
      <c r="D22" s="767">
        <f>IFERROR(INDEX(Prop2018DistTar!Z:Z,MATCH($A22,Prop2018DistTar!$A:$A,),1),)</f>
        <v>160</v>
      </c>
      <c r="E22" s="766">
        <f>IFERROR(INDEX(Prop2018DistTar!AA:AA,MATCH($A22,Prop2018DistTar!$A:$A,),1),)</f>
        <v>6.65</v>
      </c>
      <c r="F22" s="766">
        <f>IFERROR(INDEX(Prop2018DistTar!AB:AB,MATCH($A22,Prop2018DistTar!$A:$A,),1),)</f>
        <v>0</v>
      </c>
      <c r="G22" s="766">
        <f>IFERROR(INDEX(Prop2018DistTar!AC:AC,MATCH($A22,Prop2018DistTar!$A:$A,),1),)</f>
        <v>0</v>
      </c>
      <c r="H22" s="766">
        <f>IFERROR(INDEX(Prop2018DistTar!AD:AD,MATCH($A22,Prop2018DistTar!$A:$A,),1),)</f>
        <v>0</v>
      </c>
      <c r="I22" s="766">
        <f>IFERROR(INDEX(Prop2018DistTar!AE:AE,MATCH($A22,Prop2018DistTar!$A:$A,),1),)</f>
        <v>0</v>
      </c>
      <c r="J22" s="766">
        <f>IFERROR(INDEX(Prop2018DistTar!AF:AF,MATCH($A22,Prop2018DistTar!$A:$A,),1),)</f>
        <v>0</v>
      </c>
      <c r="K22" s="766">
        <f>IFERROR(INDEX(Prop2018DistTar!AG:AG,MATCH($A22,Prop2018DistTar!$A:$A,),1),)</f>
        <v>0</v>
      </c>
      <c r="L22" s="766">
        <f>IFERROR(INDEX(Prop2018DistTar!AH:AH,MATCH($A22,Prop2018DistTar!$A:$A,),1),)</f>
        <v>0</v>
      </c>
      <c r="M22" s="766">
        <f>IFERROR(INDEX(Prop2018DistTar!AI:AI,MATCH($A22,Prop2018DistTar!$A:$A,),1),)</f>
        <v>0</v>
      </c>
      <c r="N22" s="766">
        <f>IFERROR(INDEX(Prop2018DistTar!AJ:AJ,MATCH($A22,Prop2018DistTar!$A:$A,),1),)</f>
        <v>0</v>
      </c>
      <c r="O22" s="766">
        <f>IFERROR(INDEX(Prop2018DistTar!AK:AK,MATCH($A22,Prop2018DistTar!$A:$A,),1),)</f>
        <v>0</v>
      </c>
      <c r="P22" s="766">
        <f>IFERROR(INDEX(Prop2018DistTar!AL:AL,MATCH($A22,Prop2018DistTar!$A:$A,),1),)</f>
        <v>0</v>
      </c>
      <c r="Q22" s="766">
        <f>IFERROR(INDEX(Prop2018DistTar!AM:AM,MATCH($A22,Prop2018DistTar!$A:$A,),1),)</f>
        <v>0</v>
      </c>
      <c r="R22" s="766">
        <f>IFERROR(INDEX(Prop2018DistTar!AN:AN,MATCH($A22,Prop2018DistTar!$A:$A,),1),)</f>
        <v>0</v>
      </c>
      <c r="S22" s="766">
        <f>IFERROR(INDEX(Prop2018DistTar!AO:AO,MATCH($A22,Prop2018DistTar!$A:$A,),1),)</f>
        <v>0</v>
      </c>
      <c r="T22" s="766">
        <f>IFERROR(INDEX(Prop2018DistTar!AP:AP,MATCH($A22,Prop2018DistTar!$A:$A,),1),)</f>
        <v>0</v>
      </c>
      <c r="U22" s="766">
        <f>IFERROR(INDEX(Prop2018DistTar!AQ:AQ,MATCH($A22,Prop2018DistTar!$A:$A,),1),)</f>
        <v>0</v>
      </c>
      <c r="V22" s="766">
        <f>IFERROR(INDEX(Prop2018DistTar!AR:AR,MATCH($A22,Prop2018DistTar!$A:$A,),1),)</f>
        <v>0</v>
      </c>
      <c r="W22" s="766">
        <f>IFERROR(INDEX(Prop2018DistTar!AS:AS,MATCH($A22,Prop2018DistTar!$A:$A,),1),)</f>
        <v>0</v>
      </c>
      <c r="X22" s="768"/>
      <c r="Z22" s="769">
        <v>42483.707999999999</v>
      </c>
      <c r="AA22" s="770">
        <v>256404043.37810862</v>
      </c>
      <c r="AB22" s="770">
        <v>0</v>
      </c>
      <c r="AC22" s="770">
        <v>0</v>
      </c>
      <c r="AD22" s="770">
        <v>0</v>
      </c>
      <c r="AE22" s="770">
        <v>0</v>
      </c>
      <c r="AF22" s="770">
        <v>0</v>
      </c>
      <c r="AG22" s="770">
        <v>0</v>
      </c>
      <c r="AH22" s="770">
        <v>0</v>
      </c>
      <c r="AI22" s="770">
        <v>0</v>
      </c>
      <c r="AJ22" s="770">
        <v>0</v>
      </c>
      <c r="AK22" s="770">
        <v>0</v>
      </c>
      <c r="AL22" s="770">
        <v>0</v>
      </c>
      <c r="AM22" s="770">
        <v>0</v>
      </c>
      <c r="AN22" s="770">
        <v>0</v>
      </c>
      <c r="AO22" s="770">
        <v>0</v>
      </c>
      <c r="AP22" s="770">
        <v>0</v>
      </c>
      <c r="AQ22" s="770">
        <v>0</v>
      </c>
      <c r="AR22" s="770">
        <v>0</v>
      </c>
      <c r="AS22" s="770">
        <v>0</v>
      </c>
      <c r="AT22" s="657">
        <v>0</v>
      </c>
      <c r="AU22" s="781"/>
      <c r="AV22" s="257">
        <f t="shared" si="5"/>
        <v>6797393.2799999993</v>
      </c>
      <c r="AW22" s="224">
        <f t="shared" si="6"/>
        <v>17050868.884644225</v>
      </c>
      <c r="AX22" s="224">
        <f t="shared" si="7"/>
        <v>0</v>
      </c>
      <c r="AY22" s="224">
        <f t="shared" si="8"/>
        <v>0</v>
      </c>
      <c r="AZ22" s="224">
        <f t="shared" si="9"/>
        <v>0</v>
      </c>
      <c r="BA22" s="224">
        <f t="shared" si="10"/>
        <v>0</v>
      </c>
      <c r="BB22" s="224">
        <f t="shared" si="11"/>
        <v>0</v>
      </c>
      <c r="BC22" s="224">
        <f t="shared" si="12"/>
        <v>0</v>
      </c>
      <c r="BD22" s="224">
        <f t="shared" si="13"/>
        <v>0</v>
      </c>
      <c r="BE22" s="224">
        <f t="shared" si="14"/>
        <v>0</v>
      </c>
      <c r="BF22" s="224">
        <f t="shared" si="15"/>
        <v>0</v>
      </c>
      <c r="BG22" s="224">
        <f t="shared" si="16"/>
        <v>0</v>
      </c>
      <c r="BH22" s="224">
        <f t="shared" si="17"/>
        <v>0</v>
      </c>
      <c r="BI22" s="258">
        <f t="shared" si="18"/>
        <v>0</v>
      </c>
      <c r="BJ22" s="258">
        <f t="shared" si="19"/>
        <v>0</v>
      </c>
      <c r="BK22" s="258">
        <f t="shared" si="20"/>
        <v>0</v>
      </c>
      <c r="BL22" s="258">
        <f t="shared" si="21"/>
        <v>0</v>
      </c>
      <c r="BM22" s="258">
        <f t="shared" si="22"/>
        <v>0</v>
      </c>
      <c r="BN22" s="258">
        <f t="shared" si="23"/>
        <v>0</v>
      </c>
      <c r="BO22" s="258">
        <f t="shared" si="24"/>
        <v>0</v>
      </c>
      <c r="BP22" s="258">
        <f t="shared" si="25"/>
        <v>0</v>
      </c>
      <c r="BQ22" s="259">
        <f t="shared" si="26"/>
        <v>23848262.164644226</v>
      </c>
      <c r="BR22" s="676"/>
    </row>
    <row r="23" spans="1:70">
      <c r="A23" s="764" t="s">
        <v>623</v>
      </c>
      <c r="B23" s="765" t="s">
        <v>538</v>
      </c>
      <c r="C23" s="289"/>
      <c r="D23" s="767">
        <f>IFERROR(INDEX(Prop2018DistTar!Z:Z,MATCH($A23,Prop2018DistTar!$A:$A,),1),)</f>
        <v>160</v>
      </c>
      <c r="E23" s="766">
        <f>IFERROR(INDEX(Prop2018DistTar!AA:AA,MATCH($A23,Prop2018DistTar!$A:$A,),1),)</f>
        <v>0</v>
      </c>
      <c r="F23" s="766">
        <f>IFERROR(INDEX(Prop2018DistTar!AB:AB,MATCH($A23,Prop2018DistTar!$A:$A,),1),)</f>
        <v>0</v>
      </c>
      <c r="G23" s="766">
        <f>IFERROR(INDEX(Prop2018DistTar!AC:AC,MATCH($A23,Prop2018DistTar!$A:$A,),1),)</f>
        <v>0</v>
      </c>
      <c r="H23" s="766">
        <f>IFERROR(INDEX(Prop2018DistTar!AD:AD,MATCH($A23,Prop2018DistTar!$A:$A,),1),)</f>
        <v>0</v>
      </c>
      <c r="I23" s="766">
        <f>IFERROR(INDEX(Prop2018DistTar!AE:AE,MATCH($A23,Prop2018DistTar!$A:$A,),1),)</f>
        <v>0</v>
      </c>
      <c r="J23" s="766">
        <f>IFERROR(INDEX(Prop2018DistTar!AF:AF,MATCH($A23,Prop2018DistTar!$A:$A,),1),)</f>
        <v>0</v>
      </c>
      <c r="K23" s="766">
        <f>IFERROR(INDEX(Prop2018DistTar!AG:AG,MATCH($A23,Prop2018DistTar!$A:$A,),1),)</f>
        <v>0</v>
      </c>
      <c r="L23" s="766">
        <f>IFERROR(INDEX(Prop2018DistTar!AH:AH,MATCH($A23,Prop2018DistTar!$A:$A,),1),)</f>
        <v>0</v>
      </c>
      <c r="M23" s="766">
        <f>IFERROR(INDEX(Prop2018DistTar!AI:AI,MATCH($A23,Prop2018DistTar!$A:$A,),1),)</f>
        <v>0</v>
      </c>
      <c r="N23" s="766">
        <f>IFERROR(INDEX(Prop2018DistTar!AJ:AJ,MATCH($A23,Prop2018DistTar!$A:$A,),1),)</f>
        <v>0</v>
      </c>
      <c r="O23" s="766">
        <f>IFERROR(INDEX(Prop2018DistTar!AK:AK,MATCH($A23,Prop2018DistTar!$A:$A,),1),)</f>
        <v>0</v>
      </c>
      <c r="P23" s="766">
        <f>IFERROR(INDEX(Prop2018DistTar!AL:AL,MATCH($A23,Prop2018DistTar!$A:$A,),1),)</f>
        <v>0</v>
      </c>
      <c r="Q23" s="766">
        <f>IFERROR(INDEX(Prop2018DistTar!AM:AM,MATCH($A23,Prop2018DistTar!$A:$A,),1),)</f>
        <v>10.8</v>
      </c>
      <c r="R23" s="766">
        <f>IFERROR(INDEX(Prop2018DistTar!AN:AN,MATCH($A23,Prop2018DistTar!$A:$A,),1),)</f>
        <v>3.36</v>
      </c>
      <c r="S23" s="766">
        <f>IFERROR(INDEX(Prop2018DistTar!AO:AO,MATCH($A23,Prop2018DistTar!$A:$A,),1),)</f>
        <v>2.56</v>
      </c>
      <c r="T23" s="766">
        <f>IFERROR(INDEX(Prop2018DistTar!AP:AP,MATCH($A23,Prop2018DistTar!$A:$A,),1),)</f>
        <v>0</v>
      </c>
      <c r="U23" s="766">
        <f>IFERROR(INDEX(Prop2018DistTar!AQ:AQ,MATCH($A23,Prop2018DistTar!$A:$A,),1),)</f>
        <v>10.8</v>
      </c>
      <c r="V23" s="766">
        <f>IFERROR(INDEX(Prop2018DistTar!AR:AR,MATCH($A23,Prop2018DistTar!$A:$A,),1),)</f>
        <v>3.36</v>
      </c>
      <c r="W23" s="766">
        <f>IFERROR(INDEX(Prop2018DistTar!AS:AS,MATCH($A23,Prop2018DistTar!$A:$A,),1),)</f>
        <v>2.56</v>
      </c>
      <c r="X23" s="768"/>
      <c r="Z23" s="769">
        <v>172.08333333333331</v>
      </c>
      <c r="AA23" s="770">
        <v>0</v>
      </c>
      <c r="AB23" s="770">
        <v>0</v>
      </c>
      <c r="AC23" s="770">
        <v>0</v>
      </c>
      <c r="AD23" s="770">
        <v>0</v>
      </c>
      <c r="AE23" s="770">
        <v>0</v>
      </c>
      <c r="AF23" s="770">
        <v>0</v>
      </c>
      <c r="AG23" s="770">
        <v>0</v>
      </c>
      <c r="AH23" s="770">
        <v>0</v>
      </c>
      <c r="AI23" s="770">
        <v>0</v>
      </c>
      <c r="AJ23" s="770">
        <v>0</v>
      </c>
      <c r="AK23" s="770">
        <v>0</v>
      </c>
      <c r="AL23" s="770">
        <v>0</v>
      </c>
      <c r="AM23" s="770">
        <v>860329.46774740983</v>
      </c>
      <c r="AN23" s="770">
        <v>505545.96732157166</v>
      </c>
      <c r="AO23" s="770">
        <v>1479176.1880384339</v>
      </c>
      <c r="AP23" s="770">
        <v>0</v>
      </c>
      <c r="AQ23" s="770">
        <v>1414112.6541803591</v>
      </c>
      <c r="AR23" s="770">
        <v>712103.5920362731</v>
      </c>
      <c r="AS23" s="770">
        <v>2004319.1525168456</v>
      </c>
      <c r="AT23" s="657">
        <v>0</v>
      </c>
      <c r="AU23" s="781"/>
      <c r="AV23" s="257">
        <f t="shared" si="5"/>
        <v>27533.333333333328</v>
      </c>
      <c r="AW23" s="224">
        <f t="shared" si="6"/>
        <v>0</v>
      </c>
      <c r="AX23" s="224">
        <f t="shared" si="7"/>
        <v>0</v>
      </c>
      <c r="AY23" s="224">
        <f t="shared" si="8"/>
        <v>0</v>
      </c>
      <c r="AZ23" s="224">
        <f t="shared" si="9"/>
        <v>0</v>
      </c>
      <c r="BA23" s="224">
        <f t="shared" si="10"/>
        <v>0</v>
      </c>
      <c r="BB23" s="224">
        <f t="shared" si="11"/>
        <v>0</v>
      </c>
      <c r="BC23" s="224">
        <f t="shared" si="12"/>
        <v>0</v>
      </c>
      <c r="BD23" s="224">
        <f t="shared" si="13"/>
        <v>0</v>
      </c>
      <c r="BE23" s="224">
        <f t="shared" si="14"/>
        <v>0</v>
      </c>
      <c r="BF23" s="224">
        <f t="shared" si="15"/>
        <v>0</v>
      </c>
      <c r="BG23" s="224">
        <f t="shared" si="16"/>
        <v>0</v>
      </c>
      <c r="BH23" s="224">
        <f t="shared" si="17"/>
        <v>0</v>
      </c>
      <c r="BI23" s="258">
        <f t="shared" si="18"/>
        <v>92915.582516720271</v>
      </c>
      <c r="BJ23" s="258">
        <f t="shared" si="19"/>
        <v>16986.344502004806</v>
      </c>
      <c r="BK23" s="258">
        <f t="shared" si="20"/>
        <v>37866.910413783909</v>
      </c>
      <c r="BL23" s="258">
        <f t="shared" si="21"/>
        <v>0</v>
      </c>
      <c r="BM23" s="258">
        <f t="shared" si="22"/>
        <v>152724.16665147879</v>
      </c>
      <c r="BN23" s="258">
        <f t="shared" si="23"/>
        <v>23926.680692418773</v>
      </c>
      <c r="BO23" s="258">
        <f t="shared" si="24"/>
        <v>51310.570304431247</v>
      </c>
      <c r="BP23" s="258">
        <f t="shared" si="25"/>
        <v>0</v>
      </c>
      <c r="BQ23" s="259">
        <f t="shared" si="26"/>
        <v>403263.58841417113</v>
      </c>
      <c r="BR23" s="676"/>
    </row>
    <row r="24" spans="1:70">
      <c r="A24" s="764" t="s">
        <v>624</v>
      </c>
      <c r="B24" s="765" t="s">
        <v>176</v>
      </c>
      <c r="C24" s="289"/>
      <c r="D24" s="767">
        <f>IFERROR(INDEX(Prop2018DistTar!Z:Z,MATCH($A24,Prop2018DistTar!$A:$A,),1),)</f>
        <v>160</v>
      </c>
      <c r="E24" s="766">
        <f>IFERROR(INDEX(Prop2018DistTar!AA:AA,MATCH($A24,Prop2018DistTar!$A:$A,),1),)</f>
        <v>0</v>
      </c>
      <c r="F24" s="766">
        <f>IFERROR(INDEX(Prop2018DistTar!AB:AB,MATCH($A24,Prop2018DistTar!$A:$A,),1),)</f>
        <v>10.93</v>
      </c>
      <c r="G24" s="766">
        <f>IFERROR(INDEX(Prop2018DistTar!AC:AC,MATCH($A24,Prop2018DistTar!$A:$A,),1),)</f>
        <v>0</v>
      </c>
      <c r="H24" s="766">
        <f>IFERROR(INDEX(Prop2018DistTar!AD:AD,MATCH($A24,Prop2018DistTar!$A:$A,),1),)</f>
        <v>0</v>
      </c>
      <c r="I24" s="766">
        <f>IFERROR(INDEX(Prop2018DistTar!AE:AE,MATCH($A24,Prop2018DistTar!$A:$A,),1),)</f>
        <v>2.4500000000000002</v>
      </c>
      <c r="J24" s="766">
        <f>IFERROR(INDEX(Prop2018DistTar!AF:AF,MATCH($A24,Prop2018DistTar!$A:$A,),1),)</f>
        <v>0</v>
      </c>
      <c r="K24" s="766">
        <f>IFERROR(INDEX(Prop2018DistTar!AG:AG,MATCH($A24,Prop2018DistTar!$A:$A,),1),)</f>
        <v>0</v>
      </c>
      <c r="L24" s="766">
        <f>IFERROR(INDEX(Prop2018DistTar!AH:AH,MATCH($A24,Prop2018DistTar!$A:$A,),1),)</f>
        <v>0</v>
      </c>
      <c r="M24" s="766">
        <f>IFERROR(INDEX(Prop2018DistTar!AI:AI,MATCH($A24,Prop2018DistTar!$A:$A,),1),)</f>
        <v>0</v>
      </c>
      <c r="N24" s="766">
        <f>IFERROR(INDEX(Prop2018DistTar!AJ:AJ,MATCH($A24,Prop2018DistTar!$A:$A,),1),)</f>
        <v>0</v>
      </c>
      <c r="O24" s="766">
        <f>IFERROR(INDEX(Prop2018DistTar!AK:AK,MATCH($A24,Prop2018DistTar!$A:$A,),1),)</f>
        <v>0</v>
      </c>
      <c r="P24" s="766">
        <f>IFERROR(INDEX(Prop2018DistTar!AL:AL,MATCH($A24,Prop2018DistTar!$A:$A,),1),)</f>
        <v>0</v>
      </c>
      <c r="Q24" s="766">
        <f>IFERROR(INDEX(Prop2018DistTar!AM:AM,MATCH($A24,Prop2018DistTar!$A:$A,),1),)</f>
        <v>0</v>
      </c>
      <c r="R24" s="766">
        <f>IFERROR(INDEX(Prop2018DistTar!AN:AN,MATCH($A24,Prop2018DistTar!$A:$A,),1),)</f>
        <v>0</v>
      </c>
      <c r="S24" s="766">
        <f>IFERROR(INDEX(Prop2018DistTar!AO:AO,MATCH($A24,Prop2018DistTar!$A:$A,),1),)</f>
        <v>0</v>
      </c>
      <c r="T24" s="766">
        <f>IFERROR(INDEX(Prop2018DistTar!AP:AP,MATCH($A24,Prop2018DistTar!$A:$A,),1),)</f>
        <v>0</v>
      </c>
      <c r="U24" s="766">
        <f>IFERROR(INDEX(Prop2018DistTar!AQ:AQ,MATCH($A24,Prop2018DistTar!$A:$A,),1),)</f>
        <v>0</v>
      </c>
      <c r="V24" s="766">
        <f>IFERROR(INDEX(Prop2018DistTar!AR:AR,MATCH($A24,Prop2018DistTar!$A:$A,),1),)</f>
        <v>0</v>
      </c>
      <c r="W24" s="766">
        <f>IFERROR(INDEX(Prop2018DistTar!AS:AS,MATCH($A24,Prop2018DistTar!$A:$A,),1),)</f>
        <v>0</v>
      </c>
      <c r="X24" s="768"/>
      <c r="Z24" s="769">
        <v>24220.910833333335</v>
      </c>
      <c r="AA24" s="770">
        <v>0</v>
      </c>
      <c r="AB24" s="770">
        <v>188135379.29405373</v>
      </c>
      <c r="AC24" s="770">
        <v>0</v>
      </c>
      <c r="AD24" s="770">
        <v>0</v>
      </c>
      <c r="AE24" s="770">
        <v>165439065.68487865</v>
      </c>
      <c r="AF24" s="770">
        <v>0</v>
      </c>
      <c r="AG24" s="770">
        <v>0</v>
      </c>
      <c r="AH24" s="770">
        <v>0</v>
      </c>
      <c r="AI24" s="770">
        <v>0</v>
      </c>
      <c r="AJ24" s="770">
        <v>0</v>
      </c>
      <c r="AK24" s="770">
        <v>0</v>
      </c>
      <c r="AL24" s="770">
        <v>0</v>
      </c>
      <c r="AM24" s="770">
        <v>0</v>
      </c>
      <c r="AN24" s="770">
        <v>0</v>
      </c>
      <c r="AO24" s="770">
        <v>0</v>
      </c>
      <c r="AP24" s="770">
        <v>0</v>
      </c>
      <c r="AQ24" s="770">
        <v>0</v>
      </c>
      <c r="AR24" s="770">
        <v>0</v>
      </c>
      <c r="AS24" s="770">
        <v>0</v>
      </c>
      <c r="AT24" s="657">
        <v>0</v>
      </c>
      <c r="AU24" s="781"/>
      <c r="AV24" s="257">
        <f t="shared" si="5"/>
        <v>3875345.7333333334</v>
      </c>
      <c r="AW24" s="224">
        <f t="shared" si="6"/>
        <v>0</v>
      </c>
      <c r="AX24" s="224">
        <f t="shared" si="7"/>
        <v>20563196.956840072</v>
      </c>
      <c r="AY24" s="224">
        <f t="shared" si="8"/>
        <v>0</v>
      </c>
      <c r="AZ24" s="224">
        <f t="shared" si="9"/>
        <v>0</v>
      </c>
      <c r="BA24" s="224">
        <f t="shared" si="10"/>
        <v>4053257.1092795269</v>
      </c>
      <c r="BB24" s="224">
        <f t="shared" si="11"/>
        <v>0</v>
      </c>
      <c r="BC24" s="224">
        <f t="shared" si="12"/>
        <v>0</v>
      </c>
      <c r="BD24" s="224">
        <f t="shared" si="13"/>
        <v>0</v>
      </c>
      <c r="BE24" s="224">
        <f t="shared" si="14"/>
        <v>0</v>
      </c>
      <c r="BF24" s="224">
        <f t="shared" si="15"/>
        <v>0</v>
      </c>
      <c r="BG24" s="224">
        <f t="shared" si="16"/>
        <v>0</v>
      </c>
      <c r="BH24" s="224">
        <f t="shared" si="17"/>
        <v>0</v>
      </c>
      <c r="BI24" s="258">
        <f t="shared" si="18"/>
        <v>0</v>
      </c>
      <c r="BJ24" s="258">
        <f t="shared" si="19"/>
        <v>0</v>
      </c>
      <c r="BK24" s="258">
        <f t="shared" si="20"/>
        <v>0</v>
      </c>
      <c r="BL24" s="258">
        <f t="shared" si="21"/>
        <v>0</v>
      </c>
      <c r="BM24" s="258">
        <f t="shared" si="22"/>
        <v>0</v>
      </c>
      <c r="BN24" s="258">
        <f t="shared" si="23"/>
        <v>0</v>
      </c>
      <c r="BO24" s="258">
        <f t="shared" si="24"/>
        <v>0</v>
      </c>
      <c r="BP24" s="258">
        <f t="shared" si="25"/>
        <v>0</v>
      </c>
      <c r="BQ24" s="259">
        <f t="shared" si="26"/>
        <v>28491799.799452934</v>
      </c>
      <c r="BR24" s="676"/>
    </row>
    <row r="25" spans="1:70">
      <c r="A25" s="764" t="s">
        <v>625</v>
      </c>
      <c r="B25" s="765" t="s">
        <v>177</v>
      </c>
      <c r="C25" s="289"/>
      <c r="D25" s="767">
        <f>IFERROR(INDEX(Prop2018DistTar!Z:Z,MATCH($A25,Prop2018DistTar!$A:$A,),1),)</f>
        <v>160</v>
      </c>
      <c r="E25" s="766">
        <f>IFERROR(INDEX(Prop2018DistTar!AA:AA,MATCH($A25,Prop2018DistTar!$A:$A,),1),)</f>
        <v>0</v>
      </c>
      <c r="F25" s="766">
        <f>IFERROR(INDEX(Prop2018DistTar!AB:AB,MATCH($A25,Prop2018DistTar!$A:$A,),1),)</f>
        <v>10.93</v>
      </c>
      <c r="G25" s="766">
        <f>IFERROR(INDEX(Prop2018DistTar!AC:AC,MATCH($A25,Prop2018DistTar!$A:$A,),1),)</f>
        <v>0</v>
      </c>
      <c r="H25" s="766">
        <f>IFERROR(INDEX(Prop2018DistTar!AD:AD,MATCH($A25,Prop2018DistTar!$A:$A,),1),)</f>
        <v>0</v>
      </c>
      <c r="I25" s="766">
        <f>IFERROR(INDEX(Prop2018DistTar!AE:AE,MATCH($A25,Prop2018DistTar!$A:$A,),1),)</f>
        <v>2.4500000000000002</v>
      </c>
      <c r="J25" s="766">
        <f>IFERROR(INDEX(Prop2018DistTar!AF:AF,MATCH($A25,Prop2018DistTar!$A:$A,),1),)</f>
        <v>0</v>
      </c>
      <c r="K25" s="766">
        <f>IFERROR(INDEX(Prop2018DistTar!AG:AG,MATCH($A25,Prop2018DistTar!$A:$A,),1),)</f>
        <v>0</v>
      </c>
      <c r="L25" s="766">
        <f>IFERROR(INDEX(Prop2018DistTar!AH:AH,MATCH($A25,Prop2018DistTar!$A:$A,),1),)</f>
        <v>0</v>
      </c>
      <c r="M25" s="766">
        <f>IFERROR(INDEX(Prop2018DistTar!AI:AI,MATCH($A25,Prop2018DistTar!$A:$A,),1),)</f>
        <v>0</v>
      </c>
      <c r="N25" s="766">
        <f>IFERROR(INDEX(Prop2018DistTar!AJ:AJ,MATCH($A25,Prop2018DistTar!$A:$A,),1),)</f>
        <v>0</v>
      </c>
      <c r="O25" s="766">
        <f>IFERROR(INDEX(Prop2018DistTar!AK:AK,MATCH($A25,Prop2018DistTar!$A:$A,),1),)</f>
        <v>0</v>
      </c>
      <c r="P25" s="766">
        <f>IFERROR(INDEX(Prop2018DistTar!AL:AL,MATCH($A25,Prop2018DistTar!$A:$A,),1),)</f>
        <v>0</v>
      </c>
      <c r="Q25" s="766">
        <f>IFERROR(INDEX(Prop2018DistTar!AM:AM,MATCH($A25,Prop2018DistTar!$A:$A,),1),)</f>
        <v>0</v>
      </c>
      <c r="R25" s="766">
        <f>IFERROR(INDEX(Prop2018DistTar!AN:AN,MATCH($A25,Prop2018DistTar!$A:$A,),1),)</f>
        <v>0</v>
      </c>
      <c r="S25" s="766">
        <f>IFERROR(INDEX(Prop2018DistTar!AO:AO,MATCH($A25,Prop2018DistTar!$A:$A,),1),)</f>
        <v>0</v>
      </c>
      <c r="T25" s="766">
        <f>IFERROR(INDEX(Prop2018DistTar!AP:AP,MATCH($A25,Prop2018DistTar!$A:$A,),1),)</f>
        <v>0</v>
      </c>
      <c r="U25" s="766">
        <f>IFERROR(INDEX(Prop2018DistTar!AQ:AQ,MATCH($A25,Prop2018DistTar!$A:$A,),1),)</f>
        <v>0</v>
      </c>
      <c r="V25" s="766">
        <f>IFERROR(INDEX(Prop2018DistTar!AR:AR,MATCH($A25,Prop2018DistTar!$A:$A,),1),)</f>
        <v>0</v>
      </c>
      <c r="W25" s="766">
        <f>IFERROR(INDEX(Prop2018DistTar!AS:AS,MATCH($A25,Prop2018DistTar!$A:$A,),1),)</f>
        <v>0</v>
      </c>
      <c r="X25" s="768"/>
      <c r="Z25" s="769">
        <v>12168.263333333332</v>
      </c>
      <c r="AA25" s="770">
        <v>0</v>
      </c>
      <c r="AB25" s="770">
        <v>81125260.35922429</v>
      </c>
      <c r="AC25" s="770">
        <v>0</v>
      </c>
      <c r="AD25" s="770">
        <v>0</v>
      </c>
      <c r="AE25" s="770">
        <v>58521955.657923236</v>
      </c>
      <c r="AF25" s="770">
        <v>0</v>
      </c>
      <c r="AG25" s="770">
        <v>0</v>
      </c>
      <c r="AH25" s="770">
        <v>0</v>
      </c>
      <c r="AI25" s="770">
        <v>0</v>
      </c>
      <c r="AJ25" s="770">
        <v>0</v>
      </c>
      <c r="AK25" s="770">
        <v>0</v>
      </c>
      <c r="AL25" s="770">
        <v>0</v>
      </c>
      <c r="AM25" s="770">
        <v>0</v>
      </c>
      <c r="AN25" s="770">
        <v>0</v>
      </c>
      <c r="AO25" s="770">
        <v>0</v>
      </c>
      <c r="AP25" s="770">
        <v>0</v>
      </c>
      <c r="AQ25" s="770">
        <v>0</v>
      </c>
      <c r="AR25" s="770">
        <v>0</v>
      </c>
      <c r="AS25" s="770">
        <v>0</v>
      </c>
      <c r="AT25" s="657">
        <v>0</v>
      </c>
      <c r="AU25" s="781"/>
      <c r="AV25" s="257">
        <f t="shared" si="5"/>
        <v>1946922.1333333333</v>
      </c>
      <c r="AW25" s="224">
        <f t="shared" si="6"/>
        <v>0</v>
      </c>
      <c r="AX25" s="224">
        <f t="shared" si="7"/>
        <v>8866990.9572632145</v>
      </c>
      <c r="AY25" s="224">
        <f t="shared" si="8"/>
        <v>0</v>
      </c>
      <c r="AZ25" s="224">
        <f t="shared" si="9"/>
        <v>0</v>
      </c>
      <c r="BA25" s="224">
        <f t="shared" si="10"/>
        <v>1433787.9136191194</v>
      </c>
      <c r="BB25" s="224">
        <f t="shared" si="11"/>
        <v>0</v>
      </c>
      <c r="BC25" s="224">
        <f t="shared" si="12"/>
        <v>0</v>
      </c>
      <c r="BD25" s="224">
        <f t="shared" si="13"/>
        <v>0</v>
      </c>
      <c r="BE25" s="224">
        <f t="shared" si="14"/>
        <v>0</v>
      </c>
      <c r="BF25" s="224">
        <f t="shared" si="15"/>
        <v>0</v>
      </c>
      <c r="BG25" s="224">
        <f t="shared" si="16"/>
        <v>0</v>
      </c>
      <c r="BH25" s="224">
        <f t="shared" si="17"/>
        <v>0</v>
      </c>
      <c r="BI25" s="258">
        <f t="shared" si="18"/>
        <v>0</v>
      </c>
      <c r="BJ25" s="258">
        <f t="shared" si="19"/>
        <v>0</v>
      </c>
      <c r="BK25" s="258">
        <f t="shared" si="20"/>
        <v>0</v>
      </c>
      <c r="BL25" s="258">
        <f t="shared" si="21"/>
        <v>0</v>
      </c>
      <c r="BM25" s="258">
        <f t="shared" si="22"/>
        <v>0</v>
      </c>
      <c r="BN25" s="258">
        <f t="shared" si="23"/>
        <v>0</v>
      </c>
      <c r="BO25" s="258">
        <f t="shared" si="24"/>
        <v>0</v>
      </c>
      <c r="BP25" s="258">
        <f t="shared" si="25"/>
        <v>0</v>
      </c>
      <c r="BQ25" s="259">
        <f t="shared" si="26"/>
        <v>12247701.004215667</v>
      </c>
      <c r="BR25" s="676"/>
    </row>
    <row r="26" spans="1:70">
      <c r="A26" s="764" t="s">
        <v>626</v>
      </c>
      <c r="B26" s="765" t="s">
        <v>178</v>
      </c>
      <c r="C26" s="289"/>
      <c r="D26" s="767">
        <f>IFERROR(INDEX(Prop2018DistTar!Z:Z,MATCH($A26,Prop2018DistTar!$A:$A,),1),)</f>
        <v>160</v>
      </c>
      <c r="E26" s="766">
        <f>IFERROR(INDEX(Prop2018DistTar!AA:AA,MATCH($A26,Prop2018DistTar!$A:$A,),1),)</f>
        <v>0</v>
      </c>
      <c r="F26" s="766">
        <f>IFERROR(INDEX(Prop2018DistTar!AB:AB,MATCH($A26,Prop2018DistTar!$A:$A,),1),)</f>
        <v>9.6300000000000008</v>
      </c>
      <c r="G26" s="766">
        <f>IFERROR(INDEX(Prop2018DistTar!AC:AC,MATCH($A26,Prop2018DistTar!$A:$A,),1),)</f>
        <v>0</v>
      </c>
      <c r="H26" s="766">
        <f>IFERROR(INDEX(Prop2018DistTar!AD:AD,MATCH($A26,Prop2018DistTar!$A:$A,),1),)</f>
        <v>0</v>
      </c>
      <c r="I26" s="766">
        <f>IFERROR(INDEX(Prop2018DistTar!AE:AE,MATCH($A26,Prop2018DistTar!$A:$A,),1),)</f>
        <v>2.4500000000000002</v>
      </c>
      <c r="J26" s="766">
        <f>IFERROR(INDEX(Prop2018DistTar!AF:AF,MATCH($A26,Prop2018DistTar!$A:$A,),1),)</f>
        <v>0</v>
      </c>
      <c r="K26" s="766">
        <f>IFERROR(INDEX(Prop2018DistTar!AG:AG,MATCH($A26,Prop2018DistTar!$A:$A,),1),)</f>
        <v>0</v>
      </c>
      <c r="L26" s="766">
        <f>IFERROR(INDEX(Prop2018DistTar!AH:AH,MATCH($A26,Prop2018DistTar!$A:$A,),1),)</f>
        <v>0</v>
      </c>
      <c r="M26" s="766">
        <f>IFERROR(INDEX(Prop2018DistTar!AI:AI,MATCH($A26,Prop2018DistTar!$A:$A,),1),)</f>
        <v>0</v>
      </c>
      <c r="N26" s="766">
        <f>IFERROR(INDEX(Prop2018DistTar!AJ:AJ,MATCH($A26,Prop2018DistTar!$A:$A,),1),)</f>
        <v>0</v>
      </c>
      <c r="O26" s="766">
        <f>IFERROR(INDEX(Prop2018DistTar!AK:AK,MATCH($A26,Prop2018DistTar!$A:$A,),1),)</f>
        <v>0</v>
      </c>
      <c r="P26" s="766">
        <f>IFERROR(INDEX(Prop2018DistTar!AL:AL,MATCH($A26,Prop2018DistTar!$A:$A,),1),)</f>
        <v>0</v>
      </c>
      <c r="Q26" s="766">
        <f>IFERROR(INDEX(Prop2018DistTar!AM:AM,MATCH($A26,Prop2018DistTar!$A:$A,),1),)</f>
        <v>0</v>
      </c>
      <c r="R26" s="766">
        <f>IFERROR(INDEX(Prop2018DistTar!AN:AN,MATCH($A26,Prop2018DistTar!$A:$A,),1),)</f>
        <v>0</v>
      </c>
      <c r="S26" s="766">
        <f>IFERROR(INDEX(Prop2018DistTar!AO:AO,MATCH($A26,Prop2018DistTar!$A:$A,),1),)</f>
        <v>0</v>
      </c>
      <c r="T26" s="766">
        <f>IFERROR(INDEX(Prop2018DistTar!AP:AP,MATCH($A26,Prop2018DistTar!$A:$A,),1),)</f>
        <v>0</v>
      </c>
      <c r="U26" s="766">
        <f>IFERROR(INDEX(Prop2018DistTar!AQ:AQ,MATCH($A26,Prop2018DistTar!$A:$A,),1),)</f>
        <v>0</v>
      </c>
      <c r="V26" s="766">
        <f>IFERROR(INDEX(Prop2018DistTar!AR:AR,MATCH($A26,Prop2018DistTar!$A:$A,),1),)</f>
        <v>0</v>
      </c>
      <c r="W26" s="766">
        <f>IFERROR(INDEX(Prop2018DistTar!AS:AS,MATCH($A26,Prop2018DistTar!$A:$A,),1),)</f>
        <v>0</v>
      </c>
      <c r="X26" s="768"/>
      <c r="Z26" s="769">
        <v>7410.6995833333331</v>
      </c>
      <c r="AA26" s="770">
        <v>0</v>
      </c>
      <c r="AB26" s="770">
        <v>49924813.206805721</v>
      </c>
      <c r="AC26" s="770">
        <v>0</v>
      </c>
      <c r="AD26" s="770">
        <v>0</v>
      </c>
      <c r="AE26" s="770">
        <v>21197310.012245625</v>
      </c>
      <c r="AF26" s="770">
        <v>0</v>
      </c>
      <c r="AG26" s="770">
        <v>0</v>
      </c>
      <c r="AH26" s="770">
        <v>0</v>
      </c>
      <c r="AI26" s="770">
        <v>0</v>
      </c>
      <c r="AJ26" s="770">
        <v>0</v>
      </c>
      <c r="AK26" s="770">
        <v>0</v>
      </c>
      <c r="AL26" s="770">
        <v>0</v>
      </c>
      <c r="AM26" s="770">
        <v>0</v>
      </c>
      <c r="AN26" s="770">
        <v>0</v>
      </c>
      <c r="AO26" s="770">
        <v>0</v>
      </c>
      <c r="AP26" s="770">
        <v>0</v>
      </c>
      <c r="AQ26" s="770">
        <v>0</v>
      </c>
      <c r="AR26" s="770">
        <v>0</v>
      </c>
      <c r="AS26" s="770">
        <v>0</v>
      </c>
      <c r="AT26" s="657">
        <v>0</v>
      </c>
      <c r="AU26" s="781"/>
      <c r="AV26" s="257">
        <f t="shared" si="5"/>
        <v>1185711.9333333333</v>
      </c>
      <c r="AW26" s="224">
        <f t="shared" si="6"/>
        <v>0</v>
      </c>
      <c r="AX26" s="224">
        <f t="shared" si="7"/>
        <v>4807759.5118153915</v>
      </c>
      <c r="AY26" s="224">
        <f t="shared" si="8"/>
        <v>0</v>
      </c>
      <c r="AZ26" s="224">
        <f t="shared" si="9"/>
        <v>0</v>
      </c>
      <c r="BA26" s="224">
        <f t="shared" si="10"/>
        <v>519334.09530001786</v>
      </c>
      <c r="BB26" s="224">
        <f t="shared" si="11"/>
        <v>0</v>
      </c>
      <c r="BC26" s="224">
        <f t="shared" si="12"/>
        <v>0</v>
      </c>
      <c r="BD26" s="224">
        <f t="shared" si="13"/>
        <v>0</v>
      </c>
      <c r="BE26" s="224">
        <f t="shared" si="14"/>
        <v>0</v>
      </c>
      <c r="BF26" s="224">
        <f t="shared" si="15"/>
        <v>0</v>
      </c>
      <c r="BG26" s="224">
        <f t="shared" si="16"/>
        <v>0</v>
      </c>
      <c r="BH26" s="224">
        <f t="shared" si="17"/>
        <v>0</v>
      </c>
      <c r="BI26" s="258">
        <f t="shared" si="18"/>
        <v>0</v>
      </c>
      <c r="BJ26" s="258">
        <f t="shared" si="19"/>
        <v>0</v>
      </c>
      <c r="BK26" s="258">
        <f t="shared" si="20"/>
        <v>0</v>
      </c>
      <c r="BL26" s="258">
        <f t="shared" si="21"/>
        <v>0</v>
      </c>
      <c r="BM26" s="258">
        <f t="shared" si="22"/>
        <v>0</v>
      </c>
      <c r="BN26" s="258">
        <f t="shared" si="23"/>
        <v>0</v>
      </c>
      <c r="BO26" s="258">
        <f t="shared" si="24"/>
        <v>0</v>
      </c>
      <c r="BP26" s="258">
        <f t="shared" si="25"/>
        <v>0</v>
      </c>
      <c r="BQ26" s="259">
        <f t="shared" si="26"/>
        <v>6512805.5404487429</v>
      </c>
      <c r="BR26" s="676"/>
    </row>
    <row r="27" spans="1:70">
      <c r="A27" s="764" t="s">
        <v>627</v>
      </c>
      <c r="B27" s="765" t="s">
        <v>628</v>
      </c>
      <c r="C27" s="289"/>
      <c r="D27" s="767">
        <f>IFERROR(INDEX(Prop2018DistTar!Z:Z,MATCH($A27,Prop2018DistTar!$A:$A,),1),)</f>
        <v>160</v>
      </c>
      <c r="E27" s="766">
        <f>IFERROR(INDEX(Prop2018DistTar!AA:AA,MATCH($A27,Prop2018DistTar!$A:$A,),1),)</f>
        <v>3.14</v>
      </c>
      <c r="F27" s="766">
        <f>IFERROR(INDEX(Prop2018DistTar!AB:AB,MATCH($A27,Prop2018DistTar!$A:$A,),1),)</f>
        <v>0</v>
      </c>
      <c r="G27" s="766">
        <f>IFERROR(INDEX(Prop2018DistTar!AC:AC,MATCH($A27,Prop2018DistTar!$A:$A,),1),)</f>
        <v>0</v>
      </c>
      <c r="H27" s="766">
        <f>IFERROR(INDEX(Prop2018DistTar!AD:AD,MATCH($A27,Prop2018DistTar!$A:$A,),1),)</f>
        <v>0</v>
      </c>
      <c r="I27" s="766">
        <f>IFERROR(INDEX(Prop2018DistTar!AE:AE,MATCH($A27,Prop2018DistTar!$A:$A,),1),)</f>
        <v>0</v>
      </c>
      <c r="J27" s="766">
        <f>IFERROR(INDEX(Prop2018DistTar!AF:AF,MATCH($A27,Prop2018DistTar!$A:$A,),1),)</f>
        <v>0</v>
      </c>
      <c r="K27" s="766">
        <f>IFERROR(INDEX(Prop2018DistTar!AG:AG,MATCH($A27,Prop2018DistTar!$A:$A,),1),)</f>
        <v>0</v>
      </c>
      <c r="L27" s="766">
        <f>IFERROR(INDEX(Prop2018DistTar!AH:AH,MATCH($A27,Prop2018DistTar!$A:$A,),1),)</f>
        <v>0</v>
      </c>
      <c r="M27" s="766">
        <f>IFERROR(INDEX(Prop2018DistTar!AI:AI,MATCH($A27,Prop2018DistTar!$A:$A,),1),)</f>
        <v>0</v>
      </c>
      <c r="N27" s="766">
        <f>IFERROR(INDEX(Prop2018DistTar!AJ:AJ,MATCH($A27,Prop2018DistTar!$A:$A,),1),)</f>
        <v>0</v>
      </c>
      <c r="O27" s="766">
        <f>IFERROR(INDEX(Prop2018DistTar!AK:AK,MATCH($A27,Prop2018DistTar!$A:$A,),1),)</f>
        <v>11.79</v>
      </c>
      <c r="P27" s="766">
        <f>IFERROR(INDEX(Prop2018DistTar!AL:AL,MATCH($A27,Prop2018DistTar!$A:$A,),1),)</f>
        <v>3.93</v>
      </c>
      <c r="Q27" s="766">
        <f>IFERROR(INDEX(Prop2018DistTar!AM:AM,MATCH($A27,Prop2018DistTar!$A:$A,),1),)</f>
        <v>0</v>
      </c>
      <c r="R27" s="766">
        <f>IFERROR(INDEX(Prop2018DistTar!AN:AN,MATCH($A27,Prop2018DistTar!$A:$A,),1),)</f>
        <v>0</v>
      </c>
      <c r="S27" s="766">
        <f>IFERROR(INDEX(Prop2018DistTar!AO:AO,MATCH($A27,Prop2018DistTar!$A:$A,),1),)</f>
        <v>0</v>
      </c>
      <c r="T27" s="766">
        <f>IFERROR(INDEX(Prop2018DistTar!AP:AP,MATCH($A27,Prop2018DistTar!$A:$A,),1),)</f>
        <v>0</v>
      </c>
      <c r="U27" s="766">
        <f>IFERROR(INDEX(Prop2018DistTar!AQ:AQ,MATCH($A27,Prop2018DistTar!$A:$A,),1),)</f>
        <v>0</v>
      </c>
      <c r="V27" s="766">
        <f>IFERROR(INDEX(Prop2018DistTar!AR:AR,MATCH($A27,Prop2018DistTar!$A:$A,),1),)</f>
        <v>0</v>
      </c>
      <c r="W27" s="766">
        <f>IFERROR(INDEX(Prop2018DistTar!AS:AS,MATCH($A27,Prop2018DistTar!$A:$A,),1),)</f>
        <v>0</v>
      </c>
      <c r="X27" s="768"/>
      <c r="Z27" s="769">
        <v>2024</v>
      </c>
      <c r="AA27" s="770">
        <v>97025660.229158044</v>
      </c>
      <c r="AB27" s="770">
        <v>0</v>
      </c>
      <c r="AC27" s="770">
        <v>0</v>
      </c>
      <c r="AD27" s="770">
        <v>0</v>
      </c>
      <c r="AE27" s="770">
        <v>0</v>
      </c>
      <c r="AF27" s="770">
        <v>0</v>
      </c>
      <c r="AG27" s="770">
        <v>0</v>
      </c>
      <c r="AH27" s="770">
        <v>0</v>
      </c>
      <c r="AI27" s="770">
        <v>0</v>
      </c>
      <c r="AJ27" s="770">
        <v>0</v>
      </c>
      <c r="AK27" s="770">
        <v>116975.98433799999</v>
      </c>
      <c r="AL27" s="770">
        <v>235374.61953447608</v>
      </c>
      <c r="AM27" s="770">
        <v>0</v>
      </c>
      <c r="AN27" s="770">
        <v>0</v>
      </c>
      <c r="AO27" s="770">
        <v>0</v>
      </c>
      <c r="AP27" s="770">
        <v>0</v>
      </c>
      <c r="AQ27" s="770">
        <v>0</v>
      </c>
      <c r="AR27" s="770">
        <v>0</v>
      </c>
      <c r="AS27" s="770">
        <v>0</v>
      </c>
      <c r="AT27" s="657">
        <v>0</v>
      </c>
      <c r="AU27" s="781"/>
      <c r="AV27" s="257">
        <f t="shared" si="5"/>
        <v>323840</v>
      </c>
      <c r="AW27" s="224">
        <f t="shared" si="6"/>
        <v>3046605.731195563</v>
      </c>
      <c r="AX27" s="224">
        <f t="shared" si="7"/>
        <v>0</v>
      </c>
      <c r="AY27" s="224">
        <f t="shared" si="8"/>
        <v>0</v>
      </c>
      <c r="AZ27" s="224">
        <f t="shared" si="9"/>
        <v>0</v>
      </c>
      <c r="BA27" s="224">
        <f t="shared" si="10"/>
        <v>0</v>
      </c>
      <c r="BB27" s="224">
        <f t="shared" si="11"/>
        <v>0</v>
      </c>
      <c r="BC27" s="224">
        <f t="shared" si="12"/>
        <v>0</v>
      </c>
      <c r="BD27" s="224">
        <f t="shared" si="13"/>
        <v>0</v>
      </c>
      <c r="BE27" s="224">
        <f t="shared" si="14"/>
        <v>0</v>
      </c>
      <c r="BF27" s="224">
        <f t="shared" si="15"/>
        <v>0</v>
      </c>
      <c r="BG27" s="224">
        <f t="shared" si="16"/>
        <v>1379146.8553450198</v>
      </c>
      <c r="BH27" s="224">
        <f t="shared" si="17"/>
        <v>925022.25477049104</v>
      </c>
      <c r="BI27" s="258">
        <f t="shared" si="18"/>
        <v>0</v>
      </c>
      <c r="BJ27" s="258">
        <f t="shared" si="19"/>
        <v>0</v>
      </c>
      <c r="BK27" s="258">
        <f t="shared" si="20"/>
        <v>0</v>
      </c>
      <c r="BL27" s="258">
        <f t="shared" si="21"/>
        <v>0</v>
      </c>
      <c r="BM27" s="258">
        <f t="shared" si="22"/>
        <v>0</v>
      </c>
      <c r="BN27" s="258">
        <f t="shared" si="23"/>
        <v>0</v>
      </c>
      <c r="BO27" s="258">
        <f t="shared" si="24"/>
        <v>0</v>
      </c>
      <c r="BP27" s="258">
        <f t="shared" si="25"/>
        <v>0</v>
      </c>
      <c r="BQ27" s="259">
        <f t="shared" si="26"/>
        <v>5674614.8413110739</v>
      </c>
      <c r="BR27" s="676"/>
    </row>
    <row r="28" spans="1:70">
      <c r="A28" s="764" t="s">
        <v>629</v>
      </c>
      <c r="B28" s="765" t="s">
        <v>630</v>
      </c>
      <c r="C28" s="289"/>
      <c r="D28" s="767">
        <f>IFERROR(INDEX(Prop2018DistTar!Z:Z,MATCH($A28,Prop2018DistTar!$A:$A,),1),)</f>
        <v>900</v>
      </c>
      <c r="E28" s="766">
        <f>IFERROR(INDEX(Prop2018DistTar!AA:AA,MATCH($A28,Prop2018DistTar!$A:$A,),1),)</f>
        <v>0</v>
      </c>
      <c r="F28" s="766">
        <f>IFERROR(INDEX(Prop2018DistTar!AB:AB,MATCH($A28,Prop2018DistTar!$A:$A,),1),)</f>
        <v>8.9</v>
      </c>
      <c r="G28" s="766">
        <f>IFERROR(INDEX(Prop2018DistTar!AC:AC,MATCH($A28,Prop2018DistTar!$A:$A,),1),)</f>
        <v>0</v>
      </c>
      <c r="H28" s="766">
        <f>IFERROR(INDEX(Prop2018DistTar!AD:AD,MATCH($A28,Prop2018DistTar!$A:$A,),1),)</f>
        <v>0</v>
      </c>
      <c r="I28" s="766">
        <f>IFERROR(INDEX(Prop2018DistTar!AE:AE,MATCH($A28,Prop2018DistTar!$A:$A,),1),)</f>
        <v>3.55</v>
      </c>
      <c r="J28" s="766">
        <f>IFERROR(INDEX(Prop2018DistTar!AF:AF,MATCH($A28,Prop2018DistTar!$A:$A,),1),)</f>
        <v>0</v>
      </c>
      <c r="K28" s="766">
        <f>IFERROR(INDEX(Prop2018DistTar!AG:AG,MATCH($A28,Prop2018DistTar!$A:$A,),1),)</f>
        <v>0</v>
      </c>
      <c r="L28" s="766">
        <f>IFERROR(INDEX(Prop2018DistTar!AH:AH,MATCH($A28,Prop2018DistTar!$A:$A,),1),)</f>
        <v>0</v>
      </c>
      <c r="M28" s="766">
        <f>IFERROR(INDEX(Prop2018DistTar!AI:AI,MATCH($A28,Prop2018DistTar!$A:$A,),1),)</f>
        <v>0</v>
      </c>
      <c r="N28" s="766">
        <f>IFERROR(INDEX(Prop2018DistTar!AJ:AJ,MATCH($A28,Prop2018DistTar!$A:$A,),1),)</f>
        <v>0</v>
      </c>
      <c r="O28" s="766">
        <f>IFERROR(INDEX(Prop2018DistTar!AK:AK,MATCH($A28,Prop2018DistTar!$A:$A,),1),)</f>
        <v>0</v>
      </c>
      <c r="P28" s="766">
        <f>IFERROR(INDEX(Prop2018DistTar!AL:AL,MATCH($A28,Prop2018DistTar!$A:$A,),1),)</f>
        <v>0</v>
      </c>
      <c r="Q28" s="766">
        <f>IFERROR(INDEX(Prop2018DistTar!AM:AM,MATCH($A28,Prop2018DistTar!$A:$A,),1),)</f>
        <v>0</v>
      </c>
      <c r="R28" s="766">
        <f>IFERROR(INDEX(Prop2018DistTar!AN:AN,MATCH($A28,Prop2018DistTar!$A:$A,),1),)</f>
        <v>0</v>
      </c>
      <c r="S28" s="766">
        <f>IFERROR(INDEX(Prop2018DistTar!AO:AO,MATCH($A28,Prop2018DistTar!$A:$A,),1),)</f>
        <v>0</v>
      </c>
      <c r="T28" s="766">
        <f>IFERROR(INDEX(Prop2018DistTar!AP:AP,MATCH($A28,Prop2018DistTar!$A:$A,),1),)</f>
        <v>0</v>
      </c>
      <c r="U28" s="766">
        <f>IFERROR(INDEX(Prop2018DistTar!AQ:AQ,MATCH($A28,Prop2018DistTar!$A:$A,),1),)</f>
        <v>0</v>
      </c>
      <c r="V28" s="766">
        <f>IFERROR(INDEX(Prop2018DistTar!AR:AR,MATCH($A28,Prop2018DistTar!$A:$A,),1),)</f>
        <v>0</v>
      </c>
      <c r="W28" s="766">
        <f>IFERROR(INDEX(Prop2018DistTar!AS:AS,MATCH($A28,Prop2018DistTar!$A:$A,),1),)</f>
        <v>0</v>
      </c>
      <c r="X28" s="768"/>
      <c r="Z28" s="769">
        <v>8279</v>
      </c>
      <c r="AA28" s="770">
        <v>0</v>
      </c>
      <c r="AB28" s="770">
        <v>638166780.64380002</v>
      </c>
      <c r="AC28" s="770">
        <v>0</v>
      </c>
      <c r="AD28" s="770">
        <v>0</v>
      </c>
      <c r="AE28" s="770">
        <v>460728205.35583001</v>
      </c>
      <c r="AF28" s="770">
        <v>0</v>
      </c>
      <c r="AG28" s="770">
        <v>0</v>
      </c>
      <c r="AH28" s="770">
        <v>0</v>
      </c>
      <c r="AI28" s="770">
        <v>0</v>
      </c>
      <c r="AJ28" s="770">
        <v>0</v>
      </c>
      <c r="AK28" s="770">
        <v>1471641.121114</v>
      </c>
      <c r="AL28" s="770">
        <v>2723840.4799900004</v>
      </c>
      <c r="AM28" s="770">
        <v>0</v>
      </c>
      <c r="AN28" s="770">
        <v>0</v>
      </c>
      <c r="AO28" s="770">
        <v>0</v>
      </c>
      <c r="AP28" s="770">
        <v>0</v>
      </c>
      <c r="AQ28" s="770">
        <v>0</v>
      </c>
      <c r="AR28" s="770">
        <v>0</v>
      </c>
      <c r="AS28" s="770">
        <v>0</v>
      </c>
      <c r="AT28" s="657">
        <v>0</v>
      </c>
      <c r="AU28" s="781"/>
      <c r="AV28" s="257">
        <f t="shared" si="5"/>
        <v>7451100</v>
      </c>
      <c r="AW28" s="224">
        <f t="shared" si="6"/>
        <v>0</v>
      </c>
      <c r="AX28" s="224">
        <f t="shared" si="7"/>
        <v>56796843.477298208</v>
      </c>
      <c r="AY28" s="224">
        <f t="shared" si="8"/>
        <v>0</v>
      </c>
      <c r="AZ28" s="224">
        <f t="shared" si="9"/>
        <v>0</v>
      </c>
      <c r="BA28" s="224">
        <f t="shared" si="10"/>
        <v>16355851.290131964</v>
      </c>
      <c r="BB28" s="224">
        <f t="shared" si="11"/>
        <v>0</v>
      </c>
      <c r="BC28" s="224">
        <f t="shared" si="12"/>
        <v>0</v>
      </c>
      <c r="BD28" s="224">
        <f t="shared" si="13"/>
        <v>0</v>
      </c>
      <c r="BE28" s="224">
        <f t="shared" si="14"/>
        <v>0</v>
      </c>
      <c r="BF28" s="224">
        <f t="shared" si="15"/>
        <v>0</v>
      </c>
      <c r="BG28" s="224">
        <f t="shared" si="16"/>
        <v>0</v>
      </c>
      <c r="BH28" s="224">
        <f t="shared" si="17"/>
        <v>0</v>
      </c>
      <c r="BI28" s="258">
        <f t="shared" si="18"/>
        <v>0</v>
      </c>
      <c r="BJ28" s="258">
        <f t="shared" si="19"/>
        <v>0</v>
      </c>
      <c r="BK28" s="258">
        <f t="shared" si="20"/>
        <v>0</v>
      </c>
      <c r="BL28" s="258">
        <f t="shared" si="21"/>
        <v>0</v>
      </c>
      <c r="BM28" s="258">
        <f t="shared" si="22"/>
        <v>0</v>
      </c>
      <c r="BN28" s="258">
        <f t="shared" si="23"/>
        <v>0</v>
      </c>
      <c r="BO28" s="258">
        <f t="shared" si="24"/>
        <v>0</v>
      </c>
      <c r="BP28" s="258">
        <f t="shared" si="25"/>
        <v>0</v>
      </c>
      <c r="BQ28" s="259">
        <f t="shared" si="26"/>
        <v>80603794.767430171</v>
      </c>
      <c r="BR28" s="676"/>
    </row>
    <row r="29" spans="1:70">
      <c r="A29" s="764" t="s">
        <v>631</v>
      </c>
      <c r="B29" s="765" t="s">
        <v>179</v>
      </c>
      <c r="C29" s="289"/>
      <c r="D29" s="767">
        <f>IFERROR(INDEX(Prop2018DistTar!Z:Z,MATCH($A29,Prop2018DistTar!$A:$A,),1),)</f>
        <v>0</v>
      </c>
      <c r="E29" s="766">
        <f>IFERROR(INDEX(Prop2018DistTar!AA:AA,MATCH($A29,Prop2018DistTar!$A:$A,),1),)</f>
        <v>0</v>
      </c>
      <c r="F29" s="766">
        <f>IFERROR(INDEX(Prop2018DistTar!AB:AB,MATCH($A29,Prop2018DistTar!$A:$A,),1),)</f>
        <v>12.57</v>
      </c>
      <c r="G29" s="766">
        <f>IFERROR(INDEX(Prop2018DistTar!AC:AC,MATCH($A29,Prop2018DistTar!$A:$A,),1),)</f>
        <v>0</v>
      </c>
      <c r="H29" s="766">
        <f>IFERROR(INDEX(Prop2018DistTar!AD:AD,MATCH($A29,Prop2018DistTar!$A:$A,),1),)</f>
        <v>0</v>
      </c>
      <c r="I29" s="766">
        <f>IFERROR(INDEX(Prop2018DistTar!AE:AE,MATCH($A29,Prop2018DistTar!$A:$A,),1),)</f>
        <v>3.55</v>
      </c>
      <c r="J29" s="766">
        <f>IFERROR(INDEX(Prop2018DistTar!AF:AF,MATCH($A29,Prop2018DistTar!$A:$A,),1),)</f>
        <v>0</v>
      </c>
      <c r="K29" s="766">
        <f>IFERROR(INDEX(Prop2018DistTar!AG:AG,MATCH($A29,Prop2018DistTar!$A:$A,),1),)</f>
        <v>0</v>
      </c>
      <c r="L29" s="766">
        <f>IFERROR(INDEX(Prop2018DistTar!AH:AH,MATCH($A29,Prop2018DistTar!$A:$A,),1),)</f>
        <v>0</v>
      </c>
      <c r="M29" s="766">
        <f>IFERROR(INDEX(Prop2018DistTar!AI:AI,MATCH($A29,Prop2018DistTar!$A:$A,),1),)</f>
        <v>0</v>
      </c>
      <c r="N29" s="766">
        <f>IFERROR(INDEX(Prop2018DistTar!AJ:AJ,MATCH($A29,Prop2018DistTar!$A:$A,),1),)</f>
        <v>0</v>
      </c>
      <c r="O29" s="766">
        <f>IFERROR(INDEX(Prop2018DistTar!AK:AK,MATCH($A29,Prop2018DistTar!$A:$A,),1),)</f>
        <v>0</v>
      </c>
      <c r="P29" s="766">
        <f>IFERROR(INDEX(Prop2018DistTar!AL:AL,MATCH($A29,Prop2018DistTar!$A:$A,),1),)</f>
        <v>0</v>
      </c>
      <c r="Q29" s="766">
        <f>IFERROR(INDEX(Prop2018DistTar!AM:AM,MATCH($A29,Prop2018DistTar!$A:$A,),1),)</f>
        <v>0</v>
      </c>
      <c r="R29" s="766">
        <f>IFERROR(INDEX(Prop2018DistTar!AN:AN,MATCH($A29,Prop2018DistTar!$A:$A,),1),)</f>
        <v>0</v>
      </c>
      <c r="S29" s="766">
        <f>IFERROR(INDEX(Prop2018DistTar!AO:AO,MATCH($A29,Prop2018DistTar!$A:$A,),1),)</f>
        <v>0</v>
      </c>
      <c r="T29" s="766">
        <f>IFERROR(INDEX(Prop2018DistTar!AP:AP,MATCH($A29,Prop2018DistTar!$A:$A,),1),)</f>
        <v>0</v>
      </c>
      <c r="U29" s="766">
        <f>IFERROR(INDEX(Prop2018DistTar!AQ:AQ,MATCH($A29,Prop2018DistTar!$A:$A,),1),)</f>
        <v>0</v>
      </c>
      <c r="V29" s="766">
        <f>IFERROR(INDEX(Prop2018DistTar!AR:AR,MATCH($A29,Prop2018DistTar!$A:$A,),1),)</f>
        <v>0</v>
      </c>
      <c r="W29" s="766">
        <f>IFERROR(INDEX(Prop2018DistTar!AS:AS,MATCH($A29,Prop2018DistTar!$A:$A,),1),)</f>
        <v>0</v>
      </c>
      <c r="X29" s="768"/>
      <c r="Z29" s="769">
        <v>6335.3308333333334</v>
      </c>
      <c r="AA29" s="770">
        <v>0</v>
      </c>
      <c r="AB29" s="770">
        <v>24337397.258673649</v>
      </c>
      <c r="AC29" s="770">
        <v>0</v>
      </c>
      <c r="AD29" s="770">
        <v>0</v>
      </c>
      <c r="AE29" s="770">
        <v>60527080.28709197</v>
      </c>
      <c r="AF29" s="770">
        <v>0</v>
      </c>
      <c r="AG29" s="770">
        <v>0</v>
      </c>
      <c r="AH29" s="770">
        <v>0</v>
      </c>
      <c r="AI29" s="770">
        <v>0</v>
      </c>
      <c r="AJ29" s="770">
        <v>0</v>
      </c>
      <c r="AK29" s="770">
        <v>0</v>
      </c>
      <c r="AL29" s="770">
        <v>0</v>
      </c>
      <c r="AM29" s="770">
        <v>0</v>
      </c>
      <c r="AN29" s="770">
        <v>0</v>
      </c>
      <c r="AO29" s="770">
        <v>0</v>
      </c>
      <c r="AP29" s="770">
        <v>0</v>
      </c>
      <c r="AQ29" s="770">
        <v>0</v>
      </c>
      <c r="AR29" s="770">
        <v>0</v>
      </c>
      <c r="AS29" s="770">
        <v>0</v>
      </c>
      <c r="AT29" s="657">
        <v>0</v>
      </c>
      <c r="AU29" s="781"/>
      <c r="AV29" s="257">
        <f t="shared" si="5"/>
        <v>0</v>
      </c>
      <c r="AW29" s="224">
        <f t="shared" si="6"/>
        <v>0</v>
      </c>
      <c r="AX29" s="224">
        <f t="shared" si="7"/>
        <v>3059210.8354152781</v>
      </c>
      <c r="AY29" s="224">
        <f t="shared" si="8"/>
        <v>0</v>
      </c>
      <c r="AZ29" s="224">
        <f t="shared" si="9"/>
        <v>0</v>
      </c>
      <c r="BA29" s="224">
        <f t="shared" si="10"/>
        <v>2148711.3501917645</v>
      </c>
      <c r="BB29" s="224">
        <f t="shared" si="11"/>
        <v>0</v>
      </c>
      <c r="BC29" s="224">
        <f t="shared" si="12"/>
        <v>0</v>
      </c>
      <c r="BD29" s="224">
        <f t="shared" si="13"/>
        <v>0</v>
      </c>
      <c r="BE29" s="224">
        <f t="shared" si="14"/>
        <v>0</v>
      </c>
      <c r="BF29" s="224">
        <f t="shared" si="15"/>
        <v>0</v>
      </c>
      <c r="BG29" s="224">
        <f t="shared" si="16"/>
        <v>0</v>
      </c>
      <c r="BH29" s="224">
        <f t="shared" si="17"/>
        <v>0</v>
      </c>
      <c r="BI29" s="258">
        <f t="shared" si="18"/>
        <v>0</v>
      </c>
      <c r="BJ29" s="258">
        <f t="shared" si="19"/>
        <v>0</v>
      </c>
      <c r="BK29" s="258">
        <f t="shared" si="20"/>
        <v>0</v>
      </c>
      <c r="BL29" s="258">
        <f t="shared" si="21"/>
        <v>0</v>
      </c>
      <c r="BM29" s="258">
        <f t="shared" si="22"/>
        <v>0</v>
      </c>
      <c r="BN29" s="258">
        <f t="shared" si="23"/>
        <v>0</v>
      </c>
      <c r="BO29" s="258">
        <f t="shared" si="24"/>
        <v>0</v>
      </c>
      <c r="BP29" s="258">
        <f t="shared" si="25"/>
        <v>0</v>
      </c>
      <c r="BQ29" s="259">
        <f t="shared" si="26"/>
        <v>5207922.1856070422</v>
      </c>
      <c r="BR29" s="676"/>
    </row>
    <row r="30" spans="1:70">
      <c r="A30" s="764" t="s">
        <v>230</v>
      </c>
      <c r="B30" s="765" t="s">
        <v>632</v>
      </c>
      <c r="C30" s="289"/>
      <c r="D30" s="767">
        <f>IFERROR(INDEX(Prop2018DistTar!Z:Z,MATCH($A30,Prop2018DistTar!$A:$A,),1),)</f>
        <v>7749</v>
      </c>
      <c r="E30" s="766">
        <f>IFERROR(INDEX(Prop2018DistTar!AA:AA,MATCH($A30,Prop2018DistTar!$A:$A,),1),)</f>
        <v>0</v>
      </c>
      <c r="F30" s="766">
        <f>IFERROR(INDEX(Prop2018DistTar!AB:AB,MATCH($A30,Prop2018DistTar!$A:$A,),1),)</f>
        <v>3.02</v>
      </c>
      <c r="G30" s="766">
        <f>IFERROR(INDEX(Prop2018DistTar!AC:AC,MATCH($A30,Prop2018DistTar!$A:$A,),1),)</f>
        <v>0</v>
      </c>
      <c r="H30" s="766">
        <f>IFERROR(INDEX(Prop2018DistTar!AD:AD,MATCH($A30,Prop2018DistTar!$A:$A,),1),)</f>
        <v>0</v>
      </c>
      <c r="I30" s="766">
        <f>IFERROR(INDEX(Prop2018DistTar!AE:AE,MATCH($A30,Prop2018DistTar!$A:$A,),1),)</f>
        <v>1.47</v>
      </c>
      <c r="J30" s="766">
        <f>IFERROR(INDEX(Prop2018DistTar!AF:AF,MATCH($A30,Prop2018DistTar!$A:$A,),1),)</f>
        <v>0</v>
      </c>
      <c r="K30" s="766">
        <f>IFERROR(INDEX(Prop2018DistTar!AG:AG,MATCH($A30,Prop2018DistTar!$A:$A,),1),)</f>
        <v>0</v>
      </c>
      <c r="L30" s="766">
        <f>IFERROR(INDEX(Prop2018DistTar!AH:AH,MATCH($A30,Prop2018DistTar!$A:$A,),1),)</f>
        <v>0</v>
      </c>
      <c r="M30" s="766">
        <f>IFERROR(INDEX(Prop2018DistTar!AI:AI,MATCH($A30,Prop2018DistTar!$A:$A,),1),)</f>
        <v>85.16</v>
      </c>
      <c r="N30" s="766">
        <f>IFERROR(INDEX(Prop2018DistTar!AJ:AJ,MATCH($A30,Prop2018DistTar!$A:$A,),1),)</f>
        <v>0</v>
      </c>
      <c r="O30" s="766">
        <f>IFERROR(INDEX(Prop2018DistTar!AK:AK,MATCH($A30,Prop2018DistTar!$A:$A,),1),)</f>
        <v>0</v>
      </c>
      <c r="P30" s="766">
        <f>IFERROR(INDEX(Prop2018DistTar!AL:AL,MATCH($A30,Prop2018DistTar!$A:$A,),1),)</f>
        <v>0</v>
      </c>
      <c r="Q30" s="766">
        <f>IFERROR(INDEX(Prop2018DistTar!AM:AM,MATCH($A30,Prop2018DistTar!$A:$A,),1),)</f>
        <v>0</v>
      </c>
      <c r="R30" s="766">
        <f>IFERROR(INDEX(Prop2018DistTar!AN:AN,MATCH($A30,Prop2018DistTar!$A:$A,),1),)</f>
        <v>0</v>
      </c>
      <c r="S30" s="766">
        <f>IFERROR(INDEX(Prop2018DistTar!AO:AO,MATCH($A30,Prop2018DistTar!$A:$A,),1),)</f>
        <v>0</v>
      </c>
      <c r="T30" s="766">
        <f>IFERROR(INDEX(Prop2018DistTar!AP:AP,MATCH($A30,Prop2018DistTar!$A:$A,),1),)</f>
        <v>0</v>
      </c>
      <c r="U30" s="766">
        <f>IFERROR(INDEX(Prop2018DistTar!AQ:AQ,MATCH($A30,Prop2018DistTar!$A:$A,),1),)</f>
        <v>0</v>
      </c>
      <c r="V30" s="766">
        <f>IFERROR(INDEX(Prop2018DistTar!AR:AR,MATCH($A30,Prop2018DistTar!$A:$A,),1),)</f>
        <v>0</v>
      </c>
      <c r="W30" s="766">
        <f>IFERROR(INDEX(Prop2018DistTar!AS:AS,MATCH($A30,Prop2018DistTar!$A:$A,),1),)</f>
        <v>0</v>
      </c>
      <c r="X30" s="768"/>
      <c r="Z30" s="769">
        <v>2676.3858333333328</v>
      </c>
      <c r="AA30" s="770">
        <v>0</v>
      </c>
      <c r="AB30" s="770">
        <v>1374197063.096262</v>
      </c>
      <c r="AC30" s="770">
        <v>0</v>
      </c>
      <c r="AD30" s="770">
        <v>0</v>
      </c>
      <c r="AE30" s="770">
        <v>1036575743.5513418</v>
      </c>
      <c r="AF30" s="770">
        <v>0</v>
      </c>
      <c r="AG30" s="770">
        <v>0</v>
      </c>
      <c r="AH30" s="770">
        <v>0</v>
      </c>
      <c r="AI30" s="770">
        <v>845968.75141429983</v>
      </c>
      <c r="AJ30" s="770">
        <v>0</v>
      </c>
      <c r="AK30" s="770">
        <v>0</v>
      </c>
      <c r="AL30" s="770">
        <v>0</v>
      </c>
      <c r="AM30" s="770">
        <v>0</v>
      </c>
      <c r="AN30" s="770">
        <v>0</v>
      </c>
      <c r="AO30" s="770">
        <v>0</v>
      </c>
      <c r="AP30" s="770">
        <v>0</v>
      </c>
      <c r="AQ30" s="770">
        <v>0</v>
      </c>
      <c r="AR30" s="770">
        <v>0</v>
      </c>
      <c r="AS30" s="770">
        <v>0</v>
      </c>
      <c r="AT30" s="657">
        <v>0</v>
      </c>
      <c r="AU30" s="781"/>
      <c r="AV30" s="257">
        <f t="shared" si="5"/>
        <v>20739313.822499994</v>
      </c>
      <c r="AW30" s="224">
        <f t="shared" si="6"/>
        <v>0</v>
      </c>
      <c r="AX30" s="224">
        <f t="shared" si="7"/>
        <v>41500751.305507116</v>
      </c>
      <c r="AY30" s="224">
        <f t="shared" si="8"/>
        <v>0</v>
      </c>
      <c r="AZ30" s="224">
        <f t="shared" si="9"/>
        <v>0</v>
      </c>
      <c r="BA30" s="224">
        <f t="shared" si="10"/>
        <v>15237663.430204723</v>
      </c>
      <c r="BB30" s="224">
        <f t="shared" si="11"/>
        <v>0</v>
      </c>
      <c r="BC30" s="224">
        <f t="shared" si="12"/>
        <v>0</v>
      </c>
      <c r="BD30" s="224">
        <f t="shared" si="13"/>
        <v>0</v>
      </c>
      <c r="BE30" s="224">
        <f t="shared" si="14"/>
        <v>72042698.870441765</v>
      </c>
      <c r="BF30" s="224">
        <f t="shared" si="15"/>
        <v>0</v>
      </c>
      <c r="BG30" s="224">
        <f t="shared" si="16"/>
        <v>0</v>
      </c>
      <c r="BH30" s="224">
        <f t="shared" si="17"/>
        <v>0</v>
      </c>
      <c r="BI30" s="258">
        <f t="shared" si="18"/>
        <v>0</v>
      </c>
      <c r="BJ30" s="258">
        <f t="shared" si="19"/>
        <v>0</v>
      </c>
      <c r="BK30" s="258">
        <f t="shared" si="20"/>
        <v>0</v>
      </c>
      <c r="BL30" s="258">
        <f t="shared" si="21"/>
        <v>0</v>
      </c>
      <c r="BM30" s="258">
        <f t="shared" si="22"/>
        <v>0</v>
      </c>
      <c r="BN30" s="258">
        <f t="shared" si="23"/>
        <v>0</v>
      </c>
      <c r="BO30" s="258">
        <f t="shared" si="24"/>
        <v>0</v>
      </c>
      <c r="BP30" s="258">
        <f t="shared" si="25"/>
        <v>0</v>
      </c>
      <c r="BQ30" s="259">
        <f t="shared" si="26"/>
        <v>149520427.4286536</v>
      </c>
      <c r="BR30" s="676"/>
    </row>
    <row r="31" spans="1:70">
      <c r="A31" s="764" t="s">
        <v>633</v>
      </c>
      <c r="B31" s="765" t="s">
        <v>180</v>
      </c>
      <c r="C31" s="289"/>
      <c r="D31" s="767">
        <f>IFERROR(INDEX(Prop2018DistTar!Z:Z,MATCH($A31,Prop2018DistTar!$A:$A,),1),)</f>
        <v>0</v>
      </c>
      <c r="E31" s="766">
        <f>IFERROR(INDEX(Prop2018DistTar!AA:AA,MATCH($A31,Prop2018DistTar!$A:$A,),1),)</f>
        <v>0</v>
      </c>
      <c r="F31" s="766">
        <f>IFERROR(INDEX(Prop2018DistTar!AB:AB,MATCH($A31,Prop2018DistTar!$A:$A,),1),)</f>
        <v>0</v>
      </c>
      <c r="G31" s="766">
        <f>IFERROR(INDEX(Prop2018DistTar!AC:AC,MATCH($A31,Prop2018DistTar!$A:$A,),1),)</f>
        <v>0</v>
      </c>
      <c r="H31" s="766">
        <f>IFERROR(INDEX(Prop2018DistTar!AD:AD,MATCH($A31,Prop2018DistTar!$A:$A,),1),)</f>
        <v>0</v>
      </c>
      <c r="I31" s="766">
        <f>IFERROR(INDEX(Prop2018DistTar!AE:AE,MATCH($A31,Prop2018DistTar!$A:$A,),1),)</f>
        <v>0</v>
      </c>
      <c r="J31" s="766">
        <f>IFERROR(INDEX(Prop2018DistTar!AF:AF,MATCH($A31,Prop2018DistTar!$A:$A,),1),)</f>
        <v>0</v>
      </c>
      <c r="K31" s="766">
        <f>IFERROR(INDEX(Prop2018DistTar!AG:AG,MATCH($A31,Prop2018DistTar!$A:$A,),1),)</f>
        <v>0</v>
      </c>
      <c r="L31" s="766">
        <f>IFERROR(INDEX(Prop2018DistTar!AH:AH,MATCH($A31,Prop2018DistTar!$A:$A,),1),)</f>
        <v>0</v>
      </c>
      <c r="M31" s="766">
        <f>IFERROR(INDEX(Prop2018DistTar!AI:AI,MATCH($A31,Prop2018DistTar!$A:$A,),1),)</f>
        <v>0</v>
      </c>
      <c r="N31" s="766">
        <f>IFERROR(INDEX(Prop2018DistTar!AJ:AJ,MATCH($A31,Prop2018DistTar!$A:$A,),1),)</f>
        <v>0</v>
      </c>
      <c r="O31" s="766">
        <f>IFERROR(INDEX(Prop2018DistTar!AK:AK,MATCH($A31,Prop2018DistTar!$A:$A,),1),)</f>
        <v>0</v>
      </c>
      <c r="P31" s="766">
        <f>IFERROR(INDEX(Prop2018DistTar!AL:AL,MATCH($A31,Prop2018DistTar!$A:$A,),1),)</f>
        <v>0</v>
      </c>
      <c r="Q31" s="766">
        <f>IFERROR(INDEX(Prop2018DistTar!AM:AM,MATCH($A31,Prop2018DistTar!$A:$A,),1),)</f>
        <v>0</v>
      </c>
      <c r="R31" s="766">
        <f>IFERROR(INDEX(Prop2018DistTar!AN:AN,MATCH($A31,Prop2018DistTar!$A:$A,),1),)</f>
        <v>0</v>
      </c>
      <c r="S31" s="766">
        <f>IFERROR(INDEX(Prop2018DistTar!AO:AO,MATCH($A31,Prop2018DistTar!$A:$A,),1),)</f>
        <v>0</v>
      </c>
      <c r="T31" s="766">
        <f>IFERROR(INDEX(Prop2018DistTar!AP:AP,MATCH($A31,Prop2018DistTar!$A:$A,),1),)</f>
        <v>0</v>
      </c>
      <c r="U31" s="766">
        <f>IFERROR(INDEX(Prop2018DistTar!AQ:AQ,MATCH($A31,Prop2018DistTar!$A:$A,),1),)</f>
        <v>0</v>
      </c>
      <c r="V31" s="766">
        <f>IFERROR(INDEX(Prop2018DistTar!AR:AR,MATCH($A31,Prop2018DistTar!$A:$A,),1),)</f>
        <v>0</v>
      </c>
      <c r="W31" s="766">
        <f>IFERROR(INDEX(Prop2018DistTar!AS:AS,MATCH($A31,Prop2018DistTar!$A:$A,),1),)</f>
        <v>0</v>
      </c>
      <c r="X31" s="768"/>
      <c r="Z31" s="769">
        <v>0</v>
      </c>
      <c r="AA31" s="770">
        <v>0</v>
      </c>
      <c r="AB31" s="770">
        <v>0</v>
      </c>
      <c r="AC31" s="770">
        <v>0</v>
      </c>
      <c r="AD31" s="770">
        <v>0</v>
      </c>
      <c r="AE31" s="770">
        <v>0</v>
      </c>
      <c r="AF31" s="770">
        <v>0</v>
      </c>
      <c r="AG31" s="770">
        <v>0</v>
      </c>
      <c r="AH31" s="770">
        <v>0</v>
      </c>
      <c r="AI31" s="770">
        <v>0</v>
      </c>
      <c r="AJ31" s="770">
        <v>0</v>
      </c>
      <c r="AK31" s="770">
        <v>0</v>
      </c>
      <c r="AL31" s="770">
        <v>0</v>
      </c>
      <c r="AM31" s="770">
        <v>0</v>
      </c>
      <c r="AN31" s="770">
        <v>0</v>
      </c>
      <c r="AO31" s="770">
        <v>0</v>
      </c>
      <c r="AP31" s="770">
        <v>0</v>
      </c>
      <c r="AQ31" s="770">
        <v>0</v>
      </c>
      <c r="AR31" s="770">
        <v>0</v>
      </c>
      <c r="AS31" s="770">
        <v>0</v>
      </c>
      <c r="AT31" s="657">
        <v>0</v>
      </c>
      <c r="AU31" s="781"/>
      <c r="AV31" s="257">
        <f t="shared" si="5"/>
        <v>0</v>
      </c>
      <c r="AW31" s="224">
        <f t="shared" si="6"/>
        <v>0</v>
      </c>
      <c r="AX31" s="224">
        <f t="shared" si="7"/>
        <v>0</v>
      </c>
      <c r="AY31" s="224">
        <f t="shared" si="8"/>
        <v>0</v>
      </c>
      <c r="AZ31" s="224">
        <f t="shared" si="9"/>
        <v>0</v>
      </c>
      <c r="BA31" s="224">
        <f t="shared" si="10"/>
        <v>0</v>
      </c>
      <c r="BB31" s="224">
        <f t="shared" si="11"/>
        <v>0</v>
      </c>
      <c r="BC31" s="224">
        <f t="shared" si="12"/>
        <v>0</v>
      </c>
      <c r="BD31" s="224">
        <f t="shared" si="13"/>
        <v>0</v>
      </c>
      <c r="BE31" s="224">
        <f t="shared" si="14"/>
        <v>0</v>
      </c>
      <c r="BF31" s="224">
        <f t="shared" si="15"/>
        <v>0</v>
      </c>
      <c r="BG31" s="224">
        <f t="shared" si="16"/>
        <v>0</v>
      </c>
      <c r="BH31" s="224">
        <f t="shared" si="17"/>
        <v>0</v>
      </c>
      <c r="BI31" s="258">
        <f t="shared" si="18"/>
        <v>0</v>
      </c>
      <c r="BJ31" s="258">
        <f t="shared" si="19"/>
        <v>0</v>
      </c>
      <c r="BK31" s="258">
        <f t="shared" si="20"/>
        <v>0</v>
      </c>
      <c r="BL31" s="258">
        <f t="shared" si="21"/>
        <v>0</v>
      </c>
      <c r="BM31" s="258">
        <f t="shared" si="22"/>
        <v>0</v>
      </c>
      <c r="BN31" s="258">
        <f t="shared" si="23"/>
        <v>0</v>
      </c>
      <c r="BO31" s="258">
        <f t="shared" si="24"/>
        <v>0</v>
      </c>
      <c r="BP31" s="258">
        <f t="shared" si="25"/>
        <v>0</v>
      </c>
      <c r="BQ31" s="259">
        <f t="shared" si="26"/>
        <v>0</v>
      </c>
      <c r="BR31" s="676"/>
    </row>
    <row r="32" spans="1:70">
      <c r="A32" s="764" t="s">
        <v>634</v>
      </c>
      <c r="B32" s="765" t="s">
        <v>181</v>
      </c>
      <c r="C32" s="289"/>
      <c r="D32" s="767">
        <f>IFERROR(INDEX(Prop2018DistTar!Z:Z,MATCH($A32,Prop2018DistTar!$A:$A,),1),)</f>
        <v>0</v>
      </c>
      <c r="E32" s="766">
        <f>IFERROR(INDEX(Prop2018DistTar!AA:AA,MATCH($A32,Prop2018DistTar!$A:$A,),1),)</f>
        <v>0</v>
      </c>
      <c r="F32" s="766">
        <f>IFERROR(INDEX(Prop2018DistTar!AB:AB,MATCH($A32,Prop2018DistTar!$A:$A,),1),)</f>
        <v>0</v>
      </c>
      <c r="G32" s="766">
        <f>IFERROR(INDEX(Prop2018DistTar!AC:AC,MATCH($A32,Prop2018DistTar!$A:$A,),1),)</f>
        <v>0</v>
      </c>
      <c r="H32" s="766">
        <f>IFERROR(INDEX(Prop2018DistTar!AD:AD,MATCH($A32,Prop2018DistTar!$A:$A,),1),)</f>
        <v>0</v>
      </c>
      <c r="I32" s="766">
        <f>IFERROR(INDEX(Prop2018DistTar!AE:AE,MATCH($A32,Prop2018DistTar!$A:$A,),1),)</f>
        <v>0</v>
      </c>
      <c r="J32" s="766">
        <f>IFERROR(INDEX(Prop2018DistTar!AF:AF,MATCH($A32,Prop2018DistTar!$A:$A,),1),)</f>
        <v>0</v>
      </c>
      <c r="K32" s="766">
        <f>IFERROR(INDEX(Prop2018DistTar!AG:AG,MATCH($A32,Prop2018DistTar!$A:$A,),1),)</f>
        <v>0</v>
      </c>
      <c r="L32" s="766">
        <f>IFERROR(INDEX(Prop2018DistTar!AH:AH,MATCH($A32,Prop2018DistTar!$A:$A,),1),)</f>
        <v>0</v>
      </c>
      <c r="M32" s="766">
        <f>IFERROR(INDEX(Prop2018DistTar!AI:AI,MATCH($A32,Prop2018DistTar!$A:$A,),1),)</f>
        <v>0</v>
      </c>
      <c r="N32" s="766">
        <f>IFERROR(INDEX(Prop2018DistTar!AJ:AJ,MATCH($A32,Prop2018DistTar!$A:$A,),1),)</f>
        <v>0</v>
      </c>
      <c r="O32" s="766">
        <f>IFERROR(INDEX(Prop2018DistTar!AK:AK,MATCH($A32,Prop2018DistTar!$A:$A,),1),)</f>
        <v>0</v>
      </c>
      <c r="P32" s="766">
        <f>IFERROR(INDEX(Prop2018DistTar!AL:AL,MATCH($A32,Prop2018DistTar!$A:$A,),1),)</f>
        <v>0</v>
      </c>
      <c r="Q32" s="766">
        <f>IFERROR(INDEX(Prop2018DistTar!AM:AM,MATCH($A32,Prop2018DistTar!$A:$A,),1),)</f>
        <v>0</v>
      </c>
      <c r="R32" s="766">
        <f>IFERROR(INDEX(Prop2018DistTar!AN:AN,MATCH($A32,Prop2018DistTar!$A:$A,),1),)</f>
        <v>0</v>
      </c>
      <c r="S32" s="766">
        <f>IFERROR(INDEX(Prop2018DistTar!AO:AO,MATCH($A32,Prop2018DistTar!$A:$A,),1),)</f>
        <v>0</v>
      </c>
      <c r="T32" s="766">
        <f>IFERROR(INDEX(Prop2018DistTar!AP:AP,MATCH($A32,Prop2018DistTar!$A:$A,),1),)</f>
        <v>0</v>
      </c>
      <c r="U32" s="766">
        <f>IFERROR(INDEX(Prop2018DistTar!AQ:AQ,MATCH($A32,Prop2018DistTar!$A:$A,),1),)</f>
        <v>0</v>
      </c>
      <c r="V32" s="766">
        <f>IFERROR(INDEX(Prop2018DistTar!AR:AR,MATCH($A32,Prop2018DistTar!$A:$A,),1),)</f>
        <v>0</v>
      </c>
      <c r="W32" s="766">
        <f>IFERROR(INDEX(Prop2018DistTar!AS:AS,MATCH($A32,Prop2018DistTar!$A:$A,),1),)</f>
        <v>0</v>
      </c>
      <c r="X32" s="768"/>
      <c r="Z32" s="769">
        <v>0</v>
      </c>
      <c r="AA32" s="770">
        <v>0</v>
      </c>
      <c r="AB32" s="770">
        <v>0</v>
      </c>
      <c r="AC32" s="770">
        <v>0</v>
      </c>
      <c r="AD32" s="770">
        <v>0</v>
      </c>
      <c r="AE32" s="770">
        <v>0</v>
      </c>
      <c r="AF32" s="770">
        <v>0</v>
      </c>
      <c r="AG32" s="770">
        <v>0</v>
      </c>
      <c r="AH32" s="770">
        <v>0</v>
      </c>
      <c r="AI32" s="770">
        <v>0</v>
      </c>
      <c r="AJ32" s="770">
        <v>0</v>
      </c>
      <c r="AK32" s="770">
        <v>0</v>
      </c>
      <c r="AL32" s="770">
        <v>0</v>
      </c>
      <c r="AM32" s="770">
        <v>0</v>
      </c>
      <c r="AN32" s="770">
        <v>0</v>
      </c>
      <c r="AO32" s="770">
        <v>0</v>
      </c>
      <c r="AP32" s="770">
        <v>0</v>
      </c>
      <c r="AQ32" s="770">
        <v>0</v>
      </c>
      <c r="AR32" s="770">
        <v>0</v>
      </c>
      <c r="AS32" s="770">
        <v>0</v>
      </c>
      <c r="AT32" s="657">
        <v>0</v>
      </c>
      <c r="AU32" s="781"/>
      <c r="AV32" s="257">
        <f t="shared" si="5"/>
        <v>0</v>
      </c>
      <c r="AW32" s="224">
        <f t="shared" si="6"/>
        <v>0</v>
      </c>
      <c r="AX32" s="224">
        <f t="shared" si="7"/>
        <v>0</v>
      </c>
      <c r="AY32" s="224">
        <f t="shared" si="8"/>
        <v>0</v>
      </c>
      <c r="AZ32" s="224">
        <f t="shared" si="9"/>
        <v>0</v>
      </c>
      <c r="BA32" s="224">
        <f t="shared" si="10"/>
        <v>0</v>
      </c>
      <c r="BB32" s="224">
        <f t="shared" si="11"/>
        <v>0</v>
      </c>
      <c r="BC32" s="224">
        <f t="shared" si="12"/>
        <v>0</v>
      </c>
      <c r="BD32" s="224">
        <f t="shared" si="13"/>
        <v>0</v>
      </c>
      <c r="BE32" s="224">
        <f t="shared" si="14"/>
        <v>0</v>
      </c>
      <c r="BF32" s="224">
        <f t="shared" si="15"/>
        <v>0</v>
      </c>
      <c r="BG32" s="224">
        <f t="shared" si="16"/>
        <v>0</v>
      </c>
      <c r="BH32" s="224">
        <f t="shared" si="17"/>
        <v>0</v>
      </c>
      <c r="BI32" s="258">
        <f t="shared" si="18"/>
        <v>0</v>
      </c>
      <c r="BJ32" s="258">
        <f t="shared" si="19"/>
        <v>0</v>
      </c>
      <c r="BK32" s="258">
        <f t="shared" si="20"/>
        <v>0</v>
      </c>
      <c r="BL32" s="258">
        <f t="shared" si="21"/>
        <v>0</v>
      </c>
      <c r="BM32" s="258">
        <f t="shared" si="22"/>
        <v>0</v>
      </c>
      <c r="BN32" s="258">
        <f t="shared" si="23"/>
        <v>0</v>
      </c>
      <c r="BO32" s="258">
        <f t="shared" si="24"/>
        <v>0</v>
      </c>
      <c r="BP32" s="258">
        <f t="shared" si="25"/>
        <v>0</v>
      </c>
      <c r="BQ32" s="259">
        <f t="shared" si="26"/>
        <v>0</v>
      </c>
      <c r="BR32" s="676"/>
    </row>
    <row r="33" spans="1:70">
      <c r="A33" s="764" t="s">
        <v>635</v>
      </c>
      <c r="B33" s="765" t="s">
        <v>182</v>
      </c>
      <c r="C33" s="289"/>
      <c r="D33" s="767">
        <f>IFERROR(INDEX(Prop2018DistTar!Z:Z,MATCH($A33,Prop2018DistTar!$A:$A,),1),)</f>
        <v>0</v>
      </c>
      <c r="E33" s="766">
        <f>IFERROR(INDEX(Prop2018DistTar!AA:AA,MATCH($A33,Prop2018DistTar!$A:$A,),1),)</f>
        <v>0</v>
      </c>
      <c r="F33" s="766">
        <f>IFERROR(INDEX(Prop2018DistTar!AB:AB,MATCH($A33,Prop2018DistTar!$A:$A,),1),)</f>
        <v>0</v>
      </c>
      <c r="G33" s="766">
        <f>IFERROR(INDEX(Prop2018DistTar!AC:AC,MATCH($A33,Prop2018DistTar!$A:$A,),1),)</f>
        <v>0</v>
      </c>
      <c r="H33" s="766">
        <f>IFERROR(INDEX(Prop2018DistTar!AD:AD,MATCH($A33,Prop2018DistTar!$A:$A,),1),)</f>
        <v>0</v>
      </c>
      <c r="I33" s="766">
        <f>IFERROR(INDEX(Prop2018DistTar!AE:AE,MATCH($A33,Prop2018DistTar!$A:$A,),1),)</f>
        <v>0</v>
      </c>
      <c r="J33" s="766">
        <f>IFERROR(INDEX(Prop2018DistTar!AF:AF,MATCH($A33,Prop2018DistTar!$A:$A,),1),)</f>
        <v>0</v>
      </c>
      <c r="K33" s="766">
        <f>IFERROR(INDEX(Prop2018DistTar!AG:AG,MATCH($A33,Prop2018DistTar!$A:$A,),1),)</f>
        <v>0</v>
      </c>
      <c r="L33" s="766">
        <f>IFERROR(INDEX(Prop2018DistTar!AH:AH,MATCH($A33,Prop2018DistTar!$A:$A,),1),)</f>
        <v>0</v>
      </c>
      <c r="M33" s="766">
        <f>IFERROR(INDEX(Prop2018DistTar!AI:AI,MATCH($A33,Prop2018DistTar!$A:$A,),1),)</f>
        <v>0</v>
      </c>
      <c r="N33" s="766">
        <f>IFERROR(INDEX(Prop2018DistTar!AJ:AJ,MATCH($A33,Prop2018DistTar!$A:$A,),1),)</f>
        <v>0</v>
      </c>
      <c r="O33" s="766">
        <f>IFERROR(INDEX(Prop2018DistTar!AK:AK,MATCH($A33,Prop2018DistTar!$A:$A,),1),)</f>
        <v>0</v>
      </c>
      <c r="P33" s="766">
        <f>IFERROR(INDEX(Prop2018DistTar!AL:AL,MATCH($A33,Prop2018DistTar!$A:$A,),1),)</f>
        <v>0</v>
      </c>
      <c r="Q33" s="766">
        <f>IFERROR(INDEX(Prop2018DistTar!AM:AM,MATCH($A33,Prop2018DistTar!$A:$A,),1),)</f>
        <v>0</v>
      </c>
      <c r="R33" s="766">
        <f>IFERROR(INDEX(Prop2018DistTar!AN:AN,MATCH($A33,Prop2018DistTar!$A:$A,),1),)</f>
        <v>0</v>
      </c>
      <c r="S33" s="766">
        <f>IFERROR(INDEX(Prop2018DistTar!AO:AO,MATCH($A33,Prop2018DistTar!$A:$A,),1),)</f>
        <v>0</v>
      </c>
      <c r="T33" s="766">
        <f>IFERROR(INDEX(Prop2018DistTar!AP:AP,MATCH($A33,Prop2018DistTar!$A:$A,),1),)</f>
        <v>0</v>
      </c>
      <c r="U33" s="766">
        <f>IFERROR(INDEX(Prop2018DistTar!AQ:AQ,MATCH($A33,Prop2018DistTar!$A:$A,),1),)</f>
        <v>0</v>
      </c>
      <c r="V33" s="766">
        <f>IFERROR(INDEX(Prop2018DistTar!AR:AR,MATCH($A33,Prop2018DistTar!$A:$A,),1),)</f>
        <v>0</v>
      </c>
      <c r="W33" s="766">
        <f>IFERROR(INDEX(Prop2018DistTar!AS:AS,MATCH($A33,Prop2018DistTar!$A:$A,),1),)</f>
        <v>0</v>
      </c>
      <c r="X33" s="768"/>
      <c r="Z33" s="769">
        <v>0</v>
      </c>
      <c r="AA33" s="770">
        <v>0</v>
      </c>
      <c r="AB33" s="770">
        <v>0</v>
      </c>
      <c r="AC33" s="770">
        <v>0</v>
      </c>
      <c r="AD33" s="770">
        <v>0</v>
      </c>
      <c r="AE33" s="770">
        <v>0</v>
      </c>
      <c r="AF33" s="770">
        <v>0</v>
      </c>
      <c r="AG33" s="770">
        <v>0</v>
      </c>
      <c r="AH33" s="770">
        <v>0</v>
      </c>
      <c r="AI33" s="770">
        <v>0</v>
      </c>
      <c r="AJ33" s="770">
        <v>0</v>
      </c>
      <c r="AK33" s="770">
        <v>0</v>
      </c>
      <c r="AL33" s="770">
        <v>0</v>
      </c>
      <c r="AM33" s="770">
        <v>0</v>
      </c>
      <c r="AN33" s="770">
        <v>0</v>
      </c>
      <c r="AO33" s="770">
        <v>0</v>
      </c>
      <c r="AP33" s="770">
        <v>0</v>
      </c>
      <c r="AQ33" s="770">
        <v>0</v>
      </c>
      <c r="AR33" s="770">
        <v>0</v>
      </c>
      <c r="AS33" s="770">
        <v>0</v>
      </c>
      <c r="AT33" s="657">
        <v>0</v>
      </c>
      <c r="AU33" s="781"/>
      <c r="AV33" s="257">
        <f t="shared" si="5"/>
        <v>0</v>
      </c>
      <c r="AW33" s="224">
        <f t="shared" si="6"/>
        <v>0</v>
      </c>
      <c r="AX33" s="224">
        <f t="shared" si="7"/>
        <v>0</v>
      </c>
      <c r="AY33" s="224">
        <f t="shared" si="8"/>
        <v>0</v>
      </c>
      <c r="AZ33" s="224">
        <f t="shared" si="9"/>
        <v>0</v>
      </c>
      <c r="BA33" s="224">
        <f t="shared" si="10"/>
        <v>0</v>
      </c>
      <c r="BB33" s="224">
        <f t="shared" si="11"/>
        <v>0</v>
      </c>
      <c r="BC33" s="224">
        <f t="shared" si="12"/>
        <v>0</v>
      </c>
      <c r="BD33" s="224">
        <f t="shared" si="13"/>
        <v>0</v>
      </c>
      <c r="BE33" s="224">
        <f t="shared" si="14"/>
        <v>0</v>
      </c>
      <c r="BF33" s="224">
        <f t="shared" si="15"/>
        <v>0</v>
      </c>
      <c r="BG33" s="224">
        <f t="shared" si="16"/>
        <v>0</v>
      </c>
      <c r="BH33" s="224">
        <f t="shared" si="17"/>
        <v>0</v>
      </c>
      <c r="BI33" s="258">
        <f t="shared" si="18"/>
        <v>0</v>
      </c>
      <c r="BJ33" s="258">
        <f t="shared" si="19"/>
        <v>0</v>
      </c>
      <c r="BK33" s="258">
        <f t="shared" si="20"/>
        <v>0</v>
      </c>
      <c r="BL33" s="258">
        <f t="shared" si="21"/>
        <v>0</v>
      </c>
      <c r="BM33" s="258">
        <f t="shared" si="22"/>
        <v>0</v>
      </c>
      <c r="BN33" s="258">
        <f t="shared" si="23"/>
        <v>0</v>
      </c>
      <c r="BO33" s="258">
        <f t="shared" si="24"/>
        <v>0</v>
      </c>
      <c r="BP33" s="258">
        <f t="shared" si="25"/>
        <v>0</v>
      </c>
      <c r="BQ33" s="259">
        <f t="shared" si="26"/>
        <v>0</v>
      </c>
      <c r="BR33" s="676"/>
    </row>
    <row r="34" spans="1:70">
      <c r="A34" s="764" t="s">
        <v>636</v>
      </c>
      <c r="B34" s="765" t="s">
        <v>183</v>
      </c>
      <c r="C34" s="289"/>
      <c r="D34" s="767">
        <f>IFERROR(INDEX(Prop2018DistTar!Z:Z,MATCH($A34,Prop2018DistTar!$A:$A,),1),)</f>
        <v>0</v>
      </c>
      <c r="E34" s="766">
        <f>IFERROR(INDEX(Prop2018DistTar!AA:AA,MATCH($A34,Prop2018DistTar!$A:$A,),1),)</f>
        <v>0</v>
      </c>
      <c r="F34" s="766">
        <f>IFERROR(INDEX(Prop2018DistTar!AB:AB,MATCH($A34,Prop2018DistTar!$A:$A,),1),)</f>
        <v>0</v>
      </c>
      <c r="G34" s="766">
        <f>IFERROR(INDEX(Prop2018DistTar!AC:AC,MATCH($A34,Prop2018DistTar!$A:$A,),1),)</f>
        <v>0</v>
      </c>
      <c r="H34" s="766">
        <f>IFERROR(INDEX(Prop2018DistTar!AD:AD,MATCH($A34,Prop2018DistTar!$A:$A,),1),)</f>
        <v>0</v>
      </c>
      <c r="I34" s="766">
        <f>IFERROR(INDEX(Prop2018DistTar!AE:AE,MATCH($A34,Prop2018DistTar!$A:$A,),1),)</f>
        <v>0</v>
      </c>
      <c r="J34" s="766">
        <f>IFERROR(INDEX(Prop2018DistTar!AF:AF,MATCH($A34,Prop2018DistTar!$A:$A,),1),)</f>
        <v>0</v>
      </c>
      <c r="K34" s="766">
        <f>IFERROR(INDEX(Prop2018DistTar!AG:AG,MATCH($A34,Prop2018DistTar!$A:$A,),1),)</f>
        <v>0</v>
      </c>
      <c r="L34" s="766">
        <f>IFERROR(INDEX(Prop2018DistTar!AH:AH,MATCH($A34,Prop2018DistTar!$A:$A,),1),)</f>
        <v>0</v>
      </c>
      <c r="M34" s="766">
        <f>IFERROR(INDEX(Prop2018DistTar!AI:AI,MATCH($A34,Prop2018DistTar!$A:$A,),1),)</f>
        <v>0</v>
      </c>
      <c r="N34" s="766">
        <f>IFERROR(INDEX(Prop2018DistTar!AJ:AJ,MATCH($A34,Prop2018DistTar!$A:$A,),1),)</f>
        <v>0</v>
      </c>
      <c r="O34" s="766">
        <f>IFERROR(INDEX(Prop2018DistTar!AK:AK,MATCH($A34,Prop2018DistTar!$A:$A,),1),)</f>
        <v>0</v>
      </c>
      <c r="P34" s="766">
        <f>IFERROR(INDEX(Prop2018DistTar!AL:AL,MATCH($A34,Prop2018DistTar!$A:$A,),1),)</f>
        <v>0</v>
      </c>
      <c r="Q34" s="766">
        <f>IFERROR(INDEX(Prop2018DistTar!AM:AM,MATCH($A34,Prop2018DistTar!$A:$A,),1),)</f>
        <v>0</v>
      </c>
      <c r="R34" s="766">
        <f>IFERROR(INDEX(Prop2018DistTar!AN:AN,MATCH($A34,Prop2018DistTar!$A:$A,),1),)</f>
        <v>0</v>
      </c>
      <c r="S34" s="766">
        <f>IFERROR(INDEX(Prop2018DistTar!AO:AO,MATCH($A34,Prop2018DistTar!$A:$A,),1),)</f>
        <v>0</v>
      </c>
      <c r="T34" s="766">
        <f>IFERROR(INDEX(Prop2018DistTar!AP:AP,MATCH($A34,Prop2018DistTar!$A:$A,),1),)</f>
        <v>0</v>
      </c>
      <c r="U34" s="766">
        <f>IFERROR(INDEX(Prop2018DistTar!AQ:AQ,MATCH($A34,Prop2018DistTar!$A:$A,),1),)</f>
        <v>0</v>
      </c>
      <c r="V34" s="766">
        <f>IFERROR(INDEX(Prop2018DistTar!AR:AR,MATCH($A34,Prop2018DistTar!$A:$A,),1),)</f>
        <v>0</v>
      </c>
      <c r="W34" s="766">
        <f>IFERROR(INDEX(Prop2018DistTar!AS:AS,MATCH($A34,Prop2018DistTar!$A:$A,),1),)</f>
        <v>0</v>
      </c>
      <c r="X34" s="768"/>
      <c r="Z34" s="769">
        <v>0</v>
      </c>
      <c r="AA34" s="770">
        <v>0</v>
      </c>
      <c r="AB34" s="770">
        <v>0</v>
      </c>
      <c r="AC34" s="770">
        <v>0</v>
      </c>
      <c r="AD34" s="770">
        <v>0</v>
      </c>
      <c r="AE34" s="770">
        <v>0</v>
      </c>
      <c r="AF34" s="770">
        <v>0</v>
      </c>
      <c r="AG34" s="770">
        <v>0</v>
      </c>
      <c r="AH34" s="770">
        <v>0</v>
      </c>
      <c r="AI34" s="770">
        <v>0</v>
      </c>
      <c r="AJ34" s="770">
        <v>0</v>
      </c>
      <c r="AK34" s="770">
        <v>0</v>
      </c>
      <c r="AL34" s="770">
        <v>0</v>
      </c>
      <c r="AM34" s="770">
        <v>0</v>
      </c>
      <c r="AN34" s="770">
        <v>0</v>
      </c>
      <c r="AO34" s="770">
        <v>0</v>
      </c>
      <c r="AP34" s="770">
        <v>0</v>
      </c>
      <c r="AQ34" s="770">
        <v>0</v>
      </c>
      <c r="AR34" s="770">
        <v>0</v>
      </c>
      <c r="AS34" s="770">
        <v>0</v>
      </c>
      <c r="AT34" s="657">
        <v>0</v>
      </c>
      <c r="AU34" s="781"/>
      <c r="AV34" s="257">
        <f t="shared" si="5"/>
        <v>0</v>
      </c>
      <c r="AW34" s="224">
        <f t="shared" si="6"/>
        <v>0</v>
      </c>
      <c r="AX34" s="224">
        <f t="shared" si="7"/>
        <v>0</v>
      </c>
      <c r="AY34" s="224">
        <f t="shared" si="8"/>
        <v>0</v>
      </c>
      <c r="AZ34" s="224">
        <f t="shared" si="9"/>
        <v>0</v>
      </c>
      <c r="BA34" s="224">
        <f t="shared" si="10"/>
        <v>0</v>
      </c>
      <c r="BB34" s="224">
        <f t="shared" si="11"/>
        <v>0</v>
      </c>
      <c r="BC34" s="224">
        <f t="shared" si="12"/>
        <v>0</v>
      </c>
      <c r="BD34" s="224">
        <f t="shared" si="13"/>
        <v>0</v>
      </c>
      <c r="BE34" s="224">
        <f t="shared" si="14"/>
        <v>0</v>
      </c>
      <c r="BF34" s="224">
        <f t="shared" si="15"/>
        <v>0</v>
      </c>
      <c r="BG34" s="224">
        <f t="shared" si="16"/>
        <v>0</v>
      </c>
      <c r="BH34" s="224">
        <f t="shared" si="17"/>
        <v>0</v>
      </c>
      <c r="BI34" s="258">
        <f t="shared" si="18"/>
        <v>0</v>
      </c>
      <c r="BJ34" s="258">
        <f t="shared" si="19"/>
        <v>0</v>
      </c>
      <c r="BK34" s="258">
        <f t="shared" si="20"/>
        <v>0</v>
      </c>
      <c r="BL34" s="258">
        <f t="shared" si="21"/>
        <v>0</v>
      </c>
      <c r="BM34" s="258">
        <f t="shared" si="22"/>
        <v>0</v>
      </c>
      <c r="BN34" s="258">
        <f t="shared" si="23"/>
        <v>0</v>
      </c>
      <c r="BO34" s="258">
        <f t="shared" si="24"/>
        <v>0</v>
      </c>
      <c r="BP34" s="258">
        <f t="shared" si="25"/>
        <v>0</v>
      </c>
      <c r="BQ34" s="259">
        <f t="shared" si="26"/>
        <v>0</v>
      </c>
      <c r="BR34" s="676"/>
    </row>
    <row r="35" spans="1:70">
      <c r="A35" s="764" t="s">
        <v>637</v>
      </c>
      <c r="B35" s="765" t="s">
        <v>184</v>
      </c>
      <c r="C35" s="289"/>
      <c r="D35" s="767">
        <f>IFERROR(INDEX(Prop2018DistTar!Z:Z,MATCH($A35,Prop2018DistTar!$A:$A,),1),)</f>
        <v>0</v>
      </c>
      <c r="E35" s="766">
        <f>IFERROR(INDEX(Prop2018DistTar!AA:AA,MATCH($A35,Prop2018DistTar!$A:$A,),1),)</f>
        <v>0</v>
      </c>
      <c r="F35" s="766">
        <f>IFERROR(INDEX(Prop2018DistTar!AB:AB,MATCH($A35,Prop2018DistTar!$A:$A,),1),)</f>
        <v>0</v>
      </c>
      <c r="G35" s="766">
        <f>IFERROR(INDEX(Prop2018DistTar!AC:AC,MATCH($A35,Prop2018DistTar!$A:$A,),1),)</f>
        <v>0</v>
      </c>
      <c r="H35" s="766">
        <f>IFERROR(INDEX(Prop2018DistTar!AD:AD,MATCH($A35,Prop2018DistTar!$A:$A,),1),)</f>
        <v>0</v>
      </c>
      <c r="I35" s="766">
        <f>IFERROR(INDEX(Prop2018DistTar!AE:AE,MATCH($A35,Prop2018DistTar!$A:$A,),1),)</f>
        <v>0</v>
      </c>
      <c r="J35" s="766">
        <f>IFERROR(INDEX(Prop2018DistTar!AF:AF,MATCH($A35,Prop2018DistTar!$A:$A,),1),)</f>
        <v>0</v>
      </c>
      <c r="K35" s="766">
        <f>IFERROR(INDEX(Prop2018DistTar!AG:AG,MATCH($A35,Prop2018DistTar!$A:$A,),1),)</f>
        <v>0</v>
      </c>
      <c r="L35" s="766">
        <f>IFERROR(INDEX(Prop2018DistTar!AH:AH,MATCH($A35,Prop2018DistTar!$A:$A,),1),)</f>
        <v>0</v>
      </c>
      <c r="M35" s="766">
        <f>IFERROR(INDEX(Prop2018DistTar!AI:AI,MATCH($A35,Prop2018DistTar!$A:$A,),1),)</f>
        <v>0</v>
      </c>
      <c r="N35" s="766">
        <f>IFERROR(INDEX(Prop2018DistTar!AJ:AJ,MATCH($A35,Prop2018DistTar!$A:$A,),1),)</f>
        <v>0</v>
      </c>
      <c r="O35" s="766">
        <f>IFERROR(INDEX(Prop2018DistTar!AK:AK,MATCH($A35,Prop2018DistTar!$A:$A,),1),)</f>
        <v>0</v>
      </c>
      <c r="P35" s="766">
        <f>IFERROR(INDEX(Prop2018DistTar!AL:AL,MATCH($A35,Prop2018DistTar!$A:$A,),1),)</f>
        <v>0</v>
      </c>
      <c r="Q35" s="766">
        <f>IFERROR(INDEX(Prop2018DistTar!AM:AM,MATCH($A35,Prop2018DistTar!$A:$A,),1),)</f>
        <v>0</v>
      </c>
      <c r="R35" s="766">
        <f>IFERROR(INDEX(Prop2018DistTar!AN:AN,MATCH($A35,Prop2018DistTar!$A:$A,),1),)</f>
        <v>0</v>
      </c>
      <c r="S35" s="766">
        <f>IFERROR(INDEX(Prop2018DistTar!AO:AO,MATCH($A35,Prop2018DistTar!$A:$A,),1),)</f>
        <v>0</v>
      </c>
      <c r="T35" s="766">
        <f>IFERROR(INDEX(Prop2018DistTar!AP:AP,MATCH($A35,Prop2018DistTar!$A:$A,),1),)</f>
        <v>0</v>
      </c>
      <c r="U35" s="766">
        <f>IFERROR(INDEX(Prop2018DistTar!AQ:AQ,MATCH($A35,Prop2018DistTar!$A:$A,),1),)</f>
        <v>0</v>
      </c>
      <c r="V35" s="766">
        <f>IFERROR(INDEX(Prop2018DistTar!AR:AR,MATCH($A35,Prop2018DistTar!$A:$A,),1),)</f>
        <v>0</v>
      </c>
      <c r="W35" s="766">
        <f>IFERROR(INDEX(Prop2018DistTar!AS:AS,MATCH($A35,Prop2018DistTar!$A:$A,),1),)</f>
        <v>0</v>
      </c>
      <c r="X35" s="768"/>
      <c r="Z35" s="769">
        <v>0</v>
      </c>
      <c r="AA35" s="770">
        <v>0</v>
      </c>
      <c r="AB35" s="770">
        <v>0</v>
      </c>
      <c r="AC35" s="770">
        <v>0</v>
      </c>
      <c r="AD35" s="770">
        <v>0</v>
      </c>
      <c r="AE35" s="770">
        <v>0</v>
      </c>
      <c r="AF35" s="770">
        <v>0</v>
      </c>
      <c r="AG35" s="770">
        <v>0</v>
      </c>
      <c r="AH35" s="770">
        <v>0</v>
      </c>
      <c r="AI35" s="770">
        <v>0</v>
      </c>
      <c r="AJ35" s="770">
        <v>0</v>
      </c>
      <c r="AK35" s="770">
        <v>0</v>
      </c>
      <c r="AL35" s="770">
        <v>0</v>
      </c>
      <c r="AM35" s="770">
        <v>0</v>
      </c>
      <c r="AN35" s="770">
        <v>0</v>
      </c>
      <c r="AO35" s="770">
        <v>0</v>
      </c>
      <c r="AP35" s="770">
        <v>0</v>
      </c>
      <c r="AQ35" s="770">
        <v>0</v>
      </c>
      <c r="AR35" s="770">
        <v>0</v>
      </c>
      <c r="AS35" s="770">
        <v>0</v>
      </c>
      <c r="AT35" s="657">
        <v>0</v>
      </c>
      <c r="AU35" s="781"/>
      <c r="AV35" s="257">
        <f t="shared" si="5"/>
        <v>0</v>
      </c>
      <c r="AW35" s="224">
        <f t="shared" si="6"/>
        <v>0</v>
      </c>
      <c r="AX35" s="224">
        <f t="shared" si="7"/>
        <v>0</v>
      </c>
      <c r="AY35" s="224">
        <f t="shared" si="8"/>
        <v>0</v>
      </c>
      <c r="AZ35" s="224">
        <f t="shared" si="9"/>
        <v>0</v>
      </c>
      <c r="BA35" s="224">
        <f t="shared" si="10"/>
        <v>0</v>
      </c>
      <c r="BB35" s="224">
        <f t="shared" si="11"/>
        <v>0</v>
      </c>
      <c r="BC35" s="224">
        <f t="shared" si="12"/>
        <v>0</v>
      </c>
      <c r="BD35" s="224">
        <f t="shared" si="13"/>
        <v>0</v>
      </c>
      <c r="BE35" s="224">
        <f t="shared" si="14"/>
        <v>0</v>
      </c>
      <c r="BF35" s="224">
        <f t="shared" si="15"/>
        <v>0</v>
      </c>
      <c r="BG35" s="224">
        <f t="shared" si="16"/>
        <v>0</v>
      </c>
      <c r="BH35" s="224">
        <f t="shared" si="17"/>
        <v>0</v>
      </c>
      <c r="BI35" s="258">
        <f t="shared" si="18"/>
        <v>0</v>
      </c>
      <c r="BJ35" s="258">
        <f t="shared" si="19"/>
        <v>0</v>
      </c>
      <c r="BK35" s="258">
        <f t="shared" si="20"/>
        <v>0</v>
      </c>
      <c r="BL35" s="258">
        <f t="shared" si="21"/>
        <v>0</v>
      </c>
      <c r="BM35" s="258">
        <f t="shared" si="22"/>
        <v>0</v>
      </c>
      <c r="BN35" s="258">
        <f t="shared" si="23"/>
        <v>0</v>
      </c>
      <c r="BO35" s="258">
        <f t="shared" si="24"/>
        <v>0</v>
      </c>
      <c r="BP35" s="258">
        <f t="shared" si="25"/>
        <v>0</v>
      </c>
      <c r="BQ35" s="259">
        <f t="shared" si="26"/>
        <v>0</v>
      </c>
      <c r="BR35" s="676"/>
    </row>
    <row r="36" spans="1:70">
      <c r="A36" s="764" t="s">
        <v>638</v>
      </c>
      <c r="B36" s="765" t="s">
        <v>185</v>
      </c>
      <c r="C36" s="289"/>
      <c r="D36" s="767">
        <f>IFERROR(INDEX(Prop2018DistTar!Z:Z,MATCH($A36,Prop2018DistTar!$A:$A,),1),)</f>
        <v>0</v>
      </c>
      <c r="E36" s="766">
        <f>IFERROR(INDEX(Prop2018DistTar!AA:AA,MATCH($A36,Prop2018DistTar!$A:$A,),1),)</f>
        <v>0</v>
      </c>
      <c r="F36" s="766">
        <f>IFERROR(INDEX(Prop2018DistTar!AB:AB,MATCH($A36,Prop2018DistTar!$A:$A,),1),)</f>
        <v>0</v>
      </c>
      <c r="G36" s="766">
        <f>IFERROR(INDEX(Prop2018DistTar!AC:AC,MATCH($A36,Prop2018DistTar!$A:$A,),1),)</f>
        <v>0</v>
      </c>
      <c r="H36" s="766">
        <f>IFERROR(INDEX(Prop2018DistTar!AD:AD,MATCH($A36,Prop2018DistTar!$A:$A,),1),)</f>
        <v>0</v>
      </c>
      <c r="I36" s="766">
        <f>IFERROR(INDEX(Prop2018DistTar!AE:AE,MATCH($A36,Prop2018DistTar!$A:$A,),1),)</f>
        <v>0</v>
      </c>
      <c r="J36" s="766">
        <f>IFERROR(INDEX(Prop2018DistTar!AF:AF,MATCH($A36,Prop2018DistTar!$A:$A,),1),)</f>
        <v>0</v>
      </c>
      <c r="K36" s="766">
        <f>IFERROR(INDEX(Prop2018DistTar!AG:AG,MATCH($A36,Prop2018DistTar!$A:$A,),1),)</f>
        <v>0</v>
      </c>
      <c r="L36" s="766">
        <f>IFERROR(INDEX(Prop2018DistTar!AH:AH,MATCH($A36,Prop2018DistTar!$A:$A,),1),)</f>
        <v>0</v>
      </c>
      <c r="M36" s="766">
        <f>IFERROR(INDEX(Prop2018DistTar!AI:AI,MATCH($A36,Prop2018DistTar!$A:$A,),1),)</f>
        <v>0</v>
      </c>
      <c r="N36" s="766">
        <f>IFERROR(INDEX(Prop2018DistTar!AJ:AJ,MATCH($A36,Prop2018DistTar!$A:$A,),1),)</f>
        <v>0</v>
      </c>
      <c r="O36" s="766">
        <f>IFERROR(INDEX(Prop2018DistTar!AK:AK,MATCH($A36,Prop2018DistTar!$A:$A,),1),)</f>
        <v>0</v>
      </c>
      <c r="P36" s="766">
        <f>IFERROR(INDEX(Prop2018DistTar!AL:AL,MATCH($A36,Prop2018DistTar!$A:$A,),1),)</f>
        <v>0</v>
      </c>
      <c r="Q36" s="766">
        <f>IFERROR(INDEX(Prop2018DistTar!AM:AM,MATCH($A36,Prop2018DistTar!$A:$A,),1),)</f>
        <v>0</v>
      </c>
      <c r="R36" s="766">
        <f>IFERROR(INDEX(Prop2018DistTar!AN:AN,MATCH($A36,Prop2018DistTar!$A:$A,),1),)</f>
        <v>0</v>
      </c>
      <c r="S36" s="766">
        <f>IFERROR(INDEX(Prop2018DistTar!AO:AO,MATCH($A36,Prop2018DistTar!$A:$A,),1),)</f>
        <v>0</v>
      </c>
      <c r="T36" s="766">
        <f>IFERROR(INDEX(Prop2018DistTar!AP:AP,MATCH($A36,Prop2018DistTar!$A:$A,),1),)</f>
        <v>0</v>
      </c>
      <c r="U36" s="766">
        <f>IFERROR(INDEX(Prop2018DistTar!AQ:AQ,MATCH($A36,Prop2018DistTar!$A:$A,),1),)</f>
        <v>0</v>
      </c>
      <c r="V36" s="766">
        <f>IFERROR(INDEX(Prop2018DistTar!AR:AR,MATCH($A36,Prop2018DistTar!$A:$A,),1),)</f>
        <v>0</v>
      </c>
      <c r="W36" s="766">
        <f>IFERROR(INDEX(Prop2018DistTar!AS:AS,MATCH($A36,Prop2018DistTar!$A:$A,),1),)</f>
        <v>0</v>
      </c>
      <c r="X36" s="768"/>
      <c r="Z36" s="769">
        <v>0</v>
      </c>
      <c r="AA36" s="770">
        <v>0</v>
      </c>
      <c r="AB36" s="770">
        <v>0</v>
      </c>
      <c r="AC36" s="770">
        <v>0</v>
      </c>
      <c r="AD36" s="770">
        <v>0</v>
      </c>
      <c r="AE36" s="770">
        <v>0</v>
      </c>
      <c r="AF36" s="770">
        <v>0</v>
      </c>
      <c r="AG36" s="770">
        <v>0</v>
      </c>
      <c r="AH36" s="770">
        <v>0</v>
      </c>
      <c r="AI36" s="770">
        <v>0</v>
      </c>
      <c r="AJ36" s="770">
        <v>0</v>
      </c>
      <c r="AK36" s="770">
        <v>0</v>
      </c>
      <c r="AL36" s="770">
        <v>0</v>
      </c>
      <c r="AM36" s="770">
        <v>0</v>
      </c>
      <c r="AN36" s="770">
        <v>0</v>
      </c>
      <c r="AO36" s="770">
        <v>0</v>
      </c>
      <c r="AP36" s="770">
        <v>0</v>
      </c>
      <c r="AQ36" s="770">
        <v>0</v>
      </c>
      <c r="AR36" s="770">
        <v>0</v>
      </c>
      <c r="AS36" s="770">
        <v>0</v>
      </c>
      <c r="AT36" s="657">
        <v>0</v>
      </c>
      <c r="AU36" s="781"/>
      <c r="AV36" s="257">
        <f t="shared" si="5"/>
        <v>0</v>
      </c>
      <c r="AW36" s="224">
        <f t="shared" si="6"/>
        <v>0</v>
      </c>
      <c r="AX36" s="224">
        <f t="shared" si="7"/>
        <v>0</v>
      </c>
      <c r="AY36" s="224">
        <f t="shared" si="8"/>
        <v>0</v>
      </c>
      <c r="AZ36" s="224">
        <f t="shared" si="9"/>
        <v>0</v>
      </c>
      <c r="BA36" s="224">
        <f t="shared" si="10"/>
        <v>0</v>
      </c>
      <c r="BB36" s="224">
        <f t="shared" si="11"/>
        <v>0</v>
      </c>
      <c r="BC36" s="224">
        <f t="shared" si="12"/>
        <v>0</v>
      </c>
      <c r="BD36" s="224">
        <f t="shared" si="13"/>
        <v>0</v>
      </c>
      <c r="BE36" s="224">
        <f t="shared" si="14"/>
        <v>0</v>
      </c>
      <c r="BF36" s="224">
        <f t="shared" si="15"/>
        <v>0</v>
      </c>
      <c r="BG36" s="224">
        <f t="shared" si="16"/>
        <v>0</v>
      </c>
      <c r="BH36" s="224">
        <f t="shared" si="17"/>
        <v>0</v>
      </c>
      <c r="BI36" s="258">
        <f t="shared" si="18"/>
        <v>0</v>
      </c>
      <c r="BJ36" s="258">
        <f t="shared" si="19"/>
        <v>0</v>
      </c>
      <c r="BK36" s="258">
        <f t="shared" si="20"/>
        <v>0</v>
      </c>
      <c r="BL36" s="258">
        <f t="shared" si="21"/>
        <v>0</v>
      </c>
      <c r="BM36" s="258">
        <f t="shared" si="22"/>
        <v>0</v>
      </c>
      <c r="BN36" s="258">
        <f t="shared" si="23"/>
        <v>0</v>
      </c>
      <c r="BO36" s="258">
        <f t="shared" si="24"/>
        <v>0</v>
      </c>
      <c r="BP36" s="258">
        <f t="shared" si="25"/>
        <v>0</v>
      </c>
      <c r="BQ36" s="259">
        <f t="shared" si="26"/>
        <v>0</v>
      </c>
      <c r="BR36" s="676"/>
    </row>
    <row r="37" spans="1:70">
      <c r="A37" s="764" t="s">
        <v>639</v>
      </c>
      <c r="B37" s="765" t="s">
        <v>186</v>
      </c>
      <c r="C37" s="289"/>
      <c r="D37" s="767">
        <f>IFERROR(INDEX(Prop2018DistTar!Z:Z,MATCH($A37,Prop2018DistTar!$A:$A,),1),)</f>
        <v>0</v>
      </c>
      <c r="E37" s="766">
        <f>IFERROR(INDEX(Prop2018DistTar!AA:AA,MATCH($A37,Prop2018DistTar!$A:$A,),1),)</f>
        <v>0</v>
      </c>
      <c r="F37" s="766">
        <f>IFERROR(INDEX(Prop2018DistTar!AB:AB,MATCH($A37,Prop2018DistTar!$A:$A,),1),)</f>
        <v>0</v>
      </c>
      <c r="G37" s="766">
        <f>IFERROR(INDEX(Prop2018DistTar!AC:AC,MATCH($A37,Prop2018DistTar!$A:$A,),1),)</f>
        <v>0</v>
      </c>
      <c r="H37" s="766">
        <f>IFERROR(INDEX(Prop2018DistTar!AD:AD,MATCH($A37,Prop2018DistTar!$A:$A,),1),)</f>
        <v>0</v>
      </c>
      <c r="I37" s="766">
        <f>IFERROR(INDEX(Prop2018DistTar!AE:AE,MATCH($A37,Prop2018DistTar!$A:$A,),1),)</f>
        <v>0</v>
      </c>
      <c r="J37" s="766">
        <f>IFERROR(INDEX(Prop2018DistTar!AF:AF,MATCH($A37,Prop2018DistTar!$A:$A,),1),)</f>
        <v>0</v>
      </c>
      <c r="K37" s="766">
        <f>IFERROR(INDEX(Prop2018DistTar!AG:AG,MATCH($A37,Prop2018DistTar!$A:$A,),1),)</f>
        <v>0</v>
      </c>
      <c r="L37" s="766">
        <f>IFERROR(INDEX(Prop2018DistTar!AH:AH,MATCH($A37,Prop2018DistTar!$A:$A,),1),)</f>
        <v>0</v>
      </c>
      <c r="M37" s="766">
        <f>IFERROR(INDEX(Prop2018DistTar!AI:AI,MATCH($A37,Prop2018DistTar!$A:$A,),1),)</f>
        <v>0</v>
      </c>
      <c r="N37" s="766">
        <f>IFERROR(INDEX(Prop2018DistTar!AJ:AJ,MATCH($A37,Prop2018DistTar!$A:$A,),1),)</f>
        <v>0</v>
      </c>
      <c r="O37" s="766">
        <f>IFERROR(INDEX(Prop2018DistTar!AK:AK,MATCH($A37,Prop2018DistTar!$A:$A,),1),)</f>
        <v>0</v>
      </c>
      <c r="P37" s="766">
        <f>IFERROR(INDEX(Prop2018DistTar!AL:AL,MATCH($A37,Prop2018DistTar!$A:$A,),1),)</f>
        <v>0</v>
      </c>
      <c r="Q37" s="766">
        <f>IFERROR(INDEX(Prop2018DistTar!AM:AM,MATCH($A37,Prop2018DistTar!$A:$A,),1),)</f>
        <v>0</v>
      </c>
      <c r="R37" s="766">
        <f>IFERROR(INDEX(Prop2018DistTar!AN:AN,MATCH($A37,Prop2018DistTar!$A:$A,),1),)</f>
        <v>0</v>
      </c>
      <c r="S37" s="766">
        <f>IFERROR(INDEX(Prop2018DistTar!AO:AO,MATCH($A37,Prop2018DistTar!$A:$A,),1),)</f>
        <v>0</v>
      </c>
      <c r="T37" s="766">
        <f>IFERROR(INDEX(Prop2018DistTar!AP:AP,MATCH($A37,Prop2018DistTar!$A:$A,),1),)</f>
        <v>0</v>
      </c>
      <c r="U37" s="766">
        <f>IFERROR(INDEX(Prop2018DistTar!AQ:AQ,MATCH($A37,Prop2018DistTar!$A:$A,),1),)</f>
        <v>0</v>
      </c>
      <c r="V37" s="766">
        <f>IFERROR(INDEX(Prop2018DistTar!AR:AR,MATCH($A37,Prop2018DistTar!$A:$A,),1),)</f>
        <v>0</v>
      </c>
      <c r="W37" s="766">
        <f>IFERROR(INDEX(Prop2018DistTar!AS:AS,MATCH($A37,Prop2018DistTar!$A:$A,),1),)</f>
        <v>0</v>
      </c>
      <c r="X37" s="768"/>
      <c r="Z37" s="769">
        <v>0</v>
      </c>
      <c r="AA37" s="770">
        <v>0</v>
      </c>
      <c r="AB37" s="770">
        <v>0</v>
      </c>
      <c r="AC37" s="770">
        <v>0</v>
      </c>
      <c r="AD37" s="770">
        <v>0</v>
      </c>
      <c r="AE37" s="770">
        <v>0</v>
      </c>
      <c r="AF37" s="770">
        <v>0</v>
      </c>
      <c r="AG37" s="770">
        <v>0</v>
      </c>
      <c r="AH37" s="770">
        <v>0</v>
      </c>
      <c r="AI37" s="770">
        <v>0</v>
      </c>
      <c r="AJ37" s="770">
        <v>0</v>
      </c>
      <c r="AK37" s="770">
        <v>0</v>
      </c>
      <c r="AL37" s="770">
        <v>0</v>
      </c>
      <c r="AM37" s="770">
        <v>0</v>
      </c>
      <c r="AN37" s="770">
        <v>0</v>
      </c>
      <c r="AO37" s="770">
        <v>0</v>
      </c>
      <c r="AP37" s="770">
        <v>0</v>
      </c>
      <c r="AQ37" s="770">
        <v>0</v>
      </c>
      <c r="AR37" s="770">
        <v>0</v>
      </c>
      <c r="AS37" s="770">
        <v>0</v>
      </c>
      <c r="AT37" s="657">
        <v>0</v>
      </c>
      <c r="AU37" s="781"/>
      <c r="AV37" s="257">
        <f t="shared" si="5"/>
        <v>0</v>
      </c>
      <c r="AW37" s="224">
        <f t="shared" si="6"/>
        <v>0</v>
      </c>
      <c r="AX37" s="224">
        <f t="shared" si="7"/>
        <v>0</v>
      </c>
      <c r="AY37" s="224">
        <f t="shared" si="8"/>
        <v>0</v>
      </c>
      <c r="AZ37" s="224">
        <f t="shared" si="9"/>
        <v>0</v>
      </c>
      <c r="BA37" s="224">
        <f t="shared" si="10"/>
        <v>0</v>
      </c>
      <c r="BB37" s="224">
        <f t="shared" si="11"/>
        <v>0</v>
      </c>
      <c r="BC37" s="224">
        <f t="shared" si="12"/>
        <v>0</v>
      </c>
      <c r="BD37" s="224">
        <f t="shared" si="13"/>
        <v>0</v>
      </c>
      <c r="BE37" s="224">
        <f t="shared" si="14"/>
        <v>0</v>
      </c>
      <c r="BF37" s="224">
        <f t="shared" si="15"/>
        <v>0</v>
      </c>
      <c r="BG37" s="224">
        <f t="shared" si="16"/>
        <v>0</v>
      </c>
      <c r="BH37" s="224">
        <f t="shared" si="17"/>
        <v>0</v>
      </c>
      <c r="BI37" s="258">
        <f t="shared" si="18"/>
        <v>0</v>
      </c>
      <c r="BJ37" s="258">
        <f t="shared" si="19"/>
        <v>0</v>
      </c>
      <c r="BK37" s="258">
        <f t="shared" si="20"/>
        <v>0</v>
      </c>
      <c r="BL37" s="258">
        <f t="shared" si="21"/>
        <v>0</v>
      </c>
      <c r="BM37" s="258">
        <f t="shared" si="22"/>
        <v>0</v>
      </c>
      <c r="BN37" s="258">
        <f t="shared" si="23"/>
        <v>0</v>
      </c>
      <c r="BO37" s="258">
        <f t="shared" si="24"/>
        <v>0</v>
      </c>
      <c r="BP37" s="258">
        <f t="shared" si="25"/>
        <v>0</v>
      </c>
      <c r="BQ37" s="259">
        <f t="shared" si="26"/>
        <v>0</v>
      </c>
      <c r="BR37" s="676"/>
    </row>
    <row r="38" spans="1:70">
      <c r="A38" s="764" t="s">
        <v>640</v>
      </c>
      <c r="B38" s="765" t="s">
        <v>187</v>
      </c>
      <c r="C38" s="289"/>
      <c r="D38" s="767">
        <f>IFERROR(INDEX(Prop2018DistTar!Z:Z,MATCH($A38,Prop2018DistTar!$A:$A,),1),)</f>
        <v>0</v>
      </c>
      <c r="E38" s="766">
        <f>IFERROR(INDEX(Prop2018DistTar!AA:AA,MATCH($A38,Prop2018DistTar!$A:$A,),1),)</f>
        <v>0</v>
      </c>
      <c r="F38" s="766">
        <f>IFERROR(INDEX(Prop2018DistTar!AB:AB,MATCH($A38,Prop2018DistTar!$A:$A,),1),)</f>
        <v>0</v>
      </c>
      <c r="G38" s="766">
        <f>IFERROR(INDEX(Prop2018DistTar!AC:AC,MATCH($A38,Prop2018DistTar!$A:$A,),1),)</f>
        <v>0</v>
      </c>
      <c r="H38" s="766">
        <f>IFERROR(INDEX(Prop2018DistTar!AD:AD,MATCH($A38,Prop2018DistTar!$A:$A,),1),)</f>
        <v>0</v>
      </c>
      <c r="I38" s="766">
        <f>IFERROR(INDEX(Prop2018DistTar!AE:AE,MATCH($A38,Prop2018DistTar!$A:$A,),1),)</f>
        <v>0</v>
      </c>
      <c r="J38" s="766">
        <f>IFERROR(INDEX(Prop2018DistTar!AF:AF,MATCH($A38,Prop2018DistTar!$A:$A,),1),)</f>
        <v>0</v>
      </c>
      <c r="K38" s="766">
        <f>IFERROR(INDEX(Prop2018DistTar!AG:AG,MATCH($A38,Prop2018DistTar!$A:$A,),1),)</f>
        <v>0</v>
      </c>
      <c r="L38" s="766">
        <f>IFERROR(INDEX(Prop2018DistTar!AH:AH,MATCH($A38,Prop2018DistTar!$A:$A,),1),)</f>
        <v>0</v>
      </c>
      <c r="M38" s="766">
        <f>IFERROR(INDEX(Prop2018DistTar!AI:AI,MATCH($A38,Prop2018DistTar!$A:$A,),1),)</f>
        <v>0</v>
      </c>
      <c r="N38" s="766">
        <f>IFERROR(INDEX(Prop2018DistTar!AJ:AJ,MATCH($A38,Prop2018DistTar!$A:$A,),1),)</f>
        <v>0</v>
      </c>
      <c r="O38" s="766">
        <f>IFERROR(INDEX(Prop2018DistTar!AK:AK,MATCH($A38,Prop2018DistTar!$A:$A,),1),)</f>
        <v>0</v>
      </c>
      <c r="P38" s="766">
        <f>IFERROR(INDEX(Prop2018DistTar!AL:AL,MATCH($A38,Prop2018DistTar!$A:$A,),1),)</f>
        <v>0</v>
      </c>
      <c r="Q38" s="766">
        <f>IFERROR(INDEX(Prop2018DistTar!AM:AM,MATCH($A38,Prop2018DistTar!$A:$A,),1),)</f>
        <v>0</v>
      </c>
      <c r="R38" s="766">
        <f>IFERROR(INDEX(Prop2018DistTar!AN:AN,MATCH($A38,Prop2018DistTar!$A:$A,),1),)</f>
        <v>0</v>
      </c>
      <c r="S38" s="766">
        <f>IFERROR(INDEX(Prop2018DistTar!AO:AO,MATCH($A38,Prop2018DistTar!$A:$A,),1),)</f>
        <v>0</v>
      </c>
      <c r="T38" s="766">
        <f>IFERROR(INDEX(Prop2018DistTar!AP:AP,MATCH($A38,Prop2018DistTar!$A:$A,),1),)</f>
        <v>0</v>
      </c>
      <c r="U38" s="766">
        <f>IFERROR(INDEX(Prop2018DistTar!AQ:AQ,MATCH($A38,Prop2018DistTar!$A:$A,),1),)</f>
        <v>0</v>
      </c>
      <c r="V38" s="766">
        <f>IFERROR(INDEX(Prop2018DistTar!AR:AR,MATCH($A38,Prop2018DistTar!$A:$A,),1),)</f>
        <v>0</v>
      </c>
      <c r="W38" s="766">
        <f>IFERROR(INDEX(Prop2018DistTar!AS:AS,MATCH($A38,Prop2018DistTar!$A:$A,),1),)</f>
        <v>0</v>
      </c>
      <c r="X38" s="768"/>
      <c r="Z38" s="769">
        <v>0</v>
      </c>
      <c r="AA38" s="770">
        <v>0</v>
      </c>
      <c r="AB38" s="770">
        <v>0</v>
      </c>
      <c r="AC38" s="770">
        <v>0</v>
      </c>
      <c r="AD38" s="770">
        <v>0</v>
      </c>
      <c r="AE38" s="770">
        <v>0</v>
      </c>
      <c r="AF38" s="770">
        <v>0</v>
      </c>
      <c r="AG38" s="770">
        <v>0</v>
      </c>
      <c r="AH38" s="770">
        <v>0</v>
      </c>
      <c r="AI38" s="770">
        <v>0</v>
      </c>
      <c r="AJ38" s="770">
        <v>0</v>
      </c>
      <c r="AK38" s="770">
        <v>0</v>
      </c>
      <c r="AL38" s="770">
        <v>0</v>
      </c>
      <c r="AM38" s="770">
        <v>0</v>
      </c>
      <c r="AN38" s="770">
        <v>0</v>
      </c>
      <c r="AO38" s="770">
        <v>0</v>
      </c>
      <c r="AP38" s="770">
        <v>0</v>
      </c>
      <c r="AQ38" s="770">
        <v>0</v>
      </c>
      <c r="AR38" s="770">
        <v>0</v>
      </c>
      <c r="AS38" s="770">
        <v>0</v>
      </c>
      <c r="AT38" s="657">
        <v>0</v>
      </c>
      <c r="AU38" s="781"/>
      <c r="AV38" s="257">
        <f t="shared" si="5"/>
        <v>0</v>
      </c>
      <c r="AW38" s="224">
        <f t="shared" si="6"/>
        <v>0</v>
      </c>
      <c r="AX38" s="224">
        <f t="shared" si="7"/>
        <v>0</v>
      </c>
      <c r="AY38" s="224">
        <f t="shared" si="8"/>
        <v>0</v>
      </c>
      <c r="AZ38" s="224">
        <f t="shared" si="9"/>
        <v>0</v>
      </c>
      <c r="BA38" s="224">
        <f t="shared" si="10"/>
        <v>0</v>
      </c>
      <c r="BB38" s="224">
        <f t="shared" si="11"/>
        <v>0</v>
      </c>
      <c r="BC38" s="224">
        <f t="shared" si="12"/>
        <v>0</v>
      </c>
      <c r="BD38" s="224">
        <f t="shared" si="13"/>
        <v>0</v>
      </c>
      <c r="BE38" s="224">
        <f t="shared" si="14"/>
        <v>0</v>
      </c>
      <c r="BF38" s="224">
        <f t="shared" si="15"/>
        <v>0</v>
      </c>
      <c r="BG38" s="224">
        <f t="shared" si="16"/>
        <v>0</v>
      </c>
      <c r="BH38" s="224">
        <f t="shared" si="17"/>
        <v>0</v>
      </c>
      <c r="BI38" s="258">
        <f t="shared" si="18"/>
        <v>0</v>
      </c>
      <c r="BJ38" s="258">
        <f t="shared" si="19"/>
        <v>0</v>
      </c>
      <c r="BK38" s="258">
        <f t="shared" si="20"/>
        <v>0</v>
      </c>
      <c r="BL38" s="258">
        <f t="shared" si="21"/>
        <v>0</v>
      </c>
      <c r="BM38" s="258">
        <f t="shared" si="22"/>
        <v>0</v>
      </c>
      <c r="BN38" s="258">
        <f t="shared" si="23"/>
        <v>0</v>
      </c>
      <c r="BO38" s="258">
        <f t="shared" si="24"/>
        <v>0</v>
      </c>
      <c r="BP38" s="258">
        <f t="shared" si="25"/>
        <v>0</v>
      </c>
      <c r="BQ38" s="259">
        <f t="shared" si="26"/>
        <v>0</v>
      </c>
      <c r="BR38" s="676"/>
    </row>
    <row r="39" spans="1:70">
      <c r="A39" s="764" t="s">
        <v>641</v>
      </c>
      <c r="B39" s="765" t="s">
        <v>188</v>
      </c>
      <c r="C39" s="289"/>
      <c r="D39" s="767">
        <f>IFERROR(INDEX(Prop2018DistTar!Z:Z,MATCH($A39,Prop2018DistTar!$A:$A,),1),)</f>
        <v>0</v>
      </c>
      <c r="E39" s="766">
        <f>IFERROR(INDEX(Prop2018DistTar!AA:AA,MATCH($A39,Prop2018DistTar!$A:$A,),1),)</f>
        <v>0</v>
      </c>
      <c r="F39" s="766">
        <f>IFERROR(INDEX(Prop2018DistTar!AB:AB,MATCH($A39,Prop2018DistTar!$A:$A,),1),)</f>
        <v>0</v>
      </c>
      <c r="G39" s="766">
        <f>IFERROR(INDEX(Prop2018DistTar!AC:AC,MATCH($A39,Prop2018DistTar!$A:$A,),1),)</f>
        <v>0</v>
      </c>
      <c r="H39" s="766">
        <f>IFERROR(INDEX(Prop2018DistTar!AD:AD,MATCH($A39,Prop2018DistTar!$A:$A,),1),)</f>
        <v>0</v>
      </c>
      <c r="I39" s="766">
        <f>IFERROR(INDEX(Prop2018DistTar!AE:AE,MATCH($A39,Prop2018DistTar!$A:$A,),1),)</f>
        <v>0</v>
      </c>
      <c r="J39" s="766">
        <f>IFERROR(INDEX(Prop2018DistTar!AF:AF,MATCH($A39,Prop2018DistTar!$A:$A,),1),)</f>
        <v>0</v>
      </c>
      <c r="K39" s="766">
        <f>IFERROR(INDEX(Prop2018DistTar!AG:AG,MATCH($A39,Prop2018DistTar!$A:$A,),1),)</f>
        <v>0</v>
      </c>
      <c r="L39" s="766">
        <f>IFERROR(INDEX(Prop2018DistTar!AH:AH,MATCH($A39,Prop2018DistTar!$A:$A,),1),)</f>
        <v>0</v>
      </c>
      <c r="M39" s="766">
        <f>IFERROR(INDEX(Prop2018DistTar!AI:AI,MATCH($A39,Prop2018DistTar!$A:$A,),1),)</f>
        <v>0</v>
      </c>
      <c r="N39" s="766">
        <f>IFERROR(INDEX(Prop2018DistTar!AJ:AJ,MATCH($A39,Prop2018DistTar!$A:$A,),1),)</f>
        <v>0</v>
      </c>
      <c r="O39" s="766">
        <f>IFERROR(INDEX(Prop2018DistTar!AK:AK,MATCH($A39,Prop2018DistTar!$A:$A,),1),)</f>
        <v>0</v>
      </c>
      <c r="P39" s="766">
        <f>IFERROR(INDEX(Prop2018DistTar!AL:AL,MATCH($A39,Prop2018DistTar!$A:$A,),1),)</f>
        <v>0</v>
      </c>
      <c r="Q39" s="766">
        <f>IFERROR(INDEX(Prop2018DistTar!AM:AM,MATCH($A39,Prop2018DistTar!$A:$A,),1),)</f>
        <v>0</v>
      </c>
      <c r="R39" s="766">
        <f>IFERROR(INDEX(Prop2018DistTar!AN:AN,MATCH($A39,Prop2018DistTar!$A:$A,),1),)</f>
        <v>0</v>
      </c>
      <c r="S39" s="766">
        <f>IFERROR(INDEX(Prop2018DistTar!AO:AO,MATCH($A39,Prop2018DistTar!$A:$A,),1),)</f>
        <v>0</v>
      </c>
      <c r="T39" s="766">
        <f>IFERROR(INDEX(Prop2018DistTar!AP:AP,MATCH($A39,Prop2018DistTar!$A:$A,),1),)</f>
        <v>0</v>
      </c>
      <c r="U39" s="766">
        <f>IFERROR(INDEX(Prop2018DistTar!AQ:AQ,MATCH($A39,Prop2018DistTar!$A:$A,),1),)</f>
        <v>0</v>
      </c>
      <c r="V39" s="766">
        <f>IFERROR(INDEX(Prop2018DistTar!AR:AR,MATCH($A39,Prop2018DistTar!$A:$A,),1),)</f>
        <v>0</v>
      </c>
      <c r="W39" s="766">
        <f>IFERROR(INDEX(Prop2018DistTar!AS:AS,MATCH($A39,Prop2018DistTar!$A:$A,),1),)</f>
        <v>0</v>
      </c>
      <c r="X39" s="768"/>
      <c r="Z39" s="769">
        <v>0</v>
      </c>
      <c r="AA39" s="770">
        <v>0</v>
      </c>
      <c r="AB39" s="770">
        <v>0</v>
      </c>
      <c r="AC39" s="770">
        <v>0</v>
      </c>
      <c r="AD39" s="770">
        <v>0</v>
      </c>
      <c r="AE39" s="770">
        <v>0</v>
      </c>
      <c r="AF39" s="770">
        <v>0</v>
      </c>
      <c r="AG39" s="770">
        <v>0</v>
      </c>
      <c r="AH39" s="770">
        <v>0</v>
      </c>
      <c r="AI39" s="770">
        <v>0</v>
      </c>
      <c r="AJ39" s="770">
        <v>0</v>
      </c>
      <c r="AK39" s="770">
        <v>0</v>
      </c>
      <c r="AL39" s="770">
        <v>0</v>
      </c>
      <c r="AM39" s="770">
        <v>0</v>
      </c>
      <c r="AN39" s="770">
        <v>0</v>
      </c>
      <c r="AO39" s="770">
        <v>0</v>
      </c>
      <c r="AP39" s="770">
        <v>0</v>
      </c>
      <c r="AQ39" s="770">
        <v>0</v>
      </c>
      <c r="AR39" s="770">
        <v>0</v>
      </c>
      <c r="AS39" s="770">
        <v>0</v>
      </c>
      <c r="AT39" s="657">
        <v>0</v>
      </c>
      <c r="AU39" s="781"/>
      <c r="AV39" s="257">
        <f t="shared" si="5"/>
        <v>0</v>
      </c>
      <c r="AW39" s="224">
        <f t="shared" si="6"/>
        <v>0</v>
      </c>
      <c r="AX39" s="224">
        <f t="shared" si="7"/>
        <v>0</v>
      </c>
      <c r="AY39" s="224">
        <f t="shared" si="8"/>
        <v>0</v>
      </c>
      <c r="AZ39" s="224">
        <f t="shared" si="9"/>
        <v>0</v>
      </c>
      <c r="BA39" s="224">
        <f t="shared" si="10"/>
        <v>0</v>
      </c>
      <c r="BB39" s="224">
        <f t="shared" si="11"/>
        <v>0</v>
      </c>
      <c r="BC39" s="224">
        <f t="shared" si="12"/>
        <v>0</v>
      </c>
      <c r="BD39" s="224">
        <f t="shared" si="13"/>
        <v>0</v>
      </c>
      <c r="BE39" s="224">
        <f t="shared" si="14"/>
        <v>0</v>
      </c>
      <c r="BF39" s="224">
        <f t="shared" si="15"/>
        <v>0</v>
      </c>
      <c r="BG39" s="224">
        <f t="shared" si="16"/>
        <v>0</v>
      </c>
      <c r="BH39" s="224">
        <f t="shared" si="17"/>
        <v>0</v>
      </c>
      <c r="BI39" s="258">
        <f t="shared" si="18"/>
        <v>0</v>
      </c>
      <c r="BJ39" s="258">
        <f t="shared" si="19"/>
        <v>0</v>
      </c>
      <c r="BK39" s="258">
        <f t="shared" si="20"/>
        <v>0</v>
      </c>
      <c r="BL39" s="258">
        <f t="shared" si="21"/>
        <v>0</v>
      </c>
      <c r="BM39" s="258">
        <f t="shared" si="22"/>
        <v>0</v>
      </c>
      <c r="BN39" s="258">
        <f t="shared" si="23"/>
        <v>0</v>
      </c>
      <c r="BO39" s="258">
        <f t="shared" si="24"/>
        <v>0</v>
      </c>
      <c r="BP39" s="258">
        <f t="shared" si="25"/>
        <v>0</v>
      </c>
      <c r="BQ39" s="259">
        <f t="shared" si="26"/>
        <v>0</v>
      </c>
      <c r="BR39" s="676"/>
    </row>
    <row r="40" spans="1:70">
      <c r="A40" s="764" t="s">
        <v>642</v>
      </c>
      <c r="B40" s="765" t="s">
        <v>189</v>
      </c>
      <c r="C40" s="289"/>
      <c r="D40" s="767">
        <f>IFERROR(INDEX(Prop2018DistTar!Z:Z,MATCH($A40,Prop2018DistTar!$A:$A,),1),)</f>
        <v>0</v>
      </c>
      <c r="E40" s="766">
        <f>IFERROR(INDEX(Prop2018DistTar!AA:AA,MATCH($A40,Prop2018DistTar!$A:$A,),1),)</f>
        <v>0</v>
      </c>
      <c r="F40" s="766">
        <f>IFERROR(INDEX(Prop2018DistTar!AB:AB,MATCH($A40,Prop2018DistTar!$A:$A,),1),)</f>
        <v>0</v>
      </c>
      <c r="G40" s="766">
        <f>IFERROR(INDEX(Prop2018DistTar!AC:AC,MATCH($A40,Prop2018DistTar!$A:$A,),1),)</f>
        <v>0</v>
      </c>
      <c r="H40" s="766">
        <f>IFERROR(INDEX(Prop2018DistTar!AD:AD,MATCH($A40,Prop2018DistTar!$A:$A,),1),)</f>
        <v>0</v>
      </c>
      <c r="I40" s="766">
        <f>IFERROR(INDEX(Prop2018DistTar!AE:AE,MATCH($A40,Prop2018DistTar!$A:$A,),1),)</f>
        <v>0</v>
      </c>
      <c r="J40" s="766">
        <f>IFERROR(INDEX(Prop2018DistTar!AF:AF,MATCH($A40,Prop2018DistTar!$A:$A,),1),)</f>
        <v>0</v>
      </c>
      <c r="K40" s="766">
        <f>IFERROR(INDEX(Prop2018DistTar!AG:AG,MATCH($A40,Prop2018DistTar!$A:$A,),1),)</f>
        <v>0</v>
      </c>
      <c r="L40" s="766">
        <f>IFERROR(INDEX(Prop2018DistTar!AH:AH,MATCH($A40,Prop2018DistTar!$A:$A,),1),)</f>
        <v>0</v>
      </c>
      <c r="M40" s="766">
        <f>IFERROR(INDEX(Prop2018DistTar!AI:AI,MATCH($A40,Prop2018DistTar!$A:$A,),1),)</f>
        <v>0</v>
      </c>
      <c r="N40" s="766">
        <f>IFERROR(INDEX(Prop2018DistTar!AJ:AJ,MATCH($A40,Prop2018DistTar!$A:$A,),1),)</f>
        <v>0</v>
      </c>
      <c r="O40" s="766">
        <f>IFERROR(INDEX(Prop2018DistTar!AK:AK,MATCH($A40,Prop2018DistTar!$A:$A,),1),)</f>
        <v>0</v>
      </c>
      <c r="P40" s="766">
        <f>IFERROR(INDEX(Prop2018DistTar!AL:AL,MATCH($A40,Prop2018DistTar!$A:$A,),1),)</f>
        <v>0</v>
      </c>
      <c r="Q40" s="766">
        <f>IFERROR(INDEX(Prop2018DistTar!AM:AM,MATCH($A40,Prop2018DistTar!$A:$A,),1),)</f>
        <v>0</v>
      </c>
      <c r="R40" s="766">
        <f>IFERROR(INDEX(Prop2018DistTar!AN:AN,MATCH($A40,Prop2018DistTar!$A:$A,),1),)</f>
        <v>0</v>
      </c>
      <c r="S40" s="766">
        <f>IFERROR(INDEX(Prop2018DistTar!AO:AO,MATCH($A40,Prop2018DistTar!$A:$A,),1),)</f>
        <v>0</v>
      </c>
      <c r="T40" s="766">
        <f>IFERROR(INDEX(Prop2018DistTar!AP:AP,MATCH($A40,Prop2018DistTar!$A:$A,),1),)</f>
        <v>0</v>
      </c>
      <c r="U40" s="766">
        <f>IFERROR(INDEX(Prop2018DistTar!AQ:AQ,MATCH($A40,Prop2018DistTar!$A:$A,),1),)</f>
        <v>0</v>
      </c>
      <c r="V40" s="766">
        <f>IFERROR(INDEX(Prop2018DistTar!AR:AR,MATCH($A40,Prop2018DistTar!$A:$A,),1),)</f>
        <v>0</v>
      </c>
      <c r="W40" s="766">
        <f>IFERROR(INDEX(Prop2018DistTar!AS:AS,MATCH($A40,Prop2018DistTar!$A:$A,),1),)</f>
        <v>0</v>
      </c>
      <c r="X40" s="768"/>
      <c r="Z40" s="769">
        <v>0</v>
      </c>
      <c r="AA40" s="770">
        <v>0</v>
      </c>
      <c r="AB40" s="770">
        <v>0</v>
      </c>
      <c r="AC40" s="770">
        <v>0</v>
      </c>
      <c r="AD40" s="770">
        <v>0</v>
      </c>
      <c r="AE40" s="770">
        <v>0</v>
      </c>
      <c r="AF40" s="770">
        <v>0</v>
      </c>
      <c r="AG40" s="770">
        <v>0</v>
      </c>
      <c r="AH40" s="770">
        <v>0</v>
      </c>
      <c r="AI40" s="770">
        <v>0</v>
      </c>
      <c r="AJ40" s="770">
        <v>0</v>
      </c>
      <c r="AK40" s="770">
        <v>0</v>
      </c>
      <c r="AL40" s="770">
        <v>0</v>
      </c>
      <c r="AM40" s="770">
        <v>0</v>
      </c>
      <c r="AN40" s="770">
        <v>0</v>
      </c>
      <c r="AO40" s="770">
        <v>0</v>
      </c>
      <c r="AP40" s="770">
        <v>0</v>
      </c>
      <c r="AQ40" s="770">
        <v>0</v>
      </c>
      <c r="AR40" s="770">
        <v>0</v>
      </c>
      <c r="AS40" s="770">
        <v>0</v>
      </c>
      <c r="AT40" s="657">
        <v>0</v>
      </c>
      <c r="AU40" s="781"/>
      <c r="AV40" s="257">
        <f t="shared" si="5"/>
        <v>0</v>
      </c>
      <c r="AW40" s="224">
        <f t="shared" si="6"/>
        <v>0</v>
      </c>
      <c r="AX40" s="224">
        <f t="shared" si="7"/>
        <v>0</v>
      </c>
      <c r="AY40" s="224">
        <f t="shared" si="8"/>
        <v>0</v>
      </c>
      <c r="AZ40" s="224">
        <f t="shared" si="9"/>
        <v>0</v>
      </c>
      <c r="BA40" s="224">
        <f t="shared" si="10"/>
        <v>0</v>
      </c>
      <c r="BB40" s="224">
        <f t="shared" si="11"/>
        <v>0</v>
      </c>
      <c r="BC40" s="224">
        <f t="shared" si="12"/>
        <v>0</v>
      </c>
      <c r="BD40" s="224">
        <f t="shared" si="13"/>
        <v>0</v>
      </c>
      <c r="BE40" s="224">
        <f t="shared" si="14"/>
        <v>0</v>
      </c>
      <c r="BF40" s="224">
        <f t="shared" si="15"/>
        <v>0</v>
      </c>
      <c r="BG40" s="224">
        <f t="shared" si="16"/>
        <v>0</v>
      </c>
      <c r="BH40" s="224">
        <f t="shared" si="17"/>
        <v>0</v>
      </c>
      <c r="BI40" s="258">
        <f t="shared" si="18"/>
        <v>0</v>
      </c>
      <c r="BJ40" s="258">
        <f t="shared" si="19"/>
        <v>0</v>
      </c>
      <c r="BK40" s="258">
        <f t="shared" si="20"/>
        <v>0</v>
      </c>
      <c r="BL40" s="258">
        <f t="shared" si="21"/>
        <v>0</v>
      </c>
      <c r="BM40" s="258">
        <f t="shared" si="22"/>
        <v>0</v>
      </c>
      <c r="BN40" s="258">
        <f t="shared" si="23"/>
        <v>0</v>
      </c>
      <c r="BO40" s="258">
        <f t="shared" si="24"/>
        <v>0</v>
      </c>
      <c r="BP40" s="258">
        <f t="shared" si="25"/>
        <v>0</v>
      </c>
      <c r="BQ40" s="259">
        <f t="shared" si="26"/>
        <v>0</v>
      </c>
      <c r="BR40" s="676"/>
    </row>
    <row r="41" spans="1:70">
      <c r="A41" s="764" t="s">
        <v>231</v>
      </c>
      <c r="B41" s="765" t="s">
        <v>643</v>
      </c>
      <c r="C41" s="289"/>
      <c r="D41" s="767">
        <f>IFERROR(INDEX(Prop2018DistTar!Z:Z,MATCH($A41,Prop2018DistTar!$A:$A,),1),)</f>
        <v>44000</v>
      </c>
      <c r="E41" s="766">
        <f>IFERROR(INDEX(Prop2018DistTar!AA:AA,MATCH($A41,Prop2018DistTar!$A:$A,),1),)</f>
        <v>0</v>
      </c>
      <c r="F41" s="766">
        <f>IFERROR(INDEX(Prop2018DistTar!AB:AB,MATCH($A41,Prop2018DistTar!$A:$A,),1),)</f>
        <v>1.57</v>
      </c>
      <c r="G41" s="766">
        <f>IFERROR(INDEX(Prop2018DistTar!AC:AC,MATCH($A41,Prop2018DistTar!$A:$A,),1),)</f>
        <v>0</v>
      </c>
      <c r="H41" s="766">
        <f>IFERROR(INDEX(Prop2018DistTar!AD:AD,MATCH($A41,Prop2018DistTar!$A:$A,),1),)</f>
        <v>0</v>
      </c>
      <c r="I41" s="766">
        <f>IFERROR(INDEX(Prop2018DistTar!AE:AE,MATCH($A41,Prop2018DistTar!$A:$A,),1),)</f>
        <v>0.6</v>
      </c>
      <c r="J41" s="766">
        <f>IFERROR(INDEX(Prop2018DistTar!AF:AF,MATCH($A41,Prop2018DistTar!$A:$A,),1),)</f>
        <v>0</v>
      </c>
      <c r="K41" s="766">
        <f>IFERROR(INDEX(Prop2018DistTar!AG:AG,MATCH($A41,Prop2018DistTar!$A:$A,),1),)</f>
        <v>0</v>
      </c>
      <c r="L41" s="766">
        <f>IFERROR(INDEX(Prop2018DistTar!AH:AH,MATCH($A41,Prop2018DistTar!$A:$A,),1),)</f>
        <v>0</v>
      </c>
      <c r="M41" s="766">
        <f>IFERROR(INDEX(Prop2018DistTar!AI:AI,MATCH($A41,Prop2018DistTar!$A:$A,),1),)</f>
        <v>56.28</v>
      </c>
      <c r="N41" s="766">
        <f>IFERROR(INDEX(Prop2018DistTar!AJ:AJ,MATCH($A41,Prop2018DistTar!$A:$A,),1),)</f>
        <v>0</v>
      </c>
      <c r="O41" s="766">
        <f>IFERROR(INDEX(Prop2018DistTar!AK:AK,MATCH($A41,Prop2018DistTar!$A:$A,),1),)</f>
        <v>0</v>
      </c>
      <c r="P41" s="766">
        <f>IFERROR(INDEX(Prop2018DistTar!AL:AL,MATCH($A41,Prop2018DistTar!$A:$A,),1),)</f>
        <v>0</v>
      </c>
      <c r="Q41" s="766">
        <f>IFERROR(INDEX(Prop2018DistTar!AM:AM,MATCH($A41,Prop2018DistTar!$A:$A,),1),)</f>
        <v>0</v>
      </c>
      <c r="R41" s="766">
        <f>IFERROR(INDEX(Prop2018DistTar!AN:AN,MATCH($A41,Prop2018DistTar!$A:$A,),1),)</f>
        <v>0</v>
      </c>
      <c r="S41" s="766">
        <f>IFERROR(INDEX(Prop2018DistTar!AO:AO,MATCH($A41,Prop2018DistTar!$A:$A,),1),)</f>
        <v>0</v>
      </c>
      <c r="T41" s="766">
        <f>IFERROR(INDEX(Prop2018DistTar!AP:AP,MATCH($A41,Prop2018DistTar!$A:$A,),1),)</f>
        <v>0</v>
      </c>
      <c r="U41" s="766">
        <f>IFERROR(INDEX(Prop2018DistTar!AQ:AQ,MATCH($A41,Prop2018DistTar!$A:$A,),1),)</f>
        <v>0</v>
      </c>
      <c r="V41" s="766">
        <f>IFERROR(INDEX(Prop2018DistTar!AR:AR,MATCH($A41,Prop2018DistTar!$A:$A,),1),)</f>
        <v>0</v>
      </c>
      <c r="W41" s="766">
        <f>IFERROR(INDEX(Prop2018DistTar!AS:AS,MATCH($A41,Prop2018DistTar!$A:$A,),1),)</f>
        <v>0</v>
      </c>
      <c r="X41" s="768"/>
      <c r="Z41" s="769">
        <v>173.81874999999999</v>
      </c>
      <c r="AA41" s="770">
        <v>0</v>
      </c>
      <c r="AB41" s="770">
        <v>866527587.12425518</v>
      </c>
      <c r="AC41" s="770">
        <v>0</v>
      </c>
      <c r="AD41" s="770">
        <v>0</v>
      </c>
      <c r="AE41" s="770">
        <v>805521167.20593274</v>
      </c>
      <c r="AF41" s="770">
        <v>0</v>
      </c>
      <c r="AG41" s="770">
        <v>0</v>
      </c>
      <c r="AH41" s="770">
        <v>0</v>
      </c>
      <c r="AI41" s="770">
        <v>414871.22409972386</v>
      </c>
      <c r="AJ41" s="770">
        <v>0</v>
      </c>
      <c r="AK41" s="770">
        <v>0</v>
      </c>
      <c r="AL41" s="770">
        <v>0</v>
      </c>
      <c r="AM41" s="770">
        <v>0</v>
      </c>
      <c r="AN41" s="770">
        <v>0</v>
      </c>
      <c r="AO41" s="770">
        <v>0</v>
      </c>
      <c r="AP41" s="770">
        <v>0</v>
      </c>
      <c r="AQ41" s="770">
        <v>0</v>
      </c>
      <c r="AR41" s="770">
        <v>0</v>
      </c>
      <c r="AS41" s="770">
        <v>0</v>
      </c>
      <c r="AT41" s="657">
        <v>0</v>
      </c>
      <c r="AU41" s="781"/>
      <c r="AV41" s="257">
        <f t="shared" si="5"/>
        <v>7648025</v>
      </c>
      <c r="AW41" s="224">
        <f t="shared" si="6"/>
        <v>0</v>
      </c>
      <c r="AX41" s="224">
        <f t="shared" si="7"/>
        <v>13604483.117850808</v>
      </c>
      <c r="AY41" s="224">
        <f t="shared" si="8"/>
        <v>0</v>
      </c>
      <c r="AZ41" s="224">
        <f t="shared" si="9"/>
        <v>0</v>
      </c>
      <c r="BA41" s="224">
        <f t="shared" si="10"/>
        <v>4833127.0032355962</v>
      </c>
      <c r="BB41" s="224">
        <f t="shared" si="11"/>
        <v>0</v>
      </c>
      <c r="BC41" s="224">
        <f t="shared" si="12"/>
        <v>0</v>
      </c>
      <c r="BD41" s="224">
        <f t="shared" si="13"/>
        <v>0</v>
      </c>
      <c r="BE41" s="224">
        <f t="shared" si="14"/>
        <v>23348952.492332458</v>
      </c>
      <c r="BF41" s="224">
        <f t="shared" si="15"/>
        <v>0</v>
      </c>
      <c r="BG41" s="224">
        <f t="shared" si="16"/>
        <v>0</v>
      </c>
      <c r="BH41" s="224">
        <f t="shared" si="17"/>
        <v>0</v>
      </c>
      <c r="BI41" s="258">
        <f t="shared" si="18"/>
        <v>0</v>
      </c>
      <c r="BJ41" s="258">
        <f t="shared" si="19"/>
        <v>0</v>
      </c>
      <c r="BK41" s="258">
        <f t="shared" si="20"/>
        <v>0</v>
      </c>
      <c r="BL41" s="258">
        <f t="shared" si="21"/>
        <v>0</v>
      </c>
      <c r="BM41" s="258">
        <f t="shared" si="22"/>
        <v>0</v>
      </c>
      <c r="BN41" s="258">
        <f t="shared" si="23"/>
        <v>0</v>
      </c>
      <c r="BO41" s="258">
        <f t="shared" si="24"/>
        <v>0</v>
      </c>
      <c r="BP41" s="258">
        <f t="shared" si="25"/>
        <v>0</v>
      </c>
      <c r="BQ41" s="259">
        <f t="shared" si="26"/>
        <v>49434587.613418862</v>
      </c>
      <c r="BR41" s="676"/>
    </row>
    <row r="42" spans="1:70">
      <c r="A42" s="764" t="s">
        <v>644</v>
      </c>
      <c r="B42" s="765" t="s">
        <v>645</v>
      </c>
      <c r="C42" s="289"/>
      <c r="D42" s="767">
        <f>IFERROR(INDEX(Prop2018DistTar!Z:Z,MATCH($A42,Prop2018DistTar!$A:$A,),1),)</f>
        <v>35200</v>
      </c>
      <c r="E42" s="766">
        <f>IFERROR(INDEX(Prop2018DistTar!AA:AA,MATCH($A42,Prop2018DistTar!$A:$A,),1),)</f>
        <v>0</v>
      </c>
      <c r="F42" s="766">
        <f>IFERROR(INDEX(Prop2018DistTar!AB:AB,MATCH($A42,Prop2018DistTar!$A:$A,),1),)</f>
        <v>1.24</v>
      </c>
      <c r="G42" s="766">
        <f>IFERROR(INDEX(Prop2018DistTar!AC:AC,MATCH($A42,Prop2018DistTar!$A:$A,),1),)</f>
        <v>0</v>
      </c>
      <c r="H42" s="766">
        <f>IFERROR(INDEX(Prop2018DistTar!AD:AD,MATCH($A42,Prop2018DistTar!$A:$A,),1),)</f>
        <v>0</v>
      </c>
      <c r="I42" s="766">
        <f>IFERROR(INDEX(Prop2018DistTar!AE:AE,MATCH($A42,Prop2018DistTar!$A:$A,),1),)</f>
        <v>0.49</v>
      </c>
      <c r="J42" s="766">
        <f>IFERROR(INDEX(Prop2018DistTar!AF:AF,MATCH($A42,Prop2018DistTar!$A:$A,),1),)</f>
        <v>0</v>
      </c>
      <c r="K42" s="766">
        <f>IFERROR(INDEX(Prop2018DistTar!AG:AG,MATCH($A42,Prop2018DistTar!$A:$A,),1),)</f>
        <v>0</v>
      </c>
      <c r="L42" s="766">
        <f>IFERROR(INDEX(Prop2018DistTar!AH:AH,MATCH($A42,Prop2018DistTar!$A:$A,),1),)</f>
        <v>0</v>
      </c>
      <c r="M42" s="766">
        <f>IFERROR(INDEX(Prop2018DistTar!AI:AI,MATCH($A42,Prop2018DistTar!$A:$A,),1),)</f>
        <v>46</v>
      </c>
      <c r="N42" s="766">
        <f>IFERROR(INDEX(Prop2018DistTar!AJ:AJ,MATCH($A42,Prop2018DistTar!$A:$A,),1),)</f>
        <v>0</v>
      </c>
      <c r="O42" s="766">
        <f>IFERROR(INDEX(Prop2018DistTar!AK:AK,MATCH($A42,Prop2018DistTar!$A:$A,),1),)</f>
        <v>0</v>
      </c>
      <c r="P42" s="766">
        <f>IFERROR(INDEX(Prop2018DistTar!AL:AL,MATCH($A42,Prop2018DistTar!$A:$A,),1),)</f>
        <v>0</v>
      </c>
      <c r="Q42" s="766">
        <f>IFERROR(INDEX(Prop2018DistTar!AM:AM,MATCH($A42,Prop2018DistTar!$A:$A,),1),)</f>
        <v>0</v>
      </c>
      <c r="R42" s="766">
        <f>IFERROR(INDEX(Prop2018DistTar!AN:AN,MATCH($A42,Prop2018DistTar!$A:$A,),1),)</f>
        <v>0</v>
      </c>
      <c r="S42" s="766">
        <f>IFERROR(INDEX(Prop2018DistTar!AO:AO,MATCH($A42,Prop2018DistTar!$A:$A,),1),)</f>
        <v>0</v>
      </c>
      <c r="T42" s="766">
        <f>IFERROR(INDEX(Prop2018DistTar!AP:AP,MATCH($A42,Prop2018DistTar!$A:$A,),1),)</f>
        <v>0</v>
      </c>
      <c r="U42" s="766">
        <f>IFERROR(INDEX(Prop2018DistTar!AQ:AQ,MATCH($A42,Prop2018DistTar!$A:$A,),1),)</f>
        <v>0</v>
      </c>
      <c r="V42" s="766">
        <f>IFERROR(INDEX(Prop2018DistTar!AR:AR,MATCH($A42,Prop2018DistTar!$A:$A,),1),)</f>
        <v>0</v>
      </c>
      <c r="W42" s="766">
        <f>IFERROR(INDEX(Prop2018DistTar!AS:AS,MATCH($A42,Prop2018DistTar!$A:$A,),1),)</f>
        <v>0</v>
      </c>
      <c r="X42" s="768"/>
      <c r="Z42" s="769">
        <v>6.5</v>
      </c>
      <c r="AA42" s="770">
        <v>0</v>
      </c>
      <c r="AB42" s="770">
        <v>80638518.275401026</v>
      </c>
      <c r="AC42" s="770">
        <v>0</v>
      </c>
      <c r="AD42" s="770">
        <v>0</v>
      </c>
      <c r="AE42" s="770">
        <v>86976167.704816461</v>
      </c>
      <c r="AF42" s="770">
        <v>0</v>
      </c>
      <c r="AG42" s="770">
        <v>0</v>
      </c>
      <c r="AH42" s="770">
        <v>0</v>
      </c>
      <c r="AI42" s="770">
        <v>43838.616959842882</v>
      </c>
      <c r="AJ42" s="770">
        <v>0</v>
      </c>
      <c r="AK42" s="770">
        <v>0</v>
      </c>
      <c r="AL42" s="770">
        <v>0</v>
      </c>
      <c r="AM42" s="770">
        <v>0</v>
      </c>
      <c r="AN42" s="770">
        <v>0</v>
      </c>
      <c r="AO42" s="770">
        <v>0</v>
      </c>
      <c r="AP42" s="770">
        <v>0</v>
      </c>
      <c r="AQ42" s="770">
        <v>0</v>
      </c>
      <c r="AR42" s="770">
        <v>0</v>
      </c>
      <c r="AS42" s="770">
        <v>0</v>
      </c>
      <c r="AT42" s="657">
        <v>0</v>
      </c>
      <c r="AU42" s="781"/>
      <c r="AV42" s="257">
        <f t="shared" si="5"/>
        <v>228800</v>
      </c>
      <c r="AW42" s="224">
        <f t="shared" si="6"/>
        <v>0</v>
      </c>
      <c r="AX42" s="224">
        <f t="shared" si="7"/>
        <v>999917.62661497272</v>
      </c>
      <c r="AY42" s="224">
        <f t="shared" si="8"/>
        <v>0</v>
      </c>
      <c r="AZ42" s="224">
        <f t="shared" si="9"/>
        <v>0</v>
      </c>
      <c r="BA42" s="224">
        <f t="shared" si="10"/>
        <v>426183.22175360064</v>
      </c>
      <c r="BB42" s="224">
        <f t="shared" si="11"/>
        <v>0</v>
      </c>
      <c r="BC42" s="224">
        <f t="shared" si="12"/>
        <v>0</v>
      </c>
      <c r="BD42" s="224">
        <f t="shared" si="13"/>
        <v>0</v>
      </c>
      <c r="BE42" s="224">
        <f t="shared" si="14"/>
        <v>2016576.3801527726</v>
      </c>
      <c r="BF42" s="224">
        <f t="shared" si="15"/>
        <v>0</v>
      </c>
      <c r="BG42" s="224">
        <f t="shared" si="16"/>
        <v>0</v>
      </c>
      <c r="BH42" s="224">
        <f t="shared" si="17"/>
        <v>0</v>
      </c>
      <c r="BI42" s="258">
        <f t="shared" si="18"/>
        <v>0</v>
      </c>
      <c r="BJ42" s="258">
        <f t="shared" si="19"/>
        <v>0</v>
      </c>
      <c r="BK42" s="258">
        <f t="shared" si="20"/>
        <v>0</v>
      </c>
      <c r="BL42" s="258">
        <f t="shared" si="21"/>
        <v>0</v>
      </c>
      <c r="BM42" s="258">
        <f t="shared" si="22"/>
        <v>0</v>
      </c>
      <c r="BN42" s="258">
        <f t="shared" si="23"/>
        <v>0</v>
      </c>
      <c r="BO42" s="258">
        <f t="shared" si="24"/>
        <v>0</v>
      </c>
      <c r="BP42" s="258">
        <f t="shared" si="25"/>
        <v>0</v>
      </c>
      <c r="BQ42" s="259">
        <f t="shared" si="26"/>
        <v>3671477.2285213461</v>
      </c>
      <c r="BR42" s="676"/>
    </row>
    <row r="43" spans="1:70">
      <c r="A43" s="764" t="s">
        <v>646</v>
      </c>
      <c r="B43" s="765" t="s">
        <v>190</v>
      </c>
      <c r="C43" s="289"/>
      <c r="D43" s="767">
        <f>IFERROR(INDEX(Prop2018DistTar!Z:Z,MATCH($A43,Prop2018DistTar!$A:$A,),1),)</f>
        <v>0</v>
      </c>
      <c r="E43" s="766">
        <f>IFERROR(INDEX(Prop2018DistTar!AA:AA,MATCH($A43,Prop2018DistTar!$A:$A,),1),)</f>
        <v>0</v>
      </c>
      <c r="F43" s="766">
        <f>IFERROR(INDEX(Prop2018DistTar!AB:AB,MATCH($A43,Prop2018DistTar!$A:$A,),1),)</f>
        <v>0</v>
      </c>
      <c r="G43" s="766">
        <f>IFERROR(INDEX(Prop2018DistTar!AC:AC,MATCH($A43,Prop2018DistTar!$A:$A,),1),)</f>
        <v>0</v>
      </c>
      <c r="H43" s="766">
        <f>IFERROR(INDEX(Prop2018DistTar!AD:AD,MATCH($A43,Prop2018DistTar!$A:$A,),1),)</f>
        <v>0</v>
      </c>
      <c r="I43" s="766">
        <f>IFERROR(INDEX(Prop2018DistTar!AE:AE,MATCH($A43,Prop2018DistTar!$A:$A,),1),)</f>
        <v>0</v>
      </c>
      <c r="J43" s="766">
        <f>IFERROR(INDEX(Prop2018DistTar!AF:AF,MATCH($A43,Prop2018DistTar!$A:$A,),1),)</f>
        <v>0</v>
      </c>
      <c r="K43" s="766">
        <f>IFERROR(INDEX(Prop2018DistTar!AG:AG,MATCH($A43,Prop2018DistTar!$A:$A,),1),)</f>
        <v>0</v>
      </c>
      <c r="L43" s="766">
        <f>IFERROR(INDEX(Prop2018DistTar!AH:AH,MATCH($A43,Prop2018DistTar!$A:$A,),1),)</f>
        <v>0</v>
      </c>
      <c r="M43" s="766">
        <f>IFERROR(INDEX(Prop2018DistTar!AI:AI,MATCH($A43,Prop2018DistTar!$A:$A,),1),)</f>
        <v>0</v>
      </c>
      <c r="N43" s="766">
        <f>IFERROR(INDEX(Prop2018DistTar!AJ:AJ,MATCH($A43,Prop2018DistTar!$A:$A,),1),)</f>
        <v>0</v>
      </c>
      <c r="O43" s="766">
        <f>IFERROR(INDEX(Prop2018DistTar!AK:AK,MATCH($A43,Prop2018DistTar!$A:$A,),1),)</f>
        <v>0</v>
      </c>
      <c r="P43" s="766">
        <f>IFERROR(INDEX(Prop2018DistTar!AL:AL,MATCH($A43,Prop2018DistTar!$A:$A,),1),)</f>
        <v>0</v>
      </c>
      <c r="Q43" s="766">
        <f>IFERROR(INDEX(Prop2018DistTar!AM:AM,MATCH($A43,Prop2018DistTar!$A:$A,),1),)</f>
        <v>0</v>
      </c>
      <c r="R43" s="766">
        <f>IFERROR(INDEX(Prop2018DistTar!AN:AN,MATCH($A43,Prop2018DistTar!$A:$A,),1),)</f>
        <v>0</v>
      </c>
      <c r="S43" s="766">
        <f>IFERROR(INDEX(Prop2018DistTar!AO:AO,MATCH($A43,Prop2018DistTar!$A:$A,),1),)</f>
        <v>0</v>
      </c>
      <c r="T43" s="766">
        <f>IFERROR(INDEX(Prop2018DistTar!AP:AP,MATCH($A43,Prop2018DistTar!$A:$A,),1),)</f>
        <v>0</v>
      </c>
      <c r="U43" s="766">
        <f>IFERROR(INDEX(Prop2018DistTar!AQ:AQ,MATCH($A43,Prop2018DistTar!$A:$A,),1),)</f>
        <v>0</v>
      </c>
      <c r="V43" s="766">
        <f>IFERROR(INDEX(Prop2018DistTar!AR:AR,MATCH($A43,Prop2018DistTar!$A:$A,),1),)</f>
        <v>0</v>
      </c>
      <c r="W43" s="766">
        <f>IFERROR(INDEX(Prop2018DistTar!AS:AS,MATCH($A43,Prop2018DistTar!$A:$A,),1),)</f>
        <v>0</v>
      </c>
      <c r="X43" s="768"/>
      <c r="Z43" s="769">
        <v>0</v>
      </c>
      <c r="AA43" s="770">
        <v>0</v>
      </c>
      <c r="AB43" s="770">
        <v>0</v>
      </c>
      <c r="AC43" s="770">
        <v>0</v>
      </c>
      <c r="AD43" s="770">
        <v>0</v>
      </c>
      <c r="AE43" s="770">
        <v>0</v>
      </c>
      <c r="AF43" s="770">
        <v>0</v>
      </c>
      <c r="AG43" s="770">
        <v>0</v>
      </c>
      <c r="AH43" s="770">
        <v>0</v>
      </c>
      <c r="AI43" s="770">
        <v>0</v>
      </c>
      <c r="AJ43" s="770">
        <v>0</v>
      </c>
      <c r="AK43" s="770">
        <v>0</v>
      </c>
      <c r="AL43" s="770">
        <v>0</v>
      </c>
      <c r="AM43" s="770">
        <v>0</v>
      </c>
      <c r="AN43" s="770">
        <v>0</v>
      </c>
      <c r="AO43" s="770">
        <v>0</v>
      </c>
      <c r="AP43" s="770">
        <v>0</v>
      </c>
      <c r="AQ43" s="770">
        <v>0</v>
      </c>
      <c r="AR43" s="770">
        <v>0</v>
      </c>
      <c r="AS43" s="770">
        <v>0</v>
      </c>
      <c r="AT43" s="657">
        <v>0</v>
      </c>
      <c r="AU43" s="781"/>
      <c r="AV43" s="257">
        <f t="shared" si="5"/>
        <v>0</v>
      </c>
      <c r="AW43" s="224">
        <f t="shared" si="6"/>
        <v>0</v>
      </c>
      <c r="AX43" s="224">
        <f t="shared" si="7"/>
        <v>0</v>
      </c>
      <c r="AY43" s="224">
        <f t="shared" si="8"/>
        <v>0</v>
      </c>
      <c r="AZ43" s="224">
        <f t="shared" si="9"/>
        <v>0</v>
      </c>
      <c r="BA43" s="224">
        <f t="shared" si="10"/>
        <v>0</v>
      </c>
      <c r="BB43" s="224">
        <f t="shared" si="11"/>
        <v>0</v>
      </c>
      <c r="BC43" s="224">
        <f t="shared" si="12"/>
        <v>0</v>
      </c>
      <c r="BD43" s="224">
        <f t="shared" si="13"/>
        <v>0</v>
      </c>
      <c r="BE43" s="224">
        <f t="shared" si="14"/>
        <v>0</v>
      </c>
      <c r="BF43" s="224">
        <f t="shared" si="15"/>
        <v>0</v>
      </c>
      <c r="BG43" s="224">
        <f t="shared" si="16"/>
        <v>0</v>
      </c>
      <c r="BH43" s="224">
        <f t="shared" si="17"/>
        <v>0</v>
      </c>
      <c r="BI43" s="258">
        <f t="shared" si="18"/>
        <v>0</v>
      </c>
      <c r="BJ43" s="258">
        <f t="shared" si="19"/>
        <v>0</v>
      </c>
      <c r="BK43" s="258">
        <f t="shared" si="20"/>
        <v>0</v>
      </c>
      <c r="BL43" s="258">
        <f t="shared" si="21"/>
        <v>0</v>
      </c>
      <c r="BM43" s="258">
        <f t="shared" si="22"/>
        <v>0</v>
      </c>
      <c r="BN43" s="258">
        <f t="shared" si="23"/>
        <v>0</v>
      </c>
      <c r="BO43" s="258">
        <f t="shared" si="24"/>
        <v>0</v>
      </c>
      <c r="BP43" s="258">
        <f t="shared" si="25"/>
        <v>0</v>
      </c>
      <c r="BQ43" s="259">
        <f t="shared" si="26"/>
        <v>0</v>
      </c>
      <c r="BR43" s="676"/>
    </row>
    <row r="44" spans="1:70">
      <c r="A44" s="764" t="s">
        <v>647</v>
      </c>
      <c r="B44" s="765" t="s">
        <v>191</v>
      </c>
      <c r="C44" s="289"/>
      <c r="D44" s="767">
        <f>IFERROR(INDEX(Prop2018DistTar!Z:Z,MATCH($A44,Prop2018DistTar!$A:$A,),1),)</f>
        <v>0</v>
      </c>
      <c r="E44" s="766">
        <f>IFERROR(INDEX(Prop2018DistTar!AA:AA,MATCH($A44,Prop2018DistTar!$A:$A,),1),)</f>
        <v>0</v>
      </c>
      <c r="F44" s="766">
        <f>IFERROR(INDEX(Prop2018DistTar!AB:AB,MATCH($A44,Prop2018DistTar!$A:$A,),1),)</f>
        <v>0</v>
      </c>
      <c r="G44" s="766">
        <f>IFERROR(INDEX(Prop2018DistTar!AC:AC,MATCH($A44,Prop2018DistTar!$A:$A,),1),)</f>
        <v>0</v>
      </c>
      <c r="H44" s="766">
        <f>IFERROR(INDEX(Prop2018DistTar!AD:AD,MATCH($A44,Prop2018DistTar!$A:$A,),1),)</f>
        <v>0</v>
      </c>
      <c r="I44" s="766">
        <f>IFERROR(INDEX(Prop2018DistTar!AE:AE,MATCH($A44,Prop2018DistTar!$A:$A,),1),)</f>
        <v>0</v>
      </c>
      <c r="J44" s="766">
        <f>IFERROR(INDEX(Prop2018DistTar!AF:AF,MATCH($A44,Prop2018DistTar!$A:$A,),1),)</f>
        <v>0</v>
      </c>
      <c r="K44" s="766">
        <f>IFERROR(INDEX(Prop2018DistTar!AG:AG,MATCH($A44,Prop2018DistTar!$A:$A,),1),)</f>
        <v>0</v>
      </c>
      <c r="L44" s="766">
        <f>IFERROR(INDEX(Prop2018DistTar!AH:AH,MATCH($A44,Prop2018DistTar!$A:$A,),1),)</f>
        <v>0</v>
      </c>
      <c r="M44" s="766">
        <f>IFERROR(INDEX(Prop2018DistTar!AI:AI,MATCH($A44,Prop2018DistTar!$A:$A,),1),)</f>
        <v>0</v>
      </c>
      <c r="N44" s="766">
        <f>IFERROR(INDEX(Prop2018DistTar!AJ:AJ,MATCH($A44,Prop2018DistTar!$A:$A,),1),)</f>
        <v>0</v>
      </c>
      <c r="O44" s="766">
        <f>IFERROR(INDEX(Prop2018DistTar!AK:AK,MATCH($A44,Prop2018DistTar!$A:$A,),1),)</f>
        <v>0</v>
      </c>
      <c r="P44" s="766">
        <f>IFERROR(INDEX(Prop2018DistTar!AL:AL,MATCH($A44,Prop2018DistTar!$A:$A,),1),)</f>
        <v>0</v>
      </c>
      <c r="Q44" s="766">
        <f>IFERROR(INDEX(Prop2018DistTar!AM:AM,MATCH($A44,Prop2018DistTar!$A:$A,),1),)</f>
        <v>0</v>
      </c>
      <c r="R44" s="766">
        <f>IFERROR(INDEX(Prop2018DistTar!AN:AN,MATCH($A44,Prop2018DistTar!$A:$A,),1),)</f>
        <v>0</v>
      </c>
      <c r="S44" s="766">
        <f>IFERROR(INDEX(Prop2018DistTar!AO:AO,MATCH($A44,Prop2018DistTar!$A:$A,),1),)</f>
        <v>0</v>
      </c>
      <c r="T44" s="766">
        <f>IFERROR(INDEX(Prop2018DistTar!AP:AP,MATCH($A44,Prop2018DistTar!$A:$A,),1),)</f>
        <v>0</v>
      </c>
      <c r="U44" s="766">
        <f>IFERROR(INDEX(Prop2018DistTar!AQ:AQ,MATCH($A44,Prop2018DistTar!$A:$A,),1),)</f>
        <v>0</v>
      </c>
      <c r="V44" s="766">
        <f>IFERROR(INDEX(Prop2018DistTar!AR:AR,MATCH($A44,Prop2018DistTar!$A:$A,),1),)</f>
        <v>0</v>
      </c>
      <c r="W44" s="766">
        <f>IFERROR(INDEX(Prop2018DistTar!AS:AS,MATCH($A44,Prop2018DistTar!$A:$A,),1),)</f>
        <v>0</v>
      </c>
      <c r="X44" s="768"/>
      <c r="Z44" s="769">
        <v>0</v>
      </c>
      <c r="AA44" s="770">
        <v>0</v>
      </c>
      <c r="AB44" s="770">
        <v>0</v>
      </c>
      <c r="AC44" s="770">
        <v>0</v>
      </c>
      <c r="AD44" s="770">
        <v>0</v>
      </c>
      <c r="AE44" s="770">
        <v>0</v>
      </c>
      <c r="AF44" s="770">
        <v>0</v>
      </c>
      <c r="AG44" s="770">
        <v>0</v>
      </c>
      <c r="AH44" s="770">
        <v>0</v>
      </c>
      <c r="AI44" s="770">
        <v>0</v>
      </c>
      <c r="AJ44" s="770">
        <v>0</v>
      </c>
      <c r="AK44" s="770">
        <v>0</v>
      </c>
      <c r="AL44" s="770">
        <v>0</v>
      </c>
      <c r="AM44" s="770">
        <v>0</v>
      </c>
      <c r="AN44" s="770">
        <v>0</v>
      </c>
      <c r="AO44" s="770">
        <v>0</v>
      </c>
      <c r="AP44" s="770">
        <v>0</v>
      </c>
      <c r="AQ44" s="770">
        <v>0</v>
      </c>
      <c r="AR44" s="770">
        <v>0</v>
      </c>
      <c r="AS44" s="770">
        <v>0</v>
      </c>
      <c r="AT44" s="657">
        <v>0</v>
      </c>
      <c r="AU44" s="781"/>
      <c r="AV44" s="257">
        <f t="shared" si="5"/>
        <v>0</v>
      </c>
      <c r="AW44" s="224">
        <f t="shared" si="6"/>
        <v>0</v>
      </c>
      <c r="AX44" s="224">
        <f t="shared" si="7"/>
        <v>0</v>
      </c>
      <c r="AY44" s="224">
        <f t="shared" si="8"/>
        <v>0</v>
      </c>
      <c r="AZ44" s="224">
        <f t="shared" si="9"/>
        <v>0</v>
      </c>
      <c r="BA44" s="224">
        <f t="shared" si="10"/>
        <v>0</v>
      </c>
      <c r="BB44" s="224">
        <f t="shared" si="11"/>
        <v>0</v>
      </c>
      <c r="BC44" s="224">
        <f t="shared" si="12"/>
        <v>0</v>
      </c>
      <c r="BD44" s="224">
        <f t="shared" si="13"/>
        <v>0</v>
      </c>
      <c r="BE44" s="224">
        <f t="shared" si="14"/>
        <v>0</v>
      </c>
      <c r="BF44" s="224">
        <f t="shared" si="15"/>
        <v>0</v>
      </c>
      <c r="BG44" s="224">
        <f t="shared" si="16"/>
        <v>0</v>
      </c>
      <c r="BH44" s="224">
        <f t="shared" si="17"/>
        <v>0</v>
      </c>
      <c r="BI44" s="258">
        <f t="shared" si="18"/>
        <v>0</v>
      </c>
      <c r="BJ44" s="258">
        <f t="shared" si="19"/>
        <v>0</v>
      </c>
      <c r="BK44" s="258">
        <f t="shared" si="20"/>
        <v>0</v>
      </c>
      <c r="BL44" s="258">
        <f t="shared" si="21"/>
        <v>0</v>
      </c>
      <c r="BM44" s="258">
        <f t="shared" si="22"/>
        <v>0</v>
      </c>
      <c r="BN44" s="258">
        <f t="shared" si="23"/>
        <v>0</v>
      </c>
      <c r="BO44" s="258">
        <f t="shared" si="24"/>
        <v>0</v>
      </c>
      <c r="BP44" s="258">
        <f t="shared" si="25"/>
        <v>0</v>
      </c>
      <c r="BQ44" s="259">
        <f t="shared" si="26"/>
        <v>0</v>
      </c>
      <c r="BR44" s="676"/>
    </row>
    <row r="45" spans="1:70">
      <c r="A45" s="764" t="s">
        <v>648</v>
      </c>
      <c r="B45" s="765" t="s">
        <v>192</v>
      </c>
      <c r="C45" s="289"/>
      <c r="D45" s="767">
        <f>IFERROR(INDEX(Prop2018DistTar!Z:Z,MATCH($A45,Prop2018DistTar!$A:$A,),1),)</f>
        <v>0</v>
      </c>
      <c r="E45" s="766">
        <f>IFERROR(INDEX(Prop2018DistTar!AA:AA,MATCH($A45,Prop2018DistTar!$A:$A,),1),)</f>
        <v>0</v>
      </c>
      <c r="F45" s="766">
        <f>IFERROR(INDEX(Prop2018DistTar!AB:AB,MATCH($A45,Prop2018DistTar!$A:$A,),1),)</f>
        <v>0</v>
      </c>
      <c r="G45" s="766">
        <f>IFERROR(INDEX(Prop2018DistTar!AC:AC,MATCH($A45,Prop2018DistTar!$A:$A,),1),)</f>
        <v>0</v>
      </c>
      <c r="H45" s="766">
        <f>IFERROR(INDEX(Prop2018DistTar!AD:AD,MATCH($A45,Prop2018DistTar!$A:$A,),1),)</f>
        <v>0</v>
      </c>
      <c r="I45" s="766">
        <f>IFERROR(INDEX(Prop2018DistTar!AE:AE,MATCH($A45,Prop2018DistTar!$A:$A,),1),)</f>
        <v>0</v>
      </c>
      <c r="J45" s="766">
        <f>IFERROR(INDEX(Prop2018DistTar!AF:AF,MATCH($A45,Prop2018DistTar!$A:$A,),1),)</f>
        <v>0</v>
      </c>
      <c r="K45" s="766">
        <f>IFERROR(INDEX(Prop2018DistTar!AG:AG,MATCH($A45,Prop2018DistTar!$A:$A,),1),)</f>
        <v>0</v>
      </c>
      <c r="L45" s="766">
        <f>IFERROR(INDEX(Prop2018DistTar!AH:AH,MATCH($A45,Prop2018DistTar!$A:$A,),1),)</f>
        <v>0</v>
      </c>
      <c r="M45" s="766">
        <f>IFERROR(INDEX(Prop2018DistTar!AI:AI,MATCH($A45,Prop2018DistTar!$A:$A,),1),)</f>
        <v>0</v>
      </c>
      <c r="N45" s="766">
        <f>IFERROR(INDEX(Prop2018DistTar!AJ:AJ,MATCH($A45,Prop2018DistTar!$A:$A,),1),)</f>
        <v>0</v>
      </c>
      <c r="O45" s="766">
        <f>IFERROR(INDEX(Prop2018DistTar!AK:AK,MATCH($A45,Prop2018DistTar!$A:$A,),1),)</f>
        <v>0</v>
      </c>
      <c r="P45" s="766">
        <f>IFERROR(INDEX(Prop2018DistTar!AL:AL,MATCH($A45,Prop2018DistTar!$A:$A,),1),)</f>
        <v>0</v>
      </c>
      <c r="Q45" s="766">
        <f>IFERROR(INDEX(Prop2018DistTar!AM:AM,MATCH($A45,Prop2018DistTar!$A:$A,),1),)</f>
        <v>0</v>
      </c>
      <c r="R45" s="766">
        <f>IFERROR(INDEX(Prop2018DistTar!AN:AN,MATCH($A45,Prop2018DistTar!$A:$A,),1),)</f>
        <v>0</v>
      </c>
      <c r="S45" s="766">
        <f>IFERROR(INDEX(Prop2018DistTar!AO:AO,MATCH($A45,Prop2018DistTar!$A:$A,),1),)</f>
        <v>0</v>
      </c>
      <c r="T45" s="766">
        <f>IFERROR(INDEX(Prop2018DistTar!AP:AP,MATCH($A45,Prop2018DistTar!$A:$A,),1),)</f>
        <v>0</v>
      </c>
      <c r="U45" s="766">
        <f>IFERROR(INDEX(Prop2018DistTar!AQ:AQ,MATCH($A45,Prop2018DistTar!$A:$A,),1),)</f>
        <v>0</v>
      </c>
      <c r="V45" s="766">
        <f>IFERROR(INDEX(Prop2018DistTar!AR:AR,MATCH($A45,Prop2018DistTar!$A:$A,),1),)</f>
        <v>0</v>
      </c>
      <c r="W45" s="766">
        <f>IFERROR(INDEX(Prop2018DistTar!AS:AS,MATCH($A45,Prop2018DistTar!$A:$A,),1),)</f>
        <v>0</v>
      </c>
      <c r="X45" s="768"/>
      <c r="Z45" s="769">
        <v>0</v>
      </c>
      <c r="AA45" s="770">
        <v>0</v>
      </c>
      <c r="AB45" s="770">
        <v>0</v>
      </c>
      <c r="AC45" s="770">
        <v>0</v>
      </c>
      <c r="AD45" s="770">
        <v>0</v>
      </c>
      <c r="AE45" s="770">
        <v>0</v>
      </c>
      <c r="AF45" s="770">
        <v>0</v>
      </c>
      <c r="AG45" s="770">
        <v>0</v>
      </c>
      <c r="AH45" s="770">
        <v>0</v>
      </c>
      <c r="AI45" s="770">
        <v>0</v>
      </c>
      <c r="AJ45" s="770">
        <v>0</v>
      </c>
      <c r="AK45" s="770">
        <v>0</v>
      </c>
      <c r="AL45" s="770">
        <v>0</v>
      </c>
      <c r="AM45" s="770">
        <v>0</v>
      </c>
      <c r="AN45" s="770">
        <v>0</v>
      </c>
      <c r="AO45" s="770">
        <v>0</v>
      </c>
      <c r="AP45" s="770">
        <v>0</v>
      </c>
      <c r="AQ45" s="770">
        <v>0</v>
      </c>
      <c r="AR45" s="770">
        <v>0</v>
      </c>
      <c r="AS45" s="770">
        <v>0</v>
      </c>
      <c r="AT45" s="657">
        <v>0</v>
      </c>
      <c r="AU45" s="781"/>
      <c r="AV45" s="257">
        <f t="shared" si="5"/>
        <v>0</v>
      </c>
      <c r="AW45" s="224">
        <f t="shared" si="6"/>
        <v>0</v>
      </c>
      <c r="AX45" s="224">
        <f t="shared" si="7"/>
        <v>0</v>
      </c>
      <c r="AY45" s="224">
        <f t="shared" si="8"/>
        <v>0</v>
      </c>
      <c r="AZ45" s="224">
        <f t="shared" si="9"/>
        <v>0</v>
      </c>
      <c r="BA45" s="224">
        <f t="shared" si="10"/>
        <v>0</v>
      </c>
      <c r="BB45" s="224">
        <f t="shared" si="11"/>
        <v>0</v>
      </c>
      <c r="BC45" s="224">
        <f t="shared" si="12"/>
        <v>0</v>
      </c>
      <c r="BD45" s="224">
        <f t="shared" si="13"/>
        <v>0</v>
      </c>
      <c r="BE45" s="224">
        <f t="shared" si="14"/>
        <v>0</v>
      </c>
      <c r="BF45" s="224">
        <f t="shared" si="15"/>
        <v>0</v>
      </c>
      <c r="BG45" s="224">
        <f t="shared" si="16"/>
        <v>0</v>
      </c>
      <c r="BH45" s="224">
        <f t="shared" si="17"/>
        <v>0</v>
      </c>
      <c r="BI45" s="258">
        <f t="shared" si="18"/>
        <v>0</v>
      </c>
      <c r="BJ45" s="258">
        <f t="shared" si="19"/>
        <v>0</v>
      </c>
      <c r="BK45" s="258">
        <f t="shared" si="20"/>
        <v>0</v>
      </c>
      <c r="BL45" s="258">
        <f t="shared" si="21"/>
        <v>0</v>
      </c>
      <c r="BM45" s="258">
        <f t="shared" si="22"/>
        <v>0</v>
      </c>
      <c r="BN45" s="258">
        <f t="shared" si="23"/>
        <v>0</v>
      </c>
      <c r="BO45" s="258">
        <f t="shared" si="24"/>
        <v>0</v>
      </c>
      <c r="BP45" s="258">
        <f t="shared" si="25"/>
        <v>0</v>
      </c>
      <c r="BQ45" s="259">
        <f t="shared" si="26"/>
        <v>0</v>
      </c>
      <c r="BR45" s="676"/>
    </row>
    <row r="46" spans="1:70">
      <c r="A46" s="764" t="s">
        <v>649</v>
      </c>
      <c r="B46" s="765" t="s">
        <v>193</v>
      </c>
      <c r="C46" s="289"/>
      <c r="D46" s="767">
        <f>IFERROR(INDEX(Prop2018DistTar!Z:Z,MATCH($A46,Prop2018DistTar!$A:$A,),1),)</f>
        <v>0</v>
      </c>
      <c r="E46" s="766">
        <f>IFERROR(INDEX(Prop2018DistTar!AA:AA,MATCH($A46,Prop2018DistTar!$A:$A,),1),)</f>
        <v>0</v>
      </c>
      <c r="F46" s="766">
        <f>IFERROR(INDEX(Prop2018DistTar!AB:AB,MATCH($A46,Prop2018DistTar!$A:$A,),1),)</f>
        <v>0</v>
      </c>
      <c r="G46" s="766">
        <f>IFERROR(INDEX(Prop2018DistTar!AC:AC,MATCH($A46,Prop2018DistTar!$A:$A,),1),)</f>
        <v>0</v>
      </c>
      <c r="H46" s="766">
        <f>IFERROR(INDEX(Prop2018DistTar!AD:AD,MATCH($A46,Prop2018DistTar!$A:$A,),1),)</f>
        <v>0</v>
      </c>
      <c r="I46" s="766">
        <f>IFERROR(INDEX(Prop2018DistTar!AE:AE,MATCH($A46,Prop2018DistTar!$A:$A,),1),)</f>
        <v>0</v>
      </c>
      <c r="J46" s="766">
        <f>IFERROR(INDEX(Prop2018DistTar!AF:AF,MATCH($A46,Prop2018DistTar!$A:$A,),1),)</f>
        <v>0</v>
      </c>
      <c r="K46" s="766">
        <f>IFERROR(INDEX(Prop2018DistTar!AG:AG,MATCH($A46,Prop2018DistTar!$A:$A,),1),)</f>
        <v>0</v>
      </c>
      <c r="L46" s="766">
        <f>IFERROR(INDEX(Prop2018DistTar!AH:AH,MATCH($A46,Prop2018DistTar!$A:$A,),1),)</f>
        <v>0</v>
      </c>
      <c r="M46" s="766">
        <f>IFERROR(INDEX(Prop2018DistTar!AI:AI,MATCH($A46,Prop2018DistTar!$A:$A,),1),)</f>
        <v>0</v>
      </c>
      <c r="N46" s="766">
        <f>IFERROR(INDEX(Prop2018DistTar!AJ:AJ,MATCH($A46,Prop2018DistTar!$A:$A,),1),)</f>
        <v>0</v>
      </c>
      <c r="O46" s="766">
        <f>IFERROR(INDEX(Prop2018DistTar!AK:AK,MATCH($A46,Prop2018DistTar!$A:$A,),1),)</f>
        <v>0</v>
      </c>
      <c r="P46" s="766">
        <f>IFERROR(INDEX(Prop2018DistTar!AL:AL,MATCH($A46,Prop2018DistTar!$A:$A,),1),)</f>
        <v>0</v>
      </c>
      <c r="Q46" s="766">
        <f>IFERROR(INDEX(Prop2018DistTar!AM:AM,MATCH($A46,Prop2018DistTar!$A:$A,),1),)</f>
        <v>0</v>
      </c>
      <c r="R46" s="766">
        <f>IFERROR(INDEX(Prop2018DistTar!AN:AN,MATCH($A46,Prop2018DistTar!$A:$A,),1),)</f>
        <v>0</v>
      </c>
      <c r="S46" s="766">
        <f>IFERROR(INDEX(Prop2018DistTar!AO:AO,MATCH($A46,Prop2018DistTar!$A:$A,),1),)</f>
        <v>0</v>
      </c>
      <c r="T46" s="766">
        <f>IFERROR(INDEX(Prop2018DistTar!AP:AP,MATCH($A46,Prop2018DistTar!$A:$A,),1),)</f>
        <v>0</v>
      </c>
      <c r="U46" s="766">
        <f>IFERROR(INDEX(Prop2018DistTar!AQ:AQ,MATCH($A46,Prop2018DistTar!$A:$A,),1),)</f>
        <v>0</v>
      </c>
      <c r="V46" s="766">
        <f>IFERROR(INDEX(Prop2018DistTar!AR:AR,MATCH($A46,Prop2018DistTar!$A:$A,),1),)</f>
        <v>0</v>
      </c>
      <c r="W46" s="766">
        <f>IFERROR(INDEX(Prop2018DistTar!AS:AS,MATCH($A46,Prop2018DistTar!$A:$A,),1),)</f>
        <v>0</v>
      </c>
      <c r="X46" s="768"/>
      <c r="Z46" s="769">
        <v>0</v>
      </c>
      <c r="AA46" s="770">
        <v>0</v>
      </c>
      <c r="AB46" s="770">
        <v>0</v>
      </c>
      <c r="AC46" s="770">
        <v>0</v>
      </c>
      <c r="AD46" s="770">
        <v>0</v>
      </c>
      <c r="AE46" s="770">
        <v>0</v>
      </c>
      <c r="AF46" s="770">
        <v>0</v>
      </c>
      <c r="AG46" s="770">
        <v>0</v>
      </c>
      <c r="AH46" s="770">
        <v>0</v>
      </c>
      <c r="AI46" s="770">
        <v>0</v>
      </c>
      <c r="AJ46" s="770">
        <v>0</v>
      </c>
      <c r="AK46" s="770">
        <v>0</v>
      </c>
      <c r="AL46" s="770">
        <v>0</v>
      </c>
      <c r="AM46" s="770">
        <v>0</v>
      </c>
      <c r="AN46" s="770">
        <v>0</v>
      </c>
      <c r="AO46" s="770">
        <v>0</v>
      </c>
      <c r="AP46" s="770">
        <v>0</v>
      </c>
      <c r="AQ46" s="770">
        <v>0</v>
      </c>
      <c r="AR46" s="770">
        <v>0</v>
      </c>
      <c r="AS46" s="770">
        <v>0</v>
      </c>
      <c r="AT46" s="657">
        <v>0</v>
      </c>
      <c r="AU46" s="781"/>
      <c r="AV46" s="257">
        <f t="shared" si="5"/>
        <v>0</v>
      </c>
      <c r="AW46" s="224">
        <f t="shared" si="6"/>
        <v>0</v>
      </c>
      <c r="AX46" s="224">
        <f t="shared" si="7"/>
        <v>0</v>
      </c>
      <c r="AY46" s="224">
        <f t="shared" si="8"/>
        <v>0</v>
      </c>
      <c r="AZ46" s="224">
        <f t="shared" si="9"/>
        <v>0</v>
      </c>
      <c r="BA46" s="224">
        <f t="shared" si="10"/>
        <v>0</v>
      </c>
      <c r="BB46" s="224">
        <f t="shared" si="11"/>
        <v>0</v>
      </c>
      <c r="BC46" s="224">
        <f t="shared" si="12"/>
        <v>0</v>
      </c>
      <c r="BD46" s="224">
        <f t="shared" si="13"/>
        <v>0</v>
      </c>
      <c r="BE46" s="224">
        <f t="shared" si="14"/>
        <v>0</v>
      </c>
      <c r="BF46" s="224">
        <f t="shared" si="15"/>
        <v>0</v>
      </c>
      <c r="BG46" s="224">
        <f t="shared" si="16"/>
        <v>0</v>
      </c>
      <c r="BH46" s="224">
        <f t="shared" si="17"/>
        <v>0</v>
      </c>
      <c r="BI46" s="258">
        <f t="shared" si="18"/>
        <v>0</v>
      </c>
      <c r="BJ46" s="258">
        <f t="shared" si="19"/>
        <v>0</v>
      </c>
      <c r="BK46" s="258">
        <f t="shared" si="20"/>
        <v>0</v>
      </c>
      <c r="BL46" s="258">
        <f t="shared" si="21"/>
        <v>0</v>
      </c>
      <c r="BM46" s="258">
        <f t="shared" si="22"/>
        <v>0</v>
      </c>
      <c r="BN46" s="258">
        <f t="shared" si="23"/>
        <v>0</v>
      </c>
      <c r="BO46" s="258">
        <f t="shared" si="24"/>
        <v>0</v>
      </c>
      <c r="BP46" s="258">
        <f t="shared" si="25"/>
        <v>0</v>
      </c>
      <c r="BQ46" s="259">
        <f t="shared" si="26"/>
        <v>0</v>
      </c>
      <c r="BR46" s="676"/>
    </row>
    <row r="47" spans="1:70">
      <c r="A47" s="764" t="s">
        <v>650</v>
      </c>
      <c r="B47" s="765" t="s">
        <v>194</v>
      </c>
      <c r="C47" s="289"/>
      <c r="D47" s="767">
        <f>IFERROR(INDEX(Prop2018DistTar!Z:Z,MATCH($A47,Prop2018DistTar!$A:$A,),1),)</f>
        <v>0</v>
      </c>
      <c r="E47" s="766">
        <f>IFERROR(INDEX(Prop2018DistTar!AA:AA,MATCH($A47,Prop2018DistTar!$A:$A,),1),)</f>
        <v>0</v>
      </c>
      <c r="F47" s="766">
        <f>IFERROR(INDEX(Prop2018DistTar!AB:AB,MATCH($A47,Prop2018DistTar!$A:$A,),1),)</f>
        <v>0</v>
      </c>
      <c r="G47" s="766">
        <f>IFERROR(INDEX(Prop2018DistTar!AC:AC,MATCH($A47,Prop2018DistTar!$A:$A,),1),)</f>
        <v>0</v>
      </c>
      <c r="H47" s="766">
        <f>IFERROR(INDEX(Prop2018DistTar!AD:AD,MATCH($A47,Prop2018DistTar!$A:$A,),1),)</f>
        <v>0</v>
      </c>
      <c r="I47" s="766">
        <f>IFERROR(INDEX(Prop2018DistTar!AE:AE,MATCH($A47,Prop2018DistTar!$A:$A,),1),)</f>
        <v>0</v>
      </c>
      <c r="J47" s="766">
        <f>IFERROR(INDEX(Prop2018DistTar!AF:AF,MATCH($A47,Prop2018DistTar!$A:$A,),1),)</f>
        <v>0</v>
      </c>
      <c r="K47" s="766">
        <f>IFERROR(INDEX(Prop2018DistTar!AG:AG,MATCH($A47,Prop2018DistTar!$A:$A,),1),)</f>
        <v>0</v>
      </c>
      <c r="L47" s="766">
        <f>IFERROR(INDEX(Prop2018DistTar!AH:AH,MATCH($A47,Prop2018DistTar!$A:$A,),1),)</f>
        <v>0</v>
      </c>
      <c r="M47" s="766">
        <f>IFERROR(INDEX(Prop2018DistTar!AI:AI,MATCH($A47,Prop2018DistTar!$A:$A,),1),)</f>
        <v>0</v>
      </c>
      <c r="N47" s="766">
        <f>IFERROR(INDEX(Prop2018DistTar!AJ:AJ,MATCH($A47,Prop2018DistTar!$A:$A,),1),)</f>
        <v>0</v>
      </c>
      <c r="O47" s="766">
        <f>IFERROR(INDEX(Prop2018DistTar!AK:AK,MATCH($A47,Prop2018DistTar!$A:$A,),1),)</f>
        <v>0</v>
      </c>
      <c r="P47" s="766">
        <f>IFERROR(INDEX(Prop2018DistTar!AL:AL,MATCH($A47,Prop2018DistTar!$A:$A,),1),)</f>
        <v>0</v>
      </c>
      <c r="Q47" s="766">
        <f>IFERROR(INDEX(Prop2018DistTar!AM:AM,MATCH($A47,Prop2018DistTar!$A:$A,),1),)</f>
        <v>0</v>
      </c>
      <c r="R47" s="766">
        <f>IFERROR(INDEX(Prop2018DistTar!AN:AN,MATCH($A47,Prop2018DistTar!$A:$A,),1),)</f>
        <v>0</v>
      </c>
      <c r="S47" s="766">
        <f>IFERROR(INDEX(Prop2018DistTar!AO:AO,MATCH($A47,Prop2018DistTar!$A:$A,),1),)</f>
        <v>0</v>
      </c>
      <c r="T47" s="766">
        <f>IFERROR(INDEX(Prop2018DistTar!AP:AP,MATCH($A47,Prop2018DistTar!$A:$A,),1),)</f>
        <v>0</v>
      </c>
      <c r="U47" s="766">
        <f>IFERROR(INDEX(Prop2018DistTar!AQ:AQ,MATCH($A47,Prop2018DistTar!$A:$A,),1),)</f>
        <v>0</v>
      </c>
      <c r="V47" s="766">
        <f>IFERROR(INDEX(Prop2018DistTar!AR:AR,MATCH($A47,Prop2018DistTar!$A:$A,),1),)</f>
        <v>0</v>
      </c>
      <c r="W47" s="766">
        <f>IFERROR(INDEX(Prop2018DistTar!AS:AS,MATCH($A47,Prop2018DistTar!$A:$A,),1),)</f>
        <v>0</v>
      </c>
      <c r="X47" s="768"/>
      <c r="Z47" s="769">
        <v>0</v>
      </c>
      <c r="AA47" s="770">
        <v>0</v>
      </c>
      <c r="AB47" s="770">
        <v>0</v>
      </c>
      <c r="AC47" s="770">
        <v>0</v>
      </c>
      <c r="AD47" s="770">
        <v>0</v>
      </c>
      <c r="AE47" s="770">
        <v>0</v>
      </c>
      <c r="AF47" s="770">
        <v>0</v>
      </c>
      <c r="AG47" s="770">
        <v>0</v>
      </c>
      <c r="AH47" s="770">
        <v>0</v>
      </c>
      <c r="AI47" s="770">
        <v>0</v>
      </c>
      <c r="AJ47" s="770">
        <v>0</v>
      </c>
      <c r="AK47" s="770">
        <v>0</v>
      </c>
      <c r="AL47" s="770">
        <v>0</v>
      </c>
      <c r="AM47" s="770">
        <v>0</v>
      </c>
      <c r="AN47" s="770">
        <v>0</v>
      </c>
      <c r="AO47" s="770">
        <v>0</v>
      </c>
      <c r="AP47" s="770">
        <v>0</v>
      </c>
      <c r="AQ47" s="770">
        <v>0</v>
      </c>
      <c r="AR47" s="770">
        <v>0</v>
      </c>
      <c r="AS47" s="770">
        <v>0</v>
      </c>
      <c r="AT47" s="657">
        <v>0</v>
      </c>
      <c r="AU47" s="781"/>
      <c r="AV47" s="257">
        <f t="shared" si="5"/>
        <v>0</v>
      </c>
      <c r="AW47" s="224">
        <f t="shared" si="6"/>
        <v>0</v>
      </c>
      <c r="AX47" s="224">
        <f t="shared" si="7"/>
        <v>0</v>
      </c>
      <c r="AY47" s="224">
        <f t="shared" si="8"/>
        <v>0</v>
      </c>
      <c r="AZ47" s="224">
        <f t="shared" si="9"/>
        <v>0</v>
      </c>
      <c r="BA47" s="224">
        <f t="shared" si="10"/>
        <v>0</v>
      </c>
      <c r="BB47" s="224">
        <f t="shared" si="11"/>
        <v>0</v>
      </c>
      <c r="BC47" s="224">
        <f t="shared" si="12"/>
        <v>0</v>
      </c>
      <c r="BD47" s="224">
        <f t="shared" si="13"/>
        <v>0</v>
      </c>
      <c r="BE47" s="224">
        <f t="shared" si="14"/>
        <v>0</v>
      </c>
      <c r="BF47" s="224">
        <f t="shared" si="15"/>
        <v>0</v>
      </c>
      <c r="BG47" s="224">
        <f t="shared" si="16"/>
        <v>0</v>
      </c>
      <c r="BH47" s="224">
        <f t="shared" si="17"/>
        <v>0</v>
      </c>
      <c r="BI47" s="258">
        <f t="shared" si="18"/>
        <v>0</v>
      </c>
      <c r="BJ47" s="258">
        <f t="shared" si="19"/>
        <v>0</v>
      </c>
      <c r="BK47" s="258">
        <f t="shared" si="20"/>
        <v>0</v>
      </c>
      <c r="BL47" s="258">
        <f t="shared" si="21"/>
        <v>0</v>
      </c>
      <c r="BM47" s="258">
        <f t="shared" si="22"/>
        <v>0</v>
      </c>
      <c r="BN47" s="258">
        <f t="shared" si="23"/>
        <v>0</v>
      </c>
      <c r="BO47" s="258">
        <f t="shared" si="24"/>
        <v>0</v>
      </c>
      <c r="BP47" s="258">
        <f t="shared" si="25"/>
        <v>0</v>
      </c>
      <c r="BQ47" s="259">
        <f t="shared" si="26"/>
        <v>0</v>
      </c>
      <c r="BR47" s="676"/>
    </row>
    <row r="48" spans="1:70">
      <c r="A48" s="764" t="s">
        <v>651</v>
      </c>
      <c r="B48" s="765" t="s">
        <v>195</v>
      </c>
      <c r="C48" s="289"/>
      <c r="D48" s="767">
        <f>IFERROR(INDEX(Prop2018DistTar!Z:Z,MATCH($A48,Prop2018DistTar!$A:$A,),1),)</f>
        <v>0</v>
      </c>
      <c r="E48" s="766">
        <f>IFERROR(INDEX(Prop2018DistTar!AA:AA,MATCH($A48,Prop2018DistTar!$A:$A,),1),)</f>
        <v>0</v>
      </c>
      <c r="F48" s="766">
        <f>IFERROR(INDEX(Prop2018DistTar!AB:AB,MATCH($A48,Prop2018DistTar!$A:$A,),1),)</f>
        <v>0</v>
      </c>
      <c r="G48" s="766">
        <f>IFERROR(INDEX(Prop2018DistTar!AC:AC,MATCH($A48,Prop2018DistTar!$A:$A,),1),)</f>
        <v>0</v>
      </c>
      <c r="H48" s="766">
        <f>IFERROR(INDEX(Prop2018DistTar!AD:AD,MATCH($A48,Prop2018DistTar!$A:$A,),1),)</f>
        <v>0</v>
      </c>
      <c r="I48" s="766">
        <f>IFERROR(INDEX(Prop2018DistTar!AE:AE,MATCH($A48,Prop2018DistTar!$A:$A,),1),)</f>
        <v>0</v>
      </c>
      <c r="J48" s="766">
        <f>IFERROR(INDEX(Prop2018DistTar!AF:AF,MATCH($A48,Prop2018DistTar!$A:$A,),1),)</f>
        <v>0</v>
      </c>
      <c r="K48" s="766">
        <f>IFERROR(INDEX(Prop2018DistTar!AG:AG,MATCH($A48,Prop2018DistTar!$A:$A,),1),)</f>
        <v>0</v>
      </c>
      <c r="L48" s="766">
        <f>IFERROR(INDEX(Prop2018DistTar!AH:AH,MATCH($A48,Prop2018DistTar!$A:$A,),1),)</f>
        <v>0</v>
      </c>
      <c r="M48" s="766">
        <f>IFERROR(INDEX(Prop2018DistTar!AI:AI,MATCH($A48,Prop2018DistTar!$A:$A,),1),)</f>
        <v>0</v>
      </c>
      <c r="N48" s="766">
        <f>IFERROR(INDEX(Prop2018DistTar!AJ:AJ,MATCH($A48,Prop2018DistTar!$A:$A,),1),)</f>
        <v>0</v>
      </c>
      <c r="O48" s="766">
        <f>IFERROR(INDEX(Prop2018DistTar!AK:AK,MATCH($A48,Prop2018DistTar!$A:$A,),1),)</f>
        <v>0</v>
      </c>
      <c r="P48" s="766">
        <f>IFERROR(INDEX(Prop2018DistTar!AL:AL,MATCH($A48,Prop2018DistTar!$A:$A,),1),)</f>
        <v>0</v>
      </c>
      <c r="Q48" s="766">
        <f>IFERROR(INDEX(Prop2018DistTar!AM:AM,MATCH($A48,Prop2018DistTar!$A:$A,),1),)</f>
        <v>0</v>
      </c>
      <c r="R48" s="766">
        <f>IFERROR(INDEX(Prop2018DistTar!AN:AN,MATCH($A48,Prop2018DistTar!$A:$A,),1),)</f>
        <v>0</v>
      </c>
      <c r="S48" s="766">
        <f>IFERROR(INDEX(Prop2018DistTar!AO:AO,MATCH($A48,Prop2018DistTar!$A:$A,),1),)</f>
        <v>0</v>
      </c>
      <c r="T48" s="766">
        <f>IFERROR(INDEX(Prop2018DistTar!AP:AP,MATCH($A48,Prop2018DistTar!$A:$A,),1),)</f>
        <v>0</v>
      </c>
      <c r="U48" s="766">
        <f>IFERROR(INDEX(Prop2018DistTar!AQ:AQ,MATCH($A48,Prop2018DistTar!$A:$A,),1),)</f>
        <v>0</v>
      </c>
      <c r="V48" s="766">
        <f>IFERROR(INDEX(Prop2018DistTar!AR:AR,MATCH($A48,Prop2018DistTar!$A:$A,),1),)</f>
        <v>0</v>
      </c>
      <c r="W48" s="766">
        <f>IFERROR(INDEX(Prop2018DistTar!AS:AS,MATCH($A48,Prop2018DistTar!$A:$A,),1),)</f>
        <v>0</v>
      </c>
      <c r="X48" s="768"/>
      <c r="Z48" s="769">
        <v>0</v>
      </c>
      <c r="AA48" s="770">
        <v>0</v>
      </c>
      <c r="AB48" s="770">
        <v>0</v>
      </c>
      <c r="AC48" s="770">
        <v>0</v>
      </c>
      <c r="AD48" s="770">
        <v>0</v>
      </c>
      <c r="AE48" s="770">
        <v>0</v>
      </c>
      <c r="AF48" s="770">
        <v>0</v>
      </c>
      <c r="AG48" s="770">
        <v>0</v>
      </c>
      <c r="AH48" s="770">
        <v>0</v>
      </c>
      <c r="AI48" s="770">
        <v>0</v>
      </c>
      <c r="AJ48" s="770">
        <v>0</v>
      </c>
      <c r="AK48" s="770">
        <v>0</v>
      </c>
      <c r="AL48" s="770">
        <v>0</v>
      </c>
      <c r="AM48" s="770">
        <v>0</v>
      </c>
      <c r="AN48" s="770">
        <v>0</v>
      </c>
      <c r="AO48" s="770">
        <v>0</v>
      </c>
      <c r="AP48" s="770">
        <v>0</v>
      </c>
      <c r="AQ48" s="770">
        <v>0</v>
      </c>
      <c r="AR48" s="770">
        <v>0</v>
      </c>
      <c r="AS48" s="770">
        <v>0</v>
      </c>
      <c r="AT48" s="657">
        <v>0</v>
      </c>
      <c r="AU48" s="781"/>
      <c r="AV48" s="257">
        <f t="shared" si="5"/>
        <v>0</v>
      </c>
      <c r="AW48" s="224">
        <f t="shared" si="6"/>
        <v>0</v>
      </c>
      <c r="AX48" s="224">
        <f t="shared" si="7"/>
        <v>0</v>
      </c>
      <c r="AY48" s="224">
        <f t="shared" si="8"/>
        <v>0</v>
      </c>
      <c r="AZ48" s="224">
        <f t="shared" si="9"/>
        <v>0</v>
      </c>
      <c r="BA48" s="224">
        <f t="shared" si="10"/>
        <v>0</v>
      </c>
      <c r="BB48" s="224">
        <f t="shared" si="11"/>
        <v>0</v>
      </c>
      <c r="BC48" s="224">
        <f t="shared" si="12"/>
        <v>0</v>
      </c>
      <c r="BD48" s="224">
        <f t="shared" si="13"/>
        <v>0</v>
      </c>
      <c r="BE48" s="224">
        <f t="shared" si="14"/>
        <v>0</v>
      </c>
      <c r="BF48" s="224">
        <f t="shared" si="15"/>
        <v>0</v>
      </c>
      <c r="BG48" s="224">
        <f t="shared" si="16"/>
        <v>0</v>
      </c>
      <c r="BH48" s="224">
        <f t="shared" si="17"/>
        <v>0</v>
      </c>
      <c r="BI48" s="258">
        <f t="shared" si="18"/>
        <v>0</v>
      </c>
      <c r="BJ48" s="258">
        <f t="shared" si="19"/>
        <v>0</v>
      </c>
      <c r="BK48" s="258">
        <f t="shared" si="20"/>
        <v>0</v>
      </c>
      <c r="BL48" s="258">
        <f t="shared" si="21"/>
        <v>0</v>
      </c>
      <c r="BM48" s="258">
        <f t="shared" si="22"/>
        <v>0</v>
      </c>
      <c r="BN48" s="258">
        <f t="shared" si="23"/>
        <v>0</v>
      </c>
      <c r="BO48" s="258">
        <f t="shared" si="24"/>
        <v>0</v>
      </c>
      <c r="BP48" s="258">
        <f t="shared" si="25"/>
        <v>0</v>
      </c>
      <c r="BQ48" s="259">
        <f t="shared" si="26"/>
        <v>0</v>
      </c>
      <c r="BR48" s="676"/>
    </row>
    <row r="49" spans="1:70">
      <c r="A49" s="764" t="s">
        <v>652</v>
      </c>
      <c r="B49" s="765" t="s">
        <v>196</v>
      </c>
      <c r="C49" s="289"/>
      <c r="D49" s="767">
        <f>IFERROR(INDEX(Prop2018DistTar!Z:Z,MATCH($A49,Prop2018DistTar!$A:$A,),1),)</f>
        <v>0</v>
      </c>
      <c r="E49" s="766">
        <f>IFERROR(INDEX(Prop2018DistTar!AA:AA,MATCH($A49,Prop2018DistTar!$A:$A,),1),)</f>
        <v>0</v>
      </c>
      <c r="F49" s="766">
        <f>IFERROR(INDEX(Prop2018DistTar!AB:AB,MATCH($A49,Prop2018DistTar!$A:$A,),1),)</f>
        <v>0</v>
      </c>
      <c r="G49" s="766">
        <f>IFERROR(INDEX(Prop2018DistTar!AC:AC,MATCH($A49,Prop2018DistTar!$A:$A,),1),)</f>
        <v>0</v>
      </c>
      <c r="H49" s="766">
        <f>IFERROR(INDEX(Prop2018DistTar!AD:AD,MATCH($A49,Prop2018DistTar!$A:$A,),1),)</f>
        <v>0</v>
      </c>
      <c r="I49" s="766">
        <f>IFERROR(INDEX(Prop2018DistTar!AE:AE,MATCH($A49,Prop2018DistTar!$A:$A,),1),)</f>
        <v>0</v>
      </c>
      <c r="J49" s="766">
        <f>IFERROR(INDEX(Prop2018DistTar!AF:AF,MATCH($A49,Prop2018DistTar!$A:$A,),1),)</f>
        <v>0</v>
      </c>
      <c r="K49" s="766">
        <f>IFERROR(INDEX(Prop2018DistTar!AG:AG,MATCH($A49,Prop2018DistTar!$A:$A,),1),)</f>
        <v>0</v>
      </c>
      <c r="L49" s="766">
        <f>IFERROR(INDEX(Prop2018DistTar!AH:AH,MATCH($A49,Prop2018DistTar!$A:$A,),1),)</f>
        <v>0</v>
      </c>
      <c r="M49" s="766">
        <f>IFERROR(INDEX(Prop2018DistTar!AI:AI,MATCH($A49,Prop2018DistTar!$A:$A,),1),)</f>
        <v>0</v>
      </c>
      <c r="N49" s="766">
        <f>IFERROR(INDEX(Prop2018DistTar!AJ:AJ,MATCH($A49,Prop2018DistTar!$A:$A,),1),)</f>
        <v>0</v>
      </c>
      <c r="O49" s="766">
        <f>IFERROR(INDEX(Prop2018DistTar!AK:AK,MATCH($A49,Prop2018DistTar!$A:$A,),1),)</f>
        <v>0</v>
      </c>
      <c r="P49" s="766">
        <f>IFERROR(INDEX(Prop2018DistTar!AL:AL,MATCH($A49,Prop2018DistTar!$A:$A,),1),)</f>
        <v>0</v>
      </c>
      <c r="Q49" s="766">
        <f>IFERROR(INDEX(Prop2018DistTar!AM:AM,MATCH($A49,Prop2018DistTar!$A:$A,),1),)</f>
        <v>0</v>
      </c>
      <c r="R49" s="766">
        <f>IFERROR(INDEX(Prop2018DistTar!AN:AN,MATCH($A49,Prop2018DistTar!$A:$A,),1),)</f>
        <v>0</v>
      </c>
      <c r="S49" s="766">
        <f>IFERROR(INDEX(Prop2018DistTar!AO:AO,MATCH($A49,Prop2018DistTar!$A:$A,),1),)</f>
        <v>0</v>
      </c>
      <c r="T49" s="766">
        <f>IFERROR(INDEX(Prop2018DistTar!AP:AP,MATCH($A49,Prop2018DistTar!$A:$A,),1),)</f>
        <v>0</v>
      </c>
      <c r="U49" s="766">
        <f>IFERROR(INDEX(Prop2018DistTar!AQ:AQ,MATCH($A49,Prop2018DistTar!$A:$A,),1),)</f>
        <v>0</v>
      </c>
      <c r="V49" s="766">
        <f>IFERROR(INDEX(Prop2018DistTar!AR:AR,MATCH($A49,Prop2018DistTar!$A:$A,),1),)</f>
        <v>0</v>
      </c>
      <c r="W49" s="766">
        <f>IFERROR(INDEX(Prop2018DistTar!AS:AS,MATCH($A49,Prop2018DistTar!$A:$A,),1),)</f>
        <v>0</v>
      </c>
      <c r="X49" s="768"/>
      <c r="Z49" s="769">
        <v>0</v>
      </c>
      <c r="AA49" s="770">
        <v>0</v>
      </c>
      <c r="AB49" s="770">
        <v>0</v>
      </c>
      <c r="AC49" s="770">
        <v>0</v>
      </c>
      <c r="AD49" s="770">
        <v>0</v>
      </c>
      <c r="AE49" s="770">
        <v>0</v>
      </c>
      <c r="AF49" s="770">
        <v>0</v>
      </c>
      <c r="AG49" s="770">
        <v>0</v>
      </c>
      <c r="AH49" s="770">
        <v>0</v>
      </c>
      <c r="AI49" s="770">
        <v>0</v>
      </c>
      <c r="AJ49" s="770">
        <v>0</v>
      </c>
      <c r="AK49" s="770">
        <v>0</v>
      </c>
      <c r="AL49" s="770">
        <v>0</v>
      </c>
      <c r="AM49" s="770">
        <v>0</v>
      </c>
      <c r="AN49" s="770">
        <v>0</v>
      </c>
      <c r="AO49" s="770">
        <v>0</v>
      </c>
      <c r="AP49" s="770">
        <v>0</v>
      </c>
      <c r="AQ49" s="770">
        <v>0</v>
      </c>
      <c r="AR49" s="770">
        <v>0</v>
      </c>
      <c r="AS49" s="770">
        <v>0</v>
      </c>
      <c r="AT49" s="657">
        <v>0</v>
      </c>
      <c r="AU49" s="781"/>
      <c r="AV49" s="257">
        <f t="shared" si="5"/>
        <v>0</v>
      </c>
      <c r="AW49" s="224">
        <f t="shared" si="6"/>
        <v>0</v>
      </c>
      <c r="AX49" s="224">
        <f t="shared" si="7"/>
        <v>0</v>
      </c>
      <c r="AY49" s="224">
        <f t="shared" si="8"/>
        <v>0</v>
      </c>
      <c r="AZ49" s="224">
        <f t="shared" si="9"/>
        <v>0</v>
      </c>
      <c r="BA49" s="224">
        <f t="shared" si="10"/>
        <v>0</v>
      </c>
      <c r="BB49" s="224">
        <f t="shared" si="11"/>
        <v>0</v>
      </c>
      <c r="BC49" s="224">
        <f t="shared" si="12"/>
        <v>0</v>
      </c>
      <c r="BD49" s="224">
        <f t="shared" si="13"/>
        <v>0</v>
      </c>
      <c r="BE49" s="224">
        <f t="shared" si="14"/>
        <v>0</v>
      </c>
      <c r="BF49" s="224">
        <f t="shared" si="15"/>
        <v>0</v>
      </c>
      <c r="BG49" s="224">
        <f t="shared" si="16"/>
        <v>0</v>
      </c>
      <c r="BH49" s="224">
        <f t="shared" si="17"/>
        <v>0</v>
      </c>
      <c r="BI49" s="258">
        <f t="shared" si="18"/>
        <v>0</v>
      </c>
      <c r="BJ49" s="258">
        <f t="shared" si="19"/>
        <v>0</v>
      </c>
      <c r="BK49" s="258">
        <f t="shared" si="20"/>
        <v>0</v>
      </c>
      <c r="BL49" s="258">
        <f t="shared" si="21"/>
        <v>0</v>
      </c>
      <c r="BM49" s="258">
        <f t="shared" si="22"/>
        <v>0</v>
      </c>
      <c r="BN49" s="258">
        <f t="shared" si="23"/>
        <v>0</v>
      </c>
      <c r="BO49" s="258">
        <f t="shared" si="24"/>
        <v>0</v>
      </c>
      <c r="BP49" s="258">
        <f t="shared" si="25"/>
        <v>0</v>
      </c>
      <c r="BQ49" s="259">
        <f t="shared" si="26"/>
        <v>0</v>
      </c>
      <c r="BR49" s="676"/>
    </row>
    <row r="50" spans="1:70">
      <c r="A50" s="764" t="s">
        <v>653</v>
      </c>
      <c r="B50" s="765" t="s">
        <v>197</v>
      </c>
      <c r="C50" s="289"/>
      <c r="D50" s="767">
        <f>IFERROR(INDEX(Prop2018DistTar!Z:Z,MATCH($A50,Prop2018DistTar!$A:$A,),1),)</f>
        <v>0</v>
      </c>
      <c r="E50" s="766">
        <f>IFERROR(INDEX(Prop2018DistTar!AA:AA,MATCH($A50,Prop2018DistTar!$A:$A,),1),)</f>
        <v>0</v>
      </c>
      <c r="F50" s="766">
        <f>IFERROR(INDEX(Prop2018DistTar!AB:AB,MATCH($A50,Prop2018DistTar!$A:$A,),1),)</f>
        <v>0</v>
      </c>
      <c r="G50" s="766">
        <f>IFERROR(INDEX(Prop2018DistTar!AC:AC,MATCH($A50,Prop2018DistTar!$A:$A,),1),)</f>
        <v>0</v>
      </c>
      <c r="H50" s="766">
        <f>IFERROR(INDEX(Prop2018DistTar!AD:AD,MATCH($A50,Prop2018DistTar!$A:$A,),1),)</f>
        <v>0</v>
      </c>
      <c r="I50" s="766">
        <f>IFERROR(INDEX(Prop2018DistTar!AE:AE,MATCH($A50,Prop2018DistTar!$A:$A,),1),)</f>
        <v>0</v>
      </c>
      <c r="J50" s="766">
        <f>IFERROR(INDEX(Prop2018DistTar!AF:AF,MATCH($A50,Prop2018DistTar!$A:$A,),1),)</f>
        <v>0</v>
      </c>
      <c r="K50" s="766">
        <f>IFERROR(INDEX(Prop2018DistTar!AG:AG,MATCH($A50,Prop2018DistTar!$A:$A,),1),)</f>
        <v>0</v>
      </c>
      <c r="L50" s="766">
        <f>IFERROR(INDEX(Prop2018DistTar!AH:AH,MATCH($A50,Prop2018DistTar!$A:$A,),1),)</f>
        <v>0</v>
      </c>
      <c r="M50" s="766">
        <f>IFERROR(INDEX(Prop2018DistTar!AI:AI,MATCH($A50,Prop2018DistTar!$A:$A,),1),)</f>
        <v>0</v>
      </c>
      <c r="N50" s="766">
        <f>IFERROR(INDEX(Prop2018DistTar!AJ:AJ,MATCH($A50,Prop2018DistTar!$A:$A,),1),)</f>
        <v>0</v>
      </c>
      <c r="O50" s="766">
        <f>IFERROR(INDEX(Prop2018DistTar!AK:AK,MATCH($A50,Prop2018DistTar!$A:$A,),1),)</f>
        <v>0</v>
      </c>
      <c r="P50" s="766">
        <f>IFERROR(INDEX(Prop2018DistTar!AL:AL,MATCH($A50,Prop2018DistTar!$A:$A,),1),)</f>
        <v>0</v>
      </c>
      <c r="Q50" s="766">
        <f>IFERROR(INDEX(Prop2018DistTar!AM:AM,MATCH($A50,Prop2018DistTar!$A:$A,),1),)</f>
        <v>0</v>
      </c>
      <c r="R50" s="766">
        <f>IFERROR(INDEX(Prop2018DistTar!AN:AN,MATCH($A50,Prop2018DistTar!$A:$A,),1),)</f>
        <v>0</v>
      </c>
      <c r="S50" s="766">
        <f>IFERROR(INDEX(Prop2018DistTar!AO:AO,MATCH($A50,Prop2018DistTar!$A:$A,),1),)</f>
        <v>0</v>
      </c>
      <c r="T50" s="766">
        <f>IFERROR(INDEX(Prop2018DistTar!AP:AP,MATCH($A50,Prop2018DistTar!$A:$A,),1),)</f>
        <v>0</v>
      </c>
      <c r="U50" s="766">
        <f>IFERROR(INDEX(Prop2018DistTar!AQ:AQ,MATCH($A50,Prop2018DistTar!$A:$A,),1),)</f>
        <v>0</v>
      </c>
      <c r="V50" s="766">
        <f>IFERROR(INDEX(Prop2018DistTar!AR:AR,MATCH($A50,Prop2018DistTar!$A:$A,),1),)</f>
        <v>0</v>
      </c>
      <c r="W50" s="766">
        <f>IFERROR(INDEX(Prop2018DistTar!AS:AS,MATCH($A50,Prop2018DistTar!$A:$A,),1),)</f>
        <v>0</v>
      </c>
      <c r="X50" s="768"/>
      <c r="Z50" s="769">
        <v>0</v>
      </c>
      <c r="AA50" s="770">
        <v>0</v>
      </c>
      <c r="AB50" s="770">
        <v>0</v>
      </c>
      <c r="AC50" s="770">
        <v>0</v>
      </c>
      <c r="AD50" s="770">
        <v>0</v>
      </c>
      <c r="AE50" s="770">
        <v>0</v>
      </c>
      <c r="AF50" s="770">
        <v>0</v>
      </c>
      <c r="AG50" s="770">
        <v>0</v>
      </c>
      <c r="AH50" s="770">
        <v>0</v>
      </c>
      <c r="AI50" s="770">
        <v>0</v>
      </c>
      <c r="AJ50" s="770">
        <v>0</v>
      </c>
      <c r="AK50" s="770">
        <v>0</v>
      </c>
      <c r="AL50" s="770">
        <v>0</v>
      </c>
      <c r="AM50" s="770">
        <v>0</v>
      </c>
      <c r="AN50" s="770">
        <v>0</v>
      </c>
      <c r="AO50" s="770">
        <v>0</v>
      </c>
      <c r="AP50" s="770">
        <v>0</v>
      </c>
      <c r="AQ50" s="770">
        <v>0</v>
      </c>
      <c r="AR50" s="770">
        <v>0</v>
      </c>
      <c r="AS50" s="770">
        <v>0</v>
      </c>
      <c r="AT50" s="657">
        <v>0</v>
      </c>
      <c r="AU50" s="781"/>
      <c r="AV50" s="257">
        <f t="shared" si="5"/>
        <v>0</v>
      </c>
      <c r="AW50" s="224">
        <f t="shared" si="6"/>
        <v>0</v>
      </c>
      <c r="AX50" s="224">
        <f t="shared" si="7"/>
        <v>0</v>
      </c>
      <c r="AY50" s="224">
        <f t="shared" si="8"/>
        <v>0</v>
      </c>
      <c r="AZ50" s="224">
        <f t="shared" si="9"/>
        <v>0</v>
      </c>
      <c r="BA50" s="224">
        <f t="shared" si="10"/>
        <v>0</v>
      </c>
      <c r="BB50" s="224">
        <f t="shared" si="11"/>
        <v>0</v>
      </c>
      <c r="BC50" s="224">
        <f t="shared" si="12"/>
        <v>0</v>
      </c>
      <c r="BD50" s="224">
        <f t="shared" si="13"/>
        <v>0</v>
      </c>
      <c r="BE50" s="224">
        <f t="shared" si="14"/>
        <v>0</v>
      </c>
      <c r="BF50" s="224">
        <f t="shared" si="15"/>
        <v>0</v>
      </c>
      <c r="BG50" s="224">
        <f t="shared" si="16"/>
        <v>0</v>
      </c>
      <c r="BH50" s="224">
        <f t="shared" si="17"/>
        <v>0</v>
      </c>
      <c r="BI50" s="258">
        <f t="shared" si="18"/>
        <v>0</v>
      </c>
      <c r="BJ50" s="258">
        <f t="shared" si="19"/>
        <v>0</v>
      </c>
      <c r="BK50" s="258">
        <f t="shared" si="20"/>
        <v>0</v>
      </c>
      <c r="BL50" s="258">
        <f t="shared" si="21"/>
        <v>0</v>
      </c>
      <c r="BM50" s="258">
        <f t="shared" si="22"/>
        <v>0</v>
      </c>
      <c r="BN50" s="258">
        <f t="shared" si="23"/>
        <v>0</v>
      </c>
      <c r="BO50" s="258">
        <f t="shared" si="24"/>
        <v>0</v>
      </c>
      <c r="BP50" s="258">
        <f t="shared" si="25"/>
        <v>0</v>
      </c>
      <c r="BQ50" s="259">
        <f t="shared" si="26"/>
        <v>0</v>
      </c>
      <c r="BR50" s="676"/>
    </row>
    <row r="51" spans="1:70">
      <c r="A51" s="764" t="s">
        <v>654</v>
      </c>
      <c r="B51" s="765" t="s">
        <v>655</v>
      </c>
      <c r="C51" s="289"/>
      <c r="D51" s="767">
        <f>IFERROR(INDEX(Prop2018DistTar!Z:Z,MATCH($A51,Prop2018DistTar!$A:$A,),1),)</f>
        <v>238000</v>
      </c>
      <c r="E51" s="766">
        <f>IFERROR(INDEX(Prop2018DistTar!AA:AA,MATCH($A51,Prop2018DistTar!$A:$A,),1),)</f>
        <v>0</v>
      </c>
      <c r="F51" s="766">
        <f>IFERROR(INDEX(Prop2018DistTar!AB:AB,MATCH($A51,Prop2018DistTar!$A:$A,),1),)</f>
        <v>0.49</v>
      </c>
      <c r="G51" s="766">
        <f>IFERROR(INDEX(Prop2018DistTar!AC:AC,MATCH($A51,Prop2018DistTar!$A:$A,),1),)</f>
        <v>0</v>
      </c>
      <c r="H51" s="766">
        <f>IFERROR(INDEX(Prop2018DistTar!AD:AD,MATCH($A51,Prop2018DistTar!$A:$A,),1),)</f>
        <v>0</v>
      </c>
      <c r="I51" s="766">
        <f>IFERROR(INDEX(Prop2018DistTar!AE:AE,MATCH($A51,Prop2018DistTar!$A:$A,),1),)</f>
        <v>0.15</v>
      </c>
      <c r="J51" s="766">
        <f>IFERROR(INDEX(Prop2018DistTar!AF:AF,MATCH($A51,Prop2018DistTar!$A:$A,),1),)</f>
        <v>0</v>
      </c>
      <c r="K51" s="766">
        <f>IFERROR(INDEX(Prop2018DistTar!AG:AG,MATCH($A51,Prop2018DistTar!$A:$A,),1),)</f>
        <v>0</v>
      </c>
      <c r="L51" s="766">
        <f>IFERROR(INDEX(Prop2018DistTar!AH:AH,MATCH($A51,Prop2018DistTar!$A:$A,),1),)</f>
        <v>0</v>
      </c>
      <c r="M51" s="766">
        <f>IFERROR(INDEX(Prop2018DistTar!AI:AI,MATCH($A51,Prop2018DistTar!$A:$A,),1),)</f>
        <v>4.57</v>
      </c>
      <c r="N51" s="766">
        <f>IFERROR(INDEX(Prop2018DistTar!AJ:AJ,MATCH($A51,Prop2018DistTar!$A:$A,),1),)</f>
        <v>0</v>
      </c>
      <c r="O51" s="766">
        <f>IFERROR(INDEX(Prop2018DistTar!AK:AK,MATCH($A51,Prop2018DistTar!$A:$A,),1),)</f>
        <v>0</v>
      </c>
      <c r="P51" s="766">
        <f>IFERROR(INDEX(Prop2018DistTar!AL:AL,MATCH($A51,Prop2018DistTar!$A:$A,),1),)</f>
        <v>0</v>
      </c>
      <c r="Q51" s="766">
        <f>IFERROR(INDEX(Prop2018DistTar!AM:AM,MATCH($A51,Prop2018DistTar!$A:$A,),1),)</f>
        <v>0</v>
      </c>
      <c r="R51" s="766">
        <f>IFERROR(INDEX(Prop2018DistTar!AN:AN,MATCH($A51,Prop2018DistTar!$A:$A,),1),)</f>
        <v>0</v>
      </c>
      <c r="S51" s="766">
        <f>IFERROR(INDEX(Prop2018DistTar!AO:AO,MATCH($A51,Prop2018DistTar!$A:$A,),1),)</f>
        <v>0</v>
      </c>
      <c r="T51" s="766">
        <f>IFERROR(INDEX(Prop2018DistTar!AP:AP,MATCH($A51,Prop2018DistTar!$A:$A,),1),)</f>
        <v>0</v>
      </c>
      <c r="U51" s="766">
        <f>IFERROR(INDEX(Prop2018DistTar!AQ:AQ,MATCH($A51,Prop2018DistTar!$A:$A,),1),)</f>
        <v>0</v>
      </c>
      <c r="V51" s="766">
        <f>IFERROR(INDEX(Prop2018DistTar!AR:AR,MATCH($A51,Prop2018DistTar!$A:$A,),1),)</f>
        <v>0</v>
      </c>
      <c r="W51" s="766">
        <f>IFERROR(INDEX(Prop2018DistTar!AS:AS,MATCH($A51,Prop2018DistTar!$A:$A,),1),)</f>
        <v>0</v>
      </c>
      <c r="X51" s="768"/>
      <c r="Z51" s="769">
        <v>10</v>
      </c>
      <c r="AA51" s="770">
        <v>0</v>
      </c>
      <c r="AB51" s="770">
        <v>555253381.44769192</v>
      </c>
      <c r="AC51" s="770">
        <v>0</v>
      </c>
      <c r="AD51" s="770">
        <v>0</v>
      </c>
      <c r="AE51" s="770">
        <v>469027152.06058693</v>
      </c>
      <c r="AF51" s="770">
        <v>0</v>
      </c>
      <c r="AG51" s="770">
        <v>0</v>
      </c>
      <c r="AH51" s="770">
        <v>0</v>
      </c>
      <c r="AI51" s="770">
        <v>200469.02553093893</v>
      </c>
      <c r="AJ51" s="770">
        <v>0</v>
      </c>
      <c r="AK51" s="770">
        <v>0</v>
      </c>
      <c r="AL51" s="770">
        <v>0</v>
      </c>
      <c r="AM51" s="770">
        <v>0</v>
      </c>
      <c r="AN51" s="770">
        <v>0</v>
      </c>
      <c r="AO51" s="770">
        <v>0</v>
      </c>
      <c r="AP51" s="770">
        <v>0</v>
      </c>
      <c r="AQ51" s="770">
        <v>0</v>
      </c>
      <c r="AR51" s="770">
        <v>0</v>
      </c>
      <c r="AS51" s="770">
        <v>0</v>
      </c>
      <c r="AT51" s="657">
        <v>0</v>
      </c>
      <c r="AU51" s="781"/>
      <c r="AV51" s="257">
        <f t="shared" si="5"/>
        <v>2380000</v>
      </c>
      <c r="AW51" s="224">
        <f t="shared" si="6"/>
        <v>0</v>
      </c>
      <c r="AX51" s="224">
        <f t="shared" si="7"/>
        <v>2720741.5690936903</v>
      </c>
      <c r="AY51" s="224">
        <f t="shared" si="8"/>
        <v>0</v>
      </c>
      <c r="AZ51" s="224">
        <f t="shared" si="9"/>
        <v>0</v>
      </c>
      <c r="BA51" s="224">
        <f t="shared" si="10"/>
        <v>703540.72809088044</v>
      </c>
      <c r="BB51" s="224">
        <f t="shared" si="11"/>
        <v>0</v>
      </c>
      <c r="BC51" s="224">
        <f t="shared" si="12"/>
        <v>0</v>
      </c>
      <c r="BD51" s="224">
        <f t="shared" si="13"/>
        <v>0</v>
      </c>
      <c r="BE51" s="224">
        <f t="shared" si="14"/>
        <v>916143.44667639094</v>
      </c>
      <c r="BF51" s="224">
        <f t="shared" si="15"/>
        <v>0</v>
      </c>
      <c r="BG51" s="224">
        <f t="shared" si="16"/>
        <v>0</v>
      </c>
      <c r="BH51" s="224">
        <f t="shared" si="17"/>
        <v>0</v>
      </c>
      <c r="BI51" s="258">
        <f t="shared" si="18"/>
        <v>0</v>
      </c>
      <c r="BJ51" s="258">
        <f t="shared" si="19"/>
        <v>0</v>
      </c>
      <c r="BK51" s="258">
        <f t="shared" si="20"/>
        <v>0</v>
      </c>
      <c r="BL51" s="258">
        <f t="shared" si="21"/>
        <v>0</v>
      </c>
      <c r="BM51" s="258">
        <f t="shared" si="22"/>
        <v>0</v>
      </c>
      <c r="BN51" s="258">
        <f t="shared" si="23"/>
        <v>0</v>
      </c>
      <c r="BO51" s="258">
        <f t="shared" si="24"/>
        <v>0</v>
      </c>
      <c r="BP51" s="258">
        <f t="shared" si="25"/>
        <v>0</v>
      </c>
      <c r="BQ51" s="259">
        <f t="shared" si="26"/>
        <v>6720425.7438609619</v>
      </c>
      <c r="BR51" s="676"/>
    </row>
    <row r="52" spans="1:70">
      <c r="A52" s="764" t="s">
        <v>656</v>
      </c>
      <c r="B52" s="765" t="s">
        <v>198</v>
      </c>
      <c r="C52" s="289"/>
      <c r="D52" s="767">
        <f>IFERROR(INDEX(Prop2018DistTar!Z:Z,MATCH($A52,Prop2018DistTar!$A:$A,),1),)</f>
        <v>0</v>
      </c>
      <c r="E52" s="766">
        <f>IFERROR(INDEX(Prop2018DistTar!AA:AA,MATCH($A52,Prop2018DistTar!$A:$A,),1),)</f>
        <v>0</v>
      </c>
      <c r="F52" s="766">
        <f>IFERROR(INDEX(Prop2018DistTar!AB:AB,MATCH($A52,Prop2018DistTar!$A:$A,),1),)</f>
        <v>0</v>
      </c>
      <c r="G52" s="766">
        <f>IFERROR(INDEX(Prop2018DistTar!AC:AC,MATCH($A52,Prop2018DistTar!$A:$A,),1),)</f>
        <v>0</v>
      </c>
      <c r="H52" s="766">
        <f>IFERROR(INDEX(Prop2018DistTar!AD:AD,MATCH($A52,Prop2018DistTar!$A:$A,),1),)</f>
        <v>0</v>
      </c>
      <c r="I52" s="766">
        <f>IFERROR(INDEX(Prop2018DistTar!AE:AE,MATCH($A52,Prop2018DistTar!$A:$A,),1),)</f>
        <v>0</v>
      </c>
      <c r="J52" s="766">
        <f>IFERROR(INDEX(Prop2018DistTar!AF:AF,MATCH($A52,Prop2018DistTar!$A:$A,),1),)</f>
        <v>0</v>
      </c>
      <c r="K52" s="766">
        <f>IFERROR(INDEX(Prop2018DistTar!AG:AG,MATCH($A52,Prop2018DistTar!$A:$A,),1),)</f>
        <v>0</v>
      </c>
      <c r="L52" s="766">
        <f>IFERROR(INDEX(Prop2018DistTar!AH:AH,MATCH($A52,Prop2018DistTar!$A:$A,),1),)</f>
        <v>0</v>
      </c>
      <c r="M52" s="766">
        <f>IFERROR(INDEX(Prop2018DistTar!AI:AI,MATCH($A52,Prop2018DistTar!$A:$A,),1),)</f>
        <v>0</v>
      </c>
      <c r="N52" s="766">
        <f>IFERROR(INDEX(Prop2018DistTar!AJ:AJ,MATCH($A52,Prop2018DistTar!$A:$A,),1),)</f>
        <v>0</v>
      </c>
      <c r="O52" s="766">
        <f>IFERROR(INDEX(Prop2018DistTar!AK:AK,MATCH($A52,Prop2018DistTar!$A:$A,),1),)</f>
        <v>0</v>
      </c>
      <c r="P52" s="766">
        <f>IFERROR(INDEX(Prop2018DistTar!AL:AL,MATCH($A52,Prop2018DistTar!$A:$A,),1),)</f>
        <v>0</v>
      </c>
      <c r="Q52" s="766">
        <f>IFERROR(INDEX(Prop2018DistTar!AM:AM,MATCH($A52,Prop2018DistTar!$A:$A,),1),)</f>
        <v>0</v>
      </c>
      <c r="R52" s="766">
        <f>IFERROR(INDEX(Prop2018DistTar!AN:AN,MATCH($A52,Prop2018DistTar!$A:$A,),1),)</f>
        <v>0</v>
      </c>
      <c r="S52" s="766">
        <f>IFERROR(INDEX(Prop2018DistTar!AO:AO,MATCH($A52,Prop2018DistTar!$A:$A,),1),)</f>
        <v>0</v>
      </c>
      <c r="T52" s="766">
        <f>IFERROR(INDEX(Prop2018DistTar!AP:AP,MATCH($A52,Prop2018DistTar!$A:$A,),1),)</f>
        <v>0</v>
      </c>
      <c r="U52" s="766">
        <f>IFERROR(INDEX(Prop2018DistTar!AQ:AQ,MATCH($A52,Prop2018DistTar!$A:$A,),1),)</f>
        <v>0</v>
      </c>
      <c r="V52" s="766">
        <f>IFERROR(INDEX(Prop2018DistTar!AR:AR,MATCH($A52,Prop2018DistTar!$A:$A,),1),)</f>
        <v>0</v>
      </c>
      <c r="W52" s="766">
        <f>IFERROR(INDEX(Prop2018DistTar!AS:AS,MATCH($A52,Prop2018DistTar!$A:$A,),1),)</f>
        <v>0</v>
      </c>
      <c r="X52" s="768"/>
      <c r="Z52" s="769">
        <v>0</v>
      </c>
      <c r="AA52" s="770">
        <v>0</v>
      </c>
      <c r="AB52" s="770">
        <v>0</v>
      </c>
      <c r="AC52" s="770">
        <v>0</v>
      </c>
      <c r="AD52" s="770">
        <v>0</v>
      </c>
      <c r="AE52" s="770">
        <v>0</v>
      </c>
      <c r="AF52" s="770">
        <v>0</v>
      </c>
      <c r="AG52" s="770">
        <v>0</v>
      </c>
      <c r="AH52" s="770">
        <v>0</v>
      </c>
      <c r="AI52" s="770">
        <v>0</v>
      </c>
      <c r="AJ52" s="770">
        <v>0</v>
      </c>
      <c r="AK52" s="770">
        <v>0</v>
      </c>
      <c r="AL52" s="770">
        <v>0</v>
      </c>
      <c r="AM52" s="770">
        <v>0</v>
      </c>
      <c r="AN52" s="770">
        <v>0</v>
      </c>
      <c r="AO52" s="770">
        <v>0</v>
      </c>
      <c r="AP52" s="770">
        <v>0</v>
      </c>
      <c r="AQ52" s="770">
        <v>0</v>
      </c>
      <c r="AR52" s="770">
        <v>0</v>
      </c>
      <c r="AS52" s="770">
        <v>0</v>
      </c>
      <c r="AT52" s="657">
        <v>0</v>
      </c>
      <c r="AU52" s="781"/>
      <c r="AV52" s="257">
        <f t="shared" si="5"/>
        <v>0</v>
      </c>
      <c r="AW52" s="224">
        <f t="shared" si="6"/>
        <v>0</v>
      </c>
      <c r="AX52" s="224">
        <f t="shared" si="7"/>
        <v>0</v>
      </c>
      <c r="AY52" s="224">
        <f t="shared" si="8"/>
        <v>0</v>
      </c>
      <c r="AZ52" s="224">
        <f t="shared" si="9"/>
        <v>0</v>
      </c>
      <c r="BA52" s="224">
        <f t="shared" si="10"/>
        <v>0</v>
      </c>
      <c r="BB52" s="224">
        <f t="shared" si="11"/>
        <v>0</v>
      </c>
      <c r="BC52" s="224">
        <f t="shared" si="12"/>
        <v>0</v>
      </c>
      <c r="BD52" s="224">
        <f t="shared" si="13"/>
        <v>0</v>
      </c>
      <c r="BE52" s="224">
        <f t="shared" si="14"/>
        <v>0</v>
      </c>
      <c r="BF52" s="224">
        <f t="shared" si="15"/>
        <v>0</v>
      </c>
      <c r="BG52" s="224">
        <f t="shared" si="16"/>
        <v>0</v>
      </c>
      <c r="BH52" s="224">
        <f t="shared" si="17"/>
        <v>0</v>
      </c>
      <c r="BI52" s="258">
        <f t="shared" si="18"/>
        <v>0</v>
      </c>
      <c r="BJ52" s="258">
        <f t="shared" si="19"/>
        <v>0</v>
      </c>
      <c r="BK52" s="258">
        <f t="shared" si="20"/>
        <v>0</v>
      </c>
      <c r="BL52" s="258">
        <f t="shared" si="21"/>
        <v>0</v>
      </c>
      <c r="BM52" s="258">
        <f t="shared" si="22"/>
        <v>0</v>
      </c>
      <c r="BN52" s="258">
        <f t="shared" si="23"/>
        <v>0</v>
      </c>
      <c r="BO52" s="258">
        <f t="shared" si="24"/>
        <v>0</v>
      </c>
      <c r="BP52" s="258">
        <f t="shared" si="25"/>
        <v>0</v>
      </c>
      <c r="BQ52" s="259">
        <f t="shared" si="26"/>
        <v>0</v>
      </c>
      <c r="BR52" s="676"/>
    </row>
    <row r="53" spans="1:70">
      <c r="A53" s="764" t="s">
        <v>657</v>
      </c>
      <c r="B53" s="765" t="s">
        <v>199</v>
      </c>
      <c r="C53" s="289"/>
      <c r="D53" s="767">
        <f>IFERROR(INDEX(Prop2018DistTar!Z:Z,MATCH($A53,Prop2018DistTar!$A:$A,),1),)</f>
        <v>0</v>
      </c>
      <c r="E53" s="766">
        <f>IFERROR(INDEX(Prop2018DistTar!AA:AA,MATCH($A53,Prop2018DistTar!$A:$A,),1),)</f>
        <v>0</v>
      </c>
      <c r="F53" s="766">
        <f>IFERROR(INDEX(Prop2018DistTar!AB:AB,MATCH($A53,Prop2018DistTar!$A:$A,),1),)</f>
        <v>0</v>
      </c>
      <c r="G53" s="766">
        <f>IFERROR(INDEX(Prop2018DistTar!AC:AC,MATCH($A53,Prop2018DistTar!$A:$A,),1),)</f>
        <v>0</v>
      </c>
      <c r="H53" s="766">
        <f>IFERROR(INDEX(Prop2018DistTar!AD:AD,MATCH($A53,Prop2018DistTar!$A:$A,),1),)</f>
        <v>0</v>
      </c>
      <c r="I53" s="766">
        <f>IFERROR(INDEX(Prop2018DistTar!AE:AE,MATCH($A53,Prop2018DistTar!$A:$A,),1),)</f>
        <v>0</v>
      </c>
      <c r="J53" s="766">
        <f>IFERROR(INDEX(Prop2018DistTar!AF:AF,MATCH($A53,Prop2018DistTar!$A:$A,),1),)</f>
        <v>0</v>
      </c>
      <c r="K53" s="766">
        <f>IFERROR(INDEX(Prop2018DistTar!AG:AG,MATCH($A53,Prop2018DistTar!$A:$A,),1),)</f>
        <v>0</v>
      </c>
      <c r="L53" s="766">
        <f>IFERROR(INDEX(Prop2018DistTar!AH:AH,MATCH($A53,Prop2018DistTar!$A:$A,),1),)</f>
        <v>0</v>
      </c>
      <c r="M53" s="766">
        <f>IFERROR(INDEX(Prop2018DistTar!AI:AI,MATCH($A53,Prop2018DistTar!$A:$A,),1),)</f>
        <v>0</v>
      </c>
      <c r="N53" s="766">
        <f>IFERROR(INDEX(Prop2018DistTar!AJ:AJ,MATCH($A53,Prop2018DistTar!$A:$A,),1),)</f>
        <v>0</v>
      </c>
      <c r="O53" s="766">
        <f>IFERROR(INDEX(Prop2018DistTar!AK:AK,MATCH($A53,Prop2018DistTar!$A:$A,),1),)</f>
        <v>0</v>
      </c>
      <c r="P53" s="766">
        <f>IFERROR(INDEX(Prop2018DistTar!AL:AL,MATCH($A53,Prop2018DistTar!$A:$A,),1),)</f>
        <v>0</v>
      </c>
      <c r="Q53" s="766">
        <f>IFERROR(INDEX(Prop2018DistTar!AM:AM,MATCH($A53,Prop2018DistTar!$A:$A,),1),)</f>
        <v>0</v>
      </c>
      <c r="R53" s="766">
        <f>IFERROR(INDEX(Prop2018DistTar!AN:AN,MATCH($A53,Prop2018DistTar!$A:$A,),1),)</f>
        <v>0</v>
      </c>
      <c r="S53" s="766">
        <f>IFERROR(INDEX(Prop2018DistTar!AO:AO,MATCH($A53,Prop2018DistTar!$A:$A,),1),)</f>
        <v>0</v>
      </c>
      <c r="T53" s="766">
        <f>IFERROR(INDEX(Prop2018DistTar!AP:AP,MATCH($A53,Prop2018DistTar!$A:$A,),1),)</f>
        <v>0</v>
      </c>
      <c r="U53" s="766">
        <f>IFERROR(INDEX(Prop2018DistTar!AQ:AQ,MATCH($A53,Prop2018DistTar!$A:$A,),1),)</f>
        <v>0</v>
      </c>
      <c r="V53" s="766">
        <f>IFERROR(INDEX(Prop2018DistTar!AR:AR,MATCH($A53,Prop2018DistTar!$A:$A,),1),)</f>
        <v>0</v>
      </c>
      <c r="W53" s="766">
        <f>IFERROR(INDEX(Prop2018DistTar!AS:AS,MATCH($A53,Prop2018DistTar!$A:$A,),1),)</f>
        <v>0</v>
      </c>
      <c r="X53" s="768"/>
      <c r="Z53" s="769">
        <v>0</v>
      </c>
      <c r="AA53" s="770">
        <v>0</v>
      </c>
      <c r="AB53" s="770">
        <v>0</v>
      </c>
      <c r="AC53" s="770">
        <v>0</v>
      </c>
      <c r="AD53" s="770">
        <v>0</v>
      </c>
      <c r="AE53" s="770">
        <v>0</v>
      </c>
      <c r="AF53" s="770">
        <v>0</v>
      </c>
      <c r="AG53" s="770">
        <v>0</v>
      </c>
      <c r="AH53" s="770">
        <v>0</v>
      </c>
      <c r="AI53" s="770">
        <v>0</v>
      </c>
      <c r="AJ53" s="770">
        <v>0</v>
      </c>
      <c r="AK53" s="770">
        <v>0</v>
      </c>
      <c r="AL53" s="770">
        <v>0</v>
      </c>
      <c r="AM53" s="770">
        <v>0</v>
      </c>
      <c r="AN53" s="770">
        <v>0</v>
      </c>
      <c r="AO53" s="770">
        <v>0</v>
      </c>
      <c r="AP53" s="770">
        <v>0</v>
      </c>
      <c r="AQ53" s="770">
        <v>0</v>
      </c>
      <c r="AR53" s="770">
        <v>0</v>
      </c>
      <c r="AS53" s="770">
        <v>0</v>
      </c>
      <c r="AT53" s="657">
        <v>0</v>
      </c>
      <c r="AU53" s="781"/>
      <c r="AV53" s="257">
        <f t="shared" si="5"/>
        <v>0</v>
      </c>
      <c r="AW53" s="224">
        <f t="shared" si="6"/>
        <v>0</v>
      </c>
      <c r="AX53" s="224">
        <f t="shared" si="7"/>
        <v>0</v>
      </c>
      <c r="AY53" s="224">
        <f t="shared" si="8"/>
        <v>0</v>
      </c>
      <c r="AZ53" s="224">
        <f t="shared" si="9"/>
        <v>0</v>
      </c>
      <c r="BA53" s="224">
        <f t="shared" si="10"/>
        <v>0</v>
      </c>
      <c r="BB53" s="224">
        <f t="shared" si="11"/>
        <v>0</v>
      </c>
      <c r="BC53" s="224">
        <f t="shared" si="12"/>
        <v>0</v>
      </c>
      <c r="BD53" s="224">
        <f t="shared" si="13"/>
        <v>0</v>
      </c>
      <c r="BE53" s="224">
        <f t="shared" si="14"/>
        <v>0</v>
      </c>
      <c r="BF53" s="224">
        <f t="shared" si="15"/>
        <v>0</v>
      </c>
      <c r="BG53" s="224">
        <f t="shared" si="16"/>
        <v>0</v>
      </c>
      <c r="BH53" s="224">
        <f t="shared" si="17"/>
        <v>0</v>
      </c>
      <c r="BI53" s="258">
        <f t="shared" si="18"/>
        <v>0</v>
      </c>
      <c r="BJ53" s="258">
        <f t="shared" si="19"/>
        <v>0</v>
      </c>
      <c r="BK53" s="258">
        <f t="shared" si="20"/>
        <v>0</v>
      </c>
      <c r="BL53" s="258">
        <f t="shared" si="21"/>
        <v>0</v>
      </c>
      <c r="BM53" s="258">
        <f t="shared" si="22"/>
        <v>0</v>
      </c>
      <c r="BN53" s="258">
        <f t="shared" si="23"/>
        <v>0</v>
      </c>
      <c r="BO53" s="258">
        <f t="shared" si="24"/>
        <v>0</v>
      </c>
      <c r="BP53" s="258">
        <f t="shared" si="25"/>
        <v>0</v>
      </c>
      <c r="BQ53" s="259">
        <f t="shared" si="26"/>
        <v>0</v>
      </c>
      <c r="BR53" s="676"/>
    </row>
    <row r="54" spans="1:70">
      <c r="A54" s="764" t="s">
        <v>658</v>
      </c>
      <c r="B54" s="765" t="s">
        <v>200</v>
      </c>
      <c r="C54" s="289"/>
      <c r="D54" s="767">
        <f>IFERROR(INDEX(Prop2018DistTar!Z:Z,MATCH($A54,Prop2018DistTar!$A:$A,),1),)</f>
        <v>0</v>
      </c>
      <c r="E54" s="766">
        <f>IFERROR(INDEX(Prop2018DistTar!AA:AA,MATCH($A54,Prop2018DistTar!$A:$A,),1),)</f>
        <v>0</v>
      </c>
      <c r="F54" s="766">
        <f>IFERROR(INDEX(Prop2018DistTar!AB:AB,MATCH($A54,Prop2018DistTar!$A:$A,),1),)</f>
        <v>0</v>
      </c>
      <c r="G54" s="766">
        <f>IFERROR(INDEX(Prop2018DistTar!AC:AC,MATCH($A54,Prop2018DistTar!$A:$A,),1),)</f>
        <v>0</v>
      </c>
      <c r="H54" s="766">
        <f>IFERROR(INDEX(Prop2018DistTar!AD:AD,MATCH($A54,Prop2018DistTar!$A:$A,),1),)</f>
        <v>0</v>
      </c>
      <c r="I54" s="766">
        <f>IFERROR(INDEX(Prop2018DistTar!AE:AE,MATCH($A54,Prop2018DistTar!$A:$A,),1),)</f>
        <v>0</v>
      </c>
      <c r="J54" s="766">
        <f>IFERROR(INDEX(Prop2018DistTar!AF:AF,MATCH($A54,Prop2018DistTar!$A:$A,),1),)</f>
        <v>0</v>
      </c>
      <c r="K54" s="766">
        <f>IFERROR(INDEX(Prop2018DistTar!AG:AG,MATCH($A54,Prop2018DistTar!$A:$A,),1),)</f>
        <v>0</v>
      </c>
      <c r="L54" s="766">
        <f>IFERROR(INDEX(Prop2018DistTar!AH:AH,MATCH($A54,Prop2018DistTar!$A:$A,),1),)</f>
        <v>0</v>
      </c>
      <c r="M54" s="766">
        <f>IFERROR(INDEX(Prop2018DistTar!AI:AI,MATCH($A54,Prop2018DistTar!$A:$A,),1),)</f>
        <v>0</v>
      </c>
      <c r="N54" s="766">
        <f>IFERROR(INDEX(Prop2018DistTar!AJ:AJ,MATCH($A54,Prop2018DistTar!$A:$A,),1),)</f>
        <v>0</v>
      </c>
      <c r="O54" s="766">
        <f>IFERROR(INDEX(Prop2018DistTar!AK:AK,MATCH($A54,Prop2018DistTar!$A:$A,),1),)</f>
        <v>0</v>
      </c>
      <c r="P54" s="766">
        <f>IFERROR(INDEX(Prop2018DistTar!AL:AL,MATCH($A54,Prop2018DistTar!$A:$A,),1),)</f>
        <v>0</v>
      </c>
      <c r="Q54" s="766">
        <f>IFERROR(INDEX(Prop2018DistTar!AM:AM,MATCH($A54,Prop2018DistTar!$A:$A,),1),)</f>
        <v>0</v>
      </c>
      <c r="R54" s="766">
        <f>IFERROR(INDEX(Prop2018DistTar!AN:AN,MATCH($A54,Prop2018DistTar!$A:$A,),1),)</f>
        <v>0</v>
      </c>
      <c r="S54" s="766">
        <f>IFERROR(INDEX(Prop2018DistTar!AO:AO,MATCH($A54,Prop2018DistTar!$A:$A,),1),)</f>
        <v>0</v>
      </c>
      <c r="T54" s="766">
        <f>IFERROR(INDEX(Prop2018DistTar!AP:AP,MATCH($A54,Prop2018DistTar!$A:$A,),1),)</f>
        <v>0</v>
      </c>
      <c r="U54" s="766">
        <f>IFERROR(INDEX(Prop2018DistTar!AQ:AQ,MATCH($A54,Prop2018DistTar!$A:$A,),1),)</f>
        <v>0</v>
      </c>
      <c r="V54" s="766">
        <f>IFERROR(INDEX(Prop2018DistTar!AR:AR,MATCH($A54,Prop2018DistTar!$A:$A,),1),)</f>
        <v>0</v>
      </c>
      <c r="W54" s="766">
        <f>IFERROR(INDEX(Prop2018DistTar!AS:AS,MATCH($A54,Prop2018DistTar!$A:$A,),1),)</f>
        <v>0</v>
      </c>
      <c r="X54" s="768"/>
      <c r="Z54" s="769">
        <v>0</v>
      </c>
      <c r="AA54" s="770">
        <v>0</v>
      </c>
      <c r="AB54" s="770">
        <v>0</v>
      </c>
      <c r="AC54" s="770">
        <v>0</v>
      </c>
      <c r="AD54" s="770">
        <v>0</v>
      </c>
      <c r="AE54" s="770">
        <v>0</v>
      </c>
      <c r="AF54" s="770">
        <v>0</v>
      </c>
      <c r="AG54" s="770">
        <v>0</v>
      </c>
      <c r="AH54" s="770">
        <v>0</v>
      </c>
      <c r="AI54" s="770">
        <v>0</v>
      </c>
      <c r="AJ54" s="770">
        <v>0</v>
      </c>
      <c r="AK54" s="770">
        <v>0</v>
      </c>
      <c r="AL54" s="770">
        <v>0</v>
      </c>
      <c r="AM54" s="770">
        <v>0</v>
      </c>
      <c r="AN54" s="770">
        <v>0</v>
      </c>
      <c r="AO54" s="770">
        <v>0</v>
      </c>
      <c r="AP54" s="770">
        <v>0</v>
      </c>
      <c r="AQ54" s="770">
        <v>0</v>
      </c>
      <c r="AR54" s="770">
        <v>0</v>
      </c>
      <c r="AS54" s="770">
        <v>0</v>
      </c>
      <c r="AT54" s="657">
        <v>0</v>
      </c>
      <c r="AU54" s="781"/>
      <c r="AV54" s="257">
        <f t="shared" si="5"/>
        <v>0</v>
      </c>
      <c r="AW54" s="224">
        <f t="shared" si="6"/>
        <v>0</v>
      </c>
      <c r="AX54" s="224">
        <f t="shared" si="7"/>
        <v>0</v>
      </c>
      <c r="AY54" s="224">
        <f t="shared" si="8"/>
        <v>0</v>
      </c>
      <c r="AZ54" s="224">
        <f t="shared" si="9"/>
        <v>0</v>
      </c>
      <c r="BA54" s="224">
        <f t="shared" si="10"/>
        <v>0</v>
      </c>
      <c r="BB54" s="224">
        <f t="shared" si="11"/>
        <v>0</v>
      </c>
      <c r="BC54" s="224">
        <f t="shared" si="12"/>
        <v>0</v>
      </c>
      <c r="BD54" s="224">
        <f t="shared" si="13"/>
        <v>0</v>
      </c>
      <c r="BE54" s="224">
        <f t="shared" si="14"/>
        <v>0</v>
      </c>
      <c r="BF54" s="224">
        <f t="shared" si="15"/>
        <v>0</v>
      </c>
      <c r="BG54" s="224">
        <f t="shared" si="16"/>
        <v>0</v>
      </c>
      <c r="BH54" s="224">
        <f t="shared" si="17"/>
        <v>0</v>
      </c>
      <c r="BI54" s="258">
        <f t="shared" si="18"/>
        <v>0</v>
      </c>
      <c r="BJ54" s="258">
        <f t="shared" si="19"/>
        <v>0</v>
      </c>
      <c r="BK54" s="258">
        <f t="shared" si="20"/>
        <v>0</v>
      </c>
      <c r="BL54" s="258">
        <f t="shared" si="21"/>
        <v>0</v>
      </c>
      <c r="BM54" s="258">
        <f t="shared" si="22"/>
        <v>0</v>
      </c>
      <c r="BN54" s="258">
        <f t="shared" si="23"/>
        <v>0</v>
      </c>
      <c r="BO54" s="258">
        <f t="shared" si="24"/>
        <v>0</v>
      </c>
      <c r="BP54" s="258">
        <f t="shared" si="25"/>
        <v>0</v>
      </c>
      <c r="BQ54" s="259">
        <f t="shared" si="26"/>
        <v>0</v>
      </c>
      <c r="BR54" s="676"/>
    </row>
    <row r="55" spans="1:70">
      <c r="B55" s="238"/>
      <c r="C55" s="289"/>
      <c r="D55" s="290"/>
      <c r="E55" s="261"/>
      <c r="F55" s="261"/>
      <c r="G55" s="261"/>
      <c r="H55" s="261"/>
      <c r="I55" s="261"/>
      <c r="J55" s="261"/>
      <c r="K55" s="261"/>
      <c r="L55" s="261"/>
      <c r="M55" s="261"/>
      <c r="N55" s="261"/>
      <c r="O55" s="261"/>
      <c r="P55" s="261"/>
      <c r="Q55" s="261"/>
      <c r="R55" s="261"/>
      <c r="S55" s="261"/>
      <c r="T55" s="261"/>
      <c r="U55" s="261"/>
      <c r="V55" s="261"/>
      <c r="W55" s="261"/>
      <c r="X55" s="323"/>
      <c r="Z55" s="254"/>
      <c r="AA55" s="255"/>
      <c r="AB55" s="255"/>
      <c r="AC55" s="255"/>
      <c r="AD55" s="255"/>
      <c r="AE55" s="255"/>
      <c r="AF55" s="255"/>
      <c r="AG55" s="255"/>
      <c r="AH55" s="255"/>
      <c r="AI55" s="255"/>
      <c r="AJ55" s="255"/>
      <c r="AK55" s="255"/>
      <c r="AL55" s="255"/>
      <c r="AM55" s="255"/>
      <c r="AN55" s="255"/>
      <c r="AO55" s="255"/>
      <c r="AP55" s="255"/>
      <c r="AQ55" s="255"/>
      <c r="AR55" s="255"/>
      <c r="AS55" s="255"/>
      <c r="AT55" s="256"/>
      <c r="AU55" s="781"/>
      <c r="AV55" s="257">
        <f t="shared" si="5"/>
        <v>0</v>
      </c>
      <c r="AW55" s="224">
        <f t="shared" si="6"/>
        <v>0</v>
      </c>
      <c r="AX55" s="224">
        <f t="shared" si="7"/>
        <v>0</v>
      </c>
      <c r="AY55" s="224">
        <f t="shared" si="8"/>
        <v>0</v>
      </c>
      <c r="AZ55" s="224">
        <f t="shared" si="9"/>
        <v>0</v>
      </c>
      <c r="BA55" s="224">
        <f t="shared" si="10"/>
        <v>0</v>
      </c>
      <c r="BB55" s="224">
        <f t="shared" si="11"/>
        <v>0</v>
      </c>
      <c r="BC55" s="224">
        <f t="shared" si="12"/>
        <v>0</v>
      </c>
      <c r="BD55" s="224">
        <f t="shared" si="13"/>
        <v>0</v>
      </c>
      <c r="BE55" s="224">
        <f t="shared" si="14"/>
        <v>0</v>
      </c>
      <c r="BF55" s="224">
        <f t="shared" si="15"/>
        <v>0</v>
      </c>
      <c r="BG55" s="224">
        <f t="shared" si="16"/>
        <v>0</v>
      </c>
      <c r="BH55" s="224">
        <f t="shared" si="17"/>
        <v>0</v>
      </c>
      <c r="BI55" s="258">
        <f t="shared" si="18"/>
        <v>0</v>
      </c>
      <c r="BJ55" s="258">
        <f t="shared" si="19"/>
        <v>0</v>
      </c>
      <c r="BK55" s="258">
        <f t="shared" si="20"/>
        <v>0</v>
      </c>
      <c r="BL55" s="258">
        <f t="shared" si="21"/>
        <v>0</v>
      </c>
      <c r="BM55" s="258">
        <f t="shared" si="22"/>
        <v>0</v>
      </c>
      <c r="BN55" s="258">
        <f t="shared" si="23"/>
        <v>0</v>
      </c>
      <c r="BO55" s="258">
        <f t="shared" si="24"/>
        <v>0</v>
      </c>
      <c r="BP55" s="258">
        <f t="shared" si="25"/>
        <v>0</v>
      </c>
      <c r="BQ55" s="259">
        <f t="shared" si="26"/>
        <v>0</v>
      </c>
      <c r="BR55" s="676"/>
    </row>
    <row r="56" spans="1:70">
      <c r="B56" s="238"/>
      <c r="C56" s="289"/>
      <c r="D56" s="290"/>
      <c r="E56" s="261"/>
      <c r="F56" s="261"/>
      <c r="G56" s="261"/>
      <c r="H56" s="261"/>
      <c r="I56" s="261"/>
      <c r="J56" s="261"/>
      <c r="K56" s="261"/>
      <c r="L56" s="261"/>
      <c r="M56" s="261"/>
      <c r="N56" s="261"/>
      <c r="O56" s="261"/>
      <c r="P56" s="261"/>
      <c r="Q56" s="261"/>
      <c r="R56" s="261"/>
      <c r="S56" s="261"/>
      <c r="T56" s="261"/>
      <c r="U56" s="261"/>
      <c r="V56" s="261"/>
      <c r="W56" s="261"/>
      <c r="X56" s="323"/>
      <c r="Z56" s="254"/>
      <c r="AA56" s="255"/>
      <c r="AB56" s="255"/>
      <c r="AC56" s="255"/>
      <c r="AD56" s="255"/>
      <c r="AE56" s="255"/>
      <c r="AF56" s="255"/>
      <c r="AG56" s="255"/>
      <c r="AH56" s="255"/>
      <c r="AI56" s="255"/>
      <c r="AJ56" s="255"/>
      <c r="AK56" s="255"/>
      <c r="AL56" s="255"/>
      <c r="AM56" s="255"/>
      <c r="AN56" s="255"/>
      <c r="AO56" s="255"/>
      <c r="AP56" s="255"/>
      <c r="AQ56" s="255"/>
      <c r="AR56" s="255"/>
      <c r="AS56" s="255"/>
      <c r="AT56" s="256"/>
      <c r="AU56" s="781"/>
      <c r="AV56" s="257">
        <f t="shared" si="5"/>
        <v>0</v>
      </c>
      <c r="AW56" s="224">
        <f t="shared" si="6"/>
        <v>0</v>
      </c>
      <c r="AX56" s="224">
        <f t="shared" si="7"/>
        <v>0</v>
      </c>
      <c r="AY56" s="224">
        <f t="shared" si="8"/>
        <v>0</v>
      </c>
      <c r="AZ56" s="224">
        <f t="shared" si="9"/>
        <v>0</v>
      </c>
      <c r="BA56" s="224">
        <f t="shared" si="10"/>
        <v>0</v>
      </c>
      <c r="BB56" s="224">
        <f t="shared" si="11"/>
        <v>0</v>
      </c>
      <c r="BC56" s="224">
        <f t="shared" si="12"/>
        <v>0</v>
      </c>
      <c r="BD56" s="224">
        <f t="shared" si="13"/>
        <v>0</v>
      </c>
      <c r="BE56" s="224">
        <f t="shared" si="14"/>
        <v>0</v>
      </c>
      <c r="BF56" s="224">
        <f t="shared" si="15"/>
        <v>0</v>
      </c>
      <c r="BG56" s="224">
        <f t="shared" si="16"/>
        <v>0</v>
      </c>
      <c r="BH56" s="224">
        <f t="shared" si="17"/>
        <v>0</v>
      </c>
      <c r="BI56" s="258">
        <f t="shared" si="18"/>
        <v>0</v>
      </c>
      <c r="BJ56" s="258">
        <f t="shared" si="19"/>
        <v>0</v>
      </c>
      <c r="BK56" s="258">
        <f t="shared" si="20"/>
        <v>0</v>
      </c>
      <c r="BL56" s="258">
        <f t="shared" si="21"/>
        <v>0</v>
      </c>
      <c r="BM56" s="258">
        <f t="shared" si="22"/>
        <v>0</v>
      </c>
      <c r="BN56" s="258">
        <f t="shared" si="23"/>
        <v>0</v>
      </c>
      <c r="BO56" s="258">
        <f t="shared" si="24"/>
        <v>0</v>
      </c>
      <c r="BP56" s="258">
        <f t="shared" si="25"/>
        <v>0</v>
      </c>
      <c r="BQ56" s="259">
        <f t="shared" si="26"/>
        <v>0</v>
      </c>
      <c r="BR56" s="676"/>
    </row>
    <row r="57" spans="1:70">
      <c r="B57" s="238"/>
      <c r="C57" s="289"/>
      <c r="D57" s="290"/>
      <c r="E57" s="261"/>
      <c r="F57" s="261"/>
      <c r="G57" s="261"/>
      <c r="H57" s="261"/>
      <c r="I57" s="261"/>
      <c r="J57" s="261"/>
      <c r="K57" s="261"/>
      <c r="L57" s="261"/>
      <c r="M57" s="261"/>
      <c r="N57" s="261"/>
      <c r="O57" s="261"/>
      <c r="P57" s="261"/>
      <c r="Q57" s="261"/>
      <c r="R57" s="261"/>
      <c r="S57" s="261"/>
      <c r="T57" s="261"/>
      <c r="U57" s="261"/>
      <c r="V57" s="261"/>
      <c r="W57" s="261"/>
      <c r="X57" s="323"/>
      <c r="Z57" s="254"/>
      <c r="AA57" s="255"/>
      <c r="AB57" s="255"/>
      <c r="AC57" s="255"/>
      <c r="AD57" s="255"/>
      <c r="AE57" s="255"/>
      <c r="AF57" s="255"/>
      <c r="AG57" s="255"/>
      <c r="AH57" s="255"/>
      <c r="AI57" s="255"/>
      <c r="AJ57" s="255"/>
      <c r="AK57" s="255"/>
      <c r="AL57" s="255"/>
      <c r="AM57" s="255"/>
      <c r="AN57" s="255"/>
      <c r="AO57" s="255"/>
      <c r="AP57" s="255"/>
      <c r="AQ57" s="255"/>
      <c r="AR57" s="255"/>
      <c r="AS57" s="255"/>
      <c r="AT57" s="256"/>
      <c r="AU57" s="781"/>
      <c r="AV57" s="257">
        <f t="shared" si="5"/>
        <v>0</v>
      </c>
      <c r="AW57" s="224">
        <f t="shared" si="6"/>
        <v>0</v>
      </c>
      <c r="AX57" s="224">
        <f t="shared" si="7"/>
        <v>0</v>
      </c>
      <c r="AY57" s="224">
        <f t="shared" si="8"/>
        <v>0</v>
      </c>
      <c r="AZ57" s="224">
        <f t="shared" si="9"/>
        <v>0</v>
      </c>
      <c r="BA57" s="224">
        <f t="shared" si="10"/>
        <v>0</v>
      </c>
      <c r="BB57" s="224">
        <f t="shared" si="11"/>
        <v>0</v>
      </c>
      <c r="BC57" s="224">
        <f t="shared" si="12"/>
        <v>0</v>
      </c>
      <c r="BD57" s="224">
        <f t="shared" si="13"/>
        <v>0</v>
      </c>
      <c r="BE57" s="224">
        <f t="shared" si="14"/>
        <v>0</v>
      </c>
      <c r="BF57" s="224">
        <f t="shared" si="15"/>
        <v>0</v>
      </c>
      <c r="BG57" s="224">
        <f t="shared" si="16"/>
        <v>0</v>
      </c>
      <c r="BH57" s="224">
        <f t="shared" si="17"/>
        <v>0</v>
      </c>
      <c r="BI57" s="258">
        <f t="shared" si="18"/>
        <v>0</v>
      </c>
      <c r="BJ57" s="258">
        <f t="shared" si="19"/>
        <v>0</v>
      </c>
      <c r="BK57" s="258">
        <f t="shared" si="20"/>
        <v>0</v>
      </c>
      <c r="BL57" s="258">
        <f t="shared" si="21"/>
        <v>0</v>
      </c>
      <c r="BM57" s="258">
        <f t="shared" si="22"/>
        <v>0</v>
      </c>
      <c r="BN57" s="258">
        <f t="shared" si="23"/>
        <v>0</v>
      </c>
      <c r="BO57" s="258">
        <f t="shared" si="24"/>
        <v>0</v>
      </c>
      <c r="BP57" s="258">
        <f t="shared" si="25"/>
        <v>0</v>
      </c>
      <c r="BQ57" s="259">
        <f t="shared" si="26"/>
        <v>0</v>
      </c>
      <c r="BR57" s="676"/>
    </row>
    <row r="58" spans="1:70">
      <c r="B58" s="238"/>
      <c r="C58" s="289"/>
      <c r="D58" s="290"/>
      <c r="E58" s="261"/>
      <c r="F58" s="261"/>
      <c r="G58" s="261"/>
      <c r="H58" s="261"/>
      <c r="I58" s="261"/>
      <c r="J58" s="261"/>
      <c r="K58" s="261"/>
      <c r="L58" s="261"/>
      <c r="M58" s="261"/>
      <c r="N58" s="261"/>
      <c r="O58" s="261"/>
      <c r="P58" s="261"/>
      <c r="Q58" s="261"/>
      <c r="R58" s="261"/>
      <c r="S58" s="261"/>
      <c r="T58" s="261"/>
      <c r="U58" s="261"/>
      <c r="V58" s="261"/>
      <c r="W58" s="261"/>
      <c r="X58" s="323"/>
      <c r="Z58" s="254"/>
      <c r="AA58" s="255"/>
      <c r="AB58" s="255"/>
      <c r="AC58" s="255"/>
      <c r="AD58" s="255"/>
      <c r="AE58" s="255"/>
      <c r="AF58" s="255"/>
      <c r="AG58" s="255"/>
      <c r="AH58" s="255"/>
      <c r="AI58" s="255"/>
      <c r="AJ58" s="255"/>
      <c r="AK58" s="255"/>
      <c r="AL58" s="255"/>
      <c r="AM58" s="255"/>
      <c r="AN58" s="255"/>
      <c r="AO58" s="255"/>
      <c r="AP58" s="255"/>
      <c r="AQ58" s="255"/>
      <c r="AR58" s="255"/>
      <c r="AS58" s="255"/>
      <c r="AT58" s="256"/>
      <c r="AU58" s="781"/>
      <c r="AV58" s="257">
        <f t="shared" si="5"/>
        <v>0</v>
      </c>
      <c r="AW58" s="224">
        <f t="shared" si="6"/>
        <v>0</v>
      </c>
      <c r="AX58" s="224">
        <f t="shared" si="7"/>
        <v>0</v>
      </c>
      <c r="AY58" s="224">
        <f t="shared" si="8"/>
        <v>0</v>
      </c>
      <c r="AZ58" s="224">
        <f t="shared" si="9"/>
        <v>0</v>
      </c>
      <c r="BA58" s="224">
        <f t="shared" si="10"/>
        <v>0</v>
      </c>
      <c r="BB58" s="224">
        <f t="shared" si="11"/>
        <v>0</v>
      </c>
      <c r="BC58" s="224">
        <f t="shared" si="12"/>
        <v>0</v>
      </c>
      <c r="BD58" s="224">
        <f t="shared" si="13"/>
        <v>0</v>
      </c>
      <c r="BE58" s="224">
        <f t="shared" si="14"/>
        <v>0</v>
      </c>
      <c r="BF58" s="224">
        <f t="shared" si="15"/>
        <v>0</v>
      </c>
      <c r="BG58" s="224">
        <f t="shared" si="16"/>
        <v>0</v>
      </c>
      <c r="BH58" s="224">
        <f t="shared" si="17"/>
        <v>0</v>
      </c>
      <c r="BI58" s="258">
        <f t="shared" si="18"/>
        <v>0</v>
      </c>
      <c r="BJ58" s="258">
        <f t="shared" si="19"/>
        <v>0</v>
      </c>
      <c r="BK58" s="258">
        <f t="shared" si="20"/>
        <v>0</v>
      </c>
      <c r="BL58" s="258">
        <f t="shared" si="21"/>
        <v>0</v>
      </c>
      <c r="BM58" s="258">
        <f t="shared" si="22"/>
        <v>0</v>
      </c>
      <c r="BN58" s="258">
        <f t="shared" si="23"/>
        <v>0</v>
      </c>
      <c r="BO58" s="258">
        <f t="shared" si="24"/>
        <v>0</v>
      </c>
      <c r="BP58" s="258">
        <f t="shared" si="25"/>
        <v>0</v>
      </c>
      <c r="BQ58" s="259">
        <f t="shared" si="26"/>
        <v>0</v>
      </c>
      <c r="BR58" s="676"/>
    </row>
    <row r="59" spans="1:70">
      <c r="B59" s="238"/>
      <c r="C59" s="289"/>
      <c r="D59" s="290"/>
      <c r="E59" s="261"/>
      <c r="F59" s="261"/>
      <c r="G59" s="261"/>
      <c r="H59" s="261"/>
      <c r="I59" s="261"/>
      <c r="J59" s="261"/>
      <c r="K59" s="261"/>
      <c r="L59" s="261"/>
      <c r="M59" s="261"/>
      <c r="N59" s="261"/>
      <c r="O59" s="261"/>
      <c r="P59" s="261"/>
      <c r="Q59" s="261"/>
      <c r="R59" s="261"/>
      <c r="S59" s="261"/>
      <c r="T59" s="261"/>
      <c r="U59" s="261"/>
      <c r="V59" s="261"/>
      <c r="W59" s="261"/>
      <c r="X59" s="323"/>
      <c r="Z59" s="254"/>
      <c r="AA59" s="255"/>
      <c r="AB59" s="255"/>
      <c r="AC59" s="255"/>
      <c r="AD59" s="255"/>
      <c r="AE59" s="255"/>
      <c r="AF59" s="255"/>
      <c r="AG59" s="255"/>
      <c r="AH59" s="255"/>
      <c r="AI59" s="255"/>
      <c r="AJ59" s="255"/>
      <c r="AK59" s="255"/>
      <c r="AL59" s="255"/>
      <c r="AM59" s="255"/>
      <c r="AN59" s="255"/>
      <c r="AO59" s="255"/>
      <c r="AP59" s="255"/>
      <c r="AQ59" s="255"/>
      <c r="AR59" s="255"/>
      <c r="AS59" s="255"/>
      <c r="AT59" s="256"/>
      <c r="AU59" s="781"/>
      <c r="AV59" s="257">
        <f t="shared" si="5"/>
        <v>0</v>
      </c>
      <c r="AW59" s="224">
        <f t="shared" si="6"/>
        <v>0</v>
      </c>
      <c r="AX59" s="224">
        <f t="shared" si="7"/>
        <v>0</v>
      </c>
      <c r="AY59" s="224">
        <f t="shared" si="8"/>
        <v>0</v>
      </c>
      <c r="AZ59" s="224">
        <f t="shared" si="9"/>
        <v>0</v>
      </c>
      <c r="BA59" s="224">
        <f t="shared" si="10"/>
        <v>0</v>
      </c>
      <c r="BB59" s="224">
        <f t="shared" si="11"/>
        <v>0</v>
      </c>
      <c r="BC59" s="224">
        <f t="shared" si="12"/>
        <v>0</v>
      </c>
      <c r="BD59" s="224">
        <f t="shared" si="13"/>
        <v>0</v>
      </c>
      <c r="BE59" s="224">
        <f t="shared" si="14"/>
        <v>0</v>
      </c>
      <c r="BF59" s="224">
        <f t="shared" si="15"/>
        <v>0</v>
      </c>
      <c r="BG59" s="224">
        <f t="shared" si="16"/>
        <v>0</v>
      </c>
      <c r="BH59" s="224">
        <f t="shared" si="17"/>
        <v>0</v>
      </c>
      <c r="BI59" s="258">
        <f t="shared" si="18"/>
        <v>0</v>
      </c>
      <c r="BJ59" s="258">
        <f t="shared" si="19"/>
        <v>0</v>
      </c>
      <c r="BK59" s="258">
        <f t="shared" si="20"/>
        <v>0</v>
      </c>
      <c r="BL59" s="258">
        <f t="shared" si="21"/>
        <v>0</v>
      </c>
      <c r="BM59" s="258">
        <f t="shared" si="22"/>
        <v>0</v>
      </c>
      <c r="BN59" s="258">
        <f t="shared" si="23"/>
        <v>0</v>
      </c>
      <c r="BO59" s="258">
        <f t="shared" si="24"/>
        <v>0</v>
      </c>
      <c r="BP59" s="258">
        <f t="shared" si="25"/>
        <v>0</v>
      </c>
      <c r="BQ59" s="259">
        <f t="shared" si="26"/>
        <v>0</v>
      </c>
      <c r="BR59" s="676"/>
    </row>
    <row r="60" spans="1:70">
      <c r="B60" s="238"/>
      <c r="C60" s="289"/>
      <c r="D60" s="290"/>
      <c r="E60" s="261"/>
      <c r="F60" s="261"/>
      <c r="G60" s="261"/>
      <c r="H60" s="261"/>
      <c r="I60" s="261"/>
      <c r="J60" s="261"/>
      <c r="K60" s="261"/>
      <c r="L60" s="261"/>
      <c r="M60" s="261"/>
      <c r="N60" s="261"/>
      <c r="O60" s="261"/>
      <c r="P60" s="261"/>
      <c r="Q60" s="261"/>
      <c r="R60" s="261"/>
      <c r="S60" s="261"/>
      <c r="T60" s="261"/>
      <c r="U60" s="261"/>
      <c r="V60" s="261"/>
      <c r="W60" s="261"/>
      <c r="X60" s="323"/>
      <c r="Z60" s="254"/>
      <c r="AA60" s="255"/>
      <c r="AB60" s="255"/>
      <c r="AC60" s="255"/>
      <c r="AD60" s="255"/>
      <c r="AE60" s="255"/>
      <c r="AF60" s="255"/>
      <c r="AG60" s="255"/>
      <c r="AH60" s="255"/>
      <c r="AI60" s="255"/>
      <c r="AJ60" s="255"/>
      <c r="AK60" s="255"/>
      <c r="AL60" s="255"/>
      <c r="AM60" s="255"/>
      <c r="AN60" s="255"/>
      <c r="AO60" s="255"/>
      <c r="AP60" s="255"/>
      <c r="AQ60" s="255"/>
      <c r="AR60" s="255"/>
      <c r="AS60" s="255"/>
      <c r="AT60" s="256"/>
      <c r="AU60" s="781"/>
      <c r="AV60" s="257">
        <f t="shared" si="5"/>
        <v>0</v>
      </c>
      <c r="AW60" s="224">
        <f t="shared" si="6"/>
        <v>0</v>
      </c>
      <c r="AX60" s="224">
        <f t="shared" si="7"/>
        <v>0</v>
      </c>
      <c r="AY60" s="224">
        <f t="shared" si="8"/>
        <v>0</v>
      </c>
      <c r="AZ60" s="224">
        <f t="shared" si="9"/>
        <v>0</v>
      </c>
      <c r="BA60" s="224">
        <f t="shared" si="10"/>
        <v>0</v>
      </c>
      <c r="BB60" s="224">
        <f t="shared" si="11"/>
        <v>0</v>
      </c>
      <c r="BC60" s="224">
        <f t="shared" si="12"/>
        <v>0</v>
      </c>
      <c r="BD60" s="224">
        <f t="shared" si="13"/>
        <v>0</v>
      </c>
      <c r="BE60" s="224">
        <f t="shared" si="14"/>
        <v>0</v>
      </c>
      <c r="BF60" s="224">
        <f t="shared" si="15"/>
        <v>0</v>
      </c>
      <c r="BG60" s="224">
        <f t="shared" si="16"/>
        <v>0</v>
      </c>
      <c r="BH60" s="224">
        <f t="shared" si="17"/>
        <v>0</v>
      </c>
      <c r="BI60" s="258">
        <f t="shared" si="18"/>
        <v>0</v>
      </c>
      <c r="BJ60" s="258">
        <f t="shared" si="19"/>
        <v>0</v>
      </c>
      <c r="BK60" s="258">
        <f t="shared" si="20"/>
        <v>0</v>
      </c>
      <c r="BL60" s="258">
        <f t="shared" si="21"/>
        <v>0</v>
      </c>
      <c r="BM60" s="258">
        <f t="shared" si="22"/>
        <v>0</v>
      </c>
      <c r="BN60" s="258">
        <f t="shared" si="23"/>
        <v>0</v>
      </c>
      <c r="BO60" s="258">
        <f t="shared" si="24"/>
        <v>0</v>
      </c>
      <c r="BP60" s="258">
        <f t="shared" si="25"/>
        <v>0</v>
      </c>
      <c r="BQ60" s="259">
        <f t="shared" si="26"/>
        <v>0</v>
      </c>
      <c r="BR60" s="676"/>
    </row>
    <row r="61" spans="1:70">
      <c r="B61" s="238"/>
      <c r="C61" s="289"/>
      <c r="D61" s="290"/>
      <c r="E61" s="261"/>
      <c r="F61" s="261"/>
      <c r="G61" s="261"/>
      <c r="H61" s="261"/>
      <c r="I61" s="261"/>
      <c r="J61" s="261"/>
      <c r="K61" s="261"/>
      <c r="L61" s="261"/>
      <c r="M61" s="261"/>
      <c r="N61" s="261"/>
      <c r="O61" s="261"/>
      <c r="P61" s="261"/>
      <c r="Q61" s="261"/>
      <c r="R61" s="261"/>
      <c r="S61" s="261"/>
      <c r="T61" s="261"/>
      <c r="U61" s="261"/>
      <c r="V61" s="261"/>
      <c r="W61" s="261"/>
      <c r="X61" s="323"/>
      <c r="Z61" s="254"/>
      <c r="AA61" s="255"/>
      <c r="AB61" s="255"/>
      <c r="AC61" s="255"/>
      <c r="AD61" s="255"/>
      <c r="AE61" s="255"/>
      <c r="AF61" s="255"/>
      <c r="AG61" s="255"/>
      <c r="AH61" s="255"/>
      <c r="AI61" s="255"/>
      <c r="AJ61" s="255"/>
      <c r="AK61" s="255"/>
      <c r="AL61" s="255"/>
      <c r="AM61" s="255"/>
      <c r="AN61" s="255"/>
      <c r="AO61" s="255"/>
      <c r="AP61" s="255"/>
      <c r="AQ61" s="255"/>
      <c r="AR61" s="255"/>
      <c r="AS61" s="255"/>
      <c r="AT61" s="256"/>
      <c r="AU61" s="781"/>
      <c r="AV61" s="257">
        <f t="shared" si="5"/>
        <v>0</v>
      </c>
      <c r="AW61" s="224">
        <f t="shared" si="6"/>
        <v>0</v>
      </c>
      <c r="AX61" s="224">
        <f t="shared" si="7"/>
        <v>0</v>
      </c>
      <c r="AY61" s="224">
        <f t="shared" si="8"/>
        <v>0</v>
      </c>
      <c r="AZ61" s="224">
        <f t="shared" si="9"/>
        <v>0</v>
      </c>
      <c r="BA61" s="224">
        <f t="shared" si="10"/>
        <v>0</v>
      </c>
      <c r="BB61" s="224">
        <f t="shared" si="11"/>
        <v>0</v>
      </c>
      <c r="BC61" s="224">
        <f t="shared" si="12"/>
        <v>0</v>
      </c>
      <c r="BD61" s="224">
        <f t="shared" si="13"/>
        <v>0</v>
      </c>
      <c r="BE61" s="224">
        <f t="shared" si="14"/>
        <v>0</v>
      </c>
      <c r="BF61" s="224">
        <f t="shared" si="15"/>
        <v>0</v>
      </c>
      <c r="BG61" s="224">
        <f t="shared" si="16"/>
        <v>0</v>
      </c>
      <c r="BH61" s="224">
        <f t="shared" si="17"/>
        <v>0</v>
      </c>
      <c r="BI61" s="258">
        <f t="shared" si="18"/>
        <v>0</v>
      </c>
      <c r="BJ61" s="258">
        <f t="shared" si="19"/>
        <v>0</v>
      </c>
      <c r="BK61" s="258">
        <f t="shared" si="20"/>
        <v>0</v>
      </c>
      <c r="BL61" s="258">
        <f t="shared" si="21"/>
        <v>0</v>
      </c>
      <c r="BM61" s="258">
        <f t="shared" si="22"/>
        <v>0</v>
      </c>
      <c r="BN61" s="258">
        <f t="shared" si="23"/>
        <v>0</v>
      </c>
      <c r="BO61" s="258">
        <f t="shared" si="24"/>
        <v>0</v>
      </c>
      <c r="BP61" s="258">
        <f t="shared" si="25"/>
        <v>0</v>
      </c>
      <c r="BQ61" s="259">
        <f t="shared" si="26"/>
        <v>0</v>
      </c>
      <c r="BR61" s="676"/>
    </row>
    <row r="62" spans="1:70">
      <c r="B62" s="238"/>
      <c r="C62" s="289"/>
      <c r="D62" s="290"/>
      <c r="E62" s="261"/>
      <c r="F62" s="261"/>
      <c r="G62" s="261"/>
      <c r="H62" s="261"/>
      <c r="I62" s="261"/>
      <c r="J62" s="261"/>
      <c r="K62" s="261"/>
      <c r="L62" s="261"/>
      <c r="M62" s="261"/>
      <c r="N62" s="261"/>
      <c r="O62" s="261"/>
      <c r="P62" s="261"/>
      <c r="Q62" s="261"/>
      <c r="R62" s="261"/>
      <c r="S62" s="261"/>
      <c r="T62" s="261"/>
      <c r="U62" s="261"/>
      <c r="V62" s="261"/>
      <c r="W62" s="261"/>
      <c r="X62" s="323"/>
      <c r="Z62" s="254"/>
      <c r="AA62" s="255"/>
      <c r="AB62" s="255"/>
      <c r="AC62" s="255"/>
      <c r="AD62" s="255"/>
      <c r="AE62" s="255"/>
      <c r="AF62" s="255"/>
      <c r="AG62" s="255"/>
      <c r="AH62" s="255"/>
      <c r="AI62" s="255"/>
      <c r="AJ62" s="255"/>
      <c r="AK62" s="255"/>
      <c r="AL62" s="255"/>
      <c r="AM62" s="255"/>
      <c r="AN62" s="255"/>
      <c r="AO62" s="255"/>
      <c r="AP62" s="255"/>
      <c r="AQ62" s="255"/>
      <c r="AR62" s="255"/>
      <c r="AS62" s="255"/>
      <c r="AT62" s="256"/>
      <c r="AU62" s="781"/>
      <c r="AV62" s="257">
        <f t="shared" si="5"/>
        <v>0</v>
      </c>
      <c r="AW62" s="224">
        <f t="shared" si="6"/>
        <v>0</v>
      </c>
      <c r="AX62" s="224">
        <f t="shared" si="7"/>
        <v>0</v>
      </c>
      <c r="AY62" s="224">
        <f t="shared" si="8"/>
        <v>0</v>
      </c>
      <c r="AZ62" s="224">
        <f t="shared" si="9"/>
        <v>0</v>
      </c>
      <c r="BA62" s="224">
        <f t="shared" si="10"/>
        <v>0</v>
      </c>
      <c r="BB62" s="224">
        <f t="shared" si="11"/>
        <v>0</v>
      </c>
      <c r="BC62" s="224">
        <f t="shared" si="12"/>
        <v>0</v>
      </c>
      <c r="BD62" s="224">
        <f t="shared" si="13"/>
        <v>0</v>
      </c>
      <c r="BE62" s="224">
        <f t="shared" si="14"/>
        <v>0</v>
      </c>
      <c r="BF62" s="224">
        <f t="shared" si="15"/>
        <v>0</v>
      </c>
      <c r="BG62" s="224">
        <f t="shared" si="16"/>
        <v>0</v>
      </c>
      <c r="BH62" s="224">
        <f t="shared" si="17"/>
        <v>0</v>
      </c>
      <c r="BI62" s="258">
        <f t="shared" si="18"/>
        <v>0</v>
      </c>
      <c r="BJ62" s="258">
        <f t="shared" si="19"/>
        <v>0</v>
      </c>
      <c r="BK62" s="258">
        <f t="shared" si="20"/>
        <v>0</v>
      </c>
      <c r="BL62" s="258">
        <f t="shared" si="21"/>
        <v>0</v>
      </c>
      <c r="BM62" s="258">
        <f t="shared" si="22"/>
        <v>0</v>
      </c>
      <c r="BN62" s="258">
        <f t="shared" si="23"/>
        <v>0</v>
      </c>
      <c r="BO62" s="258">
        <f t="shared" si="24"/>
        <v>0</v>
      </c>
      <c r="BP62" s="258">
        <f t="shared" si="25"/>
        <v>0</v>
      </c>
      <c r="BQ62" s="259">
        <f t="shared" si="26"/>
        <v>0</v>
      </c>
      <c r="BR62" s="676"/>
    </row>
    <row r="63" spans="1:70">
      <c r="B63" s="238"/>
      <c r="C63" s="289"/>
      <c r="D63" s="290"/>
      <c r="E63" s="261"/>
      <c r="F63" s="261"/>
      <c r="G63" s="261"/>
      <c r="H63" s="261"/>
      <c r="I63" s="261"/>
      <c r="J63" s="261"/>
      <c r="K63" s="261"/>
      <c r="L63" s="261"/>
      <c r="M63" s="261"/>
      <c r="N63" s="261"/>
      <c r="O63" s="261"/>
      <c r="P63" s="261"/>
      <c r="Q63" s="261"/>
      <c r="R63" s="261"/>
      <c r="S63" s="261"/>
      <c r="T63" s="261"/>
      <c r="U63" s="261"/>
      <c r="V63" s="261"/>
      <c r="W63" s="261"/>
      <c r="X63" s="323"/>
      <c r="Z63" s="254"/>
      <c r="AA63" s="255"/>
      <c r="AB63" s="255"/>
      <c r="AC63" s="255"/>
      <c r="AD63" s="255"/>
      <c r="AE63" s="255"/>
      <c r="AF63" s="255"/>
      <c r="AG63" s="255"/>
      <c r="AH63" s="255"/>
      <c r="AI63" s="255"/>
      <c r="AJ63" s="255"/>
      <c r="AK63" s="255"/>
      <c r="AL63" s="255"/>
      <c r="AM63" s="255"/>
      <c r="AN63" s="255"/>
      <c r="AO63" s="255"/>
      <c r="AP63" s="255"/>
      <c r="AQ63" s="255"/>
      <c r="AR63" s="255"/>
      <c r="AS63" s="255"/>
      <c r="AT63" s="256"/>
      <c r="AU63" s="781"/>
      <c r="AV63" s="257">
        <f t="shared" si="5"/>
        <v>0</v>
      </c>
      <c r="AW63" s="224">
        <f t="shared" si="6"/>
        <v>0</v>
      </c>
      <c r="AX63" s="224">
        <f t="shared" si="7"/>
        <v>0</v>
      </c>
      <c r="AY63" s="224">
        <f t="shared" si="8"/>
        <v>0</v>
      </c>
      <c r="AZ63" s="224">
        <f t="shared" si="9"/>
        <v>0</v>
      </c>
      <c r="BA63" s="224">
        <f t="shared" si="10"/>
        <v>0</v>
      </c>
      <c r="BB63" s="224">
        <f t="shared" si="11"/>
        <v>0</v>
      </c>
      <c r="BC63" s="224">
        <f t="shared" si="12"/>
        <v>0</v>
      </c>
      <c r="BD63" s="224">
        <f t="shared" si="13"/>
        <v>0</v>
      </c>
      <c r="BE63" s="224">
        <f t="shared" si="14"/>
        <v>0</v>
      </c>
      <c r="BF63" s="224">
        <f t="shared" si="15"/>
        <v>0</v>
      </c>
      <c r="BG63" s="224">
        <f t="shared" si="16"/>
        <v>0</v>
      </c>
      <c r="BH63" s="224">
        <f t="shared" si="17"/>
        <v>0</v>
      </c>
      <c r="BI63" s="258">
        <f t="shared" si="18"/>
        <v>0</v>
      </c>
      <c r="BJ63" s="258">
        <f t="shared" si="19"/>
        <v>0</v>
      </c>
      <c r="BK63" s="258">
        <f t="shared" si="20"/>
        <v>0</v>
      </c>
      <c r="BL63" s="258">
        <f t="shared" si="21"/>
        <v>0</v>
      </c>
      <c r="BM63" s="258">
        <f t="shared" si="22"/>
        <v>0</v>
      </c>
      <c r="BN63" s="258">
        <f t="shared" si="23"/>
        <v>0</v>
      </c>
      <c r="BO63" s="258">
        <f t="shared" si="24"/>
        <v>0</v>
      </c>
      <c r="BP63" s="258">
        <f t="shared" si="25"/>
        <v>0</v>
      </c>
      <c r="BQ63" s="259">
        <f t="shared" si="26"/>
        <v>0</v>
      </c>
      <c r="BR63" s="676"/>
    </row>
    <row r="64" spans="1:70">
      <c r="B64" s="238"/>
      <c r="C64" s="289"/>
      <c r="D64" s="290"/>
      <c r="E64" s="261"/>
      <c r="F64" s="261"/>
      <c r="G64" s="261"/>
      <c r="H64" s="261"/>
      <c r="I64" s="261"/>
      <c r="J64" s="261"/>
      <c r="K64" s="261"/>
      <c r="L64" s="261"/>
      <c r="M64" s="261"/>
      <c r="N64" s="261"/>
      <c r="O64" s="261"/>
      <c r="P64" s="261"/>
      <c r="Q64" s="261"/>
      <c r="R64" s="261"/>
      <c r="S64" s="261"/>
      <c r="T64" s="261"/>
      <c r="U64" s="261"/>
      <c r="V64" s="261"/>
      <c r="W64" s="261"/>
      <c r="X64" s="323"/>
      <c r="Z64" s="254"/>
      <c r="AA64" s="255"/>
      <c r="AB64" s="255"/>
      <c r="AC64" s="255"/>
      <c r="AD64" s="255"/>
      <c r="AE64" s="255"/>
      <c r="AF64" s="255"/>
      <c r="AG64" s="255"/>
      <c r="AH64" s="255"/>
      <c r="AI64" s="255"/>
      <c r="AJ64" s="255"/>
      <c r="AK64" s="255"/>
      <c r="AL64" s="255"/>
      <c r="AM64" s="255"/>
      <c r="AN64" s="255"/>
      <c r="AO64" s="255"/>
      <c r="AP64" s="255"/>
      <c r="AQ64" s="255"/>
      <c r="AR64" s="255"/>
      <c r="AS64" s="255"/>
      <c r="AT64" s="256"/>
      <c r="AU64" s="781"/>
      <c r="AV64" s="257">
        <f t="shared" si="5"/>
        <v>0</v>
      </c>
      <c r="AW64" s="224">
        <f t="shared" si="6"/>
        <v>0</v>
      </c>
      <c r="AX64" s="224">
        <f t="shared" si="7"/>
        <v>0</v>
      </c>
      <c r="AY64" s="224">
        <f t="shared" si="8"/>
        <v>0</v>
      </c>
      <c r="AZ64" s="224">
        <f t="shared" si="9"/>
        <v>0</v>
      </c>
      <c r="BA64" s="224">
        <f t="shared" si="10"/>
        <v>0</v>
      </c>
      <c r="BB64" s="224">
        <f t="shared" si="11"/>
        <v>0</v>
      </c>
      <c r="BC64" s="224">
        <f t="shared" si="12"/>
        <v>0</v>
      </c>
      <c r="BD64" s="224">
        <f t="shared" si="13"/>
        <v>0</v>
      </c>
      <c r="BE64" s="224">
        <f t="shared" si="14"/>
        <v>0</v>
      </c>
      <c r="BF64" s="224">
        <f t="shared" si="15"/>
        <v>0</v>
      </c>
      <c r="BG64" s="224">
        <f t="shared" si="16"/>
        <v>0</v>
      </c>
      <c r="BH64" s="224">
        <f t="shared" si="17"/>
        <v>0</v>
      </c>
      <c r="BI64" s="258">
        <f t="shared" si="18"/>
        <v>0</v>
      </c>
      <c r="BJ64" s="258">
        <f t="shared" si="19"/>
        <v>0</v>
      </c>
      <c r="BK64" s="258">
        <f t="shared" si="20"/>
        <v>0</v>
      </c>
      <c r="BL64" s="258">
        <f t="shared" si="21"/>
        <v>0</v>
      </c>
      <c r="BM64" s="258">
        <f t="shared" si="22"/>
        <v>0</v>
      </c>
      <c r="BN64" s="258">
        <f t="shared" si="23"/>
        <v>0</v>
      </c>
      <c r="BO64" s="258">
        <f t="shared" si="24"/>
        <v>0</v>
      </c>
      <c r="BP64" s="258">
        <f t="shared" si="25"/>
        <v>0</v>
      </c>
      <c r="BQ64" s="259">
        <f t="shared" si="26"/>
        <v>0</v>
      </c>
      <c r="BR64" s="676"/>
    </row>
    <row r="65" spans="2:70" ht="13.5" thickBot="1">
      <c r="B65" s="264"/>
      <c r="C65" s="294"/>
      <c r="D65" s="295"/>
      <c r="E65" s="266"/>
      <c r="F65" s="266"/>
      <c r="G65" s="266"/>
      <c r="H65" s="266"/>
      <c r="I65" s="266"/>
      <c r="J65" s="266"/>
      <c r="K65" s="266"/>
      <c r="L65" s="266"/>
      <c r="M65" s="266"/>
      <c r="N65" s="266"/>
      <c r="O65" s="266"/>
      <c r="P65" s="266"/>
      <c r="Q65" s="266"/>
      <c r="R65" s="266"/>
      <c r="S65" s="266"/>
      <c r="T65" s="266"/>
      <c r="U65" s="266"/>
      <c r="V65" s="266"/>
      <c r="W65" s="266"/>
      <c r="X65" s="324"/>
      <c r="Z65" s="269"/>
      <c r="AA65" s="270"/>
      <c r="AB65" s="270"/>
      <c r="AC65" s="270"/>
      <c r="AD65" s="270"/>
      <c r="AE65" s="270"/>
      <c r="AF65" s="270"/>
      <c r="AG65" s="270"/>
      <c r="AH65" s="270"/>
      <c r="AI65" s="270"/>
      <c r="AJ65" s="270"/>
      <c r="AK65" s="270"/>
      <c r="AL65" s="270"/>
      <c r="AM65" s="270"/>
      <c r="AN65" s="270"/>
      <c r="AO65" s="270"/>
      <c r="AP65" s="270"/>
      <c r="AQ65" s="270"/>
      <c r="AR65" s="270"/>
      <c r="AS65" s="270"/>
      <c r="AT65" s="271"/>
      <c r="AU65" s="781"/>
      <c r="AV65" s="272">
        <f t="shared" si="5"/>
        <v>0</v>
      </c>
      <c r="AW65" s="273">
        <f t="shared" si="6"/>
        <v>0</v>
      </c>
      <c r="AX65" s="273">
        <f t="shared" si="7"/>
        <v>0</v>
      </c>
      <c r="AY65" s="273">
        <f t="shared" si="8"/>
        <v>0</v>
      </c>
      <c r="AZ65" s="273">
        <f t="shared" si="9"/>
        <v>0</v>
      </c>
      <c r="BA65" s="273">
        <f t="shared" si="10"/>
        <v>0</v>
      </c>
      <c r="BB65" s="273">
        <f t="shared" si="11"/>
        <v>0</v>
      </c>
      <c r="BC65" s="273">
        <f t="shared" si="12"/>
        <v>0</v>
      </c>
      <c r="BD65" s="273">
        <f t="shared" si="13"/>
        <v>0</v>
      </c>
      <c r="BE65" s="273">
        <f t="shared" si="14"/>
        <v>0</v>
      </c>
      <c r="BF65" s="273">
        <f t="shared" si="15"/>
        <v>0</v>
      </c>
      <c r="BG65" s="273">
        <f t="shared" si="16"/>
        <v>0</v>
      </c>
      <c r="BH65" s="273">
        <f t="shared" si="17"/>
        <v>0</v>
      </c>
      <c r="BI65" s="274">
        <f t="shared" si="18"/>
        <v>0</v>
      </c>
      <c r="BJ65" s="274">
        <f t="shared" si="19"/>
        <v>0</v>
      </c>
      <c r="BK65" s="274">
        <f t="shared" si="20"/>
        <v>0</v>
      </c>
      <c r="BL65" s="274">
        <f t="shared" si="21"/>
        <v>0</v>
      </c>
      <c r="BM65" s="274">
        <f t="shared" si="22"/>
        <v>0</v>
      </c>
      <c r="BN65" s="274">
        <f t="shared" si="23"/>
        <v>0</v>
      </c>
      <c r="BO65" s="274">
        <f t="shared" si="24"/>
        <v>0</v>
      </c>
      <c r="BP65" s="274">
        <f t="shared" si="25"/>
        <v>0</v>
      </c>
      <c r="BQ65" s="275">
        <f t="shared" si="26"/>
        <v>0</v>
      </c>
      <c r="BR65" s="676"/>
    </row>
    <row r="66" spans="2:70" ht="13.5" thickBot="1">
      <c r="B66" s="276"/>
      <c r="C66" s="155"/>
      <c r="Z66" s="277">
        <f>SUM(Z6:Z65)-SUM(Z17:Z20)-SUM(Z30,Z41:Z42,Z51)</f>
        <v>804176.49858333333</v>
      </c>
      <c r="AA66" s="277">
        <f t="shared" ref="AA66:AL66" si="27">SUM(AA6:AA65)</f>
        <v>2373876351.1085277</v>
      </c>
      <c r="AB66" s="277">
        <f t="shared" si="27"/>
        <v>4245148600.5047131</v>
      </c>
      <c r="AC66" s="277">
        <f t="shared" si="27"/>
        <v>0</v>
      </c>
      <c r="AD66" s="277">
        <f t="shared" si="27"/>
        <v>0</v>
      </c>
      <c r="AE66" s="277">
        <f t="shared" si="27"/>
        <v>4033350047.9822612</v>
      </c>
      <c r="AF66" s="277">
        <f t="shared" si="27"/>
        <v>0</v>
      </c>
      <c r="AG66" s="277">
        <f t="shared" si="27"/>
        <v>0</v>
      </c>
      <c r="AH66" s="277">
        <f t="shared" si="27"/>
        <v>0</v>
      </c>
      <c r="AI66" s="277">
        <f t="shared" si="27"/>
        <v>1505147.6180048054</v>
      </c>
      <c r="AJ66" s="277">
        <f t="shared" si="27"/>
        <v>0</v>
      </c>
      <c r="AK66" s="277">
        <f t="shared" si="27"/>
        <v>1588679.8908401278</v>
      </c>
      <c r="AL66" s="277">
        <f t="shared" si="27"/>
        <v>2959315.5561454808</v>
      </c>
      <c r="AM66" s="277">
        <f t="shared" ref="AM66:AT66" si="28">SUM(AM6:AM65)</f>
        <v>4067340.0088178245</v>
      </c>
      <c r="AN66" s="277">
        <f t="shared" si="28"/>
        <v>6816960.7829246996</v>
      </c>
      <c r="AO66" s="277">
        <f t="shared" si="28"/>
        <v>6470322.1731618186</v>
      </c>
      <c r="AP66" s="277">
        <f t="shared" si="28"/>
        <v>0</v>
      </c>
      <c r="AQ66" s="277">
        <f t="shared" si="28"/>
        <v>4621123.1952507738</v>
      </c>
      <c r="AR66" s="277">
        <f t="shared" si="28"/>
        <v>7023518.407639401</v>
      </c>
      <c r="AS66" s="277">
        <f t="shared" si="28"/>
        <v>6995465.1376402304</v>
      </c>
      <c r="AT66" s="277">
        <f t="shared" si="28"/>
        <v>0</v>
      </c>
      <c r="AV66" s="278">
        <f t="shared" ref="AV66:BP66" si="29">SUM(AV6:AV65)</f>
        <v>137464729.06916666</v>
      </c>
      <c r="AW66" s="277">
        <f t="shared" si="29"/>
        <v>128998718.41615775</v>
      </c>
      <c r="AX66" s="277">
        <f t="shared" si="29"/>
        <v>189381105.94168609</v>
      </c>
      <c r="AY66" s="277">
        <f t="shared" si="29"/>
        <v>0</v>
      </c>
      <c r="AZ66" s="277">
        <f t="shared" si="29"/>
        <v>0</v>
      </c>
      <c r="BA66" s="277">
        <f t="shared" si="29"/>
        <v>59905547.265868813</v>
      </c>
      <c r="BB66" s="277">
        <f t="shared" si="29"/>
        <v>0</v>
      </c>
      <c r="BC66" s="277">
        <f t="shared" si="29"/>
        <v>0</v>
      </c>
      <c r="BD66" s="277">
        <f t="shared" si="29"/>
        <v>0</v>
      </c>
      <c r="BE66" s="277">
        <f t="shared" si="29"/>
        <v>98324371.189603388</v>
      </c>
      <c r="BF66" s="277">
        <f t="shared" si="29"/>
        <v>0</v>
      </c>
      <c r="BG66" s="277">
        <f t="shared" si="29"/>
        <v>1379642.8599112299</v>
      </c>
      <c r="BH66" s="277">
        <f t="shared" si="29"/>
        <v>925286.4556837331</v>
      </c>
      <c r="BI66" s="277">
        <f t="shared" si="29"/>
        <v>410700.17346748587</v>
      </c>
      <c r="BJ66" s="277">
        <f t="shared" si="29"/>
        <v>371608.57254390372</v>
      </c>
      <c r="BK66" s="277">
        <f t="shared" si="29"/>
        <v>146649.4957708747</v>
      </c>
      <c r="BL66" s="277">
        <f t="shared" si="29"/>
        <v>0</v>
      </c>
      <c r="BM66" s="277">
        <f t="shared" si="29"/>
        <v>469771.65450748458</v>
      </c>
      <c r="BN66" s="277">
        <f t="shared" si="29"/>
        <v>378548.90873431769</v>
      </c>
      <c r="BO66" s="277">
        <f t="shared" si="29"/>
        <v>160093.15566152203</v>
      </c>
      <c r="BP66" s="277">
        <f t="shared" si="29"/>
        <v>0</v>
      </c>
      <c r="BQ66" s="277">
        <f>SUM(BQ6:BQ65)</f>
        <v>618316773.15876317</v>
      </c>
      <c r="BR66" s="325"/>
    </row>
    <row r="67" spans="2:70" ht="13.5" thickTop="1">
      <c r="B67" s="276"/>
      <c r="C67" s="155"/>
      <c r="Z67" s="325">
        <v>-2826.5833333333721</v>
      </c>
      <c r="AJ67" s="325">
        <v>0</v>
      </c>
      <c r="AK67" s="325">
        <v>0</v>
      </c>
      <c r="AL67" s="325">
        <v>0</v>
      </c>
      <c r="AT67" s="325">
        <v>0</v>
      </c>
      <c r="BQ67" s="678"/>
    </row>
    <row r="68" spans="2:70">
      <c r="B68" s="276"/>
      <c r="C68" s="155"/>
      <c r="Z68" s="325"/>
    </row>
    <row r="69" spans="2:70">
      <c r="B69" s="276"/>
      <c r="C69" s="155"/>
      <c r="BQ69" s="325"/>
    </row>
    <row r="70" spans="2:70">
      <c r="B70" s="276"/>
      <c r="C70" s="155"/>
      <c r="BQ70" s="325"/>
    </row>
    <row r="71" spans="2:70">
      <c r="B71" s="276"/>
      <c r="C71" s="155"/>
    </row>
    <row r="72" spans="2:70">
      <c r="B72" s="276"/>
      <c r="C72" s="155"/>
    </row>
    <row r="73" spans="2:70">
      <c r="B73" s="276"/>
      <c r="C73" s="155"/>
    </row>
    <row r="74" spans="2:70">
      <c r="B74" s="276"/>
      <c r="C74" s="155"/>
    </row>
    <row r="75" spans="2:70">
      <c r="B75" s="276"/>
      <c r="C75" s="155"/>
    </row>
    <row r="76" spans="2:70">
      <c r="B76" s="276"/>
      <c r="C76" s="155"/>
    </row>
    <row r="77" spans="2:70">
      <c r="B77" s="276"/>
      <c r="C77" s="155"/>
    </row>
    <row r="78" spans="2:70">
      <c r="B78" s="276"/>
      <c r="C78" s="155"/>
    </row>
    <row r="79" spans="2:70">
      <c r="B79" s="276"/>
      <c r="C79" s="155"/>
    </row>
    <row r="80" spans="2:70">
      <c r="B80" s="276"/>
      <c r="C80" s="155"/>
    </row>
    <row r="81" spans="2:3">
      <c r="B81" s="276"/>
      <c r="C81" s="155"/>
    </row>
    <row r="82" spans="2:3">
      <c r="B82" s="276"/>
      <c r="C82" s="155"/>
    </row>
    <row r="83" spans="2:3">
      <c r="B83" s="276"/>
      <c r="C83" s="155"/>
    </row>
    <row r="84" spans="2:3">
      <c r="B84" s="276"/>
      <c r="C84" s="155"/>
    </row>
    <row r="85" spans="2:3">
      <c r="B85" s="276"/>
      <c r="C85" s="155"/>
    </row>
    <row r="86" spans="2:3">
      <c r="B86" s="276"/>
      <c r="C86" s="155"/>
    </row>
    <row r="87" spans="2:3">
      <c r="B87" s="276"/>
      <c r="C87" s="155"/>
    </row>
    <row r="88" spans="2:3">
      <c r="B88" s="276"/>
      <c r="C88" s="155"/>
    </row>
    <row r="89" spans="2:3">
      <c r="B89" s="276"/>
      <c r="C89" s="155"/>
    </row>
    <row r="90" spans="2:3">
      <c r="B90" s="276"/>
      <c r="C90" s="155"/>
    </row>
    <row r="91" spans="2:3">
      <c r="B91" s="276"/>
      <c r="C91" s="155"/>
    </row>
    <row r="92" spans="2:3">
      <c r="B92" s="276"/>
      <c r="C92" s="155"/>
    </row>
    <row r="93" spans="2:3">
      <c r="B93" s="276"/>
      <c r="C93" s="155"/>
    </row>
    <row r="94" spans="2:3">
      <c r="B94" s="276"/>
      <c r="C94" s="155"/>
    </row>
    <row r="95" spans="2:3">
      <c r="B95" s="276"/>
      <c r="C95" s="155"/>
    </row>
    <row r="96" spans="2:3">
      <c r="B96" s="276"/>
      <c r="C96" s="155"/>
    </row>
    <row r="97" spans="2:3">
      <c r="B97" s="276"/>
      <c r="C97" s="155"/>
    </row>
    <row r="98" spans="2:3">
      <c r="B98" s="276"/>
      <c r="C98" s="155"/>
    </row>
    <row r="99" spans="2:3">
      <c r="B99" s="276"/>
      <c r="C99" s="155"/>
    </row>
    <row r="100" spans="2:3">
      <c r="B100" s="276"/>
      <c r="C100" s="155"/>
    </row>
    <row r="101" spans="2:3">
      <c r="B101" s="276"/>
      <c r="C101" s="155"/>
    </row>
    <row r="102" spans="2:3">
      <c r="B102" s="276"/>
      <c r="C102" s="155"/>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pageSetUpPr autoPageBreaks="0"/>
  </sheetPr>
  <dimension ref="A1:BQ105"/>
  <sheetViews>
    <sheetView zoomScale="80" zoomScaleNormal="80" workbookViewId="0">
      <pane xSplit="3" ySplit="5" topLeftCell="D6" activePane="bottomRight" state="frozen"/>
      <selection activeCell="B33" sqref="B33"/>
      <selection pane="topRight" activeCell="B33" sqref="B33"/>
      <selection pane="bottomLeft" activeCell="B33" sqref="B33"/>
      <selection pane="bottomRight" activeCell="J49" sqref="J49"/>
    </sheetView>
  </sheetViews>
  <sheetFormatPr defaultRowHeight="12.75"/>
  <cols>
    <col min="1" max="1" width="9.5703125" style="199" customWidth="1"/>
    <col min="2" max="2" width="45" style="199" customWidth="1"/>
    <col min="3" max="3" width="2.85546875" style="199" customWidth="1"/>
    <col min="4" max="4" width="12.7109375" style="199" bestFit="1" customWidth="1"/>
    <col min="5" max="6" width="10.5703125" style="199" bestFit="1" customWidth="1"/>
    <col min="7" max="7" width="13" style="199" customWidth="1"/>
    <col min="8" max="9" width="10.5703125" style="199" bestFit="1" customWidth="1"/>
    <col min="10" max="12" width="9.5703125" style="199" bestFit="1" customWidth="1"/>
    <col min="13" max="13" width="11.7109375" style="199" bestFit="1" customWidth="1"/>
    <col min="14" max="14" width="11.28515625" style="199" bestFit="1" customWidth="1"/>
    <col min="15" max="16" width="10.140625" style="199" bestFit="1" customWidth="1"/>
    <col min="17" max="22" width="10.140625" style="199" customWidth="1"/>
    <col min="23" max="23" width="12.28515625" style="199" customWidth="1"/>
    <col min="24" max="24" width="10.140625" style="199" customWidth="1"/>
    <col min="25" max="25" width="1.85546875" style="199" customWidth="1"/>
    <col min="26" max="26" width="17.5703125" style="199" customWidth="1"/>
    <col min="27" max="27" width="18.7109375" style="199" bestFit="1" customWidth="1"/>
    <col min="28" max="28" width="19.42578125" style="199" customWidth="1"/>
    <col min="29" max="30" width="16.7109375" style="199" bestFit="1" customWidth="1"/>
    <col min="31" max="31" width="19.5703125" style="199" customWidth="1"/>
    <col min="32" max="33" width="16.7109375" style="199" bestFit="1" customWidth="1"/>
    <col min="34" max="34" width="9.42578125" style="199" bestFit="1" customWidth="1"/>
    <col min="35" max="36" width="14.85546875" style="199" bestFit="1" customWidth="1"/>
    <col min="37" max="38" width="10" style="199" bestFit="1" customWidth="1"/>
    <col min="39" max="41" width="14.85546875" style="199" bestFit="1" customWidth="1"/>
    <col min="42" max="42" width="10" style="199" customWidth="1"/>
    <col min="43" max="43" width="14.85546875" style="199" bestFit="1" customWidth="1"/>
    <col min="44" max="45" width="14.85546875" style="199" customWidth="1"/>
    <col min="46" max="46" width="10" style="199" customWidth="1"/>
    <col min="47" max="47" width="1.85546875" style="199" customWidth="1"/>
    <col min="48" max="48" width="14.28515625" style="199" customWidth="1"/>
    <col min="49" max="49" width="16.42578125" style="199" customWidth="1"/>
    <col min="50" max="50" width="16.28515625" style="199" customWidth="1"/>
    <col min="51" max="51" width="14.7109375" style="199" customWidth="1"/>
    <col min="52" max="52" width="13.5703125" style="199" bestFit="1" customWidth="1"/>
    <col min="53" max="53" width="14.28515625" style="199" customWidth="1"/>
    <col min="54" max="54" width="12.42578125" style="199" bestFit="1" customWidth="1"/>
    <col min="55" max="55" width="10.5703125" style="199" customWidth="1"/>
    <col min="56" max="56" width="10.85546875" style="199" customWidth="1"/>
    <col min="57" max="57" width="15.42578125" style="199" customWidth="1"/>
    <col min="58" max="58" width="12.42578125" style="199" bestFit="1" customWidth="1"/>
    <col min="59" max="60" width="9.85546875" style="199" bestFit="1" customWidth="1"/>
    <col min="61" max="63" width="12.42578125" style="199" bestFit="1" customWidth="1"/>
    <col min="64" max="64" width="9.85546875" style="199" customWidth="1"/>
    <col min="65" max="67" width="12.42578125" style="199" customWidth="1"/>
    <col min="68" max="68" width="9.85546875" style="199" customWidth="1"/>
    <col min="69" max="69" width="16.85546875" style="199" customWidth="1"/>
    <col min="70" max="16384" width="9.140625" style="199"/>
  </cols>
  <sheetData>
    <row r="1" spans="1:69" ht="15">
      <c r="B1" s="154" t="str">
        <f>"Tariff Approval - "&amp;'Model update'!C3</f>
        <v>Tariff Approval - Powercor</v>
      </c>
      <c r="C1" s="154"/>
      <c r="D1" s="618"/>
      <c r="F1" s="618"/>
    </row>
    <row r="3" spans="1:69">
      <c r="B3" s="227" t="str">
        <f>"PROPOSED "&amp;'Model update'!$C$5&amp;" TRANSMISSION TARIFFS"</f>
        <v>PROPOSED 2018 TRANSMISSION TARIFFS</v>
      </c>
      <c r="C3" s="227"/>
    </row>
    <row r="4" spans="1:69" ht="13.5" thickBot="1">
      <c r="B4" s="618"/>
      <c r="D4" s="229" t="str">
        <f>"Proposed Transmission Tariffs (Pt) for "&amp;'Model update'!$C$5</f>
        <v>Proposed Transmission Tariffs (Pt) for 2018</v>
      </c>
      <c r="E4" s="230"/>
      <c r="F4" s="230"/>
      <c r="G4" s="230"/>
      <c r="H4" s="230"/>
      <c r="I4" s="230"/>
      <c r="Z4" s="229" t="str">
        <f>"Forecast Quantities (Qt) for "&amp;'Model update'!$C$5</f>
        <v>Forecast Quantities (Qt) for 2018</v>
      </c>
      <c r="AA4" s="230"/>
      <c r="AB4" s="230"/>
      <c r="AV4" s="229" t="str">
        <f>"Forecast Revenue (Pt "&amp;'Model update'!$C$5&amp;")*(Qt " &amp;'Model update'!$C$5&amp;")"</f>
        <v>Forecast Revenue (Pt 2018)*(Qt 2018)</v>
      </c>
      <c r="AW4" s="230"/>
      <c r="AX4" s="230"/>
      <c r="AY4" s="230"/>
    </row>
    <row r="5" spans="1:69" ht="38.25">
      <c r="B5" s="233" t="s">
        <v>128</v>
      </c>
      <c r="C5" s="283"/>
      <c r="D5" s="234" t="s">
        <v>130</v>
      </c>
      <c r="E5" s="235" t="s">
        <v>572</v>
      </c>
      <c r="F5" s="235" t="s">
        <v>573</v>
      </c>
      <c r="G5" s="235"/>
      <c r="H5" s="235"/>
      <c r="I5" s="235" t="s">
        <v>131</v>
      </c>
      <c r="J5" s="235"/>
      <c r="K5" s="235"/>
      <c r="L5" s="235"/>
      <c r="M5" s="235" t="s">
        <v>574</v>
      </c>
      <c r="N5" s="235" t="s">
        <v>575</v>
      </c>
      <c r="O5" s="235" t="s">
        <v>576</v>
      </c>
      <c r="P5" s="235" t="s">
        <v>577</v>
      </c>
      <c r="Q5" s="236" t="s">
        <v>132</v>
      </c>
      <c r="R5" s="235" t="s">
        <v>133</v>
      </c>
      <c r="S5" s="235" t="s">
        <v>134</v>
      </c>
      <c r="T5" s="235"/>
      <c r="U5" s="235" t="s">
        <v>135</v>
      </c>
      <c r="V5" s="235" t="s">
        <v>136</v>
      </c>
      <c r="W5" s="235" t="s">
        <v>137</v>
      </c>
      <c r="X5" s="237"/>
      <c r="Z5" s="234" t="s">
        <v>201</v>
      </c>
      <c r="AA5" s="235" t="s">
        <v>585</v>
      </c>
      <c r="AB5" s="235" t="s">
        <v>586</v>
      </c>
      <c r="AC5" s="235"/>
      <c r="AD5" s="235"/>
      <c r="AE5" s="235" t="s">
        <v>587</v>
      </c>
      <c r="AF5" s="235"/>
      <c r="AG5" s="235"/>
      <c r="AH5" s="235"/>
      <c r="AI5" s="235" t="s">
        <v>588</v>
      </c>
      <c r="AJ5" s="235" t="s">
        <v>589</v>
      </c>
      <c r="AK5" s="235" t="s">
        <v>590</v>
      </c>
      <c r="AL5" s="235" t="s">
        <v>591</v>
      </c>
      <c r="AM5" s="236" t="s">
        <v>202</v>
      </c>
      <c r="AN5" s="235" t="s">
        <v>203</v>
      </c>
      <c r="AO5" s="235" t="s">
        <v>204</v>
      </c>
      <c r="AP5" s="235"/>
      <c r="AQ5" s="235" t="s">
        <v>205</v>
      </c>
      <c r="AR5" s="235" t="s">
        <v>206</v>
      </c>
      <c r="AS5" s="235" t="s">
        <v>207</v>
      </c>
      <c r="AT5" s="237"/>
      <c r="AV5" s="234" t="s">
        <v>145</v>
      </c>
      <c r="AW5" s="235" t="s">
        <v>592</v>
      </c>
      <c r="AX5" s="235" t="s">
        <v>593</v>
      </c>
      <c r="AY5" s="235"/>
      <c r="AZ5" s="235"/>
      <c r="BA5" s="235" t="s">
        <v>594</v>
      </c>
      <c r="BB5" s="235"/>
      <c r="BC5" s="235"/>
      <c r="BD5" s="235"/>
      <c r="BE5" s="235" t="s">
        <v>595</v>
      </c>
      <c r="BF5" s="235" t="s">
        <v>596</v>
      </c>
      <c r="BG5" s="235" t="s">
        <v>597</v>
      </c>
      <c r="BH5" s="235" t="s">
        <v>598</v>
      </c>
      <c r="BI5" s="372" t="s">
        <v>146</v>
      </c>
      <c r="BJ5" s="372" t="s">
        <v>147</v>
      </c>
      <c r="BK5" s="372" t="s">
        <v>148</v>
      </c>
      <c r="BL5" s="372"/>
      <c r="BM5" s="372" t="s">
        <v>149</v>
      </c>
      <c r="BN5" s="372" t="s">
        <v>150</v>
      </c>
      <c r="BO5" s="372" t="s">
        <v>151</v>
      </c>
      <c r="BP5" s="372"/>
      <c r="BQ5" s="237" t="s">
        <v>152</v>
      </c>
    </row>
    <row r="6" spans="1:69">
      <c r="B6" s="238"/>
      <c r="C6" s="284"/>
      <c r="D6" s="302"/>
      <c r="E6" s="286"/>
      <c r="F6" s="286"/>
      <c r="G6" s="286"/>
      <c r="H6" s="286"/>
      <c r="I6" s="286"/>
      <c r="J6" s="286"/>
      <c r="K6" s="286"/>
      <c r="L6" s="286"/>
      <c r="M6" s="286"/>
      <c r="N6" s="286"/>
      <c r="O6" s="286"/>
      <c r="P6" s="286"/>
      <c r="Q6" s="285"/>
      <c r="R6" s="286"/>
      <c r="S6" s="286"/>
      <c r="T6" s="286"/>
      <c r="U6" s="286"/>
      <c r="V6" s="286"/>
      <c r="W6" s="286"/>
      <c r="X6" s="287"/>
      <c r="Z6" s="243"/>
      <c r="AA6" s="244"/>
      <c r="AB6" s="244"/>
      <c r="AC6" s="244"/>
      <c r="AD6" s="244"/>
      <c r="AE6" s="244"/>
      <c r="AF6" s="244"/>
      <c r="AG6" s="244"/>
      <c r="AH6" s="244"/>
      <c r="AI6" s="244"/>
      <c r="AJ6" s="244"/>
      <c r="AK6" s="244"/>
      <c r="AL6" s="244"/>
      <c r="AM6" s="244"/>
      <c r="AN6" s="244"/>
      <c r="AO6" s="244"/>
      <c r="AP6" s="244"/>
      <c r="AQ6" s="244"/>
      <c r="AR6" s="244"/>
      <c r="AS6" s="244"/>
      <c r="AT6" s="245"/>
      <c r="AV6" s="303">
        <f t="shared" ref="AV6:AV19" si="0">D6*Z6</f>
        <v>0</v>
      </c>
      <c r="AW6" s="304">
        <f t="shared" ref="AW6:BD19" si="1">E6/100*AA6</f>
        <v>0</v>
      </c>
      <c r="AX6" s="304">
        <f t="shared" si="1"/>
        <v>0</v>
      </c>
      <c r="AY6" s="304">
        <f t="shared" si="1"/>
        <v>0</v>
      </c>
      <c r="AZ6" s="304">
        <f t="shared" si="1"/>
        <v>0</v>
      </c>
      <c r="BA6" s="304">
        <f t="shared" si="1"/>
        <v>0</v>
      </c>
      <c r="BB6" s="304">
        <f t="shared" si="1"/>
        <v>0</v>
      </c>
      <c r="BC6" s="304">
        <f t="shared" si="1"/>
        <v>0</v>
      </c>
      <c r="BD6" s="304">
        <f t="shared" si="1"/>
        <v>0</v>
      </c>
      <c r="BE6" s="304">
        <f t="shared" ref="BE6:BH19" si="2">M6*AI6</f>
        <v>0</v>
      </c>
      <c r="BF6" s="304">
        <f t="shared" si="2"/>
        <v>0</v>
      </c>
      <c r="BG6" s="304">
        <f t="shared" si="2"/>
        <v>0</v>
      </c>
      <c r="BH6" s="304">
        <f t="shared" si="2"/>
        <v>0</v>
      </c>
      <c r="BI6" s="305">
        <f t="shared" ref="BI6:BP19" si="3">Q6/100*AM6</f>
        <v>0</v>
      </c>
      <c r="BJ6" s="305">
        <f t="shared" si="3"/>
        <v>0</v>
      </c>
      <c r="BK6" s="305">
        <f t="shared" si="3"/>
        <v>0</v>
      </c>
      <c r="BL6" s="305">
        <f t="shared" si="3"/>
        <v>0</v>
      </c>
      <c r="BM6" s="305">
        <f t="shared" si="3"/>
        <v>0</v>
      </c>
      <c r="BN6" s="305">
        <f t="shared" si="3"/>
        <v>0</v>
      </c>
      <c r="BO6" s="305">
        <f t="shared" si="3"/>
        <v>0</v>
      </c>
      <c r="BP6" s="305">
        <f t="shared" si="3"/>
        <v>0</v>
      </c>
      <c r="BQ6" s="248">
        <f>SUM(AV6:BP6)</f>
        <v>0</v>
      </c>
    </row>
    <row r="7" spans="1:69">
      <c r="A7" s="199" t="str">
        <f>Prop2018DistTar!A7</f>
        <v>D1</v>
      </c>
      <c r="B7" s="238" t="str">
        <f>Prop2018DistTar!B7</f>
        <v>Residential Single Rate</v>
      </c>
      <c r="C7" s="289"/>
      <c r="D7" s="773">
        <v>0</v>
      </c>
      <c r="E7" s="771">
        <v>1.54</v>
      </c>
      <c r="F7" s="771">
        <v>0</v>
      </c>
      <c r="G7" s="771">
        <v>0</v>
      </c>
      <c r="H7" s="771">
        <v>0</v>
      </c>
      <c r="I7" s="771">
        <v>0</v>
      </c>
      <c r="J7" s="771">
        <v>0</v>
      </c>
      <c r="K7" s="771">
        <v>0</v>
      </c>
      <c r="L7" s="771">
        <v>0</v>
      </c>
      <c r="M7" s="771">
        <v>0</v>
      </c>
      <c r="N7" s="771">
        <v>0</v>
      </c>
      <c r="O7" s="771">
        <v>0</v>
      </c>
      <c r="P7" s="771">
        <v>0</v>
      </c>
      <c r="Q7" s="771">
        <v>0</v>
      </c>
      <c r="R7" s="771">
        <v>0</v>
      </c>
      <c r="S7" s="771">
        <v>0</v>
      </c>
      <c r="T7" s="771">
        <v>0</v>
      </c>
      <c r="U7" s="771">
        <v>0</v>
      </c>
      <c r="V7" s="771">
        <v>0</v>
      </c>
      <c r="W7" s="771">
        <v>0</v>
      </c>
      <c r="X7" s="772">
        <v>0</v>
      </c>
      <c r="Z7" s="254">
        <f>Prop2018DistTar!AV7</f>
        <v>539032.46582811594</v>
      </c>
      <c r="AA7" s="255">
        <f>Prop2018DistTar!AW7</f>
        <v>2272899089.5894732</v>
      </c>
      <c r="AB7" s="255">
        <f>Prop2018DistTar!AX7</f>
        <v>0</v>
      </c>
      <c r="AC7" s="255">
        <f>Prop2018DistTar!AY7</f>
        <v>0</v>
      </c>
      <c r="AD7" s="255">
        <f>Prop2018DistTar!AZ7</f>
        <v>0</v>
      </c>
      <c r="AE7" s="255">
        <f>Prop2018DistTar!BA7</f>
        <v>0</v>
      </c>
      <c r="AF7" s="255">
        <f>Prop2018DistTar!BB7</f>
        <v>0</v>
      </c>
      <c r="AG7" s="255">
        <f>Prop2018DistTar!BC7</f>
        <v>0</v>
      </c>
      <c r="AH7" s="255">
        <f>Prop2018DistTar!BD7</f>
        <v>0</v>
      </c>
      <c r="AI7" s="255">
        <f>Prop2018DistTar!BE7</f>
        <v>0</v>
      </c>
      <c r="AJ7" s="255">
        <f>Prop2018DistTar!BF7</f>
        <v>0</v>
      </c>
      <c r="AK7" s="255">
        <f>Prop2018DistTar!BG7</f>
        <v>0</v>
      </c>
      <c r="AL7" s="255">
        <f>Prop2018DistTar!BH7</f>
        <v>0</v>
      </c>
      <c r="AM7" s="255">
        <f>Prop2018DistTar!BI7</f>
        <v>0</v>
      </c>
      <c r="AN7" s="255">
        <f>Prop2018DistTar!BJ7</f>
        <v>0</v>
      </c>
      <c r="AO7" s="255">
        <f>Prop2018DistTar!BK7</f>
        <v>0</v>
      </c>
      <c r="AP7" s="255">
        <f>Prop2018DistTar!BL7</f>
        <v>0</v>
      </c>
      <c r="AQ7" s="255">
        <f>Prop2018DistTar!BM7</f>
        <v>0</v>
      </c>
      <c r="AR7" s="255">
        <f>Prop2018DistTar!BN7</f>
        <v>0</v>
      </c>
      <c r="AS7" s="255">
        <f>Prop2018DistTar!BO7</f>
        <v>0</v>
      </c>
      <c r="AT7" s="256">
        <f>Prop2018DistTar!BP7</f>
        <v>0</v>
      </c>
      <c r="AV7" s="306">
        <f t="shared" si="0"/>
        <v>0</v>
      </c>
      <c r="AW7" s="307">
        <f t="shared" si="1"/>
        <v>35002645.979677886</v>
      </c>
      <c r="AX7" s="307">
        <f t="shared" si="1"/>
        <v>0</v>
      </c>
      <c r="AY7" s="307">
        <f t="shared" si="1"/>
        <v>0</v>
      </c>
      <c r="AZ7" s="307">
        <f t="shared" si="1"/>
        <v>0</v>
      </c>
      <c r="BA7" s="307">
        <f t="shared" si="1"/>
        <v>0</v>
      </c>
      <c r="BB7" s="307">
        <f t="shared" si="1"/>
        <v>0</v>
      </c>
      <c r="BC7" s="307">
        <f t="shared" si="1"/>
        <v>0</v>
      </c>
      <c r="BD7" s="307">
        <f t="shared" si="1"/>
        <v>0</v>
      </c>
      <c r="BE7" s="307">
        <f t="shared" si="2"/>
        <v>0</v>
      </c>
      <c r="BF7" s="307">
        <f t="shared" si="2"/>
        <v>0</v>
      </c>
      <c r="BG7" s="307">
        <f t="shared" si="2"/>
        <v>0</v>
      </c>
      <c r="BH7" s="307">
        <f t="shared" si="2"/>
        <v>0</v>
      </c>
      <c r="BI7" s="308">
        <f t="shared" si="3"/>
        <v>0</v>
      </c>
      <c r="BJ7" s="308">
        <f t="shared" si="3"/>
        <v>0</v>
      </c>
      <c r="BK7" s="308">
        <f t="shared" si="3"/>
        <v>0</v>
      </c>
      <c r="BL7" s="308">
        <f t="shared" si="3"/>
        <v>0</v>
      </c>
      <c r="BM7" s="308">
        <f t="shared" si="3"/>
        <v>0</v>
      </c>
      <c r="BN7" s="308">
        <f t="shared" si="3"/>
        <v>0</v>
      </c>
      <c r="BO7" s="308">
        <f t="shared" si="3"/>
        <v>0</v>
      </c>
      <c r="BP7" s="308">
        <f t="shared" si="3"/>
        <v>0</v>
      </c>
      <c r="BQ7" s="259">
        <f>SUM(AV7:BP7)</f>
        <v>35002645.979677886</v>
      </c>
    </row>
    <row r="8" spans="1:69">
      <c r="A8" s="199" t="str">
        <f>Prop2018DistTar!A8</f>
        <v>D1CS</v>
      </c>
      <c r="B8" s="238" t="str">
        <f>Prop2018DistTar!B8</f>
        <v>Climate Saver</v>
      </c>
      <c r="C8" s="289"/>
      <c r="D8" s="773">
        <v>0</v>
      </c>
      <c r="E8" s="771">
        <v>0</v>
      </c>
      <c r="F8" s="771">
        <v>2.1800000000000002</v>
      </c>
      <c r="G8" s="771">
        <v>0</v>
      </c>
      <c r="H8" s="771">
        <v>0</v>
      </c>
      <c r="I8" s="771">
        <v>0.45</v>
      </c>
      <c r="J8" s="771">
        <v>0</v>
      </c>
      <c r="K8" s="771">
        <v>0</v>
      </c>
      <c r="L8" s="771">
        <v>0</v>
      </c>
      <c r="M8" s="771">
        <v>0</v>
      </c>
      <c r="N8" s="771">
        <v>0</v>
      </c>
      <c r="O8" s="771">
        <v>0</v>
      </c>
      <c r="P8" s="771">
        <v>0</v>
      </c>
      <c r="Q8" s="771">
        <v>0</v>
      </c>
      <c r="R8" s="771">
        <v>0</v>
      </c>
      <c r="S8" s="771">
        <v>0</v>
      </c>
      <c r="T8" s="771">
        <v>0</v>
      </c>
      <c r="U8" s="771">
        <v>0</v>
      </c>
      <c r="V8" s="771">
        <v>0</v>
      </c>
      <c r="W8" s="771">
        <v>0</v>
      </c>
      <c r="X8" s="772">
        <v>0</v>
      </c>
      <c r="Z8" s="281">
        <f>Prop2018DistTar!AV8</f>
        <v>16710.636963036683</v>
      </c>
      <c r="AA8" s="255">
        <f>Prop2018DistTar!AW8</f>
        <v>0</v>
      </c>
      <c r="AB8" s="255">
        <f>Prop2018DistTar!AX8</f>
        <v>9017601.6452304553</v>
      </c>
      <c r="AC8" s="255">
        <f>Prop2018DistTar!AY8</f>
        <v>0</v>
      </c>
      <c r="AD8" s="255">
        <f>Prop2018DistTar!AZ8</f>
        <v>0</v>
      </c>
      <c r="AE8" s="255">
        <f>Prop2018DistTar!BA8</f>
        <v>18758723.332495101</v>
      </c>
      <c r="AF8" s="255">
        <f>Prop2018DistTar!BB8</f>
        <v>0</v>
      </c>
      <c r="AG8" s="255">
        <f>Prop2018DistTar!BC8</f>
        <v>0</v>
      </c>
      <c r="AH8" s="255">
        <f>Prop2018DistTar!BD8</f>
        <v>0</v>
      </c>
      <c r="AI8" s="255">
        <f>Prop2018DistTar!BE8</f>
        <v>0</v>
      </c>
      <c r="AJ8" s="255">
        <f>Prop2018DistTar!BF8</f>
        <v>0</v>
      </c>
      <c r="AK8" s="255">
        <f>Prop2018DistTar!BG8</f>
        <v>0</v>
      </c>
      <c r="AL8" s="255">
        <f>Prop2018DistTar!BH8</f>
        <v>0</v>
      </c>
      <c r="AM8" s="255">
        <f>Prop2018DistTar!BI8</f>
        <v>0</v>
      </c>
      <c r="AN8" s="255">
        <f>Prop2018DistTar!BJ8</f>
        <v>0</v>
      </c>
      <c r="AO8" s="255">
        <f>Prop2018DistTar!BK8</f>
        <v>0</v>
      </c>
      <c r="AP8" s="255">
        <f>Prop2018DistTar!BL8</f>
        <v>0</v>
      </c>
      <c r="AQ8" s="255">
        <f>Prop2018DistTar!BM8</f>
        <v>0</v>
      </c>
      <c r="AR8" s="255">
        <f>Prop2018DistTar!BN8</f>
        <v>0</v>
      </c>
      <c r="AS8" s="255">
        <f>Prop2018DistTar!BO8</f>
        <v>0</v>
      </c>
      <c r="AT8" s="256">
        <f>Prop2018DistTar!BP8</f>
        <v>0</v>
      </c>
      <c r="AV8" s="306">
        <f t="shared" si="0"/>
        <v>0</v>
      </c>
      <c r="AW8" s="307">
        <f t="shared" si="1"/>
        <v>0</v>
      </c>
      <c r="AX8" s="307">
        <f t="shared" si="1"/>
        <v>196583.71586602394</v>
      </c>
      <c r="AY8" s="307">
        <f t="shared" si="1"/>
        <v>0</v>
      </c>
      <c r="AZ8" s="307">
        <f t="shared" si="1"/>
        <v>0</v>
      </c>
      <c r="BA8" s="307">
        <f t="shared" si="1"/>
        <v>84414.254996227959</v>
      </c>
      <c r="BB8" s="307">
        <f t="shared" si="1"/>
        <v>0</v>
      </c>
      <c r="BC8" s="307">
        <f t="shared" si="1"/>
        <v>0</v>
      </c>
      <c r="BD8" s="307">
        <f t="shared" si="1"/>
        <v>0</v>
      </c>
      <c r="BE8" s="307">
        <f t="shared" si="2"/>
        <v>0</v>
      </c>
      <c r="BF8" s="307">
        <f t="shared" si="2"/>
        <v>0</v>
      </c>
      <c r="BG8" s="307">
        <f t="shared" si="2"/>
        <v>0</v>
      </c>
      <c r="BH8" s="307">
        <f t="shared" si="2"/>
        <v>0</v>
      </c>
      <c r="BI8" s="308">
        <f t="shared" si="3"/>
        <v>0</v>
      </c>
      <c r="BJ8" s="308">
        <f t="shared" si="3"/>
        <v>0</v>
      </c>
      <c r="BK8" s="308">
        <f t="shared" si="3"/>
        <v>0</v>
      </c>
      <c r="BL8" s="308">
        <f t="shared" si="3"/>
        <v>0</v>
      </c>
      <c r="BM8" s="308">
        <f t="shared" si="3"/>
        <v>0</v>
      </c>
      <c r="BN8" s="308">
        <f t="shared" si="3"/>
        <v>0</v>
      </c>
      <c r="BO8" s="308">
        <f t="shared" si="3"/>
        <v>0</v>
      </c>
      <c r="BP8" s="308">
        <f t="shared" si="3"/>
        <v>0</v>
      </c>
      <c r="BQ8" s="259">
        <f t="shared" ref="BQ8:BQ19" si="4">SUM(AV8:BP8)</f>
        <v>280997.97086225188</v>
      </c>
    </row>
    <row r="9" spans="1:69">
      <c r="A9" s="199" t="str">
        <f>Prop2018DistTar!A9</f>
        <v>D3CS</v>
      </c>
      <c r="B9" s="238" t="str">
        <f>Prop2018DistTar!B9</f>
        <v>Climate Saver Interval</v>
      </c>
      <c r="C9" s="289"/>
      <c r="D9" s="773">
        <v>0</v>
      </c>
      <c r="E9" s="771">
        <v>0</v>
      </c>
      <c r="F9" s="771">
        <v>2.1800000000000002</v>
      </c>
      <c r="G9" s="771">
        <v>0</v>
      </c>
      <c r="H9" s="771">
        <v>0</v>
      </c>
      <c r="I9" s="771">
        <v>0.45</v>
      </c>
      <c r="J9" s="771">
        <v>0</v>
      </c>
      <c r="K9" s="771">
        <v>0</v>
      </c>
      <c r="L9" s="771">
        <v>0</v>
      </c>
      <c r="M9" s="771">
        <v>0</v>
      </c>
      <c r="N9" s="771">
        <v>0</v>
      </c>
      <c r="O9" s="771">
        <v>0</v>
      </c>
      <c r="P9" s="771">
        <v>0</v>
      </c>
      <c r="Q9" s="771">
        <v>0</v>
      </c>
      <c r="R9" s="771">
        <v>0</v>
      </c>
      <c r="S9" s="771">
        <v>0</v>
      </c>
      <c r="T9" s="771">
        <v>0</v>
      </c>
      <c r="U9" s="771">
        <v>0</v>
      </c>
      <c r="V9" s="771">
        <v>0</v>
      </c>
      <c r="W9" s="771">
        <v>0</v>
      </c>
      <c r="X9" s="772">
        <v>0</v>
      </c>
      <c r="Z9" s="281">
        <f>Prop2018DistTar!AV9</f>
        <v>4570.6460355197851</v>
      </c>
      <c r="AA9" s="255">
        <f>Prop2018DistTar!AW9</f>
        <v>0</v>
      </c>
      <c r="AB9" s="255">
        <f>Prop2018DistTar!AX9</f>
        <v>2542127.9655480371</v>
      </c>
      <c r="AC9" s="255">
        <f>Prop2018DistTar!AY9</f>
        <v>0</v>
      </c>
      <c r="AD9" s="255">
        <f>Prop2018DistTar!AZ9</f>
        <v>0</v>
      </c>
      <c r="AE9" s="255">
        <f>Prop2018DistTar!BA9</f>
        <v>5918747.1318818275</v>
      </c>
      <c r="AF9" s="255">
        <f>Prop2018DistTar!BB9</f>
        <v>0</v>
      </c>
      <c r="AG9" s="255">
        <f>Prop2018DistTar!BC9</f>
        <v>0</v>
      </c>
      <c r="AH9" s="255">
        <f>Prop2018DistTar!BD9</f>
        <v>0</v>
      </c>
      <c r="AI9" s="255">
        <f>Prop2018DistTar!BE9</f>
        <v>0</v>
      </c>
      <c r="AJ9" s="255">
        <f>Prop2018DistTar!BF9</f>
        <v>0</v>
      </c>
      <c r="AK9" s="255">
        <f>Prop2018DistTar!BG9</f>
        <v>0</v>
      </c>
      <c r="AL9" s="255">
        <f>Prop2018DistTar!BH9</f>
        <v>0</v>
      </c>
      <c r="AM9" s="255">
        <f>Prop2018DistTar!BI9</f>
        <v>0</v>
      </c>
      <c r="AN9" s="255">
        <f>Prop2018DistTar!BJ9</f>
        <v>0</v>
      </c>
      <c r="AO9" s="255">
        <f>Prop2018DistTar!BK9</f>
        <v>0</v>
      </c>
      <c r="AP9" s="255">
        <f>Prop2018DistTar!BL9</f>
        <v>0</v>
      </c>
      <c r="AQ9" s="255">
        <f>Prop2018DistTar!BM9</f>
        <v>0</v>
      </c>
      <c r="AR9" s="255">
        <f>Prop2018DistTar!BN9</f>
        <v>0</v>
      </c>
      <c r="AS9" s="255">
        <f>Prop2018DistTar!BO9</f>
        <v>0</v>
      </c>
      <c r="AT9" s="256">
        <f>Prop2018DistTar!BP9</f>
        <v>0</v>
      </c>
      <c r="AV9" s="306">
        <f t="shared" si="0"/>
        <v>0</v>
      </c>
      <c r="AW9" s="307">
        <f t="shared" si="1"/>
        <v>0</v>
      </c>
      <c r="AX9" s="307">
        <f t="shared" si="1"/>
        <v>55418.38964894721</v>
      </c>
      <c r="AY9" s="307">
        <f t="shared" si="1"/>
        <v>0</v>
      </c>
      <c r="AZ9" s="307">
        <f t="shared" si="1"/>
        <v>0</v>
      </c>
      <c r="BA9" s="307">
        <f t="shared" si="1"/>
        <v>26634.362093468226</v>
      </c>
      <c r="BB9" s="307">
        <f t="shared" si="1"/>
        <v>0</v>
      </c>
      <c r="BC9" s="307">
        <f t="shared" si="1"/>
        <v>0</v>
      </c>
      <c r="BD9" s="307">
        <f t="shared" si="1"/>
        <v>0</v>
      </c>
      <c r="BE9" s="307">
        <f t="shared" si="2"/>
        <v>0</v>
      </c>
      <c r="BF9" s="307">
        <f t="shared" si="2"/>
        <v>0</v>
      </c>
      <c r="BG9" s="307">
        <f t="shared" si="2"/>
        <v>0</v>
      </c>
      <c r="BH9" s="307">
        <f t="shared" si="2"/>
        <v>0</v>
      </c>
      <c r="BI9" s="308">
        <f t="shared" si="3"/>
        <v>0</v>
      </c>
      <c r="BJ9" s="308">
        <f t="shared" si="3"/>
        <v>0</v>
      </c>
      <c r="BK9" s="308">
        <f t="shared" si="3"/>
        <v>0</v>
      </c>
      <c r="BL9" s="308">
        <f t="shared" si="3"/>
        <v>0</v>
      </c>
      <c r="BM9" s="308">
        <f t="shared" si="3"/>
        <v>0</v>
      </c>
      <c r="BN9" s="308">
        <f t="shared" si="3"/>
        <v>0</v>
      </c>
      <c r="BO9" s="308">
        <f t="shared" si="3"/>
        <v>0</v>
      </c>
      <c r="BP9" s="308">
        <f t="shared" si="3"/>
        <v>0</v>
      </c>
      <c r="BQ9" s="259">
        <f t="shared" si="4"/>
        <v>82052.751742415436</v>
      </c>
    </row>
    <row r="10" spans="1:69">
      <c r="A10" s="199" t="str">
        <f>Prop2018DistTar!A10</f>
        <v>P13R</v>
      </c>
      <c r="B10" s="238" t="str">
        <f>Prop2018DistTar!B10</f>
        <v>Residential - Flexible Pricing</v>
      </c>
      <c r="C10" s="289"/>
      <c r="D10" s="773">
        <v>0</v>
      </c>
      <c r="E10" s="771">
        <v>0</v>
      </c>
      <c r="F10" s="771">
        <v>0</v>
      </c>
      <c r="G10" s="771">
        <v>0</v>
      </c>
      <c r="H10" s="771">
        <v>0</v>
      </c>
      <c r="I10" s="771">
        <v>0</v>
      </c>
      <c r="J10" s="771">
        <v>0</v>
      </c>
      <c r="K10" s="771">
        <v>0</v>
      </c>
      <c r="L10" s="771">
        <v>0</v>
      </c>
      <c r="M10" s="771">
        <v>0</v>
      </c>
      <c r="N10" s="771">
        <v>0</v>
      </c>
      <c r="O10" s="771">
        <v>0</v>
      </c>
      <c r="P10" s="771">
        <v>0</v>
      </c>
      <c r="Q10" s="771">
        <v>2.83</v>
      </c>
      <c r="R10" s="771">
        <v>1.6</v>
      </c>
      <c r="S10" s="771">
        <v>0.63</v>
      </c>
      <c r="T10" s="771">
        <v>0</v>
      </c>
      <c r="U10" s="771">
        <v>2.83</v>
      </c>
      <c r="V10" s="771">
        <v>1.6</v>
      </c>
      <c r="W10" s="771">
        <v>0.63</v>
      </c>
      <c r="X10" s="772">
        <v>0</v>
      </c>
      <c r="Z10" s="281">
        <f>Prop2018DistTar!AV10</f>
        <v>2967.2671330352036</v>
      </c>
      <c r="AA10" s="255">
        <f>Prop2018DistTar!AW10</f>
        <v>0</v>
      </c>
      <c r="AB10" s="255">
        <f>Prop2018DistTar!AX10</f>
        <v>0</v>
      </c>
      <c r="AC10" s="255">
        <f>Prop2018DistTar!AY10</f>
        <v>0</v>
      </c>
      <c r="AD10" s="255">
        <f>Prop2018DistTar!AZ10</f>
        <v>0</v>
      </c>
      <c r="AE10" s="255">
        <f>Prop2018DistTar!BA10</f>
        <v>0</v>
      </c>
      <c r="AF10" s="255">
        <f>Prop2018DistTar!BB10</f>
        <v>0</v>
      </c>
      <c r="AG10" s="255">
        <f>Prop2018DistTar!BC10</f>
        <v>0</v>
      </c>
      <c r="AH10" s="255">
        <f>Prop2018DistTar!BD10</f>
        <v>0</v>
      </c>
      <c r="AI10" s="255">
        <f>Prop2018DistTar!BE10</f>
        <v>0</v>
      </c>
      <c r="AJ10" s="255">
        <f>Prop2018DistTar!BF10</f>
        <v>0</v>
      </c>
      <c r="AK10" s="255">
        <f>Prop2018DistTar!BG10</f>
        <v>0</v>
      </c>
      <c r="AL10" s="255">
        <f>Prop2018DistTar!BH10</f>
        <v>0</v>
      </c>
      <c r="AM10" s="255">
        <f>Prop2018DistTar!BI10</f>
        <v>956328.95984420308</v>
      </c>
      <c r="AN10" s="255">
        <f>Prop2018DistTar!BJ10</f>
        <v>1626467.6717377924</v>
      </c>
      <c r="AO10" s="255">
        <f>Prop2018DistTar!BK10</f>
        <v>1172486.5586365885</v>
      </c>
      <c r="AP10" s="255">
        <f>Prop2018DistTar!BL10</f>
        <v>0</v>
      </c>
      <c r="AQ10" s="255">
        <f>Prop2018DistTar!BM10</f>
        <v>2937193.6717076828</v>
      </c>
      <c r="AR10" s="255">
        <f>Prop2018DistTar!BN10</f>
        <v>5211028.6206758963</v>
      </c>
      <c r="AS10" s="255">
        <f>Prop2018DistTar!BO10</f>
        <v>4120190.7016217099</v>
      </c>
      <c r="AT10" s="256">
        <f>Prop2018DistTar!BP10</f>
        <v>0</v>
      </c>
      <c r="AV10" s="306">
        <f t="shared" si="0"/>
        <v>0</v>
      </c>
      <c r="AW10" s="307">
        <f t="shared" si="1"/>
        <v>0</v>
      </c>
      <c r="AX10" s="307">
        <f t="shared" si="1"/>
        <v>0</v>
      </c>
      <c r="AY10" s="307">
        <f t="shared" si="1"/>
        <v>0</v>
      </c>
      <c r="AZ10" s="307">
        <f t="shared" si="1"/>
        <v>0</v>
      </c>
      <c r="BA10" s="307">
        <f t="shared" si="1"/>
        <v>0</v>
      </c>
      <c r="BB10" s="307">
        <f t="shared" si="1"/>
        <v>0</v>
      </c>
      <c r="BC10" s="307">
        <f t="shared" si="1"/>
        <v>0</v>
      </c>
      <c r="BD10" s="307">
        <f t="shared" si="1"/>
        <v>0</v>
      </c>
      <c r="BE10" s="307">
        <f t="shared" si="2"/>
        <v>0</v>
      </c>
      <c r="BF10" s="307">
        <f t="shared" si="2"/>
        <v>0</v>
      </c>
      <c r="BG10" s="307">
        <f t="shared" si="2"/>
        <v>0</v>
      </c>
      <c r="BH10" s="307">
        <f t="shared" si="2"/>
        <v>0</v>
      </c>
      <c r="BI10" s="308">
        <f t="shared" si="3"/>
        <v>27064.109563590948</v>
      </c>
      <c r="BJ10" s="308">
        <f t="shared" si="3"/>
        <v>26023.482747804679</v>
      </c>
      <c r="BK10" s="308">
        <f t="shared" si="3"/>
        <v>7386.6653194105074</v>
      </c>
      <c r="BL10" s="308">
        <f t="shared" si="3"/>
        <v>0</v>
      </c>
      <c r="BM10" s="308">
        <f t="shared" si="3"/>
        <v>83122.580909327429</v>
      </c>
      <c r="BN10" s="308">
        <f t="shared" si="3"/>
        <v>83376.457930814344</v>
      </c>
      <c r="BO10" s="308">
        <f t="shared" si="3"/>
        <v>25957.201420216774</v>
      </c>
      <c r="BP10" s="308">
        <f t="shared" si="3"/>
        <v>0</v>
      </c>
      <c r="BQ10" s="259">
        <f t="shared" si="4"/>
        <v>252930.49789116468</v>
      </c>
    </row>
    <row r="11" spans="1:69">
      <c r="A11" s="199" t="str">
        <f>Prop2018DistTar!A11</f>
        <v>P13RDK</v>
      </c>
      <c r="B11" s="238" t="str">
        <f>Prop2018DistTar!B11</f>
        <v>Residential Docklands  - Flexible Pricing</v>
      </c>
      <c r="C11" s="289"/>
      <c r="D11" s="773">
        <v>0</v>
      </c>
      <c r="E11" s="771">
        <v>0</v>
      </c>
      <c r="F11" s="771">
        <v>0</v>
      </c>
      <c r="G11" s="771">
        <v>0</v>
      </c>
      <c r="H11" s="771">
        <v>0</v>
      </c>
      <c r="I11" s="771">
        <v>0</v>
      </c>
      <c r="J11" s="771">
        <v>0</v>
      </c>
      <c r="K11" s="771">
        <v>0</v>
      </c>
      <c r="L11" s="771">
        <v>0</v>
      </c>
      <c r="M11" s="771">
        <v>0</v>
      </c>
      <c r="N11" s="771">
        <v>0</v>
      </c>
      <c r="O11" s="771">
        <v>0</v>
      </c>
      <c r="P11" s="771">
        <v>0</v>
      </c>
      <c r="Q11" s="771">
        <v>1.53</v>
      </c>
      <c r="R11" s="771">
        <v>0.84</v>
      </c>
      <c r="S11" s="771">
        <v>0.28999999999999998</v>
      </c>
      <c r="T11" s="771">
        <v>0</v>
      </c>
      <c r="U11" s="771">
        <v>1.53</v>
      </c>
      <c r="V11" s="771">
        <v>0.84</v>
      </c>
      <c r="W11" s="771">
        <v>0.28999999999999998</v>
      </c>
      <c r="X11" s="772">
        <v>0</v>
      </c>
      <c r="Z11" s="281">
        <f>Prop2018DistTar!AV11</f>
        <v>1</v>
      </c>
      <c r="AA11" s="255">
        <f>Prop2018DistTar!AW11</f>
        <v>0</v>
      </c>
      <c r="AB11" s="255">
        <f>Prop2018DistTar!AX11</f>
        <v>0</v>
      </c>
      <c r="AC11" s="255">
        <f>Prop2018DistTar!AY11</f>
        <v>0</v>
      </c>
      <c r="AD11" s="255">
        <f>Prop2018DistTar!AZ11</f>
        <v>0</v>
      </c>
      <c r="AE11" s="255">
        <f>Prop2018DistTar!BA11</f>
        <v>0</v>
      </c>
      <c r="AF11" s="255">
        <f>Prop2018DistTar!BB11</f>
        <v>0</v>
      </c>
      <c r="AG11" s="255">
        <f>Prop2018DistTar!BC11</f>
        <v>0</v>
      </c>
      <c r="AH11" s="255">
        <f>Prop2018DistTar!BD11</f>
        <v>0</v>
      </c>
      <c r="AI11" s="255">
        <f>Prop2018DistTar!BE11</f>
        <v>0</v>
      </c>
      <c r="AJ11" s="255">
        <f>Prop2018DistTar!BF11</f>
        <v>0</v>
      </c>
      <c r="AK11" s="255">
        <f>Prop2018DistTar!BG11</f>
        <v>0</v>
      </c>
      <c r="AL11" s="255">
        <f>Prop2018DistTar!BH11</f>
        <v>0</v>
      </c>
      <c r="AM11" s="255">
        <f>Prop2018DistTar!BI11</f>
        <v>298.5290379142466</v>
      </c>
      <c r="AN11" s="255">
        <f>Prop2018DistTar!BJ11</f>
        <v>617.70654978974005</v>
      </c>
      <c r="AO11" s="255">
        <f>Prop2018DistTar!BK11</f>
        <v>457.87060744643088</v>
      </c>
      <c r="AP11" s="255">
        <f>Prop2018DistTar!BL11</f>
        <v>0</v>
      </c>
      <c r="AQ11" s="255">
        <f>Prop2018DistTar!BM11</f>
        <v>1021.464471610342</v>
      </c>
      <c r="AR11" s="255">
        <f>Prop2018DistTar!BN11</f>
        <v>1968.8847604433372</v>
      </c>
      <c r="AS11" s="255">
        <f>Prop2018DistTar!BO11</f>
        <v>1310.1094060087664</v>
      </c>
      <c r="AT11" s="256">
        <f>Prop2018DistTar!BP11</f>
        <v>0</v>
      </c>
      <c r="AV11" s="306">
        <f t="shared" si="0"/>
        <v>0</v>
      </c>
      <c r="AW11" s="307">
        <f t="shared" si="1"/>
        <v>0</v>
      </c>
      <c r="AX11" s="307">
        <f t="shared" si="1"/>
        <v>0</v>
      </c>
      <c r="AY11" s="307">
        <f t="shared" si="1"/>
        <v>0</v>
      </c>
      <c r="AZ11" s="307">
        <f t="shared" si="1"/>
        <v>0</v>
      </c>
      <c r="BA11" s="307">
        <f t="shared" si="1"/>
        <v>0</v>
      </c>
      <c r="BB11" s="307">
        <f t="shared" si="1"/>
        <v>0</v>
      </c>
      <c r="BC11" s="307">
        <f t="shared" si="1"/>
        <v>0</v>
      </c>
      <c r="BD11" s="307">
        <f t="shared" si="1"/>
        <v>0</v>
      </c>
      <c r="BE11" s="307">
        <f t="shared" si="2"/>
        <v>0</v>
      </c>
      <c r="BF11" s="307">
        <f t="shared" si="2"/>
        <v>0</v>
      </c>
      <c r="BG11" s="307">
        <f t="shared" si="2"/>
        <v>0</v>
      </c>
      <c r="BH11" s="307">
        <f t="shared" si="2"/>
        <v>0</v>
      </c>
      <c r="BI11" s="308">
        <f t="shared" si="3"/>
        <v>4.5674942800879732</v>
      </c>
      <c r="BJ11" s="308">
        <f t="shared" si="3"/>
        <v>5.1887350182338166</v>
      </c>
      <c r="BK11" s="308">
        <f t="shared" si="3"/>
        <v>1.3278247615946495</v>
      </c>
      <c r="BL11" s="308">
        <f t="shared" si="3"/>
        <v>0</v>
      </c>
      <c r="BM11" s="308">
        <f t="shared" si="3"/>
        <v>15.628406415638233</v>
      </c>
      <c r="BN11" s="308">
        <f t="shared" si="3"/>
        <v>16.538631987724031</v>
      </c>
      <c r="BO11" s="308">
        <f t="shared" si="3"/>
        <v>3.7993172774254225</v>
      </c>
      <c r="BP11" s="308">
        <f t="shared" si="3"/>
        <v>0</v>
      </c>
      <c r="BQ11" s="259">
        <f t="shared" si="4"/>
        <v>47.050409740704126</v>
      </c>
    </row>
    <row r="12" spans="1:69">
      <c r="A12" s="199" t="str">
        <f>Prop2018DistTar!A12</f>
        <v>P13RCS</v>
      </c>
      <c r="B12" s="238" t="str">
        <f>Prop2018DistTar!B12</f>
        <v>Climate Saver - Flexible Pricing</v>
      </c>
      <c r="C12" s="289"/>
      <c r="D12" s="773">
        <v>0</v>
      </c>
      <c r="E12" s="771">
        <v>0</v>
      </c>
      <c r="F12" s="771">
        <v>0</v>
      </c>
      <c r="G12" s="771">
        <v>0</v>
      </c>
      <c r="H12" s="771">
        <v>0</v>
      </c>
      <c r="I12" s="771">
        <v>0</v>
      </c>
      <c r="J12" s="771">
        <v>0</v>
      </c>
      <c r="K12" s="771">
        <v>0</v>
      </c>
      <c r="L12" s="771">
        <v>0</v>
      </c>
      <c r="M12" s="771">
        <v>0</v>
      </c>
      <c r="N12" s="771">
        <v>0</v>
      </c>
      <c r="O12" s="771">
        <v>0</v>
      </c>
      <c r="P12" s="771">
        <v>0</v>
      </c>
      <c r="Q12" s="771">
        <v>2.1800000000000002</v>
      </c>
      <c r="R12" s="771">
        <v>0</v>
      </c>
      <c r="S12" s="771">
        <v>0</v>
      </c>
      <c r="T12" s="771">
        <v>0</v>
      </c>
      <c r="U12" s="771">
        <v>0.45</v>
      </c>
      <c r="V12" s="771">
        <v>0</v>
      </c>
      <c r="W12" s="771">
        <v>0</v>
      </c>
      <c r="X12" s="772">
        <v>0</v>
      </c>
      <c r="Z12" s="281">
        <f>Prop2018DistTar!AV12</f>
        <v>61.27586321164447</v>
      </c>
      <c r="AA12" s="255">
        <f>Prop2018DistTar!AW12</f>
        <v>0</v>
      </c>
      <c r="AB12" s="255">
        <f>Prop2018DistTar!AX12</f>
        <v>0</v>
      </c>
      <c r="AC12" s="255">
        <f>Prop2018DistTar!AY12</f>
        <v>0</v>
      </c>
      <c r="AD12" s="255">
        <f>Prop2018DistTar!AZ12</f>
        <v>0</v>
      </c>
      <c r="AE12" s="255">
        <f>Prop2018DistTar!BA12</f>
        <v>0</v>
      </c>
      <c r="AF12" s="255">
        <f>Prop2018DistTar!BB12</f>
        <v>0</v>
      </c>
      <c r="AG12" s="255">
        <f>Prop2018DistTar!BC12</f>
        <v>0</v>
      </c>
      <c r="AH12" s="255">
        <f>Prop2018DistTar!BD12</f>
        <v>0</v>
      </c>
      <c r="AI12" s="255">
        <f>Prop2018DistTar!BE12</f>
        <v>0</v>
      </c>
      <c r="AJ12" s="255">
        <f>Prop2018DistTar!BF12</f>
        <v>0</v>
      </c>
      <c r="AK12" s="255">
        <f>Prop2018DistTar!BG12</f>
        <v>0</v>
      </c>
      <c r="AL12" s="255">
        <f>Prop2018DistTar!BH12</f>
        <v>0</v>
      </c>
      <c r="AM12" s="255">
        <f>Prop2018DistTar!BI12</f>
        <v>24228.472062985416</v>
      </c>
      <c r="AN12" s="255">
        <f>Prop2018DistTar!BJ12</f>
        <v>0</v>
      </c>
      <c r="AO12" s="255">
        <f>Prop2018DistTar!BK12</f>
        <v>0</v>
      </c>
      <c r="AP12" s="255">
        <f>Prop2018DistTar!BL12</f>
        <v>0</v>
      </c>
      <c r="AQ12" s="255">
        <f>Prop2018DistTar!BM12</f>
        <v>68208.94308571906</v>
      </c>
      <c r="AR12" s="255">
        <f>Prop2018DistTar!BN12</f>
        <v>0</v>
      </c>
      <c r="AS12" s="255">
        <f>Prop2018DistTar!BO12</f>
        <v>0</v>
      </c>
      <c r="AT12" s="256">
        <f>Prop2018DistTar!BP12</f>
        <v>0</v>
      </c>
      <c r="AV12" s="306">
        <f t="shared" si="0"/>
        <v>0</v>
      </c>
      <c r="AW12" s="307">
        <f t="shared" si="1"/>
        <v>0</v>
      </c>
      <c r="AX12" s="307">
        <f t="shared" si="1"/>
        <v>0</v>
      </c>
      <c r="AY12" s="307">
        <f t="shared" si="1"/>
        <v>0</v>
      </c>
      <c r="AZ12" s="307">
        <f t="shared" si="1"/>
        <v>0</v>
      </c>
      <c r="BA12" s="307">
        <f t="shared" si="1"/>
        <v>0</v>
      </c>
      <c r="BB12" s="307">
        <f t="shared" si="1"/>
        <v>0</v>
      </c>
      <c r="BC12" s="307">
        <f t="shared" si="1"/>
        <v>0</v>
      </c>
      <c r="BD12" s="307">
        <f t="shared" si="1"/>
        <v>0</v>
      </c>
      <c r="BE12" s="307">
        <f t="shared" si="2"/>
        <v>0</v>
      </c>
      <c r="BF12" s="307">
        <f t="shared" si="2"/>
        <v>0</v>
      </c>
      <c r="BG12" s="307">
        <f t="shared" si="2"/>
        <v>0</v>
      </c>
      <c r="BH12" s="307">
        <f t="shared" si="2"/>
        <v>0</v>
      </c>
      <c r="BI12" s="308">
        <f t="shared" si="3"/>
        <v>528.18069097308205</v>
      </c>
      <c r="BJ12" s="308">
        <f t="shared" si="3"/>
        <v>0</v>
      </c>
      <c r="BK12" s="308">
        <f t="shared" si="3"/>
        <v>0</v>
      </c>
      <c r="BL12" s="308">
        <f t="shared" si="3"/>
        <v>0</v>
      </c>
      <c r="BM12" s="308">
        <f t="shared" si="3"/>
        <v>306.94024388573581</v>
      </c>
      <c r="BN12" s="308">
        <f t="shared" si="3"/>
        <v>0</v>
      </c>
      <c r="BO12" s="308">
        <f t="shared" si="3"/>
        <v>0</v>
      </c>
      <c r="BP12" s="308">
        <f t="shared" si="3"/>
        <v>0</v>
      </c>
      <c r="BQ12" s="259">
        <f t="shared" si="4"/>
        <v>835.12093485881792</v>
      </c>
    </row>
    <row r="13" spans="1:69">
      <c r="A13" s="199" t="str">
        <f>Prop2018DistTar!A13</f>
        <v>P1DK</v>
      </c>
      <c r="B13" s="238" t="str">
        <f>Prop2018DistTar!B13</f>
        <v>Docklands single rate</v>
      </c>
      <c r="C13" s="289"/>
      <c r="D13" s="773">
        <v>0</v>
      </c>
      <c r="E13" s="771">
        <v>1.41</v>
      </c>
      <c r="F13" s="771">
        <v>0</v>
      </c>
      <c r="G13" s="771">
        <v>0</v>
      </c>
      <c r="H13" s="771">
        <v>0</v>
      </c>
      <c r="I13" s="771">
        <v>0</v>
      </c>
      <c r="J13" s="771">
        <v>0</v>
      </c>
      <c r="K13" s="771">
        <v>0</v>
      </c>
      <c r="L13" s="771">
        <v>0</v>
      </c>
      <c r="M13" s="771">
        <v>0</v>
      </c>
      <c r="N13" s="771">
        <v>0</v>
      </c>
      <c r="O13" s="771">
        <v>0</v>
      </c>
      <c r="P13" s="771">
        <v>0</v>
      </c>
      <c r="Q13" s="771">
        <v>0</v>
      </c>
      <c r="R13" s="771">
        <v>0</v>
      </c>
      <c r="S13" s="771">
        <v>0</v>
      </c>
      <c r="T13" s="771">
        <v>0</v>
      </c>
      <c r="U13" s="771">
        <v>0</v>
      </c>
      <c r="V13" s="771">
        <v>0</v>
      </c>
      <c r="W13" s="771">
        <v>0</v>
      </c>
      <c r="X13" s="772">
        <v>0</v>
      </c>
      <c r="Z13" s="281">
        <f>Prop2018DistTar!AV13</f>
        <v>1</v>
      </c>
      <c r="AA13" s="255">
        <f>Prop2018DistTar!AW13</f>
        <v>11930.930400874076</v>
      </c>
      <c r="AB13" s="255">
        <f>Prop2018DistTar!AX13</f>
        <v>0</v>
      </c>
      <c r="AC13" s="255">
        <f>Prop2018DistTar!AY13</f>
        <v>0</v>
      </c>
      <c r="AD13" s="255">
        <f>Prop2018DistTar!AZ13</f>
        <v>0</v>
      </c>
      <c r="AE13" s="255">
        <f>Prop2018DistTar!BA13</f>
        <v>0</v>
      </c>
      <c r="AF13" s="255">
        <f>Prop2018DistTar!BB13</f>
        <v>0</v>
      </c>
      <c r="AG13" s="255">
        <f>Prop2018DistTar!BC13</f>
        <v>0</v>
      </c>
      <c r="AH13" s="255">
        <f>Prop2018DistTar!BD13</f>
        <v>0</v>
      </c>
      <c r="AI13" s="255">
        <f>Prop2018DistTar!BE13</f>
        <v>0</v>
      </c>
      <c r="AJ13" s="255">
        <f>Prop2018DistTar!BF13</f>
        <v>0</v>
      </c>
      <c r="AK13" s="255">
        <f>Prop2018DistTar!BG13</f>
        <v>0</v>
      </c>
      <c r="AL13" s="255">
        <f>Prop2018DistTar!BH13</f>
        <v>0</v>
      </c>
      <c r="AM13" s="255">
        <f>Prop2018DistTar!BI13</f>
        <v>0</v>
      </c>
      <c r="AN13" s="255">
        <f>Prop2018DistTar!BJ13</f>
        <v>0</v>
      </c>
      <c r="AO13" s="255">
        <f>Prop2018DistTar!BK13</f>
        <v>0</v>
      </c>
      <c r="AP13" s="255">
        <f>Prop2018DistTar!BL13</f>
        <v>0</v>
      </c>
      <c r="AQ13" s="255">
        <f>Prop2018DistTar!BM13</f>
        <v>0</v>
      </c>
      <c r="AR13" s="255">
        <f>Prop2018DistTar!BN13</f>
        <v>0</v>
      </c>
      <c r="AS13" s="255">
        <f>Prop2018DistTar!BO13</f>
        <v>0</v>
      </c>
      <c r="AT13" s="256">
        <f>Prop2018DistTar!BP13</f>
        <v>0</v>
      </c>
      <c r="AV13" s="306">
        <f t="shared" si="0"/>
        <v>0</v>
      </c>
      <c r="AW13" s="307">
        <f t="shared" si="1"/>
        <v>168.22611865232449</v>
      </c>
      <c r="AX13" s="307">
        <f t="shared" si="1"/>
        <v>0</v>
      </c>
      <c r="AY13" s="307">
        <f t="shared" si="1"/>
        <v>0</v>
      </c>
      <c r="AZ13" s="307">
        <f t="shared" si="1"/>
        <v>0</v>
      </c>
      <c r="BA13" s="307">
        <f t="shared" si="1"/>
        <v>0</v>
      </c>
      <c r="BB13" s="307">
        <f t="shared" si="1"/>
        <v>0</v>
      </c>
      <c r="BC13" s="307">
        <f t="shared" si="1"/>
        <v>0</v>
      </c>
      <c r="BD13" s="307">
        <f t="shared" si="1"/>
        <v>0</v>
      </c>
      <c r="BE13" s="307">
        <f t="shared" si="2"/>
        <v>0</v>
      </c>
      <c r="BF13" s="307">
        <f t="shared" si="2"/>
        <v>0</v>
      </c>
      <c r="BG13" s="307">
        <f t="shared" si="2"/>
        <v>0</v>
      </c>
      <c r="BH13" s="307">
        <f t="shared" si="2"/>
        <v>0</v>
      </c>
      <c r="BI13" s="308">
        <f t="shared" si="3"/>
        <v>0</v>
      </c>
      <c r="BJ13" s="308">
        <f t="shared" si="3"/>
        <v>0</v>
      </c>
      <c r="BK13" s="308">
        <f t="shared" si="3"/>
        <v>0</v>
      </c>
      <c r="BL13" s="308">
        <f t="shared" si="3"/>
        <v>0</v>
      </c>
      <c r="BM13" s="308">
        <f t="shared" si="3"/>
        <v>0</v>
      </c>
      <c r="BN13" s="308">
        <f t="shared" si="3"/>
        <v>0</v>
      </c>
      <c r="BO13" s="308">
        <f t="shared" si="3"/>
        <v>0</v>
      </c>
      <c r="BP13" s="308">
        <f t="shared" si="3"/>
        <v>0</v>
      </c>
      <c r="BQ13" s="259">
        <f t="shared" si="4"/>
        <v>168.22611865232449</v>
      </c>
    </row>
    <row r="14" spans="1:69">
      <c r="A14" s="199" t="str">
        <f>Prop2018DistTar!A14</f>
        <v>D2</v>
      </c>
      <c r="B14" s="238" t="str">
        <f>Prop2018DistTar!B14</f>
        <v>Residential Two Rate 5d</v>
      </c>
      <c r="C14" s="289"/>
      <c r="D14" s="773">
        <v>0</v>
      </c>
      <c r="E14" s="771">
        <v>0</v>
      </c>
      <c r="F14" s="771">
        <v>2.7</v>
      </c>
      <c r="G14" s="771">
        <v>0</v>
      </c>
      <c r="H14" s="771">
        <v>0</v>
      </c>
      <c r="I14" s="771">
        <v>0.52</v>
      </c>
      <c r="J14" s="771">
        <v>0</v>
      </c>
      <c r="K14" s="771">
        <v>0</v>
      </c>
      <c r="L14" s="771">
        <v>0</v>
      </c>
      <c r="M14" s="771">
        <v>0</v>
      </c>
      <c r="N14" s="771">
        <v>0</v>
      </c>
      <c r="O14" s="771">
        <v>0</v>
      </c>
      <c r="P14" s="771">
        <v>0</v>
      </c>
      <c r="Q14" s="771">
        <v>0</v>
      </c>
      <c r="R14" s="771">
        <v>0</v>
      </c>
      <c r="S14" s="771">
        <v>0</v>
      </c>
      <c r="T14" s="771">
        <v>0</v>
      </c>
      <c r="U14" s="771">
        <v>0</v>
      </c>
      <c r="V14" s="771">
        <v>0</v>
      </c>
      <c r="W14" s="771">
        <v>0</v>
      </c>
      <c r="X14" s="772">
        <v>0</v>
      </c>
      <c r="Z14" s="281">
        <f>Prop2018DistTar!AV14</f>
        <v>45013.527025864743</v>
      </c>
      <c r="AA14" s="255">
        <f>Prop2018DistTar!AW14</f>
        <v>0</v>
      </c>
      <c r="AB14" s="255">
        <f>Prop2018DistTar!AX14</f>
        <v>123396558.84951775</v>
      </c>
      <c r="AC14" s="255">
        <f>Prop2018DistTar!AY14</f>
        <v>0</v>
      </c>
      <c r="AD14" s="255">
        <f>Prop2018DistTar!AZ14</f>
        <v>0</v>
      </c>
      <c r="AE14" s="255">
        <f>Prop2018DistTar!BA14</f>
        <v>113802346.92927302</v>
      </c>
      <c r="AF14" s="255">
        <f>Prop2018DistTar!BB14</f>
        <v>0</v>
      </c>
      <c r="AG14" s="255">
        <f>Prop2018DistTar!BC14</f>
        <v>0</v>
      </c>
      <c r="AH14" s="255">
        <f>Prop2018DistTar!BD14</f>
        <v>0</v>
      </c>
      <c r="AI14" s="255">
        <f>Prop2018DistTar!BE14</f>
        <v>0</v>
      </c>
      <c r="AJ14" s="255">
        <f>Prop2018DistTar!BF14</f>
        <v>0</v>
      </c>
      <c r="AK14" s="255">
        <f>Prop2018DistTar!BG14</f>
        <v>0</v>
      </c>
      <c r="AL14" s="255">
        <f>Prop2018DistTar!BH14</f>
        <v>0</v>
      </c>
      <c r="AM14" s="255">
        <f>Prop2018DistTar!BI14</f>
        <v>0</v>
      </c>
      <c r="AN14" s="255">
        <f>Prop2018DistTar!BJ14</f>
        <v>0</v>
      </c>
      <c r="AO14" s="255">
        <f>Prop2018DistTar!BK14</f>
        <v>0</v>
      </c>
      <c r="AP14" s="255">
        <f>Prop2018DistTar!BL14</f>
        <v>0</v>
      </c>
      <c r="AQ14" s="255">
        <f>Prop2018DistTar!BM14</f>
        <v>0</v>
      </c>
      <c r="AR14" s="255">
        <f>Prop2018DistTar!BN14</f>
        <v>0</v>
      </c>
      <c r="AS14" s="255">
        <f>Prop2018DistTar!BO14</f>
        <v>0</v>
      </c>
      <c r="AT14" s="256">
        <f>Prop2018DistTar!BP14</f>
        <v>0</v>
      </c>
      <c r="AV14" s="306">
        <f t="shared" si="0"/>
        <v>0</v>
      </c>
      <c r="AW14" s="307">
        <f t="shared" si="1"/>
        <v>0</v>
      </c>
      <c r="AX14" s="307">
        <f t="shared" si="1"/>
        <v>3331707.0889369794</v>
      </c>
      <c r="AY14" s="307">
        <f t="shared" si="1"/>
        <v>0</v>
      </c>
      <c r="AZ14" s="307">
        <f t="shared" si="1"/>
        <v>0</v>
      </c>
      <c r="BA14" s="307">
        <f t="shared" si="1"/>
        <v>591772.20403221971</v>
      </c>
      <c r="BB14" s="307">
        <f t="shared" si="1"/>
        <v>0</v>
      </c>
      <c r="BC14" s="307">
        <f t="shared" si="1"/>
        <v>0</v>
      </c>
      <c r="BD14" s="307">
        <f t="shared" si="1"/>
        <v>0</v>
      </c>
      <c r="BE14" s="307">
        <f t="shared" si="2"/>
        <v>0</v>
      </c>
      <c r="BF14" s="307">
        <f t="shared" si="2"/>
        <v>0</v>
      </c>
      <c r="BG14" s="307">
        <f t="shared" si="2"/>
        <v>0</v>
      </c>
      <c r="BH14" s="307">
        <f t="shared" si="2"/>
        <v>0</v>
      </c>
      <c r="BI14" s="308">
        <f t="shared" si="3"/>
        <v>0</v>
      </c>
      <c r="BJ14" s="308">
        <f t="shared" si="3"/>
        <v>0</v>
      </c>
      <c r="BK14" s="308">
        <f t="shared" si="3"/>
        <v>0</v>
      </c>
      <c r="BL14" s="308">
        <f t="shared" si="3"/>
        <v>0</v>
      </c>
      <c r="BM14" s="308">
        <f t="shared" si="3"/>
        <v>0</v>
      </c>
      <c r="BN14" s="308">
        <f t="shared" si="3"/>
        <v>0</v>
      </c>
      <c r="BO14" s="308">
        <f t="shared" si="3"/>
        <v>0</v>
      </c>
      <c r="BP14" s="308">
        <f t="shared" si="3"/>
        <v>0</v>
      </c>
      <c r="BQ14" s="259">
        <f t="shared" si="4"/>
        <v>3923479.2929691989</v>
      </c>
    </row>
    <row r="15" spans="1:69">
      <c r="A15" s="199" t="str">
        <f>Prop2018DistTar!A15</f>
        <v>D2DK</v>
      </c>
      <c r="B15" s="238" t="str">
        <f>Prop2018DistTar!B15</f>
        <v>Docklands Two Rate 5d</v>
      </c>
      <c r="C15" s="289"/>
      <c r="D15" s="773">
        <v>0</v>
      </c>
      <c r="E15" s="771">
        <v>0</v>
      </c>
      <c r="F15" s="771">
        <v>2.5299999999999998</v>
      </c>
      <c r="G15" s="771">
        <v>0</v>
      </c>
      <c r="H15" s="771">
        <v>0</v>
      </c>
      <c r="I15" s="771">
        <v>0.45</v>
      </c>
      <c r="J15" s="771">
        <v>0</v>
      </c>
      <c r="K15" s="771">
        <v>0</v>
      </c>
      <c r="L15" s="771">
        <v>0</v>
      </c>
      <c r="M15" s="771">
        <v>0</v>
      </c>
      <c r="N15" s="771">
        <v>0</v>
      </c>
      <c r="O15" s="771">
        <v>0</v>
      </c>
      <c r="P15" s="771">
        <v>0</v>
      </c>
      <c r="Q15" s="771">
        <v>0</v>
      </c>
      <c r="R15" s="771">
        <v>0</v>
      </c>
      <c r="S15" s="771">
        <v>0</v>
      </c>
      <c r="T15" s="771">
        <v>0</v>
      </c>
      <c r="U15" s="771">
        <v>0</v>
      </c>
      <c r="V15" s="771">
        <v>0</v>
      </c>
      <c r="W15" s="771">
        <v>0</v>
      </c>
      <c r="X15" s="772">
        <v>0</v>
      </c>
      <c r="Z15" s="281">
        <f>Prop2018DistTar!AV15</f>
        <v>584.14659843199854</v>
      </c>
      <c r="AA15" s="255">
        <f>Prop2018DistTar!AW15</f>
        <v>0</v>
      </c>
      <c r="AB15" s="255">
        <f>Prop2018DistTar!AX15</f>
        <v>1780658.2324994251</v>
      </c>
      <c r="AC15" s="255">
        <f>Prop2018DistTar!AY15</f>
        <v>0</v>
      </c>
      <c r="AD15" s="255">
        <f>Prop2018DistTar!AZ15</f>
        <v>0</v>
      </c>
      <c r="AE15" s="255">
        <f>Prop2018DistTar!BA15</f>
        <v>1663261.2945882643</v>
      </c>
      <c r="AF15" s="255">
        <f>Prop2018DistTar!BB15</f>
        <v>0</v>
      </c>
      <c r="AG15" s="255">
        <f>Prop2018DistTar!BC15</f>
        <v>0</v>
      </c>
      <c r="AH15" s="255">
        <f>Prop2018DistTar!BD15</f>
        <v>0</v>
      </c>
      <c r="AI15" s="255">
        <f>Prop2018DistTar!BE15</f>
        <v>0</v>
      </c>
      <c r="AJ15" s="255">
        <f>Prop2018DistTar!BF15</f>
        <v>0</v>
      </c>
      <c r="AK15" s="255">
        <f>Prop2018DistTar!BG15</f>
        <v>0</v>
      </c>
      <c r="AL15" s="255">
        <f>Prop2018DistTar!BH15</f>
        <v>0</v>
      </c>
      <c r="AM15" s="255">
        <f>Prop2018DistTar!BI15</f>
        <v>0</v>
      </c>
      <c r="AN15" s="255">
        <f>Prop2018DistTar!BJ15</f>
        <v>0</v>
      </c>
      <c r="AO15" s="255">
        <f>Prop2018DistTar!BK15</f>
        <v>0</v>
      </c>
      <c r="AP15" s="255">
        <f>Prop2018DistTar!BL15</f>
        <v>0</v>
      </c>
      <c r="AQ15" s="255">
        <f>Prop2018DistTar!BM15</f>
        <v>0</v>
      </c>
      <c r="AR15" s="255">
        <f>Prop2018DistTar!BN15</f>
        <v>0</v>
      </c>
      <c r="AS15" s="255">
        <f>Prop2018DistTar!BO15</f>
        <v>0</v>
      </c>
      <c r="AT15" s="256">
        <f>Prop2018DistTar!BP15</f>
        <v>0</v>
      </c>
      <c r="AV15" s="306">
        <f t="shared" si="0"/>
        <v>0</v>
      </c>
      <c r="AW15" s="307">
        <f t="shared" si="1"/>
        <v>0</v>
      </c>
      <c r="AX15" s="307">
        <f t="shared" si="1"/>
        <v>45050.653282235457</v>
      </c>
      <c r="AY15" s="307">
        <f t="shared" si="1"/>
        <v>0</v>
      </c>
      <c r="AZ15" s="307">
        <f t="shared" si="1"/>
        <v>0</v>
      </c>
      <c r="BA15" s="307">
        <f t="shared" si="1"/>
        <v>7484.6758256471903</v>
      </c>
      <c r="BB15" s="307">
        <f t="shared" si="1"/>
        <v>0</v>
      </c>
      <c r="BC15" s="307">
        <f t="shared" si="1"/>
        <v>0</v>
      </c>
      <c r="BD15" s="307">
        <f t="shared" si="1"/>
        <v>0</v>
      </c>
      <c r="BE15" s="307">
        <f t="shared" si="2"/>
        <v>0</v>
      </c>
      <c r="BF15" s="307">
        <f t="shared" si="2"/>
        <v>0</v>
      </c>
      <c r="BG15" s="307">
        <f t="shared" si="2"/>
        <v>0</v>
      </c>
      <c r="BH15" s="307">
        <f t="shared" si="2"/>
        <v>0</v>
      </c>
      <c r="BI15" s="308">
        <f t="shared" si="3"/>
        <v>0</v>
      </c>
      <c r="BJ15" s="308">
        <f t="shared" si="3"/>
        <v>0</v>
      </c>
      <c r="BK15" s="308">
        <f t="shared" si="3"/>
        <v>0</v>
      </c>
      <c r="BL15" s="308">
        <f t="shared" si="3"/>
        <v>0</v>
      </c>
      <c r="BM15" s="308">
        <f t="shared" si="3"/>
        <v>0</v>
      </c>
      <c r="BN15" s="308">
        <f t="shared" si="3"/>
        <v>0</v>
      </c>
      <c r="BO15" s="308">
        <f t="shared" si="3"/>
        <v>0</v>
      </c>
      <c r="BP15" s="308">
        <f t="shared" si="3"/>
        <v>0</v>
      </c>
      <c r="BQ15" s="259">
        <f t="shared" si="4"/>
        <v>52535.329107882644</v>
      </c>
    </row>
    <row r="16" spans="1:69">
      <c r="A16" s="199" t="str">
        <f>Prop2018DistTar!A16</f>
        <v>D3</v>
      </c>
      <c r="B16" s="238" t="str">
        <f>Prop2018DistTar!B16</f>
        <v>Residential Interval</v>
      </c>
      <c r="C16" s="289"/>
      <c r="D16" s="773">
        <v>0</v>
      </c>
      <c r="E16" s="771">
        <v>0</v>
      </c>
      <c r="F16" s="771">
        <v>2.7</v>
      </c>
      <c r="G16" s="771">
        <v>0</v>
      </c>
      <c r="H16" s="771">
        <v>0</v>
      </c>
      <c r="I16" s="771">
        <v>0.52</v>
      </c>
      <c r="J16" s="771">
        <v>0</v>
      </c>
      <c r="K16" s="771">
        <v>0</v>
      </c>
      <c r="L16" s="771">
        <v>0</v>
      </c>
      <c r="M16" s="771">
        <v>0</v>
      </c>
      <c r="N16" s="771">
        <v>0</v>
      </c>
      <c r="O16" s="771">
        <v>0</v>
      </c>
      <c r="P16" s="771">
        <v>0</v>
      </c>
      <c r="Q16" s="771">
        <v>0</v>
      </c>
      <c r="R16" s="771">
        <v>0</v>
      </c>
      <c r="S16" s="771">
        <v>0</v>
      </c>
      <c r="T16" s="771">
        <v>0</v>
      </c>
      <c r="U16" s="771">
        <v>0</v>
      </c>
      <c r="V16" s="771">
        <v>0</v>
      </c>
      <c r="W16" s="771">
        <v>0</v>
      </c>
      <c r="X16" s="772">
        <v>0</v>
      </c>
      <c r="Z16" s="281">
        <f>Prop2018DistTar!AV16</f>
        <v>108683.36714234816</v>
      </c>
      <c r="AA16" s="255">
        <f>Prop2018DistTar!AW16</f>
        <v>0</v>
      </c>
      <c r="AB16" s="255">
        <f>Prop2018DistTar!AX16</f>
        <v>270572283.99365795</v>
      </c>
      <c r="AC16" s="255">
        <f>Prop2018DistTar!AY16</f>
        <v>0</v>
      </c>
      <c r="AD16" s="255">
        <f>Prop2018DistTar!AZ16</f>
        <v>0</v>
      </c>
      <c r="AE16" s="255">
        <f>Prop2018DistTar!BA16</f>
        <v>288164384.03561866</v>
      </c>
      <c r="AF16" s="255">
        <f>Prop2018DistTar!BB16</f>
        <v>0</v>
      </c>
      <c r="AG16" s="255">
        <f>Prop2018DistTar!BC16</f>
        <v>0</v>
      </c>
      <c r="AH16" s="255">
        <f>Prop2018DistTar!BD16</f>
        <v>0</v>
      </c>
      <c r="AI16" s="255">
        <f>Prop2018DistTar!BE16</f>
        <v>0</v>
      </c>
      <c r="AJ16" s="255">
        <f>Prop2018DistTar!BF16</f>
        <v>0</v>
      </c>
      <c r="AK16" s="255">
        <f>Prop2018DistTar!BG16</f>
        <v>0</v>
      </c>
      <c r="AL16" s="255">
        <f>Prop2018DistTar!BH16</f>
        <v>0</v>
      </c>
      <c r="AM16" s="255">
        <f>Prop2018DistTar!BI16</f>
        <v>0</v>
      </c>
      <c r="AN16" s="255">
        <f>Prop2018DistTar!BJ16</f>
        <v>0</v>
      </c>
      <c r="AO16" s="255">
        <f>Prop2018DistTar!BK16</f>
        <v>0</v>
      </c>
      <c r="AP16" s="255">
        <f>Prop2018DistTar!BL16</f>
        <v>0</v>
      </c>
      <c r="AQ16" s="255">
        <f>Prop2018DistTar!BM16</f>
        <v>0</v>
      </c>
      <c r="AR16" s="255">
        <f>Prop2018DistTar!BN16</f>
        <v>0</v>
      </c>
      <c r="AS16" s="255">
        <f>Prop2018DistTar!BO16</f>
        <v>0</v>
      </c>
      <c r="AT16" s="256">
        <f>Prop2018DistTar!BP16</f>
        <v>0</v>
      </c>
      <c r="AV16" s="306">
        <f t="shared" si="0"/>
        <v>0</v>
      </c>
      <c r="AW16" s="307">
        <f t="shared" si="1"/>
        <v>0</v>
      </c>
      <c r="AX16" s="307">
        <f t="shared" si="1"/>
        <v>7305451.6678287657</v>
      </c>
      <c r="AY16" s="307">
        <f t="shared" si="1"/>
        <v>0</v>
      </c>
      <c r="AZ16" s="307">
        <f t="shared" si="1"/>
        <v>0</v>
      </c>
      <c r="BA16" s="307">
        <f t="shared" si="1"/>
        <v>1498454.7969852169</v>
      </c>
      <c r="BB16" s="307">
        <f t="shared" si="1"/>
        <v>0</v>
      </c>
      <c r="BC16" s="307">
        <f t="shared" si="1"/>
        <v>0</v>
      </c>
      <c r="BD16" s="307">
        <f t="shared" si="1"/>
        <v>0</v>
      </c>
      <c r="BE16" s="307">
        <f t="shared" si="2"/>
        <v>0</v>
      </c>
      <c r="BF16" s="307">
        <f t="shared" si="2"/>
        <v>0</v>
      </c>
      <c r="BG16" s="307">
        <f t="shared" si="2"/>
        <v>0</v>
      </c>
      <c r="BH16" s="307">
        <f t="shared" si="2"/>
        <v>0</v>
      </c>
      <c r="BI16" s="308">
        <f t="shared" si="3"/>
        <v>0</v>
      </c>
      <c r="BJ16" s="308">
        <f t="shared" si="3"/>
        <v>0</v>
      </c>
      <c r="BK16" s="308">
        <f t="shared" si="3"/>
        <v>0</v>
      </c>
      <c r="BL16" s="308">
        <f t="shared" si="3"/>
        <v>0</v>
      </c>
      <c r="BM16" s="308">
        <f t="shared" si="3"/>
        <v>0</v>
      </c>
      <c r="BN16" s="308">
        <f t="shared" si="3"/>
        <v>0</v>
      </c>
      <c r="BO16" s="308">
        <f t="shared" si="3"/>
        <v>0</v>
      </c>
      <c r="BP16" s="308">
        <f t="shared" si="3"/>
        <v>0</v>
      </c>
      <c r="BQ16" s="259">
        <f t="shared" si="4"/>
        <v>8803906.4648139831</v>
      </c>
    </row>
    <row r="17" spans="1:69">
      <c r="A17" s="199" t="str">
        <f>Prop2018DistTar!A17</f>
        <v>D2OP</v>
      </c>
      <c r="B17" s="238" t="str">
        <f>Prop2018DistTar!B17</f>
        <v>Residential Two Rate 5d - controlled load</v>
      </c>
      <c r="C17" s="289"/>
      <c r="D17" s="773">
        <v>0</v>
      </c>
      <c r="E17" s="771">
        <v>0</v>
      </c>
      <c r="F17" s="771">
        <v>0</v>
      </c>
      <c r="G17" s="771">
        <v>0</v>
      </c>
      <c r="H17" s="771">
        <v>0</v>
      </c>
      <c r="I17" s="771">
        <v>0.45</v>
      </c>
      <c r="J17" s="771">
        <v>0</v>
      </c>
      <c r="K17" s="771">
        <v>0</v>
      </c>
      <c r="L17" s="771">
        <v>0</v>
      </c>
      <c r="M17" s="771">
        <v>0</v>
      </c>
      <c r="N17" s="771">
        <v>0</v>
      </c>
      <c r="O17" s="771">
        <v>0</v>
      </c>
      <c r="P17" s="771">
        <v>0</v>
      </c>
      <c r="Q17" s="771">
        <v>0</v>
      </c>
      <c r="R17" s="771">
        <v>0</v>
      </c>
      <c r="S17" s="771">
        <v>0</v>
      </c>
      <c r="T17" s="771">
        <v>0</v>
      </c>
      <c r="U17" s="771">
        <v>0</v>
      </c>
      <c r="V17" s="771">
        <v>0</v>
      </c>
      <c r="W17" s="771">
        <v>0</v>
      </c>
      <c r="X17" s="772">
        <v>0</v>
      </c>
      <c r="Z17" s="281">
        <f>Prop2018DistTar!AV17</f>
        <v>42980.366969201663</v>
      </c>
      <c r="AA17" s="255">
        <f>Prop2018DistTar!AW17</f>
        <v>0</v>
      </c>
      <c r="AB17" s="255">
        <f>Prop2018DistTar!AX17</f>
        <v>0</v>
      </c>
      <c r="AC17" s="255">
        <f>Prop2018DistTar!AY17</f>
        <v>0</v>
      </c>
      <c r="AD17" s="255">
        <f>Prop2018DistTar!AZ17</f>
        <v>0</v>
      </c>
      <c r="AE17" s="255">
        <f>Prop2018DistTar!BA17</f>
        <v>86643719.340103775</v>
      </c>
      <c r="AF17" s="255">
        <f>Prop2018DistTar!BB17</f>
        <v>0</v>
      </c>
      <c r="AG17" s="255">
        <f>Prop2018DistTar!BC17</f>
        <v>0</v>
      </c>
      <c r="AH17" s="255">
        <f>Prop2018DistTar!BD17</f>
        <v>0</v>
      </c>
      <c r="AI17" s="255">
        <f>Prop2018DistTar!BE17</f>
        <v>0</v>
      </c>
      <c r="AJ17" s="255">
        <f>Prop2018DistTar!BF17</f>
        <v>0</v>
      </c>
      <c r="AK17" s="255">
        <f>Prop2018DistTar!BG17</f>
        <v>0</v>
      </c>
      <c r="AL17" s="255">
        <f>Prop2018DistTar!BH17</f>
        <v>0</v>
      </c>
      <c r="AM17" s="255">
        <f>Prop2018DistTar!BI17</f>
        <v>0</v>
      </c>
      <c r="AN17" s="255">
        <f>Prop2018DistTar!BJ17</f>
        <v>0</v>
      </c>
      <c r="AO17" s="255">
        <f>Prop2018DistTar!BK17</f>
        <v>0</v>
      </c>
      <c r="AP17" s="255">
        <f>Prop2018DistTar!BL17</f>
        <v>0</v>
      </c>
      <c r="AQ17" s="255">
        <f>Prop2018DistTar!BM17</f>
        <v>0</v>
      </c>
      <c r="AR17" s="255">
        <f>Prop2018DistTar!BN17</f>
        <v>0</v>
      </c>
      <c r="AS17" s="255">
        <f>Prop2018DistTar!BO17</f>
        <v>0</v>
      </c>
      <c r="AT17" s="256">
        <f>Prop2018DistTar!BP17</f>
        <v>0</v>
      </c>
      <c r="AV17" s="306">
        <f t="shared" si="0"/>
        <v>0</v>
      </c>
      <c r="AW17" s="307">
        <f t="shared" si="1"/>
        <v>0</v>
      </c>
      <c r="AX17" s="307">
        <f t="shared" si="1"/>
        <v>0</v>
      </c>
      <c r="AY17" s="307">
        <f t="shared" si="1"/>
        <v>0</v>
      </c>
      <c r="AZ17" s="307">
        <f t="shared" si="1"/>
        <v>0</v>
      </c>
      <c r="BA17" s="307">
        <f t="shared" si="1"/>
        <v>389896.73703046702</v>
      </c>
      <c r="BB17" s="307">
        <f t="shared" si="1"/>
        <v>0</v>
      </c>
      <c r="BC17" s="307">
        <f t="shared" si="1"/>
        <v>0</v>
      </c>
      <c r="BD17" s="307">
        <f t="shared" si="1"/>
        <v>0</v>
      </c>
      <c r="BE17" s="307">
        <f t="shared" si="2"/>
        <v>0</v>
      </c>
      <c r="BF17" s="307">
        <f t="shared" si="2"/>
        <v>0</v>
      </c>
      <c r="BG17" s="307">
        <f t="shared" si="2"/>
        <v>0</v>
      </c>
      <c r="BH17" s="307">
        <f t="shared" si="2"/>
        <v>0</v>
      </c>
      <c r="BI17" s="308">
        <f t="shared" si="3"/>
        <v>0</v>
      </c>
      <c r="BJ17" s="308">
        <f t="shared" si="3"/>
        <v>0</v>
      </c>
      <c r="BK17" s="308">
        <f t="shared" si="3"/>
        <v>0</v>
      </c>
      <c r="BL17" s="308">
        <f t="shared" si="3"/>
        <v>0</v>
      </c>
      <c r="BM17" s="308">
        <f t="shared" si="3"/>
        <v>0</v>
      </c>
      <c r="BN17" s="308">
        <f t="shared" si="3"/>
        <v>0</v>
      </c>
      <c r="BO17" s="308">
        <f t="shared" si="3"/>
        <v>0</v>
      </c>
      <c r="BP17" s="308">
        <f t="shared" si="3"/>
        <v>0</v>
      </c>
      <c r="BQ17" s="259">
        <f t="shared" si="4"/>
        <v>389896.73703046702</v>
      </c>
    </row>
    <row r="18" spans="1:69">
      <c r="A18" s="199" t="str">
        <f>Prop2018DistTar!A18</f>
        <v>D2DKOP</v>
      </c>
      <c r="B18" s="238" t="str">
        <f>Prop2018DistTar!B18</f>
        <v>Docklands Two Rate 5d - controlled load</v>
      </c>
      <c r="C18" s="289"/>
      <c r="D18" s="773">
        <v>0</v>
      </c>
      <c r="E18" s="771">
        <v>0</v>
      </c>
      <c r="F18" s="771">
        <v>0</v>
      </c>
      <c r="G18" s="771">
        <v>0</v>
      </c>
      <c r="H18" s="771">
        <v>0</v>
      </c>
      <c r="I18" s="771">
        <v>0.45</v>
      </c>
      <c r="J18" s="771">
        <v>0</v>
      </c>
      <c r="K18" s="771">
        <v>0</v>
      </c>
      <c r="L18" s="771">
        <v>0</v>
      </c>
      <c r="M18" s="771">
        <v>0</v>
      </c>
      <c r="N18" s="771">
        <v>0</v>
      </c>
      <c r="O18" s="771">
        <v>0</v>
      </c>
      <c r="P18" s="771">
        <v>0</v>
      </c>
      <c r="Q18" s="771">
        <v>0</v>
      </c>
      <c r="R18" s="771">
        <v>0</v>
      </c>
      <c r="S18" s="771">
        <v>0</v>
      </c>
      <c r="T18" s="771">
        <v>0</v>
      </c>
      <c r="U18" s="771">
        <v>0</v>
      </c>
      <c r="V18" s="771">
        <v>0</v>
      </c>
      <c r="W18" s="771">
        <v>0</v>
      </c>
      <c r="X18" s="772">
        <v>0</v>
      </c>
      <c r="Z18" s="281">
        <f>Prop2018DistTar!AV18</f>
        <v>69.06153231550978</v>
      </c>
      <c r="AA18" s="255">
        <f>Prop2018DistTar!AW18</f>
        <v>0</v>
      </c>
      <c r="AB18" s="255">
        <f>Prop2018DistTar!AX18</f>
        <v>0</v>
      </c>
      <c r="AC18" s="255">
        <f>Prop2018DistTar!AY18</f>
        <v>0</v>
      </c>
      <c r="AD18" s="255">
        <f>Prop2018DistTar!AZ18</f>
        <v>0</v>
      </c>
      <c r="AE18" s="255">
        <f>Prop2018DistTar!BA18</f>
        <v>130691.57086432293</v>
      </c>
      <c r="AF18" s="255">
        <f>Prop2018DistTar!BB18</f>
        <v>0</v>
      </c>
      <c r="AG18" s="255">
        <f>Prop2018DistTar!BC18</f>
        <v>0</v>
      </c>
      <c r="AH18" s="255">
        <f>Prop2018DistTar!BD18</f>
        <v>0</v>
      </c>
      <c r="AI18" s="255">
        <f>Prop2018DistTar!BE18</f>
        <v>0</v>
      </c>
      <c r="AJ18" s="255">
        <f>Prop2018DistTar!BF18</f>
        <v>0</v>
      </c>
      <c r="AK18" s="255">
        <f>Prop2018DistTar!BG18</f>
        <v>0</v>
      </c>
      <c r="AL18" s="255">
        <f>Prop2018DistTar!BH18</f>
        <v>0</v>
      </c>
      <c r="AM18" s="255">
        <f>Prop2018DistTar!BI18</f>
        <v>0</v>
      </c>
      <c r="AN18" s="255">
        <f>Prop2018DistTar!BJ18</f>
        <v>0</v>
      </c>
      <c r="AO18" s="255">
        <f>Prop2018DistTar!BK18</f>
        <v>0</v>
      </c>
      <c r="AP18" s="255">
        <f>Prop2018DistTar!BL18</f>
        <v>0</v>
      </c>
      <c r="AQ18" s="255">
        <f>Prop2018DistTar!BM18</f>
        <v>0</v>
      </c>
      <c r="AR18" s="255">
        <f>Prop2018DistTar!BN18</f>
        <v>0</v>
      </c>
      <c r="AS18" s="255">
        <f>Prop2018DistTar!BO18</f>
        <v>0</v>
      </c>
      <c r="AT18" s="256">
        <f>Prop2018DistTar!BP18</f>
        <v>0</v>
      </c>
      <c r="AV18" s="306">
        <f t="shared" si="0"/>
        <v>0</v>
      </c>
      <c r="AW18" s="307">
        <f t="shared" si="1"/>
        <v>0</v>
      </c>
      <c r="AX18" s="307">
        <f t="shared" si="1"/>
        <v>0</v>
      </c>
      <c r="AY18" s="307">
        <f t="shared" si="1"/>
        <v>0</v>
      </c>
      <c r="AZ18" s="307">
        <f t="shared" si="1"/>
        <v>0</v>
      </c>
      <c r="BA18" s="307">
        <f t="shared" si="1"/>
        <v>588.11206888945321</v>
      </c>
      <c r="BB18" s="307">
        <f t="shared" si="1"/>
        <v>0</v>
      </c>
      <c r="BC18" s="307">
        <f t="shared" si="1"/>
        <v>0</v>
      </c>
      <c r="BD18" s="307">
        <f t="shared" si="1"/>
        <v>0</v>
      </c>
      <c r="BE18" s="307">
        <f t="shared" si="2"/>
        <v>0</v>
      </c>
      <c r="BF18" s="307">
        <f t="shared" si="2"/>
        <v>0</v>
      </c>
      <c r="BG18" s="307">
        <f t="shared" si="2"/>
        <v>0</v>
      </c>
      <c r="BH18" s="307">
        <f t="shared" si="2"/>
        <v>0</v>
      </c>
      <c r="BI18" s="308">
        <f t="shared" si="3"/>
        <v>0</v>
      </c>
      <c r="BJ18" s="308">
        <f t="shared" si="3"/>
        <v>0</v>
      </c>
      <c r="BK18" s="308">
        <f t="shared" si="3"/>
        <v>0</v>
      </c>
      <c r="BL18" s="308">
        <f t="shared" si="3"/>
        <v>0</v>
      </c>
      <c r="BM18" s="308">
        <f t="shared" si="3"/>
        <v>0</v>
      </c>
      <c r="BN18" s="308">
        <f t="shared" si="3"/>
        <v>0</v>
      </c>
      <c r="BO18" s="308">
        <f t="shared" si="3"/>
        <v>0</v>
      </c>
      <c r="BP18" s="308">
        <f t="shared" si="3"/>
        <v>0</v>
      </c>
      <c r="BQ18" s="259">
        <f t="shared" si="4"/>
        <v>588.11206888945321</v>
      </c>
    </row>
    <row r="19" spans="1:69">
      <c r="A19" s="199" t="str">
        <f>Prop2018DistTar!A19</f>
        <v>DD1</v>
      </c>
      <c r="B19" s="238" t="str">
        <f>Prop2018DistTar!B19</f>
        <v>Dedicated circuit</v>
      </c>
      <c r="C19" s="289"/>
      <c r="D19" s="773">
        <v>0</v>
      </c>
      <c r="E19" s="771">
        <v>0</v>
      </c>
      <c r="F19" s="771">
        <v>0</v>
      </c>
      <c r="G19" s="771">
        <v>0</v>
      </c>
      <c r="H19" s="771">
        <v>0</v>
      </c>
      <c r="I19" s="771">
        <v>0.45</v>
      </c>
      <c r="J19" s="771">
        <v>0</v>
      </c>
      <c r="K19" s="771">
        <v>0</v>
      </c>
      <c r="L19" s="771">
        <v>0</v>
      </c>
      <c r="M19" s="771">
        <v>0</v>
      </c>
      <c r="N19" s="771">
        <v>0</v>
      </c>
      <c r="O19" s="771">
        <v>0</v>
      </c>
      <c r="P19" s="771">
        <v>0</v>
      </c>
      <c r="Q19" s="771">
        <v>0</v>
      </c>
      <c r="R19" s="771">
        <v>0</v>
      </c>
      <c r="S19" s="771">
        <v>0</v>
      </c>
      <c r="T19" s="771">
        <v>0</v>
      </c>
      <c r="U19" s="771">
        <v>0</v>
      </c>
      <c r="V19" s="771">
        <v>0</v>
      </c>
      <c r="W19" s="771">
        <v>0</v>
      </c>
      <c r="X19" s="772">
        <v>0</v>
      </c>
      <c r="Z19" s="281">
        <f>Prop2018DistTar!AV19</f>
        <v>156259.03352615036</v>
      </c>
      <c r="AA19" s="255">
        <f>Prop2018DistTar!AW19</f>
        <v>0</v>
      </c>
      <c r="AB19" s="255">
        <f>Prop2018DistTar!AX19</f>
        <v>0</v>
      </c>
      <c r="AC19" s="255">
        <f>Prop2018DistTar!AY19</f>
        <v>0</v>
      </c>
      <c r="AD19" s="255">
        <f>Prop2018DistTar!AZ19</f>
        <v>0</v>
      </c>
      <c r="AE19" s="255">
        <f>Prop2018DistTar!BA19</f>
        <v>314989326.96128088</v>
      </c>
      <c r="AF19" s="255">
        <f>Prop2018DistTar!BB19</f>
        <v>0</v>
      </c>
      <c r="AG19" s="255">
        <f>Prop2018DistTar!BC19</f>
        <v>0</v>
      </c>
      <c r="AH19" s="255">
        <f>Prop2018DistTar!BD19</f>
        <v>0</v>
      </c>
      <c r="AI19" s="255">
        <f>Prop2018DistTar!BE19</f>
        <v>0</v>
      </c>
      <c r="AJ19" s="255">
        <f>Prop2018DistTar!BF19</f>
        <v>0</v>
      </c>
      <c r="AK19" s="255">
        <f>Prop2018DistTar!BG19</f>
        <v>0</v>
      </c>
      <c r="AL19" s="255">
        <f>Prop2018DistTar!BH19</f>
        <v>0</v>
      </c>
      <c r="AM19" s="255">
        <f>Prop2018DistTar!BI19</f>
        <v>0</v>
      </c>
      <c r="AN19" s="255">
        <f>Prop2018DistTar!BJ19</f>
        <v>0</v>
      </c>
      <c r="AO19" s="255">
        <f>Prop2018DistTar!BK19</f>
        <v>0</v>
      </c>
      <c r="AP19" s="255">
        <f>Prop2018DistTar!BL19</f>
        <v>0</v>
      </c>
      <c r="AQ19" s="255">
        <f>Prop2018DistTar!BM19</f>
        <v>0</v>
      </c>
      <c r="AR19" s="255">
        <f>Prop2018DistTar!BN19</f>
        <v>0</v>
      </c>
      <c r="AS19" s="255">
        <f>Prop2018DistTar!BO19</f>
        <v>0</v>
      </c>
      <c r="AT19" s="256">
        <f>Prop2018DistTar!BP19</f>
        <v>0</v>
      </c>
      <c r="AV19" s="306">
        <f t="shared" si="0"/>
        <v>0</v>
      </c>
      <c r="AW19" s="307">
        <f t="shared" si="1"/>
        <v>0</v>
      </c>
      <c r="AX19" s="307">
        <f t="shared" si="1"/>
        <v>0</v>
      </c>
      <c r="AY19" s="307">
        <f t="shared" si="1"/>
        <v>0</v>
      </c>
      <c r="AZ19" s="307">
        <f t="shared" si="1"/>
        <v>0</v>
      </c>
      <c r="BA19" s="307">
        <f t="shared" si="1"/>
        <v>1417451.9713257642</v>
      </c>
      <c r="BB19" s="307">
        <f t="shared" si="1"/>
        <v>0</v>
      </c>
      <c r="BC19" s="307">
        <f t="shared" si="1"/>
        <v>0</v>
      </c>
      <c r="BD19" s="307">
        <f t="shared" si="1"/>
        <v>0</v>
      </c>
      <c r="BE19" s="307">
        <f t="shared" si="2"/>
        <v>0</v>
      </c>
      <c r="BF19" s="307">
        <f t="shared" si="2"/>
        <v>0</v>
      </c>
      <c r="BG19" s="307">
        <f t="shared" si="2"/>
        <v>0</v>
      </c>
      <c r="BH19" s="307">
        <f t="shared" si="2"/>
        <v>0</v>
      </c>
      <c r="BI19" s="308">
        <f t="shared" si="3"/>
        <v>0</v>
      </c>
      <c r="BJ19" s="308">
        <f t="shared" si="3"/>
        <v>0</v>
      </c>
      <c r="BK19" s="308">
        <f t="shared" si="3"/>
        <v>0</v>
      </c>
      <c r="BL19" s="308">
        <f t="shared" si="3"/>
        <v>0</v>
      </c>
      <c r="BM19" s="308">
        <f t="shared" si="3"/>
        <v>0</v>
      </c>
      <c r="BN19" s="308">
        <f t="shared" si="3"/>
        <v>0</v>
      </c>
      <c r="BO19" s="308">
        <f t="shared" si="3"/>
        <v>0</v>
      </c>
      <c r="BP19" s="308">
        <f t="shared" si="3"/>
        <v>0</v>
      </c>
      <c r="BQ19" s="259">
        <f t="shared" si="4"/>
        <v>1417451.9713257642</v>
      </c>
    </row>
    <row r="20" spans="1:69">
      <c r="A20" s="199" t="str">
        <f>Prop2018DistTar!A20</f>
        <v>D3HW</v>
      </c>
      <c r="B20" s="238" t="str">
        <f>Prop2018DistTar!B20</f>
        <v>Hot Water Interval</v>
      </c>
      <c r="C20" s="289"/>
      <c r="D20" s="773">
        <v>0</v>
      </c>
      <c r="E20" s="771">
        <v>0</v>
      </c>
      <c r="F20" s="771">
        <v>0</v>
      </c>
      <c r="G20" s="771">
        <v>0</v>
      </c>
      <c r="H20" s="771">
        <v>0</v>
      </c>
      <c r="I20" s="771">
        <v>0.45</v>
      </c>
      <c r="J20" s="771">
        <v>0</v>
      </c>
      <c r="K20" s="771">
        <v>0</v>
      </c>
      <c r="L20" s="771">
        <v>0</v>
      </c>
      <c r="M20" s="771">
        <v>0</v>
      </c>
      <c r="N20" s="771">
        <v>0</v>
      </c>
      <c r="O20" s="771">
        <v>0</v>
      </c>
      <c r="P20" s="771">
        <v>0</v>
      </c>
      <c r="Q20" s="771">
        <v>0</v>
      </c>
      <c r="R20" s="771">
        <v>0</v>
      </c>
      <c r="S20" s="771">
        <v>0</v>
      </c>
      <c r="T20" s="771">
        <v>0</v>
      </c>
      <c r="U20" s="771">
        <v>0</v>
      </c>
      <c r="V20" s="771">
        <v>0</v>
      </c>
      <c r="W20" s="771">
        <v>0</v>
      </c>
      <c r="X20" s="772">
        <v>0</v>
      </c>
      <c r="Z20" s="281">
        <f>Prop2018DistTar!AV20</f>
        <v>5471.4804018196492</v>
      </c>
      <c r="AA20" s="255">
        <f>Prop2018DistTar!AW20</f>
        <v>0</v>
      </c>
      <c r="AB20" s="255">
        <f>Prop2018DistTar!AX20</f>
        <v>0</v>
      </c>
      <c r="AC20" s="255">
        <f>Prop2018DistTar!AY20</f>
        <v>0</v>
      </c>
      <c r="AD20" s="255">
        <f>Prop2018DistTar!AZ20</f>
        <v>0</v>
      </c>
      <c r="AE20" s="255">
        <f>Prop2018DistTar!BA20</f>
        <v>10630893.4556701</v>
      </c>
      <c r="AF20" s="255">
        <f>Prop2018DistTar!BB20</f>
        <v>0</v>
      </c>
      <c r="AG20" s="255">
        <f>Prop2018DistTar!BC20</f>
        <v>0</v>
      </c>
      <c r="AH20" s="255">
        <f>Prop2018DistTar!BD20</f>
        <v>0</v>
      </c>
      <c r="AI20" s="255">
        <f>Prop2018DistTar!BE20</f>
        <v>0</v>
      </c>
      <c r="AJ20" s="255">
        <f>Prop2018DistTar!BF20</f>
        <v>0</v>
      </c>
      <c r="AK20" s="255">
        <f>Prop2018DistTar!BG20</f>
        <v>0</v>
      </c>
      <c r="AL20" s="255">
        <f>Prop2018DistTar!BH20</f>
        <v>0</v>
      </c>
      <c r="AM20" s="255">
        <f>Prop2018DistTar!BI20</f>
        <v>0</v>
      </c>
      <c r="AN20" s="255">
        <f>Prop2018DistTar!BJ20</f>
        <v>0</v>
      </c>
      <c r="AO20" s="255">
        <f>Prop2018DistTar!BK20</f>
        <v>0</v>
      </c>
      <c r="AP20" s="255">
        <f>Prop2018DistTar!BL20</f>
        <v>0</v>
      </c>
      <c r="AQ20" s="255">
        <f>Prop2018DistTar!BM20</f>
        <v>0</v>
      </c>
      <c r="AR20" s="255">
        <f>Prop2018DistTar!BN20</f>
        <v>0</v>
      </c>
      <c r="AS20" s="255">
        <f>Prop2018DistTar!BO20</f>
        <v>0</v>
      </c>
      <c r="AT20" s="256">
        <f>Prop2018DistTar!BP20</f>
        <v>0</v>
      </c>
      <c r="AV20" s="306">
        <f t="shared" ref="AV20:AV65" si="5">D20*Z20</f>
        <v>0</v>
      </c>
      <c r="AW20" s="307">
        <f t="shared" ref="AW20:AW65" si="6">E20/100*AA20</f>
        <v>0</v>
      </c>
      <c r="AX20" s="307">
        <f t="shared" ref="AX20:AX65" si="7">F20/100*AB20</f>
        <v>0</v>
      </c>
      <c r="AY20" s="307">
        <f t="shared" ref="AY20:AY65" si="8">G20/100*AC20</f>
        <v>0</v>
      </c>
      <c r="AZ20" s="307">
        <f t="shared" ref="AZ20:AZ65" si="9">H20/100*AD20</f>
        <v>0</v>
      </c>
      <c r="BA20" s="307">
        <f t="shared" ref="BA20:BA65" si="10">I20/100*AE20</f>
        <v>47839.020550515452</v>
      </c>
      <c r="BB20" s="307">
        <f t="shared" ref="BB20:BB65" si="11">J20/100*AF20</f>
        <v>0</v>
      </c>
      <c r="BC20" s="307">
        <f t="shared" ref="BC20:BC65" si="12">K20/100*AG20</f>
        <v>0</v>
      </c>
      <c r="BD20" s="307">
        <f t="shared" ref="BD20:BD65" si="13">L20/100*AH20</f>
        <v>0</v>
      </c>
      <c r="BE20" s="307">
        <f t="shared" ref="BE20:BE65" si="14">M20*AI20</f>
        <v>0</v>
      </c>
      <c r="BF20" s="307">
        <f t="shared" ref="BF20:BF65" si="15">N20*AJ20</f>
        <v>0</v>
      </c>
      <c r="BG20" s="307">
        <f t="shared" ref="BG20:BG65" si="16">O20*AK20</f>
        <v>0</v>
      </c>
      <c r="BH20" s="307">
        <f t="shared" ref="BH20:BH65" si="17">P20*AL20</f>
        <v>0</v>
      </c>
      <c r="BI20" s="308">
        <f t="shared" ref="BI20:BI65" si="18">Q20/100*AM20</f>
        <v>0</v>
      </c>
      <c r="BJ20" s="308">
        <f t="shared" ref="BJ20:BJ65" si="19">R20/100*AN20</f>
        <v>0</v>
      </c>
      <c r="BK20" s="308">
        <f t="shared" ref="BK20:BK65" si="20">S20/100*AO20</f>
        <v>0</v>
      </c>
      <c r="BL20" s="308">
        <f t="shared" ref="BL20:BL65" si="21">T20/100*AP20</f>
        <v>0</v>
      </c>
      <c r="BM20" s="308">
        <f t="shared" ref="BM20:BM65" si="22">U20/100*AQ20</f>
        <v>0</v>
      </c>
      <c r="BN20" s="308">
        <f t="shared" ref="BN20:BN65" si="23">V20/100*AR20</f>
        <v>0</v>
      </c>
      <c r="BO20" s="308">
        <f t="shared" ref="BO20:BO65" si="24">W20/100*AS20</f>
        <v>0</v>
      </c>
      <c r="BP20" s="308">
        <f t="shared" ref="BP20:BP65" si="25">X20/100*AT20</f>
        <v>0</v>
      </c>
      <c r="BQ20" s="259">
        <f t="shared" ref="BQ20:BQ65" si="26">SUM(AV20:BP20)</f>
        <v>47839.020550515452</v>
      </c>
    </row>
    <row r="21" spans="1:69">
      <c r="A21" s="199" t="str">
        <f>Prop2018DistTar!A21</f>
        <v>DD</v>
      </c>
      <c r="B21" s="238" t="str">
        <f>Prop2018DistTar!B21</f>
        <v>Residential Demand</v>
      </c>
      <c r="C21" s="289"/>
      <c r="D21" s="773">
        <v>0</v>
      </c>
      <c r="E21" s="771">
        <v>0.68</v>
      </c>
      <c r="F21" s="771">
        <v>0</v>
      </c>
      <c r="G21" s="771">
        <v>0</v>
      </c>
      <c r="H21" s="771">
        <v>0</v>
      </c>
      <c r="I21" s="771">
        <v>0</v>
      </c>
      <c r="J21" s="771">
        <v>0</v>
      </c>
      <c r="K21" s="771">
        <v>0</v>
      </c>
      <c r="L21" s="771">
        <v>0</v>
      </c>
      <c r="M21" s="771">
        <v>0</v>
      </c>
      <c r="N21" s="771">
        <v>0</v>
      </c>
      <c r="O21" s="771">
        <v>2.2400000000000002</v>
      </c>
      <c r="P21" s="771">
        <v>0.75</v>
      </c>
      <c r="Q21" s="771">
        <v>0</v>
      </c>
      <c r="R21" s="771">
        <v>0</v>
      </c>
      <c r="S21" s="771">
        <v>0</v>
      </c>
      <c r="T21" s="771">
        <v>0</v>
      </c>
      <c r="U21" s="771">
        <v>0</v>
      </c>
      <c r="V21" s="771">
        <v>0</v>
      </c>
      <c r="W21" s="771">
        <v>0</v>
      </c>
      <c r="X21" s="772">
        <v>0</v>
      </c>
      <c r="Z21" s="281">
        <f>Prop2018DistTar!AV21</f>
        <v>5</v>
      </c>
      <c r="AA21" s="255">
        <f>Prop2018DistTar!AW21</f>
        <v>27500</v>
      </c>
      <c r="AB21" s="255">
        <f>Prop2018DistTar!AX21</f>
        <v>0</v>
      </c>
      <c r="AC21" s="255">
        <f>Prop2018DistTar!AY21</f>
        <v>0</v>
      </c>
      <c r="AD21" s="255">
        <f>Prop2018DistTar!AZ21</f>
        <v>0</v>
      </c>
      <c r="AE21" s="255">
        <f>Prop2018DistTar!BA21</f>
        <v>0</v>
      </c>
      <c r="AF21" s="255">
        <f>Prop2018DistTar!BB21</f>
        <v>0</v>
      </c>
      <c r="AG21" s="255">
        <f>Prop2018DistTar!BC21</f>
        <v>0</v>
      </c>
      <c r="AH21" s="255">
        <f>Prop2018DistTar!BD21</f>
        <v>0</v>
      </c>
      <c r="AI21" s="255">
        <f>Prop2018DistTar!BE21</f>
        <v>0</v>
      </c>
      <c r="AJ21" s="255">
        <f>Prop2018DistTar!BF21</f>
        <v>0</v>
      </c>
      <c r="AK21" s="255">
        <f>Prop2018DistTar!BG21</f>
        <v>62.785388127853878</v>
      </c>
      <c r="AL21" s="255">
        <f>Prop2018DistTar!BH21</f>
        <v>100.45662100456622</v>
      </c>
      <c r="AM21" s="255">
        <f>Prop2018DistTar!BI21</f>
        <v>0</v>
      </c>
      <c r="AN21" s="255">
        <f>Prop2018DistTar!BJ21</f>
        <v>0</v>
      </c>
      <c r="AO21" s="255">
        <f>Prop2018DistTar!BK21</f>
        <v>0</v>
      </c>
      <c r="AP21" s="255">
        <f>Prop2018DistTar!BL21</f>
        <v>0</v>
      </c>
      <c r="AQ21" s="255">
        <f>Prop2018DistTar!BM21</f>
        <v>0</v>
      </c>
      <c r="AR21" s="255">
        <f>Prop2018DistTar!BN21</f>
        <v>0</v>
      </c>
      <c r="AS21" s="255">
        <f>Prop2018DistTar!BO21</f>
        <v>0</v>
      </c>
      <c r="AT21" s="256">
        <f>Prop2018DistTar!BP21</f>
        <v>0</v>
      </c>
      <c r="AV21" s="306">
        <f t="shared" si="5"/>
        <v>0</v>
      </c>
      <c r="AW21" s="307">
        <f t="shared" si="6"/>
        <v>187</v>
      </c>
      <c r="AX21" s="307">
        <f t="shared" si="7"/>
        <v>0</v>
      </c>
      <c r="AY21" s="307">
        <f t="shared" si="8"/>
        <v>0</v>
      </c>
      <c r="AZ21" s="307">
        <f t="shared" si="9"/>
        <v>0</v>
      </c>
      <c r="BA21" s="307">
        <f t="shared" si="10"/>
        <v>0</v>
      </c>
      <c r="BB21" s="307">
        <f t="shared" si="11"/>
        <v>0</v>
      </c>
      <c r="BC21" s="307">
        <f t="shared" si="12"/>
        <v>0</v>
      </c>
      <c r="BD21" s="307">
        <f t="shared" si="13"/>
        <v>0</v>
      </c>
      <c r="BE21" s="307">
        <f t="shared" si="14"/>
        <v>0</v>
      </c>
      <c r="BF21" s="307">
        <f t="shared" si="15"/>
        <v>0</v>
      </c>
      <c r="BG21" s="307">
        <f t="shared" si="16"/>
        <v>140.63926940639271</v>
      </c>
      <c r="BH21" s="307">
        <f t="shared" si="17"/>
        <v>75.342465753424662</v>
      </c>
      <c r="BI21" s="308">
        <f t="shared" si="18"/>
        <v>0</v>
      </c>
      <c r="BJ21" s="308">
        <f t="shared" si="19"/>
        <v>0</v>
      </c>
      <c r="BK21" s="308">
        <f t="shared" si="20"/>
        <v>0</v>
      </c>
      <c r="BL21" s="308">
        <f t="shared" si="21"/>
        <v>0</v>
      </c>
      <c r="BM21" s="308">
        <f t="shared" si="22"/>
        <v>0</v>
      </c>
      <c r="BN21" s="308">
        <f t="shared" si="23"/>
        <v>0</v>
      </c>
      <c r="BO21" s="308">
        <f t="shared" si="24"/>
        <v>0</v>
      </c>
      <c r="BP21" s="308">
        <f t="shared" si="25"/>
        <v>0</v>
      </c>
      <c r="BQ21" s="259">
        <f t="shared" si="26"/>
        <v>402.98173515981739</v>
      </c>
    </row>
    <row r="22" spans="1:69">
      <c r="A22" s="199" t="str">
        <f>Prop2018DistTar!A22</f>
        <v>DDNEW</v>
      </c>
      <c r="B22" s="238" t="str">
        <f>Prop2018DistTar!B22</f>
        <v>Newstead Residential Trial</v>
      </c>
      <c r="C22" s="289"/>
      <c r="D22" s="773">
        <v>0</v>
      </c>
      <c r="E22" s="771">
        <v>0</v>
      </c>
      <c r="F22" s="771">
        <v>0</v>
      </c>
      <c r="G22" s="771">
        <v>0</v>
      </c>
      <c r="H22" s="771">
        <v>0</v>
      </c>
      <c r="I22" s="771">
        <v>0</v>
      </c>
      <c r="J22" s="771">
        <v>0</v>
      </c>
      <c r="K22" s="771">
        <v>0</v>
      </c>
      <c r="L22" s="771">
        <v>0</v>
      </c>
      <c r="M22" s="771">
        <v>0</v>
      </c>
      <c r="N22" s="771">
        <v>0</v>
      </c>
      <c r="O22" s="771">
        <v>0.45</v>
      </c>
      <c r="P22" s="771">
        <v>0.45</v>
      </c>
      <c r="Q22" s="771">
        <v>0</v>
      </c>
      <c r="R22" s="771">
        <v>0</v>
      </c>
      <c r="S22" s="771">
        <v>0</v>
      </c>
      <c r="T22" s="771">
        <v>0</v>
      </c>
      <c r="U22" s="771">
        <v>0</v>
      </c>
      <c r="V22" s="771">
        <v>0</v>
      </c>
      <c r="W22" s="771">
        <v>0</v>
      </c>
      <c r="X22" s="772">
        <v>0</v>
      </c>
      <c r="Z22" s="281">
        <f>Prop2018DistTar!AV22</f>
        <v>0</v>
      </c>
      <c r="AA22" s="255">
        <f>Prop2018DistTar!AW22</f>
        <v>0</v>
      </c>
      <c r="AB22" s="255">
        <f>Prop2018DistTar!AX22</f>
        <v>0</v>
      </c>
      <c r="AC22" s="255">
        <f>Prop2018DistTar!AY22</f>
        <v>0</v>
      </c>
      <c r="AD22" s="255">
        <f>Prop2018DistTar!AZ22</f>
        <v>0</v>
      </c>
      <c r="AE22" s="255">
        <f>Prop2018DistTar!BA22</f>
        <v>0</v>
      </c>
      <c r="AF22" s="255">
        <f>Prop2018DistTar!BB22</f>
        <v>0</v>
      </c>
      <c r="AG22" s="255">
        <f>Prop2018DistTar!BC22</f>
        <v>0</v>
      </c>
      <c r="AH22" s="255">
        <f>Prop2018DistTar!BD22</f>
        <v>0</v>
      </c>
      <c r="AI22" s="255">
        <f>Prop2018DistTar!BE22</f>
        <v>0</v>
      </c>
      <c r="AJ22" s="255">
        <f>Prop2018DistTar!BF22</f>
        <v>0</v>
      </c>
      <c r="AK22" s="255">
        <f>Prop2018DistTar!BG22</f>
        <v>0</v>
      </c>
      <c r="AL22" s="255">
        <f>Prop2018DistTar!BH22</f>
        <v>0</v>
      </c>
      <c r="AM22" s="255">
        <f>Prop2018DistTar!BI22</f>
        <v>0</v>
      </c>
      <c r="AN22" s="255">
        <f>Prop2018DistTar!BJ22</f>
        <v>0</v>
      </c>
      <c r="AO22" s="255">
        <f>Prop2018DistTar!BK22</f>
        <v>0</v>
      </c>
      <c r="AP22" s="255">
        <f>Prop2018DistTar!BL22</f>
        <v>0</v>
      </c>
      <c r="AQ22" s="255">
        <f>Prop2018DistTar!BM22</f>
        <v>0</v>
      </c>
      <c r="AR22" s="255">
        <f>Prop2018DistTar!BN22</f>
        <v>0</v>
      </c>
      <c r="AS22" s="255">
        <f>Prop2018DistTar!BO22</f>
        <v>0</v>
      </c>
      <c r="AT22" s="256">
        <f>Prop2018DistTar!BP22</f>
        <v>0</v>
      </c>
      <c r="AV22" s="306">
        <f t="shared" si="5"/>
        <v>0</v>
      </c>
      <c r="AW22" s="307">
        <f t="shared" si="6"/>
        <v>0</v>
      </c>
      <c r="AX22" s="307">
        <f t="shared" si="7"/>
        <v>0</v>
      </c>
      <c r="AY22" s="307">
        <f t="shared" si="8"/>
        <v>0</v>
      </c>
      <c r="AZ22" s="307">
        <f t="shared" si="9"/>
        <v>0</v>
      </c>
      <c r="BA22" s="307">
        <f t="shared" si="10"/>
        <v>0</v>
      </c>
      <c r="BB22" s="307">
        <f t="shared" si="11"/>
        <v>0</v>
      </c>
      <c r="BC22" s="307">
        <f t="shared" si="12"/>
        <v>0</v>
      </c>
      <c r="BD22" s="307">
        <f t="shared" si="13"/>
        <v>0</v>
      </c>
      <c r="BE22" s="307">
        <f t="shared" si="14"/>
        <v>0</v>
      </c>
      <c r="BF22" s="307">
        <f t="shared" si="15"/>
        <v>0</v>
      </c>
      <c r="BG22" s="307">
        <f t="shared" si="16"/>
        <v>0</v>
      </c>
      <c r="BH22" s="307">
        <f t="shared" si="17"/>
        <v>0</v>
      </c>
      <c r="BI22" s="308">
        <f t="shared" si="18"/>
        <v>0</v>
      </c>
      <c r="BJ22" s="308">
        <f t="shared" si="19"/>
        <v>0</v>
      </c>
      <c r="BK22" s="308">
        <f t="shared" si="20"/>
        <v>0</v>
      </c>
      <c r="BL22" s="308">
        <f t="shared" si="21"/>
        <v>0</v>
      </c>
      <c r="BM22" s="308">
        <f t="shared" si="22"/>
        <v>0</v>
      </c>
      <c r="BN22" s="308">
        <f t="shared" si="23"/>
        <v>0</v>
      </c>
      <c r="BO22" s="308">
        <f t="shared" si="24"/>
        <v>0</v>
      </c>
      <c r="BP22" s="308">
        <f t="shared" si="25"/>
        <v>0</v>
      </c>
      <c r="BQ22" s="259">
        <f t="shared" si="26"/>
        <v>0</v>
      </c>
    </row>
    <row r="23" spans="1:69">
      <c r="A23" s="199" t="str">
        <f>Prop2018DistTar!A23</f>
        <v>ND1</v>
      </c>
      <c r="B23" s="238" t="str">
        <f>Prop2018DistTar!B23</f>
        <v>Non-Residential Single Rate</v>
      </c>
      <c r="C23" s="289"/>
      <c r="D23" s="773">
        <v>0</v>
      </c>
      <c r="E23" s="771">
        <v>1.35</v>
      </c>
      <c r="F23" s="771">
        <v>0</v>
      </c>
      <c r="G23" s="771">
        <v>0</v>
      </c>
      <c r="H23" s="771">
        <v>0</v>
      </c>
      <c r="I23" s="771">
        <v>0</v>
      </c>
      <c r="J23" s="771">
        <v>0</v>
      </c>
      <c r="K23" s="771">
        <v>0</v>
      </c>
      <c r="L23" s="771">
        <v>0</v>
      </c>
      <c r="M23" s="771">
        <v>0</v>
      </c>
      <c r="N23" s="771">
        <v>0</v>
      </c>
      <c r="O23" s="771">
        <v>0</v>
      </c>
      <c r="P23" s="771">
        <v>0</v>
      </c>
      <c r="Q23" s="771">
        <v>0</v>
      </c>
      <c r="R23" s="771">
        <v>0</v>
      </c>
      <c r="S23" s="771">
        <v>0</v>
      </c>
      <c r="T23" s="771">
        <v>0</v>
      </c>
      <c r="U23" s="771">
        <v>0</v>
      </c>
      <c r="V23" s="771">
        <v>0</v>
      </c>
      <c r="W23" s="771">
        <v>0</v>
      </c>
      <c r="X23" s="772">
        <v>0</v>
      </c>
      <c r="Z23" s="281">
        <f>Prop2018DistTar!AV23</f>
        <v>42209.54354501221</v>
      </c>
      <c r="AA23" s="255">
        <f>Prop2018DistTar!AW23</f>
        <v>256381416.1258947</v>
      </c>
      <c r="AB23" s="255">
        <f>Prop2018DistTar!AX23</f>
        <v>0</v>
      </c>
      <c r="AC23" s="255">
        <f>Prop2018DistTar!AY23</f>
        <v>0</v>
      </c>
      <c r="AD23" s="255">
        <f>Prop2018DistTar!AZ23</f>
        <v>0</v>
      </c>
      <c r="AE23" s="255">
        <f>Prop2018DistTar!BA23</f>
        <v>0</v>
      </c>
      <c r="AF23" s="255">
        <f>Prop2018DistTar!BB23</f>
        <v>0</v>
      </c>
      <c r="AG23" s="255">
        <f>Prop2018DistTar!BC23</f>
        <v>0</v>
      </c>
      <c r="AH23" s="255">
        <f>Prop2018DistTar!BD23</f>
        <v>0</v>
      </c>
      <c r="AI23" s="255">
        <f>Prop2018DistTar!BE23</f>
        <v>0</v>
      </c>
      <c r="AJ23" s="255">
        <f>Prop2018DistTar!BF23</f>
        <v>0</v>
      </c>
      <c r="AK23" s="255">
        <f>Prop2018DistTar!BG23</f>
        <v>0</v>
      </c>
      <c r="AL23" s="255">
        <f>Prop2018DistTar!BH23</f>
        <v>0</v>
      </c>
      <c r="AM23" s="255">
        <f>Prop2018DistTar!BI23</f>
        <v>0</v>
      </c>
      <c r="AN23" s="255">
        <f>Prop2018DistTar!BJ23</f>
        <v>0</v>
      </c>
      <c r="AO23" s="255">
        <f>Prop2018DistTar!BK23</f>
        <v>0</v>
      </c>
      <c r="AP23" s="255">
        <f>Prop2018DistTar!BL23</f>
        <v>0</v>
      </c>
      <c r="AQ23" s="255">
        <f>Prop2018DistTar!BM23</f>
        <v>0</v>
      </c>
      <c r="AR23" s="255">
        <f>Prop2018DistTar!BN23</f>
        <v>0</v>
      </c>
      <c r="AS23" s="255">
        <f>Prop2018DistTar!BO23</f>
        <v>0</v>
      </c>
      <c r="AT23" s="256">
        <f>Prop2018DistTar!BP23</f>
        <v>0</v>
      </c>
      <c r="AV23" s="306">
        <f t="shared" si="5"/>
        <v>0</v>
      </c>
      <c r="AW23" s="307">
        <f t="shared" si="6"/>
        <v>3461149.1176995789</v>
      </c>
      <c r="AX23" s="307">
        <f t="shared" si="7"/>
        <v>0</v>
      </c>
      <c r="AY23" s="307">
        <f t="shared" si="8"/>
        <v>0</v>
      </c>
      <c r="AZ23" s="307">
        <f t="shared" si="9"/>
        <v>0</v>
      </c>
      <c r="BA23" s="307">
        <f t="shared" si="10"/>
        <v>0</v>
      </c>
      <c r="BB23" s="307">
        <f t="shared" si="11"/>
        <v>0</v>
      </c>
      <c r="BC23" s="307">
        <f t="shared" si="12"/>
        <v>0</v>
      </c>
      <c r="BD23" s="307">
        <f t="shared" si="13"/>
        <v>0</v>
      </c>
      <c r="BE23" s="307">
        <f t="shared" si="14"/>
        <v>0</v>
      </c>
      <c r="BF23" s="307">
        <f t="shared" si="15"/>
        <v>0</v>
      </c>
      <c r="BG23" s="307">
        <f t="shared" si="16"/>
        <v>0</v>
      </c>
      <c r="BH23" s="307">
        <f t="shared" si="17"/>
        <v>0</v>
      </c>
      <c r="BI23" s="308">
        <f t="shared" si="18"/>
        <v>0</v>
      </c>
      <c r="BJ23" s="308">
        <f t="shared" si="19"/>
        <v>0</v>
      </c>
      <c r="BK23" s="308">
        <f t="shared" si="20"/>
        <v>0</v>
      </c>
      <c r="BL23" s="308">
        <f t="shared" si="21"/>
        <v>0</v>
      </c>
      <c r="BM23" s="308">
        <f t="shared" si="22"/>
        <v>0</v>
      </c>
      <c r="BN23" s="308">
        <f t="shared" si="23"/>
        <v>0</v>
      </c>
      <c r="BO23" s="308">
        <f t="shared" si="24"/>
        <v>0</v>
      </c>
      <c r="BP23" s="308">
        <f t="shared" si="25"/>
        <v>0</v>
      </c>
      <c r="BQ23" s="259">
        <f t="shared" si="26"/>
        <v>3461149.1176995789</v>
      </c>
    </row>
    <row r="24" spans="1:69">
      <c r="A24" s="199" t="str">
        <f>Prop2018DistTar!A24</f>
        <v>P14G</v>
      </c>
      <c r="B24" s="238" t="str">
        <f>Prop2018DistTar!B24</f>
        <v>Non-Residential Flexible Pricing</v>
      </c>
      <c r="C24" s="289"/>
      <c r="D24" s="773">
        <v>0</v>
      </c>
      <c r="E24" s="771">
        <v>0</v>
      </c>
      <c r="F24" s="771">
        <v>0</v>
      </c>
      <c r="G24" s="771">
        <v>0</v>
      </c>
      <c r="H24" s="771">
        <v>0</v>
      </c>
      <c r="I24" s="771">
        <v>0</v>
      </c>
      <c r="J24" s="771">
        <v>0</v>
      </c>
      <c r="K24" s="771">
        <v>0</v>
      </c>
      <c r="L24" s="771">
        <v>0</v>
      </c>
      <c r="M24" s="771">
        <v>0</v>
      </c>
      <c r="N24" s="771">
        <v>0</v>
      </c>
      <c r="O24" s="771">
        <v>0</v>
      </c>
      <c r="P24" s="771">
        <v>0</v>
      </c>
      <c r="Q24" s="771">
        <v>2.19</v>
      </c>
      <c r="R24" s="771">
        <v>0.69</v>
      </c>
      <c r="S24" s="771">
        <v>0.53</v>
      </c>
      <c r="T24" s="771">
        <v>0</v>
      </c>
      <c r="U24" s="771">
        <v>2.19</v>
      </c>
      <c r="V24" s="771">
        <v>0.69</v>
      </c>
      <c r="W24" s="771">
        <v>0.53</v>
      </c>
      <c r="X24" s="772">
        <v>0</v>
      </c>
      <c r="Z24" s="281">
        <f>Prop2018DistTar!AV24</f>
        <v>186.11307242474166</v>
      </c>
      <c r="AA24" s="255">
        <f>Prop2018DistTar!AW24</f>
        <v>0</v>
      </c>
      <c r="AB24" s="255">
        <f>Prop2018DistTar!AX24</f>
        <v>0</v>
      </c>
      <c r="AC24" s="255">
        <f>Prop2018DistTar!AY24</f>
        <v>0</v>
      </c>
      <c r="AD24" s="255">
        <f>Prop2018DistTar!AZ24</f>
        <v>0</v>
      </c>
      <c r="AE24" s="255">
        <f>Prop2018DistTar!BA24</f>
        <v>0</v>
      </c>
      <c r="AF24" s="255">
        <f>Prop2018DistTar!BB24</f>
        <v>0</v>
      </c>
      <c r="AG24" s="255">
        <f>Prop2018DistTar!BC24</f>
        <v>0</v>
      </c>
      <c r="AH24" s="255">
        <f>Prop2018DistTar!BD24</f>
        <v>0</v>
      </c>
      <c r="AI24" s="255">
        <f>Prop2018DistTar!BE24</f>
        <v>0</v>
      </c>
      <c r="AJ24" s="255">
        <f>Prop2018DistTar!BF24</f>
        <v>0</v>
      </c>
      <c r="AK24" s="255">
        <f>Prop2018DistTar!BG24</f>
        <v>0</v>
      </c>
      <c r="AL24" s="255">
        <f>Prop2018DistTar!BH24</f>
        <v>0</v>
      </c>
      <c r="AM24" s="255">
        <f>Prop2018DistTar!BI24</f>
        <v>425233.80130471708</v>
      </c>
      <c r="AN24" s="255">
        <f>Prop2018DistTar!BJ24</f>
        <v>148156.11479246127</v>
      </c>
      <c r="AO24" s="255">
        <f>Prop2018DistTar!BK24</f>
        <v>478715.03718373307</v>
      </c>
      <c r="AP24" s="255">
        <f>Prop2018DistTar!BL24</f>
        <v>0</v>
      </c>
      <c r="AQ24" s="255">
        <f>Prop2018DistTar!BM24</f>
        <v>1248433.2383987384</v>
      </c>
      <c r="AR24" s="255">
        <f>Prop2018DistTar!BN24</f>
        <v>361061.69917074154</v>
      </c>
      <c r="AS24" s="255">
        <f>Prop2018DistTar!BO24</f>
        <v>1112012.8908404843</v>
      </c>
      <c r="AT24" s="256">
        <f>Prop2018DistTar!BP24</f>
        <v>0</v>
      </c>
      <c r="AV24" s="306">
        <f t="shared" si="5"/>
        <v>0</v>
      </c>
      <c r="AW24" s="307">
        <f t="shared" si="6"/>
        <v>0</v>
      </c>
      <c r="AX24" s="307">
        <f t="shared" si="7"/>
        <v>0</v>
      </c>
      <c r="AY24" s="307">
        <f t="shared" si="8"/>
        <v>0</v>
      </c>
      <c r="AZ24" s="307">
        <f t="shared" si="9"/>
        <v>0</v>
      </c>
      <c r="BA24" s="307">
        <f t="shared" si="10"/>
        <v>0</v>
      </c>
      <c r="BB24" s="307">
        <f t="shared" si="11"/>
        <v>0</v>
      </c>
      <c r="BC24" s="307">
        <f t="shared" si="12"/>
        <v>0</v>
      </c>
      <c r="BD24" s="307">
        <f t="shared" si="13"/>
        <v>0</v>
      </c>
      <c r="BE24" s="307">
        <f t="shared" si="14"/>
        <v>0</v>
      </c>
      <c r="BF24" s="307">
        <f t="shared" si="15"/>
        <v>0</v>
      </c>
      <c r="BG24" s="307">
        <f t="shared" si="16"/>
        <v>0</v>
      </c>
      <c r="BH24" s="307">
        <f t="shared" si="17"/>
        <v>0</v>
      </c>
      <c r="BI24" s="308">
        <f t="shared" si="18"/>
        <v>9312.6202485733047</v>
      </c>
      <c r="BJ24" s="308">
        <f t="shared" si="19"/>
        <v>1022.2771920679828</v>
      </c>
      <c r="BK24" s="308">
        <f t="shared" si="20"/>
        <v>2537.1896970737853</v>
      </c>
      <c r="BL24" s="308">
        <f t="shared" si="21"/>
        <v>0</v>
      </c>
      <c r="BM24" s="308">
        <f t="shared" si="22"/>
        <v>27340.687920932371</v>
      </c>
      <c r="BN24" s="308">
        <f t="shared" si="23"/>
        <v>2491.3257242781165</v>
      </c>
      <c r="BO24" s="308">
        <f t="shared" si="24"/>
        <v>5893.6683214545665</v>
      </c>
      <c r="BP24" s="308">
        <f t="shared" si="25"/>
        <v>0</v>
      </c>
      <c r="BQ24" s="259">
        <f t="shared" si="26"/>
        <v>48597.769104380131</v>
      </c>
    </row>
    <row r="25" spans="1:69">
      <c r="A25" s="199" t="str">
        <f>Prop2018DistTar!A25</f>
        <v>ND2</v>
      </c>
      <c r="B25" s="238" t="str">
        <f>Prop2018DistTar!B25</f>
        <v>Non-Residential Two Rate 5d</v>
      </c>
      <c r="C25" s="289"/>
      <c r="D25" s="773">
        <v>0</v>
      </c>
      <c r="E25" s="771">
        <v>0</v>
      </c>
      <c r="F25" s="771">
        <v>2.2200000000000002</v>
      </c>
      <c r="G25" s="771">
        <v>0</v>
      </c>
      <c r="H25" s="771">
        <v>0</v>
      </c>
      <c r="I25" s="771">
        <v>0.5</v>
      </c>
      <c r="J25" s="771">
        <v>0</v>
      </c>
      <c r="K25" s="771">
        <v>0</v>
      </c>
      <c r="L25" s="771">
        <v>0</v>
      </c>
      <c r="M25" s="771">
        <v>0</v>
      </c>
      <c r="N25" s="771">
        <v>0</v>
      </c>
      <c r="O25" s="771">
        <v>0</v>
      </c>
      <c r="P25" s="771">
        <v>0</v>
      </c>
      <c r="Q25" s="771">
        <v>0</v>
      </c>
      <c r="R25" s="771">
        <v>0</v>
      </c>
      <c r="S25" s="771">
        <v>0</v>
      </c>
      <c r="T25" s="771">
        <v>0</v>
      </c>
      <c r="U25" s="771">
        <v>0</v>
      </c>
      <c r="V25" s="771">
        <v>0</v>
      </c>
      <c r="W25" s="771">
        <v>0</v>
      </c>
      <c r="X25" s="772">
        <v>0</v>
      </c>
      <c r="Z25" s="281">
        <f>Prop2018DistTar!AV25</f>
        <v>24184.201071330088</v>
      </c>
      <c r="AA25" s="255">
        <f>Prop2018DistTar!AW25</f>
        <v>0</v>
      </c>
      <c r="AB25" s="255">
        <f>Prop2018DistTar!AX25</f>
        <v>207323954.65497863</v>
      </c>
      <c r="AC25" s="255">
        <f>Prop2018DistTar!AY25</f>
        <v>0</v>
      </c>
      <c r="AD25" s="255">
        <f>Prop2018DistTar!AZ25</f>
        <v>0</v>
      </c>
      <c r="AE25" s="255">
        <f>Prop2018DistTar!BA25</f>
        <v>176674793.86974853</v>
      </c>
      <c r="AF25" s="255">
        <f>Prop2018DistTar!BB25</f>
        <v>0</v>
      </c>
      <c r="AG25" s="255">
        <f>Prop2018DistTar!BC25</f>
        <v>0</v>
      </c>
      <c r="AH25" s="255">
        <f>Prop2018DistTar!BD25</f>
        <v>0</v>
      </c>
      <c r="AI25" s="255">
        <f>Prop2018DistTar!BE25</f>
        <v>0</v>
      </c>
      <c r="AJ25" s="255">
        <f>Prop2018DistTar!BF25</f>
        <v>0</v>
      </c>
      <c r="AK25" s="255">
        <f>Prop2018DistTar!BG25</f>
        <v>0</v>
      </c>
      <c r="AL25" s="255">
        <f>Prop2018DistTar!BH25</f>
        <v>0</v>
      </c>
      <c r="AM25" s="255">
        <f>Prop2018DistTar!BI25</f>
        <v>0</v>
      </c>
      <c r="AN25" s="255">
        <f>Prop2018DistTar!BJ25</f>
        <v>0</v>
      </c>
      <c r="AO25" s="255">
        <f>Prop2018DistTar!BK25</f>
        <v>0</v>
      </c>
      <c r="AP25" s="255">
        <f>Prop2018DistTar!BL25</f>
        <v>0</v>
      </c>
      <c r="AQ25" s="255">
        <f>Prop2018DistTar!BM25</f>
        <v>0</v>
      </c>
      <c r="AR25" s="255">
        <f>Prop2018DistTar!BN25</f>
        <v>0</v>
      </c>
      <c r="AS25" s="255">
        <f>Prop2018DistTar!BO25</f>
        <v>0</v>
      </c>
      <c r="AT25" s="256">
        <f>Prop2018DistTar!BP25</f>
        <v>0</v>
      </c>
      <c r="AV25" s="306">
        <f t="shared" si="5"/>
        <v>0</v>
      </c>
      <c r="AW25" s="307">
        <f t="shared" si="6"/>
        <v>0</v>
      </c>
      <c r="AX25" s="307">
        <f t="shared" si="7"/>
        <v>4602591.7933405256</v>
      </c>
      <c r="AY25" s="307">
        <f t="shared" si="8"/>
        <v>0</v>
      </c>
      <c r="AZ25" s="307">
        <f t="shared" si="9"/>
        <v>0</v>
      </c>
      <c r="BA25" s="307">
        <f t="shared" si="10"/>
        <v>883373.96934874263</v>
      </c>
      <c r="BB25" s="307">
        <f t="shared" si="11"/>
        <v>0</v>
      </c>
      <c r="BC25" s="307">
        <f t="shared" si="12"/>
        <v>0</v>
      </c>
      <c r="BD25" s="307">
        <f t="shared" si="13"/>
        <v>0</v>
      </c>
      <c r="BE25" s="307">
        <f t="shared" si="14"/>
        <v>0</v>
      </c>
      <c r="BF25" s="307">
        <f t="shared" si="15"/>
        <v>0</v>
      </c>
      <c r="BG25" s="307">
        <f t="shared" si="16"/>
        <v>0</v>
      </c>
      <c r="BH25" s="307">
        <f t="shared" si="17"/>
        <v>0</v>
      </c>
      <c r="BI25" s="308">
        <f t="shared" si="18"/>
        <v>0</v>
      </c>
      <c r="BJ25" s="308">
        <f t="shared" si="19"/>
        <v>0</v>
      </c>
      <c r="BK25" s="308">
        <f t="shared" si="20"/>
        <v>0</v>
      </c>
      <c r="BL25" s="308">
        <f t="shared" si="21"/>
        <v>0</v>
      </c>
      <c r="BM25" s="308">
        <f t="shared" si="22"/>
        <v>0</v>
      </c>
      <c r="BN25" s="308">
        <f t="shared" si="23"/>
        <v>0</v>
      </c>
      <c r="BO25" s="308">
        <f t="shared" si="24"/>
        <v>0</v>
      </c>
      <c r="BP25" s="308">
        <f t="shared" si="25"/>
        <v>0</v>
      </c>
      <c r="BQ25" s="259">
        <f t="shared" si="26"/>
        <v>5485965.7626892682</v>
      </c>
    </row>
    <row r="26" spans="1:69">
      <c r="A26" s="199" t="str">
        <f>Prop2018DistTar!A26</f>
        <v>ND5</v>
      </c>
      <c r="B26" s="238" t="str">
        <f>Prop2018DistTar!B26</f>
        <v>Non-Residential Interval</v>
      </c>
      <c r="C26" s="289"/>
      <c r="D26" s="773">
        <v>0</v>
      </c>
      <c r="E26" s="771">
        <v>0</v>
      </c>
      <c r="F26" s="771">
        <v>2.2200000000000002</v>
      </c>
      <c r="G26" s="771">
        <v>0</v>
      </c>
      <c r="H26" s="771">
        <v>0</v>
      </c>
      <c r="I26" s="771">
        <v>0.5</v>
      </c>
      <c r="J26" s="771">
        <v>0</v>
      </c>
      <c r="K26" s="771">
        <v>0</v>
      </c>
      <c r="L26" s="771">
        <v>0</v>
      </c>
      <c r="M26" s="771">
        <v>0</v>
      </c>
      <c r="N26" s="771">
        <v>0</v>
      </c>
      <c r="O26" s="771">
        <v>0</v>
      </c>
      <c r="P26" s="771">
        <v>0</v>
      </c>
      <c r="Q26" s="771">
        <v>0</v>
      </c>
      <c r="R26" s="771">
        <v>0</v>
      </c>
      <c r="S26" s="771">
        <v>0</v>
      </c>
      <c r="T26" s="771">
        <v>0</v>
      </c>
      <c r="U26" s="771">
        <v>0</v>
      </c>
      <c r="V26" s="771">
        <v>0</v>
      </c>
      <c r="W26" s="771">
        <v>0</v>
      </c>
      <c r="X26" s="772">
        <v>0</v>
      </c>
      <c r="Z26" s="281">
        <f>Prop2018DistTar!AV26</f>
        <v>12412.001320594669</v>
      </c>
      <c r="AA26" s="255">
        <f>Prop2018DistTar!AW26</f>
        <v>0</v>
      </c>
      <c r="AB26" s="255">
        <f>Prop2018DistTar!AX26</f>
        <v>96843792.196453899</v>
      </c>
      <c r="AC26" s="255">
        <f>Prop2018DistTar!AY26</f>
        <v>0</v>
      </c>
      <c r="AD26" s="255">
        <f>Prop2018DistTar!AZ26</f>
        <v>0</v>
      </c>
      <c r="AE26" s="255">
        <f>Prop2018DistTar!BA26</f>
        <v>66506894.747274607</v>
      </c>
      <c r="AF26" s="255">
        <f>Prop2018DistTar!BB26</f>
        <v>0</v>
      </c>
      <c r="AG26" s="255">
        <f>Prop2018DistTar!BC26</f>
        <v>0</v>
      </c>
      <c r="AH26" s="255">
        <f>Prop2018DistTar!BD26</f>
        <v>0</v>
      </c>
      <c r="AI26" s="255">
        <f>Prop2018DistTar!BE26</f>
        <v>0</v>
      </c>
      <c r="AJ26" s="255">
        <f>Prop2018DistTar!BF26</f>
        <v>0</v>
      </c>
      <c r="AK26" s="255">
        <f>Prop2018DistTar!BG26</f>
        <v>0</v>
      </c>
      <c r="AL26" s="255">
        <f>Prop2018DistTar!BH26</f>
        <v>0</v>
      </c>
      <c r="AM26" s="255">
        <f>Prop2018DistTar!BI26</f>
        <v>0</v>
      </c>
      <c r="AN26" s="255">
        <f>Prop2018DistTar!BJ26</f>
        <v>0</v>
      </c>
      <c r="AO26" s="255">
        <f>Prop2018DistTar!BK26</f>
        <v>0</v>
      </c>
      <c r="AP26" s="255">
        <f>Prop2018DistTar!BL26</f>
        <v>0</v>
      </c>
      <c r="AQ26" s="255">
        <f>Prop2018DistTar!BM26</f>
        <v>0</v>
      </c>
      <c r="AR26" s="255">
        <f>Prop2018DistTar!BN26</f>
        <v>0</v>
      </c>
      <c r="AS26" s="255">
        <f>Prop2018DistTar!BO26</f>
        <v>0</v>
      </c>
      <c r="AT26" s="256">
        <f>Prop2018DistTar!BP26</f>
        <v>0</v>
      </c>
      <c r="AV26" s="306">
        <f t="shared" si="5"/>
        <v>0</v>
      </c>
      <c r="AW26" s="307">
        <f t="shared" si="6"/>
        <v>0</v>
      </c>
      <c r="AX26" s="307">
        <f t="shared" si="7"/>
        <v>2149932.1867612768</v>
      </c>
      <c r="AY26" s="307">
        <f t="shared" si="8"/>
        <v>0</v>
      </c>
      <c r="AZ26" s="307">
        <f t="shared" si="9"/>
        <v>0</v>
      </c>
      <c r="BA26" s="307">
        <f t="shared" si="10"/>
        <v>332534.47373637307</v>
      </c>
      <c r="BB26" s="307">
        <f t="shared" si="11"/>
        <v>0</v>
      </c>
      <c r="BC26" s="307">
        <f t="shared" si="12"/>
        <v>0</v>
      </c>
      <c r="BD26" s="307">
        <f t="shared" si="13"/>
        <v>0</v>
      </c>
      <c r="BE26" s="307">
        <f t="shared" si="14"/>
        <v>0</v>
      </c>
      <c r="BF26" s="307">
        <f t="shared" si="15"/>
        <v>0</v>
      </c>
      <c r="BG26" s="307">
        <f t="shared" si="16"/>
        <v>0</v>
      </c>
      <c r="BH26" s="307">
        <f t="shared" si="17"/>
        <v>0</v>
      </c>
      <c r="BI26" s="308">
        <f t="shared" si="18"/>
        <v>0</v>
      </c>
      <c r="BJ26" s="308">
        <f t="shared" si="19"/>
        <v>0</v>
      </c>
      <c r="BK26" s="308">
        <f t="shared" si="20"/>
        <v>0</v>
      </c>
      <c r="BL26" s="308">
        <f t="shared" si="21"/>
        <v>0</v>
      </c>
      <c r="BM26" s="308">
        <f t="shared" si="22"/>
        <v>0</v>
      </c>
      <c r="BN26" s="308">
        <f t="shared" si="23"/>
        <v>0</v>
      </c>
      <c r="BO26" s="308">
        <f t="shared" si="24"/>
        <v>0</v>
      </c>
      <c r="BP26" s="308">
        <f t="shared" si="25"/>
        <v>0</v>
      </c>
      <c r="BQ26" s="259">
        <f t="shared" si="26"/>
        <v>2482466.66049765</v>
      </c>
    </row>
    <row r="27" spans="1:69">
      <c r="A27" s="199" t="str">
        <f>Prop2018DistTar!A27</f>
        <v>ND3</v>
      </c>
      <c r="B27" s="238" t="str">
        <f>Prop2018DistTar!B27</f>
        <v>Non-Residential Two Rate 7d</v>
      </c>
      <c r="C27" s="289"/>
      <c r="D27" s="773">
        <v>0</v>
      </c>
      <c r="E27" s="771">
        <v>0</v>
      </c>
      <c r="F27" s="771">
        <v>1.96</v>
      </c>
      <c r="G27" s="771">
        <v>0</v>
      </c>
      <c r="H27" s="771">
        <v>0</v>
      </c>
      <c r="I27" s="771">
        <v>0.5</v>
      </c>
      <c r="J27" s="771">
        <v>0</v>
      </c>
      <c r="K27" s="771">
        <v>0</v>
      </c>
      <c r="L27" s="771">
        <v>0</v>
      </c>
      <c r="M27" s="771">
        <v>0</v>
      </c>
      <c r="N27" s="771">
        <v>0</v>
      </c>
      <c r="O27" s="771">
        <v>0</v>
      </c>
      <c r="P27" s="771">
        <v>0</v>
      </c>
      <c r="Q27" s="771">
        <v>0</v>
      </c>
      <c r="R27" s="771">
        <v>0</v>
      </c>
      <c r="S27" s="771">
        <v>0</v>
      </c>
      <c r="T27" s="771">
        <v>0</v>
      </c>
      <c r="U27" s="771">
        <v>0</v>
      </c>
      <c r="V27" s="771">
        <v>0</v>
      </c>
      <c r="W27" s="771">
        <v>0</v>
      </c>
      <c r="X27" s="772">
        <v>0</v>
      </c>
      <c r="Z27" s="281">
        <f>Prop2018DistTar!AV27</f>
        <v>7219.5879665538523</v>
      </c>
      <c r="AA27" s="255">
        <f>Prop2018DistTar!AW27</f>
        <v>0</v>
      </c>
      <c r="AB27" s="255">
        <f>Prop2018DistTar!AX27</f>
        <v>58018282.435126752</v>
      </c>
      <c r="AC27" s="255">
        <f>Prop2018DistTar!AY27</f>
        <v>0</v>
      </c>
      <c r="AD27" s="255">
        <f>Prop2018DistTar!AZ27</f>
        <v>0</v>
      </c>
      <c r="AE27" s="255">
        <f>Prop2018DistTar!BA27</f>
        <v>22573877.489206318</v>
      </c>
      <c r="AF27" s="255">
        <f>Prop2018DistTar!BB27</f>
        <v>0</v>
      </c>
      <c r="AG27" s="255">
        <f>Prop2018DistTar!BC27</f>
        <v>0</v>
      </c>
      <c r="AH27" s="255">
        <f>Prop2018DistTar!BD27</f>
        <v>0</v>
      </c>
      <c r="AI27" s="255">
        <f>Prop2018DistTar!BE27</f>
        <v>0</v>
      </c>
      <c r="AJ27" s="255">
        <f>Prop2018DistTar!BF27</f>
        <v>0</v>
      </c>
      <c r="AK27" s="255">
        <f>Prop2018DistTar!BG27</f>
        <v>0</v>
      </c>
      <c r="AL27" s="255">
        <f>Prop2018DistTar!BH27</f>
        <v>0</v>
      </c>
      <c r="AM27" s="255">
        <f>Prop2018DistTar!BI27</f>
        <v>0</v>
      </c>
      <c r="AN27" s="255">
        <f>Prop2018DistTar!BJ27</f>
        <v>0</v>
      </c>
      <c r="AO27" s="255">
        <f>Prop2018DistTar!BK27</f>
        <v>0</v>
      </c>
      <c r="AP27" s="255">
        <f>Prop2018DistTar!BL27</f>
        <v>0</v>
      </c>
      <c r="AQ27" s="255">
        <f>Prop2018DistTar!BM27</f>
        <v>0</v>
      </c>
      <c r="AR27" s="255">
        <f>Prop2018DistTar!BN27</f>
        <v>0</v>
      </c>
      <c r="AS27" s="255">
        <f>Prop2018DistTar!BO27</f>
        <v>0</v>
      </c>
      <c r="AT27" s="256">
        <f>Prop2018DistTar!BP27</f>
        <v>0</v>
      </c>
      <c r="AV27" s="306">
        <f t="shared" si="5"/>
        <v>0</v>
      </c>
      <c r="AW27" s="307">
        <f t="shared" si="6"/>
        <v>0</v>
      </c>
      <c r="AX27" s="307">
        <f t="shared" si="7"/>
        <v>1137158.3357284842</v>
      </c>
      <c r="AY27" s="307">
        <f t="shared" si="8"/>
        <v>0</v>
      </c>
      <c r="AZ27" s="307">
        <f t="shared" si="9"/>
        <v>0</v>
      </c>
      <c r="BA27" s="307">
        <f t="shared" si="10"/>
        <v>112869.38744603159</v>
      </c>
      <c r="BB27" s="307">
        <f t="shared" si="11"/>
        <v>0</v>
      </c>
      <c r="BC27" s="307">
        <f t="shared" si="12"/>
        <v>0</v>
      </c>
      <c r="BD27" s="307">
        <f t="shared" si="13"/>
        <v>0</v>
      </c>
      <c r="BE27" s="307">
        <f t="shared" si="14"/>
        <v>0</v>
      </c>
      <c r="BF27" s="307">
        <f t="shared" si="15"/>
        <v>0</v>
      </c>
      <c r="BG27" s="307">
        <f t="shared" si="16"/>
        <v>0</v>
      </c>
      <c r="BH27" s="307">
        <f t="shared" si="17"/>
        <v>0</v>
      </c>
      <c r="BI27" s="308">
        <f t="shared" si="18"/>
        <v>0</v>
      </c>
      <c r="BJ27" s="308">
        <f t="shared" si="19"/>
        <v>0</v>
      </c>
      <c r="BK27" s="308">
        <f t="shared" si="20"/>
        <v>0</v>
      </c>
      <c r="BL27" s="308">
        <f t="shared" si="21"/>
        <v>0</v>
      </c>
      <c r="BM27" s="308">
        <f t="shared" si="22"/>
        <v>0</v>
      </c>
      <c r="BN27" s="308">
        <f t="shared" si="23"/>
        <v>0</v>
      </c>
      <c r="BO27" s="308">
        <f t="shared" si="24"/>
        <v>0</v>
      </c>
      <c r="BP27" s="308">
        <f t="shared" si="25"/>
        <v>0</v>
      </c>
      <c r="BQ27" s="259">
        <f t="shared" si="26"/>
        <v>1250027.7231745159</v>
      </c>
    </row>
    <row r="28" spans="1:69">
      <c r="A28" s="199" t="str">
        <f>Prop2018DistTar!A28</f>
        <v>NDD</v>
      </c>
      <c r="B28" s="238" t="str">
        <f>Prop2018DistTar!B28</f>
        <v>Non-Residential Demand</v>
      </c>
      <c r="C28" s="289"/>
      <c r="D28" s="773">
        <v>0</v>
      </c>
      <c r="E28" s="771">
        <v>0.64</v>
      </c>
      <c r="F28" s="771">
        <v>0</v>
      </c>
      <c r="G28" s="771">
        <v>0</v>
      </c>
      <c r="H28" s="771">
        <v>0</v>
      </c>
      <c r="I28" s="771">
        <v>0</v>
      </c>
      <c r="J28" s="771">
        <v>0</v>
      </c>
      <c r="K28" s="771">
        <v>0</v>
      </c>
      <c r="L28" s="771">
        <v>0</v>
      </c>
      <c r="M28" s="771">
        <v>0</v>
      </c>
      <c r="N28" s="771">
        <v>0</v>
      </c>
      <c r="O28" s="771">
        <v>2.38</v>
      </c>
      <c r="P28" s="771">
        <v>0.79</v>
      </c>
      <c r="Q28" s="771">
        <v>0</v>
      </c>
      <c r="R28" s="771">
        <v>0</v>
      </c>
      <c r="S28" s="771">
        <v>0</v>
      </c>
      <c r="T28" s="771">
        <v>0</v>
      </c>
      <c r="U28" s="771">
        <v>0</v>
      </c>
      <c r="V28" s="771">
        <v>0</v>
      </c>
      <c r="W28" s="771">
        <v>0</v>
      </c>
      <c r="X28" s="772">
        <v>0</v>
      </c>
      <c r="Z28" s="281">
        <f>Prop2018DistTar!AV28</f>
        <v>6.3540450788168705</v>
      </c>
      <c r="AA28" s="255">
        <f>Prop2018DistTar!AW28</f>
        <v>127080.9015763374</v>
      </c>
      <c r="AB28" s="255">
        <f>Prop2018DistTar!AX28</f>
        <v>0</v>
      </c>
      <c r="AC28" s="255">
        <f>Prop2018DistTar!AY28</f>
        <v>0</v>
      </c>
      <c r="AD28" s="255">
        <f>Prop2018DistTar!AZ28</f>
        <v>0</v>
      </c>
      <c r="AE28" s="255">
        <f>Prop2018DistTar!BA28</f>
        <v>0</v>
      </c>
      <c r="AF28" s="255">
        <f>Prop2018DistTar!BB28</f>
        <v>0</v>
      </c>
      <c r="AG28" s="255">
        <f>Prop2018DistTar!BC28</f>
        <v>0</v>
      </c>
      <c r="AH28" s="255">
        <f>Prop2018DistTar!BD28</f>
        <v>0</v>
      </c>
      <c r="AI28" s="255">
        <f>Prop2018DistTar!BE28</f>
        <v>0</v>
      </c>
      <c r="AJ28" s="255">
        <f>Prop2018DistTar!BF28</f>
        <v>0</v>
      </c>
      <c r="AK28" s="255">
        <f>Prop2018DistTar!BG28</f>
        <v>165.79373982561958</v>
      </c>
      <c r="AL28" s="255">
        <f>Prop2018DistTar!BH28</f>
        <v>290.13904469483424</v>
      </c>
      <c r="AM28" s="255">
        <f>Prop2018DistTar!BI28</f>
        <v>0</v>
      </c>
      <c r="AN28" s="255">
        <f>Prop2018DistTar!BJ28</f>
        <v>0</v>
      </c>
      <c r="AO28" s="255">
        <f>Prop2018DistTar!BK28</f>
        <v>0</v>
      </c>
      <c r="AP28" s="255">
        <f>Prop2018DistTar!BL28</f>
        <v>0</v>
      </c>
      <c r="AQ28" s="255">
        <f>Prop2018DistTar!BM28</f>
        <v>0</v>
      </c>
      <c r="AR28" s="255">
        <f>Prop2018DistTar!BN28</f>
        <v>0</v>
      </c>
      <c r="AS28" s="255">
        <f>Prop2018DistTar!BO28</f>
        <v>0</v>
      </c>
      <c r="AT28" s="256">
        <f>Prop2018DistTar!BP28</f>
        <v>0</v>
      </c>
      <c r="AV28" s="306">
        <f t="shared" si="5"/>
        <v>0</v>
      </c>
      <c r="AW28" s="307">
        <f t="shared" si="6"/>
        <v>813.31777008855943</v>
      </c>
      <c r="AX28" s="307">
        <f t="shared" si="7"/>
        <v>0</v>
      </c>
      <c r="AY28" s="307">
        <f t="shared" si="8"/>
        <v>0</v>
      </c>
      <c r="AZ28" s="307">
        <f t="shared" si="9"/>
        <v>0</v>
      </c>
      <c r="BA28" s="307">
        <f t="shared" si="10"/>
        <v>0</v>
      </c>
      <c r="BB28" s="307">
        <f t="shared" si="11"/>
        <v>0</v>
      </c>
      <c r="BC28" s="307">
        <f t="shared" si="12"/>
        <v>0</v>
      </c>
      <c r="BD28" s="307">
        <f t="shared" si="13"/>
        <v>0</v>
      </c>
      <c r="BE28" s="307">
        <f t="shared" si="14"/>
        <v>0</v>
      </c>
      <c r="BF28" s="307">
        <f t="shared" si="15"/>
        <v>0</v>
      </c>
      <c r="BG28" s="307">
        <f t="shared" si="16"/>
        <v>394.58910078497456</v>
      </c>
      <c r="BH28" s="307">
        <f t="shared" si="17"/>
        <v>229.20984530891906</v>
      </c>
      <c r="BI28" s="308">
        <f t="shared" si="18"/>
        <v>0</v>
      </c>
      <c r="BJ28" s="308">
        <f t="shared" si="19"/>
        <v>0</v>
      </c>
      <c r="BK28" s="308">
        <f t="shared" si="20"/>
        <v>0</v>
      </c>
      <c r="BL28" s="308">
        <f t="shared" si="21"/>
        <v>0</v>
      </c>
      <c r="BM28" s="308">
        <f t="shared" si="22"/>
        <v>0</v>
      </c>
      <c r="BN28" s="308">
        <f t="shared" si="23"/>
        <v>0</v>
      </c>
      <c r="BO28" s="308">
        <f t="shared" si="24"/>
        <v>0</v>
      </c>
      <c r="BP28" s="308">
        <f t="shared" si="25"/>
        <v>0</v>
      </c>
      <c r="BQ28" s="259">
        <f t="shared" si="26"/>
        <v>1437.116716182453</v>
      </c>
    </row>
    <row r="29" spans="1:69">
      <c r="A29" s="199" t="str">
        <f>Prop2018DistTar!A29</f>
        <v>NDM</v>
      </c>
      <c r="B29" s="238" t="str">
        <f>Prop2018DistTar!B29</f>
        <v>Medium business Demand</v>
      </c>
      <c r="C29" s="289"/>
      <c r="D29" s="773">
        <v>0</v>
      </c>
      <c r="E29" s="771">
        <v>0</v>
      </c>
      <c r="F29" s="771">
        <v>1.21</v>
      </c>
      <c r="G29" s="771">
        <v>0</v>
      </c>
      <c r="H29" s="771">
        <v>0</v>
      </c>
      <c r="I29" s="771">
        <v>0.59</v>
      </c>
      <c r="J29" s="771">
        <v>0</v>
      </c>
      <c r="K29" s="771">
        <v>0</v>
      </c>
      <c r="L29" s="771">
        <v>0</v>
      </c>
      <c r="M29" s="771">
        <v>0</v>
      </c>
      <c r="N29" s="771">
        <v>0</v>
      </c>
      <c r="O29" s="771">
        <v>0.54</v>
      </c>
      <c r="P29" s="771">
        <v>0.27</v>
      </c>
      <c r="Q29" s="771">
        <v>0</v>
      </c>
      <c r="R29" s="771">
        <v>0</v>
      </c>
      <c r="S29" s="771">
        <v>0</v>
      </c>
      <c r="T29" s="771">
        <v>0</v>
      </c>
      <c r="U29" s="771">
        <v>0</v>
      </c>
      <c r="V29" s="771">
        <v>0</v>
      </c>
      <c r="W29" s="771">
        <v>0</v>
      </c>
      <c r="X29" s="772">
        <v>0</v>
      </c>
      <c r="Z29" s="281">
        <f>Prop2018DistTar!AV29</f>
        <v>7925.7018417699537</v>
      </c>
      <c r="AA29" s="255">
        <f>Prop2018DistTar!AW29</f>
        <v>0</v>
      </c>
      <c r="AB29" s="255">
        <f>Prop2018DistTar!AX29</f>
        <v>582897214.73159027</v>
      </c>
      <c r="AC29" s="255">
        <f>Prop2018DistTar!AY29</f>
        <v>0</v>
      </c>
      <c r="AD29" s="255">
        <f>Prop2018DistTar!AZ29</f>
        <v>0</v>
      </c>
      <c r="AE29" s="255">
        <f>Prop2018DistTar!BA29</f>
        <v>452515803.7680673</v>
      </c>
      <c r="AF29" s="255">
        <f>Prop2018DistTar!BB29</f>
        <v>0</v>
      </c>
      <c r="AG29" s="255">
        <f>Prop2018DistTar!BC29</f>
        <v>0</v>
      </c>
      <c r="AH29" s="255">
        <f>Prop2018DistTar!BD29</f>
        <v>0</v>
      </c>
      <c r="AI29" s="255">
        <f>Prop2018DistTar!BE29</f>
        <v>0</v>
      </c>
      <c r="AJ29" s="255">
        <f>Prop2018DistTar!BF29</f>
        <v>0</v>
      </c>
      <c r="AK29" s="255">
        <f>Prop2018DistTar!BG29</f>
        <v>1449178.436540826</v>
      </c>
      <c r="AL29" s="255">
        <f>Prop2018DistTar!BH29</f>
        <v>2541062.218924256</v>
      </c>
      <c r="AM29" s="255">
        <f>Prop2018DistTar!BI29</f>
        <v>0</v>
      </c>
      <c r="AN29" s="255">
        <f>Prop2018DistTar!BJ29</f>
        <v>0</v>
      </c>
      <c r="AO29" s="255">
        <f>Prop2018DistTar!BK29</f>
        <v>0</v>
      </c>
      <c r="AP29" s="255">
        <f>Prop2018DistTar!BL29</f>
        <v>0</v>
      </c>
      <c r="AQ29" s="255">
        <f>Prop2018DistTar!BM29</f>
        <v>0</v>
      </c>
      <c r="AR29" s="255">
        <f>Prop2018DistTar!BN29</f>
        <v>0</v>
      </c>
      <c r="AS29" s="255">
        <f>Prop2018DistTar!BO29</f>
        <v>0</v>
      </c>
      <c r="AT29" s="256">
        <f>Prop2018DistTar!BP29</f>
        <v>0</v>
      </c>
      <c r="AV29" s="306">
        <f t="shared" si="5"/>
        <v>0</v>
      </c>
      <c r="AW29" s="307">
        <f t="shared" si="6"/>
        <v>0</v>
      </c>
      <c r="AX29" s="307">
        <f t="shared" si="7"/>
        <v>7053056.2982522417</v>
      </c>
      <c r="AY29" s="307">
        <f t="shared" si="8"/>
        <v>0</v>
      </c>
      <c r="AZ29" s="307">
        <f t="shared" si="9"/>
        <v>0</v>
      </c>
      <c r="BA29" s="307">
        <f t="shared" si="10"/>
        <v>2669843.2422315972</v>
      </c>
      <c r="BB29" s="307">
        <f t="shared" si="11"/>
        <v>0</v>
      </c>
      <c r="BC29" s="307">
        <f t="shared" si="12"/>
        <v>0</v>
      </c>
      <c r="BD29" s="307">
        <f t="shared" si="13"/>
        <v>0</v>
      </c>
      <c r="BE29" s="307">
        <f t="shared" si="14"/>
        <v>0</v>
      </c>
      <c r="BF29" s="307">
        <f t="shared" si="15"/>
        <v>0</v>
      </c>
      <c r="BG29" s="307">
        <f t="shared" si="16"/>
        <v>782556.35573204607</v>
      </c>
      <c r="BH29" s="307">
        <f t="shared" si="17"/>
        <v>686086.79910954915</v>
      </c>
      <c r="BI29" s="308">
        <f t="shared" si="18"/>
        <v>0</v>
      </c>
      <c r="BJ29" s="308">
        <f t="shared" si="19"/>
        <v>0</v>
      </c>
      <c r="BK29" s="308">
        <f t="shared" si="20"/>
        <v>0</v>
      </c>
      <c r="BL29" s="308">
        <f t="shared" si="21"/>
        <v>0</v>
      </c>
      <c r="BM29" s="308">
        <f t="shared" si="22"/>
        <v>0</v>
      </c>
      <c r="BN29" s="308">
        <f t="shared" si="23"/>
        <v>0</v>
      </c>
      <c r="BO29" s="308">
        <f t="shared" si="24"/>
        <v>0</v>
      </c>
      <c r="BP29" s="308">
        <f t="shared" si="25"/>
        <v>0</v>
      </c>
      <c r="BQ29" s="259">
        <f t="shared" si="26"/>
        <v>11191542.695325434</v>
      </c>
    </row>
    <row r="30" spans="1:69">
      <c r="A30" s="199" t="str">
        <f>Prop2018DistTar!A30</f>
        <v>NDMO</v>
      </c>
      <c r="B30" s="238" t="str">
        <f>Prop2018DistTar!B30</f>
        <v>Medium business Opt-out</v>
      </c>
      <c r="C30" s="289"/>
      <c r="D30" s="773">
        <v>0</v>
      </c>
      <c r="E30" s="771">
        <v>0</v>
      </c>
      <c r="F30" s="771">
        <v>1.9</v>
      </c>
      <c r="G30" s="771">
        <v>0</v>
      </c>
      <c r="H30" s="771">
        <v>0</v>
      </c>
      <c r="I30" s="771">
        <v>0.62</v>
      </c>
      <c r="J30" s="771">
        <v>0</v>
      </c>
      <c r="K30" s="771">
        <v>0</v>
      </c>
      <c r="L30" s="771">
        <v>0</v>
      </c>
      <c r="M30" s="771">
        <v>0</v>
      </c>
      <c r="N30" s="771">
        <v>0</v>
      </c>
      <c r="O30" s="771">
        <v>0</v>
      </c>
      <c r="P30" s="771">
        <v>0</v>
      </c>
      <c r="Q30" s="771">
        <v>0</v>
      </c>
      <c r="R30" s="771">
        <v>0</v>
      </c>
      <c r="S30" s="771">
        <v>0</v>
      </c>
      <c r="T30" s="771">
        <v>0</v>
      </c>
      <c r="U30" s="771">
        <v>0</v>
      </c>
      <c r="V30" s="771">
        <v>0</v>
      </c>
      <c r="W30" s="771">
        <v>0</v>
      </c>
      <c r="X30" s="772">
        <v>0</v>
      </c>
      <c r="Z30" s="281">
        <f>Prop2018DistTar!AV30</f>
        <v>81</v>
      </c>
      <c r="AA30" s="255">
        <f>Prop2018DistTar!AW30</f>
        <v>0</v>
      </c>
      <c r="AB30" s="255">
        <f>Prop2018DistTar!AX30</f>
        <v>3137768.4964809464</v>
      </c>
      <c r="AC30" s="255">
        <f>Prop2018DistTar!AY30</f>
        <v>0</v>
      </c>
      <c r="AD30" s="255">
        <f>Prop2018DistTar!AZ30</f>
        <v>0</v>
      </c>
      <c r="AE30" s="255">
        <f>Prop2018DistTar!BA30</f>
        <v>3347230.554593876</v>
      </c>
      <c r="AF30" s="255">
        <f>Prop2018DistTar!BB30</f>
        <v>0</v>
      </c>
      <c r="AG30" s="255">
        <f>Prop2018DistTar!BC30</f>
        <v>0</v>
      </c>
      <c r="AH30" s="255">
        <f>Prop2018DistTar!BD30</f>
        <v>0</v>
      </c>
      <c r="AI30" s="255">
        <f>Prop2018DistTar!BE30</f>
        <v>0</v>
      </c>
      <c r="AJ30" s="255">
        <f>Prop2018DistTar!BF30</f>
        <v>0</v>
      </c>
      <c r="AK30" s="255">
        <f>Prop2018DistTar!BG30</f>
        <v>0</v>
      </c>
      <c r="AL30" s="255">
        <f>Prop2018DistTar!BH30</f>
        <v>0</v>
      </c>
      <c r="AM30" s="255">
        <f>Prop2018DistTar!BI30</f>
        <v>0</v>
      </c>
      <c r="AN30" s="255">
        <f>Prop2018DistTar!BJ30</f>
        <v>0</v>
      </c>
      <c r="AO30" s="255">
        <f>Prop2018DistTar!BK30</f>
        <v>0</v>
      </c>
      <c r="AP30" s="255">
        <f>Prop2018DistTar!BL30</f>
        <v>0</v>
      </c>
      <c r="AQ30" s="255">
        <f>Prop2018DistTar!BM30</f>
        <v>0</v>
      </c>
      <c r="AR30" s="255">
        <f>Prop2018DistTar!BN30</f>
        <v>0</v>
      </c>
      <c r="AS30" s="255">
        <f>Prop2018DistTar!BO30</f>
        <v>0</v>
      </c>
      <c r="AT30" s="256">
        <f>Prop2018DistTar!BP30</f>
        <v>0</v>
      </c>
      <c r="AV30" s="306">
        <f t="shared" si="5"/>
        <v>0</v>
      </c>
      <c r="AW30" s="307">
        <f t="shared" si="6"/>
        <v>0</v>
      </c>
      <c r="AX30" s="307">
        <f t="shared" si="7"/>
        <v>59617.601433137977</v>
      </c>
      <c r="AY30" s="307">
        <f t="shared" si="8"/>
        <v>0</v>
      </c>
      <c r="AZ30" s="307">
        <f t="shared" si="9"/>
        <v>0</v>
      </c>
      <c r="BA30" s="307">
        <f t="shared" si="10"/>
        <v>20752.829438482029</v>
      </c>
      <c r="BB30" s="307">
        <f t="shared" si="11"/>
        <v>0</v>
      </c>
      <c r="BC30" s="307">
        <f t="shared" si="12"/>
        <v>0</v>
      </c>
      <c r="BD30" s="307">
        <f t="shared" si="13"/>
        <v>0</v>
      </c>
      <c r="BE30" s="307">
        <f t="shared" si="14"/>
        <v>0</v>
      </c>
      <c r="BF30" s="307">
        <f t="shared" si="15"/>
        <v>0</v>
      </c>
      <c r="BG30" s="307">
        <f t="shared" si="16"/>
        <v>0</v>
      </c>
      <c r="BH30" s="307">
        <f t="shared" si="17"/>
        <v>0</v>
      </c>
      <c r="BI30" s="308">
        <f t="shared" si="18"/>
        <v>0</v>
      </c>
      <c r="BJ30" s="308">
        <f t="shared" si="19"/>
        <v>0</v>
      </c>
      <c r="BK30" s="308">
        <f t="shared" si="20"/>
        <v>0</v>
      </c>
      <c r="BL30" s="308">
        <f t="shared" si="21"/>
        <v>0</v>
      </c>
      <c r="BM30" s="308">
        <f t="shared" si="22"/>
        <v>0</v>
      </c>
      <c r="BN30" s="308">
        <f t="shared" si="23"/>
        <v>0</v>
      </c>
      <c r="BO30" s="308">
        <f t="shared" si="24"/>
        <v>0</v>
      </c>
      <c r="BP30" s="308">
        <f t="shared" si="25"/>
        <v>0</v>
      </c>
      <c r="BQ30" s="259">
        <f t="shared" si="26"/>
        <v>80370.430871620003</v>
      </c>
    </row>
    <row r="31" spans="1:69">
      <c r="A31" s="199" t="str">
        <f>Prop2018DistTar!A31</f>
        <v>PL2</v>
      </c>
      <c r="B31" s="238" t="str">
        <f>Prop2018DistTar!B31</f>
        <v>Public Lighting</v>
      </c>
      <c r="C31" s="289"/>
      <c r="D31" s="773">
        <v>0</v>
      </c>
      <c r="E31" s="771">
        <v>0</v>
      </c>
      <c r="F31" s="771">
        <v>2.5499999999999998</v>
      </c>
      <c r="G31" s="771">
        <v>0</v>
      </c>
      <c r="H31" s="771">
        <v>0</v>
      </c>
      <c r="I31" s="771">
        <v>0.73</v>
      </c>
      <c r="J31" s="771">
        <v>0</v>
      </c>
      <c r="K31" s="771">
        <v>0</v>
      </c>
      <c r="L31" s="771">
        <v>0</v>
      </c>
      <c r="M31" s="771">
        <v>0</v>
      </c>
      <c r="N31" s="771">
        <v>0</v>
      </c>
      <c r="O31" s="771">
        <v>0</v>
      </c>
      <c r="P31" s="771">
        <v>0</v>
      </c>
      <c r="Q31" s="771">
        <v>0</v>
      </c>
      <c r="R31" s="771">
        <v>0</v>
      </c>
      <c r="S31" s="771">
        <v>0</v>
      </c>
      <c r="T31" s="771">
        <v>0</v>
      </c>
      <c r="U31" s="771">
        <v>0</v>
      </c>
      <c r="V31" s="771">
        <v>0</v>
      </c>
      <c r="W31" s="771">
        <v>0</v>
      </c>
      <c r="X31" s="772">
        <v>0</v>
      </c>
      <c r="Z31" s="281">
        <f>Prop2018DistTar!AV31</f>
        <v>7344.7000000000007</v>
      </c>
      <c r="AA31" s="255">
        <f>Prop2018DistTar!AW31</f>
        <v>0</v>
      </c>
      <c r="AB31" s="255">
        <f>Prop2018DistTar!AX31</f>
        <v>27764943.806519702</v>
      </c>
      <c r="AC31" s="255">
        <f>Prop2018DistTar!AY31</f>
        <v>0</v>
      </c>
      <c r="AD31" s="255">
        <f>Prop2018DistTar!AZ31</f>
        <v>0</v>
      </c>
      <c r="AE31" s="255">
        <f>Prop2018DistTar!BA31</f>
        <v>68379507.256635308</v>
      </c>
      <c r="AF31" s="255">
        <f>Prop2018DistTar!BB31</f>
        <v>0</v>
      </c>
      <c r="AG31" s="255">
        <f>Prop2018DistTar!BC31</f>
        <v>0</v>
      </c>
      <c r="AH31" s="255">
        <f>Prop2018DistTar!BD31</f>
        <v>0</v>
      </c>
      <c r="AI31" s="255">
        <f>Prop2018DistTar!BE31</f>
        <v>0</v>
      </c>
      <c r="AJ31" s="255">
        <f>Prop2018DistTar!BF31</f>
        <v>0</v>
      </c>
      <c r="AK31" s="255">
        <f>Prop2018DistTar!BG31</f>
        <v>0</v>
      </c>
      <c r="AL31" s="255">
        <f>Prop2018DistTar!BH31</f>
        <v>0</v>
      </c>
      <c r="AM31" s="255">
        <f>Prop2018DistTar!BI31</f>
        <v>0</v>
      </c>
      <c r="AN31" s="255">
        <f>Prop2018DistTar!BJ31</f>
        <v>0</v>
      </c>
      <c r="AO31" s="255">
        <f>Prop2018DistTar!BK31</f>
        <v>0</v>
      </c>
      <c r="AP31" s="255">
        <f>Prop2018DistTar!BL31</f>
        <v>0</v>
      </c>
      <c r="AQ31" s="255">
        <f>Prop2018DistTar!BM31</f>
        <v>0</v>
      </c>
      <c r="AR31" s="255">
        <f>Prop2018DistTar!BN31</f>
        <v>0</v>
      </c>
      <c r="AS31" s="255">
        <f>Prop2018DistTar!BO31</f>
        <v>0</v>
      </c>
      <c r="AT31" s="256">
        <f>Prop2018DistTar!BP31</f>
        <v>0</v>
      </c>
      <c r="AV31" s="306">
        <f t="shared" si="5"/>
        <v>0</v>
      </c>
      <c r="AW31" s="307">
        <f t="shared" si="6"/>
        <v>0</v>
      </c>
      <c r="AX31" s="307">
        <f t="shared" si="7"/>
        <v>708006.06706625235</v>
      </c>
      <c r="AY31" s="307">
        <f t="shared" si="8"/>
        <v>0</v>
      </c>
      <c r="AZ31" s="307">
        <f t="shared" si="9"/>
        <v>0</v>
      </c>
      <c r="BA31" s="307">
        <f t="shared" si="10"/>
        <v>499170.40297343774</v>
      </c>
      <c r="BB31" s="307">
        <f t="shared" si="11"/>
        <v>0</v>
      </c>
      <c r="BC31" s="307">
        <f t="shared" si="12"/>
        <v>0</v>
      </c>
      <c r="BD31" s="307">
        <f t="shared" si="13"/>
        <v>0</v>
      </c>
      <c r="BE31" s="307">
        <f t="shared" si="14"/>
        <v>0</v>
      </c>
      <c r="BF31" s="307">
        <f t="shared" si="15"/>
        <v>0</v>
      </c>
      <c r="BG31" s="307">
        <f t="shared" si="16"/>
        <v>0</v>
      </c>
      <c r="BH31" s="307">
        <f t="shared" si="17"/>
        <v>0</v>
      </c>
      <c r="BI31" s="308">
        <f t="shared" si="18"/>
        <v>0</v>
      </c>
      <c r="BJ31" s="308">
        <f t="shared" si="19"/>
        <v>0</v>
      </c>
      <c r="BK31" s="308">
        <f t="shared" si="20"/>
        <v>0</v>
      </c>
      <c r="BL31" s="308">
        <f t="shared" si="21"/>
        <v>0</v>
      </c>
      <c r="BM31" s="308">
        <f t="shared" si="22"/>
        <v>0</v>
      </c>
      <c r="BN31" s="308">
        <f t="shared" si="23"/>
        <v>0</v>
      </c>
      <c r="BO31" s="308">
        <f t="shared" si="24"/>
        <v>0</v>
      </c>
      <c r="BP31" s="308">
        <f t="shared" si="25"/>
        <v>0</v>
      </c>
      <c r="BQ31" s="259">
        <f t="shared" si="26"/>
        <v>1207176.4700396901</v>
      </c>
    </row>
    <row r="32" spans="1:69">
      <c r="A32" s="199" t="str">
        <f>Prop2018DistTar!A32</f>
        <v>LLV</v>
      </c>
      <c r="B32" s="238" t="str">
        <f>Prop2018DistTar!B32</f>
        <v>Large low Voltage</v>
      </c>
      <c r="C32" s="289"/>
      <c r="D32" s="773">
        <v>0</v>
      </c>
      <c r="E32" s="771">
        <v>0</v>
      </c>
      <c r="F32" s="771">
        <v>0.83</v>
      </c>
      <c r="G32" s="771">
        <v>0</v>
      </c>
      <c r="H32" s="771">
        <v>0</v>
      </c>
      <c r="I32" s="771">
        <v>0.41</v>
      </c>
      <c r="J32" s="771">
        <v>0</v>
      </c>
      <c r="K32" s="771">
        <v>0</v>
      </c>
      <c r="L32" s="771">
        <v>0</v>
      </c>
      <c r="M32" s="771">
        <v>23.24</v>
      </c>
      <c r="N32" s="771">
        <v>0</v>
      </c>
      <c r="O32" s="771">
        <v>0</v>
      </c>
      <c r="P32" s="771">
        <v>0</v>
      </c>
      <c r="Q32" s="771">
        <v>0</v>
      </c>
      <c r="R32" s="771">
        <v>0</v>
      </c>
      <c r="S32" s="771">
        <v>0</v>
      </c>
      <c r="T32" s="771">
        <v>0</v>
      </c>
      <c r="U32" s="771">
        <v>0</v>
      </c>
      <c r="V32" s="771">
        <v>0</v>
      </c>
      <c r="W32" s="771">
        <v>0</v>
      </c>
      <c r="X32" s="772">
        <v>0</v>
      </c>
      <c r="Z32" s="281">
        <f>Prop2018DistTar!AV32</f>
        <v>2749.2308243888324</v>
      </c>
      <c r="AA32" s="255">
        <f>Prop2018DistTar!AW32</f>
        <v>0</v>
      </c>
      <c r="AB32" s="255">
        <f>Prop2018DistTar!AX32</f>
        <v>1363564037.0325396</v>
      </c>
      <c r="AC32" s="255">
        <f>Prop2018DistTar!AY32</f>
        <v>0</v>
      </c>
      <c r="AD32" s="255">
        <f>Prop2018DistTar!AZ32</f>
        <v>0</v>
      </c>
      <c r="AE32" s="255">
        <f>Prop2018DistTar!BA32</f>
        <v>1037238631.3345442</v>
      </c>
      <c r="AF32" s="255">
        <f>Prop2018DistTar!BB32</f>
        <v>0</v>
      </c>
      <c r="AG32" s="255">
        <f>Prop2018DistTar!BC32</f>
        <v>0</v>
      </c>
      <c r="AH32" s="255">
        <f>Prop2018DistTar!BD32</f>
        <v>0</v>
      </c>
      <c r="AI32" s="255">
        <f>Prop2018DistTar!BE32</f>
        <v>840288.6815456989</v>
      </c>
      <c r="AJ32" s="255">
        <f>Prop2018DistTar!BF32</f>
        <v>0</v>
      </c>
      <c r="AK32" s="255">
        <f>Prop2018DistTar!BG32</f>
        <v>0</v>
      </c>
      <c r="AL32" s="255">
        <f>Prop2018DistTar!BH32</f>
        <v>0</v>
      </c>
      <c r="AM32" s="255">
        <f>Prop2018DistTar!BI32</f>
        <v>0</v>
      </c>
      <c r="AN32" s="255">
        <f>Prop2018DistTar!BJ32</f>
        <v>0</v>
      </c>
      <c r="AO32" s="255">
        <f>Prop2018DistTar!BK32</f>
        <v>0</v>
      </c>
      <c r="AP32" s="255">
        <f>Prop2018DistTar!BL32</f>
        <v>0</v>
      </c>
      <c r="AQ32" s="255">
        <f>Prop2018DistTar!BM32</f>
        <v>0</v>
      </c>
      <c r="AR32" s="255">
        <f>Prop2018DistTar!BN32</f>
        <v>0</v>
      </c>
      <c r="AS32" s="255">
        <f>Prop2018DistTar!BO32</f>
        <v>0</v>
      </c>
      <c r="AT32" s="256">
        <f>Prop2018DistTar!BP32</f>
        <v>0</v>
      </c>
      <c r="AV32" s="306">
        <f t="shared" si="5"/>
        <v>0</v>
      </c>
      <c r="AW32" s="307">
        <f t="shared" si="6"/>
        <v>0</v>
      </c>
      <c r="AX32" s="307">
        <f t="shared" si="7"/>
        <v>11317581.507370079</v>
      </c>
      <c r="AY32" s="307">
        <f t="shared" si="8"/>
        <v>0</v>
      </c>
      <c r="AZ32" s="307">
        <f t="shared" si="9"/>
        <v>0</v>
      </c>
      <c r="BA32" s="307">
        <f t="shared" si="10"/>
        <v>4252678.3884716304</v>
      </c>
      <c r="BB32" s="307">
        <f t="shared" si="11"/>
        <v>0</v>
      </c>
      <c r="BC32" s="307">
        <f t="shared" si="12"/>
        <v>0</v>
      </c>
      <c r="BD32" s="307">
        <f t="shared" si="13"/>
        <v>0</v>
      </c>
      <c r="BE32" s="307">
        <f t="shared" si="14"/>
        <v>19528308.959122039</v>
      </c>
      <c r="BF32" s="307">
        <f t="shared" si="15"/>
        <v>0</v>
      </c>
      <c r="BG32" s="307">
        <f t="shared" si="16"/>
        <v>0</v>
      </c>
      <c r="BH32" s="307">
        <f t="shared" si="17"/>
        <v>0</v>
      </c>
      <c r="BI32" s="308">
        <f t="shared" si="18"/>
        <v>0</v>
      </c>
      <c r="BJ32" s="308">
        <f t="shared" si="19"/>
        <v>0</v>
      </c>
      <c r="BK32" s="308">
        <f t="shared" si="20"/>
        <v>0</v>
      </c>
      <c r="BL32" s="308">
        <f t="shared" si="21"/>
        <v>0</v>
      </c>
      <c r="BM32" s="308">
        <f t="shared" si="22"/>
        <v>0</v>
      </c>
      <c r="BN32" s="308">
        <f t="shared" si="23"/>
        <v>0</v>
      </c>
      <c r="BO32" s="308">
        <f t="shared" si="24"/>
        <v>0</v>
      </c>
      <c r="BP32" s="308">
        <f t="shared" si="25"/>
        <v>0</v>
      </c>
      <c r="BQ32" s="259">
        <f t="shared" si="26"/>
        <v>35098568.85496375</v>
      </c>
    </row>
    <row r="33" spans="1:69">
      <c r="A33" s="199" t="str">
        <f>Prop2018DistTar!A33</f>
        <v>HV</v>
      </c>
      <c r="B33" s="238" t="str">
        <f>Prop2018DistTar!B33</f>
        <v>High Voltage</v>
      </c>
      <c r="C33" s="289"/>
      <c r="D33" s="773">
        <v>0</v>
      </c>
      <c r="E33" s="771">
        <v>0</v>
      </c>
      <c r="F33" s="771">
        <v>0.98</v>
      </c>
      <c r="G33" s="771">
        <v>0</v>
      </c>
      <c r="H33" s="771">
        <v>0</v>
      </c>
      <c r="I33" s="771">
        <v>0.37</v>
      </c>
      <c r="J33" s="771">
        <v>0</v>
      </c>
      <c r="K33" s="771">
        <v>0</v>
      </c>
      <c r="L33" s="771">
        <v>0</v>
      </c>
      <c r="M33" s="771">
        <v>35.29</v>
      </c>
      <c r="N33" s="771">
        <v>0</v>
      </c>
      <c r="O33" s="771">
        <v>0</v>
      </c>
      <c r="P33" s="771">
        <v>0</v>
      </c>
      <c r="Q33" s="771">
        <v>0</v>
      </c>
      <c r="R33" s="771">
        <v>0</v>
      </c>
      <c r="S33" s="771">
        <v>0</v>
      </c>
      <c r="T33" s="771">
        <v>0</v>
      </c>
      <c r="U33" s="771">
        <v>0</v>
      </c>
      <c r="V33" s="771">
        <v>0</v>
      </c>
      <c r="W33" s="771">
        <v>0</v>
      </c>
      <c r="X33" s="772">
        <v>0</v>
      </c>
      <c r="Z33" s="281">
        <f>Prop2018DistTar!AV33</f>
        <v>173</v>
      </c>
      <c r="AA33" s="255">
        <f>Prop2018DistTar!AW33</f>
        <v>0</v>
      </c>
      <c r="AB33" s="255">
        <f>Prop2018DistTar!AX33</f>
        <v>761179064.62163103</v>
      </c>
      <c r="AC33" s="255">
        <f>Prop2018DistTar!AY33</f>
        <v>0</v>
      </c>
      <c r="AD33" s="255">
        <f>Prop2018DistTar!AZ33</f>
        <v>0</v>
      </c>
      <c r="AE33" s="255">
        <f>Prop2018DistTar!BA33</f>
        <v>676982871.92553103</v>
      </c>
      <c r="AF33" s="255">
        <f>Prop2018DistTar!BB33</f>
        <v>0</v>
      </c>
      <c r="AG33" s="255">
        <f>Prop2018DistTar!BC33</f>
        <v>0</v>
      </c>
      <c r="AH33" s="255">
        <f>Prop2018DistTar!BD33</f>
        <v>0</v>
      </c>
      <c r="AI33" s="255">
        <f>Prop2018DistTar!BE33</f>
        <v>394844.72541610571</v>
      </c>
      <c r="AJ33" s="255">
        <f>Prop2018DistTar!BF33</f>
        <v>0</v>
      </c>
      <c r="AK33" s="255">
        <f>Prop2018DistTar!BG33</f>
        <v>0</v>
      </c>
      <c r="AL33" s="255">
        <f>Prop2018DistTar!BH33</f>
        <v>0</v>
      </c>
      <c r="AM33" s="255">
        <f>Prop2018DistTar!BI33</f>
        <v>0</v>
      </c>
      <c r="AN33" s="255">
        <f>Prop2018DistTar!BJ33</f>
        <v>0</v>
      </c>
      <c r="AO33" s="255">
        <f>Prop2018DistTar!BK33</f>
        <v>0</v>
      </c>
      <c r="AP33" s="255">
        <f>Prop2018DistTar!BL33</f>
        <v>0</v>
      </c>
      <c r="AQ33" s="255">
        <f>Prop2018DistTar!BM33</f>
        <v>0</v>
      </c>
      <c r="AR33" s="255">
        <f>Prop2018DistTar!BN33</f>
        <v>0</v>
      </c>
      <c r="AS33" s="255">
        <f>Prop2018DistTar!BO33</f>
        <v>0</v>
      </c>
      <c r="AT33" s="256">
        <f>Prop2018DistTar!BP33</f>
        <v>0</v>
      </c>
      <c r="AV33" s="306">
        <f t="shared" si="5"/>
        <v>0</v>
      </c>
      <c r="AW33" s="307">
        <f t="shared" si="6"/>
        <v>0</v>
      </c>
      <c r="AX33" s="307">
        <f t="shared" si="7"/>
        <v>7459554.8332919842</v>
      </c>
      <c r="AY33" s="307">
        <f t="shared" si="8"/>
        <v>0</v>
      </c>
      <c r="AZ33" s="307">
        <f t="shared" si="9"/>
        <v>0</v>
      </c>
      <c r="BA33" s="307">
        <f t="shared" si="10"/>
        <v>2504836.6261244649</v>
      </c>
      <c r="BB33" s="307">
        <f t="shared" si="11"/>
        <v>0</v>
      </c>
      <c r="BC33" s="307">
        <f t="shared" si="12"/>
        <v>0</v>
      </c>
      <c r="BD33" s="307">
        <f t="shared" si="13"/>
        <v>0</v>
      </c>
      <c r="BE33" s="307">
        <f t="shared" si="14"/>
        <v>13934070.359934371</v>
      </c>
      <c r="BF33" s="307">
        <f t="shared" si="15"/>
        <v>0</v>
      </c>
      <c r="BG33" s="307">
        <f t="shared" si="16"/>
        <v>0</v>
      </c>
      <c r="BH33" s="307">
        <f t="shared" si="17"/>
        <v>0</v>
      </c>
      <c r="BI33" s="308">
        <f t="shared" si="18"/>
        <v>0</v>
      </c>
      <c r="BJ33" s="308">
        <f t="shared" si="19"/>
        <v>0</v>
      </c>
      <c r="BK33" s="308">
        <f t="shared" si="20"/>
        <v>0</v>
      </c>
      <c r="BL33" s="308">
        <f t="shared" si="21"/>
        <v>0</v>
      </c>
      <c r="BM33" s="308">
        <f t="shared" si="22"/>
        <v>0</v>
      </c>
      <c r="BN33" s="308">
        <f t="shared" si="23"/>
        <v>0</v>
      </c>
      <c r="BO33" s="308">
        <f t="shared" si="24"/>
        <v>0</v>
      </c>
      <c r="BP33" s="308">
        <f t="shared" si="25"/>
        <v>0</v>
      </c>
      <c r="BQ33" s="259">
        <f t="shared" si="26"/>
        <v>23898461.81935082</v>
      </c>
    </row>
    <row r="34" spans="1:69">
      <c r="A34" s="199" t="str">
        <f>Prop2018DistTar!A34</f>
        <v>HVD</v>
      </c>
      <c r="B34" s="238" t="str">
        <f>Prop2018DistTar!B34</f>
        <v>High Voltage Docklands</v>
      </c>
      <c r="C34" s="289"/>
      <c r="D34" s="773">
        <v>0</v>
      </c>
      <c r="E34" s="771">
        <v>0</v>
      </c>
      <c r="F34" s="771">
        <v>0.78</v>
      </c>
      <c r="G34" s="771">
        <v>0</v>
      </c>
      <c r="H34" s="771">
        <v>0</v>
      </c>
      <c r="I34" s="771">
        <v>0.31</v>
      </c>
      <c r="J34" s="771">
        <v>0</v>
      </c>
      <c r="K34" s="771">
        <v>0</v>
      </c>
      <c r="L34" s="771">
        <v>0</v>
      </c>
      <c r="M34" s="771">
        <v>28.84</v>
      </c>
      <c r="N34" s="771">
        <v>0</v>
      </c>
      <c r="O34" s="771">
        <v>0</v>
      </c>
      <c r="P34" s="771">
        <v>0</v>
      </c>
      <c r="Q34" s="771">
        <v>0</v>
      </c>
      <c r="R34" s="771">
        <v>0</v>
      </c>
      <c r="S34" s="771">
        <v>0</v>
      </c>
      <c r="T34" s="771">
        <v>0</v>
      </c>
      <c r="U34" s="771">
        <v>0</v>
      </c>
      <c r="V34" s="771">
        <v>0</v>
      </c>
      <c r="W34" s="771">
        <v>0</v>
      </c>
      <c r="X34" s="772">
        <v>0</v>
      </c>
      <c r="Z34" s="281">
        <f>Prop2018DistTar!AV34</f>
        <v>9</v>
      </c>
      <c r="AA34" s="255">
        <f>Prop2018DistTar!AW34</f>
        <v>0</v>
      </c>
      <c r="AB34" s="255">
        <f>Prop2018DistTar!AX34</f>
        <v>142211194.67899999</v>
      </c>
      <c r="AC34" s="255">
        <f>Prop2018DistTar!AY34</f>
        <v>0</v>
      </c>
      <c r="AD34" s="255">
        <f>Prop2018DistTar!AZ34</f>
        <v>0</v>
      </c>
      <c r="AE34" s="255">
        <f>Prop2018DistTar!BA34</f>
        <v>148646852.37099999</v>
      </c>
      <c r="AF34" s="255">
        <f>Prop2018DistTar!BB34</f>
        <v>0</v>
      </c>
      <c r="AG34" s="255">
        <f>Prop2018DistTar!BC34</f>
        <v>0</v>
      </c>
      <c r="AH34" s="255">
        <f>Prop2018DistTar!BD34</f>
        <v>0</v>
      </c>
      <c r="AI34" s="255">
        <f>Prop2018DistTar!BE34</f>
        <v>58586.290333333331</v>
      </c>
      <c r="AJ34" s="255">
        <f>Prop2018DistTar!BF34</f>
        <v>0</v>
      </c>
      <c r="AK34" s="255">
        <f>Prop2018DistTar!BG34</f>
        <v>0</v>
      </c>
      <c r="AL34" s="255">
        <f>Prop2018DistTar!BH34</f>
        <v>0</v>
      </c>
      <c r="AM34" s="255">
        <f>Prop2018DistTar!BI34</f>
        <v>0</v>
      </c>
      <c r="AN34" s="255">
        <f>Prop2018DistTar!BJ34</f>
        <v>0</v>
      </c>
      <c r="AO34" s="255">
        <f>Prop2018DistTar!BK34</f>
        <v>0</v>
      </c>
      <c r="AP34" s="255">
        <f>Prop2018DistTar!BL34</f>
        <v>0</v>
      </c>
      <c r="AQ34" s="255">
        <f>Prop2018DistTar!BM34</f>
        <v>0</v>
      </c>
      <c r="AR34" s="255">
        <f>Prop2018DistTar!BN34</f>
        <v>0</v>
      </c>
      <c r="AS34" s="255">
        <f>Prop2018DistTar!BO34</f>
        <v>0</v>
      </c>
      <c r="AT34" s="256">
        <f>Prop2018DistTar!BP34</f>
        <v>0</v>
      </c>
      <c r="AV34" s="306">
        <f t="shared" si="5"/>
        <v>0</v>
      </c>
      <c r="AW34" s="307">
        <f t="shared" si="6"/>
        <v>0</v>
      </c>
      <c r="AX34" s="307">
        <f t="shared" si="7"/>
        <v>1109247.3184962</v>
      </c>
      <c r="AY34" s="307">
        <f t="shared" si="8"/>
        <v>0</v>
      </c>
      <c r="AZ34" s="307">
        <f t="shared" si="9"/>
        <v>0</v>
      </c>
      <c r="BA34" s="307">
        <f t="shared" si="10"/>
        <v>460805.24235009996</v>
      </c>
      <c r="BB34" s="307">
        <f t="shared" si="11"/>
        <v>0</v>
      </c>
      <c r="BC34" s="307">
        <f t="shared" si="12"/>
        <v>0</v>
      </c>
      <c r="BD34" s="307">
        <f t="shared" si="13"/>
        <v>0</v>
      </c>
      <c r="BE34" s="307">
        <f t="shared" si="14"/>
        <v>1689628.6132133333</v>
      </c>
      <c r="BF34" s="307">
        <f t="shared" si="15"/>
        <v>0</v>
      </c>
      <c r="BG34" s="307">
        <f t="shared" si="16"/>
        <v>0</v>
      </c>
      <c r="BH34" s="307">
        <f t="shared" si="17"/>
        <v>0</v>
      </c>
      <c r="BI34" s="308">
        <f t="shared" si="18"/>
        <v>0</v>
      </c>
      <c r="BJ34" s="308">
        <f t="shared" si="19"/>
        <v>0</v>
      </c>
      <c r="BK34" s="308">
        <f t="shared" si="20"/>
        <v>0</v>
      </c>
      <c r="BL34" s="308">
        <f t="shared" si="21"/>
        <v>0</v>
      </c>
      <c r="BM34" s="308">
        <f t="shared" si="22"/>
        <v>0</v>
      </c>
      <c r="BN34" s="308">
        <f t="shared" si="23"/>
        <v>0</v>
      </c>
      <c r="BO34" s="308">
        <f t="shared" si="24"/>
        <v>0</v>
      </c>
      <c r="BP34" s="308">
        <f t="shared" si="25"/>
        <v>0</v>
      </c>
      <c r="BQ34" s="259">
        <f t="shared" si="26"/>
        <v>3259681.1740596332</v>
      </c>
    </row>
    <row r="35" spans="1:69">
      <c r="A35" s="199" t="str">
        <f>Prop2018DistTar!A35</f>
        <v>ST</v>
      </c>
      <c r="B35" s="238" t="str">
        <f>Prop2018DistTar!B35</f>
        <v>Subtransmission</v>
      </c>
      <c r="C35" s="289"/>
      <c r="D35" s="773">
        <v>0</v>
      </c>
      <c r="E35" s="771">
        <v>0</v>
      </c>
      <c r="F35" s="771">
        <v>2.09</v>
      </c>
      <c r="G35" s="771">
        <v>0</v>
      </c>
      <c r="H35" s="771">
        <v>0</v>
      </c>
      <c r="I35" s="771">
        <v>0.64</v>
      </c>
      <c r="J35" s="771">
        <v>0</v>
      </c>
      <c r="K35" s="771">
        <v>0</v>
      </c>
      <c r="L35" s="771">
        <v>0</v>
      </c>
      <c r="M35" s="771">
        <v>19.55</v>
      </c>
      <c r="N35" s="771">
        <v>0</v>
      </c>
      <c r="O35" s="771">
        <v>0</v>
      </c>
      <c r="P35" s="771">
        <v>0</v>
      </c>
      <c r="Q35" s="771">
        <v>0</v>
      </c>
      <c r="R35" s="771">
        <v>0</v>
      </c>
      <c r="S35" s="771">
        <v>0</v>
      </c>
      <c r="T35" s="771">
        <v>0</v>
      </c>
      <c r="U35" s="771">
        <v>0</v>
      </c>
      <c r="V35" s="771">
        <v>0</v>
      </c>
      <c r="W35" s="771">
        <v>0</v>
      </c>
      <c r="X35" s="772">
        <v>0</v>
      </c>
      <c r="Z35" s="281">
        <f>Prop2018DistTar!AV35</f>
        <v>11</v>
      </c>
      <c r="AA35" s="255">
        <f>Prop2018DistTar!AW35</f>
        <v>0</v>
      </c>
      <c r="AB35" s="255">
        <f>Prop2018DistTar!AX35</f>
        <v>530995472.648</v>
      </c>
      <c r="AC35" s="255">
        <f>Prop2018DistTar!AY35</f>
        <v>0</v>
      </c>
      <c r="AD35" s="255">
        <f>Prop2018DistTar!AZ35</f>
        <v>0</v>
      </c>
      <c r="AE35" s="255">
        <f>Prop2018DistTar!BA35</f>
        <v>460236066.01800001</v>
      </c>
      <c r="AF35" s="255">
        <f>Prop2018DistTar!BB35</f>
        <v>0</v>
      </c>
      <c r="AG35" s="255">
        <f>Prop2018DistTar!BC35</f>
        <v>0</v>
      </c>
      <c r="AH35" s="255">
        <f>Prop2018DistTar!BD35</f>
        <v>0</v>
      </c>
      <c r="AI35" s="255">
        <f>Prop2018DistTar!BE35</f>
        <v>267192.94533333339</v>
      </c>
      <c r="AJ35" s="255">
        <f>Prop2018DistTar!BF35</f>
        <v>0</v>
      </c>
      <c r="AK35" s="255">
        <f>Prop2018DistTar!BG35</f>
        <v>0</v>
      </c>
      <c r="AL35" s="255">
        <f>Prop2018DistTar!BH35</f>
        <v>0</v>
      </c>
      <c r="AM35" s="255">
        <f>Prop2018DistTar!BI35</f>
        <v>0</v>
      </c>
      <c r="AN35" s="255">
        <f>Prop2018DistTar!BJ35</f>
        <v>0</v>
      </c>
      <c r="AO35" s="255">
        <f>Prop2018DistTar!BK35</f>
        <v>0</v>
      </c>
      <c r="AP35" s="255">
        <f>Prop2018DistTar!BL35</f>
        <v>0</v>
      </c>
      <c r="AQ35" s="255">
        <f>Prop2018DistTar!BM35</f>
        <v>0</v>
      </c>
      <c r="AR35" s="255">
        <f>Prop2018DistTar!BN35</f>
        <v>0</v>
      </c>
      <c r="AS35" s="255">
        <f>Prop2018DistTar!BO35</f>
        <v>0</v>
      </c>
      <c r="AT35" s="256">
        <f>Prop2018DistTar!BP35</f>
        <v>0</v>
      </c>
      <c r="AV35" s="306">
        <f t="shared" si="5"/>
        <v>0</v>
      </c>
      <c r="AW35" s="307">
        <f t="shared" si="6"/>
        <v>0</v>
      </c>
      <c r="AX35" s="307">
        <f t="shared" si="7"/>
        <v>11097805.378343198</v>
      </c>
      <c r="AY35" s="307">
        <f t="shared" si="8"/>
        <v>0</v>
      </c>
      <c r="AZ35" s="307">
        <f t="shared" si="9"/>
        <v>0</v>
      </c>
      <c r="BA35" s="307">
        <f t="shared" si="10"/>
        <v>2945510.8225152004</v>
      </c>
      <c r="BB35" s="307">
        <f t="shared" si="11"/>
        <v>0</v>
      </c>
      <c r="BC35" s="307">
        <f t="shared" si="12"/>
        <v>0</v>
      </c>
      <c r="BD35" s="307">
        <f t="shared" si="13"/>
        <v>0</v>
      </c>
      <c r="BE35" s="307">
        <f t="shared" si="14"/>
        <v>5223622.0812666677</v>
      </c>
      <c r="BF35" s="307">
        <f t="shared" si="15"/>
        <v>0</v>
      </c>
      <c r="BG35" s="307">
        <f t="shared" si="16"/>
        <v>0</v>
      </c>
      <c r="BH35" s="307">
        <f t="shared" si="17"/>
        <v>0</v>
      </c>
      <c r="BI35" s="308">
        <f t="shared" si="18"/>
        <v>0</v>
      </c>
      <c r="BJ35" s="308">
        <f t="shared" si="19"/>
        <v>0</v>
      </c>
      <c r="BK35" s="308">
        <f t="shared" si="20"/>
        <v>0</v>
      </c>
      <c r="BL35" s="308">
        <f t="shared" si="21"/>
        <v>0</v>
      </c>
      <c r="BM35" s="308">
        <f t="shared" si="22"/>
        <v>0</v>
      </c>
      <c r="BN35" s="308">
        <f t="shared" si="23"/>
        <v>0</v>
      </c>
      <c r="BO35" s="308">
        <f t="shared" si="24"/>
        <v>0</v>
      </c>
      <c r="BP35" s="308">
        <f t="shared" si="25"/>
        <v>0</v>
      </c>
      <c r="BQ35" s="259">
        <f t="shared" si="26"/>
        <v>19266938.282125067</v>
      </c>
    </row>
    <row r="36" spans="1:69">
      <c r="B36" s="238"/>
      <c r="C36" s="289"/>
      <c r="D36" s="773"/>
      <c r="E36" s="771"/>
      <c r="F36" s="771"/>
      <c r="G36" s="771"/>
      <c r="H36" s="771"/>
      <c r="I36" s="771"/>
      <c r="J36" s="771"/>
      <c r="K36" s="771"/>
      <c r="L36" s="771"/>
      <c r="M36" s="771"/>
      <c r="N36" s="771"/>
      <c r="O36" s="771"/>
      <c r="P36" s="771"/>
      <c r="Q36" s="771"/>
      <c r="R36" s="771"/>
      <c r="S36" s="771"/>
      <c r="T36" s="771"/>
      <c r="U36" s="771"/>
      <c r="V36" s="771"/>
      <c r="W36" s="771"/>
      <c r="X36" s="772"/>
      <c r="Z36" s="281"/>
      <c r="AA36" s="255"/>
      <c r="AB36" s="255"/>
      <c r="AC36" s="255"/>
      <c r="AD36" s="255"/>
      <c r="AE36" s="255"/>
      <c r="AF36" s="255"/>
      <c r="AG36" s="255"/>
      <c r="AH36" s="255"/>
      <c r="AI36" s="255"/>
      <c r="AJ36" s="255"/>
      <c r="AK36" s="255"/>
      <c r="AL36" s="255"/>
      <c r="AM36" s="255"/>
      <c r="AN36" s="255"/>
      <c r="AO36" s="255"/>
      <c r="AP36" s="255"/>
      <c r="AQ36" s="255"/>
      <c r="AR36" s="255"/>
      <c r="AS36" s="255"/>
      <c r="AT36" s="256"/>
      <c r="AV36" s="306"/>
      <c r="AW36" s="307"/>
      <c r="AX36" s="307"/>
      <c r="AY36" s="307"/>
      <c r="AZ36" s="307"/>
      <c r="BA36" s="307"/>
      <c r="BB36" s="307"/>
      <c r="BC36" s="307"/>
      <c r="BD36" s="307"/>
      <c r="BE36" s="307"/>
      <c r="BF36" s="307"/>
      <c r="BG36" s="307"/>
      <c r="BH36" s="307"/>
      <c r="BI36" s="308"/>
      <c r="BJ36" s="308"/>
      <c r="BK36" s="308"/>
      <c r="BL36" s="308"/>
      <c r="BM36" s="308"/>
      <c r="BN36" s="308"/>
      <c r="BO36" s="308"/>
      <c r="BP36" s="308"/>
      <c r="BQ36" s="259"/>
    </row>
    <row r="37" spans="1:69">
      <c r="B37" s="238"/>
      <c r="C37" s="289"/>
      <c r="D37" s="673"/>
      <c r="E37" s="652"/>
      <c r="F37" s="652"/>
      <c r="G37" s="652"/>
      <c r="H37" s="652"/>
      <c r="I37" s="652"/>
      <c r="J37" s="652"/>
      <c r="K37" s="652"/>
      <c r="L37" s="652"/>
      <c r="M37" s="652"/>
      <c r="N37" s="652"/>
      <c r="O37" s="652"/>
      <c r="P37" s="652"/>
      <c r="Q37" s="652"/>
      <c r="R37" s="652"/>
      <c r="S37" s="652"/>
      <c r="T37" s="652"/>
      <c r="U37" s="652"/>
      <c r="V37" s="652"/>
      <c r="W37" s="652"/>
      <c r="X37" s="653"/>
      <c r="Z37" s="281"/>
      <c r="AA37" s="255"/>
      <c r="AB37" s="255"/>
      <c r="AC37" s="255"/>
      <c r="AD37" s="255"/>
      <c r="AE37" s="255"/>
      <c r="AF37" s="255"/>
      <c r="AG37" s="255"/>
      <c r="AH37" s="255"/>
      <c r="AI37" s="255"/>
      <c r="AJ37" s="255"/>
      <c r="AK37" s="255"/>
      <c r="AL37" s="255"/>
      <c r="AM37" s="255"/>
      <c r="AN37" s="255"/>
      <c r="AO37" s="255"/>
      <c r="AP37" s="255"/>
      <c r="AQ37" s="255"/>
      <c r="AR37" s="255"/>
      <c r="AS37" s="255"/>
      <c r="AT37" s="256"/>
      <c r="AV37" s="306"/>
      <c r="AW37" s="307"/>
      <c r="AX37" s="307"/>
      <c r="AY37" s="307"/>
      <c r="AZ37" s="307"/>
      <c r="BA37" s="307"/>
      <c r="BB37" s="307"/>
      <c r="BC37" s="307"/>
      <c r="BD37" s="307"/>
      <c r="BE37" s="307"/>
      <c r="BF37" s="307"/>
      <c r="BG37" s="307"/>
      <c r="BH37" s="307"/>
      <c r="BI37" s="308"/>
      <c r="BJ37" s="308"/>
      <c r="BK37" s="308"/>
      <c r="BL37" s="308"/>
      <c r="BM37" s="308"/>
      <c r="BN37" s="308"/>
      <c r="BO37" s="308"/>
      <c r="BP37" s="308"/>
      <c r="BQ37" s="259"/>
    </row>
    <row r="38" spans="1:69">
      <c r="B38" s="238"/>
      <c r="C38" s="289"/>
      <c r="D38" s="673"/>
      <c r="E38" s="652"/>
      <c r="F38" s="652"/>
      <c r="G38" s="652"/>
      <c r="H38" s="652"/>
      <c r="I38" s="652"/>
      <c r="J38" s="652"/>
      <c r="K38" s="652"/>
      <c r="L38" s="652"/>
      <c r="M38" s="652"/>
      <c r="N38" s="652"/>
      <c r="O38" s="652"/>
      <c r="P38" s="652"/>
      <c r="Q38" s="652"/>
      <c r="R38" s="652"/>
      <c r="S38" s="652"/>
      <c r="T38" s="652"/>
      <c r="U38" s="652"/>
      <c r="V38" s="652"/>
      <c r="W38" s="652"/>
      <c r="X38" s="653"/>
      <c r="Z38" s="281"/>
      <c r="AA38" s="255"/>
      <c r="AB38" s="255"/>
      <c r="AC38" s="255"/>
      <c r="AD38" s="255"/>
      <c r="AE38" s="255"/>
      <c r="AF38" s="255"/>
      <c r="AG38" s="255"/>
      <c r="AH38" s="255"/>
      <c r="AI38" s="255"/>
      <c r="AJ38" s="255"/>
      <c r="AK38" s="255"/>
      <c r="AL38" s="255"/>
      <c r="AM38" s="255"/>
      <c r="AN38" s="255"/>
      <c r="AO38" s="255"/>
      <c r="AP38" s="255"/>
      <c r="AQ38" s="255"/>
      <c r="AR38" s="255"/>
      <c r="AS38" s="255"/>
      <c r="AT38" s="256"/>
      <c r="AV38" s="306"/>
      <c r="AW38" s="307"/>
      <c r="AX38" s="307"/>
      <c r="AY38" s="307"/>
      <c r="AZ38" s="307"/>
      <c r="BA38" s="307"/>
      <c r="BB38" s="307"/>
      <c r="BC38" s="307"/>
      <c r="BD38" s="307"/>
      <c r="BE38" s="307"/>
      <c r="BF38" s="307"/>
      <c r="BG38" s="307"/>
      <c r="BH38" s="307"/>
      <c r="BI38" s="308"/>
      <c r="BJ38" s="308"/>
      <c r="BK38" s="308"/>
      <c r="BL38" s="308"/>
      <c r="BM38" s="308"/>
      <c r="BN38" s="308"/>
      <c r="BO38" s="308"/>
      <c r="BP38" s="308"/>
      <c r="BQ38" s="259"/>
    </row>
    <row r="39" spans="1:69">
      <c r="B39" s="238"/>
      <c r="C39" s="289"/>
      <c r="D39" s="673"/>
      <c r="E39" s="652"/>
      <c r="F39" s="652"/>
      <c r="G39" s="652"/>
      <c r="H39" s="652"/>
      <c r="I39" s="652"/>
      <c r="J39" s="652"/>
      <c r="K39" s="652"/>
      <c r="L39" s="652"/>
      <c r="M39" s="652"/>
      <c r="N39" s="652"/>
      <c r="O39" s="652"/>
      <c r="P39" s="652"/>
      <c r="Q39" s="652"/>
      <c r="R39" s="652"/>
      <c r="S39" s="652"/>
      <c r="T39" s="652"/>
      <c r="U39" s="652"/>
      <c r="V39" s="652"/>
      <c r="W39" s="652"/>
      <c r="X39" s="653"/>
      <c r="Z39" s="281"/>
      <c r="AA39" s="255"/>
      <c r="AB39" s="255"/>
      <c r="AC39" s="255"/>
      <c r="AD39" s="255"/>
      <c r="AE39" s="255"/>
      <c r="AF39" s="255"/>
      <c r="AG39" s="255"/>
      <c r="AH39" s="255"/>
      <c r="AI39" s="255"/>
      <c r="AJ39" s="255"/>
      <c r="AK39" s="255"/>
      <c r="AL39" s="255"/>
      <c r="AM39" s="255"/>
      <c r="AN39" s="255"/>
      <c r="AO39" s="255"/>
      <c r="AP39" s="255"/>
      <c r="AQ39" s="255"/>
      <c r="AR39" s="255"/>
      <c r="AS39" s="255"/>
      <c r="AT39" s="256"/>
      <c r="AV39" s="306"/>
      <c r="AW39" s="307"/>
      <c r="AX39" s="307"/>
      <c r="AY39" s="307"/>
      <c r="AZ39" s="307"/>
      <c r="BA39" s="307"/>
      <c r="BB39" s="307"/>
      <c r="BC39" s="307"/>
      <c r="BD39" s="307"/>
      <c r="BE39" s="307"/>
      <c r="BF39" s="307"/>
      <c r="BG39" s="307"/>
      <c r="BH39" s="307"/>
      <c r="BI39" s="308"/>
      <c r="BJ39" s="308"/>
      <c r="BK39" s="308"/>
      <c r="BL39" s="308"/>
      <c r="BM39" s="308"/>
      <c r="BN39" s="308"/>
      <c r="BO39" s="308"/>
      <c r="BP39" s="308"/>
      <c r="BQ39" s="259"/>
    </row>
    <row r="40" spans="1:69">
      <c r="B40" s="238"/>
      <c r="C40" s="289"/>
      <c r="D40" s="673"/>
      <c r="E40" s="652"/>
      <c r="F40" s="652"/>
      <c r="G40" s="652"/>
      <c r="H40" s="652"/>
      <c r="I40" s="652"/>
      <c r="J40" s="652"/>
      <c r="K40" s="652"/>
      <c r="L40" s="652"/>
      <c r="M40" s="652"/>
      <c r="N40" s="652"/>
      <c r="O40" s="652"/>
      <c r="P40" s="652"/>
      <c r="Q40" s="652"/>
      <c r="R40" s="652"/>
      <c r="S40" s="652"/>
      <c r="T40" s="652"/>
      <c r="U40" s="652"/>
      <c r="V40" s="652"/>
      <c r="W40" s="652"/>
      <c r="X40" s="653"/>
      <c r="Z40" s="281"/>
      <c r="AA40" s="255"/>
      <c r="AB40" s="255"/>
      <c r="AC40" s="255"/>
      <c r="AD40" s="255"/>
      <c r="AE40" s="255"/>
      <c r="AF40" s="255"/>
      <c r="AG40" s="255"/>
      <c r="AH40" s="255"/>
      <c r="AI40" s="255"/>
      <c r="AJ40" s="255"/>
      <c r="AK40" s="255"/>
      <c r="AL40" s="255"/>
      <c r="AM40" s="255"/>
      <c r="AN40" s="255"/>
      <c r="AO40" s="255"/>
      <c r="AP40" s="255"/>
      <c r="AQ40" s="255"/>
      <c r="AR40" s="255"/>
      <c r="AS40" s="255"/>
      <c r="AT40" s="256"/>
      <c r="AV40" s="306"/>
      <c r="AW40" s="307"/>
      <c r="AX40" s="307"/>
      <c r="AY40" s="307"/>
      <c r="AZ40" s="307"/>
      <c r="BA40" s="307"/>
      <c r="BB40" s="307"/>
      <c r="BC40" s="307"/>
      <c r="BD40" s="307"/>
      <c r="BE40" s="307"/>
      <c r="BF40" s="307"/>
      <c r="BG40" s="307"/>
      <c r="BH40" s="307"/>
      <c r="BI40" s="308"/>
      <c r="BJ40" s="308"/>
      <c r="BK40" s="308"/>
      <c r="BL40" s="308"/>
      <c r="BM40" s="308"/>
      <c r="BN40" s="308"/>
      <c r="BO40" s="308"/>
      <c r="BP40" s="308"/>
      <c r="BQ40" s="259"/>
    </row>
    <row r="41" spans="1:69">
      <c r="B41" s="238"/>
      <c r="C41" s="289"/>
      <c r="D41" s="673"/>
      <c r="E41" s="652"/>
      <c r="F41" s="652"/>
      <c r="G41" s="652"/>
      <c r="H41" s="652"/>
      <c r="I41" s="652"/>
      <c r="J41" s="652"/>
      <c r="K41" s="652"/>
      <c r="L41" s="652"/>
      <c r="M41" s="652"/>
      <c r="N41" s="652"/>
      <c r="O41" s="652"/>
      <c r="P41" s="652"/>
      <c r="Q41" s="652"/>
      <c r="R41" s="652"/>
      <c r="S41" s="652"/>
      <c r="T41" s="652"/>
      <c r="U41" s="652"/>
      <c r="V41" s="652"/>
      <c r="W41" s="652"/>
      <c r="X41" s="653"/>
      <c r="Z41" s="281"/>
      <c r="AA41" s="255"/>
      <c r="AB41" s="255"/>
      <c r="AC41" s="255"/>
      <c r="AD41" s="255"/>
      <c r="AE41" s="255"/>
      <c r="AF41" s="255"/>
      <c r="AG41" s="255"/>
      <c r="AH41" s="255"/>
      <c r="AI41" s="255"/>
      <c r="AJ41" s="255"/>
      <c r="AK41" s="255"/>
      <c r="AL41" s="255"/>
      <c r="AM41" s="255"/>
      <c r="AN41" s="255"/>
      <c r="AO41" s="255"/>
      <c r="AP41" s="255"/>
      <c r="AQ41" s="255"/>
      <c r="AR41" s="255"/>
      <c r="AS41" s="255"/>
      <c r="AT41" s="256"/>
      <c r="AV41" s="306"/>
      <c r="AW41" s="307"/>
      <c r="AX41" s="307"/>
      <c r="AY41" s="307"/>
      <c r="AZ41" s="307"/>
      <c r="BA41" s="307"/>
      <c r="BB41" s="307"/>
      <c r="BC41" s="307"/>
      <c r="BD41" s="307"/>
      <c r="BE41" s="307"/>
      <c r="BF41" s="307"/>
      <c r="BG41" s="307"/>
      <c r="BH41" s="307"/>
      <c r="BI41" s="308"/>
      <c r="BJ41" s="308"/>
      <c r="BK41" s="308"/>
      <c r="BL41" s="308"/>
      <c r="BM41" s="308"/>
      <c r="BN41" s="308"/>
      <c r="BO41" s="308"/>
      <c r="BP41" s="308"/>
      <c r="BQ41" s="259"/>
    </row>
    <row r="42" spans="1:69">
      <c r="B42" s="238"/>
      <c r="C42" s="289"/>
      <c r="D42" s="673"/>
      <c r="E42" s="652"/>
      <c r="F42" s="652"/>
      <c r="G42" s="652"/>
      <c r="H42" s="652"/>
      <c r="I42" s="652"/>
      <c r="J42" s="652"/>
      <c r="K42" s="652"/>
      <c r="L42" s="652"/>
      <c r="M42" s="652"/>
      <c r="N42" s="652"/>
      <c r="O42" s="652"/>
      <c r="P42" s="652"/>
      <c r="Q42" s="652"/>
      <c r="R42" s="652"/>
      <c r="S42" s="652"/>
      <c r="T42" s="652"/>
      <c r="U42" s="652"/>
      <c r="V42" s="652"/>
      <c r="W42" s="652"/>
      <c r="X42" s="653"/>
      <c r="Z42" s="281"/>
      <c r="AA42" s="255"/>
      <c r="AB42" s="255"/>
      <c r="AC42" s="255"/>
      <c r="AD42" s="255"/>
      <c r="AE42" s="255"/>
      <c r="AF42" s="255"/>
      <c r="AG42" s="255"/>
      <c r="AH42" s="255"/>
      <c r="AI42" s="255"/>
      <c r="AJ42" s="255"/>
      <c r="AK42" s="255"/>
      <c r="AL42" s="255"/>
      <c r="AM42" s="255"/>
      <c r="AN42" s="255"/>
      <c r="AO42" s="255"/>
      <c r="AP42" s="255"/>
      <c r="AQ42" s="255"/>
      <c r="AR42" s="255"/>
      <c r="AS42" s="255"/>
      <c r="AT42" s="256"/>
      <c r="AV42" s="306"/>
      <c r="AW42" s="307"/>
      <c r="AX42" s="307"/>
      <c r="AY42" s="307"/>
      <c r="AZ42" s="307"/>
      <c r="BA42" s="307"/>
      <c r="BB42" s="307"/>
      <c r="BC42" s="307"/>
      <c r="BD42" s="307"/>
      <c r="BE42" s="307"/>
      <c r="BF42" s="307"/>
      <c r="BG42" s="307"/>
      <c r="BH42" s="307"/>
      <c r="BI42" s="308"/>
      <c r="BJ42" s="308"/>
      <c r="BK42" s="308"/>
      <c r="BL42" s="308"/>
      <c r="BM42" s="308"/>
      <c r="BN42" s="308"/>
      <c r="BO42" s="308"/>
      <c r="BP42" s="308"/>
      <c r="BQ42" s="259"/>
    </row>
    <row r="43" spans="1:69">
      <c r="B43" s="238"/>
      <c r="C43" s="289"/>
      <c r="D43" s="673"/>
      <c r="E43" s="652"/>
      <c r="F43" s="652"/>
      <c r="G43" s="652"/>
      <c r="H43" s="652"/>
      <c r="I43" s="652"/>
      <c r="J43" s="652"/>
      <c r="K43" s="652"/>
      <c r="L43" s="652"/>
      <c r="M43" s="652"/>
      <c r="N43" s="652"/>
      <c r="O43" s="652"/>
      <c r="P43" s="652"/>
      <c r="Q43" s="652"/>
      <c r="R43" s="652"/>
      <c r="S43" s="652"/>
      <c r="T43" s="652"/>
      <c r="U43" s="652"/>
      <c r="V43" s="652"/>
      <c r="W43" s="652"/>
      <c r="X43" s="653"/>
      <c r="Z43" s="281"/>
      <c r="AA43" s="255"/>
      <c r="AB43" s="255"/>
      <c r="AC43" s="255"/>
      <c r="AD43" s="255"/>
      <c r="AE43" s="255"/>
      <c r="AF43" s="255"/>
      <c r="AG43" s="255"/>
      <c r="AH43" s="255"/>
      <c r="AI43" s="255"/>
      <c r="AJ43" s="255"/>
      <c r="AK43" s="255"/>
      <c r="AL43" s="255"/>
      <c r="AM43" s="255"/>
      <c r="AN43" s="255"/>
      <c r="AO43" s="255"/>
      <c r="AP43" s="255"/>
      <c r="AQ43" s="255"/>
      <c r="AR43" s="255"/>
      <c r="AS43" s="255"/>
      <c r="AT43" s="256"/>
      <c r="AV43" s="306"/>
      <c r="AW43" s="307"/>
      <c r="AX43" s="307"/>
      <c r="AY43" s="307"/>
      <c r="AZ43" s="307"/>
      <c r="BA43" s="307"/>
      <c r="BB43" s="307"/>
      <c r="BC43" s="307"/>
      <c r="BD43" s="307"/>
      <c r="BE43" s="307"/>
      <c r="BF43" s="307"/>
      <c r="BG43" s="307"/>
      <c r="BH43" s="307"/>
      <c r="BI43" s="308"/>
      <c r="BJ43" s="308"/>
      <c r="BK43" s="308"/>
      <c r="BL43" s="308"/>
      <c r="BM43" s="308"/>
      <c r="BN43" s="308"/>
      <c r="BO43" s="308"/>
      <c r="BP43" s="308"/>
      <c r="BQ43" s="259"/>
    </row>
    <row r="44" spans="1:69">
      <c r="B44" s="238"/>
      <c r="C44" s="289"/>
      <c r="D44" s="673"/>
      <c r="E44" s="652"/>
      <c r="F44" s="652"/>
      <c r="G44" s="652"/>
      <c r="H44" s="652"/>
      <c r="I44" s="652"/>
      <c r="J44" s="652"/>
      <c r="K44" s="652"/>
      <c r="L44" s="652"/>
      <c r="M44" s="652"/>
      <c r="N44" s="652"/>
      <c r="O44" s="652"/>
      <c r="P44" s="652"/>
      <c r="Q44" s="652"/>
      <c r="R44" s="652"/>
      <c r="S44" s="652"/>
      <c r="T44" s="652"/>
      <c r="U44" s="652"/>
      <c r="V44" s="652"/>
      <c r="W44" s="652"/>
      <c r="X44" s="653"/>
      <c r="Z44" s="281"/>
      <c r="AA44" s="255"/>
      <c r="AB44" s="255"/>
      <c r="AC44" s="255"/>
      <c r="AD44" s="255"/>
      <c r="AE44" s="255"/>
      <c r="AF44" s="255"/>
      <c r="AG44" s="255"/>
      <c r="AH44" s="255"/>
      <c r="AI44" s="255"/>
      <c r="AJ44" s="255"/>
      <c r="AK44" s="255"/>
      <c r="AL44" s="255"/>
      <c r="AM44" s="255"/>
      <c r="AN44" s="255"/>
      <c r="AO44" s="255"/>
      <c r="AP44" s="255"/>
      <c r="AQ44" s="255"/>
      <c r="AR44" s="255"/>
      <c r="AS44" s="255"/>
      <c r="AT44" s="256"/>
      <c r="AV44" s="306"/>
      <c r="AW44" s="307"/>
      <c r="AX44" s="307"/>
      <c r="AY44" s="307"/>
      <c r="AZ44" s="307"/>
      <c r="BA44" s="307"/>
      <c r="BB44" s="307"/>
      <c r="BC44" s="307"/>
      <c r="BD44" s="307"/>
      <c r="BE44" s="307"/>
      <c r="BF44" s="307"/>
      <c r="BG44" s="307"/>
      <c r="BH44" s="307"/>
      <c r="BI44" s="308"/>
      <c r="BJ44" s="308"/>
      <c r="BK44" s="308"/>
      <c r="BL44" s="308"/>
      <c r="BM44" s="308"/>
      <c r="BN44" s="308"/>
      <c r="BO44" s="308"/>
      <c r="BP44" s="308"/>
      <c r="BQ44" s="259"/>
    </row>
    <row r="45" spans="1:69">
      <c r="B45" s="238"/>
      <c r="C45" s="289"/>
      <c r="D45" s="673"/>
      <c r="E45" s="652"/>
      <c r="F45" s="652"/>
      <c r="G45" s="652"/>
      <c r="H45" s="652"/>
      <c r="I45" s="652"/>
      <c r="J45" s="652"/>
      <c r="K45" s="652"/>
      <c r="L45" s="652"/>
      <c r="M45" s="652"/>
      <c r="N45" s="652"/>
      <c r="O45" s="652"/>
      <c r="P45" s="652"/>
      <c r="Q45" s="652"/>
      <c r="R45" s="652"/>
      <c r="S45" s="652"/>
      <c r="T45" s="652"/>
      <c r="U45" s="652"/>
      <c r="V45" s="652"/>
      <c r="W45" s="652"/>
      <c r="X45" s="653"/>
      <c r="Z45" s="281"/>
      <c r="AA45" s="255"/>
      <c r="AB45" s="255"/>
      <c r="AC45" s="255"/>
      <c r="AD45" s="255"/>
      <c r="AE45" s="255"/>
      <c r="AF45" s="255"/>
      <c r="AG45" s="255"/>
      <c r="AH45" s="255"/>
      <c r="AI45" s="255"/>
      <c r="AJ45" s="255"/>
      <c r="AK45" s="255"/>
      <c r="AL45" s="255"/>
      <c r="AM45" s="255"/>
      <c r="AN45" s="255"/>
      <c r="AO45" s="255"/>
      <c r="AP45" s="255"/>
      <c r="AQ45" s="255"/>
      <c r="AR45" s="255"/>
      <c r="AS45" s="255"/>
      <c r="AT45" s="256"/>
      <c r="AV45" s="306"/>
      <c r="AW45" s="307"/>
      <c r="AX45" s="307"/>
      <c r="AY45" s="307"/>
      <c r="AZ45" s="307"/>
      <c r="BA45" s="307"/>
      <c r="BB45" s="307"/>
      <c r="BC45" s="307"/>
      <c r="BD45" s="307"/>
      <c r="BE45" s="307"/>
      <c r="BF45" s="307"/>
      <c r="BG45" s="307"/>
      <c r="BH45" s="307"/>
      <c r="BI45" s="308"/>
      <c r="BJ45" s="308"/>
      <c r="BK45" s="308"/>
      <c r="BL45" s="308"/>
      <c r="BM45" s="308"/>
      <c r="BN45" s="308"/>
      <c r="BO45" s="308"/>
      <c r="BP45" s="308"/>
      <c r="BQ45" s="259"/>
    </row>
    <row r="46" spans="1:69">
      <c r="B46" s="238"/>
      <c r="C46" s="289"/>
      <c r="D46" s="673"/>
      <c r="E46" s="652"/>
      <c r="F46" s="652"/>
      <c r="G46" s="652"/>
      <c r="H46" s="652"/>
      <c r="I46" s="652"/>
      <c r="J46" s="652"/>
      <c r="K46" s="652"/>
      <c r="L46" s="652"/>
      <c r="M46" s="652"/>
      <c r="N46" s="652"/>
      <c r="O46" s="652"/>
      <c r="P46" s="652"/>
      <c r="Q46" s="652"/>
      <c r="R46" s="652"/>
      <c r="S46" s="652"/>
      <c r="T46" s="652"/>
      <c r="U46" s="652"/>
      <c r="V46" s="652"/>
      <c r="W46" s="652"/>
      <c r="X46" s="653"/>
      <c r="Z46" s="281"/>
      <c r="AA46" s="255"/>
      <c r="AB46" s="255"/>
      <c r="AC46" s="255"/>
      <c r="AD46" s="255"/>
      <c r="AE46" s="255"/>
      <c r="AF46" s="255"/>
      <c r="AG46" s="255"/>
      <c r="AH46" s="255"/>
      <c r="AI46" s="255"/>
      <c r="AJ46" s="255"/>
      <c r="AK46" s="255"/>
      <c r="AL46" s="255"/>
      <c r="AM46" s="255"/>
      <c r="AN46" s="255"/>
      <c r="AO46" s="255"/>
      <c r="AP46" s="255"/>
      <c r="AQ46" s="255"/>
      <c r="AR46" s="255"/>
      <c r="AS46" s="255"/>
      <c r="AT46" s="256"/>
      <c r="AV46" s="306"/>
      <c r="AW46" s="307"/>
      <c r="AX46" s="307"/>
      <c r="AY46" s="307"/>
      <c r="AZ46" s="307"/>
      <c r="BA46" s="307"/>
      <c r="BB46" s="307"/>
      <c r="BC46" s="307"/>
      <c r="BD46" s="307"/>
      <c r="BE46" s="307"/>
      <c r="BF46" s="307"/>
      <c r="BG46" s="307"/>
      <c r="BH46" s="307"/>
      <c r="BI46" s="308"/>
      <c r="BJ46" s="308"/>
      <c r="BK46" s="308"/>
      <c r="BL46" s="308"/>
      <c r="BM46" s="308"/>
      <c r="BN46" s="308"/>
      <c r="BO46" s="308"/>
      <c r="BP46" s="308"/>
      <c r="BQ46" s="259"/>
    </row>
    <row r="47" spans="1:69">
      <c r="B47" s="238"/>
      <c r="C47" s="289"/>
      <c r="D47" s="673"/>
      <c r="E47" s="652"/>
      <c r="F47" s="652"/>
      <c r="G47" s="652"/>
      <c r="H47" s="652"/>
      <c r="I47" s="652"/>
      <c r="J47" s="652"/>
      <c r="K47" s="652"/>
      <c r="L47" s="652"/>
      <c r="M47" s="652"/>
      <c r="N47" s="652"/>
      <c r="O47" s="652"/>
      <c r="P47" s="652"/>
      <c r="Q47" s="652"/>
      <c r="R47" s="652"/>
      <c r="S47" s="652"/>
      <c r="T47" s="652"/>
      <c r="U47" s="652"/>
      <c r="V47" s="652"/>
      <c r="W47" s="652"/>
      <c r="X47" s="653"/>
      <c r="Z47" s="281"/>
      <c r="AA47" s="255"/>
      <c r="AB47" s="255"/>
      <c r="AC47" s="255"/>
      <c r="AD47" s="255"/>
      <c r="AE47" s="255"/>
      <c r="AF47" s="255"/>
      <c r="AG47" s="255"/>
      <c r="AH47" s="255"/>
      <c r="AI47" s="255"/>
      <c r="AJ47" s="255"/>
      <c r="AK47" s="255"/>
      <c r="AL47" s="255"/>
      <c r="AM47" s="255"/>
      <c r="AN47" s="255"/>
      <c r="AO47" s="255"/>
      <c r="AP47" s="255"/>
      <c r="AQ47" s="255"/>
      <c r="AR47" s="255"/>
      <c r="AS47" s="255"/>
      <c r="AT47" s="256"/>
      <c r="AV47" s="306"/>
      <c r="AW47" s="307"/>
      <c r="AX47" s="307"/>
      <c r="AY47" s="307"/>
      <c r="AZ47" s="307"/>
      <c r="BA47" s="307"/>
      <c r="BB47" s="307"/>
      <c r="BC47" s="307"/>
      <c r="BD47" s="307"/>
      <c r="BE47" s="307"/>
      <c r="BF47" s="307"/>
      <c r="BG47" s="307"/>
      <c r="BH47" s="307"/>
      <c r="BI47" s="308"/>
      <c r="BJ47" s="308"/>
      <c r="BK47" s="308"/>
      <c r="BL47" s="308"/>
      <c r="BM47" s="308"/>
      <c r="BN47" s="308"/>
      <c r="BO47" s="308"/>
      <c r="BP47" s="308"/>
      <c r="BQ47" s="259"/>
    </row>
    <row r="48" spans="1:69">
      <c r="B48" s="238"/>
      <c r="C48" s="289"/>
      <c r="D48" s="673"/>
      <c r="E48" s="652"/>
      <c r="F48" s="652"/>
      <c r="G48" s="652"/>
      <c r="H48" s="652"/>
      <c r="I48" s="652"/>
      <c r="J48" s="652"/>
      <c r="K48" s="652"/>
      <c r="L48" s="652"/>
      <c r="M48" s="652"/>
      <c r="N48" s="652"/>
      <c r="O48" s="652"/>
      <c r="P48" s="652"/>
      <c r="Q48" s="654"/>
      <c r="R48" s="652"/>
      <c r="S48" s="652"/>
      <c r="T48" s="652"/>
      <c r="U48" s="652"/>
      <c r="V48" s="652"/>
      <c r="W48" s="652"/>
      <c r="X48" s="653"/>
      <c r="Z48" s="281"/>
      <c r="AA48" s="255"/>
      <c r="AB48" s="255"/>
      <c r="AC48" s="255"/>
      <c r="AD48" s="255"/>
      <c r="AE48" s="255"/>
      <c r="AF48" s="255"/>
      <c r="AG48" s="255"/>
      <c r="AH48" s="255"/>
      <c r="AI48" s="255"/>
      <c r="AJ48" s="255"/>
      <c r="AK48" s="255"/>
      <c r="AL48" s="255"/>
      <c r="AM48" s="255"/>
      <c r="AN48" s="255"/>
      <c r="AO48" s="255"/>
      <c r="AP48" s="255"/>
      <c r="AQ48" s="255"/>
      <c r="AR48" s="255"/>
      <c r="AS48" s="255"/>
      <c r="AT48" s="256"/>
      <c r="AV48" s="306"/>
      <c r="AW48" s="307"/>
      <c r="AX48" s="307"/>
      <c r="AY48" s="307"/>
      <c r="AZ48" s="307"/>
      <c r="BA48" s="307"/>
      <c r="BB48" s="307"/>
      <c r="BC48" s="307"/>
      <c r="BD48" s="307"/>
      <c r="BE48" s="307"/>
      <c r="BF48" s="307"/>
      <c r="BG48" s="307"/>
      <c r="BH48" s="307"/>
      <c r="BI48" s="308"/>
      <c r="BJ48" s="308"/>
      <c r="BK48" s="308"/>
      <c r="BL48" s="308"/>
      <c r="BM48" s="308"/>
      <c r="BN48" s="308"/>
      <c r="BO48" s="308"/>
      <c r="BP48" s="308"/>
      <c r="BQ48" s="259"/>
    </row>
    <row r="49" spans="2:69">
      <c r="B49" s="238"/>
      <c r="C49" s="289"/>
      <c r="D49" s="673"/>
      <c r="E49" s="652"/>
      <c r="F49" s="652"/>
      <c r="G49" s="652"/>
      <c r="H49" s="652"/>
      <c r="I49" s="652"/>
      <c r="J49" s="652"/>
      <c r="K49" s="652"/>
      <c r="L49" s="652"/>
      <c r="M49" s="652"/>
      <c r="N49" s="652"/>
      <c r="O49" s="652"/>
      <c r="P49" s="652"/>
      <c r="Q49" s="654"/>
      <c r="R49" s="652"/>
      <c r="S49" s="652"/>
      <c r="T49" s="652"/>
      <c r="U49" s="652"/>
      <c r="V49" s="652"/>
      <c r="W49" s="652"/>
      <c r="X49" s="653"/>
      <c r="Z49" s="281"/>
      <c r="AA49" s="255"/>
      <c r="AB49" s="255"/>
      <c r="AC49" s="255"/>
      <c r="AD49" s="255"/>
      <c r="AE49" s="255"/>
      <c r="AF49" s="255"/>
      <c r="AG49" s="255"/>
      <c r="AH49" s="255"/>
      <c r="AI49" s="255"/>
      <c r="AJ49" s="255"/>
      <c r="AK49" s="255"/>
      <c r="AL49" s="255"/>
      <c r="AM49" s="255"/>
      <c r="AN49" s="255"/>
      <c r="AO49" s="255"/>
      <c r="AP49" s="255"/>
      <c r="AQ49" s="255"/>
      <c r="AR49" s="255"/>
      <c r="AS49" s="255"/>
      <c r="AT49" s="256"/>
      <c r="AV49" s="306"/>
      <c r="AW49" s="307"/>
      <c r="AX49" s="307"/>
      <c r="AY49" s="307"/>
      <c r="AZ49" s="307"/>
      <c r="BA49" s="307"/>
      <c r="BB49" s="307"/>
      <c r="BC49" s="307"/>
      <c r="BD49" s="307"/>
      <c r="BE49" s="307"/>
      <c r="BF49" s="307"/>
      <c r="BG49" s="307"/>
      <c r="BH49" s="307"/>
      <c r="BI49" s="308"/>
      <c r="BJ49" s="308"/>
      <c r="BK49" s="308"/>
      <c r="BL49" s="308"/>
      <c r="BM49" s="308"/>
      <c r="BN49" s="308"/>
      <c r="BO49" s="308"/>
      <c r="BP49" s="308"/>
      <c r="BQ49" s="259"/>
    </row>
    <row r="50" spans="2:69">
      <c r="B50" s="238"/>
      <c r="C50" s="289"/>
      <c r="D50" s="673"/>
      <c r="E50" s="652"/>
      <c r="F50" s="652"/>
      <c r="G50" s="652"/>
      <c r="H50" s="652"/>
      <c r="I50" s="652"/>
      <c r="J50" s="652"/>
      <c r="K50" s="652"/>
      <c r="L50" s="652"/>
      <c r="M50" s="652"/>
      <c r="N50" s="652"/>
      <c r="O50" s="652"/>
      <c r="P50" s="652"/>
      <c r="Q50" s="654"/>
      <c r="R50" s="652"/>
      <c r="S50" s="652"/>
      <c r="T50" s="652"/>
      <c r="U50" s="652"/>
      <c r="V50" s="652"/>
      <c r="W50" s="652"/>
      <c r="X50" s="653"/>
      <c r="Z50" s="281"/>
      <c r="AA50" s="255"/>
      <c r="AB50" s="255"/>
      <c r="AC50" s="255"/>
      <c r="AD50" s="255"/>
      <c r="AE50" s="255"/>
      <c r="AF50" s="255"/>
      <c r="AG50" s="255"/>
      <c r="AH50" s="255"/>
      <c r="AI50" s="255"/>
      <c r="AJ50" s="255"/>
      <c r="AK50" s="255"/>
      <c r="AL50" s="255"/>
      <c r="AM50" s="255"/>
      <c r="AN50" s="255"/>
      <c r="AO50" s="255"/>
      <c r="AP50" s="255"/>
      <c r="AQ50" s="255"/>
      <c r="AR50" s="255"/>
      <c r="AS50" s="255"/>
      <c r="AT50" s="256"/>
      <c r="AV50" s="306"/>
      <c r="AW50" s="307"/>
      <c r="AX50" s="307"/>
      <c r="AY50" s="307"/>
      <c r="AZ50" s="307"/>
      <c r="BA50" s="307"/>
      <c r="BB50" s="307"/>
      <c r="BC50" s="307"/>
      <c r="BD50" s="307"/>
      <c r="BE50" s="307"/>
      <c r="BF50" s="307"/>
      <c r="BG50" s="307"/>
      <c r="BH50" s="307"/>
      <c r="BI50" s="308"/>
      <c r="BJ50" s="308"/>
      <c r="BK50" s="308"/>
      <c r="BL50" s="308"/>
      <c r="BM50" s="308"/>
      <c r="BN50" s="308"/>
      <c r="BO50" s="308"/>
      <c r="BP50" s="308"/>
      <c r="BQ50" s="259"/>
    </row>
    <row r="51" spans="2:69">
      <c r="B51" s="238"/>
      <c r="C51" s="289"/>
      <c r="D51" s="673"/>
      <c r="E51" s="652"/>
      <c r="F51" s="652"/>
      <c r="G51" s="652"/>
      <c r="H51" s="652"/>
      <c r="I51" s="652"/>
      <c r="J51" s="652"/>
      <c r="K51" s="652"/>
      <c r="L51" s="652"/>
      <c r="M51" s="652"/>
      <c r="N51" s="652"/>
      <c r="O51" s="652"/>
      <c r="P51" s="652"/>
      <c r="Q51" s="654"/>
      <c r="R51" s="652"/>
      <c r="S51" s="652"/>
      <c r="T51" s="652"/>
      <c r="U51" s="652"/>
      <c r="V51" s="652"/>
      <c r="W51" s="652"/>
      <c r="X51" s="653"/>
      <c r="Z51" s="281"/>
      <c r="AA51" s="255"/>
      <c r="AB51" s="255"/>
      <c r="AC51" s="255"/>
      <c r="AD51" s="255"/>
      <c r="AE51" s="255"/>
      <c r="AF51" s="255"/>
      <c r="AG51" s="255"/>
      <c r="AH51" s="255"/>
      <c r="AI51" s="255"/>
      <c r="AJ51" s="255"/>
      <c r="AK51" s="255"/>
      <c r="AL51" s="255"/>
      <c r="AM51" s="255"/>
      <c r="AN51" s="255"/>
      <c r="AO51" s="255"/>
      <c r="AP51" s="255"/>
      <c r="AQ51" s="255"/>
      <c r="AR51" s="255"/>
      <c r="AS51" s="255"/>
      <c r="AT51" s="256"/>
      <c r="AV51" s="306"/>
      <c r="AW51" s="307"/>
      <c r="AX51" s="307"/>
      <c r="AY51" s="307"/>
      <c r="AZ51" s="307"/>
      <c r="BA51" s="307"/>
      <c r="BB51" s="307"/>
      <c r="BC51" s="307"/>
      <c r="BD51" s="307"/>
      <c r="BE51" s="307"/>
      <c r="BF51" s="307"/>
      <c r="BG51" s="307"/>
      <c r="BH51" s="307"/>
      <c r="BI51" s="308"/>
      <c r="BJ51" s="308"/>
      <c r="BK51" s="308"/>
      <c r="BL51" s="308"/>
      <c r="BM51" s="308"/>
      <c r="BN51" s="308"/>
      <c r="BO51" s="308"/>
      <c r="BP51" s="308"/>
      <c r="BQ51" s="259"/>
    </row>
    <row r="52" spans="2:69">
      <c r="B52" s="238"/>
      <c r="C52" s="289"/>
      <c r="D52" s="673"/>
      <c r="E52" s="300"/>
      <c r="F52" s="300"/>
      <c r="G52" s="300"/>
      <c r="H52" s="300"/>
      <c r="I52" s="300"/>
      <c r="J52" s="300"/>
      <c r="K52" s="300"/>
      <c r="L52" s="300"/>
      <c r="M52" s="300"/>
      <c r="N52" s="300"/>
      <c r="O52" s="300"/>
      <c r="P52" s="300"/>
      <c r="Q52" s="375"/>
      <c r="R52" s="300"/>
      <c r="S52" s="300"/>
      <c r="T52" s="300"/>
      <c r="U52" s="300"/>
      <c r="V52" s="300"/>
      <c r="W52" s="300"/>
      <c r="X52" s="301"/>
      <c r="Z52" s="281"/>
      <c r="AA52" s="255"/>
      <c r="AB52" s="255"/>
      <c r="AC52" s="255"/>
      <c r="AD52" s="255"/>
      <c r="AE52" s="255"/>
      <c r="AF52" s="255"/>
      <c r="AG52" s="255"/>
      <c r="AH52" s="255"/>
      <c r="AI52" s="255"/>
      <c r="AJ52" s="255"/>
      <c r="AK52" s="255"/>
      <c r="AL52" s="255"/>
      <c r="AM52" s="255"/>
      <c r="AN52" s="255"/>
      <c r="AO52" s="255"/>
      <c r="AP52" s="255"/>
      <c r="AQ52" s="255"/>
      <c r="AR52" s="255"/>
      <c r="AS52" s="255"/>
      <c r="AT52" s="256"/>
      <c r="AV52" s="306"/>
      <c r="AW52" s="307"/>
      <c r="AX52" s="307"/>
      <c r="AY52" s="307"/>
      <c r="AZ52" s="307"/>
      <c r="BA52" s="307"/>
      <c r="BB52" s="307"/>
      <c r="BC52" s="307"/>
      <c r="BD52" s="307"/>
      <c r="BE52" s="307"/>
      <c r="BF52" s="307"/>
      <c r="BG52" s="307"/>
      <c r="BH52" s="307"/>
      <c r="BI52" s="308"/>
      <c r="BJ52" s="308"/>
      <c r="BK52" s="308"/>
      <c r="BL52" s="308"/>
      <c r="BM52" s="308"/>
      <c r="BN52" s="308"/>
      <c r="BO52" s="308"/>
      <c r="BP52" s="308"/>
      <c r="BQ52" s="259"/>
    </row>
    <row r="53" spans="2:69">
      <c r="B53" s="238"/>
      <c r="C53" s="289"/>
      <c r="D53" s="673"/>
      <c r="E53" s="300"/>
      <c r="F53" s="300"/>
      <c r="G53" s="300"/>
      <c r="H53" s="300"/>
      <c r="I53" s="300"/>
      <c r="J53" s="300"/>
      <c r="K53" s="300"/>
      <c r="L53" s="300"/>
      <c r="M53" s="300"/>
      <c r="N53" s="300"/>
      <c r="O53" s="300"/>
      <c r="P53" s="300"/>
      <c r="Q53" s="375"/>
      <c r="R53" s="300"/>
      <c r="S53" s="300"/>
      <c r="T53" s="300"/>
      <c r="U53" s="300"/>
      <c r="V53" s="300"/>
      <c r="W53" s="300"/>
      <c r="X53" s="301"/>
      <c r="Z53" s="281"/>
      <c r="AA53" s="255"/>
      <c r="AB53" s="255"/>
      <c r="AC53" s="255"/>
      <c r="AD53" s="255"/>
      <c r="AE53" s="255"/>
      <c r="AF53" s="255"/>
      <c r="AG53" s="255"/>
      <c r="AH53" s="255"/>
      <c r="AI53" s="255"/>
      <c r="AJ53" s="255"/>
      <c r="AK53" s="255"/>
      <c r="AL53" s="255"/>
      <c r="AM53" s="255"/>
      <c r="AN53" s="255"/>
      <c r="AO53" s="255"/>
      <c r="AP53" s="255"/>
      <c r="AQ53" s="255"/>
      <c r="AR53" s="255"/>
      <c r="AS53" s="255"/>
      <c r="AT53" s="256"/>
      <c r="AV53" s="306"/>
      <c r="AW53" s="307"/>
      <c r="AX53" s="307"/>
      <c r="AY53" s="307"/>
      <c r="AZ53" s="307"/>
      <c r="BA53" s="307"/>
      <c r="BB53" s="307"/>
      <c r="BC53" s="307"/>
      <c r="BD53" s="307"/>
      <c r="BE53" s="307"/>
      <c r="BF53" s="307"/>
      <c r="BG53" s="307"/>
      <c r="BH53" s="307"/>
      <c r="BI53" s="308"/>
      <c r="BJ53" s="308"/>
      <c r="BK53" s="308"/>
      <c r="BL53" s="308"/>
      <c r="BM53" s="308"/>
      <c r="BN53" s="308"/>
      <c r="BO53" s="308"/>
      <c r="BP53" s="308"/>
      <c r="BQ53" s="259"/>
    </row>
    <row r="54" spans="2:69">
      <c r="B54" s="238"/>
      <c r="C54" s="289"/>
      <c r="D54" s="673"/>
      <c r="E54" s="300"/>
      <c r="F54" s="300"/>
      <c r="G54" s="300"/>
      <c r="H54" s="300"/>
      <c r="I54" s="300"/>
      <c r="J54" s="300"/>
      <c r="K54" s="300"/>
      <c r="L54" s="300"/>
      <c r="M54" s="300"/>
      <c r="N54" s="300"/>
      <c r="O54" s="300"/>
      <c r="P54" s="300"/>
      <c r="Q54" s="375"/>
      <c r="R54" s="300"/>
      <c r="S54" s="300"/>
      <c r="T54" s="300"/>
      <c r="U54" s="300"/>
      <c r="V54" s="300"/>
      <c r="W54" s="300"/>
      <c r="X54" s="301"/>
      <c r="Z54" s="281"/>
      <c r="AA54" s="255"/>
      <c r="AB54" s="255"/>
      <c r="AC54" s="255"/>
      <c r="AD54" s="255"/>
      <c r="AE54" s="255"/>
      <c r="AF54" s="255"/>
      <c r="AG54" s="255"/>
      <c r="AH54" s="255"/>
      <c r="AI54" s="255"/>
      <c r="AJ54" s="255"/>
      <c r="AK54" s="255"/>
      <c r="AL54" s="255"/>
      <c r="AM54" s="255"/>
      <c r="AN54" s="255"/>
      <c r="AO54" s="255"/>
      <c r="AP54" s="255"/>
      <c r="AQ54" s="255"/>
      <c r="AR54" s="255"/>
      <c r="AS54" s="255"/>
      <c r="AT54" s="256"/>
      <c r="AV54" s="306"/>
      <c r="AW54" s="307"/>
      <c r="AX54" s="307"/>
      <c r="AY54" s="307"/>
      <c r="AZ54" s="307"/>
      <c r="BA54" s="307"/>
      <c r="BB54" s="307"/>
      <c r="BC54" s="307"/>
      <c r="BD54" s="307"/>
      <c r="BE54" s="307"/>
      <c r="BF54" s="307"/>
      <c r="BG54" s="307"/>
      <c r="BH54" s="307"/>
      <c r="BI54" s="308"/>
      <c r="BJ54" s="308"/>
      <c r="BK54" s="308"/>
      <c r="BL54" s="308"/>
      <c r="BM54" s="308"/>
      <c r="BN54" s="308"/>
      <c r="BO54" s="308"/>
      <c r="BP54" s="308"/>
      <c r="BQ54" s="259"/>
    </row>
    <row r="55" spans="2:69">
      <c r="B55" s="238"/>
      <c r="C55" s="289"/>
      <c r="D55" s="309"/>
      <c r="E55" s="292"/>
      <c r="F55" s="292"/>
      <c r="G55" s="292"/>
      <c r="H55" s="292"/>
      <c r="I55" s="292"/>
      <c r="J55" s="292"/>
      <c r="K55" s="292"/>
      <c r="L55" s="292"/>
      <c r="M55" s="292"/>
      <c r="N55" s="292"/>
      <c r="O55" s="292"/>
      <c r="P55" s="292"/>
      <c r="Q55" s="292"/>
      <c r="R55" s="292"/>
      <c r="S55" s="292"/>
      <c r="T55" s="292"/>
      <c r="U55" s="292"/>
      <c r="V55" s="292"/>
      <c r="W55" s="292"/>
      <c r="X55" s="293"/>
      <c r="Z55" s="310"/>
      <c r="AA55" s="311"/>
      <c r="AB55" s="311"/>
      <c r="AC55" s="311"/>
      <c r="AD55" s="311"/>
      <c r="AE55" s="311"/>
      <c r="AF55" s="311"/>
      <c r="AG55" s="311"/>
      <c r="AH55" s="311"/>
      <c r="AI55" s="311"/>
      <c r="AJ55" s="311"/>
      <c r="AK55" s="311"/>
      <c r="AL55" s="311"/>
      <c r="AM55" s="311"/>
      <c r="AN55" s="311"/>
      <c r="AO55" s="311"/>
      <c r="AP55" s="311"/>
      <c r="AQ55" s="311"/>
      <c r="AR55" s="311"/>
      <c r="AS55" s="311"/>
      <c r="AT55" s="312"/>
      <c r="AV55" s="306">
        <f t="shared" si="5"/>
        <v>0</v>
      </c>
      <c r="AW55" s="307">
        <f t="shared" si="6"/>
        <v>0</v>
      </c>
      <c r="AX55" s="307">
        <f t="shared" si="7"/>
        <v>0</v>
      </c>
      <c r="AY55" s="307">
        <f t="shared" si="8"/>
        <v>0</v>
      </c>
      <c r="AZ55" s="307">
        <f t="shared" si="9"/>
        <v>0</v>
      </c>
      <c r="BA55" s="307">
        <f t="shared" si="10"/>
        <v>0</v>
      </c>
      <c r="BB55" s="307">
        <f t="shared" si="11"/>
        <v>0</v>
      </c>
      <c r="BC55" s="307">
        <f t="shared" si="12"/>
        <v>0</v>
      </c>
      <c r="BD55" s="307">
        <f t="shared" si="13"/>
        <v>0</v>
      </c>
      <c r="BE55" s="307">
        <f t="shared" si="14"/>
        <v>0</v>
      </c>
      <c r="BF55" s="307">
        <f t="shared" si="15"/>
        <v>0</v>
      </c>
      <c r="BG55" s="307">
        <f t="shared" si="16"/>
        <v>0</v>
      </c>
      <c r="BH55" s="307">
        <f t="shared" si="17"/>
        <v>0</v>
      </c>
      <c r="BI55" s="308">
        <f t="shared" si="18"/>
        <v>0</v>
      </c>
      <c r="BJ55" s="308">
        <f t="shared" si="19"/>
        <v>0</v>
      </c>
      <c r="BK55" s="308">
        <f t="shared" si="20"/>
        <v>0</v>
      </c>
      <c r="BL55" s="308">
        <f t="shared" si="21"/>
        <v>0</v>
      </c>
      <c r="BM55" s="308">
        <f t="shared" si="22"/>
        <v>0</v>
      </c>
      <c r="BN55" s="308">
        <f t="shared" si="23"/>
        <v>0</v>
      </c>
      <c r="BO55" s="308">
        <f t="shared" si="24"/>
        <v>0</v>
      </c>
      <c r="BP55" s="308">
        <f t="shared" si="25"/>
        <v>0</v>
      </c>
      <c r="BQ55" s="259">
        <f t="shared" si="26"/>
        <v>0</v>
      </c>
    </row>
    <row r="56" spans="2:69">
      <c r="B56" s="238"/>
      <c r="C56" s="289"/>
      <c r="D56" s="309"/>
      <c r="E56" s="292"/>
      <c r="F56" s="292"/>
      <c r="G56" s="292"/>
      <c r="H56" s="292"/>
      <c r="I56" s="292"/>
      <c r="J56" s="292"/>
      <c r="K56" s="292"/>
      <c r="L56" s="292"/>
      <c r="M56" s="292"/>
      <c r="N56" s="292"/>
      <c r="O56" s="292"/>
      <c r="P56" s="292"/>
      <c r="Q56" s="292"/>
      <c r="R56" s="292"/>
      <c r="S56" s="292"/>
      <c r="T56" s="292"/>
      <c r="U56" s="292"/>
      <c r="V56" s="292"/>
      <c r="W56" s="292"/>
      <c r="X56" s="293"/>
      <c r="Z56" s="310"/>
      <c r="AA56" s="311"/>
      <c r="AB56" s="311"/>
      <c r="AC56" s="311"/>
      <c r="AD56" s="311"/>
      <c r="AE56" s="311"/>
      <c r="AF56" s="311"/>
      <c r="AG56" s="311"/>
      <c r="AH56" s="311"/>
      <c r="AI56" s="311"/>
      <c r="AJ56" s="311"/>
      <c r="AK56" s="311"/>
      <c r="AL56" s="311"/>
      <c r="AM56" s="311"/>
      <c r="AN56" s="311"/>
      <c r="AO56" s="311"/>
      <c r="AP56" s="311"/>
      <c r="AQ56" s="311"/>
      <c r="AR56" s="311"/>
      <c r="AS56" s="311"/>
      <c r="AT56" s="312"/>
      <c r="AV56" s="306">
        <f t="shared" si="5"/>
        <v>0</v>
      </c>
      <c r="AW56" s="307">
        <f t="shared" si="6"/>
        <v>0</v>
      </c>
      <c r="AX56" s="307">
        <f t="shared" si="7"/>
        <v>0</v>
      </c>
      <c r="AY56" s="307">
        <f t="shared" si="8"/>
        <v>0</v>
      </c>
      <c r="AZ56" s="307">
        <f t="shared" si="9"/>
        <v>0</v>
      </c>
      <c r="BA56" s="307">
        <f t="shared" si="10"/>
        <v>0</v>
      </c>
      <c r="BB56" s="307">
        <f t="shared" si="11"/>
        <v>0</v>
      </c>
      <c r="BC56" s="307">
        <f t="shared" si="12"/>
        <v>0</v>
      </c>
      <c r="BD56" s="307">
        <f t="shared" si="13"/>
        <v>0</v>
      </c>
      <c r="BE56" s="307">
        <f t="shared" si="14"/>
        <v>0</v>
      </c>
      <c r="BF56" s="307">
        <f t="shared" si="15"/>
        <v>0</v>
      </c>
      <c r="BG56" s="307">
        <f t="shared" si="16"/>
        <v>0</v>
      </c>
      <c r="BH56" s="307">
        <f t="shared" si="17"/>
        <v>0</v>
      </c>
      <c r="BI56" s="308">
        <f t="shared" si="18"/>
        <v>0</v>
      </c>
      <c r="BJ56" s="308">
        <f t="shared" si="19"/>
        <v>0</v>
      </c>
      <c r="BK56" s="308">
        <f t="shared" si="20"/>
        <v>0</v>
      </c>
      <c r="BL56" s="308">
        <f t="shared" si="21"/>
        <v>0</v>
      </c>
      <c r="BM56" s="308">
        <f t="shared" si="22"/>
        <v>0</v>
      </c>
      <c r="BN56" s="308">
        <f t="shared" si="23"/>
        <v>0</v>
      </c>
      <c r="BO56" s="308">
        <f t="shared" si="24"/>
        <v>0</v>
      </c>
      <c r="BP56" s="308">
        <f t="shared" si="25"/>
        <v>0</v>
      </c>
      <c r="BQ56" s="259">
        <f t="shared" si="26"/>
        <v>0</v>
      </c>
    </row>
    <row r="57" spans="2:69">
      <c r="B57" s="238"/>
      <c r="C57" s="289"/>
      <c r="D57" s="309"/>
      <c r="E57" s="292"/>
      <c r="F57" s="292"/>
      <c r="G57" s="292"/>
      <c r="H57" s="292"/>
      <c r="I57" s="292"/>
      <c r="J57" s="292"/>
      <c r="K57" s="292"/>
      <c r="L57" s="292"/>
      <c r="M57" s="292"/>
      <c r="N57" s="292"/>
      <c r="O57" s="292"/>
      <c r="P57" s="292"/>
      <c r="Q57" s="292"/>
      <c r="R57" s="292"/>
      <c r="S57" s="292"/>
      <c r="T57" s="292"/>
      <c r="U57" s="292"/>
      <c r="V57" s="292"/>
      <c r="W57" s="292"/>
      <c r="X57" s="293"/>
      <c r="Z57" s="310"/>
      <c r="AA57" s="311"/>
      <c r="AB57" s="311"/>
      <c r="AC57" s="311"/>
      <c r="AD57" s="311"/>
      <c r="AE57" s="311"/>
      <c r="AF57" s="311"/>
      <c r="AG57" s="311"/>
      <c r="AH57" s="311"/>
      <c r="AI57" s="311"/>
      <c r="AJ57" s="311"/>
      <c r="AK57" s="311"/>
      <c r="AL57" s="311"/>
      <c r="AM57" s="311"/>
      <c r="AN57" s="311"/>
      <c r="AO57" s="311"/>
      <c r="AP57" s="311"/>
      <c r="AQ57" s="311"/>
      <c r="AR57" s="311"/>
      <c r="AS57" s="311"/>
      <c r="AT57" s="312"/>
      <c r="AV57" s="306">
        <f t="shared" si="5"/>
        <v>0</v>
      </c>
      <c r="AW57" s="307">
        <f t="shared" si="6"/>
        <v>0</v>
      </c>
      <c r="AX57" s="307">
        <f t="shared" si="7"/>
        <v>0</v>
      </c>
      <c r="AY57" s="307">
        <f t="shared" si="8"/>
        <v>0</v>
      </c>
      <c r="AZ57" s="307">
        <f t="shared" si="9"/>
        <v>0</v>
      </c>
      <c r="BA57" s="307">
        <f t="shared" si="10"/>
        <v>0</v>
      </c>
      <c r="BB57" s="307">
        <f t="shared" si="11"/>
        <v>0</v>
      </c>
      <c r="BC57" s="307">
        <f t="shared" si="12"/>
        <v>0</v>
      </c>
      <c r="BD57" s="307">
        <f t="shared" si="13"/>
        <v>0</v>
      </c>
      <c r="BE57" s="307">
        <f t="shared" si="14"/>
        <v>0</v>
      </c>
      <c r="BF57" s="307">
        <f t="shared" si="15"/>
        <v>0</v>
      </c>
      <c r="BG57" s="307">
        <f t="shared" si="16"/>
        <v>0</v>
      </c>
      <c r="BH57" s="307">
        <f t="shared" si="17"/>
        <v>0</v>
      </c>
      <c r="BI57" s="308">
        <f t="shared" si="18"/>
        <v>0</v>
      </c>
      <c r="BJ57" s="308">
        <f t="shared" si="19"/>
        <v>0</v>
      </c>
      <c r="BK57" s="308">
        <f t="shared" si="20"/>
        <v>0</v>
      </c>
      <c r="BL57" s="308">
        <f t="shared" si="21"/>
        <v>0</v>
      </c>
      <c r="BM57" s="308">
        <f t="shared" si="22"/>
        <v>0</v>
      </c>
      <c r="BN57" s="308">
        <f t="shared" si="23"/>
        <v>0</v>
      </c>
      <c r="BO57" s="308">
        <f t="shared" si="24"/>
        <v>0</v>
      </c>
      <c r="BP57" s="308">
        <f t="shared" si="25"/>
        <v>0</v>
      </c>
      <c r="BQ57" s="259">
        <f t="shared" si="26"/>
        <v>0</v>
      </c>
    </row>
    <row r="58" spans="2:69">
      <c r="B58" s="238"/>
      <c r="C58" s="289"/>
      <c r="D58" s="309"/>
      <c r="E58" s="292"/>
      <c r="F58" s="292"/>
      <c r="G58" s="292"/>
      <c r="H58" s="292"/>
      <c r="I58" s="292"/>
      <c r="J58" s="292"/>
      <c r="K58" s="292"/>
      <c r="L58" s="292"/>
      <c r="M58" s="292"/>
      <c r="N58" s="292"/>
      <c r="O58" s="292"/>
      <c r="P58" s="292"/>
      <c r="Q58" s="292"/>
      <c r="R58" s="292"/>
      <c r="S58" s="292"/>
      <c r="T58" s="292"/>
      <c r="U58" s="292"/>
      <c r="V58" s="292"/>
      <c r="W58" s="292"/>
      <c r="X58" s="293"/>
      <c r="Z58" s="310"/>
      <c r="AA58" s="311"/>
      <c r="AB58" s="311"/>
      <c r="AC58" s="311"/>
      <c r="AD58" s="311"/>
      <c r="AE58" s="311"/>
      <c r="AF58" s="311"/>
      <c r="AG58" s="311"/>
      <c r="AH58" s="311"/>
      <c r="AI58" s="311"/>
      <c r="AJ58" s="311"/>
      <c r="AK58" s="311"/>
      <c r="AL58" s="311"/>
      <c r="AM58" s="311"/>
      <c r="AN58" s="311"/>
      <c r="AO58" s="311"/>
      <c r="AP58" s="311"/>
      <c r="AQ58" s="311"/>
      <c r="AR58" s="311"/>
      <c r="AS58" s="311"/>
      <c r="AT58" s="312"/>
      <c r="AV58" s="306">
        <f t="shared" si="5"/>
        <v>0</v>
      </c>
      <c r="AW58" s="307">
        <f t="shared" si="6"/>
        <v>0</v>
      </c>
      <c r="AX58" s="307">
        <f t="shared" si="7"/>
        <v>0</v>
      </c>
      <c r="AY58" s="307">
        <f t="shared" si="8"/>
        <v>0</v>
      </c>
      <c r="AZ58" s="307">
        <f t="shared" si="9"/>
        <v>0</v>
      </c>
      <c r="BA58" s="307">
        <f t="shared" si="10"/>
        <v>0</v>
      </c>
      <c r="BB58" s="307">
        <f t="shared" si="11"/>
        <v>0</v>
      </c>
      <c r="BC58" s="307">
        <f t="shared" si="12"/>
        <v>0</v>
      </c>
      <c r="BD58" s="307">
        <f t="shared" si="13"/>
        <v>0</v>
      </c>
      <c r="BE58" s="307">
        <f t="shared" si="14"/>
        <v>0</v>
      </c>
      <c r="BF58" s="307">
        <f t="shared" si="15"/>
        <v>0</v>
      </c>
      <c r="BG58" s="307">
        <f t="shared" si="16"/>
        <v>0</v>
      </c>
      <c r="BH58" s="307">
        <f t="shared" si="17"/>
        <v>0</v>
      </c>
      <c r="BI58" s="308">
        <f t="shared" si="18"/>
        <v>0</v>
      </c>
      <c r="BJ58" s="308">
        <f t="shared" si="19"/>
        <v>0</v>
      </c>
      <c r="BK58" s="308">
        <f t="shared" si="20"/>
        <v>0</v>
      </c>
      <c r="BL58" s="308">
        <f t="shared" si="21"/>
        <v>0</v>
      </c>
      <c r="BM58" s="308">
        <f t="shared" si="22"/>
        <v>0</v>
      </c>
      <c r="BN58" s="308">
        <f t="shared" si="23"/>
        <v>0</v>
      </c>
      <c r="BO58" s="308">
        <f t="shared" si="24"/>
        <v>0</v>
      </c>
      <c r="BP58" s="308">
        <f t="shared" si="25"/>
        <v>0</v>
      </c>
      <c r="BQ58" s="259">
        <f t="shared" si="26"/>
        <v>0</v>
      </c>
    </row>
    <row r="59" spans="2:69">
      <c r="B59" s="238"/>
      <c r="C59" s="289"/>
      <c r="D59" s="309"/>
      <c r="E59" s="292"/>
      <c r="F59" s="292"/>
      <c r="G59" s="292"/>
      <c r="H59" s="292"/>
      <c r="I59" s="292"/>
      <c r="J59" s="292"/>
      <c r="K59" s="292"/>
      <c r="L59" s="292"/>
      <c r="M59" s="292"/>
      <c r="N59" s="292"/>
      <c r="O59" s="292"/>
      <c r="P59" s="292"/>
      <c r="Q59" s="292"/>
      <c r="R59" s="292"/>
      <c r="S59" s="292"/>
      <c r="T59" s="292"/>
      <c r="U59" s="292"/>
      <c r="V59" s="292"/>
      <c r="W59" s="292"/>
      <c r="X59" s="293"/>
      <c r="Z59" s="310"/>
      <c r="AA59" s="311"/>
      <c r="AB59" s="311"/>
      <c r="AC59" s="311"/>
      <c r="AD59" s="311"/>
      <c r="AE59" s="311"/>
      <c r="AF59" s="311"/>
      <c r="AG59" s="311"/>
      <c r="AH59" s="311"/>
      <c r="AI59" s="311"/>
      <c r="AJ59" s="311"/>
      <c r="AK59" s="311"/>
      <c r="AL59" s="311"/>
      <c r="AM59" s="311"/>
      <c r="AN59" s="311"/>
      <c r="AO59" s="311"/>
      <c r="AP59" s="311"/>
      <c r="AQ59" s="311"/>
      <c r="AR59" s="311"/>
      <c r="AS59" s="311"/>
      <c r="AT59" s="312"/>
      <c r="AV59" s="306">
        <f t="shared" si="5"/>
        <v>0</v>
      </c>
      <c r="AW59" s="307">
        <f t="shared" si="6"/>
        <v>0</v>
      </c>
      <c r="AX59" s="307">
        <f t="shared" si="7"/>
        <v>0</v>
      </c>
      <c r="AY59" s="307">
        <f t="shared" si="8"/>
        <v>0</v>
      </c>
      <c r="AZ59" s="307">
        <f t="shared" si="9"/>
        <v>0</v>
      </c>
      <c r="BA59" s="307">
        <f t="shared" si="10"/>
        <v>0</v>
      </c>
      <c r="BB59" s="307">
        <f t="shared" si="11"/>
        <v>0</v>
      </c>
      <c r="BC59" s="307">
        <f t="shared" si="12"/>
        <v>0</v>
      </c>
      <c r="BD59" s="307">
        <f t="shared" si="13"/>
        <v>0</v>
      </c>
      <c r="BE59" s="307">
        <f t="shared" si="14"/>
        <v>0</v>
      </c>
      <c r="BF59" s="307">
        <f t="shared" si="15"/>
        <v>0</v>
      </c>
      <c r="BG59" s="307">
        <f t="shared" si="16"/>
        <v>0</v>
      </c>
      <c r="BH59" s="307">
        <f t="shared" si="17"/>
        <v>0</v>
      </c>
      <c r="BI59" s="308">
        <f t="shared" si="18"/>
        <v>0</v>
      </c>
      <c r="BJ59" s="308">
        <f t="shared" si="19"/>
        <v>0</v>
      </c>
      <c r="BK59" s="308">
        <f t="shared" si="20"/>
        <v>0</v>
      </c>
      <c r="BL59" s="308">
        <f t="shared" si="21"/>
        <v>0</v>
      </c>
      <c r="BM59" s="308">
        <f t="shared" si="22"/>
        <v>0</v>
      </c>
      <c r="BN59" s="308">
        <f t="shared" si="23"/>
        <v>0</v>
      </c>
      <c r="BO59" s="308">
        <f t="shared" si="24"/>
        <v>0</v>
      </c>
      <c r="BP59" s="308">
        <f t="shared" si="25"/>
        <v>0</v>
      </c>
      <c r="BQ59" s="259">
        <f t="shared" si="26"/>
        <v>0</v>
      </c>
    </row>
    <row r="60" spans="2:69">
      <c r="B60" s="238"/>
      <c r="C60" s="289"/>
      <c r="D60" s="309"/>
      <c r="E60" s="292"/>
      <c r="F60" s="292"/>
      <c r="G60" s="292"/>
      <c r="H60" s="292"/>
      <c r="I60" s="292"/>
      <c r="J60" s="292"/>
      <c r="K60" s="292"/>
      <c r="L60" s="292"/>
      <c r="M60" s="292"/>
      <c r="N60" s="292"/>
      <c r="O60" s="292"/>
      <c r="P60" s="292"/>
      <c r="Q60" s="292"/>
      <c r="R60" s="292"/>
      <c r="S60" s="292"/>
      <c r="T60" s="292"/>
      <c r="U60" s="292"/>
      <c r="V60" s="292"/>
      <c r="W60" s="292"/>
      <c r="X60" s="293"/>
      <c r="Z60" s="310"/>
      <c r="AA60" s="311"/>
      <c r="AB60" s="311"/>
      <c r="AC60" s="311"/>
      <c r="AD60" s="311"/>
      <c r="AE60" s="311"/>
      <c r="AF60" s="311"/>
      <c r="AG60" s="311"/>
      <c r="AH60" s="311"/>
      <c r="AI60" s="311"/>
      <c r="AJ60" s="311"/>
      <c r="AK60" s="311"/>
      <c r="AL60" s="311"/>
      <c r="AM60" s="311"/>
      <c r="AN60" s="311"/>
      <c r="AO60" s="311"/>
      <c r="AP60" s="311"/>
      <c r="AQ60" s="311"/>
      <c r="AR60" s="311"/>
      <c r="AS60" s="311"/>
      <c r="AT60" s="312"/>
      <c r="AV60" s="306">
        <f t="shared" si="5"/>
        <v>0</v>
      </c>
      <c r="AW60" s="307">
        <f t="shared" si="6"/>
        <v>0</v>
      </c>
      <c r="AX60" s="307">
        <f t="shared" si="7"/>
        <v>0</v>
      </c>
      <c r="AY60" s="307">
        <f t="shared" si="8"/>
        <v>0</v>
      </c>
      <c r="AZ60" s="307">
        <f t="shared" si="9"/>
        <v>0</v>
      </c>
      <c r="BA60" s="307">
        <f t="shared" si="10"/>
        <v>0</v>
      </c>
      <c r="BB60" s="307">
        <f t="shared" si="11"/>
        <v>0</v>
      </c>
      <c r="BC60" s="307">
        <f t="shared" si="12"/>
        <v>0</v>
      </c>
      <c r="BD60" s="307">
        <f t="shared" si="13"/>
        <v>0</v>
      </c>
      <c r="BE60" s="307">
        <f t="shared" si="14"/>
        <v>0</v>
      </c>
      <c r="BF60" s="307">
        <f t="shared" si="15"/>
        <v>0</v>
      </c>
      <c r="BG60" s="307">
        <f t="shared" si="16"/>
        <v>0</v>
      </c>
      <c r="BH60" s="307">
        <f t="shared" si="17"/>
        <v>0</v>
      </c>
      <c r="BI60" s="308">
        <f t="shared" si="18"/>
        <v>0</v>
      </c>
      <c r="BJ60" s="308">
        <f t="shared" si="19"/>
        <v>0</v>
      </c>
      <c r="BK60" s="308">
        <f t="shared" si="20"/>
        <v>0</v>
      </c>
      <c r="BL60" s="308">
        <f t="shared" si="21"/>
        <v>0</v>
      </c>
      <c r="BM60" s="308">
        <f t="shared" si="22"/>
        <v>0</v>
      </c>
      <c r="BN60" s="308">
        <f t="shared" si="23"/>
        <v>0</v>
      </c>
      <c r="BO60" s="308">
        <f t="shared" si="24"/>
        <v>0</v>
      </c>
      <c r="BP60" s="308">
        <f t="shared" si="25"/>
        <v>0</v>
      </c>
      <c r="BQ60" s="259">
        <f t="shared" si="26"/>
        <v>0</v>
      </c>
    </row>
    <row r="61" spans="2:69">
      <c r="B61" s="238"/>
      <c r="C61" s="289"/>
      <c r="D61" s="309"/>
      <c r="E61" s="292"/>
      <c r="F61" s="292"/>
      <c r="G61" s="292"/>
      <c r="H61" s="292"/>
      <c r="I61" s="292"/>
      <c r="J61" s="292"/>
      <c r="K61" s="292"/>
      <c r="L61" s="292"/>
      <c r="M61" s="292"/>
      <c r="N61" s="292"/>
      <c r="O61" s="292"/>
      <c r="P61" s="292"/>
      <c r="Q61" s="292"/>
      <c r="R61" s="292"/>
      <c r="S61" s="292"/>
      <c r="T61" s="292"/>
      <c r="U61" s="292"/>
      <c r="V61" s="292"/>
      <c r="W61" s="292"/>
      <c r="X61" s="293"/>
      <c r="Z61" s="310"/>
      <c r="AA61" s="311"/>
      <c r="AB61" s="311"/>
      <c r="AC61" s="311"/>
      <c r="AD61" s="311"/>
      <c r="AE61" s="311"/>
      <c r="AF61" s="311"/>
      <c r="AG61" s="311"/>
      <c r="AH61" s="311"/>
      <c r="AI61" s="311"/>
      <c r="AJ61" s="311"/>
      <c r="AK61" s="311"/>
      <c r="AL61" s="311"/>
      <c r="AM61" s="311"/>
      <c r="AN61" s="311"/>
      <c r="AO61" s="311"/>
      <c r="AP61" s="311"/>
      <c r="AQ61" s="311"/>
      <c r="AR61" s="311"/>
      <c r="AS61" s="311"/>
      <c r="AT61" s="312"/>
      <c r="AV61" s="306">
        <f t="shared" si="5"/>
        <v>0</v>
      </c>
      <c r="AW61" s="307">
        <f t="shared" si="6"/>
        <v>0</v>
      </c>
      <c r="AX61" s="307">
        <f t="shared" si="7"/>
        <v>0</v>
      </c>
      <c r="AY61" s="307">
        <f t="shared" si="8"/>
        <v>0</v>
      </c>
      <c r="AZ61" s="307">
        <f t="shared" si="9"/>
        <v>0</v>
      </c>
      <c r="BA61" s="307">
        <f t="shared" si="10"/>
        <v>0</v>
      </c>
      <c r="BB61" s="307">
        <f t="shared" si="11"/>
        <v>0</v>
      </c>
      <c r="BC61" s="307">
        <f t="shared" si="12"/>
        <v>0</v>
      </c>
      <c r="BD61" s="307">
        <f t="shared" si="13"/>
        <v>0</v>
      </c>
      <c r="BE61" s="307">
        <f t="shared" si="14"/>
        <v>0</v>
      </c>
      <c r="BF61" s="307">
        <f t="shared" si="15"/>
        <v>0</v>
      </c>
      <c r="BG61" s="307">
        <f t="shared" si="16"/>
        <v>0</v>
      </c>
      <c r="BH61" s="307">
        <f t="shared" si="17"/>
        <v>0</v>
      </c>
      <c r="BI61" s="308">
        <f t="shared" si="18"/>
        <v>0</v>
      </c>
      <c r="BJ61" s="308">
        <f t="shared" si="19"/>
        <v>0</v>
      </c>
      <c r="BK61" s="308">
        <f t="shared" si="20"/>
        <v>0</v>
      </c>
      <c r="BL61" s="308">
        <f t="shared" si="21"/>
        <v>0</v>
      </c>
      <c r="BM61" s="308">
        <f t="shared" si="22"/>
        <v>0</v>
      </c>
      <c r="BN61" s="308">
        <f t="shared" si="23"/>
        <v>0</v>
      </c>
      <c r="BO61" s="308">
        <f t="shared" si="24"/>
        <v>0</v>
      </c>
      <c r="BP61" s="308">
        <f t="shared" si="25"/>
        <v>0</v>
      </c>
      <c r="BQ61" s="259">
        <f t="shared" si="26"/>
        <v>0</v>
      </c>
    </row>
    <row r="62" spans="2:69">
      <c r="B62" s="238"/>
      <c r="C62" s="289"/>
      <c r="D62" s="309"/>
      <c r="E62" s="292"/>
      <c r="F62" s="292"/>
      <c r="G62" s="292"/>
      <c r="H62" s="292"/>
      <c r="I62" s="292"/>
      <c r="J62" s="292"/>
      <c r="K62" s="292"/>
      <c r="L62" s="292"/>
      <c r="M62" s="292"/>
      <c r="N62" s="292"/>
      <c r="O62" s="292"/>
      <c r="P62" s="292"/>
      <c r="Q62" s="292"/>
      <c r="R62" s="292"/>
      <c r="S62" s="292"/>
      <c r="T62" s="292"/>
      <c r="U62" s="292"/>
      <c r="V62" s="292"/>
      <c r="W62" s="292"/>
      <c r="X62" s="293"/>
      <c r="Z62" s="310"/>
      <c r="AA62" s="311"/>
      <c r="AB62" s="311"/>
      <c r="AC62" s="311"/>
      <c r="AD62" s="311"/>
      <c r="AE62" s="311"/>
      <c r="AF62" s="311"/>
      <c r="AG62" s="311"/>
      <c r="AH62" s="311"/>
      <c r="AI62" s="311"/>
      <c r="AJ62" s="311"/>
      <c r="AK62" s="311"/>
      <c r="AL62" s="311"/>
      <c r="AM62" s="311"/>
      <c r="AN62" s="311"/>
      <c r="AO62" s="311"/>
      <c r="AP62" s="311"/>
      <c r="AQ62" s="311"/>
      <c r="AR62" s="311"/>
      <c r="AS62" s="311"/>
      <c r="AT62" s="312"/>
      <c r="AV62" s="306">
        <f t="shared" si="5"/>
        <v>0</v>
      </c>
      <c r="AW62" s="307">
        <f t="shared" si="6"/>
        <v>0</v>
      </c>
      <c r="AX62" s="307">
        <f t="shared" si="7"/>
        <v>0</v>
      </c>
      <c r="AY62" s="307">
        <f t="shared" si="8"/>
        <v>0</v>
      </c>
      <c r="AZ62" s="307">
        <f t="shared" si="9"/>
        <v>0</v>
      </c>
      <c r="BA62" s="307">
        <f t="shared" si="10"/>
        <v>0</v>
      </c>
      <c r="BB62" s="307">
        <f t="shared" si="11"/>
        <v>0</v>
      </c>
      <c r="BC62" s="307">
        <f t="shared" si="12"/>
        <v>0</v>
      </c>
      <c r="BD62" s="307">
        <f t="shared" si="13"/>
        <v>0</v>
      </c>
      <c r="BE62" s="307">
        <f t="shared" si="14"/>
        <v>0</v>
      </c>
      <c r="BF62" s="307">
        <f t="shared" si="15"/>
        <v>0</v>
      </c>
      <c r="BG62" s="307">
        <f t="shared" si="16"/>
        <v>0</v>
      </c>
      <c r="BH62" s="307">
        <f t="shared" si="17"/>
        <v>0</v>
      </c>
      <c r="BI62" s="308">
        <f t="shared" si="18"/>
        <v>0</v>
      </c>
      <c r="BJ62" s="308">
        <f t="shared" si="19"/>
        <v>0</v>
      </c>
      <c r="BK62" s="308">
        <f t="shared" si="20"/>
        <v>0</v>
      </c>
      <c r="BL62" s="308">
        <f t="shared" si="21"/>
        <v>0</v>
      </c>
      <c r="BM62" s="308">
        <f t="shared" si="22"/>
        <v>0</v>
      </c>
      <c r="BN62" s="308">
        <f t="shared" si="23"/>
        <v>0</v>
      </c>
      <c r="BO62" s="308">
        <f t="shared" si="24"/>
        <v>0</v>
      </c>
      <c r="BP62" s="308">
        <f t="shared" si="25"/>
        <v>0</v>
      </c>
      <c r="BQ62" s="259">
        <f t="shared" si="26"/>
        <v>0</v>
      </c>
    </row>
    <row r="63" spans="2:69">
      <c r="B63" s="238"/>
      <c r="C63" s="289"/>
      <c r="D63" s="309"/>
      <c r="E63" s="292"/>
      <c r="F63" s="292"/>
      <c r="G63" s="292"/>
      <c r="H63" s="292"/>
      <c r="I63" s="292"/>
      <c r="J63" s="292"/>
      <c r="K63" s="292"/>
      <c r="L63" s="292"/>
      <c r="M63" s="292"/>
      <c r="N63" s="292"/>
      <c r="O63" s="292"/>
      <c r="P63" s="292"/>
      <c r="Q63" s="292"/>
      <c r="R63" s="292"/>
      <c r="S63" s="292"/>
      <c r="T63" s="292"/>
      <c r="U63" s="292"/>
      <c r="V63" s="292"/>
      <c r="W63" s="292"/>
      <c r="X63" s="293"/>
      <c r="Z63" s="310"/>
      <c r="AA63" s="311"/>
      <c r="AB63" s="311"/>
      <c r="AC63" s="311"/>
      <c r="AD63" s="311"/>
      <c r="AE63" s="311"/>
      <c r="AF63" s="311"/>
      <c r="AG63" s="311"/>
      <c r="AH63" s="311"/>
      <c r="AI63" s="311"/>
      <c r="AJ63" s="311"/>
      <c r="AK63" s="311"/>
      <c r="AL63" s="311"/>
      <c r="AM63" s="311"/>
      <c r="AN63" s="311"/>
      <c r="AO63" s="311"/>
      <c r="AP63" s="311"/>
      <c r="AQ63" s="311"/>
      <c r="AR63" s="311"/>
      <c r="AS63" s="311"/>
      <c r="AT63" s="312"/>
      <c r="AV63" s="306">
        <f t="shared" si="5"/>
        <v>0</v>
      </c>
      <c r="AW63" s="307">
        <f t="shared" si="6"/>
        <v>0</v>
      </c>
      <c r="AX63" s="307">
        <f t="shared" si="7"/>
        <v>0</v>
      </c>
      <c r="AY63" s="307">
        <f t="shared" si="8"/>
        <v>0</v>
      </c>
      <c r="AZ63" s="307">
        <f t="shared" si="9"/>
        <v>0</v>
      </c>
      <c r="BA63" s="307">
        <f t="shared" si="10"/>
        <v>0</v>
      </c>
      <c r="BB63" s="307">
        <f t="shared" si="11"/>
        <v>0</v>
      </c>
      <c r="BC63" s="307">
        <f t="shared" si="12"/>
        <v>0</v>
      </c>
      <c r="BD63" s="307">
        <f t="shared" si="13"/>
        <v>0</v>
      </c>
      <c r="BE63" s="307">
        <f t="shared" si="14"/>
        <v>0</v>
      </c>
      <c r="BF63" s="307">
        <f t="shared" si="15"/>
        <v>0</v>
      </c>
      <c r="BG63" s="307">
        <f t="shared" si="16"/>
        <v>0</v>
      </c>
      <c r="BH63" s="307">
        <f t="shared" si="17"/>
        <v>0</v>
      </c>
      <c r="BI63" s="308">
        <f t="shared" si="18"/>
        <v>0</v>
      </c>
      <c r="BJ63" s="308">
        <f t="shared" si="19"/>
        <v>0</v>
      </c>
      <c r="BK63" s="308">
        <f t="shared" si="20"/>
        <v>0</v>
      </c>
      <c r="BL63" s="308">
        <f t="shared" si="21"/>
        <v>0</v>
      </c>
      <c r="BM63" s="308">
        <f t="shared" si="22"/>
        <v>0</v>
      </c>
      <c r="BN63" s="308">
        <f t="shared" si="23"/>
        <v>0</v>
      </c>
      <c r="BO63" s="308">
        <f t="shared" si="24"/>
        <v>0</v>
      </c>
      <c r="BP63" s="308">
        <f t="shared" si="25"/>
        <v>0</v>
      </c>
      <c r="BQ63" s="259">
        <f t="shared" si="26"/>
        <v>0</v>
      </c>
    </row>
    <row r="64" spans="2:69">
      <c r="B64" s="238"/>
      <c r="C64" s="289"/>
      <c r="D64" s="309"/>
      <c r="E64" s="292"/>
      <c r="F64" s="292"/>
      <c r="G64" s="292"/>
      <c r="H64" s="292"/>
      <c r="I64" s="292"/>
      <c r="J64" s="292"/>
      <c r="K64" s="292"/>
      <c r="L64" s="292"/>
      <c r="M64" s="292"/>
      <c r="N64" s="292"/>
      <c r="O64" s="292"/>
      <c r="P64" s="292"/>
      <c r="Q64" s="292"/>
      <c r="R64" s="292"/>
      <c r="S64" s="292"/>
      <c r="T64" s="292"/>
      <c r="U64" s="292"/>
      <c r="V64" s="292"/>
      <c r="W64" s="292"/>
      <c r="X64" s="293"/>
      <c r="Z64" s="310"/>
      <c r="AA64" s="311"/>
      <c r="AB64" s="311"/>
      <c r="AC64" s="311"/>
      <c r="AD64" s="311"/>
      <c r="AE64" s="311"/>
      <c r="AF64" s="311"/>
      <c r="AG64" s="311"/>
      <c r="AH64" s="311"/>
      <c r="AI64" s="311"/>
      <c r="AJ64" s="311"/>
      <c r="AK64" s="311"/>
      <c r="AL64" s="311"/>
      <c r="AM64" s="311"/>
      <c r="AN64" s="311"/>
      <c r="AO64" s="311"/>
      <c r="AP64" s="311"/>
      <c r="AQ64" s="311"/>
      <c r="AR64" s="311"/>
      <c r="AS64" s="311"/>
      <c r="AT64" s="312"/>
      <c r="AV64" s="306">
        <f t="shared" si="5"/>
        <v>0</v>
      </c>
      <c r="AW64" s="307">
        <f t="shared" si="6"/>
        <v>0</v>
      </c>
      <c r="AX64" s="307">
        <f t="shared" si="7"/>
        <v>0</v>
      </c>
      <c r="AY64" s="307">
        <f t="shared" si="8"/>
        <v>0</v>
      </c>
      <c r="AZ64" s="307">
        <f t="shared" si="9"/>
        <v>0</v>
      </c>
      <c r="BA64" s="307">
        <f t="shared" si="10"/>
        <v>0</v>
      </c>
      <c r="BB64" s="307">
        <f t="shared" si="11"/>
        <v>0</v>
      </c>
      <c r="BC64" s="307">
        <f t="shared" si="12"/>
        <v>0</v>
      </c>
      <c r="BD64" s="307">
        <f t="shared" si="13"/>
        <v>0</v>
      </c>
      <c r="BE64" s="307">
        <f t="shared" si="14"/>
        <v>0</v>
      </c>
      <c r="BF64" s="307">
        <f t="shared" si="15"/>
        <v>0</v>
      </c>
      <c r="BG64" s="307">
        <f t="shared" si="16"/>
        <v>0</v>
      </c>
      <c r="BH64" s="307">
        <f t="shared" si="17"/>
        <v>0</v>
      </c>
      <c r="BI64" s="308">
        <f t="shared" si="18"/>
        <v>0</v>
      </c>
      <c r="BJ64" s="308">
        <f t="shared" si="19"/>
        <v>0</v>
      </c>
      <c r="BK64" s="308">
        <f t="shared" si="20"/>
        <v>0</v>
      </c>
      <c r="BL64" s="308">
        <f t="shared" si="21"/>
        <v>0</v>
      </c>
      <c r="BM64" s="308">
        <f t="shared" si="22"/>
        <v>0</v>
      </c>
      <c r="BN64" s="308">
        <f t="shared" si="23"/>
        <v>0</v>
      </c>
      <c r="BO64" s="308">
        <f t="shared" si="24"/>
        <v>0</v>
      </c>
      <c r="BP64" s="308">
        <f t="shared" si="25"/>
        <v>0</v>
      </c>
      <c r="BQ64" s="259">
        <f t="shared" si="26"/>
        <v>0</v>
      </c>
    </row>
    <row r="65" spans="2:69" ht="13.5" thickBot="1">
      <c r="B65" s="264"/>
      <c r="C65" s="294"/>
      <c r="D65" s="313"/>
      <c r="E65" s="297"/>
      <c r="F65" s="297"/>
      <c r="G65" s="297"/>
      <c r="H65" s="297"/>
      <c r="I65" s="297"/>
      <c r="J65" s="297"/>
      <c r="K65" s="297"/>
      <c r="L65" s="297"/>
      <c r="M65" s="297"/>
      <c r="N65" s="297"/>
      <c r="O65" s="297"/>
      <c r="P65" s="297"/>
      <c r="Q65" s="297"/>
      <c r="R65" s="297"/>
      <c r="S65" s="297"/>
      <c r="T65" s="297"/>
      <c r="U65" s="297"/>
      <c r="V65" s="297"/>
      <c r="W65" s="297"/>
      <c r="X65" s="298"/>
      <c r="Z65" s="314"/>
      <c r="AA65" s="315"/>
      <c r="AB65" s="315"/>
      <c r="AC65" s="315"/>
      <c r="AD65" s="315"/>
      <c r="AE65" s="315"/>
      <c r="AF65" s="315"/>
      <c r="AG65" s="315"/>
      <c r="AH65" s="315"/>
      <c r="AI65" s="315"/>
      <c r="AJ65" s="315"/>
      <c r="AK65" s="315"/>
      <c r="AL65" s="315"/>
      <c r="AM65" s="315"/>
      <c r="AN65" s="315"/>
      <c r="AO65" s="315"/>
      <c r="AP65" s="315"/>
      <c r="AQ65" s="315"/>
      <c r="AR65" s="315"/>
      <c r="AS65" s="315"/>
      <c r="AT65" s="316"/>
      <c r="AV65" s="317">
        <f t="shared" si="5"/>
        <v>0</v>
      </c>
      <c r="AW65" s="318">
        <f t="shared" si="6"/>
        <v>0</v>
      </c>
      <c r="AX65" s="318">
        <f t="shared" si="7"/>
        <v>0</v>
      </c>
      <c r="AY65" s="318">
        <f t="shared" si="8"/>
        <v>0</v>
      </c>
      <c r="AZ65" s="318">
        <f t="shared" si="9"/>
        <v>0</v>
      </c>
      <c r="BA65" s="318">
        <f t="shared" si="10"/>
        <v>0</v>
      </c>
      <c r="BB65" s="318">
        <f t="shared" si="11"/>
        <v>0</v>
      </c>
      <c r="BC65" s="318">
        <f t="shared" si="12"/>
        <v>0</v>
      </c>
      <c r="BD65" s="318">
        <f t="shared" si="13"/>
        <v>0</v>
      </c>
      <c r="BE65" s="318">
        <f t="shared" si="14"/>
        <v>0</v>
      </c>
      <c r="BF65" s="318">
        <f t="shared" si="15"/>
        <v>0</v>
      </c>
      <c r="BG65" s="318">
        <f t="shared" si="16"/>
        <v>0</v>
      </c>
      <c r="BH65" s="318">
        <f t="shared" si="17"/>
        <v>0</v>
      </c>
      <c r="BI65" s="319">
        <f t="shared" si="18"/>
        <v>0</v>
      </c>
      <c r="BJ65" s="319">
        <f t="shared" si="19"/>
        <v>0</v>
      </c>
      <c r="BK65" s="319">
        <f t="shared" si="20"/>
        <v>0</v>
      </c>
      <c r="BL65" s="319">
        <f t="shared" si="21"/>
        <v>0</v>
      </c>
      <c r="BM65" s="319">
        <f t="shared" si="22"/>
        <v>0</v>
      </c>
      <c r="BN65" s="319">
        <f t="shared" si="23"/>
        <v>0</v>
      </c>
      <c r="BO65" s="319">
        <f t="shared" si="24"/>
        <v>0</v>
      </c>
      <c r="BP65" s="319">
        <f t="shared" si="25"/>
        <v>0</v>
      </c>
      <c r="BQ65" s="275">
        <f t="shared" si="26"/>
        <v>0</v>
      </c>
    </row>
    <row r="66" spans="2:69" ht="13.5" thickBot="1">
      <c r="B66" s="276"/>
      <c r="C66" s="155"/>
      <c r="Z66" s="277">
        <f>SUM(Z6:Z65)-SUM(Z17:Z20)</f>
        <v>822141.76627671765</v>
      </c>
      <c r="AA66" s="277">
        <f t="shared" ref="AA66:AL66" si="27">SUM(AA6:AA65)</f>
        <v>2529447017.5473452</v>
      </c>
      <c r="AB66" s="277">
        <f t="shared" si="27"/>
        <v>4181244955.9887743</v>
      </c>
      <c r="AC66" s="277">
        <f t="shared" si="27"/>
        <v>0</v>
      </c>
      <c r="AD66" s="277">
        <f t="shared" si="27"/>
        <v>0</v>
      </c>
      <c r="AE66" s="277">
        <f t="shared" si="27"/>
        <v>3953804623.3863769</v>
      </c>
      <c r="AF66" s="277">
        <f t="shared" si="27"/>
        <v>0</v>
      </c>
      <c r="AG66" s="277">
        <f t="shared" si="27"/>
        <v>0</v>
      </c>
      <c r="AH66" s="277">
        <f t="shared" si="27"/>
        <v>0</v>
      </c>
      <c r="AI66" s="277">
        <f t="shared" si="27"/>
        <v>1560912.6426284716</v>
      </c>
      <c r="AJ66" s="277">
        <f t="shared" si="27"/>
        <v>0</v>
      </c>
      <c r="AK66" s="277">
        <f t="shared" si="27"/>
        <v>1449407.0156687794</v>
      </c>
      <c r="AL66" s="277">
        <f t="shared" si="27"/>
        <v>2541452.8145899554</v>
      </c>
      <c r="AM66" s="277">
        <f t="shared" ref="AM66:AT66" si="28">SUM(AM6:AM65)</f>
        <v>1406089.7622498199</v>
      </c>
      <c r="AN66" s="277">
        <f t="shared" si="28"/>
        <v>1775241.4930800435</v>
      </c>
      <c r="AO66" s="277">
        <f t="shared" si="28"/>
        <v>1651659.4664277681</v>
      </c>
      <c r="AP66" s="277">
        <f t="shared" si="28"/>
        <v>0</v>
      </c>
      <c r="AQ66" s="277">
        <f t="shared" si="28"/>
        <v>4254857.3176637506</v>
      </c>
      <c r="AR66" s="277">
        <f t="shared" si="28"/>
        <v>5574059.2046070807</v>
      </c>
      <c r="AS66" s="277">
        <f t="shared" si="28"/>
        <v>5233513.7018682025</v>
      </c>
      <c r="AT66" s="277">
        <f t="shared" si="28"/>
        <v>0</v>
      </c>
      <c r="AV66" s="320">
        <f t="shared" ref="AV66:BQ66" si="29">SUM(AV6:AV65)</f>
        <v>0</v>
      </c>
      <c r="AW66" s="277">
        <f t="shared" si="29"/>
        <v>38464963.641266204</v>
      </c>
      <c r="AX66" s="277">
        <f t="shared" si="29"/>
        <v>57628762.835646331</v>
      </c>
      <c r="AY66" s="277">
        <f t="shared" si="29"/>
        <v>0</v>
      </c>
      <c r="AZ66" s="277">
        <f t="shared" si="29"/>
        <v>0</v>
      </c>
      <c r="BA66" s="277">
        <f t="shared" si="29"/>
        <v>18746911.519544475</v>
      </c>
      <c r="BB66" s="277">
        <f t="shared" si="29"/>
        <v>0</v>
      </c>
      <c r="BC66" s="277">
        <f t="shared" si="29"/>
        <v>0</v>
      </c>
      <c r="BD66" s="277">
        <f t="shared" si="29"/>
        <v>0</v>
      </c>
      <c r="BE66" s="277">
        <f t="shared" si="29"/>
        <v>40375630.013536409</v>
      </c>
      <c r="BF66" s="277">
        <f t="shared" si="29"/>
        <v>0</v>
      </c>
      <c r="BG66" s="277">
        <f t="shared" si="29"/>
        <v>783091.58410223748</v>
      </c>
      <c r="BH66" s="277">
        <f t="shared" si="29"/>
        <v>686391.35142061149</v>
      </c>
      <c r="BI66" s="277">
        <f t="shared" si="29"/>
        <v>36909.477997417416</v>
      </c>
      <c r="BJ66" s="277">
        <f t="shared" si="29"/>
        <v>27050.948674890897</v>
      </c>
      <c r="BK66" s="277">
        <f t="shared" si="29"/>
        <v>9925.1828412458872</v>
      </c>
      <c r="BL66" s="277">
        <f t="shared" si="29"/>
        <v>0</v>
      </c>
      <c r="BM66" s="277">
        <f t="shared" si="29"/>
        <v>110785.83748056117</v>
      </c>
      <c r="BN66" s="277">
        <f t="shared" si="29"/>
        <v>85884.322287080184</v>
      </c>
      <c r="BO66" s="277">
        <f t="shared" si="29"/>
        <v>31854.669058948766</v>
      </c>
      <c r="BP66" s="277">
        <f t="shared" si="29"/>
        <v>0</v>
      </c>
      <c r="BQ66" s="277">
        <f t="shared" si="29"/>
        <v>156988161.38385642</v>
      </c>
    </row>
    <row r="67" spans="2:69" ht="13.5" thickTop="1">
      <c r="B67" s="276"/>
      <c r="C67" s="155"/>
      <c r="BQ67" s="678">
        <v>0</v>
      </c>
    </row>
    <row r="68" spans="2:69">
      <c r="B68" s="276"/>
      <c r="C68" s="155"/>
    </row>
    <row r="69" spans="2:69">
      <c r="B69" s="276"/>
      <c r="C69" s="155"/>
      <c r="Z69" s="325"/>
      <c r="AA69" s="325"/>
      <c r="AB69" s="325"/>
      <c r="AC69" s="325"/>
      <c r="AD69" s="325"/>
      <c r="AE69" s="325"/>
      <c r="AF69" s="325"/>
      <c r="AG69" s="325"/>
      <c r="AH69" s="325"/>
      <c r="AI69" s="325"/>
      <c r="AJ69" s="325"/>
      <c r="AK69" s="325"/>
      <c r="AL69" s="325"/>
      <c r="AM69" s="325"/>
      <c r="AN69" s="325"/>
      <c r="AO69" s="325"/>
      <c r="AP69" s="325"/>
      <c r="AQ69" s="325"/>
      <c r="AR69" s="325"/>
      <c r="AS69" s="325"/>
      <c r="AT69" s="325"/>
    </row>
    <row r="70" spans="2:69">
      <c r="B70" s="276"/>
      <c r="C70" s="155"/>
      <c r="Z70" s="325"/>
      <c r="AA70" s="325"/>
      <c r="AB70" s="325"/>
      <c r="AC70" s="325"/>
      <c r="AD70" s="325"/>
      <c r="AE70" s="325"/>
      <c r="AF70" s="325"/>
      <c r="AG70" s="325"/>
      <c r="AH70" s="325"/>
      <c r="AI70" s="325"/>
      <c r="AJ70" s="325"/>
      <c r="AK70" s="325"/>
      <c r="AL70" s="325"/>
      <c r="AM70" s="325"/>
      <c r="AN70" s="325"/>
      <c r="AO70" s="325"/>
      <c r="AP70" s="325"/>
      <c r="AQ70" s="325"/>
      <c r="AR70" s="325"/>
      <c r="AS70" s="325"/>
      <c r="AT70" s="325"/>
      <c r="BQ70" s="589"/>
    </row>
    <row r="71" spans="2:69">
      <c r="B71" s="276"/>
      <c r="C71" s="155"/>
    </row>
    <row r="72" spans="2:69">
      <c r="B72" s="276"/>
      <c r="C72" s="155"/>
    </row>
    <row r="73" spans="2:69">
      <c r="B73" s="276"/>
      <c r="C73" s="155"/>
    </row>
    <row r="74" spans="2:69">
      <c r="B74" s="276"/>
      <c r="C74" s="155"/>
    </row>
    <row r="75" spans="2:69">
      <c r="B75" s="276"/>
      <c r="C75" s="155"/>
    </row>
    <row r="76" spans="2:69">
      <c r="B76" s="276"/>
      <c r="C76" s="155"/>
    </row>
    <row r="77" spans="2:69">
      <c r="B77" s="276"/>
      <c r="C77" s="155"/>
    </row>
    <row r="78" spans="2:69">
      <c r="B78" s="276"/>
      <c r="C78" s="155"/>
    </row>
    <row r="79" spans="2:69">
      <c r="B79" s="276"/>
      <c r="C79" s="155"/>
    </row>
    <row r="80" spans="2:69">
      <c r="B80" s="276"/>
      <c r="C80" s="155"/>
    </row>
    <row r="81" spans="2:3">
      <c r="B81" s="276"/>
      <c r="C81" s="155"/>
    </row>
    <row r="82" spans="2:3">
      <c r="B82" s="276"/>
      <c r="C82" s="155"/>
    </row>
    <row r="83" spans="2:3">
      <c r="B83" s="276"/>
      <c r="C83" s="155"/>
    </row>
    <row r="84" spans="2:3">
      <c r="B84" s="276"/>
      <c r="C84" s="155"/>
    </row>
    <row r="85" spans="2:3">
      <c r="B85" s="276"/>
      <c r="C85" s="155"/>
    </row>
    <row r="86" spans="2:3">
      <c r="B86" s="276"/>
      <c r="C86" s="155"/>
    </row>
    <row r="87" spans="2:3">
      <c r="B87" s="276"/>
      <c r="C87" s="155"/>
    </row>
    <row r="88" spans="2:3">
      <c r="B88" s="276"/>
      <c r="C88" s="155"/>
    </row>
    <row r="89" spans="2:3">
      <c r="B89" s="276"/>
      <c r="C89" s="155"/>
    </row>
    <row r="90" spans="2:3">
      <c r="B90" s="276"/>
      <c r="C90" s="155"/>
    </row>
    <row r="91" spans="2:3">
      <c r="B91" s="276"/>
      <c r="C91" s="155"/>
    </row>
    <row r="92" spans="2:3">
      <c r="B92" s="276"/>
      <c r="C92" s="155"/>
    </row>
    <row r="93" spans="2:3">
      <c r="B93" s="276"/>
      <c r="C93" s="155"/>
    </row>
    <row r="94" spans="2:3">
      <c r="B94" s="276"/>
      <c r="C94" s="155"/>
    </row>
    <row r="95" spans="2:3">
      <c r="B95" s="276"/>
      <c r="C95" s="155"/>
    </row>
    <row r="96" spans="2:3">
      <c r="B96" s="276"/>
      <c r="C96" s="155"/>
    </row>
    <row r="97" spans="2:3">
      <c r="B97" s="276"/>
      <c r="C97" s="155"/>
    </row>
    <row r="98" spans="2:3">
      <c r="B98" s="276"/>
      <c r="C98" s="155"/>
    </row>
    <row r="99" spans="2:3">
      <c r="B99" s="276"/>
      <c r="C99" s="155"/>
    </row>
    <row r="100" spans="2:3">
      <c r="B100" s="276"/>
      <c r="C100" s="155"/>
    </row>
    <row r="101" spans="2:3">
      <c r="B101" s="276"/>
      <c r="C101" s="155"/>
    </row>
    <row r="102" spans="2:3">
      <c r="B102" s="276"/>
      <c r="C102" s="155"/>
    </row>
    <row r="103" spans="2:3">
      <c r="B103" s="276"/>
      <c r="C103" s="155"/>
    </row>
    <row r="104" spans="2:3">
      <c r="B104" s="276"/>
      <c r="C104" s="155"/>
    </row>
    <row r="105" spans="2:3">
      <c r="B105" s="276"/>
      <c r="C105" s="155"/>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11"/>
    <pageSetUpPr autoPageBreaks="0"/>
  </sheetPr>
  <dimension ref="A1:BQ105"/>
  <sheetViews>
    <sheetView zoomScale="80" zoomScaleNormal="80" workbookViewId="0">
      <pane xSplit="3" ySplit="5" topLeftCell="D6" activePane="bottomRight" state="frozen"/>
      <selection activeCell="B33" sqref="B33"/>
      <selection pane="topRight" activeCell="B33" sqref="B33"/>
      <selection pane="bottomLeft" activeCell="B33" sqref="B33"/>
      <selection pane="bottomRight" activeCell="Z7" sqref="Z7"/>
    </sheetView>
  </sheetViews>
  <sheetFormatPr defaultRowHeight="12.75"/>
  <cols>
    <col min="1" max="1" width="6.28515625" style="199" customWidth="1"/>
    <col min="2" max="2" width="45" style="199" customWidth="1"/>
    <col min="3" max="3" width="1.85546875" style="199" customWidth="1"/>
    <col min="4" max="4" width="12.140625" style="199" customWidth="1"/>
    <col min="5" max="9" width="10.85546875" style="199" customWidth="1"/>
    <col min="10" max="10" width="10.7109375" style="199" customWidth="1"/>
    <col min="11" max="11" width="11.5703125" style="199" customWidth="1"/>
    <col min="12" max="12" width="11.28515625" style="199" customWidth="1"/>
    <col min="13" max="13" width="12.5703125" style="199" customWidth="1"/>
    <col min="14" max="14" width="11.140625" style="199" customWidth="1"/>
    <col min="15" max="15" width="12.140625" style="199" customWidth="1"/>
    <col min="16" max="16" width="11.42578125" style="199" customWidth="1"/>
    <col min="17" max="17" width="11.28515625" style="199" customWidth="1"/>
    <col min="18" max="18" width="14.85546875" style="199" bestFit="1" customWidth="1"/>
    <col min="19" max="19" width="16" style="199" customWidth="1"/>
    <col min="20" max="20" width="14.5703125" style="199" customWidth="1"/>
    <col min="21" max="22" width="16.7109375" style="199" bestFit="1" customWidth="1"/>
    <col min="23" max="23" width="16.85546875" style="199" bestFit="1" customWidth="1"/>
    <col min="24" max="24" width="13.42578125" style="199" customWidth="1"/>
    <col min="25" max="25" width="3.42578125" style="199" customWidth="1"/>
    <col min="26" max="26" width="15" style="199" customWidth="1"/>
    <col min="27" max="28" width="18.28515625" style="199" customWidth="1"/>
    <col min="29" max="29" width="15.5703125" style="199" customWidth="1"/>
    <col min="30" max="30" width="17.140625" style="199" customWidth="1"/>
    <col min="31" max="31" width="17.85546875" style="199" bestFit="1" customWidth="1"/>
    <col min="32" max="32" width="10.5703125" style="199" customWidth="1"/>
    <col min="33" max="33" width="11.7109375" style="199" customWidth="1"/>
    <col min="34" max="34" width="12.140625" style="199" customWidth="1"/>
    <col min="35" max="35" width="15.28515625" style="199" customWidth="1"/>
    <col min="36" max="36" width="14" style="199" customWidth="1"/>
    <col min="37" max="37" width="13.5703125" style="199" bestFit="1" customWidth="1"/>
    <col min="38" max="38" width="15.140625" style="199" customWidth="1"/>
    <col min="39" max="39" width="18" style="199" customWidth="1"/>
    <col min="40" max="40" width="15.140625" style="199" customWidth="1"/>
    <col min="41" max="41" width="14.5703125" style="199" customWidth="1"/>
    <col min="42" max="42" width="13.5703125" style="199" customWidth="1"/>
    <col min="43" max="45" width="14.42578125" style="199" bestFit="1" customWidth="1"/>
    <col min="46" max="46" width="11.85546875" style="199" customWidth="1"/>
    <col min="47" max="47" width="5.28515625" style="199" customWidth="1"/>
    <col min="48" max="48" width="14.5703125" style="199" customWidth="1"/>
    <col min="49" max="49" width="18" style="199" customWidth="1"/>
    <col min="50" max="50" width="15.140625" style="199" customWidth="1"/>
    <col min="51" max="51" width="12.85546875" style="199" customWidth="1"/>
    <col min="52" max="52" width="14.7109375" style="199" customWidth="1"/>
    <col min="53" max="53" width="16.5703125" style="199" customWidth="1"/>
    <col min="54" max="56" width="9.140625" style="199"/>
    <col min="57" max="57" width="15.140625" style="199" customWidth="1"/>
    <col min="58" max="58" width="12" style="199" customWidth="1"/>
    <col min="59" max="60" width="9.140625" style="199"/>
    <col min="61" max="62" width="12.42578125" style="199" customWidth="1"/>
    <col min="63" max="63" width="11.85546875" style="199" customWidth="1"/>
    <col min="64" max="64" width="9.140625" style="199"/>
    <col min="65" max="65" width="12.42578125" style="199" customWidth="1"/>
    <col min="66" max="66" width="12.5703125" style="199" customWidth="1"/>
    <col min="67" max="67" width="13.140625" style="199" customWidth="1"/>
    <col min="68" max="68" width="9.140625" style="199"/>
    <col min="69" max="69" width="17.140625" style="199" customWidth="1"/>
    <col min="70" max="16384" width="9.140625" style="199"/>
  </cols>
  <sheetData>
    <row r="1" spans="1:69" ht="15">
      <c r="B1" s="154" t="str">
        <f>"Tariff Approval - "&amp;'Model update'!C3</f>
        <v>Tariff Approval - Powercor</v>
      </c>
    </row>
    <row r="3" spans="1:69">
      <c r="B3" s="227" t="str">
        <f>"ESTIMATED "&amp;'Model update'!C8&amp;" TRANSMISSION TARIFF REVENUE"</f>
        <v>ESTIMATED 2017 TRANSMISSION TARIFF REVENUE</v>
      </c>
    </row>
    <row r="4" spans="1:69" ht="13.5" thickBot="1">
      <c r="D4" s="229" t="str">
        <f>"Current Transmission Tariffs (Pt-1) for "&amp;'Model update'!$C$8</f>
        <v>Current Transmission Tariffs (Pt-1) for 2017</v>
      </c>
      <c r="E4" s="230"/>
      <c r="F4" s="230"/>
      <c r="G4" s="230"/>
      <c r="H4" s="230"/>
      <c r="I4" s="230"/>
      <c r="Z4" s="229" t="str">
        <f>"Estimated Quantities (Qt-1) for "&amp;'Model update'!$C$8</f>
        <v>Estimated Quantities (Qt-1) for 2017</v>
      </c>
      <c r="AA4" s="230"/>
      <c r="AB4" s="230"/>
      <c r="AV4" s="231" t="str">
        <f>"Estimated Revenue (Pt-1 "&amp;'Model update'!$C$8&amp;")*(Qt-1 " &amp;'Model update'!$C$8&amp;")"</f>
        <v>Estimated Revenue (Pt-1 2017)*(Qt-1 2017)</v>
      </c>
      <c r="AW4" s="232"/>
      <c r="AX4" s="232"/>
      <c r="AY4" s="232"/>
      <c r="AZ4" s="232"/>
    </row>
    <row r="5" spans="1:69" ht="38.25">
      <c r="B5" s="233" t="str">
        <f>"Tariffs "&amp;'Model update'!C8</f>
        <v>Tariffs 2017</v>
      </c>
      <c r="D5" s="234" t="s">
        <v>237</v>
      </c>
      <c r="E5" s="235" t="s">
        <v>552</v>
      </c>
      <c r="F5" s="235" t="s">
        <v>553</v>
      </c>
      <c r="G5" s="235"/>
      <c r="H5" s="235"/>
      <c r="I5" s="235" t="s">
        <v>252</v>
      </c>
      <c r="J5" s="235"/>
      <c r="K5" s="235"/>
      <c r="L5" s="235"/>
      <c r="M5" s="235" t="s">
        <v>554</v>
      </c>
      <c r="N5" s="235" t="s">
        <v>555</v>
      </c>
      <c r="O5" s="235" t="s">
        <v>556</v>
      </c>
      <c r="P5" s="235" t="s">
        <v>557</v>
      </c>
      <c r="Q5" s="235" t="s">
        <v>238</v>
      </c>
      <c r="R5" s="235" t="s">
        <v>239</v>
      </c>
      <c r="S5" s="235" t="s">
        <v>240</v>
      </c>
      <c r="T5" s="235"/>
      <c r="U5" s="235" t="s">
        <v>241</v>
      </c>
      <c r="V5" s="235" t="s">
        <v>242</v>
      </c>
      <c r="W5" s="235" t="s">
        <v>243</v>
      </c>
      <c r="X5" s="237"/>
      <c r="Z5" s="234" t="s">
        <v>253</v>
      </c>
      <c r="AA5" s="235" t="s">
        <v>559</v>
      </c>
      <c r="AB5" s="235" t="s">
        <v>558</v>
      </c>
      <c r="AC5" s="235"/>
      <c r="AD5" s="235"/>
      <c r="AE5" s="235" t="s">
        <v>560</v>
      </c>
      <c r="AF5" s="235"/>
      <c r="AG5" s="235"/>
      <c r="AH5" s="235"/>
      <c r="AI5" s="235" t="s">
        <v>561</v>
      </c>
      <c r="AJ5" s="235" t="s">
        <v>562</v>
      </c>
      <c r="AK5" s="235" t="s">
        <v>563</v>
      </c>
      <c r="AL5" s="235" t="s">
        <v>564</v>
      </c>
      <c r="AM5" s="235" t="s">
        <v>254</v>
      </c>
      <c r="AN5" s="235" t="s">
        <v>255</v>
      </c>
      <c r="AO5" s="235" t="s">
        <v>256</v>
      </c>
      <c r="AP5" s="235"/>
      <c r="AQ5" s="235" t="s">
        <v>257</v>
      </c>
      <c r="AR5" s="235" t="s">
        <v>258</v>
      </c>
      <c r="AS5" s="235" t="s">
        <v>259</v>
      </c>
      <c r="AT5" s="237"/>
      <c r="AV5" s="234" t="s">
        <v>244</v>
      </c>
      <c r="AW5" s="235" t="s">
        <v>565</v>
      </c>
      <c r="AX5" s="235" t="s">
        <v>566</v>
      </c>
      <c r="AY5" s="235"/>
      <c r="AZ5" s="235"/>
      <c r="BA5" s="235" t="s">
        <v>567</v>
      </c>
      <c r="BB5" s="235"/>
      <c r="BC5" s="235"/>
      <c r="BD5" s="235"/>
      <c r="BE5" s="235" t="s">
        <v>568</v>
      </c>
      <c r="BF5" s="235" t="s">
        <v>569</v>
      </c>
      <c r="BG5" s="235" t="s">
        <v>570</v>
      </c>
      <c r="BH5" s="235" t="s">
        <v>571</v>
      </c>
      <c r="BI5" s="235" t="s">
        <v>245</v>
      </c>
      <c r="BJ5" s="235" t="s">
        <v>246</v>
      </c>
      <c r="BK5" s="235" t="s">
        <v>247</v>
      </c>
      <c r="BL5" s="235"/>
      <c r="BM5" s="235" t="s">
        <v>248</v>
      </c>
      <c r="BN5" s="235" t="s">
        <v>249</v>
      </c>
      <c r="BO5" s="235" t="s">
        <v>250</v>
      </c>
      <c r="BP5" s="235"/>
      <c r="BQ5" s="237" t="s">
        <v>251</v>
      </c>
    </row>
    <row r="6" spans="1:69">
      <c r="B6" s="238"/>
      <c r="D6" s="239"/>
      <c r="E6" s="240"/>
      <c r="F6" s="240"/>
      <c r="G6" s="240"/>
      <c r="H6" s="240"/>
      <c r="I6" s="240"/>
      <c r="J6" s="240"/>
      <c r="K6" s="240"/>
      <c r="L6" s="240"/>
      <c r="M6" s="240"/>
      <c r="N6" s="240"/>
      <c r="O6" s="240"/>
      <c r="P6" s="240"/>
      <c r="Q6" s="240"/>
      <c r="R6" s="240"/>
      <c r="S6" s="240"/>
      <c r="T6" s="240"/>
      <c r="U6" s="240"/>
      <c r="V6" s="240"/>
      <c r="W6" s="240"/>
      <c r="X6" s="322"/>
      <c r="Z6" s="243"/>
      <c r="AA6" s="244"/>
      <c r="AB6" s="244"/>
      <c r="AC6" s="244"/>
      <c r="AD6" s="244"/>
      <c r="AE6" s="244"/>
      <c r="AF6" s="244"/>
      <c r="AG6" s="244"/>
      <c r="AH6" s="244"/>
      <c r="AI6" s="244"/>
      <c r="AJ6" s="244"/>
      <c r="AK6" s="244"/>
      <c r="AL6" s="244"/>
      <c r="AM6" s="244"/>
      <c r="AN6" s="244"/>
      <c r="AO6" s="244"/>
      <c r="AP6" s="244"/>
      <c r="AQ6" s="244"/>
      <c r="AR6" s="244"/>
      <c r="AS6" s="244"/>
      <c r="AT6" s="245"/>
      <c r="AV6" s="246"/>
      <c r="AW6" s="223"/>
      <c r="AX6" s="223"/>
      <c r="AY6" s="223"/>
      <c r="AZ6" s="223"/>
      <c r="BA6" s="223"/>
      <c r="BB6" s="223"/>
      <c r="BC6" s="223"/>
      <c r="BD6" s="223"/>
      <c r="BE6" s="223"/>
      <c r="BF6" s="223"/>
      <c r="BG6" s="223"/>
      <c r="BH6" s="223"/>
      <c r="BI6" s="223"/>
      <c r="BJ6" s="247"/>
      <c r="BK6" s="247"/>
      <c r="BL6" s="247"/>
      <c r="BM6" s="247"/>
      <c r="BN6" s="247"/>
      <c r="BO6" s="247"/>
      <c r="BP6" s="247"/>
      <c r="BQ6" s="248"/>
    </row>
    <row r="7" spans="1:69">
      <c r="A7" s="199" t="str">
        <f>Est2017DistRev!A7</f>
        <v>D1</v>
      </c>
      <c r="B7" s="238" t="str">
        <f>Est2017DistRev!B7</f>
        <v>Residential Single Rate</v>
      </c>
      <c r="D7" s="778">
        <v>0</v>
      </c>
      <c r="E7" s="775">
        <v>1.85</v>
      </c>
      <c r="F7" s="775">
        <v>0</v>
      </c>
      <c r="G7" s="775"/>
      <c r="H7" s="775"/>
      <c r="I7" s="775">
        <v>0</v>
      </c>
      <c r="J7" s="775"/>
      <c r="K7" s="775"/>
      <c r="L7" s="775"/>
      <c r="M7" s="775">
        <v>0</v>
      </c>
      <c r="N7" s="775"/>
      <c r="O7" s="775">
        <v>0</v>
      </c>
      <c r="P7" s="775">
        <v>0</v>
      </c>
      <c r="Q7" s="775">
        <v>0</v>
      </c>
      <c r="R7" s="775">
        <v>0</v>
      </c>
      <c r="S7" s="775">
        <v>0</v>
      </c>
      <c r="T7" s="775"/>
      <c r="U7" s="775">
        <v>0</v>
      </c>
      <c r="V7" s="775">
        <v>0</v>
      </c>
      <c r="W7" s="775">
        <v>0</v>
      </c>
      <c r="X7" s="280"/>
      <c r="Z7" s="254">
        <f>Est2017DistRev!Z7</f>
        <v>518241.69866666663</v>
      </c>
      <c r="AA7" s="255">
        <f>Est2017DistRev!AA7</f>
        <v>2020419147.501261</v>
      </c>
      <c r="AB7" s="255">
        <f>Est2017DistRev!AB7</f>
        <v>0</v>
      </c>
      <c r="AC7" s="255">
        <f>Est2017DistRev!AC7</f>
        <v>0</v>
      </c>
      <c r="AD7" s="255">
        <f>Est2017DistRev!AD7</f>
        <v>0</v>
      </c>
      <c r="AE7" s="255">
        <f>Est2017DistRev!AE7</f>
        <v>0</v>
      </c>
      <c r="AF7" s="255">
        <f>Est2017DistRev!AF7</f>
        <v>0</v>
      </c>
      <c r="AG7" s="255">
        <f>Est2017DistRev!AG7</f>
        <v>0</v>
      </c>
      <c r="AH7" s="255">
        <f>Est2017DistRev!AH7</f>
        <v>0</v>
      </c>
      <c r="AI7" s="255">
        <f>Est2017DistRev!AI7</f>
        <v>0</v>
      </c>
      <c r="AJ7" s="255">
        <f>Est2017DistRev!AJ7</f>
        <v>0</v>
      </c>
      <c r="AK7" s="255">
        <f>Est2017DistRev!AK7</f>
        <v>0</v>
      </c>
      <c r="AL7" s="255">
        <f>Est2017DistRev!AL7</f>
        <v>0</v>
      </c>
      <c r="AM7" s="255">
        <f>Est2017DistRev!AM7</f>
        <v>0</v>
      </c>
      <c r="AN7" s="255">
        <f>Est2017DistRev!AN7</f>
        <v>0</v>
      </c>
      <c r="AO7" s="255">
        <f>Est2017DistRev!AO7</f>
        <v>0</v>
      </c>
      <c r="AP7" s="255">
        <f>Est2017DistRev!AP7</f>
        <v>0</v>
      </c>
      <c r="AQ7" s="255">
        <f>Est2017DistRev!AQ7</f>
        <v>0</v>
      </c>
      <c r="AR7" s="255">
        <f>Est2017DistRev!AR7</f>
        <v>0</v>
      </c>
      <c r="AS7" s="255">
        <f>Est2017DistRev!AS7</f>
        <v>0</v>
      </c>
      <c r="AT7" s="256">
        <f>Est2017DistRev!AT7</f>
        <v>0</v>
      </c>
      <c r="AV7" s="257">
        <f t="shared" ref="AV7" si="0">D7*Z7</f>
        <v>0</v>
      </c>
      <c r="AW7" s="224">
        <f t="shared" ref="AW7:BD7" si="1">E7/100*AA7</f>
        <v>37377754.228773333</v>
      </c>
      <c r="AX7" s="224">
        <f t="shared" si="1"/>
        <v>0</v>
      </c>
      <c r="AY7" s="224">
        <f t="shared" si="1"/>
        <v>0</v>
      </c>
      <c r="AZ7" s="224">
        <f t="shared" si="1"/>
        <v>0</v>
      </c>
      <c r="BA7" s="224">
        <f t="shared" si="1"/>
        <v>0</v>
      </c>
      <c r="BB7" s="224">
        <f t="shared" si="1"/>
        <v>0</v>
      </c>
      <c r="BC7" s="224">
        <f t="shared" si="1"/>
        <v>0</v>
      </c>
      <c r="BD7" s="224">
        <f t="shared" si="1"/>
        <v>0</v>
      </c>
      <c r="BE7" s="224">
        <f t="shared" ref="BE7:BH7" si="2">M7*AI7</f>
        <v>0</v>
      </c>
      <c r="BF7" s="224">
        <f t="shared" si="2"/>
        <v>0</v>
      </c>
      <c r="BG7" s="224">
        <f t="shared" si="2"/>
        <v>0</v>
      </c>
      <c r="BH7" s="224">
        <f t="shared" si="2"/>
        <v>0</v>
      </c>
      <c r="BI7" s="258">
        <f t="shared" ref="BI7:BP7" si="3">Q7/100*AM7</f>
        <v>0</v>
      </c>
      <c r="BJ7" s="258">
        <f t="shared" si="3"/>
        <v>0</v>
      </c>
      <c r="BK7" s="258">
        <f t="shared" si="3"/>
        <v>0</v>
      </c>
      <c r="BL7" s="258">
        <f t="shared" si="3"/>
        <v>0</v>
      </c>
      <c r="BM7" s="258">
        <f t="shared" si="3"/>
        <v>0</v>
      </c>
      <c r="BN7" s="258">
        <f t="shared" si="3"/>
        <v>0</v>
      </c>
      <c r="BO7" s="258">
        <f t="shared" si="3"/>
        <v>0</v>
      </c>
      <c r="BP7" s="258">
        <f t="shared" si="3"/>
        <v>0</v>
      </c>
      <c r="BQ7" s="259">
        <f t="shared" ref="BQ7" si="4">SUM(AV7:BP7)</f>
        <v>37377754.228773333</v>
      </c>
    </row>
    <row r="8" spans="1:69">
      <c r="A8" s="199" t="str">
        <f>Est2017DistRev!A8</f>
        <v>D1CS</v>
      </c>
      <c r="B8" s="238" t="str">
        <f>Est2017DistRev!B8</f>
        <v>Climate Saver</v>
      </c>
      <c r="D8" s="778">
        <v>0</v>
      </c>
      <c r="E8" s="775">
        <v>0</v>
      </c>
      <c r="F8" s="775">
        <v>2.62</v>
      </c>
      <c r="G8" s="775"/>
      <c r="H8" s="775"/>
      <c r="I8" s="775">
        <v>0.53</v>
      </c>
      <c r="J8" s="775"/>
      <c r="K8" s="775"/>
      <c r="L8" s="775"/>
      <c r="M8" s="775">
        <v>0</v>
      </c>
      <c r="N8" s="775"/>
      <c r="O8" s="775">
        <v>0</v>
      </c>
      <c r="P8" s="775">
        <v>0</v>
      </c>
      <c r="Q8" s="775">
        <v>0</v>
      </c>
      <c r="R8" s="775">
        <v>0</v>
      </c>
      <c r="S8" s="775">
        <v>0</v>
      </c>
      <c r="T8" s="775"/>
      <c r="U8" s="775">
        <v>0</v>
      </c>
      <c r="V8" s="775">
        <v>0</v>
      </c>
      <c r="W8" s="775">
        <v>0</v>
      </c>
      <c r="X8" s="280"/>
      <c r="Z8" s="281">
        <f>Est2017DistRev!Z8</f>
        <v>17458.859333333334</v>
      </c>
      <c r="AA8" s="255">
        <f>Est2017DistRev!AA8</f>
        <v>0</v>
      </c>
      <c r="AB8" s="255">
        <f>Est2017DistRev!AB8</f>
        <v>8537325.9492801614</v>
      </c>
      <c r="AC8" s="255">
        <f>Est2017DistRev!AC8</f>
        <v>0</v>
      </c>
      <c r="AD8" s="255">
        <f>Est2017DistRev!AD8</f>
        <v>0</v>
      </c>
      <c r="AE8" s="255">
        <f>Est2017DistRev!AE8</f>
        <v>24278479.924076673</v>
      </c>
      <c r="AF8" s="255">
        <f>Est2017DistRev!AF8</f>
        <v>0</v>
      </c>
      <c r="AG8" s="255">
        <f>Est2017DistRev!AG8</f>
        <v>0</v>
      </c>
      <c r="AH8" s="255">
        <f>Est2017DistRev!AH8</f>
        <v>0</v>
      </c>
      <c r="AI8" s="255">
        <f>Est2017DistRev!AI8</f>
        <v>0</v>
      </c>
      <c r="AJ8" s="255">
        <f>Est2017DistRev!AJ8</f>
        <v>0</v>
      </c>
      <c r="AK8" s="255">
        <f>Est2017DistRev!AK8</f>
        <v>0</v>
      </c>
      <c r="AL8" s="255">
        <f>Est2017DistRev!AL8</f>
        <v>0</v>
      </c>
      <c r="AM8" s="255">
        <f>Est2017DistRev!AM8</f>
        <v>0</v>
      </c>
      <c r="AN8" s="255">
        <f>Est2017DistRev!AN8</f>
        <v>0</v>
      </c>
      <c r="AO8" s="255">
        <f>Est2017DistRev!AO8</f>
        <v>0</v>
      </c>
      <c r="AP8" s="255">
        <f>Est2017DistRev!AP8</f>
        <v>0</v>
      </c>
      <c r="AQ8" s="255">
        <f>Est2017DistRev!AQ8</f>
        <v>0</v>
      </c>
      <c r="AR8" s="255">
        <f>Est2017DistRev!AR8</f>
        <v>0</v>
      </c>
      <c r="AS8" s="255">
        <f>Est2017DistRev!AS8</f>
        <v>0</v>
      </c>
      <c r="AT8" s="256">
        <f>Est2017DistRev!AT8</f>
        <v>0</v>
      </c>
      <c r="AV8" s="257">
        <f t="shared" ref="AV8:AV65" si="5">D8*Z8</f>
        <v>0</v>
      </c>
      <c r="AW8" s="224">
        <f t="shared" ref="AW8:AW65" si="6">E8/100*AA8</f>
        <v>0</v>
      </c>
      <c r="AX8" s="224">
        <f t="shared" ref="AX8:AX65" si="7">F8/100*AB8</f>
        <v>223677.93987114023</v>
      </c>
      <c r="AY8" s="224">
        <f t="shared" ref="AY8:AY65" si="8">G8/100*AC8</f>
        <v>0</v>
      </c>
      <c r="AZ8" s="224">
        <f t="shared" ref="AZ8:AZ65" si="9">H8/100*AD8</f>
        <v>0</v>
      </c>
      <c r="BA8" s="224">
        <f t="shared" ref="BA8:BA65" si="10">I8/100*AE8</f>
        <v>128675.94359760637</v>
      </c>
      <c r="BB8" s="224">
        <f t="shared" ref="BB8:BB65" si="11">J8/100*AF8</f>
        <v>0</v>
      </c>
      <c r="BC8" s="224">
        <f t="shared" ref="BC8:BC65" si="12">K8/100*AG8</f>
        <v>0</v>
      </c>
      <c r="BD8" s="224">
        <f t="shared" ref="BD8:BD65" si="13">L8/100*AH8</f>
        <v>0</v>
      </c>
      <c r="BE8" s="224">
        <f t="shared" ref="BE8:BE65" si="14">M8*AI8</f>
        <v>0</v>
      </c>
      <c r="BF8" s="224">
        <f t="shared" ref="BF8:BF65" si="15">N8*AJ8</f>
        <v>0</v>
      </c>
      <c r="BG8" s="224">
        <f t="shared" ref="BG8:BG65" si="16">O8*AK8</f>
        <v>0</v>
      </c>
      <c r="BH8" s="224">
        <f t="shared" ref="BH8:BH65" si="17">P8*AL8</f>
        <v>0</v>
      </c>
      <c r="BI8" s="258">
        <f t="shared" ref="BI8:BI65" si="18">Q8/100*AM8</f>
        <v>0</v>
      </c>
      <c r="BJ8" s="258">
        <f t="shared" ref="BJ8:BJ65" si="19">R8/100*AN8</f>
        <v>0</v>
      </c>
      <c r="BK8" s="258">
        <f t="shared" ref="BK8:BK65" si="20">S8/100*AO8</f>
        <v>0</v>
      </c>
      <c r="BL8" s="258">
        <f t="shared" ref="BL8:BL65" si="21">T8/100*AP8</f>
        <v>0</v>
      </c>
      <c r="BM8" s="258">
        <f t="shared" ref="BM8:BM65" si="22">U8/100*AQ8</f>
        <v>0</v>
      </c>
      <c r="BN8" s="258">
        <f t="shared" ref="BN8:BN65" si="23">V8/100*AR8</f>
        <v>0</v>
      </c>
      <c r="BO8" s="258">
        <f t="shared" ref="BO8:BO65" si="24">W8/100*AS8</f>
        <v>0</v>
      </c>
      <c r="BP8" s="258">
        <f t="shared" ref="BP8:BP65" si="25">X8/100*AT8</f>
        <v>0</v>
      </c>
      <c r="BQ8" s="259">
        <f t="shared" ref="BQ8:BQ65" si="26">SUM(AV8:BP8)</f>
        <v>352353.88346874662</v>
      </c>
    </row>
    <row r="9" spans="1:69">
      <c r="A9" s="199" t="str">
        <f>Est2017DistRev!A9</f>
        <v>D3CS</v>
      </c>
      <c r="B9" s="238" t="str">
        <f>Est2017DistRev!B9</f>
        <v>Climate Saver Interval</v>
      </c>
      <c r="D9" s="778">
        <v>0</v>
      </c>
      <c r="E9" s="775">
        <v>0</v>
      </c>
      <c r="F9" s="775">
        <v>2.62</v>
      </c>
      <c r="G9" s="775"/>
      <c r="H9" s="775"/>
      <c r="I9" s="775">
        <v>0.53</v>
      </c>
      <c r="J9" s="775"/>
      <c r="K9" s="775"/>
      <c r="L9" s="775"/>
      <c r="M9" s="775">
        <v>0</v>
      </c>
      <c r="N9" s="775"/>
      <c r="O9" s="775">
        <v>0</v>
      </c>
      <c r="P9" s="775">
        <v>0</v>
      </c>
      <c r="Q9" s="775">
        <v>0</v>
      </c>
      <c r="R9" s="775">
        <v>0</v>
      </c>
      <c r="S9" s="775">
        <v>0</v>
      </c>
      <c r="T9" s="775"/>
      <c r="U9" s="775">
        <v>0</v>
      </c>
      <c r="V9" s="775">
        <v>0</v>
      </c>
      <c r="W9" s="775">
        <v>0</v>
      </c>
      <c r="X9" s="280"/>
      <c r="Z9" s="281">
        <f>Est2017DistRev!Z9</f>
        <v>4737.6926666666668</v>
      </c>
      <c r="AA9" s="255">
        <f>Est2017DistRev!AA9</f>
        <v>0</v>
      </c>
      <c r="AB9" s="255">
        <f>Est2017DistRev!AB9</f>
        <v>2390070.1331056547</v>
      </c>
      <c r="AC9" s="255">
        <f>Est2017DistRev!AC9</f>
        <v>0</v>
      </c>
      <c r="AD9" s="255">
        <f>Est2017DistRev!AD9</f>
        <v>0</v>
      </c>
      <c r="AE9" s="255">
        <f>Est2017DistRev!AE9</f>
        <v>8636963.3115216345</v>
      </c>
      <c r="AF9" s="255">
        <f>Est2017DistRev!AF9</f>
        <v>0</v>
      </c>
      <c r="AG9" s="255">
        <f>Est2017DistRev!AG9</f>
        <v>0</v>
      </c>
      <c r="AH9" s="255">
        <f>Est2017DistRev!AH9</f>
        <v>0</v>
      </c>
      <c r="AI9" s="255">
        <f>Est2017DistRev!AI9</f>
        <v>0</v>
      </c>
      <c r="AJ9" s="255">
        <f>Est2017DistRev!AJ9</f>
        <v>0</v>
      </c>
      <c r="AK9" s="255">
        <f>Est2017DistRev!AK9</f>
        <v>0</v>
      </c>
      <c r="AL9" s="255">
        <f>Est2017DistRev!AL9</f>
        <v>0</v>
      </c>
      <c r="AM9" s="255">
        <f>Est2017DistRev!AM9</f>
        <v>0</v>
      </c>
      <c r="AN9" s="255">
        <f>Est2017DistRev!AN9</f>
        <v>0</v>
      </c>
      <c r="AO9" s="255">
        <f>Est2017DistRev!AO9</f>
        <v>0</v>
      </c>
      <c r="AP9" s="255">
        <f>Est2017DistRev!AP9</f>
        <v>0</v>
      </c>
      <c r="AQ9" s="255">
        <f>Est2017DistRev!AQ9</f>
        <v>0</v>
      </c>
      <c r="AR9" s="255">
        <f>Est2017DistRev!AR9</f>
        <v>0</v>
      </c>
      <c r="AS9" s="255">
        <f>Est2017DistRev!AS9</f>
        <v>0</v>
      </c>
      <c r="AT9" s="256">
        <f>Est2017DistRev!AT9</f>
        <v>0</v>
      </c>
      <c r="AV9" s="257">
        <f t="shared" si="5"/>
        <v>0</v>
      </c>
      <c r="AW9" s="224">
        <f t="shared" si="6"/>
        <v>0</v>
      </c>
      <c r="AX9" s="224">
        <f t="shared" si="7"/>
        <v>62619.837487368153</v>
      </c>
      <c r="AY9" s="224">
        <f t="shared" si="8"/>
        <v>0</v>
      </c>
      <c r="AZ9" s="224">
        <f t="shared" si="9"/>
        <v>0</v>
      </c>
      <c r="BA9" s="224">
        <f t="shared" si="10"/>
        <v>45775.905551064665</v>
      </c>
      <c r="BB9" s="224">
        <f t="shared" si="11"/>
        <v>0</v>
      </c>
      <c r="BC9" s="224">
        <f t="shared" si="12"/>
        <v>0</v>
      </c>
      <c r="BD9" s="224">
        <f t="shared" si="13"/>
        <v>0</v>
      </c>
      <c r="BE9" s="224">
        <f t="shared" si="14"/>
        <v>0</v>
      </c>
      <c r="BF9" s="224">
        <f t="shared" si="15"/>
        <v>0</v>
      </c>
      <c r="BG9" s="224">
        <f t="shared" si="16"/>
        <v>0</v>
      </c>
      <c r="BH9" s="224">
        <f t="shared" si="17"/>
        <v>0</v>
      </c>
      <c r="BI9" s="258">
        <f t="shared" si="18"/>
        <v>0</v>
      </c>
      <c r="BJ9" s="258">
        <f t="shared" si="19"/>
        <v>0</v>
      </c>
      <c r="BK9" s="258">
        <f t="shared" si="20"/>
        <v>0</v>
      </c>
      <c r="BL9" s="258">
        <f t="shared" si="21"/>
        <v>0</v>
      </c>
      <c r="BM9" s="258">
        <f t="shared" si="22"/>
        <v>0</v>
      </c>
      <c r="BN9" s="258">
        <f t="shared" si="23"/>
        <v>0</v>
      </c>
      <c r="BO9" s="258">
        <f t="shared" si="24"/>
        <v>0</v>
      </c>
      <c r="BP9" s="258">
        <f t="shared" si="25"/>
        <v>0</v>
      </c>
      <c r="BQ9" s="259">
        <f t="shared" si="26"/>
        <v>108395.74303843282</v>
      </c>
    </row>
    <row r="10" spans="1:69">
      <c r="A10" s="199" t="str">
        <f>Est2017DistRev!A10</f>
        <v>P13R</v>
      </c>
      <c r="B10" s="238" t="str">
        <f>Est2017DistRev!B10</f>
        <v>Residential - Flexible Pricing</v>
      </c>
      <c r="D10" s="778">
        <v>0</v>
      </c>
      <c r="E10" s="775">
        <v>0</v>
      </c>
      <c r="F10" s="775">
        <v>0</v>
      </c>
      <c r="G10" s="775"/>
      <c r="H10" s="775"/>
      <c r="I10" s="775">
        <v>0</v>
      </c>
      <c r="J10" s="775"/>
      <c r="K10" s="775"/>
      <c r="L10" s="775"/>
      <c r="M10" s="775">
        <v>0</v>
      </c>
      <c r="N10" s="775"/>
      <c r="O10" s="775">
        <v>0</v>
      </c>
      <c r="P10" s="775">
        <v>0</v>
      </c>
      <c r="Q10" s="775">
        <v>3.4</v>
      </c>
      <c r="R10" s="775">
        <v>1.92</v>
      </c>
      <c r="S10" s="775">
        <v>0.74</v>
      </c>
      <c r="T10" s="775"/>
      <c r="U10" s="775">
        <v>3.4</v>
      </c>
      <c r="V10" s="775">
        <v>1.92</v>
      </c>
      <c r="W10" s="775">
        <v>0.74</v>
      </c>
      <c r="X10" s="280"/>
      <c r="Z10" s="281">
        <f>Est2017DistRev!Z10</f>
        <v>2779.606666666667</v>
      </c>
      <c r="AA10" s="255">
        <f>Est2017DistRev!AA10</f>
        <v>0</v>
      </c>
      <c r="AB10" s="255">
        <f>Est2017DistRev!AB10</f>
        <v>0</v>
      </c>
      <c r="AC10" s="255">
        <f>Est2017DistRev!AC10</f>
        <v>0</v>
      </c>
      <c r="AD10" s="255">
        <f>Est2017DistRev!AD10</f>
        <v>0</v>
      </c>
      <c r="AE10" s="255">
        <f>Est2017DistRev!AE10</f>
        <v>0</v>
      </c>
      <c r="AF10" s="255">
        <f>Est2017DistRev!AF10</f>
        <v>0</v>
      </c>
      <c r="AG10" s="255">
        <f>Est2017DistRev!AG10</f>
        <v>0</v>
      </c>
      <c r="AH10" s="255">
        <f>Est2017DistRev!AH10</f>
        <v>0</v>
      </c>
      <c r="AI10" s="255">
        <f>Est2017DistRev!AI10</f>
        <v>0</v>
      </c>
      <c r="AJ10" s="255">
        <f>Est2017DistRev!AJ10</f>
        <v>0</v>
      </c>
      <c r="AK10" s="255">
        <f>Est2017DistRev!AK10</f>
        <v>0</v>
      </c>
      <c r="AL10" s="255">
        <f>Est2017DistRev!AL10</f>
        <v>0</v>
      </c>
      <c r="AM10" s="255">
        <f>Est2017DistRev!AM10</f>
        <v>3193271.5784366024</v>
      </c>
      <c r="AN10" s="255">
        <f>Est2017DistRev!AN10</f>
        <v>6308467.4328894904</v>
      </c>
      <c r="AO10" s="255">
        <f>Est2017DistRev!AO10</f>
        <v>4989095.807089855</v>
      </c>
      <c r="AP10" s="255">
        <f>Est2017DistRev!AP10</f>
        <v>0</v>
      </c>
      <c r="AQ10" s="255">
        <f>Est2017DistRev!AQ10</f>
        <v>3193271.5784366024</v>
      </c>
      <c r="AR10" s="255">
        <f>Est2017DistRev!AR10</f>
        <v>6308467.4328894904</v>
      </c>
      <c r="AS10" s="255">
        <f>Est2017DistRev!AS10</f>
        <v>4989095.807089855</v>
      </c>
      <c r="AT10" s="256">
        <f>Est2017DistRev!AT10</f>
        <v>0</v>
      </c>
      <c r="AV10" s="257">
        <f t="shared" si="5"/>
        <v>0</v>
      </c>
      <c r="AW10" s="224">
        <f t="shared" si="6"/>
        <v>0</v>
      </c>
      <c r="AX10" s="224">
        <f t="shared" si="7"/>
        <v>0</v>
      </c>
      <c r="AY10" s="224">
        <f t="shared" si="8"/>
        <v>0</v>
      </c>
      <c r="AZ10" s="224">
        <f t="shared" si="9"/>
        <v>0</v>
      </c>
      <c r="BA10" s="224">
        <f t="shared" si="10"/>
        <v>0</v>
      </c>
      <c r="BB10" s="224">
        <f t="shared" si="11"/>
        <v>0</v>
      </c>
      <c r="BC10" s="224">
        <f t="shared" si="12"/>
        <v>0</v>
      </c>
      <c r="BD10" s="224">
        <f t="shared" si="13"/>
        <v>0</v>
      </c>
      <c r="BE10" s="224">
        <f t="shared" si="14"/>
        <v>0</v>
      </c>
      <c r="BF10" s="224">
        <f t="shared" si="15"/>
        <v>0</v>
      </c>
      <c r="BG10" s="224">
        <f t="shared" si="16"/>
        <v>0</v>
      </c>
      <c r="BH10" s="224">
        <f t="shared" si="17"/>
        <v>0</v>
      </c>
      <c r="BI10" s="258">
        <f t="shared" si="18"/>
        <v>108571.23366684449</v>
      </c>
      <c r="BJ10" s="258">
        <f t="shared" si="19"/>
        <v>121122.5747114782</v>
      </c>
      <c r="BK10" s="258">
        <f t="shared" si="20"/>
        <v>36919.308972464925</v>
      </c>
      <c r="BL10" s="258">
        <f t="shared" si="21"/>
        <v>0</v>
      </c>
      <c r="BM10" s="258">
        <f t="shared" si="22"/>
        <v>108571.23366684449</v>
      </c>
      <c r="BN10" s="258">
        <f t="shared" si="23"/>
        <v>121122.5747114782</v>
      </c>
      <c r="BO10" s="258">
        <f t="shared" si="24"/>
        <v>36919.308972464925</v>
      </c>
      <c r="BP10" s="258">
        <f t="shared" si="25"/>
        <v>0</v>
      </c>
      <c r="BQ10" s="259">
        <f t="shared" si="26"/>
        <v>533226.23470157525</v>
      </c>
    </row>
    <row r="11" spans="1:69">
      <c r="A11" s="199" t="str">
        <f>Est2017DistRev!A11</f>
        <v>P13RDK</v>
      </c>
      <c r="B11" s="238" t="str">
        <f>Est2017DistRev!B11</f>
        <v>Residential Docklands  - Flexible Pricing</v>
      </c>
      <c r="D11" s="778">
        <v>0</v>
      </c>
      <c r="E11" s="775">
        <v>0</v>
      </c>
      <c r="F11" s="775">
        <v>0</v>
      </c>
      <c r="G11" s="775"/>
      <c r="H11" s="775"/>
      <c r="I11" s="775">
        <v>0</v>
      </c>
      <c r="J11" s="775"/>
      <c r="K11" s="775"/>
      <c r="L11" s="775"/>
      <c r="M11" s="775">
        <v>0</v>
      </c>
      <c r="N11" s="775"/>
      <c r="O11" s="775">
        <v>0</v>
      </c>
      <c r="P11" s="775">
        <v>0</v>
      </c>
      <c r="Q11" s="775">
        <v>1.83</v>
      </c>
      <c r="R11" s="775">
        <v>1</v>
      </c>
      <c r="S11" s="775">
        <v>0.34</v>
      </c>
      <c r="T11" s="775"/>
      <c r="U11" s="775">
        <v>1.83</v>
      </c>
      <c r="V11" s="775">
        <v>1</v>
      </c>
      <c r="W11" s="775">
        <v>0.34</v>
      </c>
      <c r="X11" s="280"/>
      <c r="Z11" s="281">
        <f>Est2017DistRev!Z11</f>
        <v>1.016</v>
      </c>
      <c r="AA11" s="255">
        <f>Est2017DistRev!AA11</f>
        <v>0</v>
      </c>
      <c r="AB11" s="255">
        <f>Est2017DistRev!AB11</f>
        <v>0</v>
      </c>
      <c r="AC11" s="255">
        <f>Est2017DistRev!AC11</f>
        <v>0</v>
      </c>
      <c r="AD11" s="255">
        <f>Est2017DistRev!AD11</f>
        <v>0</v>
      </c>
      <c r="AE11" s="255">
        <f>Est2017DistRev!AE11</f>
        <v>0</v>
      </c>
      <c r="AF11" s="255">
        <f>Est2017DistRev!AF11</f>
        <v>0</v>
      </c>
      <c r="AG11" s="255">
        <f>Est2017DistRev!AG11</f>
        <v>0</v>
      </c>
      <c r="AH11" s="255">
        <f>Est2017DistRev!AH11</f>
        <v>0</v>
      </c>
      <c r="AI11" s="255">
        <f>Est2017DistRev!AI11</f>
        <v>0</v>
      </c>
      <c r="AJ11" s="255">
        <f>Est2017DistRev!AJ11</f>
        <v>0</v>
      </c>
      <c r="AK11" s="255">
        <f>Est2017DistRev!AK11</f>
        <v>0</v>
      </c>
      <c r="AL11" s="255">
        <f>Est2017DistRev!AL11</f>
        <v>0</v>
      </c>
      <c r="AM11" s="255">
        <f>Est2017DistRev!AM11</f>
        <v>1694.7944187829996</v>
      </c>
      <c r="AN11" s="255">
        <f>Est2017DistRev!AN11</f>
        <v>2947.3827136374098</v>
      </c>
      <c r="AO11" s="255">
        <f>Est2017DistRev!AO11</f>
        <v>2050.1780335300659</v>
      </c>
      <c r="AP11" s="255">
        <f>Est2017DistRev!AP11</f>
        <v>0</v>
      </c>
      <c r="AQ11" s="255">
        <f>Est2017DistRev!AQ11</f>
        <v>1694.7944187829996</v>
      </c>
      <c r="AR11" s="255">
        <f>Est2017DistRev!AR11</f>
        <v>2947.3827136374098</v>
      </c>
      <c r="AS11" s="255">
        <f>Est2017DistRev!AS11</f>
        <v>2050.1780335300659</v>
      </c>
      <c r="AT11" s="256">
        <f>Est2017DistRev!AT11</f>
        <v>0</v>
      </c>
      <c r="AV11" s="257">
        <f t="shared" si="5"/>
        <v>0</v>
      </c>
      <c r="AW11" s="224">
        <f t="shared" si="6"/>
        <v>0</v>
      </c>
      <c r="AX11" s="224">
        <f t="shared" si="7"/>
        <v>0</v>
      </c>
      <c r="AY11" s="224">
        <f t="shared" si="8"/>
        <v>0</v>
      </c>
      <c r="AZ11" s="224">
        <f t="shared" si="9"/>
        <v>0</v>
      </c>
      <c r="BA11" s="224">
        <f t="shared" si="10"/>
        <v>0</v>
      </c>
      <c r="BB11" s="224">
        <f t="shared" si="11"/>
        <v>0</v>
      </c>
      <c r="BC11" s="224">
        <f t="shared" si="12"/>
        <v>0</v>
      </c>
      <c r="BD11" s="224">
        <f t="shared" si="13"/>
        <v>0</v>
      </c>
      <c r="BE11" s="224">
        <f t="shared" si="14"/>
        <v>0</v>
      </c>
      <c r="BF11" s="224">
        <f t="shared" si="15"/>
        <v>0</v>
      </c>
      <c r="BG11" s="224">
        <f t="shared" si="16"/>
        <v>0</v>
      </c>
      <c r="BH11" s="224">
        <f t="shared" si="17"/>
        <v>0</v>
      </c>
      <c r="BI11" s="258">
        <f t="shared" si="18"/>
        <v>31.014737863728893</v>
      </c>
      <c r="BJ11" s="258">
        <f t="shared" si="19"/>
        <v>29.473827136374098</v>
      </c>
      <c r="BK11" s="258">
        <f t="shared" si="20"/>
        <v>6.9706053140022251</v>
      </c>
      <c r="BL11" s="258">
        <f t="shared" si="21"/>
        <v>0</v>
      </c>
      <c r="BM11" s="258">
        <f t="shared" si="22"/>
        <v>31.014737863728893</v>
      </c>
      <c r="BN11" s="258">
        <f t="shared" si="23"/>
        <v>29.473827136374098</v>
      </c>
      <c r="BO11" s="258">
        <f t="shared" si="24"/>
        <v>6.9706053140022251</v>
      </c>
      <c r="BP11" s="258">
        <f t="shared" si="25"/>
        <v>0</v>
      </c>
      <c r="BQ11" s="259">
        <f t="shared" si="26"/>
        <v>134.91834062821044</v>
      </c>
    </row>
    <row r="12" spans="1:69">
      <c r="A12" s="199" t="str">
        <f>Est2017DistRev!A12</f>
        <v>P13RCS</v>
      </c>
      <c r="B12" s="238" t="str">
        <f>Est2017DistRev!B12</f>
        <v>Climate Saver - Flexible Pricing</v>
      </c>
      <c r="D12" s="778">
        <v>0</v>
      </c>
      <c r="E12" s="775">
        <v>0</v>
      </c>
      <c r="F12" s="775">
        <v>0</v>
      </c>
      <c r="G12" s="775"/>
      <c r="H12" s="775"/>
      <c r="I12" s="775">
        <v>0</v>
      </c>
      <c r="J12" s="775"/>
      <c r="K12" s="775"/>
      <c r="L12" s="775"/>
      <c r="M12" s="775">
        <v>0</v>
      </c>
      <c r="N12" s="775"/>
      <c r="O12" s="775">
        <v>0</v>
      </c>
      <c r="P12" s="775">
        <v>0</v>
      </c>
      <c r="Q12" s="775">
        <v>2.62</v>
      </c>
      <c r="R12" s="775">
        <v>0</v>
      </c>
      <c r="S12" s="775">
        <v>0</v>
      </c>
      <c r="T12" s="775"/>
      <c r="U12" s="775">
        <v>0.53</v>
      </c>
      <c r="V12" s="775">
        <v>0</v>
      </c>
      <c r="W12" s="775">
        <v>0</v>
      </c>
      <c r="X12" s="280"/>
      <c r="Z12" s="281">
        <f>Est2017DistRev!Z12</f>
        <v>0</v>
      </c>
      <c r="AA12" s="255">
        <f>Est2017DistRev!AA12</f>
        <v>0</v>
      </c>
      <c r="AB12" s="255">
        <f>Est2017DistRev!AB12</f>
        <v>0</v>
      </c>
      <c r="AC12" s="255">
        <f>Est2017DistRev!AC12</f>
        <v>0</v>
      </c>
      <c r="AD12" s="255">
        <f>Est2017DistRev!AD12</f>
        <v>0</v>
      </c>
      <c r="AE12" s="255">
        <f>Est2017DistRev!AE12</f>
        <v>0</v>
      </c>
      <c r="AF12" s="255">
        <f>Est2017DistRev!AF12</f>
        <v>0</v>
      </c>
      <c r="AG12" s="255">
        <f>Est2017DistRev!AG12</f>
        <v>0</v>
      </c>
      <c r="AH12" s="255">
        <f>Est2017DistRev!AH12</f>
        <v>0</v>
      </c>
      <c r="AI12" s="255">
        <f>Est2017DistRev!AI12</f>
        <v>0</v>
      </c>
      <c r="AJ12" s="255">
        <f>Est2017DistRev!AJ12</f>
        <v>0</v>
      </c>
      <c r="AK12" s="255">
        <f>Est2017DistRev!AK12</f>
        <v>0</v>
      </c>
      <c r="AL12" s="255">
        <f>Est2017DistRev!AL12</f>
        <v>0</v>
      </c>
      <c r="AM12" s="255">
        <f>Est2017DistRev!AM12</f>
        <v>12044.168215029615</v>
      </c>
      <c r="AN12" s="255">
        <f>Est2017DistRev!AN12</f>
        <v>0</v>
      </c>
      <c r="AO12" s="255">
        <f>Est2017DistRev!AO12</f>
        <v>0</v>
      </c>
      <c r="AP12" s="255">
        <f>Est2017DistRev!AP12</f>
        <v>0</v>
      </c>
      <c r="AQ12" s="255">
        <f>Est2017DistRev!AQ12</f>
        <v>12044.168215029615</v>
      </c>
      <c r="AR12" s="255">
        <f>Est2017DistRev!AR12</f>
        <v>0</v>
      </c>
      <c r="AS12" s="255">
        <f>Est2017DistRev!AS12</f>
        <v>0</v>
      </c>
      <c r="AT12" s="256">
        <f>Est2017DistRev!AT12</f>
        <v>0</v>
      </c>
      <c r="AV12" s="257">
        <f t="shared" si="5"/>
        <v>0</v>
      </c>
      <c r="AW12" s="224">
        <f t="shared" si="6"/>
        <v>0</v>
      </c>
      <c r="AX12" s="224">
        <f t="shared" si="7"/>
        <v>0</v>
      </c>
      <c r="AY12" s="224">
        <f t="shared" si="8"/>
        <v>0</v>
      </c>
      <c r="AZ12" s="224">
        <f t="shared" si="9"/>
        <v>0</v>
      </c>
      <c r="BA12" s="224">
        <f t="shared" si="10"/>
        <v>0</v>
      </c>
      <c r="BB12" s="224">
        <f t="shared" si="11"/>
        <v>0</v>
      </c>
      <c r="BC12" s="224">
        <f t="shared" si="12"/>
        <v>0</v>
      </c>
      <c r="BD12" s="224">
        <f t="shared" si="13"/>
        <v>0</v>
      </c>
      <c r="BE12" s="224">
        <f t="shared" si="14"/>
        <v>0</v>
      </c>
      <c r="BF12" s="224">
        <f t="shared" si="15"/>
        <v>0</v>
      </c>
      <c r="BG12" s="224">
        <f t="shared" si="16"/>
        <v>0</v>
      </c>
      <c r="BH12" s="224">
        <f t="shared" si="17"/>
        <v>0</v>
      </c>
      <c r="BI12" s="258">
        <f t="shared" si="18"/>
        <v>315.5572072337759</v>
      </c>
      <c r="BJ12" s="258">
        <f t="shared" si="19"/>
        <v>0</v>
      </c>
      <c r="BK12" s="258">
        <f t="shared" si="20"/>
        <v>0</v>
      </c>
      <c r="BL12" s="258">
        <f t="shared" si="21"/>
        <v>0</v>
      </c>
      <c r="BM12" s="258">
        <f t="shared" si="22"/>
        <v>63.83409153965696</v>
      </c>
      <c r="BN12" s="258">
        <f t="shared" si="23"/>
        <v>0</v>
      </c>
      <c r="BO12" s="258">
        <f t="shared" si="24"/>
        <v>0</v>
      </c>
      <c r="BP12" s="258">
        <f t="shared" si="25"/>
        <v>0</v>
      </c>
      <c r="BQ12" s="259">
        <f t="shared" si="26"/>
        <v>379.39129877343288</v>
      </c>
    </row>
    <row r="13" spans="1:69">
      <c r="A13" s="199" t="str">
        <f>Est2017DistRev!A13</f>
        <v>P1DK</v>
      </c>
      <c r="B13" s="238" t="str">
        <f>Est2017DistRev!B13</f>
        <v>Docklands single rate</v>
      </c>
      <c r="D13" s="778">
        <v>0</v>
      </c>
      <c r="E13" s="775">
        <v>1.68</v>
      </c>
      <c r="F13" s="775">
        <v>0</v>
      </c>
      <c r="G13" s="775"/>
      <c r="H13" s="775"/>
      <c r="I13" s="775">
        <v>0</v>
      </c>
      <c r="J13" s="775"/>
      <c r="K13" s="775"/>
      <c r="L13" s="775"/>
      <c r="M13" s="775">
        <v>0</v>
      </c>
      <c r="N13" s="775"/>
      <c r="O13" s="775">
        <v>0</v>
      </c>
      <c r="P13" s="775">
        <v>0</v>
      </c>
      <c r="Q13" s="775">
        <v>0</v>
      </c>
      <c r="R13" s="775">
        <v>0</v>
      </c>
      <c r="S13" s="775">
        <v>0</v>
      </c>
      <c r="T13" s="775"/>
      <c r="U13" s="775">
        <v>0</v>
      </c>
      <c r="V13" s="775">
        <v>0</v>
      </c>
      <c r="W13" s="775">
        <v>0</v>
      </c>
      <c r="X13" s="280"/>
      <c r="Z13" s="281">
        <f>Est2017DistRev!Z13</f>
        <v>0</v>
      </c>
      <c r="AA13" s="255">
        <f>Est2017DistRev!AA13</f>
        <v>0</v>
      </c>
      <c r="AB13" s="255">
        <f>Est2017DistRev!AB13</f>
        <v>0</v>
      </c>
      <c r="AC13" s="255">
        <f>Est2017DistRev!AC13</f>
        <v>0</v>
      </c>
      <c r="AD13" s="255">
        <f>Est2017DistRev!AD13</f>
        <v>0</v>
      </c>
      <c r="AE13" s="255">
        <f>Est2017DistRev!AE13</f>
        <v>0</v>
      </c>
      <c r="AF13" s="255">
        <f>Est2017DistRev!AF13</f>
        <v>0</v>
      </c>
      <c r="AG13" s="255">
        <f>Est2017DistRev!AG13</f>
        <v>0</v>
      </c>
      <c r="AH13" s="255">
        <f>Est2017DistRev!AH13</f>
        <v>0</v>
      </c>
      <c r="AI13" s="255">
        <f>Est2017DistRev!AI13</f>
        <v>0</v>
      </c>
      <c r="AJ13" s="255">
        <f>Est2017DistRev!AJ13</f>
        <v>0</v>
      </c>
      <c r="AK13" s="255">
        <f>Est2017DistRev!AK13</f>
        <v>0</v>
      </c>
      <c r="AL13" s="255">
        <f>Est2017DistRev!AL13</f>
        <v>0</v>
      </c>
      <c r="AM13" s="255">
        <f>Est2017DistRev!AM13</f>
        <v>0</v>
      </c>
      <c r="AN13" s="255">
        <f>Est2017DistRev!AN13</f>
        <v>0</v>
      </c>
      <c r="AO13" s="255">
        <f>Est2017DistRev!AO13</f>
        <v>0</v>
      </c>
      <c r="AP13" s="255">
        <f>Est2017DistRev!AP13</f>
        <v>0</v>
      </c>
      <c r="AQ13" s="255">
        <f>Est2017DistRev!AQ13</f>
        <v>0</v>
      </c>
      <c r="AR13" s="255">
        <f>Est2017DistRev!AR13</f>
        <v>0</v>
      </c>
      <c r="AS13" s="255">
        <f>Est2017DistRev!AS13</f>
        <v>0</v>
      </c>
      <c r="AT13" s="256">
        <f>Est2017DistRev!AT13</f>
        <v>0</v>
      </c>
      <c r="AV13" s="257">
        <f t="shared" si="5"/>
        <v>0</v>
      </c>
      <c r="AW13" s="224">
        <f t="shared" si="6"/>
        <v>0</v>
      </c>
      <c r="AX13" s="224">
        <f t="shared" si="7"/>
        <v>0</v>
      </c>
      <c r="AY13" s="224">
        <f t="shared" si="8"/>
        <v>0</v>
      </c>
      <c r="AZ13" s="224">
        <f t="shared" si="9"/>
        <v>0</v>
      </c>
      <c r="BA13" s="224">
        <f t="shared" si="10"/>
        <v>0</v>
      </c>
      <c r="BB13" s="224">
        <f t="shared" si="11"/>
        <v>0</v>
      </c>
      <c r="BC13" s="224">
        <f t="shared" si="12"/>
        <v>0</v>
      </c>
      <c r="BD13" s="224">
        <f t="shared" si="13"/>
        <v>0</v>
      </c>
      <c r="BE13" s="224">
        <f t="shared" si="14"/>
        <v>0</v>
      </c>
      <c r="BF13" s="224">
        <f t="shared" si="15"/>
        <v>0</v>
      </c>
      <c r="BG13" s="224">
        <f t="shared" si="16"/>
        <v>0</v>
      </c>
      <c r="BH13" s="224">
        <f t="shared" si="17"/>
        <v>0</v>
      </c>
      <c r="BI13" s="258">
        <f t="shared" si="18"/>
        <v>0</v>
      </c>
      <c r="BJ13" s="258">
        <f t="shared" si="19"/>
        <v>0</v>
      </c>
      <c r="BK13" s="258">
        <f t="shared" si="20"/>
        <v>0</v>
      </c>
      <c r="BL13" s="258">
        <f t="shared" si="21"/>
        <v>0</v>
      </c>
      <c r="BM13" s="258">
        <f t="shared" si="22"/>
        <v>0</v>
      </c>
      <c r="BN13" s="258">
        <f t="shared" si="23"/>
        <v>0</v>
      </c>
      <c r="BO13" s="258">
        <f t="shared" si="24"/>
        <v>0</v>
      </c>
      <c r="BP13" s="258">
        <f t="shared" si="25"/>
        <v>0</v>
      </c>
      <c r="BQ13" s="259">
        <f t="shared" si="26"/>
        <v>0</v>
      </c>
    </row>
    <row r="14" spans="1:69">
      <c r="A14" s="199" t="str">
        <f>Est2017DistRev!A14</f>
        <v>D2</v>
      </c>
      <c r="B14" s="238" t="str">
        <f>Est2017DistRev!B14</f>
        <v>Residential Two Rate 5d</v>
      </c>
      <c r="D14" s="778">
        <v>0</v>
      </c>
      <c r="E14" s="775">
        <v>0</v>
      </c>
      <c r="F14" s="775">
        <v>3.25</v>
      </c>
      <c r="G14" s="775"/>
      <c r="H14" s="775"/>
      <c r="I14" s="775">
        <v>0.61</v>
      </c>
      <c r="J14" s="775"/>
      <c r="K14" s="775"/>
      <c r="L14" s="775"/>
      <c r="M14" s="775">
        <v>0</v>
      </c>
      <c r="N14" s="775"/>
      <c r="O14" s="775">
        <v>0</v>
      </c>
      <c r="P14" s="775">
        <v>0</v>
      </c>
      <c r="Q14" s="775">
        <v>0</v>
      </c>
      <c r="R14" s="775">
        <v>0</v>
      </c>
      <c r="S14" s="775">
        <v>0</v>
      </c>
      <c r="T14" s="775"/>
      <c r="U14" s="775">
        <v>0</v>
      </c>
      <c r="V14" s="775">
        <v>0</v>
      </c>
      <c r="W14" s="775">
        <v>0</v>
      </c>
      <c r="X14" s="280"/>
      <c r="Z14" s="281">
        <f>Est2017DistRev!Z14</f>
        <v>46517.136666666673</v>
      </c>
      <c r="AA14" s="255">
        <f>Est2017DistRev!AA14</f>
        <v>0</v>
      </c>
      <c r="AB14" s="255">
        <f>Est2017DistRev!AB14</f>
        <v>108942665.5263553</v>
      </c>
      <c r="AC14" s="255">
        <f>Est2017DistRev!AC14</f>
        <v>0</v>
      </c>
      <c r="AD14" s="255">
        <f>Est2017DistRev!AD14</f>
        <v>0</v>
      </c>
      <c r="AE14" s="255">
        <f>Est2017DistRev!AE14</f>
        <v>91811104.21200189</v>
      </c>
      <c r="AF14" s="255">
        <f>Est2017DistRev!AF14</f>
        <v>0</v>
      </c>
      <c r="AG14" s="255">
        <f>Est2017DistRev!AG14</f>
        <v>0</v>
      </c>
      <c r="AH14" s="255">
        <f>Est2017DistRev!AH14</f>
        <v>0</v>
      </c>
      <c r="AI14" s="255">
        <f>Est2017DistRev!AI14</f>
        <v>0</v>
      </c>
      <c r="AJ14" s="255">
        <f>Est2017DistRev!AJ14</f>
        <v>0</v>
      </c>
      <c r="AK14" s="255">
        <f>Est2017DistRev!AK14</f>
        <v>0</v>
      </c>
      <c r="AL14" s="255">
        <f>Est2017DistRev!AL14</f>
        <v>0</v>
      </c>
      <c r="AM14" s="255">
        <f>Est2017DistRev!AM14</f>
        <v>0</v>
      </c>
      <c r="AN14" s="255">
        <f>Est2017DistRev!AN14</f>
        <v>0</v>
      </c>
      <c r="AO14" s="255">
        <f>Est2017DistRev!AO14</f>
        <v>0</v>
      </c>
      <c r="AP14" s="255">
        <f>Est2017DistRev!AP14</f>
        <v>0</v>
      </c>
      <c r="AQ14" s="255">
        <f>Est2017DistRev!AQ14</f>
        <v>0</v>
      </c>
      <c r="AR14" s="255">
        <f>Est2017DistRev!AR14</f>
        <v>0</v>
      </c>
      <c r="AS14" s="255">
        <f>Est2017DistRev!AS14</f>
        <v>0</v>
      </c>
      <c r="AT14" s="256">
        <f>Est2017DistRev!AT14</f>
        <v>0</v>
      </c>
      <c r="AV14" s="257">
        <f t="shared" si="5"/>
        <v>0</v>
      </c>
      <c r="AW14" s="224">
        <f t="shared" si="6"/>
        <v>0</v>
      </c>
      <c r="AX14" s="224">
        <f t="shared" si="7"/>
        <v>3540636.6296065473</v>
      </c>
      <c r="AY14" s="224">
        <f t="shared" si="8"/>
        <v>0</v>
      </c>
      <c r="AZ14" s="224">
        <f t="shared" si="9"/>
        <v>0</v>
      </c>
      <c r="BA14" s="224">
        <f t="shared" si="10"/>
        <v>560047.73569321143</v>
      </c>
      <c r="BB14" s="224">
        <f t="shared" si="11"/>
        <v>0</v>
      </c>
      <c r="BC14" s="224">
        <f t="shared" si="12"/>
        <v>0</v>
      </c>
      <c r="BD14" s="224">
        <f t="shared" si="13"/>
        <v>0</v>
      </c>
      <c r="BE14" s="224">
        <f t="shared" si="14"/>
        <v>0</v>
      </c>
      <c r="BF14" s="224">
        <f t="shared" si="15"/>
        <v>0</v>
      </c>
      <c r="BG14" s="224">
        <f t="shared" si="16"/>
        <v>0</v>
      </c>
      <c r="BH14" s="224">
        <f t="shared" si="17"/>
        <v>0</v>
      </c>
      <c r="BI14" s="258">
        <f t="shared" si="18"/>
        <v>0</v>
      </c>
      <c r="BJ14" s="258">
        <f t="shared" si="19"/>
        <v>0</v>
      </c>
      <c r="BK14" s="258">
        <f t="shared" si="20"/>
        <v>0</v>
      </c>
      <c r="BL14" s="258">
        <f t="shared" si="21"/>
        <v>0</v>
      </c>
      <c r="BM14" s="258">
        <f t="shared" si="22"/>
        <v>0</v>
      </c>
      <c r="BN14" s="258">
        <f t="shared" si="23"/>
        <v>0</v>
      </c>
      <c r="BO14" s="258">
        <f t="shared" si="24"/>
        <v>0</v>
      </c>
      <c r="BP14" s="258">
        <f t="shared" si="25"/>
        <v>0</v>
      </c>
      <c r="BQ14" s="259">
        <f t="shared" si="26"/>
        <v>4100684.3652997585</v>
      </c>
    </row>
    <row r="15" spans="1:69">
      <c r="A15" s="199" t="str">
        <f>Est2017DistRev!A15</f>
        <v>D2DK</v>
      </c>
      <c r="B15" s="238" t="str">
        <f>Est2017DistRev!B15</f>
        <v>Docklands Two Rate 5d</v>
      </c>
      <c r="D15" s="778">
        <v>0</v>
      </c>
      <c r="E15" s="775">
        <v>0</v>
      </c>
      <c r="F15" s="775">
        <v>3.04</v>
      </c>
      <c r="G15" s="775"/>
      <c r="H15" s="775"/>
      <c r="I15" s="775">
        <v>0.53</v>
      </c>
      <c r="J15" s="775"/>
      <c r="K15" s="775"/>
      <c r="L15" s="775"/>
      <c r="M15" s="775">
        <v>0</v>
      </c>
      <c r="N15" s="775"/>
      <c r="O15" s="775">
        <v>0</v>
      </c>
      <c r="P15" s="775">
        <v>0</v>
      </c>
      <c r="Q15" s="775">
        <v>0</v>
      </c>
      <c r="R15" s="775">
        <v>0</v>
      </c>
      <c r="S15" s="775">
        <v>0</v>
      </c>
      <c r="T15" s="775"/>
      <c r="U15" s="775">
        <v>0</v>
      </c>
      <c r="V15" s="775">
        <v>0</v>
      </c>
      <c r="W15" s="775">
        <v>0</v>
      </c>
      <c r="X15" s="280"/>
      <c r="Z15" s="281">
        <f>Est2017DistRev!Z15</f>
        <v>597.57733333333329</v>
      </c>
      <c r="AA15" s="255">
        <f>Est2017DistRev!AA15</f>
        <v>0</v>
      </c>
      <c r="AB15" s="255">
        <f>Est2017DistRev!AB15</f>
        <v>1881879.4437823901</v>
      </c>
      <c r="AC15" s="255">
        <f>Est2017DistRev!AC15</f>
        <v>0</v>
      </c>
      <c r="AD15" s="255">
        <f>Est2017DistRev!AD15</f>
        <v>0</v>
      </c>
      <c r="AE15" s="255">
        <f>Est2017DistRev!AE15</f>
        <v>1633431.6029321533</v>
      </c>
      <c r="AF15" s="255">
        <f>Est2017DistRev!AF15</f>
        <v>0</v>
      </c>
      <c r="AG15" s="255">
        <f>Est2017DistRev!AG15</f>
        <v>0</v>
      </c>
      <c r="AH15" s="255">
        <f>Est2017DistRev!AH15</f>
        <v>0</v>
      </c>
      <c r="AI15" s="255">
        <f>Est2017DistRev!AI15</f>
        <v>0</v>
      </c>
      <c r="AJ15" s="255">
        <f>Est2017DistRev!AJ15</f>
        <v>0</v>
      </c>
      <c r="AK15" s="255">
        <f>Est2017DistRev!AK15</f>
        <v>0</v>
      </c>
      <c r="AL15" s="255">
        <f>Est2017DistRev!AL15</f>
        <v>0</v>
      </c>
      <c r="AM15" s="255">
        <f>Est2017DistRev!AM15</f>
        <v>0</v>
      </c>
      <c r="AN15" s="255">
        <f>Est2017DistRev!AN15</f>
        <v>0</v>
      </c>
      <c r="AO15" s="255">
        <f>Est2017DistRev!AO15</f>
        <v>0</v>
      </c>
      <c r="AP15" s="255">
        <f>Est2017DistRev!AP15</f>
        <v>0</v>
      </c>
      <c r="AQ15" s="255">
        <f>Est2017DistRev!AQ15</f>
        <v>0</v>
      </c>
      <c r="AR15" s="255">
        <f>Est2017DistRev!AR15</f>
        <v>0</v>
      </c>
      <c r="AS15" s="255">
        <f>Est2017DistRev!AS15</f>
        <v>0</v>
      </c>
      <c r="AT15" s="256">
        <f>Est2017DistRev!AT15</f>
        <v>0</v>
      </c>
      <c r="AV15" s="257">
        <f t="shared" si="5"/>
        <v>0</v>
      </c>
      <c r="AW15" s="224">
        <f t="shared" si="6"/>
        <v>0</v>
      </c>
      <c r="AX15" s="224">
        <f t="shared" si="7"/>
        <v>57209.135090984659</v>
      </c>
      <c r="AY15" s="224">
        <f t="shared" si="8"/>
        <v>0</v>
      </c>
      <c r="AZ15" s="224">
        <f t="shared" si="9"/>
        <v>0</v>
      </c>
      <c r="BA15" s="224">
        <f t="shared" si="10"/>
        <v>8657.1874955404128</v>
      </c>
      <c r="BB15" s="224">
        <f t="shared" si="11"/>
        <v>0</v>
      </c>
      <c r="BC15" s="224">
        <f t="shared" si="12"/>
        <v>0</v>
      </c>
      <c r="BD15" s="224">
        <f t="shared" si="13"/>
        <v>0</v>
      </c>
      <c r="BE15" s="224">
        <f t="shared" si="14"/>
        <v>0</v>
      </c>
      <c r="BF15" s="224">
        <f t="shared" si="15"/>
        <v>0</v>
      </c>
      <c r="BG15" s="224">
        <f t="shared" si="16"/>
        <v>0</v>
      </c>
      <c r="BH15" s="224">
        <f t="shared" si="17"/>
        <v>0</v>
      </c>
      <c r="BI15" s="258">
        <f t="shared" si="18"/>
        <v>0</v>
      </c>
      <c r="BJ15" s="258">
        <f t="shared" si="19"/>
        <v>0</v>
      </c>
      <c r="BK15" s="258">
        <f t="shared" si="20"/>
        <v>0</v>
      </c>
      <c r="BL15" s="258">
        <f t="shared" si="21"/>
        <v>0</v>
      </c>
      <c r="BM15" s="258">
        <f t="shared" si="22"/>
        <v>0</v>
      </c>
      <c r="BN15" s="258">
        <f t="shared" si="23"/>
        <v>0</v>
      </c>
      <c r="BO15" s="258">
        <f t="shared" si="24"/>
        <v>0</v>
      </c>
      <c r="BP15" s="258">
        <f t="shared" si="25"/>
        <v>0</v>
      </c>
      <c r="BQ15" s="259">
        <f t="shared" si="26"/>
        <v>65866.322586525072</v>
      </c>
    </row>
    <row r="16" spans="1:69">
      <c r="A16" s="199" t="str">
        <f>Est2017DistRev!A16</f>
        <v>D3</v>
      </c>
      <c r="B16" s="238" t="str">
        <f>Est2017DistRev!B16</f>
        <v>Residential Interval</v>
      </c>
      <c r="D16" s="778">
        <v>0</v>
      </c>
      <c r="E16" s="775">
        <v>0</v>
      </c>
      <c r="F16" s="775">
        <v>3.25</v>
      </c>
      <c r="G16" s="775"/>
      <c r="H16" s="775"/>
      <c r="I16" s="775">
        <v>0.61</v>
      </c>
      <c r="J16" s="775"/>
      <c r="K16" s="775"/>
      <c r="L16" s="775"/>
      <c r="M16" s="775">
        <v>0</v>
      </c>
      <c r="N16" s="775"/>
      <c r="O16" s="775">
        <v>0</v>
      </c>
      <c r="P16" s="775">
        <v>0</v>
      </c>
      <c r="Q16" s="775">
        <v>0</v>
      </c>
      <c r="R16" s="775">
        <v>0</v>
      </c>
      <c r="S16" s="775">
        <v>0</v>
      </c>
      <c r="T16" s="775"/>
      <c r="U16" s="775">
        <v>0</v>
      </c>
      <c r="V16" s="775">
        <v>0</v>
      </c>
      <c r="W16" s="775">
        <v>0</v>
      </c>
      <c r="X16" s="280"/>
      <c r="Z16" s="281">
        <f>Est2017DistRev!Z16</f>
        <v>110743.91533333334</v>
      </c>
      <c r="AA16" s="255">
        <f>Est2017DistRev!AA16</f>
        <v>0</v>
      </c>
      <c r="AB16" s="255">
        <f>Est2017DistRev!AB16</f>
        <v>265090478.7460216</v>
      </c>
      <c r="AC16" s="255">
        <f>Est2017DistRev!AC16</f>
        <v>0</v>
      </c>
      <c r="AD16" s="255">
        <f>Est2017DistRev!AD16</f>
        <v>0</v>
      </c>
      <c r="AE16" s="255">
        <f>Est2017DistRev!AE16</f>
        <v>268547798.58756679</v>
      </c>
      <c r="AF16" s="255">
        <f>Est2017DistRev!AF16</f>
        <v>0</v>
      </c>
      <c r="AG16" s="255">
        <f>Est2017DistRev!AG16</f>
        <v>0</v>
      </c>
      <c r="AH16" s="255">
        <f>Est2017DistRev!AH16</f>
        <v>0</v>
      </c>
      <c r="AI16" s="255">
        <f>Est2017DistRev!AI16</f>
        <v>0</v>
      </c>
      <c r="AJ16" s="255">
        <f>Est2017DistRev!AJ16</f>
        <v>0</v>
      </c>
      <c r="AK16" s="255">
        <f>Est2017DistRev!AK16</f>
        <v>0</v>
      </c>
      <c r="AL16" s="255">
        <f>Est2017DistRev!AL16</f>
        <v>0</v>
      </c>
      <c r="AM16" s="255">
        <f>Est2017DistRev!AM16</f>
        <v>0</v>
      </c>
      <c r="AN16" s="255">
        <f>Est2017DistRev!AN16</f>
        <v>0</v>
      </c>
      <c r="AO16" s="255">
        <f>Est2017DistRev!AO16</f>
        <v>0</v>
      </c>
      <c r="AP16" s="255">
        <f>Est2017DistRev!AP16</f>
        <v>0</v>
      </c>
      <c r="AQ16" s="255">
        <f>Est2017DistRev!AQ16</f>
        <v>0</v>
      </c>
      <c r="AR16" s="255">
        <f>Est2017DistRev!AR16</f>
        <v>0</v>
      </c>
      <c r="AS16" s="255">
        <f>Est2017DistRev!AS16</f>
        <v>0</v>
      </c>
      <c r="AT16" s="256">
        <f>Est2017DistRev!AT16</f>
        <v>0</v>
      </c>
      <c r="AV16" s="257">
        <f t="shared" si="5"/>
        <v>0</v>
      </c>
      <c r="AW16" s="224">
        <f t="shared" si="6"/>
        <v>0</v>
      </c>
      <c r="AX16" s="224">
        <f t="shared" si="7"/>
        <v>8615440.5592457019</v>
      </c>
      <c r="AY16" s="224">
        <f t="shared" si="8"/>
        <v>0</v>
      </c>
      <c r="AZ16" s="224">
        <f t="shared" si="9"/>
        <v>0</v>
      </c>
      <c r="BA16" s="224">
        <f t="shared" si="10"/>
        <v>1638141.5713841573</v>
      </c>
      <c r="BB16" s="224">
        <f t="shared" si="11"/>
        <v>0</v>
      </c>
      <c r="BC16" s="224">
        <f t="shared" si="12"/>
        <v>0</v>
      </c>
      <c r="BD16" s="224">
        <f t="shared" si="13"/>
        <v>0</v>
      </c>
      <c r="BE16" s="224">
        <f t="shared" si="14"/>
        <v>0</v>
      </c>
      <c r="BF16" s="224">
        <f t="shared" si="15"/>
        <v>0</v>
      </c>
      <c r="BG16" s="224">
        <f t="shared" si="16"/>
        <v>0</v>
      </c>
      <c r="BH16" s="224">
        <f t="shared" si="17"/>
        <v>0</v>
      </c>
      <c r="BI16" s="258">
        <f t="shared" si="18"/>
        <v>0</v>
      </c>
      <c r="BJ16" s="258">
        <f t="shared" si="19"/>
        <v>0</v>
      </c>
      <c r="BK16" s="258">
        <f t="shared" si="20"/>
        <v>0</v>
      </c>
      <c r="BL16" s="258">
        <f t="shared" si="21"/>
        <v>0</v>
      </c>
      <c r="BM16" s="258">
        <f t="shared" si="22"/>
        <v>0</v>
      </c>
      <c r="BN16" s="258">
        <f t="shared" si="23"/>
        <v>0</v>
      </c>
      <c r="BO16" s="258">
        <f t="shared" si="24"/>
        <v>0</v>
      </c>
      <c r="BP16" s="258">
        <f t="shared" si="25"/>
        <v>0</v>
      </c>
      <c r="BQ16" s="259">
        <f t="shared" si="26"/>
        <v>10253582.13062986</v>
      </c>
    </row>
    <row r="17" spans="1:69">
      <c r="A17" s="199" t="str">
        <f>Est2017DistRev!A17</f>
        <v>D2OP</v>
      </c>
      <c r="B17" s="238" t="str">
        <f>Est2017DistRev!B17</f>
        <v>Residential Two Rate 5d - controlled load</v>
      </c>
      <c r="D17" s="778">
        <v>0</v>
      </c>
      <c r="E17" s="775">
        <v>0</v>
      </c>
      <c r="F17" s="775">
        <v>0</v>
      </c>
      <c r="G17" s="775"/>
      <c r="H17" s="775"/>
      <c r="I17" s="775">
        <v>0.53</v>
      </c>
      <c r="J17" s="775"/>
      <c r="K17" s="775"/>
      <c r="L17" s="775"/>
      <c r="M17" s="775">
        <v>0</v>
      </c>
      <c r="N17" s="775"/>
      <c r="O17" s="775">
        <v>0</v>
      </c>
      <c r="P17" s="775">
        <v>0</v>
      </c>
      <c r="Q17" s="775">
        <v>0</v>
      </c>
      <c r="R17" s="775">
        <v>0</v>
      </c>
      <c r="S17" s="775">
        <v>0</v>
      </c>
      <c r="T17" s="775"/>
      <c r="U17" s="775">
        <v>0</v>
      </c>
      <c r="V17" s="775">
        <v>0</v>
      </c>
      <c r="W17" s="775">
        <v>0</v>
      </c>
      <c r="X17" s="280"/>
      <c r="Z17" s="281">
        <f>Est2017DistRev!Z17</f>
        <v>44006.770000000004</v>
      </c>
      <c r="AA17" s="255">
        <f>Est2017DistRev!AA17</f>
        <v>0</v>
      </c>
      <c r="AB17" s="255">
        <f>Est2017DistRev!AB17</f>
        <v>0</v>
      </c>
      <c r="AC17" s="255">
        <f>Est2017DistRev!AC17</f>
        <v>0</v>
      </c>
      <c r="AD17" s="255">
        <f>Est2017DistRev!AD17</f>
        <v>0</v>
      </c>
      <c r="AE17" s="255">
        <f>Est2017DistRev!AE17</f>
        <v>154161131.7488364</v>
      </c>
      <c r="AF17" s="255">
        <f>Est2017DistRev!AF17</f>
        <v>0</v>
      </c>
      <c r="AG17" s="255">
        <f>Est2017DistRev!AG17</f>
        <v>0</v>
      </c>
      <c r="AH17" s="255">
        <f>Est2017DistRev!AH17</f>
        <v>0</v>
      </c>
      <c r="AI17" s="255">
        <f>Est2017DistRev!AI17</f>
        <v>0</v>
      </c>
      <c r="AJ17" s="255">
        <f>Est2017DistRev!AJ17</f>
        <v>0</v>
      </c>
      <c r="AK17" s="255">
        <f>Est2017DistRev!AK17</f>
        <v>0</v>
      </c>
      <c r="AL17" s="255">
        <f>Est2017DistRev!AL17</f>
        <v>0</v>
      </c>
      <c r="AM17" s="255">
        <f>Est2017DistRev!AM17</f>
        <v>0</v>
      </c>
      <c r="AN17" s="255">
        <f>Est2017DistRev!AN17</f>
        <v>0</v>
      </c>
      <c r="AO17" s="255">
        <f>Est2017DistRev!AO17</f>
        <v>0</v>
      </c>
      <c r="AP17" s="255">
        <f>Est2017DistRev!AP17</f>
        <v>0</v>
      </c>
      <c r="AQ17" s="255">
        <f>Est2017DistRev!AQ17</f>
        <v>0</v>
      </c>
      <c r="AR17" s="255">
        <f>Est2017DistRev!AR17</f>
        <v>0</v>
      </c>
      <c r="AS17" s="255">
        <f>Est2017DistRev!AS17</f>
        <v>0</v>
      </c>
      <c r="AT17" s="256">
        <f>Est2017DistRev!AT17</f>
        <v>0</v>
      </c>
      <c r="AV17" s="257">
        <f t="shared" si="5"/>
        <v>0</v>
      </c>
      <c r="AW17" s="224">
        <f t="shared" si="6"/>
        <v>0</v>
      </c>
      <c r="AX17" s="224">
        <f t="shared" si="7"/>
        <v>0</v>
      </c>
      <c r="AY17" s="224">
        <f t="shared" si="8"/>
        <v>0</v>
      </c>
      <c r="AZ17" s="224">
        <f t="shared" si="9"/>
        <v>0</v>
      </c>
      <c r="BA17" s="224">
        <f t="shared" si="10"/>
        <v>817053.99826883292</v>
      </c>
      <c r="BB17" s="224">
        <f t="shared" si="11"/>
        <v>0</v>
      </c>
      <c r="BC17" s="224">
        <f t="shared" si="12"/>
        <v>0</v>
      </c>
      <c r="BD17" s="224">
        <f t="shared" si="13"/>
        <v>0</v>
      </c>
      <c r="BE17" s="224">
        <f t="shared" si="14"/>
        <v>0</v>
      </c>
      <c r="BF17" s="224">
        <f t="shared" si="15"/>
        <v>0</v>
      </c>
      <c r="BG17" s="224">
        <f t="shared" si="16"/>
        <v>0</v>
      </c>
      <c r="BH17" s="224">
        <f t="shared" si="17"/>
        <v>0</v>
      </c>
      <c r="BI17" s="258">
        <f t="shared" si="18"/>
        <v>0</v>
      </c>
      <c r="BJ17" s="258">
        <f t="shared" si="19"/>
        <v>0</v>
      </c>
      <c r="BK17" s="258">
        <f t="shared" si="20"/>
        <v>0</v>
      </c>
      <c r="BL17" s="258">
        <f t="shared" si="21"/>
        <v>0</v>
      </c>
      <c r="BM17" s="258">
        <f t="shared" si="22"/>
        <v>0</v>
      </c>
      <c r="BN17" s="258">
        <f t="shared" si="23"/>
        <v>0</v>
      </c>
      <c r="BO17" s="258">
        <f t="shared" si="24"/>
        <v>0</v>
      </c>
      <c r="BP17" s="258">
        <f t="shared" si="25"/>
        <v>0</v>
      </c>
      <c r="BQ17" s="259">
        <f t="shared" si="26"/>
        <v>817053.99826883292</v>
      </c>
    </row>
    <row r="18" spans="1:69">
      <c r="A18" s="199" t="str">
        <f>Est2017DistRev!A18</f>
        <v>D2DKOP</v>
      </c>
      <c r="B18" s="238" t="str">
        <f>Est2017DistRev!B18</f>
        <v>Docklands Two Rate 5d - controlled load</v>
      </c>
      <c r="D18" s="778">
        <v>0</v>
      </c>
      <c r="E18" s="775">
        <v>0</v>
      </c>
      <c r="F18" s="775">
        <v>0</v>
      </c>
      <c r="G18" s="775"/>
      <c r="H18" s="775"/>
      <c r="I18" s="775">
        <v>0.53</v>
      </c>
      <c r="J18" s="775"/>
      <c r="K18" s="775"/>
      <c r="L18" s="775"/>
      <c r="M18" s="775">
        <v>0</v>
      </c>
      <c r="N18" s="775"/>
      <c r="O18" s="775">
        <v>0</v>
      </c>
      <c r="P18" s="775">
        <v>0</v>
      </c>
      <c r="Q18" s="775">
        <v>0</v>
      </c>
      <c r="R18" s="775">
        <v>0</v>
      </c>
      <c r="S18" s="775">
        <v>0</v>
      </c>
      <c r="T18" s="775"/>
      <c r="U18" s="775">
        <v>0</v>
      </c>
      <c r="V18" s="775">
        <v>0</v>
      </c>
      <c r="W18" s="775">
        <v>0</v>
      </c>
      <c r="X18" s="280"/>
      <c r="Z18" s="281">
        <f>Est2017DistRev!Z18</f>
        <v>71.543333333333337</v>
      </c>
      <c r="AA18" s="255">
        <f>Est2017DistRev!AA18</f>
        <v>0</v>
      </c>
      <c r="AB18" s="255">
        <f>Est2017DistRev!AB18</f>
        <v>0</v>
      </c>
      <c r="AC18" s="255">
        <f>Est2017DistRev!AC18</f>
        <v>0</v>
      </c>
      <c r="AD18" s="255">
        <f>Est2017DistRev!AD18</f>
        <v>0</v>
      </c>
      <c r="AE18" s="255">
        <f>Est2017DistRev!AE18</f>
        <v>236514.13002538538</v>
      </c>
      <c r="AF18" s="255">
        <f>Est2017DistRev!AF18</f>
        <v>0</v>
      </c>
      <c r="AG18" s="255">
        <f>Est2017DistRev!AG18</f>
        <v>0</v>
      </c>
      <c r="AH18" s="255">
        <f>Est2017DistRev!AH18</f>
        <v>0</v>
      </c>
      <c r="AI18" s="255">
        <f>Est2017DistRev!AI18</f>
        <v>0</v>
      </c>
      <c r="AJ18" s="255">
        <f>Est2017DistRev!AJ18</f>
        <v>0</v>
      </c>
      <c r="AK18" s="255">
        <f>Est2017DistRev!AK18</f>
        <v>0</v>
      </c>
      <c r="AL18" s="255">
        <f>Est2017DistRev!AL18</f>
        <v>0</v>
      </c>
      <c r="AM18" s="255">
        <f>Est2017DistRev!AM18</f>
        <v>0</v>
      </c>
      <c r="AN18" s="255">
        <f>Est2017DistRev!AN18</f>
        <v>0</v>
      </c>
      <c r="AO18" s="255">
        <f>Est2017DistRev!AO18</f>
        <v>0</v>
      </c>
      <c r="AP18" s="255">
        <f>Est2017DistRev!AP18</f>
        <v>0</v>
      </c>
      <c r="AQ18" s="255">
        <f>Est2017DistRev!AQ18</f>
        <v>0</v>
      </c>
      <c r="AR18" s="255">
        <f>Est2017DistRev!AR18</f>
        <v>0</v>
      </c>
      <c r="AS18" s="255">
        <f>Est2017DistRev!AS18</f>
        <v>0</v>
      </c>
      <c r="AT18" s="256">
        <f>Est2017DistRev!AT18</f>
        <v>0</v>
      </c>
      <c r="AV18" s="257">
        <f t="shared" si="5"/>
        <v>0</v>
      </c>
      <c r="AW18" s="224">
        <f t="shared" si="6"/>
        <v>0</v>
      </c>
      <c r="AX18" s="224">
        <f t="shared" si="7"/>
        <v>0</v>
      </c>
      <c r="AY18" s="224">
        <f t="shared" si="8"/>
        <v>0</v>
      </c>
      <c r="AZ18" s="224">
        <f t="shared" si="9"/>
        <v>0</v>
      </c>
      <c r="BA18" s="224">
        <f t="shared" si="10"/>
        <v>1253.5248891345425</v>
      </c>
      <c r="BB18" s="224">
        <f t="shared" si="11"/>
        <v>0</v>
      </c>
      <c r="BC18" s="224">
        <f t="shared" si="12"/>
        <v>0</v>
      </c>
      <c r="BD18" s="224">
        <f t="shared" si="13"/>
        <v>0</v>
      </c>
      <c r="BE18" s="224">
        <f t="shared" si="14"/>
        <v>0</v>
      </c>
      <c r="BF18" s="224">
        <f t="shared" si="15"/>
        <v>0</v>
      </c>
      <c r="BG18" s="224">
        <f t="shared" si="16"/>
        <v>0</v>
      </c>
      <c r="BH18" s="224">
        <f t="shared" si="17"/>
        <v>0</v>
      </c>
      <c r="BI18" s="258">
        <f t="shared" si="18"/>
        <v>0</v>
      </c>
      <c r="BJ18" s="258">
        <f t="shared" si="19"/>
        <v>0</v>
      </c>
      <c r="BK18" s="258">
        <f t="shared" si="20"/>
        <v>0</v>
      </c>
      <c r="BL18" s="258">
        <f t="shared" si="21"/>
        <v>0</v>
      </c>
      <c r="BM18" s="258">
        <f t="shared" si="22"/>
        <v>0</v>
      </c>
      <c r="BN18" s="258">
        <f t="shared" si="23"/>
        <v>0</v>
      </c>
      <c r="BO18" s="258">
        <f t="shared" si="24"/>
        <v>0</v>
      </c>
      <c r="BP18" s="258">
        <f t="shared" si="25"/>
        <v>0</v>
      </c>
      <c r="BQ18" s="259">
        <f t="shared" si="26"/>
        <v>1253.5248891345425</v>
      </c>
    </row>
    <row r="19" spans="1:69">
      <c r="A19" s="199" t="str">
        <f>Est2017DistRev!A19</f>
        <v>DD1</v>
      </c>
      <c r="B19" s="238" t="str">
        <f>Est2017DistRev!B19</f>
        <v>Dedicated circuit</v>
      </c>
      <c r="D19" s="778">
        <v>0</v>
      </c>
      <c r="E19" s="775">
        <v>0</v>
      </c>
      <c r="F19" s="775">
        <v>0</v>
      </c>
      <c r="G19" s="775"/>
      <c r="H19" s="775"/>
      <c r="I19" s="775">
        <v>0.53</v>
      </c>
      <c r="J19" s="775"/>
      <c r="K19" s="775"/>
      <c r="L19" s="775"/>
      <c r="M19" s="775">
        <v>0</v>
      </c>
      <c r="N19" s="775"/>
      <c r="O19" s="775">
        <v>0</v>
      </c>
      <c r="P19" s="775">
        <v>0</v>
      </c>
      <c r="Q19" s="775">
        <v>0</v>
      </c>
      <c r="R19" s="775">
        <v>0</v>
      </c>
      <c r="S19" s="775">
        <v>0</v>
      </c>
      <c r="T19" s="775"/>
      <c r="U19" s="775">
        <v>0</v>
      </c>
      <c r="V19" s="775">
        <v>0</v>
      </c>
      <c r="W19" s="775">
        <v>0</v>
      </c>
      <c r="X19" s="280"/>
      <c r="Z19" s="281">
        <f>Est2017DistRev!Z19</f>
        <v>162615.45666666667</v>
      </c>
      <c r="AA19" s="255">
        <f>Est2017DistRev!AA19</f>
        <v>0</v>
      </c>
      <c r="AB19" s="255">
        <f>Est2017DistRev!AB19</f>
        <v>0</v>
      </c>
      <c r="AC19" s="255">
        <f>Est2017DistRev!AC19</f>
        <v>0</v>
      </c>
      <c r="AD19" s="255">
        <f>Est2017DistRev!AD19</f>
        <v>0</v>
      </c>
      <c r="AE19" s="255">
        <f>Est2017DistRev!AE19</f>
        <v>309268174.56061345</v>
      </c>
      <c r="AF19" s="255">
        <f>Est2017DistRev!AF19</f>
        <v>0</v>
      </c>
      <c r="AG19" s="255">
        <f>Est2017DistRev!AG19</f>
        <v>0</v>
      </c>
      <c r="AH19" s="255">
        <f>Est2017DistRev!AH19</f>
        <v>0</v>
      </c>
      <c r="AI19" s="255">
        <f>Est2017DistRev!AI19</f>
        <v>0</v>
      </c>
      <c r="AJ19" s="255">
        <f>Est2017DistRev!AJ19</f>
        <v>0</v>
      </c>
      <c r="AK19" s="255">
        <f>Est2017DistRev!AK19</f>
        <v>0</v>
      </c>
      <c r="AL19" s="255">
        <f>Est2017DistRev!AL19</f>
        <v>0</v>
      </c>
      <c r="AM19" s="255">
        <f>Est2017DistRev!AM19</f>
        <v>0</v>
      </c>
      <c r="AN19" s="255">
        <f>Est2017DistRev!AN19</f>
        <v>0</v>
      </c>
      <c r="AO19" s="255">
        <f>Est2017DistRev!AO19</f>
        <v>0</v>
      </c>
      <c r="AP19" s="255">
        <f>Est2017DistRev!AP19</f>
        <v>0</v>
      </c>
      <c r="AQ19" s="255">
        <f>Est2017DistRev!AQ19</f>
        <v>0</v>
      </c>
      <c r="AR19" s="255">
        <f>Est2017DistRev!AR19</f>
        <v>0</v>
      </c>
      <c r="AS19" s="255">
        <f>Est2017DistRev!AS19</f>
        <v>0</v>
      </c>
      <c r="AT19" s="256">
        <f>Est2017DistRev!AT19</f>
        <v>0</v>
      </c>
      <c r="AV19" s="257">
        <f t="shared" si="5"/>
        <v>0</v>
      </c>
      <c r="AW19" s="224">
        <f t="shared" si="6"/>
        <v>0</v>
      </c>
      <c r="AX19" s="224">
        <f t="shared" si="7"/>
        <v>0</v>
      </c>
      <c r="AY19" s="224">
        <f t="shared" si="8"/>
        <v>0</v>
      </c>
      <c r="AZ19" s="224">
        <f t="shared" si="9"/>
        <v>0</v>
      </c>
      <c r="BA19" s="224">
        <f t="shared" si="10"/>
        <v>1639121.3251712513</v>
      </c>
      <c r="BB19" s="224">
        <f t="shared" si="11"/>
        <v>0</v>
      </c>
      <c r="BC19" s="224">
        <f t="shared" si="12"/>
        <v>0</v>
      </c>
      <c r="BD19" s="224">
        <f t="shared" si="13"/>
        <v>0</v>
      </c>
      <c r="BE19" s="224">
        <f t="shared" si="14"/>
        <v>0</v>
      </c>
      <c r="BF19" s="224">
        <f t="shared" si="15"/>
        <v>0</v>
      </c>
      <c r="BG19" s="224">
        <f t="shared" si="16"/>
        <v>0</v>
      </c>
      <c r="BH19" s="224">
        <f t="shared" si="17"/>
        <v>0</v>
      </c>
      <c r="BI19" s="258">
        <f t="shared" si="18"/>
        <v>0</v>
      </c>
      <c r="BJ19" s="258">
        <f t="shared" si="19"/>
        <v>0</v>
      </c>
      <c r="BK19" s="258">
        <f t="shared" si="20"/>
        <v>0</v>
      </c>
      <c r="BL19" s="258">
        <f t="shared" si="21"/>
        <v>0</v>
      </c>
      <c r="BM19" s="258">
        <f t="shared" si="22"/>
        <v>0</v>
      </c>
      <c r="BN19" s="258">
        <f t="shared" si="23"/>
        <v>0</v>
      </c>
      <c r="BO19" s="258">
        <f t="shared" si="24"/>
        <v>0</v>
      </c>
      <c r="BP19" s="258">
        <f t="shared" si="25"/>
        <v>0</v>
      </c>
      <c r="BQ19" s="259">
        <f t="shared" si="26"/>
        <v>1639121.3251712513</v>
      </c>
    </row>
    <row r="20" spans="1:69">
      <c r="A20" s="199" t="str">
        <f>Est2017DistRev!A20</f>
        <v>D3HW</v>
      </c>
      <c r="B20" s="238" t="str">
        <f>Est2017DistRev!B20</f>
        <v>Hot Water Interval</v>
      </c>
      <c r="D20" s="778">
        <v>0</v>
      </c>
      <c r="E20" s="775">
        <v>0</v>
      </c>
      <c r="F20" s="775">
        <v>0</v>
      </c>
      <c r="G20" s="775"/>
      <c r="H20" s="775"/>
      <c r="I20" s="775">
        <v>0.53</v>
      </c>
      <c r="J20" s="775"/>
      <c r="K20" s="775"/>
      <c r="L20" s="775"/>
      <c r="M20" s="775">
        <v>0</v>
      </c>
      <c r="N20" s="775"/>
      <c r="O20" s="775">
        <v>0</v>
      </c>
      <c r="P20" s="775">
        <v>0</v>
      </c>
      <c r="Q20" s="775">
        <v>0</v>
      </c>
      <c r="R20" s="775">
        <v>0</v>
      </c>
      <c r="S20" s="775">
        <v>0</v>
      </c>
      <c r="T20" s="775"/>
      <c r="U20" s="775">
        <v>0</v>
      </c>
      <c r="V20" s="775">
        <v>0</v>
      </c>
      <c r="W20" s="775">
        <v>0</v>
      </c>
      <c r="X20" s="280"/>
      <c r="Z20" s="281">
        <f>Est2017DistRev!Z20</f>
        <v>5649.0446666666667</v>
      </c>
      <c r="AA20" s="255">
        <f>Est2017DistRev!AA20</f>
        <v>0</v>
      </c>
      <c r="AB20" s="255">
        <f>Est2017DistRev!AB20</f>
        <v>0</v>
      </c>
      <c r="AC20" s="255">
        <f>Est2017DistRev!AC20</f>
        <v>0</v>
      </c>
      <c r="AD20" s="255">
        <f>Est2017DistRev!AD20</f>
        <v>0</v>
      </c>
      <c r="AE20" s="255">
        <f>Est2017DistRev!AE20</f>
        <v>10262602.38403964</v>
      </c>
      <c r="AF20" s="255">
        <f>Est2017DistRev!AF20</f>
        <v>0</v>
      </c>
      <c r="AG20" s="255">
        <f>Est2017DistRev!AG20</f>
        <v>0</v>
      </c>
      <c r="AH20" s="255">
        <f>Est2017DistRev!AH20</f>
        <v>0</v>
      </c>
      <c r="AI20" s="255">
        <f>Est2017DistRev!AI20</f>
        <v>0</v>
      </c>
      <c r="AJ20" s="255">
        <f>Est2017DistRev!AJ20</f>
        <v>0</v>
      </c>
      <c r="AK20" s="255">
        <f>Est2017DistRev!AK20</f>
        <v>0</v>
      </c>
      <c r="AL20" s="255">
        <f>Est2017DistRev!AL20</f>
        <v>0</v>
      </c>
      <c r="AM20" s="255">
        <f>Est2017DistRev!AM20</f>
        <v>0</v>
      </c>
      <c r="AN20" s="255">
        <f>Est2017DistRev!AN20</f>
        <v>0</v>
      </c>
      <c r="AO20" s="255">
        <f>Est2017DistRev!AO20</f>
        <v>0</v>
      </c>
      <c r="AP20" s="255">
        <f>Est2017DistRev!AP20</f>
        <v>0</v>
      </c>
      <c r="AQ20" s="255">
        <f>Est2017DistRev!AQ20</f>
        <v>0</v>
      </c>
      <c r="AR20" s="255">
        <f>Est2017DistRev!AR20</f>
        <v>0</v>
      </c>
      <c r="AS20" s="255">
        <f>Est2017DistRev!AS20</f>
        <v>0</v>
      </c>
      <c r="AT20" s="256">
        <f>Est2017DistRev!AT20</f>
        <v>0</v>
      </c>
      <c r="AV20" s="257">
        <f t="shared" si="5"/>
        <v>0</v>
      </c>
      <c r="AW20" s="224">
        <f t="shared" si="6"/>
        <v>0</v>
      </c>
      <c r="AX20" s="224">
        <f t="shared" si="7"/>
        <v>0</v>
      </c>
      <c r="AY20" s="224">
        <f t="shared" si="8"/>
        <v>0</v>
      </c>
      <c r="AZ20" s="224">
        <f t="shared" si="9"/>
        <v>0</v>
      </c>
      <c r="BA20" s="224">
        <f t="shared" si="10"/>
        <v>54391.792635410093</v>
      </c>
      <c r="BB20" s="224">
        <f t="shared" si="11"/>
        <v>0</v>
      </c>
      <c r="BC20" s="224">
        <f t="shared" si="12"/>
        <v>0</v>
      </c>
      <c r="BD20" s="224">
        <f t="shared" si="13"/>
        <v>0</v>
      </c>
      <c r="BE20" s="224">
        <f t="shared" si="14"/>
        <v>0</v>
      </c>
      <c r="BF20" s="224">
        <f t="shared" si="15"/>
        <v>0</v>
      </c>
      <c r="BG20" s="224">
        <f t="shared" si="16"/>
        <v>0</v>
      </c>
      <c r="BH20" s="224">
        <f t="shared" si="17"/>
        <v>0</v>
      </c>
      <c r="BI20" s="258">
        <f t="shared" si="18"/>
        <v>0</v>
      </c>
      <c r="BJ20" s="258">
        <f t="shared" si="19"/>
        <v>0</v>
      </c>
      <c r="BK20" s="258">
        <f t="shared" si="20"/>
        <v>0</v>
      </c>
      <c r="BL20" s="258">
        <f t="shared" si="21"/>
        <v>0</v>
      </c>
      <c r="BM20" s="258">
        <f t="shared" si="22"/>
        <v>0</v>
      </c>
      <c r="BN20" s="258">
        <f t="shared" si="23"/>
        <v>0</v>
      </c>
      <c r="BO20" s="258">
        <f t="shared" si="24"/>
        <v>0</v>
      </c>
      <c r="BP20" s="258">
        <f t="shared" si="25"/>
        <v>0</v>
      </c>
      <c r="BQ20" s="259">
        <f t="shared" si="26"/>
        <v>54391.792635410093</v>
      </c>
    </row>
    <row r="21" spans="1:69">
      <c r="A21" s="199" t="str">
        <f>Est2017DistRev!A21</f>
        <v>DD</v>
      </c>
      <c r="B21" s="238" t="str">
        <f>Est2017DistRev!B21</f>
        <v>Residential Demand</v>
      </c>
      <c r="D21" s="778">
        <v>0</v>
      </c>
      <c r="E21" s="775">
        <v>0.81</v>
      </c>
      <c r="F21" s="775">
        <v>0</v>
      </c>
      <c r="G21" s="775"/>
      <c r="H21" s="775"/>
      <c r="I21" s="775">
        <v>0</v>
      </c>
      <c r="J21" s="775"/>
      <c r="K21" s="775"/>
      <c r="L21" s="775"/>
      <c r="M21" s="775">
        <v>0</v>
      </c>
      <c r="N21" s="775"/>
      <c r="O21" s="775">
        <v>2.7</v>
      </c>
      <c r="P21" s="775">
        <v>0.9</v>
      </c>
      <c r="Q21" s="775">
        <v>0</v>
      </c>
      <c r="R21" s="775">
        <v>0</v>
      </c>
      <c r="S21" s="775">
        <v>0</v>
      </c>
      <c r="T21" s="775"/>
      <c r="U21" s="775">
        <v>0</v>
      </c>
      <c r="V21" s="775">
        <v>0</v>
      </c>
      <c r="W21" s="775">
        <v>0</v>
      </c>
      <c r="X21" s="280"/>
      <c r="Z21" s="281">
        <f>Est2017DistRev!Z21</f>
        <v>5</v>
      </c>
      <c r="AA21" s="255">
        <f>Est2017DistRev!AA21</f>
        <v>27500</v>
      </c>
      <c r="AB21" s="255">
        <f>Est2017DistRev!AB21</f>
        <v>0</v>
      </c>
      <c r="AC21" s="255">
        <f>Est2017DistRev!AC21</f>
        <v>0</v>
      </c>
      <c r="AD21" s="255">
        <f>Est2017DistRev!AD21</f>
        <v>0</v>
      </c>
      <c r="AE21" s="255">
        <f>Est2017DistRev!AE21</f>
        <v>0</v>
      </c>
      <c r="AF21" s="255">
        <f>Est2017DistRev!AF21</f>
        <v>0</v>
      </c>
      <c r="AG21" s="255">
        <f>Est2017DistRev!AG21</f>
        <v>0</v>
      </c>
      <c r="AH21" s="255">
        <f>Est2017DistRev!AH21</f>
        <v>0</v>
      </c>
      <c r="AI21" s="255">
        <f>Est2017DistRev!AI21</f>
        <v>0</v>
      </c>
      <c r="AJ21" s="255">
        <f>Est2017DistRev!AJ21</f>
        <v>0</v>
      </c>
      <c r="AK21" s="255">
        <f>Est2017DistRev!AK21</f>
        <v>62.785388127853878</v>
      </c>
      <c r="AL21" s="255">
        <f>Est2017DistRev!AL21</f>
        <v>100.45662100456622</v>
      </c>
      <c r="AM21" s="255">
        <f>Est2017DistRev!AM21</f>
        <v>0</v>
      </c>
      <c r="AN21" s="255">
        <f>Est2017DistRev!AN21</f>
        <v>0</v>
      </c>
      <c r="AO21" s="255">
        <f>Est2017DistRev!AO21</f>
        <v>0</v>
      </c>
      <c r="AP21" s="255">
        <f>Est2017DistRev!AP21</f>
        <v>0</v>
      </c>
      <c r="AQ21" s="255">
        <f>Est2017DistRev!AQ21</f>
        <v>0</v>
      </c>
      <c r="AR21" s="255">
        <f>Est2017DistRev!AR21</f>
        <v>0</v>
      </c>
      <c r="AS21" s="255">
        <f>Est2017DistRev!AS21</f>
        <v>0</v>
      </c>
      <c r="AT21" s="256">
        <f>Est2017DistRev!AT21</f>
        <v>0</v>
      </c>
      <c r="AV21" s="257">
        <f t="shared" si="5"/>
        <v>0</v>
      </c>
      <c r="AW21" s="224">
        <f t="shared" si="6"/>
        <v>222.75000000000003</v>
      </c>
      <c r="AX21" s="224">
        <f t="shared" si="7"/>
        <v>0</v>
      </c>
      <c r="AY21" s="224">
        <f t="shared" si="8"/>
        <v>0</v>
      </c>
      <c r="AZ21" s="224">
        <f t="shared" si="9"/>
        <v>0</v>
      </c>
      <c r="BA21" s="224">
        <f t="shared" si="10"/>
        <v>0</v>
      </c>
      <c r="BB21" s="224">
        <f t="shared" si="11"/>
        <v>0</v>
      </c>
      <c r="BC21" s="224">
        <f t="shared" si="12"/>
        <v>0</v>
      </c>
      <c r="BD21" s="224">
        <f t="shared" si="13"/>
        <v>0</v>
      </c>
      <c r="BE21" s="224">
        <f t="shared" si="14"/>
        <v>0</v>
      </c>
      <c r="BF21" s="224">
        <f t="shared" si="15"/>
        <v>0</v>
      </c>
      <c r="BG21" s="224">
        <f t="shared" si="16"/>
        <v>169.52054794520549</v>
      </c>
      <c r="BH21" s="224">
        <f t="shared" si="17"/>
        <v>90.410958904109592</v>
      </c>
      <c r="BI21" s="258">
        <f t="shared" si="18"/>
        <v>0</v>
      </c>
      <c r="BJ21" s="258">
        <f t="shared" si="19"/>
        <v>0</v>
      </c>
      <c r="BK21" s="258">
        <f t="shared" si="20"/>
        <v>0</v>
      </c>
      <c r="BL21" s="258">
        <f t="shared" si="21"/>
        <v>0</v>
      </c>
      <c r="BM21" s="258">
        <f t="shared" si="22"/>
        <v>0</v>
      </c>
      <c r="BN21" s="258">
        <f t="shared" si="23"/>
        <v>0</v>
      </c>
      <c r="BO21" s="258">
        <f t="shared" si="24"/>
        <v>0</v>
      </c>
      <c r="BP21" s="258">
        <f t="shared" si="25"/>
        <v>0</v>
      </c>
      <c r="BQ21" s="259">
        <f t="shared" si="26"/>
        <v>482.6815068493151</v>
      </c>
    </row>
    <row r="22" spans="1:69">
      <c r="A22" s="199" t="str">
        <f>Est2017DistRev!A22</f>
        <v>ND1</v>
      </c>
      <c r="B22" s="238" t="str">
        <f>Est2017DistRev!B22</f>
        <v>Non-Residential Single Rate</v>
      </c>
      <c r="D22" s="778">
        <v>0</v>
      </c>
      <c r="E22" s="775">
        <v>1.26</v>
      </c>
      <c r="F22" s="775">
        <v>0</v>
      </c>
      <c r="G22" s="775"/>
      <c r="H22" s="775"/>
      <c r="I22" s="775">
        <v>0</v>
      </c>
      <c r="J22" s="775"/>
      <c r="K22" s="775"/>
      <c r="L22" s="775"/>
      <c r="M22" s="775">
        <v>0</v>
      </c>
      <c r="N22" s="775"/>
      <c r="O22" s="775">
        <v>0</v>
      </c>
      <c r="P22" s="775">
        <v>0</v>
      </c>
      <c r="Q22" s="775">
        <v>0</v>
      </c>
      <c r="R22" s="775">
        <v>0</v>
      </c>
      <c r="S22" s="775">
        <v>0</v>
      </c>
      <c r="T22" s="775"/>
      <c r="U22" s="775">
        <v>0</v>
      </c>
      <c r="V22" s="775">
        <v>0</v>
      </c>
      <c r="W22" s="775">
        <v>0</v>
      </c>
      <c r="X22" s="280"/>
      <c r="Z22" s="281">
        <f>Est2017DistRev!Z22</f>
        <v>42483.707999999999</v>
      </c>
      <c r="AA22" s="255">
        <f>Est2017DistRev!AA22</f>
        <v>256404043.37810862</v>
      </c>
      <c r="AB22" s="255">
        <f>Est2017DistRev!AB22</f>
        <v>0</v>
      </c>
      <c r="AC22" s="255">
        <f>Est2017DistRev!AC22</f>
        <v>0</v>
      </c>
      <c r="AD22" s="255">
        <f>Est2017DistRev!AD22</f>
        <v>0</v>
      </c>
      <c r="AE22" s="255">
        <f>Est2017DistRev!AE22</f>
        <v>0</v>
      </c>
      <c r="AF22" s="255">
        <f>Est2017DistRev!AF22</f>
        <v>0</v>
      </c>
      <c r="AG22" s="255">
        <f>Est2017DistRev!AG22</f>
        <v>0</v>
      </c>
      <c r="AH22" s="255">
        <f>Est2017DistRev!AH22</f>
        <v>0</v>
      </c>
      <c r="AI22" s="255">
        <f>Est2017DistRev!AI22</f>
        <v>0</v>
      </c>
      <c r="AJ22" s="255">
        <f>Est2017DistRev!AJ22</f>
        <v>0</v>
      </c>
      <c r="AK22" s="255">
        <f>Est2017DistRev!AK22</f>
        <v>0</v>
      </c>
      <c r="AL22" s="255">
        <f>Est2017DistRev!AL22</f>
        <v>0</v>
      </c>
      <c r="AM22" s="255">
        <f>Est2017DistRev!AM22</f>
        <v>0</v>
      </c>
      <c r="AN22" s="255">
        <f>Est2017DistRev!AN22</f>
        <v>0</v>
      </c>
      <c r="AO22" s="255">
        <f>Est2017DistRev!AO22</f>
        <v>0</v>
      </c>
      <c r="AP22" s="255">
        <f>Est2017DistRev!AP22</f>
        <v>0</v>
      </c>
      <c r="AQ22" s="255">
        <f>Est2017DistRev!AQ22</f>
        <v>0</v>
      </c>
      <c r="AR22" s="255">
        <f>Est2017DistRev!AR22</f>
        <v>0</v>
      </c>
      <c r="AS22" s="255">
        <f>Est2017DistRev!AS22</f>
        <v>0</v>
      </c>
      <c r="AT22" s="256">
        <f>Est2017DistRev!AT22</f>
        <v>0</v>
      </c>
      <c r="AV22" s="257">
        <f t="shared" si="5"/>
        <v>0</v>
      </c>
      <c r="AW22" s="224">
        <f t="shared" si="6"/>
        <v>3230690.9465641687</v>
      </c>
      <c r="AX22" s="224">
        <f t="shared" si="7"/>
        <v>0</v>
      </c>
      <c r="AY22" s="224">
        <f t="shared" si="8"/>
        <v>0</v>
      </c>
      <c r="AZ22" s="224">
        <f t="shared" si="9"/>
        <v>0</v>
      </c>
      <c r="BA22" s="224">
        <f t="shared" si="10"/>
        <v>0</v>
      </c>
      <c r="BB22" s="224">
        <f t="shared" si="11"/>
        <v>0</v>
      </c>
      <c r="BC22" s="224">
        <f t="shared" si="12"/>
        <v>0</v>
      </c>
      <c r="BD22" s="224">
        <f t="shared" si="13"/>
        <v>0</v>
      </c>
      <c r="BE22" s="224">
        <f t="shared" si="14"/>
        <v>0</v>
      </c>
      <c r="BF22" s="224">
        <f t="shared" si="15"/>
        <v>0</v>
      </c>
      <c r="BG22" s="224">
        <f t="shared" si="16"/>
        <v>0</v>
      </c>
      <c r="BH22" s="224">
        <f t="shared" si="17"/>
        <v>0</v>
      </c>
      <c r="BI22" s="258">
        <f t="shared" si="18"/>
        <v>0</v>
      </c>
      <c r="BJ22" s="258">
        <f t="shared" si="19"/>
        <v>0</v>
      </c>
      <c r="BK22" s="258">
        <f t="shared" si="20"/>
        <v>0</v>
      </c>
      <c r="BL22" s="258">
        <f t="shared" si="21"/>
        <v>0</v>
      </c>
      <c r="BM22" s="258">
        <f t="shared" si="22"/>
        <v>0</v>
      </c>
      <c r="BN22" s="258">
        <f t="shared" si="23"/>
        <v>0</v>
      </c>
      <c r="BO22" s="258">
        <f t="shared" si="24"/>
        <v>0</v>
      </c>
      <c r="BP22" s="258">
        <f t="shared" si="25"/>
        <v>0</v>
      </c>
      <c r="BQ22" s="259">
        <f t="shared" si="26"/>
        <v>3230690.9465641687</v>
      </c>
    </row>
    <row r="23" spans="1:69">
      <c r="A23" s="199" t="str">
        <f>Est2017DistRev!A23</f>
        <v>P14G</v>
      </c>
      <c r="B23" s="238" t="str">
        <f>Est2017DistRev!B23</f>
        <v>Non-Residential Flexible Pricing</v>
      </c>
      <c r="D23" s="778">
        <v>0</v>
      </c>
      <c r="E23" s="775">
        <v>0</v>
      </c>
      <c r="F23" s="775">
        <v>0</v>
      </c>
      <c r="G23" s="775"/>
      <c r="H23" s="775"/>
      <c r="I23" s="775">
        <v>0</v>
      </c>
      <c r="J23" s="775"/>
      <c r="K23" s="775"/>
      <c r="L23" s="775"/>
      <c r="M23" s="775">
        <v>0</v>
      </c>
      <c r="N23" s="775"/>
      <c r="O23" s="775">
        <v>0</v>
      </c>
      <c r="P23" s="775">
        <v>0</v>
      </c>
      <c r="Q23" s="775">
        <v>2.0499999999999998</v>
      </c>
      <c r="R23" s="775">
        <v>0.64</v>
      </c>
      <c r="S23" s="775">
        <v>0.49</v>
      </c>
      <c r="T23" s="775"/>
      <c r="U23" s="775">
        <v>2.0499999999999998</v>
      </c>
      <c r="V23" s="775">
        <v>0.64</v>
      </c>
      <c r="W23" s="775">
        <v>0.49</v>
      </c>
      <c r="X23" s="280"/>
      <c r="Z23" s="281">
        <f>Est2017DistRev!Z23</f>
        <v>172.08333333333331</v>
      </c>
      <c r="AA23" s="255">
        <f>Est2017DistRev!AA23</f>
        <v>0</v>
      </c>
      <c r="AB23" s="255">
        <f>Est2017DistRev!AB23</f>
        <v>0</v>
      </c>
      <c r="AC23" s="255">
        <f>Est2017DistRev!AC23</f>
        <v>0</v>
      </c>
      <c r="AD23" s="255">
        <f>Est2017DistRev!AD23</f>
        <v>0</v>
      </c>
      <c r="AE23" s="255">
        <f>Est2017DistRev!AE23</f>
        <v>0</v>
      </c>
      <c r="AF23" s="255">
        <f>Est2017DistRev!AF23</f>
        <v>0</v>
      </c>
      <c r="AG23" s="255">
        <f>Est2017DistRev!AG23</f>
        <v>0</v>
      </c>
      <c r="AH23" s="255">
        <f>Est2017DistRev!AH23</f>
        <v>0</v>
      </c>
      <c r="AI23" s="255">
        <f>Est2017DistRev!AI23</f>
        <v>0</v>
      </c>
      <c r="AJ23" s="255">
        <f>Est2017DistRev!AJ23</f>
        <v>0</v>
      </c>
      <c r="AK23" s="255">
        <f>Est2017DistRev!AK23</f>
        <v>0</v>
      </c>
      <c r="AL23" s="255">
        <f>Est2017DistRev!AL23</f>
        <v>0</v>
      </c>
      <c r="AM23" s="255">
        <f>Est2017DistRev!AM23</f>
        <v>860329.46774740983</v>
      </c>
      <c r="AN23" s="255">
        <f>Est2017DistRev!AN23</f>
        <v>505545.96732157166</v>
      </c>
      <c r="AO23" s="255">
        <f>Est2017DistRev!AO23</f>
        <v>1479176.1880384339</v>
      </c>
      <c r="AP23" s="255">
        <f>Est2017DistRev!AP23</f>
        <v>0</v>
      </c>
      <c r="AQ23" s="255">
        <f>Est2017DistRev!AQ23</f>
        <v>1414112.6541803591</v>
      </c>
      <c r="AR23" s="255">
        <f>Est2017DistRev!AR23</f>
        <v>712103.5920362731</v>
      </c>
      <c r="AS23" s="255">
        <f>Est2017DistRev!AS23</f>
        <v>2004319.1525168456</v>
      </c>
      <c r="AT23" s="256">
        <f>Est2017DistRev!AT23</f>
        <v>0</v>
      </c>
      <c r="AV23" s="257">
        <f t="shared" si="5"/>
        <v>0</v>
      </c>
      <c r="AW23" s="224">
        <f t="shared" si="6"/>
        <v>0</v>
      </c>
      <c r="AX23" s="224">
        <f t="shared" si="7"/>
        <v>0</v>
      </c>
      <c r="AY23" s="224">
        <f t="shared" si="8"/>
        <v>0</v>
      </c>
      <c r="AZ23" s="224">
        <f t="shared" si="9"/>
        <v>0</v>
      </c>
      <c r="BA23" s="224">
        <f t="shared" si="10"/>
        <v>0</v>
      </c>
      <c r="BB23" s="224">
        <f t="shared" si="11"/>
        <v>0</v>
      </c>
      <c r="BC23" s="224">
        <f t="shared" si="12"/>
        <v>0</v>
      </c>
      <c r="BD23" s="224">
        <f t="shared" si="13"/>
        <v>0</v>
      </c>
      <c r="BE23" s="224">
        <f t="shared" si="14"/>
        <v>0</v>
      </c>
      <c r="BF23" s="224">
        <f t="shared" si="15"/>
        <v>0</v>
      </c>
      <c r="BG23" s="224">
        <f t="shared" si="16"/>
        <v>0</v>
      </c>
      <c r="BH23" s="224">
        <f t="shared" si="17"/>
        <v>0</v>
      </c>
      <c r="BI23" s="258">
        <f t="shared" si="18"/>
        <v>17636.754088821901</v>
      </c>
      <c r="BJ23" s="258">
        <f t="shared" si="19"/>
        <v>3235.4941908580586</v>
      </c>
      <c r="BK23" s="258">
        <f t="shared" si="20"/>
        <v>7247.9633213883262</v>
      </c>
      <c r="BL23" s="258">
        <f t="shared" si="21"/>
        <v>0</v>
      </c>
      <c r="BM23" s="258">
        <f t="shared" si="22"/>
        <v>28989.309410697359</v>
      </c>
      <c r="BN23" s="258">
        <f t="shared" si="23"/>
        <v>4557.4629890321485</v>
      </c>
      <c r="BO23" s="258">
        <f t="shared" si="24"/>
        <v>9821.1638473325438</v>
      </c>
      <c r="BP23" s="258">
        <f t="shared" si="25"/>
        <v>0</v>
      </c>
      <c r="BQ23" s="259">
        <f t="shared" si="26"/>
        <v>71488.147848130335</v>
      </c>
    </row>
    <row r="24" spans="1:69">
      <c r="A24" s="199" t="str">
        <f>Est2017DistRev!A24</f>
        <v>ND2</v>
      </c>
      <c r="B24" s="238" t="str">
        <f>Est2017DistRev!B24</f>
        <v>Non-Residential Two Rate 5d</v>
      </c>
      <c r="D24" s="778">
        <v>0</v>
      </c>
      <c r="E24" s="775">
        <v>0</v>
      </c>
      <c r="F24" s="775">
        <v>2.08</v>
      </c>
      <c r="G24" s="775"/>
      <c r="H24" s="775"/>
      <c r="I24" s="775">
        <v>0.46</v>
      </c>
      <c r="J24" s="775"/>
      <c r="K24" s="775"/>
      <c r="L24" s="775"/>
      <c r="M24" s="775">
        <v>0</v>
      </c>
      <c r="N24" s="775"/>
      <c r="O24" s="775">
        <v>0</v>
      </c>
      <c r="P24" s="775">
        <v>0</v>
      </c>
      <c r="Q24" s="775">
        <v>0</v>
      </c>
      <c r="R24" s="775">
        <v>0</v>
      </c>
      <c r="S24" s="775">
        <v>0</v>
      </c>
      <c r="T24" s="775"/>
      <c r="U24" s="775">
        <v>0</v>
      </c>
      <c r="V24" s="775">
        <v>0</v>
      </c>
      <c r="W24" s="775">
        <v>0</v>
      </c>
      <c r="X24" s="280"/>
      <c r="Z24" s="281">
        <f>Est2017DistRev!Z24</f>
        <v>24220.910833333335</v>
      </c>
      <c r="AA24" s="255">
        <f>Est2017DistRev!AA24</f>
        <v>0</v>
      </c>
      <c r="AB24" s="255">
        <f>Est2017DistRev!AB24</f>
        <v>188135379.29405373</v>
      </c>
      <c r="AC24" s="255">
        <f>Est2017DistRev!AC24</f>
        <v>0</v>
      </c>
      <c r="AD24" s="255">
        <f>Est2017DistRev!AD24</f>
        <v>0</v>
      </c>
      <c r="AE24" s="255">
        <f>Est2017DistRev!AE24</f>
        <v>165439065.68487865</v>
      </c>
      <c r="AF24" s="255">
        <f>Est2017DistRev!AF24</f>
        <v>0</v>
      </c>
      <c r="AG24" s="255">
        <f>Est2017DistRev!AG24</f>
        <v>0</v>
      </c>
      <c r="AH24" s="255">
        <f>Est2017DistRev!AH24</f>
        <v>0</v>
      </c>
      <c r="AI24" s="255">
        <f>Est2017DistRev!AI24</f>
        <v>0</v>
      </c>
      <c r="AJ24" s="255">
        <f>Est2017DistRev!AJ24</f>
        <v>0</v>
      </c>
      <c r="AK24" s="255">
        <f>Est2017DistRev!AK24</f>
        <v>0</v>
      </c>
      <c r="AL24" s="255">
        <f>Est2017DistRev!AL24</f>
        <v>0</v>
      </c>
      <c r="AM24" s="255">
        <f>Est2017DistRev!AM24</f>
        <v>0</v>
      </c>
      <c r="AN24" s="255">
        <f>Est2017DistRev!AN24</f>
        <v>0</v>
      </c>
      <c r="AO24" s="255">
        <f>Est2017DistRev!AO24</f>
        <v>0</v>
      </c>
      <c r="AP24" s="255">
        <f>Est2017DistRev!AP24</f>
        <v>0</v>
      </c>
      <c r="AQ24" s="255">
        <f>Est2017DistRev!AQ24</f>
        <v>0</v>
      </c>
      <c r="AR24" s="255">
        <f>Est2017DistRev!AR24</f>
        <v>0</v>
      </c>
      <c r="AS24" s="255">
        <f>Est2017DistRev!AS24</f>
        <v>0</v>
      </c>
      <c r="AT24" s="256">
        <f>Est2017DistRev!AT24</f>
        <v>0</v>
      </c>
      <c r="AV24" s="257">
        <f t="shared" si="5"/>
        <v>0</v>
      </c>
      <c r="AW24" s="224">
        <f t="shared" si="6"/>
        <v>0</v>
      </c>
      <c r="AX24" s="224">
        <f t="shared" si="7"/>
        <v>3913215.8893163176</v>
      </c>
      <c r="AY24" s="224">
        <f t="shared" si="8"/>
        <v>0</v>
      </c>
      <c r="AZ24" s="224">
        <f t="shared" si="9"/>
        <v>0</v>
      </c>
      <c r="BA24" s="224">
        <f t="shared" si="10"/>
        <v>761019.70215044182</v>
      </c>
      <c r="BB24" s="224">
        <f t="shared" si="11"/>
        <v>0</v>
      </c>
      <c r="BC24" s="224">
        <f t="shared" si="12"/>
        <v>0</v>
      </c>
      <c r="BD24" s="224">
        <f t="shared" si="13"/>
        <v>0</v>
      </c>
      <c r="BE24" s="224">
        <f t="shared" si="14"/>
        <v>0</v>
      </c>
      <c r="BF24" s="224">
        <f t="shared" si="15"/>
        <v>0</v>
      </c>
      <c r="BG24" s="224">
        <f t="shared" si="16"/>
        <v>0</v>
      </c>
      <c r="BH24" s="224">
        <f t="shared" si="17"/>
        <v>0</v>
      </c>
      <c r="BI24" s="258">
        <f t="shared" si="18"/>
        <v>0</v>
      </c>
      <c r="BJ24" s="258">
        <f t="shared" si="19"/>
        <v>0</v>
      </c>
      <c r="BK24" s="258">
        <f t="shared" si="20"/>
        <v>0</v>
      </c>
      <c r="BL24" s="258">
        <f t="shared" si="21"/>
        <v>0</v>
      </c>
      <c r="BM24" s="258">
        <f t="shared" si="22"/>
        <v>0</v>
      </c>
      <c r="BN24" s="258">
        <f t="shared" si="23"/>
        <v>0</v>
      </c>
      <c r="BO24" s="258">
        <f t="shared" si="24"/>
        <v>0</v>
      </c>
      <c r="BP24" s="258">
        <f t="shared" si="25"/>
        <v>0</v>
      </c>
      <c r="BQ24" s="259">
        <f t="shared" si="26"/>
        <v>4674235.5914667593</v>
      </c>
    </row>
    <row r="25" spans="1:69">
      <c r="A25" s="199" t="str">
        <f>Est2017DistRev!A25</f>
        <v>ND5</v>
      </c>
      <c r="B25" s="238" t="str">
        <f>Est2017DistRev!B25</f>
        <v>Non-Residential Interval</v>
      </c>
      <c r="D25" s="778">
        <v>0</v>
      </c>
      <c r="E25" s="775">
        <v>0</v>
      </c>
      <c r="F25" s="775">
        <v>2.08</v>
      </c>
      <c r="G25" s="775"/>
      <c r="H25" s="775"/>
      <c r="I25" s="775">
        <v>0.46</v>
      </c>
      <c r="J25" s="775"/>
      <c r="K25" s="775"/>
      <c r="L25" s="775"/>
      <c r="M25" s="775">
        <v>0</v>
      </c>
      <c r="N25" s="775"/>
      <c r="O25" s="775">
        <v>0</v>
      </c>
      <c r="P25" s="775">
        <v>0</v>
      </c>
      <c r="Q25" s="775">
        <v>0</v>
      </c>
      <c r="R25" s="775">
        <v>0</v>
      </c>
      <c r="S25" s="775">
        <v>0</v>
      </c>
      <c r="T25" s="775"/>
      <c r="U25" s="775">
        <v>0</v>
      </c>
      <c r="V25" s="775">
        <v>0</v>
      </c>
      <c r="W25" s="775">
        <v>0</v>
      </c>
      <c r="X25" s="280"/>
      <c r="Z25" s="281">
        <f>Est2017DistRev!Z25</f>
        <v>12168.263333333332</v>
      </c>
      <c r="AA25" s="255">
        <f>Est2017DistRev!AA25</f>
        <v>0</v>
      </c>
      <c r="AB25" s="255">
        <f>Est2017DistRev!AB25</f>
        <v>81125260.35922429</v>
      </c>
      <c r="AC25" s="255">
        <f>Est2017DistRev!AC25</f>
        <v>0</v>
      </c>
      <c r="AD25" s="255">
        <f>Est2017DistRev!AD25</f>
        <v>0</v>
      </c>
      <c r="AE25" s="255">
        <f>Est2017DistRev!AE25</f>
        <v>58521955.657923236</v>
      </c>
      <c r="AF25" s="255">
        <f>Est2017DistRev!AF25</f>
        <v>0</v>
      </c>
      <c r="AG25" s="255">
        <f>Est2017DistRev!AG25</f>
        <v>0</v>
      </c>
      <c r="AH25" s="255">
        <f>Est2017DistRev!AH25</f>
        <v>0</v>
      </c>
      <c r="AI25" s="255">
        <f>Est2017DistRev!AI25</f>
        <v>0</v>
      </c>
      <c r="AJ25" s="255">
        <f>Est2017DistRev!AJ25</f>
        <v>0</v>
      </c>
      <c r="AK25" s="255">
        <f>Est2017DistRev!AK25</f>
        <v>0</v>
      </c>
      <c r="AL25" s="255">
        <f>Est2017DistRev!AL25</f>
        <v>0</v>
      </c>
      <c r="AM25" s="255">
        <f>Est2017DistRev!AM25</f>
        <v>0</v>
      </c>
      <c r="AN25" s="255">
        <f>Est2017DistRev!AN25</f>
        <v>0</v>
      </c>
      <c r="AO25" s="255">
        <f>Est2017DistRev!AO25</f>
        <v>0</v>
      </c>
      <c r="AP25" s="255">
        <f>Est2017DistRev!AP25</f>
        <v>0</v>
      </c>
      <c r="AQ25" s="255">
        <f>Est2017DistRev!AQ25</f>
        <v>0</v>
      </c>
      <c r="AR25" s="255">
        <f>Est2017DistRev!AR25</f>
        <v>0</v>
      </c>
      <c r="AS25" s="255">
        <f>Est2017DistRev!AS25</f>
        <v>0</v>
      </c>
      <c r="AT25" s="256">
        <f>Est2017DistRev!AT25</f>
        <v>0</v>
      </c>
      <c r="AV25" s="257">
        <f t="shared" si="5"/>
        <v>0</v>
      </c>
      <c r="AW25" s="224">
        <f t="shared" si="6"/>
        <v>0</v>
      </c>
      <c r="AX25" s="224">
        <f t="shared" si="7"/>
        <v>1687405.4154718651</v>
      </c>
      <c r="AY25" s="224">
        <f t="shared" si="8"/>
        <v>0</v>
      </c>
      <c r="AZ25" s="224">
        <f t="shared" si="9"/>
        <v>0</v>
      </c>
      <c r="BA25" s="224">
        <f t="shared" si="10"/>
        <v>269200.99602644687</v>
      </c>
      <c r="BB25" s="224">
        <f t="shared" si="11"/>
        <v>0</v>
      </c>
      <c r="BC25" s="224">
        <f t="shared" si="12"/>
        <v>0</v>
      </c>
      <c r="BD25" s="224">
        <f t="shared" si="13"/>
        <v>0</v>
      </c>
      <c r="BE25" s="224">
        <f t="shared" si="14"/>
        <v>0</v>
      </c>
      <c r="BF25" s="224">
        <f t="shared" si="15"/>
        <v>0</v>
      </c>
      <c r="BG25" s="224">
        <f t="shared" si="16"/>
        <v>0</v>
      </c>
      <c r="BH25" s="224">
        <f t="shared" si="17"/>
        <v>0</v>
      </c>
      <c r="BI25" s="258">
        <f t="shared" si="18"/>
        <v>0</v>
      </c>
      <c r="BJ25" s="258">
        <f t="shared" si="19"/>
        <v>0</v>
      </c>
      <c r="BK25" s="258">
        <f t="shared" si="20"/>
        <v>0</v>
      </c>
      <c r="BL25" s="258">
        <f t="shared" si="21"/>
        <v>0</v>
      </c>
      <c r="BM25" s="258">
        <f t="shared" si="22"/>
        <v>0</v>
      </c>
      <c r="BN25" s="258">
        <f t="shared" si="23"/>
        <v>0</v>
      </c>
      <c r="BO25" s="258">
        <f t="shared" si="24"/>
        <v>0</v>
      </c>
      <c r="BP25" s="258">
        <f t="shared" si="25"/>
        <v>0</v>
      </c>
      <c r="BQ25" s="259">
        <f t="shared" si="26"/>
        <v>1956606.4114983119</v>
      </c>
    </row>
    <row r="26" spans="1:69">
      <c r="A26" s="199" t="str">
        <f>Est2017DistRev!A26</f>
        <v>ND3</v>
      </c>
      <c r="B26" s="238" t="str">
        <f>Est2017DistRev!B26</f>
        <v>Non-Residential Two Rate 7d</v>
      </c>
      <c r="D26" s="778">
        <v>0</v>
      </c>
      <c r="E26" s="775">
        <v>0</v>
      </c>
      <c r="F26" s="775">
        <v>1.83</v>
      </c>
      <c r="G26" s="775"/>
      <c r="H26" s="775"/>
      <c r="I26" s="775">
        <v>0.46</v>
      </c>
      <c r="J26" s="775"/>
      <c r="K26" s="775"/>
      <c r="L26" s="775"/>
      <c r="M26" s="775">
        <v>0</v>
      </c>
      <c r="N26" s="775"/>
      <c r="O26" s="775">
        <v>0</v>
      </c>
      <c r="P26" s="775">
        <v>0</v>
      </c>
      <c r="Q26" s="775">
        <v>0</v>
      </c>
      <c r="R26" s="775">
        <v>0</v>
      </c>
      <c r="S26" s="775">
        <v>0</v>
      </c>
      <c r="T26" s="775"/>
      <c r="U26" s="775">
        <v>0</v>
      </c>
      <c r="V26" s="775">
        <v>0</v>
      </c>
      <c r="W26" s="775">
        <v>0</v>
      </c>
      <c r="X26" s="280"/>
      <c r="Z26" s="281">
        <f>Est2017DistRev!Z26</f>
        <v>7410.6995833333331</v>
      </c>
      <c r="AA26" s="255">
        <f>Est2017DistRev!AA26</f>
        <v>0</v>
      </c>
      <c r="AB26" s="255">
        <f>Est2017DistRev!AB26</f>
        <v>49924813.206805721</v>
      </c>
      <c r="AC26" s="255">
        <f>Est2017DistRev!AC26</f>
        <v>0</v>
      </c>
      <c r="AD26" s="255">
        <f>Est2017DistRev!AD26</f>
        <v>0</v>
      </c>
      <c r="AE26" s="255">
        <f>Est2017DistRev!AE26</f>
        <v>21197310.012245625</v>
      </c>
      <c r="AF26" s="255">
        <f>Est2017DistRev!AF26</f>
        <v>0</v>
      </c>
      <c r="AG26" s="255">
        <f>Est2017DistRev!AG26</f>
        <v>0</v>
      </c>
      <c r="AH26" s="255">
        <f>Est2017DistRev!AH26</f>
        <v>0</v>
      </c>
      <c r="AI26" s="255">
        <f>Est2017DistRev!AI26</f>
        <v>0</v>
      </c>
      <c r="AJ26" s="255">
        <f>Est2017DistRev!AJ26</f>
        <v>0</v>
      </c>
      <c r="AK26" s="255">
        <f>Est2017DistRev!AK26</f>
        <v>0</v>
      </c>
      <c r="AL26" s="255">
        <f>Est2017DistRev!AL26</f>
        <v>0</v>
      </c>
      <c r="AM26" s="255">
        <f>Est2017DistRev!AM26</f>
        <v>0</v>
      </c>
      <c r="AN26" s="255">
        <f>Est2017DistRev!AN26</f>
        <v>0</v>
      </c>
      <c r="AO26" s="255">
        <f>Est2017DistRev!AO26</f>
        <v>0</v>
      </c>
      <c r="AP26" s="255">
        <f>Est2017DistRev!AP26</f>
        <v>0</v>
      </c>
      <c r="AQ26" s="255">
        <f>Est2017DistRev!AQ26</f>
        <v>0</v>
      </c>
      <c r="AR26" s="255">
        <f>Est2017DistRev!AR26</f>
        <v>0</v>
      </c>
      <c r="AS26" s="255">
        <f>Est2017DistRev!AS26</f>
        <v>0</v>
      </c>
      <c r="AT26" s="256">
        <f>Est2017DistRev!AT26</f>
        <v>0</v>
      </c>
      <c r="AV26" s="257">
        <f t="shared" si="5"/>
        <v>0</v>
      </c>
      <c r="AW26" s="224">
        <f t="shared" si="6"/>
        <v>0</v>
      </c>
      <c r="AX26" s="224">
        <f t="shared" si="7"/>
        <v>913624.08168454468</v>
      </c>
      <c r="AY26" s="224">
        <f t="shared" si="8"/>
        <v>0</v>
      </c>
      <c r="AZ26" s="224">
        <f t="shared" si="9"/>
        <v>0</v>
      </c>
      <c r="BA26" s="224">
        <f t="shared" si="10"/>
        <v>97507.626056329871</v>
      </c>
      <c r="BB26" s="224">
        <f t="shared" si="11"/>
        <v>0</v>
      </c>
      <c r="BC26" s="224">
        <f t="shared" si="12"/>
        <v>0</v>
      </c>
      <c r="BD26" s="224">
        <f t="shared" si="13"/>
        <v>0</v>
      </c>
      <c r="BE26" s="224">
        <f t="shared" si="14"/>
        <v>0</v>
      </c>
      <c r="BF26" s="224">
        <f t="shared" si="15"/>
        <v>0</v>
      </c>
      <c r="BG26" s="224">
        <f t="shared" si="16"/>
        <v>0</v>
      </c>
      <c r="BH26" s="224">
        <f t="shared" si="17"/>
        <v>0</v>
      </c>
      <c r="BI26" s="258">
        <f t="shared" si="18"/>
        <v>0</v>
      </c>
      <c r="BJ26" s="258">
        <f t="shared" si="19"/>
        <v>0</v>
      </c>
      <c r="BK26" s="258">
        <f t="shared" si="20"/>
        <v>0</v>
      </c>
      <c r="BL26" s="258">
        <f t="shared" si="21"/>
        <v>0</v>
      </c>
      <c r="BM26" s="258">
        <f t="shared" si="22"/>
        <v>0</v>
      </c>
      <c r="BN26" s="258">
        <f t="shared" si="23"/>
        <v>0</v>
      </c>
      <c r="BO26" s="258">
        <f t="shared" si="24"/>
        <v>0</v>
      </c>
      <c r="BP26" s="258">
        <f t="shared" si="25"/>
        <v>0</v>
      </c>
      <c r="BQ26" s="259">
        <f t="shared" si="26"/>
        <v>1011131.7077408745</v>
      </c>
    </row>
    <row r="27" spans="1:69">
      <c r="A27" s="199" t="str">
        <f>Est2017DistRev!A27</f>
        <v>NDD</v>
      </c>
      <c r="B27" s="238" t="str">
        <f>Est2017DistRev!B27</f>
        <v>Non-Residential Demand</v>
      </c>
      <c r="D27" s="778">
        <v>0</v>
      </c>
      <c r="E27" s="775">
        <v>0.6</v>
      </c>
      <c r="F27" s="775">
        <v>0</v>
      </c>
      <c r="G27" s="775"/>
      <c r="H27" s="775"/>
      <c r="I27" s="775">
        <v>0</v>
      </c>
      <c r="J27" s="775"/>
      <c r="K27" s="775"/>
      <c r="L27" s="775"/>
      <c r="M27" s="775">
        <v>0</v>
      </c>
      <c r="N27" s="775"/>
      <c r="O27" s="775">
        <v>2.2400000000000002</v>
      </c>
      <c r="P27" s="775">
        <v>0.75</v>
      </c>
      <c r="Q27" s="775">
        <v>0</v>
      </c>
      <c r="R27" s="775">
        <v>0</v>
      </c>
      <c r="S27" s="775">
        <v>0</v>
      </c>
      <c r="T27" s="775"/>
      <c r="U27" s="775">
        <v>0</v>
      </c>
      <c r="V27" s="775">
        <v>0</v>
      </c>
      <c r="W27" s="775">
        <v>0</v>
      </c>
      <c r="X27" s="280"/>
      <c r="Z27" s="281">
        <f>Est2017DistRev!Z27</f>
        <v>2024</v>
      </c>
      <c r="AA27" s="255">
        <f>Est2017DistRev!AA27</f>
        <v>97025660.229158044</v>
      </c>
      <c r="AB27" s="255">
        <f>Est2017DistRev!AB27</f>
        <v>0</v>
      </c>
      <c r="AC27" s="255">
        <f>Est2017DistRev!AC27</f>
        <v>0</v>
      </c>
      <c r="AD27" s="255">
        <f>Est2017DistRev!AD27</f>
        <v>0</v>
      </c>
      <c r="AE27" s="255">
        <f>Est2017DistRev!AE27</f>
        <v>0</v>
      </c>
      <c r="AF27" s="255">
        <f>Est2017DistRev!AF27</f>
        <v>0</v>
      </c>
      <c r="AG27" s="255">
        <f>Est2017DistRev!AG27</f>
        <v>0</v>
      </c>
      <c r="AH27" s="255">
        <f>Est2017DistRev!AH27</f>
        <v>0</v>
      </c>
      <c r="AI27" s="255">
        <f>Est2017DistRev!AI27</f>
        <v>0</v>
      </c>
      <c r="AJ27" s="255">
        <f>Est2017DistRev!AJ27</f>
        <v>0</v>
      </c>
      <c r="AK27" s="255">
        <f>Est2017DistRev!AK27</f>
        <v>116975.98433799999</v>
      </c>
      <c r="AL27" s="255">
        <f>Est2017DistRev!AL27</f>
        <v>235374.61953447608</v>
      </c>
      <c r="AM27" s="255">
        <f>Est2017DistRev!AM27</f>
        <v>0</v>
      </c>
      <c r="AN27" s="255">
        <f>Est2017DistRev!AN27</f>
        <v>0</v>
      </c>
      <c r="AO27" s="255">
        <f>Est2017DistRev!AO27</f>
        <v>0</v>
      </c>
      <c r="AP27" s="255">
        <f>Est2017DistRev!AP27</f>
        <v>0</v>
      </c>
      <c r="AQ27" s="255">
        <f>Est2017DistRev!AQ27</f>
        <v>0</v>
      </c>
      <c r="AR27" s="255">
        <f>Est2017DistRev!AR27</f>
        <v>0</v>
      </c>
      <c r="AS27" s="255">
        <f>Est2017DistRev!AS27</f>
        <v>0</v>
      </c>
      <c r="AT27" s="256">
        <f>Est2017DistRev!AT27</f>
        <v>0</v>
      </c>
      <c r="AV27" s="257">
        <f t="shared" si="5"/>
        <v>0</v>
      </c>
      <c r="AW27" s="224">
        <f t="shared" si="6"/>
        <v>582153.96137494827</v>
      </c>
      <c r="AX27" s="224">
        <f t="shared" si="7"/>
        <v>0</v>
      </c>
      <c r="AY27" s="224">
        <f t="shared" si="8"/>
        <v>0</v>
      </c>
      <c r="AZ27" s="224">
        <f t="shared" si="9"/>
        <v>0</v>
      </c>
      <c r="BA27" s="224">
        <f t="shared" si="10"/>
        <v>0</v>
      </c>
      <c r="BB27" s="224">
        <f t="shared" si="11"/>
        <v>0</v>
      </c>
      <c r="BC27" s="224">
        <f t="shared" si="12"/>
        <v>0</v>
      </c>
      <c r="BD27" s="224">
        <f t="shared" si="13"/>
        <v>0</v>
      </c>
      <c r="BE27" s="224">
        <f t="shared" si="14"/>
        <v>0</v>
      </c>
      <c r="BF27" s="224">
        <f t="shared" si="15"/>
        <v>0</v>
      </c>
      <c r="BG27" s="224">
        <f t="shared" si="16"/>
        <v>262026.20491712002</v>
      </c>
      <c r="BH27" s="224">
        <f t="shared" si="17"/>
        <v>176530.96465085706</v>
      </c>
      <c r="BI27" s="258">
        <f t="shared" si="18"/>
        <v>0</v>
      </c>
      <c r="BJ27" s="258">
        <f t="shared" si="19"/>
        <v>0</v>
      </c>
      <c r="BK27" s="258">
        <f t="shared" si="20"/>
        <v>0</v>
      </c>
      <c r="BL27" s="258">
        <f t="shared" si="21"/>
        <v>0</v>
      </c>
      <c r="BM27" s="258">
        <f t="shared" si="22"/>
        <v>0</v>
      </c>
      <c r="BN27" s="258">
        <f t="shared" si="23"/>
        <v>0</v>
      </c>
      <c r="BO27" s="258">
        <f t="shared" si="24"/>
        <v>0</v>
      </c>
      <c r="BP27" s="258">
        <f t="shared" si="25"/>
        <v>0</v>
      </c>
      <c r="BQ27" s="259">
        <f t="shared" si="26"/>
        <v>1020711.1309429253</v>
      </c>
    </row>
    <row r="28" spans="1:69">
      <c r="A28" s="199" t="str">
        <f>Est2017DistRev!A28</f>
        <v>NDM</v>
      </c>
      <c r="B28" s="238" t="str">
        <f>Est2017DistRev!B28</f>
        <v>Medium business</v>
      </c>
      <c r="D28" s="778">
        <v>0</v>
      </c>
      <c r="E28" s="775">
        <v>0</v>
      </c>
      <c r="F28" s="775">
        <v>1.69</v>
      </c>
      <c r="G28" s="775"/>
      <c r="H28" s="775"/>
      <c r="I28" s="775">
        <v>0.67</v>
      </c>
      <c r="J28" s="775"/>
      <c r="K28" s="775"/>
      <c r="L28" s="775"/>
      <c r="M28" s="775">
        <v>0</v>
      </c>
      <c r="N28" s="775"/>
      <c r="O28" s="775">
        <v>0</v>
      </c>
      <c r="P28" s="775">
        <v>0</v>
      </c>
      <c r="Q28" s="775">
        <v>0</v>
      </c>
      <c r="R28" s="775">
        <v>0</v>
      </c>
      <c r="S28" s="775">
        <v>0</v>
      </c>
      <c r="T28" s="775"/>
      <c r="U28" s="775">
        <v>0</v>
      </c>
      <c r="V28" s="775">
        <v>0</v>
      </c>
      <c r="W28" s="775">
        <v>0</v>
      </c>
      <c r="X28" s="280"/>
      <c r="Z28" s="281">
        <f>Est2017DistRev!Z28</f>
        <v>8279</v>
      </c>
      <c r="AA28" s="255">
        <f>Est2017DistRev!AA28</f>
        <v>0</v>
      </c>
      <c r="AB28" s="255">
        <f>Est2017DistRev!AB28</f>
        <v>638166780.64380002</v>
      </c>
      <c r="AC28" s="255">
        <f>Est2017DistRev!AC28</f>
        <v>0</v>
      </c>
      <c r="AD28" s="255">
        <f>Est2017DistRev!AD28</f>
        <v>0</v>
      </c>
      <c r="AE28" s="255">
        <f>Est2017DistRev!AE28</f>
        <v>460728205.35583001</v>
      </c>
      <c r="AF28" s="255">
        <f>Est2017DistRev!AF28</f>
        <v>0</v>
      </c>
      <c r="AG28" s="255">
        <f>Est2017DistRev!AG28</f>
        <v>0</v>
      </c>
      <c r="AH28" s="255">
        <f>Est2017DistRev!AH28</f>
        <v>0</v>
      </c>
      <c r="AI28" s="255">
        <f>Est2017DistRev!AI28</f>
        <v>0</v>
      </c>
      <c r="AJ28" s="255">
        <f>Est2017DistRev!AJ28</f>
        <v>0</v>
      </c>
      <c r="AK28" s="255">
        <f>Est2017DistRev!AK28</f>
        <v>1471641.121114</v>
      </c>
      <c r="AL28" s="255">
        <f>Est2017DistRev!AL28</f>
        <v>2723840.4799900004</v>
      </c>
      <c r="AM28" s="255">
        <f>Est2017DistRev!AM28</f>
        <v>0</v>
      </c>
      <c r="AN28" s="255">
        <f>Est2017DistRev!AN28</f>
        <v>0</v>
      </c>
      <c r="AO28" s="255">
        <f>Est2017DistRev!AO28</f>
        <v>0</v>
      </c>
      <c r="AP28" s="255">
        <f>Est2017DistRev!AP28</f>
        <v>0</v>
      </c>
      <c r="AQ28" s="255">
        <f>Est2017DistRev!AQ28</f>
        <v>0</v>
      </c>
      <c r="AR28" s="255">
        <f>Est2017DistRev!AR28</f>
        <v>0</v>
      </c>
      <c r="AS28" s="255">
        <f>Est2017DistRev!AS28</f>
        <v>0</v>
      </c>
      <c r="AT28" s="256">
        <f>Est2017DistRev!AT28</f>
        <v>0</v>
      </c>
      <c r="AV28" s="257">
        <f t="shared" si="5"/>
        <v>0</v>
      </c>
      <c r="AW28" s="224">
        <f t="shared" si="6"/>
        <v>0</v>
      </c>
      <c r="AX28" s="224">
        <f t="shared" si="7"/>
        <v>10785018.592880219</v>
      </c>
      <c r="AY28" s="224">
        <f t="shared" si="8"/>
        <v>0</v>
      </c>
      <c r="AZ28" s="224">
        <f t="shared" si="9"/>
        <v>0</v>
      </c>
      <c r="BA28" s="224">
        <f t="shared" si="10"/>
        <v>3086878.9758840613</v>
      </c>
      <c r="BB28" s="224">
        <f t="shared" si="11"/>
        <v>0</v>
      </c>
      <c r="BC28" s="224">
        <f t="shared" si="12"/>
        <v>0</v>
      </c>
      <c r="BD28" s="224">
        <f t="shared" si="13"/>
        <v>0</v>
      </c>
      <c r="BE28" s="224">
        <f t="shared" si="14"/>
        <v>0</v>
      </c>
      <c r="BF28" s="224">
        <f t="shared" si="15"/>
        <v>0</v>
      </c>
      <c r="BG28" s="224">
        <f t="shared" si="16"/>
        <v>0</v>
      </c>
      <c r="BH28" s="224">
        <f t="shared" si="17"/>
        <v>0</v>
      </c>
      <c r="BI28" s="258">
        <f t="shared" si="18"/>
        <v>0</v>
      </c>
      <c r="BJ28" s="258">
        <f t="shared" si="19"/>
        <v>0</v>
      </c>
      <c r="BK28" s="258">
        <f t="shared" si="20"/>
        <v>0</v>
      </c>
      <c r="BL28" s="258">
        <f t="shared" si="21"/>
        <v>0</v>
      </c>
      <c r="BM28" s="258">
        <f t="shared" si="22"/>
        <v>0</v>
      </c>
      <c r="BN28" s="258">
        <f t="shared" si="23"/>
        <v>0</v>
      </c>
      <c r="BO28" s="258">
        <f t="shared" si="24"/>
        <v>0</v>
      </c>
      <c r="BP28" s="258">
        <f t="shared" si="25"/>
        <v>0</v>
      </c>
      <c r="BQ28" s="259">
        <f t="shared" si="26"/>
        <v>13871897.568764281</v>
      </c>
    </row>
    <row r="29" spans="1:69">
      <c r="A29" s="199" t="str">
        <f>Est2017DistRev!A29</f>
        <v>PL2</v>
      </c>
      <c r="B29" s="238" t="str">
        <f>Est2017DistRev!B29</f>
        <v>Public Lighting</v>
      </c>
      <c r="D29" s="778">
        <v>0</v>
      </c>
      <c r="E29" s="775">
        <v>0</v>
      </c>
      <c r="F29" s="775">
        <v>2.39</v>
      </c>
      <c r="G29" s="775"/>
      <c r="H29" s="775"/>
      <c r="I29" s="775">
        <v>0.68</v>
      </c>
      <c r="J29" s="775"/>
      <c r="K29" s="775"/>
      <c r="L29" s="775"/>
      <c r="M29" s="775">
        <v>0</v>
      </c>
      <c r="N29" s="775"/>
      <c r="O29" s="775">
        <v>0</v>
      </c>
      <c r="P29" s="775">
        <v>0</v>
      </c>
      <c r="Q29" s="775">
        <v>0</v>
      </c>
      <c r="R29" s="775">
        <v>0</v>
      </c>
      <c r="S29" s="775">
        <v>0</v>
      </c>
      <c r="T29" s="775"/>
      <c r="U29" s="775">
        <v>0</v>
      </c>
      <c r="V29" s="775">
        <v>0</v>
      </c>
      <c r="W29" s="775">
        <v>0</v>
      </c>
      <c r="X29" s="280"/>
      <c r="Z29" s="281">
        <f>Est2017DistRev!Z29</f>
        <v>6335.3308333333334</v>
      </c>
      <c r="AA29" s="255">
        <f>Est2017DistRev!AA29</f>
        <v>0</v>
      </c>
      <c r="AB29" s="255">
        <f>Est2017DistRev!AB29</f>
        <v>24337397.258673649</v>
      </c>
      <c r="AC29" s="255">
        <f>Est2017DistRev!AC29</f>
        <v>0</v>
      </c>
      <c r="AD29" s="255">
        <f>Est2017DistRev!AD29</f>
        <v>0</v>
      </c>
      <c r="AE29" s="255">
        <f>Est2017DistRev!AE29</f>
        <v>60527080.28709197</v>
      </c>
      <c r="AF29" s="255">
        <f>Est2017DistRev!AF29</f>
        <v>0</v>
      </c>
      <c r="AG29" s="255">
        <f>Est2017DistRev!AG29</f>
        <v>0</v>
      </c>
      <c r="AH29" s="255">
        <f>Est2017DistRev!AH29</f>
        <v>0</v>
      </c>
      <c r="AI29" s="255">
        <f>Est2017DistRev!AI29</f>
        <v>0</v>
      </c>
      <c r="AJ29" s="255">
        <f>Est2017DistRev!AJ29</f>
        <v>0</v>
      </c>
      <c r="AK29" s="255">
        <f>Est2017DistRev!AK29</f>
        <v>0</v>
      </c>
      <c r="AL29" s="255">
        <f>Est2017DistRev!AL29</f>
        <v>0</v>
      </c>
      <c r="AM29" s="255">
        <f>Est2017DistRev!AM29</f>
        <v>0</v>
      </c>
      <c r="AN29" s="255">
        <f>Est2017DistRev!AN29</f>
        <v>0</v>
      </c>
      <c r="AO29" s="255">
        <f>Est2017DistRev!AO29</f>
        <v>0</v>
      </c>
      <c r="AP29" s="255">
        <f>Est2017DistRev!AP29</f>
        <v>0</v>
      </c>
      <c r="AQ29" s="255">
        <f>Est2017DistRev!AQ29</f>
        <v>0</v>
      </c>
      <c r="AR29" s="255">
        <f>Est2017DistRev!AR29</f>
        <v>0</v>
      </c>
      <c r="AS29" s="255">
        <f>Est2017DistRev!AS29</f>
        <v>0</v>
      </c>
      <c r="AT29" s="256">
        <f>Est2017DistRev!AT29</f>
        <v>0</v>
      </c>
      <c r="AV29" s="257">
        <f t="shared" si="5"/>
        <v>0</v>
      </c>
      <c r="AW29" s="224">
        <f t="shared" si="6"/>
        <v>0</v>
      </c>
      <c r="AX29" s="224">
        <f t="shared" si="7"/>
        <v>581663.79448230029</v>
      </c>
      <c r="AY29" s="224">
        <f t="shared" si="8"/>
        <v>0</v>
      </c>
      <c r="AZ29" s="224">
        <f t="shared" si="9"/>
        <v>0</v>
      </c>
      <c r="BA29" s="224">
        <f t="shared" si="10"/>
        <v>411584.14595222543</v>
      </c>
      <c r="BB29" s="224">
        <f t="shared" si="11"/>
        <v>0</v>
      </c>
      <c r="BC29" s="224">
        <f t="shared" si="12"/>
        <v>0</v>
      </c>
      <c r="BD29" s="224">
        <f t="shared" si="13"/>
        <v>0</v>
      </c>
      <c r="BE29" s="224">
        <f t="shared" si="14"/>
        <v>0</v>
      </c>
      <c r="BF29" s="224">
        <f t="shared" si="15"/>
        <v>0</v>
      </c>
      <c r="BG29" s="224">
        <f t="shared" si="16"/>
        <v>0</v>
      </c>
      <c r="BH29" s="224">
        <f t="shared" si="17"/>
        <v>0</v>
      </c>
      <c r="BI29" s="258">
        <f t="shared" si="18"/>
        <v>0</v>
      </c>
      <c r="BJ29" s="258">
        <f t="shared" si="19"/>
        <v>0</v>
      </c>
      <c r="BK29" s="258">
        <f t="shared" si="20"/>
        <v>0</v>
      </c>
      <c r="BL29" s="258">
        <f t="shared" si="21"/>
        <v>0</v>
      </c>
      <c r="BM29" s="258">
        <f t="shared" si="22"/>
        <v>0</v>
      </c>
      <c r="BN29" s="258">
        <f t="shared" si="23"/>
        <v>0</v>
      </c>
      <c r="BO29" s="258">
        <f t="shared" si="24"/>
        <v>0</v>
      </c>
      <c r="BP29" s="258">
        <f t="shared" si="25"/>
        <v>0</v>
      </c>
      <c r="BQ29" s="259">
        <f t="shared" si="26"/>
        <v>993247.94043452572</v>
      </c>
    </row>
    <row r="30" spans="1:69">
      <c r="A30" s="199" t="str">
        <f>Est2017DistRev!A30</f>
        <v>LLV</v>
      </c>
      <c r="B30" s="238" t="str">
        <f>Est2017DistRev!B30</f>
        <v>Large low Voltage</v>
      </c>
      <c r="D30" s="778">
        <v>0</v>
      </c>
      <c r="E30" s="775">
        <v>0</v>
      </c>
      <c r="F30" s="775">
        <v>0.83</v>
      </c>
      <c r="G30" s="775"/>
      <c r="H30" s="775"/>
      <c r="I30" s="775">
        <v>0.4</v>
      </c>
      <c r="J30" s="775"/>
      <c r="K30" s="775"/>
      <c r="L30" s="775"/>
      <c r="M30" s="775">
        <v>23.33</v>
      </c>
      <c r="N30" s="775"/>
      <c r="O30" s="775">
        <v>0</v>
      </c>
      <c r="P30" s="775">
        <v>0</v>
      </c>
      <c r="Q30" s="775">
        <v>0</v>
      </c>
      <c r="R30" s="775">
        <v>0</v>
      </c>
      <c r="S30" s="775">
        <v>0</v>
      </c>
      <c r="T30" s="775"/>
      <c r="U30" s="775">
        <v>0</v>
      </c>
      <c r="V30" s="775">
        <v>0</v>
      </c>
      <c r="W30" s="775">
        <v>0</v>
      </c>
      <c r="X30" s="280"/>
      <c r="Z30" s="281">
        <f>Est2017DistRev!Z30</f>
        <v>2676.3858333333328</v>
      </c>
      <c r="AA30" s="255">
        <f>Est2017DistRev!AA30</f>
        <v>0</v>
      </c>
      <c r="AB30" s="255">
        <f>Est2017DistRev!AB30</f>
        <v>1374197063.096262</v>
      </c>
      <c r="AC30" s="255">
        <f>Est2017DistRev!AC30</f>
        <v>0</v>
      </c>
      <c r="AD30" s="255">
        <f>Est2017DistRev!AD30</f>
        <v>0</v>
      </c>
      <c r="AE30" s="255">
        <f>Est2017DistRev!AE30</f>
        <v>1036575743.5513418</v>
      </c>
      <c r="AF30" s="255">
        <f>Est2017DistRev!AF30</f>
        <v>0</v>
      </c>
      <c r="AG30" s="255">
        <f>Est2017DistRev!AG30</f>
        <v>0</v>
      </c>
      <c r="AH30" s="255">
        <f>Est2017DistRev!AH30</f>
        <v>0</v>
      </c>
      <c r="AI30" s="255">
        <f>Est2017DistRev!AI30</f>
        <v>845968.75141429983</v>
      </c>
      <c r="AJ30" s="255">
        <f>Est2017DistRev!AJ30</f>
        <v>0</v>
      </c>
      <c r="AK30" s="255">
        <f>Est2017DistRev!AK30</f>
        <v>0</v>
      </c>
      <c r="AL30" s="255">
        <f>Est2017DistRev!AL30</f>
        <v>0</v>
      </c>
      <c r="AM30" s="255">
        <f>Est2017DistRev!AM30</f>
        <v>0</v>
      </c>
      <c r="AN30" s="255">
        <f>Est2017DistRev!AN30</f>
        <v>0</v>
      </c>
      <c r="AO30" s="255">
        <f>Est2017DistRev!AO30</f>
        <v>0</v>
      </c>
      <c r="AP30" s="255">
        <f>Est2017DistRev!AP30</f>
        <v>0</v>
      </c>
      <c r="AQ30" s="255">
        <f>Est2017DistRev!AQ30</f>
        <v>0</v>
      </c>
      <c r="AR30" s="255">
        <f>Est2017DistRev!AR30</f>
        <v>0</v>
      </c>
      <c r="AS30" s="255">
        <f>Est2017DistRev!AS30</f>
        <v>0</v>
      </c>
      <c r="AT30" s="256">
        <f>Est2017DistRev!AT30</f>
        <v>0</v>
      </c>
      <c r="AV30" s="257">
        <f t="shared" si="5"/>
        <v>0</v>
      </c>
      <c r="AW30" s="224">
        <f t="shared" si="6"/>
        <v>0</v>
      </c>
      <c r="AX30" s="224">
        <f t="shared" si="7"/>
        <v>11405835.623698974</v>
      </c>
      <c r="AY30" s="224">
        <f t="shared" si="8"/>
        <v>0</v>
      </c>
      <c r="AZ30" s="224">
        <f t="shared" si="9"/>
        <v>0</v>
      </c>
      <c r="BA30" s="224">
        <f t="shared" si="10"/>
        <v>4146302.9742053673</v>
      </c>
      <c r="BB30" s="224">
        <f t="shared" si="11"/>
        <v>0</v>
      </c>
      <c r="BC30" s="224">
        <f t="shared" si="12"/>
        <v>0</v>
      </c>
      <c r="BD30" s="224">
        <f t="shared" si="13"/>
        <v>0</v>
      </c>
      <c r="BE30" s="224">
        <f t="shared" si="14"/>
        <v>19736450.970495615</v>
      </c>
      <c r="BF30" s="224">
        <f t="shared" si="15"/>
        <v>0</v>
      </c>
      <c r="BG30" s="224">
        <f t="shared" si="16"/>
        <v>0</v>
      </c>
      <c r="BH30" s="224">
        <f t="shared" si="17"/>
        <v>0</v>
      </c>
      <c r="BI30" s="258">
        <f t="shared" si="18"/>
        <v>0</v>
      </c>
      <c r="BJ30" s="258">
        <f t="shared" si="19"/>
        <v>0</v>
      </c>
      <c r="BK30" s="258">
        <f t="shared" si="20"/>
        <v>0</v>
      </c>
      <c r="BL30" s="258">
        <f t="shared" si="21"/>
        <v>0</v>
      </c>
      <c r="BM30" s="258">
        <f t="shared" si="22"/>
        <v>0</v>
      </c>
      <c r="BN30" s="258">
        <f t="shared" si="23"/>
        <v>0</v>
      </c>
      <c r="BO30" s="258">
        <f t="shared" si="24"/>
        <v>0</v>
      </c>
      <c r="BP30" s="258">
        <f t="shared" si="25"/>
        <v>0</v>
      </c>
      <c r="BQ30" s="259">
        <f t="shared" si="26"/>
        <v>35288589.568399958</v>
      </c>
    </row>
    <row r="31" spans="1:69">
      <c r="A31" s="199" t="str">
        <f>Est2017DistRev!A31</f>
        <v>DL</v>
      </c>
      <c r="B31" s="238" t="str">
        <f>Est2017DistRev!B31</f>
        <v>Large Low Voltage Demand</v>
      </c>
      <c r="D31" s="778">
        <v>0</v>
      </c>
      <c r="E31" s="775">
        <v>0</v>
      </c>
      <c r="F31" s="775">
        <v>0</v>
      </c>
      <c r="G31" s="775"/>
      <c r="H31" s="775"/>
      <c r="I31" s="775">
        <v>0</v>
      </c>
      <c r="J31" s="775"/>
      <c r="K31" s="775"/>
      <c r="L31" s="775"/>
      <c r="M31" s="775">
        <v>0</v>
      </c>
      <c r="N31" s="775"/>
      <c r="O31" s="775">
        <v>0</v>
      </c>
      <c r="P31" s="775">
        <v>0</v>
      </c>
      <c r="Q31" s="775">
        <v>0</v>
      </c>
      <c r="R31" s="775">
        <v>0</v>
      </c>
      <c r="S31" s="775">
        <v>0</v>
      </c>
      <c r="T31" s="775"/>
      <c r="U31" s="775">
        <v>0</v>
      </c>
      <c r="V31" s="775">
        <v>0</v>
      </c>
      <c r="W31" s="775">
        <v>0</v>
      </c>
      <c r="X31" s="280"/>
      <c r="Z31" s="281">
        <f>Est2017DistRev!Z31</f>
        <v>0</v>
      </c>
      <c r="AA31" s="255">
        <f>Est2017DistRev!AA31</f>
        <v>0</v>
      </c>
      <c r="AB31" s="255">
        <f>Est2017DistRev!AB31</f>
        <v>0</v>
      </c>
      <c r="AC31" s="255">
        <f>Est2017DistRev!AC31</f>
        <v>0</v>
      </c>
      <c r="AD31" s="255">
        <f>Est2017DistRev!AD31</f>
        <v>0</v>
      </c>
      <c r="AE31" s="255">
        <f>Est2017DistRev!AE31</f>
        <v>0</v>
      </c>
      <c r="AF31" s="255">
        <f>Est2017DistRev!AF31</f>
        <v>0</v>
      </c>
      <c r="AG31" s="255">
        <f>Est2017DistRev!AG31</f>
        <v>0</v>
      </c>
      <c r="AH31" s="255">
        <f>Est2017DistRev!AH31</f>
        <v>0</v>
      </c>
      <c r="AI31" s="255">
        <f>Est2017DistRev!AI31</f>
        <v>0</v>
      </c>
      <c r="AJ31" s="255">
        <f>Est2017DistRev!AJ31</f>
        <v>0</v>
      </c>
      <c r="AK31" s="255">
        <f>Est2017DistRev!AK31</f>
        <v>0</v>
      </c>
      <c r="AL31" s="255">
        <f>Est2017DistRev!AL31</f>
        <v>0</v>
      </c>
      <c r="AM31" s="255">
        <f>Est2017DistRev!AM31</f>
        <v>0</v>
      </c>
      <c r="AN31" s="255">
        <f>Est2017DistRev!AN31</f>
        <v>0</v>
      </c>
      <c r="AO31" s="255">
        <f>Est2017DistRev!AO31</f>
        <v>0</v>
      </c>
      <c r="AP31" s="255">
        <f>Est2017DistRev!AP31</f>
        <v>0</v>
      </c>
      <c r="AQ31" s="255">
        <f>Est2017DistRev!AQ31</f>
        <v>0</v>
      </c>
      <c r="AR31" s="255">
        <f>Est2017DistRev!AR31</f>
        <v>0</v>
      </c>
      <c r="AS31" s="255">
        <f>Est2017DistRev!AS31</f>
        <v>0</v>
      </c>
      <c r="AT31" s="256">
        <f>Est2017DistRev!AT31</f>
        <v>0</v>
      </c>
      <c r="AV31" s="257">
        <f t="shared" si="5"/>
        <v>0</v>
      </c>
      <c r="AW31" s="224">
        <f t="shared" si="6"/>
        <v>0</v>
      </c>
      <c r="AX31" s="224">
        <f t="shared" si="7"/>
        <v>0</v>
      </c>
      <c r="AY31" s="224">
        <f t="shared" si="8"/>
        <v>0</v>
      </c>
      <c r="AZ31" s="224">
        <f t="shared" si="9"/>
        <v>0</v>
      </c>
      <c r="BA31" s="224">
        <f t="shared" si="10"/>
        <v>0</v>
      </c>
      <c r="BB31" s="224">
        <f t="shared" si="11"/>
        <v>0</v>
      </c>
      <c r="BC31" s="224">
        <f t="shared" si="12"/>
        <v>0</v>
      </c>
      <c r="BD31" s="224">
        <f t="shared" si="13"/>
        <v>0</v>
      </c>
      <c r="BE31" s="224">
        <f t="shared" si="14"/>
        <v>0</v>
      </c>
      <c r="BF31" s="224">
        <f t="shared" si="15"/>
        <v>0</v>
      </c>
      <c r="BG31" s="224">
        <f t="shared" si="16"/>
        <v>0</v>
      </c>
      <c r="BH31" s="224">
        <f t="shared" si="17"/>
        <v>0</v>
      </c>
      <c r="BI31" s="258">
        <f t="shared" si="18"/>
        <v>0</v>
      </c>
      <c r="BJ31" s="258">
        <f t="shared" si="19"/>
        <v>0</v>
      </c>
      <c r="BK31" s="258">
        <f t="shared" si="20"/>
        <v>0</v>
      </c>
      <c r="BL31" s="258">
        <f t="shared" si="21"/>
        <v>0</v>
      </c>
      <c r="BM31" s="258">
        <f t="shared" si="22"/>
        <v>0</v>
      </c>
      <c r="BN31" s="258">
        <f t="shared" si="23"/>
        <v>0</v>
      </c>
      <c r="BO31" s="258">
        <f t="shared" si="24"/>
        <v>0</v>
      </c>
      <c r="BP31" s="258">
        <f t="shared" si="25"/>
        <v>0</v>
      </c>
      <c r="BQ31" s="259">
        <f t="shared" si="26"/>
        <v>0</v>
      </c>
    </row>
    <row r="32" spans="1:69">
      <c r="A32" s="199" t="str">
        <f>Est2017DistRev!A32</f>
        <v>DLA</v>
      </c>
      <c r="B32" s="238" t="str">
        <f>Est2017DistRev!B32</f>
        <v>Large Low Voltage Demand A</v>
      </c>
      <c r="D32" s="778">
        <v>0</v>
      </c>
      <c r="E32" s="775">
        <v>0</v>
      </c>
      <c r="F32" s="775">
        <v>0</v>
      </c>
      <c r="G32" s="775"/>
      <c r="H32" s="775"/>
      <c r="I32" s="775">
        <v>0</v>
      </c>
      <c r="J32" s="775"/>
      <c r="K32" s="775"/>
      <c r="L32" s="775"/>
      <c r="M32" s="775">
        <v>0</v>
      </c>
      <c r="N32" s="775"/>
      <c r="O32" s="775">
        <v>0</v>
      </c>
      <c r="P32" s="775">
        <v>0</v>
      </c>
      <c r="Q32" s="775">
        <v>0</v>
      </c>
      <c r="R32" s="775">
        <v>0</v>
      </c>
      <c r="S32" s="775">
        <v>0</v>
      </c>
      <c r="T32" s="775"/>
      <c r="U32" s="775">
        <v>0</v>
      </c>
      <c r="V32" s="775">
        <v>0</v>
      </c>
      <c r="W32" s="775">
        <v>0</v>
      </c>
      <c r="X32" s="280"/>
      <c r="Z32" s="281">
        <f>Est2017DistRev!Z32</f>
        <v>0</v>
      </c>
      <c r="AA32" s="255">
        <f>Est2017DistRev!AA32</f>
        <v>0</v>
      </c>
      <c r="AB32" s="255">
        <f>Est2017DistRev!AB32</f>
        <v>0</v>
      </c>
      <c r="AC32" s="255">
        <f>Est2017DistRev!AC32</f>
        <v>0</v>
      </c>
      <c r="AD32" s="255">
        <f>Est2017DistRev!AD32</f>
        <v>0</v>
      </c>
      <c r="AE32" s="255">
        <f>Est2017DistRev!AE32</f>
        <v>0</v>
      </c>
      <c r="AF32" s="255">
        <f>Est2017DistRev!AF32</f>
        <v>0</v>
      </c>
      <c r="AG32" s="255">
        <f>Est2017DistRev!AG32</f>
        <v>0</v>
      </c>
      <c r="AH32" s="255">
        <f>Est2017DistRev!AH32</f>
        <v>0</v>
      </c>
      <c r="AI32" s="255">
        <f>Est2017DistRev!AI32</f>
        <v>0</v>
      </c>
      <c r="AJ32" s="255">
        <f>Est2017DistRev!AJ32</f>
        <v>0</v>
      </c>
      <c r="AK32" s="255">
        <f>Est2017DistRev!AK32</f>
        <v>0</v>
      </c>
      <c r="AL32" s="255">
        <f>Est2017DistRev!AL32</f>
        <v>0</v>
      </c>
      <c r="AM32" s="255">
        <f>Est2017DistRev!AM32</f>
        <v>0</v>
      </c>
      <c r="AN32" s="255">
        <f>Est2017DistRev!AN32</f>
        <v>0</v>
      </c>
      <c r="AO32" s="255">
        <f>Est2017DistRev!AO32</f>
        <v>0</v>
      </c>
      <c r="AP32" s="255">
        <f>Est2017DistRev!AP32</f>
        <v>0</v>
      </c>
      <c r="AQ32" s="255">
        <f>Est2017DistRev!AQ32</f>
        <v>0</v>
      </c>
      <c r="AR32" s="255">
        <f>Est2017DistRev!AR32</f>
        <v>0</v>
      </c>
      <c r="AS32" s="255">
        <f>Est2017DistRev!AS32</f>
        <v>0</v>
      </c>
      <c r="AT32" s="256">
        <f>Est2017DistRev!AT32</f>
        <v>0</v>
      </c>
      <c r="AV32" s="257">
        <f t="shared" si="5"/>
        <v>0</v>
      </c>
      <c r="AW32" s="224">
        <f t="shared" si="6"/>
        <v>0</v>
      </c>
      <c r="AX32" s="224">
        <f t="shared" si="7"/>
        <v>0</v>
      </c>
      <c r="AY32" s="224">
        <f t="shared" si="8"/>
        <v>0</v>
      </c>
      <c r="AZ32" s="224">
        <f t="shared" si="9"/>
        <v>0</v>
      </c>
      <c r="BA32" s="224">
        <f t="shared" si="10"/>
        <v>0</v>
      </c>
      <c r="BB32" s="224">
        <f t="shared" si="11"/>
        <v>0</v>
      </c>
      <c r="BC32" s="224">
        <f t="shared" si="12"/>
        <v>0</v>
      </c>
      <c r="BD32" s="224">
        <f t="shared" si="13"/>
        <v>0</v>
      </c>
      <c r="BE32" s="224">
        <f t="shared" si="14"/>
        <v>0</v>
      </c>
      <c r="BF32" s="224">
        <f t="shared" si="15"/>
        <v>0</v>
      </c>
      <c r="BG32" s="224">
        <f t="shared" si="16"/>
        <v>0</v>
      </c>
      <c r="BH32" s="224">
        <f t="shared" si="17"/>
        <v>0</v>
      </c>
      <c r="BI32" s="258">
        <f t="shared" si="18"/>
        <v>0</v>
      </c>
      <c r="BJ32" s="258">
        <f t="shared" si="19"/>
        <v>0</v>
      </c>
      <c r="BK32" s="258">
        <f t="shared" si="20"/>
        <v>0</v>
      </c>
      <c r="BL32" s="258">
        <f t="shared" si="21"/>
        <v>0</v>
      </c>
      <c r="BM32" s="258">
        <f t="shared" si="22"/>
        <v>0</v>
      </c>
      <c r="BN32" s="258">
        <f t="shared" si="23"/>
        <v>0</v>
      </c>
      <c r="BO32" s="258">
        <f t="shared" si="24"/>
        <v>0</v>
      </c>
      <c r="BP32" s="258">
        <f t="shared" si="25"/>
        <v>0</v>
      </c>
      <c r="BQ32" s="259">
        <f t="shared" si="26"/>
        <v>0</v>
      </c>
    </row>
    <row r="33" spans="1:69">
      <c r="A33" s="199" t="str">
        <f>Est2017DistRev!A33</f>
        <v>DLC</v>
      </c>
      <c r="B33" s="238" t="str">
        <f>Est2017DistRev!B33</f>
        <v>Large Low Voltage Demand C</v>
      </c>
      <c r="D33" s="778">
        <v>0</v>
      </c>
      <c r="E33" s="775">
        <v>0</v>
      </c>
      <c r="F33" s="775">
        <v>0</v>
      </c>
      <c r="G33" s="775"/>
      <c r="H33" s="775"/>
      <c r="I33" s="775">
        <v>0</v>
      </c>
      <c r="J33" s="775"/>
      <c r="K33" s="775"/>
      <c r="L33" s="775"/>
      <c r="M33" s="775">
        <v>0</v>
      </c>
      <c r="N33" s="775"/>
      <c r="O33" s="775">
        <v>0</v>
      </c>
      <c r="P33" s="775">
        <v>0</v>
      </c>
      <c r="Q33" s="775">
        <v>0</v>
      </c>
      <c r="R33" s="775">
        <v>0</v>
      </c>
      <c r="S33" s="775">
        <v>0</v>
      </c>
      <c r="T33" s="775"/>
      <c r="U33" s="775">
        <v>0</v>
      </c>
      <c r="V33" s="775">
        <v>0</v>
      </c>
      <c r="W33" s="775">
        <v>0</v>
      </c>
      <c r="X33" s="280"/>
      <c r="Z33" s="281">
        <f>Est2017DistRev!Z33</f>
        <v>0</v>
      </c>
      <c r="AA33" s="255">
        <f>Est2017DistRev!AA33</f>
        <v>0</v>
      </c>
      <c r="AB33" s="255">
        <f>Est2017DistRev!AB33</f>
        <v>0</v>
      </c>
      <c r="AC33" s="255">
        <f>Est2017DistRev!AC33</f>
        <v>0</v>
      </c>
      <c r="AD33" s="255">
        <f>Est2017DistRev!AD33</f>
        <v>0</v>
      </c>
      <c r="AE33" s="255">
        <f>Est2017DistRev!AE33</f>
        <v>0</v>
      </c>
      <c r="AF33" s="255">
        <f>Est2017DistRev!AF33</f>
        <v>0</v>
      </c>
      <c r="AG33" s="255">
        <f>Est2017DistRev!AG33</f>
        <v>0</v>
      </c>
      <c r="AH33" s="255">
        <f>Est2017DistRev!AH33</f>
        <v>0</v>
      </c>
      <c r="AI33" s="255">
        <f>Est2017DistRev!AI33</f>
        <v>0</v>
      </c>
      <c r="AJ33" s="255">
        <f>Est2017DistRev!AJ33</f>
        <v>0</v>
      </c>
      <c r="AK33" s="255">
        <f>Est2017DistRev!AK33</f>
        <v>0</v>
      </c>
      <c r="AL33" s="255">
        <f>Est2017DistRev!AL33</f>
        <v>0</v>
      </c>
      <c r="AM33" s="255">
        <f>Est2017DistRev!AM33</f>
        <v>0</v>
      </c>
      <c r="AN33" s="255">
        <f>Est2017DistRev!AN33</f>
        <v>0</v>
      </c>
      <c r="AO33" s="255">
        <f>Est2017DistRev!AO33</f>
        <v>0</v>
      </c>
      <c r="AP33" s="255">
        <f>Est2017DistRev!AP33</f>
        <v>0</v>
      </c>
      <c r="AQ33" s="255">
        <f>Est2017DistRev!AQ33</f>
        <v>0</v>
      </c>
      <c r="AR33" s="255">
        <f>Est2017DistRev!AR33</f>
        <v>0</v>
      </c>
      <c r="AS33" s="255">
        <f>Est2017DistRev!AS33</f>
        <v>0</v>
      </c>
      <c r="AT33" s="256">
        <f>Est2017DistRev!AT33</f>
        <v>0</v>
      </c>
      <c r="AV33" s="257">
        <f t="shared" si="5"/>
        <v>0</v>
      </c>
      <c r="AW33" s="224">
        <f t="shared" si="6"/>
        <v>0</v>
      </c>
      <c r="AX33" s="224">
        <f t="shared" si="7"/>
        <v>0</v>
      </c>
      <c r="AY33" s="224">
        <f t="shared" si="8"/>
        <v>0</v>
      </c>
      <c r="AZ33" s="224">
        <f t="shared" si="9"/>
        <v>0</v>
      </c>
      <c r="BA33" s="224">
        <f t="shared" si="10"/>
        <v>0</v>
      </c>
      <c r="BB33" s="224">
        <f t="shared" si="11"/>
        <v>0</v>
      </c>
      <c r="BC33" s="224">
        <f t="shared" si="12"/>
        <v>0</v>
      </c>
      <c r="BD33" s="224">
        <f t="shared" si="13"/>
        <v>0</v>
      </c>
      <c r="BE33" s="224">
        <f t="shared" si="14"/>
        <v>0</v>
      </c>
      <c r="BF33" s="224">
        <f t="shared" si="15"/>
        <v>0</v>
      </c>
      <c r="BG33" s="224">
        <f t="shared" si="16"/>
        <v>0</v>
      </c>
      <c r="BH33" s="224">
        <f t="shared" si="17"/>
        <v>0</v>
      </c>
      <c r="BI33" s="258">
        <f t="shared" si="18"/>
        <v>0</v>
      </c>
      <c r="BJ33" s="258">
        <f t="shared" si="19"/>
        <v>0</v>
      </c>
      <c r="BK33" s="258">
        <f t="shared" si="20"/>
        <v>0</v>
      </c>
      <c r="BL33" s="258">
        <f t="shared" si="21"/>
        <v>0</v>
      </c>
      <c r="BM33" s="258">
        <f t="shared" si="22"/>
        <v>0</v>
      </c>
      <c r="BN33" s="258">
        <f t="shared" si="23"/>
        <v>0</v>
      </c>
      <c r="BO33" s="258">
        <f t="shared" si="24"/>
        <v>0</v>
      </c>
      <c r="BP33" s="258">
        <f t="shared" si="25"/>
        <v>0</v>
      </c>
      <c r="BQ33" s="259">
        <f t="shared" si="26"/>
        <v>0</v>
      </c>
    </row>
    <row r="34" spans="1:69">
      <c r="A34" s="199" t="str">
        <f>Est2017DistRev!A34</f>
        <v>DLS</v>
      </c>
      <c r="B34" s="238" t="str">
        <f>Est2017DistRev!B34</f>
        <v>Large Low Voltage Demand S</v>
      </c>
      <c r="D34" s="778">
        <v>0</v>
      </c>
      <c r="E34" s="775">
        <v>0</v>
      </c>
      <c r="F34" s="775">
        <v>0</v>
      </c>
      <c r="G34" s="775"/>
      <c r="H34" s="775"/>
      <c r="I34" s="775">
        <v>0</v>
      </c>
      <c r="J34" s="775"/>
      <c r="K34" s="775"/>
      <c r="L34" s="775"/>
      <c r="M34" s="775">
        <v>0</v>
      </c>
      <c r="N34" s="775"/>
      <c r="O34" s="775">
        <v>0</v>
      </c>
      <c r="P34" s="775">
        <v>0</v>
      </c>
      <c r="Q34" s="775">
        <v>0</v>
      </c>
      <c r="R34" s="775">
        <v>0</v>
      </c>
      <c r="S34" s="775">
        <v>0</v>
      </c>
      <c r="T34" s="775"/>
      <c r="U34" s="775">
        <v>0</v>
      </c>
      <c r="V34" s="775">
        <v>0</v>
      </c>
      <c r="W34" s="775">
        <v>0</v>
      </c>
      <c r="X34" s="280"/>
      <c r="Z34" s="281">
        <f>Est2017DistRev!Z34</f>
        <v>0</v>
      </c>
      <c r="AA34" s="255">
        <f>Est2017DistRev!AA34</f>
        <v>0</v>
      </c>
      <c r="AB34" s="255">
        <f>Est2017DistRev!AB34</f>
        <v>0</v>
      </c>
      <c r="AC34" s="255">
        <f>Est2017DistRev!AC34</f>
        <v>0</v>
      </c>
      <c r="AD34" s="255">
        <f>Est2017DistRev!AD34</f>
        <v>0</v>
      </c>
      <c r="AE34" s="255">
        <f>Est2017DistRev!AE34</f>
        <v>0</v>
      </c>
      <c r="AF34" s="255">
        <f>Est2017DistRev!AF34</f>
        <v>0</v>
      </c>
      <c r="AG34" s="255">
        <f>Est2017DistRev!AG34</f>
        <v>0</v>
      </c>
      <c r="AH34" s="255">
        <f>Est2017DistRev!AH34</f>
        <v>0</v>
      </c>
      <c r="AI34" s="255">
        <f>Est2017DistRev!AI34</f>
        <v>0</v>
      </c>
      <c r="AJ34" s="255">
        <f>Est2017DistRev!AJ34</f>
        <v>0</v>
      </c>
      <c r="AK34" s="255">
        <f>Est2017DistRev!AK34</f>
        <v>0</v>
      </c>
      <c r="AL34" s="255">
        <f>Est2017DistRev!AL34</f>
        <v>0</v>
      </c>
      <c r="AM34" s="255">
        <f>Est2017DistRev!AM34</f>
        <v>0</v>
      </c>
      <c r="AN34" s="255">
        <f>Est2017DistRev!AN34</f>
        <v>0</v>
      </c>
      <c r="AO34" s="255">
        <f>Est2017DistRev!AO34</f>
        <v>0</v>
      </c>
      <c r="AP34" s="255">
        <f>Est2017DistRev!AP34</f>
        <v>0</v>
      </c>
      <c r="AQ34" s="255">
        <f>Est2017DistRev!AQ34</f>
        <v>0</v>
      </c>
      <c r="AR34" s="255">
        <f>Est2017DistRev!AR34</f>
        <v>0</v>
      </c>
      <c r="AS34" s="255">
        <f>Est2017DistRev!AS34</f>
        <v>0</v>
      </c>
      <c r="AT34" s="256">
        <f>Est2017DistRev!AT34</f>
        <v>0</v>
      </c>
      <c r="AV34" s="257">
        <f t="shared" si="5"/>
        <v>0</v>
      </c>
      <c r="AW34" s="224">
        <f t="shared" si="6"/>
        <v>0</v>
      </c>
      <c r="AX34" s="224">
        <f t="shared" si="7"/>
        <v>0</v>
      </c>
      <c r="AY34" s="224">
        <f t="shared" si="8"/>
        <v>0</v>
      </c>
      <c r="AZ34" s="224">
        <f t="shared" si="9"/>
        <v>0</v>
      </c>
      <c r="BA34" s="224">
        <f t="shared" si="10"/>
        <v>0</v>
      </c>
      <c r="BB34" s="224">
        <f t="shared" si="11"/>
        <v>0</v>
      </c>
      <c r="BC34" s="224">
        <f t="shared" si="12"/>
        <v>0</v>
      </c>
      <c r="BD34" s="224">
        <f t="shared" si="13"/>
        <v>0</v>
      </c>
      <c r="BE34" s="224">
        <f t="shared" si="14"/>
        <v>0</v>
      </c>
      <c r="BF34" s="224">
        <f t="shared" si="15"/>
        <v>0</v>
      </c>
      <c r="BG34" s="224">
        <f t="shared" si="16"/>
        <v>0</v>
      </c>
      <c r="BH34" s="224">
        <f t="shared" si="17"/>
        <v>0</v>
      </c>
      <c r="BI34" s="258">
        <f t="shared" si="18"/>
        <v>0</v>
      </c>
      <c r="BJ34" s="258">
        <f t="shared" si="19"/>
        <v>0</v>
      </c>
      <c r="BK34" s="258">
        <f t="shared" si="20"/>
        <v>0</v>
      </c>
      <c r="BL34" s="258">
        <f t="shared" si="21"/>
        <v>0</v>
      </c>
      <c r="BM34" s="258">
        <f t="shared" si="22"/>
        <v>0</v>
      </c>
      <c r="BN34" s="258">
        <f t="shared" si="23"/>
        <v>0</v>
      </c>
      <c r="BO34" s="258">
        <f t="shared" si="24"/>
        <v>0</v>
      </c>
      <c r="BP34" s="258">
        <f t="shared" si="25"/>
        <v>0</v>
      </c>
      <c r="BQ34" s="259">
        <f t="shared" si="26"/>
        <v>0</v>
      </c>
    </row>
    <row r="35" spans="1:69">
      <c r="A35" s="199" t="str">
        <f>Est2017DistRev!A35</f>
        <v>DLDK</v>
      </c>
      <c r="B35" s="238" t="str">
        <f>Est2017DistRev!B35</f>
        <v>Large Low Voltage Demand Docklands</v>
      </c>
      <c r="D35" s="778">
        <v>0</v>
      </c>
      <c r="E35" s="775">
        <v>0</v>
      </c>
      <c r="F35" s="775">
        <v>0</v>
      </c>
      <c r="G35" s="775"/>
      <c r="H35" s="775"/>
      <c r="I35" s="775">
        <v>0</v>
      </c>
      <c r="J35" s="775"/>
      <c r="K35" s="775"/>
      <c r="L35" s="775"/>
      <c r="M35" s="775">
        <v>0</v>
      </c>
      <c r="N35" s="775"/>
      <c r="O35" s="775">
        <v>0</v>
      </c>
      <c r="P35" s="775">
        <v>0</v>
      </c>
      <c r="Q35" s="775">
        <v>0</v>
      </c>
      <c r="R35" s="775">
        <v>0</v>
      </c>
      <c r="S35" s="775">
        <v>0</v>
      </c>
      <c r="T35" s="775"/>
      <c r="U35" s="775">
        <v>0</v>
      </c>
      <c r="V35" s="775">
        <v>0</v>
      </c>
      <c r="W35" s="775">
        <v>0</v>
      </c>
      <c r="X35" s="280"/>
      <c r="Z35" s="281">
        <f>Est2017DistRev!Z35</f>
        <v>0</v>
      </c>
      <c r="AA35" s="255">
        <f>Est2017DistRev!AA35</f>
        <v>0</v>
      </c>
      <c r="AB35" s="255">
        <f>Est2017DistRev!AB35</f>
        <v>0</v>
      </c>
      <c r="AC35" s="255">
        <f>Est2017DistRev!AC35</f>
        <v>0</v>
      </c>
      <c r="AD35" s="255">
        <f>Est2017DistRev!AD35</f>
        <v>0</v>
      </c>
      <c r="AE35" s="255">
        <f>Est2017DistRev!AE35</f>
        <v>0</v>
      </c>
      <c r="AF35" s="255">
        <f>Est2017DistRev!AF35</f>
        <v>0</v>
      </c>
      <c r="AG35" s="255">
        <f>Est2017DistRev!AG35</f>
        <v>0</v>
      </c>
      <c r="AH35" s="255">
        <f>Est2017DistRev!AH35</f>
        <v>0</v>
      </c>
      <c r="AI35" s="255">
        <f>Est2017DistRev!AI35</f>
        <v>0</v>
      </c>
      <c r="AJ35" s="255">
        <f>Est2017DistRev!AJ35</f>
        <v>0</v>
      </c>
      <c r="AK35" s="255">
        <f>Est2017DistRev!AK35</f>
        <v>0</v>
      </c>
      <c r="AL35" s="255">
        <f>Est2017DistRev!AL35</f>
        <v>0</v>
      </c>
      <c r="AM35" s="255">
        <f>Est2017DistRev!AM35</f>
        <v>0</v>
      </c>
      <c r="AN35" s="255">
        <f>Est2017DistRev!AN35</f>
        <v>0</v>
      </c>
      <c r="AO35" s="255">
        <f>Est2017DistRev!AO35</f>
        <v>0</v>
      </c>
      <c r="AP35" s="255">
        <f>Est2017DistRev!AP35</f>
        <v>0</v>
      </c>
      <c r="AQ35" s="255">
        <f>Est2017DistRev!AQ35</f>
        <v>0</v>
      </c>
      <c r="AR35" s="255">
        <f>Est2017DistRev!AR35</f>
        <v>0</v>
      </c>
      <c r="AS35" s="255">
        <f>Est2017DistRev!AS35</f>
        <v>0</v>
      </c>
      <c r="AT35" s="256">
        <f>Est2017DistRev!AT35</f>
        <v>0</v>
      </c>
      <c r="AV35" s="257">
        <f t="shared" si="5"/>
        <v>0</v>
      </c>
      <c r="AW35" s="224">
        <f t="shared" si="6"/>
        <v>0</v>
      </c>
      <c r="AX35" s="224">
        <f t="shared" si="7"/>
        <v>0</v>
      </c>
      <c r="AY35" s="224">
        <f t="shared" si="8"/>
        <v>0</v>
      </c>
      <c r="AZ35" s="224">
        <f t="shared" si="9"/>
        <v>0</v>
      </c>
      <c r="BA35" s="224">
        <f t="shared" si="10"/>
        <v>0</v>
      </c>
      <c r="BB35" s="224">
        <f t="shared" si="11"/>
        <v>0</v>
      </c>
      <c r="BC35" s="224">
        <f t="shared" si="12"/>
        <v>0</v>
      </c>
      <c r="BD35" s="224">
        <f t="shared" si="13"/>
        <v>0</v>
      </c>
      <c r="BE35" s="224">
        <f t="shared" si="14"/>
        <v>0</v>
      </c>
      <c r="BF35" s="224">
        <f t="shared" si="15"/>
        <v>0</v>
      </c>
      <c r="BG35" s="224">
        <f t="shared" si="16"/>
        <v>0</v>
      </c>
      <c r="BH35" s="224">
        <f t="shared" si="17"/>
        <v>0</v>
      </c>
      <c r="BI35" s="258">
        <f t="shared" si="18"/>
        <v>0</v>
      </c>
      <c r="BJ35" s="258">
        <f t="shared" si="19"/>
        <v>0</v>
      </c>
      <c r="BK35" s="258">
        <f t="shared" si="20"/>
        <v>0</v>
      </c>
      <c r="BL35" s="258">
        <f t="shared" si="21"/>
        <v>0</v>
      </c>
      <c r="BM35" s="258">
        <f t="shared" si="22"/>
        <v>0</v>
      </c>
      <c r="BN35" s="258">
        <f t="shared" si="23"/>
        <v>0</v>
      </c>
      <c r="BO35" s="258">
        <f t="shared" si="24"/>
        <v>0</v>
      </c>
      <c r="BP35" s="258">
        <f t="shared" si="25"/>
        <v>0</v>
      </c>
      <c r="BQ35" s="259">
        <f t="shared" si="26"/>
        <v>0</v>
      </c>
    </row>
    <row r="36" spans="1:69">
      <c r="A36" s="199" t="str">
        <f>Est2017DistRev!A36</f>
        <v>DLCXX</v>
      </c>
      <c r="B36" s="238" t="str">
        <f>Est2017DistRev!B36</f>
        <v>Large Low Voltage Demand CXX</v>
      </c>
      <c r="D36" s="778">
        <v>0</v>
      </c>
      <c r="E36" s="775">
        <v>0</v>
      </c>
      <c r="F36" s="775">
        <v>0</v>
      </c>
      <c r="G36" s="775"/>
      <c r="H36" s="775"/>
      <c r="I36" s="775">
        <v>0</v>
      </c>
      <c r="J36" s="775"/>
      <c r="K36" s="775"/>
      <c r="L36" s="775"/>
      <c r="M36" s="775">
        <v>0</v>
      </c>
      <c r="N36" s="775"/>
      <c r="O36" s="775">
        <v>0</v>
      </c>
      <c r="P36" s="775">
        <v>0</v>
      </c>
      <c r="Q36" s="775">
        <v>0</v>
      </c>
      <c r="R36" s="775">
        <v>0</v>
      </c>
      <c r="S36" s="775">
        <v>0</v>
      </c>
      <c r="T36" s="775"/>
      <c r="U36" s="775">
        <v>0</v>
      </c>
      <c r="V36" s="775">
        <v>0</v>
      </c>
      <c r="W36" s="775">
        <v>0</v>
      </c>
      <c r="X36" s="280"/>
      <c r="Z36" s="281">
        <f>Est2017DistRev!Z36</f>
        <v>0</v>
      </c>
      <c r="AA36" s="255">
        <f>Est2017DistRev!AA36</f>
        <v>0</v>
      </c>
      <c r="AB36" s="255">
        <f>Est2017DistRev!AB36</f>
        <v>0</v>
      </c>
      <c r="AC36" s="255">
        <f>Est2017DistRev!AC36</f>
        <v>0</v>
      </c>
      <c r="AD36" s="255">
        <f>Est2017DistRev!AD36</f>
        <v>0</v>
      </c>
      <c r="AE36" s="255">
        <f>Est2017DistRev!AE36</f>
        <v>0</v>
      </c>
      <c r="AF36" s="255">
        <f>Est2017DistRev!AF36</f>
        <v>0</v>
      </c>
      <c r="AG36" s="255">
        <f>Est2017DistRev!AG36</f>
        <v>0</v>
      </c>
      <c r="AH36" s="255">
        <f>Est2017DistRev!AH36</f>
        <v>0</v>
      </c>
      <c r="AI36" s="255">
        <f>Est2017DistRev!AI36</f>
        <v>0</v>
      </c>
      <c r="AJ36" s="255">
        <f>Est2017DistRev!AJ36</f>
        <v>0</v>
      </c>
      <c r="AK36" s="255">
        <f>Est2017DistRev!AK36</f>
        <v>0</v>
      </c>
      <c r="AL36" s="255">
        <f>Est2017DistRev!AL36</f>
        <v>0</v>
      </c>
      <c r="AM36" s="255">
        <f>Est2017DistRev!AM36</f>
        <v>0</v>
      </c>
      <c r="AN36" s="255">
        <f>Est2017DistRev!AN36</f>
        <v>0</v>
      </c>
      <c r="AO36" s="255">
        <f>Est2017DistRev!AO36</f>
        <v>0</v>
      </c>
      <c r="AP36" s="255">
        <f>Est2017DistRev!AP36</f>
        <v>0</v>
      </c>
      <c r="AQ36" s="255">
        <f>Est2017DistRev!AQ36</f>
        <v>0</v>
      </c>
      <c r="AR36" s="255">
        <f>Est2017DistRev!AR36</f>
        <v>0</v>
      </c>
      <c r="AS36" s="255">
        <f>Est2017DistRev!AS36</f>
        <v>0</v>
      </c>
      <c r="AT36" s="256">
        <f>Est2017DistRev!AT36</f>
        <v>0</v>
      </c>
      <c r="AV36" s="257">
        <f t="shared" si="5"/>
        <v>0</v>
      </c>
      <c r="AW36" s="224">
        <f t="shared" si="6"/>
        <v>0</v>
      </c>
      <c r="AX36" s="224">
        <f t="shared" si="7"/>
        <v>0</v>
      </c>
      <c r="AY36" s="224">
        <f t="shared" si="8"/>
        <v>0</v>
      </c>
      <c r="AZ36" s="224">
        <f t="shared" si="9"/>
        <v>0</v>
      </c>
      <c r="BA36" s="224">
        <f t="shared" si="10"/>
        <v>0</v>
      </c>
      <c r="BB36" s="224">
        <f t="shared" si="11"/>
        <v>0</v>
      </c>
      <c r="BC36" s="224">
        <f t="shared" si="12"/>
        <v>0</v>
      </c>
      <c r="BD36" s="224">
        <f t="shared" si="13"/>
        <v>0</v>
      </c>
      <c r="BE36" s="224">
        <f t="shared" si="14"/>
        <v>0</v>
      </c>
      <c r="BF36" s="224">
        <f t="shared" si="15"/>
        <v>0</v>
      </c>
      <c r="BG36" s="224">
        <f t="shared" si="16"/>
        <v>0</v>
      </c>
      <c r="BH36" s="224">
        <f t="shared" si="17"/>
        <v>0</v>
      </c>
      <c r="BI36" s="258">
        <f t="shared" si="18"/>
        <v>0</v>
      </c>
      <c r="BJ36" s="258">
        <f t="shared" si="19"/>
        <v>0</v>
      </c>
      <c r="BK36" s="258">
        <f t="shared" si="20"/>
        <v>0</v>
      </c>
      <c r="BL36" s="258">
        <f t="shared" si="21"/>
        <v>0</v>
      </c>
      <c r="BM36" s="258">
        <f t="shared" si="22"/>
        <v>0</v>
      </c>
      <c r="BN36" s="258">
        <f t="shared" si="23"/>
        <v>0</v>
      </c>
      <c r="BO36" s="258">
        <f t="shared" si="24"/>
        <v>0</v>
      </c>
      <c r="BP36" s="258">
        <f t="shared" si="25"/>
        <v>0</v>
      </c>
      <c r="BQ36" s="259">
        <f t="shared" si="26"/>
        <v>0</v>
      </c>
    </row>
    <row r="37" spans="1:69">
      <c r="A37" s="199" t="str">
        <f>Est2017DistRev!A37</f>
        <v>DLR</v>
      </c>
      <c r="B37" s="238" t="str">
        <f>Est2017DistRev!B37</f>
        <v>Large Low Voltage Demand EN.R</v>
      </c>
      <c r="D37" s="778">
        <v>0</v>
      </c>
      <c r="E37" s="775">
        <v>0</v>
      </c>
      <c r="F37" s="775">
        <v>0</v>
      </c>
      <c r="G37" s="775"/>
      <c r="H37" s="775"/>
      <c r="I37" s="775">
        <v>0</v>
      </c>
      <c r="J37" s="775"/>
      <c r="K37" s="775"/>
      <c r="L37" s="775"/>
      <c r="M37" s="775">
        <v>0</v>
      </c>
      <c r="N37" s="775"/>
      <c r="O37" s="775">
        <v>0</v>
      </c>
      <c r="P37" s="775">
        <v>0</v>
      </c>
      <c r="Q37" s="775">
        <v>0</v>
      </c>
      <c r="R37" s="775">
        <v>0</v>
      </c>
      <c r="S37" s="775">
        <v>0</v>
      </c>
      <c r="T37" s="775"/>
      <c r="U37" s="775">
        <v>0</v>
      </c>
      <c r="V37" s="775">
        <v>0</v>
      </c>
      <c r="W37" s="775">
        <v>0</v>
      </c>
      <c r="X37" s="280"/>
      <c r="Z37" s="281">
        <f>Est2017DistRev!Z37</f>
        <v>0</v>
      </c>
      <c r="AA37" s="255">
        <f>Est2017DistRev!AA37</f>
        <v>0</v>
      </c>
      <c r="AB37" s="255">
        <f>Est2017DistRev!AB37</f>
        <v>0</v>
      </c>
      <c r="AC37" s="255">
        <f>Est2017DistRev!AC37</f>
        <v>0</v>
      </c>
      <c r="AD37" s="255">
        <f>Est2017DistRev!AD37</f>
        <v>0</v>
      </c>
      <c r="AE37" s="255">
        <f>Est2017DistRev!AE37</f>
        <v>0</v>
      </c>
      <c r="AF37" s="255">
        <f>Est2017DistRev!AF37</f>
        <v>0</v>
      </c>
      <c r="AG37" s="255">
        <f>Est2017DistRev!AG37</f>
        <v>0</v>
      </c>
      <c r="AH37" s="255">
        <f>Est2017DistRev!AH37</f>
        <v>0</v>
      </c>
      <c r="AI37" s="255">
        <f>Est2017DistRev!AI37</f>
        <v>0</v>
      </c>
      <c r="AJ37" s="255">
        <f>Est2017DistRev!AJ37</f>
        <v>0</v>
      </c>
      <c r="AK37" s="255">
        <f>Est2017DistRev!AK37</f>
        <v>0</v>
      </c>
      <c r="AL37" s="255">
        <f>Est2017DistRev!AL37</f>
        <v>0</v>
      </c>
      <c r="AM37" s="255">
        <f>Est2017DistRev!AM37</f>
        <v>0</v>
      </c>
      <c r="AN37" s="255">
        <f>Est2017DistRev!AN37</f>
        <v>0</v>
      </c>
      <c r="AO37" s="255">
        <f>Est2017DistRev!AO37</f>
        <v>0</v>
      </c>
      <c r="AP37" s="255">
        <f>Est2017DistRev!AP37</f>
        <v>0</v>
      </c>
      <c r="AQ37" s="255">
        <f>Est2017DistRev!AQ37</f>
        <v>0</v>
      </c>
      <c r="AR37" s="255">
        <f>Est2017DistRev!AR37</f>
        <v>0</v>
      </c>
      <c r="AS37" s="255">
        <f>Est2017DistRev!AS37</f>
        <v>0</v>
      </c>
      <c r="AT37" s="256">
        <f>Est2017DistRev!AT37</f>
        <v>0</v>
      </c>
      <c r="AV37" s="257">
        <f t="shared" si="5"/>
        <v>0</v>
      </c>
      <c r="AW37" s="224">
        <f t="shared" si="6"/>
        <v>0</v>
      </c>
      <c r="AX37" s="224">
        <f t="shared" si="7"/>
        <v>0</v>
      </c>
      <c r="AY37" s="224">
        <f t="shared" si="8"/>
        <v>0</v>
      </c>
      <c r="AZ37" s="224">
        <f t="shared" si="9"/>
        <v>0</v>
      </c>
      <c r="BA37" s="224">
        <f t="shared" si="10"/>
        <v>0</v>
      </c>
      <c r="BB37" s="224">
        <f t="shared" si="11"/>
        <v>0</v>
      </c>
      <c r="BC37" s="224">
        <f t="shared" si="12"/>
        <v>0</v>
      </c>
      <c r="BD37" s="224">
        <f t="shared" si="13"/>
        <v>0</v>
      </c>
      <c r="BE37" s="224">
        <f t="shared" si="14"/>
        <v>0</v>
      </c>
      <c r="BF37" s="224">
        <f t="shared" si="15"/>
        <v>0</v>
      </c>
      <c r="BG37" s="224">
        <f t="shared" si="16"/>
        <v>0</v>
      </c>
      <c r="BH37" s="224">
        <f t="shared" si="17"/>
        <v>0</v>
      </c>
      <c r="BI37" s="258">
        <f t="shared" si="18"/>
        <v>0</v>
      </c>
      <c r="BJ37" s="258">
        <f t="shared" si="19"/>
        <v>0</v>
      </c>
      <c r="BK37" s="258">
        <f t="shared" si="20"/>
        <v>0</v>
      </c>
      <c r="BL37" s="258">
        <f t="shared" si="21"/>
        <v>0</v>
      </c>
      <c r="BM37" s="258">
        <f t="shared" si="22"/>
        <v>0</v>
      </c>
      <c r="BN37" s="258">
        <f t="shared" si="23"/>
        <v>0</v>
      </c>
      <c r="BO37" s="258">
        <f t="shared" si="24"/>
        <v>0</v>
      </c>
      <c r="BP37" s="258">
        <f t="shared" si="25"/>
        <v>0</v>
      </c>
      <c r="BQ37" s="259">
        <f t="shared" si="26"/>
        <v>0</v>
      </c>
    </row>
    <row r="38" spans="1:69">
      <c r="A38" s="199" t="str">
        <f>Est2017DistRev!A38</f>
        <v>DLNR</v>
      </c>
      <c r="B38" s="238" t="str">
        <f>Est2017DistRev!B38</f>
        <v>Large Low Voltage Demand EN.NR</v>
      </c>
      <c r="D38" s="778">
        <v>0</v>
      </c>
      <c r="E38" s="775">
        <v>0</v>
      </c>
      <c r="F38" s="775">
        <v>0</v>
      </c>
      <c r="G38" s="775"/>
      <c r="H38" s="775"/>
      <c r="I38" s="775">
        <v>0</v>
      </c>
      <c r="J38" s="775"/>
      <c r="K38" s="775"/>
      <c r="L38" s="775"/>
      <c r="M38" s="775">
        <v>0</v>
      </c>
      <c r="N38" s="775"/>
      <c r="O38" s="775">
        <v>0</v>
      </c>
      <c r="P38" s="775">
        <v>0</v>
      </c>
      <c r="Q38" s="775">
        <v>0</v>
      </c>
      <c r="R38" s="775">
        <v>0</v>
      </c>
      <c r="S38" s="775">
        <v>0</v>
      </c>
      <c r="T38" s="775"/>
      <c r="U38" s="775">
        <v>0</v>
      </c>
      <c r="V38" s="775">
        <v>0</v>
      </c>
      <c r="W38" s="775">
        <v>0</v>
      </c>
      <c r="X38" s="280"/>
      <c r="Z38" s="281">
        <f>Est2017DistRev!Z38</f>
        <v>0</v>
      </c>
      <c r="AA38" s="255">
        <f>Est2017DistRev!AA38</f>
        <v>0</v>
      </c>
      <c r="AB38" s="255">
        <f>Est2017DistRev!AB38</f>
        <v>0</v>
      </c>
      <c r="AC38" s="255">
        <f>Est2017DistRev!AC38</f>
        <v>0</v>
      </c>
      <c r="AD38" s="255">
        <f>Est2017DistRev!AD38</f>
        <v>0</v>
      </c>
      <c r="AE38" s="255">
        <f>Est2017DistRev!AE38</f>
        <v>0</v>
      </c>
      <c r="AF38" s="255">
        <f>Est2017DistRev!AF38</f>
        <v>0</v>
      </c>
      <c r="AG38" s="255">
        <f>Est2017DistRev!AG38</f>
        <v>0</v>
      </c>
      <c r="AH38" s="255">
        <f>Est2017DistRev!AH38</f>
        <v>0</v>
      </c>
      <c r="AI38" s="255">
        <f>Est2017DistRev!AI38</f>
        <v>0</v>
      </c>
      <c r="AJ38" s="255">
        <f>Est2017DistRev!AJ38</f>
        <v>0</v>
      </c>
      <c r="AK38" s="255">
        <f>Est2017DistRev!AK38</f>
        <v>0</v>
      </c>
      <c r="AL38" s="255">
        <f>Est2017DistRev!AL38</f>
        <v>0</v>
      </c>
      <c r="AM38" s="255">
        <f>Est2017DistRev!AM38</f>
        <v>0</v>
      </c>
      <c r="AN38" s="255">
        <f>Est2017DistRev!AN38</f>
        <v>0</v>
      </c>
      <c r="AO38" s="255">
        <f>Est2017DistRev!AO38</f>
        <v>0</v>
      </c>
      <c r="AP38" s="255">
        <f>Est2017DistRev!AP38</f>
        <v>0</v>
      </c>
      <c r="AQ38" s="255">
        <f>Est2017DistRev!AQ38</f>
        <v>0</v>
      </c>
      <c r="AR38" s="255">
        <f>Est2017DistRev!AR38</f>
        <v>0</v>
      </c>
      <c r="AS38" s="255">
        <f>Est2017DistRev!AS38</f>
        <v>0</v>
      </c>
      <c r="AT38" s="256">
        <f>Est2017DistRev!AT38</f>
        <v>0</v>
      </c>
      <c r="AV38" s="257">
        <f t="shared" si="5"/>
        <v>0</v>
      </c>
      <c r="AW38" s="224">
        <f t="shared" si="6"/>
        <v>0</v>
      </c>
      <c r="AX38" s="224">
        <f t="shared" si="7"/>
        <v>0</v>
      </c>
      <c r="AY38" s="224">
        <f t="shared" si="8"/>
        <v>0</v>
      </c>
      <c r="AZ38" s="224">
        <f t="shared" si="9"/>
        <v>0</v>
      </c>
      <c r="BA38" s="224">
        <f t="shared" si="10"/>
        <v>0</v>
      </c>
      <c r="BB38" s="224">
        <f t="shared" si="11"/>
        <v>0</v>
      </c>
      <c r="BC38" s="224">
        <f t="shared" si="12"/>
        <v>0</v>
      </c>
      <c r="BD38" s="224">
        <f t="shared" si="13"/>
        <v>0</v>
      </c>
      <c r="BE38" s="224">
        <f t="shared" si="14"/>
        <v>0</v>
      </c>
      <c r="BF38" s="224">
        <f t="shared" si="15"/>
        <v>0</v>
      </c>
      <c r="BG38" s="224">
        <f t="shared" si="16"/>
        <v>0</v>
      </c>
      <c r="BH38" s="224">
        <f t="shared" si="17"/>
        <v>0</v>
      </c>
      <c r="BI38" s="258">
        <f t="shared" si="18"/>
        <v>0</v>
      </c>
      <c r="BJ38" s="258">
        <f t="shared" si="19"/>
        <v>0</v>
      </c>
      <c r="BK38" s="258">
        <f t="shared" si="20"/>
        <v>0</v>
      </c>
      <c r="BL38" s="258">
        <f t="shared" si="21"/>
        <v>0</v>
      </c>
      <c r="BM38" s="258">
        <f t="shared" si="22"/>
        <v>0</v>
      </c>
      <c r="BN38" s="258">
        <f t="shared" si="23"/>
        <v>0</v>
      </c>
      <c r="BO38" s="258">
        <f t="shared" si="24"/>
        <v>0</v>
      </c>
      <c r="BP38" s="258">
        <f t="shared" si="25"/>
        <v>0</v>
      </c>
      <c r="BQ38" s="259">
        <f t="shared" si="26"/>
        <v>0</v>
      </c>
    </row>
    <row r="39" spans="1:69">
      <c r="A39" s="199" t="str">
        <f>Est2017DistRev!A39</f>
        <v>DLCXXR</v>
      </c>
      <c r="B39" s="238" t="str">
        <f>Est2017DistRev!B39</f>
        <v>Large Low Voltage Demand EN.R CXX</v>
      </c>
      <c r="D39" s="778">
        <v>0</v>
      </c>
      <c r="E39" s="775">
        <v>0</v>
      </c>
      <c r="F39" s="775">
        <v>0</v>
      </c>
      <c r="G39" s="775"/>
      <c r="H39" s="775"/>
      <c r="I39" s="775">
        <v>0</v>
      </c>
      <c r="J39" s="775"/>
      <c r="K39" s="775"/>
      <c r="L39" s="775"/>
      <c r="M39" s="775">
        <v>0</v>
      </c>
      <c r="N39" s="775"/>
      <c r="O39" s="775">
        <v>0</v>
      </c>
      <c r="P39" s="775">
        <v>0</v>
      </c>
      <c r="Q39" s="775">
        <v>0</v>
      </c>
      <c r="R39" s="775">
        <v>0</v>
      </c>
      <c r="S39" s="775">
        <v>0</v>
      </c>
      <c r="T39" s="775"/>
      <c r="U39" s="775">
        <v>0</v>
      </c>
      <c r="V39" s="775">
        <v>0</v>
      </c>
      <c r="W39" s="775">
        <v>0</v>
      </c>
      <c r="X39" s="280"/>
      <c r="Z39" s="281">
        <f>Est2017DistRev!Z39</f>
        <v>0</v>
      </c>
      <c r="AA39" s="255">
        <f>Est2017DistRev!AA39</f>
        <v>0</v>
      </c>
      <c r="AB39" s="255">
        <f>Est2017DistRev!AB39</f>
        <v>0</v>
      </c>
      <c r="AC39" s="255">
        <f>Est2017DistRev!AC39</f>
        <v>0</v>
      </c>
      <c r="AD39" s="255">
        <f>Est2017DistRev!AD39</f>
        <v>0</v>
      </c>
      <c r="AE39" s="255">
        <f>Est2017DistRev!AE39</f>
        <v>0</v>
      </c>
      <c r="AF39" s="255">
        <f>Est2017DistRev!AF39</f>
        <v>0</v>
      </c>
      <c r="AG39" s="255">
        <f>Est2017DistRev!AG39</f>
        <v>0</v>
      </c>
      <c r="AH39" s="255">
        <f>Est2017DistRev!AH39</f>
        <v>0</v>
      </c>
      <c r="AI39" s="255">
        <f>Est2017DistRev!AI39</f>
        <v>0</v>
      </c>
      <c r="AJ39" s="255">
        <f>Est2017DistRev!AJ39</f>
        <v>0</v>
      </c>
      <c r="AK39" s="255">
        <f>Est2017DistRev!AK39</f>
        <v>0</v>
      </c>
      <c r="AL39" s="255">
        <f>Est2017DistRev!AL39</f>
        <v>0</v>
      </c>
      <c r="AM39" s="255">
        <f>Est2017DistRev!AM39</f>
        <v>0</v>
      </c>
      <c r="AN39" s="255">
        <f>Est2017DistRev!AN39</f>
        <v>0</v>
      </c>
      <c r="AO39" s="255">
        <f>Est2017DistRev!AO39</f>
        <v>0</v>
      </c>
      <c r="AP39" s="255">
        <f>Est2017DistRev!AP39</f>
        <v>0</v>
      </c>
      <c r="AQ39" s="255">
        <f>Est2017DistRev!AQ39</f>
        <v>0</v>
      </c>
      <c r="AR39" s="255">
        <f>Est2017DistRev!AR39</f>
        <v>0</v>
      </c>
      <c r="AS39" s="255">
        <f>Est2017DistRev!AS39</f>
        <v>0</v>
      </c>
      <c r="AT39" s="256">
        <f>Est2017DistRev!AT39</f>
        <v>0</v>
      </c>
      <c r="AV39" s="257">
        <f t="shared" si="5"/>
        <v>0</v>
      </c>
      <c r="AW39" s="224">
        <f t="shared" si="6"/>
        <v>0</v>
      </c>
      <c r="AX39" s="224">
        <f t="shared" si="7"/>
        <v>0</v>
      </c>
      <c r="AY39" s="224">
        <f t="shared" si="8"/>
        <v>0</v>
      </c>
      <c r="AZ39" s="224">
        <f t="shared" si="9"/>
        <v>0</v>
      </c>
      <c r="BA39" s="224">
        <f t="shared" si="10"/>
        <v>0</v>
      </c>
      <c r="BB39" s="224">
        <f t="shared" si="11"/>
        <v>0</v>
      </c>
      <c r="BC39" s="224">
        <f t="shared" si="12"/>
        <v>0</v>
      </c>
      <c r="BD39" s="224">
        <f t="shared" si="13"/>
        <v>0</v>
      </c>
      <c r="BE39" s="224">
        <f t="shared" si="14"/>
        <v>0</v>
      </c>
      <c r="BF39" s="224">
        <f t="shared" si="15"/>
        <v>0</v>
      </c>
      <c r="BG39" s="224">
        <f t="shared" si="16"/>
        <v>0</v>
      </c>
      <c r="BH39" s="224">
        <f t="shared" si="17"/>
        <v>0</v>
      </c>
      <c r="BI39" s="258">
        <f t="shared" si="18"/>
        <v>0</v>
      </c>
      <c r="BJ39" s="258">
        <f t="shared" si="19"/>
        <v>0</v>
      </c>
      <c r="BK39" s="258">
        <f t="shared" si="20"/>
        <v>0</v>
      </c>
      <c r="BL39" s="258">
        <f t="shared" si="21"/>
        <v>0</v>
      </c>
      <c r="BM39" s="258">
        <f t="shared" si="22"/>
        <v>0</v>
      </c>
      <c r="BN39" s="258">
        <f t="shared" si="23"/>
        <v>0</v>
      </c>
      <c r="BO39" s="258">
        <f t="shared" si="24"/>
        <v>0</v>
      </c>
      <c r="BP39" s="258">
        <f t="shared" si="25"/>
        <v>0</v>
      </c>
      <c r="BQ39" s="259">
        <f t="shared" si="26"/>
        <v>0</v>
      </c>
    </row>
    <row r="40" spans="1:69">
      <c r="A40" s="199" t="str">
        <f>Est2017DistRev!A40</f>
        <v>DLCXXNR</v>
      </c>
      <c r="B40" s="238" t="str">
        <f>Est2017DistRev!B40</f>
        <v>Large Low Voltage Demand EN.NRCXX</v>
      </c>
      <c r="D40" s="778">
        <v>0</v>
      </c>
      <c r="E40" s="775">
        <v>0</v>
      </c>
      <c r="F40" s="775">
        <v>0</v>
      </c>
      <c r="G40" s="775"/>
      <c r="H40" s="775"/>
      <c r="I40" s="775">
        <v>0</v>
      </c>
      <c r="J40" s="775"/>
      <c r="K40" s="775"/>
      <c r="L40" s="775"/>
      <c r="M40" s="775">
        <v>0</v>
      </c>
      <c r="N40" s="775"/>
      <c r="O40" s="775">
        <v>0</v>
      </c>
      <c r="P40" s="775">
        <v>0</v>
      </c>
      <c r="Q40" s="775">
        <v>0</v>
      </c>
      <c r="R40" s="775">
        <v>0</v>
      </c>
      <c r="S40" s="775">
        <v>0</v>
      </c>
      <c r="T40" s="775"/>
      <c r="U40" s="775">
        <v>0</v>
      </c>
      <c r="V40" s="775">
        <v>0</v>
      </c>
      <c r="W40" s="775">
        <v>0</v>
      </c>
      <c r="X40" s="280"/>
      <c r="Z40" s="281">
        <f>Est2017DistRev!Z40</f>
        <v>0</v>
      </c>
      <c r="AA40" s="255">
        <f>Est2017DistRev!AA40</f>
        <v>0</v>
      </c>
      <c r="AB40" s="255">
        <f>Est2017DistRev!AB40</f>
        <v>0</v>
      </c>
      <c r="AC40" s="255">
        <f>Est2017DistRev!AC40</f>
        <v>0</v>
      </c>
      <c r="AD40" s="255">
        <f>Est2017DistRev!AD40</f>
        <v>0</v>
      </c>
      <c r="AE40" s="255">
        <f>Est2017DistRev!AE40</f>
        <v>0</v>
      </c>
      <c r="AF40" s="255">
        <f>Est2017DistRev!AF40</f>
        <v>0</v>
      </c>
      <c r="AG40" s="255">
        <f>Est2017DistRev!AG40</f>
        <v>0</v>
      </c>
      <c r="AH40" s="255">
        <f>Est2017DistRev!AH40</f>
        <v>0</v>
      </c>
      <c r="AI40" s="255">
        <f>Est2017DistRev!AI40</f>
        <v>0</v>
      </c>
      <c r="AJ40" s="255">
        <f>Est2017DistRev!AJ40</f>
        <v>0</v>
      </c>
      <c r="AK40" s="255">
        <f>Est2017DistRev!AK40</f>
        <v>0</v>
      </c>
      <c r="AL40" s="255">
        <f>Est2017DistRev!AL40</f>
        <v>0</v>
      </c>
      <c r="AM40" s="255">
        <f>Est2017DistRev!AM40</f>
        <v>0</v>
      </c>
      <c r="AN40" s="255">
        <f>Est2017DistRev!AN40</f>
        <v>0</v>
      </c>
      <c r="AO40" s="255">
        <f>Est2017DistRev!AO40</f>
        <v>0</v>
      </c>
      <c r="AP40" s="255">
        <f>Est2017DistRev!AP40</f>
        <v>0</v>
      </c>
      <c r="AQ40" s="255">
        <f>Est2017DistRev!AQ40</f>
        <v>0</v>
      </c>
      <c r="AR40" s="255">
        <f>Est2017DistRev!AR40</f>
        <v>0</v>
      </c>
      <c r="AS40" s="255">
        <f>Est2017DistRev!AS40</f>
        <v>0</v>
      </c>
      <c r="AT40" s="256">
        <f>Est2017DistRev!AT40</f>
        <v>0</v>
      </c>
      <c r="AV40" s="257">
        <f t="shared" si="5"/>
        <v>0</v>
      </c>
      <c r="AW40" s="224">
        <f t="shared" si="6"/>
        <v>0</v>
      </c>
      <c r="AX40" s="224">
        <f t="shared" si="7"/>
        <v>0</v>
      </c>
      <c r="AY40" s="224">
        <f t="shared" si="8"/>
        <v>0</v>
      </c>
      <c r="AZ40" s="224">
        <f t="shared" si="9"/>
        <v>0</v>
      </c>
      <c r="BA40" s="224">
        <f t="shared" si="10"/>
        <v>0</v>
      </c>
      <c r="BB40" s="224">
        <f t="shared" si="11"/>
        <v>0</v>
      </c>
      <c r="BC40" s="224">
        <f t="shared" si="12"/>
        <v>0</v>
      </c>
      <c r="BD40" s="224">
        <f t="shared" si="13"/>
        <v>0</v>
      </c>
      <c r="BE40" s="224">
        <f t="shared" si="14"/>
        <v>0</v>
      </c>
      <c r="BF40" s="224">
        <f t="shared" si="15"/>
        <v>0</v>
      </c>
      <c r="BG40" s="224">
        <f t="shared" si="16"/>
        <v>0</v>
      </c>
      <c r="BH40" s="224">
        <f t="shared" si="17"/>
        <v>0</v>
      </c>
      <c r="BI40" s="258">
        <f t="shared" si="18"/>
        <v>0</v>
      </c>
      <c r="BJ40" s="258">
        <f t="shared" si="19"/>
        <v>0</v>
      </c>
      <c r="BK40" s="258">
        <f t="shared" si="20"/>
        <v>0</v>
      </c>
      <c r="BL40" s="258">
        <f t="shared" si="21"/>
        <v>0</v>
      </c>
      <c r="BM40" s="258">
        <f t="shared" si="22"/>
        <v>0</v>
      </c>
      <c r="BN40" s="258">
        <f t="shared" si="23"/>
        <v>0</v>
      </c>
      <c r="BO40" s="258">
        <f t="shared" si="24"/>
        <v>0</v>
      </c>
      <c r="BP40" s="258">
        <f t="shared" si="25"/>
        <v>0</v>
      </c>
      <c r="BQ40" s="259">
        <f t="shared" si="26"/>
        <v>0</v>
      </c>
    </row>
    <row r="41" spans="1:69">
      <c r="A41" s="199" t="str">
        <f>Est2017DistRev!A41</f>
        <v>HV</v>
      </c>
      <c r="B41" s="238" t="str">
        <f>Est2017DistRev!B41</f>
        <v>High Voltage</v>
      </c>
      <c r="D41" s="778">
        <v>0</v>
      </c>
      <c r="E41" s="775">
        <v>0</v>
      </c>
      <c r="F41" s="775">
        <v>0.98</v>
      </c>
      <c r="G41" s="775"/>
      <c r="H41" s="775"/>
      <c r="I41" s="775">
        <v>0.37</v>
      </c>
      <c r="J41" s="775"/>
      <c r="K41" s="775"/>
      <c r="L41" s="775"/>
      <c r="M41" s="775">
        <v>35.24</v>
      </c>
      <c r="N41" s="775"/>
      <c r="O41" s="775">
        <v>0</v>
      </c>
      <c r="P41" s="775">
        <v>0</v>
      </c>
      <c r="Q41" s="775">
        <v>0</v>
      </c>
      <c r="R41" s="775">
        <v>0</v>
      </c>
      <c r="S41" s="775">
        <v>0</v>
      </c>
      <c r="T41" s="775"/>
      <c r="U41" s="775">
        <v>0</v>
      </c>
      <c r="V41" s="775">
        <v>0</v>
      </c>
      <c r="W41" s="775">
        <v>0</v>
      </c>
      <c r="X41" s="280"/>
      <c r="Z41" s="281">
        <f>Est2017DistRev!Z41</f>
        <v>173.81874999999999</v>
      </c>
      <c r="AA41" s="255">
        <f>Est2017DistRev!AA41</f>
        <v>0</v>
      </c>
      <c r="AB41" s="255">
        <f>Est2017DistRev!AB41</f>
        <v>866527587.12425518</v>
      </c>
      <c r="AC41" s="255">
        <f>Est2017DistRev!AC41</f>
        <v>0</v>
      </c>
      <c r="AD41" s="255">
        <f>Est2017DistRev!AD41</f>
        <v>0</v>
      </c>
      <c r="AE41" s="255">
        <f>Est2017DistRev!AE41</f>
        <v>805521167.20593274</v>
      </c>
      <c r="AF41" s="255">
        <f>Est2017DistRev!AF41</f>
        <v>0</v>
      </c>
      <c r="AG41" s="255">
        <f>Est2017DistRev!AG41</f>
        <v>0</v>
      </c>
      <c r="AH41" s="255">
        <f>Est2017DistRev!AH41</f>
        <v>0</v>
      </c>
      <c r="AI41" s="255">
        <f>Est2017DistRev!AI41</f>
        <v>414871.22409972386</v>
      </c>
      <c r="AJ41" s="255">
        <f>Est2017DistRev!AJ41</f>
        <v>0</v>
      </c>
      <c r="AK41" s="255">
        <f>Est2017DistRev!AK41</f>
        <v>0</v>
      </c>
      <c r="AL41" s="255">
        <f>Est2017DistRev!AL41</f>
        <v>0</v>
      </c>
      <c r="AM41" s="255">
        <f>Est2017DistRev!AM41</f>
        <v>0</v>
      </c>
      <c r="AN41" s="255">
        <f>Est2017DistRev!AN41</f>
        <v>0</v>
      </c>
      <c r="AO41" s="255">
        <f>Est2017DistRev!AO41</f>
        <v>0</v>
      </c>
      <c r="AP41" s="255">
        <f>Est2017DistRev!AP41</f>
        <v>0</v>
      </c>
      <c r="AQ41" s="255">
        <f>Est2017DistRev!AQ41</f>
        <v>0</v>
      </c>
      <c r="AR41" s="255">
        <f>Est2017DistRev!AR41</f>
        <v>0</v>
      </c>
      <c r="AS41" s="255">
        <f>Est2017DistRev!AS41</f>
        <v>0</v>
      </c>
      <c r="AT41" s="256">
        <f>Est2017DistRev!AT41</f>
        <v>0</v>
      </c>
      <c r="AV41" s="257">
        <f t="shared" si="5"/>
        <v>0</v>
      </c>
      <c r="AW41" s="224">
        <f t="shared" si="6"/>
        <v>0</v>
      </c>
      <c r="AX41" s="224">
        <f t="shared" si="7"/>
        <v>8491970.3538177013</v>
      </c>
      <c r="AY41" s="224">
        <f t="shared" si="8"/>
        <v>0</v>
      </c>
      <c r="AZ41" s="224">
        <f t="shared" si="9"/>
        <v>0</v>
      </c>
      <c r="BA41" s="224">
        <f t="shared" si="10"/>
        <v>2980428.3186619515</v>
      </c>
      <c r="BB41" s="224">
        <f t="shared" si="11"/>
        <v>0</v>
      </c>
      <c r="BC41" s="224">
        <f t="shared" si="12"/>
        <v>0</v>
      </c>
      <c r="BD41" s="224">
        <f t="shared" si="13"/>
        <v>0</v>
      </c>
      <c r="BE41" s="224">
        <f t="shared" si="14"/>
        <v>14620061.93727427</v>
      </c>
      <c r="BF41" s="224">
        <f t="shared" si="15"/>
        <v>0</v>
      </c>
      <c r="BG41" s="224">
        <f t="shared" si="16"/>
        <v>0</v>
      </c>
      <c r="BH41" s="224">
        <f t="shared" si="17"/>
        <v>0</v>
      </c>
      <c r="BI41" s="258">
        <f t="shared" si="18"/>
        <v>0</v>
      </c>
      <c r="BJ41" s="258">
        <f t="shared" si="19"/>
        <v>0</v>
      </c>
      <c r="BK41" s="258">
        <f t="shared" si="20"/>
        <v>0</v>
      </c>
      <c r="BL41" s="258">
        <f t="shared" si="21"/>
        <v>0</v>
      </c>
      <c r="BM41" s="258">
        <f t="shared" si="22"/>
        <v>0</v>
      </c>
      <c r="BN41" s="258">
        <f t="shared" si="23"/>
        <v>0</v>
      </c>
      <c r="BO41" s="258">
        <f t="shared" si="24"/>
        <v>0</v>
      </c>
      <c r="BP41" s="258">
        <f t="shared" si="25"/>
        <v>0</v>
      </c>
      <c r="BQ41" s="259">
        <f t="shared" si="26"/>
        <v>26092460.609753922</v>
      </c>
    </row>
    <row r="42" spans="1:69">
      <c r="A42" s="199" t="str">
        <f>Est2017DistRev!A42</f>
        <v>HVD</v>
      </c>
      <c r="B42" s="238" t="str">
        <f>Est2017DistRev!B42</f>
        <v>High Voltage Docklands</v>
      </c>
      <c r="D42" s="778">
        <v>0</v>
      </c>
      <c r="E42" s="775">
        <v>0</v>
      </c>
      <c r="F42" s="775">
        <v>0.78</v>
      </c>
      <c r="G42" s="775"/>
      <c r="H42" s="775"/>
      <c r="I42" s="775">
        <v>0.3</v>
      </c>
      <c r="J42" s="775"/>
      <c r="K42" s="775"/>
      <c r="L42" s="775"/>
      <c r="M42" s="775">
        <v>28.8</v>
      </c>
      <c r="N42" s="779"/>
      <c r="O42" s="775">
        <v>0</v>
      </c>
      <c r="P42" s="775">
        <v>0</v>
      </c>
      <c r="Q42" s="775">
        <v>0</v>
      </c>
      <c r="R42" s="775">
        <v>0</v>
      </c>
      <c r="S42" s="775">
        <v>0</v>
      </c>
      <c r="T42" s="775"/>
      <c r="U42" s="775">
        <v>0</v>
      </c>
      <c r="V42" s="775">
        <v>0</v>
      </c>
      <c r="W42" s="775">
        <v>0</v>
      </c>
      <c r="X42" s="280"/>
      <c r="Z42" s="281">
        <f>Est2017DistRev!Z42</f>
        <v>6.5</v>
      </c>
      <c r="AA42" s="255">
        <f>Est2017DistRev!AA42</f>
        <v>0</v>
      </c>
      <c r="AB42" s="255">
        <f>Est2017DistRev!AB42</f>
        <v>80638518.275401026</v>
      </c>
      <c r="AC42" s="255">
        <f>Est2017DistRev!AC42</f>
        <v>0</v>
      </c>
      <c r="AD42" s="255">
        <f>Est2017DistRev!AD42</f>
        <v>0</v>
      </c>
      <c r="AE42" s="255">
        <f>Est2017DistRev!AE42</f>
        <v>86976167.704816461</v>
      </c>
      <c r="AF42" s="255">
        <f>Est2017DistRev!AF42</f>
        <v>0</v>
      </c>
      <c r="AG42" s="255">
        <f>Est2017DistRev!AG42</f>
        <v>0</v>
      </c>
      <c r="AH42" s="255">
        <f>Est2017DistRev!AH42</f>
        <v>0</v>
      </c>
      <c r="AI42" s="255">
        <f>Est2017DistRev!AI42</f>
        <v>43838.616959842882</v>
      </c>
      <c r="AJ42" s="255">
        <f>Est2017DistRev!AJ42</f>
        <v>0</v>
      </c>
      <c r="AK42" s="255">
        <f>Est2017DistRev!AK42</f>
        <v>0</v>
      </c>
      <c r="AL42" s="255">
        <f>Est2017DistRev!AL42</f>
        <v>0</v>
      </c>
      <c r="AM42" s="255">
        <f>Est2017DistRev!AM42</f>
        <v>0</v>
      </c>
      <c r="AN42" s="255">
        <f>Est2017DistRev!AN42</f>
        <v>0</v>
      </c>
      <c r="AO42" s="255">
        <f>Est2017DistRev!AO42</f>
        <v>0</v>
      </c>
      <c r="AP42" s="255">
        <f>Est2017DistRev!AP42</f>
        <v>0</v>
      </c>
      <c r="AQ42" s="255">
        <f>Est2017DistRev!AQ42</f>
        <v>0</v>
      </c>
      <c r="AR42" s="255">
        <f>Est2017DistRev!AR42</f>
        <v>0</v>
      </c>
      <c r="AS42" s="255">
        <f>Est2017DistRev!AS42</f>
        <v>0</v>
      </c>
      <c r="AT42" s="256">
        <f>Est2017DistRev!AT42</f>
        <v>0</v>
      </c>
      <c r="AV42" s="257">
        <f t="shared" si="5"/>
        <v>0</v>
      </c>
      <c r="AW42" s="224">
        <f t="shared" si="6"/>
        <v>0</v>
      </c>
      <c r="AX42" s="224">
        <f t="shared" si="7"/>
        <v>628980.44254812808</v>
      </c>
      <c r="AY42" s="224">
        <f t="shared" si="8"/>
        <v>0</v>
      </c>
      <c r="AZ42" s="224">
        <f t="shared" si="9"/>
        <v>0</v>
      </c>
      <c r="BA42" s="224">
        <f t="shared" si="10"/>
        <v>260928.50311444938</v>
      </c>
      <c r="BB42" s="224">
        <f t="shared" si="11"/>
        <v>0</v>
      </c>
      <c r="BC42" s="224">
        <f t="shared" si="12"/>
        <v>0</v>
      </c>
      <c r="BD42" s="224">
        <f t="shared" si="13"/>
        <v>0</v>
      </c>
      <c r="BE42" s="224">
        <f t="shared" si="14"/>
        <v>1262552.1684434752</v>
      </c>
      <c r="BF42" s="224">
        <f t="shared" si="15"/>
        <v>0</v>
      </c>
      <c r="BG42" s="224">
        <f t="shared" si="16"/>
        <v>0</v>
      </c>
      <c r="BH42" s="224">
        <f t="shared" si="17"/>
        <v>0</v>
      </c>
      <c r="BI42" s="258">
        <f t="shared" si="18"/>
        <v>0</v>
      </c>
      <c r="BJ42" s="258">
        <f t="shared" si="19"/>
        <v>0</v>
      </c>
      <c r="BK42" s="258">
        <f t="shared" si="20"/>
        <v>0</v>
      </c>
      <c r="BL42" s="258">
        <f t="shared" si="21"/>
        <v>0</v>
      </c>
      <c r="BM42" s="258">
        <f t="shared" si="22"/>
        <v>0</v>
      </c>
      <c r="BN42" s="258">
        <f t="shared" si="23"/>
        <v>0</v>
      </c>
      <c r="BO42" s="258">
        <f t="shared" si="24"/>
        <v>0</v>
      </c>
      <c r="BP42" s="258">
        <f t="shared" si="25"/>
        <v>0</v>
      </c>
      <c r="BQ42" s="259">
        <f t="shared" si="26"/>
        <v>2152461.1141060526</v>
      </c>
    </row>
    <row r="43" spans="1:69">
      <c r="A43" s="199" t="str">
        <f>Est2017DistRev!A43</f>
        <v>DH</v>
      </c>
      <c r="B43" s="238" t="str">
        <f>Est2017DistRev!B43</f>
        <v>High Voltage Demand</v>
      </c>
      <c r="D43" s="778">
        <v>0</v>
      </c>
      <c r="E43" s="775">
        <v>0</v>
      </c>
      <c r="F43" s="775">
        <v>0</v>
      </c>
      <c r="G43" s="775"/>
      <c r="H43" s="775"/>
      <c r="I43" s="775">
        <v>0</v>
      </c>
      <c r="J43" s="775"/>
      <c r="K43" s="775"/>
      <c r="L43" s="775"/>
      <c r="M43" s="775">
        <v>0</v>
      </c>
      <c r="N43" s="775"/>
      <c r="O43" s="775">
        <v>0</v>
      </c>
      <c r="P43" s="775">
        <v>0</v>
      </c>
      <c r="Q43" s="775">
        <v>0</v>
      </c>
      <c r="R43" s="775">
        <v>0</v>
      </c>
      <c r="S43" s="775">
        <v>0</v>
      </c>
      <c r="T43" s="775"/>
      <c r="U43" s="775">
        <v>0</v>
      </c>
      <c r="V43" s="775">
        <v>0</v>
      </c>
      <c r="W43" s="775">
        <v>0</v>
      </c>
      <c r="X43" s="280"/>
      <c r="Z43" s="281">
        <f>Est2017DistRev!Z43</f>
        <v>0</v>
      </c>
      <c r="AA43" s="255">
        <f>Est2017DistRev!AA43</f>
        <v>0</v>
      </c>
      <c r="AB43" s="255">
        <f>Est2017DistRev!AB43</f>
        <v>0</v>
      </c>
      <c r="AC43" s="255">
        <f>Est2017DistRev!AC43</f>
        <v>0</v>
      </c>
      <c r="AD43" s="255">
        <f>Est2017DistRev!AD43</f>
        <v>0</v>
      </c>
      <c r="AE43" s="255">
        <f>Est2017DistRev!AE43</f>
        <v>0</v>
      </c>
      <c r="AF43" s="255">
        <f>Est2017DistRev!AF43</f>
        <v>0</v>
      </c>
      <c r="AG43" s="255">
        <f>Est2017DistRev!AG43</f>
        <v>0</v>
      </c>
      <c r="AH43" s="255">
        <f>Est2017DistRev!AH43</f>
        <v>0</v>
      </c>
      <c r="AI43" s="255">
        <f>Est2017DistRev!AI43</f>
        <v>0</v>
      </c>
      <c r="AJ43" s="255">
        <f>Est2017DistRev!AJ43</f>
        <v>0</v>
      </c>
      <c r="AK43" s="255">
        <f>Est2017DistRev!AK43</f>
        <v>0</v>
      </c>
      <c r="AL43" s="255">
        <f>Est2017DistRev!AL43</f>
        <v>0</v>
      </c>
      <c r="AM43" s="255">
        <f>Est2017DistRev!AM43</f>
        <v>0</v>
      </c>
      <c r="AN43" s="255">
        <f>Est2017DistRev!AN43</f>
        <v>0</v>
      </c>
      <c r="AO43" s="255">
        <f>Est2017DistRev!AO43</f>
        <v>0</v>
      </c>
      <c r="AP43" s="255">
        <f>Est2017DistRev!AP43</f>
        <v>0</v>
      </c>
      <c r="AQ43" s="255">
        <f>Est2017DistRev!AQ43</f>
        <v>0</v>
      </c>
      <c r="AR43" s="255">
        <f>Est2017DistRev!AR43</f>
        <v>0</v>
      </c>
      <c r="AS43" s="255">
        <f>Est2017DistRev!AS43</f>
        <v>0</v>
      </c>
      <c r="AT43" s="256">
        <f>Est2017DistRev!AT43</f>
        <v>0</v>
      </c>
      <c r="AV43" s="257">
        <f t="shared" si="5"/>
        <v>0</v>
      </c>
      <c r="AW43" s="224">
        <f t="shared" si="6"/>
        <v>0</v>
      </c>
      <c r="AX43" s="224">
        <f t="shared" si="7"/>
        <v>0</v>
      </c>
      <c r="AY43" s="224">
        <f t="shared" si="8"/>
        <v>0</v>
      </c>
      <c r="AZ43" s="224">
        <f t="shared" si="9"/>
        <v>0</v>
      </c>
      <c r="BA43" s="224">
        <f t="shared" si="10"/>
        <v>0</v>
      </c>
      <c r="BB43" s="224">
        <f t="shared" si="11"/>
        <v>0</v>
      </c>
      <c r="BC43" s="224">
        <f t="shared" si="12"/>
        <v>0</v>
      </c>
      <c r="BD43" s="224">
        <f t="shared" si="13"/>
        <v>0</v>
      </c>
      <c r="BE43" s="224">
        <f t="shared" si="14"/>
        <v>0</v>
      </c>
      <c r="BF43" s="224">
        <f t="shared" si="15"/>
        <v>0</v>
      </c>
      <c r="BG43" s="224">
        <f t="shared" si="16"/>
        <v>0</v>
      </c>
      <c r="BH43" s="224">
        <f t="shared" si="17"/>
        <v>0</v>
      </c>
      <c r="BI43" s="258">
        <f t="shared" si="18"/>
        <v>0</v>
      </c>
      <c r="BJ43" s="258">
        <f t="shared" si="19"/>
        <v>0</v>
      </c>
      <c r="BK43" s="258">
        <f t="shared" si="20"/>
        <v>0</v>
      </c>
      <c r="BL43" s="258">
        <f t="shared" si="21"/>
        <v>0</v>
      </c>
      <c r="BM43" s="258">
        <f t="shared" si="22"/>
        <v>0</v>
      </c>
      <c r="BN43" s="258">
        <f t="shared" si="23"/>
        <v>0</v>
      </c>
      <c r="BO43" s="258">
        <f t="shared" si="24"/>
        <v>0</v>
      </c>
      <c r="BP43" s="258">
        <f t="shared" si="25"/>
        <v>0</v>
      </c>
      <c r="BQ43" s="259">
        <f t="shared" si="26"/>
        <v>0</v>
      </c>
    </row>
    <row r="44" spans="1:69">
      <c r="A44" s="199" t="str">
        <f>Est2017DistRev!A44</f>
        <v>DHA</v>
      </c>
      <c r="B44" s="238" t="str">
        <f>Est2017DistRev!B44</f>
        <v>High Voltage Demand A</v>
      </c>
      <c r="D44" s="778">
        <v>0</v>
      </c>
      <c r="E44" s="775">
        <v>0</v>
      </c>
      <c r="F44" s="775">
        <v>0</v>
      </c>
      <c r="G44" s="775"/>
      <c r="H44" s="775"/>
      <c r="I44" s="775">
        <v>0</v>
      </c>
      <c r="J44" s="775"/>
      <c r="K44" s="775"/>
      <c r="L44" s="775"/>
      <c r="M44" s="775">
        <v>0</v>
      </c>
      <c r="N44" s="775"/>
      <c r="O44" s="775">
        <v>0</v>
      </c>
      <c r="P44" s="775">
        <v>0</v>
      </c>
      <c r="Q44" s="775">
        <v>0</v>
      </c>
      <c r="R44" s="775">
        <v>0</v>
      </c>
      <c r="S44" s="775">
        <v>0</v>
      </c>
      <c r="T44" s="775"/>
      <c r="U44" s="775">
        <v>0</v>
      </c>
      <c r="V44" s="775">
        <v>0</v>
      </c>
      <c r="W44" s="775">
        <v>0</v>
      </c>
      <c r="X44" s="280"/>
      <c r="Z44" s="281">
        <f>Est2017DistRev!Z44</f>
        <v>0</v>
      </c>
      <c r="AA44" s="255">
        <f>Est2017DistRev!AA44</f>
        <v>0</v>
      </c>
      <c r="AB44" s="255">
        <f>Est2017DistRev!AB44</f>
        <v>0</v>
      </c>
      <c r="AC44" s="255">
        <f>Est2017DistRev!AC44</f>
        <v>0</v>
      </c>
      <c r="AD44" s="255">
        <f>Est2017DistRev!AD44</f>
        <v>0</v>
      </c>
      <c r="AE44" s="255">
        <f>Est2017DistRev!AE44</f>
        <v>0</v>
      </c>
      <c r="AF44" s="255">
        <f>Est2017DistRev!AF44</f>
        <v>0</v>
      </c>
      <c r="AG44" s="255">
        <f>Est2017DistRev!AG44</f>
        <v>0</v>
      </c>
      <c r="AH44" s="255">
        <f>Est2017DistRev!AH44</f>
        <v>0</v>
      </c>
      <c r="AI44" s="255">
        <f>Est2017DistRev!AI44</f>
        <v>0</v>
      </c>
      <c r="AJ44" s="255">
        <f>Est2017DistRev!AJ44</f>
        <v>0</v>
      </c>
      <c r="AK44" s="255">
        <f>Est2017DistRev!AK44</f>
        <v>0</v>
      </c>
      <c r="AL44" s="255">
        <f>Est2017DistRev!AL44</f>
        <v>0</v>
      </c>
      <c r="AM44" s="255">
        <f>Est2017DistRev!AM44</f>
        <v>0</v>
      </c>
      <c r="AN44" s="255">
        <f>Est2017DistRev!AN44</f>
        <v>0</v>
      </c>
      <c r="AO44" s="255">
        <f>Est2017DistRev!AO44</f>
        <v>0</v>
      </c>
      <c r="AP44" s="255">
        <f>Est2017DistRev!AP44</f>
        <v>0</v>
      </c>
      <c r="AQ44" s="255">
        <f>Est2017DistRev!AQ44</f>
        <v>0</v>
      </c>
      <c r="AR44" s="255">
        <f>Est2017DistRev!AR44</f>
        <v>0</v>
      </c>
      <c r="AS44" s="255">
        <f>Est2017DistRev!AS44</f>
        <v>0</v>
      </c>
      <c r="AT44" s="256">
        <f>Est2017DistRev!AT44</f>
        <v>0</v>
      </c>
      <c r="AV44" s="257">
        <f t="shared" si="5"/>
        <v>0</v>
      </c>
      <c r="AW44" s="224">
        <f t="shared" si="6"/>
        <v>0</v>
      </c>
      <c r="AX44" s="224">
        <f t="shared" si="7"/>
        <v>0</v>
      </c>
      <c r="AY44" s="224">
        <f t="shared" si="8"/>
        <v>0</v>
      </c>
      <c r="AZ44" s="224">
        <f t="shared" si="9"/>
        <v>0</v>
      </c>
      <c r="BA44" s="224">
        <f t="shared" si="10"/>
        <v>0</v>
      </c>
      <c r="BB44" s="224">
        <f t="shared" si="11"/>
        <v>0</v>
      </c>
      <c r="BC44" s="224">
        <f t="shared" si="12"/>
        <v>0</v>
      </c>
      <c r="BD44" s="224">
        <f t="shared" si="13"/>
        <v>0</v>
      </c>
      <c r="BE44" s="224">
        <f t="shared" si="14"/>
        <v>0</v>
      </c>
      <c r="BF44" s="224">
        <f t="shared" si="15"/>
        <v>0</v>
      </c>
      <c r="BG44" s="224">
        <f t="shared" si="16"/>
        <v>0</v>
      </c>
      <c r="BH44" s="224">
        <f t="shared" si="17"/>
        <v>0</v>
      </c>
      <c r="BI44" s="258">
        <f t="shared" si="18"/>
        <v>0</v>
      </c>
      <c r="BJ44" s="258">
        <f t="shared" si="19"/>
        <v>0</v>
      </c>
      <c r="BK44" s="258">
        <f t="shared" si="20"/>
        <v>0</v>
      </c>
      <c r="BL44" s="258">
        <f t="shared" si="21"/>
        <v>0</v>
      </c>
      <c r="BM44" s="258">
        <f t="shared" si="22"/>
        <v>0</v>
      </c>
      <c r="BN44" s="258">
        <f t="shared" si="23"/>
        <v>0</v>
      </c>
      <c r="BO44" s="258">
        <f t="shared" si="24"/>
        <v>0</v>
      </c>
      <c r="BP44" s="258">
        <f t="shared" si="25"/>
        <v>0</v>
      </c>
      <c r="BQ44" s="259">
        <f t="shared" si="26"/>
        <v>0</v>
      </c>
    </row>
    <row r="45" spans="1:69">
      <c r="A45" s="199" t="str">
        <f>Est2017DistRev!A45</f>
        <v>DHC</v>
      </c>
      <c r="B45" s="238" t="str">
        <f>Est2017DistRev!B45</f>
        <v>High Voltage Demand C</v>
      </c>
      <c r="D45" s="778">
        <v>0</v>
      </c>
      <c r="E45" s="775">
        <v>0</v>
      </c>
      <c r="F45" s="775">
        <v>0</v>
      </c>
      <c r="G45" s="775"/>
      <c r="H45" s="775"/>
      <c r="I45" s="775">
        <v>0</v>
      </c>
      <c r="J45" s="775"/>
      <c r="K45" s="775"/>
      <c r="L45" s="775"/>
      <c r="M45" s="775">
        <v>0</v>
      </c>
      <c r="N45" s="775"/>
      <c r="O45" s="775">
        <v>0</v>
      </c>
      <c r="P45" s="775">
        <v>0</v>
      </c>
      <c r="Q45" s="775">
        <v>0</v>
      </c>
      <c r="R45" s="775">
        <v>0</v>
      </c>
      <c r="S45" s="775">
        <v>0</v>
      </c>
      <c r="T45" s="775"/>
      <c r="U45" s="775">
        <v>0</v>
      </c>
      <c r="V45" s="775">
        <v>0</v>
      </c>
      <c r="W45" s="775">
        <v>0</v>
      </c>
      <c r="X45" s="280"/>
      <c r="Z45" s="281">
        <f>Est2017DistRev!Z45</f>
        <v>0</v>
      </c>
      <c r="AA45" s="255">
        <f>Est2017DistRev!AA45</f>
        <v>0</v>
      </c>
      <c r="AB45" s="255">
        <f>Est2017DistRev!AB45</f>
        <v>0</v>
      </c>
      <c r="AC45" s="255">
        <f>Est2017DistRev!AC45</f>
        <v>0</v>
      </c>
      <c r="AD45" s="255">
        <f>Est2017DistRev!AD45</f>
        <v>0</v>
      </c>
      <c r="AE45" s="255">
        <f>Est2017DistRev!AE45</f>
        <v>0</v>
      </c>
      <c r="AF45" s="255">
        <f>Est2017DistRev!AF45</f>
        <v>0</v>
      </c>
      <c r="AG45" s="255">
        <f>Est2017DistRev!AG45</f>
        <v>0</v>
      </c>
      <c r="AH45" s="255">
        <f>Est2017DistRev!AH45</f>
        <v>0</v>
      </c>
      <c r="AI45" s="255">
        <f>Est2017DistRev!AI45</f>
        <v>0</v>
      </c>
      <c r="AJ45" s="255">
        <f>Est2017DistRev!AJ45</f>
        <v>0</v>
      </c>
      <c r="AK45" s="255">
        <f>Est2017DistRev!AK45</f>
        <v>0</v>
      </c>
      <c r="AL45" s="255">
        <f>Est2017DistRev!AL45</f>
        <v>0</v>
      </c>
      <c r="AM45" s="255">
        <f>Est2017DistRev!AM45</f>
        <v>0</v>
      </c>
      <c r="AN45" s="255">
        <f>Est2017DistRev!AN45</f>
        <v>0</v>
      </c>
      <c r="AO45" s="255">
        <f>Est2017DistRev!AO45</f>
        <v>0</v>
      </c>
      <c r="AP45" s="255">
        <f>Est2017DistRev!AP45</f>
        <v>0</v>
      </c>
      <c r="AQ45" s="255">
        <f>Est2017DistRev!AQ45</f>
        <v>0</v>
      </c>
      <c r="AR45" s="255">
        <f>Est2017DistRev!AR45</f>
        <v>0</v>
      </c>
      <c r="AS45" s="255">
        <f>Est2017DistRev!AS45</f>
        <v>0</v>
      </c>
      <c r="AT45" s="256">
        <f>Est2017DistRev!AT45</f>
        <v>0</v>
      </c>
      <c r="AV45" s="257">
        <f t="shared" si="5"/>
        <v>0</v>
      </c>
      <c r="AW45" s="224">
        <f t="shared" si="6"/>
        <v>0</v>
      </c>
      <c r="AX45" s="224">
        <f t="shared" si="7"/>
        <v>0</v>
      </c>
      <c r="AY45" s="224">
        <f t="shared" si="8"/>
        <v>0</v>
      </c>
      <c r="AZ45" s="224">
        <f t="shared" si="9"/>
        <v>0</v>
      </c>
      <c r="BA45" s="224">
        <f t="shared" si="10"/>
        <v>0</v>
      </c>
      <c r="BB45" s="224">
        <f t="shared" si="11"/>
        <v>0</v>
      </c>
      <c r="BC45" s="224">
        <f t="shared" si="12"/>
        <v>0</v>
      </c>
      <c r="BD45" s="224">
        <f t="shared" si="13"/>
        <v>0</v>
      </c>
      <c r="BE45" s="224">
        <f t="shared" si="14"/>
        <v>0</v>
      </c>
      <c r="BF45" s="224">
        <f t="shared" si="15"/>
        <v>0</v>
      </c>
      <c r="BG45" s="224">
        <f t="shared" si="16"/>
        <v>0</v>
      </c>
      <c r="BH45" s="224">
        <f t="shared" si="17"/>
        <v>0</v>
      </c>
      <c r="BI45" s="258">
        <f t="shared" si="18"/>
        <v>0</v>
      </c>
      <c r="BJ45" s="258">
        <f t="shared" si="19"/>
        <v>0</v>
      </c>
      <c r="BK45" s="258">
        <f t="shared" si="20"/>
        <v>0</v>
      </c>
      <c r="BL45" s="258">
        <f t="shared" si="21"/>
        <v>0</v>
      </c>
      <c r="BM45" s="258">
        <f t="shared" si="22"/>
        <v>0</v>
      </c>
      <c r="BN45" s="258">
        <f t="shared" si="23"/>
        <v>0</v>
      </c>
      <c r="BO45" s="258">
        <f t="shared" si="24"/>
        <v>0</v>
      </c>
      <c r="BP45" s="258">
        <f t="shared" si="25"/>
        <v>0</v>
      </c>
      <c r="BQ45" s="259">
        <f t="shared" si="26"/>
        <v>0</v>
      </c>
    </row>
    <row r="46" spans="1:69">
      <c r="A46" s="199" t="str">
        <f>Est2017DistRev!A46</f>
        <v>DHD1</v>
      </c>
      <c r="B46" s="238" t="str">
        <f>Est2017DistRev!B46</f>
        <v>High Voltage Demand D1</v>
      </c>
      <c r="D46" s="778">
        <v>0</v>
      </c>
      <c r="E46" s="775">
        <v>0</v>
      </c>
      <c r="F46" s="775">
        <v>0</v>
      </c>
      <c r="G46" s="775"/>
      <c r="H46" s="775"/>
      <c r="I46" s="775">
        <v>0</v>
      </c>
      <c r="J46" s="775"/>
      <c r="K46" s="775"/>
      <c r="L46" s="775"/>
      <c r="M46" s="775">
        <v>0</v>
      </c>
      <c r="N46" s="775"/>
      <c r="O46" s="775">
        <v>0</v>
      </c>
      <c r="P46" s="775">
        <v>0</v>
      </c>
      <c r="Q46" s="775">
        <v>0</v>
      </c>
      <c r="R46" s="775">
        <v>0</v>
      </c>
      <c r="S46" s="775">
        <v>0</v>
      </c>
      <c r="T46" s="775"/>
      <c r="U46" s="775">
        <v>0</v>
      </c>
      <c r="V46" s="775">
        <v>0</v>
      </c>
      <c r="W46" s="775">
        <v>0</v>
      </c>
      <c r="X46" s="280"/>
      <c r="Z46" s="281">
        <f>Est2017DistRev!Z46</f>
        <v>0</v>
      </c>
      <c r="AA46" s="255">
        <f>Est2017DistRev!AA46</f>
        <v>0</v>
      </c>
      <c r="AB46" s="255">
        <f>Est2017DistRev!AB46</f>
        <v>0</v>
      </c>
      <c r="AC46" s="255">
        <f>Est2017DistRev!AC46</f>
        <v>0</v>
      </c>
      <c r="AD46" s="255">
        <f>Est2017DistRev!AD46</f>
        <v>0</v>
      </c>
      <c r="AE46" s="255">
        <f>Est2017DistRev!AE46</f>
        <v>0</v>
      </c>
      <c r="AF46" s="255">
        <f>Est2017DistRev!AF46</f>
        <v>0</v>
      </c>
      <c r="AG46" s="255">
        <f>Est2017DistRev!AG46</f>
        <v>0</v>
      </c>
      <c r="AH46" s="255">
        <f>Est2017DistRev!AH46</f>
        <v>0</v>
      </c>
      <c r="AI46" s="255">
        <f>Est2017DistRev!AI46</f>
        <v>0</v>
      </c>
      <c r="AJ46" s="255">
        <f>Est2017DistRev!AJ46</f>
        <v>0</v>
      </c>
      <c r="AK46" s="255">
        <f>Est2017DistRev!AK46</f>
        <v>0</v>
      </c>
      <c r="AL46" s="255">
        <f>Est2017DistRev!AL46</f>
        <v>0</v>
      </c>
      <c r="AM46" s="255">
        <f>Est2017DistRev!AM46</f>
        <v>0</v>
      </c>
      <c r="AN46" s="255">
        <f>Est2017DistRev!AN46</f>
        <v>0</v>
      </c>
      <c r="AO46" s="255">
        <f>Est2017DistRev!AO46</f>
        <v>0</v>
      </c>
      <c r="AP46" s="255">
        <f>Est2017DistRev!AP46</f>
        <v>0</v>
      </c>
      <c r="AQ46" s="255">
        <f>Est2017DistRev!AQ46</f>
        <v>0</v>
      </c>
      <c r="AR46" s="255">
        <f>Est2017DistRev!AR46</f>
        <v>0</v>
      </c>
      <c r="AS46" s="255">
        <f>Est2017DistRev!AS46</f>
        <v>0</v>
      </c>
      <c r="AT46" s="256">
        <f>Est2017DistRev!AT46</f>
        <v>0</v>
      </c>
      <c r="AV46" s="257">
        <f t="shared" si="5"/>
        <v>0</v>
      </c>
      <c r="AW46" s="224">
        <f t="shared" si="6"/>
        <v>0</v>
      </c>
      <c r="AX46" s="224">
        <f t="shared" si="7"/>
        <v>0</v>
      </c>
      <c r="AY46" s="224">
        <f t="shared" si="8"/>
        <v>0</v>
      </c>
      <c r="AZ46" s="224">
        <f t="shared" si="9"/>
        <v>0</v>
      </c>
      <c r="BA46" s="224">
        <f t="shared" si="10"/>
        <v>0</v>
      </c>
      <c r="BB46" s="224">
        <f t="shared" si="11"/>
        <v>0</v>
      </c>
      <c r="BC46" s="224">
        <f t="shared" si="12"/>
        <v>0</v>
      </c>
      <c r="BD46" s="224">
        <f t="shared" si="13"/>
        <v>0</v>
      </c>
      <c r="BE46" s="224">
        <f t="shared" si="14"/>
        <v>0</v>
      </c>
      <c r="BF46" s="224">
        <f t="shared" si="15"/>
        <v>0</v>
      </c>
      <c r="BG46" s="224">
        <f t="shared" si="16"/>
        <v>0</v>
      </c>
      <c r="BH46" s="224">
        <f t="shared" si="17"/>
        <v>0</v>
      </c>
      <c r="BI46" s="258">
        <f t="shared" si="18"/>
        <v>0</v>
      </c>
      <c r="BJ46" s="258">
        <f t="shared" si="19"/>
        <v>0</v>
      </c>
      <c r="BK46" s="258">
        <f t="shared" si="20"/>
        <v>0</v>
      </c>
      <c r="BL46" s="258">
        <f t="shared" si="21"/>
        <v>0</v>
      </c>
      <c r="BM46" s="258">
        <f t="shared" si="22"/>
        <v>0</v>
      </c>
      <c r="BN46" s="258">
        <f t="shared" si="23"/>
        <v>0</v>
      </c>
      <c r="BO46" s="258">
        <f t="shared" si="24"/>
        <v>0</v>
      </c>
      <c r="BP46" s="258">
        <f t="shared" si="25"/>
        <v>0</v>
      </c>
      <c r="BQ46" s="259">
        <f t="shared" si="26"/>
        <v>0</v>
      </c>
    </row>
    <row r="47" spans="1:69">
      <c r="A47" s="199" t="str">
        <f>Est2017DistRev!A47</f>
        <v>DHD2</v>
      </c>
      <c r="B47" s="238" t="str">
        <f>Est2017DistRev!B47</f>
        <v>High Voltage Demand D2</v>
      </c>
      <c r="D47" s="778">
        <v>0</v>
      </c>
      <c r="E47" s="775">
        <v>0</v>
      </c>
      <c r="F47" s="775">
        <v>0</v>
      </c>
      <c r="G47" s="775"/>
      <c r="H47" s="775"/>
      <c r="I47" s="775">
        <v>0</v>
      </c>
      <c r="J47" s="775"/>
      <c r="K47" s="775"/>
      <c r="L47" s="775"/>
      <c r="M47" s="775">
        <v>0</v>
      </c>
      <c r="N47" s="775"/>
      <c r="O47" s="775">
        <v>0</v>
      </c>
      <c r="P47" s="775">
        <v>0</v>
      </c>
      <c r="Q47" s="775">
        <v>0</v>
      </c>
      <c r="R47" s="775">
        <v>0</v>
      </c>
      <c r="S47" s="775">
        <v>0</v>
      </c>
      <c r="T47" s="775"/>
      <c r="U47" s="775">
        <v>0</v>
      </c>
      <c r="V47" s="775">
        <v>0</v>
      </c>
      <c r="W47" s="775">
        <v>0</v>
      </c>
      <c r="X47" s="280"/>
      <c r="Z47" s="281">
        <f>Est2017DistRev!Z47</f>
        <v>0</v>
      </c>
      <c r="AA47" s="255">
        <f>Est2017DistRev!AA47</f>
        <v>0</v>
      </c>
      <c r="AB47" s="255">
        <f>Est2017DistRev!AB47</f>
        <v>0</v>
      </c>
      <c r="AC47" s="255">
        <f>Est2017DistRev!AC47</f>
        <v>0</v>
      </c>
      <c r="AD47" s="255">
        <f>Est2017DistRev!AD47</f>
        <v>0</v>
      </c>
      <c r="AE47" s="255">
        <f>Est2017DistRev!AE47</f>
        <v>0</v>
      </c>
      <c r="AF47" s="255">
        <f>Est2017DistRev!AF47</f>
        <v>0</v>
      </c>
      <c r="AG47" s="255">
        <f>Est2017DistRev!AG47</f>
        <v>0</v>
      </c>
      <c r="AH47" s="255">
        <f>Est2017DistRev!AH47</f>
        <v>0</v>
      </c>
      <c r="AI47" s="255">
        <f>Est2017DistRev!AI47</f>
        <v>0</v>
      </c>
      <c r="AJ47" s="255">
        <f>Est2017DistRev!AJ47</f>
        <v>0</v>
      </c>
      <c r="AK47" s="255">
        <f>Est2017DistRev!AK47</f>
        <v>0</v>
      </c>
      <c r="AL47" s="255">
        <f>Est2017DistRev!AL47</f>
        <v>0</v>
      </c>
      <c r="AM47" s="255">
        <f>Est2017DistRev!AM47</f>
        <v>0</v>
      </c>
      <c r="AN47" s="255">
        <f>Est2017DistRev!AN47</f>
        <v>0</v>
      </c>
      <c r="AO47" s="255">
        <f>Est2017DistRev!AO47</f>
        <v>0</v>
      </c>
      <c r="AP47" s="255">
        <f>Est2017DistRev!AP47</f>
        <v>0</v>
      </c>
      <c r="AQ47" s="255">
        <f>Est2017DistRev!AQ47</f>
        <v>0</v>
      </c>
      <c r="AR47" s="255">
        <f>Est2017DistRev!AR47</f>
        <v>0</v>
      </c>
      <c r="AS47" s="255">
        <f>Est2017DistRev!AS47</f>
        <v>0</v>
      </c>
      <c r="AT47" s="256">
        <f>Est2017DistRev!AT47</f>
        <v>0</v>
      </c>
      <c r="AV47" s="257">
        <f t="shared" si="5"/>
        <v>0</v>
      </c>
      <c r="AW47" s="224">
        <f t="shared" si="6"/>
        <v>0</v>
      </c>
      <c r="AX47" s="224">
        <f t="shared" si="7"/>
        <v>0</v>
      </c>
      <c r="AY47" s="224">
        <f t="shared" si="8"/>
        <v>0</v>
      </c>
      <c r="AZ47" s="224">
        <f t="shared" si="9"/>
        <v>0</v>
      </c>
      <c r="BA47" s="224">
        <f t="shared" si="10"/>
        <v>0</v>
      </c>
      <c r="BB47" s="224">
        <f t="shared" si="11"/>
        <v>0</v>
      </c>
      <c r="BC47" s="224">
        <f t="shared" si="12"/>
        <v>0</v>
      </c>
      <c r="BD47" s="224">
        <f t="shared" si="13"/>
        <v>0</v>
      </c>
      <c r="BE47" s="224">
        <f t="shared" si="14"/>
        <v>0</v>
      </c>
      <c r="BF47" s="224">
        <f t="shared" si="15"/>
        <v>0</v>
      </c>
      <c r="BG47" s="224">
        <f t="shared" si="16"/>
        <v>0</v>
      </c>
      <c r="BH47" s="224">
        <f t="shared" si="17"/>
        <v>0</v>
      </c>
      <c r="BI47" s="258">
        <f t="shared" si="18"/>
        <v>0</v>
      </c>
      <c r="BJ47" s="258">
        <f t="shared" si="19"/>
        <v>0</v>
      </c>
      <c r="BK47" s="258">
        <f t="shared" si="20"/>
        <v>0</v>
      </c>
      <c r="BL47" s="258">
        <f t="shared" si="21"/>
        <v>0</v>
      </c>
      <c r="BM47" s="258">
        <f t="shared" si="22"/>
        <v>0</v>
      </c>
      <c r="BN47" s="258">
        <f t="shared" si="23"/>
        <v>0</v>
      </c>
      <c r="BO47" s="258">
        <f t="shared" si="24"/>
        <v>0</v>
      </c>
      <c r="BP47" s="258">
        <f t="shared" si="25"/>
        <v>0</v>
      </c>
      <c r="BQ47" s="259">
        <f t="shared" si="26"/>
        <v>0</v>
      </c>
    </row>
    <row r="48" spans="1:69">
      <c r="A48" s="199" t="str">
        <f>Est2017DistRev!A48</f>
        <v>DHDK</v>
      </c>
      <c r="B48" s="238" t="str">
        <f>Est2017DistRev!B48</f>
        <v>High Voltage Demand Docklands</v>
      </c>
      <c r="D48" s="778">
        <v>0</v>
      </c>
      <c r="E48" s="776">
        <v>0</v>
      </c>
      <c r="F48" s="776">
        <v>0</v>
      </c>
      <c r="G48" s="776"/>
      <c r="H48" s="776"/>
      <c r="I48" s="775">
        <v>0</v>
      </c>
      <c r="J48" s="776"/>
      <c r="K48" s="776"/>
      <c r="L48" s="776"/>
      <c r="M48" s="776">
        <v>0</v>
      </c>
      <c r="N48" s="775"/>
      <c r="O48" s="775">
        <v>0</v>
      </c>
      <c r="P48" s="775">
        <v>0</v>
      </c>
      <c r="Q48" s="775">
        <v>0</v>
      </c>
      <c r="R48" s="775">
        <v>0</v>
      </c>
      <c r="S48" s="775">
        <v>0</v>
      </c>
      <c r="T48" s="775"/>
      <c r="U48" s="775">
        <v>0</v>
      </c>
      <c r="V48" s="775">
        <v>0</v>
      </c>
      <c r="W48" s="775">
        <v>0</v>
      </c>
      <c r="X48" s="323"/>
      <c r="Z48" s="254">
        <f>Est2017DistRev!Z48</f>
        <v>0</v>
      </c>
      <c r="AA48" s="255">
        <f>Est2017DistRev!AA48</f>
        <v>0</v>
      </c>
      <c r="AB48" s="255">
        <f>Est2017DistRev!AB48</f>
        <v>0</v>
      </c>
      <c r="AC48" s="255">
        <f>Est2017DistRev!AC48</f>
        <v>0</v>
      </c>
      <c r="AD48" s="255">
        <f>Est2017DistRev!AD48</f>
        <v>0</v>
      </c>
      <c r="AE48" s="255">
        <f>Est2017DistRev!AE48</f>
        <v>0</v>
      </c>
      <c r="AF48" s="255">
        <f>Est2017DistRev!AF48</f>
        <v>0</v>
      </c>
      <c r="AG48" s="255">
        <f>Est2017DistRev!AG48</f>
        <v>0</v>
      </c>
      <c r="AH48" s="255">
        <f>Est2017DistRev!AH48</f>
        <v>0</v>
      </c>
      <c r="AI48" s="255">
        <f>Est2017DistRev!AI48</f>
        <v>0</v>
      </c>
      <c r="AJ48" s="255">
        <f>Est2017DistRev!AJ48</f>
        <v>0</v>
      </c>
      <c r="AK48" s="255">
        <f>Est2017DistRev!AK48</f>
        <v>0</v>
      </c>
      <c r="AL48" s="255">
        <f>Est2017DistRev!AL48</f>
        <v>0</v>
      </c>
      <c r="AM48" s="255">
        <f>Est2017DistRev!AM48</f>
        <v>0</v>
      </c>
      <c r="AN48" s="255">
        <f>Est2017DistRev!AN48</f>
        <v>0</v>
      </c>
      <c r="AO48" s="255">
        <f>Est2017DistRev!AO48</f>
        <v>0</v>
      </c>
      <c r="AP48" s="255">
        <f>Est2017DistRev!AP48</f>
        <v>0</v>
      </c>
      <c r="AQ48" s="255">
        <f>Est2017DistRev!AQ48</f>
        <v>0</v>
      </c>
      <c r="AR48" s="255">
        <f>Est2017DistRev!AR48</f>
        <v>0</v>
      </c>
      <c r="AS48" s="255">
        <f>Est2017DistRev!AS48</f>
        <v>0</v>
      </c>
      <c r="AT48" s="256">
        <f>Est2017DistRev!AT48</f>
        <v>0</v>
      </c>
      <c r="AV48" s="257">
        <f t="shared" si="5"/>
        <v>0</v>
      </c>
      <c r="AW48" s="224">
        <f t="shared" si="6"/>
        <v>0</v>
      </c>
      <c r="AX48" s="224">
        <f t="shared" si="7"/>
        <v>0</v>
      </c>
      <c r="AY48" s="224">
        <f t="shared" si="8"/>
        <v>0</v>
      </c>
      <c r="AZ48" s="224">
        <f t="shared" si="9"/>
        <v>0</v>
      </c>
      <c r="BA48" s="224">
        <f t="shared" si="10"/>
        <v>0</v>
      </c>
      <c r="BB48" s="224">
        <f t="shared" si="11"/>
        <v>0</v>
      </c>
      <c r="BC48" s="224">
        <f t="shared" si="12"/>
        <v>0</v>
      </c>
      <c r="BD48" s="224">
        <f t="shared" si="13"/>
        <v>0</v>
      </c>
      <c r="BE48" s="224">
        <f t="shared" si="14"/>
        <v>0</v>
      </c>
      <c r="BF48" s="224">
        <f t="shared" si="15"/>
        <v>0</v>
      </c>
      <c r="BG48" s="224">
        <f t="shared" si="16"/>
        <v>0</v>
      </c>
      <c r="BH48" s="224">
        <f t="shared" si="17"/>
        <v>0</v>
      </c>
      <c r="BI48" s="258">
        <f t="shared" si="18"/>
        <v>0</v>
      </c>
      <c r="BJ48" s="258">
        <f t="shared" si="19"/>
        <v>0</v>
      </c>
      <c r="BK48" s="258">
        <f t="shared" si="20"/>
        <v>0</v>
      </c>
      <c r="BL48" s="258">
        <f t="shared" si="21"/>
        <v>0</v>
      </c>
      <c r="BM48" s="258">
        <f t="shared" si="22"/>
        <v>0</v>
      </c>
      <c r="BN48" s="258">
        <f t="shared" si="23"/>
        <v>0</v>
      </c>
      <c r="BO48" s="258">
        <f t="shared" si="24"/>
        <v>0</v>
      </c>
      <c r="BP48" s="258">
        <f t="shared" si="25"/>
        <v>0</v>
      </c>
      <c r="BQ48" s="259">
        <f t="shared" si="26"/>
        <v>0</v>
      </c>
    </row>
    <row r="49" spans="1:69">
      <c r="A49" s="199" t="str">
        <f>Est2017DistRev!A49</f>
        <v>DHD3</v>
      </c>
      <c r="B49" s="238" t="str">
        <f>Est2017DistRev!B49</f>
        <v>High Voltage Demand D3</v>
      </c>
      <c r="D49" s="778">
        <v>0</v>
      </c>
      <c r="E49" s="776">
        <v>0</v>
      </c>
      <c r="F49" s="776">
        <v>0</v>
      </c>
      <c r="G49" s="776"/>
      <c r="H49" s="776"/>
      <c r="I49" s="775">
        <v>0</v>
      </c>
      <c r="J49" s="776"/>
      <c r="K49" s="776"/>
      <c r="L49" s="776"/>
      <c r="M49" s="776">
        <v>0</v>
      </c>
      <c r="N49" s="775"/>
      <c r="O49" s="775">
        <v>0</v>
      </c>
      <c r="P49" s="775">
        <v>0</v>
      </c>
      <c r="Q49" s="775">
        <v>0</v>
      </c>
      <c r="R49" s="775">
        <v>0</v>
      </c>
      <c r="S49" s="775">
        <v>0</v>
      </c>
      <c r="T49" s="775"/>
      <c r="U49" s="775">
        <v>0</v>
      </c>
      <c r="V49" s="775">
        <v>0</v>
      </c>
      <c r="W49" s="775">
        <v>0</v>
      </c>
      <c r="X49" s="323"/>
      <c r="Z49" s="254">
        <f>Est2017DistRev!Z49</f>
        <v>0</v>
      </c>
      <c r="AA49" s="255">
        <f>Est2017DistRev!AA49</f>
        <v>0</v>
      </c>
      <c r="AB49" s="255">
        <f>Est2017DistRev!AB49</f>
        <v>0</v>
      </c>
      <c r="AC49" s="255">
        <f>Est2017DistRev!AC49</f>
        <v>0</v>
      </c>
      <c r="AD49" s="255">
        <f>Est2017DistRev!AD49</f>
        <v>0</v>
      </c>
      <c r="AE49" s="255">
        <f>Est2017DistRev!AE49</f>
        <v>0</v>
      </c>
      <c r="AF49" s="255">
        <f>Est2017DistRev!AF49</f>
        <v>0</v>
      </c>
      <c r="AG49" s="255">
        <f>Est2017DistRev!AG49</f>
        <v>0</v>
      </c>
      <c r="AH49" s="255">
        <f>Est2017DistRev!AH49</f>
        <v>0</v>
      </c>
      <c r="AI49" s="255">
        <f>Est2017DistRev!AI49</f>
        <v>0</v>
      </c>
      <c r="AJ49" s="255">
        <f>Est2017DistRev!AJ49</f>
        <v>0</v>
      </c>
      <c r="AK49" s="255">
        <f>Est2017DistRev!AK49</f>
        <v>0</v>
      </c>
      <c r="AL49" s="255">
        <f>Est2017DistRev!AL49</f>
        <v>0</v>
      </c>
      <c r="AM49" s="255">
        <f>Est2017DistRev!AM49</f>
        <v>0</v>
      </c>
      <c r="AN49" s="255">
        <f>Est2017DistRev!AN49</f>
        <v>0</v>
      </c>
      <c r="AO49" s="255">
        <f>Est2017DistRev!AO49</f>
        <v>0</v>
      </c>
      <c r="AP49" s="255">
        <f>Est2017DistRev!AP49</f>
        <v>0</v>
      </c>
      <c r="AQ49" s="255">
        <f>Est2017DistRev!AQ49</f>
        <v>0</v>
      </c>
      <c r="AR49" s="255">
        <f>Est2017DistRev!AR49</f>
        <v>0</v>
      </c>
      <c r="AS49" s="255">
        <f>Est2017DistRev!AS49</f>
        <v>0</v>
      </c>
      <c r="AT49" s="256">
        <f>Est2017DistRev!AT49</f>
        <v>0</v>
      </c>
      <c r="AV49" s="257">
        <f t="shared" si="5"/>
        <v>0</v>
      </c>
      <c r="AW49" s="224">
        <f t="shared" si="6"/>
        <v>0</v>
      </c>
      <c r="AX49" s="224">
        <f t="shared" si="7"/>
        <v>0</v>
      </c>
      <c r="AY49" s="224">
        <f t="shared" si="8"/>
        <v>0</v>
      </c>
      <c r="AZ49" s="224">
        <f t="shared" si="9"/>
        <v>0</v>
      </c>
      <c r="BA49" s="224">
        <f t="shared" si="10"/>
        <v>0</v>
      </c>
      <c r="BB49" s="224">
        <f t="shared" si="11"/>
        <v>0</v>
      </c>
      <c r="BC49" s="224">
        <f t="shared" si="12"/>
        <v>0</v>
      </c>
      <c r="BD49" s="224">
        <f t="shared" si="13"/>
        <v>0</v>
      </c>
      <c r="BE49" s="224">
        <f t="shared" si="14"/>
        <v>0</v>
      </c>
      <c r="BF49" s="224">
        <f t="shared" si="15"/>
        <v>0</v>
      </c>
      <c r="BG49" s="224">
        <f t="shared" si="16"/>
        <v>0</v>
      </c>
      <c r="BH49" s="224">
        <f t="shared" si="17"/>
        <v>0</v>
      </c>
      <c r="BI49" s="258">
        <f t="shared" si="18"/>
        <v>0</v>
      </c>
      <c r="BJ49" s="258">
        <f t="shared" si="19"/>
        <v>0</v>
      </c>
      <c r="BK49" s="258">
        <f t="shared" si="20"/>
        <v>0</v>
      </c>
      <c r="BL49" s="258">
        <f t="shared" si="21"/>
        <v>0</v>
      </c>
      <c r="BM49" s="258">
        <f t="shared" si="22"/>
        <v>0</v>
      </c>
      <c r="BN49" s="258">
        <f t="shared" si="23"/>
        <v>0</v>
      </c>
      <c r="BO49" s="258">
        <f t="shared" si="24"/>
        <v>0</v>
      </c>
      <c r="BP49" s="258">
        <f t="shared" si="25"/>
        <v>0</v>
      </c>
      <c r="BQ49" s="259">
        <f t="shared" si="26"/>
        <v>0</v>
      </c>
    </row>
    <row r="50" spans="1:69">
      <c r="A50" s="199" t="str">
        <f>Est2017DistRev!A50</f>
        <v>DHD4</v>
      </c>
      <c r="B50" s="238" t="str">
        <f>Est2017DistRev!B50</f>
        <v>High Voltage Demand D4</v>
      </c>
      <c r="D50" s="778">
        <v>0</v>
      </c>
      <c r="E50" s="776">
        <v>0</v>
      </c>
      <c r="F50" s="776">
        <v>0</v>
      </c>
      <c r="G50" s="776"/>
      <c r="H50" s="776"/>
      <c r="I50" s="775">
        <v>0</v>
      </c>
      <c r="J50" s="776"/>
      <c r="K50" s="776"/>
      <c r="L50" s="776"/>
      <c r="M50" s="776">
        <v>0</v>
      </c>
      <c r="N50" s="775"/>
      <c r="O50" s="775">
        <v>0</v>
      </c>
      <c r="P50" s="775">
        <v>0</v>
      </c>
      <c r="Q50" s="775">
        <v>0</v>
      </c>
      <c r="R50" s="775">
        <v>0</v>
      </c>
      <c r="S50" s="775">
        <v>0</v>
      </c>
      <c r="T50" s="775"/>
      <c r="U50" s="775">
        <v>0</v>
      </c>
      <c r="V50" s="775">
        <v>0</v>
      </c>
      <c r="W50" s="775">
        <v>0</v>
      </c>
      <c r="X50" s="323"/>
      <c r="Z50" s="254">
        <f>Est2017DistRev!Z50</f>
        <v>0</v>
      </c>
      <c r="AA50" s="255">
        <f>Est2017DistRev!AA50</f>
        <v>0</v>
      </c>
      <c r="AB50" s="255">
        <f>Est2017DistRev!AB50</f>
        <v>0</v>
      </c>
      <c r="AC50" s="255">
        <f>Est2017DistRev!AC50</f>
        <v>0</v>
      </c>
      <c r="AD50" s="255">
        <f>Est2017DistRev!AD50</f>
        <v>0</v>
      </c>
      <c r="AE50" s="255">
        <f>Est2017DistRev!AE50</f>
        <v>0</v>
      </c>
      <c r="AF50" s="255">
        <f>Est2017DistRev!AF50</f>
        <v>0</v>
      </c>
      <c r="AG50" s="255">
        <f>Est2017DistRev!AG50</f>
        <v>0</v>
      </c>
      <c r="AH50" s="255">
        <f>Est2017DistRev!AH50</f>
        <v>0</v>
      </c>
      <c r="AI50" s="255">
        <f>Est2017DistRev!AI50</f>
        <v>0</v>
      </c>
      <c r="AJ50" s="255">
        <f>Est2017DistRev!AJ50</f>
        <v>0</v>
      </c>
      <c r="AK50" s="255">
        <f>Est2017DistRev!AK50</f>
        <v>0</v>
      </c>
      <c r="AL50" s="255">
        <f>Est2017DistRev!AL50</f>
        <v>0</v>
      </c>
      <c r="AM50" s="255">
        <f>Est2017DistRev!AM50</f>
        <v>0</v>
      </c>
      <c r="AN50" s="255">
        <f>Est2017DistRev!AN50</f>
        <v>0</v>
      </c>
      <c r="AO50" s="255">
        <f>Est2017DistRev!AO50</f>
        <v>0</v>
      </c>
      <c r="AP50" s="255">
        <f>Est2017DistRev!AP50</f>
        <v>0</v>
      </c>
      <c r="AQ50" s="255">
        <f>Est2017DistRev!AQ50</f>
        <v>0</v>
      </c>
      <c r="AR50" s="255">
        <f>Est2017DistRev!AR50</f>
        <v>0</v>
      </c>
      <c r="AS50" s="255">
        <f>Est2017DistRev!AS50</f>
        <v>0</v>
      </c>
      <c r="AT50" s="256">
        <f>Est2017DistRev!AT50</f>
        <v>0</v>
      </c>
      <c r="AV50" s="257">
        <f t="shared" si="5"/>
        <v>0</v>
      </c>
      <c r="AW50" s="224">
        <f t="shared" si="6"/>
        <v>0</v>
      </c>
      <c r="AX50" s="224">
        <f t="shared" si="7"/>
        <v>0</v>
      </c>
      <c r="AY50" s="224">
        <f t="shared" si="8"/>
        <v>0</v>
      </c>
      <c r="AZ50" s="224">
        <f t="shared" si="9"/>
        <v>0</v>
      </c>
      <c r="BA50" s="224">
        <f t="shared" si="10"/>
        <v>0</v>
      </c>
      <c r="BB50" s="224">
        <f t="shared" si="11"/>
        <v>0</v>
      </c>
      <c r="BC50" s="224">
        <f t="shared" si="12"/>
        <v>0</v>
      </c>
      <c r="BD50" s="224">
        <f t="shared" si="13"/>
        <v>0</v>
      </c>
      <c r="BE50" s="224">
        <f t="shared" si="14"/>
        <v>0</v>
      </c>
      <c r="BF50" s="224">
        <f t="shared" si="15"/>
        <v>0</v>
      </c>
      <c r="BG50" s="224">
        <f t="shared" si="16"/>
        <v>0</v>
      </c>
      <c r="BH50" s="224">
        <f t="shared" si="17"/>
        <v>0</v>
      </c>
      <c r="BI50" s="258">
        <f t="shared" si="18"/>
        <v>0</v>
      </c>
      <c r="BJ50" s="258">
        <f t="shared" si="19"/>
        <v>0</v>
      </c>
      <c r="BK50" s="258">
        <f t="shared" si="20"/>
        <v>0</v>
      </c>
      <c r="BL50" s="258">
        <f t="shared" si="21"/>
        <v>0</v>
      </c>
      <c r="BM50" s="258">
        <f t="shared" si="22"/>
        <v>0</v>
      </c>
      <c r="BN50" s="258">
        <f t="shared" si="23"/>
        <v>0</v>
      </c>
      <c r="BO50" s="258">
        <f t="shared" si="24"/>
        <v>0</v>
      </c>
      <c r="BP50" s="258">
        <f t="shared" si="25"/>
        <v>0</v>
      </c>
      <c r="BQ50" s="259">
        <f t="shared" si="26"/>
        <v>0</v>
      </c>
    </row>
    <row r="51" spans="1:69">
      <c r="A51" s="199" t="str">
        <f>Est2017DistRev!A51</f>
        <v>ST</v>
      </c>
      <c r="B51" s="238" t="str">
        <f>Est2017DistRev!B51</f>
        <v>Subtransmission</v>
      </c>
      <c r="D51" s="778">
        <v>0</v>
      </c>
      <c r="E51" s="776">
        <v>0</v>
      </c>
      <c r="F51" s="776">
        <v>2.06</v>
      </c>
      <c r="G51" s="776"/>
      <c r="H51" s="776"/>
      <c r="I51" s="775">
        <v>0.62</v>
      </c>
      <c r="J51" s="776"/>
      <c r="K51" s="776"/>
      <c r="L51" s="776"/>
      <c r="M51" s="776">
        <v>19.23</v>
      </c>
      <c r="N51" s="775"/>
      <c r="O51" s="775">
        <v>0</v>
      </c>
      <c r="P51" s="775">
        <v>0</v>
      </c>
      <c r="Q51" s="775">
        <v>0</v>
      </c>
      <c r="R51" s="775">
        <v>0</v>
      </c>
      <c r="S51" s="775">
        <v>0</v>
      </c>
      <c r="T51" s="775"/>
      <c r="U51" s="775">
        <v>0</v>
      </c>
      <c r="V51" s="775">
        <v>0</v>
      </c>
      <c r="W51" s="775">
        <v>0</v>
      </c>
      <c r="X51" s="323"/>
      <c r="Z51" s="254">
        <f>Est2017DistRev!Z51</f>
        <v>10</v>
      </c>
      <c r="AA51" s="255">
        <f>Est2017DistRev!AA51</f>
        <v>0</v>
      </c>
      <c r="AB51" s="255">
        <f>Est2017DistRev!AB51</f>
        <v>555253381.44769192</v>
      </c>
      <c r="AC51" s="255">
        <f>Est2017DistRev!AC51</f>
        <v>0</v>
      </c>
      <c r="AD51" s="255">
        <f>Est2017DistRev!AD51</f>
        <v>0</v>
      </c>
      <c r="AE51" s="255">
        <f>Est2017DistRev!AE51</f>
        <v>469027152.06058693</v>
      </c>
      <c r="AF51" s="255">
        <f>Est2017DistRev!AF51</f>
        <v>0</v>
      </c>
      <c r="AG51" s="255">
        <f>Est2017DistRev!AG51</f>
        <v>0</v>
      </c>
      <c r="AH51" s="255">
        <f>Est2017DistRev!AH51</f>
        <v>0</v>
      </c>
      <c r="AI51" s="255">
        <f>Est2017DistRev!AI51</f>
        <v>200469.02553093893</v>
      </c>
      <c r="AJ51" s="255">
        <f>Est2017DistRev!AJ51</f>
        <v>0</v>
      </c>
      <c r="AK51" s="255">
        <f>Est2017DistRev!AK51</f>
        <v>0</v>
      </c>
      <c r="AL51" s="255">
        <f>Est2017DistRev!AL51</f>
        <v>0</v>
      </c>
      <c r="AM51" s="255">
        <f>Est2017DistRev!AM51</f>
        <v>0</v>
      </c>
      <c r="AN51" s="255">
        <f>Est2017DistRev!AN51</f>
        <v>0</v>
      </c>
      <c r="AO51" s="255">
        <f>Est2017DistRev!AO51</f>
        <v>0</v>
      </c>
      <c r="AP51" s="255">
        <f>Est2017DistRev!AP51</f>
        <v>0</v>
      </c>
      <c r="AQ51" s="255">
        <f>Est2017DistRev!AQ51</f>
        <v>0</v>
      </c>
      <c r="AR51" s="255">
        <f>Est2017DistRev!AR51</f>
        <v>0</v>
      </c>
      <c r="AS51" s="255">
        <f>Est2017DistRev!AS51</f>
        <v>0</v>
      </c>
      <c r="AT51" s="256">
        <f>Est2017DistRev!AT51</f>
        <v>0</v>
      </c>
      <c r="AV51" s="257">
        <f t="shared" si="5"/>
        <v>0</v>
      </c>
      <c r="AW51" s="224">
        <f t="shared" si="6"/>
        <v>0</v>
      </c>
      <c r="AX51" s="224">
        <f t="shared" si="7"/>
        <v>11438219.657822454</v>
      </c>
      <c r="AY51" s="224">
        <f t="shared" si="8"/>
        <v>0</v>
      </c>
      <c r="AZ51" s="224">
        <f t="shared" si="9"/>
        <v>0</v>
      </c>
      <c r="BA51" s="224">
        <f t="shared" si="10"/>
        <v>2907968.3427756387</v>
      </c>
      <c r="BB51" s="224">
        <f t="shared" si="11"/>
        <v>0</v>
      </c>
      <c r="BC51" s="224">
        <f t="shared" si="12"/>
        <v>0</v>
      </c>
      <c r="BD51" s="224">
        <f t="shared" si="13"/>
        <v>0</v>
      </c>
      <c r="BE51" s="224">
        <f t="shared" si="14"/>
        <v>3855019.360959956</v>
      </c>
      <c r="BF51" s="224">
        <f t="shared" si="15"/>
        <v>0</v>
      </c>
      <c r="BG51" s="224">
        <f t="shared" si="16"/>
        <v>0</v>
      </c>
      <c r="BH51" s="224">
        <f t="shared" si="17"/>
        <v>0</v>
      </c>
      <c r="BI51" s="258">
        <f t="shared" si="18"/>
        <v>0</v>
      </c>
      <c r="BJ51" s="258">
        <f t="shared" si="19"/>
        <v>0</v>
      </c>
      <c r="BK51" s="258">
        <f t="shared" si="20"/>
        <v>0</v>
      </c>
      <c r="BL51" s="258">
        <f t="shared" si="21"/>
        <v>0</v>
      </c>
      <c r="BM51" s="258">
        <f t="shared" si="22"/>
        <v>0</v>
      </c>
      <c r="BN51" s="258">
        <f t="shared" si="23"/>
        <v>0</v>
      </c>
      <c r="BO51" s="258">
        <f t="shared" si="24"/>
        <v>0</v>
      </c>
      <c r="BP51" s="258">
        <f t="shared" si="25"/>
        <v>0</v>
      </c>
      <c r="BQ51" s="259">
        <f t="shared" si="26"/>
        <v>18201207.36155805</v>
      </c>
    </row>
    <row r="52" spans="1:69">
      <c r="A52" s="199" t="str">
        <f>Est2017DistRev!A52</f>
        <v>DSA</v>
      </c>
      <c r="B52" s="238" t="str">
        <f>Est2017DistRev!B52</f>
        <v>Subtransmission Demand A</v>
      </c>
      <c r="D52" s="778">
        <v>0</v>
      </c>
      <c r="E52" s="776">
        <v>0</v>
      </c>
      <c r="F52" s="776">
        <v>0</v>
      </c>
      <c r="G52" s="776"/>
      <c r="H52" s="776"/>
      <c r="I52" s="775">
        <v>0</v>
      </c>
      <c r="J52" s="776"/>
      <c r="K52" s="776"/>
      <c r="L52" s="776"/>
      <c r="M52" s="776">
        <v>0</v>
      </c>
      <c r="N52" s="775"/>
      <c r="O52" s="775">
        <v>0</v>
      </c>
      <c r="P52" s="775">
        <v>0</v>
      </c>
      <c r="Q52" s="775">
        <v>0</v>
      </c>
      <c r="R52" s="775">
        <v>0</v>
      </c>
      <c r="S52" s="775">
        <v>0</v>
      </c>
      <c r="T52" s="775"/>
      <c r="U52" s="775">
        <v>0</v>
      </c>
      <c r="V52" s="775">
        <v>0</v>
      </c>
      <c r="W52" s="775">
        <v>0</v>
      </c>
      <c r="X52" s="323"/>
      <c r="Z52" s="254">
        <f>Est2017DistRev!Z52</f>
        <v>0</v>
      </c>
      <c r="AA52" s="255">
        <f>Est2017DistRev!AA52</f>
        <v>0</v>
      </c>
      <c r="AB52" s="255">
        <f>Est2017DistRev!AB52</f>
        <v>0</v>
      </c>
      <c r="AC52" s="255">
        <f>Est2017DistRev!AC52</f>
        <v>0</v>
      </c>
      <c r="AD52" s="255">
        <f>Est2017DistRev!AD52</f>
        <v>0</v>
      </c>
      <c r="AE52" s="255">
        <f>Est2017DistRev!AE52</f>
        <v>0</v>
      </c>
      <c r="AF52" s="255">
        <f>Est2017DistRev!AF52</f>
        <v>0</v>
      </c>
      <c r="AG52" s="255">
        <f>Est2017DistRev!AG52</f>
        <v>0</v>
      </c>
      <c r="AH52" s="255">
        <f>Est2017DistRev!AH52</f>
        <v>0</v>
      </c>
      <c r="AI52" s="255">
        <f>Est2017DistRev!AI52</f>
        <v>0</v>
      </c>
      <c r="AJ52" s="255">
        <f>Est2017DistRev!AJ52</f>
        <v>0</v>
      </c>
      <c r="AK52" s="255">
        <f>Est2017DistRev!AK52</f>
        <v>0</v>
      </c>
      <c r="AL52" s="255">
        <f>Est2017DistRev!AL52</f>
        <v>0</v>
      </c>
      <c r="AM52" s="255">
        <f>Est2017DistRev!AM52</f>
        <v>0</v>
      </c>
      <c r="AN52" s="255">
        <f>Est2017DistRev!AN52</f>
        <v>0</v>
      </c>
      <c r="AO52" s="255">
        <f>Est2017DistRev!AO52</f>
        <v>0</v>
      </c>
      <c r="AP52" s="255">
        <f>Est2017DistRev!AP52</f>
        <v>0</v>
      </c>
      <c r="AQ52" s="255">
        <f>Est2017DistRev!AQ52</f>
        <v>0</v>
      </c>
      <c r="AR52" s="255">
        <f>Est2017DistRev!AR52</f>
        <v>0</v>
      </c>
      <c r="AS52" s="255">
        <f>Est2017DistRev!AS52</f>
        <v>0</v>
      </c>
      <c r="AT52" s="256">
        <f>Est2017DistRev!AT52</f>
        <v>0</v>
      </c>
      <c r="AV52" s="257">
        <f t="shared" si="5"/>
        <v>0</v>
      </c>
      <c r="AW52" s="224">
        <f t="shared" si="6"/>
        <v>0</v>
      </c>
      <c r="AX52" s="224">
        <f t="shared" si="7"/>
        <v>0</v>
      </c>
      <c r="AY52" s="224">
        <f t="shared" si="8"/>
        <v>0</v>
      </c>
      <c r="AZ52" s="224">
        <f t="shared" si="9"/>
        <v>0</v>
      </c>
      <c r="BA52" s="224">
        <f t="shared" si="10"/>
        <v>0</v>
      </c>
      <c r="BB52" s="224">
        <f t="shared" si="11"/>
        <v>0</v>
      </c>
      <c r="BC52" s="224">
        <f t="shared" si="12"/>
        <v>0</v>
      </c>
      <c r="BD52" s="224">
        <f t="shared" si="13"/>
        <v>0</v>
      </c>
      <c r="BE52" s="224">
        <f t="shared" si="14"/>
        <v>0</v>
      </c>
      <c r="BF52" s="224">
        <f t="shared" si="15"/>
        <v>0</v>
      </c>
      <c r="BG52" s="224">
        <f t="shared" si="16"/>
        <v>0</v>
      </c>
      <c r="BH52" s="224">
        <f t="shared" si="17"/>
        <v>0</v>
      </c>
      <c r="BI52" s="258">
        <f t="shared" si="18"/>
        <v>0</v>
      </c>
      <c r="BJ52" s="258">
        <f t="shared" si="19"/>
        <v>0</v>
      </c>
      <c r="BK52" s="258">
        <f t="shared" si="20"/>
        <v>0</v>
      </c>
      <c r="BL52" s="258">
        <f t="shared" si="21"/>
        <v>0</v>
      </c>
      <c r="BM52" s="258">
        <f t="shared" si="22"/>
        <v>0</v>
      </c>
      <c r="BN52" s="258">
        <f t="shared" si="23"/>
        <v>0</v>
      </c>
      <c r="BO52" s="258">
        <f t="shared" si="24"/>
        <v>0</v>
      </c>
      <c r="BP52" s="258">
        <f t="shared" si="25"/>
        <v>0</v>
      </c>
      <c r="BQ52" s="259">
        <f t="shared" si="26"/>
        <v>0</v>
      </c>
    </row>
    <row r="53" spans="1:69">
      <c r="A53" s="199" t="str">
        <f>Est2017DistRev!A53</f>
        <v>DSG</v>
      </c>
      <c r="B53" s="238" t="str">
        <f>Est2017DistRev!B53</f>
        <v>Subtransmission Demand G</v>
      </c>
      <c r="D53" s="778">
        <v>0</v>
      </c>
      <c r="E53" s="776">
        <v>0</v>
      </c>
      <c r="F53" s="776">
        <v>0</v>
      </c>
      <c r="G53" s="776"/>
      <c r="H53" s="776"/>
      <c r="I53" s="775">
        <v>0</v>
      </c>
      <c r="J53" s="776"/>
      <c r="K53" s="776"/>
      <c r="L53" s="776"/>
      <c r="M53" s="776">
        <v>0</v>
      </c>
      <c r="N53" s="775"/>
      <c r="O53" s="775">
        <v>0</v>
      </c>
      <c r="P53" s="775">
        <v>0</v>
      </c>
      <c r="Q53" s="775">
        <v>0</v>
      </c>
      <c r="R53" s="775">
        <v>0</v>
      </c>
      <c r="S53" s="775">
        <v>0</v>
      </c>
      <c r="T53" s="775"/>
      <c r="U53" s="775">
        <v>0</v>
      </c>
      <c r="V53" s="775">
        <v>0</v>
      </c>
      <c r="W53" s="775">
        <v>0</v>
      </c>
      <c r="X53" s="323"/>
      <c r="Z53" s="254">
        <f>Est2017DistRev!Z53</f>
        <v>0</v>
      </c>
      <c r="AA53" s="255">
        <f>Est2017DistRev!AA53</f>
        <v>0</v>
      </c>
      <c r="AB53" s="255">
        <f>Est2017DistRev!AB53</f>
        <v>0</v>
      </c>
      <c r="AC53" s="255">
        <f>Est2017DistRev!AC53</f>
        <v>0</v>
      </c>
      <c r="AD53" s="255">
        <f>Est2017DistRev!AD53</f>
        <v>0</v>
      </c>
      <c r="AE53" s="255">
        <f>Est2017DistRev!AE53</f>
        <v>0</v>
      </c>
      <c r="AF53" s="255">
        <f>Est2017DistRev!AF53</f>
        <v>0</v>
      </c>
      <c r="AG53" s="255">
        <f>Est2017DistRev!AG53</f>
        <v>0</v>
      </c>
      <c r="AH53" s="255">
        <f>Est2017DistRev!AH53</f>
        <v>0</v>
      </c>
      <c r="AI53" s="255">
        <f>Est2017DistRev!AI53</f>
        <v>0</v>
      </c>
      <c r="AJ53" s="255">
        <f>Est2017DistRev!AJ53</f>
        <v>0</v>
      </c>
      <c r="AK53" s="255">
        <f>Est2017DistRev!AK53</f>
        <v>0</v>
      </c>
      <c r="AL53" s="255">
        <f>Est2017DistRev!AL53</f>
        <v>0</v>
      </c>
      <c r="AM53" s="255">
        <f>Est2017DistRev!AM53</f>
        <v>0</v>
      </c>
      <c r="AN53" s="255">
        <f>Est2017DistRev!AN53</f>
        <v>0</v>
      </c>
      <c r="AO53" s="255">
        <f>Est2017DistRev!AO53</f>
        <v>0</v>
      </c>
      <c r="AP53" s="255">
        <f>Est2017DistRev!AP53</f>
        <v>0</v>
      </c>
      <c r="AQ53" s="255">
        <f>Est2017DistRev!AQ53</f>
        <v>0</v>
      </c>
      <c r="AR53" s="255">
        <f>Est2017DistRev!AR53</f>
        <v>0</v>
      </c>
      <c r="AS53" s="255">
        <f>Est2017DistRev!AS53</f>
        <v>0</v>
      </c>
      <c r="AT53" s="256">
        <f>Est2017DistRev!AT53</f>
        <v>0</v>
      </c>
      <c r="AV53" s="257">
        <f t="shared" si="5"/>
        <v>0</v>
      </c>
      <c r="AW53" s="224">
        <f t="shared" si="6"/>
        <v>0</v>
      </c>
      <c r="AX53" s="224">
        <f t="shared" si="7"/>
        <v>0</v>
      </c>
      <c r="AY53" s="224">
        <f t="shared" si="8"/>
        <v>0</v>
      </c>
      <c r="AZ53" s="224">
        <f t="shared" si="9"/>
        <v>0</v>
      </c>
      <c r="BA53" s="224">
        <f t="shared" si="10"/>
        <v>0</v>
      </c>
      <c r="BB53" s="224">
        <f t="shared" si="11"/>
        <v>0</v>
      </c>
      <c r="BC53" s="224">
        <f t="shared" si="12"/>
        <v>0</v>
      </c>
      <c r="BD53" s="224">
        <f t="shared" si="13"/>
        <v>0</v>
      </c>
      <c r="BE53" s="224">
        <f t="shared" si="14"/>
        <v>0</v>
      </c>
      <c r="BF53" s="224">
        <f t="shared" si="15"/>
        <v>0</v>
      </c>
      <c r="BG53" s="224">
        <f t="shared" si="16"/>
        <v>0</v>
      </c>
      <c r="BH53" s="224">
        <f t="shared" si="17"/>
        <v>0</v>
      </c>
      <c r="BI53" s="258">
        <f t="shared" si="18"/>
        <v>0</v>
      </c>
      <c r="BJ53" s="258">
        <f t="shared" si="19"/>
        <v>0</v>
      </c>
      <c r="BK53" s="258">
        <f t="shared" si="20"/>
        <v>0</v>
      </c>
      <c r="BL53" s="258">
        <f t="shared" si="21"/>
        <v>0</v>
      </c>
      <c r="BM53" s="258">
        <f t="shared" si="22"/>
        <v>0</v>
      </c>
      <c r="BN53" s="258">
        <f t="shared" si="23"/>
        <v>0</v>
      </c>
      <c r="BO53" s="258">
        <f t="shared" si="24"/>
        <v>0</v>
      </c>
      <c r="BP53" s="258">
        <f t="shared" si="25"/>
        <v>0</v>
      </c>
      <c r="BQ53" s="259">
        <f t="shared" si="26"/>
        <v>0</v>
      </c>
    </row>
    <row r="54" spans="1:69">
      <c r="A54" s="199" t="str">
        <f>Est2017DistRev!A54</f>
        <v>DSS</v>
      </c>
      <c r="B54" s="238" t="str">
        <f>Est2017DistRev!B54</f>
        <v>Subtransmission Demand S</v>
      </c>
      <c r="D54" s="778">
        <v>0</v>
      </c>
      <c r="E54" s="776">
        <v>0</v>
      </c>
      <c r="F54" s="776">
        <v>0</v>
      </c>
      <c r="G54" s="776"/>
      <c r="H54" s="776"/>
      <c r="I54" s="775">
        <v>0</v>
      </c>
      <c r="J54" s="776"/>
      <c r="K54" s="776"/>
      <c r="L54" s="776"/>
      <c r="M54" s="776">
        <v>0</v>
      </c>
      <c r="N54" s="775"/>
      <c r="O54" s="775">
        <v>0</v>
      </c>
      <c r="P54" s="775">
        <v>0</v>
      </c>
      <c r="Q54" s="775">
        <v>0</v>
      </c>
      <c r="R54" s="775">
        <v>0</v>
      </c>
      <c r="S54" s="775">
        <v>0</v>
      </c>
      <c r="T54" s="775"/>
      <c r="U54" s="775">
        <v>0</v>
      </c>
      <c r="V54" s="775">
        <v>0</v>
      </c>
      <c r="W54" s="775">
        <v>0</v>
      </c>
      <c r="X54" s="323"/>
      <c r="Z54" s="254">
        <f>Est2017DistRev!Z54</f>
        <v>0</v>
      </c>
      <c r="AA54" s="255">
        <f>Est2017DistRev!AA54</f>
        <v>0</v>
      </c>
      <c r="AB54" s="255">
        <f>Est2017DistRev!AB54</f>
        <v>0</v>
      </c>
      <c r="AC54" s="255">
        <f>Est2017DistRev!AC54</f>
        <v>0</v>
      </c>
      <c r="AD54" s="255">
        <f>Est2017DistRev!AD54</f>
        <v>0</v>
      </c>
      <c r="AE54" s="255">
        <f>Est2017DistRev!AE54</f>
        <v>0</v>
      </c>
      <c r="AF54" s="255">
        <f>Est2017DistRev!AF54</f>
        <v>0</v>
      </c>
      <c r="AG54" s="255">
        <f>Est2017DistRev!AG54</f>
        <v>0</v>
      </c>
      <c r="AH54" s="255">
        <f>Est2017DistRev!AH54</f>
        <v>0</v>
      </c>
      <c r="AI54" s="255">
        <f>Est2017DistRev!AI54</f>
        <v>0</v>
      </c>
      <c r="AJ54" s="255">
        <f>Est2017DistRev!AJ54</f>
        <v>0</v>
      </c>
      <c r="AK54" s="255">
        <f>Est2017DistRev!AK54</f>
        <v>0</v>
      </c>
      <c r="AL54" s="255">
        <f>Est2017DistRev!AL54</f>
        <v>0</v>
      </c>
      <c r="AM54" s="255">
        <f>Est2017DistRev!AM54</f>
        <v>0</v>
      </c>
      <c r="AN54" s="255">
        <f>Est2017DistRev!AN54</f>
        <v>0</v>
      </c>
      <c r="AO54" s="255">
        <f>Est2017DistRev!AO54</f>
        <v>0</v>
      </c>
      <c r="AP54" s="255">
        <f>Est2017DistRev!AP54</f>
        <v>0</v>
      </c>
      <c r="AQ54" s="255">
        <f>Est2017DistRev!AQ54</f>
        <v>0</v>
      </c>
      <c r="AR54" s="255">
        <f>Est2017DistRev!AR54</f>
        <v>0</v>
      </c>
      <c r="AS54" s="255">
        <f>Est2017DistRev!AS54</f>
        <v>0</v>
      </c>
      <c r="AT54" s="256">
        <f>Est2017DistRev!AT54</f>
        <v>0</v>
      </c>
      <c r="AV54" s="257">
        <f t="shared" si="5"/>
        <v>0</v>
      </c>
      <c r="AW54" s="224">
        <f t="shared" si="6"/>
        <v>0</v>
      </c>
      <c r="AX54" s="224">
        <f t="shared" si="7"/>
        <v>0</v>
      </c>
      <c r="AY54" s="224">
        <f t="shared" si="8"/>
        <v>0</v>
      </c>
      <c r="AZ54" s="224">
        <f t="shared" si="9"/>
        <v>0</v>
      </c>
      <c r="BA54" s="224">
        <f t="shared" si="10"/>
        <v>0</v>
      </c>
      <c r="BB54" s="224">
        <f t="shared" si="11"/>
        <v>0</v>
      </c>
      <c r="BC54" s="224">
        <f t="shared" si="12"/>
        <v>0</v>
      </c>
      <c r="BD54" s="224">
        <f t="shared" si="13"/>
        <v>0</v>
      </c>
      <c r="BE54" s="224">
        <f t="shared" si="14"/>
        <v>0</v>
      </c>
      <c r="BF54" s="224">
        <f t="shared" si="15"/>
        <v>0</v>
      </c>
      <c r="BG54" s="224">
        <f t="shared" si="16"/>
        <v>0</v>
      </c>
      <c r="BH54" s="224">
        <f t="shared" si="17"/>
        <v>0</v>
      </c>
      <c r="BI54" s="258">
        <f t="shared" si="18"/>
        <v>0</v>
      </c>
      <c r="BJ54" s="258">
        <f t="shared" si="19"/>
        <v>0</v>
      </c>
      <c r="BK54" s="258">
        <f t="shared" si="20"/>
        <v>0</v>
      </c>
      <c r="BL54" s="258">
        <f t="shared" si="21"/>
        <v>0</v>
      </c>
      <c r="BM54" s="258">
        <f t="shared" si="22"/>
        <v>0</v>
      </c>
      <c r="BN54" s="258">
        <f t="shared" si="23"/>
        <v>0</v>
      </c>
      <c r="BO54" s="258">
        <f t="shared" si="24"/>
        <v>0</v>
      </c>
      <c r="BP54" s="258">
        <f t="shared" si="25"/>
        <v>0</v>
      </c>
      <c r="BQ54" s="259">
        <f t="shared" si="26"/>
        <v>0</v>
      </c>
    </row>
    <row r="55" spans="1:69">
      <c r="B55" s="238"/>
      <c r="D55" s="260"/>
      <c r="E55" s="261"/>
      <c r="F55" s="261"/>
      <c r="G55" s="261"/>
      <c r="H55" s="261"/>
      <c r="I55" s="261"/>
      <c r="J55" s="261"/>
      <c r="K55" s="261"/>
      <c r="L55" s="261"/>
      <c r="M55" s="262"/>
      <c r="N55" s="262"/>
      <c r="O55" s="262"/>
      <c r="P55" s="262"/>
      <c r="Q55" s="262"/>
      <c r="R55" s="262"/>
      <c r="S55" s="262"/>
      <c r="T55" s="262"/>
      <c r="U55" s="262"/>
      <c r="V55" s="262"/>
      <c r="W55" s="262"/>
      <c r="X55" s="263"/>
      <c r="Z55" s="254"/>
      <c r="AA55" s="255"/>
      <c r="AB55" s="255"/>
      <c r="AC55" s="255"/>
      <c r="AD55" s="255"/>
      <c r="AE55" s="255"/>
      <c r="AF55" s="255"/>
      <c r="AG55" s="255"/>
      <c r="AH55" s="255"/>
      <c r="AI55" s="255"/>
      <c r="AJ55" s="255"/>
      <c r="AK55" s="255"/>
      <c r="AL55" s="255"/>
      <c r="AM55" s="255"/>
      <c r="AN55" s="255"/>
      <c r="AO55" s="255"/>
      <c r="AP55" s="255"/>
      <c r="AQ55" s="255"/>
      <c r="AR55" s="255"/>
      <c r="AS55" s="255"/>
      <c r="AT55" s="256"/>
      <c r="AV55" s="257">
        <f t="shared" si="5"/>
        <v>0</v>
      </c>
      <c r="AW55" s="224">
        <f t="shared" si="6"/>
        <v>0</v>
      </c>
      <c r="AX55" s="224">
        <f t="shared" si="7"/>
        <v>0</v>
      </c>
      <c r="AY55" s="224">
        <f t="shared" si="8"/>
        <v>0</v>
      </c>
      <c r="AZ55" s="224">
        <f t="shared" si="9"/>
        <v>0</v>
      </c>
      <c r="BA55" s="224">
        <f t="shared" si="10"/>
        <v>0</v>
      </c>
      <c r="BB55" s="224">
        <f t="shared" si="11"/>
        <v>0</v>
      </c>
      <c r="BC55" s="224">
        <f t="shared" si="12"/>
        <v>0</v>
      </c>
      <c r="BD55" s="224">
        <f t="shared" si="13"/>
        <v>0</v>
      </c>
      <c r="BE55" s="224">
        <f t="shared" si="14"/>
        <v>0</v>
      </c>
      <c r="BF55" s="224">
        <f t="shared" si="15"/>
        <v>0</v>
      </c>
      <c r="BG55" s="224">
        <f t="shared" si="16"/>
        <v>0</v>
      </c>
      <c r="BH55" s="224">
        <f t="shared" si="17"/>
        <v>0</v>
      </c>
      <c r="BI55" s="258">
        <f t="shared" si="18"/>
        <v>0</v>
      </c>
      <c r="BJ55" s="258">
        <f t="shared" si="19"/>
        <v>0</v>
      </c>
      <c r="BK55" s="258">
        <f t="shared" si="20"/>
        <v>0</v>
      </c>
      <c r="BL55" s="258">
        <f t="shared" si="21"/>
        <v>0</v>
      </c>
      <c r="BM55" s="258">
        <f t="shared" si="22"/>
        <v>0</v>
      </c>
      <c r="BN55" s="258">
        <f t="shared" si="23"/>
        <v>0</v>
      </c>
      <c r="BO55" s="258">
        <f t="shared" si="24"/>
        <v>0</v>
      </c>
      <c r="BP55" s="258">
        <f t="shared" si="25"/>
        <v>0</v>
      </c>
      <c r="BQ55" s="259">
        <f t="shared" si="26"/>
        <v>0</v>
      </c>
    </row>
    <row r="56" spans="1:69">
      <c r="B56" s="238"/>
      <c r="D56" s="260"/>
      <c r="E56" s="261"/>
      <c r="F56" s="261"/>
      <c r="G56" s="261"/>
      <c r="H56" s="261"/>
      <c r="I56" s="261"/>
      <c r="J56" s="261"/>
      <c r="K56" s="261"/>
      <c r="L56" s="261"/>
      <c r="M56" s="262"/>
      <c r="N56" s="262"/>
      <c r="O56" s="262"/>
      <c r="P56" s="262"/>
      <c r="Q56" s="262"/>
      <c r="R56" s="262"/>
      <c r="S56" s="262"/>
      <c r="T56" s="262"/>
      <c r="U56" s="262"/>
      <c r="V56" s="262"/>
      <c r="W56" s="262"/>
      <c r="X56" s="263"/>
      <c r="Z56" s="254"/>
      <c r="AA56" s="255"/>
      <c r="AB56" s="255"/>
      <c r="AC56" s="255"/>
      <c r="AD56" s="255"/>
      <c r="AE56" s="255"/>
      <c r="AF56" s="255"/>
      <c r="AG56" s="255"/>
      <c r="AH56" s="255"/>
      <c r="AI56" s="255"/>
      <c r="AJ56" s="255"/>
      <c r="AK56" s="255"/>
      <c r="AL56" s="255"/>
      <c r="AM56" s="255"/>
      <c r="AN56" s="255"/>
      <c r="AO56" s="255"/>
      <c r="AP56" s="255"/>
      <c r="AQ56" s="255"/>
      <c r="AR56" s="255"/>
      <c r="AS56" s="255"/>
      <c r="AT56" s="256"/>
      <c r="AV56" s="257">
        <f t="shared" si="5"/>
        <v>0</v>
      </c>
      <c r="AW56" s="224">
        <f t="shared" si="6"/>
        <v>0</v>
      </c>
      <c r="AX56" s="224">
        <f t="shared" si="7"/>
        <v>0</v>
      </c>
      <c r="AY56" s="224">
        <f t="shared" si="8"/>
        <v>0</v>
      </c>
      <c r="AZ56" s="224">
        <f t="shared" si="9"/>
        <v>0</v>
      </c>
      <c r="BA56" s="224">
        <f t="shared" si="10"/>
        <v>0</v>
      </c>
      <c r="BB56" s="224">
        <f t="shared" si="11"/>
        <v>0</v>
      </c>
      <c r="BC56" s="224">
        <f t="shared" si="12"/>
        <v>0</v>
      </c>
      <c r="BD56" s="224">
        <f t="shared" si="13"/>
        <v>0</v>
      </c>
      <c r="BE56" s="224">
        <f t="shared" si="14"/>
        <v>0</v>
      </c>
      <c r="BF56" s="224">
        <f t="shared" si="15"/>
        <v>0</v>
      </c>
      <c r="BG56" s="224">
        <f t="shared" si="16"/>
        <v>0</v>
      </c>
      <c r="BH56" s="224">
        <f t="shared" si="17"/>
        <v>0</v>
      </c>
      <c r="BI56" s="258">
        <f t="shared" si="18"/>
        <v>0</v>
      </c>
      <c r="BJ56" s="258">
        <f t="shared" si="19"/>
        <v>0</v>
      </c>
      <c r="BK56" s="258">
        <f t="shared" si="20"/>
        <v>0</v>
      </c>
      <c r="BL56" s="258">
        <f t="shared" si="21"/>
        <v>0</v>
      </c>
      <c r="BM56" s="258">
        <f t="shared" si="22"/>
        <v>0</v>
      </c>
      <c r="BN56" s="258">
        <f t="shared" si="23"/>
        <v>0</v>
      </c>
      <c r="BO56" s="258">
        <f t="shared" si="24"/>
        <v>0</v>
      </c>
      <c r="BP56" s="258">
        <f t="shared" si="25"/>
        <v>0</v>
      </c>
      <c r="BQ56" s="259">
        <f t="shared" si="26"/>
        <v>0</v>
      </c>
    </row>
    <row r="57" spans="1:69">
      <c r="B57" s="238"/>
      <c r="D57" s="260"/>
      <c r="E57" s="261"/>
      <c r="F57" s="261"/>
      <c r="G57" s="261"/>
      <c r="H57" s="261"/>
      <c r="I57" s="261"/>
      <c r="J57" s="261"/>
      <c r="K57" s="261"/>
      <c r="L57" s="261"/>
      <c r="M57" s="262"/>
      <c r="N57" s="262"/>
      <c r="O57" s="262"/>
      <c r="P57" s="262"/>
      <c r="Q57" s="262"/>
      <c r="R57" s="262"/>
      <c r="S57" s="262"/>
      <c r="T57" s="262"/>
      <c r="U57" s="262"/>
      <c r="V57" s="262"/>
      <c r="W57" s="262"/>
      <c r="X57" s="263"/>
      <c r="Z57" s="254"/>
      <c r="AA57" s="255"/>
      <c r="AB57" s="255"/>
      <c r="AC57" s="255"/>
      <c r="AD57" s="255"/>
      <c r="AE57" s="255"/>
      <c r="AF57" s="255"/>
      <c r="AG57" s="255"/>
      <c r="AH57" s="255"/>
      <c r="AI57" s="255"/>
      <c r="AJ57" s="255"/>
      <c r="AK57" s="255"/>
      <c r="AL57" s="255"/>
      <c r="AM57" s="255"/>
      <c r="AN57" s="255"/>
      <c r="AO57" s="255"/>
      <c r="AP57" s="255"/>
      <c r="AQ57" s="255"/>
      <c r="AR57" s="255"/>
      <c r="AS57" s="255"/>
      <c r="AT57" s="256"/>
      <c r="AV57" s="257">
        <f t="shared" si="5"/>
        <v>0</v>
      </c>
      <c r="AW57" s="224">
        <f t="shared" si="6"/>
        <v>0</v>
      </c>
      <c r="AX57" s="224">
        <f t="shared" si="7"/>
        <v>0</v>
      </c>
      <c r="AY57" s="224">
        <f t="shared" si="8"/>
        <v>0</v>
      </c>
      <c r="AZ57" s="224">
        <f t="shared" si="9"/>
        <v>0</v>
      </c>
      <c r="BA57" s="224">
        <f t="shared" si="10"/>
        <v>0</v>
      </c>
      <c r="BB57" s="224">
        <f t="shared" si="11"/>
        <v>0</v>
      </c>
      <c r="BC57" s="224">
        <f t="shared" si="12"/>
        <v>0</v>
      </c>
      <c r="BD57" s="224">
        <f t="shared" si="13"/>
        <v>0</v>
      </c>
      <c r="BE57" s="224">
        <f t="shared" si="14"/>
        <v>0</v>
      </c>
      <c r="BF57" s="224">
        <f t="shared" si="15"/>
        <v>0</v>
      </c>
      <c r="BG57" s="224">
        <f t="shared" si="16"/>
        <v>0</v>
      </c>
      <c r="BH57" s="224">
        <f t="shared" si="17"/>
        <v>0</v>
      </c>
      <c r="BI57" s="258">
        <f t="shared" si="18"/>
        <v>0</v>
      </c>
      <c r="BJ57" s="258">
        <f t="shared" si="19"/>
        <v>0</v>
      </c>
      <c r="BK57" s="258">
        <f t="shared" si="20"/>
        <v>0</v>
      </c>
      <c r="BL57" s="258">
        <f t="shared" si="21"/>
        <v>0</v>
      </c>
      <c r="BM57" s="258">
        <f t="shared" si="22"/>
        <v>0</v>
      </c>
      <c r="BN57" s="258">
        <f t="shared" si="23"/>
        <v>0</v>
      </c>
      <c r="BO57" s="258">
        <f t="shared" si="24"/>
        <v>0</v>
      </c>
      <c r="BP57" s="258">
        <f t="shared" si="25"/>
        <v>0</v>
      </c>
      <c r="BQ57" s="259">
        <f t="shared" si="26"/>
        <v>0</v>
      </c>
    </row>
    <row r="58" spans="1:69">
      <c r="B58" s="238"/>
      <c r="D58" s="260"/>
      <c r="E58" s="261"/>
      <c r="F58" s="261"/>
      <c r="G58" s="261"/>
      <c r="H58" s="261"/>
      <c r="I58" s="261"/>
      <c r="J58" s="261"/>
      <c r="K58" s="261"/>
      <c r="L58" s="261"/>
      <c r="M58" s="262"/>
      <c r="N58" s="262"/>
      <c r="O58" s="262"/>
      <c r="P58" s="262"/>
      <c r="Q58" s="262"/>
      <c r="R58" s="262"/>
      <c r="S58" s="262"/>
      <c r="T58" s="262"/>
      <c r="U58" s="262"/>
      <c r="V58" s="262"/>
      <c r="W58" s="262"/>
      <c r="X58" s="263"/>
      <c r="Z58" s="254"/>
      <c r="AA58" s="255"/>
      <c r="AB58" s="255"/>
      <c r="AC58" s="255"/>
      <c r="AD58" s="255"/>
      <c r="AE58" s="255"/>
      <c r="AF58" s="255"/>
      <c r="AG58" s="255"/>
      <c r="AH58" s="255"/>
      <c r="AI58" s="255"/>
      <c r="AJ58" s="255"/>
      <c r="AK58" s="255"/>
      <c r="AL58" s="255"/>
      <c r="AM58" s="255"/>
      <c r="AN58" s="255"/>
      <c r="AO58" s="255"/>
      <c r="AP58" s="255"/>
      <c r="AQ58" s="255"/>
      <c r="AR58" s="255"/>
      <c r="AS58" s="255"/>
      <c r="AT58" s="256"/>
      <c r="AV58" s="257">
        <f t="shared" si="5"/>
        <v>0</v>
      </c>
      <c r="AW58" s="224">
        <f t="shared" si="6"/>
        <v>0</v>
      </c>
      <c r="AX58" s="224">
        <f t="shared" si="7"/>
        <v>0</v>
      </c>
      <c r="AY58" s="224">
        <f t="shared" si="8"/>
        <v>0</v>
      </c>
      <c r="AZ58" s="224">
        <f t="shared" si="9"/>
        <v>0</v>
      </c>
      <c r="BA58" s="224">
        <f t="shared" si="10"/>
        <v>0</v>
      </c>
      <c r="BB58" s="224">
        <f t="shared" si="11"/>
        <v>0</v>
      </c>
      <c r="BC58" s="224">
        <f t="shared" si="12"/>
        <v>0</v>
      </c>
      <c r="BD58" s="224">
        <f t="shared" si="13"/>
        <v>0</v>
      </c>
      <c r="BE58" s="224">
        <f t="shared" si="14"/>
        <v>0</v>
      </c>
      <c r="BF58" s="224">
        <f t="shared" si="15"/>
        <v>0</v>
      </c>
      <c r="BG58" s="224">
        <f t="shared" si="16"/>
        <v>0</v>
      </c>
      <c r="BH58" s="224">
        <f t="shared" si="17"/>
        <v>0</v>
      </c>
      <c r="BI58" s="258">
        <f t="shared" si="18"/>
        <v>0</v>
      </c>
      <c r="BJ58" s="258">
        <f t="shared" si="19"/>
        <v>0</v>
      </c>
      <c r="BK58" s="258">
        <f t="shared" si="20"/>
        <v>0</v>
      </c>
      <c r="BL58" s="258">
        <f t="shared" si="21"/>
        <v>0</v>
      </c>
      <c r="BM58" s="258">
        <f t="shared" si="22"/>
        <v>0</v>
      </c>
      <c r="BN58" s="258">
        <f t="shared" si="23"/>
        <v>0</v>
      </c>
      <c r="BO58" s="258">
        <f t="shared" si="24"/>
        <v>0</v>
      </c>
      <c r="BP58" s="258">
        <f t="shared" si="25"/>
        <v>0</v>
      </c>
      <c r="BQ58" s="259">
        <f t="shared" si="26"/>
        <v>0</v>
      </c>
    </row>
    <row r="59" spans="1:69">
      <c r="B59" s="238"/>
      <c r="D59" s="260"/>
      <c r="E59" s="261"/>
      <c r="F59" s="261"/>
      <c r="G59" s="261"/>
      <c r="H59" s="261"/>
      <c r="I59" s="261"/>
      <c r="J59" s="261"/>
      <c r="K59" s="261"/>
      <c r="L59" s="261"/>
      <c r="M59" s="262"/>
      <c r="N59" s="262"/>
      <c r="O59" s="262"/>
      <c r="P59" s="262"/>
      <c r="Q59" s="262"/>
      <c r="R59" s="262"/>
      <c r="S59" s="262"/>
      <c r="T59" s="262"/>
      <c r="U59" s="262"/>
      <c r="V59" s="262"/>
      <c r="W59" s="262"/>
      <c r="X59" s="263"/>
      <c r="Z59" s="254"/>
      <c r="AA59" s="255"/>
      <c r="AB59" s="255"/>
      <c r="AC59" s="255"/>
      <c r="AD59" s="255"/>
      <c r="AE59" s="255"/>
      <c r="AF59" s="255"/>
      <c r="AG59" s="255"/>
      <c r="AH59" s="255"/>
      <c r="AI59" s="255"/>
      <c r="AJ59" s="255"/>
      <c r="AK59" s="255"/>
      <c r="AL59" s="255"/>
      <c r="AM59" s="255"/>
      <c r="AN59" s="255"/>
      <c r="AO59" s="255"/>
      <c r="AP59" s="255"/>
      <c r="AQ59" s="255"/>
      <c r="AR59" s="255"/>
      <c r="AS59" s="255"/>
      <c r="AT59" s="256"/>
      <c r="AV59" s="257">
        <f t="shared" si="5"/>
        <v>0</v>
      </c>
      <c r="AW59" s="224">
        <f t="shared" si="6"/>
        <v>0</v>
      </c>
      <c r="AX59" s="224">
        <f t="shared" si="7"/>
        <v>0</v>
      </c>
      <c r="AY59" s="224">
        <f t="shared" si="8"/>
        <v>0</v>
      </c>
      <c r="AZ59" s="224">
        <f t="shared" si="9"/>
        <v>0</v>
      </c>
      <c r="BA59" s="224">
        <f t="shared" si="10"/>
        <v>0</v>
      </c>
      <c r="BB59" s="224">
        <f t="shared" si="11"/>
        <v>0</v>
      </c>
      <c r="BC59" s="224">
        <f t="shared" si="12"/>
        <v>0</v>
      </c>
      <c r="BD59" s="224">
        <f t="shared" si="13"/>
        <v>0</v>
      </c>
      <c r="BE59" s="224">
        <f t="shared" si="14"/>
        <v>0</v>
      </c>
      <c r="BF59" s="224">
        <f t="shared" si="15"/>
        <v>0</v>
      </c>
      <c r="BG59" s="224">
        <f t="shared" si="16"/>
        <v>0</v>
      </c>
      <c r="BH59" s="224">
        <f t="shared" si="17"/>
        <v>0</v>
      </c>
      <c r="BI59" s="258">
        <f t="shared" si="18"/>
        <v>0</v>
      </c>
      <c r="BJ59" s="258">
        <f t="shared" si="19"/>
        <v>0</v>
      </c>
      <c r="BK59" s="258">
        <f t="shared" si="20"/>
        <v>0</v>
      </c>
      <c r="BL59" s="258">
        <f t="shared" si="21"/>
        <v>0</v>
      </c>
      <c r="BM59" s="258">
        <f t="shared" si="22"/>
        <v>0</v>
      </c>
      <c r="BN59" s="258">
        <f t="shared" si="23"/>
        <v>0</v>
      </c>
      <c r="BO59" s="258">
        <f t="shared" si="24"/>
        <v>0</v>
      </c>
      <c r="BP59" s="258">
        <f t="shared" si="25"/>
        <v>0</v>
      </c>
      <c r="BQ59" s="259">
        <f t="shared" si="26"/>
        <v>0</v>
      </c>
    </row>
    <row r="60" spans="1:69">
      <c r="B60" s="238"/>
      <c r="D60" s="260"/>
      <c r="E60" s="261"/>
      <c r="F60" s="261"/>
      <c r="G60" s="261"/>
      <c r="H60" s="261"/>
      <c r="I60" s="261"/>
      <c r="J60" s="261"/>
      <c r="K60" s="261"/>
      <c r="L60" s="261"/>
      <c r="M60" s="262"/>
      <c r="N60" s="262"/>
      <c r="O60" s="262"/>
      <c r="P60" s="262"/>
      <c r="Q60" s="262"/>
      <c r="R60" s="262"/>
      <c r="S60" s="262"/>
      <c r="T60" s="262"/>
      <c r="U60" s="262"/>
      <c r="V60" s="262"/>
      <c r="W60" s="262"/>
      <c r="X60" s="263"/>
      <c r="Z60" s="254"/>
      <c r="AA60" s="255"/>
      <c r="AB60" s="255"/>
      <c r="AC60" s="255"/>
      <c r="AD60" s="255"/>
      <c r="AE60" s="255"/>
      <c r="AF60" s="255"/>
      <c r="AG60" s="255"/>
      <c r="AH60" s="255"/>
      <c r="AI60" s="255"/>
      <c r="AJ60" s="255"/>
      <c r="AK60" s="255"/>
      <c r="AL60" s="255"/>
      <c r="AM60" s="255"/>
      <c r="AN60" s="255"/>
      <c r="AO60" s="255"/>
      <c r="AP60" s="255"/>
      <c r="AQ60" s="255"/>
      <c r="AR60" s="255"/>
      <c r="AS60" s="255"/>
      <c r="AT60" s="256"/>
      <c r="AV60" s="257">
        <f t="shared" si="5"/>
        <v>0</v>
      </c>
      <c r="AW60" s="224">
        <f t="shared" si="6"/>
        <v>0</v>
      </c>
      <c r="AX60" s="224">
        <f t="shared" si="7"/>
        <v>0</v>
      </c>
      <c r="AY60" s="224">
        <f t="shared" si="8"/>
        <v>0</v>
      </c>
      <c r="AZ60" s="224">
        <f t="shared" si="9"/>
        <v>0</v>
      </c>
      <c r="BA60" s="224">
        <f t="shared" si="10"/>
        <v>0</v>
      </c>
      <c r="BB60" s="224">
        <f t="shared" si="11"/>
        <v>0</v>
      </c>
      <c r="BC60" s="224">
        <f t="shared" si="12"/>
        <v>0</v>
      </c>
      <c r="BD60" s="224">
        <f t="shared" si="13"/>
        <v>0</v>
      </c>
      <c r="BE60" s="224">
        <f t="shared" si="14"/>
        <v>0</v>
      </c>
      <c r="BF60" s="224">
        <f t="shared" si="15"/>
        <v>0</v>
      </c>
      <c r="BG60" s="224">
        <f t="shared" si="16"/>
        <v>0</v>
      </c>
      <c r="BH60" s="224">
        <f t="shared" si="17"/>
        <v>0</v>
      </c>
      <c r="BI60" s="258">
        <f t="shared" si="18"/>
        <v>0</v>
      </c>
      <c r="BJ60" s="258">
        <f t="shared" si="19"/>
        <v>0</v>
      </c>
      <c r="BK60" s="258">
        <f t="shared" si="20"/>
        <v>0</v>
      </c>
      <c r="BL60" s="258">
        <f t="shared" si="21"/>
        <v>0</v>
      </c>
      <c r="BM60" s="258">
        <f t="shared" si="22"/>
        <v>0</v>
      </c>
      <c r="BN60" s="258">
        <f t="shared" si="23"/>
        <v>0</v>
      </c>
      <c r="BO60" s="258">
        <f t="shared" si="24"/>
        <v>0</v>
      </c>
      <c r="BP60" s="258">
        <f t="shared" si="25"/>
        <v>0</v>
      </c>
      <c r="BQ60" s="259">
        <f t="shared" si="26"/>
        <v>0</v>
      </c>
    </row>
    <row r="61" spans="1:69">
      <c r="B61" s="238"/>
      <c r="D61" s="260"/>
      <c r="E61" s="261"/>
      <c r="F61" s="261"/>
      <c r="G61" s="261"/>
      <c r="H61" s="261"/>
      <c r="I61" s="261"/>
      <c r="J61" s="261"/>
      <c r="K61" s="261"/>
      <c r="L61" s="261"/>
      <c r="M61" s="262"/>
      <c r="N61" s="262"/>
      <c r="O61" s="262"/>
      <c r="P61" s="262"/>
      <c r="Q61" s="262"/>
      <c r="R61" s="262"/>
      <c r="S61" s="262"/>
      <c r="T61" s="262"/>
      <c r="U61" s="262"/>
      <c r="V61" s="262"/>
      <c r="W61" s="262"/>
      <c r="X61" s="263"/>
      <c r="Z61" s="254"/>
      <c r="AA61" s="255"/>
      <c r="AB61" s="255"/>
      <c r="AC61" s="255"/>
      <c r="AD61" s="255"/>
      <c r="AE61" s="255"/>
      <c r="AF61" s="255"/>
      <c r="AG61" s="255"/>
      <c r="AH61" s="255"/>
      <c r="AI61" s="255"/>
      <c r="AJ61" s="255"/>
      <c r="AK61" s="255"/>
      <c r="AL61" s="255"/>
      <c r="AM61" s="255"/>
      <c r="AN61" s="255"/>
      <c r="AO61" s="255"/>
      <c r="AP61" s="255"/>
      <c r="AQ61" s="255"/>
      <c r="AR61" s="255"/>
      <c r="AS61" s="255"/>
      <c r="AT61" s="256"/>
      <c r="AV61" s="257">
        <f t="shared" si="5"/>
        <v>0</v>
      </c>
      <c r="AW61" s="224">
        <f t="shared" si="6"/>
        <v>0</v>
      </c>
      <c r="AX61" s="224">
        <f t="shared" si="7"/>
        <v>0</v>
      </c>
      <c r="AY61" s="224">
        <f t="shared" si="8"/>
        <v>0</v>
      </c>
      <c r="AZ61" s="224">
        <f t="shared" si="9"/>
        <v>0</v>
      </c>
      <c r="BA61" s="224">
        <f t="shared" si="10"/>
        <v>0</v>
      </c>
      <c r="BB61" s="224">
        <f t="shared" si="11"/>
        <v>0</v>
      </c>
      <c r="BC61" s="224">
        <f t="shared" si="12"/>
        <v>0</v>
      </c>
      <c r="BD61" s="224">
        <f t="shared" si="13"/>
        <v>0</v>
      </c>
      <c r="BE61" s="224">
        <f t="shared" si="14"/>
        <v>0</v>
      </c>
      <c r="BF61" s="224">
        <f t="shared" si="15"/>
        <v>0</v>
      </c>
      <c r="BG61" s="224">
        <f t="shared" si="16"/>
        <v>0</v>
      </c>
      <c r="BH61" s="224">
        <f t="shared" si="17"/>
        <v>0</v>
      </c>
      <c r="BI61" s="258">
        <f t="shared" si="18"/>
        <v>0</v>
      </c>
      <c r="BJ61" s="258">
        <f t="shared" si="19"/>
        <v>0</v>
      </c>
      <c r="BK61" s="258">
        <f t="shared" si="20"/>
        <v>0</v>
      </c>
      <c r="BL61" s="258">
        <f t="shared" si="21"/>
        <v>0</v>
      </c>
      <c r="BM61" s="258">
        <f t="shared" si="22"/>
        <v>0</v>
      </c>
      <c r="BN61" s="258">
        <f t="shared" si="23"/>
        <v>0</v>
      </c>
      <c r="BO61" s="258">
        <f t="shared" si="24"/>
        <v>0</v>
      </c>
      <c r="BP61" s="258">
        <f t="shared" si="25"/>
        <v>0</v>
      </c>
      <c r="BQ61" s="259">
        <f t="shared" si="26"/>
        <v>0</v>
      </c>
    </row>
    <row r="62" spans="1:69">
      <c r="B62" s="238"/>
      <c r="D62" s="260"/>
      <c r="E62" s="261"/>
      <c r="F62" s="261"/>
      <c r="G62" s="261"/>
      <c r="H62" s="261"/>
      <c r="I62" s="261"/>
      <c r="J62" s="261"/>
      <c r="K62" s="261"/>
      <c r="L62" s="261"/>
      <c r="M62" s="262"/>
      <c r="N62" s="262"/>
      <c r="O62" s="262"/>
      <c r="P62" s="262"/>
      <c r="Q62" s="262"/>
      <c r="R62" s="262"/>
      <c r="S62" s="262"/>
      <c r="T62" s="262"/>
      <c r="U62" s="262"/>
      <c r="V62" s="262"/>
      <c r="W62" s="262"/>
      <c r="X62" s="263"/>
      <c r="Z62" s="254"/>
      <c r="AA62" s="255"/>
      <c r="AB62" s="255"/>
      <c r="AC62" s="255"/>
      <c r="AD62" s="255"/>
      <c r="AE62" s="255"/>
      <c r="AF62" s="255"/>
      <c r="AG62" s="255"/>
      <c r="AH62" s="255"/>
      <c r="AI62" s="255"/>
      <c r="AJ62" s="255"/>
      <c r="AK62" s="255"/>
      <c r="AL62" s="255"/>
      <c r="AM62" s="255"/>
      <c r="AN62" s="255"/>
      <c r="AO62" s="255"/>
      <c r="AP62" s="255"/>
      <c r="AQ62" s="255"/>
      <c r="AR62" s="255"/>
      <c r="AS62" s="255"/>
      <c r="AT62" s="256"/>
      <c r="AV62" s="257">
        <f t="shared" si="5"/>
        <v>0</v>
      </c>
      <c r="AW62" s="224">
        <f t="shared" si="6"/>
        <v>0</v>
      </c>
      <c r="AX62" s="224">
        <f t="shared" si="7"/>
        <v>0</v>
      </c>
      <c r="AY62" s="224">
        <f t="shared" si="8"/>
        <v>0</v>
      </c>
      <c r="AZ62" s="224">
        <f t="shared" si="9"/>
        <v>0</v>
      </c>
      <c r="BA62" s="224">
        <f t="shared" si="10"/>
        <v>0</v>
      </c>
      <c r="BB62" s="224">
        <f t="shared" si="11"/>
        <v>0</v>
      </c>
      <c r="BC62" s="224">
        <f t="shared" si="12"/>
        <v>0</v>
      </c>
      <c r="BD62" s="224">
        <f t="shared" si="13"/>
        <v>0</v>
      </c>
      <c r="BE62" s="224">
        <f t="shared" si="14"/>
        <v>0</v>
      </c>
      <c r="BF62" s="224">
        <f t="shared" si="15"/>
        <v>0</v>
      </c>
      <c r="BG62" s="224">
        <f t="shared" si="16"/>
        <v>0</v>
      </c>
      <c r="BH62" s="224">
        <f t="shared" si="17"/>
        <v>0</v>
      </c>
      <c r="BI62" s="258">
        <f t="shared" si="18"/>
        <v>0</v>
      </c>
      <c r="BJ62" s="258">
        <f t="shared" si="19"/>
        <v>0</v>
      </c>
      <c r="BK62" s="258">
        <f t="shared" si="20"/>
        <v>0</v>
      </c>
      <c r="BL62" s="258">
        <f t="shared" si="21"/>
        <v>0</v>
      </c>
      <c r="BM62" s="258">
        <f t="shared" si="22"/>
        <v>0</v>
      </c>
      <c r="BN62" s="258">
        <f t="shared" si="23"/>
        <v>0</v>
      </c>
      <c r="BO62" s="258">
        <f t="shared" si="24"/>
        <v>0</v>
      </c>
      <c r="BP62" s="258">
        <f t="shared" si="25"/>
        <v>0</v>
      </c>
      <c r="BQ62" s="259">
        <f t="shared" si="26"/>
        <v>0</v>
      </c>
    </row>
    <row r="63" spans="1:69">
      <c r="B63" s="238"/>
      <c r="D63" s="260"/>
      <c r="E63" s="261"/>
      <c r="F63" s="261"/>
      <c r="G63" s="261"/>
      <c r="H63" s="261"/>
      <c r="I63" s="261"/>
      <c r="J63" s="261"/>
      <c r="K63" s="261"/>
      <c r="L63" s="261"/>
      <c r="M63" s="262"/>
      <c r="N63" s="262"/>
      <c r="O63" s="262"/>
      <c r="P63" s="262"/>
      <c r="Q63" s="262"/>
      <c r="R63" s="262"/>
      <c r="S63" s="262"/>
      <c r="T63" s="262"/>
      <c r="U63" s="262"/>
      <c r="V63" s="262"/>
      <c r="W63" s="262"/>
      <c r="X63" s="263"/>
      <c r="Z63" s="254"/>
      <c r="AA63" s="255"/>
      <c r="AB63" s="255"/>
      <c r="AC63" s="255"/>
      <c r="AD63" s="255"/>
      <c r="AE63" s="255"/>
      <c r="AF63" s="255"/>
      <c r="AG63" s="255"/>
      <c r="AH63" s="255"/>
      <c r="AI63" s="255"/>
      <c r="AJ63" s="255"/>
      <c r="AK63" s="255"/>
      <c r="AL63" s="255"/>
      <c r="AM63" s="255"/>
      <c r="AN63" s="255"/>
      <c r="AO63" s="255"/>
      <c r="AP63" s="255"/>
      <c r="AQ63" s="255"/>
      <c r="AR63" s="255"/>
      <c r="AS63" s="255"/>
      <c r="AT63" s="256"/>
      <c r="AV63" s="257">
        <f t="shared" si="5"/>
        <v>0</v>
      </c>
      <c r="AW63" s="224">
        <f t="shared" si="6"/>
        <v>0</v>
      </c>
      <c r="AX63" s="224">
        <f t="shared" si="7"/>
        <v>0</v>
      </c>
      <c r="AY63" s="224">
        <f t="shared" si="8"/>
        <v>0</v>
      </c>
      <c r="AZ63" s="224">
        <f t="shared" si="9"/>
        <v>0</v>
      </c>
      <c r="BA63" s="224">
        <f t="shared" si="10"/>
        <v>0</v>
      </c>
      <c r="BB63" s="224">
        <f t="shared" si="11"/>
        <v>0</v>
      </c>
      <c r="BC63" s="224">
        <f t="shared" si="12"/>
        <v>0</v>
      </c>
      <c r="BD63" s="224">
        <f t="shared" si="13"/>
        <v>0</v>
      </c>
      <c r="BE63" s="224">
        <f t="shared" si="14"/>
        <v>0</v>
      </c>
      <c r="BF63" s="224">
        <f t="shared" si="15"/>
        <v>0</v>
      </c>
      <c r="BG63" s="224">
        <f t="shared" si="16"/>
        <v>0</v>
      </c>
      <c r="BH63" s="224">
        <f t="shared" si="17"/>
        <v>0</v>
      </c>
      <c r="BI63" s="258">
        <f t="shared" si="18"/>
        <v>0</v>
      </c>
      <c r="BJ63" s="258">
        <f t="shared" si="19"/>
        <v>0</v>
      </c>
      <c r="BK63" s="258">
        <f t="shared" si="20"/>
        <v>0</v>
      </c>
      <c r="BL63" s="258">
        <f t="shared" si="21"/>
        <v>0</v>
      </c>
      <c r="BM63" s="258">
        <f t="shared" si="22"/>
        <v>0</v>
      </c>
      <c r="BN63" s="258">
        <f t="shared" si="23"/>
        <v>0</v>
      </c>
      <c r="BO63" s="258">
        <f t="shared" si="24"/>
        <v>0</v>
      </c>
      <c r="BP63" s="258">
        <f t="shared" si="25"/>
        <v>0</v>
      </c>
      <c r="BQ63" s="259">
        <f t="shared" si="26"/>
        <v>0</v>
      </c>
    </row>
    <row r="64" spans="1:69">
      <c r="B64" s="238"/>
      <c r="D64" s="260"/>
      <c r="E64" s="261"/>
      <c r="F64" s="261"/>
      <c r="G64" s="261"/>
      <c r="H64" s="261"/>
      <c r="I64" s="261"/>
      <c r="J64" s="261"/>
      <c r="K64" s="261"/>
      <c r="L64" s="261"/>
      <c r="M64" s="262"/>
      <c r="N64" s="262"/>
      <c r="O64" s="262"/>
      <c r="P64" s="262"/>
      <c r="Q64" s="262"/>
      <c r="R64" s="262"/>
      <c r="S64" s="262"/>
      <c r="T64" s="262"/>
      <c r="U64" s="262"/>
      <c r="V64" s="262"/>
      <c r="W64" s="262"/>
      <c r="X64" s="263"/>
      <c r="Z64" s="254"/>
      <c r="AA64" s="255"/>
      <c r="AB64" s="255"/>
      <c r="AC64" s="255"/>
      <c r="AD64" s="255"/>
      <c r="AE64" s="255"/>
      <c r="AF64" s="255"/>
      <c r="AG64" s="255"/>
      <c r="AH64" s="255"/>
      <c r="AI64" s="255"/>
      <c r="AJ64" s="255"/>
      <c r="AK64" s="255"/>
      <c r="AL64" s="255"/>
      <c r="AM64" s="255"/>
      <c r="AN64" s="255"/>
      <c r="AO64" s="255"/>
      <c r="AP64" s="255"/>
      <c r="AQ64" s="255"/>
      <c r="AR64" s="255"/>
      <c r="AS64" s="255"/>
      <c r="AT64" s="256"/>
      <c r="AV64" s="257">
        <f t="shared" si="5"/>
        <v>0</v>
      </c>
      <c r="AW64" s="224">
        <f t="shared" si="6"/>
        <v>0</v>
      </c>
      <c r="AX64" s="224">
        <f t="shared" si="7"/>
        <v>0</v>
      </c>
      <c r="AY64" s="224">
        <f t="shared" si="8"/>
        <v>0</v>
      </c>
      <c r="AZ64" s="224">
        <f t="shared" si="9"/>
        <v>0</v>
      </c>
      <c r="BA64" s="224">
        <f t="shared" si="10"/>
        <v>0</v>
      </c>
      <c r="BB64" s="224">
        <f t="shared" si="11"/>
        <v>0</v>
      </c>
      <c r="BC64" s="224">
        <f t="shared" si="12"/>
        <v>0</v>
      </c>
      <c r="BD64" s="224">
        <f t="shared" si="13"/>
        <v>0</v>
      </c>
      <c r="BE64" s="224">
        <f t="shared" si="14"/>
        <v>0</v>
      </c>
      <c r="BF64" s="224">
        <f t="shared" si="15"/>
        <v>0</v>
      </c>
      <c r="BG64" s="224">
        <f t="shared" si="16"/>
        <v>0</v>
      </c>
      <c r="BH64" s="224">
        <f t="shared" si="17"/>
        <v>0</v>
      </c>
      <c r="BI64" s="258">
        <f t="shared" si="18"/>
        <v>0</v>
      </c>
      <c r="BJ64" s="258">
        <f t="shared" si="19"/>
        <v>0</v>
      </c>
      <c r="BK64" s="258">
        <f t="shared" si="20"/>
        <v>0</v>
      </c>
      <c r="BL64" s="258">
        <f t="shared" si="21"/>
        <v>0</v>
      </c>
      <c r="BM64" s="258">
        <f t="shared" si="22"/>
        <v>0</v>
      </c>
      <c r="BN64" s="258">
        <f t="shared" si="23"/>
        <v>0</v>
      </c>
      <c r="BO64" s="258">
        <f t="shared" si="24"/>
        <v>0</v>
      </c>
      <c r="BP64" s="258">
        <f t="shared" si="25"/>
        <v>0</v>
      </c>
      <c r="BQ64" s="259">
        <f t="shared" si="26"/>
        <v>0</v>
      </c>
    </row>
    <row r="65" spans="2:69" ht="13.5" thickBot="1">
      <c r="B65" s="264"/>
      <c r="D65" s="265"/>
      <c r="E65" s="266"/>
      <c r="F65" s="266"/>
      <c r="G65" s="266"/>
      <c r="H65" s="266"/>
      <c r="I65" s="266"/>
      <c r="J65" s="266"/>
      <c r="K65" s="266"/>
      <c r="L65" s="266"/>
      <c r="M65" s="267"/>
      <c r="N65" s="267"/>
      <c r="O65" s="267"/>
      <c r="P65" s="267"/>
      <c r="Q65" s="267"/>
      <c r="R65" s="267"/>
      <c r="S65" s="267"/>
      <c r="T65" s="267"/>
      <c r="U65" s="267"/>
      <c r="V65" s="267"/>
      <c r="W65" s="267"/>
      <c r="X65" s="268"/>
      <c r="Z65" s="269"/>
      <c r="AA65" s="270"/>
      <c r="AB65" s="270"/>
      <c r="AC65" s="270"/>
      <c r="AD65" s="270"/>
      <c r="AE65" s="270"/>
      <c r="AF65" s="270"/>
      <c r="AG65" s="270"/>
      <c r="AH65" s="270"/>
      <c r="AI65" s="270"/>
      <c r="AJ65" s="270"/>
      <c r="AK65" s="270"/>
      <c r="AL65" s="270"/>
      <c r="AM65" s="270"/>
      <c r="AN65" s="270"/>
      <c r="AO65" s="270"/>
      <c r="AP65" s="270"/>
      <c r="AQ65" s="270"/>
      <c r="AR65" s="270"/>
      <c r="AS65" s="270"/>
      <c r="AT65" s="271"/>
      <c r="AV65" s="272">
        <f t="shared" si="5"/>
        <v>0</v>
      </c>
      <c r="AW65" s="273">
        <f t="shared" si="6"/>
        <v>0</v>
      </c>
      <c r="AX65" s="273">
        <f t="shared" si="7"/>
        <v>0</v>
      </c>
      <c r="AY65" s="273">
        <f t="shared" si="8"/>
        <v>0</v>
      </c>
      <c r="AZ65" s="273">
        <f t="shared" si="9"/>
        <v>0</v>
      </c>
      <c r="BA65" s="273">
        <f t="shared" si="10"/>
        <v>0</v>
      </c>
      <c r="BB65" s="273">
        <f t="shared" si="11"/>
        <v>0</v>
      </c>
      <c r="BC65" s="273">
        <f t="shared" si="12"/>
        <v>0</v>
      </c>
      <c r="BD65" s="273">
        <f t="shared" si="13"/>
        <v>0</v>
      </c>
      <c r="BE65" s="273">
        <f t="shared" si="14"/>
        <v>0</v>
      </c>
      <c r="BF65" s="273">
        <f t="shared" si="15"/>
        <v>0</v>
      </c>
      <c r="BG65" s="273">
        <f t="shared" si="16"/>
        <v>0</v>
      </c>
      <c r="BH65" s="273">
        <f t="shared" si="17"/>
        <v>0</v>
      </c>
      <c r="BI65" s="274">
        <f t="shared" si="18"/>
        <v>0</v>
      </c>
      <c r="BJ65" s="274">
        <f t="shared" si="19"/>
        <v>0</v>
      </c>
      <c r="BK65" s="274">
        <f t="shared" si="20"/>
        <v>0</v>
      </c>
      <c r="BL65" s="274">
        <f t="shared" si="21"/>
        <v>0</v>
      </c>
      <c r="BM65" s="274">
        <f t="shared" si="22"/>
        <v>0</v>
      </c>
      <c r="BN65" s="274">
        <f t="shared" si="23"/>
        <v>0</v>
      </c>
      <c r="BO65" s="274">
        <f t="shared" si="24"/>
        <v>0</v>
      </c>
      <c r="BP65" s="274">
        <f t="shared" si="25"/>
        <v>0</v>
      </c>
      <c r="BQ65" s="275">
        <f t="shared" si="26"/>
        <v>0</v>
      </c>
    </row>
    <row r="66" spans="2:69" ht="13.5" thickBot="1">
      <c r="B66" s="276"/>
      <c r="Z66" s="277">
        <f>SUM(Z6:Z65)-SUM(Z17:Z20)-SUM(Z30,Z41:Z42,Z51)</f>
        <v>804176.49858333333</v>
      </c>
      <c r="AA66" s="277">
        <f t="shared" ref="AA66:AT66" si="27">SUM(AA6:AA65)</f>
        <v>2373876351.1085277</v>
      </c>
      <c r="AB66" s="277">
        <f t="shared" si="27"/>
        <v>4245148600.5047131</v>
      </c>
      <c r="AC66" s="277">
        <f t="shared" si="27"/>
        <v>0</v>
      </c>
      <c r="AD66" s="277">
        <f t="shared" si="27"/>
        <v>0</v>
      </c>
      <c r="AE66" s="277">
        <f t="shared" si="27"/>
        <v>4033350047.9822612</v>
      </c>
      <c r="AF66" s="277">
        <f t="shared" si="27"/>
        <v>0</v>
      </c>
      <c r="AG66" s="277">
        <f t="shared" si="27"/>
        <v>0</v>
      </c>
      <c r="AH66" s="277">
        <f t="shared" si="27"/>
        <v>0</v>
      </c>
      <c r="AI66" s="277">
        <f t="shared" si="27"/>
        <v>1505147.6180048054</v>
      </c>
      <c r="AJ66" s="277">
        <f t="shared" si="27"/>
        <v>0</v>
      </c>
      <c r="AK66" s="277">
        <f t="shared" si="27"/>
        <v>1588679.8908401278</v>
      </c>
      <c r="AL66" s="277">
        <f t="shared" si="27"/>
        <v>2959315.5561454808</v>
      </c>
      <c r="AM66" s="277">
        <f t="shared" si="27"/>
        <v>4067340.0088178245</v>
      </c>
      <c r="AN66" s="277">
        <f t="shared" si="27"/>
        <v>6816960.7829246996</v>
      </c>
      <c r="AO66" s="277">
        <f t="shared" si="27"/>
        <v>6470322.1731618186</v>
      </c>
      <c r="AP66" s="277">
        <f t="shared" si="27"/>
        <v>0</v>
      </c>
      <c r="AQ66" s="277">
        <f t="shared" si="27"/>
        <v>4621123.1952507738</v>
      </c>
      <c r="AR66" s="277">
        <f t="shared" si="27"/>
        <v>7023518.407639401</v>
      </c>
      <c r="AS66" s="277">
        <f t="shared" si="27"/>
        <v>6995465.1376402304</v>
      </c>
      <c r="AT66" s="277">
        <f t="shared" si="27"/>
        <v>0</v>
      </c>
      <c r="AV66" s="278">
        <f t="shared" ref="AV66:BQ66" si="28">SUM(AV6:AV65)</f>
        <v>0</v>
      </c>
      <c r="AW66" s="277">
        <f t="shared" si="28"/>
        <v>41190821.886712447</v>
      </c>
      <c r="AX66" s="277">
        <f t="shared" si="28"/>
        <v>62345517.953024246</v>
      </c>
      <c r="AY66" s="277">
        <f t="shared" si="28"/>
        <v>0</v>
      </c>
      <c r="AZ66" s="277">
        <f t="shared" si="28"/>
        <v>0</v>
      </c>
      <c r="BA66" s="277">
        <f t="shared" si="28"/>
        <v>19814938.569513123</v>
      </c>
      <c r="BB66" s="277">
        <f t="shared" si="28"/>
        <v>0</v>
      </c>
      <c r="BC66" s="277">
        <f t="shared" si="28"/>
        <v>0</v>
      </c>
      <c r="BD66" s="277">
        <f t="shared" si="28"/>
        <v>0</v>
      </c>
      <c r="BE66" s="277">
        <f t="shared" si="28"/>
        <v>39474084.437173322</v>
      </c>
      <c r="BF66" s="277">
        <f t="shared" si="28"/>
        <v>0</v>
      </c>
      <c r="BG66" s="277">
        <f t="shared" si="28"/>
        <v>262195.72546506522</v>
      </c>
      <c r="BH66" s="277">
        <f t="shared" si="28"/>
        <v>176621.37560976116</v>
      </c>
      <c r="BI66" s="277">
        <f t="shared" si="28"/>
        <v>126554.5597007639</v>
      </c>
      <c r="BJ66" s="277">
        <f t="shared" si="28"/>
        <v>124387.54272947263</v>
      </c>
      <c r="BK66" s="277">
        <f t="shared" si="28"/>
        <v>44174.242899167257</v>
      </c>
      <c r="BL66" s="277">
        <f t="shared" si="28"/>
        <v>0</v>
      </c>
      <c r="BM66" s="277">
        <f t="shared" si="28"/>
        <v>137655.39190694524</v>
      </c>
      <c r="BN66" s="277">
        <f t="shared" si="28"/>
        <v>125709.51152764673</v>
      </c>
      <c r="BO66" s="277">
        <f t="shared" si="28"/>
        <v>46747.443425111473</v>
      </c>
      <c r="BP66" s="277">
        <f t="shared" si="28"/>
        <v>0</v>
      </c>
      <c r="BQ66" s="277">
        <f t="shared" si="28"/>
        <v>163869408.63968709</v>
      </c>
    </row>
    <row r="67" spans="2:69" ht="13.5" thickTop="1">
      <c r="B67" s="276"/>
    </row>
    <row r="68" spans="2:69" ht="13.5" thickBot="1">
      <c r="B68" s="276"/>
      <c r="AV68" s="278">
        <f>Prop2018TransTar!AV$66</f>
        <v>0</v>
      </c>
    </row>
    <row r="69" spans="2:69" ht="13.5" thickTop="1">
      <c r="B69" s="276"/>
      <c r="BQ69" s="325"/>
    </row>
    <row r="70" spans="2:69">
      <c r="B70" s="276"/>
    </row>
    <row r="71" spans="2:69">
      <c r="B71" s="276"/>
    </row>
    <row r="72" spans="2:69">
      <c r="B72" s="276"/>
    </row>
    <row r="73" spans="2:69">
      <c r="B73" s="276"/>
    </row>
    <row r="74" spans="2:69">
      <c r="B74" s="276"/>
    </row>
    <row r="75" spans="2:69">
      <c r="B75" s="276"/>
    </row>
    <row r="76" spans="2:69">
      <c r="B76" s="276"/>
    </row>
    <row r="77" spans="2:69">
      <c r="B77" s="276"/>
    </row>
    <row r="78" spans="2:69">
      <c r="B78" s="276"/>
    </row>
    <row r="79" spans="2:69">
      <c r="B79" s="276"/>
    </row>
    <row r="80" spans="2:69">
      <c r="B80" s="276"/>
    </row>
    <row r="81" spans="2:2">
      <c r="B81" s="276"/>
    </row>
    <row r="82" spans="2:2">
      <c r="B82" s="276"/>
    </row>
    <row r="83" spans="2:2">
      <c r="B83" s="276"/>
    </row>
    <row r="84" spans="2:2">
      <c r="B84" s="276"/>
    </row>
    <row r="85" spans="2:2">
      <c r="B85" s="276"/>
    </row>
    <row r="86" spans="2:2">
      <c r="B86" s="276"/>
    </row>
    <row r="87" spans="2:2">
      <c r="B87" s="276"/>
    </row>
    <row r="88" spans="2:2">
      <c r="B88" s="276"/>
    </row>
    <row r="89" spans="2:2">
      <c r="B89" s="276"/>
    </row>
    <row r="90" spans="2:2">
      <c r="B90" s="276"/>
    </row>
    <row r="91" spans="2:2">
      <c r="B91" s="276"/>
    </row>
    <row r="92" spans="2:2">
      <c r="B92" s="276"/>
    </row>
    <row r="93" spans="2:2">
      <c r="B93" s="276"/>
    </row>
    <row r="94" spans="2:2">
      <c r="B94" s="276"/>
    </row>
    <row r="95" spans="2:2">
      <c r="B95" s="276"/>
    </row>
    <row r="96" spans="2:2">
      <c r="B96" s="276"/>
    </row>
    <row r="97" spans="2:2">
      <c r="B97" s="276"/>
    </row>
    <row r="98" spans="2:2">
      <c r="B98" s="276"/>
    </row>
    <row r="99" spans="2:2">
      <c r="B99" s="276"/>
    </row>
    <row r="100" spans="2:2">
      <c r="B100" s="276"/>
    </row>
    <row r="101" spans="2:2">
      <c r="B101" s="276"/>
    </row>
    <row r="102" spans="2:2">
      <c r="B102" s="276"/>
    </row>
    <row r="103" spans="2:2">
      <c r="B103" s="276"/>
    </row>
    <row r="104" spans="2:2">
      <c r="B104" s="276"/>
    </row>
    <row r="105" spans="2:2">
      <c r="B105" s="276"/>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4" max="65" man="1"/>
  </col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2:X66"/>
  <sheetViews>
    <sheetView zoomScale="80" zoomScaleNormal="80" workbookViewId="0">
      <selection activeCell="E21" sqref="E21"/>
    </sheetView>
  </sheetViews>
  <sheetFormatPr defaultRowHeight="14.25"/>
  <cols>
    <col min="1" max="1" width="5.42578125" style="32" customWidth="1"/>
    <col min="2" max="2" width="78.42578125" style="33" customWidth="1"/>
    <col min="3" max="3" width="18.5703125" style="34" customWidth="1"/>
    <col min="4" max="4" width="18.5703125" style="35" customWidth="1"/>
    <col min="5" max="5" width="18.7109375" style="35" customWidth="1"/>
    <col min="6" max="6" width="11.7109375" style="35" customWidth="1"/>
    <col min="7" max="7" width="13.5703125" style="35" bestFit="1" customWidth="1"/>
    <col min="8" max="8" width="9" style="35" customWidth="1"/>
    <col min="9" max="10" width="9" style="36" customWidth="1"/>
    <col min="11" max="18" width="9" style="35" customWidth="1"/>
    <col min="19"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c r="B2" s="63" t="str">
        <f>"Tariff Approval - "&amp;'Model update'!$C$3</f>
        <v>Tariff Approval - Powercor</v>
      </c>
      <c r="D2" s="38"/>
      <c r="M2" s="78"/>
      <c r="N2" s="78"/>
      <c r="O2" s="78"/>
      <c r="P2" s="78"/>
      <c r="Q2" s="78"/>
      <c r="R2" s="78"/>
    </row>
    <row r="3" spans="1:24" ht="15">
      <c r="B3" s="143"/>
      <c r="D3" s="38"/>
      <c r="M3" s="78"/>
      <c r="N3" s="78"/>
      <c r="O3" s="78"/>
      <c r="P3" s="78"/>
      <c r="Q3" s="78"/>
      <c r="R3" s="78"/>
    </row>
    <row r="4" spans="1:24" ht="18.75">
      <c r="B4" s="144" t="s">
        <v>303</v>
      </c>
      <c r="C4" s="145"/>
      <c r="D4" s="38"/>
      <c r="M4" s="78"/>
      <c r="N4" s="78"/>
      <c r="O4" s="78"/>
      <c r="P4" s="78"/>
      <c r="Q4" s="78"/>
      <c r="R4" s="78"/>
    </row>
    <row r="5" spans="1:24" ht="15">
      <c r="B5" s="39"/>
      <c r="D5" s="38"/>
      <c r="M5" s="78"/>
      <c r="N5" s="78"/>
      <c r="O5" s="78"/>
      <c r="P5" s="78"/>
      <c r="Q5" s="78"/>
      <c r="R5" s="78"/>
    </row>
    <row r="6" spans="1:24" ht="15">
      <c r="B6" s="74" t="s">
        <v>268</v>
      </c>
      <c r="C6" s="94">
        <f>'Model update'!C5</f>
        <v>2018</v>
      </c>
      <c r="D6" s="38"/>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316</v>
      </c>
      <c r="C8" s="46"/>
      <c r="D8" s="47"/>
      <c r="E8" s="47"/>
      <c r="M8" s="78"/>
      <c r="N8" s="78"/>
      <c r="O8" s="78"/>
      <c r="P8" s="78"/>
      <c r="Q8" s="78"/>
      <c r="R8" s="78"/>
    </row>
    <row r="9" spans="1:24" ht="18" customHeight="1">
      <c r="A9" s="43"/>
      <c r="B9" s="48" t="s">
        <v>315</v>
      </c>
      <c r="C9" s="73">
        <f>Prop2018TransTar!BQ66</f>
        <v>156988161.38385642</v>
      </c>
      <c r="D9" s="672"/>
      <c r="E9" s="36"/>
      <c r="G9" s="149"/>
      <c r="I9" s="35"/>
      <c r="J9" s="35"/>
      <c r="M9" s="78"/>
      <c r="N9" s="78"/>
      <c r="O9" s="78"/>
      <c r="P9" s="78"/>
      <c r="Q9" s="78"/>
      <c r="R9" s="78"/>
    </row>
    <row r="10" spans="1:24" ht="18" customHeight="1">
      <c r="A10" s="43"/>
      <c r="B10" s="85" t="s">
        <v>313</v>
      </c>
      <c r="C10" s="86">
        <f>C17</f>
        <v>156988161.38385642</v>
      </c>
      <c r="D10" s="49"/>
      <c r="E10" s="149"/>
      <c r="I10" s="35"/>
      <c r="J10" s="35"/>
      <c r="M10" s="78"/>
      <c r="N10" s="78"/>
      <c r="O10" s="78"/>
      <c r="P10" s="78"/>
      <c r="Q10" s="78"/>
      <c r="R10" s="78"/>
    </row>
    <row r="11" spans="1:24" ht="18" customHeight="1">
      <c r="A11" s="43"/>
      <c r="B11" s="87"/>
      <c r="C11" s="89" t="str">
        <f>IF(C9="","",IF(C10&gt;=C9,"DPPC REVENUE FORMULA COMPLIANT","DPPC REVENUE FORMULA BREACHED"))</f>
        <v>DPPC REVENUE FORMULA COMPLIANT</v>
      </c>
      <c r="D11" s="50"/>
      <c r="E11" s="75"/>
      <c r="F11" s="76"/>
      <c r="G11" s="76"/>
      <c r="H11" s="76"/>
      <c r="I11" s="76"/>
      <c r="J11" s="76"/>
      <c r="K11" s="76"/>
      <c r="L11" s="76"/>
      <c r="M11" s="78"/>
      <c r="N11" s="78"/>
      <c r="O11" s="78"/>
      <c r="P11" s="78"/>
      <c r="Q11" s="78"/>
      <c r="R11" s="78"/>
      <c r="V11" s="51"/>
      <c r="W11" s="51"/>
      <c r="X11" s="51"/>
    </row>
    <row r="12" spans="1:24" ht="18" customHeight="1">
      <c r="A12" s="43"/>
      <c r="B12" s="50"/>
      <c r="C12" s="50"/>
      <c r="D12" s="50"/>
      <c r="E12" s="75"/>
      <c r="F12" s="76"/>
      <c r="G12" s="76"/>
      <c r="H12" s="76"/>
      <c r="I12" s="76"/>
      <c r="J12" s="76"/>
      <c r="K12" s="76"/>
      <c r="L12" s="76"/>
      <c r="M12" s="78"/>
      <c r="N12" s="78"/>
      <c r="O12" s="78"/>
      <c r="P12" s="78"/>
      <c r="Q12" s="78"/>
      <c r="R12" s="78"/>
      <c r="V12" s="51"/>
      <c r="W12" s="51"/>
      <c r="X12" s="51"/>
    </row>
    <row r="13" spans="1:24" ht="18" customHeight="1">
      <c r="A13" s="43"/>
      <c r="B13" s="44" t="s">
        <v>300</v>
      </c>
      <c r="C13" s="50"/>
      <c r="D13" s="50"/>
      <c r="E13" s="75"/>
      <c r="F13" s="76"/>
      <c r="G13" s="76"/>
      <c r="H13" s="76"/>
      <c r="I13" s="76"/>
      <c r="J13" s="76"/>
      <c r="K13" s="76"/>
      <c r="L13" s="76"/>
      <c r="M13" s="78"/>
      <c r="N13" s="78"/>
      <c r="O13" s="78"/>
      <c r="P13" s="78"/>
      <c r="Q13" s="78"/>
      <c r="R13" s="78"/>
      <c r="V13" s="51"/>
      <c r="W13" s="51"/>
      <c r="X13" s="51"/>
    </row>
    <row r="14" spans="1:24" ht="18" customHeight="1">
      <c r="A14" s="43"/>
      <c r="B14" s="53" t="s">
        <v>301</v>
      </c>
      <c r="C14" s="64">
        <f>C24</f>
        <v>159895995.6915876</v>
      </c>
      <c r="D14" s="672"/>
      <c r="E14" s="75"/>
      <c r="F14" s="76"/>
      <c r="G14" s="76"/>
      <c r="H14" s="76"/>
      <c r="I14" s="76"/>
      <c r="J14" s="76"/>
      <c r="K14" s="76"/>
      <c r="L14" s="76"/>
      <c r="M14" s="78"/>
      <c r="N14" s="78"/>
      <c r="O14" s="78"/>
      <c r="P14" s="78"/>
      <c r="Q14" s="78"/>
      <c r="R14" s="78"/>
      <c r="V14" s="51"/>
      <c r="W14" s="51"/>
      <c r="X14" s="51"/>
    </row>
    <row r="15" spans="1:24" ht="18" customHeight="1">
      <c r="A15" s="43"/>
      <c r="B15" s="54" t="s">
        <v>302</v>
      </c>
      <c r="C15" s="64">
        <f>E49</f>
        <v>-2907834.3077311814</v>
      </c>
      <c r="D15" s="672"/>
      <c r="E15" s="75"/>
      <c r="F15" s="76"/>
      <c r="G15" s="76"/>
      <c r="H15" s="76"/>
      <c r="I15" s="76"/>
      <c r="J15" s="76"/>
      <c r="K15" s="76"/>
      <c r="L15" s="76"/>
      <c r="M15" s="78"/>
      <c r="N15" s="78"/>
      <c r="O15" s="78"/>
      <c r="P15" s="78"/>
      <c r="Q15" s="78"/>
      <c r="R15" s="78"/>
      <c r="V15" s="51"/>
      <c r="W15" s="51"/>
      <c r="X15" s="51"/>
    </row>
    <row r="16" spans="1:24" ht="18" customHeight="1">
      <c r="A16" s="43"/>
      <c r="B16" s="54" t="s">
        <v>299</v>
      </c>
      <c r="C16" s="716"/>
      <c r="D16" s="672"/>
      <c r="E16" s="75"/>
      <c r="F16" s="76"/>
      <c r="G16" s="76"/>
      <c r="H16" s="76"/>
      <c r="I16" s="76"/>
      <c r="J16" s="76"/>
      <c r="K16" s="76"/>
      <c r="L16" s="76"/>
      <c r="M16" s="78"/>
      <c r="N16" s="78"/>
      <c r="O16" s="78"/>
      <c r="P16" s="78"/>
      <c r="Q16" s="78"/>
      <c r="R16" s="78"/>
      <c r="V16" s="51"/>
      <c r="W16" s="51"/>
      <c r="X16" s="51"/>
    </row>
    <row r="17" spans="1:24" ht="18" customHeight="1">
      <c r="A17" s="43"/>
      <c r="B17" s="48" t="s">
        <v>313</v>
      </c>
      <c r="C17" s="65">
        <f>SUM(C14:C16)</f>
        <v>156988161.38385642</v>
      </c>
      <c r="D17" s="672"/>
      <c r="E17" s="75"/>
      <c r="F17" s="76"/>
      <c r="G17" s="76"/>
      <c r="H17" s="76"/>
      <c r="I17" s="76"/>
      <c r="J17" s="76"/>
      <c r="K17" s="76"/>
      <c r="L17" s="76"/>
      <c r="M17" s="78"/>
      <c r="N17" s="78"/>
      <c r="O17" s="78"/>
      <c r="P17" s="78"/>
      <c r="Q17" s="78"/>
      <c r="R17" s="78"/>
      <c r="V17" s="51"/>
      <c r="W17" s="51"/>
      <c r="X17" s="51"/>
    </row>
    <row r="18" spans="1:24" ht="18" customHeight="1">
      <c r="A18" s="43"/>
      <c r="B18" s="56"/>
      <c r="C18" s="92"/>
      <c r="D18" s="50"/>
      <c r="E18" s="75"/>
      <c r="F18" s="76"/>
      <c r="G18" s="76"/>
      <c r="H18" s="76"/>
      <c r="I18" s="76"/>
      <c r="J18" s="76"/>
      <c r="K18" s="76"/>
      <c r="L18" s="76"/>
      <c r="M18" s="78"/>
      <c r="N18" s="78"/>
      <c r="O18" s="78"/>
      <c r="P18" s="78"/>
      <c r="Q18" s="78"/>
      <c r="R18" s="78"/>
      <c r="V18" s="51"/>
      <c r="W18" s="51"/>
      <c r="X18" s="51"/>
    </row>
    <row r="19" spans="1:24" ht="18" customHeight="1">
      <c r="A19" s="43"/>
      <c r="B19" s="44" t="s">
        <v>298</v>
      </c>
      <c r="C19" s="50"/>
      <c r="D19" s="50"/>
      <c r="E19" s="75"/>
      <c r="F19" s="76"/>
      <c r="G19" s="76"/>
      <c r="H19" s="76"/>
      <c r="I19" s="76"/>
      <c r="J19" s="76"/>
      <c r="K19" s="76"/>
      <c r="L19" s="76"/>
      <c r="M19" s="78"/>
      <c r="N19" s="78"/>
      <c r="O19" s="78"/>
      <c r="P19" s="78"/>
      <c r="Q19" s="78"/>
      <c r="R19" s="78"/>
      <c r="V19" s="51"/>
      <c r="W19" s="51"/>
      <c r="X19" s="51"/>
    </row>
    <row r="20" spans="1:24" ht="18" customHeight="1">
      <c r="A20" s="43"/>
      <c r="B20" s="53" t="s">
        <v>295</v>
      </c>
      <c r="C20" s="667">
        <v>134082569.70815274</v>
      </c>
      <c r="D20" s="50"/>
      <c r="E20" s="75"/>
      <c r="F20" s="76"/>
      <c r="G20"/>
      <c r="H20" s="76"/>
      <c r="I20" s="76"/>
      <c r="J20" s="76"/>
      <c r="K20" s="76"/>
      <c r="L20" s="76"/>
      <c r="M20" s="78"/>
      <c r="N20" s="78"/>
      <c r="O20" s="78"/>
      <c r="P20" s="78"/>
      <c r="Q20" s="78"/>
      <c r="R20" s="78"/>
      <c r="V20" s="51"/>
      <c r="W20" s="51"/>
      <c r="X20" s="51"/>
    </row>
    <row r="21" spans="1:24" ht="18" customHeight="1">
      <c r="A21" s="43"/>
      <c r="B21" s="54" t="s">
        <v>740</v>
      </c>
      <c r="C21" s="777">
        <f>15611123.3856+1622982.996</f>
        <v>17234106.3816</v>
      </c>
      <c r="D21" s="50"/>
      <c r="E21" s="75"/>
      <c r="F21" s="76"/>
      <c r="G21"/>
      <c r="H21" s="76"/>
      <c r="I21" s="76"/>
      <c r="J21" s="76"/>
      <c r="K21" s="76"/>
      <c r="L21" s="76"/>
      <c r="M21" s="78"/>
      <c r="N21" s="78"/>
      <c r="O21" s="78"/>
      <c r="P21" s="78"/>
      <c r="Q21" s="78"/>
      <c r="R21" s="78"/>
      <c r="V21" s="51"/>
      <c r="W21" s="51"/>
      <c r="X21" s="51"/>
    </row>
    <row r="22" spans="1:24" ht="18" customHeight="1">
      <c r="A22" s="43"/>
      <c r="B22" s="54" t="s">
        <v>296</v>
      </c>
      <c r="C22" s="667">
        <v>2220158.6004348756</v>
      </c>
      <c r="D22" s="50"/>
      <c r="E22" s="75"/>
      <c r="F22" s="76"/>
      <c r="G22"/>
      <c r="H22" s="76"/>
      <c r="I22" s="76"/>
      <c r="J22" s="76"/>
      <c r="K22" s="76"/>
      <c r="L22" s="76"/>
      <c r="M22" s="78"/>
      <c r="N22" s="78"/>
      <c r="O22" s="78"/>
      <c r="P22" s="78"/>
      <c r="Q22" s="78"/>
      <c r="R22" s="78"/>
      <c r="V22" s="51"/>
      <c r="W22" s="51"/>
      <c r="X22" s="51"/>
    </row>
    <row r="23" spans="1:24" ht="18" customHeight="1">
      <c r="A23" s="43"/>
      <c r="B23" s="54" t="s">
        <v>297</v>
      </c>
      <c r="C23" s="667">
        <v>-6359161.0014000004</v>
      </c>
      <c r="D23" s="50"/>
      <c r="E23" s="75"/>
      <c r="F23" s="76"/>
      <c r="G23"/>
      <c r="H23" s="76"/>
      <c r="I23" s="76"/>
      <c r="J23" s="76"/>
      <c r="K23" s="76"/>
      <c r="L23" s="76"/>
      <c r="M23" s="78"/>
      <c r="N23" s="78"/>
      <c r="O23" s="78"/>
      <c r="P23" s="78"/>
      <c r="Q23" s="78"/>
      <c r="R23" s="78"/>
      <c r="V23" s="51"/>
      <c r="W23" s="51"/>
      <c r="X23" s="51"/>
    </row>
    <row r="24" spans="1:24" ht="18" customHeight="1">
      <c r="A24" s="43"/>
      <c r="B24" s="48" t="s">
        <v>293</v>
      </c>
      <c r="C24" s="65">
        <f>C20+C21+C22-C23</f>
        <v>159895995.6915876</v>
      </c>
      <c r="D24" s="50"/>
      <c r="E24" s="75"/>
      <c r="F24" s="76"/>
      <c r="G24"/>
      <c r="H24" s="76"/>
      <c r="I24" s="76"/>
      <c r="J24" s="76"/>
      <c r="K24" s="76"/>
      <c r="L24" s="76"/>
      <c r="M24" s="78"/>
      <c r="N24" s="78"/>
      <c r="O24" s="78"/>
      <c r="P24" s="78"/>
      <c r="Q24" s="78"/>
      <c r="R24" s="78"/>
      <c r="V24" s="51"/>
      <c r="W24" s="51"/>
      <c r="X24" s="51"/>
    </row>
    <row r="25" spans="1:24" ht="18" customHeight="1">
      <c r="A25" s="43"/>
      <c r="B25" s="57"/>
      <c r="C25" s="68"/>
      <c r="D25" s="50"/>
      <c r="E25" s="75"/>
      <c r="F25" s="76"/>
      <c r="G25" s="76"/>
      <c r="H25" s="76"/>
      <c r="I25" s="76"/>
      <c r="J25" s="76"/>
      <c r="K25" s="76"/>
      <c r="L25" s="76"/>
      <c r="M25" s="78"/>
      <c r="N25" s="78"/>
      <c r="O25" s="78"/>
      <c r="P25" s="78"/>
      <c r="Q25" s="78"/>
      <c r="R25" s="78"/>
      <c r="V25" s="51"/>
      <c r="W25" s="51"/>
      <c r="X25" s="51"/>
    </row>
    <row r="29" spans="1:24" ht="15.75">
      <c r="B29" s="108" t="s">
        <v>306</v>
      </c>
    </row>
    <row r="30" spans="1:24" ht="15">
      <c r="B30" s="100"/>
      <c r="C30" s="113" t="s">
        <v>267</v>
      </c>
      <c r="D30" s="113" t="s">
        <v>539</v>
      </c>
      <c r="E30" s="113" t="s">
        <v>35</v>
      </c>
    </row>
    <row r="31" spans="1:24" ht="15">
      <c r="B31" s="101"/>
      <c r="C31" s="114" t="s">
        <v>34</v>
      </c>
      <c r="D31" s="114" t="s">
        <v>442</v>
      </c>
      <c r="E31" s="114" t="s">
        <v>36</v>
      </c>
    </row>
    <row r="32" spans="1:24" ht="15">
      <c r="B32" s="101"/>
      <c r="C32" s="115">
        <f>D32-1</f>
        <v>2016</v>
      </c>
      <c r="D32" s="115">
        <f>E32-1</f>
        <v>2017</v>
      </c>
      <c r="E32" s="115">
        <f>C$6</f>
        <v>2018</v>
      </c>
    </row>
    <row r="33" spans="2:9">
      <c r="B33" s="393"/>
      <c r="C33" s="98"/>
      <c r="D33" s="98"/>
      <c r="E33" s="111"/>
      <c r="I33"/>
    </row>
    <row r="34" spans="2:9" ht="15">
      <c r="B34" s="614" t="s">
        <v>314</v>
      </c>
      <c r="C34" s="97">
        <v>154415480.99000001</v>
      </c>
      <c r="D34" s="605">
        <f>Est2017TransRev!BQ66</f>
        <v>163869408.63968709</v>
      </c>
      <c r="E34" s="605">
        <f>C9</f>
        <v>156988161.38385642</v>
      </c>
      <c r="F34"/>
    </row>
    <row r="35" spans="2:9">
      <c r="B35" s="102"/>
      <c r="C35" s="98"/>
      <c r="D35" s="98"/>
      <c r="E35" s="110"/>
    </row>
    <row r="36" spans="2:9">
      <c r="B36" s="102"/>
      <c r="C36" s="98"/>
      <c r="D36" s="98"/>
      <c r="E36" s="110"/>
    </row>
    <row r="37" spans="2:9" ht="15">
      <c r="B37" s="103" t="s">
        <v>305</v>
      </c>
      <c r="C37" s="96">
        <f>SUM(C39:C41)</f>
        <v>156383130.4062556</v>
      </c>
      <c r="D37" s="96">
        <f>SUM(D39:D41)</f>
        <v>159095150.06513023</v>
      </c>
      <c r="E37" s="96">
        <f>SUM(E39:E41)</f>
        <v>159895995.6915876</v>
      </c>
    </row>
    <row r="38" spans="2:9" ht="15">
      <c r="B38" s="103"/>
      <c r="C38" s="96"/>
      <c r="D38" s="96"/>
      <c r="E38" s="96"/>
    </row>
    <row r="39" spans="2:9">
      <c r="B39" s="104" t="s">
        <v>308</v>
      </c>
      <c r="C39" s="99">
        <v>-20456633.735275201</v>
      </c>
      <c r="D39" s="99">
        <v>-4863328.4503118843</v>
      </c>
      <c r="E39" s="110">
        <f>C16</f>
        <v>0</v>
      </c>
    </row>
    <row r="40" spans="2:9">
      <c r="B40" s="104"/>
      <c r="C40" s="148"/>
      <c r="D40" s="148"/>
      <c r="E40" s="619"/>
    </row>
    <row r="41" spans="2:9">
      <c r="B41" s="104" t="s">
        <v>309</v>
      </c>
      <c r="C41" s="95">
        <f>C42+C43+C44-C45</f>
        <v>176839764.14153081</v>
      </c>
      <c r="D41" s="95">
        <f>D42+D43+D44-D45</f>
        <v>163958478.51544213</v>
      </c>
      <c r="E41" s="95">
        <f>E42+E43+E44-E45</f>
        <v>159895995.6915876</v>
      </c>
    </row>
    <row r="42" spans="2:9">
      <c r="B42" s="105" t="s">
        <v>310</v>
      </c>
      <c r="C42" s="148">
        <f>'TUoS cost audit template'!F7</f>
        <v>142183837.09873083</v>
      </c>
      <c r="D42" s="664">
        <v>136047540.31780908</v>
      </c>
      <c r="E42" s="146">
        <f>C20</f>
        <v>134082569.70815274</v>
      </c>
      <c r="G42"/>
    </row>
    <row r="43" spans="2:9">
      <c r="B43" s="105" t="s">
        <v>741</v>
      </c>
      <c r="C43" s="148">
        <f>'TUoS cost audit template'!F14</f>
        <v>23506527.280000001</v>
      </c>
      <c r="D43" s="664">
        <f>18705354.7690909+265193.3</f>
        <v>18970548.069090899</v>
      </c>
      <c r="E43" s="110">
        <f>C21</f>
        <v>17234106.3816</v>
      </c>
      <c r="G43"/>
    </row>
    <row r="44" spans="2:9">
      <c r="B44" s="105" t="s">
        <v>311</v>
      </c>
      <c r="C44" s="148">
        <f>'TUoS cost audit template'!F42</f>
        <v>4902470.4428000003</v>
      </c>
      <c r="D44" s="664">
        <v>2210381.2336596781</v>
      </c>
      <c r="E44" s="110">
        <f>C22</f>
        <v>2220158.6004348756</v>
      </c>
      <c r="G44"/>
    </row>
    <row r="45" spans="2:9">
      <c r="B45" s="105" t="s">
        <v>312</v>
      </c>
      <c r="C45" s="620">
        <f>'TUoS cost audit template'!F24</f>
        <v>-6246929.3200000012</v>
      </c>
      <c r="D45" s="665">
        <v>-6730008.8948824601</v>
      </c>
      <c r="E45" s="121">
        <f>C23</f>
        <v>-6359161.0014000004</v>
      </c>
      <c r="G45"/>
    </row>
    <row r="46" spans="2:9" ht="15">
      <c r="B46" s="106"/>
      <c r="C46" s="98"/>
      <c r="D46" s="98"/>
      <c r="E46" s="110"/>
      <c r="G46"/>
    </row>
    <row r="47" spans="2:9">
      <c r="B47" s="104"/>
      <c r="C47" s="148"/>
      <c r="D47" s="148"/>
      <c r="E47" s="112"/>
    </row>
    <row r="48" spans="2:9">
      <c r="B48" s="107"/>
      <c r="C48" s="98"/>
      <c r="D48" s="98"/>
      <c r="E48" s="110"/>
    </row>
    <row r="49" spans="2:6" ht="15">
      <c r="B49" s="615" t="s">
        <v>45</v>
      </c>
      <c r="C49" s="96">
        <f>C34-C37</f>
        <v>-1967649.4162555933</v>
      </c>
      <c r="D49" s="96">
        <f>D34-D37</f>
        <v>4774258.5745568573</v>
      </c>
      <c r="E49" s="96">
        <f>E34-E37</f>
        <v>-2907834.3077311814</v>
      </c>
      <c r="F49" s="149"/>
    </row>
    <row r="50" spans="2:6">
      <c r="B50" s="40"/>
      <c r="D50" s="34"/>
    </row>
    <row r="51" spans="2:6">
      <c r="B51" s="40"/>
      <c r="D51" s="34"/>
    </row>
    <row r="52" spans="2:6">
      <c r="B52" s="40"/>
      <c r="D52" s="34"/>
    </row>
    <row r="53" spans="2:6" ht="15.75">
      <c r="B53" s="108" t="s">
        <v>307</v>
      </c>
      <c r="D53" s="34"/>
    </row>
    <row r="54" spans="2:6" ht="15">
      <c r="B54" s="616"/>
      <c r="C54" s="113" t="s">
        <v>267</v>
      </c>
      <c r="D54" s="113" t="s">
        <v>539</v>
      </c>
      <c r="E54" s="113" t="s">
        <v>35</v>
      </c>
    </row>
    <row r="55" spans="2:6" ht="15">
      <c r="B55" s="107"/>
      <c r="C55" s="114" t="s">
        <v>34</v>
      </c>
      <c r="D55" s="114" t="s">
        <v>442</v>
      </c>
      <c r="E55" s="114" t="s">
        <v>36</v>
      </c>
    </row>
    <row r="56" spans="2:6" ht="15">
      <c r="B56" s="617" t="s">
        <v>269</v>
      </c>
      <c r="C56" s="115">
        <f>D56-1</f>
        <v>2016</v>
      </c>
      <c r="D56" s="115">
        <f>E56-1</f>
        <v>2017</v>
      </c>
      <c r="E56" s="115">
        <f>C$6</f>
        <v>2018</v>
      </c>
    </row>
    <row r="57" spans="2:6">
      <c r="B57" s="107"/>
      <c r="C57" s="109"/>
      <c r="D57" s="109"/>
      <c r="E57" s="111"/>
    </row>
    <row r="58" spans="2:6">
      <c r="B58" s="107" t="s">
        <v>540</v>
      </c>
      <c r="C58" s="606">
        <f>(1+'Model update'!$B$47)*(1+'Model update'!$C$28)-1</f>
        <v>5.2561174728540827E-2</v>
      </c>
      <c r="D58" s="109">
        <f>(1+'Model update'!$B$45)*(1+'Model update'!$C$29)-1</f>
        <v>4.7000045598383666E-2</v>
      </c>
      <c r="E58" s="607">
        <f>(1+'Model update'!$B$43)*(1+'Model update'!$C$30)-1</f>
        <v>5.5929028441763728E-2</v>
      </c>
    </row>
    <row r="59" spans="2:6">
      <c r="B59" s="107"/>
      <c r="C59" s="98"/>
      <c r="D59" s="98"/>
      <c r="E59" s="111"/>
    </row>
    <row r="60" spans="2:6">
      <c r="B60" s="107" t="s">
        <v>47</v>
      </c>
      <c r="C60" s="99">
        <v>0</v>
      </c>
      <c r="D60" s="110">
        <f>C64</f>
        <v>-2018698.1928716444</v>
      </c>
      <c r="E60" s="110">
        <f>D64</f>
        <v>2771588.4640563186</v>
      </c>
    </row>
    <row r="61" spans="2:6">
      <c r="B61" s="107" t="s">
        <v>541</v>
      </c>
      <c r="C61" s="148">
        <f>C60*C58</f>
        <v>0</v>
      </c>
      <c r="D61" s="148">
        <f>D60*D58</f>
        <v>-94878.907114341986</v>
      </c>
      <c r="E61" s="148">
        <f>E60*E58</f>
        <v>155012.25003507009</v>
      </c>
    </row>
    <row r="62" spans="2:6">
      <c r="B62" s="107" t="s">
        <v>48</v>
      </c>
      <c r="C62" s="110">
        <f>C49</f>
        <v>-1967649.4162555933</v>
      </c>
      <c r="D62" s="110">
        <f>D49</f>
        <v>4774258.5745568573</v>
      </c>
      <c r="E62" s="110">
        <f>E49</f>
        <v>-2907834.3077311814</v>
      </c>
    </row>
    <row r="63" spans="2:6">
      <c r="B63" s="107" t="s">
        <v>459</v>
      </c>
      <c r="C63" s="148">
        <f>C62*((1+C58)^0.5-1)</f>
        <v>-51048.776616051138</v>
      </c>
      <c r="D63" s="148">
        <f>D62*((1+D58)^0.5-1)</f>
        <v>110906.98948544778</v>
      </c>
      <c r="E63" s="148">
        <f>E62*((1+E58)^0.5-1)</f>
        <v>-80209.915738479933</v>
      </c>
    </row>
    <row r="64" spans="2:6" ht="15">
      <c r="B64" s="615" t="s">
        <v>402</v>
      </c>
      <c r="C64" s="96">
        <f>SUM(C60:C63)</f>
        <v>-2018698.1928716444</v>
      </c>
      <c r="D64" s="96">
        <f t="shared" ref="D64:E64" si="0">SUM(D60:D63)</f>
        <v>2771588.4640563186</v>
      </c>
      <c r="E64" s="96">
        <f t="shared" si="0"/>
        <v>-61443.509378272807</v>
      </c>
    </row>
    <row r="66" spans="2:2">
      <c r="B66" s="670" t="s">
        <v>550</v>
      </c>
    </row>
  </sheetData>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1"/>
    <pageSetUpPr fitToPage="1"/>
  </sheetPr>
  <dimension ref="A1:AO176"/>
  <sheetViews>
    <sheetView showGridLines="0" zoomScale="90" zoomScaleNormal="90" workbookViewId="0"/>
  </sheetViews>
  <sheetFormatPr defaultColWidth="9.140625" defaultRowHeight="12.75"/>
  <cols>
    <col min="1" max="1" width="4.7109375" style="199" customWidth="1"/>
    <col min="2" max="2" width="35.140625" style="226" bestFit="1" customWidth="1"/>
    <col min="3" max="3" width="12.140625" style="226" customWidth="1"/>
    <col min="4" max="4" width="16" style="226" customWidth="1"/>
    <col min="5" max="5" width="11.28515625" style="226" customWidth="1"/>
    <col min="6" max="6" width="15.140625" style="226" customWidth="1"/>
    <col min="7" max="13" width="10.5703125" style="199" customWidth="1"/>
    <col min="14" max="14" width="10.5703125" style="226" customWidth="1"/>
    <col min="15" max="16384" width="9.140625" style="226"/>
  </cols>
  <sheetData>
    <row r="1" spans="1:41" s="199" customFormat="1" ht="15.75" thickBot="1">
      <c r="A1" s="90"/>
      <c r="B1" s="154" t="str">
        <f>"Tariff Approval - "&amp;'Model update'!C3</f>
        <v>Tariff Approval - Powercor</v>
      </c>
    </row>
    <row r="2" spans="1:41">
      <c r="B2" s="827" t="s">
        <v>272</v>
      </c>
      <c r="C2" s="828"/>
      <c r="D2" s="828"/>
      <c r="E2" s="159"/>
      <c r="F2" s="122" t="s">
        <v>273</v>
      </c>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row>
    <row r="3" spans="1:41">
      <c r="B3" s="822"/>
      <c r="C3" s="826"/>
      <c r="D3" s="826"/>
      <c r="E3" s="162"/>
      <c r="F3" s="123"/>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row>
    <row r="4" spans="1:41">
      <c r="B4" s="822" t="s">
        <v>533</v>
      </c>
      <c r="C4" s="826"/>
      <c r="D4" s="826"/>
      <c r="E4" s="162"/>
      <c r="F4" s="123">
        <v>50163845.707037978</v>
      </c>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row>
    <row r="5" spans="1:41">
      <c r="B5" s="822" t="s">
        <v>534</v>
      </c>
      <c r="C5" s="826"/>
      <c r="D5" s="826"/>
      <c r="E5" s="162"/>
      <c r="F5" s="123">
        <v>95822191.391692847</v>
      </c>
      <c r="N5" s="199"/>
      <c r="O5" s="199"/>
      <c r="P5" s="199"/>
      <c r="Q5" s="199"/>
      <c r="R5" s="199"/>
      <c r="S5" s="199"/>
      <c r="T5" s="199"/>
      <c r="U5" s="199"/>
      <c r="V5" s="199"/>
      <c r="W5" s="199"/>
      <c r="X5" s="199"/>
      <c r="Y5" s="199"/>
      <c r="Z5" s="199"/>
      <c r="AA5" s="199"/>
      <c r="AB5" s="199"/>
      <c r="AC5" s="199"/>
      <c r="AD5" s="199"/>
      <c r="AE5" s="199"/>
      <c r="AF5" s="199"/>
      <c r="AG5" s="199"/>
      <c r="AH5" s="199"/>
      <c r="AI5" s="199"/>
      <c r="AJ5" s="199"/>
      <c r="AK5" s="199"/>
      <c r="AL5" s="199"/>
      <c r="AM5" s="199"/>
      <c r="AN5" s="199"/>
      <c r="AO5" s="199"/>
    </row>
    <row r="6" spans="1:41">
      <c r="B6" s="822" t="s">
        <v>274</v>
      </c>
      <c r="C6" s="826"/>
      <c r="D6" s="826"/>
      <c r="E6" s="162"/>
      <c r="F6" s="123">
        <v>-3802200</v>
      </c>
      <c r="N6" s="199"/>
      <c r="O6" s="199"/>
      <c r="P6" s="199"/>
      <c r="Q6" s="199"/>
      <c r="R6" s="199"/>
      <c r="S6" s="199"/>
      <c r="T6" s="199"/>
      <c r="U6" s="199"/>
      <c r="V6" s="199"/>
      <c r="W6" s="199"/>
      <c r="X6" s="199"/>
      <c r="Y6" s="199"/>
      <c r="Z6" s="199"/>
      <c r="AA6" s="199"/>
      <c r="AB6" s="199"/>
      <c r="AC6" s="199"/>
      <c r="AD6" s="199"/>
      <c r="AE6" s="199"/>
      <c r="AF6" s="199"/>
      <c r="AG6" s="199"/>
      <c r="AH6" s="199"/>
      <c r="AI6" s="199"/>
      <c r="AJ6" s="199"/>
      <c r="AK6" s="199"/>
      <c r="AL6" s="199"/>
      <c r="AM6" s="199"/>
      <c r="AN6" s="199"/>
      <c r="AO6" s="199"/>
    </row>
    <row r="7" spans="1:41" ht="13.5" thickBot="1">
      <c r="B7" s="829"/>
      <c r="C7" s="816"/>
      <c r="D7" s="816"/>
      <c r="E7" s="124" t="s">
        <v>122</v>
      </c>
      <c r="F7" s="125">
        <f>SUM(F3:F6)</f>
        <v>142183837.09873083</v>
      </c>
      <c r="N7" s="199"/>
      <c r="O7" s="199"/>
      <c r="P7" s="199"/>
      <c r="Q7" s="199"/>
      <c r="R7" s="199"/>
      <c r="S7" s="199"/>
      <c r="T7" s="199"/>
      <c r="U7" s="199"/>
      <c r="V7" s="199"/>
      <c r="W7" s="199"/>
      <c r="X7" s="199"/>
      <c r="Y7" s="199"/>
      <c r="Z7" s="199"/>
      <c r="AA7" s="199"/>
      <c r="AB7" s="199"/>
      <c r="AC7" s="199"/>
      <c r="AD7" s="199"/>
      <c r="AE7" s="199"/>
      <c r="AF7" s="199"/>
      <c r="AG7" s="199"/>
      <c r="AH7" s="199"/>
      <c r="AI7" s="199"/>
      <c r="AJ7" s="199"/>
      <c r="AK7" s="199"/>
      <c r="AL7" s="199"/>
      <c r="AM7" s="199"/>
      <c r="AN7" s="199"/>
      <c r="AO7" s="199"/>
    </row>
    <row r="8" spans="1:41" ht="13.5" thickBot="1">
      <c r="B8" s="199"/>
      <c r="C8" s="199"/>
      <c r="D8" s="199"/>
      <c r="E8" s="199"/>
      <c r="F8" s="199"/>
      <c r="N8" s="199"/>
      <c r="O8" s="199"/>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row>
    <row r="9" spans="1:41">
      <c r="B9" s="827" t="s">
        <v>739</v>
      </c>
      <c r="C9" s="828"/>
      <c r="D9" s="828"/>
      <c r="E9" s="159"/>
      <c r="F9" s="122" t="s">
        <v>273</v>
      </c>
      <c r="N9" s="199"/>
      <c r="O9" s="199"/>
      <c r="P9" s="199"/>
      <c r="Q9" s="199"/>
      <c r="R9" s="199"/>
      <c r="S9" s="199"/>
      <c r="T9" s="199"/>
      <c r="U9" s="199"/>
      <c r="V9" s="199"/>
      <c r="W9" s="199"/>
      <c r="X9" s="199"/>
      <c r="Y9" s="199"/>
      <c r="Z9" s="199"/>
      <c r="AA9" s="199"/>
      <c r="AB9" s="199"/>
      <c r="AC9" s="199"/>
      <c r="AD9" s="199"/>
      <c r="AE9" s="199"/>
      <c r="AF9" s="199"/>
      <c r="AG9" s="199"/>
      <c r="AH9" s="199"/>
      <c r="AI9" s="199"/>
      <c r="AJ9" s="199"/>
      <c r="AK9" s="199"/>
      <c r="AL9" s="199"/>
      <c r="AM9" s="199"/>
      <c r="AN9" s="199"/>
      <c r="AO9" s="199"/>
    </row>
    <row r="10" spans="1:41">
      <c r="B10" s="822"/>
      <c r="C10" s="826"/>
      <c r="D10" s="826"/>
      <c r="E10" s="162"/>
      <c r="F10" s="123"/>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row>
    <row r="11" spans="1:41">
      <c r="B11" s="822" t="s">
        <v>535</v>
      </c>
      <c r="C11" s="826"/>
      <c r="D11" s="826"/>
      <c r="E11" s="162"/>
      <c r="F11" s="123">
        <v>15589593.780000001</v>
      </c>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row>
    <row r="12" spans="1:41">
      <c r="B12" s="822" t="s">
        <v>536</v>
      </c>
      <c r="C12" s="826"/>
      <c r="D12" s="826"/>
      <c r="E12" s="162"/>
      <c r="F12" s="123">
        <v>7916933.4999999981</v>
      </c>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row>
    <row r="13" spans="1:41">
      <c r="B13" s="822"/>
      <c r="C13" s="826"/>
      <c r="D13" s="826"/>
      <c r="E13" s="162"/>
      <c r="F13" s="123"/>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row>
    <row r="14" spans="1:41" ht="13.5" thickBot="1">
      <c r="B14" s="829"/>
      <c r="C14" s="816"/>
      <c r="D14" s="816"/>
      <c r="E14" s="124" t="s">
        <v>122</v>
      </c>
      <c r="F14" s="125">
        <f>SUM(F10:F13)</f>
        <v>23506527.280000001</v>
      </c>
      <c r="N14" s="199"/>
      <c r="O14" s="199"/>
      <c r="P14" s="199"/>
      <c r="Q14" s="199"/>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row>
    <row r="15" spans="1:41" ht="13.5" thickBot="1">
      <c r="B15" s="199"/>
      <c r="C15" s="199"/>
      <c r="D15" s="199"/>
      <c r="E15" s="199"/>
      <c r="F15" s="199"/>
      <c r="N15" s="199"/>
      <c r="O15" s="199"/>
      <c r="P15" s="199"/>
      <c r="Q15" s="199"/>
      <c r="R15" s="199"/>
      <c r="S15" s="199"/>
      <c r="T15" s="199"/>
      <c r="U15" s="199"/>
      <c r="V15" s="199"/>
      <c r="W15" s="199"/>
      <c r="X15" s="199"/>
      <c r="Y15" s="199"/>
      <c r="Z15" s="199"/>
      <c r="AA15" s="199"/>
      <c r="AB15" s="199"/>
      <c r="AC15" s="199"/>
      <c r="AD15" s="199"/>
      <c r="AE15" s="199"/>
      <c r="AF15" s="199"/>
      <c r="AG15" s="199"/>
      <c r="AH15" s="199"/>
      <c r="AI15" s="199"/>
      <c r="AJ15" s="199"/>
      <c r="AK15" s="199"/>
      <c r="AL15" s="199"/>
      <c r="AM15" s="199"/>
      <c r="AN15" s="199"/>
      <c r="AO15" s="199"/>
    </row>
    <row r="16" spans="1:41">
      <c r="B16" s="126" t="s">
        <v>275</v>
      </c>
      <c r="C16" s="127"/>
      <c r="D16" s="127"/>
      <c r="E16" s="127"/>
      <c r="F16" s="128" t="s">
        <v>273</v>
      </c>
      <c r="N16" s="199"/>
      <c r="O16" s="199"/>
      <c r="P16" s="199"/>
      <c r="Q16" s="199"/>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row>
    <row r="17" spans="2:41">
      <c r="B17" s="830" t="s">
        <v>276</v>
      </c>
      <c r="C17" s="832" t="s">
        <v>277</v>
      </c>
      <c r="D17" s="832"/>
      <c r="E17" s="832"/>
      <c r="F17" s="833"/>
      <c r="N17" s="199"/>
      <c r="O17" s="199"/>
      <c r="P17" s="199"/>
      <c r="Q17" s="199"/>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row>
    <row r="18" spans="2:41" ht="25.5">
      <c r="B18" s="831"/>
      <c r="C18" s="129" t="s">
        <v>278</v>
      </c>
      <c r="D18" s="129" t="s">
        <v>279</v>
      </c>
      <c r="E18" s="129" t="s">
        <v>280</v>
      </c>
      <c r="F18" s="130" t="s">
        <v>122</v>
      </c>
      <c r="N18" s="199"/>
      <c r="O18" s="199"/>
      <c r="P18" s="199"/>
      <c r="Q18" s="199"/>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row>
    <row r="19" spans="2:41">
      <c r="B19" s="160" t="s">
        <v>82</v>
      </c>
      <c r="C19" s="131">
        <v>0</v>
      </c>
      <c r="D19" s="132">
        <v>-5696554.7800000012</v>
      </c>
      <c r="E19" s="133">
        <v>0</v>
      </c>
      <c r="F19" s="134">
        <f>SUM(C19:E19)</f>
        <v>-5696554.7800000012</v>
      </c>
      <c r="N19" s="199"/>
      <c r="O19" s="199"/>
      <c r="P19" s="199"/>
      <c r="Q19" s="199"/>
      <c r="R19" s="199"/>
      <c r="S19" s="199"/>
      <c r="T19" s="199"/>
      <c r="U19" s="199"/>
      <c r="V19" s="199"/>
      <c r="W19" s="199"/>
      <c r="X19" s="199"/>
      <c r="Y19" s="199"/>
      <c r="Z19" s="199"/>
      <c r="AA19" s="199"/>
      <c r="AB19" s="199"/>
      <c r="AC19" s="199"/>
      <c r="AD19" s="199"/>
      <c r="AE19" s="199"/>
      <c r="AF19" s="199"/>
      <c r="AG19" s="199"/>
      <c r="AH19" s="199"/>
      <c r="AI19" s="199"/>
      <c r="AJ19" s="199"/>
      <c r="AK19" s="199"/>
      <c r="AL19" s="199"/>
      <c r="AM19" s="199"/>
      <c r="AN19" s="199"/>
      <c r="AO19" s="199"/>
    </row>
    <row r="20" spans="2:41">
      <c r="B20" s="160" t="s">
        <v>537</v>
      </c>
      <c r="C20" s="131">
        <v>-550374.53999999992</v>
      </c>
      <c r="D20" s="131">
        <v>0</v>
      </c>
      <c r="E20" s="131">
        <v>0</v>
      </c>
      <c r="F20" s="135">
        <f>SUM(C20:E20)</f>
        <v>-550374.53999999992</v>
      </c>
      <c r="N20" s="199"/>
      <c r="O20" s="199"/>
      <c r="P20" s="199"/>
      <c r="Q20" s="199"/>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row>
    <row r="21" spans="2:41">
      <c r="B21" s="160"/>
      <c r="C21" s="131"/>
      <c r="D21" s="131"/>
      <c r="E21" s="131"/>
      <c r="F21" s="135">
        <f>SUM(C21:E21)</f>
        <v>0</v>
      </c>
      <c r="N21" s="199"/>
      <c r="O21" s="199"/>
      <c r="P21" s="199"/>
      <c r="Q21" s="199"/>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row>
    <row r="22" spans="2:41">
      <c r="B22" s="160"/>
      <c r="C22" s="131"/>
      <c r="D22" s="131"/>
      <c r="E22" s="131"/>
      <c r="F22" s="135">
        <f>SUM(C22:E22)</f>
        <v>0</v>
      </c>
      <c r="N22" s="199"/>
      <c r="O22" s="199"/>
      <c r="P22" s="199"/>
      <c r="Q22" s="199"/>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row>
    <row r="23" spans="2:41">
      <c r="B23" s="160"/>
      <c r="C23" s="131"/>
      <c r="D23" s="131"/>
      <c r="E23" s="136"/>
      <c r="F23" s="134">
        <f>SUM(C23:E23)</f>
        <v>0</v>
      </c>
      <c r="N23" s="199"/>
      <c r="O23" s="199"/>
      <c r="P23" s="199"/>
      <c r="Q23" s="199"/>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row>
    <row r="24" spans="2:41" ht="13.5" thickBot="1">
      <c r="B24" s="137" t="s">
        <v>122</v>
      </c>
      <c r="C24" s="138"/>
      <c r="D24" s="138"/>
      <c r="E24" s="139"/>
      <c r="F24" s="125">
        <f>SUM(F19:F23)</f>
        <v>-6246929.3200000012</v>
      </c>
      <c r="N24" s="199"/>
      <c r="O24" s="199"/>
      <c r="P24" s="199"/>
      <c r="Q24" s="199"/>
      <c r="R24" s="199"/>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row>
    <row r="25" spans="2:41" ht="13.5" thickBot="1">
      <c r="B25" s="199"/>
      <c r="C25" s="199"/>
      <c r="D25" s="199"/>
      <c r="E25" s="199"/>
      <c r="F25" s="199"/>
      <c r="N25" s="199"/>
      <c r="O25" s="199"/>
      <c r="P25" s="199"/>
      <c r="Q25" s="199"/>
      <c r="R25" s="199"/>
      <c r="S25" s="199"/>
      <c r="T25" s="199"/>
      <c r="U25" s="199"/>
      <c r="V25" s="199"/>
      <c r="W25" s="199"/>
      <c r="X25" s="199"/>
      <c r="Y25" s="199"/>
      <c r="Z25" s="199"/>
      <c r="AA25" s="199"/>
      <c r="AB25" s="199"/>
      <c r="AC25" s="199"/>
      <c r="AD25" s="199"/>
      <c r="AE25" s="199"/>
      <c r="AF25" s="199"/>
      <c r="AG25" s="199"/>
      <c r="AH25" s="199"/>
      <c r="AI25" s="199"/>
      <c r="AJ25" s="199"/>
      <c r="AK25" s="199"/>
      <c r="AL25" s="199"/>
      <c r="AM25" s="199"/>
      <c r="AN25" s="199"/>
      <c r="AO25" s="199"/>
    </row>
    <row r="26" spans="2:41">
      <c r="B26" s="827" t="s">
        <v>281</v>
      </c>
      <c r="C26" s="828"/>
      <c r="D26" s="828"/>
      <c r="E26" s="159"/>
      <c r="F26" s="122" t="s">
        <v>273</v>
      </c>
      <c r="N26" s="199"/>
      <c r="O26" s="199"/>
      <c r="P26" s="199"/>
      <c r="Q26" s="199"/>
      <c r="R26" s="199"/>
      <c r="S26" s="199"/>
      <c r="T26" s="199"/>
      <c r="U26" s="199"/>
      <c r="V26" s="199"/>
      <c r="W26" s="199"/>
      <c r="X26" s="199"/>
      <c r="Y26" s="199"/>
      <c r="Z26" s="199"/>
      <c r="AA26" s="199"/>
      <c r="AB26" s="199"/>
      <c r="AC26" s="199"/>
      <c r="AD26" s="199"/>
      <c r="AE26" s="199"/>
      <c r="AF26" s="199"/>
      <c r="AG26" s="199"/>
      <c r="AH26" s="199"/>
      <c r="AI26" s="199"/>
      <c r="AJ26" s="199"/>
      <c r="AK26" s="199"/>
      <c r="AL26" s="199"/>
      <c r="AM26" s="199"/>
      <c r="AN26" s="199"/>
      <c r="AO26" s="199"/>
    </row>
    <row r="27" spans="2:41">
      <c r="B27" s="821" t="s">
        <v>282</v>
      </c>
      <c r="C27" s="820"/>
      <c r="D27" s="820"/>
      <c r="E27" s="161"/>
      <c r="F27" s="140"/>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199"/>
      <c r="AK27" s="199"/>
      <c r="AL27" s="199"/>
      <c r="AM27" s="199"/>
      <c r="AN27" s="199"/>
      <c r="AO27" s="199"/>
    </row>
    <row r="28" spans="2:41">
      <c r="B28" s="822"/>
      <c r="C28" s="823"/>
      <c r="D28" s="823"/>
      <c r="E28" s="162"/>
      <c r="F28" s="123"/>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row>
    <row r="29" spans="2:41">
      <c r="B29" s="160" t="s">
        <v>283</v>
      </c>
      <c r="C29" s="162"/>
      <c r="D29" s="162"/>
      <c r="E29" s="162"/>
      <c r="F29" s="123">
        <v>4902470.4428000003</v>
      </c>
      <c r="N29" s="199"/>
      <c r="O29" s="199"/>
      <c r="P29" s="199"/>
      <c r="Q29" s="199"/>
      <c r="R29" s="199"/>
      <c r="S29" s="199"/>
      <c r="T29" s="199"/>
      <c r="U29" s="199"/>
      <c r="V29" s="199"/>
      <c r="W29" s="199"/>
      <c r="X29" s="199"/>
      <c r="Y29" s="199"/>
      <c r="Z29" s="199"/>
      <c r="AA29" s="199"/>
      <c r="AB29" s="199"/>
      <c r="AC29" s="199"/>
      <c r="AD29" s="199"/>
      <c r="AE29" s="199"/>
      <c r="AF29" s="199"/>
      <c r="AG29" s="199"/>
      <c r="AH29" s="199"/>
      <c r="AI29" s="199"/>
      <c r="AJ29" s="199"/>
      <c r="AK29" s="199"/>
      <c r="AL29" s="199"/>
      <c r="AM29" s="199"/>
      <c r="AN29" s="199"/>
      <c r="AO29" s="199"/>
    </row>
    <row r="30" spans="2:41">
      <c r="B30" s="160"/>
      <c r="C30" s="162"/>
      <c r="D30" s="162"/>
      <c r="E30" s="162"/>
      <c r="F30" s="123"/>
      <c r="N30" s="199"/>
      <c r="O30" s="199"/>
      <c r="P30" s="199"/>
      <c r="Q30" s="199"/>
      <c r="R30" s="199"/>
      <c r="S30" s="199"/>
      <c r="T30" s="199"/>
      <c r="U30" s="199"/>
      <c r="V30" s="199"/>
      <c r="W30" s="199"/>
      <c r="X30" s="199"/>
      <c r="Y30" s="199"/>
      <c r="Z30" s="199"/>
      <c r="AA30" s="199"/>
      <c r="AB30" s="199"/>
      <c r="AC30" s="199"/>
      <c r="AD30" s="199"/>
      <c r="AE30" s="199"/>
      <c r="AF30" s="199"/>
      <c r="AG30" s="199"/>
      <c r="AH30" s="199"/>
      <c r="AI30" s="199"/>
      <c r="AJ30" s="199"/>
      <c r="AK30" s="199"/>
      <c r="AL30" s="199"/>
      <c r="AM30" s="199"/>
      <c r="AN30" s="199"/>
      <c r="AO30" s="199"/>
    </row>
    <row r="31" spans="2:41">
      <c r="B31" s="160"/>
      <c r="C31" s="162"/>
      <c r="D31" s="162"/>
      <c r="E31" s="162"/>
      <c r="F31" s="123"/>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M31" s="199"/>
      <c r="AN31" s="199"/>
      <c r="AO31" s="199"/>
    </row>
    <row r="32" spans="2:41">
      <c r="B32" s="822"/>
      <c r="C32" s="826"/>
      <c r="D32" s="826"/>
      <c r="E32" s="162"/>
      <c r="F32" s="141"/>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row>
    <row r="33" spans="1:41">
      <c r="B33" s="817" t="s">
        <v>122</v>
      </c>
      <c r="C33" s="818"/>
      <c r="D33" s="818"/>
      <c r="E33" s="818"/>
      <c r="F33" s="142">
        <f>SUM(F28:F32)</f>
        <v>4902470.4428000003</v>
      </c>
      <c r="N33" s="199"/>
      <c r="O33" s="199"/>
      <c r="P33" s="199"/>
      <c r="Q33" s="199"/>
      <c r="R33" s="199"/>
      <c r="S33" s="199"/>
      <c r="T33" s="199"/>
      <c r="U33" s="199"/>
      <c r="V33" s="199"/>
      <c r="W33" s="199"/>
      <c r="X33" s="199"/>
      <c r="Y33" s="199"/>
      <c r="Z33" s="199"/>
      <c r="AA33" s="199"/>
      <c r="AB33" s="199"/>
      <c r="AC33" s="199"/>
      <c r="AD33" s="199"/>
      <c r="AE33" s="199"/>
      <c r="AF33" s="199"/>
      <c r="AG33" s="199"/>
      <c r="AH33" s="199"/>
      <c r="AI33" s="199"/>
      <c r="AJ33" s="199"/>
      <c r="AK33" s="199"/>
      <c r="AL33" s="199"/>
      <c r="AM33" s="199"/>
      <c r="AN33" s="199"/>
      <c r="AO33" s="199"/>
    </row>
    <row r="34" spans="1:41">
      <c r="B34" s="819"/>
      <c r="C34" s="820"/>
      <c r="D34" s="820"/>
      <c r="E34" s="161"/>
      <c r="F34" s="142"/>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199"/>
      <c r="AK34" s="199"/>
      <c r="AL34" s="199"/>
      <c r="AM34" s="199"/>
      <c r="AN34" s="199"/>
      <c r="AO34" s="199"/>
    </row>
    <row r="35" spans="1:41">
      <c r="B35" s="821" t="s">
        <v>284</v>
      </c>
      <c r="C35" s="820"/>
      <c r="D35" s="820"/>
      <c r="E35" s="161"/>
      <c r="F35" s="142"/>
      <c r="N35" s="199"/>
      <c r="O35" s="199"/>
      <c r="P35" s="199"/>
      <c r="Q35" s="199"/>
      <c r="R35" s="199"/>
      <c r="S35" s="199"/>
      <c r="T35" s="199"/>
      <c r="U35" s="199"/>
      <c r="V35" s="199"/>
      <c r="W35" s="199"/>
      <c r="X35" s="199"/>
      <c r="Y35" s="199"/>
      <c r="Z35" s="199"/>
      <c r="AA35" s="199"/>
      <c r="AB35" s="199"/>
      <c r="AC35" s="199"/>
      <c r="AD35" s="199"/>
      <c r="AE35" s="199"/>
      <c r="AF35" s="199"/>
      <c r="AG35" s="199"/>
      <c r="AH35" s="199"/>
      <c r="AI35" s="199"/>
      <c r="AJ35" s="199"/>
      <c r="AK35" s="199"/>
      <c r="AL35" s="199"/>
      <c r="AM35" s="199"/>
      <c r="AN35" s="199"/>
      <c r="AO35" s="199"/>
    </row>
    <row r="36" spans="1:41">
      <c r="B36" s="822"/>
      <c r="C36" s="823"/>
      <c r="D36" s="823"/>
      <c r="E36" s="162"/>
      <c r="F36" s="123"/>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row>
    <row r="37" spans="1:41">
      <c r="B37" s="160"/>
      <c r="C37" s="162"/>
      <c r="D37" s="162"/>
      <c r="E37" s="162"/>
      <c r="F37" s="123"/>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199"/>
      <c r="AL37" s="199"/>
      <c r="AM37" s="199"/>
      <c r="AN37" s="199"/>
      <c r="AO37" s="199"/>
    </row>
    <row r="38" spans="1:41">
      <c r="B38" s="160"/>
      <c r="C38" s="162"/>
      <c r="D38" s="162"/>
      <c r="E38" s="162"/>
      <c r="F38" s="123"/>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row>
    <row r="39" spans="1:41">
      <c r="B39" s="160"/>
      <c r="C39" s="162"/>
      <c r="D39" s="162"/>
      <c r="E39" s="162"/>
      <c r="F39" s="123"/>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row>
    <row r="40" spans="1:41">
      <c r="B40" s="822"/>
      <c r="C40" s="823"/>
      <c r="D40" s="823"/>
      <c r="E40" s="162"/>
      <c r="F40" s="141"/>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row>
    <row r="41" spans="1:41">
      <c r="B41" s="824" t="s">
        <v>122</v>
      </c>
      <c r="C41" s="825"/>
      <c r="D41" s="825"/>
      <c r="E41" s="825"/>
      <c r="F41" s="142">
        <f>SUM(F36:F40)</f>
        <v>0</v>
      </c>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row>
    <row r="42" spans="1:41" ht="13.5" thickBot="1">
      <c r="B42" s="815" t="s">
        <v>285</v>
      </c>
      <c r="C42" s="816"/>
      <c r="D42" s="816"/>
      <c r="E42" s="158"/>
      <c r="F42" s="125">
        <f>F41+F33</f>
        <v>4902470.4428000003</v>
      </c>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row>
    <row r="43" spans="1:41">
      <c r="B43" s="199"/>
      <c r="C43" s="199"/>
      <c r="D43" s="199"/>
      <c r="E43" s="199"/>
      <c r="F43" s="199"/>
      <c r="N43" s="199"/>
      <c r="O43" s="199"/>
      <c r="P43" s="199"/>
      <c r="Q43" s="199"/>
      <c r="R43" s="199"/>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row>
    <row r="44" spans="1:41">
      <c r="B44" s="227" t="s">
        <v>286</v>
      </c>
      <c r="C44" s="199"/>
      <c r="D44" s="199"/>
      <c r="E44" s="199"/>
      <c r="F44" s="199"/>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row>
    <row r="45" spans="1:41" s="228" customFormat="1">
      <c r="A45" s="199"/>
      <c r="B45" s="199" t="s">
        <v>287</v>
      </c>
      <c r="C45" s="199" t="s">
        <v>288</v>
      </c>
      <c r="D45" s="199"/>
      <c r="E45" s="199"/>
      <c r="F45" s="199"/>
      <c r="G45" s="199"/>
      <c r="H45" s="199"/>
      <c r="I45" s="199"/>
      <c r="J45" s="199"/>
      <c r="K45" s="199"/>
      <c r="L45" s="199"/>
      <c r="M45" s="199"/>
      <c r="N45" s="199"/>
      <c r="O45" s="199"/>
      <c r="P45" s="199"/>
      <c r="Q45" s="199"/>
      <c r="R45" s="199"/>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row>
    <row r="46" spans="1:41" s="228" customFormat="1">
      <c r="A46" s="199"/>
      <c r="B46" s="199" t="s">
        <v>289</v>
      </c>
      <c r="C46" s="199" t="s">
        <v>290</v>
      </c>
      <c r="D46" s="199"/>
      <c r="E46" s="199"/>
      <c r="F46" s="199"/>
      <c r="G46" s="199"/>
      <c r="H46" s="199"/>
      <c r="I46" s="199"/>
      <c r="J46" s="199"/>
      <c r="K46" s="199"/>
      <c r="L46" s="199"/>
      <c r="M46" s="199"/>
      <c r="N46" s="199"/>
      <c r="O46" s="199"/>
      <c r="P46" s="199"/>
      <c r="Q46" s="199"/>
      <c r="R46" s="199"/>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row>
    <row r="47" spans="1:41" s="228" customFormat="1">
      <c r="A47" s="199"/>
      <c r="B47" s="199" t="s">
        <v>291</v>
      </c>
      <c r="C47" s="199" t="s">
        <v>292</v>
      </c>
      <c r="D47" s="199"/>
      <c r="E47" s="199"/>
      <c r="F47" s="199"/>
      <c r="G47" s="199"/>
      <c r="H47" s="199"/>
      <c r="I47" s="199"/>
      <c r="J47" s="199"/>
      <c r="K47" s="199"/>
      <c r="L47" s="199"/>
      <c r="M47" s="199"/>
      <c r="N47" s="199"/>
      <c r="O47" s="199"/>
      <c r="P47" s="199"/>
      <c r="Q47" s="199"/>
      <c r="R47" s="199"/>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row>
    <row r="48" spans="1:41">
      <c r="B48" s="199"/>
      <c r="C48" s="199"/>
      <c r="D48" s="199"/>
      <c r="E48" s="199"/>
      <c r="F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row>
    <row r="49" spans="2:41">
      <c r="B49" s="199"/>
      <c r="C49" s="199"/>
      <c r="D49" s="199"/>
      <c r="E49" s="199"/>
      <c r="F49" s="199"/>
      <c r="N49" s="199"/>
      <c r="O49" s="199"/>
      <c r="P49" s="199"/>
      <c r="Q49" s="199"/>
      <c r="R49" s="199"/>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row>
    <row r="50" spans="2:41">
      <c r="B50" s="199"/>
      <c r="C50" s="199"/>
      <c r="D50" s="199"/>
      <c r="E50" s="199"/>
      <c r="F50" s="199"/>
      <c r="N50" s="199"/>
      <c r="O50" s="199"/>
      <c r="P50" s="199"/>
      <c r="Q50" s="199"/>
      <c r="R50" s="199"/>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row>
    <row r="51" spans="2:41">
      <c r="B51" s="199"/>
      <c r="C51" s="199"/>
      <c r="D51" s="199"/>
      <c r="E51" s="199"/>
      <c r="F51" s="199"/>
      <c r="N51" s="199"/>
      <c r="O51" s="199"/>
      <c r="P51" s="199"/>
      <c r="Q51" s="199"/>
      <c r="R51" s="199"/>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row>
    <row r="52" spans="2:41">
      <c r="B52" s="199"/>
      <c r="C52" s="199"/>
      <c r="D52" s="199"/>
      <c r="E52" s="199"/>
      <c r="F52" s="199"/>
      <c r="N52" s="199"/>
      <c r="O52" s="199"/>
      <c r="P52" s="199"/>
      <c r="Q52" s="199"/>
      <c r="R52" s="199"/>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row>
    <row r="53" spans="2:41">
      <c r="B53" s="199"/>
      <c r="C53" s="199"/>
      <c r="D53" s="199"/>
      <c r="E53" s="199"/>
      <c r="F53" s="199"/>
      <c r="N53" s="199"/>
      <c r="O53" s="199"/>
      <c r="P53" s="199"/>
      <c r="Q53" s="199"/>
      <c r="R53" s="199"/>
      <c r="S53" s="199"/>
      <c r="T53" s="199"/>
      <c r="U53" s="199"/>
      <c r="V53" s="199"/>
      <c r="W53" s="199"/>
      <c r="X53" s="199"/>
      <c r="Y53" s="199"/>
      <c r="Z53" s="199"/>
      <c r="AA53" s="199"/>
      <c r="AB53" s="199"/>
      <c r="AC53" s="199"/>
      <c r="AD53" s="199"/>
      <c r="AE53" s="199"/>
      <c r="AF53" s="199"/>
      <c r="AG53" s="199"/>
      <c r="AH53" s="199"/>
      <c r="AI53" s="199"/>
      <c r="AJ53" s="199"/>
      <c r="AK53" s="199"/>
      <c r="AL53" s="199"/>
      <c r="AM53" s="199"/>
      <c r="AN53" s="199"/>
      <c r="AO53" s="199"/>
    </row>
    <row r="54" spans="2:41">
      <c r="B54" s="199"/>
      <c r="C54" s="199"/>
      <c r="D54" s="199"/>
      <c r="E54" s="199"/>
      <c r="F54" s="199"/>
      <c r="N54" s="199"/>
      <c r="O54" s="199"/>
      <c r="P54" s="199"/>
      <c r="Q54" s="199"/>
      <c r="R54" s="199"/>
      <c r="S54" s="199"/>
      <c r="T54" s="199"/>
      <c r="U54" s="199"/>
      <c r="V54" s="199"/>
      <c r="W54" s="199"/>
      <c r="X54" s="199"/>
      <c r="Y54" s="199"/>
      <c r="Z54" s="199"/>
      <c r="AA54" s="199"/>
      <c r="AB54" s="199"/>
      <c r="AC54" s="199"/>
      <c r="AD54" s="199"/>
      <c r="AE54" s="199"/>
      <c r="AF54" s="199"/>
      <c r="AG54" s="199"/>
      <c r="AH54" s="199"/>
      <c r="AI54" s="199"/>
      <c r="AJ54" s="199"/>
      <c r="AK54" s="199"/>
      <c r="AL54" s="199"/>
      <c r="AM54" s="199"/>
      <c r="AN54" s="199"/>
      <c r="AO54" s="199"/>
    </row>
    <row r="55" spans="2:41">
      <c r="B55" s="199"/>
      <c r="C55" s="199"/>
      <c r="D55" s="199"/>
      <c r="E55" s="199"/>
      <c r="F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199"/>
      <c r="AK55" s="199"/>
      <c r="AL55" s="199"/>
      <c r="AM55" s="199"/>
      <c r="AN55" s="199"/>
      <c r="AO55" s="199"/>
    </row>
    <row r="56" spans="2:41">
      <c r="B56" s="199"/>
      <c r="C56" s="199"/>
      <c r="D56" s="199"/>
      <c r="E56" s="199"/>
      <c r="F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199"/>
      <c r="AL56" s="199"/>
      <c r="AM56" s="199"/>
      <c r="AN56" s="199"/>
      <c r="AO56" s="199"/>
    </row>
    <row r="57" spans="2:41">
      <c r="B57" s="199"/>
      <c r="C57" s="199"/>
      <c r="D57" s="199"/>
      <c r="E57" s="199"/>
      <c r="F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199"/>
      <c r="AL57" s="199"/>
      <c r="AM57" s="199"/>
      <c r="AN57" s="199"/>
      <c r="AO57" s="199"/>
    </row>
    <row r="58" spans="2:41">
      <c r="B58" s="199"/>
      <c r="C58" s="199"/>
      <c r="D58" s="199"/>
      <c r="E58" s="199"/>
      <c r="F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199"/>
      <c r="AL58" s="199"/>
      <c r="AM58" s="199"/>
      <c r="AN58" s="199"/>
      <c r="AO58" s="199"/>
    </row>
    <row r="59" spans="2:41">
      <c r="B59" s="199"/>
      <c r="C59" s="199"/>
      <c r="D59" s="199"/>
      <c r="E59" s="199"/>
      <c r="F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row>
    <row r="60" spans="2:41">
      <c r="B60" s="199"/>
      <c r="C60" s="199"/>
      <c r="D60" s="199"/>
      <c r="E60" s="199"/>
      <c r="F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row>
    <row r="61" spans="2:41">
      <c r="B61" s="199"/>
      <c r="C61" s="199"/>
      <c r="D61" s="199"/>
      <c r="E61" s="199"/>
      <c r="F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row>
    <row r="62" spans="2:41">
      <c r="B62" s="199"/>
      <c r="C62" s="199"/>
      <c r="D62" s="199"/>
      <c r="E62" s="199"/>
      <c r="F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row>
    <row r="63" spans="2:41">
      <c r="B63" s="199"/>
      <c r="C63" s="199"/>
      <c r="D63" s="199"/>
      <c r="E63" s="199"/>
      <c r="F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199"/>
      <c r="AK63" s="199"/>
      <c r="AL63" s="199"/>
      <c r="AM63" s="199"/>
      <c r="AN63" s="199"/>
      <c r="AO63" s="199"/>
    </row>
    <row r="64" spans="2:41">
      <c r="B64" s="199"/>
      <c r="C64" s="199"/>
      <c r="D64" s="199"/>
      <c r="E64" s="199"/>
      <c r="F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99"/>
      <c r="AK64" s="199"/>
      <c r="AL64" s="199"/>
      <c r="AM64" s="199"/>
      <c r="AN64" s="199"/>
      <c r="AO64" s="199"/>
    </row>
    <row r="65" spans="2:41">
      <c r="B65" s="199"/>
      <c r="C65" s="199"/>
      <c r="D65" s="199"/>
      <c r="E65" s="199"/>
      <c r="F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99"/>
      <c r="AL65" s="199"/>
      <c r="AM65" s="199"/>
      <c r="AN65" s="199"/>
      <c r="AO65" s="199"/>
    </row>
    <row r="66" spans="2:41">
      <c r="B66" s="199"/>
      <c r="C66" s="199"/>
      <c r="D66" s="199"/>
      <c r="E66" s="199"/>
      <c r="F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99"/>
      <c r="AM66" s="199"/>
      <c r="AN66" s="199"/>
      <c r="AO66" s="199"/>
    </row>
    <row r="67" spans="2:41">
      <c r="B67" s="199"/>
      <c r="C67" s="199"/>
      <c r="D67" s="199"/>
      <c r="E67" s="199"/>
      <c r="F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row>
    <row r="68" spans="2:41">
      <c r="B68" s="199"/>
      <c r="C68" s="199"/>
      <c r="D68" s="199"/>
      <c r="E68" s="199"/>
      <c r="F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row>
    <row r="69" spans="2:41">
      <c r="B69" s="199"/>
      <c r="C69" s="199"/>
      <c r="D69" s="199"/>
      <c r="E69" s="199"/>
      <c r="F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row>
    <row r="70" spans="2:41">
      <c r="B70" s="199"/>
      <c r="C70" s="199"/>
      <c r="D70" s="199"/>
      <c r="E70" s="199"/>
      <c r="F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row>
    <row r="71" spans="2:41">
      <c r="B71" s="199"/>
      <c r="C71" s="199"/>
      <c r="D71" s="199"/>
      <c r="E71" s="199"/>
      <c r="F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199"/>
      <c r="AK71" s="199"/>
      <c r="AL71" s="199"/>
      <c r="AM71" s="199"/>
      <c r="AN71" s="199"/>
      <c r="AO71" s="199"/>
    </row>
    <row r="72" spans="2:41">
      <c r="B72" s="199"/>
      <c r="C72" s="199"/>
      <c r="D72" s="199"/>
      <c r="E72" s="199"/>
      <c r="F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row>
    <row r="73" spans="2:41">
      <c r="B73" s="199"/>
      <c r="C73" s="199"/>
      <c r="D73" s="199"/>
      <c r="E73" s="199"/>
      <c r="F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199"/>
      <c r="AK73" s="199"/>
      <c r="AL73" s="199"/>
      <c r="AM73" s="199"/>
      <c r="AN73" s="199"/>
      <c r="AO73" s="199"/>
    </row>
    <row r="74" spans="2:41">
      <c r="B74" s="199"/>
      <c r="C74" s="199"/>
      <c r="D74" s="199"/>
      <c r="E74" s="199"/>
      <c r="F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199"/>
      <c r="AK74" s="199"/>
      <c r="AL74" s="199"/>
      <c r="AM74" s="199"/>
      <c r="AN74" s="199"/>
      <c r="AO74" s="199"/>
    </row>
    <row r="75" spans="2:41">
      <c r="B75" s="199"/>
      <c r="C75" s="199"/>
      <c r="D75" s="199"/>
      <c r="E75" s="199"/>
      <c r="F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199"/>
      <c r="AK75" s="199"/>
      <c r="AL75" s="199"/>
      <c r="AM75" s="199"/>
      <c r="AN75" s="199"/>
      <c r="AO75" s="199"/>
    </row>
    <row r="76" spans="2:41">
      <c r="B76" s="199"/>
      <c r="C76" s="199"/>
      <c r="D76" s="199"/>
      <c r="E76" s="199"/>
      <c r="F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199"/>
      <c r="AK76" s="199"/>
      <c r="AL76" s="199"/>
      <c r="AM76" s="199"/>
      <c r="AN76" s="199"/>
      <c r="AO76" s="199"/>
    </row>
    <row r="77" spans="2:41">
      <c r="B77" s="199"/>
      <c r="C77" s="199"/>
      <c r="D77" s="199"/>
      <c r="E77" s="199"/>
      <c r="F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199"/>
      <c r="AK77" s="199"/>
      <c r="AL77" s="199"/>
      <c r="AM77" s="199"/>
      <c r="AN77" s="199"/>
      <c r="AO77" s="199"/>
    </row>
    <row r="78" spans="2:41">
      <c r="B78" s="199"/>
      <c r="C78" s="199"/>
      <c r="D78" s="199"/>
      <c r="E78" s="199"/>
      <c r="F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199"/>
      <c r="AK78" s="199"/>
      <c r="AL78" s="199"/>
      <c r="AM78" s="199"/>
      <c r="AN78" s="199"/>
      <c r="AO78" s="199"/>
    </row>
    <row r="79" spans="2:41">
      <c r="B79" s="199"/>
      <c r="C79" s="199"/>
      <c r="D79" s="199"/>
      <c r="E79" s="199"/>
      <c r="F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199"/>
      <c r="AK79" s="199"/>
      <c r="AL79" s="199"/>
      <c r="AM79" s="199"/>
      <c r="AN79" s="199"/>
      <c r="AO79" s="199"/>
    </row>
    <row r="80" spans="2:41">
      <c r="B80" s="199"/>
      <c r="C80" s="199"/>
      <c r="D80" s="199"/>
      <c r="E80" s="199"/>
      <c r="F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row>
    <row r="81" spans="2:41">
      <c r="B81" s="199"/>
      <c r="C81" s="199"/>
      <c r="D81" s="199"/>
      <c r="E81" s="199"/>
      <c r="F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199"/>
      <c r="AK81" s="199"/>
      <c r="AL81" s="199"/>
      <c r="AM81" s="199"/>
      <c r="AN81" s="199"/>
      <c r="AO81" s="199"/>
    </row>
    <row r="82" spans="2:41">
      <c r="B82" s="199"/>
      <c r="C82" s="199"/>
      <c r="D82" s="199"/>
      <c r="E82" s="199"/>
      <c r="F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199"/>
      <c r="AK82" s="199"/>
      <c r="AL82" s="199"/>
      <c r="AM82" s="199"/>
      <c r="AN82" s="199"/>
      <c r="AO82" s="199"/>
    </row>
    <row r="83" spans="2:41">
      <c r="B83" s="199"/>
      <c r="C83" s="199"/>
      <c r="D83" s="199"/>
      <c r="E83" s="199"/>
      <c r="F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199"/>
      <c r="AK83" s="199"/>
      <c r="AL83" s="199"/>
      <c r="AM83" s="199"/>
      <c r="AN83" s="199"/>
      <c r="AO83" s="199"/>
    </row>
    <row r="84" spans="2:41">
      <c r="B84" s="199"/>
      <c r="C84" s="199"/>
      <c r="D84" s="199"/>
      <c r="E84" s="199"/>
      <c r="F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199"/>
      <c r="AK84" s="199"/>
      <c r="AL84" s="199"/>
      <c r="AM84" s="199"/>
      <c r="AN84" s="199"/>
      <c r="AO84" s="199"/>
    </row>
    <row r="85" spans="2:41">
      <c r="B85" s="199"/>
      <c r="C85" s="199"/>
      <c r="D85" s="199"/>
      <c r="E85" s="199"/>
      <c r="F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199"/>
      <c r="AK85" s="199"/>
      <c r="AL85" s="199"/>
      <c r="AM85" s="199"/>
      <c r="AN85" s="199"/>
      <c r="AO85" s="199"/>
    </row>
    <row r="86" spans="2:41">
      <c r="B86" s="199"/>
      <c r="C86" s="199"/>
      <c r="D86" s="199"/>
      <c r="E86" s="199"/>
      <c r="F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row>
    <row r="87" spans="2:41">
      <c r="B87" s="199"/>
      <c r="C87" s="199"/>
      <c r="D87" s="199"/>
      <c r="E87" s="199"/>
      <c r="F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199"/>
      <c r="AK87" s="199"/>
      <c r="AL87" s="199"/>
      <c r="AM87" s="199"/>
      <c r="AN87" s="199"/>
      <c r="AO87" s="199"/>
    </row>
    <row r="88" spans="2:41">
      <c r="B88" s="199"/>
      <c r="C88" s="199"/>
      <c r="D88" s="199"/>
      <c r="E88" s="199"/>
      <c r="F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199"/>
      <c r="AK88" s="199"/>
      <c r="AL88" s="199"/>
      <c r="AM88" s="199"/>
      <c r="AN88" s="199"/>
      <c r="AO88" s="199"/>
    </row>
    <row r="89" spans="2:41">
      <c r="B89" s="199"/>
      <c r="C89" s="199"/>
      <c r="D89" s="199"/>
      <c r="E89" s="199"/>
      <c r="F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199"/>
      <c r="AK89" s="199"/>
      <c r="AL89" s="199"/>
      <c r="AM89" s="199"/>
      <c r="AN89" s="199"/>
      <c r="AO89" s="199"/>
    </row>
    <row r="90" spans="2:41">
      <c r="B90" s="199"/>
      <c r="C90" s="199"/>
      <c r="D90" s="199"/>
      <c r="E90" s="199"/>
      <c r="F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199"/>
      <c r="AK90" s="199"/>
      <c r="AL90" s="199"/>
      <c r="AM90" s="199"/>
      <c r="AN90" s="199"/>
      <c r="AO90" s="199"/>
    </row>
    <row r="91" spans="2:41">
      <c r="B91" s="199"/>
      <c r="C91" s="199"/>
      <c r="D91" s="199"/>
      <c r="E91" s="199"/>
      <c r="F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199"/>
      <c r="AK91" s="199"/>
      <c r="AL91" s="199"/>
      <c r="AM91" s="199"/>
      <c r="AN91" s="199"/>
      <c r="AO91" s="199"/>
    </row>
    <row r="92" spans="2:41">
      <c r="B92" s="199"/>
      <c r="C92" s="199"/>
      <c r="D92" s="199"/>
      <c r="E92" s="199"/>
      <c r="F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199"/>
      <c r="AK92" s="199"/>
      <c r="AL92" s="199"/>
      <c r="AM92" s="199"/>
      <c r="AN92" s="199"/>
      <c r="AO92" s="199"/>
    </row>
    <row r="93" spans="2:41">
      <c r="B93" s="199"/>
      <c r="C93" s="199"/>
      <c r="D93" s="199"/>
      <c r="E93" s="199"/>
      <c r="F93" s="199"/>
    </row>
    <row r="94" spans="2:41">
      <c r="B94" s="199"/>
      <c r="C94" s="199"/>
      <c r="D94" s="199"/>
      <c r="E94" s="199"/>
      <c r="F94" s="199"/>
    </row>
    <row r="95" spans="2:41">
      <c r="B95" s="199"/>
      <c r="C95" s="199"/>
      <c r="D95" s="199"/>
      <c r="E95" s="199"/>
      <c r="F95" s="199"/>
    </row>
    <row r="96" spans="2:41">
      <c r="B96" s="199"/>
      <c r="C96" s="199"/>
      <c r="D96" s="199"/>
      <c r="E96" s="199"/>
      <c r="F96" s="199"/>
    </row>
    <row r="97" spans="2:6">
      <c r="B97" s="199"/>
      <c r="C97" s="199"/>
      <c r="D97" s="199"/>
      <c r="E97" s="199"/>
      <c r="F97" s="199"/>
    </row>
    <row r="98" spans="2:6">
      <c r="B98" s="199"/>
      <c r="C98" s="199"/>
      <c r="D98" s="199"/>
      <c r="E98" s="199"/>
      <c r="F98" s="199"/>
    </row>
    <row r="99" spans="2:6">
      <c r="B99" s="199"/>
      <c r="C99" s="199"/>
      <c r="D99" s="199"/>
      <c r="E99" s="199"/>
      <c r="F99" s="199"/>
    </row>
    <row r="100" spans="2:6">
      <c r="B100" s="199"/>
      <c r="C100" s="199"/>
      <c r="D100" s="199"/>
      <c r="E100" s="199"/>
      <c r="F100" s="199"/>
    </row>
    <row r="101" spans="2:6">
      <c r="B101" s="199"/>
      <c r="C101" s="199"/>
      <c r="D101" s="199"/>
      <c r="E101" s="199"/>
      <c r="F101" s="199"/>
    </row>
    <row r="102" spans="2:6">
      <c r="B102" s="199"/>
      <c r="C102" s="199"/>
      <c r="D102" s="199"/>
      <c r="E102" s="199"/>
      <c r="F102" s="199"/>
    </row>
    <row r="103" spans="2:6">
      <c r="B103" s="199"/>
      <c r="C103" s="199"/>
      <c r="D103" s="199"/>
      <c r="E103" s="199"/>
      <c r="F103" s="199"/>
    </row>
    <row r="104" spans="2:6">
      <c r="B104" s="199"/>
      <c r="C104" s="199"/>
      <c r="D104" s="199"/>
      <c r="E104" s="199"/>
      <c r="F104" s="199"/>
    </row>
    <row r="105" spans="2:6">
      <c r="B105" s="199"/>
      <c r="C105" s="199"/>
      <c r="D105" s="199"/>
      <c r="E105" s="199"/>
      <c r="F105" s="199"/>
    </row>
    <row r="106" spans="2:6">
      <c r="B106" s="199"/>
      <c r="C106" s="199"/>
      <c r="D106" s="199"/>
      <c r="E106" s="199"/>
      <c r="F106" s="199"/>
    </row>
    <row r="107" spans="2:6">
      <c r="B107" s="199"/>
      <c r="C107" s="199"/>
      <c r="D107" s="199"/>
      <c r="E107" s="199"/>
      <c r="F107" s="199"/>
    </row>
    <row r="108" spans="2:6">
      <c r="B108" s="199"/>
      <c r="C108" s="199"/>
      <c r="D108" s="199"/>
      <c r="E108" s="199"/>
      <c r="F108" s="199"/>
    </row>
    <row r="109" spans="2:6">
      <c r="B109" s="199"/>
      <c r="C109" s="199"/>
      <c r="D109" s="199"/>
      <c r="E109" s="199"/>
      <c r="F109" s="199"/>
    </row>
    <row r="110" spans="2:6">
      <c r="B110" s="199"/>
      <c r="C110" s="199"/>
      <c r="D110" s="199"/>
      <c r="E110" s="199"/>
      <c r="F110" s="199"/>
    </row>
    <row r="111" spans="2:6">
      <c r="B111" s="199"/>
      <c r="C111" s="199"/>
      <c r="D111" s="199"/>
      <c r="E111" s="199"/>
      <c r="F111" s="199"/>
    </row>
    <row r="112" spans="2:6">
      <c r="B112" s="199"/>
      <c r="C112" s="199"/>
      <c r="D112" s="199"/>
      <c r="E112" s="199"/>
      <c r="F112" s="199"/>
    </row>
    <row r="113" spans="2:6">
      <c r="B113" s="199"/>
      <c r="C113" s="199"/>
      <c r="D113" s="199"/>
      <c r="E113" s="199"/>
      <c r="F113" s="199"/>
    </row>
    <row r="114" spans="2:6">
      <c r="B114" s="199"/>
      <c r="C114" s="199"/>
      <c r="D114" s="199"/>
      <c r="E114" s="199"/>
      <c r="F114" s="199"/>
    </row>
    <row r="115" spans="2:6">
      <c r="B115" s="199"/>
      <c r="C115" s="199"/>
      <c r="D115" s="199"/>
      <c r="E115" s="199"/>
      <c r="F115" s="199"/>
    </row>
    <row r="116" spans="2:6">
      <c r="B116" s="199"/>
      <c r="C116" s="199"/>
      <c r="D116" s="199"/>
      <c r="E116" s="199"/>
      <c r="F116" s="199"/>
    </row>
    <row r="117" spans="2:6">
      <c r="B117" s="199"/>
      <c r="C117" s="199"/>
      <c r="D117" s="199"/>
      <c r="E117" s="199"/>
      <c r="F117" s="199"/>
    </row>
    <row r="118" spans="2:6">
      <c r="B118" s="199"/>
      <c r="C118" s="199"/>
      <c r="D118" s="199"/>
      <c r="E118" s="199"/>
      <c r="F118" s="199"/>
    </row>
    <row r="119" spans="2:6">
      <c r="B119" s="199"/>
      <c r="C119" s="199"/>
      <c r="D119" s="199"/>
      <c r="E119" s="199"/>
      <c r="F119" s="199"/>
    </row>
    <row r="120" spans="2:6">
      <c r="B120" s="199"/>
      <c r="C120" s="199"/>
      <c r="D120" s="199"/>
      <c r="E120" s="199"/>
      <c r="F120" s="199"/>
    </row>
    <row r="121" spans="2:6">
      <c r="B121" s="199"/>
      <c r="C121" s="199"/>
      <c r="D121" s="199"/>
      <c r="E121" s="199"/>
      <c r="F121" s="199"/>
    </row>
    <row r="122" spans="2:6">
      <c r="B122" s="199"/>
      <c r="C122" s="199"/>
      <c r="D122" s="199"/>
      <c r="E122" s="199"/>
      <c r="F122" s="199"/>
    </row>
    <row r="123" spans="2:6">
      <c r="B123" s="199"/>
      <c r="C123" s="199"/>
      <c r="D123" s="199"/>
      <c r="E123" s="199"/>
      <c r="F123" s="199"/>
    </row>
    <row r="124" spans="2:6">
      <c r="B124" s="199"/>
      <c r="C124" s="199"/>
      <c r="D124" s="199"/>
      <c r="E124" s="199"/>
      <c r="F124" s="199"/>
    </row>
    <row r="125" spans="2:6">
      <c r="B125" s="199"/>
      <c r="C125" s="199"/>
      <c r="D125" s="199"/>
      <c r="E125" s="199"/>
      <c r="F125" s="199"/>
    </row>
    <row r="126" spans="2:6">
      <c r="B126" s="199"/>
      <c r="C126" s="199"/>
      <c r="D126" s="199"/>
      <c r="E126" s="199"/>
      <c r="F126" s="199"/>
    </row>
    <row r="127" spans="2:6">
      <c r="B127" s="199"/>
      <c r="C127" s="199"/>
      <c r="D127" s="199"/>
      <c r="E127" s="199"/>
      <c r="F127" s="199"/>
    </row>
    <row r="128" spans="2:6">
      <c r="B128" s="199"/>
      <c r="C128" s="199"/>
      <c r="D128" s="199"/>
      <c r="E128" s="199"/>
      <c r="F128" s="199"/>
    </row>
    <row r="129" spans="2:6">
      <c r="B129" s="199"/>
      <c r="C129" s="199"/>
      <c r="D129" s="199"/>
      <c r="E129" s="199"/>
      <c r="F129" s="199"/>
    </row>
    <row r="130" spans="2:6">
      <c r="B130" s="199"/>
      <c r="C130" s="199"/>
      <c r="D130" s="199"/>
      <c r="E130" s="199"/>
      <c r="F130" s="199"/>
    </row>
    <row r="131" spans="2:6">
      <c r="B131" s="199"/>
      <c r="C131" s="199"/>
      <c r="D131" s="199"/>
      <c r="E131" s="199"/>
      <c r="F131" s="199"/>
    </row>
    <row r="132" spans="2:6">
      <c r="B132" s="199"/>
      <c r="C132" s="199"/>
      <c r="D132" s="199"/>
      <c r="E132" s="199"/>
      <c r="F132" s="199"/>
    </row>
    <row r="133" spans="2:6">
      <c r="B133" s="199"/>
      <c r="C133" s="199"/>
      <c r="D133" s="199"/>
      <c r="E133" s="199"/>
      <c r="F133" s="199"/>
    </row>
    <row r="134" spans="2:6">
      <c r="B134" s="199"/>
      <c r="C134" s="199"/>
      <c r="D134" s="199"/>
      <c r="E134" s="199"/>
      <c r="F134" s="199"/>
    </row>
    <row r="135" spans="2:6">
      <c r="B135" s="199"/>
      <c r="C135" s="199"/>
      <c r="D135" s="199"/>
      <c r="E135" s="199"/>
      <c r="F135" s="199"/>
    </row>
    <row r="136" spans="2:6">
      <c r="B136" s="199"/>
      <c r="C136" s="199"/>
      <c r="D136" s="199"/>
      <c r="E136" s="199"/>
      <c r="F136" s="199"/>
    </row>
    <row r="137" spans="2:6">
      <c r="B137" s="199"/>
      <c r="C137" s="199"/>
      <c r="D137" s="199"/>
      <c r="E137" s="199"/>
      <c r="F137" s="199"/>
    </row>
    <row r="138" spans="2:6">
      <c r="B138" s="199"/>
      <c r="C138" s="199"/>
      <c r="D138" s="199"/>
      <c r="E138" s="199"/>
      <c r="F138" s="199"/>
    </row>
    <row r="139" spans="2:6">
      <c r="B139" s="199"/>
      <c r="C139" s="199"/>
      <c r="D139" s="199"/>
      <c r="E139" s="199"/>
      <c r="F139" s="199"/>
    </row>
    <row r="140" spans="2:6">
      <c r="B140" s="199"/>
      <c r="C140" s="199"/>
      <c r="D140" s="199"/>
      <c r="E140" s="199"/>
      <c r="F140" s="199"/>
    </row>
    <row r="141" spans="2:6">
      <c r="B141" s="199"/>
      <c r="C141" s="199"/>
      <c r="D141" s="199"/>
      <c r="E141" s="199"/>
      <c r="F141" s="199"/>
    </row>
    <row r="142" spans="2:6">
      <c r="B142" s="199"/>
      <c r="C142" s="199"/>
      <c r="D142" s="199"/>
      <c r="E142" s="199"/>
      <c r="F142" s="199"/>
    </row>
    <row r="143" spans="2:6">
      <c r="B143" s="199"/>
      <c r="C143" s="199"/>
      <c r="D143" s="199"/>
      <c r="E143" s="199"/>
      <c r="F143" s="199"/>
    </row>
    <row r="144" spans="2:6">
      <c r="B144" s="199"/>
      <c r="C144" s="199"/>
      <c r="D144" s="199"/>
      <c r="E144" s="199"/>
      <c r="F144" s="199"/>
    </row>
    <row r="145" spans="2:6">
      <c r="B145" s="199"/>
      <c r="C145" s="199"/>
      <c r="D145" s="199"/>
      <c r="E145" s="199"/>
      <c r="F145" s="199"/>
    </row>
    <row r="146" spans="2:6">
      <c r="B146" s="199"/>
      <c r="C146" s="199"/>
      <c r="D146" s="199"/>
      <c r="E146" s="199"/>
      <c r="F146" s="199"/>
    </row>
    <row r="147" spans="2:6">
      <c r="B147" s="199"/>
      <c r="C147" s="199"/>
      <c r="D147" s="199"/>
      <c r="E147" s="199"/>
      <c r="F147" s="199"/>
    </row>
    <row r="148" spans="2:6">
      <c r="B148" s="199"/>
      <c r="C148" s="199"/>
      <c r="D148" s="199"/>
      <c r="E148" s="199"/>
      <c r="F148" s="199"/>
    </row>
    <row r="149" spans="2:6">
      <c r="B149" s="199"/>
      <c r="C149" s="199"/>
      <c r="D149" s="199"/>
      <c r="E149" s="199"/>
      <c r="F149" s="199"/>
    </row>
    <row r="150" spans="2:6">
      <c r="B150" s="199"/>
      <c r="C150" s="199"/>
      <c r="D150" s="199"/>
      <c r="E150" s="199"/>
      <c r="F150" s="199"/>
    </row>
    <row r="151" spans="2:6">
      <c r="B151" s="199"/>
      <c r="C151" s="199"/>
      <c r="D151" s="199"/>
      <c r="E151" s="199"/>
      <c r="F151" s="199"/>
    </row>
    <row r="152" spans="2:6">
      <c r="B152" s="199"/>
      <c r="C152" s="199"/>
      <c r="D152" s="199"/>
      <c r="E152" s="199"/>
      <c r="F152" s="199"/>
    </row>
    <row r="153" spans="2:6">
      <c r="B153" s="199"/>
      <c r="C153" s="199"/>
      <c r="D153" s="199"/>
      <c r="E153" s="199"/>
      <c r="F153" s="199"/>
    </row>
    <row r="154" spans="2:6">
      <c r="B154" s="199"/>
      <c r="C154" s="199"/>
      <c r="D154" s="199"/>
      <c r="E154" s="199"/>
      <c r="F154" s="199"/>
    </row>
    <row r="155" spans="2:6">
      <c r="B155" s="199"/>
      <c r="C155" s="199"/>
      <c r="D155" s="199"/>
      <c r="E155" s="199"/>
      <c r="F155" s="199"/>
    </row>
    <row r="156" spans="2:6">
      <c r="B156" s="199"/>
      <c r="C156" s="199"/>
      <c r="D156" s="199"/>
      <c r="E156" s="199"/>
      <c r="F156" s="199"/>
    </row>
    <row r="157" spans="2:6">
      <c r="B157" s="199"/>
      <c r="C157" s="199"/>
      <c r="D157" s="199"/>
      <c r="E157" s="199"/>
      <c r="F157" s="199"/>
    </row>
    <row r="158" spans="2:6">
      <c r="B158" s="199"/>
      <c r="C158" s="199"/>
      <c r="D158" s="199"/>
      <c r="E158" s="199"/>
      <c r="F158" s="199"/>
    </row>
    <row r="159" spans="2:6">
      <c r="B159" s="199"/>
      <c r="C159" s="199"/>
      <c r="D159" s="199"/>
      <c r="E159" s="199"/>
      <c r="F159" s="199"/>
    </row>
    <row r="160" spans="2:6">
      <c r="B160" s="199"/>
      <c r="C160" s="199"/>
      <c r="D160" s="199"/>
      <c r="E160" s="199"/>
      <c r="F160" s="199"/>
    </row>
    <row r="161" spans="2:6">
      <c r="B161" s="199"/>
      <c r="C161" s="199"/>
      <c r="D161" s="199"/>
      <c r="E161" s="199"/>
      <c r="F161" s="199"/>
    </row>
    <row r="162" spans="2:6">
      <c r="B162" s="199"/>
      <c r="C162" s="199"/>
      <c r="D162" s="199"/>
      <c r="E162" s="199"/>
      <c r="F162" s="199"/>
    </row>
    <row r="163" spans="2:6">
      <c r="B163" s="199"/>
      <c r="C163" s="199"/>
      <c r="D163" s="199"/>
      <c r="E163" s="199"/>
      <c r="F163" s="199"/>
    </row>
    <row r="164" spans="2:6">
      <c r="B164" s="199"/>
      <c r="C164" s="199"/>
      <c r="D164" s="199"/>
      <c r="E164" s="199"/>
      <c r="F164" s="199"/>
    </row>
    <row r="165" spans="2:6">
      <c r="B165" s="199"/>
      <c r="C165" s="199"/>
      <c r="D165" s="199"/>
      <c r="E165" s="199"/>
      <c r="F165" s="199"/>
    </row>
    <row r="166" spans="2:6">
      <c r="B166" s="199"/>
      <c r="C166" s="199"/>
      <c r="D166" s="199"/>
      <c r="E166" s="199"/>
      <c r="F166" s="199"/>
    </row>
    <row r="167" spans="2:6">
      <c r="B167" s="199"/>
      <c r="C167" s="199"/>
      <c r="D167" s="199"/>
      <c r="E167" s="199"/>
      <c r="F167" s="199"/>
    </row>
    <row r="168" spans="2:6">
      <c r="B168" s="199"/>
      <c r="C168" s="199"/>
      <c r="D168" s="199"/>
      <c r="E168" s="199"/>
      <c r="F168" s="199"/>
    </row>
    <row r="169" spans="2:6">
      <c r="B169" s="199"/>
      <c r="C169" s="199"/>
      <c r="D169" s="199"/>
      <c r="E169" s="199"/>
      <c r="F169" s="199"/>
    </row>
    <row r="170" spans="2:6">
      <c r="B170" s="199"/>
      <c r="C170" s="199"/>
      <c r="D170" s="199"/>
      <c r="E170" s="199"/>
      <c r="F170" s="199"/>
    </row>
    <row r="171" spans="2:6">
      <c r="B171" s="199"/>
      <c r="C171" s="199"/>
      <c r="D171" s="199"/>
      <c r="E171" s="199"/>
      <c r="F171" s="199"/>
    </row>
    <row r="172" spans="2:6">
      <c r="B172" s="199"/>
      <c r="C172" s="199"/>
      <c r="D172" s="199"/>
      <c r="E172" s="199"/>
      <c r="F172" s="199"/>
    </row>
    <row r="173" spans="2:6">
      <c r="B173" s="199"/>
      <c r="C173" s="199"/>
      <c r="D173" s="199"/>
      <c r="E173" s="199"/>
      <c r="F173" s="199"/>
    </row>
    <row r="174" spans="2:6">
      <c r="B174" s="199"/>
      <c r="C174" s="199"/>
      <c r="D174" s="199"/>
      <c r="E174" s="199"/>
      <c r="F174" s="199"/>
    </row>
    <row r="175" spans="2:6">
      <c r="B175" s="199"/>
      <c r="C175" s="199"/>
      <c r="D175" s="199"/>
      <c r="E175" s="199"/>
      <c r="F175" s="199"/>
    </row>
    <row r="176" spans="2:6">
      <c r="B176" s="199"/>
      <c r="C176" s="199"/>
      <c r="D176" s="199"/>
      <c r="E176" s="199"/>
      <c r="F176" s="199"/>
    </row>
  </sheetData>
  <mergeCells count="25">
    <mergeCell ref="B7:D7"/>
    <mergeCell ref="B2:D2"/>
    <mergeCell ref="B3:D3"/>
    <mergeCell ref="B4:D4"/>
    <mergeCell ref="B5:D5"/>
    <mergeCell ref="B6:D6"/>
    <mergeCell ref="B32:D32"/>
    <mergeCell ref="B9:D9"/>
    <mergeCell ref="B10:D10"/>
    <mergeCell ref="B11:D11"/>
    <mergeCell ref="B12:D12"/>
    <mergeCell ref="B13:D13"/>
    <mergeCell ref="B14:D14"/>
    <mergeCell ref="B17:B18"/>
    <mergeCell ref="C17:F17"/>
    <mergeCell ref="B26:D26"/>
    <mergeCell ref="B27:D27"/>
    <mergeCell ref="B28:D28"/>
    <mergeCell ref="B42:D42"/>
    <mergeCell ref="B33:E33"/>
    <mergeCell ref="B34:D34"/>
    <mergeCell ref="B35:D35"/>
    <mergeCell ref="B36:D36"/>
    <mergeCell ref="B40:D40"/>
    <mergeCell ref="B41:E41"/>
  </mergeCells>
  <pageMargins left="0.75" right="0.75" top="1" bottom="1" header="0.5" footer="0.5"/>
  <pageSetup paperSize="9" scale="20" orientation="landscape" r:id="rId1"/>
  <headerFooter alignWithMargins="0">
    <oddFooter>&amp;L&amp;T / &amp;D&amp;C&amp;P of &amp;N&amp;R&amp;F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15"/>
    <pageSetUpPr autoPageBreaks="0"/>
  </sheetPr>
  <dimension ref="A1:BQ105"/>
  <sheetViews>
    <sheetView zoomScale="80" zoomScaleNormal="80" workbookViewId="0">
      <pane xSplit="3" ySplit="5" topLeftCell="D6" activePane="bottomRight" state="frozen"/>
      <selection activeCell="B33" sqref="B33"/>
      <selection pane="topRight" activeCell="B33" sqref="B33"/>
      <selection pane="bottomLeft" activeCell="B33" sqref="B33"/>
      <selection pane="bottomRight" activeCell="L40" sqref="L40"/>
    </sheetView>
  </sheetViews>
  <sheetFormatPr defaultRowHeight="12.75"/>
  <cols>
    <col min="1" max="1" width="4.5703125" style="199" customWidth="1"/>
    <col min="2" max="2" width="45" style="199" customWidth="1"/>
    <col min="3" max="3" width="2.85546875" style="199" customWidth="1"/>
    <col min="4" max="4" width="12.42578125" style="199" bestFit="1" customWidth="1"/>
    <col min="5" max="6" width="10.85546875" style="199" customWidth="1"/>
    <col min="7" max="7" width="16.140625" style="199" customWidth="1"/>
    <col min="8" max="8" width="12.42578125" style="199" customWidth="1"/>
    <col min="9" max="9" width="11.140625" style="199" customWidth="1"/>
    <col min="10" max="12" width="9.28515625" style="199" bestFit="1" customWidth="1"/>
    <col min="13" max="16" width="9.85546875" style="199" bestFit="1" customWidth="1"/>
    <col min="17" max="24" width="9.85546875" style="199" customWidth="1"/>
    <col min="25" max="25" width="1.85546875" style="199" customWidth="1"/>
    <col min="26" max="26" width="17.5703125" style="199" customWidth="1"/>
    <col min="27" max="27" width="18.7109375" style="199" bestFit="1" customWidth="1"/>
    <col min="28" max="28" width="18" style="199" customWidth="1"/>
    <col min="29" max="30" width="16.7109375" style="199" bestFit="1" customWidth="1"/>
    <col min="31" max="31" width="18.140625" style="199" customWidth="1"/>
    <col min="32" max="33" width="16.7109375" style="199" bestFit="1" customWidth="1"/>
    <col min="34" max="34" width="9.42578125" style="199" bestFit="1" customWidth="1"/>
    <col min="35" max="36" width="14.85546875" style="199" bestFit="1" customWidth="1"/>
    <col min="37" max="38" width="10" style="199" bestFit="1" customWidth="1"/>
    <col min="39" max="41" width="14.85546875" style="199" customWidth="1"/>
    <col min="42" max="42" width="10" style="199" customWidth="1"/>
    <col min="43" max="45" width="14.85546875" style="199" customWidth="1"/>
    <col min="46" max="46" width="10" style="199" customWidth="1"/>
    <col min="47" max="47" width="1.85546875" style="199" customWidth="1"/>
    <col min="48" max="48" width="12.42578125" style="199" bestFit="1" customWidth="1"/>
    <col min="49" max="49" width="17.5703125" style="199" customWidth="1"/>
    <col min="50" max="50" width="15.28515625" style="199" customWidth="1"/>
    <col min="51" max="51" width="14.7109375" style="199" customWidth="1"/>
    <col min="52" max="52" width="13.5703125" style="199" bestFit="1" customWidth="1"/>
    <col min="53" max="53" width="15.5703125" style="199" customWidth="1"/>
    <col min="54" max="54" width="12.42578125" style="199" bestFit="1" customWidth="1"/>
    <col min="55" max="56" width="9.28515625" style="199" bestFit="1" customWidth="1"/>
    <col min="57" max="57" width="13.5703125" style="199" bestFit="1" customWidth="1"/>
    <col min="58" max="58" width="12.42578125" style="199" bestFit="1" customWidth="1"/>
    <col min="59" max="60" width="9.85546875" style="199" bestFit="1" customWidth="1"/>
    <col min="61" max="63" width="13.5703125" style="199" customWidth="1"/>
    <col min="64" max="64" width="9.85546875" style="199" customWidth="1"/>
    <col min="65" max="67" width="11.28515625" style="199" customWidth="1"/>
    <col min="68" max="68" width="9.85546875" style="199" customWidth="1"/>
    <col min="69" max="69" width="17.28515625" style="199" customWidth="1"/>
    <col min="70" max="16384" width="9.140625" style="199"/>
  </cols>
  <sheetData>
    <row r="1" spans="1:69" ht="15">
      <c r="B1" s="154" t="str">
        <f>"Tariff Approval - "&amp;'Model update'!C3</f>
        <v>Tariff Approval - Powercor</v>
      </c>
      <c r="C1" s="154"/>
      <c r="D1" s="618"/>
      <c r="F1" s="618"/>
    </row>
    <row r="3" spans="1:69">
      <c r="B3" s="227" t="str">
        <f>"PROPOSED "&amp;'Model update'!$C$5&amp;" JURISDICTIONAL SCHEME TARIFFS"</f>
        <v>PROPOSED 2018 JURISDICTIONAL SCHEME TARIFFS</v>
      </c>
      <c r="C3" s="227"/>
    </row>
    <row r="4" spans="1:69" ht="13.5" thickBot="1">
      <c r="B4" s="618"/>
      <c r="D4" s="229" t="str">
        <f>"Proposed Jurisdictional scheme Tariffs (Pt) for "&amp;'Model update'!$C$5</f>
        <v>Proposed Jurisdictional scheme Tariffs (Pt) for 2018</v>
      </c>
      <c r="E4" s="230"/>
      <c r="F4" s="230"/>
      <c r="G4" s="230"/>
      <c r="H4" s="230"/>
      <c r="I4" s="230"/>
      <c r="J4" s="230"/>
      <c r="Z4" s="229" t="str">
        <f>"Forecast Quantities (Qt) for "&amp;'Model update'!$C$5</f>
        <v>Forecast Quantities (Qt) for 2018</v>
      </c>
      <c r="AA4" s="230"/>
      <c r="AB4" s="230"/>
      <c r="AV4" s="229" t="str">
        <f>"Forecast Revenue (Pt "&amp;'Model update'!$C$5&amp;")*(Qt " &amp;'Model update'!$C$5&amp;")"</f>
        <v>Forecast Revenue (Pt 2018)*(Qt 2018)</v>
      </c>
      <c r="AW4" s="230"/>
      <c r="AX4" s="230"/>
      <c r="AY4" s="230"/>
    </row>
    <row r="5" spans="1:69" ht="38.25">
      <c r="B5" s="233" t="s">
        <v>128</v>
      </c>
      <c r="C5" s="283"/>
      <c r="D5" s="234" t="s">
        <v>130</v>
      </c>
      <c r="E5" s="235" t="s">
        <v>572</v>
      </c>
      <c r="F5" s="235" t="s">
        <v>573</v>
      </c>
      <c r="G5" s="235"/>
      <c r="H5" s="235"/>
      <c r="I5" s="235" t="s">
        <v>131</v>
      </c>
      <c r="J5" s="235"/>
      <c r="K5" s="235"/>
      <c r="L5" s="235"/>
      <c r="M5" s="235" t="s">
        <v>574</v>
      </c>
      <c r="N5" s="235" t="s">
        <v>575</v>
      </c>
      <c r="O5" s="235" t="s">
        <v>576</v>
      </c>
      <c r="P5" s="235" t="s">
        <v>577</v>
      </c>
      <c r="Q5" s="236" t="s">
        <v>132</v>
      </c>
      <c r="R5" s="235" t="s">
        <v>133</v>
      </c>
      <c r="S5" s="235" t="s">
        <v>134</v>
      </c>
      <c r="T5" s="235"/>
      <c r="U5" s="235" t="s">
        <v>135</v>
      </c>
      <c r="V5" s="235" t="s">
        <v>136</v>
      </c>
      <c r="W5" s="235" t="s">
        <v>137</v>
      </c>
      <c r="X5" s="237"/>
      <c r="Z5" s="234" t="s">
        <v>201</v>
      </c>
      <c r="AA5" s="235" t="s">
        <v>585</v>
      </c>
      <c r="AB5" s="235" t="s">
        <v>586</v>
      </c>
      <c r="AC5" s="235"/>
      <c r="AD5" s="235"/>
      <c r="AE5" s="235" t="s">
        <v>587</v>
      </c>
      <c r="AF5" s="235"/>
      <c r="AG5" s="235"/>
      <c r="AH5" s="235"/>
      <c r="AI5" s="235" t="s">
        <v>588</v>
      </c>
      <c r="AJ5" s="235" t="s">
        <v>589</v>
      </c>
      <c r="AK5" s="235" t="s">
        <v>590</v>
      </c>
      <c r="AL5" s="235" t="s">
        <v>591</v>
      </c>
      <c r="AM5" s="236" t="s">
        <v>202</v>
      </c>
      <c r="AN5" s="235" t="s">
        <v>203</v>
      </c>
      <c r="AO5" s="235" t="s">
        <v>204</v>
      </c>
      <c r="AP5" s="235"/>
      <c r="AQ5" s="235" t="s">
        <v>205</v>
      </c>
      <c r="AR5" s="235" t="s">
        <v>206</v>
      </c>
      <c r="AS5" s="235" t="s">
        <v>207</v>
      </c>
      <c r="AT5" s="237"/>
      <c r="AV5" s="234" t="s">
        <v>145</v>
      </c>
      <c r="AW5" s="235" t="s">
        <v>592</v>
      </c>
      <c r="AX5" s="235" t="s">
        <v>593</v>
      </c>
      <c r="AY5" s="235"/>
      <c r="AZ5" s="235"/>
      <c r="BA5" s="235" t="s">
        <v>594</v>
      </c>
      <c r="BB5" s="235"/>
      <c r="BC5" s="235"/>
      <c r="BD5" s="235"/>
      <c r="BE5" s="235" t="s">
        <v>595</v>
      </c>
      <c r="BF5" s="235" t="s">
        <v>596</v>
      </c>
      <c r="BG5" s="235" t="s">
        <v>597</v>
      </c>
      <c r="BH5" s="235" t="s">
        <v>598</v>
      </c>
      <c r="BI5" s="372" t="s">
        <v>146</v>
      </c>
      <c r="BJ5" s="372" t="s">
        <v>147</v>
      </c>
      <c r="BK5" s="372" t="s">
        <v>148</v>
      </c>
      <c r="BL5" s="372"/>
      <c r="BM5" s="372" t="s">
        <v>149</v>
      </c>
      <c r="BN5" s="372" t="s">
        <v>150</v>
      </c>
      <c r="BO5" s="372" t="s">
        <v>151</v>
      </c>
      <c r="BP5" s="372"/>
      <c r="BQ5" s="237" t="s">
        <v>152</v>
      </c>
    </row>
    <row r="6" spans="1:69">
      <c r="B6" s="238"/>
      <c r="C6" s="284"/>
      <c r="D6" s="302"/>
      <c r="E6" s="286"/>
      <c r="F6" s="286"/>
      <c r="G6" s="286"/>
      <c r="H6" s="286"/>
      <c r="I6" s="286"/>
      <c r="J6" s="286"/>
      <c r="K6" s="286"/>
      <c r="L6" s="286"/>
      <c r="M6" s="286"/>
      <c r="N6" s="286"/>
      <c r="O6" s="286"/>
      <c r="P6" s="286"/>
      <c r="Q6" s="285"/>
      <c r="R6" s="286"/>
      <c r="S6" s="286"/>
      <c r="T6" s="286"/>
      <c r="U6" s="286"/>
      <c r="V6" s="286"/>
      <c r="W6" s="286"/>
      <c r="X6" s="663"/>
      <c r="Z6" s="243"/>
      <c r="AA6" s="244"/>
      <c r="AB6" s="244"/>
      <c r="AC6" s="244"/>
      <c r="AD6" s="244"/>
      <c r="AE6" s="244"/>
      <c r="AF6" s="244"/>
      <c r="AG6" s="244"/>
      <c r="AH6" s="244"/>
      <c r="AI6" s="244"/>
      <c r="AJ6" s="244"/>
      <c r="AK6" s="244"/>
      <c r="AL6" s="245"/>
      <c r="AM6" s="244"/>
      <c r="AN6" s="244"/>
      <c r="AO6" s="244"/>
      <c r="AP6" s="244"/>
      <c r="AQ6" s="244"/>
      <c r="AR6" s="244"/>
      <c r="AS6" s="244"/>
      <c r="AT6" s="244"/>
      <c r="AV6" s="288">
        <f t="shared" ref="AV6:AV25" si="0">D6*Z6</f>
        <v>0</v>
      </c>
      <c r="AW6" s="223">
        <f t="shared" ref="AW6:BD25" si="1">E6/100*AA6</f>
        <v>0</v>
      </c>
      <c r="AX6" s="223">
        <f t="shared" si="1"/>
        <v>0</v>
      </c>
      <c r="AY6" s="223">
        <f t="shared" si="1"/>
        <v>0</v>
      </c>
      <c r="AZ6" s="223">
        <f t="shared" si="1"/>
        <v>0</v>
      </c>
      <c r="BA6" s="223">
        <f t="shared" si="1"/>
        <v>0</v>
      </c>
      <c r="BB6" s="223">
        <f t="shared" si="1"/>
        <v>0</v>
      </c>
      <c r="BC6" s="223">
        <f t="shared" si="1"/>
        <v>0</v>
      </c>
      <c r="BD6" s="223">
        <f t="shared" si="1"/>
        <v>0</v>
      </c>
      <c r="BE6" s="223">
        <f t="shared" ref="BE6:BH25" si="2">M6*AI6</f>
        <v>0</v>
      </c>
      <c r="BF6" s="223">
        <f t="shared" si="2"/>
        <v>0</v>
      </c>
      <c r="BG6" s="223">
        <f t="shared" si="2"/>
        <v>0</v>
      </c>
      <c r="BH6" s="223">
        <f t="shared" si="2"/>
        <v>0</v>
      </c>
      <c r="BI6" s="223">
        <f>Q6/100*AM6</f>
        <v>0</v>
      </c>
      <c r="BJ6" s="223">
        <f t="shared" ref="BJ6:BP25" si="3">R6/100*AN6</f>
        <v>0</v>
      </c>
      <c r="BK6" s="223">
        <f t="shared" si="3"/>
        <v>0</v>
      </c>
      <c r="BL6" s="223">
        <f t="shared" si="3"/>
        <v>0</v>
      </c>
      <c r="BM6" s="223">
        <f t="shared" si="3"/>
        <v>0</v>
      </c>
      <c r="BN6" s="223">
        <f t="shared" si="3"/>
        <v>0</v>
      </c>
      <c r="BO6" s="223">
        <f t="shared" si="3"/>
        <v>0</v>
      </c>
      <c r="BP6" s="223">
        <f t="shared" si="3"/>
        <v>0</v>
      </c>
      <c r="BQ6" s="248">
        <f>SUM(AV6:BP6)</f>
        <v>0</v>
      </c>
    </row>
    <row r="7" spans="1:69">
      <c r="A7" s="199" t="str">
        <f>Prop2018DistTar!A7</f>
        <v>D1</v>
      </c>
      <c r="B7" s="238" t="str">
        <f>Prop2018DistTar!B7</f>
        <v>Residential Single Rate</v>
      </c>
      <c r="C7" s="289"/>
      <c r="D7" s="673">
        <v>0</v>
      </c>
      <c r="E7" s="652">
        <v>0.33</v>
      </c>
      <c r="F7" s="652">
        <v>0</v>
      </c>
      <c r="G7" s="652">
        <v>0</v>
      </c>
      <c r="H7" s="652">
        <v>0</v>
      </c>
      <c r="I7" s="652">
        <v>0</v>
      </c>
      <c r="J7" s="652">
        <v>0</v>
      </c>
      <c r="K7" s="652">
        <v>0</v>
      </c>
      <c r="L7" s="652">
        <v>0</v>
      </c>
      <c r="M7" s="652">
        <v>0</v>
      </c>
      <c r="N7" s="652">
        <v>0</v>
      </c>
      <c r="O7" s="652">
        <v>0</v>
      </c>
      <c r="P7" s="652">
        <v>0</v>
      </c>
      <c r="Q7" s="652">
        <v>0</v>
      </c>
      <c r="R7" s="652">
        <v>0</v>
      </c>
      <c r="S7" s="652">
        <v>0</v>
      </c>
      <c r="T7" s="652">
        <v>0</v>
      </c>
      <c r="U7" s="652">
        <v>0</v>
      </c>
      <c r="V7" s="652">
        <v>0</v>
      </c>
      <c r="W7" s="652">
        <v>0</v>
      </c>
      <c r="X7" s="666">
        <v>0</v>
      </c>
      <c r="Z7" s="254">
        <f>Prop2018DistTar!AV7</f>
        <v>539032.46582811594</v>
      </c>
      <c r="AA7" s="255">
        <f>Prop2018DistTar!AW7</f>
        <v>2272899089.5894732</v>
      </c>
      <c r="AB7" s="255">
        <f>Prop2018DistTar!AX7</f>
        <v>0</v>
      </c>
      <c r="AC7" s="255">
        <f>Prop2018DistTar!AY7</f>
        <v>0</v>
      </c>
      <c r="AD7" s="255">
        <f>Prop2018DistTar!AZ7</f>
        <v>0</v>
      </c>
      <c r="AE7" s="255">
        <f>Prop2018DistTar!BA7</f>
        <v>0</v>
      </c>
      <c r="AF7" s="255">
        <f>Prop2018DistTar!BB7</f>
        <v>0</v>
      </c>
      <c r="AG7" s="255">
        <f>Prop2018DistTar!BC7</f>
        <v>0</v>
      </c>
      <c r="AH7" s="255">
        <f>Prop2018DistTar!BD7</f>
        <v>0</v>
      </c>
      <c r="AI7" s="255">
        <f>Prop2018DistTar!BE7</f>
        <v>0</v>
      </c>
      <c r="AJ7" s="255">
        <f>Prop2018DistTar!BF7</f>
        <v>0</v>
      </c>
      <c r="AK7" s="255">
        <f>Prop2018DistTar!BG7</f>
        <v>0</v>
      </c>
      <c r="AL7" s="255">
        <f>Prop2018DistTar!BH7</f>
        <v>0</v>
      </c>
      <c r="AM7" s="255">
        <f>Prop2018DistTar!BI7</f>
        <v>0</v>
      </c>
      <c r="AN7" s="255">
        <f>Prop2018DistTar!BJ7</f>
        <v>0</v>
      </c>
      <c r="AO7" s="255">
        <f>Prop2018DistTar!BK7</f>
        <v>0</v>
      </c>
      <c r="AP7" s="255">
        <f>Prop2018DistTar!BL7</f>
        <v>0</v>
      </c>
      <c r="AQ7" s="255">
        <f>Prop2018DistTar!BM7</f>
        <v>0</v>
      </c>
      <c r="AR7" s="255">
        <f>Prop2018DistTar!BN7</f>
        <v>0</v>
      </c>
      <c r="AS7" s="255">
        <f>Prop2018DistTar!BO7</f>
        <v>0</v>
      </c>
      <c r="AT7" s="256">
        <f>Prop2018DistTar!BP7</f>
        <v>0</v>
      </c>
      <c r="AV7" s="257">
        <f t="shared" si="0"/>
        <v>0</v>
      </c>
      <c r="AW7" s="224">
        <f t="shared" si="1"/>
        <v>7500566.9956452614</v>
      </c>
      <c r="AX7" s="224">
        <f t="shared" si="1"/>
        <v>0</v>
      </c>
      <c r="AY7" s="224">
        <f t="shared" si="1"/>
        <v>0</v>
      </c>
      <c r="AZ7" s="224">
        <f t="shared" si="1"/>
        <v>0</v>
      </c>
      <c r="BA7" s="224">
        <f t="shared" si="1"/>
        <v>0</v>
      </c>
      <c r="BB7" s="224">
        <f t="shared" si="1"/>
        <v>0</v>
      </c>
      <c r="BC7" s="224">
        <f t="shared" si="1"/>
        <v>0</v>
      </c>
      <c r="BD7" s="224">
        <f t="shared" si="1"/>
        <v>0</v>
      </c>
      <c r="BE7" s="224">
        <f t="shared" si="2"/>
        <v>0</v>
      </c>
      <c r="BF7" s="224">
        <f t="shared" si="2"/>
        <v>0</v>
      </c>
      <c r="BG7" s="224">
        <f t="shared" si="2"/>
        <v>0</v>
      </c>
      <c r="BH7" s="224">
        <f t="shared" si="2"/>
        <v>0</v>
      </c>
      <c r="BI7" s="224">
        <f>Q7/100*AM7</f>
        <v>0</v>
      </c>
      <c r="BJ7" s="224">
        <f t="shared" si="3"/>
        <v>0</v>
      </c>
      <c r="BK7" s="224">
        <f t="shared" si="3"/>
        <v>0</v>
      </c>
      <c r="BL7" s="224">
        <f t="shared" si="3"/>
        <v>0</v>
      </c>
      <c r="BM7" s="224">
        <f t="shared" si="3"/>
        <v>0</v>
      </c>
      <c r="BN7" s="224">
        <f t="shared" si="3"/>
        <v>0</v>
      </c>
      <c r="BO7" s="224">
        <f t="shared" si="3"/>
        <v>0</v>
      </c>
      <c r="BP7" s="224">
        <f t="shared" si="3"/>
        <v>0</v>
      </c>
      <c r="BQ7" s="259">
        <f t="shared" ref="BQ7:BQ25" si="4">SUM(AV7:BP7)</f>
        <v>7500566.9956452614</v>
      </c>
    </row>
    <row r="8" spans="1:69">
      <c r="A8" s="199" t="str">
        <f>Prop2018DistTar!A8</f>
        <v>D1CS</v>
      </c>
      <c r="B8" s="238" t="str">
        <f>Prop2018DistTar!B8</f>
        <v>Climate Saver</v>
      </c>
      <c r="C8" s="289"/>
      <c r="D8" s="673">
        <v>0</v>
      </c>
      <c r="E8" s="652">
        <v>0</v>
      </c>
      <c r="F8" s="652">
        <v>0.33</v>
      </c>
      <c r="G8" s="652">
        <v>0</v>
      </c>
      <c r="H8" s="652">
        <v>0</v>
      </c>
      <c r="I8" s="652">
        <v>0.33</v>
      </c>
      <c r="J8" s="652">
        <v>0</v>
      </c>
      <c r="K8" s="652">
        <v>0</v>
      </c>
      <c r="L8" s="652">
        <v>0</v>
      </c>
      <c r="M8" s="652">
        <v>0</v>
      </c>
      <c r="N8" s="652">
        <v>0</v>
      </c>
      <c r="O8" s="652">
        <v>0</v>
      </c>
      <c r="P8" s="652">
        <v>0</v>
      </c>
      <c r="Q8" s="652">
        <v>0</v>
      </c>
      <c r="R8" s="652">
        <v>0</v>
      </c>
      <c r="S8" s="652">
        <v>0</v>
      </c>
      <c r="T8" s="652">
        <v>0</v>
      </c>
      <c r="U8" s="652">
        <v>0</v>
      </c>
      <c r="V8" s="652">
        <v>0</v>
      </c>
      <c r="W8" s="652">
        <v>0</v>
      </c>
      <c r="X8" s="666">
        <v>0</v>
      </c>
      <c r="Z8" s="281">
        <f>Prop2018DistTar!AV8</f>
        <v>16710.636963036683</v>
      </c>
      <c r="AA8" s="255">
        <f>Prop2018DistTar!AW8</f>
        <v>0</v>
      </c>
      <c r="AB8" s="255">
        <f>Prop2018DistTar!AX8</f>
        <v>9017601.6452304553</v>
      </c>
      <c r="AC8" s="255">
        <f>Prop2018DistTar!AY8</f>
        <v>0</v>
      </c>
      <c r="AD8" s="255">
        <f>Prop2018DistTar!AZ8</f>
        <v>0</v>
      </c>
      <c r="AE8" s="255">
        <f>Prop2018DistTar!BA8</f>
        <v>18758723.332495101</v>
      </c>
      <c r="AF8" s="255">
        <f>Prop2018DistTar!BB8</f>
        <v>0</v>
      </c>
      <c r="AG8" s="255">
        <f>Prop2018DistTar!BC8</f>
        <v>0</v>
      </c>
      <c r="AH8" s="255">
        <f>Prop2018DistTar!BD8</f>
        <v>0</v>
      </c>
      <c r="AI8" s="255">
        <f>Prop2018DistTar!BE8</f>
        <v>0</v>
      </c>
      <c r="AJ8" s="255">
        <f>Prop2018DistTar!BF8</f>
        <v>0</v>
      </c>
      <c r="AK8" s="255">
        <f>Prop2018DistTar!BG8</f>
        <v>0</v>
      </c>
      <c r="AL8" s="255">
        <f>Prop2018DistTar!BH8</f>
        <v>0</v>
      </c>
      <c r="AM8" s="255">
        <f>Prop2018DistTar!BI8</f>
        <v>0</v>
      </c>
      <c r="AN8" s="255">
        <f>Prop2018DistTar!BJ8</f>
        <v>0</v>
      </c>
      <c r="AO8" s="255">
        <f>Prop2018DistTar!BK8</f>
        <v>0</v>
      </c>
      <c r="AP8" s="255">
        <f>Prop2018DistTar!BL8</f>
        <v>0</v>
      </c>
      <c r="AQ8" s="255">
        <f>Prop2018DistTar!BM8</f>
        <v>0</v>
      </c>
      <c r="AR8" s="255">
        <f>Prop2018DistTar!BN8</f>
        <v>0</v>
      </c>
      <c r="AS8" s="255">
        <f>Prop2018DistTar!BO8</f>
        <v>0</v>
      </c>
      <c r="AT8" s="256">
        <f>Prop2018DistTar!BP8</f>
        <v>0</v>
      </c>
      <c r="AV8" s="257">
        <f t="shared" si="0"/>
        <v>0</v>
      </c>
      <c r="AW8" s="224">
        <f t="shared" si="1"/>
        <v>0</v>
      </c>
      <c r="AX8" s="224">
        <f t="shared" si="1"/>
        <v>29758.085429260504</v>
      </c>
      <c r="AY8" s="224">
        <f t="shared" si="1"/>
        <v>0</v>
      </c>
      <c r="AZ8" s="224">
        <f t="shared" si="1"/>
        <v>0</v>
      </c>
      <c r="BA8" s="224">
        <f t="shared" si="1"/>
        <v>61903.78699723383</v>
      </c>
      <c r="BB8" s="224">
        <f t="shared" si="1"/>
        <v>0</v>
      </c>
      <c r="BC8" s="224">
        <f t="shared" si="1"/>
        <v>0</v>
      </c>
      <c r="BD8" s="224">
        <f t="shared" si="1"/>
        <v>0</v>
      </c>
      <c r="BE8" s="224">
        <f t="shared" si="2"/>
        <v>0</v>
      </c>
      <c r="BF8" s="224">
        <f t="shared" si="2"/>
        <v>0</v>
      </c>
      <c r="BG8" s="224">
        <f t="shared" si="2"/>
        <v>0</v>
      </c>
      <c r="BH8" s="224">
        <f t="shared" si="2"/>
        <v>0</v>
      </c>
      <c r="BI8" s="224">
        <f>Q8/100*AM8</f>
        <v>0</v>
      </c>
      <c r="BJ8" s="224">
        <f t="shared" si="3"/>
        <v>0</v>
      </c>
      <c r="BK8" s="224">
        <f t="shared" si="3"/>
        <v>0</v>
      </c>
      <c r="BL8" s="224">
        <f t="shared" si="3"/>
        <v>0</v>
      </c>
      <c r="BM8" s="224">
        <f t="shared" si="3"/>
        <v>0</v>
      </c>
      <c r="BN8" s="224">
        <f t="shared" si="3"/>
        <v>0</v>
      </c>
      <c r="BO8" s="224">
        <f t="shared" si="3"/>
        <v>0</v>
      </c>
      <c r="BP8" s="224">
        <f t="shared" si="3"/>
        <v>0</v>
      </c>
      <c r="BQ8" s="259">
        <f t="shared" si="4"/>
        <v>91661.87242649433</v>
      </c>
    </row>
    <row r="9" spans="1:69">
      <c r="A9" s="199" t="str">
        <f>Prop2018DistTar!A9</f>
        <v>D3CS</v>
      </c>
      <c r="B9" s="238" t="str">
        <f>Prop2018DistTar!B9</f>
        <v>Climate Saver Interval</v>
      </c>
      <c r="C9" s="289"/>
      <c r="D9" s="673">
        <v>0</v>
      </c>
      <c r="E9" s="652">
        <v>0</v>
      </c>
      <c r="F9" s="652">
        <v>0.33</v>
      </c>
      <c r="G9" s="652">
        <v>0</v>
      </c>
      <c r="H9" s="652">
        <v>0</v>
      </c>
      <c r="I9" s="652">
        <v>0.33</v>
      </c>
      <c r="J9" s="652">
        <v>0</v>
      </c>
      <c r="K9" s="652">
        <v>0</v>
      </c>
      <c r="L9" s="652">
        <v>0</v>
      </c>
      <c r="M9" s="652">
        <v>0</v>
      </c>
      <c r="N9" s="652">
        <v>0</v>
      </c>
      <c r="O9" s="652">
        <v>0</v>
      </c>
      <c r="P9" s="652">
        <v>0</v>
      </c>
      <c r="Q9" s="652">
        <v>0</v>
      </c>
      <c r="R9" s="652">
        <v>0</v>
      </c>
      <c r="S9" s="652">
        <v>0</v>
      </c>
      <c r="T9" s="652">
        <v>0</v>
      </c>
      <c r="U9" s="652">
        <v>0</v>
      </c>
      <c r="V9" s="652">
        <v>0</v>
      </c>
      <c r="W9" s="652">
        <v>0</v>
      </c>
      <c r="X9" s="666">
        <v>0</v>
      </c>
      <c r="Z9" s="281">
        <f>Prop2018DistTar!AV9</f>
        <v>4570.6460355197851</v>
      </c>
      <c r="AA9" s="255">
        <f>Prop2018DistTar!AW9</f>
        <v>0</v>
      </c>
      <c r="AB9" s="255">
        <f>Prop2018DistTar!AX9</f>
        <v>2542127.9655480371</v>
      </c>
      <c r="AC9" s="255">
        <f>Prop2018DistTar!AY9</f>
        <v>0</v>
      </c>
      <c r="AD9" s="255">
        <f>Prop2018DistTar!AZ9</f>
        <v>0</v>
      </c>
      <c r="AE9" s="255">
        <f>Prop2018DistTar!BA9</f>
        <v>5918747.1318818275</v>
      </c>
      <c r="AF9" s="255">
        <f>Prop2018DistTar!BB9</f>
        <v>0</v>
      </c>
      <c r="AG9" s="255">
        <f>Prop2018DistTar!BC9</f>
        <v>0</v>
      </c>
      <c r="AH9" s="255">
        <f>Prop2018DistTar!BD9</f>
        <v>0</v>
      </c>
      <c r="AI9" s="255">
        <f>Prop2018DistTar!BE9</f>
        <v>0</v>
      </c>
      <c r="AJ9" s="255">
        <f>Prop2018DistTar!BF9</f>
        <v>0</v>
      </c>
      <c r="AK9" s="255">
        <f>Prop2018DistTar!BG9</f>
        <v>0</v>
      </c>
      <c r="AL9" s="255">
        <f>Prop2018DistTar!BH9</f>
        <v>0</v>
      </c>
      <c r="AM9" s="255">
        <f>Prop2018DistTar!BI9</f>
        <v>0</v>
      </c>
      <c r="AN9" s="255">
        <f>Prop2018DistTar!BJ9</f>
        <v>0</v>
      </c>
      <c r="AO9" s="255">
        <f>Prop2018DistTar!BK9</f>
        <v>0</v>
      </c>
      <c r="AP9" s="255">
        <f>Prop2018DistTar!BL9</f>
        <v>0</v>
      </c>
      <c r="AQ9" s="255">
        <f>Prop2018DistTar!BM9</f>
        <v>0</v>
      </c>
      <c r="AR9" s="255">
        <f>Prop2018DistTar!BN9</f>
        <v>0</v>
      </c>
      <c r="AS9" s="255">
        <f>Prop2018DistTar!BO9</f>
        <v>0</v>
      </c>
      <c r="AT9" s="256">
        <f>Prop2018DistTar!BP9</f>
        <v>0</v>
      </c>
      <c r="AV9" s="257">
        <f t="shared" si="0"/>
        <v>0</v>
      </c>
      <c r="AW9" s="224">
        <f t="shared" si="1"/>
        <v>0</v>
      </c>
      <c r="AX9" s="224">
        <f t="shared" si="1"/>
        <v>8389.0222863085219</v>
      </c>
      <c r="AY9" s="224">
        <f t="shared" si="1"/>
        <v>0</v>
      </c>
      <c r="AZ9" s="224">
        <f t="shared" si="1"/>
        <v>0</v>
      </c>
      <c r="BA9" s="224">
        <f t="shared" si="1"/>
        <v>19531.865535210032</v>
      </c>
      <c r="BB9" s="224">
        <f t="shared" si="1"/>
        <v>0</v>
      </c>
      <c r="BC9" s="224">
        <f t="shared" si="1"/>
        <v>0</v>
      </c>
      <c r="BD9" s="224">
        <f t="shared" si="1"/>
        <v>0</v>
      </c>
      <c r="BE9" s="224">
        <f t="shared" si="2"/>
        <v>0</v>
      </c>
      <c r="BF9" s="224">
        <f t="shared" si="2"/>
        <v>0</v>
      </c>
      <c r="BG9" s="224">
        <f t="shared" si="2"/>
        <v>0</v>
      </c>
      <c r="BH9" s="224">
        <f t="shared" si="2"/>
        <v>0</v>
      </c>
      <c r="BI9" s="224">
        <f>Q9/100*AM9</f>
        <v>0</v>
      </c>
      <c r="BJ9" s="224">
        <f t="shared" si="3"/>
        <v>0</v>
      </c>
      <c r="BK9" s="224">
        <f t="shared" si="3"/>
        <v>0</v>
      </c>
      <c r="BL9" s="224">
        <f t="shared" si="3"/>
        <v>0</v>
      </c>
      <c r="BM9" s="224">
        <f t="shared" si="3"/>
        <v>0</v>
      </c>
      <c r="BN9" s="224">
        <f t="shared" si="3"/>
        <v>0</v>
      </c>
      <c r="BO9" s="224">
        <f t="shared" si="3"/>
        <v>0</v>
      </c>
      <c r="BP9" s="224">
        <f t="shared" si="3"/>
        <v>0</v>
      </c>
      <c r="BQ9" s="259">
        <f t="shared" si="4"/>
        <v>27920.887821518554</v>
      </c>
    </row>
    <row r="10" spans="1:69">
      <c r="A10" s="199" t="str">
        <f>Prop2018DistTar!A10</f>
        <v>P13R</v>
      </c>
      <c r="B10" s="238" t="str">
        <f>Prop2018DistTar!B10</f>
        <v>Residential - Flexible Pricing</v>
      </c>
      <c r="C10" s="289"/>
      <c r="D10" s="673">
        <v>0</v>
      </c>
      <c r="E10" s="652">
        <v>0</v>
      </c>
      <c r="F10" s="652">
        <v>0</v>
      </c>
      <c r="G10" s="652">
        <v>0</v>
      </c>
      <c r="H10" s="652">
        <v>0</v>
      </c>
      <c r="I10" s="652">
        <v>0</v>
      </c>
      <c r="J10" s="652">
        <v>0</v>
      </c>
      <c r="K10" s="652">
        <v>0</v>
      </c>
      <c r="L10" s="652">
        <v>0</v>
      </c>
      <c r="M10" s="652">
        <v>0</v>
      </c>
      <c r="N10" s="652">
        <v>0</v>
      </c>
      <c r="O10" s="652">
        <v>0</v>
      </c>
      <c r="P10" s="652">
        <v>0</v>
      </c>
      <c r="Q10" s="652">
        <v>0.33</v>
      </c>
      <c r="R10" s="652">
        <v>0.33</v>
      </c>
      <c r="S10" s="652">
        <v>0.33</v>
      </c>
      <c r="T10" s="652">
        <v>0</v>
      </c>
      <c r="U10" s="652">
        <v>0.33</v>
      </c>
      <c r="V10" s="652">
        <v>0.33</v>
      </c>
      <c r="W10" s="652">
        <v>0.33</v>
      </c>
      <c r="X10" s="666">
        <v>0</v>
      </c>
      <c r="Z10" s="281">
        <f>Prop2018DistTar!AV10</f>
        <v>2967.2671330352036</v>
      </c>
      <c r="AA10" s="255">
        <f>Prop2018DistTar!AW10</f>
        <v>0</v>
      </c>
      <c r="AB10" s="255">
        <f>Prop2018DistTar!AX10</f>
        <v>0</v>
      </c>
      <c r="AC10" s="255">
        <f>Prop2018DistTar!AY10</f>
        <v>0</v>
      </c>
      <c r="AD10" s="255">
        <f>Prop2018DistTar!AZ10</f>
        <v>0</v>
      </c>
      <c r="AE10" s="255">
        <f>Prop2018DistTar!BA10</f>
        <v>0</v>
      </c>
      <c r="AF10" s="255">
        <f>Prop2018DistTar!BB10</f>
        <v>0</v>
      </c>
      <c r="AG10" s="255">
        <f>Prop2018DistTar!BC10</f>
        <v>0</v>
      </c>
      <c r="AH10" s="255">
        <f>Prop2018DistTar!BD10</f>
        <v>0</v>
      </c>
      <c r="AI10" s="255">
        <f>Prop2018DistTar!BE10</f>
        <v>0</v>
      </c>
      <c r="AJ10" s="255">
        <f>Prop2018DistTar!BF10</f>
        <v>0</v>
      </c>
      <c r="AK10" s="255">
        <f>Prop2018DistTar!BG10</f>
        <v>0</v>
      </c>
      <c r="AL10" s="255">
        <f>Prop2018DistTar!BH10</f>
        <v>0</v>
      </c>
      <c r="AM10" s="255">
        <f>Prop2018DistTar!BI10</f>
        <v>956328.95984420308</v>
      </c>
      <c r="AN10" s="255">
        <f>Prop2018DistTar!BJ10</f>
        <v>1626467.6717377924</v>
      </c>
      <c r="AO10" s="255">
        <f>Prop2018DistTar!BK10</f>
        <v>1172486.5586365885</v>
      </c>
      <c r="AP10" s="255">
        <f>Prop2018DistTar!BL10</f>
        <v>0</v>
      </c>
      <c r="AQ10" s="255">
        <f>Prop2018DistTar!BM10</f>
        <v>2937193.6717076828</v>
      </c>
      <c r="AR10" s="255">
        <f>Prop2018DistTar!BN10</f>
        <v>5211028.6206758963</v>
      </c>
      <c r="AS10" s="255">
        <f>Prop2018DistTar!BO10</f>
        <v>4120190.7016217099</v>
      </c>
      <c r="AT10" s="256">
        <f>Prop2018DistTar!BP10</f>
        <v>0</v>
      </c>
      <c r="AV10" s="257">
        <f t="shared" si="0"/>
        <v>0</v>
      </c>
      <c r="AW10" s="224">
        <f t="shared" si="1"/>
        <v>0</v>
      </c>
      <c r="AX10" s="224">
        <f t="shared" si="1"/>
        <v>0</v>
      </c>
      <c r="AY10" s="224">
        <f t="shared" si="1"/>
        <v>0</v>
      </c>
      <c r="AZ10" s="224">
        <f t="shared" si="1"/>
        <v>0</v>
      </c>
      <c r="BA10" s="224">
        <f t="shared" si="1"/>
        <v>0</v>
      </c>
      <c r="BB10" s="224">
        <f t="shared" si="1"/>
        <v>0</v>
      </c>
      <c r="BC10" s="224">
        <f t="shared" si="1"/>
        <v>0</v>
      </c>
      <c r="BD10" s="224">
        <f t="shared" si="1"/>
        <v>0</v>
      </c>
      <c r="BE10" s="224">
        <f t="shared" si="2"/>
        <v>0</v>
      </c>
      <c r="BF10" s="224">
        <f t="shared" si="2"/>
        <v>0</v>
      </c>
      <c r="BG10" s="224">
        <f t="shared" si="2"/>
        <v>0</v>
      </c>
      <c r="BH10" s="224">
        <f t="shared" si="2"/>
        <v>0</v>
      </c>
      <c r="BI10" s="224">
        <f>Q10/100*AM10</f>
        <v>3155.8855674858701</v>
      </c>
      <c r="BJ10" s="224">
        <f t="shared" si="3"/>
        <v>5367.3433167347148</v>
      </c>
      <c r="BK10" s="224">
        <f t="shared" si="3"/>
        <v>3869.2056435007421</v>
      </c>
      <c r="BL10" s="224">
        <f t="shared" si="3"/>
        <v>0</v>
      </c>
      <c r="BM10" s="224">
        <f t="shared" si="3"/>
        <v>9692.7391166353536</v>
      </c>
      <c r="BN10" s="224">
        <f t="shared" si="3"/>
        <v>17196.394448230458</v>
      </c>
      <c r="BO10" s="224">
        <f t="shared" si="3"/>
        <v>13596.629315351642</v>
      </c>
      <c r="BP10" s="224">
        <f t="shared" si="3"/>
        <v>0</v>
      </c>
      <c r="BQ10" s="259">
        <f t="shared" si="4"/>
        <v>52878.197407938787</v>
      </c>
    </row>
    <row r="11" spans="1:69">
      <c r="A11" s="199" t="str">
        <f>Prop2018DistTar!A11</f>
        <v>P13RDK</v>
      </c>
      <c r="B11" s="238" t="str">
        <f>Prop2018DistTar!B11</f>
        <v>Residential Docklands  - Flexible Pricing</v>
      </c>
      <c r="C11" s="289"/>
      <c r="D11" s="673">
        <v>0</v>
      </c>
      <c r="E11" s="652">
        <v>0</v>
      </c>
      <c r="F11" s="652">
        <v>0</v>
      </c>
      <c r="G11" s="652">
        <v>0</v>
      </c>
      <c r="H11" s="652">
        <v>0</v>
      </c>
      <c r="I11" s="652">
        <v>0</v>
      </c>
      <c r="J11" s="652">
        <v>0</v>
      </c>
      <c r="K11" s="652">
        <v>0</v>
      </c>
      <c r="L11" s="652">
        <v>0</v>
      </c>
      <c r="M11" s="652">
        <v>0</v>
      </c>
      <c r="N11" s="652">
        <v>0</v>
      </c>
      <c r="O11" s="652">
        <v>0</v>
      </c>
      <c r="P11" s="652">
        <v>0</v>
      </c>
      <c r="Q11" s="652">
        <v>0.33</v>
      </c>
      <c r="R11" s="652">
        <v>0.33</v>
      </c>
      <c r="S11" s="652">
        <v>0.33</v>
      </c>
      <c r="T11" s="652">
        <v>0</v>
      </c>
      <c r="U11" s="652">
        <v>0.33</v>
      </c>
      <c r="V11" s="652">
        <v>0.33</v>
      </c>
      <c r="W11" s="652">
        <v>0.33</v>
      </c>
      <c r="X11" s="666">
        <v>0</v>
      </c>
      <c r="Z11" s="281">
        <f>Prop2018DistTar!AV11</f>
        <v>1</v>
      </c>
      <c r="AA11" s="255">
        <f>Prop2018DistTar!AW11</f>
        <v>0</v>
      </c>
      <c r="AB11" s="255">
        <f>Prop2018DistTar!AX11</f>
        <v>0</v>
      </c>
      <c r="AC11" s="255">
        <f>Prop2018DistTar!AY11</f>
        <v>0</v>
      </c>
      <c r="AD11" s="255">
        <f>Prop2018DistTar!AZ11</f>
        <v>0</v>
      </c>
      <c r="AE11" s="255">
        <f>Prop2018DistTar!BA11</f>
        <v>0</v>
      </c>
      <c r="AF11" s="255">
        <f>Prop2018DistTar!BB11</f>
        <v>0</v>
      </c>
      <c r="AG11" s="255">
        <f>Prop2018DistTar!BC11</f>
        <v>0</v>
      </c>
      <c r="AH11" s="255">
        <f>Prop2018DistTar!BD11</f>
        <v>0</v>
      </c>
      <c r="AI11" s="255">
        <f>Prop2018DistTar!BE11</f>
        <v>0</v>
      </c>
      <c r="AJ11" s="255">
        <f>Prop2018DistTar!BF11</f>
        <v>0</v>
      </c>
      <c r="AK11" s="255">
        <f>Prop2018DistTar!BG11</f>
        <v>0</v>
      </c>
      <c r="AL11" s="255">
        <f>Prop2018DistTar!BH11</f>
        <v>0</v>
      </c>
      <c r="AM11" s="255">
        <f>Prop2018DistTar!BI11</f>
        <v>298.5290379142466</v>
      </c>
      <c r="AN11" s="255">
        <f>Prop2018DistTar!BJ11</f>
        <v>617.70654978974005</v>
      </c>
      <c r="AO11" s="255">
        <f>Prop2018DistTar!BK11</f>
        <v>457.87060744643088</v>
      </c>
      <c r="AP11" s="255">
        <f>Prop2018DistTar!BL11</f>
        <v>0</v>
      </c>
      <c r="AQ11" s="255">
        <f>Prop2018DistTar!BM11</f>
        <v>1021.464471610342</v>
      </c>
      <c r="AR11" s="255">
        <f>Prop2018DistTar!BN11</f>
        <v>1968.8847604433372</v>
      </c>
      <c r="AS11" s="255">
        <f>Prop2018DistTar!BO11</f>
        <v>1310.1094060087664</v>
      </c>
      <c r="AT11" s="256">
        <f>Prop2018DistTar!BP11</f>
        <v>0</v>
      </c>
      <c r="AV11" s="257">
        <f t="shared" si="0"/>
        <v>0</v>
      </c>
      <c r="AW11" s="224">
        <f t="shared" si="1"/>
        <v>0</v>
      </c>
      <c r="AX11" s="224">
        <f t="shared" si="1"/>
        <v>0</v>
      </c>
      <c r="AY11" s="224">
        <f t="shared" si="1"/>
        <v>0</v>
      </c>
      <c r="AZ11" s="224">
        <f t="shared" si="1"/>
        <v>0</v>
      </c>
      <c r="BA11" s="224">
        <f t="shared" si="1"/>
        <v>0</v>
      </c>
      <c r="BB11" s="224">
        <f t="shared" si="1"/>
        <v>0</v>
      </c>
      <c r="BC11" s="224">
        <f t="shared" si="1"/>
        <v>0</v>
      </c>
      <c r="BD11" s="224">
        <f t="shared" si="1"/>
        <v>0</v>
      </c>
      <c r="BE11" s="224">
        <f t="shared" si="2"/>
        <v>0</v>
      </c>
      <c r="BF11" s="224">
        <f t="shared" si="2"/>
        <v>0</v>
      </c>
      <c r="BG11" s="224">
        <f t="shared" si="2"/>
        <v>0</v>
      </c>
      <c r="BH11" s="224">
        <f t="shared" si="2"/>
        <v>0</v>
      </c>
      <c r="BI11" s="224">
        <f t="shared" ref="BI11:BI25" si="5">Q11/100*AM11</f>
        <v>0.98514582511701376</v>
      </c>
      <c r="BJ11" s="224">
        <f t="shared" si="3"/>
        <v>2.0384316143061421</v>
      </c>
      <c r="BK11" s="224">
        <f t="shared" si="3"/>
        <v>1.5109730045732219</v>
      </c>
      <c r="BL11" s="224">
        <f t="shared" si="3"/>
        <v>0</v>
      </c>
      <c r="BM11" s="224">
        <f t="shared" si="3"/>
        <v>3.3708327563141287</v>
      </c>
      <c r="BN11" s="224">
        <f t="shared" si="3"/>
        <v>6.4973197094630128</v>
      </c>
      <c r="BO11" s="224">
        <f t="shared" si="3"/>
        <v>4.3233610398289288</v>
      </c>
      <c r="BP11" s="224">
        <f t="shared" si="3"/>
        <v>0</v>
      </c>
      <c r="BQ11" s="259">
        <f t="shared" si="4"/>
        <v>18.726063949602448</v>
      </c>
    </row>
    <row r="12" spans="1:69">
      <c r="A12" s="199" t="str">
        <f>Prop2018DistTar!A12</f>
        <v>P13RCS</v>
      </c>
      <c r="B12" s="238" t="str">
        <f>Prop2018DistTar!B12</f>
        <v>Climate Saver - Flexible Pricing</v>
      </c>
      <c r="C12" s="289"/>
      <c r="D12" s="673">
        <v>0</v>
      </c>
      <c r="E12" s="652">
        <v>0</v>
      </c>
      <c r="F12" s="652">
        <v>0</v>
      </c>
      <c r="G12" s="652">
        <v>0</v>
      </c>
      <c r="H12" s="652">
        <v>0</v>
      </c>
      <c r="I12" s="652">
        <v>0</v>
      </c>
      <c r="J12" s="652">
        <v>0</v>
      </c>
      <c r="K12" s="652">
        <v>0</v>
      </c>
      <c r="L12" s="652">
        <v>0</v>
      </c>
      <c r="M12" s="652">
        <v>0</v>
      </c>
      <c r="N12" s="652">
        <v>0</v>
      </c>
      <c r="O12" s="652">
        <v>0</v>
      </c>
      <c r="P12" s="652">
        <v>0</v>
      </c>
      <c r="Q12" s="652">
        <v>0.33</v>
      </c>
      <c r="R12" s="652">
        <v>0</v>
      </c>
      <c r="S12" s="652">
        <v>0</v>
      </c>
      <c r="T12" s="652">
        <v>0</v>
      </c>
      <c r="U12" s="652">
        <v>0.33</v>
      </c>
      <c r="V12" s="652">
        <v>0</v>
      </c>
      <c r="W12" s="652">
        <v>0</v>
      </c>
      <c r="X12" s="666">
        <v>0</v>
      </c>
      <c r="Z12" s="281">
        <f>Prop2018DistTar!AV12</f>
        <v>61.27586321164447</v>
      </c>
      <c r="AA12" s="255">
        <f>Prop2018DistTar!AW12</f>
        <v>0</v>
      </c>
      <c r="AB12" s="255">
        <f>Prop2018DistTar!AX12</f>
        <v>0</v>
      </c>
      <c r="AC12" s="255">
        <f>Prop2018DistTar!AY12</f>
        <v>0</v>
      </c>
      <c r="AD12" s="255">
        <f>Prop2018DistTar!AZ12</f>
        <v>0</v>
      </c>
      <c r="AE12" s="255">
        <f>Prop2018DistTar!BA12</f>
        <v>0</v>
      </c>
      <c r="AF12" s="255">
        <f>Prop2018DistTar!BB12</f>
        <v>0</v>
      </c>
      <c r="AG12" s="255">
        <f>Prop2018DistTar!BC12</f>
        <v>0</v>
      </c>
      <c r="AH12" s="255">
        <f>Prop2018DistTar!BD12</f>
        <v>0</v>
      </c>
      <c r="AI12" s="255">
        <f>Prop2018DistTar!BE12</f>
        <v>0</v>
      </c>
      <c r="AJ12" s="255">
        <f>Prop2018DistTar!BF12</f>
        <v>0</v>
      </c>
      <c r="AK12" s="255">
        <f>Prop2018DistTar!BG12</f>
        <v>0</v>
      </c>
      <c r="AL12" s="255">
        <f>Prop2018DistTar!BH12</f>
        <v>0</v>
      </c>
      <c r="AM12" s="255">
        <f>Prop2018DistTar!BI12</f>
        <v>24228.472062985416</v>
      </c>
      <c r="AN12" s="255">
        <f>Prop2018DistTar!BJ12</f>
        <v>0</v>
      </c>
      <c r="AO12" s="255">
        <f>Prop2018DistTar!BK12</f>
        <v>0</v>
      </c>
      <c r="AP12" s="255">
        <f>Prop2018DistTar!BL12</f>
        <v>0</v>
      </c>
      <c r="AQ12" s="255">
        <f>Prop2018DistTar!BM12</f>
        <v>68208.94308571906</v>
      </c>
      <c r="AR12" s="255">
        <f>Prop2018DistTar!BN12</f>
        <v>0</v>
      </c>
      <c r="AS12" s="255">
        <f>Prop2018DistTar!BO12</f>
        <v>0</v>
      </c>
      <c r="AT12" s="256">
        <f>Prop2018DistTar!BP12</f>
        <v>0</v>
      </c>
      <c r="AV12" s="257">
        <f t="shared" si="0"/>
        <v>0</v>
      </c>
      <c r="AW12" s="224">
        <f t="shared" si="1"/>
        <v>0</v>
      </c>
      <c r="AX12" s="224">
        <f t="shared" si="1"/>
        <v>0</v>
      </c>
      <c r="AY12" s="224">
        <f t="shared" si="1"/>
        <v>0</v>
      </c>
      <c r="AZ12" s="224">
        <f t="shared" si="1"/>
        <v>0</v>
      </c>
      <c r="BA12" s="224">
        <f t="shared" si="1"/>
        <v>0</v>
      </c>
      <c r="BB12" s="224">
        <f t="shared" si="1"/>
        <v>0</v>
      </c>
      <c r="BC12" s="224">
        <f t="shared" si="1"/>
        <v>0</v>
      </c>
      <c r="BD12" s="224">
        <f t="shared" si="1"/>
        <v>0</v>
      </c>
      <c r="BE12" s="224">
        <f t="shared" si="2"/>
        <v>0</v>
      </c>
      <c r="BF12" s="224">
        <f t="shared" si="2"/>
        <v>0</v>
      </c>
      <c r="BG12" s="224">
        <f t="shared" si="2"/>
        <v>0</v>
      </c>
      <c r="BH12" s="224">
        <f t="shared" si="2"/>
        <v>0</v>
      </c>
      <c r="BI12" s="224">
        <f t="shared" si="5"/>
        <v>79.953957807851879</v>
      </c>
      <c r="BJ12" s="224">
        <f t="shared" si="3"/>
        <v>0</v>
      </c>
      <c r="BK12" s="224">
        <f t="shared" si="3"/>
        <v>0</v>
      </c>
      <c r="BL12" s="224">
        <f t="shared" si="3"/>
        <v>0</v>
      </c>
      <c r="BM12" s="224">
        <f t="shared" si="3"/>
        <v>225.08951218287291</v>
      </c>
      <c r="BN12" s="224">
        <f t="shared" si="3"/>
        <v>0</v>
      </c>
      <c r="BO12" s="224">
        <f t="shared" si="3"/>
        <v>0</v>
      </c>
      <c r="BP12" s="224">
        <f t="shared" si="3"/>
        <v>0</v>
      </c>
      <c r="BQ12" s="259">
        <f t="shared" si="4"/>
        <v>305.04346999072482</v>
      </c>
    </row>
    <row r="13" spans="1:69">
      <c r="A13" s="199" t="str">
        <f>Prop2018DistTar!A13</f>
        <v>P1DK</v>
      </c>
      <c r="B13" s="238" t="str">
        <f>Prop2018DistTar!B13</f>
        <v>Docklands single rate</v>
      </c>
      <c r="C13" s="289"/>
      <c r="D13" s="673">
        <v>0</v>
      </c>
      <c r="E13" s="652">
        <v>0.33</v>
      </c>
      <c r="F13" s="652">
        <v>0</v>
      </c>
      <c r="G13" s="652">
        <v>0</v>
      </c>
      <c r="H13" s="652">
        <v>0</v>
      </c>
      <c r="I13" s="652">
        <v>0</v>
      </c>
      <c r="J13" s="652">
        <v>0</v>
      </c>
      <c r="K13" s="652">
        <v>0</v>
      </c>
      <c r="L13" s="652">
        <v>0</v>
      </c>
      <c r="M13" s="652">
        <v>0</v>
      </c>
      <c r="N13" s="652">
        <v>0</v>
      </c>
      <c r="O13" s="652">
        <v>0</v>
      </c>
      <c r="P13" s="652">
        <v>0</v>
      </c>
      <c r="Q13" s="652">
        <v>0</v>
      </c>
      <c r="R13" s="652">
        <v>0</v>
      </c>
      <c r="S13" s="652">
        <v>0</v>
      </c>
      <c r="T13" s="652">
        <v>0</v>
      </c>
      <c r="U13" s="652">
        <v>0</v>
      </c>
      <c r="V13" s="652">
        <v>0</v>
      </c>
      <c r="W13" s="652">
        <v>0</v>
      </c>
      <c r="X13" s="666">
        <v>0</v>
      </c>
      <c r="Z13" s="281">
        <f>Prop2018DistTar!AV13</f>
        <v>1</v>
      </c>
      <c r="AA13" s="255">
        <f>Prop2018DistTar!AW13</f>
        <v>11930.930400874076</v>
      </c>
      <c r="AB13" s="255">
        <f>Prop2018DistTar!AX13</f>
        <v>0</v>
      </c>
      <c r="AC13" s="255">
        <f>Prop2018DistTar!AY13</f>
        <v>0</v>
      </c>
      <c r="AD13" s="255">
        <f>Prop2018DistTar!AZ13</f>
        <v>0</v>
      </c>
      <c r="AE13" s="255">
        <f>Prop2018DistTar!BA13</f>
        <v>0</v>
      </c>
      <c r="AF13" s="255">
        <f>Prop2018DistTar!BB13</f>
        <v>0</v>
      </c>
      <c r="AG13" s="255">
        <f>Prop2018DistTar!BC13</f>
        <v>0</v>
      </c>
      <c r="AH13" s="255">
        <f>Prop2018DistTar!BD13</f>
        <v>0</v>
      </c>
      <c r="AI13" s="255">
        <f>Prop2018DistTar!BE13</f>
        <v>0</v>
      </c>
      <c r="AJ13" s="255">
        <f>Prop2018DistTar!BF13</f>
        <v>0</v>
      </c>
      <c r="AK13" s="255">
        <f>Prop2018DistTar!BG13</f>
        <v>0</v>
      </c>
      <c r="AL13" s="255">
        <f>Prop2018DistTar!BH13</f>
        <v>0</v>
      </c>
      <c r="AM13" s="255">
        <f>Prop2018DistTar!BI13</f>
        <v>0</v>
      </c>
      <c r="AN13" s="255">
        <f>Prop2018DistTar!BJ13</f>
        <v>0</v>
      </c>
      <c r="AO13" s="255">
        <f>Prop2018DistTar!BK13</f>
        <v>0</v>
      </c>
      <c r="AP13" s="255">
        <f>Prop2018DistTar!BL13</f>
        <v>0</v>
      </c>
      <c r="AQ13" s="255">
        <f>Prop2018DistTar!BM13</f>
        <v>0</v>
      </c>
      <c r="AR13" s="255">
        <f>Prop2018DistTar!BN13</f>
        <v>0</v>
      </c>
      <c r="AS13" s="255">
        <f>Prop2018DistTar!BO13</f>
        <v>0</v>
      </c>
      <c r="AT13" s="256">
        <f>Prop2018DistTar!BP13</f>
        <v>0</v>
      </c>
      <c r="AV13" s="257">
        <f t="shared" si="0"/>
        <v>0</v>
      </c>
      <c r="AW13" s="224">
        <f t="shared" si="1"/>
        <v>39.372070322884454</v>
      </c>
      <c r="AX13" s="224">
        <f t="shared" si="1"/>
        <v>0</v>
      </c>
      <c r="AY13" s="224">
        <f t="shared" si="1"/>
        <v>0</v>
      </c>
      <c r="AZ13" s="224">
        <f t="shared" si="1"/>
        <v>0</v>
      </c>
      <c r="BA13" s="224">
        <f t="shared" si="1"/>
        <v>0</v>
      </c>
      <c r="BB13" s="224">
        <f t="shared" si="1"/>
        <v>0</v>
      </c>
      <c r="BC13" s="224">
        <f t="shared" si="1"/>
        <v>0</v>
      </c>
      <c r="BD13" s="224">
        <f t="shared" si="1"/>
        <v>0</v>
      </c>
      <c r="BE13" s="224">
        <f t="shared" si="2"/>
        <v>0</v>
      </c>
      <c r="BF13" s="224">
        <f t="shared" si="2"/>
        <v>0</v>
      </c>
      <c r="BG13" s="224">
        <f t="shared" si="2"/>
        <v>0</v>
      </c>
      <c r="BH13" s="224">
        <f t="shared" si="2"/>
        <v>0</v>
      </c>
      <c r="BI13" s="224">
        <f t="shared" si="5"/>
        <v>0</v>
      </c>
      <c r="BJ13" s="224">
        <f t="shared" si="3"/>
        <v>0</v>
      </c>
      <c r="BK13" s="224">
        <f t="shared" si="3"/>
        <v>0</v>
      </c>
      <c r="BL13" s="224">
        <f t="shared" si="3"/>
        <v>0</v>
      </c>
      <c r="BM13" s="224">
        <f t="shared" si="3"/>
        <v>0</v>
      </c>
      <c r="BN13" s="224">
        <f t="shared" si="3"/>
        <v>0</v>
      </c>
      <c r="BO13" s="224">
        <f t="shared" si="3"/>
        <v>0</v>
      </c>
      <c r="BP13" s="224">
        <f t="shared" si="3"/>
        <v>0</v>
      </c>
      <c r="BQ13" s="259">
        <f t="shared" si="4"/>
        <v>39.372070322884454</v>
      </c>
    </row>
    <row r="14" spans="1:69">
      <c r="A14" s="199" t="str">
        <f>Prop2018DistTar!A14</f>
        <v>D2</v>
      </c>
      <c r="B14" s="238" t="str">
        <f>Prop2018DistTar!B14</f>
        <v>Residential Two Rate 5d</v>
      </c>
      <c r="C14" s="289"/>
      <c r="D14" s="673">
        <v>0</v>
      </c>
      <c r="E14" s="652">
        <v>0</v>
      </c>
      <c r="F14" s="652">
        <v>0.33</v>
      </c>
      <c r="G14" s="652">
        <v>0</v>
      </c>
      <c r="H14" s="652">
        <v>0</v>
      </c>
      <c r="I14" s="652">
        <v>0.33</v>
      </c>
      <c r="J14" s="652">
        <v>0</v>
      </c>
      <c r="K14" s="652">
        <v>0</v>
      </c>
      <c r="L14" s="652">
        <v>0</v>
      </c>
      <c r="M14" s="652">
        <v>0</v>
      </c>
      <c r="N14" s="652">
        <v>0</v>
      </c>
      <c r="O14" s="652">
        <v>0</v>
      </c>
      <c r="P14" s="652">
        <v>0</v>
      </c>
      <c r="Q14" s="652">
        <v>0</v>
      </c>
      <c r="R14" s="652">
        <v>0</v>
      </c>
      <c r="S14" s="652">
        <v>0</v>
      </c>
      <c r="T14" s="652">
        <v>0</v>
      </c>
      <c r="U14" s="652">
        <v>0</v>
      </c>
      <c r="V14" s="652">
        <v>0</v>
      </c>
      <c r="W14" s="652">
        <v>0</v>
      </c>
      <c r="X14" s="666">
        <v>0</v>
      </c>
      <c r="Z14" s="281">
        <f>Prop2018DistTar!AV14</f>
        <v>45013.527025864743</v>
      </c>
      <c r="AA14" s="255">
        <f>Prop2018DistTar!AW14</f>
        <v>0</v>
      </c>
      <c r="AB14" s="255">
        <f>Prop2018DistTar!AX14</f>
        <v>123396558.84951775</v>
      </c>
      <c r="AC14" s="255">
        <f>Prop2018DistTar!AY14</f>
        <v>0</v>
      </c>
      <c r="AD14" s="255">
        <f>Prop2018DistTar!AZ14</f>
        <v>0</v>
      </c>
      <c r="AE14" s="255">
        <f>Prop2018DistTar!BA14</f>
        <v>113802346.92927302</v>
      </c>
      <c r="AF14" s="255">
        <f>Prop2018DistTar!BB14</f>
        <v>0</v>
      </c>
      <c r="AG14" s="255">
        <f>Prop2018DistTar!BC14</f>
        <v>0</v>
      </c>
      <c r="AH14" s="255">
        <f>Prop2018DistTar!BD14</f>
        <v>0</v>
      </c>
      <c r="AI14" s="255">
        <f>Prop2018DistTar!BE14</f>
        <v>0</v>
      </c>
      <c r="AJ14" s="255">
        <f>Prop2018DistTar!BF14</f>
        <v>0</v>
      </c>
      <c r="AK14" s="255">
        <f>Prop2018DistTar!BG14</f>
        <v>0</v>
      </c>
      <c r="AL14" s="255">
        <f>Prop2018DistTar!BH14</f>
        <v>0</v>
      </c>
      <c r="AM14" s="255">
        <f>Prop2018DistTar!BI14</f>
        <v>0</v>
      </c>
      <c r="AN14" s="255">
        <f>Prop2018DistTar!BJ14</f>
        <v>0</v>
      </c>
      <c r="AO14" s="255">
        <f>Prop2018DistTar!BK14</f>
        <v>0</v>
      </c>
      <c r="AP14" s="255">
        <f>Prop2018DistTar!BL14</f>
        <v>0</v>
      </c>
      <c r="AQ14" s="255">
        <f>Prop2018DistTar!BM14</f>
        <v>0</v>
      </c>
      <c r="AR14" s="255">
        <f>Prop2018DistTar!BN14</f>
        <v>0</v>
      </c>
      <c r="AS14" s="255">
        <f>Prop2018DistTar!BO14</f>
        <v>0</v>
      </c>
      <c r="AT14" s="256">
        <f>Prop2018DistTar!BP14</f>
        <v>0</v>
      </c>
      <c r="AV14" s="257">
        <f t="shared" si="0"/>
        <v>0</v>
      </c>
      <c r="AW14" s="224">
        <f t="shared" si="1"/>
        <v>0</v>
      </c>
      <c r="AX14" s="224">
        <f t="shared" si="1"/>
        <v>407208.64420340856</v>
      </c>
      <c r="AY14" s="224">
        <f t="shared" si="1"/>
        <v>0</v>
      </c>
      <c r="AZ14" s="224">
        <f t="shared" si="1"/>
        <v>0</v>
      </c>
      <c r="BA14" s="224">
        <f t="shared" si="1"/>
        <v>375547.74486660096</v>
      </c>
      <c r="BB14" s="224">
        <f t="shared" si="1"/>
        <v>0</v>
      </c>
      <c r="BC14" s="224">
        <f t="shared" si="1"/>
        <v>0</v>
      </c>
      <c r="BD14" s="224">
        <f t="shared" si="1"/>
        <v>0</v>
      </c>
      <c r="BE14" s="224">
        <f t="shared" si="2"/>
        <v>0</v>
      </c>
      <c r="BF14" s="224">
        <f t="shared" si="2"/>
        <v>0</v>
      </c>
      <c r="BG14" s="224">
        <f t="shared" si="2"/>
        <v>0</v>
      </c>
      <c r="BH14" s="224">
        <f t="shared" si="2"/>
        <v>0</v>
      </c>
      <c r="BI14" s="224">
        <f t="shared" si="5"/>
        <v>0</v>
      </c>
      <c r="BJ14" s="224">
        <f t="shared" si="3"/>
        <v>0</v>
      </c>
      <c r="BK14" s="224">
        <f t="shared" si="3"/>
        <v>0</v>
      </c>
      <c r="BL14" s="224">
        <f t="shared" si="3"/>
        <v>0</v>
      </c>
      <c r="BM14" s="224">
        <f t="shared" si="3"/>
        <v>0</v>
      </c>
      <c r="BN14" s="224">
        <f t="shared" si="3"/>
        <v>0</v>
      </c>
      <c r="BO14" s="224">
        <f t="shared" si="3"/>
        <v>0</v>
      </c>
      <c r="BP14" s="224">
        <f t="shared" si="3"/>
        <v>0</v>
      </c>
      <c r="BQ14" s="259">
        <f t="shared" si="4"/>
        <v>782756.38907000958</v>
      </c>
    </row>
    <row r="15" spans="1:69">
      <c r="A15" s="199" t="str">
        <f>Prop2018DistTar!A15</f>
        <v>D2DK</v>
      </c>
      <c r="B15" s="238" t="str">
        <f>Prop2018DistTar!B15</f>
        <v>Docklands Two Rate 5d</v>
      </c>
      <c r="C15" s="289"/>
      <c r="D15" s="673">
        <v>0</v>
      </c>
      <c r="E15" s="652">
        <v>0</v>
      </c>
      <c r="F15" s="652">
        <v>0.33</v>
      </c>
      <c r="G15" s="652">
        <v>0</v>
      </c>
      <c r="H15" s="652">
        <v>0</v>
      </c>
      <c r="I15" s="652">
        <v>0.33</v>
      </c>
      <c r="J15" s="652">
        <v>0</v>
      </c>
      <c r="K15" s="652">
        <v>0</v>
      </c>
      <c r="L15" s="652">
        <v>0</v>
      </c>
      <c r="M15" s="652">
        <v>0</v>
      </c>
      <c r="N15" s="652">
        <v>0</v>
      </c>
      <c r="O15" s="652">
        <v>0</v>
      </c>
      <c r="P15" s="652">
        <v>0</v>
      </c>
      <c r="Q15" s="652">
        <v>0</v>
      </c>
      <c r="R15" s="652">
        <v>0</v>
      </c>
      <c r="S15" s="652">
        <v>0</v>
      </c>
      <c r="T15" s="652">
        <v>0</v>
      </c>
      <c r="U15" s="652">
        <v>0</v>
      </c>
      <c r="V15" s="652">
        <v>0</v>
      </c>
      <c r="W15" s="652">
        <v>0</v>
      </c>
      <c r="X15" s="666">
        <v>0</v>
      </c>
      <c r="Z15" s="281">
        <f>Prop2018DistTar!AV15</f>
        <v>584.14659843199854</v>
      </c>
      <c r="AA15" s="255">
        <f>Prop2018DistTar!AW15</f>
        <v>0</v>
      </c>
      <c r="AB15" s="255">
        <f>Prop2018DistTar!AX15</f>
        <v>1780658.2324994251</v>
      </c>
      <c r="AC15" s="255">
        <f>Prop2018DistTar!AY15</f>
        <v>0</v>
      </c>
      <c r="AD15" s="255">
        <f>Prop2018DistTar!AZ15</f>
        <v>0</v>
      </c>
      <c r="AE15" s="255">
        <f>Prop2018DistTar!BA15</f>
        <v>1663261.2945882643</v>
      </c>
      <c r="AF15" s="255">
        <f>Prop2018DistTar!BB15</f>
        <v>0</v>
      </c>
      <c r="AG15" s="255">
        <f>Prop2018DistTar!BC15</f>
        <v>0</v>
      </c>
      <c r="AH15" s="255">
        <f>Prop2018DistTar!BD15</f>
        <v>0</v>
      </c>
      <c r="AI15" s="255">
        <f>Prop2018DistTar!BE15</f>
        <v>0</v>
      </c>
      <c r="AJ15" s="255">
        <f>Prop2018DistTar!BF15</f>
        <v>0</v>
      </c>
      <c r="AK15" s="255">
        <f>Prop2018DistTar!BG15</f>
        <v>0</v>
      </c>
      <c r="AL15" s="255">
        <f>Prop2018DistTar!BH15</f>
        <v>0</v>
      </c>
      <c r="AM15" s="255">
        <f>Prop2018DistTar!BI15</f>
        <v>0</v>
      </c>
      <c r="AN15" s="255">
        <f>Prop2018DistTar!BJ15</f>
        <v>0</v>
      </c>
      <c r="AO15" s="255">
        <f>Prop2018DistTar!BK15</f>
        <v>0</v>
      </c>
      <c r="AP15" s="255">
        <f>Prop2018DistTar!BL15</f>
        <v>0</v>
      </c>
      <c r="AQ15" s="255">
        <f>Prop2018DistTar!BM15</f>
        <v>0</v>
      </c>
      <c r="AR15" s="255">
        <f>Prop2018DistTar!BN15</f>
        <v>0</v>
      </c>
      <c r="AS15" s="255">
        <f>Prop2018DistTar!BO15</f>
        <v>0</v>
      </c>
      <c r="AT15" s="256">
        <f>Prop2018DistTar!BP15</f>
        <v>0</v>
      </c>
      <c r="AV15" s="257">
        <f t="shared" si="0"/>
        <v>0</v>
      </c>
      <c r="AW15" s="224">
        <f t="shared" si="1"/>
        <v>0</v>
      </c>
      <c r="AX15" s="224">
        <f t="shared" si="1"/>
        <v>5876.1721672481026</v>
      </c>
      <c r="AY15" s="224">
        <f t="shared" si="1"/>
        <v>0</v>
      </c>
      <c r="AZ15" s="224">
        <f t="shared" si="1"/>
        <v>0</v>
      </c>
      <c r="BA15" s="224">
        <f t="shared" si="1"/>
        <v>5488.7622721412718</v>
      </c>
      <c r="BB15" s="224">
        <f t="shared" si="1"/>
        <v>0</v>
      </c>
      <c r="BC15" s="224">
        <f t="shared" si="1"/>
        <v>0</v>
      </c>
      <c r="BD15" s="224">
        <f t="shared" si="1"/>
        <v>0</v>
      </c>
      <c r="BE15" s="224">
        <f t="shared" si="2"/>
        <v>0</v>
      </c>
      <c r="BF15" s="224">
        <f t="shared" si="2"/>
        <v>0</v>
      </c>
      <c r="BG15" s="224">
        <f t="shared" si="2"/>
        <v>0</v>
      </c>
      <c r="BH15" s="224">
        <f t="shared" si="2"/>
        <v>0</v>
      </c>
      <c r="BI15" s="224">
        <f t="shared" si="5"/>
        <v>0</v>
      </c>
      <c r="BJ15" s="224">
        <f t="shared" si="3"/>
        <v>0</v>
      </c>
      <c r="BK15" s="224">
        <f t="shared" si="3"/>
        <v>0</v>
      </c>
      <c r="BL15" s="224">
        <f t="shared" si="3"/>
        <v>0</v>
      </c>
      <c r="BM15" s="224">
        <f t="shared" si="3"/>
        <v>0</v>
      </c>
      <c r="BN15" s="224">
        <f t="shared" si="3"/>
        <v>0</v>
      </c>
      <c r="BO15" s="224">
        <f t="shared" si="3"/>
        <v>0</v>
      </c>
      <c r="BP15" s="224">
        <f t="shared" si="3"/>
        <v>0</v>
      </c>
      <c r="BQ15" s="259">
        <f t="shared" si="4"/>
        <v>11364.934439389373</v>
      </c>
    </row>
    <row r="16" spans="1:69">
      <c r="A16" s="199" t="str">
        <f>Prop2018DistTar!A16</f>
        <v>D3</v>
      </c>
      <c r="B16" s="238" t="str">
        <f>Prop2018DistTar!B16</f>
        <v>Residential Interval</v>
      </c>
      <c r="C16" s="289"/>
      <c r="D16" s="673">
        <v>0</v>
      </c>
      <c r="E16" s="652">
        <v>0</v>
      </c>
      <c r="F16" s="652">
        <v>0.33</v>
      </c>
      <c r="G16" s="652">
        <v>0</v>
      </c>
      <c r="H16" s="652">
        <v>0</v>
      </c>
      <c r="I16" s="652">
        <v>0.33</v>
      </c>
      <c r="J16" s="652">
        <v>0</v>
      </c>
      <c r="K16" s="652">
        <v>0</v>
      </c>
      <c r="L16" s="652">
        <v>0</v>
      </c>
      <c r="M16" s="652">
        <v>0</v>
      </c>
      <c r="N16" s="652">
        <v>0</v>
      </c>
      <c r="O16" s="652">
        <v>0</v>
      </c>
      <c r="P16" s="652">
        <v>0</v>
      </c>
      <c r="Q16" s="652">
        <v>0</v>
      </c>
      <c r="R16" s="652">
        <v>0</v>
      </c>
      <c r="S16" s="652">
        <v>0</v>
      </c>
      <c r="T16" s="652">
        <v>0</v>
      </c>
      <c r="U16" s="652">
        <v>0</v>
      </c>
      <c r="V16" s="652">
        <v>0</v>
      </c>
      <c r="W16" s="652">
        <v>0</v>
      </c>
      <c r="X16" s="666">
        <v>0</v>
      </c>
      <c r="Z16" s="281">
        <f>Prop2018DistTar!AV16</f>
        <v>108683.36714234816</v>
      </c>
      <c r="AA16" s="255">
        <f>Prop2018DistTar!AW16</f>
        <v>0</v>
      </c>
      <c r="AB16" s="255">
        <f>Prop2018DistTar!AX16</f>
        <v>270572283.99365795</v>
      </c>
      <c r="AC16" s="255">
        <f>Prop2018DistTar!AY16</f>
        <v>0</v>
      </c>
      <c r="AD16" s="255">
        <f>Prop2018DistTar!AZ16</f>
        <v>0</v>
      </c>
      <c r="AE16" s="255">
        <f>Prop2018DistTar!BA16</f>
        <v>288164384.03561866</v>
      </c>
      <c r="AF16" s="255">
        <f>Prop2018DistTar!BB16</f>
        <v>0</v>
      </c>
      <c r="AG16" s="255">
        <f>Prop2018DistTar!BC16</f>
        <v>0</v>
      </c>
      <c r="AH16" s="255">
        <f>Prop2018DistTar!BD16</f>
        <v>0</v>
      </c>
      <c r="AI16" s="255">
        <f>Prop2018DistTar!BE16</f>
        <v>0</v>
      </c>
      <c r="AJ16" s="255">
        <f>Prop2018DistTar!BF16</f>
        <v>0</v>
      </c>
      <c r="AK16" s="255">
        <f>Prop2018DistTar!BG16</f>
        <v>0</v>
      </c>
      <c r="AL16" s="255">
        <f>Prop2018DistTar!BH16</f>
        <v>0</v>
      </c>
      <c r="AM16" s="255">
        <f>Prop2018DistTar!BI16</f>
        <v>0</v>
      </c>
      <c r="AN16" s="255">
        <f>Prop2018DistTar!BJ16</f>
        <v>0</v>
      </c>
      <c r="AO16" s="255">
        <f>Prop2018DistTar!BK16</f>
        <v>0</v>
      </c>
      <c r="AP16" s="255">
        <f>Prop2018DistTar!BL16</f>
        <v>0</v>
      </c>
      <c r="AQ16" s="255">
        <f>Prop2018DistTar!BM16</f>
        <v>0</v>
      </c>
      <c r="AR16" s="255">
        <f>Prop2018DistTar!BN16</f>
        <v>0</v>
      </c>
      <c r="AS16" s="255">
        <f>Prop2018DistTar!BO16</f>
        <v>0</v>
      </c>
      <c r="AT16" s="256">
        <f>Prop2018DistTar!BP16</f>
        <v>0</v>
      </c>
      <c r="AV16" s="257">
        <f t="shared" si="0"/>
        <v>0</v>
      </c>
      <c r="AW16" s="224">
        <f t="shared" si="1"/>
        <v>0</v>
      </c>
      <c r="AX16" s="224">
        <f t="shared" si="1"/>
        <v>892888.53717907122</v>
      </c>
      <c r="AY16" s="224">
        <f t="shared" si="1"/>
        <v>0</v>
      </c>
      <c r="AZ16" s="224">
        <f t="shared" si="1"/>
        <v>0</v>
      </c>
      <c r="BA16" s="224">
        <f t="shared" si="1"/>
        <v>950942.4673175416</v>
      </c>
      <c r="BB16" s="224">
        <f t="shared" si="1"/>
        <v>0</v>
      </c>
      <c r="BC16" s="224">
        <f t="shared" si="1"/>
        <v>0</v>
      </c>
      <c r="BD16" s="224">
        <f t="shared" si="1"/>
        <v>0</v>
      </c>
      <c r="BE16" s="224">
        <f t="shared" si="2"/>
        <v>0</v>
      </c>
      <c r="BF16" s="224">
        <f t="shared" si="2"/>
        <v>0</v>
      </c>
      <c r="BG16" s="224">
        <f t="shared" si="2"/>
        <v>0</v>
      </c>
      <c r="BH16" s="224">
        <f t="shared" si="2"/>
        <v>0</v>
      </c>
      <c r="BI16" s="224">
        <f t="shared" si="5"/>
        <v>0</v>
      </c>
      <c r="BJ16" s="224">
        <f t="shared" si="3"/>
        <v>0</v>
      </c>
      <c r="BK16" s="224">
        <f t="shared" si="3"/>
        <v>0</v>
      </c>
      <c r="BL16" s="224">
        <f t="shared" si="3"/>
        <v>0</v>
      </c>
      <c r="BM16" s="224">
        <f t="shared" si="3"/>
        <v>0</v>
      </c>
      <c r="BN16" s="224">
        <f t="shared" si="3"/>
        <v>0</v>
      </c>
      <c r="BO16" s="224">
        <f t="shared" si="3"/>
        <v>0</v>
      </c>
      <c r="BP16" s="224">
        <f t="shared" si="3"/>
        <v>0</v>
      </c>
      <c r="BQ16" s="259">
        <f t="shared" si="4"/>
        <v>1843831.0044966128</v>
      </c>
    </row>
    <row r="17" spans="1:69">
      <c r="A17" s="199" t="str">
        <f>Prop2018DistTar!A17</f>
        <v>D2OP</v>
      </c>
      <c r="B17" s="238" t="str">
        <f>Prop2018DistTar!B17</f>
        <v>Residential Two Rate 5d - controlled load</v>
      </c>
      <c r="C17" s="289"/>
      <c r="D17" s="673">
        <v>0</v>
      </c>
      <c r="E17" s="652">
        <v>0</v>
      </c>
      <c r="F17" s="652">
        <v>0</v>
      </c>
      <c r="G17" s="652">
        <v>0</v>
      </c>
      <c r="H17" s="652">
        <v>0</v>
      </c>
      <c r="I17" s="652">
        <v>0.33</v>
      </c>
      <c r="J17" s="652">
        <v>0</v>
      </c>
      <c r="K17" s="652">
        <v>0</v>
      </c>
      <c r="L17" s="652">
        <v>0</v>
      </c>
      <c r="M17" s="652">
        <v>0</v>
      </c>
      <c r="N17" s="652">
        <v>0</v>
      </c>
      <c r="O17" s="652">
        <v>0</v>
      </c>
      <c r="P17" s="652">
        <v>0</v>
      </c>
      <c r="Q17" s="652">
        <v>0</v>
      </c>
      <c r="R17" s="652">
        <v>0</v>
      </c>
      <c r="S17" s="652">
        <v>0</v>
      </c>
      <c r="T17" s="652">
        <v>0</v>
      </c>
      <c r="U17" s="652">
        <v>0</v>
      </c>
      <c r="V17" s="652">
        <v>0</v>
      </c>
      <c r="W17" s="652">
        <v>0</v>
      </c>
      <c r="X17" s="666">
        <v>0</v>
      </c>
      <c r="Z17" s="281">
        <f>Prop2018DistTar!AV17</f>
        <v>42980.366969201663</v>
      </c>
      <c r="AA17" s="255">
        <f>Prop2018DistTar!AW17</f>
        <v>0</v>
      </c>
      <c r="AB17" s="255">
        <f>Prop2018DistTar!AX17</f>
        <v>0</v>
      </c>
      <c r="AC17" s="255">
        <f>Prop2018DistTar!AY17</f>
        <v>0</v>
      </c>
      <c r="AD17" s="255">
        <f>Prop2018DistTar!AZ17</f>
        <v>0</v>
      </c>
      <c r="AE17" s="255">
        <f>Prop2018DistTar!BA17</f>
        <v>86643719.340103775</v>
      </c>
      <c r="AF17" s="255">
        <f>Prop2018DistTar!BB17</f>
        <v>0</v>
      </c>
      <c r="AG17" s="255">
        <f>Prop2018DistTar!BC17</f>
        <v>0</v>
      </c>
      <c r="AH17" s="255">
        <f>Prop2018DistTar!BD17</f>
        <v>0</v>
      </c>
      <c r="AI17" s="255">
        <f>Prop2018DistTar!BE17</f>
        <v>0</v>
      </c>
      <c r="AJ17" s="255">
        <f>Prop2018DistTar!BF17</f>
        <v>0</v>
      </c>
      <c r="AK17" s="255">
        <f>Prop2018DistTar!BG17</f>
        <v>0</v>
      </c>
      <c r="AL17" s="255">
        <f>Prop2018DistTar!BH17</f>
        <v>0</v>
      </c>
      <c r="AM17" s="255">
        <f>Prop2018DistTar!BI17</f>
        <v>0</v>
      </c>
      <c r="AN17" s="255">
        <f>Prop2018DistTar!BJ17</f>
        <v>0</v>
      </c>
      <c r="AO17" s="255">
        <f>Prop2018DistTar!BK17</f>
        <v>0</v>
      </c>
      <c r="AP17" s="255">
        <f>Prop2018DistTar!BL17</f>
        <v>0</v>
      </c>
      <c r="AQ17" s="255">
        <f>Prop2018DistTar!BM17</f>
        <v>0</v>
      </c>
      <c r="AR17" s="255">
        <f>Prop2018DistTar!BN17</f>
        <v>0</v>
      </c>
      <c r="AS17" s="255">
        <f>Prop2018DistTar!BO17</f>
        <v>0</v>
      </c>
      <c r="AT17" s="256">
        <f>Prop2018DistTar!BP17</f>
        <v>0</v>
      </c>
      <c r="AV17" s="257">
        <f t="shared" si="0"/>
        <v>0</v>
      </c>
      <c r="AW17" s="224">
        <f t="shared" si="1"/>
        <v>0</v>
      </c>
      <c r="AX17" s="224">
        <f t="shared" si="1"/>
        <v>0</v>
      </c>
      <c r="AY17" s="224">
        <f t="shared" si="1"/>
        <v>0</v>
      </c>
      <c r="AZ17" s="224">
        <f t="shared" si="1"/>
        <v>0</v>
      </c>
      <c r="BA17" s="224">
        <f t="shared" si="1"/>
        <v>285924.27382234245</v>
      </c>
      <c r="BB17" s="224">
        <f t="shared" si="1"/>
        <v>0</v>
      </c>
      <c r="BC17" s="224">
        <f t="shared" si="1"/>
        <v>0</v>
      </c>
      <c r="BD17" s="224">
        <f t="shared" si="1"/>
        <v>0</v>
      </c>
      <c r="BE17" s="224">
        <f t="shared" si="2"/>
        <v>0</v>
      </c>
      <c r="BF17" s="224">
        <f t="shared" si="2"/>
        <v>0</v>
      </c>
      <c r="BG17" s="224">
        <f t="shared" si="2"/>
        <v>0</v>
      </c>
      <c r="BH17" s="224">
        <f t="shared" si="2"/>
        <v>0</v>
      </c>
      <c r="BI17" s="224">
        <f t="shared" si="5"/>
        <v>0</v>
      </c>
      <c r="BJ17" s="224">
        <f t="shared" si="3"/>
        <v>0</v>
      </c>
      <c r="BK17" s="224">
        <f t="shared" si="3"/>
        <v>0</v>
      </c>
      <c r="BL17" s="224">
        <f t="shared" si="3"/>
        <v>0</v>
      </c>
      <c r="BM17" s="224">
        <f t="shared" si="3"/>
        <v>0</v>
      </c>
      <c r="BN17" s="224">
        <f t="shared" si="3"/>
        <v>0</v>
      </c>
      <c r="BO17" s="224">
        <f t="shared" si="3"/>
        <v>0</v>
      </c>
      <c r="BP17" s="224">
        <f t="shared" si="3"/>
        <v>0</v>
      </c>
      <c r="BQ17" s="259">
        <f t="shared" si="4"/>
        <v>285924.27382234245</v>
      </c>
    </row>
    <row r="18" spans="1:69">
      <c r="A18" s="199" t="str">
        <f>Prop2018DistTar!A18</f>
        <v>D2DKOP</v>
      </c>
      <c r="B18" s="238" t="str">
        <f>Prop2018DistTar!B18</f>
        <v>Docklands Two Rate 5d - controlled load</v>
      </c>
      <c r="C18" s="289"/>
      <c r="D18" s="673">
        <v>0</v>
      </c>
      <c r="E18" s="652">
        <v>0</v>
      </c>
      <c r="F18" s="652">
        <v>0</v>
      </c>
      <c r="G18" s="652">
        <v>0</v>
      </c>
      <c r="H18" s="652">
        <v>0</v>
      </c>
      <c r="I18" s="652">
        <v>0.33</v>
      </c>
      <c r="J18" s="652">
        <v>0</v>
      </c>
      <c r="K18" s="652">
        <v>0</v>
      </c>
      <c r="L18" s="652">
        <v>0</v>
      </c>
      <c r="M18" s="652">
        <v>0</v>
      </c>
      <c r="N18" s="652">
        <v>0</v>
      </c>
      <c r="O18" s="652">
        <v>0</v>
      </c>
      <c r="P18" s="652">
        <v>0</v>
      </c>
      <c r="Q18" s="652">
        <v>0</v>
      </c>
      <c r="R18" s="652">
        <v>0</v>
      </c>
      <c r="S18" s="652">
        <v>0</v>
      </c>
      <c r="T18" s="652">
        <v>0</v>
      </c>
      <c r="U18" s="652">
        <v>0</v>
      </c>
      <c r="V18" s="652">
        <v>0</v>
      </c>
      <c r="W18" s="652">
        <v>0</v>
      </c>
      <c r="X18" s="666">
        <v>0</v>
      </c>
      <c r="Z18" s="281">
        <f>Prop2018DistTar!AV18</f>
        <v>69.06153231550978</v>
      </c>
      <c r="AA18" s="255">
        <f>Prop2018DistTar!AW18</f>
        <v>0</v>
      </c>
      <c r="AB18" s="255">
        <f>Prop2018DistTar!AX18</f>
        <v>0</v>
      </c>
      <c r="AC18" s="255">
        <f>Prop2018DistTar!AY18</f>
        <v>0</v>
      </c>
      <c r="AD18" s="255">
        <f>Prop2018DistTar!AZ18</f>
        <v>0</v>
      </c>
      <c r="AE18" s="255">
        <f>Prop2018DistTar!BA18</f>
        <v>130691.57086432293</v>
      </c>
      <c r="AF18" s="255">
        <f>Prop2018DistTar!BB18</f>
        <v>0</v>
      </c>
      <c r="AG18" s="255">
        <f>Prop2018DistTar!BC18</f>
        <v>0</v>
      </c>
      <c r="AH18" s="255">
        <f>Prop2018DistTar!BD18</f>
        <v>0</v>
      </c>
      <c r="AI18" s="255">
        <f>Prop2018DistTar!BE18</f>
        <v>0</v>
      </c>
      <c r="AJ18" s="255">
        <f>Prop2018DistTar!BF18</f>
        <v>0</v>
      </c>
      <c r="AK18" s="255">
        <f>Prop2018DistTar!BG18</f>
        <v>0</v>
      </c>
      <c r="AL18" s="255">
        <f>Prop2018DistTar!BH18</f>
        <v>0</v>
      </c>
      <c r="AM18" s="255">
        <f>Prop2018DistTar!BI18</f>
        <v>0</v>
      </c>
      <c r="AN18" s="255">
        <f>Prop2018DistTar!BJ18</f>
        <v>0</v>
      </c>
      <c r="AO18" s="255">
        <f>Prop2018DistTar!BK18</f>
        <v>0</v>
      </c>
      <c r="AP18" s="255">
        <f>Prop2018DistTar!BL18</f>
        <v>0</v>
      </c>
      <c r="AQ18" s="255">
        <f>Prop2018DistTar!BM18</f>
        <v>0</v>
      </c>
      <c r="AR18" s="255">
        <f>Prop2018DistTar!BN18</f>
        <v>0</v>
      </c>
      <c r="AS18" s="255">
        <f>Prop2018DistTar!BO18</f>
        <v>0</v>
      </c>
      <c r="AT18" s="256">
        <f>Prop2018DistTar!BP18</f>
        <v>0</v>
      </c>
      <c r="AV18" s="257">
        <f t="shared" si="0"/>
        <v>0</v>
      </c>
      <c r="AW18" s="224">
        <f t="shared" si="1"/>
        <v>0</v>
      </c>
      <c r="AX18" s="224">
        <f t="shared" si="1"/>
        <v>0</v>
      </c>
      <c r="AY18" s="224">
        <f t="shared" si="1"/>
        <v>0</v>
      </c>
      <c r="AZ18" s="224">
        <f t="shared" si="1"/>
        <v>0</v>
      </c>
      <c r="BA18" s="224">
        <f t="shared" si="1"/>
        <v>431.28218385226569</v>
      </c>
      <c r="BB18" s="224">
        <f t="shared" si="1"/>
        <v>0</v>
      </c>
      <c r="BC18" s="224">
        <f t="shared" si="1"/>
        <v>0</v>
      </c>
      <c r="BD18" s="224">
        <f t="shared" si="1"/>
        <v>0</v>
      </c>
      <c r="BE18" s="224">
        <f t="shared" si="2"/>
        <v>0</v>
      </c>
      <c r="BF18" s="224">
        <f t="shared" si="2"/>
        <v>0</v>
      </c>
      <c r="BG18" s="224">
        <f t="shared" si="2"/>
        <v>0</v>
      </c>
      <c r="BH18" s="224">
        <f t="shared" si="2"/>
        <v>0</v>
      </c>
      <c r="BI18" s="224">
        <f t="shared" si="5"/>
        <v>0</v>
      </c>
      <c r="BJ18" s="224">
        <f t="shared" si="3"/>
        <v>0</v>
      </c>
      <c r="BK18" s="224">
        <f t="shared" si="3"/>
        <v>0</v>
      </c>
      <c r="BL18" s="224">
        <f t="shared" si="3"/>
        <v>0</v>
      </c>
      <c r="BM18" s="224">
        <f t="shared" si="3"/>
        <v>0</v>
      </c>
      <c r="BN18" s="224">
        <f t="shared" si="3"/>
        <v>0</v>
      </c>
      <c r="BO18" s="224">
        <f t="shared" si="3"/>
        <v>0</v>
      </c>
      <c r="BP18" s="224">
        <f t="shared" si="3"/>
        <v>0</v>
      </c>
      <c r="BQ18" s="259">
        <f t="shared" si="4"/>
        <v>431.28218385226569</v>
      </c>
    </row>
    <row r="19" spans="1:69">
      <c r="A19" s="199" t="str">
        <f>Prop2018DistTar!A19</f>
        <v>DD1</v>
      </c>
      <c r="B19" s="238" t="str">
        <f>Prop2018DistTar!B19</f>
        <v>Dedicated circuit</v>
      </c>
      <c r="C19" s="289"/>
      <c r="D19" s="673">
        <v>0</v>
      </c>
      <c r="E19" s="652">
        <v>0</v>
      </c>
      <c r="F19" s="652">
        <v>0</v>
      </c>
      <c r="G19" s="652">
        <v>0</v>
      </c>
      <c r="H19" s="652">
        <v>0</v>
      </c>
      <c r="I19" s="652">
        <v>0.33</v>
      </c>
      <c r="J19" s="652">
        <v>0</v>
      </c>
      <c r="K19" s="652">
        <v>0</v>
      </c>
      <c r="L19" s="652">
        <v>0</v>
      </c>
      <c r="M19" s="652">
        <v>0</v>
      </c>
      <c r="N19" s="652">
        <v>0</v>
      </c>
      <c r="O19" s="652">
        <v>0</v>
      </c>
      <c r="P19" s="652">
        <v>0</v>
      </c>
      <c r="Q19" s="652">
        <v>0</v>
      </c>
      <c r="R19" s="652">
        <v>0</v>
      </c>
      <c r="S19" s="652">
        <v>0</v>
      </c>
      <c r="T19" s="652">
        <v>0</v>
      </c>
      <c r="U19" s="652">
        <v>0</v>
      </c>
      <c r="V19" s="652">
        <v>0</v>
      </c>
      <c r="W19" s="652">
        <v>0</v>
      </c>
      <c r="X19" s="666">
        <v>0</v>
      </c>
      <c r="Z19" s="281">
        <f>Prop2018DistTar!AV19</f>
        <v>156259.03352615036</v>
      </c>
      <c r="AA19" s="255">
        <f>Prop2018DistTar!AW19</f>
        <v>0</v>
      </c>
      <c r="AB19" s="255">
        <f>Prop2018DistTar!AX19</f>
        <v>0</v>
      </c>
      <c r="AC19" s="255">
        <f>Prop2018DistTar!AY19</f>
        <v>0</v>
      </c>
      <c r="AD19" s="255">
        <f>Prop2018DistTar!AZ19</f>
        <v>0</v>
      </c>
      <c r="AE19" s="255">
        <f>Prop2018DistTar!BA19</f>
        <v>314989326.96128088</v>
      </c>
      <c r="AF19" s="255">
        <f>Prop2018DistTar!BB19</f>
        <v>0</v>
      </c>
      <c r="AG19" s="255">
        <f>Prop2018DistTar!BC19</f>
        <v>0</v>
      </c>
      <c r="AH19" s="255">
        <f>Prop2018DistTar!BD19</f>
        <v>0</v>
      </c>
      <c r="AI19" s="255">
        <f>Prop2018DistTar!BE19</f>
        <v>0</v>
      </c>
      <c r="AJ19" s="255">
        <f>Prop2018DistTar!BF19</f>
        <v>0</v>
      </c>
      <c r="AK19" s="255">
        <f>Prop2018DistTar!BG19</f>
        <v>0</v>
      </c>
      <c r="AL19" s="255">
        <f>Prop2018DistTar!BH19</f>
        <v>0</v>
      </c>
      <c r="AM19" s="255">
        <f>Prop2018DistTar!BI19</f>
        <v>0</v>
      </c>
      <c r="AN19" s="255">
        <f>Prop2018DistTar!BJ19</f>
        <v>0</v>
      </c>
      <c r="AO19" s="255">
        <f>Prop2018DistTar!BK19</f>
        <v>0</v>
      </c>
      <c r="AP19" s="255">
        <f>Prop2018DistTar!BL19</f>
        <v>0</v>
      </c>
      <c r="AQ19" s="255">
        <f>Prop2018DistTar!BM19</f>
        <v>0</v>
      </c>
      <c r="AR19" s="255">
        <f>Prop2018DistTar!BN19</f>
        <v>0</v>
      </c>
      <c r="AS19" s="255">
        <f>Prop2018DistTar!BO19</f>
        <v>0</v>
      </c>
      <c r="AT19" s="256">
        <f>Prop2018DistTar!BP19</f>
        <v>0</v>
      </c>
      <c r="AV19" s="257">
        <f t="shared" si="0"/>
        <v>0</v>
      </c>
      <c r="AW19" s="224">
        <f t="shared" si="1"/>
        <v>0</v>
      </c>
      <c r="AX19" s="224">
        <f t="shared" si="1"/>
        <v>0</v>
      </c>
      <c r="AY19" s="224">
        <f t="shared" si="1"/>
        <v>0</v>
      </c>
      <c r="AZ19" s="224">
        <f t="shared" si="1"/>
        <v>0</v>
      </c>
      <c r="BA19" s="224">
        <f t="shared" si="1"/>
        <v>1039464.7789722269</v>
      </c>
      <c r="BB19" s="224">
        <f t="shared" si="1"/>
        <v>0</v>
      </c>
      <c r="BC19" s="224">
        <f t="shared" si="1"/>
        <v>0</v>
      </c>
      <c r="BD19" s="224">
        <f t="shared" si="1"/>
        <v>0</v>
      </c>
      <c r="BE19" s="224">
        <f t="shared" si="2"/>
        <v>0</v>
      </c>
      <c r="BF19" s="224">
        <f t="shared" si="2"/>
        <v>0</v>
      </c>
      <c r="BG19" s="224">
        <f t="shared" si="2"/>
        <v>0</v>
      </c>
      <c r="BH19" s="224">
        <f t="shared" si="2"/>
        <v>0</v>
      </c>
      <c r="BI19" s="224">
        <f t="shared" si="5"/>
        <v>0</v>
      </c>
      <c r="BJ19" s="224">
        <f t="shared" si="3"/>
        <v>0</v>
      </c>
      <c r="BK19" s="224">
        <f t="shared" si="3"/>
        <v>0</v>
      </c>
      <c r="BL19" s="224">
        <f t="shared" si="3"/>
        <v>0</v>
      </c>
      <c r="BM19" s="224">
        <f t="shared" si="3"/>
        <v>0</v>
      </c>
      <c r="BN19" s="224">
        <f t="shared" si="3"/>
        <v>0</v>
      </c>
      <c r="BO19" s="224">
        <f t="shared" si="3"/>
        <v>0</v>
      </c>
      <c r="BP19" s="224">
        <f t="shared" si="3"/>
        <v>0</v>
      </c>
      <c r="BQ19" s="259">
        <f t="shared" si="4"/>
        <v>1039464.7789722269</v>
      </c>
    </row>
    <row r="20" spans="1:69">
      <c r="A20" s="199" t="str">
        <f>Prop2018DistTar!A20</f>
        <v>D3HW</v>
      </c>
      <c r="B20" s="238" t="str">
        <f>Prop2018DistTar!B20</f>
        <v>Hot Water Interval</v>
      </c>
      <c r="C20" s="289"/>
      <c r="D20" s="673">
        <v>0</v>
      </c>
      <c r="E20" s="652">
        <v>0</v>
      </c>
      <c r="F20" s="652">
        <v>0</v>
      </c>
      <c r="G20" s="652">
        <v>0</v>
      </c>
      <c r="H20" s="652">
        <v>0</v>
      </c>
      <c r="I20" s="652">
        <v>0.33</v>
      </c>
      <c r="J20" s="652">
        <v>0</v>
      </c>
      <c r="K20" s="652">
        <v>0</v>
      </c>
      <c r="L20" s="652">
        <v>0</v>
      </c>
      <c r="M20" s="652">
        <v>0</v>
      </c>
      <c r="N20" s="652">
        <v>0</v>
      </c>
      <c r="O20" s="652">
        <v>0</v>
      </c>
      <c r="P20" s="652">
        <v>0</v>
      </c>
      <c r="Q20" s="652">
        <v>0</v>
      </c>
      <c r="R20" s="652">
        <v>0</v>
      </c>
      <c r="S20" s="652">
        <v>0</v>
      </c>
      <c r="T20" s="652">
        <v>0</v>
      </c>
      <c r="U20" s="652">
        <v>0</v>
      </c>
      <c r="V20" s="652">
        <v>0</v>
      </c>
      <c r="W20" s="652">
        <v>0</v>
      </c>
      <c r="X20" s="666">
        <v>0</v>
      </c>
      <c r="Z20" s="281">
        <f>Prop2018DistTar!AV20</f>
        <v>5471.4804018196492</v>
      </c>
      <c r="AA20" s="255">
        <f>Prop2018DistTar!AW20</f>
        <v>0</v>
      </c>
      <c r="AB20" s="255">
        <f>Prop2018DistTar!AX20</f>
        <v>0</v>
      </c>
      <c r="AC20" s="255">
        <f>Prop2018DistTar!AY20</f>
        <v>0</v>
      </c>
      <c r="AD20" s="255">
        <f>Prop2018DistTar!AZ20</f>
        <v>0</v>
      </c>
      <c r="AE20" s="255">
        <f>Prop2018DistTar!BA20</f>
        <v>10630893.4556701</v>
      </c>
      <c r="AF20" s="255">
        <f>Prop2018DistTar!BB20</f>
        <v>0</v>
      </c>
      <c r="AG20" s="255">
        <f>Prop2018DistTar!BC20</f>
        <v>0</v>
      </c>
      <c r="AH20" s="255">
        <f>Prop2018DistTar!BD20</f>
        <v>0</v>
      </c>
      <c r="AI20" s="255">
        <f>Prop2018DistTar!BE20</f>
        <v>0</v>
      </c>
      <c r="AJ20" s="255">
        <f>Prop2018DistTar!BF20</f>
        <v>0</v>
      </c>
      <c r="AK20" s="255">
        <f>Prop2018DistTar!BG20</f>
        <v>0</v>
      </c>
      <c r="AL20" s="255">
        <f>Prop2018DistTar!BH20</f>
        <v>0</v>
      </c>
      <c r="AM20" s="255">
        <f>Prop2018DistTar!BI20</f>
        <v>0</v>
      </c>
      <c r="AN20" s="255">
        <f>Prop2018DistTar!BJ20</f>
        <v>0</v>
      </c>
      <c r="AO20" s="255">
        <f>Prop2018DistTar!BK20</f>
        <v>0</v>
      </c>
      <c r="AP20" s="255">
        <f>Prop2018DistTar!BL20</f>
        <v>0</v>
      </c>
      <c r="AQ20" s="255">
        <f>Prop2018DistTar!BM20</f>
        <v>0</v>
      </c>
      <c r="AR20" s="255">
        <f>Prop2018DistTar!BN20</f>
        <v>0</v>
      </c>
      <c r="AS20" s="255">
        <f>Prop2018DistTar!BO20</f>
        <v>0</v>
      </c>
      <c r="AT20" s="256">
        <f>Prop2018DistTar!BP20</f>
        <v>0</v>
      </c>
      <c r="AV20" s="257">
        <f t="shared" si="0"/>
        <v>0</v>
      </c>
      <c r="AW20" s="224">
        <f t="shared" si="1"/>
        <v>0</v>
      </c>
      <c r="AX20" s="224">
        <f t="shared" si="1"/>
        <v>0</v>
      </c>
      <c r="AY20" s="224">
        <f t="shared" si="1"/>
        <v>0</v>
      </c>
      <c r="AZ20" s="224">
        <f t="shared" si="1"/>
        <v>0</v>
      </c>
      <c r="BA20" s="224">
        <f t="shared" si="1"/>
        <v>35081.948403711329</v>
      </c>
      <c r="BB20" s="224">
        <f t="shared" si="1"/>
        <v>0</v>
      </c>
      <c r="BC20" s="224">
        <f t="shared" si="1"/>
        <v>0</v>
      </c>
      <c r="BD20" s="224">
        <f t="shared" si="1"/>
        <v>0</v>
      </c>
      <c r="BE20" s="224">
        <f t="shared" si="2"/>
        <v>0</v>
      </c>
      <c r="BF20" s="224">
        <f t="shared" si="2"/>
        <v>0</v>
      </c>
      <c r="BG20" s="224">
        <f t="shared" si="2"/>
        <v>0</v>
      </c>
      <c r="BH20" s="224">
        <f t="shared" si="2"/>
        <v>0</v>
      </c>
      <c r="BI20" s="224">
        <f t="shared" si="5"/>
        <v>0</v>
      </c>
      <c r="BJ20" s="224">
        <f t="shared" si="3"/>
        <v>0</v>
      </c>
      <c r="BK20" s="224">
        <f t="shared" si="3"/>
        <v>0</v>
      </c>
      <c r="BL20" s="224">
        <f t="shared" si="3"/>
        <v>0</v>
      </c>
      <c r="BM20" s="224">
        <f t="shared" si="3"/>
        <v>0</v>
      </c>
      <c r="BN20" s="224">
        <f t="shared" si="3"/>
        <v>0</v>
      </c>
      <c r="BO20" s="224">
        <f t="shared" si="3"/>
        <v>0</v>
      </c>
      <c r="BP20" s="224">
        <f t="shared" si="3"/>
        <v>0</v>
      </c>
      <c r="BQ20" s="259">
        <f t="shared" si="4"/>
        <v>35081.948403711329</v>
      </c>
    </row>
    <row r="21" spans="1:69">
      <c r="A21" s="199" t="str">
        <f>Prop2018DistTar!A21</f>
        <v>DD</v>
      </c>
      <c r="B21" s="238" t="str">
        <f>Prop2018DistTar!B21</f>
        <v>Residential Demand</v>
      </c>
      <c r="C21" s="289"/>
      <c r="D21" s="673">
        <v>0</v>
      </c>
      <c r="E21" s="652">
        <v>0.33</v>
      </c>
      <c r="F21" s="652">
        <v>0</v>
      </c>
      <c r="G21" s="652">
        <v>0</v>
      </c>
      <c r="H21" s="652">
        <v>0</v>
      </c>
      <c r="I21" s="652">
        <v>0</v>
      </c>
      <c r="J21" s="652">
        <v>0</v>
      </c>
      <c r="K21" s="652">
        <v>0</v>
      </c>
      <c r="L21" s="652">
        <v>0</v>
      </c>
      <c r="M21" s="652">
        <v>0</v>
      </c>
      <c r="N21" s="652">
        <v>0</v>
      </c>
      <c r="O21" s="652">
        <v>0</v>
      </c>
      <c r="P21" s="652">
        <v>0</v>
      </c>
      <c r="Q21" s="652">
        <v>0</v>
      </c>
      <c r="R21" s="652">
        <v>0</v>
      </c>
      <c r="S21" s="652">
        <v>0</v>
      </c>
      <c r="T21" s="652">
        <v>0</v>
      </c>
      <c r="U21" s="652">
        <v>0</v>
      </c>
      <c r="V21" s="652">
        <v>0</v>
      </c>
      <c r="W21" s="652">
        <v>0</v>
      </c>
      <c r="X21" s="666">
        <v>0</v>
      </c>
      <c r="Z21" s="281">
        <f>Prop2018DistTar!AV21</f>
        <v>5</v>
      </c>
      <c r="AA21" s="255">
        <f>Prop2018DistTar!AW21</f>
        <v>27500</v>
      </c>
      <c r="AB21" s="255">
        <f>Prop2018DistTar!AX21</f>
        <v>0</v>
      </c>
      <c r="AC21" s="255">
        <f>Prop2018DistTar!AY21</f>
        <v>0</v>
      </c>
      <c r="AD21" s="255">
        <f>Prop2018DistTar!AZ21</f>
        <v>0</v>
      </c>
      <c r="AE21" s="255">
        <f>Prop2018DistTar!BA21</f>
        <v>0</v>
      </c>
      <c r="AF21" s="255">
        <f>Prop2018DistTar!BB21</f>
        <v>0</v>
      </c>
      <c r="AG21" s="255">
        <f>Prop2018DistTar!BC21</f>
        <v>0</v>
      </c>
      <c r="AH21" s="255">
        <f>Prop2018DistTar!BD21</f>
        <v>0</v>
      </c>
      <c r="AI21" s="255">
        <f>Prop2018DistTar!BE21</f>
        <v>0</v>
      </c>
      <c r="AJ21" s="255">
        <f>Prop2018DistTar!BF21</f>
        <v>0</v>
      </c>
      <c r="AK21" s="255">
        <f>Prop2018DistTar!BG21</f>
        <v>62.785388127853878</v>
      </c>
      <c r="AL21" s="255">
        <f>Prop2018DistTar!BH21</f>
        <v>100.45662100456622</v>
      </c>
      <c r="AM21" s="255">
        <f>Prop2018DistTar!BI21</f>
        <v>0</v>
      </c>
      <c r="AN21" s="255">
        <f>Prop2018DistTar!BJ21</f>
        <v>0</v>
      </c>
      <c r="AO21" s="255">
        <f>Prop2018DistTar!BK21</f>
        <v>0</v>
      </c>
      <c r="AP21" s="255">
        <f>Prop2018DistTar!BL21</f>
        <v>0</v>
      </c>
      <c r="AQ21" s="255">
        <f>Prop2018DistTar!BM21</f>
        <v>0</v>
      </c>
      <c r="AR21" s="255">
        <f>Prop2018DistTar!BN21</f>
        <v>0</v>
      </c>
      <c r="AS21" s="255">
        <f>Prop2018DistTar!BO21</f>
        <v>0</v>
      </c>
      <c r="AT21" s="256">
        <f>Prop2018DistTar!BP21</f>
        <v>0</v>
      </c>
      <c r="AV21" s="257">
        <f t="shared" si="0"/>
        <v>0</v>
      </c>
      <c r="AW21" s="224">
        <f t="shared" si="1"/>
        <v>90.75</v>
      </c>
      <c r="AX21" s="224">
        <f t="shared" si="1"/>
        <v>0</v>
      </c>
      <c r="AY21" s="224">
        <f t="shared" si="1"/>
        <v>0</v>
      </c>
      <c r="AZ21" s="224">
        <f t="shared" si="1"/>
        <v>0</v>
      </c>
      <c r="BA21" s="224">
        <f t="shared" si="1"/>
        <v>0</v>
      </c>
      <c r="BB21" s="224">
        <f t="shared" si="1"/>
        <v>0</v>
      </c>
      <c r="BC21" s="224">
        <f t="shared" si="1"/>
        <v>0</v>
      </c>
      <c r="BD21" s="224">
        <f t="shared" si="1"/>
        <v>0</v>
      </c>
      <c r="BE21" s="224">
        <f t="shared" si="2"/>
        <v>0</v>
      </c>
      <c r="BF21" s="224">
        <f t="shared" si="2"/>
        <v>0</v>
      </c>
      <c r="BG21" s="224">
        <f t="shared" si="2"/>
        <v>0</v>
      </c>
      <c r="BH21" s="224">
        <f t="shared" si="2"/>
        <v>0</v>
      </c>
      <c r="BI21" s="224">
        <f t="shared" si="5"/>
        <v>0</v>
      </c>
      <c r="BJ21" s="224">
        <f t="shared" si="3"/>
        <v>0</v>
      </c>
      <c r="BK21" s="224">
        <f t="shared" si="3"/>
        <v>0</v>
      </c>
      <c r="BL21" s="224">
        <f t="shared" si="3"/>
        <v>0</v>
      </c>
      <c r="BM21" s="224">
        <f t="shared" si="3"/>
        <v>0</v>
      </c>
      <c r="BN21" s="224">
        <f t="shared" si="3"/>
        <v>0</v>
      </c>
      <c r="BO21" s="224">
        <f t="shared" si="3"/>
        <v>0</v>
      </c>
      <c r="BP21" s="224">
        <f t="shared" si="3"/>
        <v>0</v>
      </c>
      <c r="BQ21" s="259">
        <f t="shared" si="4"/>
        <v>90.75</v>
      </c>
    </row>
    <row r="22" spans="1:69">
      <c r="A22" s="199" t="str">
        <f>Prop2018DistTar!A22</f>
        <v>DDNEW</v>
      </c>
      <c r="B22" s="238" t="str">
        <f>Prop2018DistTar!B22</f>
        <v>Newstead Residential Trial</v>
      </c>
      <c r="C22" s="289"/>
      <c r="D22" s="673">
        <v>0</v>
      </c>
      <c r="E22" s="652">
        <v>0</v>
      </c>
      <c r="F22" s="652">
        <v>0</v>
      </c>
      <c r="G22" s="652">
        <v>0</v>
      </c>
      <c r="H22" s="652">
        <v>0</v>
      </c>
      <c r="I22" s="652">
        <v>0</v>
      </c>
      <c r="J22" s="652">
        <v>0</v>
      </c>
      <c r="K22" s="652">
        <v>0</v>
      </c>
      <c r="L22" s="652">
        <v>0</v>
      </c>
      <c r="M22" s="652">
        <v>0</v>
      </c>
      <c r="N22" s="652">
        <v>0</v>
      </c>
      <c r="O22" s="652">
        <v>0</v>
      </c>
      <c r="P22" s="652">
        <v>0</v>
      </c>
      <c r="Q22" s="652">
        <v>0</v>
      </c>
      <c r="R22" s="652">
        <v>0</v>
      </c>
      <c r="S22" s="652">
        <v>0</v>
      </c>
      <c r="T22" s="652">
        <v>0</v>
      </c>
      <c r="U22" s="652">
        <v>0</v>
      </c>
      <c r="V22" s="652">
        <v>0</v>
      </c>
      <c r="W22" s="652">
        <v>0</v>
      </c>
      <c r="X22" s="666">
        <v>0</v>
      </c>
      <c r="Z22" s="281">
        <f>Prop2018DistTar!AV22</f>
        <v>0</v>
      </c>
      <c r="AA22" s="255">
        <f>Prop2018DistTar!AW22</f>
        <v>0</v>
      </c>
      <c r="AB22" s="255">
        <f>Prop2018DistTar!AX22</f>
        <v>0</v>
      </c>
      <c r="AC22" s="255">
        <f>Prop2018DistTar!AY22</f>
        <v>0</v>
      </c>
      <c r="AD22" s="255">
        <f>Prop2018DistTar!AZ22</f>
        <v>0</v>
      </c>
      <c r="AE22" s="255">
        <f>Prop2018DistTar!BA22</f>
        <v>0</v>
      </c>
      <c r="AF22" s="255">
        <f>Prop2018DistTar!BB22</f>
        <v>0</v>
      </c>
      <c r="AG22" s="255">
        <f>Prop2018DistTar!BC22</f>
        <v>0</v>
      </c>
      <c r="AH22" s="255">
        <f>Prop2018DistTar!BD22</f>
        <v>0</v>
      </c>
      <c r="AI22" s="255">
        <f>Prop2018DistTar!BE22</f>
        <v>0</v>
      </c>
      <c r="AJ22" s="255">
        <f>Prop2018DistTar!BF22</f>
        <v>0</v>
      </c>
      <c r="AK22" s="255">
        <f>Prop2018DistTar!BG22</f>
        <v>0</v>
      </c>
      <c r="AL22" s="255">
        <f>Prop2018DistTar!BH22</f>
        <v>0</v>
      </c>
      <c r="AM22" s="255">
        <f>Prop2018DistTar!BI22</f>
        <v>0</v>
      </c>
      <c r="AN22" s="255">
        <f>Prop2018DistTar!BJ22</f>
        <v>0</v>
      </c>
      <c r="AO22" s="255">
        <f>Prop2018DistTar!BK22</f>
        <v>0</v>
      </c>
      <c r="AP22" s="255">
        <f>Prop2018DistTar!BL22</f>
        <v>0</v>
      </c>
      <c r="AQ22" s="255">
        <f>Prop2018DistTar!BM22</f>
        <v>0</v>
      </c>
      <c r="AR22" s="255">
        <f>Prop2018DistTar!BN22</f>
        <v>0</v>
      </c>
      <c r="AS22" s="255">
        <f>Prop2018DistTar!BO22</f>
        <v>0</v>
      </c>
      <c r="AT22" s="256">
        <f>Prop2018DistTar!BP22</f>
        <v>0</v>
      </c>
      <c r="AV22" s="257">
        <f t="shared" si="0"/>
        <v>0</v>
      </c>
      <c r="AW22" s="224">
        <f t="shared" si="1"/>
        <v>0</v>
      </c>
      <c r="AX22" s="224">
        <f t="shared" si="1"/>
        <v>0</v>
      </c>
      <c r="AY22" s="224">
        <f t="shared" si="1"/>
        <v>0</v>
      </c>
      <c r="AZ22" s="224">
        <f t="shared" si="1"/>
        <v>0</v>
      </c>
      <c r="BA22" s="224">
        <f t="shared" si="1"/>
        <v>0</v>
      </c>
      <c r="BB22" s="224">
        <f t="shared" si="1"/>
        <v>0</v>
      </c>
      <c r="BC22" s="224">
        <f t="shared" si="1"/>
        <v>0</v>
      </c>
      <c r="BD22" s="224">
        <f t="shared" si="1"/>
        <v>0</v>
      </c>
      <c r="BE22" s="224">
        <f t="shared" si="2"/>
        <v>0</v>
      </c>
      <c r="BF22" s="224">
        <f t="shared" si="2"/>
        <v>0</v>
      </c>
      <c r="BG22" s="224">
        <f t="shared" si="2"/>
        <v>0</v>
      </c>
      <c r="BH22" s="224">
        <f t="shared" si="2"/>
        <v>0</v>
      </c>
      <c r="BI22" s="224">
        <f t="shared" si="5"/>
        <v>0</v>
      </c>
      <c r="BJ22" s="224">
        <f t="shared" si="3"/>
        <v>0</v>
      </c>
      <c r="BK22" s="224">
        <f t="shared" si="3"/>
        <v>0</v>
      </c>
      <c r="BL22" s="224">
        <f t="shared" si="3"/>
        <v>0</v>
      </c>
      <c r="BM22" s="224">
        <f t="shared" si="3"/>
        <v>0</v>
      </c>
      <c r="BN22" s="224">
        <f t="shared" si="3"/>
        <v>0</v>
      </c>
      <c r="BO22" s="224">
        <f t="shared" si="3"/>
        <v>0</v>
      </c>
      <c r="BP22" s="224">
        <f t="shared" si="3"/>
        <v>0</v>
      </c>
      <c r="BQ22" s="259">
        <f t="shared" si="4"/>
        <v>0</v>
      </c>
    </row>
    <row r="23" spans="1:69">
      <c r="A23" s="199" t="str">
        <f>Prop2018DistTar!A23</f>
        <v>ND1</v>
      </c>
      <c r="B23" s="238" t="str">
        <f>Prop2018DistTar!B23</f>
        <v>Non-Residential Single Rate</v>
      </c>
      <c r="C23" s="289"/>
      <c r="D23" s="673">
        <v>0</v>
      </c>
      <c r="E23" s="652">
        <v>0.33</v>
      </c>
      <c r="F23" s="652">
        <v>0</v>
      </c>
      <c r="G23" s="652">
        <v>0</v>
      </c>
      <c r="H23" s="652">
        <v>0</v>
      </c>
      <c r="I23" s="652">
        <v>0</v>
      </c>
      <c r="J23" s="652">
        <v>0</v>
      </c>
      <c r="K23" s="652">
        <v>0</v>
      </c>
      <c r="L23" s="652">
        <v>0</v>
      </c>
      <c r="M23" s="652">
        <v>0</v>
      </c>
      <c r="N23" s="652">
        <v>0</v>
      </c>
      <c r="O23" s="652">
        <v>0</v>
      </c>
      <c r="P23" s="652">
        <v>0</v>
      </c>
      <c r="Q23" s="652">
        <v>0</v>
      </c>
      <c r="R23" s="652">
        <v>0</v>
      </c>
      <c r="S23" s="652">
        <v>0</v>
      </c>
      <c r="T23" s="652">
        <v>0</v>
      </c>
      <c r="U23" s="652">
        <v>0</v>
      </c>
      <c r="V23" s="652">
        <v>0</v>
      </c>
      <c r="W23" s="652">
        <v>0</v>
      </c>
      <c r="X23" s="666">
        <v>0</v>
      </c>
      <c r="Z23" s="281">
        <f>Prop2018DistTar!AV23</f>
        <v>42209.54354501221</v>
      </c>
      <c r="AA23" s="255">
        <f>Prop2018DistTar!AW23</f>
        <v>256381416.1258947</v>
      </c>
      <c r="AB23" s="255">
        <f>Prop2018DistTar!AX23</f>
        <v>0</v>
      </c>
      <c r="AC23" s="255">
        <f>Prop2018DistTar!AY23</f>
        <v>0</v>
      </c>
      <c r="AD23" s="255">
        <f>Prop2018DistTar!AZ23</f>
        <v>0</v>
      </c>
      <c r="AE23" s="255">
        <f>Prop2018DistTar!BA23</f>
        <v>0</v>
      </c>
      <c r="AF23" s="255">
        <f>Prop2018DistTar!BB23</f>
        <v>0</v>
      </c>
      <c r="AG23" s="255">
        <f>Prop2018DistTar!BC23</f>
        <v>0</v>
      </c>
      <c r="AH23" s="255">
        <f>Prop2018DistTar!BD23</f>
        <v>0</v>
      </c>
      <c r="AI23" s="255">
        <f>Prop2018DistTar!BE23</f>
        <v>0</v>
      </c>
      <c r="AJ23" s="255">
        <f>Prop2018DistTar!BF23</f>
        <v>0</v>
      </c>
      <c r="AK23" s="255">
        <f>Prop2018DistTar!BG23</f>
        <v>0</v>
      </c>
      <c r="AL23" s="255">
        <f>Prop2018DistTar!BH23</f>
        <v>0</v>
      </c>
      <c r="AM23" s="255">
        <f>Prop2018DistTar!BI23</f>
        <v>0</v>
      </c>
      <c r="AN23" s="255">
        <f>Prop2018DistTar!BJ23</f>
        <v>0</v>
      </c>
      <c r="AO23" s="255">
        <f>Prop2018DistTar!BK23</f>
        <v>0</v>
      </c>
      <c r="AP23" s="255">
        <f>Prop2018DistTar!BL23</f>
        <v>0</v>
      </c>
      <c r="AQ23" s="255">
        <f>Prop2018DistTar!BM23</f>
        <v>0</v>
      </c>
      <c r="AR23" s="255">
        <f>Prop2018DistTar!BN23</f>
        <v>0</v>
      </c>
      <c r="AS23" s="255">
        <f>Prop2018DistTar!BO23</f>
        <v>0</v>
      </c>
      <c r="AT23" s="256">
        <f>Prop2018DistTar!BP23</f>
        <v>0</v>
      </c>
      <c r="AV23" s="257">
        <f t="shared" si="0"/>
        <v>0</v>
      </c>
      <c r="AW23" s="224">
        <f t="shared" si="1"/>
        <v>846058.67321545247</v>
      </c>
      <c r="AX23" s="224">
        <f t="shared" si="1"/>
        <v>0</v>
      </c>
      <c r="AY23" s="224">
        <f t="shared" si="1"/>
        <v>0</v>
      </c>
      <c r="AZ23" s="224">
        <f t="shared" si="1"/>
        <v>0</v>
      </c>
      <c r="BA23" s="224">
        <f t="shared" si="1"/>
        <v>0</v>
      </c>
      <c r="BB23" s="224">
        <f t="shared" si="1"/>
        <v>0</v>
      </c>
      <c r="BC23" s="224">
        <f t="shared" si="1"/>
        <v>0</v>
      </c>
      <c r="BD23" s="224">
        <f t="shared" si="1"/>
        <v>0</v>
      </c>
      <c r="BE23" s="224">
        <f t="shared" si="2"/>
        <v>0</v>
      </c>
      <c r="BF23" s="224">
        <f t="shared" si="2"/>
        <v>0</v>
      </c>
      <c r="BG23" s="224">
        <f t="shared" si="2"/>
        <v>0</v>
      </c>
      <c r="BH23" s="224">
        <f t="shared" si="2"/>
        <v>0</v>
      </c>
      <c r="BI23" s="224">
        <f t="shared" si="5"/>
        <v>0</v>
      </c>
      <c r="BJ23" s="224">
        <f t="shared" si="3"/>
        <v>0</v>
      </c>
      <c r="BK23" s="224">
        <f t="shared" si="3"/>
        <v>0</v>
      </c>
      <c r="BL23" s="224">
        <f t="shared" si="3"/>
        <v>0</v>
      </c>
      <c r="BM23" s="224">
        <f t="shared" si="3"/>
        <v>0</v>
      </c>
      <c r="BN23" s="224">
        <f t="shared" si="3"/>
        <v>0</v>
      </c>
      <c r="BO23" s="224">
        <f t="shared" si="3"/>
        <v>0</v>
      </c>
      <c r="BP23" s="224">
        <f t="shared" si="3"/>
        <v>0</v>
      </c>
      <c r="BQ23" s="259">
        <f t="shared" si="4"/>
        <v>846058.67321545247</v>
      </c>
    </row>
    <row r="24" spans="1:69">
      <c r="A24" s="199" t="str">
        <f>Prop2018DistTar!A24</f>
        <v>P14G</v>
      </c>
      <c r="B24" s="238" t="str">
        <f>Prop2018DistTar!B24</f>
        <v>Non-Residential Flexible Pricing</v>
      </c>
      <c r="C24" s="289"/>
      <c r="D24" s="673">
        <v>0</v>
      </c>
      <c r="E24" s="652">
        <v>0</v>
      </c>
      <c r="F24" s="652">
        <v>0</v>
      </c>
      <c r="G24" s="652">
        <v>0</v>
      </c>
      <c r="H24" s="652">
        <v>0</v>
      </c>
      <c r="I24" s="652">
        <v>0</v>
      </c>
      <c r="J24" s="652">
        <v>0</v>
      </c>
      <c r="K24" s="652">
        <v>0</v>
      </c>
      <c r="L24" s="652">
        <v>0</v>
      </c>
      <c r="M24" s="652">
        <v>0</v>
      </c>
      <c r="N24" s="652">
        <v>0</v>
      </c>
      <c r="O24" s="652">
        <v>0</v>
      </c>
      <c r="P24" s="652">
        <v>0</v>
      </c>
      <c r="Q24" s="652">
        <v>0.33</v>
      </c>
      <c r="R24" s="652">
        <v>0.33</v>
      </c>
      <c r="S24" s="652">
        <v>0.33</v>
      </c>
      <c r="T24" s="652">
        <v>0</v>
      </c>
      <c r="U24" s="652">
        <v>0.33</v>
      </c>
      <c r="V24" s="652">
        <v>0.33</v>
      </c>
      <c r="W24" s="652">
        <v>0.33</v>
      </c>
      <c r="X24" s="666">
        <v>0</v>
      </c>
      <c r="Z24" s="281">
        <f>Prop2018DistTar!AV24</f>
        <v>186.11307242474166</v>
      </c>
      <c r="AA24" s="255">
        <f>Prop2018DistTar!AW24</f>
        <v>0</v>
      </c>
      <c r="AB24" s="255">
        <f>Prop2018DistTar!AX24</f>
        <v>0</v>
      </c>
      <c r="AC24" s="255">
        <f>Prop2018DistTar!AY24</f>
        <v>0</v>
      </c>
      <c r="AD24" s="255">
        <f>Prop2018DistTar!AZ24</f>
        <v>0</v>
      </c>
      <c r="AE24" s="255">
        <f>Prop2018DistTar!BA24</f>
        <v>0</v>
      </c>
      <c r="AF24" s="255">
        <f>Prop2018DistTar!BB24</f>
        <v>0</v>
      </c>
      <c r="AG24" s="255">
        <f>Prop2018DistTar!BC24</f>
        <v>0</v>
      </c>
      <c r="AH24" s="255">
        <f>Prop2018DistTar!BD24</f>
        <v>0</v>
      </c>
      <c r="AI24" s="255">
        <f>Prop2018DistTar!BE24</f>
        <v>0</v>
      </c>
      <c r="AJ24" s="255">
        <f>Prop2018DistTar!BF24</f>
        <v>0</v>
      </c>
      <c r="AK24" s="255">
        <f>Prop2018DistTar!BG24</f>
        <v>0</v>
      </c>
      <c r="AL24" s="255">
        <f>Prop2018DistTar!BH24</f>
        <v>0</v>
      </c>
      <c r="AM24" s="255">
        <f>Prop2018DistTar!BI24</f>
        <v>425233.80130471708</v>
      </c>
      <c r="AN24" s="255">
        <f>Prop2018DistTar!BJ24</f>
        <v>148156.11479246127</v>
      </c>
      <c r="AO24" s="255">
        <f>Prop2018DistTar!BK24</f>
        <v>478715.03718373307</v>
      </c>
      <c r="AP24" s="255">
        <f>Prop2018DistTar!BL24</f>
        <v>0</v>
      </c>
      <c r="AQ24" s="255">
        <f>Prop2018DistTar!BM24</f>
        <v>1248433.2383987384</v>
      </c>
      <c r="AR24" s="255">
        <f>Prop2018DistTar!BN24</f>
        <v>361061.69917074154</v>
      </c>
      <c r="AS24" s="255">
        <f>Prop2018DistTar!BO24</f>
        <v>1112012.8908404843</v>
      </c>
      <c r="AT24" s="256">
        <f>Prop2018DistTar!BP24</f>
        <v>0</v>
      </c>
      <c r="AV24" s="257">
        <f t="shared" si="0"/>
        <v>0</v>
      </c>
      <c r="AW24" s="224">
        <f t="shared" si="1"/>
        <v>0</v>
      </c>
      <c r="AX24" s="224">
        <f t="shared" si="1"/>
        <v>0</v>
      </c>
      <c r="AY24" s="224">
        <f t="shared" si="1"/>
        <v>0</v>
      </c>
      <c r="AZ24" s="224">
        <f t="shared" si="1"/>
        <v>0</v>
      </c>
      <c r="BA24" s="224">
        <f t="shared" si="1"/>
        <v>0</v>
      </c>
      <c r="BB24" s="224">
        <f t="shared" si="1"/>
        <v>0</v>
      </c>
      <c r="BC24" s="224">
        <f t="shared" si="1"/>
        <v>0</v>
      </c>
      <c r="BD24" s="224">
        <f t="shared" si="1"/>
        <v>0</v>
      </c>
      <c r="BE24" s="224">
        <f t="shared" si="2"/>
        <v>0</v>
      </c>
      <c r="BF24" s="224">
        <f t="shared" si="2"/>
        <v>0</v>
      </c>
      <c r="BG24" s="224">
        <f t="shared" si="2"/>
        <v>0</v>
      </c>
      <c r="BH24" s="224">
        <f t="shared" si="2"/>
        <v>0</v>
      </c>
      <c r="BI24" s="224">
        <f t="shared" si="5"/>
        <v>1403.2715443055663</v>
      </c>
      <c r="BJ24" s="224">
        <f t="shared" si="3"/>
        <v>488.9151788151222</v>
      </c>
      <c r="BK24" s="224">
        <f t="shared" si="3"/>
        <v>1579.7596227063191</v>
      </c>
      <c r="BL24" s="224">
        <f t="shared" si="3"/>
        <v>0</v>
      </c>
      <c r="BM24" s="224">
        <f t="shared" si="3"/>
        <v>4119.8296867158369</v>
      </c>
      <c r="BN24" s="224">
        <f t="shared" si="3"/>
        <v>1191.5036072634471</v>
      </c>
      <c r="BO24" s="224">
        <f t="shared" si="3"/>
        <v>3669.6425397735979</v>
      </c>
      <c r="BP24" s="224">
        <f t="shared" si="3"/>
        <v>0</v>
      </c>
      <c r="BQ24" s="259">
        <f t="shared" si="4"/>
        <v>12452.922179579889</v>
      </c>
    </row>
    <row r="25" spans="1:69">
      <c r="A25" s="199" t="str">
        <f>Prop2018DistTar!A25</f>
        <v>ND2</v>
      </c>
      <c r="B25" s="238" t="str">
        <f>Prop2018DistTar!B25</f>
        <v>Non-Residential Two Rate 5d</v>
      </c>
      <c r="C25" s="289"/>
      <c r="D25" s="673">
        <v>0</v>
      </c>
      <c r="E25" s="652">
        <v>0</v>
      </c>
      <c r="F25" s="652">
        <v>0.33</v>
      </c>
      <c r="G25" s="652">
        <v>0</v>
      </c>
      <c r="H25" s="652">
        <v>0</v>
      </c>
      <c r="I25" s="652">
        <v>0.33</v>
      </c>
      <c r="J25" s="652">
        <v>0</v>
      </c>
      <c r="K25" s="652">
        <v>0</v>
      </c>
      <c r="L25" s="652">
        <v>0</v>
      </c>
      <c r="M25" s="652">
        <v>0</v>
      </c>
      <c r="N25" s="652">
        <v>0</v>
      </c>
      <c r="O25" s="652">
        <v>0</v>
      </c>
      <c r="P25" s="652">
        <v>0</v>
      </c>
      <c r="Q25" s="652">
        <v>0</v>
      </c>
      <c r="R25" s="652">
        <v>0</v>
      </c>
      <c r="S25" s="652">
        <v>0</v>
      </c>
      <c r="T25" s="652">
        <v>0</v>
      </c>
      <c r="U25" s="652">
        <v>0</v>
      </c>
      <c r="V25" s="652">
        <v>0</v>
      </c>
      <c r="W25" s="652">
        <v>0</v>
      </c>
      <c r="X25" s="666">
        <v>0</v>
      </c>
      <c r="Z25" s="281">
        <f>Prop2018DistTar!AV25</f>
        <v>24184.201071330088</v>
      </c>
      <c r="AA25" s="255">
        <f>Prop2018DistTar!AW25</f>
        <v>0</v>
      </c>
      <c r="AB25" s="255">
        <f>Prop2018DistTar!AX25</f>
        <v>207323954.65497863</v>
      </c>
      <c r="AC25" s="255">
        <f>Prop2018DistTar!AY25</f>
        <v>0</v>
      </c>
      <c r="AD25" s="255">
        <f>Prop2018DistTar!AZ25</f>
        <v>0</v>
      </c>
      <c r="AE25" s="255">
        <f>Prop2018DistTar!BA25</f>
        <v>176674793.86974853</v>
      </c>
      <c r="AF25" s="255">
        <f>Prop2018DistTar!BB25</f>
        <v>0</v>
      </c>
      <c r="AG25" s="255">
        <f>Prop2018DistTar!BC25</f>
        <v>0</v>
      </c>
      <c r="AH25" s="255">
        <f>Prop2018DistTar!BD25</f>
        <v>0</v>
      </c>
      <c r="AI25" s="255">
        <f>Prop2018DistTar!BE25</f>
        <v>0</v>
      </c>
      <c r="AJ25" s="255">
        <f>Prop2018DistTar!BF25</f>
        <v>0</v>
      </c>
      <c r="AK25" s="255">
        <f>Prop2018DistTar!BG25</f>
        <v>0</v>
      </c>
      <c r="AL25" s="255">
        <f>Prop2018DistTar!BH25</f>
        <v>0</v>
      </c>
      <c r="AM25" s="255">
        <f>Prop2018DistTar!BI25</f>
        <v>0</v>
      </c>
      <c r="AN25" s="255">
        <f>Prop2018DistTar!BJ25</f>
        <v>0</v>
      </c>
      <c r="AO25" s="255">
        <f>Prop2018DistTar!BK25</f>
        <v>0</v>
      </c>
      <c r="AP25" s="255">
        <f>Prop2018DistTar!BL25</f>
        <v>0</v>
      </c>
      <c r="AQ25" s="255">
        <f>Prop2018DistTar!BM25</f>
        <v>0</v>
      </c>
      <c r="AR25" s="255">
        <f>Prop2018DistTar!BN25</f>
        <v>0</v>
      </c>
      <c r="AS25" s="255">
        <f>Prop2018DistTar!BO25</f>
        <v>0</v>
      </c>
      <c r="AT25" s="256">
        <f>Prop2018DistTar!BP25</f>
        <v>0</v>
      </c>
      <c r="AV25" s="257">
        <f t="shared" si="0"/>
        <v>0</v>
      </c>
      <c r="AW25" s="224">
        <f t="shared" si="1"/>
        <v>0</v>
      </c>
      <c r="AX25" s="224">
        <f t="shared" si="1"/>
        <v>684169.05036142946</v>
      </c>
      <c r="AY25" s="224">
        <f t="shared" si="1"/>
        <v>0</v>
      </c>
      <c r="AZ25" s="224">
        <f t="shared" si="1"/>
        <v>0</v>
      </c>
      <c r="BA25" s="224">
        <f t="shared" si="1"/>
        <v>583026.81977017014</v>
      </c>
      <c r="BB25" s="224">
        <f t="shared" si="1"/>
        <v>0</v>
      </c>
      <c r="BC25" s="224">
        <f t="shared" si="1"/>
        <v>0</v>
      </c>
      <c r="BD25" s="224">
        <f t="shared" si="1"/>
        <v>0</v>
      </c>
      <c r="BE25" s="224">
        <f t="shared" si="2"/>
        <v>0</v>
      </c>
      <c r="BF25" s="224">
        <f t="shared" si="2"/>
        <v>0</v>
      </c>
      <c r="BG25" s="224">
        <f t="shared" si="2"/>
        <v>0</v>
      </c>
      <c r="BH25" s="224">
        <f t="shared" si="2"/>
        <v>0</v>
      </c>
      <c r="BI25" s="224">
        <f t="shared" si="5"/>
        <v>0</v>
      </c>
      <c r="BJ25" s="224">
        <f t="shared" si="3"/>
        <v>0</v>
      </c>
      <c r="BK25" s="224">
        <f t="shared" si="3"/>
        <v>0</v>
      </c>
      <c r="BL25" s="224">
        <f t="shared" si="3"/>
        <v>0</v>
      </c>
      <c r="BM25" s="224">
        <f t="shared" si="3"/>
        <v>0</v>
      </c>
      <c r="BN25" s="224">
        <f t="shared" si="3"/>
        <v>0</v>
      </c>
      <c r="BO25" s="224">
        <f t="shared" si="3"/>
        <v>0</v>
      </c>
      <c r="BP25" s="224">
        <f t="shared" si="3"/>
        <v>0</v>
      </c>
      <c r="BQ25" s="259">
        <f t="shared" si="4"/>
        <v>1267195.8701315997</v>
      </c>
    </row>
    <row r="26" spans="1:69">
      <c r="A26" s="199" t="str">
        <f>Prop2018DistTar!A26</f>
        <v>ND5</v>
      </c>
      <c r="B26" s="238" t="str">
        <f>Prop2018DistTar!B26</f>
        <v>Non-Residential Interval</v>
      </c>
      <c r="C26" s="289"/>
      <c r="D26" s="673">
        <v>0</v>
      </c>
      <c r="E26" s="652">
        <v>0</v>
      </c>
      <c r="F26" s="652">
        <v>0.33</v>
      </c>
      <c r="G26" s="652">
        <v>0</v>
      </c>
      <c r="H26" s="652">
        <v>0</v>
      </c>
      <c r="I26" s="652">
        <v>0.33</v>
      </c>
      <c r="J26" s="652">
        <v>0</v>
      </c>
      <c r="K26" s="652">
        <v>0</v>
      </c>
      <c r="L26" s="652">
        <v>0</v>
      </c>
      <c r="M26" s="652">
        <v>0</v>
      </c>
      <c r="N26" s="652">
        <v>0</v>
      </c>
      <c r="O26" s="652">
        <v>0</v>
      </c>
      <c r="P26" s="652">
        <v>0</v>
      </c>
      <c r="Q26" s="652">
        <v>0</v>
      </c>
      <c r="R26" s="652">
        <v>0</v>
      </c>
      <c r="S26" s="652">
        <v>0</v>
      </c>
      <c r="T26" s="652">
        <v>0</v>
      </c>
      <c r="U26" s="652">
        <v>0</v>
      </c>
      <c r="V26" s="652">
        <v>0</v>
      </c>
      <c r="W26" s="652">
        <v>0</v>
      </c>
      <c r="X26" s="666">
        <v>0</v>
      </c>
      <c r="Z26" s="281">
        <f>Prop2018DistTar!AV26</f>
        <v>12412.001320594669</v>
      </c>
      <c r="AA26" s="255">
        <f>Prop2018DistTar!AW26</f>
        <v>0</v>
      </c>
      <c r="AB26" s="255">
        <f>Prop2018DistTar!AX26</f>
        <v>96843792.196453899</v>
      </c>
      <c r="AC26" s="255">
        <f>Prop2018DistTar!AY26</f>
        <v>0</v>
      </c>
      <c r="AD26" s="255">
        <f>Prop2018DistTar!AZ26</f>
        <v>0</v>
      </c>
      <c r="AE26" s="255">
        <f>Prop2018DistTar!BA26</f>
        <v>66506894.747274607</v>
      </c>
      <c r="AF26" s="255">
        <f>Prop2018DistTar!BB26</f>
        <v>0</v>
      </c>
      <c r="AG26" s="255">
        <f>Prop2018DistTar!BC26</f>
        <v>0</v>
      </c>
      <c r="AH26" s="255">
        <f>Prop2018DistTar!BD26</f>
        <v>0</v>
      </c>
      <c r="AI26" s="255">
        <f>Prop2018DistTar!BE26</f>
        <v>0</v>
      </c>
      <c r="AJ26" s="255">
        <f>Prop2018DistTar!BF26</f>
        <v>0</v>
      </c>
      <c r="AK26" s="255">
        <f>Prop2018DistTar!BG26</f>
        <v>0</v>
      </c>
      <c r="AL26" s="255">
        <f>Prop2018DistTar!BH26</f>
        <v>0</v>
      </c>
      <c r="AM26" s="255">
        <f>Prop2018DistTar!BI26</f>
        <v>0</v>
      </c>
      <c r="AN26" s="255">
        <f>Prop2018DistTar!BJ26</f>
        <v>0</v>
      </c>
      <c r="AO26" s="255">
        <f>Prop2018DistTar!BK26</f>
        <v>0</v>
      </c>
      <c r="AP26" s="255">
        <f>Prop2018DistTar!BL26</f>
        <v>0</v>
      </c>
      <c r="AQ26" s="255">
        <f>Prop2018DistTar!BM26</f>
        <v>0</v>
      </c>
      <c r="AR26" s="255">
        <f>Prop2018DistTar!BN26</f>
        <v>0</v>
      </c>
      <c r="AS26" s="255">
        <f>Prop2018DistTar!BO26</f>
        <v>0</v>
      </c>
      <c r="AT26" s="256">
        <f>Prop2018DistTar!BP26</f>
        <v>0</v>
      </c>
      <c r="AV26" s="257">
        <f t="shared" ref="AV26:AV65" si="6">D26*Z26</f>
        <v>0</v>
      </c>
      <c r="AW26" s="224">
        <f t="shared" ref="AW26:AW65" si="7">E26/100*AA26</f>
        <v>0</v>
      </c>
      <c r="AX26" s="224">
        <f t="shared" ref="AX26:AX65" si="8">F26/100*AB26</f>
        <v>319584.51424829784</v>
      </c>
      <c r="AY26" s="224">
        <f t="shared" ref="AY26:AY65" si="9">G26/100*AC26</f>
        <v>0</v>
      </c>
      <c r="AZ26" s="224">
        <f t="shared" ref="AZ26:AZ65" si="10">H26/100*AD26</f>
        <v>0</v>
      </c>
      <c r="BA26" s="224">
        <f t="shared" ref="BA26:BA65" si="11">I26/100*AE26</f>
        <v>219472.75266600621</v>
      </c>
      <c r="BB26" s="224">
        <f t="shared" ref="BB26:BB65" si="12">J26/100*AF26</f>
        <v>0</v>
      </c>
      <c r="BC26" s="224">
        <f t="shared" ref="BC26:BC65" si="13">K26/100*AG26</f>
        <v>0</v>
      </c>
      <c r="BD26" s="224">
        <f t="shared" ref="BD26:BD65" si="14">L26/100*AH26</f>
        <v>0</v>
      </c>
      <c r="BE26" s="224">
        <f t="shared" ref="BE26:BE65" si="15">M26*AI26</f>
        <v>0</v>
      </c>
      <c r="BF26" s="224">
        <f t="shared" ref="BF26:BF65" si="16">N26*AJ26</f>
        <v>0</v>
      </c>
      <c r="BG26" s="224">
        <f t="shared" ref="BG26:BG65" si="17">O26*AK26</f>
        <v>0</v>
      </c>
      <c r="BH26" s="224">
        <f t="shared" ref="BH26:BH65" si="18">P26*AL26</f>
        <v>0</v>
      </c>
      <c r="BI26" s="224">
        <f t="shared" ref="BI26:BI65" si="19">Q26/100*AM26</f>
        <v>0</v>
      </c>
      <c r="BJ26" s="224">
        <f t="shared" ref="BJ26:BJ65" si="20">R26/100*AN26</f>
        <v>0</v>
      </c>
      <c r="BK26" s="224">
        <f t="shared" ref="BK26:BK65" si="21">S26/100*AO26</f>
        <v>0</v>
      </c>
      <c r="BL26" s="224">
        <f t="shared" ref="BL26:BL65" si="22">T26/100*AP26</f>
        <v>0</v>
      </c>
      <c r="BM26" s="224">
        <f t="shared" ref="BM26:BM65" si="23">U26/100*AQ26</f>
        <v>0</v>
      </c>
      <c r="BN26" s="224">
        <f t="shared" ref="BN26:BN65" si="24">V26/100*AR26</f>
        <v>0</v>
      </c>
      <c r="BO26" s="224">
        <f t="shared" ref="BO26:BO65" si="25">W26/100*AS26</f>
        <v>0</v>
      </c>
      <c r="BP26" s="224">
        <f t="shared" ref="BP26:BP65" si="26">X26/100*AT26</f>
        <v>0</v>
      </c>
      <c r="BQ26" s="259">
        <f t="shared" ref="BQ26:BQ65" si="27">SUM(AV26:BP26)</f>
        <v>539057.26691430411</v>
      </c>
    </row>
    <row r="27" spans="1:69">
      <c r="A27" s="199" t="str">
        <f>Prop2018DistTar!A27</f>
        <v>ND3</v>
      </c>
      <c r="B27" s="238" t="str">
        <f>Prop2018DistTar!B27</f>
        <v>Non-Residential Two Rate 7d</v>
      </c>
      <c r="C27" s="289"/>
      <c r="D27" s="673">
        <v>0</v>
      </c>
      <c r="E27" s="652">
        <v>0</v>
      </c>
      <c r="F27" s="652">
        <v>0.33</v>
      </c>
      <c r="G27" s="652">
        <v>0</v>
      </c>
      <c r="H27" s="652">
        <v>0</v>
      </c>
      <c r="I27" s="652">
        <v>0.33</v>
      </c>
      <c r="J27" s="652">
        <v>0</v>
      </c>
      <c r="K27" s="652">
        <v>0</v>
      </c>
      <c r="L27" s="652">
        <v>0</v>
      </c>
      <c r="M27" s="652">
        <v>0</v>
      </c>
      <c r="N27" s="652">
        <v>0</v>
      </c>
      <c r="O27" s="652">
        <v>0</v>
      </c>
      <c r="P27" s="652">
        <v>0</v>
      </c>
      <c r="Q27" s="652">
        <v>0</v>
      </c>
      <c r="R27" s="652">
        <v>0</v>
      </c>
      <c r="S27" s="652">
        <v>0</v>
      </c>
      <c r="T27" s="652">
        <v>0</v>
      </c>
      <c r="U27" s="652">
        <v>0</v>
      </c>
      <c r="V27" s="652">
        <v>0</v>
      </c>
      <c r="W27" s="652">
        <v>0</v>
      </c>
      <c r="X27" s="666">
        <v>0</v>
      </c>
      <c r="Z27" s="281">
        <f>Prop2018DistTar!AV27</f>
        <v>7219.5879665538523</v>
      </c>
      <c r="AA27" s="255">
        <f>Prop2018DistTar!AW27</f>
        <v>0</v>
      </c>
      <c r="AB27" s="255">
        <f>Prop2018DistTar!AX27</f>
        <v>58018282.435126752</v>
      </c>
      <c r="AC27" s="255">
        <f>Prop2018DistTar!AY27</f>
        <v>0</v>
      </c>
      <c r="AD27" s="255">
        <f>Prop2018DistTar!AZ27</f>
        <v>0</v>
      </c>
      <c r="AE27" s="255">
        <f>Prop2018DistTar!BA27</f>
        <v>22573877.489206318</v>
      </c>
      <c r="AF27" s="255">
        <f>Prop2018DistTar!BB27</f>
        <v>0</v>
      </c>
      <c r="AG27" s="255">
        <f>Prop2018DistTar!BC27</f>
        <v>0</v>
      </c>
      <c r="AH27" s="255">
        <f>Prop2018DistTar!BD27</f>
        <v>0</v>
      </c>
      <c r="AI27" s="255">
        <f>Prop2018DistTar!BE27</f>
        <v>0</v>
      </c>
      <c r="AJ27" s="255">
        <f>Prop2018DistTar!BF27</f>
        <v>0</v>
      </c>
      <c r="AK27" s="255">
        <f>Prop2018DistTar!BG27</f>
        <v>0</v>
      </c>
      <c r="AL27" s="255">
        <f>Prop2018DistTar!BH27</f>
        <v>0</v>
      </c>
      <c r="AM27" s="255">
        <f>Prop2018DistTar!BI27</f>
        <v>0</v>
      </c>
      <c r="AN27" s="255">
        <f>Prop2018DistTar!BJ27</f>
        <v>0</v>
      </c>
      <c r="AO27" s="255">
        <f>Prop2018DistTar!BK27</f>
        <v>0</v>
      </c>
      <c r="AP27" s="255">
        <f>Prop2018DistTar!BL27</f>
        <v>0</v>
      </c>
      <c r="AQ27" s="255">
        <f>Prop2018DistTar!BM27</f>
        <v>0</v>
      </c>
      <c r="AR27" s="255">
        <f>Prop2018DistTar!BN27</f>
        <v>0</v>
      </c>
      <c r="AS27" s="255">
        <f>Prop2018DistTar!BO27</f>
        <v>0</v>
      </c>
      <c r="AT27" s="256">
        <f>Prop2018DistTar!BP27</f>
        <v>0</v>
      </c>
      <c r="AV27" s="257">
        <f t="shared" si="6"/>
        <v>0</v>
      </c>
      <c r="AW27" s="224">
        <f t="shared" si="7"/>
        <v>0</v>
      </c>
      <c r="AX27" s="224">
        <f t="shared" si="8"/>
        <v>191460.33203591828</v>
      </c>
      <c r="AY27" s="224">
        <f t="shared" si="9"/>
        <v>0</v>
      </c>
      <c r="AZ27" s="224">
        <f t="shared" si="10"/>
        <v>0</v>
      </c>
      <c r="BA27" s="224">
        <f t="shared" si="11"/>
        <v>74493.795714380845</v>
      </c>
      <c r="BB27" s="224">
        <f t="shared" si="12"/>
        <v>0</v>
      </c>
      <c r="BC27" s="224">
        <f t="shared" si="13"/>
        <v>0</v>
      </c>
      <c r="BD27" s="224">
        <f t="shared" si="14"/>
        <v>0</v>
      </c>
      <c r="BE27" s="224">
        <f t="shared" si="15"/>
        <v>0</v>
      </c>
      <c r="BF27" s="224">
        <f t="shared" si="16"/>
        <v>0</v>
      </c>
      <c r="BG27" s="224">
        <f t="shared" si="17"/>
        <v>0</v>
      </c>
      <c r="BH27" s="224">
        <f t="shared" si="18"/>
        <v>0</v>
      </c>
      <c r="BI27" s="224">
        <f t="shared" si="19"/>
        <v>0</v>
      </c>
      <c r="BJ27" s="224">
        <f t="shared" si="20"/>
        <v>0</v>
      </c>
      <c r="BK27" s="224">
        <f t="shared" si="21"/>
        <v>0</v>
      </c>
      <c r="BL27" s="224">
        <f t="shared" si="22"/>
        <v>0</v>
      </c>
      <c r="BM27" s="224">
        <f t="shared" si="23"/>
        <v>0</v>
      </c>
      <c r="BN27" s="224">
        <f t="shared" si="24"/>
        <v>0</v>
      </c>
      <c r="BO27" s="224">
        <f t="shared" si="25"/>
        <v>0</v>
      </c>
      <c r="BP27" s="224">
        <f t="shared" si="26"/>
        <v>0</v>
      </c>
      <c r="BQ27" s="259">
        <f t="shared" si="27"/>
        <v>265954.12775029911</v>
      </c>
    </row>
    <row r="28" spans="1:69">
      <c r="A28" s="199" t="str">
        <f>Prop2018DistTar!A28</f>
        <v>NDD</v>
      </c>
      <c r="B28" s="238" t="str">
        <f>Prop2018DistTar!B28</f>
        <v>Non-Residential Demand</v>
      </c>
      <c r="C28" s="289"/>
      <c r="D28" s="673">
        <v>0</v>
      </c>
      <c r="E28" s="652">
        <v>0.33</v>
      </c>
      <c r="F28" s="652">
        <v>0</v>
      </c>
      <c r="G28" s="652">
        <v>0</v>
      </c>
      <c r="H28" s="652">
        <v>0</v>
      </c>
      <c r="I28" s="652">
        <v>0</v>
      </c>
      <c r="J28" s="652">
        <v>0</v>
      </c>
      <c r="K28" s="652">
        <v>0</v>
      </c>
      <c r="L28" s="652">
        <v>0</v>
      </c>
      <c r="M28" s="652">
        <v>0</v>
      </c>
      <c r="N28" s="652">
        <v>0</v>
      </c>
      <c r="O28" s="652">
        <v>0</v>
      </c>
      <c r="P28" s="652">
        <v>0</v>
      </c>
      <c r="Q28" s="652">
        <v>0</v>
      </c>
      <c r="R28" s="652">
        <v>0</v>
      </c>
      <c r="S28" s="652">
        <v>0</v>
      </c>
      <c r="T28" s="652">
        <v>0</v>
      </c>
      <c r="U28" s="652">
        <v>0</v>
      </c>
      <c r="V28" s="652">
        <v>0</v>
      </c>
      <c r="W28" s="652">
        <v>0</v>
      </c>
      <c r="X28" s="666">
        <v>0</v>
      </c>
      <c r="Z28" s="281">
        <f>Prop2018DistTar!AV28</f>
        <v>6.3540450788168705</v>
      </c>
      <c r="AA28" s="255">
        <f>Prop2018DistTar!AW28</f>
        <v>127080.9015763374</v>
      </c>
      <c r="AB28" s="255">
        <f>Prop2018DistTar!AX28</f>
        <v>0</v>
      </c>
      <c r="AC28" s="255">
        <f>Prop2018DistTar!AY28</f>
        <v>0</v>
      </c>
      <c r="AD28" s="255">
        <f>Prop2018DistTar!AZ28</f>
        <v>0</v>
      </c>
      <c r="AE28" s="255">
        <f>Prop2018DistTar!BA28</f>
        <v>0</v>
      </c>
      <c r="AF28" s="255">
        <f>Prop2018DistTar!BB28</f>
        <v>0</v>
      </c>
      <c r="AG28" s="255">
        <f>Prop2018DistTar!BC28</f>
        <v>0</v>
      </c>
      <c r="AH28" s="255">
        <f>Prop2018DistTar!BD28</f>
        <v>0</v>
      </c>
      <c r="AI28" s="255">
        <f>Prop2018DistTar!BE28</f>
        <v>0</v>
      </c>
      <c r="AJ28" s="255">
        <f>Prop2018DistTar!BF28</f>
        <v>0</v>
      </c>
      <c r="AK28" s="255">
        <f>Prop2018DistTar!BG28</f>
        <v>165.79373982561958</v>
      </c>
      <c r="AL28" s="255">
        <f>Prop2018DistTar!BH28</f>
        <v>290.13904469483424</v>
      </c>
      <c r="AM28" s="255">
        <f>Prop2018DistTar!BI28</f>
        <v>0</v>
      </c>
      <c r="AN28" s="255">
        <f>Prop2018DistTar!BJ28</f>
        <v>0</v>
      </c>
      <c r="AO28" s="255">
        <f>Prop2018DistTar!BK28</f>
        <v>0</v>
      </c>
      <c r="AP28" s="255">
        <f>Prop2018DistTar!BL28</f>
        <v>0</v>
      </c>
      <c r="AQ28" s="255">
        <f>Prop2018DistTar!BM28</f>
        <v>0</v>
      </c>
      <c r="AR28" s="255">
        <f>Prop2018DistTar!BN28</f>
        <v>0</v>
      </c>
      <c r="AS28" s="255">
        <f>Prop2018DistTar!BO28</f>
        <v>0</v>
      </c>
      <c r="AT28" s="256">
        <f>Prop2018DistTar!BP28</f>
        <v>0</v>
      </c>
      <c r="AV28" s="257">
        <f t="shared" si="6"/>
        <v>0</v>
      </c>
      <c r="AW28" s="224">
        <f t="shared" si="7"/>
        <v>419.36697520191342</v>
      </c>
      <c r="AX28" s="224">
        <f t="shared" si="8"/>
        <v>0</v>
      </c>
      <c r="AY28" s="224">
        <f t="shared" si="9"/>
        <v>0</v>
      </c>
      <c r="AZ28" s="224">
        <f t="shared" si="10"/>
        <v>0</v>
      </c>
      <c r="BA28" s="224">
        <f t="shared" si="11"/>
        <v>0</v>
      </c>
      <c r="BB28" s="224">
        <f t="shared" si="12"/>
        <v>0</v>
      </c>
      <c r="BC28" s="224">
        <f t="shared" si="13"/>
        <v>0</v>
      </c>
      <c r="BD28" s="224">
        <f t="shared" si="14"/>
        <v>0</v>
      </c>
      <c r="BE28" s="224">
        <f t="shared" si="15"/>
        <v>0</v>
      </c>
      <c r="BF28" s="224">
        <f t="shared" si="16"/>
        <v>0</v>
      </c>
      <c r="BG28" s="224">
        <f t="shared" si="17"/>
        <v>0</v>
      </c>
      <c r="BH28" s="224">
        <f t="shared" si="18"/>
        <v>0</v>
      </c>
      <c r="BI28" s="224">
        <f t="shared" si="19"/>
        <v>0</v>
      </c>
      <c r="BJ28" s="224">
        <f t="shared" si="20"/>
        <v>0</v>
      </c>
      <c r="BK28" s="224">
        <f t="shared" si="21"/>
        <v>0</v>
      </c>
      <c r="BL28" s="224">
        <f t="shared" si="22"/>
        <v>0</v>
      </c>
      <c r="BM28" s="224">
        <f t="shared" si="23"/>
        <v>0</v>
      </c>
      <c r="BN28" s="224">
        <f t="shared" si="24"/>
        <v>0</v>
      </c>
      <c r="BO28" s="224">
        <f t="shared" si="25"/>
        <v>0</v>
      </c>
      <c r="BP28" s="224">
        <f t="shared" si="26"/>
        <v>0</v>
      </c>
      <c r="BQ28" s="259">
        <f t="shared" si="27"/>
        <v>419.36697520191342</v>
      </c>
    </row>
    <row r="29" spans="1:69">
      <c r="A29" s="199" t="str">
        <f>Prop2018DistTar!A29</f>
        <v>NDM</v>
      </c>
      <c r="B29" s="238" t="str">
        <f>Prop2018DistTar!B29</f>
        <v>Medium business Demand</v>
      </c>
      <c r="C29" s="289"/>
      <c r="D29" s="673">
        <v>0</v>
      </c>
      <c r="E29" s="652">
        <v>0</v>
      </c>
      <c r="F29" s="652">
        <v>0.32</v>
      </c>
      <c r="G29" s="652">
        <v>0</v>
      </c>
      <c r="H29" s="652">
        <v>0</v>
      </c>
      <c r="I29" s="652">
        <v>0.32</v>
      </c>
      <c r="J29" s="652">
        <v>0</v>
      </c>
      <c r="K29" s="652">
        <v>0</v>
      </c>
      <c r="L29" s="652">
        <v>0</v>
      </c>
      <c r="M29" s="652">
        <v>0</v>
      </c>
      <c r="N29" s="652">
        <v>0</v>
      </c>
      <c r="O29" s="652">
        <v>0</v>
      </c>
      <c r="P29" s="652">
        <v>0</v>
      </c>
      <c r="Q29" s="652">
        <v>0</v>
      </c>
      <c r="R29" s="652">
        <v>0</v>
      </c>
      <c r="S29" s="652">
        <v>0</v>
      </c>
      <c r="T29" s="652">
        <v>0</v>
      </c>
      <c r="U29" s="652">
        <v>0</v>
      </c>
      <c r="V29" s="652">
        <v>0</v>
      </c>
      <c r="W29" s="652">
        <v>0</v>
      </c>
      <c r="X29" s="666">
        <v>0</v>
      </c>
      <c r="Z29" s="281">
        <f>Prop2018DistTar!AV29</f>
        <v>7925.7018417699537</v>
      </c>
      <c r="AA29" s="255">
        <f>Prop2018DistTar!AW29</f>
        <v>0</v>
      </c>
      <c r="AB29" s="255">
        <f>Prop2018DistTar!AX29</f>
        <v>582897214.73159027</v>
      </c>
      <c r="AC29" s="255">
        <f>Prop2018DistTar!AY29</f>
        <v>0</v>
      </c>
      <c r="AD29" s="255">
        <f>Prop2018DistTar!AZ29</f>
        <v>0</v>
      </c>
      <c r="AE29" s="255">
        <f>Prop2018DistTar!BA29</f>
        <v>452515803.7680673</v>
      </c>
      <c r="AF29" s="255">
        <f>Prop2018DistTar!BB29</f>
        <v>0</v>
      </c>
      <c r="AG29" s="255">
        <f>Prop2018DistTar!BC29</f>
        <v>0</v>
      </c>
      <c r="AH29" s="255">
        <f>Prop2018DistTar!BD29</f>
        <v>0</v>
      </c>
      <c r="AI29" s="255">
        <f>Prop2018DistTar!BE29</f>
        <v>0</v>
      </c>
      <c r="AJ29" s="255">
        <f>Prop2018DistTar!BF29</f>
        <v>0</v>
      </c>
      <c r="AK29" s="255">
        <f>Prop2018DistTar!BG29</f>
        <v>1449178.436540826</v>
      </c>
      <c r="AL29" s="255">
        <f>Prop2018DistTar!BH29</f>
        <v>2541062.218924256</v>
      </c>
      <c r="AM29" s="255">
        <f>Prop2018DistTar!BI29</f>
        <v>0</v>
      </c>
      <c r="AN29" s="255">
        <f>Prop2018DistTar!BJ29</f>
        <v>0</v>
      </c>
      <c r="AO29" s="255">
        <f>Prop2018DistTar!BK29</f>
        <v>0</v>
      </c>
      <c r="AP29" s="255">
        <f>Prop2018DistTar!BL29</f>
        <v>0</v>
      </c>
      <c r="AQ29" s="255">
        <f>Prop2018DistTar!BM29</f>
        <v>0</v>
      </c>
      <c r="AR29" s="255">
        <f>Prop2018DistTar!BN29</f>
        <v>0</v>
      </c>
      <c r="AS29" s="255">
        <f>Prop2018DistTar!BO29</f>
        <v>0</v>
      </c>
      <c r="AT29" s="256">
        <f>Prop2018DistTar!BP29</f>
        <v>0</v>
      </c>
      <c r="AV29" s="257">
        <f t="shared" si="6"/>
        <v>0</v>
      </c>
      <c r="AW29" s="224">
        <f t="shared" si="7"/>
        <v>0</v>
      </c>
      <c r="AX29" s="224">
        <f t="shared" si="8"/>
        <v>1865271.0871410889</v>
      </c>
      <c r="AY29" s="224">
        <f t="shared" si="9"/>
        <v>0</v>
      </c>
      <c r="AZ29" s="224">
        <f t="shared" si="10"/>
        <v>0</v>
      </c>
      <c r="BA29" s="224">
        <f t="shared" si="11"/>
        <v>1448050.5720578155</v>
      </c>
      <c r="BB29" s="224">
        <f t="shared" si="12"/>
        <v>0</v>
      </c>
      <c r="BC29" s="224">
        <f t="shared" si="13"/>
        <v>0</v>
      </c>
      <c r="BD29" s="224">
        <f t="shared" si="14"/>
        <v>0</v>
      </c>
      <c r="BE29" s="224">
        <f t="shared" si="15"/>
        <v>0</v>
      </c>
      <c r="BF29" s="224">
        <f t="shared" si="16"/>
        <v>0</v>
      </c>
      <c r="BG29" s="224">
        <f t="shared" si="17"/>
        <v>0</v>
      </c>
      <c r="BH29" s="224">
        <f t="shared" si="18"/>
        <v>0</v>
      </c>
      <c r="BI29" s="224">
        <f t="shared" si="19"/>
        <v>0</v>
      </c>
      <c r="BJ29" s="224">
        <f t="shared" si="20"/>
        <v>0</v>
      </c>
      <c r="BK29" s="224">
        <f t="shared" si="21"/>
        <v>0</v>
      </c>
      <c r="BL29" s="224">
        <f t="shared" si="22"/>
        <v>0</v>
      </c>
      <c r="BM29" s="224">
        <f t="shared" si="23"/>
        <v>0</v>
      </c>
      <c r="BN29" s="224">
        <f t="shared" si="24"/>
        <v>0</v>
      </c>
      <c r="BO29" s="224">
        <f t="shared" si="25"/>
        <v>0</v>
      </c>
      <c r="BP29" s="224">
        <f t="shared" si="26"/>
        <v>0</v>
      </c>
      <c r="BQ29" s="259">
        <f t="shared" si="27"/>
        <v>3313321.6591989044</v>
      </c>
    </row>
    <row r="30" spans="1:69">
      <c r="A30" s="199" t="str">
        <f>Prop2018DistTar!A30</f>
        <v>NDMO</v>
      </c>
      <c r="B30" s="238" t="str">
        <f>Prop2018DistTar!B30</f>
        <v>Medium business Opt-out</v>
      </c>
      <c r="C30" s="289"/>
      <c r="D30" s="673">
        <v>0</v>
      </c>
      <c r="E30" s="652">
        <v>0</v>
      </c>
      <c r="F30" s="652">
        <v>0.32</v>
      </c>
      <c r="G30" s="652">
        <v>0</v>
      </c>
      <c r="H30" s="652">
        <v>0</v>
      </c>
      <c r="I30" s="652">
        <v>0.32</v>
      </c>
      <c r="J30" s="652">
        <v>0</v>
      </c>
      <c r="K30" s="652">
        <v>0</v>
      </c>
      <c r="L30" s="652">
        <v>0</v>
      </c>
      <c r="M30" s="652">
        <v>0</v>
      </c>
      <c r="N30" s="652">
        <v>0</v>
      </c>
      <c r="O30" s="652">
        <v>0</v>
      </c>
      <c r="P30" s="652">
        <v>0</v>
      </c>
      <c r="Q30" s="652">
        <v>0</v>
      </c>
      <c r="R30" s="652">
        <v>0</v>
      </c>
      <c r="S30" s="652">
        <v>0</v>
      </c>
      <c r="T30" s="652">
        <v>0</v>
      </c>
      <c r="U30" s="652">
        <v>0</v>
      </c>
      <c r="V30" s="652">
        <v>0</v>
      </c>
      <c r="W30" s="652">
        <v>0</v>
      </c>
      <c r="X30" s="666">
        <v>0</v>
      </c>
      <c r="Z30" s="281">
        <f>Prop2018DistTar!AV30</f>
        <v>81</v>
      </c>
      <c r="AA30" s="255">
        <f>Prop2018DistTar!AW30</f>
        <v>0</v>
      </c>
      <c r="AB30" s="255">
        <f>Prop2018DistTar!AX30</f>
        <v>3137768.4964809464</v>
      </c>
      <c r="AC30" s="255">
        <f>Prop2018DistTar!AY30</f>
        <v>0</v>
      </c>
      <c r="AD30" s="255">
        <f>Prop2018DistTar!AZ30</f>
        <v>0</v>
      </c>
      <c r="AE30" s="255">
        <f>Prop2018DistTar!BA30</f>
        <v>3347230.554593876</v>
      </c>
      <c r="AF30" s="255">
        <f>Prop2018DistTar!BB30</f>
        <v>0</v>
      </c>
      <c r="AG30" s="255">
        <f>Prop2018DistTar!BC30</f>
        <v>0</v>
      </c>
      <c r="AH30" s="255">
        <f>Prop2018DistTar!BD30</f>
        <v>0</v>
      </c>
      <c r="AI30" s="255">
        <f>Prop2018DistTar!BE30</f>
        <v>0</v>
      </c>
      <c r="AJ30" s="255">
        <f>Prop2018DistTar!BF30</f>
        <v>0</v>
      </c>
      <c r="AK30" s="255">
        <f>Prop2018DistTar!BG30</f>
        <v>0</v>
      </c>
      <c r="AL30" s="255">
        <f>Prop2018DistTar!BH30</f>
        <v>0</v>
      </c>
      <c r="AM30" s="255">
        <f>Prop2018DistTar!BI30</f>
        <v>0</v>
      </c>
      <c r="AN30" s="255">
        <f>Prop2018DistTar!BJ30</f>
        <v>0</v>
      </c>
      <c r="AO30" s="255">
        <f>Prop2018DistTar!BK30</f>
        <v>0</v>
      </c>
      <c r="AP30" s="255">
        <f>Prop2018DistTar!BL30</f>
        <v>0</v>
      </c>
      <c r="AQ30" s="255">
        <f>Prop2018DistTar!BM30</f>
        <v>0</v>
      </c>
      <c r="AR30" s="255">
        <f>Prop2018DistTar!BN30</f>
        <v>0</v>
      </c>
      <c r="AS30" s="255">
        <f>Prop2018DistTar!BO30</f>
        <v>0</v>
      </c>
      <c r="AT30" s="256">
        <f>Prop2018DistTar!BP30</f>
        <v>0</v>
      </c>
      <c r="AV30" s="257">
        <f t="shared" si="6"/>
        <v>0</v>
      </c>
      <c r="AW30" s="224">
        <f t="shared" si="7"/>
        <v>0</v>
      </c>
      <c r="AX30" s="224">
        <f t="shared" si="8"/>
        <v>10040.859188739028</v>
      </c>
      <c r="AY30" s="224">
        <f t="shared" si="9"/>
        <v>0</v>
      </c>
      <c r="AZ30" s="224">
        <f t="shared" si="10"/>
        <v>0</v>
      </c>
      <c r="BA30" s="224">
        <f t="shared" si="11"/>
        <v>10711.137774700404</v>
      </c>
      <c r="BB30" s="224">
        <f t="shared" si="12"/>
        <v>0</v>
      </c>
      <c r="BC30" s="224">
        <f t="shared" si="13"/>
        <v>0</v>
      </c>
      <c r="BD30" s="224">
        <f t="shared" si="14"/>
        <v>0</v>
      </c>
      <c r="BE30" s="224">
        <f t="shared" si="15"/>
        <v>0</v>
      </c>
      <c r="BF30" s="224">
        <f t="shared" si="16"/>
        <v>0</v>
      </c>
      <c r="BG30" s="224">
        <f t="shared" si="17"/>
        <v>0</v>
      </c>
      <c r="BH30" s="224">
        <f t="shared" si="18"/>
        <v>0</v>
      </c>
      <c r="BI30" s="224">
        <f t="shared" si="19"/>
        <v>0</v>
      </c>
      <c r="BJ30" s="224">
        <f t="shared" si="20"/>
        <v>0</v>
      </c>
      <c r="BK30" s="224">
        <f t="shared" si="21"/>
        <v>0</v>
      </c>
      <c r="BL30" s="224">
        <f t="shared" si="22"/>
        <v>0</v>
      </c>
      <c r="BM30" s="224">
        <f t="shared" si="23"/>
        <v>0</v>
      </c>
      <c r="BN30" s="224">
        <f t="shared" si="24"/>
        <v>0</v>
      </c>
      <c r="BO30" s="224">
        <f t="shared" si="25"/>
        <v>0</v>
      </c>
      <c r="BP30" s="224">
        <f t="shared" si="26"/>
        <v>0</v>
      </c>
      <c r="BQ30" s="259">
        <f t="shared" si="27"/>
        <v>20751.996963439433</v>
      </c>
    </row>
    <row r="31" spans="1:69">
      <c r="A31" s="199" t="str">
        <f>Prop2018DistTar!A31</f>
        <v>PL2</v>
      </c>
      <c r="B31" s="238" t="str">
        <f>Prop2018DistTar!B31</f>
        <v>Public Lighting</v>
      </c>
      <c r="C31" s="289"/>
      <c r="D31" s="673">
        <v>0</v>
      </c>
      <c r="E31" s="652">
        <v>0</v>
      </c>
      <c r="F31" s="652">
        <v>0.33</v>
      </c>
      <c r="G31" s="652">
        <v>0</v>
      </c>
      <c r="H31" s="652">
        <v>0</v>
      </c>
      <c r="I31" s="652">
        <v>0.33</v>
      </c>
      <c r="J31" s="652">
        <v>0</v>
      </c>
      <c r="K31" s="652">
        <v>0</v>
      </c>
      <c r="L31" s="652">
        <v>0</v>
      </c>
      <c r="M31" s="652">
        <v>0</v>
      </c>
      <c r="N31" s="652">
        <v>0</v>
      </c>
      <c r="O31" s="652">
        <v>0</v>
      </c>
      <c r="P31" s="652">
        <v>0</v>
      </c>
      <c r="Q31" s="652">
        <v>0</v>
      </c>
      <c r="R31" s="652">
        <v>0</v>
      </c>
      <c r="S31" s="652">
        <v>0</v>
      </c>
      <c r="T31" s="652">
        <v>0</v>
      </c>
      <c r="U31" s="652">
        <v>0</v>
      </c>
      <c r="V31" s="652">
        <v>0</v>
      </c>
      <c r="W31" s="652">
        <v>0</v>
      </c>
      <c r="X31" s="666">
        <v>0</v>
      </c>
      <c r="Z31" s="281">
        <f>Prop2018DistTar!AV31</f>
        <v>7344.7000000000007</v>
      </c>
      <c r="AA31" s="255">
        <f>Prop2018DistTar!AW31</f>
        <v>0</v>
      </c>
      <c r="AB31" s="255">
        <f>Prop2018DistTar!AX31</f>
        <v>27764943.806519702</v>
      </c>
      <c r="AC31" s="255">
        <f>Prop2018DistTar!AY31</f>
        <v>0</v>
      </c>
      <c r="AD31" s="255">
        <f>Prop2018DistTar!AZ31</f>
        <v>0</v>
      </c>
      <c r="AE31" s="255">
        <f>Prop2018DistTar!BA31</f>
        <v>68379507.256635308</v>
      </c>
      <c r="AF31" s="255">
        <f>Prop2018DistTar!BB31</f>
        <v>0</v>
      </c>
      <c r="AG31" s="255">
        <f>Prop2018DistTar!BC31</f>
        <v>0</v>
      </c>
      <c r="AH31" s="255">
        <f>Prop2018DistTar!BD31</f>
        <v>0</v>
      </c>
      <c r="AI31" s="255">
        <f>Prop2018DistTar!BE31</f>
        <v>0</v>
      </c>
      <c r="AJ31" s="255">
        <f>Prop2018DistTar!BF31</f>
        <v>0</v>
      </c>
      <c r="AK31" s="255">
        <f>Prop2018DistTar!BG31</f>
        <v>0</v>
      </c>
      <c r="AL31" s="255">
        <f>Prop2018DistTar!BH31</f>
        <v>0</v>
      </c>
      <c r="AM31" s="255">
        <f>Prop2018DistTar!BI31</f>
        <v>0</v>
      </c>
      <c r="AN31" s="255">
        <f>Prop2018DistTar!BJ31</f>
        <v>0</v>
      </c>
      <c r="AO31" s="255">
        <f>Prop2018DistTar!BK31</f>
        <v>0</v>
      </c>
      <c r="AP31" s="255">
        <f>Prop2018DistTar!BL31</f>
        <v>0</v>
      </c>
      <c r="AQ31" s="255">
        <f>Prop2018DistTar!BM31</f>
        <v>0</v>
      </c>
      <c r="AR31" s="255">
        <f>Prop2018DistTar!BN31</f>
        <v>0</v>
      </c>
      <c r="AS31" s="255">
        <f>Prop2018DistTar!BO31</f>
        <v>0</v>
      </c>
      <c r="AT31" s="256">
        <f>Prop2018DistTar!BP31</f>
        <v>0</v>
      </c>
      <c r="AV31" s="257">
        <f t="shared" si="6"/>
        <v>0</v>
      </c>
      <c r="AW31" s="224">
        <f t="shared" si="7"/>
        <v>0</v>
      </c>
      <c r="AX31" s="224">
        <f t="shared" si="8"/>
        <v>91624.314561515013</v>
      </c>
      <c r="AY31" s="224">
        <f t="shared" si="9"/>
        <v>0</v>
      </c>
      <c r="AZ31" s="224">
        <f t="shared" si="10"/>
        <v>0</v>
      </c>
      <c r="BA31" s="224">
        <f t="shared" si="11"/>
        <v>225652.37394689652</v>
      </c>
      <c r="BB31" s="224">
        <f t="shared" si="12"/>
        <v>0</v>
      </c>
      <c r="BC31" s="224">
        <f t="shared" si="13"/>
        <v>0</v>
      </c>
      <c r="BD31" s="224">
        <f t="shared" si="14"/>
        <v>0</v>
      </c>
      <c r="BE31" s="224">
        <f t="shared" si="15"/>
        <v>0</v>
      </c>
      <c r="BF31" s="224">
        <f t="shared" si="16"/>
        <v>0</v>
      </c>
      <c r="BG31" s="224">
        <f t="shared" si="17"/>
        <v>0</v>
      </c>
      <c r="BH31" s="224">
        <f t="shared" si="18"/>
        <v>0</v>
      </c>
      <c r="BI31" s="224">
        <f t="shared" si="19"/>
        <v>0</v>
      </c>
      <c r="BJ31" s="224">
        <f t="shared" si="20"/>
        <v>0</v>
      </c>
      <c r="BK31" s="224">
        <f t="shared" si="21"/>
        <v>0</v>
      </c>
      <c r="BL31" s="224">
        <f t="shared" si="22"/>
        <v>0</v>
      </c>
      <c r="BM31" s="224">
        <f t="shared" si="23"/>
        <v>0</v>
      </c>
      <c r="BN31" s="224">
        <f t="shared" si="24"/>
        <v>0</v>
      </c>
      <c r="BO31" s="224">
        <f t="shared" si="25"/>
        <v>0</v>
      </c>
      <c r="BP31" s="224">
        <f t="shared" si="26"/>
        <v>0</v>
      </c>
      <c r="BQ31" s="259">
        <f t="shared" si="27"/>
        <v>317276.68850841152</v>
      </c>
    </row>
    <row r="32" spans="1:69">
      <c r="A32" s="199" t="str">
        <f>Prop2018DistTar!A32</f>
        <v>LLV</v>
      </c>
      <c r="B32" s="238" t="str">
        <f>Prop2018DistTar!B32</f>
        <v>Large low Voltage</v>
      </c>
      <c r="C32" s="289"/>
      <c r="D32" s="673">
        <v>0</v>
      </c>
      <c r="E32" s="652">
        <v>0</v>
      </c>
      <c r="F32" s="652">
        <v>0.33</v>
      </c>
      <c r="G32" s="652">
        <v>0</v>
      </c>
      <c r="H32" s="652">
        <v>0</v>
      </c>
      <c r="I32" s="652">
        <v>0.33</v>
      </c>
      <c r="J32" s="652">
        <v>0</v>
      </c>
      <c r="K32" s="652">
        <v>0</v>
      </c>
      <c r="L32" s="652">
        <v>0</v>
      </c>
      <c r="M32" s="652">
        <v>0</v>
      </c>
      <c r="N32" s="652">
        <v>0</v>
      </c>
      <c r="O32" s="652">
        <v>0</v>
      </c>
      <c r="P32" s="652">
        <v>0</v>
      </c>
      <c r="Q32" s="652">
        <v>0</v>
      </c>
      <c r="R32" s="652">
        <v>0</v>
      </c>
      <c r="S32" s="652">
        <v>0</v>
      </c>
      <c r="T32" s="652">
        <v>0</v>
      </c>
      <c r="U32" s="652">
        <v>0</v>
      </c>
      <c r="V32" s="652">
        <v>0</v>
      </c>
      <c r="W32" s="652">
        <v>0</v>
      </c>
      <c r="X32" s="666">
        <v>0</v>
      </c>
      <c r="Z32" s="281">
        <f>Prop2018DistTar!AV32</f>
        <v>2749.2308243888324</v>
      </c>
      <c r="AA32" s="255">
        <f>Prop2018DistTar!AW32</f>
        <v>0</v>
      </c>
      <c r="AB32" s="255">
        <f>Prop2018DistTar!AX32</f>
        <v>1363564037.0325396</v>
      </c>
      <c r="AC32" s="255">
        <f>Prop2018DistTar!AY32</f>
        <v>0</v>
      </c>
      <c r="AD32" s="255">
        <f>Prop2018DistTar!AZ32</f>
        <v>0</v>
      </c>
      <c r="AE32" s="255">
        <f>Prop2018DistTar!BA32</f>
        <v>1037238631.3345442</v>
      </c>
      <c r="AF32" s="255">
        <f>Prop2018DistTar!BB32</f>
        <v>0</v>
      </c>
      <c r="AG32" s="255">
        <f>Prop2018DistTar!BC32</f>
        <v>0</v>
      </c>
      <c r="AH32" s="255">
        <f>Prop2018DistTar!BD32</f>
        <v>0</v>
      </c>
      <c r="AI32" s="255">
        <f>Prop2018DistTar!BE32</f>
        <v>840288.6815456989</v>
      </c>
      <c r="AJ32" s="255">
        <f>Prop2018DistTar!BF32</f>
        <v>0</v>
      </c>
      <c r="AK32" s="255">
        <f>Prop2018DistTar!BG32</f>
        <v>0</v>
      </c>
      <c r="AL32" s="255">
        <f>Prop2018DistTar!BH32</f>
        <v>0</v>
      </c>
      <c r="AM32" s="255">
        <f>Prop2018DistTar!BI32</f>
        <v>0</v>
      </c>
      <c r="AN32" s="255">
        <f>Prop2018DistTar!BJ32</f>
        <v>0</v>
      </c>
      <c r="AO32" s="255">
        <f>Prop2018DistTar!BK32</f>
        <v>0</v>
      </c>
      <c r="AP32" s="255">
        <f>Prop2018DistTar!BL32</f>
        <v>0</v>
      </c>
      <c r="AQ32" s="255">
        <f>Prop2018DistTar!BM32</f>
        <v>0</v>
      </c>
      <c r="AR32" s="255">
        <f>Prop2018DistTar!BN32</f>
        <v>0</v>
      </c>
      <c r="AS32" s="255">
        <f>Prop2018DistTar!BO32</f>
        <v>0</v>
      </c>
      <c r="AT32" s="256">
        <f>Prop2018DistTar!BP32</f>
        <v>0</v>
      </c>
      <c r="AV32" s="257">
        <f t="shared" si="6"/>
        <v>0</v>
      </c>
      <c r="AW32" s="224">
        <f t="shared" si="7"/>
        <v>0</v>
      </c>
      <c r="AX32" s="224">
        <f t="shared" si="8"/>
        <v>4499761.322207381</v>
      </c>
      <c r="AY32" s="224">
        <f t="shared" si="9"/>
        <v>0</v>
      </c>
      <c r="AZ32" s="224">
        <f t="shared" si="10"/>
        <v>0</v>
      </c>
      <c r="BA32" s="224">
        <f t="shared" si="11"/>
        <v>3422887.4834039956</v>
      </c>
      <c r="BB32" s="224">
        <f t="shared" si="12"/>
        <v>0</v>
      </c>
      <c r="BC32" s="224">
        <f t="shared" si="13"/>
        <v>0</v>
      </c>
      <c r="BD32" s="224">
        <f t="shared" si="14"/>
        <v>0</v>
      </c>
      <c r="BE32" s="224">
        <f t="shared" si="15"/>
        <v>0</v>
      </c>
      <c r="BF32" s="224">
        <f t="shared" si="16"/>
        <v>0</v>
      </c>
      <c r="BG32" s="224">
        <f t="shared" si="17"/>
        <v>0</v>
      </c>
      <c r="BH32" s="224">
        <f t="shared" si="18"/>
        <v>0</v>
      </c>
      <c r="BI32" s="224">
        <f t="shared" si="19"/>
        <v>0</v>
      </c>
      <c r="BJ32" s="224">
        <f t="shared" si="20"/>
        <v>0</v>
      </c>
      <c r="BK32" s="224">
        <f t="shared" si="21"/>
        <v>0</v>
      </c>
      <c r="BL32" s="224">
        <f t="shared" si="22"/>
        <v>0</v>
      </c>
      <c r="BM32" s="224">
        <f t="shared" si="23"/>
        <v>0</v>
      </c>
      <c r="BN32" s="224">
        <f t="shared" si="24"/>
        <v>0</v>
      </c>
      <c r="BO32" s="224">
        <f t="shared" si="25"/>
        <v>0</v>
      </c>
      <c r="BP32" s="224">
        <f t="shared" si="26"/>
        <v>0</v>
      </c>
      <c r="BQ32" s="259">
        <f t="shared" si="27"/>
        <v>7922648.8056113767</v>
      </c>
    </row>
    <row r="33" spans="1:69">
      <c r="A33" s="199" t="str">
        <f>Prop2018DistTar!A33</f>
        <v>HV</v>
      </c>
      <c r="B33" s="238" t="str">
        <f>Prop2018DistTar!B33</f>
        <v>High Voltage</v>
      </c>
      <c r="C33" s="289"/>
      <c r="D33" s="673">
        <v>0</v>
      </c>
      <c r="E33" s="652">
        <v>0</v>
      </c>
      <c r="F33" s="652">
        <v>0</v>
      </c>
      <c r="G33" s="652">
        <v>0</v>
      </c>
      <c r="H33" s="652">
        <v>0</v>
      </c>
      <c r="I33" s="652">
        <v>0</v>
      </c>
      <c r="J33" s="652">
        <v>0</v>
      </c>
      <c r="K33" s="652">
        <v>0</v>
      </c>
      <c r="L33" s="652">
        <v>0</v>
      </c>
      <c r="M33" s="652">
        <v>0</v>
      </c>
      <c r="N33" s="652">
        <v>0</v>
      </c>
      <c r="O33" s="652">
        <v>0</v>
      </c>
      <c r="P33" s="652">
        <v>0</v>
      </c>
      <c r="Q33" s="652">
        <v>0</v>
      </c>
      <c r="R33" s="652">
        <v>0</v>
      </c>
      <c r="S33" s="652">
        <v>0</v>
      </c>
      <c r="T33" s="652">
        <v>0</v>
      </c>
      <c r="U33" s="652">
        <v>0</v>
      </c>
      <c r="V33" s="652">
        <v>0</v>
      </c>
      <c r="W33" s="652">
        <v>0</v>
      </c>
      <c r="X33" s="666">
        <v>0</v>
      </c>
      <c r="Z33" s="281">
        <f>Prop2018DistTar!AV33</f>
        <v>173</v>
      </c>
      <c r="AA33" s="255">
        <f>Prop2018DistTar!AW33</f>
        <v>0</v>
      </c>
      <c r="AB33" s="255">
        <f>Prop2018DistTar!AX33</f>
        <v>761179064.62163103</v>
      </c>
      <c r="AC33" s="255">
        <f>Prop2018DistTar!AY33</f>
        <v>0</v>
      </c>
      <c r="AD33" s="255">
        <f>Prop2018DistTar!AZ33</f>
        <v>0</v>
      </c>
      <c r="AE33" s="255">
        <f>Prop2018DistTar!BA33</f>
        <v>676982871.92553103</v>
      </c>
      <c r="AF33" s="255">
        <f>Prop2018DistTar!BB33</f>
        <v>0</v>
      </c>
      <c r="AG33" s="255">
        <f>Prop2018DistTar!BC33</f>
        <v>0</v>
      </c>
      <c r="AH33" s="255">
        <f>Prop2018DistTar!BD33</f>
        <v>0</v>
      </c>
      <c r="AI33" s="255">
        <f>Prop2018DistTar!BE33</f>
        <v>394844.72541610571</v>
      </c>
      <c r="AJ33" s="255">
        <f>Prop2018DistTar!BF33</f>
        <v>0</v>
      </c>
      <c r="AK33" s="255">
        <f>Prop2018DistTar!BG33</f>
        <v>0</v>
      </c>
      <c r="AL33" s="255">
        <f>Prop2018DistTar!BH33</f>
        <v>0</v>
      </c>
      <c r="AM33" s="255">
        <f>Prop2018DistTar!BI33</f>
        <v>0</v>
      </c>
      <c r="AN33" s="255">
        <f>Prop2018DistTar!BJ33</f>
        <v>0</v>
      </c>
      <c r="AO33" s="255">
        <f>Prop2018DistTar!BK33</f>
        <v>0</v>
      </c>
      <c r="AP33" s="255">
        <f>Prop2018DistTar!BL33</f>
        <v>0</v>
      </c>
      <c r="AQ33" s="255">
        <f>Prop2018DistTar!BM33</f>
        <v>0</v>
      </c>
      <c r="AR33" s="255">
        <f>Prop2018DistTar!BN33</f>
        <v>0</v>
      </c>
      <c r="AS33" s="255">
        <f>Prop2018DistTar!BO33</f>
        <v>0</v>
      </c>
      <c r="AT33" s="256">
        <f>Prop2018DistTar!BP33</f>
        <v>0</v>
      </c>
      <c r="AV33" s="257">
        <f t="shared" si="6"/>
        <v>0</v>
      </c>
      <c r="AW33" s="224">
        <f t="shared" si="7"/>
        <v>0</v>
      </c>
      <c r="AX33" s="224">
        <f t="shared" si="8"/>
        <v>0</v>
      </c>
      <c r="AY33" s="224">
        <f t="shared" si="9"/>
        <v>0</v>
      </c>
      <c r="AZ33" s="224">
        <f t="shared" si="10"/>
        <v>0</v>
      </c>
      <c r="BA33" s="224">
        <f t="shared" si="11"/>
        <v>0</v>
      </c>
      <c r="BB33" s="224">
        <f t="shared" si="12"/>
        <v>0</v>
      </c>
      <c r="BC33" s="224">
        <f t="shared" si="13"/>
        <v>0</v>
      </c>
      <c r="BD33" s="224">
        <f t="shared" si="14"/>
        <v>0</v>
      </c>
      <c r="BE33" s="224">
        <f t="shared" si="15"/>
        <v>0</v>
      </c>
      <c r="BF33" s="224">
        <f t="shared" si="16"/>
        <v>0</v>
      </c>
      <c r="BG33" s="224">
        <f t="shared" si="17"/>
        <v>0</v>
      </c>
      <c r="BH33" s="224">
        <f t="shared" si="18"/>
        <v>0</v>
      </c>
      <c r="BI33" s="224">
        <f t="shared" si="19"/>
        <v>0</v>
      </c>
      <c r="BJ33" s="224">
        <f t="shared" si="20"/>
        <v>0</v>
      </c>
      <c r="BK33" s="224">
        <f t="shared" si="21"/>
        <v>0</v>
      </c>
      <c r="BL33" s="224">
        <f t="shared" si="22"/>
        <v>0</v>
      </c>
      <c r="BM33" s="224">
        <f t="shared" si="23"/>
        <v>0</v>
      </c>
      <c r="BN33" s="224">
        <f t="shared" si="24"/>
        <v>0</v>
      </c>
      <c r="BO33" s="224">
        <f t="shared" si="25"/>
        <v>0</v>
      </c>
      <c r="BP33" s="224">
        <f t="shared" si="26"/>
        <v>0</v>
      </c>
      <c r="BQ33" s="259">
        <f t="shared" si="27"/>
        <v>0</v>
      </c>
    </row>
    <row r="34" spans="1:69">
      <c r="A34" s="199" t="str">
        <f>Prop2018DistTar!A34</f>
        <v>HVD</v>
      </c>
      <c r="B34" s="238" t="str">
        <f>Prop2018DistTar!B34</f>
        <v>High Voltage Docklands</v>
      </c>
      <c r="C34" s="289"/>
      <c r="D34" s="673">
        <v>0</v>
      </c>
      <c r="E34" s="652">
        <v>0</v>
      </c>
      <c r="F34" s="652">
        <v>0</v>
      </c>
      <c r="G34" s="652">
        <v>0</v>
      </c>
      <c r="H34" s="652">
        <v>0</v>
      </c>
      <c r="I34" s="652">
        <v>0</v>
      </c>
      <c r="J34" s="652">
        <v>0</v>
      </c>
      <c r="K34" s="652">
        <v>0</v>
      </c>
      <c r="L34" s="652">
        <v>0</v>
      </c>
      <c r="M34" s="652">
        <v>0</v>
      </c>
      <c r="N34" s="652">
        <v>0</v>
      </c>
      <c r="O34" s="652">
        <v>0</v>
      </c>
      <c r="P34" s="652">
        <v>0</v>
      </c>
      <c r="Q34" s="652">
        <v>0</v>
      </c>
      <c r="R34" s="652">
        <v>0</v>
      </c>
      <c r="S34" s="652">
        <v>0</v>
      </c>
      <c r="T34" s="652">
        <v>0</v>
      </c>
      <c r="U34" s="652">
        <v>0</v>
      </c>
      <c r="V34" s="652">
        <v>0</v>
      </c>
      <c r="W34" s="652">
        <v>0</v>
      </c>
      <c r="X34" s="666">
        <v>0</v>
      </c>
      <c r="Z34" s="281">
        <f>Prop2018DistTar!AV34</f>
        <v>9</v>
      </c>
      <c r="AA34" s="255">
        <f>Prop2018DistTar!AW34</f>
        <v>0</v>
      </c>
      <c r="AB34" s="255">
        <f>Prop2018DistTar!AX34</f>
        <v>142211194.67899999</v>
      </c>
      <c r="AC34" s="255">
        <f>Prop2018DistTar!AY34</f>
        <v>0</v>
      </c>
      <c r="AD34" s="255">
        <f>Prop2018DistTar!AZ34</f>
        <v>0</v>
      </c>
      <c r="AE34" s="255">
        <f>Prop2018DistTar!BA34</f>
        <v>148646852.37099999</v>
      </c>
      <c r="AF34" s="255">
        <f>Prop2018DistTar!BB34</f>
        <v>0</v>
      </c>
      <c r="AG34" s="255">
        <f>Prop2018DistTar!BC34</f>
        <v>0</v>
      </c>
      <c r="AH34" s="255">
        <f>Prop2018DistTar!BD34</f>
        <v>0</v>
      </c>
      <c r="AI34" s="255">
        <f>Prop2018DistTar!BE34</f>
        <v>58586.290333333331</v>
      </c>
      <c r="AJ34" s="255">
        <f>Prop2018DistTar!BF34</f>
        <v>0</v>
      </c>
      <c r="AK34" s="255">
        <f>Prop2018DistTar!BG34</f>
        <v>0</v>
      </c>
      <c r="AL34" s="255">
        <f>Prop2018DistTar!BH34</f>
        <v>0</v>
      </c>
      <c r="AM34" s="255">
        <f>Prop2018DistTar!BI34</f>
        <v>0</v>
      </c>
      <c r="AN34" s="255">
        <f>Prop2018DistTar!BJ34</f>
        <v>0</v>
      </c>
      <c r="AO34" s="255">
        <f>Prop2018DistTar!BK34</f>
        <v>0</v>
      </c>
      <c r="AP34" s="255">
        <f>Prop2018DistTar!BL34</f>
        <v>0</v>
      </c>
      <c r="AQ34" s="255">
        <f>Prop2018DistTar!BM34</f>
        <v>0</v>
      </c>
      <c r="AR34" s="255">
        <f>Prop2018DistTar!BN34</f>
        <v>0</v>
      </c>
      <c r="AS34" s="255">
        <f>Prop2018DistTar!BO34</f>
        <v>0</v>
      </c>
      <c r="AT34" s="256">
        <f>Prop2018DistTar!BP34</f>
        <v>0</v>
      </c>
      <c r="AV34" s="257">
        <f t="shared" si="6"/>
        <v>0</v>
      </c>
      <c r="AW34" s="224">
        <f t="shared" si="7"/>
        <v>0</v>
      </c>
      <c r="AX34" s="224">
        <f t="shared" si="8"/>
        <v>0</v>
      </c>
      <c r="AY34" s="224">
        <f t="shared" si="9"/>
        <v>0</v>
      </c>
      <c r="AZ34" s="224">
        <f t="shared" si="10"/>
        <v>0</v>
      </c>
      <c r="BA34" s="224">
        <f t="shared" si="11"/>
        <v>0</v>
      </c>
      <c r="BB34" s="224">
        <f t="shared" si="12"/>
        <v>0</v>
      </c>
      <c r="BC34" s="224">
        <f t="shared" si="13"/>
        <v>0</v>
      </c>
      <c r="BD34" s="224">
        <f t="shared" si="14"/>
        <v>0</v>
      </c>
      <c r="BE34" s="224">
        <f t="shared" si="15"/>
        <v>0</v>
      </c>
      <c r="BF34" s="224">
        <f t="shared" si="16"/>
        <v>0</v>
      </c>
      <c r="BG34" s="224">
        <f t="shared" si="17"/>
        <v>0</v>
      </c>
      <c r="BH34" s="224">
        <f t="shared" si="18"/>
        <v>0</v>
      </c>
      <c r="BI34" s="224">
        <f t="shared" si="19"/>
        <v>0</v>
      </c>
      <c r="BJ34" s="224">
        <f t="shared" si="20"/>
        <v>0</v>
      </c>
      <c r="BK34" s="224">
        <f t="shared" si="21"/>
        <v>0</v>
      </c>
      <c r="BL34" s="224">
        <f t="shared" si="22"/>
        <v>0</v>
      </c>
      <c r="BM34" s="224">
        <f t="shared" si="23"/>
        <v>0</v>
      </c>
      <c r="BN34" s="224">
        <f t="shared" si="24"/>
        <v>0</v>
      </c>
      <c r="BO34" s="224">
        <f t="shared" si="25"/>
        <v>0</v>
      </c>
      <c r="BP34" s="224">
        <f t="shared" si="26"/>
        <v>0</v>
      </c>
      <c r="BQ34" s="259">
        <f t="shared" si="27"/>
        <v>0</v>
      </c>
    </row>
    <row r="35" spans="1:69">
      <c r="A35" s="199" t="str">
        <f>Prop2018DistTar!A35</f>
        <v>ST</v>
      </c>
      <c r="B35" s="238" t="str">
        <f>Prop2018DistTar!B35</f>
        <v>Subtransmission</v>
      </c>
      <c r="C35" s="289"/>
      <c r="D35" s="673">
        <v>0</v>
      </c>
      <c r="E35" s="652">
        <v>0</v>
      </c>
      <c r="F35" s="652">
        <v>0</v>
      </c>
      <c r="G35" s="652">
        <v>0</v>
      </c>
      <c r="H35" s="652">
        <v>0</v>
      </c>
      <c r="I35" s="652">
        <v>0</v>
      </c>
      <c r="J35" s="652">
        <v>0</v>
      </c>
      <c r="K35" s="652">
        <v>0</v>
      </c>
      <c r="L35" s="652">
        <v>0</v>
      </c>
      <c r="M35" s="652">
        <v>0</v>
      </c>
      <c r="N35" s="652">
        <v>0</v>
      </c>
      <c r="O35" s="652">
        <v>0</v>
      </c>
      <c r="P35" s="652">
        <v>0</v>
      </c>
      <c r="Q35" s="652">
        <v>0</v>
      </c>
      <c r="R35" s="652">
        <v>0</v>
      </c>
      <c r="S35" s="652">
        <v>0</v>
      </c>
      <c r="T35" s="652">
        <v>0</v>
      </c>
      <c r="U35" s="652">
        <v>0</v>
      </c>
      <c r="V35" s="652">
        <v>0</v>
      </c>
      <c r="W35" s="652">
        <v>0</v>
      </c>
      <c r="X35" s="666">
        <v>0</v>
      </c>
      <c r="Z35" s="281">
        <f>Prop2018DistTar!AV35</f>
        <v>11</v>
      </c>
      <c r="AA35" s="255">
        <f>Prop2018DistTar!AW35</f>
        <v>0</v>
      </c>
      <c r="AB35" s="255">
        <f>Prop2018DistTar!AX35</f>
        <v>530995472.648</v>
      </c>
      <c r="AC35" s="255">
        <f>Prop2018DistTar!AY35</f>
        <v>0</v>
      </c>
      <c r="AD35" s="255">
        <f>Prop2018DistTar!AZ35</f>
        <v>0</v>
      </c>
      <c r="AE35" s="255">
        <f>Prop2018DistTar!BA35</f>
        <v>460236066.01800001</v>
      </c>
      <c r="AF35" s="255">
        <f>Prop2018DistTar!BB35</f>
        <v>0</v>
      </c>
      <c r="AG35" s="255">
        <f>Prop2018DistTar!BC35</f>
        <v>0</v>
      </c>
      <c r="AH35" s="255">
        <f>Prop2018DistTar!BD35</f>
        <v>0</v>
      </c>
      <c r="AI35" s="255">
        <f>Prop2018DistTar!BE35</f>
        <v>267192.94533333339</v>
      </c>
      <c r="AJ35" s="255">
        <f>Prop2018DistTar!BF35</f>
        <v>0</v>
      </c>
      <c r="AK35" s="255">
        <f>Prop2018DistTar!BG35</f>
        <v>0</v>
      </c>
      <c r="AL35" s="255">
        <f>Prop2018DistTar!BH35</f>
        <v>0</v>
      </c>
      <c r="AM35" s="255">
        <f>Prop2018DistTar!BI35</f>
        <v>0</v>
      </c>
      <c r="AN35" s="255">
        <f>Prop2018DistTar!BJ35</f>
        <v>0</v>
      </c>
      <c r="AO35" s="255">
        <f>Prop2018DistTar!BK35</f>
        <v>0</v>
      </c>
      <c r="AP35" s="255">
        <f>Prop2018DistTar!BL35</f>
        <v>0</v>
      </c>
      <c r="AQ35" s="255">
        <f>Prop2018DistTar!BM35</f>
        <v>0</v>
      </c>
      <c r="AR35" s="255">
        <f>Prop2018DistTar!BN35</f>
        <v>0</v>
      </c>
      <c r="AS35" s="255">
        <f>Prop2018DistTar!BO35</f>
        <v>0</v>
      </c>
      <c r="AT35" s="256">
        <f>Prop2018DistTar!BP35</f>
        <v>0</v>
      </c>
      <c r="AV35" s="257">
        <f t="shared" si="6"/>
        <v>0</v>
      </c>
      <c r="AW35" s="224">
        <f t="shared" si="7"/>
        <v>0</v>
      </c>
      <c r="AX35" s="224">
        <f t="shared" si="8"/>
        <v>0</v>
      </c>
      <c r="AY35" s="224">
        <f t="shared" si="9"/>
        <v>0</v>
      </c>
      <c r="AZ35" s="224">
        <f t="shared" si="10"/>
        <v>0</v>
      </c>
      <c r="BA35" s="224">
        <f t="shared" si="11"/>
        <v>0</v>
      </c>
      <c r="BB35" s="224">
        <f t="shared" si="12"/>
        <v>0</v>
      </c>
      <c r="BC35" s="224">
        <f t="shared" si="13"/>
        <v>0</v>
      </c>
      <c r="BD35" s="224">
        <f t="shared" si="14"/>
        <v>0</v>
      </c>
      <c r="BE35" s="224">
        <f t="shared" si="15"/>
        <v>0</v>
      </c>
      <c r="BF35" s="224">
        <f t="shared" si="16"/>
        <v>0</v>
      </c>
      <c r="BG35" s="224">
        <f t="shared" si="17"/>
        <v>0</v>
      </c>
      <c r="BH35" s="224">
        <f t="shared" si="18"/>
        <v>0</v>
      </c>
      <c r="BI35" s="224">
        <f t="shared" si="19"/>
        <v>0</v>
      </c>
      <c r="BJ35" s="224">
        <f t="shared" si="20"/>
        <v>0</v>
      </c>
      <c r="BK35" s="224">
        <f t="shared" si="21"/>
        <v>0</v>
      </c>
      <c r="BL35" s="224">
        <f t="shared" si="22"/>
        <v>0</v>
      </c>
      <c r="BM35" s="224">
        <f t="shared" si="23"/>
        <v>0</v>
      </c>
      <c r="BN35" s="224">
        <f t="shared" si="24"/>
        <v>0</v>
      </c>
      <c r="BO35" s="224">
        <f t="shared" si="25"/>
        <v>0</v>
      </c>
      <c r="BP35" s="224">
        <f t="shared" si="26"/>
        <v>0</v>
      </c>
      <c r="BQ35" s="259">
        <f t="shared" si="27"/>
        <v>0</v>
      </c>
    </row>
    <row r="36" spans="1:69">
      <c r="A36" s="199">
        <f>Prop2018DistTar!A36</f>
        <v>0</v>
      </c>
      <c r="B36" s="238">
        <f>Prop2018DistTar!B36</f>
        <v>0</v>
      </c>
      <c r="C36" s="289"/>
      <c r="D36" s="673">
        <v>0</v>
      </c>
      <c r="E36" s="652">
        <v>0</v>
      </c>
      <c r="F36" s="652">
        <v>0</v>
      </c>
      <c r="G36" s="652">
        <v>0</v>
      </c>
      <c r="H36" s="652">
        <v>0</v>
      </c>
      <c r="I36" s="652">
        <v>0</v>
      </c>
      <c r="J36" s="652">
        <v>0</v>
      </c>
      <c r="K36" s="652">
        <v>0</v>
      </c>
      <c r="L36" s="652">
        <v>0</v>
      </c>
      <c r="M36" s="652">
        <v>0</v>
      </c>
      <c r="N36" s="652">
        <v>0</v>
      </c>
      <c r="O36" s="652">
        <v>0</v>
      </c>
      <c r="P36" s="652">
        <v>0</v>
      </c>
      <c r="Q36" s="652">
        <v>0</v>
      </c>
      <c r="R36" s="652">
        <v>0</v>
      </c>
      <c r="S36" s="652">
        <v>0</v>
      </c>
      <c r="T36" s="652">
        <v>0</v>
      </c>
      <c r="U36" s="652">
        <v>0</v>
      </c>
      <c r="V36" s="652">
        <v>0</v>
      </c>
      <c r="W36" s="652">
        <v>0</v>
      </c>
      <c r="X36" s="666">
        <v>0</v>
      </c>
      <c r="Z36" s="281">
        <f>Prop2018DistTar!AV36</f>
        <v>0</v>
      </c>
      <c r="AA36" s="255">
        <f>Prop2018DistTar!AW36</f>
        <v>0</v>
      </c>
      <c r="AB36" s="255">
        <f>Prop2018DistTar!AX36</f>
        <v>0</v>
      </c>
      <c r="AC36" s="255">
        <f>Prop2018DistTar!AY36</f>
        <v>0</v>
      </c>
      <c r="AD36" s="255">
        <f>Prop2018DistTar!AZ36</f>
        <v>0</v>
      </c>
      <c r="AE36" s="255">
        <f>Prop2018DistTar!BA36</f>
        <v>0</v>
      </c>
      <c r="AF36" s="255">
        <f>Prop2018DistTar!BB36</f>
        <v>0</v>
      </c>
      <c r="AG36" s="255">
        <f>Prop2018DistTar!BC36</f>
        <v>0</v>
      </c>
      <c r="AH36" s="255">
        <f>Prop2018DistTar!BD36</f>
        <v>0</v>
      </c>
      <c r="AI36" s="255">
        <f>Prop2018DistTar!BE36</f>
        <v>0</v>
      </c>
      <c r="AJ36" s="255">
        <f>Prop2018DistTar!BF36</f>
        <v>0</v>
      </c>
      <c r="AK36" s="255">
        <f>Prop2018DistTar!BG36</f>
        <v>0</v>
      </c>
      <c r="AL36" s="255">
        <f>Prop2018DistTar!BH36</f>
        <v>0</v>
      </c>
      <c r="AM36" s="255">
        <f>Prop2018DistTar!BI36</f>
        <v>0</v>
      </c>
      <c r="AN36" s="255">
        <f>Prop2018DistTar!BJ36</f>
        <v>0</v>
      </c>
      <c r="AO36" s="255">
        <f>Prop2018DistTar!BK36</f>
        <v>0</v>
      </c>
      <c r="AP36" s="255">
        <f>Prop2018DistTar!BL36</f>
        <v>0</v>
      </c>
      <c r="AQ36" s="255">
        <f>Prop2018DistTar!BM36</f>
        <v>0</v>
      </c>
      <c r="AR36" s="255">
        <f>Prop2018DistTar!BN36</f>
        <v>0</v>
      </c>
      <c r="AS36" s="255">
        <f>Prop2018DistTar!BO36</f>
        <v>0</v>
      </c>
      <c r="AT36" s="256">
        <f>Prop2018DistTar!BP36</f>
        <v>0</v>
      </c>
      <c r="AV36" s="257">
        <f t="shared" si="6"/>
        <v>0</v>
      </c>
      <c r="AW36" s="224">
        <f t="shared" si="7"/>
        <v>0</v>
      </c>
      <c r="AX36" s="224">
        <f t="shared" si="8"/>
        <v>0</v>
      </c>
      <c r="AY36" s="224">
        <f t="shared" si="9"/>
        <v>0</v>
      </c>
      <c r="AZ36" s="224">
        <f t="shared" si="10"/>
        <v>0</v>
      </c>
      <c r="BA36" s="224">
        <f t="shared" si="11"/>
        <v>0</v>
      </c>
      <c r="BB36" s="224">
        <f t="shared" si="12"/>
        <v>0</v>
      </c>
      <c r="BC36" s="224">
        <f t="shared" si="13"/>
        <v>0</v>
      </c>
      <c r="BD36" s="224">
        <f t="shared" si="14"/>
        <v>0</v>
      </c>
      <c r="BE36" s="224">
        <f t="shared" si="15"/>
        <v>0</v>
      </c>
      <c r="BF36" s="224">
        <f t="shared" si="16"/>
        <v>0</v>
      </c>
      <c r="BG36" s="224">
        <f t="shared" si="17"/>
        <v>0</v>
      </c>
      <c r="BH36" s="224">
        <f t="shared" si="18"/>
        <v>0</v>
      </c>
      <c r="BI36" s="224">
        <f t="shared" si="19"/>
        <v>0</v>
      </c>
      <c r="BJ36" s="224">
        <f t="shared" si="20"/>
        <v>0</v>
      </c>
      <c r="BK36" s="224">
        <f t="shared" si="21"/>
        <v>0</v>
      </c>
      <c r="BL36" s="224">
        <f t="shared" si="22"/>
        <v>0</v>
      </c>
      <c r="BM36" s="224">
        <f t="shared" si="23"/>
        <v>0</v>
      </c>
      <c r="BN36" s="224">
        <f t="shared" si="24"/>
        <v>0</v>
      </c>
      <c r="BO36" s="224">
        <f t="shared" si="25"/>
        <v>0</v>
      </c>
      <c r="BP36" s="224">
        <f t="shared" si="26"/>
        <v>0</v>
      </c>
      <c r="BQ36" s="259">
        <f t="shared" si="27"/>
        <v>0</v>
      </c>
    </row>
    <row r="37" spans="1:69">
      <c r="B37" s="238"/>
      <c r="C37" s="289"/>
      <c r="D37" s="673">
        <v>0</v>
      </c>
      <c r="E37" s="652">
        <v>0</v>
      </c>
      <c r="F37" s="652">
        <v>0</v>
      </c>
      <c r="G37" s="652">
        <v>0</v>
      </c>
      <c r="H37" s="652">
        <v>0</v>
      </c>
      <c r="I37" s="652">
        <v>0</v>
      </c>
      <c r="J37" s="652">
        <v>0</v>
      </c>
      <c r="K37" s="652">
        <v>0</v>
      </c>
      <c r="L37" s="652">
        <v>0</v>
      </c>
      <c r="M37" s="652">
        <v>0</v>
      </c>
      <c r="N37" s="652">
        <v>0</v>
      </c>
      <c r="O37" s="652">
        <v>0</v>
      </c>
      <c r="P37" s="652">
        <v>0</v>
      </c>
      <c r="Q37" s="652">
        <v>0</v>
      </c>
      <c r="R37" s="652">
        <v>0</v>
      </c>
      <c r="S37" s="652">
        <v>0</v>
      </c>
      <c r="T37" s="652">
        <v>0</v>
      </c>
      <c r="U37" s="652">
        <v>0</v>
      </c>
      <c r="V37" s="652">
        <v>0</v>
      </c>
      <c r="W37" s="652">
        <v>0</v>
      </c>
      <c r="X37" s="666">
        <v>0</v>
      </c>
      <c r="Z37" s="281"/>
      <c r="AA37" s="255"/>
      <c r="AB37" s="255"/>
      <c r="AC37" s="255"/>
      <c r="AD37" s="255"/>
      <c r="AE37" s="255"/>
      <c r="AF37" s="255"/>
      <c r="AG37" s="255"/>
      <c r="AH37" s="255"/>
      <c r="AI37" s="255"/>
      <c r="AJ37" s="255"/>
      <c r="AK37" s="255"/>
      <c r="AL37" s="255"/>
      <c r="AM37" s="255"/>
      <c r="AN37" s="255"/>
      <c r="AO37" s="255"/>
      <c r="AP37" s="255"/>
      <c r="AQ37" s="255"/>
      <c r="AR37" s="255"/>
      <c r="AS37" s="255"/>
      <c r="AT37" s="256"/>
      <c r="AV37" s="257"/>
      <c r="AW37" s="224"/>
      <c r="AX37" s="224"/>
      <c r="AY37" s="224"/>
      <c r="AZ37" s="224"/>
      <c r="BA37" s="224"/>
      <c r="BB37" s="224"/>
      <c r="BC37" s="224"/>
      <c r="BD37" s="224"/>
      <c r="BE37" s="224"/>
      <c r="BF37" s="224"/>
      <c r="BG37" s="224"/>
      <c r="BH37" s="224"/>
      <c r="BI37" s="224"/>
      <c r="BJ37" s="224"/>
      <c r="BK37" s="224"/>
      <c r="BL37" s="224"/>
      <c r="BM37" s="224"/>
      <c r="BN37" s="224"/>
      <c r="BO37" s="224"/>
      <c r="BP37" s="224"/>
      <c r="BQ37" s="259"/>
    </row>
    <row r="38" spans="1:69">
      <c r="B38" s="238"/>
      <c r="C38" s="289"/>
      <c r="D38" s="673">
        <v>0</v>
      </c>
      <c r="E38" s="652">
        <v>0</v>
      </c>
      <c r="F38" s="652">
        <v>0</v>
      </c>
      <c r="G38" s="652">
        <v>0</v>
      </c>
      <c r="H38" s="652">
        <v>0</v>
      </c>
      <c r="I38" s="652">
        <v>0</v>
      </c>
      <c r="J38" s="652">
        <v>0</v>
      </c>
      <c r="K38" s="652">
        <v>0</v>
      </c>
      <c r="L38" s="652">
        <v>0</v>
      </c>
      <c r="M38" s="652">
        <v>0</v>
      </c>
      <c r="N38" s="652">
        <v>0</v>
      </c>
      <c r="O38" s="652">
        <v>0</v>
      </c>
      <c r="P38" s="652">
        <v>0</v>
      </c>
      <c r="Q38" s="652">
        <v>0</v>
      </c>
      <c r="R38" s="652">
        <v>0</v>
      </c>
      <c r="S38" s="652">
        <v>0</v>
      </c>
      <c r="T38" s="652">
        <v>0</v>
      </c>
      <c r="U38" s="652">
        <v>0</v>
      </c>
      <c r="V38" s="652">
        <v>0</v>
      </c>
      <c r="W38" s="652">
        <v>0</v>
      </c>
      <c r="X38" s="666">
        <v>0</v>
      </c>
      <c r="Z38" s="281"/>
      <c r="AA38" s="255"/>
      <c r="AB38" s="255"/>
      <c r="AC38" s="255"/>
      <c r="AD38" s="255"/>
      <c r="AE38" s="255"/>
      <c r="AF38" s="255"/>
      <c r="AG38" s="255"/>
      <c r="AH38" s="255"/>
      <c r="AI38" s="255"/>
      <c r="AJ38" s="255"/>
      <c r="AK38" s="255"/>
      <c r="AL38" s="255"/>
      <c r="AM38" s="255"/>
      <c r="AN38" s="255"/>
      <c r="AO38" s="255"/>
      <c r="AP38" s="255"/>
      <c r="AQ38" s="255"/>
      <c r="AR38" s="255"/>
      <c r="AS38" s="255"/>
      <c r="AT38" s="256"/>
      <c r="AV38" s="257"/>
      <c r="AW38" s="224"/>
      <c r="AX38" s="224"/>
      <c r="AY38" s="224"/>
      <c r="AZ38" s="224"/>
      <c r="BA38" s="224"/>
      <c r="BB38" s="224"/>
      <c r="BC38" s="224"/>
      <c r="BD38" s="224"/>
      <c r="BE38" s="224"/>
      <c r="BF38" s="224"/>
      <c r="BG38" s="224"/>
      <c r="BH38" s="224"/>
      <c r="BI38" s="224"/>
      <c r="BJ38" s="224"/>
      <c r="BK38" s="224"/>
      <c r="BL38" s="224"/>
      <c r="BM38" s="224"/>
      <c r="BN38" s="224"/>
      <c r="BO38" s="224"/>
      <c r="BP38" s="224"/>
      <c r="BQ38" s="259"/>
    </row>
    <row r="39" spans="1:69">
      <c r="B39" s="238"/>
      <c r="C39" s="289"/>
      <c r="D39" s="673">
        <v>0</v>
      </c>
      <c r="E39" s="652">
        <v>0</v>
      </c>
      <c r="F39" s="652">
        <v>0</v>
      </c>
      <c r="G39" s="652">
        <v>0</v>
      </c>
      <c r="H39" s="652">
        <v>0</v>
      </c>
      <c r="I39" s="652">
        <v>0</v>
      </c>
      <c r="J39" s="652">
        <v>0</v>
      </c>
      <c r="K39" s="652">
        <v>0</v>
      </c>
      <c r="L39" s="652">
        <v>0</v>
      </c>
      <c r="M39" s="652">
        <v>0</v>
      </c>
      <c r="N39" s="652">
        <v>0</v>
      </c>
      <c r="O39" s="652">
        <v>0</v>
      </c>
      <c r="P39" s="652">
        <v>0</v>
      </c>
      <c r="Q39" s="652">
        <v>0</v>
      </c>
      <c r="R39" s="652">
        <v>0</v>
      </c>
      <c r="S39" s="652">
        <v>0</v>
      </c>
      <c r="T39" s="652">
        <v>0</v>
      </c>
      <c r="U39" s="652">
        <v>0</v>
      </c>
      <c r="V39" s="652">
        <v>0</v>
      </c>
      <c r="W39" s="652">
        <v>0</v>
      </c>
      <c r="X39" s="666">
        <v>0</v>
      </c>
      <c r="Z39" s="281"/>
      <c r="AA39" s="255"/>
      <c r="AB39" s="255"/>
      <c r="AC39" s="255"/>
      <c r="AD39" s="255"/>
      <c r="AE39" s="255"/>
      <c r="AF39" s="255"/>
      <c r="AG39" s="255"/>
      <c r="AH39" s="255"/>
      <c r="AI39" s="255"/>
      <c r="AJ39" s="255"/>
      <c r="AK39" s="255"/>
      <c r="AL39" s="255"/>
      <c r="AM39" s="255"/>
      <c r="AN39" s="255"/>
      <c r="AO39" s="255"/>
      <c r="AP39" s="255"/>
      <c r="AQ39" s="255"/>
      <c r="AR39" s="255"/>
      <c r="AS39" s="255"/>
      <c r="AT39" s="256"/>
      <c r="AV39" s="257"/>
      <c r="AW39" s="224"/>
      <c r="AX39" s="224"/>
      <c r="AY39" s="224"/>
      <c r="AZ39" s="224"/>
      <c r="BA39" s="224"/>
      <c r="BB39" s="224"/>
      <c r="BC39" s="224"/>
      <c r="BD39" s="224"/>
      <c r="BE39" s="224"/>
      <c r="BF39" s="224"/>
      <c r="BG39" s="224"/>
      <c r="BH39" s="224"/>
      <c r="BI39" s="224"/>
      <c r="BJ39" s="224"/>
      <c r="BK39" s="224"/>
      <c r="BL39" s="224"/>
      <c r="BM39" s="224"/>
      <c r="BN39" s="224"/>
      <c r="BO39" s="224"/>
      <c r="BP39" s="224"/>
      <c r="BQ39" s="259"/>
    </row>
    <row r="40" spans="1:69">
      <c r="B40" s="238"/>
      <c r="C40" s="289"/>
      <c r="D40" s="673"/>
      <c r="E40" s="652"/>
      <c r="F40" s="652"/>
      <c r="G40" s="652"/>
      <c r="H40" s="652"/>
      <c r="I40" s="652"/>
      <c r="J40" s="652"/>
      <c r="K40" s="652"/>
      <c r="L40" s="652"/>
      <c r="M40" s="652"/>
      <c r="N40" s="652"/>
      <c r="O40" s="652"/>
      <c r="P40" s="652"/>
      <c r="Q40" s="652"/>
      <c r="R40" s="652"/>
      <c r="S40" s="652"/>
      <c r="T40" s="652"/>
      <c r="U40" s="652"/>
      <c r="V40" s="652"/>
      <c r="W40" s="652"/>
      <c r="X40" s="666"/>
      <c r="Z40" s="281"/>
      <c r="AA40" s="255"/>
      <c r="AB40" s="255"/>
      <c r="AC40" s="255"/>
      <c r="AD40" s="255"/>
      <c r="AE40" s="255"/>
      <c r="AF40" s="255"/>
      <c r="AG40" s="255"/>
      <c r="AH40" s="255"/>
      <c r="AI40" s="255"/>
      <c r="AJ40" s="255"/>
      <c r="AK40" s="255"/>
      <c r="AL40" s="255"/>
      <c r="AM40" s="255"/>
      <c r="AN40" s="255"/>
      <c r="AO40" s="255"/>
      <c r="AP40" s="255"/>
      <c r="AQ40" s="255"/>
      <c r="AR40" s="255"/>
      <c r="AS40" s="255"/>
      <c r="AT40" s="256"/>
      <c r="AV40" s="257"/>
      <c r="AW40" s="224"/>
      <c r="AX40" s="224"/>
      <c r="AY40" s="224"/>
      <c r="AZ40" s="224"/>
      <c r="BA40" s="224"/>
      <c r="BB40" s="224"/>
      <c r="BC40" s="224"/>
      <c r="BD40" s="224"/>
      <c r="BE40" s="224"/>
      <c r="BF40" s="224"/>
      <c r="BG40" s="224"/>
      <c r="BH40" s="224"/>
      <c r="BI40" s="224"/>
      <c r="BJ40" s="224"/>
      <c r="BK40" s="224"/>
      <c r="BL40" s="224"/>
      <c r="BM40" s="224"/>
      <c r="BN40" s="224"/>
      <c r="BO40" s="224"/>
      <c r="BP40" s="224"/>
      <c r="BQ40" s="259"/>
    </row>
    <row r="41" spans="1:69">
      <c r="B41" s="238"/>
      <c r="C41" s="289"/>
      <c r="D41" s="673"/>
      <c r="E41" s="652"/>
      <c r="F41" s="652"/>
      <c r="G41" s="652"/>
      <c r="H41" s="652"/>
      <c r="I41" s="652"/>
      <c r="J41" s="652"/>
      <c r="K41" s="652"/>
      <c r="L41" s="652"/>
      <c r="M41" s="652"/>
      <c r="N41" s="652"/>
      <c r="O41" s="652"/>
      <c r="P41" s="652"/>
      <c r="Q41" s="652"/>
      <c r="R41" s="652"/>
      <c r="S41" s="652"/>
      <c r="T41" s="652"/>
      <c r="U41" s="652"/>
      <c r="V41" s="652"/>
      <c r="W41" s="652"/>
      <c r="X41" s="666"/>
      <c r="Z41" s="281"/>
      <c r="AA41" s="255"/>
      <c r="AB41" s="255"/>
      <c r="AC41" s="255"/>
      <c r="AD41" s="255"/>
      <c r="AE41" s="255"/>
      <c r="AF41" s="255"/>
      <c r="AG41" s="255"/>
      <c r="AH41" s="255"/>
      <c r="AI41" s="255"/>
      <c r="AJ41" s="255"/>
      <c r="AK41" s="255"/>
      <c r="AL41" s="255"/>
      <c r="AM41" s="255"/>
      <c r="AN41" s="255"/>
      <c r="AO41" s="255"/>
      <c r="AP41" s="255"/>
      <c r="AQ41" s="255"/>
      <c r="AR41" s="255"/>
      <c r="AS41" s="255"/>
      <c r="AT41" s="256"/>
      <c r="AV41" s="257"/>
      <c r="AW41" s="224"/>
      <c r="AX41" s="224"/>
      <c r="AY41" s="224"/>
      <c r="AZ41" s="224"/>
      <c r="BA41" s="224"/>
      <c r="BB41" s="224"/>
      <c r="BC41" s="224"/>
      <c r="BD41" s="224"/>
      <c r="BE41" s="224"/>
      <c r="BF41" s="224"/>
      <c r="BG41" s="224"/>
      <c r="BH41" s="224"/>
      <c r="BI41" s="224"/>
      <c r="BJ41" s="224"/>
      <c r="BK41" s="224"/>
      <c r="BL41" s="224"/>
      <c r="BM41" s="224"/>
      <c r="BN41" s="224"/>
      <c r="BO41" s="224"/>
      <c r="BP41" s="224"/>
      <c r="BQ41" s="259"/>
    </row>
    <row r="42" spans="1:69">
      <c r="B42" s="238"/>
      <c r="C42" s="289"/>
      <c r="D42" s="673"/>
      <c r="E42" s="652"/>
      <c r="F42" s="652"/>
      <c r="G42" s="652"/>
      <c r="H42" s="652"/>
      <c r="I42" s="652"/>
      <c r="J42" s="652"/>
      <c r="K42" s="652"/>
      <c r="L42" s="652"/>
      <c r="M42" s="652"/>
      <c r="N42" s="652"/>
      <c r="O42" s="652"/>
      <c r="P42" s="652"/>
      <c r="Q42" s="652"/>
      <c r="R42" s="652"/>
      <c r="S42" s="652"/>
      <c r="T42" s="652"/>
      <c r="U42" s="652"/>
      <c r="V42" s="652"/>
      <c r="W42" s="652"/>
      <c r="X42" s="666"/>
      <c r="Z42" s="281"/>
      <c r="AA42" s="255"/>
      <c r="AB42" s="255"/>
      <c r="AC42" s="255"/>
      <c r="AD42" s="255"/>
      <c r="AE42" s="255"/>
      <c r="AF42" s="255"/>
      <c r="AG42" s="255"/>
      <c r="AH42" s="255"/>
      <c r="AI42" s="255"/>
      <c r="AJ42" s="255"/>
      <c r="AK42" s="255"/>
      <c r="AL42" s="255"/>
      <c r="AM42" s="255"/>
      <c r="AN42" s="255"/>
      <c r="AO42" s="255"/>
      <c r="AP42" s="255"/>
      <c r="AQ42" s="255"/>
      <c r="AR42" s="255"/>
      <c r="AS42" s="255"/>
      <c r="AT42" s="256"/>
      <c r="AV42" s="257"/>
      <c r="AW42" s="224"/>
      <c r="AX42" s="224"/>
      <c r="AY42" s="224"/>
      <c r="AZ42" s="224"/>
      <c r="BA42" s="224"/>
      <c r="BB42" s="224"/>
      <c r="BC42" s="224"/>
      <c r="BD42" s="224"/>
      <c r="BE42" s="224"/>
      <c r="BF42" s="224"/>
      <c r="BG42" s="224"/>
      <c r="BH42" s="224"/>
      <c r="BI42" s="224"/>
      <c r="BJ42" s="224"/>
      <c r="BK42" s="224"/>
      <c r="BL42" s="224"/>
      <c r="BM42" s="224"/>
      <c r="BN42" s="224"/>
      <c r="BO42" s="224"/>
      <c r="BP42" s="224"/>
      <c r="BQ42" s="259"/>
    </row>
    <row r="43" spans="1:69">
      <c r="B43" s="238"/>
      <c r="C43" s="289"/>
      <c r="D43" s="673"/>
      <c r="E43" s="652"/>
      <c r="F43" s="652"/>
      <c r="G43" s="652"/>
      <c r="H43" s="652"/>
      <c r="I43" s="652"/>
      <c r="J43" s="652"/>
      <c r="K43" s="652"/>
      <c r="L43" s="652"/>
      <c r="M43" s="652"/>
      <c r="N43" s="652"/>
      <c r="O43" s="652"/>
      <c r="P43" s="652"/>
      <c r="Q43" s="652"/>
      <c r="R43" s="652"/>
      <c r="S43" s="652"/>
      <c r="T43" s="652"/>
      <c r="U43" s="652"/>
      <c r="V43" s="652"/>
      <c r="W43" s="652"/>
      <c r="X43" s="666"/>
      <c r="Z43" s="281"/>
      <c r="AA43" s="255"/>
      <c r="AB43" s="255"/>
      <c r="AC43" s="255"/>
      <c r="AD43" s="255"/>
      <c r="AE43" s="255"/>
      <c r="AF43" s="255"/>
      <c r="AG43" s="255"/>
      <c r="AH43" s="255"/>
      <c r="AI43" s="255"/>
      <c r="AJ43" s="255"/>
      <c r="AK43" s="255"/>
      <c r="AL43" s="255"/>
      <c r="AM43" s="255"/>
      <c r="AN43" s="255"/>
      <c r="AO43" s="255"/>
      <c r="AP43" s="255"/>
      <c r="AQ43" s="255"/>
      <c r="AR43" s="255"/>
      <c r="AS43" s="255"/>
      <c r="AT43" s="256"/>
      <c r="AV43" s="257"/>
      <c r="AW43" s="224"/>
      <c r="AX43" s="224"/>
      <c r="AY43" s="224"/>
      <c r="AZ43" s="224"/>
      <c r="BA43" s="224"/>
      <c r="BB43" s="224"/>
      <c r="BC43" s="224"/>
      <c r="BD43" s="224"/>
      <c r="BE43" s="224"/>
      <c r="BF43" s="224"/>
      <c r="BG43" s="224"/>
      <c r="BH43" s="224"/>
      <c r="BI43" s="224"/>
      <c r="BJ43" s="224"/>
      <c r="BK43" s="224"/>
      <c r="BL43" s="224"/>
      <c r="BM43" s="224"/>
      <c r="BN43" s="224"/>
      <c r="BO43" s="224"/>
      <c r="BP43" s="224"/>
      <c r="BQ43" s="259"/>
    </row>
    <row r="44" spans="1:69">
      <c r="B44" s="238"/>
      <c r="C44" s="289"/>
      <c r="D44" s="673"/>
      <c r="E44" s="652"/>
      <c r="F44" s="652"/>
      <c r="G44" s="652"/>
      <c r="H44" s="652"/>
      <c r="I44" s="652"/>
      <c r="J44" s="652"/>
      <c r="K44" s="652"/>
      <c r="L44" s="652"/>
      <c r="M44" s="652"/>
      <c r="N44" s="652"/>
      <c r="O44" s="652"/>
      <c r="P44" s="652"/>
      <c r="Q44" s="652"/>
      <c r="R44" s="652"/>
      <c r="S44" s="652"/>
      <c r="T44" s="652"/>
      <c r="U44" s="652"/>
      <c r="V44" s="652"/>
      <c r="W44" s="652"/>
      <c r="X44" s="666"/>
      <c r="Z44" s="281"/>
      <c r="AA44" s="255"/>
      <c r="AB44" s="255"/>
      <c r="AC44" s="255"/>
      <c r="AD44" s="255"/>
      <c r="AE44" s="255"/>
      <c r="AF44" s="255"/>
      <c r="AG44" s="255"/>
      <c r="AH44" s="255"/>
      <c r="AI44" s="255"/>
      <c r="AJ44" s="255"/>
      <c r="AK44" s="255"/>
      <c r="AL44" s="255"/>
      <c r="AM44" s="255"/>
      <c r="AN44" s="255"/>
      <c r="AO44" s="255"/>
      <c r="AP44" s="255"/>
      <c r="AQ44" s="255"/>
      <c r="AR44" s="255"/>
      <c r="AS44" s="255"/>
      <c r="AT44" s="256"/>
      <c r="AV44" s="257"/>
      <c r="AW44" s="224"/>
      <c r="AX44" s="224"/>
      <c r="AY44" s="224"/>
      <c r="AZ44" s="224"/>
      <c r="BA44" s="224"/>
      <c r="BB44" s="224"/>
      <c r="BC44" s="224"/>
      <c r="BD44" s="224"/>
      <c r="BE44" s="224"/>
      <c r="BF44" s="224"/>
      <c r="BG44" s="224"/>
      <c r="BH44" s="224"/>
      <c r="BI44" s="224"/>
      <c r="BJ44" s="224"/>
      <c r="BK44" s="224"/>
      <c r="BL44" s="224"/>
      <c r="BM44" s="224"/>
      <c r="BN44" s="224"/>
      <c r="BO44" s="224"/>
      <c r="BP44" s="224"/>
      <c r="BQ44" s="259"/>
    </row>
    <row r="45" spans="1:69">
      <c r="B45" s="238"/>
      <c r="C45" s="289"/>
      <c r="D45" s="673"/>
      <c r="E45" s="652"/>
      <c r="F45" s="652"/>
      <c r="G45" s="652"/>
      <c r="H45" s="652"/>
      <c r="I45" s="652"/>
      <c r="J45" s="652"/>
      <c r="K45" s="652"/>
      <c r="L45" s="652"/>
      <c r="M45" s="652"/>
      <c r="N45" s="652"/>
      <c r="O45" s="652"/>
      <c r="P45" s="652"/>
      <c r="Q45" s="652"/>
      <c r="R45" s="652"/>
      <c r="S45" s="652"/>
      <c r="T45" s="652"/>
      <c r="U45" s="652"/>
      <c r="V45" s="652"/>
      <c r="W45" s="652"/>
      <c r="X45" s="666"/>
      <c r="Z45" s="281"/>
      <c r="AA45" s="255"/>
      <c r="AB45" s="255"/>
      <c r="AC45" s="255"/>
      <c r="AD45" s="255"/>
      <c r="AE45" s="255"/>
      <c r="AF45" s="255"/>
      <c r="AG45" s="255"/>
      <c r="AH45" s="255"/>
      <c r="AI45" s="255"/>
      <c r="AJ45" s="255"/>
      <c r="AK45" s="255"/>
      <c r="AL45" s="255"/>
      <c r="AM45" s="255"/>
      <c r="AN45" s="255"/>
      <c r="AO45" s="255"/>
      <c r="AP45" s="255"/>
      <c r="AQ45" s="255"/>
      <c r="AR45" s="255"/>
      <c r="AS45" s="255"/>
      <c r="AT45" s="256"/>
      <c r="AV45" s="257"/>
      <c r="AW45" s="224"/>
      <c r="AX45" s="224"/>
      <c r="AY45" s="224"/>
      <c r="AZ45" s="224"/>
      <c r="BA45" s="224"/>
      <c r="BB45" s="224"/>
      <c r="BC45" s="224"/>
      <c r="BD45" s="224"/>
      <c r="BE45" s="224"/>
      <c r="BF45" s="224"/>
      <c r="BG45" s="224"/>
      <c r="BH45" s="224"/>
      <c r="BI45" s="224"/>
      <c r="BJ45" s="224"/>
      <c r="BK45" s="224"/>
      <c r="BL45" s="224"/>
      <c r="BM45" s="224"/>
      <c r="BN45" s="224"/>
      <c r="BO45" s="224"/>
      <c r="BP45" s="224"/>
      <c r="BQ45" s="259"/>
    </row>
    <row r="46" spans="1:69">
      <c r="B46" s="238"/>
      <c r="C46" s="289"/>
      <c r="D46" s="673"/>
      <c r="E46" s="652"/>
      <c r="F46" s="652"/>
      <c r="G46" s="652"/>
      <c r="H46" s="652"/>
      <c r="I46" s="652"/>
      <c r="J46" s="652"/>
      <c r="K46" s="652"/>
      <c r="L46" s="652"/>
      <c r="M46" s="652"/>
      <c r="N46" s="652"/>
      <c r="O46" s="652"/>
      <c r="P46" s="652"/>
      <c r="Q46" s="652"/>
      <c r="R46" s="652"/>
      <c r="S46" s="652"/>
      <c r="T46" s="652"/>
      <c r="U46" s="652"/>
      <c r="V46" s="652"/>
      <c r="W46" s="652"/>
      <c r="X46" s="666"/>
      <c r="Z46" s="281"/>
      <c r="AA46" s="255"/>
      <c r="AB46" s="255"/>
      <c r="AC46" s="255"/>
      <c r="AD46" s="255"/>
      <c r="AE46" s="255"/>
      <c r="AF46" s="255"/>
      <c r="AG46" s="255"/>
      <c r="AH46" s="255"/>
      <c r="AI46" s="255"/>
      <c r="AJ46" s="255"/>
      <c r="AK46" s="255"/>
      <c r="AL46" s="255"/>
      <c r="AM46" s="255"/>
      <c r="AN46" s="255"/>
      <c r="AO46" s="255"/>
      <c r="AP46" s="255"/>
      <c r="AQ46" s="255"/>
      <c r="AR46" s="255"/>
      <c r="AS46" s="255"/>
      <c r="AT46" s="256"/>
      <c r="AV46" s="257"/>
      <c r="AW46" s="224"/>
      <c r="AX46" s="224"/>
      <c r="AY46" s="224"/>
      <c r="AZ46" s="224"/>
      <c r="BA46" s="224"/>
      <c r="BB46" s="224"/>
      <c r="BC46" s="224"/>
      <c r="BD46" s="224"/>
      <c r="BE46" s="224"/>
      <c r="BF46" s="224"/>
      <c r="BG46" s="224"/>
      <c r="BH46" s="224"/>
      <c r="BI46" s="224"/>
      <c r="BJ46" s="224"/>
      <c r="BK46" s="224"/>
      <c r="BL46" s="224"/>
      <c r="BM46" s="224"/>
      <c r="BN46" s="224"/>
      <c r="BO46" s="224"/>
      <c r="BP46" s="224"/>
      <c r="BQ46" s="259"/>
    </row>
    <row r="47" spans="1:69">
      <c r="B47" s="238"/>
      <c r="C47" s="289"/>
      <c r="D47" s="673"/>
      <c r="E47" s="652"/>
      <c r="F47" s="652"/>
      <c r="G47" s="652"/>
      <c r="H47" s="652"/>
      <c r="I47" s="652"/>
      <c r="J47" s="652"/>
      <c r="K47" s="652"/>
      <c r="L47" s="652"/>
      <c r="M47" s="652"/>
      <c r="N47" s="652"/>
      <c r="O47" s="652"/>
      <c r="P47" s="652"/>
      <c r="Q47" s="652"/>
      <c r="R47" s="652"/>
      <c r="S47" s="652"/>
      <c r="T47" s="652"/>
      <c r="U47" s="652"/>
      <c r="V47" s="652"/>
      <c r="W47" s="652"/>
      <c r="X47" s="666"/>
      <c r="Z47" s="281"/>
      <c r="AA47" s="255"/>
      <c r="AB47" s="255"/>
      <c r="AC47" s="255"/>
      <c r="AD47" s="255"/>
      <c r="AE47" s="255"/>
      <c r="AF47" s="255"/>
      <c r="AG47" s="255"/>
      <c r="AH47" s="255"/>
      <c r="AI47" s="255"/>
      <c r="AJ47" s="255"/>
      <c r="AK47" s="255"/>
      <c r="AL47" s="255"/>
      <c r="AM47" s="255"/>
      <c r="AN47" s="255"/>
      <c r="AO47" s="255"/>
      <c r="AP47" s="255"/>
      <c r="AQ47" s="255"/>
      <c r="AR47" s="255"/>
      <c r="AS47" s="255"/>
      <c r="AT47" s="256"/>
      <c r="AV47" s="257"/>
      <c r="AW47" s="224"/>
      <c r="AX47" s="224"/>
      <c r="AY47" s="224"/>
      <c r="AZ47" s="224"/>
      <c r="BA47" s="224"/>
      <c r="BB47" s="224"/>
      <c r="BC47" s="224"/>
      <c r="BD47" s="224"/>
      <c r="BE47" s="224"/>
      <c r="BF47" s="224"/>
      <c r="BG47" s="224"/>
      <c r="BH47" s="224"/>
      <c r="BI47" s="224"/>
      <c r="BJ47" s="224"/>
      <c r="BK47" s="224"/>
      <c r="BL47" s="224"/>
      <c r="BM47" s="224"/>
      <c r="BN47" s="224"/>
      <c r="BO47" s="224"/>
      <c r="BP47" s="224"/>
      <c r="BQ47" s="259"/>
    </row>
    <row r="48" spans="1:69">
      <c r="B48" s="238"/>
      <c r="C48" s="289"/>
      <c r="D48" s="673"/>
      <c r="E48" s="652"/>
      <c r="F48" s="652"/>
      <c r="G48" s="652"/>
      <c r="H48" s="652"/>
      <c r="I48" s="652"/>
      <c r="J48" s="652"/>
      <c r="K48" s="652"/>
      <c r="L48" s="652"/>
      <c r="M48" s="652"/>
      <c r="N48" s="652"/>
      <c r="O48" s="652"/>
      <c r="P48" s="652"/>
      <c r="Q48" s="654"/>
      <c r="R48" s="652"/>
      <c r="S48" s="652"/>
      <c r="T48" s="652"/>
      <c r="U48" s="652"/>
      <c r="V48" s="652"/>
      <c r="W48" s="652"/>
      <c r="X48" s="666"/>
      <c r="Z48" s="281"/>
      <c r="AA48" s="255"/>
      <c r="AB48" s="255"/>
      <c r="AC48" s="255"/>
      <c r="AD48" s="255"/>
      <c r="AE48" s="255"/>
      <c r="AF48" s="255"/>
      <c r="AG48" s="255"/>
      <c r="AH48" s="255"/>
      <c r="AI48" s="255"/>
      <c r="AJ48" s="255"/>
      <c r="AK48" s="255"/>
      <c r="AL48" s="255"/>
      <c r="AM48" s="255"/>
      <c r="AN48" s="255"/>
      <c r="AO48" s="255"/>
      <c r="AP48" s="255"/>
      <c r="AQ48" s="255"/>
      <c r="AR48" s="255"/>
      <c r="AS48" s="255"/>
      <c r="AT48" s="256"/>
      <c r="AV48" s="257"/>
      <c r="AW48" s="224"/>
      <c r="AX48" s="224"/>
      <c r="AY48" s="224"/>
      <c r="AZ48" s="224"/>
      <c r="BA48" s="224"/>
      <c r="BB48" s="224"/>
      <c r="BC48" s="224"/>
      <c r="BD48" s="224"/>
      <c r="BE48" s="224"/>
      <c r="BF48" s="224"/>
      <c r="BG48" s="224"/>
      <c r="BH48" s="224"/>
      <c r="BI48" s="224"/>
      <c r="BJ48" s="224"/>
      <c r="BK48" s="224"/>
      <c r="BL48" s="224"/>
      <c r="BM48" s="224"/>
      <c r="BN48" s="224"/>
      <c r="BO48" s="224"/>
      <c r="BP48" s="224"/>
      <c r="BQ48" s="259"/>
    </row>
    <row r="49" spans="2:69">
      <c r="B49" s="238"/>
      <c r="C49" s="289"/>
      <c r="D49" s="673"/>
      <c r="E49" s="652"/>
      <c r="F49" s="652"/>
      <c r="G49" s="652"/>
      <c r="H49" s="652"/>
      <c r="I49" s="652"/>
      <c r="J49" s="652"/>
      <c r="K49" s="652"/>
      <c r="L49" s="652"/>
      <c r="M49" s="652"/>
      <c r="N49" s="652"/>
      <c r="O49" s="652"/>
      <c r="P49" s="652"/>
      <c r="Q49" s="654"/>
      <c r="R49" s="652"/>
      <c r="S49" s="652"/>
      <c r="T49" s="652"/>
      <c r="U49" s="652"/>
      <c r="V49" s="652"/>
      <c r="W49" s="652"/>
      <c r="X49" s="666"/>
      <c r="Z49" s="281"/>
      <c r="AA49" s="255"/>
      <c r="AB49" s="255"/>
      <c r="AC49" s="255"/>
      <c r="AD49" s="255"/>
      <c r="AE49" s="255"/>
      <c r="AF49" s="255"/>
      <c r="AG49" s="255"/>
      <c r="AH49" s="255"/>
      <c r="AI49" s="255"/>
      <c r="AJ49" s="255"/>
      <c r="AK49" s="255"/>
      <c r="AL49" s="255"/>
      <c r="AM49" s="255"/>
      <c r="AN49" s="255"/>
      <c r="AO49" s="255"/>
      <c r="AP49" s="255"/>
      <c r="AQ49" s="255"/>
      <c r="AR49" s="255"/>
      <c r="AS49" s="255"/>
      <c r="AT49" s="256"/>
      <c r="AV49" s="257"/>
      <c r="AW49" s="224"/>
      <c r="AX49" s="224"/>
      <c r="AY49" s="224"/>
      <c r="AZ49" s="224"/>
      <c r="BA49" s="224"/>
      <c r="BB49" s="224"/>
      <c r="BC49" s="224"/>
      <c r="BD49" s="224"/>
      <c r="BE49" s="224"/>
      <c r="BF49" s="224"/>
      <c r="BG49" s="224"/>
      <c r="BH49" s="224"/>
      <c r="BI49" s="224"/>
      <c r="BJ49" s="224"/>
      <c r="BK49" s="224"/>
      <c r="BL49" s="224"/>
      <c r="BM49" s="224"/>
      <c r="BN49" s="224"/>
      <c r="BO49" s="224"/>
      <c r="BP49" s="224"/>
      <c r="BQ49" s="259"/>
    </row>
    <row r="50" spans="2:69">
      <c r="B50" s="238"/>
      <c r="C50" s="289"/>
      <c r="D50" s="673"/>
      <c r="E50" s="652"/>
      <c r="F50" s="652"/>
      <c r="G50" s="652"/>
      <c r="H50" s="652"/>
      <c r="I50" s="652"/>
      <c r="J50" s="652"/>
      <c r="K50" s="652"/>
      <c r="L50" s="652"/>
      <c r="M50" s="652"/>
      <c r="N50" s="652"/>
      <c r="O50" s="652"/>
      <c r="P50" s="652"/>
      <c r="Q50" s="654"/>
      <c r="R50" s="652"/>
      <c r="S50" s="652"/>
      <c r="T50" s="652"/>
      <c r="U50" s="652"/>
      <c r="V50" s="652"/>
      <c r="W50" s="652"/>
      <c r="X50" s="666"/>
      <c r="Z50" s="281"/>
      <c r="AA50" s="255"/>
      <c r="AB50" s="255"/>
      <c r="AC50" s="255"/>
      <c r="AD50" s="255"/>
      <c r="AE50" s="255"/>
      <c r="AF50" s="255"/>
      <c r="AG50" s="255"/>
      <c r="AH50" s="255"/>
      <c r="AI50" s="255"/>
      <c r="AJ50" s="255"/>
      <c r="AK50" s="255"/>
      <c r="AL50" s="255"/>
      <c r="AM50" s="255"/>
      <c r="AN50" s="255"/>
      <c r="AO50" s="255"/>
      <c r="AP50" s="255"/>
      <c r="AQ50" s="255"/>
      <c r="AR50" s="255"/>
      <c r="AS50" s="255"/>
      <c r="AT50" s="256"/>
      <c r="AV50" s="257"/>
      <c r="AW50" s="224"/>
      <c r="AX50" s="224"/>
      <c r="AY50" s="224"/>
      <c r="AZ50" s="224"/>
      <c r="BA50" s="224"/>
      <c r="BB50" s="224"/>
      <c r="BC50" s="224"/>
      <c r="BD50" s="224"/>
      <c r="BE50" s="224"/>
      <c r="BF50" s="224"/>
      <c r="BG50" s="224"/>
      <c r="BH50" s="224"/>
      <c r="BI50" s="224"/>
      <c r="BJ50" s="224"/>
      <c r="BK50" s="224"/>
      <c r="BL50" s="224"/>
      <c r="BM50" s="224"/>
      <c r="BN50" s="224"/>
      <c r="BO50" s="224"/>
      <c r="BP50" s="224"/>
      <c r="BQ50" s="259"/>
    </row>
    <row r="51" spans="2:69">
      <c r="B51" s="238"/>
      <c r="C51" s="289"/>
      <c r="D51" s="673"/>
      <c r="E51" s="652"/>
      <c r="F51" s="652"/>
      <c r="G51" s="652"/>
      <c r="H51" s="652"/>
      <c r="I51" s="652"/>
      <c r="J51" s="652"/>
      <c r="K51" s="652"/>
      <c r="L51" s="652"/>
      <c r="M51" s="652"/>
      <c r="N51" s="652"/>
      <c r="O51" s="652"/>
      <c r="P51" s="652"/>
      <c r="Q51" s="654"/>
      <c r="R51" s="652"/>
      <c r="S51" s="652"/>
      <c r="T51" s="652"/>
      <c r="U51" s="652"/>
      <c r="V51" s="652"/>
      <c r="W51" s="652"/>
      <c r="X51" s="666"/>
      <c r="Z51" s="281"/>
      <c r="AA51" s="255"/>
      <c r="AB51" s="255"/>
      <c r="AC51" s="255"/>
      <c r="AD51" s="255"/>
      <c r="AE51" s="255"/>
      <c r="AF51" s="255"/>
      <c r="AG51" s="255"/>
      <c r="AH51" s="255"/>
      <c r="AI51" s="255"/>
      <c r="AJ51" s="255"/>
      <c r="AK51" s="255"/>
      <c r="AL51" s="255"/>
      <c r="AM51" s="255"/>
      <c r="AN51" s="255"/>
      <c r="AO51" s="255"/>
      <c r="AP51" s="255"/>
      <c r="AQ51" s="255"/>
      <c r="AR51" s="255"/>
      <c r="AS51" s="255"/>
      <c r="AT51" s="256"/>
      <c r="AV51" s="257"/>
      <c r="AW51" s="224"/>
      <c r="AX51" s="224"/>
      <c r="AY51" s="224"/>
      <c r="AZ51" s="224"/>
      <c r="BA51" s="224"/>
      <c r="BB51" s="224"/>
      <c r="BC51" s="224"/>
      <c r="BD51" s="224"/>
      <c r="BE51" s="224"/>
      <c r="BF51" s="224"/>
      <c r="BG51" s="224"/>
      <c r="BH51" s="224"/>
      <c r="BI51" s="224"/>
      <c r="BJ51" s="224"/>
      <c r="BK51" s="224"/>
      <c r="BL51" s="224"/>
      <c r="BM51" s="224"/>
      <c r="BN51" s="224"/>
      <c r="BO51" s="224"/>
      <c r="BP51" s="224"/>
      <c r="BQ51" s="259"/>
    </row>
    <row r="52" spans="2:69">
      <c r="B52" s="238"/>
      <c r="C52" s="289"/>
      <c r="D52" s="673"/>
      <c r="E52" s="300"/>
      <c r="F52" s="300"/>
      <c r="G52" s="300"/>
      <c r="H52" s="300"/>
      <c r="I52" s="300"/>
      <c r="J52" s="300"/>
      <c r="K52" s="300"/>
      <c r="L52" s="300"/>
      <c r="M52" s="300"/>
      <c r="N52" s="300"/>
      <c r="O52" s="300"/>
      <c r="P52" s="300"/>
      <c r="Q52" s="375"/>
      <c r="R52" s="300"/>
      <c r="S52" s="300"/>
      <c r="T52" s="300"/>
      <c r="U52" s="300"/>
      <c r="V52" s="300"/>
      <c r="W52" s="300"/>
      <c r="X52" s="566"/>
      <c r="Z52" s="281"/>
      <c r="AA52" s="255"/>
      <c r="AB52" s="255"/>
      <c r="AC52" s="255"/>
      <c r="AD52" s="255"/>
      <c r="AE52" s="255"/>
      <c r="AF52" s="255"/>
      <c r="AG52" s="255"/>
      <c r="AH52" s="255"/>
      <c r="AI52" s="255"/>
      <c r="AJ52" s="255"/>
      <c r="AK52" s="255"/>
      <c r="AL52" s="255"/>
      <c r="AM52" s="255"/>
      <c r="AN52" s="255"/>
      <c r="AO52" s="255"/>
      <c r="AP52" s="255"/>
      <c r="AQ52" s="255"/>
      <c r="AR52" s="255"/>
      <c r="AS52" s="255"/>
      <c r="AT52" s="256"/>
      <c r="AV52" s="257"/>
      <c r="AW52" s="224"/>
      <c r="AX52" s="224"/>
      <c r="AY52" s="224"/>
      <c r="AZ52" s="224"/>
      <c r="BA52" s="224"/>
      <c r="BB52" s="224"/>
      <c r="BC52" s="224"/>
      <c r="BD52" s="224"/>
      <c r="BE52" s="224"/>
      <c r="BF52" s="224"/>
      <c r="BG52" s="224"/>
      <c r="BH52" s="224"/>
      <c r="BI52" s="224"/>
      <c r="BJ52" s="224"/>
      <c r="BK52" s="224"/>
      <c r="BL52" s="224"/>
      <c r="BM52" s="224"/>
      <c r="BN52" s="224"/>
      <c r="BO52" s="224"/>
      <c r="BP52" s="224"/>
      <c r="BQ52" s="259"/>
    </row>
    <row r="53" spans="2:69">
      <c r="B53" s="238"/>
      <c r="C53" s="289"/>
      <c r="D53" s="673"/>
      <c r="E53" s="300"/>
      <c r="F53" s="300"/>
      <c r="G53" s="300"/>
      <c r="H53" s="300"/>
      <c r="I53" s="300"/>
      <c r="J53" s="300"/>
      <c r="K53" s="300"/>
      <c r="L53" s="300"/>
      <c r="M53" s="300"/>
      <c r="N53" s="300"/>
      <c r="O53" s="300"/>
      <c r="P53" s="300"/>
      <c r="Q53" s="375"/>
      <c r="R53" s="300"/>
      <c r="S53" s="300"/>
      <c r="T53" s="300"/>
      <c r="U53" s="300"/>
      <c r="V53" s="300"/>
      <c r="W53" s="300"/>
      <c r="X53" s="293"/>
      <c r="Z53" s="281"/>
      <c r="AA53" s="255"/>
      <c r="AB53" s="255"/>
      <c r="AC53" s="255"/>
      <c r="AD53" s="255"/>
      <c r="AE53" s="255"/>
      <c r="AF53" s="255"/>
      <c r="AG53" s="255"/>
      <c r="AH53" s="255"/>
      <c r="AI53" s="255"/>
      <c r="AJ53" s="255"/>
      <c r="AK53" s="255"/>
      <c r="AL53" s="255"/>
      <c r="AM53" s="255"/>
      <c r="AN53" s="255"/>
      <c r="AO53" s="255"/>
      <c r="AP53" s="255"/>
      <c r="AQ53" s="255"/>
      <c r="AR53" s="255"/>
      <c r="AS53" s="255"/>
      <c r="AT53" s="256"/>
      <c r="AV53" s="257"/>
      <c r="AW53" s="224"/>
      <c r="AX53" s="224"/>
      <c r="AY53" s="224"/>
      <c r="AZ53" s="224"/>
      <c r="BA53" s="224"/>
      <c r="BB53" s="224"/>
      <c r="BC53" s="224"/>
      <c r="BD53" s="224"/>
      <c r="BE53" s="224"/>
      <c r="BF53" s="224"/>
      <c r="BG53" s="224"/>
      <c r="BH53" s="224"/>
      <c r="BI53" s="224"/>
      <c r="BJ53" s="224"/>
      <c r="BK53" s="224"/>
      <c r="BL53" s="224"/>
      <c r="BM53" s="224"/>
      <c r="BN53" s="224"/>
      <c r="BO53" s="224"/>
      <c r="BP53" s="224"/>
      <c r="BQ53" s="259"/>
    </row>
    <row r="54" spans="2:69">
      <c r="B54" s="238"/>
      <c r="C54" s="289"/>
      <c r="D54" s="673"/>
      <c r="E54" s="300"/>
      <c r="F54" s="300"/>
      <c r="G54" s="300"/>
      <c r="H54" s="300"/>
      <c r="I54" s="300"/>
      <c r="J54" s="300"/>
      <c r="K54" s="300"/>
      <c r="L54" s="300"/>
      <c r="M54" s="300"/>
      <c r="N54" s="300"/>
      <c r="O54" s="300"/>
      <c r="P54" s="300"/>
      <c r="Q54" s="375"/>
      <c r="R54" s="300"/>
      <c r="S54" s="300"/>
      <c r="T54" s="300"/>
      <c r="U54" s="300"/>
      <c r="V54" s="300"/>
      <c r="W54" s="300"/>
      <c r="X54" s="293"/>
      <c r="Z54" s="281"/>
      <c r="AA54" s="255"/>
      <c r="AB54" s="255"/>
      <c r="AC54" s="255"/>
      <c r="AD54" s="255"/>
      <c r="AE54" s="255"/>
      <c r="AF54" s="255"/>
      <c r="AG54" s="255"/>
      <c r="AH54" s="255"/>
      <c r="AI54" s="255"/>
      <c r="AJ54" s="255"/>
      <c r="AK54" s="255"/>
      <c r="AL54" s="255"/>
      <c r="AM54" s="255"/>
      <c r="AN54" s="255"/>
      <c r="AO54" s="255"/>
      <c r="AP54" s="255"/>
      <c r="AQ54" s="255"/>
      <c r="AR54" s="255"/>
      <c r="AS54" s="255"/>
      <c r="AT54" s="256"/>
      <c r="AV54" s="257"/>
      <c r="AW54" s="224"/>
      <c r="AX54" s="224"/>
      <c r="AY54" s="224"/>
      <c r="AZ54" s="224"/>
      <c r="BA54" s="224"/>
      <c r="BB54" s="224"/>
      <c r="BC54" s="224"/>
      <c r="BD54" s="224"/>
      <c r="BE54" s="224"/>
      <c r="BF54" s="224"/>
      <c r="BG54" s="224"/>
      <c r="BH54" s="224"/>
      <c r="BI54" s="224"/>
      <c r="BJ54" s="224"/>
      <c r="BK54" s="224"/>
      <c r="BL54" s="224"/>
      <c r="BM54" s="224"/>
      <c r="BN54" s="224"/>
      <c r="BO54" s="224"/>
      <c r="BP54" s="224"/>
      <c r="BQ54" s="259"/>
    </row>
    <row r="55" spans="2:69">
      <c r="B55" s="238"/>
      <c r="C55" s="289"/>
      <c r="D55" s="290"/>
      <c r="E55" s="261"/>
      <c r="F55" s="261"/>
      <c r="G55" s="261"/>
      <c r="H55" s="261"/>
      <c r="I55" s="261"/>
      <c r="J55" s="261"/>
      <c r="K55" s="261"/>
      <c r="L55" s="261"/>
      <c r="M55" s="261"/>
      <c r="N55" s="261"/>
      <c r="O55" s="261"/>
      <c r="P55" s="261"/>
      <c r="Q55" s="291"/>
      <c r="R55" s="292"/>
      <c r="S55" s="292"/>
      <c r="T55" s="292"/>
      <c r="U55" s="292"/>
      <c r="V55" s="292"/>
      <c r="W55" s="292"/>
      <c r="X55" s="293"/>
      <c r="Z55" s="254"/>
      <c r="AA55" s="255"/>
      <c r="AB55" s="255"/>
      <c r="AC55" s="255"/>
      <c r="AD55" s="255"/>
      <c r="AE55" s="255"/>
      <c r="AF55" s="255"/>
      <c r="AG55" s="255"/>
      <c r="AH55" s="255"/>
      <c r="AI55" s="255"/>
      <c r="AJ55" s="255"/>
      <c r="AK55" s="255"/>
      <c r="AL55" s="256"/>
      <c r="AM55" s="255"/>
      <c r="AN55" s="255"/>
      <c r="AO55" s="255"/>
      <c r="AP55" s="255"/>
      <c r="AQ55" s="255"/>
      <c r="AR55" s="255"/>
      <c r="AS55" s="255"/>
      <c r="AT55" s="255"/>
      <c r="AV55" s="257">
        <f t="shared" si="6"/>
        <v>0</v>
      </c>
      <c r="AW55" s="224">
        <f t="shared" si="7"/>
        <v>0</v>
      </c>
      <c r="AX55" s="224">
        <f t="shared" si="8"/>
        <v>0</v>
      </c>
      <c r="AY55" s="224">
        <f t="shared" si="9"/>
        <v>0</v>
      </c>
      <c r="AZ55" s="224">
        <f t="shared" si="10"/>
        <v>0</v>
      </c>
      <c r="BA55" s="224">
        <f t="shared" si="11"/>
        <v>0</v>
      </c>
      <c r="BB55" s="224">
        <f t="shared" si="12"/>
        <v>0</v>
      </c>
      <c r="BC55" s="224">
        <f t="shared" si="13"/>
        <v>0</v>
      </c>
      <c r="BD55" s="224">
        <f t="shared" si="14"/>
        <v>0</v>
      </c>
      <c r="BE55" s="224">
        <f t="shared" si="15"/>
        <v>0</v>
      </c>
      <c r="BF55" s="224">
        <f t="shared" si="16"/>
        <v>0</v>
      </c>
      <c r="BG55" s="224">
        <f t="shared" si="17"/>
        <v>0</v>
      </c>
      <c r="BH55" s="224">
        <f t="shared" si="18"/>
        <v>0</v>
      </c>
      <c r="BI55" s="224">
        <f t="shared" si="19"/>
        <v>0</v>
      </c>
      <c r="BJ55" s="224">
        <f t="shared" si="20"/>
        <v>0</v>
      </c>
      <c r="BK55" s="224">
        <f t="shared" si="21"/>
        <v>0</v>
      </c>
      <c r="BL55" s="224">
        <f t="shared" si="22"/>
        <v>0</v>
      </c>
      <c r="BM55" s="224">
        <f t="shared" si="23"/>
        <v>0</v>
      </c>
      <c r="BN55" s="224">
        <f t="shared" si="24"/>
        <v>0</v>
      </c>
      <c r="BO55" s="224">
        <f t="shared" si="25"/>
        <v>0</v>
      </c>
      <c r="BP55" s="224">
        <f t="shared" si="26"/>
        <v>0</v>
      </c>
      <c r="BQ55" s="259">
        <f t="shared" si="27"/>
        <v>0</v>
      </c>
    </row>
    <row r="56" spans="2:69">
      <c r="B56" s="238"/>
      <c r="C56" s="289"/>
      <c r="D56" s="290"/>
      <c r="E56" s="261"/>
      <c r="F56" s="261"/>
      <c r="G56" s="261"/>
      <c r="H56" s="261"/>
      <c r="I56" s="261"/>
      <c r="J56" s="261"/>
      <c r="K56" s="261"/>
      <c r="L56" s="261"/>
      <c r="M56" s="261"/>
      <c r="N56" s="261"/>
      <c r="O56" s="261"/>
      <c r="P56" s="261"/>
      <c r="Q56" s="291"/>
      <c r="R56" s="292"/>
      <c r="S56" s="292"/>
      <c r="T56" s="292"/>
      <c r="U56" s="292"/>
      <c r="V56" s="292"/>
      <c r="W56" s="292"/>
      <c r="X56" s="293"/>
      <c r="Z56" s="254"/>
      <c r="AA56" s="255"/>
      <c r="AB56" s="255"/>
      <c r="AC56" s="255"/>
      <c r="AD56" s="255"/>
      <c r="AE56" s="255"/>
      <c r="AF56" s="255"/>
      <c r="AG56" s="255"/>
      <c r="AH56" s="255"/>
      <c r="AI56" s="255"/>
      <c r="AJ56" s="255"/>
      <c r="AK56" s="255"/>
      <c r="AL56" s="256"/>
      <c r="AM56" s="255"/>
      <c r="AN56" s="255"/>
      <c r="AO56" s="255"/>
      <c r="AP56" s="255"/>
      <c r="AQ56" s="255"/>
      <c r="AR56" s="255"/>
      <c r="AS56" s="255"/>
      <c r="AT56" s="255"/>
      <c r="AV56" s="257">
        <f t="shared" si="6"/>
        <v>0</v>
      </c>
      <c r="AW56" s="224">
        <f t="shared" si="7"/>
        <v>0</v>
      </c>
      <c r="AX56" s="224">
        <f t="shared" si="8"/>
        <v>0</v>
      </c>
      <c r="AY56" s="224">
        <f t="shared" si="9"/>
        <v>0</v>
      </c>
      <c r="AZ56" s="224">
        <f t="shared" si="10"/>
        <v>0</v>
      </c>
      <c r="BA56" s="224">
        <f t="shared" si="11"/>
        <v>0</v>
      </c>
      <c r="BB56" s="224">
        <f t="shared" si="12"/>
        <v>0</v>
      </c>
      <c r="BC56" s="224">
        <f t="shared" si="13"/>
        <v>0</v>
      </c>
      <c r="BD56" s="224">
        <f t="shared" si="14"/>
        <v>0</v>
      </c>
      <c r="BE56" s="224">
        <f t="shared" si="15"/>
        <v>0</v>
      </c>
      <c r="BF56" s="224">
        <f t="shared" si="16"/>
        <v>0</v>
      </c>
      <c r="BG56" s="224">
        <f t="shared" si="17"/>
        <v>0</v>
      </c>
      <c r="BH56" s="224">
        <f t="shared" si="18"/>
        <v>0</v>
      </c>
      <c r="BI56" s="224">
        <f t="shared" si="19"/>
        <v>0</v>
      </c>
      <c r="BJ56" s="224">
        <f t="shared" si="20"/>
        <v>0</v>
      </c>
      <c r="BK56" s="224">
        <f t="shared" si="21"/>
        <v>0</v>
      </c>
      <c r="BL56" s="224">
        <f t="shared" si="22"/>
        <v>0</v>
      </c>
      <c r="BM56" s="224">
        <f t="shared" si="23"/>
        <v>0</v>
      </c>
      <c r="BN56" s="224">
        <f t="shared" si="24"/>
        <v>0</v>
      </c>
      <c r="BO56" s="224">
        <f t="shared" si="25"/>
        <v>0</v>
      </c>
      <c r="BP56" s="224">
        <f t="shared" si="26"/>
        <v>0</v>
      </c>
      <c r="BQ56" s="259">
        <f t="shared" si="27"/>
        <v>0</v>
      </c>
    </row>
    <row r="57" spans="2:69">
      <c r="B57" s="238"/>
      <c r="C57" s="289"/>
      <c r="D57" s="290"/>
      <c r="E57" s="261"/>
      <c r="F57" s="261"/>
      <c r="G57" s="261"/>
      <c r="H57" s="261"/>
      <c r="I57" s="261"/>
      <c r="J57" s="261"/>
      <c r="K57" s="261"/>
      <c r="L57" s="261"/>
      <c r="M57" s="261"/>
      <c r="N57" s="261"/>
      <c r="O57" s="261"/>
      <c r="P57" s="261"/>
      <c r="Q57" s="291"/>
      <c r="R57" s="292"/>
      <c r="S57" s="292"/>
      <c r="T57" s="292"/>
      <c r="U57" s="292"/>
      <c r="V57" s="292"/>
      <c r="W57" s="292"/>
      <c r="X57" s="293"/>
      <c r="Z57" s="254"/>
      <c r="AA57" s="255"/>
      <c r="AB57" s="255"/>
      <c r="AC57" s="255"/>
      <c r="AD57" s="255"/>
      <c r="AE57" s="255"/>
      <c r="AF57" s="255"/>
      <c r="AG57" s="255"/>
      <c r="AH57" s="255"/>
      <c r="AI57" s="255"/>
      <c r="AJ57" s="255"/>
      <c r="AK57" s="255"/>
      <c r="AL57" s="256"/>
      <c r="AM57" s="255"/>
      <c r="AN57" s="255"/>
      <c r="AO57" s="255"/>
      <c r="AP57" s="255"/>
      <c r="AQ57" s="255"/>
      <c r="AR57" s="255"/>
      <c r="AS57" s="255"/>
      <c r="AT57" s="255"/>
      <c r="AV57" s="257">
        <f t="shared" si="6"/>
        <v>0</v>
      </c>
      <c r="AW57" s="224">
        <f t="shared" si="7"/>
        <v>0</v>
      </c>
      <c r="AX57" s="224">
        <f t="shared" si="8"/>
        <v>0</v>
      </c>
      <c r="AY57" s="224">
        <f t="shared" si="9"/>
        <v>0</v>
      </c>
      <c r="AZ57" s="224">
        <f t="shared" si="10"/>
        <v>0</v>
      </c>
      <c r="BA57" s="224">
        <f t="shared" si="11"/>
        <v>0</v>
      </c>
      <c r="BB57" s="224">
        <f t="shared" si="12"/>
        <v>0</v>
      </c>
      <c r="BC57" s="224">
        <f t="shared" si="13"/>
        <v>0</v>
      </c>
      <c r="BD57" s="224">
        <f t="shared" si="14"/>
        <v>0</v>
      </c>
      <c r="BE57" s="224">
        <f t="shared" si="15"/>
        <v>0</v>
      </c>
      <c r="BF57" s="224">
        <f t="shared" si="16"/>
        <v>0</v>
      </c>
      <c r="BG57" s="224">
        <f t="shared" si="17"/>
        <v>0</v>
      </c>
      <c r="BH57" s="224">
        <f t="shared" si="18"/>
        <v>0</v>
      </c>
      <c r="BI57" s="224">
        <f t="shared" si="19"/>
        <v>0</v>
      </c>
      <c r="BJ57" s="224">
        <f t="shared" si="20"/>
        <v>0</v>
      </c>
      <c r="BK57" s="224">
        <f t="shared" si="21"/>
        <v>0</v>
      </c>
      <c r="BL57" s="224">
        <f t="shared" si="22"/>
        <v>0</v>
      </c>
      <c r="BM57" s="224">
        <f t="shared" si="23"/>
        <v>0</v>
      </c>
      <c r="BN57" s="224">
        <f t="shared" si="24"/>
        <v>0</v>
      </c>
      <c r="BO57" s="224">
        <f t="shared" si="25"/>
        <v>0</v>
      </c>
      <c r="BP57" s="224">
        <f t="shared" si="26"/>
        <v>0</v>
      </c>
      <c r="BQ57" s="259">
        <f t="shared" si="27"/>
        <v>0</v>
      </c>
    </row>
    <row r="58" spans="2:69">
      <c r="B58" s="238"/>
      <c r="C58" s="289"/>
      <c r="D58" s="290"/>
      <c r="E58" s="261"/>
      <c r="F58" s="261"/>
      <c r="G58" s="261"/>
      <c r="H58" s="261"/>
      <c r="I58" s="261"/>
      <c r="J58" s="261"/>
      <c r="K58" s="261"/>
      <c r="L58" s="261"/>
      <c r="M58" s="261"/>
      <c r="N58" s="261"/>
      <c r="O58" s="261"/>
      <c r="P58" s="261"/>
      <c r="Q58" s="291"/>
      <c r="R58" s="292"/>
      <c r="S58" s="292"/>
      <c r="T58" s="292"/>
      <c r="U58" s="292"/>
      <c r="V58" s="292"/>
      <c r="W58" s="292"/>
      <c r="X58" s="293"/>
      <c r="Z58" s="254"/>
      <c r="AA58" s="255"/>
      <c r="AB58" s="255"/>
      <c r="AC58" s="255"/>
      <c r="AD58" s="255"/>
      <c r="AE58" s="255"/>
      <c r="AF58" s="255"/>
      <c r="AG58" s="255"/>
      <c r="AH58" s="255"/>
      <c r="AI58" s="255"/>
      <c r="AJ58" s="255"/>
      <c r="AK58" s="255"/>
      <c r="AL58" s="256"/>
      <c r="AM58" s="255"/>
      <c r="AN58" s="255"/>
      <c r="AO58" s="255"/>
      <c r="AP58" s="255"/>
      <c r="AQ58" s="255"/>
      <c r="AR58" s="255"/>
      <c r="AS58" s="255"/>
      <c r="AT58" s="255"/>
      <c r="AV58" s="257">
        <f t="shared" si="6"/>
        <v>0</v>
      </c>
      <c r="AW58" s="224">
        <f t="shared" si="7"/>
        <v>0</v>
      </c>
      <c r="AX58" s="224">
        <f t="shared" si="8"/>
        <v>0</v>
      </c>
      <c r="AY58" s="224">
        <f t="shared" si="9"/>
        <v>0</v>
      </c>
      <c r="AZ58" s="224">
        <f t="shared" si="10"/>
        <v>0</v>
      </c>
      <c r="BA58" s="224">
        <f t="shared" si="11"/>
        <v>0</v>
      </c>
      <c r="BB58" s="224">
        <f t="shared" si="12"/>
        <v>0</v>
      </c>
      <c r="BC58" s="224">
        <f t="shared" si="13"/>
        <v>0</v>
      </c>
      <c r="BD58" s="224">
        <f t="shared" si="14"/>
        <v>0</v>
      </c>
      <c r="BE58" s="224">
        <f t="shared" si="15"/>
        <v>0</v>
      </c>
      <c r="BF58" s="224">
        <f t="shared" si="16"/>
        <v>0</v>
      </c>
      <c r="BG58" s="224">
        <f t="shared" si="17"/>
        <v>0</v>
      </c>
      <c r="BH58" s="224">
        <f t="shared" si="18"/>
        <v>0</v>
      </c>
      <c r="BI58" s="224">
        <f t="shared" si="19"/>
        <v>0</v>
      </c>
      <c r="BJ58" s="224">
        <f t="shared" si="20"/>
        <v>0</v>
      </c>
      <c r="BK58" s="224">
        <f t="shared" si="21"/>
        <v>0</v>
      </c>
      <c r="BL58" s="224">
        <f t="shared" si="22"/>
        <v>0</v>
      </c>
      <c r="BM58" s="224">
        <f t="shared" si="23"/>
        <v>0</v>
      </c>
      <c r="BN58" s="224">
        <f t="shared" si="24"/>
        <v>0</v>
      </c>
      <c r="BO58" s="224">
        <f t="shared" si="25"/>
        <v>0</v>
      </c>
      <c r="BP58" s="224">
        <f t="shared" si="26"/>
        <v>0</v>
      </c>
      <c r="BQ58" s="259">
        <f t="shared" si="27"/>
        <v>0</v>
      </c>
    </row>
    <row r="59" spans="2:69">
      <c r="B59" s="238"/>
      <c r="C59" s="289"/>
      <c r="D59" s="290"/>
      <c r="E59" s="261"/>
      <c r="F59" s="261"/>
      <c r="G59" s="261"/>
      <c r="H59" s="261"/>
      <c r="I59" s="261"/>
      <c r="J59" s="261"/>
      <c r="K59" s="261"/>
      <c r="L59" s="261"/>
      <c r="M59" s="261"/>
      <c r="N59" s="261"/>
      <c r="O59" s="261"/>
      <c r="P59" s="261"/>
      <c r="Q59" s="291"/>
      <c r="R59" s="292"/>
      <c r="S59" s="292"/>
      <c r="T59" s="292"/>
      <c r="U59" s="292"/>
      <c r="V59" s="292"/>
      <c r="W59" s="292"/>
      <c r="X59" s="293"/>
      <c r="Z59" s="254"/>
      <c r="AA59" s="255"/>
      <c r="AB59" s="255"/>
      <c r="AC59" s="255"/>
      <c r="AD59" s="255"/>
      <c r="AE59" s="255"/>
      <c r="AF59" s="255"/>
      <c r="AG59" s="255"/>
      <c r="AH59" s="255"/>
      <c r="AI59" s="255"/>
      <c r="AJ59" s="255"/>
      <c r="AK59" s="255"/>
      <c r="AL59" s="256"/>
      <c r="AM59" s="255"/>
      <c r="AN59" s="255"/>
      <c r="AO59" s="255"/>
      <c r="AP59" s="255"/>
      <c r="AQ59" s="255"/>
      <c r="AR59" s="255"/>
      <c r="AS59" s="255"/>
      <c r="AT59" s="255"/>
      <c r="AV59" s="257">
        <f t="shared" si="6"/>
        <v>0</v>
      </c>
      <c r="AW59" s="224">
        <f t="shared" si="7"/>
        <v>0</v>
      </c>
      <c r="AX59" s="224">
        <f t="shared" si="8"/>
        <v>0</v>
      </c>
      <c r="AY59" s="224">
        <f t="shared" si="9"/>
        <v>0</v>
      </c>
      <c r="AZ59" s="224">
        <f t="shared" si="10"/>
        <v>0</v>
      </c>
      <c r="BA59" s="224">
        <f t="shared" si="11"/>
        <v>0</v>
      </c>
      <c r="BB59" s="224">
        <f t="shared" si="12"/>
        <v>0</v>
      </c>
      <c r="BC59" s="224">
        <f t="shared" si="13"/>
        <v>0</v>
      </c>
      <c r="BD59" s="224">
        <f t="shared" si="14"/>
        <v>0</v>
      </c>
      <c r="BE59" s="224">
        <f t="shared" si="15"/>
        <v>0</v>
      </c>
      <c r="BF59" s="224">
        <f t="shared" si="16"/>
        <v>0</v>
      </c>
      <c r="BG59" s="224">
        <f t="shared" si="17"/>
        <v>0</v>
      </c>
      <c r="BH59" s="224">
        <f t="shared" si="18"/>
        <v>0</v>
      </c>
      <c r="BI59" s="224">
        <f t="shared" si="19"/>
        <v>0</v>
      </c>
      <c r="BJ59" s="224">
        <f t="shared" si="20"/>
        <v>0</v>
      </c>
      <c r="BK59" s="224">
        <f t="shared" si="21"/>
        <v>0</v>
      </c>
      <c r="BL59" s="224">
        <f t="shared" si="22"/>
        <v>0</v>
      </c>
      <c r="BM59" s="224">
        <f t="shared" si="23"/>
        <v>0</v>
      </c>
      <c r="BN59" s="224">
        <f t="shared" si="24"/>
        <v>0</v>
      </c>
      <c r="BO59" s="224">
        <f t="shared" si="25"/>
        <v>0</v>
      </c>
      <c r="BP59" s="224">
        <f t="shared" si="26"/>
        <v>0</v>
      </c>
      <c r="BQ59" s="259">
        <f t="shared" si="27"/>
        <v>0</v>
      </c>
    </row>
    <row r="60" spans="2:69">
      <c r="B60" s="238"/>
      <c r="C60" s="289"/>
      <c r="D60" s="290"/>
      <c r="E60" s="261"/>
      <c r="F60" s="261"/>
      <c r="G60" s="261"/>
      <c r="H60" s="261"/>
      <c r="I60" s="261"/>
      <c r="J60" s="261"/>
      <c r="K60" s="261"/>
      <c r="L60" s="261"/>
      <c r="M60" s="261"/>
      <c r="N60" s="261"/>
      <c r="O60" s="261"/>
      <c r="P60" s="261"/>
      <c r="Q60" s="291"/>
      <c r="R60" s="292"/>
      <c r="S60" s="292"/>
      <c r="T60" s="292"/>
      <c r="U60" s="292"/>
      <c r="V60" s="292"/>
      <c r="W60" s="292"/>
      <c r="X60" s="293"/>
      <c r="Z60" s="254"/>
      <c r="AA60" s="255"/>
      <c r="AB60" s="255"/>
      <c r="AC60" s="255"/>
      <c r="AD60" s="255"/>
      <c r="AE60" s="255"/>
      <c r="AF60" s="255"/>
      <c r="AG60" s="255"/>
      <c r="AH60" s="255"/>
      <c r="AI60" s="255"/>
      <c r="AJ60" s="255"/>
      <c r="AK60" s="255"/>
      <c r="AL60" s="256"/>
      <c r="AM60" s="255"/>
      <c r="AN60" s="255"/>
      <c r="AO60" s="255"/>
      <c r="AP60" s="255"/>
      <c r="AQ60" s="255"/>
      <c r="AR60" s="255"/>
      <c r="AS60" s="255"/>
      <c r="AT60" s="255"/>
      <c r="AV60" s="257">
        <f t="shared" si="6"/>
        <v>0</v>
      </c>
      <c r="AW60" s="224">
        <f t="shared" si="7"/>
        <v>0</v>
      </c>
      <c r="AX60" s="224">
        <f t="shared" si="8"/>
        <v>0</v>
      </c>
      <c r="AY60" s="224">
        <f t="shared" si="9"/>
        <v>0</v>
      </c>
      <c r="AZ60" s="224">
        <f t="shared" si="10"/>
        <v>0</v>
      </c>
      <c r="BA60" s="224">
        <f t="shared" si="11"/>
        <v>0</v>
      </c>
      <c r="BB60" s="224">
        <f t="shared" si="12"/>
        <v>0</v>
      </c>
      <c r="BC60" s="224">
        <f t="shared" si="13"/>
        <v>0</v>
      </c>
      <c r="BD60" s="224">
        <f t="shared" si="14"/>
        <v>0</v>
      </c>
      <c r="BE60" s="224">
        <f t="shared" si="15"/>
        <v>0</v>
      </c>
      <c r="BF60" s="224">
        <f t="shared" si="16"/>
        <v>0</v>
      </c>
      <c r="BG60" s="224">
        <f t="shared" si="17"/>
        <v>0</v>
      </c>
      <c r="BH60" s="224">
        <f t="shared" si="18"/>
        <v>0</v>
      </c>
      <c r="BI60" s="224">
        <f t="shared" si="19"/>
        <v>0</v>
      </c>
      <c r="BJ60" s="224">
        <f t="shared" si="20"/>
        <v>0</v>
      </c>
      <c r="BK60" s="224">
        <f t="shared" si="21"/>
        <v>0</v>
      </c>
      <c r="BL60" s="224">
        <f t="shared" si="22"/>
        <v>0</v>
      </c>
      <c r="BM60" s="224">
        <f t="shared" si="23"/>
        <v>0</v>
      </c>
      <c r="BN60" s="224">
        <f t="shared" si="24"/>
        <v>0</v>
      </c>
      <c r="BO60" s="224">
        <f t="shared" si="25"/>
        <v>0</v>
      </c>
      <c r="BP60" s="224">
        <f t="shared" si="26"/>
        <v>0</v>
      </c>
      <c r="BQ60" s="259">
        <f t="shared" si="27"/>
        <v>0</v>
      </c>
    </row>
    <row r="61" spans="2:69">
      <c r="B61" s="238"/>
      <c r="C61" s="289"/>
      <c r="D61" s="290"/>
      <c r="E61" s="261"/>
      <c r="F61" s="261"/>
      <c r="G61" s="261"/>
      <c r="H61" s="261"/>
      <c r="I61" s="261"/>
      <c r="J61" s="261"/>
      <c r="K61" s="261"/>
      <c r="L61" s="261"/>
      <c r="M61" s="261"/>
      <c r="N61" s="261"/>
      <c r="O61" s="261"/>
      <c r="P61" s="261"/>
      <c r="Q61" s="291"/>
      <c r="R61" s="292"/>
      <c r="S61" s="292"/>
      <c r="T61" s="292"/>
      <c r="U61" s="292"/>
      <c r="V61" s="292"/>
      <c r="W61" s="292"/>
      <c r="X61" s="293"/>
      <c r="Z61" s="254"/>
      <c r="AA61" s="255"/>
      <c r="AB61" s="255"/>
      <c r="AC61" s="255"/>
      <c r="AD61" s="255"/>
      <c r="AE61" s="255"/>
      <c r="AF61" s="255"/>
      <c r="AG61" s="255"/>
      <c r="AH61" s="255"/>
      <c r="AI61" s="255"/>
      <c r="AJ61" s="255"/>
      <c r="AK61" s="255"/>
      <c r="AL61" s="256"/>
      <c r="AM61" s="255"/>
      <c r="AN61" s="255"/>
      <c r="AO61" s="255"/>
      <c r="AP61" s="255"/>
      <c r="AQ61" s="255"/>
      <c r="AR61" s="255"/>
      <c r="AS61" s="255"/>
      <c r="AT61" s="255"/>
      <c r="AV61" s="257">
        <f t="shared" si="6"/>
        <v>0</v>
      </c>
      <c r="AW61" s="224">
        <f t="shared" si="7"/>
        <v>0</v>
      </c>
      <c r="AX61" s="224">
        <f t="shared" si="8"/>
        <v>0</v>
      </c>
      <c r="AY61" s="224">
        <f t="shared" si="9"/>
        <v>0</v>
      </c>
      <c r="AZ61" s="224">
        <f t="shared" si="10"/>
        <v>0</v>
      </c>
      <c r="BA61" s="224">
        <f t="shared" si="11"/>
        <v>0</v>
      </c>
      <c r="BB61" s="224">
        <f t="shared" si="12"/>
        <v>0</v>
      </c>
      <c r="BC61" s="224">
        <f t="shared" si="13"/>
        <v>0</v>
      </c>
      <c r="BD61" s="224">
        <f t="shared" si="14"/>
        <v>0</v>
      </c>
      <c r="BE61" s="224">
        <f t="shared" si="15"/>
        <v>0</v>
      </c>
      <c r="BF61" s="224">
        <f t="shared" si="16"/>
        <v>0</v>
      </c>
      <c r="BG61" s="224">
        <f t="shared" si="17"/>
        <v>0</v>
      </c>
      <c r="BH61" s="224">
        <f t="shared" si="18"/>
        <v>0</v>
      </c>
      <c r="BI61" s="224">
        <f t="shared" si="19"/>
        <v>0</v>
      </c>
      <c r="BJ61" s="224">
        <f t="shared" si="20"/>
        <v>0</v>
      </c>
      <c r="BK61" s="224">
        <f t="shared" si="21"/>
        <v>0</v>
      </c>
      <c r="BL61" s="224">
        <f t="shared" si="22"/>
        <v>0</v>
      </c>
      <c r="BM61" s="224">
        <f t="shared" si="23"/>
        <v>0</v>
      </c>
      <c r="BN61" s="224">
        <f t="shared" si="24"/>
        <v>0</v>
      </c>
      <c r="BO61" s="224">
        <f t="shared" si="25"/>
        <v>0</v>
      </c>
      <c r="BP61" s="224">
        <f t="shared" si="26"/>
        <v>0</v>
      </c>
      <c r="BQ61" s="259">
        <f t="shared" si="27"/>
        <v>0</v>
      </c>
    </row>
    <row r="62" spans="2:69">
      <c r="B62" s="238"/>
      <c r="C62" s="289"/>
      <c r="D62" s="290"/>
      <c r="E62" s="261"/>
      <c r="F62" s="261"/>
      <c r="G62" s="261"/>
      <c r="H62" s="261"/>
      <c r="I62" s="261"/>
      <c r="J62" s="261"/>
      <c r="K62" s="261"/>
      <c r="L62" s="261"/>
      <c r="M62" s="261"/>
      <c r="N62" s="261"/>
      <c r="O62" s="261"/>
      <c r="P62" s="261"/>
      <c r="Q62" s="291"/>
      <c r="R62" s="292"/>
      <c r="S62" s="292"/>
      <c r="T62" s="292"/>
      <c r="U62" s="292"/>
      <c r="V62" s="292"/>
      <c r="W62" s="292"/>
      <c r="X62" s="293"/>
      <c r="Z62" s="254"/>
      <c r="AA62" s="255"/>
      <c r="AB62" s="255"/>
      <c r="AC62" s="255"/>
      <c r="AD62" s="255"/>
      <c r="AE62" s="255"/>
      <c r="AF62" s="255"/>
      <c r="AG62" s="255"/>
      <c r="AH62" s="255"/>
      <c r="AI62" s="255"/>
      <c r="AJ62" s="255"/>
      <c r="AK62" s="255"/>
      <c r="AL62" s="256"/>
      <c r="AM62" s="255"/>
      <c r="AN62" s="255"/>
      <c r="AO62" s="255"/>
      <c r="AP62" s="255"/>
      <c r="AQ62" s="255"/>
      <c r="AR62" s="255"/>
      <c r="AS62" s="255"/>
      <c r="AT62" s="255"/>
      <c r="AV62" s="257">
        <f t="shared" si="6"/>
        <v>0</v>
      </c>
      <c r="AW62" s="224">
        <f t="shared" si="7"/>
        <v>0</v>
      </c>
      <c r="AX62" s="224">
        <f t="shared" si="8"/>
        <v>0</v>
      </c>
      <c r="AY62" s="224">
        <f t="shared" si="9"/>
        <v>0</v>
      </c>
      <c r="AZ62" s="224">
        <f t="shared" si="10"/>
        <v>0</v>
      </c>
      <c r="BA62" s="224">
        <f t="shared" si="11"/>
        <v>0</v>
      </c>
      <c r="BB62" s="224">
        <f t="shared" si="12"/>
        <v>0</v>
      </c>
      <c r="BC62" s="224">
        <f t="shared" si="13"/>
        <v>0</v>
      </c>
      <c r="BD62" s="224">
        <f t="shared" si="14"/>
        <v>0</v>
      </c>
      <c r="BE62" s="224">
        <f t="shared" si="15"/>
        <v>0</v>
      </c>
      <c r="BF62" s="224">
        <f t="shared" si="16"/>
        <v>0</v>
      </c>
      <c r="BG62" s="224">
        <f t="shared" si="17"/>
        <v>0</v>
      </c>
      <c r="BH62" s="224">
        <f t="shared" si="18"/>
        <v>0</v>
      </c>
      <c r="BI62" s="224">
        <f t="shared" si="19"/>
        <v>0</v>
      </c>
      <c r="BJ62" s="224">
        <f t="shared" si="20"/>
        <v>0</v>
      </c>
      <c r="BK62" s="224">
        <f t="shared" si="21"/>
        <v>0</v>
      </c>
      <c r="BL62" s="224">
        <f t="shared" si="22"/>
        <v>0</v>
      </c>
      <c r="BM62" s="224">
        <f t="shared" si="23"/>
        <v>0</v>
      </c>
      <c r="BN62" s="224">
        <f t="shared" si="24"/>
        <v>0</v>
      </c>
      <c r="BO62" s="224">
        <f t="shared" si="25"/>
        <v>0</v>
      </c>
      <c r="BP62" s="224">
        <f t="shared" si="26"/>
        <v>0</v>
      </c>
      <c r="BQ62" s="259">
        <f t="shared" si="27"/>
        <v>0</v>
      </c>
    </row>
    <row r="63" spans="2:69">
      <c r="B63" s="238"/>
      <c r="C63" s="289"/>
      <c r="D63" s="290"/>
      <c r="E63" s="261"/>
      <c r="F63" s="261"/>
      <c r="G63" s="261"/>
      <c r="H63" s="261"/>
      <c r="I63" s="261"/>
      <c r="J63" s="261"/>
      <c r="K63" s="261"/>
      <c r="L63" s="261"/>
      <c r="M63" s="261"/>
      <c r="N63" s="261"/>
      <c r="O63" s="261"/>
      <c r="P63" s="261"/>
      <c r="Q63" s="291"/>
      <c r="R63" s="292"/>
      <c r="S63" s="292"/>
      <c r="T63" s="292"/>
      <c r="U63" s="292"/>
      <c r="V63" s="292"/>
      <c r="W63" s="292"/>
      <c r="X63" s="293"/>
      <c r="Z63" s="254"/>
      <c r="AA63" s="255"/>
      <c r="AB63" s="255"/>
      <c r="AC63" s="255"/>
      <c r="AD63" s="255"/>
      <c r="AE63" s="255"/>
      <c r="AF63" s="255"/>
      <c r="AG63" s="255"/>
      <c r="AH63" s="255"/>
      <c r="AI63" s="255"/>
      <c r="AJ63" s="255"/>
      <c r="AK63" s="255"/>
      <c r="AL63" s="256"/>
      <c r="AM63" s="255"/>
      <c r="AN63" s="255"/>
      <c r="AO63" s="255"/>
      <c r="AP63" s="255"/>
      <c r="AQ63" s="255"/>
      <c r="AR63" s="255"/>
      <c r="AS63" s="255"/>
      <c r="AT63" s="255"/>
      <c r="AV63" s="257">
        <f t="shared" si="6"/>
        <v>0</v>
      </c>
      <c r="AW63" s="224">
        <f t="shared" si="7"/>
        <v>0</v>
      </c>
      <c r="AX63" s="224">
        <f t="shared" si="8"/>
        <v>0</v>
      </c>
      <c r="AY63" s="224">
        <f t="shared" si="9"/>
        <v>0</v>
      </c>
      <c r="AZ63" s="224">
        <f t="shared" si="10"/>
        <v>0</v>
      </c>
      <c r="BA63" s="224">
        <f t="shared" si="11"/>
        <v>0</v>
      </c>
      <c r="BB63" s="224">
        <f t="shared" si="12"/>
        <v>0</v>
      </c>
      <c r="BC63" s="224">
        <f t="shared" si="13"/>
        <v>0</v>
      </c>
      <c r="BD63" s="224">
        <f t="shared" si="14"/>
        <v>0</v>
      </c>
      <c r="BE63" s="224">
        <f t="shared" si="15"/>
        <v>0</v>
      </c>
      <c r="BF63" s="224">
        <f t="shared" si="16"/>
        <v>0</v>
      </c>
      <c r="BG63" s="224">
        <f t="shared" si="17"/>
        <v>0</v>
      </c>
      <c r="BH63" s="224">
        <f t="shared" si="18"/>
        <v>0</v>
      </c>
      <c r="BI63" s="224">
        <f t="shared" si="19"/>
        <v>0</v>
      </c>
      <c r="BJ63" s="224">
        <f t="shared" si="20"/>
        <v>0</v>
      </c>
      <c r="BK63" s="224">
        <f t="shared" si="21"/>
        <v>0</v>
      </c>
      <c r="BL63" s="224">
        <f t="shared" si="22"/>
        <v>0</v>
      </c>
      <c r="BM63" s="224">
        <f t="shared" si="23"/>
        <v>0</v>
      </c>
      <c r="BN63" s="224">
        <f t="shared" si="24"/>
        <v>0</v>
      </c>
      <c r="BO63" s="224">
        <f t="shared" si="25"/>
        <v>0</v>
      </c>
      <c r="BP63" s="224">
        <f t="shared" si="26"/>
        <v>0</v>
      </c>
      <c r="BQ63" s="259">
        <f t="shared" si="27"/>
        <v>0</v>
      </c>
    </row>
    <row r="64" spans="2:69">
      <c r="B64" s="238"/>
      <c r="C64" s="289"/>
      <c r="D64" s="290"/>
      <c r="E64" s="261"/>
      <c r="F64" s="261"/>
      <c r="G64" s="261"/>
      <c r="H64" s="261"/>
      <c r="I64" s="261"/>
      <c r="J64" s="261"/>
      <c r="K64" s="261"/>
      <c r="L64" s="261"/>
      <c r="M64" s="261"/>
      <c r="N64" s="261"/>
      <c r="O64" s="261"/>
      <c r="P64" s="261"/>
      <c r="Q64" s="291"/>
      <c r="R64" s="292"/>
      <c r="S64" s="292"/>
      <c r="T64" s="292"/>
      <c r="U64" s="292"/>
      <c r="V64" s="292"/>
      <c r="W64" s="292"/>
      <c r="X64" s="293"/>
      <c r="Z64" s="254"/>
      <c r="AA64" s="255"/>
      <c r="AB64" s="255"/>
      <c r="AC64" s="255"/>
      <c r="AD64" s="255"/>
      <c r="AE64" s="255"/>
      <c r="AF64" s="255"/>
      <c r="AG64" s="255"/>
      <c r="AH64" s="255"/>
      <c r="AI64" s="255"/>
      <c r="AJ64" s="255"/>
      <c r="AK64" s="255"/>
      <c r="AL64" s="256"/>
      <c r="AM64" s="255"/>
      <c r="AN64" s="255"/>
      <c r="AO64" s="255"/>
      <c r="AP64" s="255"/>
      <c r="AQ64" s="255"/>
      <c r="AR64" s="255"/>
      <c r="AS64" s="255"/>
      <c r="AT64" s="255"/>
      <c r="AV64" s="257">
        <f t="shared" si="6"/>
        <v>0</v>
      </c>
      <c r="AW64" s="224">
        <f t="shared" si="7"/>
        <v>0</v>
      </c>
      <c r="AX64" s="224">
        <f t="shared" si="8"/>
        <v>0</v>
      </c>
      <c r="AY64" s="224">
        <f t="shared" si="9"/>
        <v>0</v>
      </c>
      <c r="AZ64" s="224">
        <f t="shared" si="10"/>
        <v>0</v>
      </c>
      <c r="BA64" s="224">
        <f t="shared" si="11"/>
        <v>0</v>
      </c>
      <c r="BB64" s="224">
        <f t="shared" si="12"/>
        <v>0</v>
      </c>
      <c r="BC64" s="224">
        <f t="shared" si="13"/>
        <v>0</v>
      </c>
      <c r="BD64" s="224">
        <f t="shared" si="14"/>
        <v>0</v>
      </c>
      <c r="BE64" s="224">
        <f t="shared" si="15"/>
        <v>0</v>
      </c>
      <c r="BF64" s="224">
        <f t="shared" si="16"/>
        <v>0</v>
      </c>
      <c r="BG64" s="224">
        <f t="shared" si="17"/>
        <v>0</v>
      </c>
      <c r="BH64" s="224">
        <f t="shared" si="18"/>
        <v>0</v>
      </c>
      <c r="BI64" s="224">
        <f t="shared" si="19"/>
        <v>0</v>
      </c>
      <c r="BJ64" s="224">
        <f t="shared" si="20"/>
        <v>0</v>
      </c>
      <c r="BK64" s="224">
        <f t="shared" si="21"/>
        <v>0</v>
      </c>
      <c r="BL64" s="224">
        <f t="shared" si="22"/>
        <v>0</v>
      </c>
      <c r="BM64" s="224">
        <f t="shared" si="23"/>
        <v>0</v>
      </c>
      <c r="BN64" s="224">
        <f t="shared" si="24"/>
        <v>0</v>
      </c>
      <c r="BO64" s="224">
        <f t="shared" si="25"/>
        <v>0</v>
      </c>
      <c r="BP64" s="224">
        <f t="shared" si="26"/>
        <v>0</v>
      </c>
      <c r="BQ64" s="259">
        <f t="shared" si="27"/>
        <v>0</v>
      </c>
    </row>
    <row r="65" spans="2:69" ht="13.5" thickBot="1">
      <c r="B65" s="264"/>
      <c r="C65" s="294"/>
      <c r="D65" s="295"/>
      <c r="E65" s="266"/>
      <c r="F65" s="266"/>
      <c r="G65" s="266"/>
      <c r="H65" s="266"/>
      <c r="I65" s="266"/>
      <c r="J65" s="266"/>
      <c r="K65" s="266"/>
      <c r="L65" s="266"/>
      <c r="M65" s="266"/>
      <c r="N65" s="266"/>
      <c r="O65" s="266"/>
      <c r="P65" s="266"/>
      <c r="Q65" s="296"/>
      <c r="R65" s="297"/>
      <c r="S65" s="297"/>
      <c r="T65" s="297"/>
      <c r="U65" s="297"/>
      <c r="V65" s="297"/>
      <c r="W65" s="297"/>
      <c r="X65" s="298"/>
      <c r="Z65" s="269"/>
      <c r="AA65" s="270"/>
      <c r="AB65" s="270"/>
      <c r="AC65" s="270"/>
      <c r="AD65" s="270"/>
      <c r="AE65" s="270"/>
      <c r="AF65" s="270"/>
      <c r="AG65" s="270"/>
      <c r="AH65" s="270"/>
      <c r="AI65" s="270"/>
      <c r="AJ65" s="270"/>
      <c r="AK65" s="270"/>
      <c r="AL65" s="271"/>
      <c r="AM65" s="270"/>
      <c r="AN65" s="270"/>
      <c r="AO65" s="270"/>
      <c r="AP65" s="270"/>
      <c r="AQ65" s="270"/>
      <c r="AR65" s="270"/>
      <c r="AS65" s="270"/>
      <c r="AT65" s="270"/>
      <c r="AV65" s="272">
        <f t="shared" si="6"/>
        <v>0</v>
      </c>
      <c r="AW65" s="273">
        <f t="shared" si="7"/>
        <v>0</v>
      </c>
      <c r="AX65" s="273">
        <f t="shared" si="8"/>
        <v>0</v>
      </c>
      <c r="AY65" s="273">
        <f t="shared" si="9"/>
        <v>0</v>
      </c>
      <c r="AZ65" s="273">
        <f t="shared" si="10"/>
        <v>0</v>
      </c>
      <c r="BA65" s="273">
        <f t="shared" si="11"/>
        <v>0</v>
      </c>
      <c r="BB65" s="273">
        <f t="shared" si="12"/>
        <v>0</v>
      </c>
      <c r="BC65" s="273">
        <f t="shared" si="13"/>
        <v>0</v>
      </c>
      <c r="BD65" s="273">
        <f t="shared" si="14"/>
        <v>0</v>
      </c>
      <c r="BE65" s="273">
        <f t="shared" si="15"/>
        <v>0</v>
      </c>
      <c r="BF65" s="273">
        <f t="shared" si="16"/>
        <v>0</v>
      </c>
      <c r="BG65" s="273">
        <f t="shared" si="17"/>
        <v>0</v>
      </c>
      <c r="BH65" s="273">
        <f t="shared" si="18"/>
        <v>0</v>
      </c>
      <c r="BI65" s="273">
        <f t="shared" si="19"/>
        <v>0</v>
      </c>
      <c r="BJ65" s="273">
        <f t="shared" si="20"/>
        <v>0</v>
      </c>
      <c r="BK65" s="273">
        <f t="shared" si="21"/>
        <v>0</v>
      </c>
      <c r="BL65" s="273">
        <f t="shared" si="22"/>
        <v>0</v>
      </c>
      <c r="BM65" s="273">
        <f t="shared" si="23"/>
        <v>0</v>
      </c>
      <c r="BN65" s="273">
        <f t="shared" si="24"/>
        <v>0</v>
      </c>
      <c r="BO65" s="273">
        <f t="shared" si="25"/>
        <v>0</v>
      </c>
      <c r="BP65" s="273">
        <f t="shared" si="26"/>
        <v>0</v>
      </c>
      <c r="BQ65" s="275">
        <f t="shared" si="27"/>
        <v>0</v>
      </c>
    </row>
    <row r="66" spans="2:69" ht="13.5" thickBot="1">
      <c r="B66" s="276"/>
      <c r="C66" s="155"/>
      <c r="Z66" s="277">
        <f>SUM(Z6:Z65)-SUM(Z17:Z20)</f>
        <v>822141.76627671765</v>
      </c>
      <c r="AA66" s="277">
        <f t="shared" ref="AA66:AL66" si="28">SUM(AA6:AA65)</f>
        <v>2529447017.5473452</v>
      </c>
      <c r="AB66" s="277">
        <f t="shared" si="28"/>
        <v>4181244955.9887743</v>
      </c>
      <c r="AC66" s="277">
        <f t="shared" si="28"/>
        <v>0</v>
      </c>
      <c r="AD66" s="277">
        <f t="shared" si="28"/>
        <v>0</v>
      </c>
      <c r="AE66" s="277">
        <f t="shared" si="28"/>
        <v>3953804623.3863769</v>
      </c>
      <c r="AF66" s="277">
        <f t="shared" si="28"/>
        <v>0</v>
      </c>
      <c r="AG66" s="277">
        <f t="shared" si="28"/>
        <v>0</v>
      </c>
      <c r="AH66" s="277">
        <f t="shared" si="28"/>
        <v>0</v>
      </c>
      <c r="AI66" s="277">
        <f t="shared" si="28"/>
        <v>1560912.6426284716</v>
      </c>
      <c r="AJ66" s="277">
        <f t="shared" si="28"/>
        <v>0</v>
      </c>
      <c r="AK66" s="277">
        <f t="shared" si="28"/>
        <v>1449407.0156687794</v>
      </c>
      <c r="AL66" s="277">
        <f t="shared" si="28"/>
        <v>2541452.8145899554</v>
      </c>
      <c r="AM66" s="277">
        <f t="shared" ref="AM66:AT66" si="29">SUM(AM6:AM65)</f>
        <v>1406089.7622498199</v>
      </c>
      <c r="AN66" s="277">
        <f t="shared" si="29"/>
        <v>1775241.4930800435</v>
      </c>
      <c r="AO66" s="277">
        <f t="shared" si="29"/>
        <v>1651659.4664277681</v>
      </c>
      <c r="AP66" s="277">
        <f t="shared" si="29"/>
        <v>0</v>
      </c>
      <c r="AQ66" s="277">
        <f t="shared" si="29"/>
        <v>4254857.3176637506</v>
      </c>
      <c r="AR66" s="277">
        <f t="shared" si="29"/>
        <v>5574059.2046070807</v>
      </c>
      <c r="AS66" s="277">
        <f t="shared" si="29"/>
        <v>5233513.7018682025</v>
      </c>
      <c r="AT66" s="277">
        <f t="shared" si="29"/>
        <v>0</v>
      </c>
      <c r="AV66" s="278">
        <f t="shared" ref="AV66:BP66" si="30">SUM(AV6:AV65)</f>
        <v>0</v>
      </c>
      <c r="AW66" s="277">
        <f t="shared" si="30"/>
        <v>8347175.1579062389</v>
      </c>
      <c r="AX66" s="277">
        <f t="shared" si="30"/>
        <v>9006031.9410096668</v>
      </c>
      <c r="AY66" s="277">
        <f t="shared" si="30"/>
        <v>0</v>
      </c>
      <c r="AZ66" s="277">
        <f t="shared" si="30"/>
        <v>0</v>
      </c>
      <c r="BA66" s="277">
        <f t="shared" si="30"/>
        <v>8758611.8457048256</v>
      </c>
      <c r="BB66" s="277">
        <f t="shared" si="30"/>
        <v>0</v>
      </c>
      <c r="BC66" s="277">
        <f t="shared" si="30"/>
        <v>0</v>
      </c>
      <c r="BD66" s="277">
        <f t="shared" si="30"/>
        <v>0</v>
      </c>
      <c r="BE66" s="277">
        <f t="shared" si="30"/>
        <v>0</v>
      </c>
      <c r="BF66" s="277">
        <f t="shared" si="30"/>
        <v>0</v>
      </c>
      <c r="BG66" s="277">
        <f t="shared" si="30"/>
        <v>0</v>
      </c>
      <c r="BH66" s="277">
        <f t="shared" si="30"/>
        <v>0</v>
      </c>
      <c r="BI66" s="277">
        <f t="shared" si="30"/>
        <v>4640.0962154244053</v>
      </c>
      <c r="BJ66" s="277">
        <f t="shared" si="30"/>
        <v>5858.2969271641432</v>
      </c>
      <c r="BK66" s="277">
        <f t="shared" si="30"/>
        <v>5450.4762392116345</v>
      </c>
      <c r="BL66" s="277">
        <f t="shared" si="30"/>
        <v>0</v>
      </c>
      <c r="BM66" s="277">
        <f t="shared" si="30"/>
        <v>14041.029148290378</v>
      </c>
      <c r="BN66" s="277">
        <f t="shared" si="30"/>
        <v>18394.395375203367</v>
      </c>
      <c r="BO66" s="277">
        <f t="shared" si="30"/>
        <v>17270.595216165068</v>
      </c>
      <c r="BP66" s="277">
        <f t="shared" si="30"/>
        <v>0</v>
      </c>
      <c r="BQ66" s="277">
        <f>SUM(AV66:BP66)</f>
        <v>26177473.83374219</v>
      </c>
    </row>
    <row r="67" spans="2:69" ht="13.5" thickTop="1">
      <c r="B67" s="276"/>
      <c r="C67" s="155"/>
      <c r="BQ67" s="325">
        <v>0</v>
      </c>
    </row>
    <row r="68" spans="2:69">
      <c r="B68" s="276"/>
      <c r="C68" s="155"/>
    </row>
    <row r="69" spans="2:69">
      <c r="B69" s="276"/>
      <c r="C69" s="155"/>
      <c r="BQ69" s="325"/>
    </row>
    <row r="70" spans="2:69">
      <c r="B70" s="276"/>
      <c r="C70" s="155"/>
    </row>
    <row r="71" spans="2:69">
      <c r="B71" s="276"/>
      <c r="C71" s="155"/>
    </row>
    <row r="72" spans="2:69">
      <c r="B72" s="276"/>
      <c r="C72" s="155"/>
    </row>
    <row r="73" spans="2:69">
      <c r="B73" s="276"/>
      <c r="C73" s="155"/>
    </row>
    <row r="74" spans="2:69">
      <c r="B74" s="276"/>
      <c r="C74" s="155"/>
    </row>
    <row r="75" spans="2:69">
      <c r="B75" s="276"/>
      <c r="C75" s="155"/>
    </row>
    <row r="76" spans="2:69">
      <c r="B76" s="276"/>
      <c r="C76" s="155"/>
    </row>
    <row r="77" spans="2:69">
      <c r="B77" s="276"/>
      <c r="C77" s="155"/>
    </row>
    <row r="78" spans="2:69">
      <c r="B78" s="276"/>
      <c r="C78" s="155"/>
    </row>
    <row r="79" spans="2:69">
      <c r="B79" s="276"/>
      <c r="C79" s="155"/>
    </row>
    <row r="80" spans="2:69">
      <c r="B80" s="276"/>
      <c r="C80" s="155"/>
    </row>
    <row r="81" spans="2:3">
      <c r="B81" s="276"/>
      <c r="C81" s="155"/>
    </row>
    <row r="82" spans="2:3">
      <c r="B82" s="276"/>
      <c r="C82" s="155"/>
    </row>
    <row r="83" spans="2:3">
      <c r="B83" s="276"/>
      <c r="C83" s="155"/>
    </row>
    <row r="84" spans="2:3">
      <c r="B84" s="276"/>
      <c r="C84" s="155"/>
    </row>
    <row r="85" spans="2:3">
      <c r="B85" s="276"/>
      <c r="C85" s="155"/>
    </row>
    <row r="86" spans="2:3">
      <c r="B86" s="276"/>
      <c r="C86" s="155"/>
    </row>
    <row r="87" spans="2:3">
      <c r="B87" s="276"/>
      <c r="C87" s="155"/>
    </row>
    <row r="88" spans="2:3">
      <c r="B88" s="276"/>
      <c r="C88" s="155"/>
    </row>
    <row r="89" spans="2:3">
      <c r="B89" s="276"/>
      <c r="C89" s="155"/>
    </row>
    <row r="90" spans="2:3">
      <c r="B90" s="276"/>
      <c r="C90" s="155"/>
    </row>
    <row r="91" spans="2:3">
      <c r="B91" s="276"/>
      <c r="C91" s="155"/>
    </row>
    <row r="92" spans="2:3">
      <c r="B92" s="276"/>
      <c r="C92" s="155"/>
    </row>
    <row r="93" spans="2:3">
      <c r="B93" s="276"/>
      <c r="C93" s="155"/>
    </row>
    <row r="94" spans="2:3">
      <c r="B94" s="276"/>
      <c r="C94" s="155"/>
    </row>
    <row r="95" spans="2:3">
      <c r="B95" s="276"/>
      <c r="C95" s="155"/>
    </row>
    <row r="96" spans="2:3">
      <c r="B96" s="276"/>
      <c r="C96" s="155"/>
    </row>
    <row r="97" spans="2:3">
      <c r="B97" s="276"/>
      <c r="C97" s="155"/>
    </row>
    <row r="98" spans="2:3">
      <c r="B98" s="276"/>
      <c r="C98" s="155"/>
    </row>
    <row r="99" spans="2:3">
      <c r="B99" s="276"/>
      <c r="C99" s="155"/>
    </row>
    <row r="100" spans="2:3">
      <c r="B100" s="276"/>
      <c r="C100" s="155"/>
    </row>
    <row r="101" spans="2:3">
      <c r="B101" s="276"/>
      <c r="C101" s="155"/>
    </row>
    <row r="102" spans="2:3">
      <c r="B102" s="276"/>
      <c r="C102" s="155"/>
    </row>
    <row r="103" spans="2:3">
      <c r="B103" s="276"/>
      <c r="C103" s="155"/>
    </row>
    <row r="104" spans="2:3">
      <c r="B104" s="276"/>
      <c r="C104" s="155"/>
    </row>
    <row r="105" spans="2:3">
      <c r="B105" s="276"/>
      <c r="C105" s="155"/>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15"/>
    <pageSetUpPr autoPageBreaks="0"/>
  </sheetPr>
  <dimension ref="A1:BQ105"/>
  <sheetViews>
    <sheetView zoomScale="80" zoomScaleNormal="80" workbookViewId="0">
      <pane xSplit="3" ySplit="5" topLeftCell="D6" activePane="bottomRight" state="frozen"/>
      <selection activeCell="B33" sqref="B33"/>
      <selection pane="topRight" activeCell="B33" sqref="B33"/>
      <selection pane="bottomLeft" activeCell="B33" sqref="B33"/>
      <selection pane="bottomRight" activeCell="D7" sqref="D7:W54"/>
    </sheetView>
  </sheetViews>
  <sheetFormatPr defaultRowHeight="12.75"/>
  <cols>
    <col min="1" max="1" width="5.140625" style="199" customWidth="1"/>
    <col min="2" max="2" width="45" style="199" customWidth="1"/>
    <col min="3" max="3" width="1.85546875" style="199" customWidth="1"/>
    <col min="4" max="4" width="12.140625" style="199" customWidth="1"/>
    <col min="5" max="9" width="10.85546875" style="199" customWidth="1"/>
    <col min="10" max="10" width="10.7109375" style="199" customWidth="1"/>
    <col min="11" max="11" width="11.5703125" style="199" customWidth="1"/>
    <col min="12" max="12" width="11.28515625" style="199" customWidth="1"/>
    <col min="13" max="13" width="12.5703125" style="199" customWidth="1"/>
    <col min="14" max="14" width="11.140625" style="199" customWidth="1"/>
    <col min="15" max="15" width="12.140625" style="199" customWidth="1"/>
    <col min="16" max="16" width="11.42578125" style="199" customWidth="1"/>
    <col min="17" max="17" width="11.28515625" style="199" customWidth="1"/>
    <col min="18" max="18" width="14.85546875" style="199" bestFit="1" customWidth="1"/>
    <col min="19" max="19" width="16" style="199" customWidth="1"/>
    <col min="20" max="20" width="14.5703125" style="199" customWidth="1"/>
    <col min="21" max="22" width="16.7109375" style="199" bestFit="1" customWidth="1"/>
    <col min="23" max="23" width="16.85546875" style="199" bestFit="1" customWidth="1"/>
    <col min="24" max="24" width="13.42578125" style="199" customWidth="1"/>
    <col min="25" max="25" width="3.42578125" style="199" customWidth="1"/>
    <col min="26" max="26" width="15" style="199" customWidth="1"/>
    <col min="27" max="28" width="18.28515625" style="199" customWidth="1"/>
    <col min="29" max="29" width="15.5703125" style="199" customWidth="1"/>
    <col min="30" max="30" width="17.140625" style="199" customWidth="1"/>
    <col min="31" max="31" width="17.85546875" style="199" bestFit="1" customWidth="1"/>
    <col min="32" max="32" width="10.5703125" style="199" customWidth="1"/>
    <col min="33" max="33" width="11.7109375" style="199" customWidth="1"/>
    <col min="34" max="34" width="12.140625" style="199" customWidth="1"/>
    <col min="35" max="35" width="15.28515625" style="199" customWidth="1"/>
    <col min="36" max="36" width="14" style="199" customWidth="1"/>
    <col min="37" max="37" width="13.5703125" style="199" bestFit="1" customWidth="1"/>
    <col min="38" max="38" width="15.140625" style="199" customWidth="1"/>
    <col min="39" max="39" width="18" style="199" customWidth="1"/>
    <col min="40" max="40" width="15.140625" style="199" customWidth="1"/>
    <col min="41" max="41" width="14.5703125" style="199" customWidth="1"/>
    <col min="42" max="42" width="13.5703125" style="199" customWidth="1"/>
    <col min="43" max="45" width="14.42578125" style="199" bestFit="1" customWidth="1"/>
    <col min="46" max="46" width="11.85546875" style="199" customWidth="1"/>
    <col min="47" max="47" width="5.28515625" style="199" customWidth="1"/>
    <col min="48" max="48" width="14.5703125" style="199" customWidth="1"/>
    <col min="49" max="50" width="15.140625" style="199" customWidth="1"/>
    <col min="51" max="51" width="12.85546875" style="199" customWidth="1"/>
    <col min="52" max="52" width="14.7109375" style="199" customWidth="1"/>
    <col min="53" max="53" width="16.5703125" style="199" customWidth="1"/>
    <col min="54" max="56" width="9.140625" style="199"/>
    <col min="57" max="57" width="15.140625" style="199" customWidth="1"/>
    <col min="58" max="60" width="9.140625" style="199"/>
    <col min="61" max="62" width="12.42578125" style="199" customWidth="1"/>
    <col min="63" max="63" width="11.85546875" style="199" customWidth="1"/>
    <col min="64" max="64" width="9.140625" style="199"/>
    <col min="65" max="65" width="12.42578125" style="199" customWidth="1"/>
    <col min="66" max="66" width="12.5703125" style="199" customWidth="1"/>
    <col min="67" max="67" width="13.140625" style="199" customWidth="1"/>
    <col min="68" max="68" width="9.140625" style="199"/>
    <col min="69" max="69" width="17.140625" style="199" customWidth="1"/>
    <col min="70" max="16384" width="9.140625" style="199"/>
  </cols>
  <sheetData>
    <row r="1" spans="1:69" ht="15">
      <c r="B1" s="154" t="str">
        <f>"Tariff Approval - "&amp;'Model update'!C3</f>
        <v>Tariff Approval - Powercor</v>
      </c>
    </row>
    <row r="3" spans="1:69">
      <c r="B3" s="227" t="str">
        <f>"ESTIMATED "&amp;'Model update'!C8&amp;" JURISDICTIONAL SCHEME REVENUE"</f>
        <v>ESTIMATED 2017 JURISDICTIONAL SCHEME REVENUE</v>
      </c>
    </row>
    <row r="4" spans="1:69" ht="13.5" thickBot="1">
      <c r="D4" s="229" t="str">
        <f>"Current Jurisdictional scheme Tariffs (Pt-1) for "&amp;'Model update'!$C$8</f>
        <v>Current Jurisdictional scheme Tariffs (Pt-1) for 2017</v>
      </c>
      <c r="E4" s="230"/>
      <c r="F4" s="230"/>
      <c r="G4" s="230"/>
      <c r="H4" s="230"/>
      <c r="I4" s="230"/>
      <c r="Z4" s="229" t="str">
        <f>"Estimated Quantities (Qt-1) for "&amp;'Model update'!$C$8</f>
        <v>Estimated Quantities (Qt-1) for 2017</v>
      </c>
      <c r="AA4" s="230"/>
      <c r="AB4" s="230"/>
      <c r="AV4" s="231" t="str">
        <f>"Estimated Revenue (Pt-1 "&amp;'Model update'!$C$8&amp;")*(Qt-1 " &amp;'Model update'!$C$8&amp;")"</f>
        <v>Estimated Revenue (Pt-1 2017)*(Qt-1 2017)</v>
      </c>
      <c r="AW4" s="232"/>
      <c r="AX4" s="232"/>
      <c r="AY4" s="232"/>
      <c r="AZ4" s="232"/>
    </row>
    <row r="5" spans="1:69" ht="38.25">
      <c r="B5" s="233" t="str">
        <f>"Tariffs "&amp;'Model update'!C8</f>
        <v>Tariffs 2017</v>
      </c>
      <c r="D5" s="234" t="s">
        <v>237</v>
      </c>
      <c r="E5" s="235" t="s">
        <v>552</v>
      </c>
      <c r="F5" s="235" t="s">
        <v>553</v>
      </c>
      <c r="G5" s="235"/>
      <c r="H5" s="235"/>
      <c r="I5" s="235" t="s">
        <v>252</v>
      </c>
      <c r="J5" s="235"/>
      <c r="K5" s="235"/>
      <c r="L5" s="235"/>
      <c r="M5" s="235" t="s">
        <v>554</v>
      </c>
      <c r="N5" s="235" t="s">
        <v>555</v>
      </c>
      <c r="O5" s="235" t="s">
        <v>556</v>
      </c>
      <c r="P5" s="235" t="s">
        <v>557</v>
      </c>
      <c r="Q5" s="235" t="s">
        <v>238</v>
      </c>
      <c r="R5" s="235" t="s">
        <v>239</v>
      </c>
      <c r="S5" s="235" t="s">
        <v>240</v>
      </c>
      <c r="T5" s="235"/>
      <c r="U5" s="235" t="s">
        <v>241</v>
      </c>
      <c r="V5" s="235" t="s">
        <v>242</v>
      </c>
      <c r="W5" s="235" t="s">
        <v>243</v>
      </c>
      <c r="X5" s="237"/>
      <c r="Z5" s="234" t="s">
        <v>253</v>
      </c>
      <c r="AA5" s="235" t="s">
        <v>559</v>
      </c>
      <c r="AB5" s="235" t="s">
        <v>558</v>
      </c>
      <c r="AC5" s="235"/>
      <c r="AD5" s="235"/>
      <c r="AE5" s="235" t="s">
        <v>560</v>
      </c>
      <c r="AF5" s="235"/>
      <c r="AG5" s="235"/>
      <c r="AH5" s="235"/>
      <c r="AI5" s="235" t="s">
        <v>561</v>
      </c>
      <c r="AJ5" s="235" t="s">
        <v>562</v>
      </c>
      <c r="AK5" s="235" t="s">
        <v>563</v>
      </c>
      <c r="AL5" s="235" t="s">
        <v>564</v>
      </c>
      <c r="AM5" s="235" t="s">
        <v>254</v>
      </c>
      <c r="AN5" s="235" t="s">
        <v>255</v>
      </c>
      <c r="AO5" s="235" t="s">
        <v>256</v>
      </c>
      <c r="AP5" s="235"/>
      <c r="AQ5" s="235" t="s">
        <v>257</v>
      </c>
      <c r="AR5" s="235" t="s">
        <v>258</v>
      </c>
      <c r="AS5" s="235" t="s">
        <v>259</v>
      </c>
      <c r="AT5" s="237"/>
      <c r="AV5" s="234" t="s">
        <v>244</v>
      </c>
      <c r="AW5" s="235" t="s">
        <v>565</v>
      </c>
      <c r="AX5" s="235" t="s">
        <v>566</v>
      </c>
      <c r="AY5" s="235"/>
      <c r="AZ5" s="235"/>
      <c r="BA5" s="235" t="s">
        <v>567</v>
      </c>
      <c r="BB5" s="235"/>
      <c r="BC5" s="235"/>
      <c r="BD5" s="235"/>
      <c r="BE5" s="235" t="s">
        <v>568</v>
      </c>
      <c r="BF5" s="235" t="s">
        <v>569</v>
      </c>
      <c r="BG5" s="235" t="s">
        <v>570</v>
      </c>
      <c r="BH5" s="235" t="s">
        <v>571</v>
      </c>
      <c r="BI5" s="235" t="s">
        <v>245</v>
      </c>
      <c r="BJ5" s="235" t="s">
        <v>246</v>
      </c>
      <c r="BK5" s="235" t="s">
        <v>247</v>
      </c>
      <c r="BL5" s="235"/>
      <c r="BM5" s="235" t="s">
        <v>248</v>
      </c>
      <c r="BN5" s="235" t="s">
        <v>249</v>
      </c>
      <c r="BO5" s="235" t="s">
        <v>250</v>
      </c>
      <c r="BP5" s="235"/>
      <c r="BQ5" s="237" t="s">
        <v>251</v>
      </c>
    </row>
    <row r="6" spans="1:69">
      <c r="B6" s="238"/>
      <c r="D6" s="239"/>
      <c r="E6" s="240"/>
      <c r="F6" s="240"/>
      <c r="G6" s="240"/>
      <c r="H6" s="240"/>
      <c r="I6" s="240"/>
      <c r="J6" s="240"/>
      <c r="K6" s="240"/>
      <c r="L6" s="240"/>
      <c r="M6" s="240"/>
      <c r="N6" s="240"/>
      <c r="O6" s="240"/>
      <c r="P6" s="240"/>
      <c r="Q6" s="240"/>
      <c r="R6" s="240"/>
      <c r="S6" s="240"/>
      <c r="T6" s="240"/>
      <c r="U6" s="240"/>
      <c r="V6" s="240"/>
      <c r="W6" s="240"/>
      <c r="X6" s="242"/>
      <c r="Z6" s="243"/>
      <c r="AA6" s="244"/>
      <c r="AB6" s="244"/>
      <c r="AC6" s="244"/>
      <c r="AD6" s="244"/>
      <c r="AE6" s="244"/>
      <c r="AF6" s="244"/>
      <c r="AG6" s="244"/>
      <c r="AH6" s="244"/>
      <c r="AI6" s="244"/>
      <c r="AJ6" s="244"/>
      <c r="AK6" s="244"/>
      <c r="AL6" s="244"/>
      <c r="AM6" s="244"/>
      <c r="AN6" s="244"/>
      <c r="AO6" s="244"/>
      <c r="AP6" s="244"/>
      <c r="AQ6" s="244"/>
      <c r="AR6" s="244"/>
      <c r="AS6" s="244"/>
      <c r="AT6" s="245"/>
      <c r="AV6" s="246"/>
      <c r="AW6" s="223"/>
      <c r="AX6" s="223"/>
      <c r="AY6" s="223"/>
      <c r="AZ6" s="223"/>
      <c r="BA6" s="223"/>
      <c r="BB6" s="223"/>
      <c r="BC6" s="223"/>
      <c r="BD6" s="223"/>
      <c r="BE6" s="223"/>
      <c r="BF6" s="223"/>
      <c r="BG6" s="223"/>
      <c r="BH6" s="223"/>
      <c r="BI6" s="223"/>
      <c r="BJ6" s="247"/>
      <c r="BK6" s="247"/>
      <c r="BL6" s="247"/>
      <c r="BM6" s="247"/>
      <c r="BN6" s="247"/>
      <c r="BO6" s="247"/>
      <c r="BP6" s="247"/>
      <c r="BQ6" s="248"/>
    </row>
    <row r="7" spans="1:69">
      <c r="A7" s="199" t="str">
        <f>Est2017TransRev!A7</f>
        <v>D1</v>
      </c>
      <c r="B7" s="249" t="str">
        <f>Est2017TransRev!B7</f>
        <v>Residential Single Rate</v>
      </c>
      <c r="C7" s="279"/>
      <c r="D7" s="671">
        <v>0</v>
      </c>
      <c r="E7" s="252">
        <v>0.4</v>
      </c>
      <c r="F7" s="252">
        <v>0</v>
      </c>
      <c r="G7" s="252"/>
      <c r="H7" s="252"/>
      <c r="I7" s="252">
        <v>0</v>
      </c>
      <c r="J7" s="252"/>
      <c r="K7" s="252"/>
      <c r="L7" s="252"/>
      <c r="M7" s="252">
        <v>0</v>
      </c>
      <c r="N7" s="252"/>
      <c r="O7" s="252">
        <v>0</v>
      </c>
      <c r="P7" s="252">
        <v>0</v>
      </c>
      <c r="Q7" s="252">
        <v>0</v>
      </c>
      <c r="R7" s="252">
        <v>0</v>
      </c>
      <c r="S7" s="252">
        <v>0</v>
      </c>
      <c r="T7" s="252"/>
      <c r="U7" s="252">
        <v>0</v>
      </c>
      <c r="V7" s="252">
        <v>0</v>
      </c>
      <c r="W7" s="252">
        <v>0</v>
      </c>
      <c r="X7" s="280"/>
      <c r="Z7" s="281">
        <f>Est2017TransRev!Z7</f>
        <v>518241.69866666663</v>
      </c>
      <c r="AA7" s="255">
        <f>Est2017TransRev!AA7</f>
        <v>2020419147.501261</v>
      </c>
      <c r="AB7" s="255">
        <f>Est2017TransRev!AB7</f>
        <v>0</v>
      </c>
      <c r="AC7" s="255">
        <f>Est2017TransRev!AC7</f>
        <v>0</v>
      </c>
      <c r="AD7" s="255">
        <f>Est2017TransRev!AD7</f>
        <v>0</v>
      </c>
      <c r="AE7" s="255">
        <f>Est2017TransRev!AE7</f>
        <v>0</v>
      </c>
      <c r="AF7" s="255">
        <f>Est2017TransRev!AF7</f>
        <v>0</v>
      </c>
      <c r="AG7" s="255">
        <f>Est2017TransRev!AG7</f>
        <v>0</v>
      </c>
      <c r="AH7" s="255">
        <f>Est2017TransRev!AH7</f>
        <v>0</v>
      </c>
      <c r="AI7" s="255">
        <f>Est2017TransRev!AI7</f>
        <v>0</v>
      </c>
      <c r="AJ7" s="255">
        <f>Est2017TransRev!AJ7</f>
        <v>0</v>
      </c>
      <c r="AK7" s="255">
        <f>Est2017TransRev!AK7</f>
        <v>0</v>
      </c>
      <c r="AL7" s="255">
        <f>Est2017TransRev!AL7</f>
        <v>0</v>
      </c>
      <c r="AM7" s="255">
        <f>Est2017TransRev!AM7</f>
        <v>0</v>
      </c>
      <c r="AN7" s="255">
        <f>Est2017TransRev!AN7</f>
        <v>0</v>
      </c>
      <c r="AO7" s="255">
        <f>Est2017TransRev!AO7</f>
        <v>0</v>
      </c>
      <c r="AP7" s="255">
        <f>Est2017TransRev!AP7</f>
        <v>0</v>
      </c>
      <c r="AQ7" s="255">
        <f>Est2017TransRev!AQ7</f>
        <v>0</v>
      </c>
      <c r="AR7" s="255">
        <f>Est2017TransRev!AR7</f>
        <v>0</v>
      </c>
      <c r="AS7" s="255">
        <f>Est2017TransRev!AS7</f>
        <v>0</v>
      </c>
      <c r="AT7" s="282">
        <f>Est2017TransRev!AT7</f>
        <v>0</v>
      </c>
      <c r="AV7" s="257">
        <f t="shared" ref="AV7" si="0">D7*Z7</f>
        <v>0</v>
      </c>
      <c r="AW7" s="224">
        <f t="shared" ref="AW7:BD7" si="1">E7/100*AA7</f>
        <v>8081676.5900050439</v>
      </c>
      <c r="AX7" s="224">
        <f t="shared" si="1"/>
        <v>0</v>
      </c>
      <c r="AY7" s="224">
        <f t="shared" si="1"/>
        <v>0</v>
      </c>
      <c r="AZ7" s="224">
        <f t="shared" si="1"/>
        <v>0</v>
      </c>
      <c r="BA7" s="224">
        <f t="shared" si="1"/>
        <v>0</v>
      </c>
      <c r="BB7" s="224">
        <f t="shared" si="1"/>
        <v>0</v>
      </c>
      <c r="BC7" s="224">
        <f t="shared" si="1"/>
        <v>0</v>
      </c>
      <c r="BD7" s="224">
        <f t="shared" si="1"/>
        <v>0</v>
      </c>
      <c r="BE7" s="224">
        <f t="shared" ref="BE7:BH7" si="2">M7*AI7</f>
        <v>0</v>
      </c>
      <c r="BF7" s="224">
        <f t="shared" si="2"/>
        <v>0</v>
      </c>
      <c r="BG7" s="224">
        <f t="shared" si="2"/>
        <v>0</v>
      </c>
      <c r="BH7" s="224">
        <f t="shared" si="2"/>
        <v>0</v>
      </c>
      <c r="BI7" s="258">
        <f t="shared" ref="BI7:BP7" si="3">Q7/100*AM7</f>
        <v>0</v>
      </c>
      <c r="BJ7" s="258">
        <f t="shared" si="3"/>
        <v>0</v>
      </c>
      <c r="BK7" s="258">
        <f t="shared" si="3"/>
        <v>0</v>
      </c>
      <c r="BL7" s="258">
        <f t="shared" si="3"/>
        <v>0</v>
      </c>
      <c r="BM7" s="258">
        <f t="shared" si="3"/>
        <v>0</v>
      </c>
      <c r="BN7" s="258">
        <f t="shared" si="3"/>
        <v>0</v>
      </c>
      <c r="BO7" s="258">
        <f t="shared" si="3"/>
        <v>0</v>
      </c>
      <c r="BP7" s="258">
        <f t="shared" si="3"/>
        <v>0</v>
      </c>
      <c r="BQ7" s="259">
        <f t="shared" ref="BQ7" si="4">SUM(AV7:BP7)</f>
        <v>8081676.5900050439</v>
      </c>
    </row>
    <row r="8" spans="1:69">
      <c r="A8" s="199" t="str">
        <f>Est2017TransRev!A8</f>
        <v>D1CS</v>
      </c>
      <c r="B8" s="249" t="str">
        <f>Est2017TransRev!B8</f>
        <v>Climate Saver</v>
      </c>
      <c r="C8" s="279"/>
      <c r="D8" s="671">
        <v>0</v>
      </c>
      <c r="E8" s="252">
        <v>0</v>
      </c>
      <c r="F8" s="252">
        <v>0.4</v>
      </c>
      <c r="G8" s="252"/>
      <c r="H8" s="252"/>
      <c r="I8" s="252">
        <v>0.4</v>
      </c>
      <c r="J8" s="252"/>
      <c r="K8" s="252"/>
      <c r="L8" s="252"/>
      <c r="M8" s="252">
        <v>0</v>
      </c>
      <c r="N8" s="252"/>
      <c r="O8" s="252">
        <v>0</v>
      </c>
      <c r="P8" s="252">
        <v>0</v>
      </c>
      <c r="Q8" s="252">
        <v>0</v>
      </c>
      <c r="R8" s="252">
        <v>0</v>
      </c>
      <c r="S8" s="252">
        <v>0</v>
      </c>
      <c r="T8" s="252"/>
      <c r="U8" s="252">
        <v>0</v>
      </c>
      <c r="V8" s="252">
        <v>0</v>
      </c>
      <c r="W8" s="252">
        <v>0</v>
      </c>
      <c r="X8" s="280"/>
      <c r="Z8" s="281">
        <f>Est2017TransRev!Z8</f>
        <v>17458.859333333334</v>
      </c>
      <c r="AA8" s="255">
        <f>Est2017TransRev!AA8</f>
        <v>0</v>
      </c>
      <c r="AB8" s="255">
        <f>Est2017TransRev!AB8</f>
        <v>8537325.9492801614</v>
      </c>
      <c r="AC8" s="255">
        <f>Est2017TransRev!AC8</f>
        <v>0</v>
      </c>
      <c r="AD8" s="255">
        <f>Est2017TransRev!AD8</f>
        <v>0</v>
      </c>
      <c r="AE8" s="255">
        <f>Est2017TransRev!AE8</f>
        <v>24278479.924076673</v>
      </c>
      <c r="AF8" s="255">
        <f>Est2017TransRev!AF8</f>
        <v>0</v>
      </c>
      <c r="AG8" s="255">
        <f>Est2017TransRev!AG8</f>
        <v>0</v>
      </c>
      <c r="AH8" s="255">
        <f>Est2017TransRev!AH8</f>
        <v>0</v>
      </c>
      <c r="AI8" s="255">
        <f>Est2017TransRev!AI8</f>
        <v>0</v>
      </c>
      <c r="AJ8" s="255">
        <f>Est2017TransRev!AJ8</f>
        <v>0</v>
      </c>
      <c r="AK8" s="255">
        <f>Est2017TransRev!AK8</f>
        <v>0</v>
      </c>
      <c r="AL8" s="255">
        <f>Est2017TransRev!AL8</f>
        <v>0</v>
      </c>
      <c r="AM8" s="255">
        <f>Est2017TransRev!AM8</f>
        <v>0</v>
      </c>
      <c r="AN8" s="255">
        <f>Est2017TransRev!AN8</f>
        <v>0</v>
      </c>
      <c r="AO8" s="255">
        <f>Est2017TransRev!AO8</f>
        <v>0</v>
      </c>
      <c r="AP8" s="255">
        <f>Est2017TransRev!AP8</f>
        <v>0</v>
      </c>
      <c r="AQ8" s="255">
        <f>Est2017TransRev!AQ8</f>
        <v>0</v>
      </c>
      <c r="AR8" s="255">
        <f>Est2017TransRev!AR8</f>
        <v>0</v>
      </c>
      <c r="AS8" s="255">
        <f>Est2017TransRev!AS8</f>
        <v>0</v>
      </c>
      <c r="AT8" s="282">
        <f>Est2017TransRev!AT8</f>
        <v>0</v>
      </c>
      <c r="AV8" s="257">
        <f t="shared" ref="AV8:AV65" si="5">D8*Z8</f>
        <v>0</v>
      </c>
      <c r="AW8" s="224">
        <f t="shared" ref="AW8:AW65" si="6">E8/100*AA8</f>
        <v>0</v>
      </c>
      <c r="AX8" s="224">
        <f t="shared" ref="AX8:AX65" si="7">F8/100*AB8</f>
        <v>34149.303797120643</v>
      </c>
      <c r="AY8" s="224">
        <f t="shared" ref="AY8:AY65" si="8">G8/100*AC8</f>
        <v>0</v>
      </c>
      <c r="AZ8" s="224">
        <f t="shared" ref="AZ8:AZ65" si="9">H8/100*AD8</f>
        <v>0</v>
      </c>
      <c r="BA8" s="224">
        <f t="shared" ref="BA8:BA65" si="10">I8/100*AE8</f>
        <v>97113.919696306693</v>
      </c>
      <c r="BB8" s="224">
        <f t="shared" ref="BB8:BB65" si="11">J8/100*AF8</f>
        <v>0</v>
      </c>
      <c r="BC8" s="224">
        <f t="shared" ref="BC8:BC65" si="12">K8/100*AG8</f>
        <v>0</v>
      </c>
      <c r="BD8" s="224">
        <f t="shared" ref="BD8:BD65" si="13">L8/100*AH8</f>
        <v>0</v>
      </c>
      <c r="BE8" s="224">
        <f t="shared" ref="BE8:BE65" si="14">M8*AI8</f>
        <v>0</v>
      </c>
      <c r="BF8" s="224">
        <f t="shared" ref="BF8:BF65" si="15">N8*AJ8</f>
        <v>0</v>
      </c>
      <c r="BG8" s="224">
        <f t="shared" ref="BG8:BG65" si="16">O8*AK8</f>
        <v>0</v>
      </c>
      <c r="BH8" s="224">
        <f t="shared" ref="BH8:BH65" si="17">P8*AL8</f>
        <v>0</v>
      </c>
      <c r="BI8" s="258">
        <f t="shared" ref="BI8:BI65" si="18">Q8/100*AM8</f>
        <v>0</v>
      </c>
      <c r="BJ8" s="258">
        <f t="shared" ref="BJ8:BJ65" si="19">R8/100*AN8</f>
        <v>0</v>
      </c>
      <c r="BK8" s="258">
        <f t="shared" ref="BK8:BK65" si="20">S8/100*AO8</f>
        <v>0</v>
      </c>
      <c r="BL8" s="258">
        <f t="shared" ref="BL8:BL65" si="21">T8/100*AP8</f>
        <v>0</v>
      </c>
      <c r="BM8" s="258">
        <f t="shared" ref="BM8:BM65" si="22">U8/100*AQ8</f>
        <v>0</v>
      </c>
      <c r="BN8" s="258">
        <f t="shared" ref="BN8:BN65" si="23">V8/100*AR8</f>
        <v>0</v>
      </c>
      <c r="BO8" s="258">
        <f t="shared" ref="BO8:BO65" si="24">W8/100*AS8</f>
        <v>0</v>
      </c>
      <c r="BP8" s="258">
        <f t="shared" ref="BP8:BP65" si="25">X8/100*AT8</f>
        <v>0</v>
      </c>
      <c r="BQ8" s="259">
        <f t="shared" ref="BQ8:BQ65" si="26">SUM(AV8:BP8)</f>
        <v>131263.22349342733</v>
      </c>
    </row>
    <row r="9" spans="1:69">
      <c r="A9" s="199" t="str">
        <f>Est2017TransRev!A9</f>
        <v>D3CS</v>
      </c>
      <c r="B9" s="249" t="str">
        <f>Est2017TransRev!B9</f>
        <v>Climate Saver Interval</v>
      </c>
      <c r="C9" s="279"/>
      <c r="D9" s="671">
        <v>0</v>
      </c>
      <c r="E9" s="252">
        <v>0</v>
      </c>
      <c r="F9" s="252">
        <v>0.4</v>
      </c>
      <c r="G9" s="252"/>
      <c r="H9" s="252"/>
      <c r="I9" s="252">
        <v>0.4</v>
      </c>
      <c r="J9" s="252"/>
      <c r="K9" s="252"/>
      <c r="L9" s="252"/>
      <c r="M9" s="252">
        <v>0</v>
      </c>
      <c r="N9" s="252"/>
      <c r="O9" s="252">
        <v>0</v>
      </c>
      <c r="P9" s="252">
        <v>0</v>
      </c>
      <c r="Q9" s="252">
        <v>0</v>
      </c>
      <c r="R9" s="252">
        <v>0</v>
      </c>
      <c r="S9" s="252">
        <v>0</v>
      </c>
      <c r="T9" s="252"/>
      <c r="U9" s="252">
        <v>0</v>
      </c>
      <c r="V9" s="252">
        <v>0</v>
      </c>
      <c r="W9" s="252">
        <v>0</v>
      </c>
      <c r="X9" s="280"/>
      <c r="Z9" s="281">
        <f>Est2017TransRev!Z9</f>
        <v>4737.6926666666668</v>
      </c>
      <c r="AA9" s="255">
        <f>Est2017TransRev!AA9</f>
        <v>0</v>
      </c>
      <c r="AB9" s="255">
        <f>Est2017TransRev!AB9</f>
        <v>2390070.1331056547</v>
      </c>
      <c r="AC9" s="255">
        <f>Est2017TransRev!AC9</f>
        <v>0</v>
      </c>
      <c r="AD9" s="255">
        <f>Est2017TransRev!AD9</f>
        <v>0</v>
      </c>
      <c r="AE9" s="255">
        <f>Est2017TransRev!AE9</f>
        <v>8636963.3115216345</v>
      </c>
      <c r="AF9" s="255">
        <f>Est2017TransRev!AF9</f>
        <v>0</v>
      </c>
      <c r="AG9" s="255">
        <f>Est2017TransRev!AG9</f>
        <v>0</v>
      </c>
      <c r="AH9" s="255">
        <f>Est2017TransRev!AH9</f>
        <v>0</v>
      </c>
      <c r="AI9" s="255">
        <f>Est2017TransRev!AI9</f>
        <v>0</v>
      </c>
      <c r="AJ9" s="255">
        <f>Est2017TransRev!AJ9</f>
        <v>0</v>
      </c>
      <c r="AK9" s="255">
        <f>Est2017TransRev!AK9</f>
        <v>0</v>
      </c>
      <c r="AL9" s="255">
        <f>Est2017TransRev!AL9</f>
        <v>0</v>
      </c>
      <c r="AM9" s="255">
        <f>Est2017TransRev!AM9</f>
        <v>0</v>
      </c>
      <c r="AN9" s="255">
        <f>Est2017TransRev!AN9</f>
        <v>0</v>
      </c>
      <c r="AO9" s="255">
        <f>Est2017TransRev!AO9</f>
        <v>0</v>
      </c>
      <c r="AP9" s="255">
        <f>Est2017TransRev!AP9</f>
        <v>0</v>
      </c>
      <c r="AQ9" s="255">
        <f>Est2017TransRev!AQ9</f>
        <v>0</v>
      </c>
      <c r="AR9" s="255">
        <f>Est2017TransRev!AR9</f>
        <v>0</v>
      </c>
      <c r="AS9" s="255">
        <f>Est2017TransRev!AS9</f>
        <v>0</v>
      </c>
      <c r="AT9" s="282">
        <f>Est2017TransRev!AT9</f>
        <v>0</v>
      </c>
      <c r="AV9" s="257">
        <f t="shared" si="5"/>
        <v>0</v>
      </c>
      <c r="AW9" s="224">
        <f t="shared" si="6"/>
        <v>0</v>
      </c>
      <c r="AX9" s="224">
        <f t="shared" si="7"/>
        <v>9560.2805324226192</v>
      </c>
      <c r="AY9" s="224">
        <f t="shared" si="8"/>
        <v>0</v>
      </c>
      <c r="AZ9" s="224">
        <f t="shared" si="9"/>
        <v>0</v>
      </c>
      <c r="BA9" s="224">
        <f t="shared" si="10"/>
        <v>34547.853246086539</v>
      </c>
      <c r="BB9" s="224">
        <f t="shared" si="11"/>
        <v>0</v>
      </c>
      <c r="BC9" s="224">
        <f t="shared" si="12"/>
        <v>0</v>
      </c>
      <c r="BD9" s="224">
        <f t="shared" si="13"/>
        <v>0</v>
      </c>
      <c r="BE9" s="224">
        <f t="shared" si="14"/>
        <v>0</v>
      </c>
      <c r="BF9" s="224">
        <f t="shared" si="15"/>
        <v>0</v>
      </c>
      <c r="BG9" s="224">
        <f t="shared" si="16"/>
        <v>0</v>
      </c>
      <c r="BH9" s="224">
        <f t="shared" si="17"/>
        <v>0</v>
      </c>
      <c r="BI9" s="258">
        <f t="shared" si="18"/>
        <v>0</v>
      </c>
      <c r="BJ9" s="258">
        <f t="shared" si="19"/>
        <v>0</v>
      </c>
      <c r="BK9" s="258">
        <f t="shared" si="20"/>
        <v>0</v>
      </c>
      <c r="BL9" s="258">
        <f t="shared" si="21"/>
        <v>0</v>
      </c>
      <c r="BM9" s="258">
        <f t="shared" si="22"/>
        <v>0</v>
      </c>
      <c r="BN9" s="258">
        <f t="shared" si="23"/>
        <v>0</v>
      </c>
      <c r="BO9" s="258">
        <f t="shared" si="24"/>
        <v>0</v>
      </c>
      <c r="BP9" s="258">
        <f t="shared" si="25"/>
        <v>0</v>
      </c>
      <c r="BQ9" s="259">
        <f t="shared" si="26"/>
        <v>44108.13377850916</v>
      </c>
    </row>
    <row r="10" spans="1:69">
      <c r="A10" s="199" t="str">
        <f>Est2017TransRev!A10</f>
        <v>P13R</v>
      </c>
      <c r="B10" s="249" t="str">
        <f>Est2017TransRev!B10</f>
        <v>Residential - Flexible Pricing</v>
      </c>
      <c r="C10" s="279"/>
      <c r="D10" s="671">
        <v>0</v>
      </c>
      <c r="E10" s="252">
        <v>0</v>
      </c>
      <c r="F10" s="252">
        <v>0</v>
      </c>
      <c r="G10" s="252"/>
      <c r="H10" s="252"/>
      <c r="I10" s="252">
        <v>0</v>
      </c>
      <c r="J10" s="252"/>
      <c r="K10" s="252"/>
      <c r="L10" s="252"/>
      <c r="M10" s="252">
        <v>0</v>
      </c>
      <c r="N10" s="252"/>
      <c r="O10" s="252">
        <v>0</v>
      </c>
      <c r="P10" s="252">
        <v>0</v>
      </c>
      <c r="Q10" s="252">
        <v>0.4</v>
      </c>
      <c r="R10" s="252">
        <v>0.4</v>
      </c>
      <c r="S10" s="252">
        <v>0.4</v>
      </c>
      <c r="T10" s="252"/>
      <c r="U10" s="252">
        <v>0.4</v>
      </c>
      <c r="V10" s="252">
        <v>0.4</v>
      </c>
      <c r="W10" s="252">
        <v>0.4</v>
      </c>
      <c r="X10" s="280"/>
      <c r="Z10" s="281">
        <f>Est2017TransRev!Z10</f>
        <v>2779.606666666667</v>
      </c>
      <c r="AA10" s="255">
        <f>Est2017TransRev!AA10</f>
        <v>0</v>
      </c>
      <c r="AB10" s="255">
        <f>Est2017TransRev!AB10</f>
        <v>0</v>
      </c>
      <c r="AC10" s="255">
        <f>Est2017TransRev!AC10</f>
        <v>0</v>
      </c>
      <c r="AD10" s="255">
        <f>Est2017TransRev!AD10</f>
        <v>0</v>
      </c>
      <c r="AE10" s="255">
        <f>Est2017TransRev!AE10</f>
        <v>0</v>
      </c>
      <c r="AF10" s="255">
        <f>Est2017TransRev!AF10</f>
        <v>0</v>
      </c>
      <c r="AG10" s="255">
        <f>Est2017TransRev!AG10</f>
        <v>0</v>
      </c>
      <c r="AH10" s="255">
        <f>Est2017TransRev!AH10</f>
        <v>0</v>
      </c>
      <c r="AI10" s="255">
        <f>Est2017TransRev!AI10</f>
        <v>0</v>
      </c>
      <c r="AJ10" s="255">
        <f>Est2017TransRev!AJ10</f>
        <v>0</v>
      </c>
      <c r="AK10" s="255">
        <f>Est2017TransRev!AK10</f>
        <v>0</v>
      </c>
      <c r="AL10" s="255">
        <f>Est2017TransRev!AL10</f>
        <v>0</v>
      </c>
      <c r="AM10" s="255">
        <f>Est2017TransRev!AM10</f>
        <v>3193271.5784366024</v>
      </c>
      <c r="AN10" s="255">
        <f>Est2017TransRev!AN10</f>
        <v>6308467.4328894904</v>
      </c>
      <c r="AO10" s="255">
        <f>Est2017TransRev!AO10</f>
        <v>4989095.807089855</v>
      </c>
      <c r="AP10" s="255">
        <f>Est2017TransRev!AP10</f>
        <v>0</v>
      </c>
      <c r="AQ10" s="255">
        <f>Est2017TransRev!AQ10</f>
        <v>3193271.5784366024</v>
      </c>
      <c r="AR10" s="255">
        <f>Est2017TransRev!AR10</f>
        <v>6308467.4328894904</v>
      </c>
      <c r="AS10" s="255">
        <f>Est2017TransRev!AS10</f>
        <v>4989095.807089855</v>
      </c>
      <c r="AT10" s="282">
        <f>Est2017TransRev!AT10</f>
        <v>0</v>
      </c>
      <c r="AV10" s="257">
        <f t="shared" si="5"/>
        <v>0</v>
      </c>
      <c r="AW10" s="224">
        <f t="shared" si="6"/>
        <v>0</v>
      </c>
      <c r="AX10" s="224">
        <f t="shared" si="7"/>
        <v>0</v>
      </c>
      <c r="AY10" s="224">
        <f t="shared" si="8"/>
        <v>0</v>
      </c>
      <c r="AZ10" s="224">
        <f t="shared" si="9"/>
        <v>0</v>
      </c>
      <c r="BA10" s="224">
        <f t="shared" si="10"/>
        <v>0</v>
      </c>
      <c r="BB10" s="224">
        <f t="shared" si="11"/>
        <v>0</v>
      </c>
      <c r="BC10" s="224">
        <f t="shared" si="12"/>
        <v>0</v>
      </c>
      <c r="BD10" s="224">
        <f t="shared" si="13"/>
        <v>0</v>
      </c>
      <c r="BE10" s="224">
        <f t="shared" si="14"/>
        <v>0</v>
      </c>
      <c r="BF10" s="224">
        <f t="shared" si="15"/>
        <v>0</v>
      </c>
      <c r="BG10" s="224">
        <f t="shared" si="16"/>
        <v>0</v>
      </c>
      <c r="BH10" s="224">
        <f t="shared" si="17"/>
        <v>0</v>
      </c>
      <c r="BI10" s="258">
        <f t="shared" si="18"/>
        <v>12773.086313746409</v>
      </c>
      <c r="BJ10" s="258">
        <f t="shared" si="19"/>
        <v>25233.869731557963</v>
      </c>
      <c r="BK10" s="258">
        <f t="shared" si="20"/>
        <v>19956.38322835942</v>
      </c>
      <c r="BL10" s="258">
        <f t="shared" si="21"/>
        <v>0</v>
      </c>
      <c r="BM10" s="258">
        <f t="shared" si="22"/>
        <v>12773.086313746409</v>
      </c>
      <c r="BN10" s="258">
        <f t="shared" si="23"/>
        <v>25233.869731557963</v>
      </c>
      <c r="BO10" s="258">
        <f t="shared" si="24"/>
        <v>19956.38322835942</v>
      </c>
      <c r="BP10" s="258">
        <f t="shared" si="25"/>
        <v>0</v>
      </c>
      <c r="BQ10" s="259">
        <f t="shared" si="26"/>
        <v>115926.67854732758</v>
      </c>
    </row>
    <row r="11" spans="1:69">
      <c r="A11" s="199" t="str">
        <f>Est2017TransRev!A11</f>
        <v>P13RDK</v>
      </c>
      <c r="B11" s="249" t="str">
        <f>Est2017TransRev!B11</f>
        <v>Residential Docklands  - Flexible Pricing</v>
      </c>
      <c r="C11" s="279"/>
      <c r="D11" s="671">
        <v>0</v>
      </c>
      <c r="E11" s="252">
        <v>0</v>
      </c>
      <c r="F11" s="252">
        <v>0</v>
      </c>
      <c r="G11" s="252"/>
      <c r="H11" s="252"/>
      <c r="I11" s="252">
        <v>0</v>
      </c>
      <c r="J11" s="252"/>
      <c r="K11" s="252"/>
      <c r="L11" s="252"/>
      <c r="M11" s="252">
        <v>0</v>
      </c>
      <c r="N11" s="252"/>
      <c r="O11" s="252">
        <v>0</v>
      </c>
      <c r="P11" s="252">
        <v>0</v>
      </c>
      <c r="Q11" s="252">
        <v>0.4</v>
      </c>
      <c r="R11" s="252">
        <v>0.4</v>
      </c>
      <c r="S11" s="252">
        <v>0.4</v>
      </c>
      <c r="T11" s="252"/>
      <c r="U11" s="252">
        <v>0.4</v>
      </c>
      <c r="V11" s="252">
        <v>0.4</v>
      </c>
      <c r="W11" s="252">
        <v>0.4</v>
      </c>
      <c r="X11" s="280"/>
      <c r="Z11" s="281">
        <f>Est2017TransRev!Z11</f>
        <v>1.016</v>
      </c>
      <c r="AA11" s="255">
        <f>Est2017TransRev!AA11</f>
        <v>0</v>
      </c>
      <c r="AB11" s="255">
        <f>Est2017TransRev!AB11</f>
        <v>0</v>
      </c>
      <c r="AC11" s="255">
        <f>Est2017TransRev!AC11</f>
        <v>0</v>
      </c>
      <c r="AD11" s="255">
        <f>Est2017TransRev!AD11</f>
        <v>0</v>
      </c>
      <c r="AE11" s="255">
        <f>Est2017TransRev!AE11</f>
        <v>0</v>
      </c>
      <c r="AF11" s="255">
        <f>Est2017TransRev!AF11</f>
        <v>0</v>
      </c>
      <c r="AG11" s="255">
        <f>Est2017TransRev!AG11</f>
        <v>0</v>
      </c>
      <c r="AH11" s="255">
        <f>Est2017TransRev!AH11</f>
        <v>0</v>
      </c>
      <c r="AI11" s="255">
        <f>Est2017TransRev!AI11</f>
        <v>0</v>
      </c>
      <c r="AJ11" s="255">
        <f>Est2017TransRev!AJ11</f>
        <v>0</v>
      </c>
      <c r="AK11" s="255">
        <f>Est2017TransRev!AK11</f>
        <v>0</v>
      </c>
      <c r="AL11" s="255">
        <f>Est2017TransRev!AL11</f>
        <v>0</v>
      </c>
      <c r="AM11" s="255">
        <f>Est2017TransRev!AM11</f>
        <v>1694.7944187829996</v>
      </c>
      <c r="AN11" s="255">
        <f>Est2017TransRev!AN11</f>
        <v>2947.3827136374098</v>
      </c>
      <c r="AO11" s="255">
        <f>Est2017TransRev!AO11</f>
        <v>2050.1780335300659</v>
      </c>
      <c r="AP11" s="255">
        <f>Est2017TransRev!AP11</f>
        <v>0</v>
      </c>
      <c r="AQ11" s="255">
        <f>Est2017TransRev!AQ11</f>
        <v>1694.7944187829996</v>
      </c>
      <c r="AR11" s="255">
        <f>Est2017TransRev!AR11</f>
        <v>2947.3827136374098</v>
      </c>
      <c r="AS11" s="255">
        <f>Est2017TransRev!AS11</f>
        <v>2050.1780335300659</v>
      </c>
      <c r="AT11" s="282">
        <f>Est2017TransRev!AT11</f>
        <v>0</v>
      </c>
      <c r="AV11" s="257">
        <f t="shared" si="5"/>
        <v>0</v>
      </c>
      <c r="AW11" s="224">
        <f t="shared" si="6"/>
        <v>0</v>
      </c>
      <c r="AX11" s="224">
        <f t="shared" si="7"/>
        <v>0</v>
      </c>
      <c r="AY11" s="224">
        <f t="shared" si="8"/>
        <v>0</v>
      </c>
      <c r="AZ11" s="224">
        <f t="shared" si="9"/>
        <v>0</v>
      </c>
      <c r="BA11" s="224">
        <f t="shared" si="10"/>
        <v>0</v>
      </c>
      <c r="BB11" s="224">
        <f t="shared" si="11"/>
        <v>0</v>
      </c>
      <c r="BC11" s="224">
        <f t="shared" si="12"/>
        <v>0</v>
      </c>
      <c r="BD11" s="224">
        <f t="shared" si="13"/>
        <v>0</v>
      </c>
      <c r="BE11" s="224">
        <f t="shared" si="14"/>
        <v>0</v>
      </c>
      <c r="BF11" s="224">
        <f t="shared" si="15"/>
        <v>0</v>
      </c>
      <c r="BG11" s="224">
        <f t="shared" si="16"/>
        <v>0</v>
      </c>
      <c r="BH11" s="224">
        <f t="shared" si="17"/>
        <v>0</v>
      </c>
      <c r="BI11" s="258">
        <f t="shared" si="18"/>
        <v>6.779177675131999</v>
      </c>
      <c r="BJ11" s="258">
        <f t="shared" si="19"/>
        <v>11.789530854549639</v>
      </c>
      <c r="BK11" s="258">
        <f t="shared" si="20"/>
        <v>8.2007121341202645</v>
      </c>
      <c r="BL11" s="258">
        <f t="shared" si="21"/>
        <v>0</v>
      </c>
      <c r="BM11" s="258">
        <f t="shared" si="22"/>
        <v>6.779177675131999</v>
      </c>
      <c r="BN11" s="258">
        <f t="shared" si="23"/>
        <v>11.789530854549639</v>
      </c>
      <c r="BO11" s="258">
        <f t="shared" si="24"/>
        <v>8.2007121341202645</v>
      </c>
      <c r="BP11" s="258">
        <f t="shared" si="25"/>
        <v>0</v>
      </c>
      <c r="BQ11" s="259">
        <f t="shared" si="26"/>
        <v>53.538841327603805</v>
      </c>
    </row>
    <row r="12" spans="1:69">
      <c r="A12" s="199" t="str">
        <f>Est2017TransRev!A12</f>
        <v>P13RCS</v>
      </c>
      <c r="B12" s="249" t="str">
        <f>Est2017TransRev!B12</f>
        <v>Climate Saver - Flexible Pricing</v>
      </c>
      <c r="C12" s="279"/>
      <c r="D12" s="671">
        <v>0</v>
      </c>
      <c r="E12" s="252">
        <v>0</v>
      </c>
      <c r="F12" s="252">
        <v>0</v>
      </c>
      <c r="G12" s="252"/>
      <c r="H12" s="252"/>
      <c r="I12" s="252">
        <v>0</v>
      </c>
      <c r="J12" s="252"/>
      <c r="K12" s="252"/>
      <c r="L12" s="252"/>
      <c r="M12" s="252">
        <v>0</v>
      </c>
      <c r="N12" s="252"/>
      <c r="O12" s="252">
        <v>0</v>
      </c>
      <c r="P12" s="252">
        <v>0</v>
      </c>
      <c r="Q12" s="252">
        <v>0.4</v>
      </c>
      <c r="R12" s="252">
        <v>0</v>
      </c>
      <c r="S12" s="252">
        <v>0</v>
      </c>
      <c r="T12" s="252"/>
      <c r="U12" s="252">
        <v>0.4</v>
      </c>
      <c r="V12" s="252">
        <v>0</v>
      </c>
      <c r="W12" s="252">
        <v>0</v>
      </c>
      <c r="X12" s="280"/>
      <c r="Z12" s="281">
        <f>Est2017TransRev!Z12</f>
        <v>0</v>
      </c>
      <c r="AA12" s="255">
        <f>Est2017TransRev!AA12</f>
        <v>0</v>
      </c>
      <c r="AB12" s="255">
        <f>Est2017TransRev!AB12</f>
        <v>0</v>
      </c>
      <c r="AC12" s="255">
        <f>Est2017TransRev!AC12</f>
        <v>0</v>
      </c>
      <c r="AD12" s="255">
        <f>Est2017TransRev!AD12</f>
        <v>0</v>
      </c>
      <c r="AE12" s="255">
        <f>Est2017TransRev!AE12</f>
        <v>0</v>
      </c>
      <c r="AF12" s="255">
        <f>Est2017TransRev!AF12</f>
        <v>0</v>
      </c>
      <c r="AG12" s="255">
        <f>Est2017TransRev!AG12</f>
        <v>0</v>
      </c>
      <c r="AH12" s="255">
        <f>Est2017TransRev!AH12</f>
        <v>0</v>
      </c>
      <c r="AI12" s="255">
        <f>Est2017TransRev!AI12</f>
        <v>0</v>
      </c>
      <c r="AJ12" s="255">
        <f>Est2017TransRev!AJ12</f>
        <v>0</v>
      </c>
      <c r="AK12" s="255">
        <f>Est2017TransRev!AK12</f>
        <v>0</v>
      </c>
      <c r="AL12" s="255">
        <f>Est2017TransRev!AL12</f>
        <v>0</v>
      </c>
      <c r="AM12" s="255">
        <f>Est2017TransRev!AM12</f>
        <v>12044.168215029615</v>
      </c>
      <c r="AN12" s="255">
        <f>Est2017TransRev!AN12</f>
        <v>0</v>
      </c>
      <c r="AO12" s="255">
        <f>Est2017TransRev!AO12</f>
        <v>0</v>
      </c>
      <c r="AP12" s="255">
        <f>Est2017TransRev!AP12</f>
        <v>0</v>
      </c>
      <c r="AQ12" s="255">
        <f>Est2017TransRev!AQ12</f>
        <v>12044.168215029615</v>
      </c>
      <c r="AR12" s="255">
        <f>Est2017TransRev!AR12</f>
        <v>0</v>
      </c>
      <c r="AS12" s="255">
        <f>Est2017TransRev!AS12</f>
        <v>0</v>
      </c>
      <c r="AT12" s="282">
        <f>Est2017TransRev!AT12</f>
        <v>0</v>
      </c>
      <c r="AV12" s="257">
        <f t="shared" si="5"/>
        <v>0</v>
      </c>
      <c r="AW12" s="224">
        <f t="shared" si="6"/>
        <v>0</v>
      </c>
      <c r="AX12" s="224">
        <f t="shared" si="7"/>
        <v>0</v>
      </c>
      <c r="AY12" s="224">
        <f t="shared" si="8"/>
        <v>0</v>
      </c>
      <c r="AZ12" s="224">
        <f t="shared" si="9"/>
        <v>0</v>
      </c>
      <c r="BA12" s="224">
        <f t="shared" si="10"/>
        <v>0</v>
      </c>
      <c r="BB12" s="224">
        <f t="shared" si="11"/>
        <v>0</v>
      </c>
      <c r="BC12" s="224">
        <f t="shared" si="12"/>
        <v>0</v>
      </c>
      <c r="BD12" s="224">
        <f t="shared" si="13"/>
        <v>0</v>
      </c>
      <c r="BE12" s="224">
        <f t="shared" si="14"/>
        <v>0</v>
      </c>
      <c r="BF12" s="224">
        <f t="shared" si="15"/>
        <v>0</v>
      </c>
      <c r="BG12" s="224">
        <f t="shared" si="16"/>
        <v>0</v>
      </c>
      <c r="BH12" s="224">
        <f t="shared" si="17"/>
        <v>0</v>
      </c>
      <c r="BI12" s="258">
        <f t="shared" si="18"/>
        <v>48.176672860118458</v>
      </c>
      <c r="BJ12" s="258">
        <f t="shared" si="19"/>
        <v>0</v>
      </c>
      <c r="BK12" s="258">
        <f t="shared" si="20"/>
        <v>0</v>
      </c>
      <c r="BL12" s="258">
        <f t="shared" si="21"/>
        <v>0</v>
      </c>
      <c r="BM12" s="258">
        <f t="shared" si="22"/>
        <v>48.176672860118458</v>
      </c>
      <c r="BN12" s="258">
        <f t="shared" si="23"/>
        <v>0</v>
      </c>
      <c r="BO12" s="258">
        <f t="shared" si="24"/>
        <v>0</v>
      </c>
      <c r="BP12" s="258">
        <f t="shared" si="25"/>
        <v>0</v>
      </c>
      <c r="BQ12" s="259">
        <f t="shared" si="26"/>
        <v>96.353345720236916</v>
      </c>
    </row>
    <row r="13" spans="1:69">
      <c r="A13" s="199" t="str">
        <f>Est2017TransRev!A13</f>
        <v>P1DK</v>
      </c>
      <c r="B13" s="249" t="str">
        <f>Est2017TransRev!B13</f>
        <v>Docklands single rate</v>
      </c>
      <c r="C13" s="279"/>
      <c r="D13" s="671">
        <v>0</v>
      </c>
      <c r="E13" s="252">
        <v>0.4</v>
      </c>
      <c r="F13" s="252">
        <v>0</v>
      </c>
      <c r="G13" s="252"/>
      <c r="H13" s="252"/>
      <c r="I13" s="252">
        <v>0</v>
      </c>
      <c r="J13" s="252"/>
      <c r="K13" s="252"/>
      <c r="L13" s="252"/>
      <c r="M13" s="252">
        <v>0</v>
      </c>
      <c r="N13" s="252"/>
      <c r="O13" s="252">
        <v>0</v>
      </c>
      <c r="P13" s="252">
        <v>0</v>
      </c>
      <c r="Q13" s="252">
        <v>0</v>
      </c>
      <c r="R13" s="252">
        <v>0</v>
      </c>
      <c r="S13" s="252">
        <v>0</v>
      </c>
      <c r="T13" s="252"/>
      <c r="U13" s="252">
        <v>0</v>
      </c>
      <c r="V13" s="252">
        <v>0</v>
      </c>
      <c r="W13" s="252">
        <v>0</v>
      </c>
      <c r="X13" s="280"/>
      <c r="Z13" s="281">
        <f>Est2017TransRev!Z13</f>
        <v>0</v>
      </c>
      <c r="AA13" s="255">
        <f>Est2017TransRev!AA13</f>
        <v>0</v>
      </c>
      <c r="AB13" s="255">
        <f>Est2017TransRev!AB13</f>
        <v>0</v>
      </c>
      <c r="AC13" s="255">
        <f>Est2017TransRev!AC13</f>
        <v>0</v>
      </c>
      <c r="AD13" s="255">
        <f>Est2017TransRev!AD13</f>
        <v>0</v>
      </c>
      <c r="AE13" s="255">
        <f>Est2017TransRev!AE13</f>
        <v>0</v>
      </c>
      <c r="AF13" s="255">
        <f>Est2017TransRev!AF13</f>
        <v>0</v>
      </c>
      <c r="AG13" s="255">
        <f>Est2017TransRev!AG13</f>
        <v>0</v>
      </c>
      <c r="AH13" s="255">
        <f>Est2017TransRev!AH13</f>
        <v>0</v>
      </c>
      <c r="AI13" s="255">
        <f>Est2017TransRev!AI13</f>
        <v>0</v>
      </c>
      <c r="AJ13" s="255">
        <f>Est2017TransRev!AJ13</f>
        <v>0</v>
      </c>
      <c r="AK13" s="255">
        <f>Est2017TransRev!AK13</f>
        <v>0</v>
      </c>
      <c r="AL13" s="255">
        <f>Est2017TransRev!AL13</f>
        <v>0</v>
      </c>
      <c r="AM13" s="255">
        <f>Est2017TransRev!AM13</f>
        <v>0</v>
      </c>
      <c r="AN13" s="255">
        <f>Est2017TransRev!AN13</f>
        <v>0</v>
      </c>
      <c r="AO13" s="255">
        <f>Est2017TransRev!AO13</f>
        <v>0</v>
      </c>
      <c r="AP13" s="255">
        <f>Est2017TransRev!AP13</f>
        <v>0</v>
      </c>
      <c r="AQ13" s="255">
        <f>Est2017TransRev!AQ13</f>
        <v>0</v>
      </c>
      <c r="AR13" s="255">
        <f>Est2017TransRev!AR13</f>
        <v>0</v>
      </c>
      <c r="AS13" s="255">
        <f>Est2017TransRev!AS13</f>
        <v>0</v>
      </c>
      <c r="AT13" s="282">
        <f>Est2017TransRev!AT13</f>
        <v>0</v>
      </c>
      <c r="AV13" s="257">
        <f t="shared" si="5"/>
        <v>0</v>
      </c>
      <c r="AW13" s="224">
        <f t="shared" si="6"/>
        <v>0</v>
      </c>
      <c r="AX13" s="224">
        <f t="shared" si="7"/>
        <v>0</v>
      </c>
      <c r="AY13" s="224">
        <f t="shared" si="8"/>
        <v>0</v>
      </c>
      <c r="AZ13" s="224">
        <f t="shared" si="9"/>
        <v>0</v>
      </c>
      <c r="BA13" s="224">
        <f t="shared" si="10"/>
        <v>0</v>
      </c>
      <c r="BB13" s="224">
        <f t="shared" si="11"/>
        <v>0</v>
      </c>
      <c r="BC13" s="224">
        <f t="shared" si="12"/>
        <v>0</v>
      </c>
      <c r="BD13" s="224">
        <f t="shared" si="13"/>
        <v>0</v>
      </c>
      <c r="BE13" s="224">
        <f t="shared" si="14"/>
        <v>0</v>
      </c>
      <c r="BF13" s="224">
        <f t="shared" si="15"/>
        <v>0</v>
      </c>
      <c r="BG13" s="224">
        <f t="shared" si="16"/>
        <v>0</v>
      </c>
      <c r="BH13" s="224">
        <f t="shared" si="17"/>
        <v>0</v>
      </c>
      <c r="BI13" s="258">
        <f t="shared" si="18"/>
        <v>0</v>
      </c>
      <c r="BJ13" s="258">
        <f t="shared" si="19"/>
        <v>0</v>
      </c>
      <c r="BK13" s="258">
        <f t="shared" si="20"/>
        <v>0</v>
      </c>
      <c r="BL13" s="258">
        <f t="shared" si="21"/>
        <v>0</v>
      </c>
      <c r="BM13" s="258">
        <f t="shared" si="22"/>
        <v>0</v>
      </c>
      <c r="BN13" s="258">
        <f t="shared" si="23"/>
        <v>0</v>
      </c>
      <c r="BO13" s="258">
        <f t="shared" si="24"/>
        <v>0</v>
      </c>
      <c r="BP13" s="258">
        <f t="shared" si="25"/>
        <v>0</v>
      </c>
      <c r="BQ13" s="259">
        <f t="shared" si="26"/>
        <v>0</v>
      </c>
    </row>
    <row r="14" spans="1:69">
      <c r="A14" s="199" t="str">
        <f>Est2017TransRev!A14</f>
        <v>D2</v>
      </c>
      <c r="B14" s="249" t="str">
        <f>Est2017TransRev!B14</f>
        <v>Residential Two Rate 5d</v>
      </c>
      <c r="C14" s="279"/>
      <c r="D14" s="671">
        <v>0</v>
      </c>
      <c r="E14" s="252">
        <v>0</v>
      </c>
      <c r="F14" s="252">
        <v>0.4</v>
      </c>
      <c r="G14" s="252"/>
      <c r="H14" s="252"/>
      <c r="I14" s="252">
        <v>0.4</v>
      </c>
      <c r="J14" s="252"/>
      <c r="K14" s="252"/>
      <c r="L14" s="252"/>
      <c r="M14" s="252">
        <v>0</v>
      </c>
      <c r="N14" s="252"/>
      <c r="O14" s="252">
        <v>0</v>
      </c>
      <c r="P14" s="252">
        <v>0</v>
      </c>
      <c r="Q14" s="252">
        <v>0</v>
      </c>
      <c r="R14" s="252">
        <v>0</v>
      </c>
      <c r="S14" s="252">
        <v>0</v>
      </c>
      <c r="T14" s="252"/>
      <c r="U14" s="252">
        <v>0</v>
      </c>
      <c r="V14" s="252">
        <v>0</v>
      </c>
      <c r="W14" s="252">
        <v>0</v>
      </c>
      <c r="X14" s="280"/>
      <c r="Z14" s="281">
        <f>Est2017TransRev!Z14</f>
        <v>46517.136666666673</v>
      </c>
      <c r="AA14" s="255">
        <f>Est2017TransRev!AA14</f>
        <v>0</v>
      </c>
      <c r="AB14" s="255">
        <f>Est2017TransRev!AB14</f>
        <v>108942665.5263553</v>
      </c>
      <c r="AC14" s="255">
        <f>Est2017TransRev!AC14</f>
        <v>0</v>
      </c>
      <c r="AD14" s="255">
        <f>Est2017TransRev!AD14</f>
        <v>0</v>
      </c>
      <c r="AE14" s="255">
        <f>Est2017TransRev!AE14</f>
        <v>91811104.21200189</v>
      </c>
      <c r="AF14" s="255">
        <f>Est2017TransRev!AF14</f>
        <v>0</v>
      </c>
      <c r="AG14" s="255">
        <f>Est2017TransRev!AG14</f>
        <v>0</v>
      </c>
      <c r="AH14" s="255">
        <f>Est2017TransRev!AH14</f>
        <v>0</v>
      </c>
      <c r="AI14" s="255">
        <f>Est2017TransRev!AI14</f>
        <v>0</v>
      </c>
      <c r="AJ14" s="255">
        <f>Est2017TransRev!AJ14</f>
        <v>0</v>
      </c>
      <c r="AK14" s="255">
        <f>Est2017TransRev!AK14</f>
        <v>0</v>
      </c>
      <c r="AL14" s="255">
        <f>Est2017TransRev!AL14</f>
        <v>0</v>
      </c>
      <c r="AM14" s="255">
        <f>Est2017TransRev!AM14</f>
        <v>0</v>
      </c>
      <c r="AN14" s="255">
        <f>Est2017TransRev!AN14</f>
        <v>0</v>
      </c>
      <c r="AO14" s="255">
        <f>Est2017TransRev!AO14</f>
        <v>0</v>
      </c>
      <c r="AP14" s="255">
        <f>Est2017TransRev!AP14</f>
        <v>0</v>
      </c>
      <c r="AQ14" s="255">
        <f>Est2017TransRev!AQ14</f>
        <v>0</v>
      </c>
      <c r="AR14" s="255">
        <f>Est2017TransRev!AR14</f>
        <v>0</v>
      </c>
      <c r="AS14" s="255">
        <f>Est2017TransRev!AS14</f>
        <v>0</v>
      </c>
      <c r="AT14" s="282">
        <f>Est2017TransRev!AT14</f>
        <v>0</v>
      </c>
      <c r="AV14" s="257">
        <f t="shared" si="5"/>
        <v>0</v>
      </c>
      <c r="AW14" s="224">
        <f t="shared" si="6"/>
        <v>0</v>
      </c>
      <c r="AX14" s="224">
        <f t="shared" si="7"/>
        <v>435770.66210542119</v>
      </c>
      <c r="AY14" s="224">
        <f t="shared" si="8"/>
        <v>0</v>
      </c>
      <c r="AZ14" s="224">
        <f t="shared" si="9"/>
        <v>0</v>
      </c>
      <c r="BA14" s="224">
        <f t="shared" si="10"/>
        <v>367244.41684800759</v>
      </c>
      <c r="BB14" s="224">
        <f t="shared" si="11"/>
        <v>0</v>
      </c>
      <c r="BC14" s="224">
        <f t="shared" si="12"/>
        <v>0</v>
      </c>
      <c r="BD14" s="224">
        <f t="shared" si="13"/>
        <v>0</v>
      </c>
      <c r="BE14" s="224">
        <f t="shared" si="14"/>
        <v>0</v>
      </c>
      <c r="BF14" s="224">
        <f t="shared" si="15"/>
        <v>0</v>
      </c>
      <c r="BG14" s="224">
        <f t="shared" si="16"/>
        <v>0</v>
      </c>
      <c r="BH14" s="224">
        <f t="shared" si="17"/>
        <v>0</v>
      </c>
      <c r="BI14" s="258">
        <f t="shared" si="18"/>
        <v>0</v>
      </c>
      <c r="BJ14" s="258">
        <f t="shared" si="19"/>
        <v>0</v>
      </c>
      <c r="BK14" s="258">
        <f t="shared" si="20"/>
        <v>0</v>
      </c>
      <c r="BL14" s="258">
        <f t="shared" si="21"/>
        <v>0</v>
      </c>
      <c r="BM14" s="258">
        <f t="shared" si="22"/>
        <v>0</v>
      </c>
      <c r="BN14" s="258">
        <f t="shared" si="23"/>
        <v>0</v>
      </c>
      <c r="BO14" s="258">
        <f t="shared" si="24"/>
        <v>0</v>
      </c>
      <c r="BP14" s="258">
        <f t="shared" si="25"/>
        <v>0</v>
      </c>
      <c r="BQ14" s="259">
        <f t="shared" si="26"/>
        <v>803015.07895342878</v>
      </c>
    </row>
    <row r="15" spans="1:69">
      <c r="A15" s="199" t="str">
        <f>Est2017TransRev!A15</f>
        <v>D2DK</v>
      </c>
      <c r="B15" s="249" t="str">
        <f>Est2017TransRev!B15</f>
        <v>Docklands Two Rate 5d</v>
      </c>
      <c r="C15" s="279"/>
      <c r="D15" s="671">
        <v>0</v>
      </c>
      <c r="E15" s="252">
        <v>0</v>
      </c>
      <c r="F15" s="252">
        <v>0.4</v>
      </c>
      <c r="G15" s="252"/>
      <c r="H15" s="252"/>
      <c r="I15" s="252">
        <v>0.4</v>
      </c>
      <c r="J15" s="252"/>
      <c r="K15" s="252"/>
      <c r="L15" s="252"/>
      <c r="M15" s="252">
        <v>0</v>
      </c>
      <c r="N15" s="252"/>
      <c r="O15" s="252">
        <v>0</v>
      </c>
      <c r="P15" s="252">
        <v>0</v>
      </c>
      <c r="Q15" s="252">
        <v>0</v>
      </c>
      <c r="R15" s="252">
        <v>0</v>
      </c>
      <c r="S15" s="252">
        <v>0</v>
      </c>
      <c r="T15" s="252"/>
      <c r="U15" s="252">
        <v>0</v>
      </c>
      <c r="V15" s="252">
        <v>0</v>
      </c>
      <c r="W15" s="252">
        <v>0</v>
      </c>
      <c r="X15" s="280"/>
      <c r="Z15" s="281">
        <f>Est2017TransRev!Z15</f>
        <v>597.57733333333329</v>
      </c>
      <c r="AA15" s="255">
        <f>Est2017TransRev!AA15</f>
        <v>0</v>
      </c>
      <c r="AB15" s="255">
        <f>Est2017TransRev!AB15</f>
        <v>1881879.4437823901</v>
      </c>
      <c r="AC15" s="255">
        <f>Est2017TransRev!AC15</f>
        <v>0</v>
      </c>
      <c r="AD15" s="255">
        <f>Est2017TransRev!AD15</f>
        <v>0</v>
      </c>
      <c r="AE15" s="255">
        <f>Est2017TransRev!AE15</f>
        <v>1633431.6029321533</v>
      </c>
      <c r="AF15" s="255">
        <f>Est2017TransRev!AF15</f>
        <v>0</v>
      </c>
      <c r="AG15" s="255">
        <f>Est2017TransRev!AG15</f>
        <v>0</v>
      </c>
      <c r="AH15" s="255">
        <f>Est2017TransRev!AH15</f>
        <v>0</v>
      </c>
      <c r="AI15" s="255">
        <f>Est2017TransRev!AI15</f>
        <v>0</v>
      </c>
      <c r="AJ15" s="255">
        <f>Est2017TransRev!AJ15</f>
        <v>0</v>
      </c>
      <c r="AK15" s="255">
        <f>Est2017TransRev!AK15</f>
        <v>0</v>
      </c>
      <c r="AL15" s="255">
        <f>Est2017TransRev!AL15</f>
        <v>0</v>
      </c>
      <c r="AM15" s="255">
        <f>Est2017TransRev!AM15</f>
        <v>0</v>
      </c>
      <c r="AN15" s="255">
        <f>Est2017TransRev!AN15</f>
        <v>0</v>
      </c>
      <c r="AO15" s="255">
        <f>Est2017TransRev!AO15</f>
        <v>0</v>
      </c>
      <c r="AP15" s="255">
        <f>Est2017TransRev!AP15</f>
        <v>0</v>
      </c>
      <c r="AQ15" s="255">
        <f>Est2017TransRev!AQ15</f>
        <v>0</v>
      </c>
      <c r="AR15" s="255">
        <f>Est2017TransRev!AR15</f>
        <v>0</v>
      </c>
      <c r="AS15" s="255">
        <f>Est2017TransRev!AS15</f>
        <v>0</v>
      </c>
      <c r="AT15" s="282">
        <f>Est2017TransRev!AT15</f>
        <v>0</v>
      </c>
      <c r="AV15" s="257">
        <f t="shared" si="5"/>
        <v>0</v>
      </c>
      <c r="AW15" s="224">
        <f t="shared" si="6"/>
        <v>0</v>
      </c>
      <c r="AX15" s="224">
        <f t="shared" si="7"/>
        <v>7527.5177751295605</v>
      </c>
      <c r="AY15" s="224">
        <f t="shared" si="8"/>
        <v>0</v>
      </c>
      <c r="AZ15" s="224">
        <f t="shared" si="9"/>
        <v>0</v>
      </c>
      <c r="BA15" s="224">
        <f t="shared" si="10"/>
        <v>6533.7264117286131</v>
      </c>
      <c r="BB15" s="224">
        <f t="shared" si="11"/>
        <v>0</v>
      </c>
      <c r="BC15" s="224">
        <f t="shared" si="12"/>
        <v>0</v>
      </c>
      <c r="BD15" s="224">
        <f t="shared" si="13"/>
        <v>0</v>
      </c>
      <c r="BE15" s="224">
        <f t="shared" si="14"/>
        <v>0</v>
      </c>
      <c r="BF15" s="224">
        <f t="shared" si="15"/>
        <v>0</v>
      </c>
      <c r="BG15" s="224">
        <f t="shared" si="16"/>
        <v>0</v>
      </c>
      <c r="BH15" s="224">
        <f t="shared" si="17"/>
        <v>0</v>
      </c>
      <c r="BI15" s="258">
        <f t="shared" si="18"/>
        <v>0</v>
      </c>
      <c r="BJ15" s="258">
        <f t="shared" si="19"/>
        <v>0</v>
      </c>
      <c r="BK15" s="258">
        <f t="shared" si="20"/>
        <v>0</v>
      </c>
      <c r="BL15" s="258">
        <f t="shared" si="21"/>
        <v>0</v>
      </c>
      <c r="BM15" s="258">
        <f t="shared" si="22"/>
        <v>0</v>
      </c>
      <c r="BN15" s="258">
        <f t="shared" si="23"/>
        <v>0</v>
      </c>
      <c r="BO15" s="258">
        <f t="shared" si="24"/>
        <v>0</v>
      </c>
      <c r="BP15" s="258">
        <f t="shared" si="25"/>
        <v>0</v>
      </c>
      <c r="BQ15" s="259">
        <f t="shared" si="26"/>
        <v>14061.244186858174</v>
      </c>
    </row>
    <row r="16" spans="1:69">
      <c r="A16" s="199" t="str">
        <f>Est2017TransRev!A16</f>
        <v>D3</v>
      </c>
      <c r="B16" s="249" t="str">
        <f>Est2017TransRev!B16</f>
        <v>Residential Interval</v>
      </c>
      <c r="C16" s="279"/>
      <c r="D16" s="671">
        <v>0</v>
      </c>
      <c r="E16" s="252">
        <v>0</v>
      </c>
      <c r="F16" s="252">
        <v>0.4</v>
      </c>
      <c r="G16" s="252"/>
      <c r="H16" s="252"/>
      <c r="I16" s="252">
        <v>0.4</v>
      </c>
      <c r="J16" s="252"/>
      <c r="K16" s="252"/>
      <c r="L16" s="252"/>
      <c r="M16" s="252">
        <v>0</v>
      </c>
      <c r="N16" s="252"/>
      <c r="O16" s="252">
        <v>0</v>
      </c>
      <c r="P16" s="252">
        <v>0</v>
      </c>
      <c r="Q16" s="252">
        <v>0</v>
      </c>
      <c r="R16" s="252">
        <v>0</v>
      </c>
      <c r="S16" s="252">
        <v>0</v>
      </c>
      <c r="T16" s="252"/>
      <c r="U16" s="252">
        <v>0</v>
      </c>
      <c r="V16" s="252">
        <v>0</v>
      </c>
      <c r="W16" s="252">
        <v>0</v>
      </c>
      <c r="X16" s="280"/>
      <c r="Z16" s="281">
        <f>Est2017TransRev!Z16</f>
        <v>110743.91533333334</v>
      </c>
      <c r="AA16" s="255">
        <f>Est2017TransRev!AA16</f>
        <v>0</v>
      </c>
      <c r="AB16" s="255">
        <f>Est2017TransRev!AB16</f>
        <v>265090478.7460216</v>
      </c>
      <c r="AC16" s="255">
        <f>Est2017TransRev!AC16</f>
        <v>0</v>
      </c>
      <c r="AD16" s="255">
        <f>Est2017TransRev!AD16</f>
        <v>0</v>
      </c>
      <c r="AE16" s="255">
        <f>Est2017TransRev!AE16</f>
        <v>268547798.58756679</v>
      </c>
      <c r="AF16" s="255">
        <f>Est2017TransRev!AF16</f>
        <v>0</v>
      </c>
      <c r="AG16" s="255">
        <f>Est2017TransRev!AG16</f>
        <v>0</v>
      </c>
      <c r="AH16" s="255">
        <f>Est2017TransRev!AH16</f>
        <v>0</v>
      </c>
      <c r="AI16" s="255">
        <f>Est2017TransRev!AI16</f>
        <v>0</v>
      </c>
      <c r="AJ16" s="255">
        <f>Est2017TransRev!AJ16</f>
        <v>0</v>
      </c>
      <c r="AK16" s="255">
        <f>Est2017TransRev!AK16</f>
        <v>0</v>
      </c>
      <c r="AL16" s="255">
        <f>Est2017TransRev!AL16</f>
        <v>0</v>
      </c>
      <c r="AM16" s="255">
        <f>Est2017TransRev!AM16</f>
        <v>0</v>
      </c>
      <c r="AN16" s="255">
        <f>Est2017TransRev!AN16</f>
        <v>0</v>
      </c>
      <c r="AO16" s="255">
        <f>Est2017TransRev!AO16</f>
        <v>0</v>
      </c>
      <c r="AP16" s="255">
        <f>Est2017TransRev!AP16</f>
        <v>0</v>
      </c>
      <c r="AQ16" s="255">
        <f>Est2017TransRev!AQ16</f>
        <v>0</v>
      </c>
      <c r="AR16" s="255">
        <f>Est2017TransRev!AR16</f>
        <v>0</v>
      </c>
      <c r="AS16" s="255">
        <f>Est2017TransRev!AS16</f>
        <v>0</v>
      </c>
      <c r="AT16" s="282">
        <f>Est2017TransRev!AT16</f>
        <v>0</v>
      </c>
      <c r="AV16" s="257">
        <f t="shared" si="5"/>
        <v>0</v>
      </c>
      <c r="AW16" s="224">
        <f t="shared" si="6"/>
        <v>0</v>
      </c>
      <c r="AX16" s="224">
        <f t="shared" si="7"/>
        <v>1060361.9149840865</v>
      </c>
      <c r="AY16" s="224">
        <f t="shared" si="8"/>
        <v>0</v>
      </c>
      <c r="AZ16" s="224">
        <f t="shared" si="9"/>
        <v>0</v>
      </c>
      <c r="BA16" s="224">
        <f t="shared" si="10"/>
        <v>1074191.1943502673</v>
      </c>
      <c r="BB16" s="224">
        <f t="shared" si="11"/>
        <v>0</v>
      </c>
      <c r="BC16" s="224">
        <f t="shared" si="12"/>
        <v>0</v>
      </c>
      <c r="BD16" s="224">
        <f t="shared" si="13"/>
        <v>0</v>
      </c>
      <c r="BE16" s="224">
        <f t="shared" si="14"/>
        <v>0</v>
      </c>
      <c r="BF16" s="224">
        <f t="shared" si="15"/>
        <v>0</v>
      </c>
      <c r="BG16" s="224">
        <f t="shared" si="16"/>
        <v>0</v>
      </c>
      <c r="BH16" s="224">
        <f t="shared" si="17"/>
        <v>0</v>
      </c>
      <c r="BI16" s="258">
        <f t="shared" si="18"/>
        <v>0</v>
      </c>
      <c r="BJ16" s="258">
        <f t="shared" si="19"/>
        <v>0</v>
      </c>
      <c r="BK16" s="258">
        <f t="shared" si="20"/>
        <v>0</v>
      </c>
      <c r="BL16" s="258">
        <f t="shared" si="21"/>
        <v>0</v>
      </c>
      <c r="BM16" s="258">
        <f t="shared" si="22"/>
        <v>0</v>
      </c>
      <c r="BN16" s="258">
        <f t="shared" si="23"/>
        <v>0</v>
      </c>
      <c r="BO16" s="258">
        <f t="shared" si="24"/>
        <v>0</v>
      </c>
      <c r="BP16" s="258">
        <f t="shared" si="25"/>
        <v>0</v>
      </c>
      <c r="BQ16" s="259">
        <f t="shared" si="26"/>
        <v>2134553.1093343538</v>
      </c>
    </row>
    <row r="17" spans="1:69">
      <c r="A17" s="199" t="str">
        <f>Est2017TransRev!A17</f>
        <v>D2OP</v>
      </c>
      <c r="B17" s="249" t="str">
        <f>Est2017TransRev!B17</f>
        <v>Residential Two Rate 5d - controlled load</v>
      </c>
      <c r="C17" s="279"/>
      <c r="D17" s="671">
        <v>0</v>
      </c>
      <c r="E17" s="252">
        <v>0</v>
      </c>
      <c r="F17" s="252">
        <v>0</v>
      </c>
      <c r="G17" s="252"/>
      <c r="H17" s="252"/>
      <c r="I17" s="252">
        <v>0.4</v>
      </c>
      <c r="J17" s="252"/>
      <c r="K17" s="252"/>
      <c r="L17" s="252"/>
      <c r="M17" s="252">
        <v>0</v>
      </c>
      <c r="N17" s="252"/>
      <c r="O17" s="252">
        <v>0</v>
      </c>
      <c r="P17" s="252">
        <v>0</v>
      </c>
      <c r="Q17" s="252">
        <v>0</v>
      </c>
      <c r="R17" s="252">
        <v>0</v>
      </c>
      <c r="S17" s="252">
        <v>0</v>
      </c>
      <c r="T17" s="252"/>
      <c r="U17" s="252">
        <v>0</v>
      </c>
      <c r="V17" s="252">
        <v>0</v>
      </c>
      <c r="W17" s="252">
        <v>0</v>
      </c>
      <c r="X17" s="280"/>
      <c r="Z17" s="281">
        <f>Est2017TransRev!Z17</f>
        <v>44006.770000000004</v>
      </c>
      <c r="AA17" s="255">
        <f>Est2017TransRev!AA17</f>
        <v>0</v>
      </c>
      <c r="AB17" s="255">
        <f>Est2017TransRev!AB17</f>
        <v>0</v>
      </c>
      <c r="AC17" s="255">
        <f>Est2017TransRev!AC17</f>
        <v>0</v>
      </c>
      <c r="AD17" s="255">
        <f>Est2017TransRev!AD17</f>
        <v>0</v>
      </c>
      <c r="AE17" s="255">
        <f>Est2017TransRev!AE17</f>
        <v>154161131.7488364</v>
      </c>
      <c r="AF17" s="255">
        <f>Est2017TransRev!AF17</f>
        <v>0</v>
      </c>
      <c r="AG17" s="255">
        <f>Est2017TransRev!AG17</f>
        <v>0</v>
      </c>
      <c r="AH17" s="255">
        <f>Est2017TransRev!AH17</f>
        <v>0</v>
      </c>
      <c r="AI17" s="255">
        <f>Est2017TransRev!AI17</f>
        <v>0</v>
      </c>
      <c r="AJ17" s="255">
        <f>Est2017TransRev!AJ17</f>
        <v>0</v>
      </c>
      <c r="AK17" s="255">
        <f>Est2017TransRev!AK17</f>
        <v>0</v>
      </c>
      <c r="AL17" s="255">
        <f>Est2017TransRev!AL17</f>
        <v>0</v>
      </c>
      <c r="AM17" s="255">
        <f>Est2017TransRev!AM17</f>
        <v>0</v>
      </c>
      <c r="AN17" s="255">
        <f>Est2017TransRev!AN17</f>
        <v>0</v>
      </c>
      <c r="AO17" s="255">
        <f>Est2017TransRev!AO17</f>
        <v>0</v>
      </c>
      <c r="AP17" s="255">
        <f>Est2017TransRev!AP17</f>
        <v>0</v>
      </c>
      <c r="AQ17" s="255">
        <f>Est2017TransRev!AQ17</f>
        <v>0</v>
      </c>
      <c r="AR17" s="255">
        <f>Est2017TransRev!AR17</f>
        <v>0</v>
      </c>
      <c r="AS17" s="255">
        <f>Est2017TransRev!AS17</f>
        <v>0</v>
      </c>
      <c r="AT17" s="282">
        <f>Est2017TransRev!AT17</f>
        <v>0</v>
      </c>
      <c r="AV17" s="257">
        <f t="shared" si="5"/>
        <v>0</v>
      </c>
      <c r="AW17" s="224">
        <f t="shared" si="6"/>
        <v>0</v>
      </c>
      <c r="AX17" s="224">
        <f t="shared" si="7"/>
        <v>0</v>
      </c>
      <c r="AY17" s="224">
        <f t="shared" si="8"/>
        <v>0</v>
      </c>
      <c r="AZ17" s="224">
        <f t="shared" si="9"/>
        <v>0</v>
      </c>
      <c r="BA17" s="224">
        <f t="shared" si="10"/>
        <v>616644.5269953456</v>
      </c>
      <c r="BB17" s="224">
        <f t="shared" si="11"/>
        <v>0</v>
      </c>
      <c r="BC17" s="224">
        <f t="shared" si="12"/>
        <v>0</v>
      </c>
      <c r="BD17" s="224">
        <f t="shared" si="13"/>
        <v>0</v>
      </c>
      <c r="BE17" s="224">
        <f t="shared" si="14"/>
        <v>0</v>
      </c>
      <c r="BF17" s="224">
        <f t="shared" si="15"/>
        <v>0</v>
      </c>
      <c r="BG17" s="224">
        <f t="shared" si="16"/>
        <v>0</v>
      </c>
      <c r="BH17" s="224">
        <f t="shared" si="17"/>
        <v>0</v>
      </c>
      <c r="BI17" s="258">
        <f t="shared" si="18"/>
        <v>0</v>
      </c>
      <c r="BJ17" s="258">
        <f t="shared" si="19"/>
        <v>0</v>
      </c>
      <c r="BK17" s="258">
        <f t="shared" si="20"/>
        <v>0</v>
      </c>
      <c r="BL17" s="258">
        <f t="shared" si="21"/>
        <v>0</v>
      </c>
      <c r="BM17" s="258">
        <f t="shared" si="22"/>
        <v>0</v>
      </c>
      <c r="BN17" s="258">
        <f t="shared" si="23"/>
        <v>0</v>
      </c>
      <c r="BO17" s="258">
        <f t="shared" si="24"/>
        <v>0</v>
      </c>
      <c r="BP17" s="258">
        <f t="shared" si="25"/>
        <v>0</v>
      </c>
      <c r="BQ17" s="259">
        <f t="shared" si="26"/>
        <v>616644.5269953456</v>
      </c>
    </row>
    <row r="18" spans="1:69">
      <c r="A18" s="199" t="str">
        <f>Est2017TransRev!A18</f>
        <v>D2DKOP</v>
      </c>
      <c r="B18" s="249" t="str">
        <f>Est2017TransRev!B18</f>
        <v>Docklands Two Rate 5d - controlled load</v>
      </c>
      <c r="C18" s="279"/>
      <c r="D18" s="671">
        <v>0</v>
      </c>
      <c r="E18" s="252">
        <v>0</v>
      </c>
      <c r="F18" s="252">
        <v>0</v>
      </c>
      <c r="G18" s="252"/>
      <c r="H18" s="252"/>
      <c r="I18" s="252">
        <v>0.4</v>
      </c>
      <c r="J18" s="252"/>
      <c r="K18" s="252"/>
      <c r="L18" s="252"/>
      <c r="M18" s="252">
        <v>0</v>
      </c>
      <c r="N18" s="252"/>
      <c r="O18" s="252">
        <v>0</v>
      </c>
      <c r="P18" s="252">
        <v>0</v>
      </c>
      <c r="Q18" s="252">
        <v>0</v>
      </c>
      <c r="R18" s="252">
        <v>0</v>
      </c>
      <c r="S18" s="252">
        <v>0</v>
      </c>
      <c r="T18" s="252"/>
      <c r="U18" s="252">
        <v>0</v>
      </c>
      <c r="V18" s="252">
        <v>0</v>
      </c>
      <c r="W18" s="252">
        <v>0</v>
      </c>
      <c r="X18" s="280"/>
      <c r="Z18" s="281">
        <f>Est2017TransRev!Z18</f>
        <v>71.543333333333337</v>
      </c>
      <c r="AA18" s="255">
        <f>Est2017TransRev!AA18</f>
        <v>0</v>
      </c>
      <c r="AB18" s="255">
        <f>Est2017TransRev!AB18</f>
        <v>0</v>
      </c>
      <c r="AC18" s="255">
        <f>Est2017TransRev!AC18</f>
        <v>0</v>
      </c>
      <c r="AD18" s="255">
        <f>Est2017TransRev!AD18</f>
        <v>0</v>
      </c>
      <c r="AE18" s="255">
        <f>Est2017TransRev!AE18</f>
        <v>236514.13002538538</v>
      </c>
      <c r="AF18" s="255">
        <f>Est2017TransRev!AF18</f>
        <v>0</v>
      </c>
      <c r="AG18" s="255">
        <f>Est2017TransRev!AG18</f>
        <v>0</v>
      </c>
      <c r="AH18" s="255">
        <f>Est2017TransRev!AH18</f>
        <v>0</v>
      </c>
      <c r="AI18" s="255">
        <f>Est2017TransRev!AI18</f>
        <v>0</v>
      </c>
      <c r="AJ18" s="255">
        <f>Est2017TransRev!AJ18</f>
        <v>0</v>
      </c>
      <c r="AK18" s="255">
        <f>Est2017TransRev!AK18</f>
        <v>0</v>
      </c>
      <c r="AL18" s="255">
        <f>Est2017TransRev!AL18</f>
        <v>0</v>
      </c>
      <c r="AM18" s="255">
        <f>Est2017TransRev!AM18</f>
        <v>0</v>
      </c>
      <c r="AN18" s="255">
        <f>Est2017TransRev!AN18</f>
        <v>0</v>
      </c>
      <c r="AO18" s="255">
        <f>Est2017TransRev!AO18</f>
        <v>0</v>
      </c>
      <c r="AP18" s="255">
        <f>Est2017TransRev!AP18</f>
        <v>0</v>
      </c>
      <c r="AQ18" s="255">
        <f>Est2017TransRev!AQ18</f>
        <v>0</v>
      </c>
      <c r="AR18" s="255">
        <f>Est2017TransRev!AR18</f>
        <v>0</v>
      </c>
      <c r="AS18" s="255">
        <f>Est2017TransRev!AS18</f>
        <v>0</v>
      </c>
      <c r="AT18" s="282">
        <f>Est2017TransRev!AT18</f>
        <v>0</v>
      </c>
      <c r="AV18" s="257">
        <f t="shared" si="5"/>
        <v>0</v>
      </c>
      <c r="AW18" s="224">
        <f t="shared" si="6"/>
        <v>0</v>
      </c>
      <c r="AX18" s="224">
        <f t="shared" si="7"/>
        <v>0</v>
      </c>
      <c r="AY18" s="224">
        <f t="shared" si="8"/>
        <v>0</v>
      </c>
      <c r="AZ18" s="224">
        <f t="shared" si="9"/>
        <v>0</v>
      </c>
      <c r="BA18" s="224">
        <f t="shared" si="10"/>
        <v>946.05652010154154</v>
      </c>
      <c r="BB18" s="224">
        <f t="shared" si="11"/>
        <v>0</v>
      </c>
      <c r="BC18" s="224">
        <f t="shared" si="12"/>
        <v>0</v>
      </c>
      <c r="BD18" s="224">
        <f t="shared" si="13"/>
        <v>0</v>
      </c>
      <c r="BE18" s="224">
        <f t="shared" si="14"/>
        <v>0</v>
      </c>
      <c r="BF18" s="224">
        <f t="shared" si="15"/>
        <v>0</v>
      </c>
      <c r="BG18" s="224">
        <f t="shared" si="16"/>
        <v>0</v>
      </c>
      <c r="BH18" s="224">
        <f t="shared" si="17"/>
        <v>0</v>
      </c>
      <c r="BI18" s="258">
        <f t="shared" si="18"/>
        <v>0</v>
      </c>
      <c r="BJ18" s="258">
        <f t="shared" si="19"/>
        <v>0</v>
      </c>
      <c r="BK18" s="258">
        <f t="shared" si="20"/>
        <v>0</v>
      </c>
      <c r="BL18" s="258">
        <f t="shared" si="21"/>
        <v>0</v>
      </c>
      <c r="BM18" s="258">
        <f t="shared" si="22"/>
        <v>0</v>
      </c>
      <c r="BN18" s="258">
        <f t="shared" si="23"/>
        <v>0</v>
      </c>
      <c r="BO18" s="258">
        <f t="shared" si="24"/>
        <v>0</v>
      </c>
      <c r="BP18" s="258">
        <f t="shared" si="25"/>
        <v>0</v>
      </c>
      <c r="BQ18" s="259">
        <f t="shared" si="26"/>
        <v>946.05652010154154</v>
      </c>
    </row>
    <row r="19" spans="1:69">
      <c r="A19" s="199" t="str">
        <f>Est2017TransRev!A19</f>
        <v>DD1</v>
      </c>
      <c r="B19" s="249" t="str">
        <f>Est2017TransRev!B19</f>
        <v>Dedicated circuit</v>
      </c>
      <c r="C19" s="279"/>
      <c r="D19" s="671">
        <v>0</v>
      </c>
      <c r="E19" s="252">
        <v>0</v>
      </c>
      <c r="F19" s="252">
        <v>0</v>
      </c>
      <c r="G19" s="252"/>
      <c r="H19" s="252"/>
      <c r="I19" s="252">
        <v>0.4</v>
      </c>
      <c r="J19" s="252"/>
      <c r="K19" s="252"/>
      <c r="L19" s="252"/>
      <c r="M19" s="252">
        <v>0</v>
      </c>
      <c r="N19" s="252"/>
      <c r="O19" s="252">
        <v>0</v>
      </c>
      <c r="P19" s="252">
        <v>0</v>
      </c>
      <c r="Q19" s="252">
        <v>0</v>
      </c>
      <c r="R19" s="252">
        <v>0</v>
      </c>
      <c r="S19" s="252">
        <v>0</v>
      </c>
      <c r="T19" s="252"/>
      <c r="U19" s="252">
        <v>0</v>
      </c>
      <c r="V19" s="252">
        <v>0</v>
      </c>
      <c r="W19" s="252">
        <v>0</v>
      </c>
      <c r="X19" s="280"/>
      <c r="Z19" s="281">
        <f>Est2017TransRev!Z19</f>
        <v>162615.45666666667</v>
      </c>
      <c r="AA19" s="255">
        <f>Est2017TransRev!AA19</f>
        <v>0</v>
      </c>
      <c r="AB19" s="255">
        <f>Est2017TransRev!AB19</f>
        <v>0</v>
      </c>
      <c r="AC19" s="255">
        <f>Est2017TransRev!AC19</f>
        <v>0</v>
      </c>
      <c r="AD19" s="255">
        <f>Est2017TransRev!AD19</f>
        <v>0</v>
      </c>
      <c r="AE19" s="255">
        <f>Est2017TransRev!AE19</f>
        <v>309268174.56061345</v>
      </c>
      <c r="AF19" s="255">
        <f>Est2017TransRev!AF19</f>
        <v>0</v>
      </c>
      <c r="AG19" s="255">
        <f>Est2017TransRev!AG19</f>
        <v>0</v>
      </c>
      <c r="AH19" s="255">
        <f>Est2017TransRev!AH19</f>
        <v>0</v>
      </c>
      <c r="AI19" s="255">
        <f>Est2017TransRev!AI19</f>
        <v>0</v>
      </c>
      <c r="AJ19" s="255">
        <f>Est2017TransRev!AJ19</f>
        <v>0</v>
      </c>
      <c r="AK19" s="255">
        <f>Est2017TransRev!AK19</f>
        <v>0</v>
      </c>
      <c r="AL19" s="255">
        <f>Est2017TransRev!AL19</f>
        <v>0</v>
      </c>
      <c r="AM19" s="255">
        <f>Est2017TransRev!AM19</f>
        <v>0</v>
      </c>
      <c r="AN19" s="255">
        <f>Est2017TransRev!AN19</f>
        <v>0</v>
      </c>
      <c r="AO19" s="255">
        <f>Est2017TransRev!AO19</f>
        <v>0</v>
      </c>
      <c r="AP19" s="255">
        <f>Est2017TransRev!AP19</f>
        <v>0</v>
      </c>
      <c r="AQ19" s="255">
        <f>Est2017TransRev!AQ19</f>
        <v>0</v>
      </c>
      <c r="AR19" s="255">
        <f>Est2017TransRev!AR19</f>
        <v>0</v>
      </c>
      <c r="AS19" s="255">
        <f>Est2017TransRev!AS19</f>
        <v>0</v>
      </c>
      <c r="AT19" s="282">
        <f>Est2017TransRev!AT19</f>
        <v>0</v>
      </c>
      <c r="AV19" s="257">
        <f t="shared" si="5"/>
        <v>0</v>
      </c>
      <c r="AW19" s="224">
        <f t="shared" si="6"/>
        <v>0</v>
      </c>
      <c r="AX19" s="224">
        <f t="shared" si="7"/>
        <v>0</v>
      </c>
      <c r="AY19" s="224">
        <f t="shared" si="8"/>
        <v>0</v>
      </c>
      <c r="AZ19" s="224">
        <f t="shared" si="9"/>
        <v>0</v>
      </c>
      <c r="BA19" s="224">
        <f t="shared" si="10"/>
        <v>1237072.6982424539</v>
      </c>
      <c r="BB19" s="224">
        <f t="shared" si="11"/>
        <v>0</v>
      </c>
      <c r="BC19" s="224">
        <f t="shared" si="12"/>
        <v>0</v>
      </c>
      <c r="BD19" s="224">
        <f t="shared" si="13"/>
        <v>0</v>
      </c>
      <c r="BE19" s="224">
        <f t="shared" si="14"/>
        <v>0</v>
      </c>
      <c r="BF19" s="224">
        <f t="shared" si="15"/>
        <v>0</v>
      </c>
      <c r="BG19" s="224">
        <f t="shared" si="16"/>
        <v>0</v>
      </c>
      <c r="BH19" s="224">
        <f t="shared" si="17"/>
        <v>0</v>
      </c>
      <c r="BI19" s="258">
        <f t="shared" si="18"/>
        <v>0</v>
      </c>
      <c r="BJ19" s="258">
        <f t="shared" si="19"/>
        <v>0</v>
      </c>
      <c r="BK19" s="258">
        <f t="shared" si="20"/>
        <v>0</v>
      </c>
      <c r="BL19" s="258">
        <f t="shared" si="21"/>
        <v>0</v>
      </c>
      <c r="BM19" s="258">
        <f t="shared" si="22"/>
        <v>0</v>
      </c>
      <c r="BN19" s="258">
        <f t="shared" si="23"/>
        <v>0</v>
      </c>
      <c r="BO19" s="258">
        <f t="shared" si="24"/>
        <v>0</v>
      </c>
      <c r="BP19" s="258">
        <f t="shared" si="25"/>
        <v>0</v>
      </c>
      <c r="BQ19" s="259">
        <f t="shared" si="26"/>
        <v>1237072.6982424539</v>
      </c>
    </row>
    <row r="20" spans="1:69">
      <c r="A20" s="199" t="str">
        <f>Est2017TransRev!A20</f>
        <v>D3HW</v>
      </c>
      <c r="B20" s="249" t="str">
        <f>Est2017TransRev!B20</f>
        <v>Hot Water Interval</v>
      </c>
      <c r="C20" s="279"/>
      <c r="D20" s="671">
        <v>0</v>
      </c>
      <c r="E20" s="252">
        <v>0</v>
      </c>
      <c r="F20" s="252">
        <v>0</v>
      </c>
      <c r="G20" s="252"/>
      <c r="H20" s="252"/>
      <c r="I20" s="252">
        <v>0.4</v>
      </c>
      <c r="J20" s="252"/>
      <c r="K20" s="252"/>
      <c r="L20" s="252"/>
      <c r="M20" s="252">
        <v>0</v>
      </c>
      <c r="N20" s="252"/>
      <c r="O20" s="252">
        <v>0</v>
      </c>
      <c r="P20" s="252">
        <v>0</v>
      </c>
      <c r="Q20" s="252">
        <v>0</v>
      </c>
      <c r="R20" s="252">
        <v>0</v>
      </c>
      <c r="S20" s="252">
        <v>0</v>
      </c>
      <c r="T20" s="252"/>
      <c r="U20" s="252">
        <v>0</v>
      </c>
      <c r="V20" s="252">
        <v>0</v>
      </c>
      <c r="W20" s="252">
        <v>0</v>
      </c>
      <c r="X20" s="280"/>
      <c r="Z20" s="281">
        <f>Est2017TransRev!Z20</f>
        <v>5649.0446666666667</v>
      </c>
      <c r="AA20" s="255">
        <f>Est2017TransRev!AA20</f>
        <v>0</v>
      </c>
      <c r="AB20" s="255">
        <f>Est2017TransRev!AB20</f>
        <v>0</v>
      </c>
      <c r="AC20" s="255">
        <f>Est2017TransRev!AC20</f>
        <v>0</v>
      </c>
      <c r="AD20" s="255">
        <f>Est2017TransRev!AD20</f>
        <v>0</v>
      </c>
      <c r="AE20" s="255">
        <f>Est2017TransRev!AE20</f>
        <v>10262602.38403964</v>
      </c>
      <c r="AF20" s="255">
        <f>Est2017TransRev!AF20</f>
        <v>0</v>
      </c>
      <c r="AG20" s="255">
        <f>Est2017TransRev!AG20</f>
        <v>0</v>
      </c>
      <c r="AH20" s="255">
        <f>Est2017TransRev!AH20</f>
        <v>0</v>
      </c>
      <c r="AI20" s="255">
        <f>Est2017TransRev!AI20</f>
        <v>0</v>
      </c>
      <c r="AJ20" s="255">
        <f>Est2017TransRev!AJ20</f>
        <v>0</v>
      </c>
      <c r="AK20" s="255">
        <f>Est2017TransRev!AK20</f>
        <v>0</v>
      </c>
      <c r="AL20" s="255">
        <f>Est2017TransRev!AL20</f>
        <v>0</v>
      </c>
      <c r="AM20" s="255">
        <f>Est2017TransRev!AM20</f>
        <v>0</v>
      </c>
      <c r="AN20" s="255">
        <f>Est2017TransRev!AN20</f>
        <v>0</v>
      </c>
      <c r="AO20" s="255">
        <f>Est2017TransRev!AO20</f>
        <v>0</v>
      </c>
      <c r="AP20" s="255">
        <f>Est2017TransRev!AP20</f>
        <v>0</v>
      </c>
      <c r="AQ20" s="255">
        <f>Est2017TransRev!AQ20</f>
        <v>0</v>
      </c>
      <c r="AR20" s="255">
        <f>Est2017TransRev!AR20</f>
        <v>0</v>
      </c>
      <c r="AS20" s="255">
        <f>Est2017TransRev!AS20</f>
        <v>0</v>
      </c>
      <c r="AT20" s="282">
        <f>Est2017TransRev!AT20</f>
        <v>0</v>
      </c>
      <c r="AV20" s="257">
        <f t="shared" si="5"/>
        <v>0</v>
      </c>
      <c r="AW20" s="224">
        <f t="shared" si="6"/>
        <v>0</v>
      </c>
      <c r="AX20" s="224">
        <f t="shared" si="7"/>
        <v>0</v>
      </c>
      <c r="AY20" s="224">
        <f t="shared" si="8"/>
        <v>0</v>
      </c>
      <c r="AZ20" s="224">
        <f t="shared" si="9"/>
        <v>0</v>
      </c>
      <c r="BA20" s="224">
        <f t="shared" si="10"/>
        <v>41050.409536158564</v>
      </c>
      <c r="BB20" s="224">
        <f t="shared" si="11"/>
        <v>0</v>
      </c>
      <c r="BC20" s="224">
        <f t="shared" si="12"/>
        <v>0</v>
      </c>
      <c r="BD20" s="224">
        <f t="shared" si="13"/>
        <v>0</v>
      </c>
      <c r="BE20" s="224">
        <f t="shared" si="14"/>
        <v>0</v>
      </c>
      <c r="BF20" s="224">
        <f t="shared" si="15"/>
        <v>0</v>
      </c>
      <c r="BG20" s="224">
        <f t="shared" si="16"/>
        <v>0</v>
      </c>
      <c r="BH20" s="224">
        <f t="shared" si="17"/>
        <v>0</v>
      </c>
      <c r="BI20" s="258">
        <f t="shared" si="18"/>
        <v>0</v>
      </c>
      <c r="BJ20" s="258">
        <f t="shared" si="19"/>
        <v>0</v>
      </c>
      <c r="BK20" s="258">
        <f t="shared" si="20"/>
        <v>0</v>
      </c>
      <c r="BL20" s="258">
        <f t="shared" si="21"/>
        <v>0</v>
      </c>
      <c r="BM20" s="258">
        <f t="shared" si="22"/>
        <v>0</v>
      </c>
      <c r="BN20" s="258">
        <f t="shared" si="23"/>
        <v>0</v>
      </c>
      <c r="BO20" s="258">
        <f t="shared" si="24"/>
        <v>0</v>
      </c>
      <c r="BP20" s="258">
        <f t="shared" si="25"/>
        <v>0</v>
      </c>
      <c r="BQ20" s="259">
        <f t="shared" si="26"/>
        <v>41050.409536158564</v>
      </c>
    </row>
    <row r="21" spans="1:69">
      <c r="A21" s="199" t="str">
        <f>Est2017TransRev!A21</f>
        <v>DD</v>
      </c>
      <c r="B21" s="249" t="str">
        <f>Est2017TransRev!B21</f>
        <v>Residential Demand</v>
      </c>
      <c r="C21" s="279"/>
      <c r="D21" s="671">
        <v>0</v>
      </c>
      <c r="E21" s="252">
        <v>0.4</v>
      </c>
      <c r="F21" s="252">
        <v>0</v>
      </c>
      <c r="G21" s="252"/>
      <c r="H21" s="252"/>
      <c r="I21" s="252">
        <v>0</v>
      </c>
      <c r="J21" s="252"/>
      <c r="K21" s="252"/>
      <c r="L21" s="252"/>
      <c r="M21" s="252">
        <v>0</v>
      </c>
      <c r="N21" s="252"/>
      <c r="O21" s="252">
        <v>0</v>
      </c>
      <c r="P21" s="252">
        <v>0</v>
      </c>
      <c r="Q21" s="252">
        <v>0</v>
      </c>
      <c r="R21" s="252">
        <v>0</v>
      </c>
      <c r="S21" s="252">
        <v>0</v>
      </c>
      <c r="T21" s="252"/>
      <c r="U21" s="252">
        <v>0</v>
      </c>
      <c r="V21" s="252">
        <v>0</v>
      </c>
      <c r="W21" s="252">
        <v>0</v>
      </c>
      <c r="X21" s="280"/>
      <c r="Z21" s="281">
        <f>Est2017TransRev!Z21</f>
        <v>5</v>
      </c>
      <c r="AA21" s="255">
        <f>Est2017TransRev!AA21</f>
        <v>27500</v>
      </c>
      <c r="AB21" s="255">
        <f>Est2017TransRev!AB21</f>
        <v>0</v>
      </c>
      <c r="AC21" s="255">
        <f>Est2017TransRev!AC21</f>
        <v>0</v>
      </c>
      <c r="AD21" s="255">
        <f>Est2017TransRev!AD21</f>
        <v>0</v>
      </c>
      <c r="AE21" s="255">
        <f>Est2017TransRev!AE21</f>
        <v>0</v>
      </c>
      <c r="AF21" s="255">
        <f>Est2017TransRev!AF21</f>
        <v>0</v>
      </c>
      <c r="AG21" s="255">
        <f>Est2017TransRev!AG21</f>
        <v>0</v>
      </c>
      <c r="AH21" s="255">
        <f>Est2017TransRev!AH21</f>
        <v>0</v>
      </c>
      <c r="AI21" s="255">
        <f>Est2017TransRev!AI21</f>
        <v>0</v>
      </c>
      <c r="AJ21" s="255">
        <f>Est2017TransRev!AJ21</f>
        <v>0</v>
      </c>
      <c r="AK21" s="255">
        <f>Est2017TransRev!AK21</f>
        <v>62.785388127853878</v>
      </c>
      <c r="AL21" s="255">
        <f>Est2017TransRev!AL21</f>
        <v>100.45662100456622</v>
      </c>
      <c r="AM21" s="255">
        <f>Est2017TransRev!AM21</f>
        <v>0</v>
      </c>
      <c r="AN21" s="255">
        <f>Est2017TransRev!AN21</f>
        <v>0</v>
      </c>
      <c r="AO21" s="255">
        <f>Est2017TransRev!AO21</f>
        <v>0</v>
      </c>
      <c r="AP21" s="255">
        <f>Est2017TransRev!AP21</f>
        <v>0</v>
      </c>
      <c r="AQ21" s="255">
        <f>Est2017TransRev!AQ21</f>
        <v>0</v>
      </c>
      <c r="AR21" s="255">
        <f>Est2017TransRev!AR21</f>
        <v>0</v>
      </c>
      <c r="AS21" s="255">
        <f>Est2017TransRev!AS21</f>
        <v>0</v>
      </c>
      <c r="AT21" s="282">
        <f>Est2017TransRev!AT21</f>
        <v>0</v>
      </c>
      <c r="AV21" s="257">
        <f t="shared" si="5"/>
        <v>0</v>
      </c>
      <c r="AW21" s="224">
        <f t="shared" si="6"/>
        <v>110</v>
      </c>
      <c r="AX21" s="224">
        <f t="shared" si="7"/>
        <v>0</v>
      </c>
      <c r="AY21" s="224">
        <f t="shared" si="8"/>
        <v>0</v>
      </c>
      <c r="AZ21" s="224">
        <f t="shared" si="9"/>
        <v>0</v>
      </c>
      <c r="BA21" s="224">
        <f t="shared" si="10"/>
        <v>0</v>
      </c>
      <c r="BB21" s="224">
        <f t="shared" si="11"/>
        <v>0</v>
      </c>
      <c r="BC21" s="224">
        <f t="shared" si="12"/>
        <v>0</v>
      </c>
      <c r="BD21" s="224">
        <f t="shared" si="13"/>
        <v>0</v>
      </c>
      <c r="BE21" s="224">
        <f t="shared" si="14"/>
        <v>0</v>
      </c>
      <c r="BF21" s="224">
        <f t="shared" si="15"/>
        <v>0</v>
      </c>
      <c r="BG21" s="224">
        <f t="shared" si="16"/>
        <v>0</v>
      </c>
      <c r="BH21" s="224">
        <f t="shared" si="17"/>
        <v>0</v>
      </c>
      <c r="BI21" s="258">
        <f t="shared" si="18"/>
        <v>0</v>
      </c>
      <c r="BJ21" s="258">
        <f t="shared" si="19"/>
        <v>0</v>
      </c>
      <c r="BK21" s="258">
        <f t="shared" si="20"/>
        <v>0</v>
      </c>
      <c r="BL21" s="258">
        <f t="shared" si="21"/>
        <v>0</v>
      </c>
      <c r="BM21" s="258">
        <f t="shared" si="22"/>
        <v>0</v>
      </c>
      <c r="BN21" s="258">
        <f t="shared" si="23"/>
        <v>0</v>
      </c>
      <c r="BO21" s="258">
        <f t="shared" si="24"/>
        <v>0</v>
      </c>
      <c r="BP21" s="258">
        <f t="shared" si="25"/>
        <v>0</v>
      </c>
      <c r="BQ21" s="259">
        <f t="shared" si="26"/>
        <v>110</v>
      </c>
    </row>
    <row r="22" spans="1:69">
      <c r="A22" s="199" t="str">
        <f>Est2017TransRev!A22</f>
        <v>ND1</v>
      </c>
      <c r="B22" s="249" t="str">
        <f>Est2017TransRev!B22</f>
        <v>Non-Residential Single Rate</v>
      </c>
      <c r="C22" s="279"/>
      <c r="D22" s="671">
        <v>0</v>
      </c>
      <c r="E22" s="252">
        <v>0.39</v>
      </c>
      <c r="F22" s="252">
        <v>0</v>
      </c>
      <c r="G22" s="252"/>
      <c r="H22" s="252"/>
      <c r="I22" s="252">
        <v>0</v>
      </c>
      <c r="J22" s="252"/>
      <c r="K22" s="252"/>
      <c r="L22" s="252"/>
      <c r="M22" s="252">
        <v>0</v>
      </c>
      <c r="N22" s="252"/>
      <c r="O22" s="252">
        <v>0</v>
      </c>
      <c r="P22" s="252">
        <v>0</v>
      </c>
      <c r="Q22" s="252">
        <v>0</v>
      </c>
      <c r="R22" s="252">
        <v>0</v>
      </c>
      <c r="S22" s="252">
        <v>0</v>
      </c>
      <c r="T22" s="252"/>
      <c r="U22" s="252">
        <v>0</v>
      </c>
      <c r="V22" s="252">
        <v>0</v>
      </c>
      <c r="W22" s="252">
        <v>0</v>
      </c>
      <c r="X22" s="280"/>
      <c r="Z22" s="281">
        <f>Est2017TransRev!Z22</f>
        <v>42483.707999999999</v>
      </c>
      <c r="AA22" s="255">
        <f>Est2017TransRev!AA22</f>
        <v>256404043.37810862</v>
      </c>
      <c r="AB22" s="255">
        <f>Est2017TransRev!AB22</f>
        <v>0</v>
      </c>
      <c r="AC22" s="255">
        <f>Est2017TransRev!AC22</f>
        <v>0</v>
      </c>
      <c r="AD22" s="255">
        <f>Est2017TransRev!AD22</f>
        <v>0</v>
      </c>
      <c r="AE22" s="255">
        <f>Est2017TransRev!AE22</f>
        <v>0</v>
      </c>
      <c r="AF22" s="255">
        <f>Est2017TransRev!AF22</f>
        <v>0</v>
      </c>
      <c r="AG22" s="255">
        <f>Est2017TransRev!AG22</f>
        <v>0</v>
      </c>
      <c r="AH22" s="255">
        <f>Est2017TransRev!AH22</f>
        <v>0</v>
      </c>
      <c r="AI22" s="255">
        <f>Est2017TransRev!AI22</f>
        <v>0</v>
      </c>
      <c r="AJ22" s="255">
        <f>Est2017TransRev!AJ22</f>
        <v>0</v>
      </c>
      <c r="AK22" s="255">
        <f>Est2017TransRev!AK22</f>
        <v>0</v>
      </c>
      <c r="AL22" s="255">
        <f>Est2017TransRev!AL22</f>
        <v>0</v>
      </c>
      <c r="AM22" s="255">
        <f>Est2017TransRev!AM22</f>
        <v>0</v>
      </c>
      <c r="AN22" s="255">
        <f>Est2017TransRev!AN22</f>
        <v>0</v>
      </c>
      <c r="AO22" s="255">
        <f>Est2017TransRev!AO22</f>
        <v>0</v>
      </c>
      <c r="AP22" s="255">
        <f>Est2017TransRev!AP22</f>
        <v>0</v>
      </c>
      <c r="AQ22" s="255">
        <f>Est2017TransRev!AQ22</f>
        <v>0</v>
      </c>
      <c r="AR22" s="255">
        <f>Est2017TransRev!AR22</f>
        <v>0</v>
      </c>
      <c r="AS22" s="255">
        <f>Est2017TransRev!AS22</f>
        <v>0</v>
      </c>
      <c r="AT22" s="282">
        <f>Est2017TransRev!AT22</f>
        <v>0</v>
      </c>
      <c r="AV22" s="257">
        <f t="shared" si="5"/>
        <v>0</v>
      </c>
      <c r="AW22" s="224">
        <f t="shared" si="6"/>
        <v>999975.76917462365</v>
      </c>
      <c r="AX22" s="224">
        <f t="shared" si="7"/>
        <v>0</v>
      </c>
      <c r="AY22" s="224">
        <f t="shared" si="8"/>
        <v>0</v>
      </c>
      <c r="AZ22" s="224">
        <f t="shared" si="9"/>
        <v>0</v>
      </c>
      <c r="BA22" s="224">
        <f t="shared" si="10"/>
        <v>0</v>
      </c>
      <c r="BB22" s="224">
        <f t="shared" si="11"/>
        <v>0</v>
      </c>
      <c r="BC22" s="224">
        <f t="shared" si="12"/>
        <v>0</v>
      </c>
      <c r="BD22" s="224">
        <f t="shared" si="13"/>
        <v>0</v>
      </c>
      <c r="BE22" s="224">
        <f t="shared" si="14"/>
        <v>0</v>
      </c>
      <c r="BF22" s="224">
        <f t="shared" si="15"/>
        <v>0</v>
      </c>
      <c r="BG22" s="224">
        <f t="shared" si="16"/>
        <v>0</v>
      </c>
      <c r="BH22" s="224">
        <f t="shared" si="17"/>
        <v>0</v>
      </c>
      <c r="BI22" s="258">
        <f t="shared" si="18"/>
        <v>0</v>
      </c>
      <c r="BJ22" s="258">
        <f t="shared" si="19"/>
        <v>0</v>
      </c>
      <c r="BK22" s="258">
        <f t="shared" si="20"/>
        <v>0</v>
      </c>
      <c r="BL22" s="258">
        <f t="shared" si="21"/>
        <v>0</v>
      </c>
      <c r="BM22" s="258">
        <f t="shared" si="22"/>
        <v>0</v>
      </c>
      <c r="BN22" s="258">
        <f t="shared" si="23"/>
        <v>0</v>
      </c>
      <c r="BO22" s="258">
        <f t="shared" si="24"/>
        <v>0</v>
      </c>
      <c r="BP22" s="258">
        <f t="shared" si="25"/>
        <v>0</v>
      </c>
      <c r="BQ22" s="259">
        <f t="shared" si="26"/>
        <v>999975.76917462365</v>
      </c>
    </row>
    <row r="23" spans="1:69">
      <c r="A23" s="199" t="str">
        <f>Est2017TransRev!A23</f>
        <v>P14G</v>
      </c>
      <c r="B23" s="249" t="str">
        <f>Est2017TransRev!B23</f>
        <v>Non-Residential Flexible Pricing</v>
      </c>
      <c r="C23" s="279"/>
      <c r="D23" s="671">
        <v>0</v>
      </c>
      <c r="E23" s="252">
        <v>0</v>
      </c>
      <c r="F23" s="252">
        <v>0</v>
      </c>
      <c r="G23" s="252"/>
      <c r="H23" s="252"/>
      <c r="I23" s="252">
        <v>0</v>
      </c>
      <c r="J23" s="252"/>
      <c r="K23" s="252"/>
      <c r="L23" s="252"/>
      <c r="M23" s="252">
        <v>0</v>
      </c>
      <c r="N23" s="252"/>
      <c r="O23" s="252">
        <v>0</v>
      </c>
      <c r="P23" s="252">
        <v>0</v>
      </c>
      <c r="Q23" s="252">
        <v>0.39</v>
      </c>
      <c r="R23" s="252">
        <v>0.39</v>
      </c>
      <c r="S23" s="252">
        <v>0.39</v>
      </c>
      <c r="T23" s="252"/>
      <c r="U23" s="252">
        <v>0.39</v>
      </c>
      <c r="V23" s="252">
        <v>0.39</v>
      </c>
      <c r="W23" s="252">
        <v>0.39</v>
      </c>
      <c r="X23" s="280"/>
      <c r="Z23" s="281">
        <f>Est2017TransRev!Z23</f>
        <v>172.08333333333331</v>
      </c>
      <c r="AA23" s="255">
        <f>Est2017TransRev!AA23</f>
        <v>0</v>
      </c>
      <c r="AB23" s="255">
        <f>Est2017TransRev!AB23</f>
        <v>0</v>
      </c>
      <c r="AC23" s="255">
        <f>Est2017TransRev!AC23</f>
        <v>0</v>
      </c>
      <c r="AD23" s="255">
        <f>Est2017TransRev!AD23</f>
        <v>0</v>
      </c>
      <c r="AE23" s="255">
        <f>Est2017TransRev!AE23</f>
        <v>0</v>
      </c>
      <c r="AF23" s="255">
        <f>Est2017TransRev!AF23</f>
        <v>0</v>
      </c>
      <c r="AG23" s="255">
        <f>Est2017TransRev!AG23</f>
        <v>0</v>
      </c>
      <c r="AH23" s="255">
        <f>Est2017TransRev!AH23</f>
        <v>0</v>
      </c>
      <c r="AI23" s="255">
        <f>Est2017TransRev!AI23</f>
        <v>0</v>
      </c>
      <c r="AJ23" s="255">
        <f>Est2017TransRev!AJ23</f>
        <v>0</v>
      </c>
      <c r="AK23" s="255">
        <f>Est2017TransRev!AK23</f>
        <v>0</v>
      </c>
      <c r="AL23" s="255">
        <f>Est2017TransRev!AL23</f>
        <v>0</v>
      </c>
      <c r="AM23" s="255">
        <f>Est2017TransRev!AM23</f>
        <v>860329.46774740983</v>
      </c>
      <c r="AN23" s="255">
        <f>Est2017TransRev!AN23</f>
        <v>505545.96732157166</v>
      </c>
      <c r="AO23" s="255">
        <f>Est2017TransRev!AO23</f>
        <v>1479176.1880384339</v>
      </c>
      <c r="AP23" s="255">
        <f>Est2017TransRev!AP23</f>
        <v>0</v>
      </c>
      <c r="AQ23" s="255">
        <f>Est2017TransRev!AQ23</f>
        <v>1414112.6541803591</v>
      </c>
      <c r="AR23" s="255">
        <f>Est2017TransRev!AR23</f>
        <v>712103.5920362731</v>
      </c>
      <c r="AS23" s="255">
        <f>Est2017TransRev!AS23</f>
        <v>2004319.1525168456</v>
      </c>
      <c r="AT23" s="282">
        <f>Est2017TransRev!AT23</f>
        <v>0</v>
      </c>
      <c r="AV23" s="257">
        <f t="shared" si="5"/>
        <v>0</v>
      </c>
      <c r="AW23" s="224">
        <f t="shared" si="6"/>
        <v>0</v>
      </c>
      <c r="AX23" s="224">
        <f t="shared" si="7"/>
        <v>0</v>
      </c>
      <c r="AY23" s="224">
        <f t="shared" si="8"/>
        <v>0</v>
      </c>
      <c r="AZ23" s="224">
        <f t="shared" si="9"/>
        <v>0</v>
      </c>
      <c r="BA23" s="224">
        <f t="shared" si="10"/>
        <v>0</v>
      </c>
      <c r="BB23" s="224">
        <f t="shared" si="11"/>
        <v>0</v>
      </c>
      <c r="BC23" s="224">
        <f t="shared" si="12"/>
        <v>0</v>
      </c>
      <c r="BD23" s="224">
        <f t="shared" si="13"/>
        <v>0</v>
      </c>
      <c r="BE23" s="224">
        <f t="shared" si="14"/>
        <v>0</v>
      </c>
      <c r="BF23" s="224">
        <f t="shared" si="15"/>
        <v>0</v>
      </c>
      <c r="BG23" s="224">
        <f t="shared" si="16"/>
        <v>0</v>
      </c>
      <c r="BH23" s="224">
        <f t="shared" si="17"/>
        <v>0</v>
      </c>
      <c r="BI23" s="258">
        <f t="shared" si="18"/>
        <v>3355.2849242148986</v>
      </c>
      <c r="BJ23" s="258">
        <f t="shared" si="19"/>
        <v>1971.6292725541296</v>
      </c>
      <c r="BK23" s="258">
        <f t="shared" si="20"/>
        <v>5768.7871333498924</v>
      </c>
      <c r="BL23" s="258">
        <f t="shared" si="21"/>
        <v>0</v>
      </c>
      <c r="BM23" s="258">
        <f t="shared" si="22"/>
        <v>5515.0393513034005</v>
      </c>
      <c r="BN23" s="258">
        <f t="shared" si="23"/>
        <v>2777.2040089414654</v>
      </c>
      <c r="BO23" s="258">
        <f t="shared" si="24"/>
        <v>7816.8446948156989</v>
      </c>
      <c r="BP23" s="258">
        <f t="shared" si="25"/>
        <v>0</v>
      </c>
      <c r="BQ23" s="259">
        <f t="shared" si="26"/>
        <v>27204.789385179487</v>
      </c>
    </row>
    <row r="24" spans="1:69">
      <c r="A24" s="199" t="str">
        <f>Est2017TransRev!A24</f>
        <v>ND2</v>
      </c>
      <c r="B24" s="249" t="str">
        <f>Est2017TransRev!B24</f>
        <v>Non-Residential Two Rate 5d</v>
      </c>
      <c r="C24" s="279"/>
      <c r="D24" s="671">
        <v>0</v>
      </c>
      <c r="E24" s="252">
        <v>0</v>
      </c>
      <c r="F24" s="252">
        <v>0.39</v>
      </c>
      <c r="G24" s="252"/>
      <c r="H24" s="252"/>
      <c r="I24" s="252">
        <v>0.39</v>
      </c>
      <c r="J24" s="252"/>
      <c r="K24" s="252"/>
      <c r="L24" s="252"/>
      <c r="M24" s="252">
        <v>0</v>
      </c>
      <c r="N24" s="252"/>
      <c r="O24" s="252">
        <v>0</v>
      </c>
      <c r="P24" s="252">
        <v>0</v>
      </c>
      <c r="Q24" s="252">
        <v>0</v>
      </c>
      <c r="R24" s="252">
        <v>0</v>
      </c>
      <c r="S24" s="252">
        <v>0</v>
      </c>
      <c r="T24" s="252"/>
      <c r="U24" s="252">
        <v>0</v>
      </c>
      <c r="V24" s="252">
        <v>0</v>
      </c>
      <c r="W24" s="252">
        <v>0</v>
      </c>
      <c r="X24" s="280"/>
      <c r="Z24" s="281">
        <f>Est2017TransRev!Z24</f>
        <v>24220.910833333335</v>
      </c>
      <c r="AA24" s="255">
        <f>Est2017TransRev!AA24</f>
        <v>0</v>
      </c>
      <c r="AB24" s="255">
        <f>Est2017TransRev!AB24</f>
        <v>188135379.29405373</v>
      </c>
      <c r="AC24" s="255">
        <f>Est2017TransRev!AC24</f>
        <v>0</v>
      </c>
      <c r="AD24" s="255">
        <f>Est2017TransRev!AD24</f>
        <v>0</v>
      </c>
      <c r="AE24" s="255">
        <f>Est2017TransRev!AE24</f>
        <v>165439065.68487865</v>
      </c>
      <c r="AF24" s="255">
        <f>Est2017TransRev!AF24</f>
        <v>0</v>
      </c>
      <c r="AG24" s="255">
        <f>Est2017TransRev!AG24</f>
        <v>0</v>
      </c>
      <c r="AH24" s="255">
        <f>Est2017TransRev!AH24</f>
        <v>0</v>
      </c>
      <c r="AI24" s="255">
        <f>Est2017TransRev!AI24</f>
        <v>0</v>
      </c>
      <c r="AJ24" s="255">
        <f>Est2017TransRev!AJ24</f>
        <v>0</v>
      </c>
      <c r="AK24" s="255">
        <f>Est2017TransRev!AK24</f>
        <v>0</v>
      </c>
      <c r="AL24" s="255">
        <f>Est2017TransRev!AL24</f>
        <v>0</v>
      </c>
      <c r="AM24" s="255">
        <f>Est2017TransRev!AM24</f>
        <v>0</v>
      </c>
      <c r="AN24" s="255">
        <f>Est2017TransRev!AN24</f>
        <v>0</v>
      </c>
      <c r="AO24" s="255">
        <f>Est2017TransRev!AO24</f>
        <v>0</v>
      </c>
      <c r="AP24" s="255">
        <f>Est2017TransRev!AP24</f>
        <v>0</v>
      </c>
      <c r="AQ24" s="255">
        <f>Est2017TransRev!AQ24</f>
        <v>0</v>
      </c>
      <c r="AR24" s="255">
        <f>Est2017TransRev!AR24</f>
        <v>0</v>
      </c>
      <c r="AS24" s="255">
        <f>Est2017TransRev!AS24</f>
        <v>0</v>
      </c>
      <c r="AT24" s="282">
        <f>Est2017TransRev!AT24</f>
        <v>0</v>
      </c>
      <c r="AV24" s="257">
        <f t="shared" si="5"/>
        <v>0</v>
      </c>
      <c r="AW24" s="224">
        <f t="shared" si="6"/>
        <v>0</v>
      </c>
      <c r="AX24" s="224">
        <f t="shared" si="7"/>
        <v>733727.97924680961</v>
      </c>
      <c r="AY24" s="224">
        <f t="shared" si="8"/>
        <v>0</v>
      </c>
      <c r="AZ24" s="224">
        <f t="shared" si="9"/>
        <v>0</v>
      </c>
      <c r="BA24" s="224">
        <f t="shared" si="10"/>
        <v>645212.35617102671</v>
      </c>
      <c r="BB24" s="224">
        <f t="shared" si="11"/>
        <v>0</v>
      </c>
      <c r="BC24" s="224">
        <f t="shared" si="12"/>
        <v>0</v>
      </c>
      <c r="BD24" s="224">
        <f t="shared" si="13"/>
        <v>0</v>
      </c>
      <c r="BE24" s="224">
        <f t="shared" si="14"/>
        <v>0</v>
      </c>
      <c r="BF24" s="224">
        <f t="shared" si="15"/>
        <v>0</v>
      </c>
      <c r="BG24" s="224">
        <f t="shared" si="16"/>
        <v>0</v>
      </c>
      <c r="BH24" s="224">
        <f t="shared" si="17"/>
        <v>0</v>
      </c>
      <c r="BI24" s="258">
        <f t="shared" si="18"/>
        <v>0</v>
      </c>
      <c r="BJ24" s="258">
        <f t="shared" si="19"/>
        <v>0</v>
      </c>
      <c r="BK24" s="258">
        <f t="shared" si="20"/>
        <v>0</v>
      </c>
      <c r="BL24" s="258">
        <f t="shared" si="21"/>
        <v>0</v>
      </c>
      <c r="BM24" s="258">
        <f t="shared" si="22"/>
        <v>0</v>
      </c>
      <c r="BN24" s="258">
        <f t="shared" si="23"/>
        <v>0</v>
      </c>
      <c r="BO24" s="258">
        <f t="shared" si="24"/>
        <v>0</v>
      </c>
      <c r="BP24" s="258">
        <f t="shared" si="25"/>
        <v>0</v>
      </c>
      <c r="BQ24" s="259">
        <f t="shared" si="26"/>
        <v>1378940.3354178364</v>
      </c>
    </row>
    <row r="25" spans="1:69">
      <c r="A25" s="199" t="str">
        <f>Est2017TransRev!A25</f>
        <v>ND5</v>
      </c>
      <c r="B25" s="249" t="str">
        <f>Est2017TransRev!B25</f>
        <v>Non-Residential Interval</v>
      </c>
      <c r="C25" s="279"/>
      <c r="D25" s="671">
        <v>0</v>
      </c>
      <c r="E25" s="252">
        <v>0</v>
      </c>
      <c r="F25" s="252">
        <v>0.39</v>
      </c>
      <c r="G25" s="252"/>
      <c r="H25" s="252"/>
      <c r="I25" s="252">
        <v>0.39</v>
      </c>
      <c r="J25" s="252"/>
      <c r="K25" s="252"/>
      <c r="L25" s="252"/>
      <c r="M25" s="252">
        <v>0</v>
      </c>
      <c r="N25" s="252"/>
      <c r="O25" s="252">
        <v>0</v>
      </c>
      <c r="P25" s="252">
        <v>0</v>
      </c>
      <c r="Q25" s="252">
        <v>0</v>
      </c>
      <c r="R25" s="252">
        <v>0</v>
      </c>
      <c r="S25" s="252">
        <v>0</v>
      </c>
      <c r="T25" s="252"/>
      <c r="U25" s="252">
        <v>0</v>
      </c>
      <c r="V25" s="252">
        <v>0</v>
      </c>
      <c r="W25" s="252">
        <v>0</v>
      </c>
      <c r="X25" s="280"/>
      <c r="Z25" s="281">
        <f>Est2017TransRev!Z25</f>
        <v>12168.263333333332</v>
      </c>
      <c r="AA25" s="255">
        <f>Est2017TransRev!AA25</f>
        <v>0</v>
      </c>
      <c r="AB25" s="255">
        <f>Est2017TransRev!AB25</f>
        <v>81125260.35922429</v>
      </c>
      <c r="AC25" s="255">
        <f>Est2017TransRev!AC25</f>
        <v>0</v>
      </c>
      <c r="AD25" s="255">
        <f>Est2017TransRev!AD25</f>
        <v>0</v>
      </c>
      <c r="AE25" s="255">
        <f>Est2017TransRev!AE25</f>
        <v>58521955.657923236</v>
      </c>
      <c r="AF25" s="255">
        <f>Est2017TransRev!AF25</f>
        <v>0</v>
      </c>
      <c r="AG25" s="255">
        <f>Est2017TransRev!AG25</f>
        <v>0</v>
      </c>
      <c r="AH25" s="255">
        <f>Est2017TransRev!AH25</f>
        <v>0</v>
      </c>
      <c r="AI25" s="255">
        <f>Est2017TransRev!AI25</f>
        <v>0</v>
      </c>
      <c r="AJ25" s="255">
        <f>Est2017TransRev!AJ25</f>
        <v>0</v>
      </c>
      <c r="AK25" s="255">
        <f>Est2017TransRev!AK25</f>
        <v>0</v>
      </c>
      <c r="AL25" s="255">
        <f>Est2017TransRev!AL25</f>
        <v>0</v>
      </c>
      <c r="AM25" s="255">
        <f>Est2017TransRev!AM25</f>
        <v>0</v>
      </c>
      <c r="AN25" s="255">
        <f>Est2017TransRev!AN25</f>
        <v>0</v>
      </c>
      <c r="AO25" s="255">
        <f>Est2017TransRev!AO25</f>
        <v>0</v>
      </c>
      <c r="AP25" s="255">
        <f>Est2017TransRev!AP25</f>
        <v>0</v>
      </c>
      <c r="AQ25" s="255">
        <f>Est2017TransRev!AQ25</f>
        <v>0</v>
      </c>
      <c r="AR25" s="255">
        <f>Est2017TransRev!AR25</f>
        <v>0</v>
      </c>
      <c r="AS25" s="255">
        <f>Est2017TransRev!AS25</f>
        <v>0</v>
      </c>
      <c r="AT25" s="282">
        <f>Est2017TransRev!AT25</f>
        <v>0</v>
      </c>
      <c r="AV25" s="257">
        <f t="shared" si="5"/>
        <v>0</v>
      </c>
      <c r="AW25" s="224">
        <f t="shared" si="6"/>
        <v>0</v>
      </c>
      <c r="AX25" s="224">
        <f t="shared" si="7"/>
        <v>316388.51540097478</v>
      </c>
      <c r="AY25" s="224">
        <f t="shared" si="8"/>
        <v>0</v>
      </c>
      <c r="AZ25" s="224">
        <f t="shared" si="9"/>
        <v>0</v>
      </c>
      <c r="BA25" s="224">
        <f t="shared" si="10"/>
        <v>228235.62706590063</v>
      </c>
      <c r="BB25" s="224">
        <f t="shared" si="11"/>
        <v>0</v>
      </c>
      <c r="BC25" s="224">
        <f t="shared" si="12"/>
        <v>0</v>
      </c>
      <c r="BD25" s="224">
        <f t="shared" si="13"/>
        <v>0</v>
      </c>
      <c r="BE25" s="224">
        <f t="shared" si="14"/>
        <v>0</v>
      </c>
      <c r="BF25" s="224">
        <f t="shared" si="15"/>
        <v>0</v>
      </c>
      <c r="BG25" s="224">
        <f t="shared" si="16"/>
        <v>0</v>
      </c>
      <c r="BH25" s="224">
        <f t="shared" si="17"/>
        <v>0</v>
      </c>
      <c r="BI25" s="258">
        <f t="shared" si="18"/>
        <v>0</v>
      </c>
      <c r="BJ25" s="258">
        <f t="shared" si="19"/>
        <v>0</v>
      </c>
      <c r="BK25" s="258">
        <f t="shared" si="20"/>
        <v>0</v>
      </c>
      <c r="BL25" s="258">
        <f t="shared" si="21"/>
        <v>0</v>
      </c>
      <c r="BM25" s="258">
        <f t="shared" si="22"/>
        <v>0</v>
      </c>
      <c r="BN25" s="258">
        <f t="shared" si="23"/>
        <v>0</v>
      </c>
      <c r="BO25" s="258">
        <f t="shared" si="24"/>
        <v>0</v>
      </c>
      <c r="BP25" s="258">
        <f t="shared" si="25"/>
        <v>0</v>
      </c>
      <c r="BQ25" s="259">
        <f t="shared" si="26"/>
        <v>544624.14246687538</v>
      </c>
    </row>
    <row r="26" spans="1:69">
      <c r="A26" s="199" t="str">
        <f>Est2017TransRev!A26</f>
        <v>ND3</v>
      </c>
      <c r="B26" s="249" t="str">
        <f>Est2017TransRev!B26</f>
        <v>Non-Residential Two Rate 7d</v>
      </c>
      <c r="C26" s="279"/>
      <c r="D26" s="671">
        <v>0</v>
      </c>
      <c r="E26" s="252">
        <v>0</v>
      </c>
      <c r="F26" s="252">
        <v>0.39</v>
      </c>
      <c r="G26" s="252"/>
      <c r="H26" s="252"/>
      <c r="I26" s="252">
        <v>0.39</v>
      </c>
      <c r="J26" s="252"/>
      <c r="K26" s="252"/>
      <c r="L26" s="252"/>
      <c r="M26" s="252">
        <v>0</v>
      </c>
      <c r="N26" s="252"/>
      <c r="O26" s="252">
        <v>0</v>
      </c>
      <c r="P26" s="252">
        <v>0</v>
      </c>
      <c r="Q26" s="252">
        <v>0</v>
      </c>
      <c r="R26" s="252">
        <v>0</v>
      </c>
      <c r="S26" s="252">
        <v>0</v>
      </c>
      <c r="T26" s="252"/>
      <c r="U26" s="252">
        <v>0</v>
      </c>
      <c r="V26" s="252">
        <v>0</v>
      </c>
      <c r="W26" s="252">
        <v>0</v>
      </c>
      <c r="X26" s="280"/>
      <c r="Z26" s="281">
        <f>Est2017TransRev!Z26</f>
        <v>7410.6995833333331</v>
      </c>
      <c r="AA26" s="255">
        <f>Est2017TransRev!AA26</f>
        <v>0</v>
      </c>
      <c r="AB26" s="255">
        <f>Est2017TransRev!AB26</f>
        <v>49924813.206805721</v>
      </c>
      <c r="AC26" s="255">
        <f>Est2017TransRev!AC26</f>
        <v>0</v>
      </c>
      <c r="AD26" s="255">
        <f>Est2017TransRev!AD26</f>
        <v>0</v>
      </c>
      <c r="AE26" s="255">
        <f>Est2017TransRev!AE26</f>
        <v>21197310.012245625</v>
      </c>
      <c r="AF26" s="255">
        <f>Est2017TransRev!AF26</f>
        <v>0</v>
      </c>
      <c r="AG26" s="255">
        <f>Est2017TransRev!AG26</f>
        <v>0</v>
      </c>
      <c r="AH26" s="255">
        <f>Est2017TransRev!AH26</f>
        <v>0</v>
      </c>
      <c r="AI26" s="255">
        <f>Est2017TransRev!AI26</f>
        <v>0</v>
      </c>
      <c r="AJ26" s="255">
        <f>Est2017TransRev!AJ26</f>
        <v>0</v>
      </c>
      <c r="AK26" s="255">
        <f>Est2017TransRev!AK26</f>
        <v>0</v>
      </c>
      <c r="AL26" s="255">
        <f>Est2017TransRev!AL26</f>
        <v>0</v>
      </c>
      <c r="AM26" s="255">
        <f>Est2017TransRev!AM26</f>
        <v>0</v>
      </c>
      <c r="AN26" s="255">
        <f>Est2017TransRev!AN26</f>
        <v>0</v>
      </c>
      <c r="AO26" s="255">
        <f>Est2017TransRev!AO26</f>
        <v>0</v>
      </c>
      <c r="AP26" s="255">
        <f>Est2017TransRev!AP26</f>
        <v>0</v>
      </c>
      <c r="AQ26" s="255">
        <f>Est2017TransRev!AQ26</f>
        <v>0</v>
      </c>
      <c r="AR26" s="255">
        <f>Est2017TransRev!AR26</f>
        <v>0</v>
      </c>
      <c r="AS26" s="255">
        <f>Est2017TransRev!AS26</f>
        <v>0</v>
      </c>
      <c r="AT26" s="282">
        <f>Est2017TransRev!AT26</f>
        <v>0</v>
      </c>
      <c r="AV26" s="257">
        <f t="shared" si="5"/>
        <v>0</v>
      </c>
      <c r="AW26" s="224">
        <f t="shared" si="6"/>
        <v>0</v>
      </c>
      <c r="AX26" s="224">
        <f t="shared" si="7"/>
        <v>194706.77150654231</v>
      </c>
      <c r="AY26" s="224">
        <f t="shared" si="8"/>
        <v>0</v>
      </c>
      <c r="AZ26" s="224">
        <f t="shared" si="9"/>
        <v>0</v>
      </c>
      <c r="BA26" s="224">
        <f t="shared" si="10"/>
        <v>82669.509047757951</v>
      </c>
      <c r="BB26" s="224">
        <f t="shared" si="11"/>
        <v>0</v>
      </c>
      <c r="BC26" s="224">
        <f t="shared" si="12"/>
        <v>0</v>
      </c>
      <c r="BD26" s="224">
        <f t="shared" si="13"/>
        <v>0</v>
      </c>
      <c r="BE26" s="224">
        <f t="shared" si="14"/>
        <v>0</v>
      </c>
      <c r="BF26" s="224">
        <f t="shared" si="15"/>
        <v>0</v>
      </c>
      <c r="BG26" s="224">
        <f t="shared" si="16"/>
        <v>0</v>
      </c>
      <c r="BH26" s="224">
        <f t="shared" si="17"/>
        <v>0</v>
      </c>
      <c r="BI26" s="258">
        <f t="shared" si="18"/>
        <v>0</v>
      </c>
      <c r="BJ26" s="258">
        <f t="shared" si="19"/>
        <v>0</v>
      </c>
      <c r="BK26" s="258">
        <f t="shared" si="20"/>
        <v>0</v>
      </c>
      <c r="BL26" s="258">
        <f t="shared" si="21"/>
        <v>0</v>
      </c>
      <c r="BM26" s="258">
        <f t="shared" si="22"/>
        <v>0</v>
      </c>
      <c r="BN26" s="258">
        <f t="shared" si="23"/>
        <v>0</v>
      </c>
      <c r="BO26" s="258">
        <f t="shared" si="24"/>
        <v>0</v>
      </c>
      <c r="BP26" s="258">
        <f t="shared" si="25"/>
        <v>0</v>
      </c>
      <c r="BQ26" s="259">
        <f t="shared" si="26"/>
        <v>277376.28055430029</v>
      </c>
    </row>
    <row r="27" spans="1:69">
      <c r="A27" s="199" t="str">
        <f>Est2017TransRev!A27</f>
        <v>NDD</v>
      </c>
      <c r="B27" s="249" t="str">
        <f>Est2017TransRev!B27</f>
        <v>Non-Residential Demand</v>
      </c>
      <c r="C27" s="279"/>
      <c r="D27" s="671">
        <v>0</v>
      </c>
      <c r="E27" s="252">
        <v>0.39</v>
      </c>
      <c r="F27" s="252">
        <v>0</v>
      </c>
      <c r="G27" s="252"/>
      <c r="H27" s="252"/>
      <c r="I27" s="252">
        <v>0</v>
      </c>
      <c r="J27" s="252"/>
      <c r="K27" s="252"/>
      <c r="L27" s="252"/>
      <c r="M27" s="252">
        <v>0</v>
      </c>
      <c r="N27" s="252"/>
      <c r="O27" s="252">
        <v>0</v>
      </c>
      <c r="P27" s="252">
        <v>0</v>
      </c>
      <c r="Q27" s="252">
        <v>0</v>
      </c>
      <c r="R27" s="252">
        <v>0</v>
      </c>
      <c r="S27" s="252">
        <v>0</v>
      </c>
      <c r="T27" s="252"/>
      <c r="U27" s="252">
        <v>0</v>
      </c>
      <c r="V27" s="252">
        <v>0</v>
      </c>
      <c r="W27" s="252">
        <v>0</v>
      </c>
      <c r="X27" s="280"/>
      <c r="Z27" s="281">
        <f>Est2017TransRev!Z27</f>
        <v>2024</v>
      </c>
      <c r="AA27" s="255">
        <f>Est2017TransRev!AA27</f>
        <v>97025660.229158044</v>
      </c>
      <c r="AB27" s="255">
        <f>Est2017TransRev!AB27</f>
        <v>0</v>
      </c>
      <c r="AC27" s="255">
        <f>Est2017TransRev!AC27</f>
        <v>0</v>
      </c>
      <c r="AD27" s="255">
        <f>Est2017TransRev!AD27</f>
        <v>0</v>
      </c>
      <c r="AE27" s="255">
        <f>Est2017TransRev!AE27</f>
        <v>0</v>
      </c>
      <c r="AF27" s="255">
        <f>Est2017TransRev!AF27</f>
        <v>0</v>
      </c>
      <c r="AG27" s="255">
        <f>Est2017TransRev!AG27</f>
        <v>0</v>
      </c>
      <c r="AH27" s="255">
        <f>Est2017TransRev!AH27</f>
        <v>0</v>
      </c>
      <c r="AI27" s="255">
        <f>Est2017TransRev!AI27</f>
        <v>0</v>
      </c>
      <c r="AJ27" s="255">
        <f>Est2017TransRev!AJ27</f>
        <v>0</v>
      </c>
      <c r="AK27" s="255">
        <f>Est2017TransRev!AK27</f>
        <v>116975.98433799999</v>
      </c>
      <c r="AL27" s="255">
        <f>Est2017TransRev!AL27</f>
        <v>235374.61953447608</v>
      </c>
      <c r="AM27" s="255">
        <f>Est2017TransRev!AM27</f>
        <v>0</v>
      </c>
      <c r="AN27" s="255">
        <f>Est2017TransRev!AN27</f>
        <v>0</v>
      </c>
      <c r="AO27" s="255">
        <f>Est2017TransRev!AO27</f>
        <v>0</v>
      </c>
      <c r="AP27" s="255">
        <f>Est2017TransRev!AP27</f>
        <v>0</v>
      </c>
      <c r="AQ27" s="255">
        <f>Est2017TransRev!AQ27</f>
        <v>0</v>
      </c>
      <c r="AR27" s="255">
        <f>Est2017TransRev!AR27</f>
        <v>0</v>
      </c>
      <c r="AS27" s="255">
        <f>Est2017TransRev!AS27</f>
        <v>0</v>
      </c>
      <c r="AT27" s="282">
        <f>Est2017TransRev!AT27</f>
        <v>0</v>
      </c>
      <c r="AV27" s="257">
        <f t="shared" si="5"/>
        <v>0</v>
      </c>
      <c r="AW27" s="224">
        <f t="shared" si="6"/>
        <v>378400.07489371637</v>
      </c>
      <c r="AX27" s="224">
        <f t="shared" si="7"/>
        <v>0</v>
      </c>
      <c r="AY27" s="224">
        <f t="shared" si="8"/>
        <v>0</v>
      </c>
      <c r="AZ27" s="224">
        <f t="shared" si="9"/>
        <v>0</v>
      </c>
      <c r="BA27" s="224">
        <f t="shared" si="10"/>
        <v>0</v>
      </c>
      <c r="BB27" s="224">
        <f t="shared" si="11"/>
        <v>0</v>
      </c>
      <c r="BC27" s="224">
        <f t="shared" si="12"/>
        <v>0</v>
      </c>
      <c r="BD27" s="224">
        <f t="shared" si="13"/>
        <v>0</v>
      </c>
      <c r="BE27" s="224">
        <f t="shared" si="14"/>
        <v>0</v>
      </c>
      <c r="BF27" s="224">
        <f t="shared" si="15"/>
        <v>0</v>
      </c>
      <c r="BG27" s="224">
        <f t="shared" si="16"/>
        <v>0</v>
      </c>
      <c r="BH27" s="224">
        <f t="shared" si="17"/>
        <v>0</v>
      </c>
      <c r="BI27" s="258">
        <f t="shared" si="18"/>
        <v>0</v>
      </c>
      <c r="BJ27" s="258">
        <f t="shared" si="19"/>
        <v>0</v>
      </c>
      <c r="BK27" s="258">
        <f t="shared" si="20"/>
        <v>0</v>
      </c>
      <c r="BL27" s="258">
        <f t="shared" si="21"/>
        <v>0</v>
      </c>
      <c r="BM27" s="258">
        <f t="shared" si="22"/>
        <v>0</v>
      </c>
      <c r="BN27" s="258">
        <f t="shared" si="23"/>
        <v>0</v>
      </c>
      <c r="BO27" s="258">
        <f t="shared" si="24"/>
        <v>0</v>
      </c>
      <c r="BP27" s="258">
        <f t="shared" si="25"/>
        <v>0</v>
      </c>
      <c r="BQ27" s="259">
        <f t="shared" si="26"/>
        <v>378400.07489371637</v>
      </c>
    </row>
    <row r="28" spans="1:69">
      <c r="A28" s="199" t="str">
        <f>Est2017TransRev!A28</f>
        <v>NDM</v>
      </c>
      <c r="B28" s="249" t="str">
        <f>Est2017TransRev!B28</f>
        <v>Medium business</v>
      </c>
      <c r="C28" s="279"/>
      <c r="D28" s="671">
        <v>0</v>
      </c>
      <c r="E28" s="252">
        <v>0</v>
      </c>
      <c r="F28" s="252">
        <v>0.39</v>
      </c>
      <c r="G28" s="252"/>
      <c r="H28" s="252"/>
      <c r="I28" s="252">
        <v>0.39</v>
      </c>
      <c r="J28" s="252"/>
      <c r="K28" s="252"/>
      <c r="L28" s="252"/>
      <c r="M28" s="252">
        <v>0</v>
      </c>
      <c r="N28" s="252"/>
      <c r="O28" s="252">
        <v>0</v>
      </c>
      <c r="P28" s="252">
        <v>0</v>
      </c>
      <c r="Q28" s="252">
        <v>0</v>
      </c>
      <c r="R28" s="252">
        <v>0</v>
      </c>
      <c r="S28" s="252">
        <v>0</v>
      </c>
      <c r="T28" s="252"/>
      <c r="U28" s="252">
        <v>0</v>
      </c>
      <c r="V28" s="252">
        <v>0</v>
      </c>
      <c r="W28" s="252">
        <v>0</v>
      </c>
      <c r="X28" s="280"/>
      <c r="Z28" s="281">
        <f>Est2017TransRev!Z28</f>
        <v>8279</v>
      </c>
      <c r="AA28" s="255">
        <f>Est2017TransRev!AA28</f>
        <v>0</v>
      </c>
      <c r="AB28" s="255">
        <f>Est2017TransRev!AB28</f>
        <v>638166780.64380002</v>
      </c>
      <c r="AC28" s="255">
        <f>Est2017TransRev!AC28</f>
        <v>0</v>
      </c>
      <c r="AD28" s="255">
        <f>Est2017TransRev!AD28</f>
        <v>0</v>
      </c>
      <c r="AE28" s="255">
        <f>Est2017TransRev!AE28</f>
        <v>460728205.35583001</v>
      </c>
      <c r="AF28" s="255">
        <f>Est2017TransRev!AF28</f>
        <v>0</v>
      </c>
      <c r="AG28" s="255">
        <f>Est2017TransRev!AG28</f>
        <v>0</v>
      </c>
      <c r="AH28" s="255">
        <f>Est2017TransRev!AH28</f>
        <v>0</v>
      </c>
      <c r="AI28" s="255">
        <f>Est2017TransRev!AI28</f>
        <v>0</v>
      </c>
      <c r="AJ28" s="255">
        <f>Est2017TransRev!AJ28</f>
        <v>0</v>
      </c>
      <c r="AK28" s="255">
        <f>Est2017TransRev!AK28</f>
        <v>1471641.121114</v>
      </c>
      <c r="AL28" s="255">
        <f>Est2017TransRev!AL28</f>
        <v>2723840.4799900004</v>
      </c>
      <c r="AM28" s="255">
        <f>Est2017TransRev!AM28</f>
        <v>0</v>
      </c>
      <c r="AN28" s="255">
        <f>Est2017TransRev!AN28</f>
        <v>0</v>
      </c>
      <c r="AO28" s="255">
        <f>Est2017TransRev!AO28</f>
        <v>0</v>
      </c>
      <c r="AP28" s="255">
        <f>Est2017TransRev!AP28</f>
        <v>0</v>
      </c>
      <c r="AQ28" s="255">
        <f>Est2017TransRev!AQ28</f>
        <v>0</v>
      </c>
      <c r="AR28" s="255">
        <f>Est2017TransRev!AR28</f>
        <v>0</v>
      </c>
      <c r="AS28" s="255">
        <f>Est2017TransRev!AS28</f>
        <v>0</v>
      </c>
      <c r="AT28" s="282">
        <f>Est2017TransRev!AT28</f>
        <v>0</v>
      </c>
      <c r="AV28" s="257">
        <f t="shared" si="5"/>
        <v>0</v>
      </c>
      <c r="AW28" s="224">
        <f t="shared" si="6"/>
        <v>0</v>
      </c>
      <c r="AX28" s="224">
        <f t="shared" si="7"/>
        <v>2488850.4445108203</v>
      </c>
      <c r="AY28" s="224">
        <f t="shared" si="8"/>
        <v>0</v>
      </c>
      <c r="AZ28" s="224">
        <f t="shared" si="9"/>
        <v>0</v>
      </c>
      <c r="BA28" s="224">
        <f t="shared" si="10"/>
        <v>1796840.0008877371</v>
      </c>
      <c r="BB28" s="224">
        <f t="shared" si="11"/>
        <v>0</v>
      </c>
      <c r="BC28" s="224">
        <f t="shared" si="12"/>
        <v>0</v>
      </c>
      <c r="BD28" s="224">
        <f t="shared" si="13"/>
        <v>0</v>
      </c>
      <c r="BE28" s="224">
        <f t="shared" si="14"/>
        <v>0</v>
      </c>
      <c r="BF28" s="224">
        <f t="shared" si="15"/>
        <v>0</v>
      </c>
      <c r="BG28" s="224">
        <f t="shared" si="16"/>
        <v>0</v>
      </c>
      <c r="BH28" s="224">
        <f t="shared" si="17"/>
        <v>0</v>
      </c>
      <c r="BI28" s="258">
        <f t="shared" si="18"/>
        <v>0</v>
      </c>
      <c r="BJ28" s="258">
        <f t="shared" si="19"/>
        <v>0</v>
      </c>
      <c r="BK28" s="258">
        <f t="shared" si="20"/>
        <v>0</v>
      </c>
      <c r="BL28" s="258">
        <f t="shared" si="21"/>
        <v>0</v>
      </c>
      <c r="BM28" s="258">
        <f t="shared" si="22"/>
        <v>0</v>
      </c>
      <c r="BN28" s="258">
        <f t="shared" si="23"/>
        <v>0</v>
      </c>
      <c r="BO28" s="258">
        <f t="shared" si="24"/>
        <v>0</v>
      </c>
      <c r="BP28" s="258">
        <f t="shared" si="25"/>
        <v>0</v>
      </c>
      <c r="BQ28" s="259">
        <f t="shared" si="26"/>
        <v>4285690.4453985579</v>
      </c>
    </row>
    <row r="29" spans="1:69">
      <c r="A29" s="199" t="str">
        <f>Est2017TransRev!A29</f>
        <v>PL2</v>
      </c>
      <c r="B29" s="249" t="str">
        <f>Est2017TransRev!B29</f>
        <v>Public Lighting</v>
      </c>
      <c r="C29" s="279"/>
      <c r="D29" s="671">
        <v>0</v>
      </c>
      <c r="E29" s="252">
        <v>0</v>
      </c>
      <c r="F29" s="252">
        <v>0.39</v>
      </c>
      <c r="G29" s="252"/>
      <c r="H29" s="252"/>
      <c r="I29" s="252">
        <v>0.39</v>
      </c>
      <c r="J29" s="252"/>
      <c r="K29" s="252"/>
      <c r="L29" s="252"/>
      <c r="M29" s="252">
        <v>0</v>
      </c>
      <c r="N29" s="252"/>
      <c r="O29" s="252">
        <v>0</v>
      </c>
      <c r="P29" s="252">
        <v>0</v>
      </c>
      <c r="Q29" s="252">
        <v>0</v>
      </c>
      <c r="R29" s="252">
        <v>0</v>
      </c>
      <c r="S29" s="252">
        <v>0</v>
      </c>
      <c r="T29" s="252"/>
      <c r="U29" s="252">
        <v>0</v>
      </c>
      <c r="V29" s="252">
        <v>0</v>
      </c>
      <c r="W29" s="252">
        <v>0</v>
      </c>
      <c r="X29" s="280"/>
      <c r="Z29" s="281">
        <f>Est2017TransRev!Z29</f>
        <v>6335.3308333333334</v>
      </c>
      <c r="AA29" s="255">
        <f>Est2017TransRev!AA29</f>
        <v>0</v>
      </c>
      <c r="AB29" s="255">
        <f>Est2017TransRev!AB29</f>
        <v>24337397.258673649</v>
      </c>
      <c r="AC29" s="255">
        <f>Est2017TransRev!AC29</f>
        <v>0</v>
      </c>
      <c r="AD29" s="255">
        <f>Est2017TransRev!AD29</f>
        <v>0</v>
      </c>
      <c r="AE29" s="255">
        <f>Est2017TransRev!AE29</f>
        <v>60527080.28709197</v>
      </c>
      <c r="AF29" s="255">
        <f>Est2017TransRev!AF29</f>
        <v>0</v>
      </c>
      <c r="AG29" s="255">
        <f>Est2017TransRev!AG29</f>
        <v>0</v>
      </c>
      <c r="AH29" s="255">
        <f>Est2017TransRev!AH29</f>
        <v>0</v>
      </c>
      <c r="AI29" s="255">
        <f>Est2017TransRev!AI29</f>
        <v>0</v>
      </c>
      <c r="AJ29" s="255">
        <f>Est2017TransRev!AJ29</f>
        <v>0</v>
      </c>
      <c r="AK29" s="255">
        <f>Est2017TransRev!AK29</f>
        <v>0</v>
      </c>
      <c r="AL29" s="255">
        <f>Est2017TransRev!AL29</f>
        <v>0</v>
      </c>
      <c r="AM29" s="255">
        <f>Est2017TransRev!AM29</f>
        <v>0</v>
      </c>
      <c r="AN29" s="255">
        <f>Est2017TransRev!AN29</f>
        <v>0</v>
      </c>
      <c r="AO29" s="255">
        <f>Est2017TransRev!AO29</f>
        <v>0</v>
      </c>
      <c r="AP29" s="255">
        <f>Est2017TransRev!AP29</f>
        <v>0</v>
      </c>
      <c r="AQ29" s="255">
        <f>Est2017TransRev!AQ29</f>
        <v>0</v>
      </c>
      <c r="AR29" s="255">
        <f>Est2017TransRev!AR29</f>
        <v>0</v>
      </c>
      <c r="AS29" s="255">
        <f>Est2017TransRev!AS29</f>
        <v>0</v>
      </c>
      <c r="AT29" s="282">
        <f>Est2017TransRev!AT29</f>
        <v>0</v>
      </c>
      <c r="AV29" s="257">
        <f t="shared" si="5"/>
        <v>0</v>
      </c>
      <c r="AW29" s="224">
        <f t="shared" si="6"/>
        <v>0</v>
      </c>
      <c r="AX29" s="224">
        <f t="shared" si="7"/>
        <v>94915.849308827237</v>
      </c>
      <c r="AY29" s="224">
        <f t="shared" si="8"/>
        <v>0</v>
      </c>
      <c r="AZ29" s="224">
        <f t="shared" si="9"/>
        <v>0</v>
      </c>
      <c r="BA29" s="224">
        <f t="shared" si="10"/>
        <v>236055.61311965869</v>
      </c>
      <c r="BB29" s="224">
        <f t="shared" si="11"/>
        <v>0</v>
      </c>
      <c r="BC29" s="224">
        <f t="shared" si="12"/>
        <v>0</v>
      </c>
      <c r="BD29" s="224">
        <f t="shared" si="13"/>
        <v>0</v>
      </c>
      <c r="BE29" s="224">
        <f t="shared" si="14"/>
        <v>0</v>
      </c>
      <c r="BF29" s="224">
        <f t="shared" si="15"/>
        <v>0</v>
      </c>
      <c r="BG29" s="224">
        <f t="shared" si="16"/>
        <v>0</v>
      </c>
      <c r="BH29" s="224">
        <f t="shared" si="17"/>
        <v>0</v>
      </c>
      <c r="BI29" s="258">
        <f t="shared" si="18"/>
        <v>0</v>
      </c>
      <c r="BJ29" s="258">
        <f t="shared" si="19"/>
        <v>0</v>
      </c>
      <c r="BK29" s="258">
        <f t="shared" si="20"/>
        <v>0</v>
      </c>
      <c r="BL29" s="258">
        <f t="shared" si="21"/>
        <v>0</v>
      </c>
      <c r="BM29" s="258">
        <f t="shared" si="22"/>
        <v>0</v>
      </c>
      <c r="BN29" s="258">
        <f t="shared" si="23"/>
        <v>0</v>
      </c>
      <c r="BO29" s="258">
        <f t="shared" si="24"/>
        <v>0</v>
      </c>
      <c r="BP29" s="258">
        <f t="shared" si="25"/>
        <v>0</v>
      </c>
      <c r="BQ29" s="259">
        <f t="shared" si="26"/>
        <v>330971.46242848592</v>
      </c>
    </row>
    <row r="30" spans="1:69">
      <c r="A30" s="199" t="str">
        <f>Est2017TransRev!A30</f>
        <v>LLV</v>
      </c>
      <c r="B30" s="249" t="str">
        <f>Est2017TransRev!B30</f>
        <v>Large low Voltage</v>
      </c>
      <c r="C30" s="279"/>
      <c r="D30" s="671">
        <v>0</v>
      </c>
      <c r="E30" s="252">
        <v>0</v>
      </c>
      <c r="F30" s="252">
        <v>0.37</v>
      </c>
      <c r="G30" s="252"/>
      <c r="H30" s="252"/>
      <c r="I30" s="252">
        <v>0.37</v>
      </c>
      <c r="J30" s="252"/>
      <c r="K30" s="252"/>
      <c r="L30" s="252"/>
      <c r="M30" s="252">
        <v>0</v>
      </c>
      <c r="N30" s="252"/>
      <c r="O30" s="252">
        <v>0</v>
      </c>
      <c r="P30" s="252">
        <v>0</v>
      </c>
      <c r="Q30" s="252">
        <v>0</v>
      </c>
      <c r="R30" s="252">
        <v>0</v>
      </c>
      <c r="S30" s="252">
        <v>0</v>
      </c>
      <c r="T30" s="252"/>
      <c r="U30" s="252">
        <v>0</v>
      </c>
      <c r="V30" s="252">
        <v>0</v>
      </c>
      <c r="W30" s="252">
        <v>0</v>
      </c>
      <c r="X30" s="280"/>
      <c r="Z30" s="281">
        <f>Est2017TransRev!Z30</f>
        <v>2676.3858333333328</v>
      </c>
      <c r="AA30" s="255">
        <f>Est2017TransRev!AA30</f>
        <v>0</v>
      </c>
      <c r="AB30" s="255">
        <f>Est2017TransRev!AB30</f>
        <v>1374197063.096262</v>
      </c>
      <c r="AC30" s="255">
        <f>Est2017TransRev!AC30</f>
        <v>0</v>
      </c>
      <c r="AD30" s="255">
        <f>Est2017TransRev!AD30</f>
        <v>0</v>
      </c>
      <c r="AE30" s="255">
        <f>Est2017TransRev!AE30</f>
        <v>1036575743.5513418</v>
      </c>
      <c r="AF30" s="255">
        <f>Est2017TransRev!AF30</f>
        <v>0</v>
      </c>
      <c r="AG30" s="255">
        <f>Est2017TransRev!AG30</f>
        <v>0</v>
      </c>
      <c r="AH30" s="255">
        <f>Est2017TransRev!AH30</f>
        <v>0</v>
      </c>
      <c r="AI30" s="255">
        <f>Est2017TransRev!AI30</f>
        <v>845968.75141429983</v>
      </c>
      <c r="AJ30" s="255">
        <f>Est2017TransRev!AJ30</f>
        <v>0</v>
      </c>
      <c r="AK30" s="255">
        <f>Est2017TransRev!AK30</f>
        <v>0</v>
      </c>
      <c r="AL30" s="255">
        <f>Est2017TransRev!AL30</f>
        <v>0</v>
      </c>
      <c r="AM30" s="255">
        <f>Est2017TransRev!AM30</f>
        <v>0</v>
      </c>
      <c r="AN30" s="255">
        <f>Est2017TransRev!AN30</f>
        <v>0</v>
      </c>
      <c r="AO30" s="255">
        <f>Est2017TransRev!AO30</f>
        <v>0</v>
      </c>
      <c r="AP30" s="255">
        <f>Est2017TransRev!AP30</f>
        <v>0</v>
      </c>
      <c r="AQ30" s="255">
        <f>Est2017TransRev!AQ30</f>
        <v>0</v>
      </c>
      <c r="AR30" s="255">
        <f>Est2017TransRev!AR30</f>
        <v>0</v>
      </c>
      <c r="AS30" s="255">
        <f>Est2017TransRev!AS30</f>
        <v>0</v>
      </c>
      <c r="AT30" s="282">
        <f>Est2017TransRev!AT30</f>
        <v>0</v>
      </c>
      <c r="AV30" s="257">
        <f t="shared" si="5"/>
        <v>0</v>
      </c>
      <c r="AW30" s="224">
        <f t="shared" si="6"/>
        <v>0</v>
      </c>
      <c r="AX30" s="224">
        <f t="shared" si="7"/>
        <v>5084529.1334561696</v>
      </c>
      <c r="AY30" s="224">
        <f t="shared" si="8"/>
        <v>0</v>
      </c>
      <c r="AZ30" s="224">
        <f t="shared" si="9"/>
        <v>0</v>
      </c>
      <c r="BA30" s="224">
        <f t="shared" si="10"/>
        <v>3835330.2511399649</v>
      </c>
      <c r="BB30" s="224">
        <f t="shared" si="11"/>
        <v>0</v>
      </c>
      <c r="BC30" s="224">
        <f t="shared" si="12"/>
        <v>0</v>
      </c>
      <c r="BD30" s="224">
        <f t="shared" si="13"/>
        <v>0</v>
      </c>
      <c r="BE30" s="224">
        <f t="shared" si="14"/>
        <v>0</v>
      </c>
      <c r="BF30" s="224">
        <f t="shared" si="15"/>
        <v>0</v>
      </c>
      <c r="BG30" s="224">
        <f t="shared" si="16"/>
        <v>0</v>
      </c>
      <c r="BH30" s="224">
        <f t="shared" si="17"/>
        <v>0</v>
      </c>
      <c r="BI30" s="258">
        <f t="shared" si="18"/>
        <v>0</v>
      </c>
      <c r="BJ30" s="258">
        <f t="shared" si="19"/>
        <v>0</v>
      </c>
      <c r="BK30" s="258">
        <f t="shared" si="20"/>
        <v>0</v>
      </c>
      <c r="BL30" s="258">
        <f t="shared" si="21"/>
        <v>0</v>
      </c>
      <c r="BM30" s="258">
        <f t="shared" si="22"/>
        <v>0</v>
      </c>
      <c r="BN30" s="258">
        <f t="shared" si="23"/>
        <v>0</v>
      </c>
      <c r="BO30" s="258">
        <f t="shared" si="24"/>
        <v>0</v>
      </c>
      <c r="BP30" s="258">
        <f t="shared" si="25"/>
        <v>0</v>
      </c>
      <c r="BQ30" s="259">
        <f t="shared" si="26"/>
        <v>8919859.3845961355</v>
      </c>
    </row>
    <row r="31" spans="1:69">
      <c r="A31" s="199" t="str">
        <f>Est2017TransRev!A31</f>
        <v>DL</v>
      </c>
      <c r="B31" s="249" t="str">
        <f>Est2017TransRev!B31</f>
        <v>Large Low Voltage Demand</v>
      </c>
      <c r="C31" s="279"/>
      <c r="D31" s="671">
        <v>0</v>
      </c>
      <c r="E31" s="252">
        <v>0</v>
      </c>
      <c r="F31" s="252">
        <v>0</v>
      </c>
      <c r="G31" s="252"/>
      <c r="H31" s="252"/>
      <c r="I31" s="252">
        <v>0</v>
      </c>
      <c r="J31" s="252"/>
      <c r="K31" s="252"/>
      <c r="L31" s="252"/>
      <c r="M31" s="252">
        <v>0</v>
      </c>
      <c r="N31" s="252"/>
      <c r="O31" s="252">
        <v>0</v>
      </c>
      <c r="P31" s="252">
        <v>0</v>
      </c>
      <c r="Q31" s="252">
        <v>0</v>
      </c>
      <c r="R31" s="252">
        <v>0</v>
      </c>
      <c r="S31" s="252">
        <v>0</v>
      </c>
      <c r="T31" s="252"/>
      <c r="U31" s="252">
        <v>0</v>
      </c>
      <c r="V31" s="252">
        <v>0</v>
      </c>
      <c r="W31" s="252">
        <v>0</v>
      </c>
      <c r="X31" s="280"/>
      <c r="Z31" s="281">
        <f>Est2017TransRev!Z31</f>
        <v>0</v>
      </c>
      <c r="AA31" s="255">
        <f>Est2017TransRev!AA31</f>
        <v>0</v>
      </c>
      <c r="AB31" s="255">
        <f>Est2017TransRev!AB31</f>
        <v>0</v>
      </c>
      <c r="AC31" s="255">
        <f>Est2017TransRev!AC31</f>
        <v>0</v>
      </c>
      <c r="AD31" s="255">
        <f>Est2017TransRev!AD31</f>
        <v>0</v>
      </c>
      <c r="AE31" s="255">
        <f>Est2017TransRev!AE31</f>
        <v>0</v>
      </c>
      <c r="AF31" s="255">
        <f>Est2017TransRev!AF31</f>
        <v>0</v>
      </c>
      <c r="AG31" s="255">
        <f>Est2017TransRev!AG31</f>
        <v>0</v>
      </c>
      <c r="AH31" s="255">
        <f>Est2017TransRev!AH31</f>
        <v>0</v>
      </c>
      <c r="AI31" s="255">
        <f>Est2017TransRev!AI31</f>
        <v>0</v>
      </c>
      <c r="AJ31" s="255">
        <f>Est2017TransRev!AJ31</f>
        <v>0</v>
      </c>
      <c r="AK31" s="255">
        <f>Est2017TransRev!AK31</f>
        <v>0</v>
      </c>
      <c r="AL31" s="255">
        <f>Est2017TransRev!AL31</f>
        <v>0</v>
      </c>
      <c r="AM31" s="255">
        <f>Est2017TransRev!AM31</f>
        <v>0</v>
      </c>
      <c r="AN31" s="255">
        <f>Est2017TransRev!AN31</f>
        <v>0</v>
      </c>
      <c r="AO31" s="255">
        <f>Est2017TransRev!AO31</f>
        <v>0</v>
      </c>
      <c r="AP31" s="255">
        <f>Est2017TransRev!AP31</f>
        <v>0</v>
      </c>
      <c r="AQ31" s="255">
        <f>Est2017TransRev!AQ31</f>
        <v>0</v>
      </c>
      <c r="AR31" s="255">
        <f>Est2017TransRev!AR31</f>
        <v>0</v>
      </c>
      <c r="AS31" s="255">
        <f>Est2017TransRev!AS31</f>
        <v>0</v>
      </c>
      <c r="AT31" s="282">
        <f>Est2017TransRev!AT31</f>
        <v>0</v>
      </c>
      <c r="AV31" s="257">
        <f t="shared" si="5"/>
        <v>0</v>
      </c>
      <c r="AW31" s="224">
        <f t="shared" si="6"/>
        <v>0</v>
      </c>
      <c r="AX31" s="224">
        <f t="shared" si="7"/>
        <v>0</v>
      </c>
      <c r="AY31" s="224">
        <f t="shared" si="8"/>
        <v>0</v>
      </c>
      <c r="AZ31" s="224">
        <f t="shared" si="9"/>
        <v>0</v>
      </c>
      <c r="BA31" s="224">
        <f t="shared" si="10"/>
        <v>0</v>
      </c>
      <c r="BB31" s="224">
        <f t="shared" si="11"/>
        <v>0</v>
      </c>
      <c r="BC31" s="224">
        <f t="shared" si="12"/>
        <v>0</v>
      </c>
      <c r="BD31" s="224">
        <f t="shared" si="13"/>
        <v>0</v>
      </c>
      <c r="BE31" s="224">
        <f t="shared" si="14"/>
        <v>0</v>
      </c>
      <c r="BF31" s="224">
        <f t="shared" si="15"/>
        <v>0</v>
      </c>
      <c r="BG31" s="224">
        <f t="shared" si="16"/>
        <v>0</v>
      </c>
      <c r="BH31" s="224">
        <f t="shared" si="17"/>
        <v>0</v>
      </c>
      <c r="BI31" s="258">
        <f t="shared" si="18"/>
        <v>0</v>
      </c>
      <c r="BJ31" s="258">
        <f t="shared" si="19"/>
        <v>0</v>
      </c>
      <c r="BK31" s="258">
        <f t="shared" si="20"/>
        <v>0</v>
      </c>
      <c r="BL31" s="258">
        <f t="shared" si="21"/>
        <v>0</v>
      </c>
      <c r="BM31" s="258">
        <f t="shared" si="22"/>
        <v>0</v>
      </c>
      <c r="BN31" s="258">
        <f t="shared" si="23"/>
        <v>0</v>
      </c>
      <c r="BO31" s="258">
        <f t="shared" si="24"/>
        <v>0</v>
      </c>
      <c r="BP31" s="258">
        <f t="shared" si="25"/>
        <v>0</v>
      </c>
      <c r="BQ31" s="259">
        <f t="shared" si="26"/>
        <v>0</v>
      </c>
    </row>
    <row r="32" spans="1:69">
      <c r="A32" s="199" t="str">
        <f>Est2017TransRev!A32</f>
        <v>DLA</v>
      </c>
      <c r="B32" s="249" t="str">
        <f>Est2017TransRev!B32</f>
        <v>Large Low Voltage Demand A</v>
      </c>
      <c r="C32" s="279"/>
      <c r="D32" s="671">
        <v>0</v>
      </c>
      <c r="E32" s="252">
        <v>0</v>
      </c>
      <c r="F32" s="252">
        <v>0</v>
      </c>
      <c r="G32" s="252"/>
      <c r="H32" s="252"/>
      <c r="I32" s="252">
        <v>0</v>
      </c>
      <c r="J32" s="252"/>
      <c r="K32" s="252"/>
      <c r="L32" s="252"/>
      <c r="M32" s="252">
        <v>0</v>
      </c>
      <c r="N32" s="252"/>
      <c r="O32" s="252">
        <v>0</v>
      </c>
      <c r="P32" s="252">
        <v>0</v>
      </c>
      <c r="Q32" s="252">
        <v>0</v>
      </c>
      <c r="R32" s="252">
        <v>0</v>
      </c>
      <c r="S32" s="252">
        <v>0</v>
      </c>
      <c r="T32" s="252"/>
      <c r="U32" s="252">
        <v>0</v>
      </c>
      <c r="V32" s="252">
        <v>0</v>
      </c>
      <c r="W32" s="252">
        <v>0</v>
      </c>
      <c r="X32" s="280"/>
      <c r="Z32" s="281">
        <f>Est2017TransRev!Z32</f>
        <v>0</v>
      </c>
      <c r="AA32" s="255">
        <f>Est2017TransRev!AA32</f>
        <v>0</v>
      </c>
      <c r="AB32" s="255">
        <f>Est2017TransRev!AB32</f>
        <v>0</v>
      </c>
      <c r="AC32" s="255">
        <f>Est2017TransRev!AC32</f>
        <v>0</v>
      </c>
      <c r="AD32" s="255">
        <f>Est2017TransRev!AD32</f>
        <v>0</v>
      </c>
      <c r="AE32" s="255">
        <f>Est2017TransRev!AE32</f>
        <v>0</v>
      </c>
      <c r="AF32" s="255">
        <f>Est2017TransRev!AF32</f>
        <v>0</v>
      </c>
      <c r="AG32" s="255">
        <f>Est2017TransRev!AG32</f>
        <v>0</v>
      </c>
      <c r="AH32" s="255">
        <f>Est2017TransRev!AH32</f>
        <v>0</v>
      </c>
      <c r="AI32" s="255">
        <f>Est2017TransRev!AI32</f>
        <v>0</v>
      </c>
      <c r="AJ32" s="255">
        <f>Est2017TransRev!AJ32</f>
        <v>0</v>
      </c>
      <c r="AK32" s="255">
        <f>Est2017TransRev!AK32</f>
        <v>0</v>
      </c>
      <c r="AL32" s="255">
        <f>Est2017TransRev!AL32</f>
        <v>0</v>
      </c>
      <c r="AM32" s="255">
        <f>Est2017TransRev!AM32</f>
        <v>0</v>
      </c>
      <c r="AN32" s="255">
        <f>Est2017TransRev!AN32</f>
        <v>0</v>
      </c>
      <c r="AO32" s="255">
        <f>Est2017TransRev!AO32</f>
        <v>0</v>
      </c>
      <c r="AP32" s="255">
        <f>Est2017TransRev!AP32</f>
        <v>0</v>
      </c>
      <c r="AQ32" s="255">
        <f>Est2017TransRev!AQ32</f>
        <v>0</v>
      </c>
      <c r="AR32" s="255">
        <f>Est2017TransRev!AR32</f>
        <v>0</v>
      </c>
      <c r="AS32" s="255">
        <f>Est2017TransRev!AS32</f>
        <v>0</v>
      </c>
      <c r="AT32" s="282">
        <f>Est2017TransRev!AT32</f>
        <v>0</v>
      </c>
      <c r="AV32" s="257">
        <f t="shared" si="5"/>
        <v>0</v>
      </c>
      <c r="AW32" s="224">
        <f t="shared" si="6"/>
        <v>0</v>
      </c>
      <c r="AX32" s="224">
        <f t="shared" si="7"/>
        <v>0</v>
      </c>
      <c r="AY32" s="224">
        <f t="shared" si="8"/>
        <v>0</v>
      </c>
      <c r="AZ32" s="224">
        <f t="shared" si="9"/>
        <v>0</v>
      </c>
      <c r="BA32" s="224">
        <f t="shared" si="10"/>
        <v>0</v>
      </c>
      <c r="BB32" s="224">
        <f t="shared" si="11"/>
        <v>0</v>
      </c>
      <c r="BC32" s="224">
        <f t="shared" si="12"/>
        <v>0</v>
      </c>
      <c r="BD32" s="224">
        <f t="shared" si="13"/>
        <v>0</v>
      </c>
      <c r="BE32" s="224">
        <f t="shared" si="14"/>
        <v>0</v>
      </c>
      <c r="BF32" s="224">
        <f t="shared" si="15"/>
        <v>0</v>
      </c>
      <c r="BG32" s="224">
        <f t="shared" si="16"/>
        <v>0</v>
      </c>
      <c r="BH32" s="224">
        <f t="shared" si="17"/>
        <v>0</v>
      </c>
      <c r="BI32" s="258">
        <f t="shared" si="18"/>
        <v>0</v>
      </c>
      <c r="BJ32" s="258">
        <f t="shared" si="19"/>
        <v>0</v>
      </c>
      <c r="BK32" s="258">
        <f t="shared" si="20"/>
        <v>0</v>
      </c>
      <c r="BL32" s="258">
        <f t="shared" si="21"/>
        <v>0</v>
      </c>
      <c r="BM32" s="258">
        <f t="shared" si="22"/>
        <v>0</v>
      </c>
      <c r="BN32" s="258">
        <f t="shared" si="23"/>
        <v>0</v>
      </c>
      <c r="BO32" s="258">
        <f t="shared" si="24"/>
        <v>0</v>
      </c>
      <c r="BP32" s="258">
        <f t="shared" si="25"/>
        <v>0</v>
      </c>
      <c r="BQ32" s="259">
        <f t="shared" si="26"/>
        <v>0</v>
      </c>
    </row>
    <row r="33" spans="1:69">
      <c r="A33" s="199" t="str">
        <f>Est2017TransRev!A33</f>
        <v>DLC</v>
      </c>
      <c r="B33" s="249" t="str">
        <f>Est2017TransRev!B33</f>
        <v>Large Low Voltage Demand C</v>
      </c>
      <c r="C33" s="279"/>
      <c r="D33" s="671">
        <v>0</v>
      </c>
      <c r="E33" s="252">
        <v>0</v>
      </c>
      <c r="F33" s="252">
        <v>0</v>
      </c>
      <c r="G33" s="252"/>
      <c r="H33" s="252"/>
      <c r="I33" s="252">
        <v>0</v>
      </c>
      <c r="J33" s="252"/>
      <c r="K33" s="252"/>
      <c r="L33" s="252"/>
      <c r="M33" s="252">
        <v>0</v>
      </c>
      <c r="N33" s="252"/>
      <c r="O33" s="252">
        <v>0</v>
      </c>
      <c r="P33" s="252">
        <v>0</v>
      </c>
      <c r="Q33" s="252">
        <v>0</v>
      </c>
      <c r="R33" s="252">
        <v>0</v>
      </c>
      <c r="S33" s="252">
        <v>0</v>
      </c>
      <c r="T33" s="252"/>
      <c r="U33" s="252">
        <v>0</v>
      </c>
      <c r="V33" s="252">
        <v>0</v>
      </c>
      <c r="W33" s="252">
        <v>0</v>
      </c>
      <c r="X33" s="280"/>
      <c r="Z33" s="281">
        <f>Est2017TransRev!Z33</f>
        <v>0</v>
      </c>
      <c r="AA33" s="255">
        <f>Est2017TransRev!AA33</f>
        <v>0</v>
      </c>
      <c r="AB33" s="255">
        <f>Est2017TransRev!AB33</f>
        <v>0</v>
      </c>
      <c r="AC33" s="255">
        <f>Est2017TransRev!AC33</f>
        <v>0</v>
      </c>
      <c r="AD33" s="255">
        <f>Est2017TransRev!AD33</f>
        <v>0</v>
      </c>
      <c r="AE33" s="255">
        <f>Est2017TransRev!AE33</f>
        <v>0</v>
      </c>
      <c r="AF33" s="255">
        <f>Est2017TransRev!AF33</f>
        <v>0</v>
      </c>
      <c r="AG33" s="255">
        <f>Est2017TransRev!AG33</f>
        <v>0</v>
      </c>
      <c r="AH33" s="255">
        <f>Est2017TransRev!AH33</f>
        <v>0</v>
      </c>
      <c r="AI33" s="255">
        <f>Est2017TransRev!AI33</f>
        <v>0</v>
      </c>
      <c r="AJ33" s="255">
        <f>Est2017TransRev!AJ33</f>
        <v>0</v>
      </c>
      <c r="AK33" s="255">
        <f>Est2017TransRev!AK33</f>
        <v>0</v>
      </c>
      <c r="AL33" s="255">
        <f>Est2017TransRev!AL33</f>
        <v>0</v>
      </c>
      <c r="AM33" s="255">
        <f>Est2017TransRev!AM33</f>
        <v>0</v>
      </c>
      <c r="AN33" s="255">
        <f>Est2017TransRev!AN33</f>
        <v>0</v>
      </c>
      <c r="AO33" s="255">
        <f>Est2017TransRev!AO33</f>
        <v>0</v>
      </c>
      <c r="AP33" s="255">
        <f>Est2017TransRev!AP33</f>
        <v>0</v>
      </c>
      <c r="AQ33" s="255">
        <f>Est2017TransRev!AQ33</f>
        <v>0</v>
      </c>
      <c r="AR33" s="255">
        <f>Est2017TransRev!AR33</f>
        <v>0</v>
      </c>
      <c r="AS33" s="255">
        <f>Est2017TransRev!AS33</f>
        <v>0</v>
      </c>
      <c r="AT33" s="282">
        <f>Est2017TransRev!AT33</f>
        <v>0</v>
      </c>
      <c r="AV33" s="257">
        <f t="shared" si="5"/>
        <v>0</v>
      </c>
      <c r="AW33" s="224">
        <f t="shared" si="6"/>
        <v>0</v>
      </c>
      <c r="AX33" s="224">
        <f t="shared" si="7"/>
        <v>0</v>
      </c>
      <c r="AY33" s="224">
        <f t="shared" si="8"/>
        <v>0</v>
      </c>
      <c r="AZ33" s="224">
        <f t="shared" si="9"/>
        <v>0</v>
      </c>
      <c r="BA33" s="224">
        <f t="shared" si="10"/>
        <v>0</v>
      </c>
      <c r="BB33" s="224">
        <f t="shared" si="11"/>
        <v>0</v>
      </c>
      <c r="BC33" s="224">
        <f t="shared" si="12"/>
        <v>0</v>
      </c>
      <c r="BD33" s="224">
        <f t="shared" si="13"/>
        <v>0</v>
      </c>
      <c r="BE33" s="224">
        <f t="shared" si="14"/>
        <v>0</v>
      </c>
      <c r="BF33" s="224">
        <f t="shared" si="15"/>
        <v>0</v>
      </c>
      <c r="BG33" s="224">
        <f t="shared" si="16"/>
        <v>0</v>
      </c>
      <c r="BH33" s="224">
        <f t="shared" si="17"/>
        <v>0</v>
      </c>
      <c r="BI33" s="258">
        <f t="shared" si="18"/>
        <v>0</v>
      </c>
      <c r="BJ33" s="258">
        <f t="shared" si="19"/>
        <v>0</v>
      </c>
      <c r="BK33" s="258">
        <f t="shared" si="20"/>
        <v>0</v>
      </c>
      <c r="BL33" s="258">
        <f t="shared" si="21"/>
        <v>0</v>
      </c>
      <c r="BM33" s="258">
        <f t="shared" si="22"/>
        <v>0</v>
      </c>
      <c r="BN33" s="258">
        <f t="shared" si="23"/>
        <v>0</v>
      </c>
      <c r="BO33" s="258">
        <f t="shared" si="24"/>
        <v>0</v>
      </c>
      <c r="BP33" s="258">
        <f t="shared" si="25"/>
        <v>0</v>
      </c>
      <c r="BQ33" s="259">
        <f t="shared" si="26"/>
        <v>0</v>
      </c>
    </row>
    <row r="34" spans="1:69">
      <c r="A34" s="199" t="str">
        <f>Est2017TransRev!A34</f>
        <v>DLS</v>
      </c>
      <c r="B34" s="249" t="str">
        <f>Est2017TransRev!B34</f>
        <v>Large Low Voltage Demand S</v>
      </c>
      <c r="C34" s="279"/>
      <c r="D34" s="671">
        <v>0</v>
      </c>
      <c r="E34" s="252">
        <v>0</v>
      </c>
      <c r="F34" s="252">
        <v>0</v>
      </c>
      <c r="G34" s="252"/>
      <c r="H34" s="252"/>
      <c r="I34" s="252">
        <v>0</v>
      </c>
      <c r="J34" s="252"/>
      <c r="K34" s="252"/>
      <c r="L34" s="252"/>
      <c r="M34" s="252">
        <v>0</v>
      </c>
      <c r="N34" s="252"/>
      <c r="O34" s="252">
        <v>0</v>
      </c>
      <c r="P34" s="252">
        <v>0</v>
      </c>
      <c r="Q34" s="252">
        <v>0</v>
      </c>
      <c r="R34" s="252">
        <v>0</v>
      </c>
      <c r="S34" s="252">
        <v>0</v>
      </c>
      <c r="T34" s="252"/>
      <c r="U34" s="252">
        <v>0</v>
      </c>
      <c r="V34" s="252">
        <v>0</v>
      </c>
      <c r="W34" s="252">
        <v>0</v>
      </c>
      <c r="X34" s="280"/>
      <c r="Z34" s="281">
        <f>Est2017TransRev!Z34</f>
        <v>0</v>
      </c>
      <c r="AA34" s="255">
        <f>Est2017TransRev!AA34</f>
        <v>0</v>
      </c>
      <c r="AB34" s="255">
        <f>Est2017TransRev!AB34</f>
        <v>0</v>
      </c>
      <c r="AC34" s="255">
        <f>Est2017TransRev!AC34</f>
        <v>0</v>
      </c>
      <c r="AD34" s="255">
        <f>Est2017TransRev!AD34</f>
        <v>0</v>
      </c>
      <c r="AE34" s="255">
        <f>Est2017TransRev!AE34</f>
        <v>0</v>
      </c>
      <c r="AF34" s="255">
        <f>Est2017TransRev!AF34</f>
        <v>0</v>
      </c>
      <c r="AG34" s="255">
        <f>Est2017TransRev!AG34</f>
        <v>0</v>
      </c>
      <c r="AH34" s="255">
        <f>Est2017TransRev!AH34</f>
        <v>0</v>
      </c>
      <c r="AI34" s="255">
        <f>Est2017TransRev!AI34</f>
        <v>0</v>
      </c>
      <c r="AJ34" s="255">
        <f>Est2017TransRev!AJ34</f>
        <v>0</v>
      </c>
      <c r="AK34" s="255">
        <f>Est2017TransRev!AK34</f>
        <v>0</v>
      </c>
      <c r="AL34" s="255">
        <f>Est2017TransRev!AL34</f>
        <v>0</v>
      </c>
      <c r="AM34" s="255">
        <f>Est2017TransRev!AM34</f>
        <v>0</v>
      </c>
      <c r="AN34" s="255">
        <f>Est2017TransRev!AN34</f>
        <v>0</v>
      </c>
      <c r="AO34" s="255">
        <f>Est2017TransRev!AO34</f>
        <v>0</v>
      </c>
      <c r="AP34" s="255">
        <f>Est2017TransRev!AP34</f>
        <v>0</v>
      </c>
      <c r="AQ34" s="255">
        <f>Est2017TransRev!AQ34</f>
        <v>0</v>
      </c>
      <c r="AR34" s="255">
        <f>Est2017TransRev!AR34</f>
        <v>0</v>
      </c>
      <c r="AS34" s="255">
        <f>Est2017TransRev!AS34</f>
        <v>0</v>
      </c>
      <c r="AT34" s="282">
        <f>Est2017TransRev!AT34</f>
        <v>0</v>
      </c>
      <c r="AV34" s="257">
        <f t="shared" si="5"/>
        <v>0</v>
      </c>
      <c r="AW34" s="224">
        <f t="shared" si="6"/>
        <v>0</v>
      </c>
      <c r="AX34" s="224">
        <f t="shared" si="7"/>
        <v>0</v>
      </c>
      <c r="AY34" s="224">
        <f t="shared" si="8"/>
        <v>0</v>
      </c>
      <c r="AZ34" s="224">
        <f t="shared" si="9"/>
        <v>0</v>
      </c>
      <c r="BA34" s="224">
        <f t="shared" si="10"/>
        <v>0</v>
      </c>
      <c r="BB34" s="224">
        <f t="shared" si="11"/>
        <v>0</v>
      </c>
      <c r="BC34" s="224">
        <f t="shared" si="12"/>
        <v>0</v>
      </c>
      <c r="BD34" s="224">
        <f t="shared" si="13"/>
        <v>0</v>
      </c>
      <c r="BE34" s="224">
        <f t="shared" si="14"/>
        <v>0</v>
      </c>
      <c r="BF34" s="224">
        <f t="shared" si="15"/>
        <v>0</v>
      </c>
      <c r="BG34" s="224">
        <f t="shared" si="16"/>
        <v>0</v>
      </c>
      <c r="BH34" s="224">
        <f t="shared" si="17"/>
        <v>0</v>
      </c>
      <c r="BI34" s="258">
        <f t="shared" si="18"/>
        <v>0</v>
      </c>
      <c r="BJ34" s="258">
        <f t="shared" si="19"/>
        <v>0</v>
      </c>
      <c r="BK34" s="258">
        <f t="shared" si="20"/>
        <v>0</v>
      </c>
      <c r="BL34" s="258">
        <f t="shared" si="21"/>
        <v>0</v>
      </c>
      <c r="BM34" s="258">
        <f t="shared" si="22"/>
        <v>0</v>
      </c>
      <c r="BN34" s="258">
        <f t="shared" si="23"/>
        <v>0</v>
      </c>
      <c r="BO34" s="258">
        <f t="shared" si="24"/>
        <v>0</v>
      </c>
      <c r="BP34" s="258">
        <f t="shared" si="25"/>
        <v>0</v>
      </c>
      <c r="BQ34" s="259">
        <f t="shared" si="26"/>
        <v>0</v>
      </c>
    </row>
    <row r="35" spans="1:69">
      <c r="A35" s="199" t="str">
        <f>Est2017TransRev!A35</f>
        <v>DLDK</v>
      </c>
      <c r="B35" s="249" t="str">
        <f>Est2017TransRev!B35</f>
        <v>Large Low Voltage Demand Docklands</v>
      </c>
      <c r="C35" s="279"/>
      <c r="D35" s="671">
        <v>0</v>
      </c>
      <c r="E35" s="252">
        <v>0</v>
      </c>
      <c r="F35" s="252">
        <v>0</v>
      </c>
      <c r="G35" s="252"/>
      <c r="H35" s="252"/>
      <c r="I35" s="252">
        <v>0</v>
      </c>
      <c r="J35" s="252"/>
      <c r="K35" s="252"/>
      <c r="L35" s="252"/>
      <c r="M35" s="252">
        <v>0</v>
      </c>
      <c r="N35" s="252"/>
      <c r="O35" s="252">
        <v>0</v>
      </c>
      <c r="P35" s="252">
        <v>0</v>
      </c>
      <c r="Q35" s="252">
        <v>0</v>
      </c>
      <c r="R35" s="252">
        <v>0</v>
      </c>
      <c r="S35" s="252">
        <v>0</v>
      </c>
      <c r="T35" s="252"/>
      <c r="U35" s="252">
        <v>0</v>
      </c>
      <c r="V35" s="252">
        <v>0</v>
      </c>
      <c r="W35" s="252">
        <v>0</v>
      </c>
      <c r="X35" s="280"/>
      <c r="Z35" s="281">
        <f>Est2017TransRev!Z35</f>
        <v>0</v>
      </c>
      <c r="AA35" s="255">
        <f>Est2017TransRev!AA35</f>
        <v>0</v>
      </c>
      <c r="AB35" s="255">
        <f>Est2017TransRev!AB35</f>
        <v>0</v>
      </c>
      <c r="AC35" s="255">
        <f>Est2017TransRev!AC35</f>
        <v>0</v>
      </c>
      <c r="AD35" s="255">
        <f>Est2017TransRev!AD35</f>
        <v>0</v>
      </c>
      <c r="AE35" s="255">
        <f>Est2017TransRev!AE35</f>
        <v>0</v>
      </c>
      <c r="AF35" s="255">
        <f>Est2017TransRev!AF35</f>
        <v>0</v>
      </c>
      <c r="AG35" s="255">
        <f>Est2017TransRev!AG35</f>
        <v>0</v>
      </c>
      <c r="AH35" s="255">
        <f>Est2017TransRev!AH35</f>
        <v>0</v>
      </c>
      <c r="AI35" s="255">
        <f>Est2017TransRev!AI35</f>
        <v>0</v>
      </c>
      <c r="AJ35" s="255">
        <f>Est2017TransRev!AJ35</f>
        <v>0</v>
      </c>
      <c r="AK35" s="255">
        <f>Est2017TransRev!AK35</f>
        <v>0</v>
      </c>
      <c r="AL35" s="255">
        <f>Est2017TransRev!AL35</f>
        <v>0</v>
      </c>
      <c r="AM35" s="255">
        <f>Est2017TransRev!AM35</f>
        <v>0</v>
      </c>
      <c r="AN35" s="255">
        <f>Est2017TransRev!AN35</f>
        <v>0</v>
      </c>
      <c r="AO35" s="255">
        <f>Est2017TransRev!AO35</f>
        <v>0</v>
      </c>
      <c r="AP35" s="255">
        <f>Est2017TransRev!AP35</f>
        <v>0</v>
      </c>
      <c r="AQ35" s="255">
        <f>Est2017TransRev!AQ35</f>
        <v>0</v>
      </c>
      <c r="AR35" s="255">
        <f>Est2017TransRev!AR35</f>
        <v>0</v>
      </c>
      <c r="AS35" s="255">
        <f>Est2017TransRev!AS35</f>
        <v>0</v>
      </c>
      <c r="AT35" s="282">
        <f>Est2017TransRev!AT35</f>
        <v>0</v>
      </c>
      <c r="AV35" s="257">
        <f t="shared" si="5"/>
        <v>0</v>
      </c>
      <c r="AW35" s="224">
        <f t="shared" si="6"/>
        <v>0</v>
      </c>
      <c r="AX35" s="224">
        <f t="shared" si="7"/>
        <v>0</v>
      </c>
      <c r="AY35" s="224">
        <f t="shared" si="8"/>
        <v>0</v>
      </c>
      <c r="AZ35" s="224">
        <f t="shared" si="9"/>
        <v>0</v>
      </c>
      <c r="BA35" s="224">
        <f t="shared" si="10"/>
        <v>0</v>
      </c>
      <c r="BB35" s="224">
        <f t="shared" si="11"/>
        <v>0</v>
      </c>
      <c r="BC35" s="224">
        <f t="shared" si="12"/>
        <v>0</v>
      </c>
      <c r="BD35" s="224">
        <f t="shared" si="13"/>
        <v>0</v>
      </c>
      <c r="BE35" s="224">
        <f t="shared" si="14"/>
        <v>0</v>
      </c>
      <c r="BF35" s="224">
        <f t="shared" si="15"/>
        <v>0</v>
      </c>
      <c r="BG35" s="224">
        <f t="shared" si="16"/>
        <v>0</v>
      </c>
      <c r="BH35" s="224">
        <f t="shared" si="17"/>
        <v>0</v>
      </c>
      <c r="BI35" s="258">
        <f t="shared" si="18"/>
        <v>0</v>
      </c>
      <c r="BJ35" s="258">
        <f t="shared" si="19"/>
        <v>0</v>
      </c>
      <c r="BK35" s="258">
        <f t="shared" si="20"/>
        <v>0</v>
      </c>
      <c r="BL35" s="258">
        <f t="shared" si="21"/>
        <v>0</v>
      </c>
      <c r="BM35" s="258">
        <f t="shared" si="22"/>
        <v>0</v>
      </c>
      <c r="BN35" s="258">
        <f t="shared" si="23"/>
        <v>0</v>
      </c>
      <c r="BO35" s="258">
        <f t="shared" si="24"/>
        <v>0</v>
      </c>
      <c r="BP35" s="258">
        <f t="shared" si="25"/>
        <v>0</v>
      </c>
      <c r="BQ35" s="259">
        <f t="shared" si="26"/>
        <v>0</v>
      </c>
    </row>
    <row r="36" spans="1:69">
      <c r="A36" s="199" t="str">
        <f>Est2017TransRev!A36</f>
        <v>DLCXX</v>
      </c>
      <c r="B36" s="249" t="str">
        <f>Est2017TransRev!B36</f>
        <v>Large Low Voltage Demand CXX</v>
      </c>
      <c r="C36" s="279"/>
      <c r="D36" s="671">
        <v>0</v>
      </c>
      <c r="E36" s="252">
        <v>0</v>
      </c>
      <c r="F36" s="252">
        <v>0</v>
      </c>
      <c r="G36" s="252"/>
      <c r="H36" s="252"/>
      <c r="I36" s="252">
        <v>0</v>
      </c>
      <c r="J36" s="252"/>
      <c r="K36" s="252"/>
      <c r="L36" s="252"/>
      <c r="M36" s="252">
        <v>0</v>
      </c>
      <c r="N36" s="252"/>
      <c r="O36" s="252">
        <v>0</v>
      </c>
      <c r="P36" s="252">
        <v>0</v>
      </c>
      <c r="Q36" s="252">
        <v>0</v>
      </c>
      <c r="R36" s="252">
        <v>0</v>
      </c>
      <c r="S36" s="252">
        <v>0</v>
      </c>
      <c r="T36" s="252"/>
      <c r="U36" s="252">
        <v>0</v>
      </c>
      <c r="V36" s="252">
        <v>0</v>
      </c>
      <c r="W36" s="252">
        <v>0</v>
      </c>
      <c r="X36" s="280"/>
      <c r="Z36" s="281">
        <f>Est2017TransRev!Z36</f>
        <v>0</v>
      </c>
      <c r="AA36" s="255">
        <f>Est2017TransRev!AA36</f>
        <v>0</v>
      </c>
      <c r="AB36" s="255">
        <f>Est2017TransRev!AB36</f>
        <v>0</v>
      </c>
      <c r="AC36" s="255">
        <f>Est2017TransRev!AC36</f>
        <v>0</v>
      </c>
      <c r="AD36" s="255">
        <f>Est2017TransRev!AD36</f>
        <v>0</v>
      </c>
      <c r="AE36" s="255">
        <f>Est2017TransRev!AE36</f>
        <v>0</v>
      </c>
      <c r="AF36" s="255">
        <f>Est2017TransRev!AF36</f>
        <v>0</v>
      </c>
      <c r="AG36" s="255">
        <f>Est2017TransRev!AG36</f>
        <v>0</v>
      </c>
      <c r="AH36" s="255">
        <f>Est2017TransRev!AH36</f>
        <v>0</v>
      </c>
      <c r="AI36" s="255">
        <f>Est2017TransRev!AI36</f>
        <v>0</v>
      </c>
      <c r="AJ36" s="255">
        <f>Est2017TransRev!AJ36</f>
        <v>0</v>
      </c>
      <c r="AK36" s="255">
        <f>Est2017TransRev!AK36</f>
        <v>0</v>
      </c>
      <c r="AL36" s="255">
        <f>Est2017TransRev!AL36</f>
        <v>0</v>
      </c>
      <c r="AM36" s="255">
        <f>Est2017TransRev!AM36</f>
        <v>0</v>
      </c>
      <c r="AN36" s="255">
        <f>Est2017TransRev!AN36</f>
        <v>0</v>
      </c>
      <c r="AO36" s="255">
        <f>Est2017TransRev!AO36</f>
        <v>0</v>
      </c>
      <c r="AP36" s="255">
        <f>Est2017TransRev!AP36</f>
        <v>0</v>
      </c>
      <c r="AQ36" s="255">
        <f>Est2017TransRev!AQ36</f>
        <v>0</v>
      </c>
      <c r="AR36" s="255">
        <f>Est2017TransRev!AR36</f>
        <v>0</v>
      </c>
      <c r="AS36" s="255">
        <f>Est2017TransRev!AS36</f>
        <v>0</v>
      </c>
      <c r="AT36" s="282">
        <f>Est2017TransRev!AT36</f>
        <v>0</v>
      </c>
      <c r="AV36" s="257">
        <f t="shared" si="5"/>
        <v>0</v>
      </c>
      <c r="AW36" s="224">
        <f t="shared" si="6"/>
        <v>0</v>
      </c>
      <c r="AX36" s="224">
        <f t="shared" si="7"/>
        <v>0</v>
      </c>
      <c r="AY36" s="224">
        <f t="shared" si="8"/>
        <v>0</v>
      </c>
      <c r="AZ36" s="224">
        <f t="shared" si="9"/>
        <v>0</v>
      </c>
      <c r="BA36" s="224">
        <f t="shared" si="10"/>
        <v>0</v>
      </c>
      <c r="BB36" s="224">
        <f t="shared" si="11"/>
        <v>0</v>
      </c>
      <c r="BC36" s="224">
        <f t="shared" si="12"/>
        <v>0</v>
      </c>
      <c r="BD36" s="224">
        <f t="shared" si="13"/>
        <v>0</v>
      </c>
      <c r="BE36" s="224">
        <f t="shared" si="14"/>
        <v>0</v>
      </c>
      <c r="BF36" s="224">
        <f t="shared" si="15"/>
        <v>0</v>
      </c>
      <c r="BG36" s="224">
        <f t="shared" si="16"/>
        <v>0</v>
      </c>
      <c r="BH36" s="224">
        <f t="shared" si="17"/>
        <v>0</v>
      </c>
      <c r="BI36" s="258">
        <f t="shared" si="18"/>
        <v>0</v>
      </c>
      <c r="BJ36" s="258">
        <f t="shared" si="19"/>
        <v>0</v>
      </c>
      <c r="BK36" s="258">
        <f t="shared" si="20"/>
        <v>0</v>
      </c>
      <c r="BL36" s="258">
        <f t="shared" si="21"/>
        <v>0</v>
      </c>
      <c r="BM36" s="258">
        <f t="shared" si="22"/>
        <v>0</v>
      </c>
      <c r="BN36" s="258">
        <f t="shared" si="23"/>
        <v>0</v>
      </c>
      <c r="BO36" s="258">
        <f t="shared" si="24"/>
        <v>0</v>
      </c>
      <c r="BP36" s="258">
        <f t="shared" si="25"/>
        <v>0</v>
      </c>
      <c r="BQ36" s="259">
        <f t="shared" si="26"/>
        <v>0</v>
      </c>
    </row>
    <row r="37" spans="1:69">
      <c r="A37" s="199" t="str">
        <f>Est2017TransRev!A37</f>
        <v>DLR</v>
      </c>
      <c r="B37" s="249" t="str">
        <f>Est2017TransRev!B37</f>
        <v>Large Low Voltage Demand EN.R</v>
      </c>
      <c r="C37" s="279"/>
      <c r="D37" s="671">
        <v>0</v>
      </c>
      <c r="E37" s="252">
        <v>0</v>
      </c>
      <c r="F37" s="252">
        <v>0</v>
      </c>
      <c r="G37" s="252"/>
      <c r="H37" s="252"/>
      <c r="I37" s="252">
        <v>0</v>
      </c>
      <c r="J37" s="252"/>
      <c r="K37" s="252"/>
      <c r="L37" s="252"/>
      <c r="M37" s="252">
        <v>0</v>
      </c>
      <c r="N37" s="252"/>
      <c r="O37" s="252">
        <v>0</v>
      </c>
      <c r="P37" s="252">
        <v>0</v>
      </c>
      <c r="Q37" s="252">
        <v>0</v>
      </c>
      <c r="R37" s="252">
        <v>0</v>
      </c>
      <c r="S37" s="252">
        <v>0</v>
      </c>
      <c r="T37" s="252"/>
      <c r="U37" s="252">
        <v>0</v>
      </c>
      <c r="V37" s="252">
        <v>0</v>
      </c>
      <c r="W37" s="252">
        <v>0</v>
      </c>
      <c r="X37" s="280"/>
      <c r="Z37" s="281">
        <f>Est2017TransRev!Z37</f>
        <v>0</v>
      </c>
      <c r="AA37" s="255">
        <f>Est2017TransRev!AA37</f>
        <v>0</v>
      </c>
      <c r="AB37" s="255">
        <f>Est2017TransRev!AB37</f>
        <v>0</v>
      </c>
      <c r="AC37" s="255">
        <f>Est2017TransRev!AC37</f>
        <v>0</v>
      </c>
      <c r="AD37" s="255">
        <f>Est2017TransRev!AD37</f>
        <v>0</v>
      </c>
      <c r="AE37" s="255">
        <f>Est2017TransRev!AE37</f>
        <v>0</v>
      </c>
      <c r="AF37" s="255">
        <f>Est2017TransRev!AF37</f>
        <v>0</v>
      </c>
      <c r="AG37" s="255">
        <f>Est2017TransRev!AG37</f>
        <v>0</v>
      </c>
      <c r="AH37" s="255">
        <f>Est2017TransRev!AH37</f>
        <v>0</v>
      </c>
      <c r="AI37" s="255">
        <f>Est2017TransRev!AI37</f>
        <v>0</v>
      </c>
      <c r="AJ37" s="255">
        <f>Est2017TransRev!AJ37</f>
        <v>0</v>
      </c>
      <c r="AK37" s="255">
        <f>Est2017TransRev!AK37</f>
        <v>0</v>
      </c>
      <c r="AL37" s="255">
        <f>Est2017TransRev!AL37</f>
        <v>0</v>
      </c>
      <c r="AM37" s="255">
        <f>Est2017TransRev!AM37</f>
        <v>0</v>
      </c>
      <c r="AN37" s="255">
        <f>Est2017TransRev!AN37</f>
        <v>0</v>
      </c>
      <c r="AO37" s="255">
        <f>Est2017TransRev!AO37</f>
        <v>0</v>
      </c>
      <c r="AP37" s="255">
        <f>Est2017TransRev!AP37</f>
        <v>0</v>
      </c>
      <c r="AQ37" s="255">
        <f>Est2017TransRev!AQ37</f>
        <v>0</v>
      </c>
      <c r="AR37" s="255">
        <f>Est2017TransRev!AR37</f>
        <v>0</v>
      </c>
      <c r="AS37" s="255">
        <f>Est2017TransRev!AS37</f>
        <v>0</v>
      </c>
      <c r="AT37" s="282">
        <f>Est2017TransRev!AT37</f>
        <v>0</v>
      </c>
      <c r="AV37" s="257">
        <f t="shared" si="5"/>
        <v>0</v>
      </c>
      <c r="AW37" s="224">
        <f t="shared" si="6"/>
        <v>0</v>
      </c>
      <c r="AX37" s="224">
        <f t="shared" si="7"/>
        <v>0</v>
      </c>
      <c r="AY37" s="224">
        <f t="shared" si="8"/>
        <v>0</v>
      </c>
      <c r="AZ37" s="224">
        <f t="shared" si="9"/>
        <v>0</v>
      </c>
      <c r="BA37" s="224">
        <f t="shared" si="10"/>
        <v>0</v>
      </c>
      <c r="BB37" s="224">
        <f t="shared" si="11"/>
        <v>0</v>
      </c>
      <c r="BC37" s="224">
        <f t="shared" si="12"/>
        <v>0</v>
      </c>
      <c r="BD37" s="224">
        <f t="shared" si="13"/>
        <v>0</v>
      </c>
      <c r="BE37" s="224">
        <f t="shared" si="14"/>
        <v>0</v>
      </c>
      <c r="BF37" s="224">
        <f t="shared" si="15"/>
        <v>0</v>
      </c>
      <c r="BG37" s="224">
        <f t="shared" si="16"/>
        <v>0</v>
      </c>
      <c r="BH37" s="224">
        <f t="shared" si="17"/>
        <v>0</v>
      </c>
      <c r="BI37" s="258">
        <f t="shared" si="18"/>
        <v>0</v>
      </c>
      <c r="BJ37" s="258">
        <f t="shared" si="19"/>
        <v>0</v>
      </c>
      <c r="BK37" s="258">
        <f t="shared" si="20"/>
        <v>0</v>
      </c>
      <c r="BL37" s="258">
        <f t="shared" si="21"/>
        <v>0</v>
      </c>
      <c r="BM37" s="258">
        <f t="shared" si="22"/>
        <v>0</v>
      </c>
      <c r="BN37" s="258">
        <f t="shared" si="23"/>
        <v>0</v>
      </c>
      <c r="BO37" s="258">
        <f t="shared" si="24"/>
        <v>0</v>
      </c>
      <c r="BP37" s="258">
        <f t="shared" si="25"/>
        <v>0</v>
      </c>
      <c r="BQ37" s="259">
        <f t="shared" si="26"/>
        <v>0</v>
      </c>
    </row>
    <row r="38" spans="1:69">
      <c r="A38" s="199" t="str">
        <f>Est2017TransRev!A38</f>
        <v>DLNR</v>
      </c>
      <c r="B38" s="249" t="str">
        <f>Est2017TransRev!B38</f>
        <v>Large Low Voltage Demand EN.NR</v>
      </c>
      <c r="C38" s="279"/>
      <c r="D38" s="671">
        <v>0</v>
      </c>
      <c r="E38" s="252">
        <v>0</v>
      </c>
      <c r="F38" s="252">
        <v>0</v>
      </c>
      <c r="G38" s="252"/>
      <c r="H38" s="252"/>
      <c r="I38" s="252">
        <v>0</v>
      </c>
      <c r="J38" s="252"/>
      <c r="K38" s="252"/>
      <c r="L38" s="252"/>
      <c r="M38" s="252">
        <v>0</v>
      </c>
      <c r="N38" s="252"/>
      <c r="O38" s="252">
        <v>0</v>
      </c>
      <c r="P38" s="252">
        <v>0</v>
      </c>
      <c r="Q38" s="252">
        <v>0</v>
      </c>
      <c r="R38" s="252">
        <v>0</v>
      </c>
      <c r="S38" s="252">
        <v>0</v>
      </c>
      <c r="T38" s="252"/>
      <c r="U38" s="252">
        <v>0</v>
      </c>
      <c r="V38" s="252">
        <v>0</v>
      </c>
      <c r="W38" s="252">
        <v>0</v>
      </c>
      <c r="X38" s="280"/>
      <c r="Z38" s="281">
        <f>Est2017TransRev!Z38</f>
        <v>0</v>
      </c>
      <c r="AA38" s="255">
        <f>Est2017TransRev!AA38</f>
        <v>0</v>
      </c>
      <c r="AB38" s="255">
        <f>Est2017TransRev!AB38</f>
        <v>0</v>
      </c>
      <c r="AC38" s="255">
        <f>Est2017TransRev!AC38</f>
        <v>0</v>
      </c>
      <c r="AD38" s="255">
        <f>Est2017TransRev!AD38</f>
        <v>0</v>
      </c>
      <c r="AE38" s="255">
        <f>Est2017TransRev!AE38</f>
        <v>0</v>
      </c>
      <c r="AF38" s="255">
        <f>Est2017TransRev!AF38</f>
        <v>0</v>
      </c>
      <c r="AG38" s="255">
        <f>Est2017TransRev!AG38</f>
        <v>0</v>
      </c>
      <c r="AH38" s="255">
        <f>Est2017TransRev!AH38</f>
        <v>0</v>
      </c>
      <c r="AI38" s="255">
        <f>Est2017TransRev!AI38</f>
        <v>0</v>
      </c>
      <c r="AJ38" s="255">
        <f>Est2017TransRev!AJ38</f>
        <v>0</v>
      </c>
      <c r="AK38" s="255">
        <f>Est2017TransRev!AK38</f>
        <v>0</v>
      </c>
      <c r="AL38" s="255">
        <f>Est2017TransRev!AL38</f>
        <v>0</v>
      </c>
      <c r="AM38" s="255">
        <f>Est2017TransRev!AM38</f>
        <v>0</v>
      </c>
      <c r="AN38" s="255">
        <f>Est2017TransRev!AN38</f>
        <v>0</v>
      </c>
      <c r="AO38" s="255">
        <f>Est2017TransRev!AO38</f>
        <v>0</v>
      </c>
      <c r="AP38" s="255">
        <f>Est2017TransRev!AP38</f>
        <v>0</v>
      </c>
      <c r="AQ38" s="255">
        <f>Est2017TransRev!AQ38</f>
        <v>0</v>
      </c>
      <c r="AR38" s="255">
        <f>Est2017TransRev!AR38</f>
        <v>0</v>
      </c>
      <c r="AS38" s="255">
        <f>Est2017TransRev!AS38</f>
        <v>0</v>
      </c>
      <c r="AT38" s="282">
        <f>Est2017TransRev!AT38</f>
        <v>0</v>
      </c>
      <c r="AV38" s="257">
        <f t="shared" si="5"/>
        <v>0</v>
      </c>
      <c r="AW38" s="224">
        <f t="shared" si="6"/>
        <v>0</v>
      </c>
      <c r="AX38" s="224">
        <f t="shared" si="7"/>
        <v>0</v>
      </c>
      <c r="AY38" s="224">
        <f t="shared" si="8"/>
        <v>0</v>
      </c>
      <c r="AZ38" s="224">
        <f t="shared" si="9"/>
        <v>0</v>
      </c>
      <c r="BA38" s="224">
        <f t="shared" si="10"/>
        <v>0</v>
      </c>
      <c r="BB38" s="224">
        <f t="shared" si="11"/>
        <v>0</v>
      </c>
      <c r="BC38" s="224">
        <f t="shared" si="12"/>
        <v>0</v>
      </c>
      <c r="BD38" s="224">
        <f t="shared" si="13"/>
        <v>0</v>
      </c>
      <c r="BE38" s="224">
        <f t="shared" si="14"/>
        <v>0</v>
      </c>
      <c r="BF38" s="224">
        <f t="shared" si="15"/>
        <v>0</v>
      </c>
      <c r="BG38" s="224">
        <f t="shared" si="16"/>
        <v>0</v>
      </c>
      <c r="BH38" s="224">
        <f t="shared" si="17"/>
        <v>0</v>
      </c>
      <c r="BI38" s="258">
        <f t="shared" si="18"/>
        <v>0</v>
      </c>
      <c r="BJ38" s="258">
        <f t="shared" si="19"/>
        <v>0</v>
      </c>
      <c r="BK38" s="258">
        <f t="shared" si="20"/>
        <v>0</v>
      </c>
      <c r="BL38" s="258">
        <f t="shared" si="21"/>
        <v>0</v>
      </c>
      <c r="BM38" s="258">
        <f t="shared" si="22"/>
        <v>0</v>
      </c>
      <c r="BN38" s="258">
        <f t="shared" si="23"/>
        <v>0</v>
      </c>
      <c r="BO38" s="258">
        <f t="shared" si="24"/>
        <v>0</v>
      </c>
      <c r="BP38" s="258">
        <f t="shared" si="25"/>
        <v>0</v>
      </c>
      <c r="BQ38" s="259">
        <f t="shared" si="26"/>
        <v>0</v>
      </c>
    </row>
    <row r="39" spans="1:69">
      <c r="A39" s="199" t="str">
        <f>Est2017TransRev!A39</f>
        <v>DLCXXR</v>
      </c>
      <c r="B39" s="249" t="str">
        <f>Est2017TransRev!B39</f>
        <v>Large Low Voltage Demand EN.R CXX</v>
      </c>
      <c r="C39" s="279"/>
      <c r="D39" s="671">
        <v>0</v>
      </c>
      <c r="E39" s="252">
        <v>0</v>
      </c>
      <c r="F39" s="252">
        <v>0</v>
      </c>
      <c r="G39" s="252"/>
      <c r="H39" s="252"/>
      <c r="I39" s="252">
        <v>0</v>
      </c>
      <c r="J39" s="252"/>
      <c r="K39" s="252"/>
      <c r="L39" s="252"/>
      <c r="M39" s="252">
        <v>0</v>
      </c>
      <c r="N39" s="252"/>
      <c r="O39" s="252">
        <v>0</v>
      </c>
      <c r="P39" s="252">
        <v>0</v>
      </c>
      <c r="Q39" s="252">
        <v>0</v>
      </c>
      <c r="R39" s="252">
        <v>0</v>
      </c>
      <c r="S39" s="252">
        <v>0</v>
      </c>
      <c r="T39" s="252"/>
      <c r="U39" s="252">
        <v>0</v>
      </c>
      <c r="V39" s="252">
        <v>0</v>
      </c>
      <c r="W39" s="252">
        <v>0</v>
      </c>
      <c r="X39" s="280"/>
      <c r="Z39" s="281">
        <f>Est2017TransRev!Z39</f>
        <v>0</v>
      </c>
      <c r="AA39" s="255">
        <f>Est2017TransRev!AA39</f>
        <v>0</v>
      </c>
      <c r="AB39" s="255">
        <f>Est2017TransRev!AB39</f>
        <v>0</v>
      </c>
      <c r="AC39" s="255">
        <f>Est2017TransRev!AC39</f>
        <v>0</v>
      </c>
      <c r="AD39" s="255">
        <f>Est2017TransRev!AD39</f>
        <v>0</v>
      </c>
      <c r="AE39" s="255">
        <f>Est2017TransRev!AE39</f>
        <v>0</v>
      </c>
      <c r="AF39" s="255">
        <f>Est2017TransRev!AF39</f>
        <v>0</v>
      </c>
      <c r="AG39" s="255">
        <f>Est2017TransRev!AG39</f>
        <v>0</v>
      </c>
      <c r="AH39" s="255">
        <f>Est2017TransRev!AH39</f>
        <v>0</v>
      </c>
      <c r="AI39" s="255">
        <f>Est2017TransRev!AI39</f>
        <v>0</v>
      </c>
      <c r="AJ39" s="255">
        <f>Est2017TransRev!AJ39</f>
        <v>0</v>
      </c>
      <c r="AK39" s="255">
        <f>Est2017TransRev!AK39</f>
        <v>0</v>
      </c>
      <c r="AL39" s="255">
        <f>Est2017TransRev!AL39</f>
        <v>0</v>
      </c>
      <c r="AM39" s="255">
        <f>Est2017TransRev!AM39</f>
        <v>0</v>
      </c>
      <c r="AN39" s="255">
        <f>Est2017TransRev!AN39</f>
        <v>0</v>
      </c>
      <c r="AO39" s="255">
        <f>Est2017TransRev!AO39</f>
        <v>0</v>
      </c>
      <c r="AP39" s="255">
        <f>Est2017TransRev!AP39</f>
        <v>0</v>
      </c>
      <c r="AQ39" s="255">
        <f>Est2017TransRev!AQ39</f>
        <v>0</v>
      </c>
      <c r="AR39" s="255">
        <f>Est2017TransRev!AR39</f>
        <v>0</v>
      </c>
      <c r="AS39" s="255">
        <f>Est2017TransRev!AS39</f>
        <v>0</v>
      </c>
      <c r="AT39" s="282">
        <f>Est2017TransRev!AT39</f>
        <v>0</v>
      </c>
      <c r="AV39" s="257">
        <f t="shared" si="5"/>
        <v>0</v>
      </c>
      <c r="AW39" s="224">
        <f t="shared" si="6"/>
        <v>0</v>
      </c>
      <c r="AX39" s="224">
        <f t="shared" si="7"/>
        <v>0</v>
      </c>
      <c r="AY39" s="224">
        <f t="shared" si="8"/>
        <v>0</v>
      </c>
      <c r="AZ39" s="224">
        <f t="shared" si="9"/>
        <v>0</v>
      </c>
      <c r="BA39" s="224">
        <f t="shared" si="10"/>
        <v>0</v>
      </c>
      <c r="BB39" s="224">
        <f t="shared" si="11"/>
        <v>0</v>
      </c>
      <c r="BC39" s="224">
        <f t="shared" si="12"/>
        <v>0</v>
      </c>
      <c r="BD39" s="224">
        <f t="shared" si="13"/>
        <v>0</v>
      </c>
      <c r="BE39" s="224">
        <f t="shared" si="14"/>
        <v>0</v>
      </c>
      <c r="BF39" s="224">
        <f t="shared" si="15"/>
        <v>0</v>
      </c>
      <c r="BG39" s="224">
        <f t="shared" si="16"/>
        <v>0</v>
      </c>
      <c r="BH39" s="224">
        <f t="shared" si="17"/>
        <v>0</v>
      </c>
      <c r="BI39" s="258">
        <f t="shared" si="18"/>
        <v>0</v>
      </c>
      <c r="BJ39" s="258">
        <f t="shared" si="19"/>
        <v>0</v>
      </c>
      <c r="BK39" s="258">
        <f t="shared" si="20"/>
        <v>0</v>
      </c>
      <c r="BL39" s="258">
        <f t="shared" si="21"/>
        <v>0</v>
      </c>
      <c r="BM39" s="258">
        <f t="shared" si="22"/>
        <v>0</v>
      </c>
      <c r="BN39" s="258">
        <f t="shared" si="23"/>
        <v>0</v>
      </c>
      <c r="BO39" s="258">
        <f t="shared" si="24"/>
        <v>0</v>
      </c>
      <c r="BP39" s="258">
        <f t="shared" si="25"/>
        <v>0</v>
      </c>
      <c r="BQ39" s="259">
        <f t="shared" si="26"/>
        <v>0</v>
      </c>
    </row>
    <row r="40" spans="1:69">
      <c r="A40" s="199" t="str">
        <f>Est2017TransRev!A40</f>
        <v>DLCXXNR</v>
      </c>
      <c r="B40" s="249" t="str">
        <f>Est2017TransRev!B40</f>
        <v>Large Low Voltage Demand EN.NRCXX</v>
      </c>
      <c r="C40" s="279"/>
      <c r="D40" s="671">
        <v>0</v>
      </c>
      <c r="E40" s="252">
        <v>0</v>
      </c>
      <c r="F40" s="252">
        <v>0</v>
      </c>
      <c r="G40" s="252"/>
      <c r="H40" s="252"/>
      <c r="I40" s="252">
        <v>0</v>
      </c>
      <c r="J40" s="252"/>
      <c r="K40" s="252"/>
      <c r="L40" s="252"/>
      <c r="M40" s="252">
        <v>0</v>
      </c>
      <c r="N40" s="252"/>
      <c r="O40" s="252">
        <v>0</v>
      </c>
      <c r="P40" s="252">
        <v>0</v>
      </c>
      <c r="Q40" s="252">
        <v>0</v>
      </c>
      <c r="R40" s="252">
        <v>0</v>
      </c>
      <c r="S40" s="252">
        <v>0</v>
      </c>
      <c r="T40" s="252"/>
      <c r="U40" s="252">
        <v>0</v>
      </c>
      <c r="V40" s="252">
        <v>0</v>
      </c>
      <c r="W40" s="252">
        <v>0</v>
      </c>
      <c r="X40" s="280"/>
      <c r="Z40" s="281">
        <f>Est2017TransRev!Z40</f>
        <v>0</v>
      </c>
      <c r="AA40" s="255">
        <f>Est2017TransRev!AA40</f>
        <v>0</v>
      </c>
      <c r="AB40" s="255">
        <f>Est2017TransRev!AB40</f>
        <v>0</v>
      </c>
      <c r="AC40" s="255">
        <f>Est2017TransRev!AC40</f>
        <v>0</v>
      </c>
      <c r="AD40" s="255">
        <f>Est2017TransRev!AD40</f>
        <v>0</v>
      </c>
      <c r="AE40" s="255">
        <f>Est2017TransRev!AE40</f>
        <v>0</v>
      </c>
      <c r="AF40" s="255">
        <f>Est2017TransRev!AF40</f>
        <v>0</v>
      </c>
      <c r="AG40" s="255">
        <f>Est2017TransRev!AG40</f>
        <v>0</v>
      </c>
      <c r="AH40" s="255">
        <f>Est2017TransRev!AH40</f>
        <v>0</v>
      </c>
      <c r="AI40" s="255">
        <f>Est2017TransRev!AI40</f>
        <v>0</v>
      </c>
      <c r="AJ40" s="255">
        <f>Est2017TransRev!AJ40</f>
        <v>0</v>
      </c>
      <c r="AK40" s="255">
        <f>Est2017TransRev!AK40</f>
        <v>0</v>
      </c>
      <c r="AL40" s="255">
        <f>Est2017TransRev!AL40</f>
        <v>0</v>
      </c>
      <c r="AM40" s="255">
        <f>Est2017TransRev!AM40</f>
        <v>0</v>
      </c>
      <c r="AN40" s="255">
        <f>Est2017TransRev!AN40</f>
        <v>0</v>
      </c>
      <c r="AO40" s="255">
        <f>Est2017TransRev!AO40</f>
        <v>0</v>
      </c>
      <c r="AP40" s="255">
        <f>Est2017TransRev!AP40</f>
        <v>0</v>
      </c>
      <c r="AQ40" s="255">
        <f>Est2017TransRev!AQ40</f>
        <v>0</v>
      </c>
      <c r="AR40" s="255">
        <f>Est2017TransRev!AR40</f>
        <v>0</v>
      </c>
      <c r="AS40" s="255">
        <f>Est2017TransRev!AS40</f>
        <v>0</v>
      </c>
      <c r="AT40" s="282">
        <f>Est2017TransRev!AT40</f>
        <v>0</v>
      </c>
      <c r="AV40" s="257">
        <f t="shared" si="5"/>
        <v>0</v>
      </c>
      <c r="AW40" s="224">
        <f t="shared" si="6"/>
        <v>0</v>
      </c>
      <c r="AX40" s="224">
        <f t="shared" si="7"/>
        <v>0</v>
      </c>
      <c r="AY40" s="224">
        <f t="shared" si="8"/>
        <v>0</v>
      </c>
      <c r="AZ40" s="224">
        <f t="shared" si="9"/>
        <v>0</v>
      </c>
      <c r="BA40" s="224">
        <f t="shared" si="10"/>
        <v>0</v>
      </c>
      <c r="BB40" s="224">
        <f t="shared" si="11"/>
        <v>0</v>
      </c>
      <c r="BC40" s="224">
        <f t="shared" si="12"/>
        <v>0</v>
      </c>
      <c r="BD40" s="224">
        <f t="shared" si="13"/>
        <v>0</v>
      </c>
      <c r="BE40" s="224">
        <f t="shared" si="14"/>
        <v>0</v>
      </c>
      <c r="BF40" s="224">
        <f t="shared" si="15"/>
        <v>0</v>
      </c>
      <c r="BG40" s="224">
        <f t="shared" si="16"/>
        <v>0</v>
      </c>
      <c r="BH40" s="224">
        <f t="shared" si="17"/>
        <v>0</v>
      </c>
      <c r="BI40" s="258">
        <f t="shared" si="18"/>
        <v>0</v>
      </c>
      <c r="BJ40" s="258">
        <f t="shared" si="19"/>
        <v>0</v>
      </c>
      <c r="BK40" s="258">
        <f t="shared" si="20"/>
        <v>0</v>
      </c>
      <c r="BL40" s="258">
        <f t="shared" si="21"/>
        <v>0</v>
      </c>
      <c r="BM40" s="258">
        <f t="shared" si="22"/>
        <v>0</v>
      </c>
      <c r="BN40" s="258">
        <f t="shared" si="23"/>
        <v>0</v>
      </c>
      <c r="BO40" s="258">
        <f t="shared" si="24"/>
        <v>0</v>
      </c>
      <c r="BP40" s="258">
        <f t="shared" si="25"/>
        <v>0</v>
      </c>
      <c r="BQ40" s="259">
        <f t="shared" si="26"/>
        <v>0</v>
      </c>
    </row>
    <row r="41" spans="1:69">
      <c r="A41" s="199" t="str">
        <f>Est2017TransRev!A41</f>
        <v>HV</v>
      </c>
      <c r="B41" s="249" t="str">
        <f>Est2017TransRev!B41</f>
        <v>High Voltage</v>
      </c>
      <c r="C41" s="279"/>
      <c r="D41" s="671">
        <v>0</v>
      </c>
      <c r="E41" s="252">
        <v>0</v>
      </c>
      <c r="F41" s="252">
        <v>0</v>
      </c>
      <c r="G41" s="252"/>
      <c r="H41" s="252"/>
      <c r="I41" s="252">
        <v>0</v>
      </c>
      <c r="J41" s="252"/>
      <c r="K41" s="252"/>
      <c r="L41" s="252"/>
      <c r="M41" s="252">
        <v>0</v>
      </c>
      <c r="N41" s="252"/>
      <c r="O41" s="252">
        <v>0</v>
      </c>
      <c r="P41" s="252">
        <v>0</v>
      </c>
      <c r="Q41" s="252">
        <v>0</v>
      </c>
      <c r="R41" s="252">
        <v>0</v>
      </c>
      <c r="S41" s="252">
        <v>0</v>
      </c>
      <c r="T41" s="252"/>
      <c r="U41" s="252">
        <v>0</v>
      </c>
      <c r="V41" s="252">
        <v>0</v>
      </c>
      <c r="W41" s="252">
        <v>0</v>
      </c>
      <c r="X41" s="280"/>
      <c r="Z41" s="281">
        <f>Est2017TransRev!Z41</f>
        <v>173.81874999999999</v>
      </c>
      <c r="AA41" s="255">
        <f>Est2017TransRev!AA41</f>
        <v>0</v>
      </c>
      <c r="AB41" s="255">
        <f>Est2017TransRev!AB41</f>
        <v>866527587.12425518</v>
      </c>
      <c r="AC41" s="255">
        <f>Est2017TransRev!AC41</f>
        <v>0</v>
      </c>
      <c r="AD41" s="255">
        <f>Est2017TransRev!AD41</f>
        <v>0</v>
      </c>
      <c r="AE41" s="255">
        <f>Est2017TransRev!AE41</f>
        <v>805521167.20593274</v>
      </c>
      <c r="AF41" s="255">
        <f>Est2017TransRev!AF41</f>
        <v>0</v>
      </c>
      <c r="AG41" s="255">
        <f>Est2017TransRev!AG41</f>
        <v>0</v>
      </c>
      <c r="AH41" s="255">
        <f>Est2017TransRev!AH41</f>
        <v>0</v>
      </c>
      <c r="AI41" s="255">
        <f>Est2017TransRev!AI41</f>
        <v>414871.22409972386</v>
      </c>
      <c r="AJ41" s="255">
        <f>Est2017TransRev!AJ41</f>
        <v>0</v>
      </c>
      <c r="AK41" s="255">
        <f>Est2017TransRev!AK41</f>
        <v>0</v>
      </c>
      <c r="AL41" s="255">
        <f>Est2017TransRev!AL41</f>
        <v>0</v>
      </c>
      <c r="AM41" s="255">
        <f>Est2017TransRev!AM41</f>
        <v>0</v>
      </c>
      <c r="AN41" s="255">
        <f>Est2017TransRev!AN41</f>
        <v>0</v>
      </c>
      <c r="AO41" s="255">
        <f>Est2017TransRev!AO41</f>
        <v>0</v>
      </c>
      <c r="AP41" s="255">
        <f>Est2017TransRev!AP41</f>
        <v>0</v>
      </c>
      <c r="AQ41" s="255">
        <f>Est2017TransRev!AQ41</f>
        <v>0</v>
      </c>
      <c r="AR41" s="255">
        <f>Est2017TransRev!AR41</f>
        <v>0</v>
      </c>
      <c r="AS41" s="255">
        <f>Est2017TransRev!AS41</f>
        <v>0</v>
      </c>
      <c r="AT41" s="282">
        <f>Est2017TransRev!AT41</f>
        <v>0</v>
      </c>
      <c r="AV41" s="257">
        <f t="shared" si="5"/>
        <v>0</v>
      </c>
      <c r="AW41" s="224">
        <f t="shared" si="6"/>
        <v>0</v>
      </c>
      <c r="AX41" s="224">
        <f t="shared" si="7"/>
        <v>0</v>
      </c>
      <c r="AY41" s="224">
        <f t="shared" si="8"/>
        <v>0</v>
      </c>
      <c r="AZ41" s="224">
        <f t="shared" si="9"/>
        <v>0</v>
      </c>
      <c r="BA41" s="224">
        <f t="shared" si="10"/>
        <v>0</v>
      </c>
      <c r="BB41" s="224">
        <f t="shared" si="11"/>
        <v>0</v>
      </c>
      <c r="BC41" s="224">
        <f t="shared" si="12"/>
        <v>0</v>
      </c>
      <c r="BD41" s="224">
        <f t="shared" si="13"/>
        <v>0</v>
      </c>
      <c r="BE41" s="224">
        <f t="shared" si="14"/>
        <v>0</v>
      </c>
      <c r="BF41" s="224">
        <f t="shared" si="15"/>
        <v>0</v>
      </c>
      <c r="BG41" s="224">
        <f t="shared" si="16"/>
        <v>0</v>
      </c>
      <c r="BH41" s="224">
        <f t="shared" si="17"/>
        <v>0</v>
      </c>
      <c r="BI41" s="258">
        <f t="shared" si="18"/>
        <v>0</v>
      </c>
      <c r="BJ41" s="258">
        <f t="shared" si="19"/>
        <v>0</v>
      </c>
      <c r="BK41" s="258">
        <f t="shared" si="20"/>
        <v>0</v>
      </c>
      <c r="BL41" s="258">
        <f t="shared" si="21"/>
        <v>0</v>
      </c>
      <c r="BM41" s="258">
        <f t="shared" si="22"/>
        <v>0</v>
      </c>
      <c r="BN41" s="258">
        <f t="shared" si="23"/>
        <v>0</v>
      </c>
      <c r="BO41" s="258">
        <f t="shared" si="24"/>
        <v>0</v>
      </c>
      <c r="BP41" s="258">
        <f t="shared" si="25"/>
        <v>0</v>
      </c>
      <c r="BQ41" s="259">
        <f t="shared" si="26"/>
        <v>0</v>
      </c>
    </row>
    <row r="42" spans="1:69">
      <c r="A42" s="199" t="str">
        <f>Est2017TransRev!A42</f>
        <v>HVD</v>
      </c>
      <c r="B42" s="249" t="str">
        <f>Est2017TransRev!B42</f>
        <v>High Voltage Docklands</v>
      </c>
      <c r="C42" s="279"/>
      <c r="D42" s="671">
        <v>0</v>
      </c>
      <c r="E42" s="252">
        <v>0</v>
      </c>
      <c r="F42" s="252">
        <v>0</v>
      </c>
      <c r="G42" s="252"/>
      <c r="H42" s="252"/>
      <c r="I42" s="252">
        <v>0</v>
      </c>
      <c r="J42" s="252"/>
      <c r="K42" s="252"/>
      <c r="L42" s="252"/>
      <c r="M42" s="252">
        <v>0</v>
      </c>
      <c r="N42" s="252"/>
      <c r="O42" s="252">
        <v>0</v>
      </c>
      <c r="P42" s="252">
        <v>0</v>
      </c>
      <c r="Q42" s="252">
        <v>0</v>
      </c>
      <c r="R42" s="252">
        <v>0</v>
      </c>
      <c r="S42" s="252">
        <v>0</v>
      </c>
      <c r="T42" s="252"/>
      <c r="U42" s="252">
        <v>0</v>
      </c>
      <c r="V42" s="252">
        <v>0</v>
      </c>
      <c r="W42" s="252">
        <v>0</v>
      </c>
      <c r="X42" s="280"/>
      <c r="Z42" s="281">
        <f>Est2017TransRev!Z42</f>
        <v>6.5</v>
      </c>
      <c r="AA42" s="255">
        <f>Est2017TransRev!AA42</f>
        <v>0</v>
      </c>
      <c r="AB42" s="255">
        <f>Est2017TransRev!AB42</f>
        <v>80638518.275401026</v>
      </c>
      <c r="AC42" s="255">
        <f>Est2017TransRev!AC42</f>
        <v>0</v>
      </c>
      <c r="AD42" s="255">
        <f>Est2017TransRev!AD42</f>
        <v>0</v>
      </c>
      <c r="AE42" s="255">
        <f>Est2017TransRev!AE42</f>
        <v>86976167.704816461</v>
      </c>
      <c r="AF42" s="255">
        <f>Est2017TransRev!AF42</f>
        <v>0</v>
      </c>
      <c r="AG42" s="255">
        <f>Est2017TransRev!AG42</f>
        <v>0</v>
      </c>
      <c r="AH42" s="255">
        <f>Est2017TransRev!AH42</f>
        <v>0</v>
      </c>
      <c r="AI42" s="255">
        <f>Est2017TransRev!AI42</f>
        <v>43838.616959842882</v>
      </c>
      <c r="AJ42" s="255">
        <f>Est2017TransRev!AJ42</f>
        <v>0</v>
      </c>
      <c r="AK42" s="255">
        <f>Est2017TransRev!AK42</f>
        <v>0</v>
      </c>
      <c r="AL42" s="255">
        <f>Est2017TransRev!AL42</f>
        <v>0</v>
      </c>
      <c r="AM42" s="255">
        <f>Est2017TransRev!AM42</f>
        <v>0</v>
      </c>
      <c r="AN42" s="255">
        <f>Est2017TransRev!AN42</f>
        <v>0</v>
      </c>
      <c r="AO42" s="255">
        <f>Est2017TransRev!AO42</f>
        <v>0</v>
      </c>
      <c r="AP42" s="255">
        <f>Est2017TransRev!AP42</f>
        <v>0</v>
      </c>
      <c r="AQ42" s="255">
        <f>Est2017TransRev!AQ42</f>
        <v>0</v>
      </c>
      <c r="AR42" s="255">
        <f>Est2017TransRev!AR42</f>
        <v>0</v>
      </c>
      <c r="AS42" s="255">
        <f>Est2017TransRev!AS42</f>
        <v>0</v>
      </c>
      <c r="AT42" s="282">
        <f>Est2017TransRev!AT42</f>
        <v>0</v>
      </c>
      <c r="AV42" s="257">
        <f t="shared" si="5"/>
        <v>0</v>
      </c>
      <c r="AW42" s="224">
        <f t="shared" si="6"/>
        <v>0</v>
      </c>
      <c r="AX42" s="224">
        <f t="shared" si="7"/>
        <v>0</v>
      </c>
      <c r="AY42" s="224">
        <f t="shared" si="8"/>
        <v>0</v>
      </c>
      <c r="AZ42" s="224">
        <f t="shared" si="9"/>
        <v>0</v>
      </c>
      <c r="BA42" s="224">
        <f t="shared" si="10"/>
        <v>0</v>
      </c>
      <c r="BB42" s="224">
        <f t="shared" si="11"/>
        <v>0</v>
      </c>
      <c r="BC42" s="224">
        <f t="shared" si="12"/>
        <v>0</v>
      </c>
      <c r="BD42" s="224">
        <f t="shared" si="13"/>
        <v>0</v>
      </c>
      <c r="BE42" s="224">
        <f t="shared" si="14"/>
        <v>0</v>
      </c>
      <c r="BF42" s="224">
        <f t="shared" si="15"/>
        <v>0</v>
      </c>
      <c r="BG42" s="224">
        <f t="shared" si="16"/>
        <v>0</v>
      </c>
      <c r="BH42" s="224">
        <f t="shared" si="17"/>
        <v>0</v>
      </c>
      <c r="BI42" s="258">
        <f t="shared" si="18"/>
        <v>0</v>
      </c>
      <c r="BJ42" s="258">
        <f t="shared" si="19"/>
        <v>0</v>
      </c>
      <c r="BK42" s="258">
        <f t="shared" si="20"/>
        <v>0</v>
      </c>
      <c r="BL42" s="258">
        <f t="shared" si="21"/>
        <v>0</v>
      </c>
      <c r="BM42" s="258">
        <f t="shared" si="22"/>
        <v>0</v>
      </c>
      <c r="BN42" s="258">
        <f t="shared" si="23"/>
        <v>0</v>
      </c>
      <c r="BO42" s="258">
        <f t="shared" si="24"/>
        <v>0</v>
      </c>
      <c r="BP42" s="258">
        <f t="shared" si="25"/>
        <v>0</v>
      </c>
      <c r="BQ42" s="259">
        <f t="shared" si="26"/>
        <v>0</v>
      </c>
    </row>
    <row r="43" spans="1:69">
      <c r="A43" s="199" t="str">
        <f>Est2017TransRev!A43</f>
        <v>DH</v>
      </c>
      <c r="B43" s="249" t="str">
        <f>Est2017TransRev!B43</f>
        <v>High Voltage Demand</v>
      </c>
      <c r="C43" s="279"/>
      <c r="D43" s="671">
        <v>0</v>
      </c>
      <c r="E43" s="252">
        <v>0</v>
      </c>
      <c r="F43" s="252">
        <v>0</v>
      </c>
      <c r="G43" s="252"/>
      <c r="H43" s="252"/>
      <c r="I43" s="252">
        <v>0</v>
      </c>
      <c r="J43" s="252"/>
      <c r="K43" s="252"/>
      <c r="L43" s="252"/>
      <c r="M43" s="252">
        <v>0</v>
      </c>
      <c r="N43" s="252"/>
      <c r="O43" s="252">
        <v>0</v>
      </c>
      <c r="P43" s="252">
        <v>0</v>
      </c>
      <c r="Q43" s="252">
        <v>0</v>
      </c>
      <c r="R43" s="252">
        <v>0</v>
      </c>
      <c r="S43" s="252">
        <v>0</v>
      </c>
      <c r="T43" s="252"/>
      <c r="U43" s="252">
        <v>0</v>
      </c>
      <c r="V43" s="252">
        <v>0</v>
      </c>
      <c r="W43" s="252">
        <v>0</v>
      </c>
      <c r="X43" s="280"/>
      <c r="Z43" s="281">
        <f>Est2017TransRev!Z43</f>
        <v>0</v>
      </c>
      <c r="AA43" s="255">
        <f>Est2017TransRev!AA43</f>
        <v>0</v>
      </c>
      <c r="AB43" s="255">
        <f>Est2017TransRev!AB43</f>
        <v>0</v>
      </c>
      <c r="AC43" s="255">
        <f>Est2017TransRev!AC43</f>
        <v>0</v>
      </c>
      <c r="AD43" s="255">
        <f>Est2017TransRev!AD43</f>
        <v>0</v>
      </c>
      <c r="AE43" s="255">
        <f>Est2017TransRev!AE43</f>
        <v>0</v>
      </c>
      <c r="AF43" s="255">
        <f>Est2017TransRev!AF43</f>
        <v>0</v>
      </c>
      <c r="AG43" s="255">
        <f>Est2017TransRev!AG43</f>
        <v>0</v>
      </c>
      <c r="AH43" s="255">
        <f>Est2017TransRev!AH43</f>
        <v>0</v>
      </c>
      <c r="AI43" s="255">
        <f>Est2017TransRev!AI43</f>
        <v>0</v>
      </c>
      <c r="AJ43" s="255">
        <f>Est2017TransRev!AJ43</f>
        <v>0</v>
      </c>
      <c r="AK43" s="255">
        <f>Est2017TransRev!AK43</f>
        <v>0</v>
      </c>
      <c r="AL43" s="255">
        <f>Est2017TransRev!AL43</f>
        <v>0</v>
      </c>
      <c r="AM43" s="255">
        <f>Est2017TransRev!AM43</f>
        <v>0</v>
      </c>
      <c r="AN43" s="255">
        <f>Est2017TransRev!AN43</f>
        <v>0</v>
      </c>
      <c r="AO43" s="255">
        <f>Est2017TransRev!AO43</f>
        <v>0</v>
      </c>
      <c r="AP43" s="255">
        <f>Est2017TransRev!AP43</f>
        <v>0</v>
      </c>
      <c r="AQ43" s="255">
        <f>Est2017TransRev!AQ43</f>
        <v>0</v>
      </c>
      <c r="AR43" s="255">
        <f>Est2017TransRev!AR43</f>
        <v>0</v>
      </c>
      <c r="AS43" s="255">
        <f>Est2017TransRev!AS43</f>
        <v>0</v>
      </c>
      <c r="AT43" s="282">
        <f>Est2017TransRev!AT43</f>
        <v>0</v>
      </c>
      <c r="AV43" s="257">
        <f t="shared" si="5"/>
        <v>0</v>
      </c>
      <c r="AW43" s="224">
        <f t="shared" si="6"/>
        <v>0</v>
      </c>
      <c r="AX43" s="224">
        <f t="shared" si="7"/>
        <v>0</v>
      </c>
      <c r="AY43" s="224">
        <f t="shared" si="8"/>
        <v>0</v>
      </c>
      <c r="AZ43" s="224">
        <f t="shared" si="9"/>
        <v>0</v>
      </c>
      <c r="BA43" s="224">
        <f t="shared" si="10"/>
        <v>0</v>
      </c>
      <c r="BB43" s="224">
        <f t="shared" si="11"/>
        <v>0</v>
      </c>
      <c r="BC43" s="224">
        <f t="shared" si="12"/>
        <v>0</v>
      </c>
      <c r="BD43" s="224">
        <f t="shared" si="13"/>
        <v>0</v>
      </c>
      <c r="BE43" s="224">
        <f t="shared" si="14"/>
        <v>0</v>
      </c>
      <c r="BF43" s="224">
        <f t="shared" si="15"/>
        <v>0</v>
      </c>
      <c r="BG43" s="224">
        <f t="shared" si="16"/>
        <v>0</v>
      </c>
      <c r="BH43" s="224">
        <f t="shared" si="17"/>
        <v>0</v>
      </c>
      <c r="BI43" s="258">
        <f t="shared" si="18"/>
        <v>0</v>
      </c>
      <c r="BJ43" s="258">
        <f t="shared" si="19"/>
        <v>0</v>
      </c>
      <c r="BK43" s="258">
        <f t="shared" si="20"/>
        <v>0</v>
      </c>
      <c r="BL43" s="258">
        <f t="shared" si="21"/>
        <v>0</v>
      </c>
      <c r="BM43" s="258">
        <f t="shared" si="22"/>
        <v>0</v>
      </c>
      <c r="BN43" s="258">
        <f t="shared" si="23"/>
        <v>0</v>
      </c>
      <c r="BO43" s="258">
        <f t="shared" si="24"/>
        <v>0</v>
      </c>
      <c r="BP43" s="258">
        <f t="shared" si="25"/>
        <v>0</v>
      </c>
      <c r="BQ43" s="259">
        <f t="shared" si="26"/>
        <v>0</v>
      </c>
    </row>
    <row r="44" spans="1:69">
      <c r="A44" s="199" t="str">
        <f>Est2017TransRev!A44</f>
        <v>DHA</v>
      </c>
      <c r="B44" s="249" t="str">
        <f>Est2017TransRev!B44</f>
        <v>High Voltage Demand A</v>
      </c>
      <c r="C44" s="279"/>
      <c r="D44" s="671">
        <v>0</v>
      </c>
      <c r="E44" s="252">
        <v>0</v>
      </c>
      <c r="F44" s="252">
        <v>0</v>
      </c>
      <c r="G44" s="252"/>
      <c r="H44" s="252"/>
      <c r="I44" s="252">
        <v>0</v>
      </c>
      <c r="J44" s="252"/>
      <c r="K44" s="252"/>
      <c r="L44" s="252"/>
      <c r="M44" s="252">
        <v>0</v>
      </c>
      <c r="N44" s="252"/>
      <c r="O44" s="252">
        <v>0</v>
      </c>
      <c r="P44" s="252">
        <v>0</v>
      </c>
      <c r="Q44" s="252">
        <v>0</v>
      </c>
      <c r="R44" s="252">
        <v>0</v>
      </c>
      <c r="S44" s="252">
        <v>0</v>
      </c>
      <c r="T44" s="252"/>
      <c r="U44" s="252">
        <v>0</v>
      </c>
      <c r="V44" s="252">
        <v>0</v>
      </c>
      <c r="W44" s="252">
        <v>0</v>
      </c>
      <c r="X44" s="280"/>
      <c r="Z44" s="281">
        <f>Est2017TransRev!Z44</f>
        <v>0</v>
      </c>
      <c r="AA44" s="255">
        <f>Est2017TransRev!AA44</f>
        <v>0</v>
      </c>
      <c r="AB44" s="255">
        <f>Est2017TransRev!AB44</f>
        <v>0</v>
      </c>
      <c r="AC44" s="255">
        <f>Est2017TransRev!AC44</f>
        <v>0</v>
      </c>
      <c r="AD44" s="255">
        <f>Est2017TransRev!AD44</f>
        <v>0</v>
      </c>
      <c r="AE44" s="255">
        <f>Est2017TransRev!AE44</f>
        <v>0</v>
      </c>
      <c r="AF44" s="255">
        <f>Est2017TransRev!AF44</f>
        <v>0</v>
      </c>
      <c r="AG44" s="255">
        <f>Est2017TransRev!AG44</f>
        <v>0</v>
      </c>
      <c r="AH44" s="255">
        <f>Est2017TransRev!AH44</f>
        <v>0</v>
      </c>
      <c r="AI44" s="255">
        <f>Est2017TransRev!AI44</f>
        <v>0</v>
      </c>
      <c r="AJ44" s="255">
        <f>Est2017TransRev!AJ44</f>
        <v>0</v>
      </c>
      <c r="AK44" s="255">
        <f>Est2017TransRev!AK44</f>
        <v>0</v>
      </c>
      <c r="AL44" s="255">
        <f>Est2017TransRev!AL44</f>
        <v>0</v>
      </c>
      <c r="AM44" s="255">
        <f>Est2017TransRev!AM44</f>
        <v>0</v>
      </c>
      <c r="AN44" s="255">
        <f>Est2017TransRev!AN44</f>
        <v>0</v>
      </c>
      <c r="AO44" s="255">
        <f>Est2017TransRev!AO44</f>
        <v>0</v>
      </c>
      <c r="AP44" s="255">
        <f>Est2017TransRev!AP44</f>
        <v>0</v>
      </c>
      <c r="AQ44" s="255">
        <f>Est2017TransRev!AQ44</f>
        <v>0</v>
      </c>
      <c r="AR44" s="255">
        <f>Est2017TransRev!AR44</f>
        <v>0</v>
      </c>
      <c r="AS44" s="255">
        <f>Est2017TransRev!AS44</f>
        <v>0</v>
      </c>
      <c r="AT44" s="282">
        <f>Est2017TransRev!AT44</f>
        <v>0</v>
      </c>
      <c r="AV44" s="257">
        <f t="shared" si="5"/>
        <v>0</v>
      </c>
      <c r="AW44" s="224">
        <f t="shared" si="6"/>
        <v>0</v>
      </c>
      <c r="AX44" s="224">
        <f t="shared" si="7"/>
        <v>0</v>
      </c>
      <c r="AY44" s="224">
        <f t="shared" si="8"/>
        <v>0</v>
      </c>
      <c r="AZ44" s="224">
        <f t="shared" si="9"/>
        <v>0</v>
      </c>
      <c r="BA44" s="224">
        <f t="shared" si="10"/>
        <v>0</v>
      </c>
      <c r="BB44" s="224">
        <f t="shared" si="11"/>
        <v>0</v>
      </c>
      <c r="BC44" s="224">
        <f t="shared" si="12"/>
        <v>0</v>
      </c>
      <c r="BD44" s="224">
        <f t="shared" si="13"/>
        <v>0</v>
      </c>
      <c r="BE44" s="224">
        <f t="shared" si="14"/>
        <v>0</v>
      </c>
      <c r="BF44" s="224">
        <f t="shared" si="15"/>
        <v>0</v>
      </c>
      <c r="BG44" s="224">
        <f t="shared" si="16"/>
        <v>0</v>
      </c>
      <c r="BH44" s="224">
        <f t="shared" si="17"/>
        <v>0</v>
      </c>
      <c r="BI44" s="258">
        <f t="shared" si="18"/>
        <v>0</v>
      </c>
      <c r="BJ44" s="258">
        <f t="shared" si="19"/>
        <v>0</v>
      </c>
      <c r="BK44" s="258">
        <f t="shared" si="20"/>
        <v>0</v>
      </c>
      <c r="BL44" s="258">
        <f t="shared" si="21"/>
        <v>0</v>
      </c>
      <c r="BM44" s="258">
        <f t="shared" si="22"/>
        <v>0</v>
      </c>
      <c r="BN44" s="258">
        <f t="shared" si="23"/>
        <v>0</v>
      </c>
      <c r="BO44" s="258">
        <f t="shared" si="24"/>
        <v>0</v>
      </c>
      <c r="BP44" s="258">
        <f t="shared" si="25"/>
        <v>0</v>
      </c>
      <c r="BQ44" s="259">
        <f t="shared" si="26"/>
        <v>0</v>
      </c>
    </row>
    <row r="45" spans="1:69">
      <c r="A45" s="199" t="str">
        <f>Est2017TransRev!A45</f>
        <v>DHC</v>
      </c>
      <c r="B45" s="249" t="str">
        <f>Est2017TransRev!B45</f>
        <v>High Voltage Demand C</v>
      </c>
      <c r="C45" s="279"/>
      <c r="D45" s="671">
        <v>0</v>
      </c>
      <c r="E45" s="252">
        <v>0</v>
      </c>
      <c r="F45" s="252">
        <v>0</v>
      </c>
      <c r="G45" s="252"/>
      <c r="H45" s="252"/>
      <c r="I45" s="252">
        <v>0</v>
      </c>
      <c r="J45" s="252"/>
      <c r="K45" s="252"/>
      <c r="L45" s="252"/>
      <c r="M45" s="252">
        <v>0</v>
      </c>
      <c r="N45" s="252"/>
      <c r="O45" s="252">
        <v>0</v>
      </c>
      <c r="P45" s="252">
        <v>0</v>
      </c>
      <c r="Q45" s="252">
        <v>0</v>
      </c>
      <c r="R45" s="252">
        <v>0</v>
      </c>
      <c r="S45" s="252">
        <v>0</v>
      </c>
      <c r="T45" s="252"/>
      <c r="U45" s="252">
        <v>0</v>
      </c>
      <c r="V45" s="252">
        <v>0</v>
      </c>
      <c r="W45" s="252">
        <v>0</v>
      </c>
      <c r="X45" s="280"/>
      <c r="Z45" s="281">
        <f>Est2017TransRev!Z45</f>
        <v>0</v>
      </c>
      <c r="AA45" s="255">
        <f>Est2017TransRev!AA45</f>
        <v>0</v>
      </c>
      <c r="AB45" s="255">
        <f>Est2017TransRev!AB45</f>
        <v>0</v>
      </c>
      <c r="AC45" s="255">
        <f>Est2017TransRev!AC45</f>
        <v>0</v>
      </c>
      <c r="AD45" s="255">
        <f>Est2017TransRev!AD45</f>
        <v>0</v>
      </c>
      <c r="AE45" s="255">
        <f>Est2017TransRev!AE45</f>
        <v>0</v>
      </c>
      <c r="AF45" s="255">
        <f>Est2017TransRev!AF45</f>
        <v>0</v>
      </c>
      <c r="AG45" s="255">
        <f>Est2017TransRev!AG45</f>
        <v>0</v>
      </c>
      <c r="AH45" s="255">
        <f>Est2017TransRev!AH45</f>
        <v>0</v>
      </c>
      <c r="AI45" s="255">
        <f>Est2017TransRev!AI45</f>
        <v>0</v>
      </c>
      <c r="AJ45" s="255">
        <f>Est2017TransRev!AJ45</f>
        <v>0</v>
      </c>
      <c r="AK45" s="255">
        <f>Est2017TransRev!AK45</f>
        <v>0</v>
      </c>
      <c r="AL45" s="255">
        <f>Est2017TransRev!AL45</f>
        <v>0</v>
      </c>
      <c r="AM45" s="255">
        <f>Est2017TransRev!AM45</f>
        <v>0</v>
      </c>
      <c r="AN45" s="255">
        <f>Est2017TransRev!AN45</f>
        <v>0</v>
      </c>
      <c r="AO45" s="255">
        <f>Est2017TransRev!AO45</f>
        <v>0</v>
      </c>
      <c r="AP45" s="255">
        <f>Est2017TransRev!AP45</f>
        <v>0</v>
      </c>
      <c r="AQ45" s="255">
        <f>Est2017TransRev!AQ45</f>
        <v>0</v>
      </c>
      <c r="AR45" s="255">
        <f>Est2017TransRev!AR45</f>
        <v>0</v>
      </c>
      <c r="AS45" s="255">
        <f>Est2017TransRev!AS45</f>
        <v>0</v>
      </c>
      <c r="AT45" s="282">
        <f>Est2017TransRev!AT45</f>
        <v>0</v>
      </c>
      <c r="AV45" s="257">
        <f t="shared" si="5"/>
        <v>0</v>
      </c>
      <c r="AW45" s="224">
        <f t="shared" si="6"/>
        <v>0</v>
      </c>
      <c r="AX45" s="224">
        <f t="shared" si="7"/>
        <v>0</v>
      </c>
      <c r="AY45" s="224">
        <f t="shared" si="8"/>
        <v>0</v>
      </c>
      <c r="AZ45" s="224">
        <f t="shared" si="9"/>
        <v>0</v>
      </c>
      <c r="BA45" s="224">
        <f t="shared" si="10"/>
        <v>0</v>
      </c>
      <c r="BB45" s="224">
        <f t="shared" si="11"/>
        <v>0</v>
      </c>
      <c r="BC45" s="224">
        <f t="shared" si="12"/>
        <v>0</v>
      </c>
      <c r="BD45" s="224">
        <f t="shared" si="13"/>
        <v>0</v>
      </c>
      <c r="BE45" s="224">
        <f t="shared" si="14"/>
        <v>0</v>
      </c>
      <c r="BF45" s="224">
        <f t="shared" si="15"/>
        <v>0</v>
      </c>
      <c r="BG45" s="224">
        <f t="shared" si="16"/>
        <v>0</v>
      </c>
      <c r="BH45" s="224">
        <f t="shared" si="17"/>
        <v>0</v>
      </c>
      <c r="BI45" s="258">
        <f t="shared" si="18"/>
        <v>0</v>
      </c>
      <c r="BJ45" s="258">
        <f t="shared" si="19"/>
        <v>0</v>
      </c>
      <c r="BK45" s="258">
        <f t="shared" si="20"/>
        <v>0</v>
      </c>
      <c r="BL45" s="258">
        <f t="shared" si="21"/>
        <v>0</v>
      </c>
      <c r="BM45" s="258">
        <f t="shared" si="22"/>
        <v>0</v>
      </c>
      <c r="BN45" s="258">
        <f t="shared" si="23"/>
        <v>0</v>
      </c>
      <c r="BO45" s="258">
        <f t="shared" si="24"/>
        <v>0</v>
      </c>
      <c r="BP45" s="258">
        <f t="shared" si="25"/>
        <v>0</v>
      </c>
      <c r="BQ45" s="259">
        <f t="shared" si="26"/>
        <v>0</v>
      </c>
    </row>
    <row r="46" spans="1:69">
      <c r="A46" s="199" t="str">
        <f>Est2017TransRev!A46</f>
        <v>DHD1</v>
      </c>
      <c r="B46" s="249" t="str">
        <f>Est2017TransRev!B46</f>
        <v>High Voltage Demand D1</v>
      </c>
      <c r="C46" s="279"/>
      <c r="D46" s="671">
        <v>0</v>
      </c>
      <c r="E46" s="252">
        <v>0</v>
      </c>
      <c r="F46" s="252">
        <v>0</v>
      </c>
      <c r="G46" s="252"/>
      <c r="H46" s="252"/>
      <c r="I46" s="252">
        <v>0</v>
      </c>
      <c r="J46" s="252"/>
      <c r="K46" s="252"/>
      <c r="L46" s="252"/>
      <c r="M46" s="252">
        <v>0</v>
      </c>
      <c r="N46" s="252"/>
      <c r="O46" s="252">
        <v>0</v>
      </c>
      <c r="P46" s="252">
        <v>0</v>
      </c>
      <c r="Q46" s="252">
        <v>0</v>
      </c>
      <c r="R46" s="252">
        <v>0</v>
      </c>
      <c r="S46" s="252">
        <v>0</v>
      </c>
      <c r="T46" s="252"/>
      <c r="U46" s="252">
        <v>0</v>
      </c>
      <c r="V46" s="252">
        <v>0</v>
      </c>
      <c r="W46" s="252">
        <v>0</v>
      </c>
      <c r="X46" s="280"/>
      <c r="Z46" s="281">
        <f>Est2017TransRev!Z46</f>
        <v>0</v>
      </c>
      <c r="AA46" s="255">
        <f>Est2017TransRev!AA46</f>
        <v>0</v>
      </c>
      <c r="AB46" s="255">
        <f>Est2017TransRev!AB46</f>
        <v>0</v>
      </c>
      <c r="AC46" s="255">
        <f>Est2017TransRev!AC46</f>
        <v>0</v>
      </c>
      <c r="AD46" s="255">
        <f>Est2017TransRev!AD46</f>
        <v>0</v>
      </c>
      <c r="AE46" s="255">
        <f>Est2017TransRev!AE46</f>
        <v>0</v>
      </c>
      <c r="AF46" s="255">
        <f>Est2017TransRev!AF46</f>
        <v>0</v>
      </c>
      <c r="AG46" s="255">
        <f>Est2017TransRev!AG46</f>
        <v>0</v>
      </c>
      <c r="AH46" s="255">
        <f>Est2017TransRev!AH46</f>
        <v>0</v>
      </c>
      <c r="AI46" s="255">
        <f>Est2017TransRev!AI46</f>
        <v>0</v>
      </c>
      <c r="AJ46" s="255">
        <f>Est2017TransRev!AJ46</f>
        <v>0</v>
      </c>
      <c r="AK46" s="255">
        <f>Est2017TransRev!AK46</f>
        <v>0</v>
      </c>
      <c r="AL46" s="255">
        <f>Est2017TransRev!AL46</f>
        <v>0</v>
      </c>
      <c r="AM46" s="255">
        <f>Est2017TransRev!AM46</f>
        <v>0</v>
      </c>
      <c r="AN46" s="255">
        <f>Est2017TransRev!AN46</f>
        <v>0</v>
      </c>
      <c r="AO46" s="255">
        <f>Est2017TransRev!AO46</f>
        <v>0</v>
      </c>
      <c r="AP46" s="255">
        <f>Est2017TransRev!AP46</f>
        <v>0</v>
      </c>
      <c r="AQ46" s="255">
        <f>Est2017TransRev!AQ46</f>
        <v>0</v>
      </c>
      <c r="AR46" s="255">
        <f>Est2017TransRev!AR46</f>
        <v>0</v>
      </c>
      <c r="AS46" s="255">
        <f>Est2017TransRev!AS46</f>
        <v>0</v>
      </c>
      <c r="AT46" s="282">
        <f>Est2017TransRev!AT46</f>
        <v>0</v>
      </c>
      <c r="AV46" s="257">
        <f t="shared" si="5"/>
        <v>0</v>
      </c>
      <c r="AW46" s="224">
        <f t="shared" si="6"/>
        <v>0</v>
      </c>
      <c r="AX46" s="224">
        <f t="shared" si="7"/>
        <v>0</v>
      </c>
      <c r="AY46" s="224">
        <f t="shared" si="8"/>
        <v>0</v>
      </c>
      <c r="AZ46" s="224">
        <f t="shared" si="9"/>
        <v>0</v>
      </c>
      <c r="BA46" s="224">
        <f t="shared" si="10"/>
        <v>0</v>
      </c>
      <c r="BB46" s="224">
        <f t="shared" si="11"/>
        <v>0</v>
      </c>
      <c r="BC46" s="224">
        <f t="shared" si="12"/>
        <v>0</v>
      </c>
      <c r="BD46" s="224">
        <f t="shared" si="13"/>
        <v>0</v>
      </c>
      <c r="BE46" s="224">
        <f t="shared" si="14"/>
        <v>0</v>
      </c>
      <c r="BF46" s="224">
        <f t="shared" si="15"/>
        <v>0</v>
      </c>
      <c r="BG46" s="224">
        <f t="shared" si="16"/>
        <v>0</v>
      </c>
      <c r="BH46" s="224">
        <f t="shared" si="17"/>
        <v>0</v>
      </c>
      <c r="BI46" s="258">
        <f t="shared" si="18"/>
        <v>0</v>
      </c>
      <c r="BJ46" s="258">
        <f t="shared" si="19"/>
        <v>0</v>
      </c>
      <c r="BK46" s="258">
        <f t="shared" si="20"/>
        <v>0</v>
      </c>
      <c r="BL46" s="258">
        <f t="shared" si="21"/>
        <v>0</v>
      </c>
      <c r="BM46" s="258">
        <f t="shared" si="22"/>
        <v>0</v>
      </c>
      <c r="BN46" s="258">
        <f t="shared" si="23"/>
        <v>0</v>
      </c>
      <c r="BO46" s="258">
        <f t="shared" si="24"/>
        <v>0</v>
      </c>
      <c r="BP46" s="258">
        <f t="shared" si="25"/>
        <v>0</v>
      </c>
      <c r="BQ46" s="259">
        <f t="shared" si="26"/>
        <v>0</v>
      </c>
    </row>
    <row r="47" spans="1:69">
      <c r="A47" s="199" t="str">
        <f>Est2017TransRev!A47</f>
        <v>DHD2</v>
      </c>
      <c r="B47" s="249" t="str">
        <f>Est2017TransRev!B47</f>
        <v>High Voltage Demand D2</v>
      </c>
      <c r="C47" s="279"/>
      <c r="D47" s="671">
        <v>0</v>
      </c>
      <c r="E47" s="252">
        <v>0</v>
      </c>
      <c r="F47" s="252">
        <v>0</v>
      </c>
      <c r="G47" s="252"/>
      <c r="H47" s="252"/>
      <c r="I47" s="252">
        <v>0</v>
      </c>
      <c r="J47" s="252"/>
      <c r="K47" s="252"/>
      <c r="L47" s="252"/>
      <c r="M47" s="252">
        <v>0</v>
      </c>
      <c r="N47" s="252"/>
      <c r="O47" s="252">
        <v>0</v>
      </c>
      <c r="P47" s="252">
        <v>0</v>
      </c>
      <c r="Q47" s="252">
        <v>0</v>
      </c>
      <c r="R47" s="252">
        <v>0</v>
      </c>
      <c r="S47" s="252">
        <v>0</v>
      </c>
      <c r="T47" s="252"/>
      <c r="U47" s="252">
        <v>0</v>
      </c>
      <c r="V47" s="252">
        <v>0</v>
      </c>
      <c r="W47" s="252">
        <v>0</v>
      </c>
      <c r="X47" s="280"/>
      <c r="Z47" s="281">
        <f>Est2017TransRev!Z47</f>
        <v>0</v>
      </c>
      <c r="AA47" s="255">
        <f>Est2017TransRev!AA47</f>
        <v>0</v>
      </c>
      <c r="AB47" s="255">
        <f>Est2017TransRev!AB47</f>
        <v>0</v>
      </c>
      <c r="AC47" s="255">
        <f>Est2017TransRev!AC47</f>
        <v>0</v>
      </c>
      <c r="AD47" s="255">
        <f>Est2017TransRev!AD47</f>
        <v>0</v>
      </c>
      <c r="AE47" s="255">
        <f>Est2017TransRev!AE47</f>
        <v>0</v>
      </c>
      <c r="AF47" s="255">
        <f>Est2017TransRev!AF47</f>
        <v>0</v>
      </c>
      <c r="AG47" s="255">
        <f>Est2017TransRev!AG47</f>
        <v>0</v>
      </c>
      <c r="AH47" s="255">
        <f>Est2017TransRev!AH47</f>
        <v>0</v>
      </c>
      <c r="AI47" s="255">
        <f>Est2017TransRev!AI47</f>
        <v>0</v>
      </c>
      <c r="AJ47" s="255">
        <f>Est2017TransRev!AJ47</f>
        <v>0</v>
      </c>
      <c r="AK47" s="255">
        <f>Est2017TransRev!AK47</f>
        <v>0</v>
      </c>
      <c r="AL47" s="255">
        <f>Est2017TransRev!AL47</f>
        <v>0</v>
      </c>
      <c r="AM47" s="255">
        <f>Est2017TransRev!AM47</f>
        <v>0</v>
      </c>
      <c r="AN47" s="255">
        <f>Est2017TransRev!AN47</f>
        <v>0</v>
      </c>
      <c r="AO47" s="255">
        <f>Est2017TransRev!AO47</f>
        <v>0</v>
      </c>
      <c r="AP47" s="255">
        <f>Est2017TransRev!AP47</f>
        <v>0</v>
      </c>
      <c r="AQ47" s="255">
        <f>Est2017TransRev!AQ47</f>
        <v>0</v>
      </c>
      <c r="AR47" s="255">
        <f>Est2017TransRev!AR47</f>
        <v>0</v>
      </c>
      <c r="AS47" s="255">
        <f>Est2017TransRev!AS47</f>
        <v>0</v>
      </c>
      <c r="AT47" s="282">
        <f>Est2017TransRev!AT47</f>
        <v>0</v>
      </c>
      <c r="AV47" s="257">
        <f t="shared" si="5"/>
        <v>0</v>
      </c>
      <c r="AW47" s="224">
        <f t="shared" si="6"/>
        <v>0</v>
      </c>
      <c r="AX47" s="224">
        <f t="shared" si="7"/>
        <v>0</v>
      </c>
      <c r="AY47" s="224">
        <f t="shared" si="8"/>
        <v>0</v>
      </c>
      <c r="AZ47" s="224">
        <f t="shared" si="9"/>
        <v>0</v>
      </c>
      <c r="BA47" s="224">
        <f t="shared" si="10"/>
        <v>0</v>
      </c>
      <c r="BB47" s="224">
        <f t="shared" si="11"/>
        <v>0</v>
      </c>
      <c r="BC47" s="224">
        <f t="shared" si="12"/>
        <v>0</v>
      </c>
      <c r="BD47" s="224">
        <f t="shared" si="13"/>
        <v>0</v>
      </c>
      <c r="BE47" s="224">
        <f t="shared" si="14"/>
        <v>0</v>
      </c>
      <c r="BF47" s="224">
        <f t="shared" si="15"/>
        <v>0</v>
      </c>
      <c r="BG47" s="224">
        <f t="shared" si="16"/>
        <v>0</v>
      </c>
      <c r="BH47" s="224">
        <f t="shared" si="17"/>
        <v>0</v>
      </c>
      <c r="BI47" s="258">
        <f t="shared" si="18"/>
        <v>0</v>
      </c>
      <c r="BJ47" s="258">
        <f t="shared" si="19"/>
        <v>0</v>
      </c>
      <c r="BK47" s="258">
        <f t="shared" si="20"/>
        <v>0</v>
      </c>
      <c r="BL47" s="258">
        <f t="shared" si="21"/>
        <v>0</v>
      </c>
      <c r="BM47" s="258">
        <f t="shared" si="22"/>
        <v>0</v>
      </c>
      <c r="BN47" s="258">
        <f t="shared" si="23"/>
        <v>0</v>
      </c>
      <c r="BO47" s="258">
        <f t="shared" si="24"/>
        <v>0</v>
      </c>
      <c r="BP47" s="258">
        <f t="shared" si="25"/>
        <v>0</v>
      </c>
      <c r="BQ47" s="259">
        <f t="shared" si="26"/>
        <v>0</v>
      </c>
    </row>
    <row r="48" spans="1:69">
      <c r="A48" s="199" t="str">
        <f>Est2017TransRev!A48</f>
        <v>DHDK</v>
      </c>
      <c r="B48" s="249" t="str">
        <f>Est2017TransRev!B48</f>
        <v>High Voltage Demand Docklands</v>
      </c>
      <c r="D48" s="671">
        <v>0</v>
      </c>
      <c r="E48" s="261">
        <v>0</v>
      </c>
      <c r="F48" s="261">
        <v>0</v>
      </c>
      <c r="G48" s="261"/>
      <c r="H48" s="261"/>
      <c r="I48" s="252">
        <v>0</v>
      </c>
      <c r="J48" s="261"/>
      <c r="K48" s="261"/>
      <c r="L48" s="261"/>
      <c r="M48" s="261">
        <v>0</v>
      </c>
      <c r="N48" s="252"/>
      <c r="O48" s="252">
        <v>0</v>
      </c>
      <c r="P48" s="252">
        <v>0</v>
      </c>
      <c r="Q48" s="252">
        <v>0</v>
      </c>
      <c r="R48" s="252">
        <v>0</v>
      </c>
      <c r="S48" s="252">
        <v>0</v>
      </c>
      <c r="T48" s="252"/>
      <c r="U48" s="252">
        <v>0</v>
      </c>
      <c r="V48" s="252">
        <v>0</v>
      </c>
      <c r="W48" s="252">
        <v>0</v>
      </c>
      <c r="X48" s="263"/>
      <c r="Z48" s="281">
        <f>Est2017TransRev!Z48</f>
        <v>0</v>
      </c>
      <c r="AA48" s="255">
        <f>Est2017TransRev!AA48</f>
        <v>0</v>
      </c>
      <c r="AB48" s="255">
        <f>Est2017TransRev!AB48</f>
        <v>0</v>
      </c>
      <c r="AC48" s="255">
        <f>Est2017TransRev!AC48</f>
        <v>0</v>
      </c>
      <c r="AD48" s="255">
        <f>Est2017TransRev!AD48</f>
        <v>0</v>
      </c>
      <c r="AE48" s="255">
        <f>Est2017TransRev!AE48</f>
        <v>0</v>
      </c>
      <c r="AF48" s="255">
        <f>Est2017TransRev!AF48</f>
        <v>0</v>
      </c>
      <c r="AG48" s="255">
        <f>Est2017TransRev!AG48</f>
        <v>0</v>
      </c>
      <c r="AH48" s="255">
        <f>Est2017TransRev!AH48</f>
        <v>0</v>
      </c>
      <c r="AI48" s="255">
        <f>Est2017TransRev!AI48</f>
        <v>0</v>
      </c>
      <c r="AJ48" s="255">
        <f>Est2017TransRev!AJ48</f>
        <v>0</v>
      </c>
      <c r="AK48" s="255">
        <f>Est2017TransRev!AK48</f>
        <v>0</v>
      </c>
      <c r="AL48" s="255">
        <f>Est2017TransRev!AL48</f>
        <v>0</v>
      </c>
      <c r="AM48" s="255">
        <f>Est2017TransRev!AM48</f>
        <v>0</v>
      </c>
      <c r="AN48" s="255">
        <f>Est2017TransRev!AN48</f>
        <v>0</v>
      </c>
      <c r="AO48" s="255">
        <f>Est2017TransRev!AO48</f>
        <v>0</v>
      </c>
      <c r="AP48" s="255">
        <f>Est2017TransRev!AP48</f>
        <v>0</v>
      </c>
      <c r="AQ48" s="255">
        <f>Est2017TransRev!AQ48</f>
        <v>0</v>
      </c>
      <c r="AR48" s="255">
        <f>Est2017TransRev!AR48</f>
        <v>0</v>
      </c>
      <c r="AS48" s="255">
        <f>Est2017TransRev!AS48</f>
        <v>0</v>
      </c>
      <c r="AT48" s="282">
        <f>Est2017TransRev!AT48</f>
        <v>0</v>
      </c>
      <c r="AV48" s="257">
        <f t="shared" si="5"/>
        <v>0</v>
      </c>
      <c r="AW48" s="224">
        <f t="shared" si="6"/>
        <v>0</v>
      </c>
      <c r="AX48" s="224">
        <f t="shared" si="7"/>
        <v>0</v>
      </c>
      <c r="AY48" s="224">
        <f t="shared" si="8"/>
        <v>0</v>
      </c>
      <c r="AZ48" s="224">
        <f t="shared" si="9"/>
        <v>0</v>
      </c>
      <c r="BA48" s="224">
        <f t="shared" si="10"/>
        <v>0</v>
      </c>
      <c r="BB48" s="224">
        <f t="shared" si="11"/>
        <v>0</v>
      </c>
      <c r="BC48" s="224">
        <f t="shared" si="12"/>
        <v>0</v>
      </c>
      <c r="BD48" s="224">
        <f t="shared" si="13"/>
        <v>0</v>
      </c>
      <c r="BE48" s="224">
        <f t="shared" si="14"/>
        <v>0</v>
      </c>
      <c r="BF48" s="224">
        <f t="shared" si="15"/>
        <v>0</v>
      </c>
      <c r="BG48" s="224">
        <f t="shared" si="16"/>
        <v>0</v>
      </c>
      <c r="BH48" s="224">
        <f t="shared" si="17"/>
        <v>0</v>
      </c>
      <c r="BI48" s="258">
        <f t="shared" si="18"/>
        <v>0</v>
      </c>
      <c r="BJ48" s="258">
        <f t="shared" si="19"/>
        <v>0</v>
      </c>
      <c r="BK48" s="258">
        <f t="shared" si="20"/>
        <v>0</v>
      </c>
      <c r="BL48" s="258">
        <f t="shared" si="21"/>
        <v>0</v>
      </c>
      <c r="BM48" s="258">
        <f t="shared" si="22"/>
        <v>0</v>
      </c>
      <c r="BN48" s="258">
        <f t="shared" si="23"/>
        <v>0</v>
      </c>
      <c r="BO48" s="258">
        <f t="shared" si="24"/>
        <v>0</v>
      </c>
      <c r="BP48" s="258">
        <f t="shared" si="25"/>
        <v>0</v>
      </c>
      <c r="BQ48" s="259">
        <f t="shared" si="26"/>
        <v>0</v>
      </c>
    </row>
    <row r="49" spans="1:69">
      <c r="A49" s="199" t="str">
        <f>Est2017TransRev!A49</f>
        <v>DHD3</v>
      </c>
      <c r="B49" s="249" t="str">
        <f>Est2017TransRev!B49</f>
        <v>High Voltage Demand D3</v>
      </c>
      <c r="D49" s="671">
        <v>0</v>
      </c>
      <c r="E49" s="261">
        <v>0</v>
      </c>
      <c r="F49" s="261">
        <v>0</v>
      </c>
      <c r="G49" s="261"/>
      <c r="H49" s="261"/>
      <c r="I49" s="252">
        <v>0</v>
      </c>
      <c r="J49" s="261"/>
      <c r="K49" s="261"/>
      <c r="L49" s="261"/>
      <c r="M49" s="261">
        <v>0</v>
      </c>
      <c r="N49" s="252"/>
      <c r="O49" s="252">
        <v>0</v>
      </c>
      <c r="P49" s="252">
        <v>0</v>
      </c>
      <c r="Q49" s="252">
        <v>0</v>
      </c>
      <c r="R49" s="252">
        <v>0</v>
      </c>
      <c r="S49" s="252">
        <v>0</v>
      </c>
      <c r="T49" s="252"/>
      <c r="U49" s="252">
        <v>0</v>
      </c>
      <c r="V49" s="252">
        <v>0</v>
      </c>
      <c r="W49" s="252">
        <v>0</v>
      </c>
      <c r="X49" s="263"/>
      <c r="Z49" s="281">
        <f>Est2017TransRev!Z49</f>
        <v>0</v>
      </c>
      <c r="AA49" s="255">
        <f>Est2017TransRev!AA49</f>
        <v>0</v>
      </c>
      <c r="AB49" s="255">
        <f>Est2017TransRev!AB49</f>
        <v>0</v>
      </c>
      <c r="AC49" s="255">
        <f>Est2017TransRev!AC49</f>
        <v>0</v>
      </c>
      <c r="AD49" s="255">
        <f>Est2017TransRev!AD49</f>
        <v>0</v>
      </c>
      <c r="AE49" s="255">
        <f>Est2017TransRev!AE49</f>
        <v>0</v>
      </c>
      <c r="AF49" s="255">
        <f>Est2017TransRev!AF49</f>
        <v>0</v>
      </c>
      <c r="AG49" s="255">
        <f>Est2017TransRev!AG49</f>
        <v>0</v>
      </c>
      <c r="AH49" s="255">
        <f>Est2017TransRev!AH49</f>
        <v>0</v>
      </c>
      <c r="AI49" s="255">
        <f>Est2017TransRev!AI49</f>
        <v>0</v>
      </c>
      <c r="AJ49" s="255">
        <f>Est2017TransRev!AJ49</f>
        <v>0</v>
      </c>
      <c r="AK49" s="255">
        <f>Est2017TransRev!AK49</f>
        <v>0</v>
      </c>
      <c r="AL49" s="255">
        <f>Est2017TransRev!AL49</f>
        <v>0</v>
      </c>
      <c r="AM49" s="255">
        <f>Est2017TransRev!AM49</f>
        <v>0</v>
      </c>
      <c r="AN49" s="255">
        <f>Est2017TransRev!AN49</f>
        <v>0</v>
      </c>
      <c r="AO49" s="255">
        <f>Est2017TransRev!AO49</f>
        <v>0</v>
      </c>
      <c r="AP49" s="255">
        <f>Est2017TransRev!AP49</f>
        <v>0</v>
      </c>
      <c r="AQ49" s="255">
        <f>Est2017TransRev!AQ49</f>
        <v>0</v>
      </c>
      <c r="AR49" s="255">
        <f>Est2017TransRev!AR49</f>
        <v>0</v>
      </c>
      <c r="AS49" s="255">
        <f>Est2017TransRev!AS49</f>
        <v>0</v>
      </c>
      <c r="AT49" s="282">
        <f>Est2017TransRev!AT49</f>
        <v>0</v>
      </c>
      <c r="AV49" s="257">
        <f t="shared" si="5"/>
        <v>0</v>
      </c>
      <c r="AW49" s="224">
        <f t="shared" si="6"/>
        <v>0</v>
      </c>
      <c r="AX49" s="224">
        <f t="shared" si="7"/>
        <v>0</v>
      </c>
      <c r="AY49" s="224">
        <f t="shared" si="8"/>
        <v>0</v>
      </c>
      <c r="AZ49" s="224">
        <f t="shared" si="9"/>
        <v>0</v>
      </c>
      <c r="BA49" s="224">
        <f t="shared" si="10"/>
        <v>0</v>
      </c>
      <c r="BB49" s="224">
        <f t="shared" si="11"/>
        <v>0</v>
      </c>
      <c r="BC49" s="224">
        <f t="shared" si="12"/>
        <v>0</v>
      </c>
      <c r="BD49" s="224">
        <f t="shared" si="13"/>
        <v>0</v>
      </c>
      <c r="BE49" s="224">
        <f t="shared" si="14"/>
        <v>0</v>
      </c>
      <c r="BF49" s="224">
        <f t="shared" si="15"/>
        <v>0</v>
      </c>
      <c r="BG49" s="224">
        <f t="shared" si="16"/>
        <v>0</v>
      </c>
      <c r="BH49" s="224">
        <f t="shared" si="17"/>
        <v>0</v>
      </c>
      <c r="BI49" s="258">
        <f t="shared" si="18"/>
        <v>0</v>
      </c>
      <c r="BJ49" s="258">
        <f t="shared" si="19"/>
        <v>0</v>
      </c>
      <c r="BK49" s="258">
        <f t="shared" si="20"/>
        <v>0</v>
      </c>
      <c r="BL49" s="258">
        <f t="shared" si="21"/>
        <v>0</v>
      </c>
      <c r="BM49" s="258">
        <f t="shared" si="22"/>
        <v>0</v>
      </c>
      <c r="BN49" s="258">
        <f t="shared" si="23"/>
        <v>0</v>
      </c>
      <c r="BO49" s="258">
        <f t="shared" si="24"/>
        <v>0</v>
      </c>
      <c r="BP49" s="258">
        <f t="shared" si="25"/>
        <v>0</v>
      </c>
      <c r="BQ49" s="259">
        <f t="shared" si="26"/>
        <v>0</v>
      </c>
    </row>
    <row r="50" spans="1:69">
      <c r="A50" s="199" t="str">
        <f>Est2017TransRev!A50</f>
        <v>DHD4</v>
      </c>
      <c r="B50" s="249" t="str">
        <f>Est2017TransRev!B50</f>
        <v>High Voltage Demand D4</v>
      </c>
      <c r="D50" s="671">
        <v>0</v>
      </c>
      <c r="E50" s="261">
        <v>0</v>
      </c>
      <c r="F50" s="261">
        <v>0</v>
      </c>
      <c r="G50" s="261"/>
      <c r="H50" s="261"/>
      <c r="I50" s="252">
        <v>0</v>
      </c>
      <c r="J50" s="261"/>
      <c r="K50" s="261"/>
      <c r="L50" s="261"/>
      <c r="M50" s="261">
        <v>0</v>
      </c>
      <c r="N50" s="252"/>
      <c r="O50" s="252">
        <v>0</v>
      </c>
      <c r="P50" s="252">
        <v>0</v>
      </c>
      <c r="Q50" s="252">
        <v>0</v>
      </c>
      <c r="R50" s="252">
        <v>0</v>
      </c>
      <c r="S50" s="252">
        <v>0</v>
      </c>
      <c r="T50" s="252"/>
      <c r="U50" s="252">
        <v>0</v>
      </c>
      <c r="V50" s="252">
        <v>0</v>
      </c>
      <c r="W50" s="252">
        <v>0</v>
      </c>
      <c r="X50" s="263"/>
      <c r="Z50" s="281">
        <f>Est2017TransRev!Z50</f>
        <v>0</v>
      </c>
      <c r="AA50" s="255">
        <f>Est2017TransRev!AA50</f>
        <v>0</v>
      </c>
      <c r="AB50" s="255">
        <f>Est2017TransRev!AB50</f>
        <v>0</v>
      </c>
      <c r="AC50" s="255">
        <f>Est2017TransRev!AC50</f>
        <v>0</v>
      </c>
      <c r="AD50" s="255">
        <f>Est2017TransRev!AD50</f>
        <v>0</v>
      </c>
      <c r="AE50" s="255">
        <f>Est2017TransRev!AE50</f>
        <v>0</v>
      </c>
      <c r="AF50" s="255">
        <f>Est2017TransRev!AF50</f>
        <v>0</v>
      </c>
      <c r="AG50" s="255">
        <f>Est2017TransRev!AG50</f>
        <v>0</v>
      </c>
      <c r="AH50" s="255">
        <f>Est2017TransRev!AH50</f>
        <v>0</v>
      </c>
      <c r="AI50" s="255">
        <f>Est2017TransRev!AI50</f>
        <v>0</v>
      </c>
      <c r="AJ50" s="255">
        <f>Est2017TransRev!AJ50</f>
        <v>0</v>
      </c>
      <c r="AK50" s="255">
        <f>Est2017TransRev!AK50</f>
        <v>0</v>
      </c>
      <c r="AL50" s="255">
        <f>Est2017TransRev!AL50</f>
        <v>0</v>
      </c>
      <c r="AM50" s="255">
        <f>Est2017TransRev!AM50</f>
        <v>0</v>
      </c>
      <c r="AN50" s="255">
        <f>Est2017TransRev!AN50</f>
        <v>0</v>
      </c>
      <c r="AO50" s="255">
        <f>Est2017TransRev!AO50</f>
        <v>0</v>
      </c>
      <c r="AP50" s="255">
        <f>Est2017TransRev!AP50</f>
        <v>0</v>
      </c>
      <c r="AQ50" s="255">
        <f>Est2017TransRev!AQ50</f>
        <v>0</v>
      </c>
      <c r="AR50" s="255">
        <f>Est2017TransRev!AR50</f>
        <v>0</v>
      </c>
      <c r="AS50" s="255">
        <f>Est2017TransRev!AS50</f>
        <v>0</v>
      </c>
      <c r="AT50" s="282">
        <f>Est2017TransRev!AT50</f>
        <v>0</v>
      </c>
      <c r="AV50" s="257">
        <f t="shared" si="5"/>
        <v>0</v>
      </c>
      <c r="AW50" s="224">
        <f t="shared" si="6"/>
        <v>0</v>
      </c>
      <c r="AX50" s="224">
        <f t="shared" si="7"/>
        <v>0</v>
      </c>
      <c r="AY50" s="224">
        <f t="shared" si="8"/>
        <v>0</v>
      </c>
      <c r="AZ50" s="224">
        <f t="shared" si="9"/>
        <v>0</v>
      </c>
      <c r="BA50" s="224">
        <f t="shared" si="10"/>
        <v>0</v>
      </c>
      <c r="BB50" s="224">
        <f t="shared" si="11"/>
        <v>0</v>
      </c>
      <c r="BC50" s="224">
        <f t="shared" si="12"/>
        <v>0</v>
      </c>
      <c r="BD50" s="224">
        <f t="shared" si="13"/>
        <v>0</v>
      </c>
      <c r="BE50" s="224">
        <f t="shared" si="14"/>
        <v>0</v>
      </c>
      <c r="BF50" s="224">
        <f t="shared" si="15"/>
        <v>0</v>
      </c>
      <c r="BG50" s="224">
        <f t="shared" si="16"/>
        <v>0</v>
      </c>
      <c r="BH50" s="224">
        <f t="shared" si="17"/>
        <v>0</v>
      </c>
      <c r="BI50" s="258">
        <f t="shared" si="18"/>
        <v>0</v>
      </c>
      <c r="BJ50" s="258">
        <f t="shared" si="19"/>
        <v>0</v>
      </c>
      <c r="BK50" s="258">
        <f t="shared" si="20"/>
        <v>0</v>
      </c>
      <c r="BL50" s="258">
        <f t="shared" si="21"/>
        <v>0</v>
      </c>
      <c r="BM50" s="258">
        <f t="shared" si="22"/>
        <v>0</v>
      </c>
      <c r="BN50" s="258">
        <f t="shared" si="23"/>
        <v>0</v>
      </c>
      <c r="BO50" s="258">
        <f t="shared" si="24"/>
        <v>0</v>
      </c>
      <c r="BP50" s="258">
        <f t="shared" si="25"/>
        <v>0</v>
      </c>
      <c r="BQ50" s="259">
        <f t="shared" si="26"/>
        <v>0</v>
      </c>
    </row>
    <row r="51" spans="1:69">
      <c r="A51" s="199" t="str">
        <f>Est2017TransRev!A51</f>
        <v>ST</v>
      </c>
      <c r="B51" s="249" t="str">
        <f>Est2017TransRev!B51</f>
        <v>Subtransmission</v>
      </c>
      <c r="D51" s="671">
        <v>0</v>
      </c>
      <c r="E51" s="261">
        <v>0</v>
      </c>
      <c r="F51" s="261">
        <v>0</v>
      </c>
      <c r="G51" s="261"/>
      <c r="H51" s="261"/>
      <c r="I51" s="252">
        <v>0</v>
      </c>
      <c r="J51" s="261"/>
      <c r="K51" s="261"/>
      <c r="L51" s="261"/>
      <c r="M51" s="261">
        <v>0</v>
      </c>
      <c r="N51" s="252"/>
      <c r="O51" s="252">
        <v>0</v>
      </c>
      <c r="P51" s="252">
        <v>0</v>
      </c>
      <c r="Q51" s="252">
        <v>0</v>
      </c>
      <c r="R51" s="252">
        <v>0</v>
      </c>
      <c r="S51" s="252">
        <v>0</v>
      </c>
      <c r="T51" s="252"/>
      <c r="U51" s="252">
        <v>0</v>
      </c>
      <c r="V51" s="252">
        <v>0</v>
      </c>
      <c r="W51" s="252">
        <v>0</v>
      </c>
      <c r="X51" s="263"/>
      <c r="Z51" s="281">
        <f>Est2017TransRev!Z51</f>
        <v>10</v>
      </c>
      <c r="AA51" s="255">
        <f>Est2017TransRev!AA51</f>
        <v>0</v>
      </c>
      <c r="AB51" s="255">
        <f>Est2017TransRev!AB51</f>
        <v>555253381.44769192</v>
      </c>
      <c r="AC51" s="255">
        <f>Est2017TransRev!AC51</f>
        <v>0</v>
      </c>
      <c r="AD51" s="255">
        <f>Est2017TransRev!AD51</f>
        <v>0</v>
      </c>
      <c r="AE51" s="255">
        <f>Est2017TransRev!AE51</f>
        <v>469027152.06058693</v>
      </c>
      <c r="AF51" s="255">
        <f>Est2017TransRev!AF51</f>
        <v>0</v>
      </c>
      <c r="AG51" s="255">
        <f>Est2017TransRev!AG51</f>
        <v>0</v>
      </c>
      <c r="AH51" s="255">
        <f>Est2017TransRev!AH51</f>
        <v>0</v>
      </c>
      <c r="AI51" s="255">
        <f>Est2017TransRev!AI51</f>
        <v>200469.02553093893</v>
      </c>
      <c r="AJ51" s="255">
        <f>Est2017TransRev!AJ51</f>
        <v>0</v>
      </c>
      <c r="AK51" s="255">
        <f>Est2017TransRev!AK51</f>
        <v>0</v>
      </c>
      <c r="AL51" s="255">
        <f>Est2017TransRev!AL51</f>
        <v>0</v>
      </c>
      <c r="AM51" s="255">
        <f>Est2017TransRev!AM51</f>
        <v>0</v>
      </c>
      <c r="AN51" s="255">
        <f>Est2017TransRev!AN51</f>
        <v>0</v>
      </c>
      <c r="AO51" s="255">
        <f>Est2017TransRev!AO51</f>
        <v>0</v>
      </c>
      <c r="AP51" s="255">
        <f>Est2017TransRev!AP51</f>
        <v>0</v>
      </c>
      <c r="AQ51" s="255">
        <f>Est2017TransRev!AQ51</f>
        <v>0</v>
      </c>
      <c r="AR51" s="255">
        <f>Est2017TransRev!AR51</f>
        <v>0</v>
      </c>
      <c r="AS51" s="255">
        <f>Est2017TransRev!AS51</f>
        <v>0</v>
      </c>
      <c r="AT51" s="282">
        <f>Est2017TransRev!AT51</f>
        <v>0</v>
      </c>
      <c r="AV51" s="257">
        <f t="shared" si="5"/>
        <v>0</v>
      </c>
      <c r="AW51" s="224">
        <f t="shared" si="6"/>
        <v>0</v>
      </c>
      <c r="AX51" s="224">
        <f t="shared" si="7"/>
        <v>0</v>
      </c>
      <c r="AY51" s="224">
        <f t="shared" si="8"/>
        <v>0</v>
      </c>
      <c r="AZ51" s="224">
        <f t="shared" si="9"/>
        <v>0</v>
      </c>
      <c r="BA51" s="224">
        <f t="shared" si="10"/>
        <v>0</v>
      </c>
      <c r="BB51" s="224">
        <f t="shared" si="11"/>
        <v>0</v>
      </c>
      <c r="BC51" s="224">
        <f t="shared" si="12"/>
        <v>0</v>
      </c>
      <c r="BD51" s="224">
        <f t="shared" si="13"/>
        <v>0</v>
      </c>
      <c r="BE51" s="224">
        <f t="shared" si="14"/>
        <v>0</v>
      </c>
      <c r="BF51" s="224">
        <f t="shared" si="15"/>
        <v>0</v>
      </c>
      <c r="BG51" s="224">
        <f t="shared" si="16"/>
        <v>0</v>
      </c>
      <c r="BH51" s="224">
        <f t="shared" si="17"/>
        <v>0</v>
      </c>
      <c r="BI51" s="258">
        <f t="shared" si="18"/>
        <v>0</v>
      </c>
      <c r="BJ51" s="258">
        <f t="shared" si="19"/>
        <v>0</v>
      </c>
      <c r="BK51" s="258">
        <f t="shared" si="20"/>
        <v>0</v>
      </c>
      <c r="BL51" s="258">
        <f t="shared" si="21"/>
        <v>0</v>
      </c>
      <c r="BM51" s="258">
        <f t="shared" si="22"/>
        <v>0</v>
      </c>
      <c r="BN51" s="258">
        <f t="shared" si="23"/>
        <v>0</v>
      </c>
      <c r="BO51" s="258">
        <f t="shared" si="24"/>
        <v>0</v>
      </c>
      <c r="BP51" s="258">
        <f t="shared" si="25"/>
        <v>0</v>
      </c>
      <c r="BQ51" s="259">
        <f t="shared" si="26"/>
        <v>0</v>
      </c>
    </row>
    <row r="52" spans="1:69">
      <c r="A52" s="199" t="str">
        <f>Est2017TransRev!A52</f>
        <v>DSA</v>
      </c>
      <c r="B52" s="249" t="str">
        <f>Est2017TransRev!B52</f>
        <v>Subtransmission Demand A</v>
      </c>
      <c r="D52" s="671">
        <v>0</v>
      </c>
      <c r="E52" s="261">
        <v>0</v>
      </c>
      <c r="F52" s="261">
        <v>0</v>
      </c>
      <c r="G52" s="261"/>
      <c r="H52" s="261"/>
      <c r="I52" s="252">
        <v>0</v>
      </c>
      <c r="J52" s="261"/>
      <c r="K52" s="261"/>
      <c r="L52" s="261"/>
      <c r="M52" s="261">
        <v>0</v>
      </c>
      <c r="N52" s="252"/>
      <c r="O52" s="252">
        <v>0</v>
      </c>
      <c r="P52" s="252">
        <v>0</v>
      </c>
      <c r="Q52" s="252">
        <v>0</v>
      </c>
      <c r="R52" s="252">
        <v>0</v>
      </c>
      <c r="S52" s="252">
        <v>0</v>
      </c>
      <c r="T52" s="252"/>
      <c r="U52" s="252">
        <v>0</v>
      </c>
      <c r="V52" s="252">
        <v>0</v>
      </c>
      <c r="W52" s="252">
        <v>0</v>
      </c>
      <c r="X52" s="263"/>
      <c r="Z52" s="281">
        <f>Est2017TransRev!Z52</f>
        <v>0</v>
      </c>
      <c r="AA52" s="255">
        <f>Est2017TransRev!AA52</f>
        <v>0</v>
      </c>
      <c r="AB52" s="255">
        <f>Est2017TransRev!AB52</f>
        <v>0</v>
      </c>
      <c r="AC52" s="255">
        <f>Est2017TransRev!AC52</f>
        <v>0</v>
      </c>
      <c r="AD52" s="255">
        <f>Est2017TransRev!AD52</f>
        <v>0</v>
      </c>
      <c r="AE52" s="255">
        <f>Est2017TransRev!AE52</f>
        <v>0</v>
      </c>
      <c r="AF52" s="255">
        <f>Est2017TransRev!AF52</f>
        <v>0</v>
      </c>
      <c r="AG52" s="255">
        <f>Est2017TransRev!AG52</f>
        <v>0</v>
      </c>
      <c r="AH52" s="255">
        <f>Est2017TransRev!AH52</f>
        <v>0</v>
      </c>
      <c r="AI52" s="255">
        <f>Est2017TransRev!AI52</f>
        <v>0</v>
      </c>
      <c r="AJ52" s="255">
        <f>Est2017TransRev!AJ52</f>
        <v>0</v>
      </c>
      <c r="AK52" s="255">
        <f>Est2017TransRev!AK52</f>
        <v>0</v>
      </c>
      <c r="AL52" s="255">
        <f>Est2017TransRev!AL52</f>
        <v>0</v>
      </c>
      <c r="AM52" s="255">
        <f>Est2017TransRev!AM52</f>
        <v>0</v>
      </c>
      <c r="AN52" s="255">
        <f>Est2017TransRev!AN52</f>
        <v>0</v>
      </c>
      <c r="AO52" s="255">
        <f>Est2017TransRev!AO52</f>
        <v>0</v>
      </c>
      <c r="AP52" s="255">
        <f>Est2017TransRev!AP52</f>
        <v>0</v>
      </c>
      <c r="AQ52" s="255">
        <f>Est2017TransRev!AQ52</f>
        <v>0</v>
      </c>
      <c r="AR52" s="255">
        <f>Est2017TransRev!AR52</f>
        <v>0</v>
      </c>
      <c r="AS52" s="255">
        <f>Est2017TransRev!AS52</f>
        <v>0</v>
      </c>
      <c r="AT52" s="282">
        <f>Est2017TransRev!AT52</f>
        <v>0</v>
      </c>
      <c r="AV52" s="257">
        <f t="shared" si="5"/>
        <v>0</v>
      </c>
      <c r="AW52" s="224">
        <f t="shared" si="6"/>
        <v>0</v>
      </c>
      <c r="AX52" s="224">
        <f t="shared" si="7"/>
        <v>0</v>
      </c>
      <c r="AY52" s="224">
        <f t="shared" si="8"/>
        <v>0</v>
      </c>
      <c r="AZ52" s="224">
        <f t="shared" si="9"/>
        <v>0</v>
      </c>
      <c r="BA52" s="224">
        <f t="shared" si="10"/>
        <v>0</v>
      </c>
      <c r="BB52" s="224">
        <f t="shared" si="11"/>
        <v>0</v>
      </c>
      <c r="BC52" s="224">
        <f t="shared" si="12"/>
        <v>0</v>
      </c>
      <c r="BD52" s="224">
        <f t="shared" si="13"/>
        <v>0</v>
      </c>
      <c r="BE52" s="224">
        <f t="shared" si="14"/>
        <v>0</v>
      </c>
      <c r="BF52" s="224">
        <f t="shared" si="15"/>
        <v>0</v>
      </c>
      <c r="BG52" s="224">
        <f t="shared" si="16"/>
        <v>0</v>
      </c>
      <c r="BH52" s="224">
        <f t="shared" si="17"/>
        <v>0</v>
      </c>
      <c r="BI52" s="258">
        <f t="shared" si="18"/>
        <v>0</v>
      </c>
      <c r="BJ52" s="258">
        <f t="shared" si="19"/>
        <v>0</v>
      </c>
      <c r="BK52" s="258">
        <f t="shared" si="20"/>
        <v>0</v>
      </c>
      <c r="BL52" s="258">
        <f t="shared" si="21"/>
        <v>0</v>
      </c>
      <c r="BM52" s="258">
        <f t="shared" si="22"/>
        <v>0</v>
      </c>
      <c r="BN52" s="258">
        <f t="shared" si="23"/>
        <v>0</v>
      </c>
      <c r="BO52" s="258">
        <f t="shared" si="24"/>
        <v>0</v>
      </c>
      <c r="BP52" s="258">
        <f t="shared" si="25"/>
        <v>0</v>
      </c>
      <c r="BQ52" s="259">
        <f t="shared" si="26"/>
        <v>0</v>
      </c>
    </row>
    <row r="53" spans="1:69">
      <c r="A53" s="199" t="str">
        <f>Est2017TransRev!A53</f>
        <v>DSG</v>
      </c>
      <c r="B53" s="249" t="str">
        <f>Est2017TransRev!B53</f>
        <v>Subtransmission Demand G</v>
      </c>
      <c r="D53" s="671">
        <v>0</v>
      </c>
      <c r="E53" s="261">
        <v>0</v>
      </c>
      <c r="F53" s="261">
        <v>0</v>
      </c>
      <c r="G53" s="261"/>
      <c r="H53" s="261"/>
      <c r="I53" s="252">
        <v>0</v>
      </c>
      <c r="J53" s="261"/>
      <c r="K53" s="261"/>
      <c r="L53" s="261"/>
      <c r="M53" s="261">
        <v>0</v>
      </c>
      <c r="N53" s="252"/>
      <c r="O53" s="252">
        <v>0</v>
      </c>
      <c r="P53" s="252">
        <v>0</v>
      </c>
      <c r="Q53" s="252">
        <v>0</v>
      </c>
      <c r="R53" s="252">
        <v>0</v>
      </c>
      <c r="S53" s="252">
        <v>0</v>
      </c>
      <c r="T53" s="252"/>
      <c r="U53" s="252">
        <v>0</v>
      </c>
      <c r="V53" s="252">
        <v>0</v>
      </c>
      <c r="W53" s="252">
        <v>0</v>
      </c>
      <c r="X53" s="263"/>
      <c r="Z53" s="281">
        <f>Est2017TransRev!Z53</f>
        <v>0</v>
      </c>
      <c r="AA53" s="255">
        <f>Est2017TransRev!AA53</f>
        <v>0</v>
      </c>
      <c r="AB53" s="255">
        <f>Est2017TransRev!AB53</f>
        <v>0</v>
      </c>
      <c r="AC53" s="255">
        <f>Est2017TransRev!AC53</f>
        <v>0</v>
      </c>
      <c r="AD53" s="255">
        <f>Est2017TransRev!AD53</f>
        <v>0</v>
      </c>
      <c r="AE53" s="255">
        <f>Est2017TransRev!AE53</f>
        <v>0</v>
      </c>
      <c r="AF53" s="255">
        <f>Est2017TransRev!AF53</f>
        <v>0</v>
      </c>
      <c r="AG53" s="255">
        <f>Est2017TransRev!AG53</f>
        <v>0</v>
      </c>
      <c r="AH53" s="255">
        <f>Est2017TransRev!AH53</f>
        <v>0</v>
      </c>
      <c r="AI53" s="255">
        <f>Est2017TransRev!AI53</f>
        <v>0</v>
      </c>
      <c r="AJ53" s="255">
        <f>Est2017TransRev!AJ53</f>
        <v>0</v>
      </c>
      <c r="AK53" s="255">
        <f>Est2017TransRev!AK53</f>
        <v>0</v>
      </c>
      <c r="AL53" s="255">
        <f>Est2017TransRev!AL53</f>
        <v>0</v>
      </c>
      <c r="AM53" s="255">
        <f>Est2017TransRev!AM53</f>
        <v>0</v>
      </c>
      <c r="AN53" s="255">
        <f>Est2017TransRev!AN53</f>
        <v>0</v>
      </c>
      <c r="AO53" s="255">
        <f>Est2017TransRev!AO53</f>
        <v>0</v>
      </c>
      <c r="AP53" s="255">
        <f>Est2017TransRev!AP53</f>
        <v>0</v>
      </c>
      <c r="AQ53" s="255">
        <f>Est2017TransRev!AQ53</f>
        <v>0</v>
      </c>
      <c r="AR53" s="255">
        <f>Est2017TransRev!AR53</f>
        <v>0</v>
      </c>
      <c r="AS53" s="255">
        <f>Est2017TransRev!AS53</f>
        <v>0</v>
      </c>
      <c r="AT53" s="282">
        <f>Est2017TransRev!AT53</f>
        <v>0</v>
      </c>
      <c r="AV53" s="257">
        <f t="shared" si="5"/>
        <v>0</v>
      </c>
      <c r="AW53" s="224">
        <f t="shared" si="6"/>
        <v>0</v>
      </c>
      <c r="AX53" s="224">
        <f t="shared" si="7"/>
        <v>0</v>
      </c>
      <c r="AY53" s="224">
        <f t="shared" si="8"/>
        <v>0</v>
      </c>
      <c r="AZ53" s="224">
        <f t="shared" si="9"/>
        <v>0</v>
      </c>
      <c r="BA53" s="224">
        <f t="shared" si="10"/>
        <v>0</v>
      </c>
      <c r="BB53" s="224">
        <f t="shared" si="11"/>
        <v>0</v>
      </c>
      <c r="BC53" s="224">
        <f t="shared" si="12"/>
        <v>0</v>
      </c>
      <c r="BD53" s="224">
        <f t="shared" si="13"/>
        <v>0</v>
      </c>
      <c r="BE53" s="224">
        <f t="shared" si="14"/>
        <v>0</v>
      </c>
      <c r="BF53" s="224">
        <f t="shared" si="15"/>
        <v>0</v>
      </c>
      <c r="BG53" s="224">
        <f t="shared" si="16"/>
        <v>0</v>
      </c>
      <c r="BH53" s="224">
        <f t="shared" si="17"/>
        <v>0</v>
      </c>
      <c r="BI53" s="258">
        <f t="shared" si="18"/>
        <v>0</v>
      </c>
      <c r="BJ53" s="258">
        <f t="shared" si="19"/>
        <v>0</v>
      </c>
      <c r="BK53" s="258">
        <f t="shared" si="20"/>
        <v>0</v>
      </c>
      <c r="BL53" s="258">
        <f t="shared" si="21"/>
        <v>0</v>
      </c>
      <c r="BM53" s="258">
        <f t="shared" si="22"/>
        <v>0</v>
      </c>
      <c r="BN53" s="258">
        <f t="shared" si="23"/>
        <v>0</v>
      </c>
      <c r="BO53" s="258">
        <f t="shared" si="24"/>
        <v>0</v>
      </c>
      <c r="BP53" s="258">
        <f t="shared" si="25"/>
        <v>0</v>
      </c>
      <c r="BQ53" s="259">
        <f t="shared" si="26"/>
        <v>0</v>
      </c>
    </row>
    <row r="54" spans="1:69">
      <c r="A54" s="199" t="str">
        <f>Est2017TransRev!A54</f>
        <v>DSS</v>
      </c>
      <c r="B54" s="249" t="str">
        <f>Est2017TransRev!B54</f>
        <v>Subtransmission Demand S</v>
      </c>
      <c r="D54" s="671">
        <v>0</v>
      </c>
      <c r="E54" s="261">
        <v>0</v>
      </c>
      <c r="F54" s="261">
        <v>0</v>
      </c>
      <c r="G54" s="261"/>
      <c r="H54" s="261"/>
      <c r="I54" s="252">
        <v>0</v>
      </c>
      <c r="J54" s="261"/>
      <c r="K54" s="261"/>
      <c r="L54" s="261"/>
      <c r="M54" s="261">
        <v>0</v>
      </c>
      <c r="N54" s="252"/>
      <c r="O54" s="252">
        <v>0</v>
      </c>
      <c r="P54" s="252">
        <v>0</v>
      </c>
      <c r="Q54" s="252">
        <v>0</v>
      </c>
      <c r="R54" s="252">
        <v>0</v>
      </c>
      <c r="S54" s="252">
        <v>0</v>
      </c>
      <c r="T54" s="252"/>
      <c r="U54" s="252">
        <v>0</v>
      </c>
      <c r="V54" s="252">
        <v>0</v>
      </c>
      <c r="W54" s="252">
        <v>0</v>
      </c>
      <c r="X54" s="263"/>
      <c r="Z54" s="281">
        <f>Est2017TransRev!Z54</f>
        <v>0</v>
      </c>
      <c r="AA54" s="255">
        <f>Est2017TransRev!AA54</f>
        <v>0</v>
      </c>
      <c r="AB54" s="255">
        <f>Est2017TransRev!AB54</f>
        <v>0</v>
      </c>
      <c r="AC54" s="255">
        <f>Est2017TransRev!AC54</f>
        <v>0</v>
      </c>
      <c r="AD54" s="255">
        <f>Est2017TransRev!AD54</f>
        <v>0</v>
      </c>
      <c r="AE54" s="255">
        <f>Est2017TransRev!AE54</f>
        <v>0</v>
      </c>
      <c r="AF54" s="255">
        <f>Est2017TransRev!AF54</f>
        <v>0</v>
      </c>
      <c r="AG54" s="255">
        <f>Est2017TransRev!AG54</f>
        <v>0</v>
      </c>
      <c r="AH54" s="255">
        <f>Est2017TransRev!AH54</f>
        <v>0</v>
      </c>
      <c r="AI54" s="255">
        <f>Est2017TransRev!AI54</f>
        <v>0</v>
      </c>
      <c r="AJ54" s="255">
        <f>Est2017TransRev!AJ54</f>
        <v>0</v>
      </c>
      <c r="AK54" s="255">
        <f>Est2017TransRev!AK54</f>
        <v>0</v>
      </c>
      <c r="AL54" s="255">
        <f>Est2017TransRev!AL54</f>
        <v>0</v>
      </c>
      <c r="AM54" s="255">
        <f>Est2017TransRev!AM54</f>
        <v>0</v>
      </c>
      <c r="AN54" s="255">
        <f>Est2017TransRev!AN54</f>
        <v>0</v>
      </c>
      <c r="AO54" s="255">
        <f>Est2017TransRev!AO54</f>
        <v>0</v>
      </c>
      <c r="AP54" s="255">
        <f>Est2017TransRev!AP54</f>
        <v>0</v>
      </c>
      <c r="AQ54" s="255">
        <f>Est2017TransRev!AQ54</f>
        <v>0</v>
      </c>
      <c r="AR54" s="255">
        <f>Est2017TransRev!AR54</f>
        <v>0</v>
      </c>
      <c r="AS54" s="255">
        <f>Est2017TransRev!AS54</f>
        <v>0</v>
      </c>
      <c r="AT54" s="282">
        <f>Est2017TransRev!AT54</f>
        <v>0</v>
      </c>
      <c r="AV54" s="257">
        <f t="shared" si="5"/>
        <v>0</v>
      </c>
      <c r="AW54" s="224">
        <f t="shared" si="6"/>
        <v>0</v>
      </c>
      <c r="AX54" s="224">
        <f t="shared" si="7"/>
        <v>0</v>
      </c>
      <c r="AY54" s="224">
        <f t="shared" si="8"/>
        <v>0</v>
      </c>
      <c r="AZ54" s="224">
        <f t="shared" si="9"/>
        <v>0</v>
      </c>
      <c r="BA54" s="224">
        <f t="shared" si="10"/>
        <v>0</v>
      </c>
      <c r="BB54" s="224">
        <f t="shared" si="11"/>
        <v>0</v>
      </c>
      <c r="BC54" s="224">
        <f t="shared" si="12"/>
        <v>0</v>
      </c>
      <c r="BD54" s="224">
        <f t="shared" si="13"/>
        <v>0</v>
      </c>
      <c r="BE54" s="224">
        <f t="shared" si="14"/>
        <v>0</v>
      </c>
      <c r="BF54" s="224">
        <f t="shared" si="15"/>
        <v>0</v>
      </c>
      <c r="BG54" s="224">
        <f t="shared" si="16"/>
        <v>0</v>
      </c>
      <c r="BH54" s="224">
        <f t="shared" si="17"/>
        <v>0</v>
      </c>
      <c r="BI54" s="258">
        <f t="shared" si="18"/>
        <v>0</v>
      </c>
      <c r="BJ54" s="258">
        <f t="shared" si="19"/>
        <v>0</v>
      </c>
      <c r="BK54" s="258">
        <f t="shared" si="20"/>
        <v>0</v>
      </c>
      <c r="BL54" s="258">
        <f t="shared" si="21"/>
        <v>0</v>
      </c>
      <c r="BM54" s="258">
        <f t="shared" si="22"/>
        <v>0</v>
      </c>
      <c r="BN54" s="258">
        <f t="shared" si="23"/>
        <v>0</v>
      </c>
      <c r="BO54" s="258">
        <f t="shared" si="24"/>
        <v>0</v>
      </c>
      <c r="BP54" s="258">
        <f t="shared" si="25"/>
        <v>0</v>
      </c>
      <c r="BQ54" s="259">
        <f t="shared" si="26"/>
        <v>0</v>
      </c>
    </row>
    <row r="55" spans="1:69">
      <c r="B55" s="249"/>
      <c r="D55" s="260"/>
      <c r="E55" s="261"/>
      <c r="F55" s="261"/>
      <c r="G55" s="261"/>
      <c r="H55" s="261"/>
      <c r="I55" s="261"/>
      <c r="J55" s="261"/>
      <c r="K55" s="261"/>
      <c r="L55" s="261"/>
      <c r="M55" s="262"/>
      <c r="N55" s="262"/>
      <c r="O55" s="262"/>
      <c r="P55" s="262"/>
      <c r="Q55" s="262"/>
      <c r="R55" s="262"/>
      <c r="S55" s="262"/>
      <c r="T55" s="262"/>
      <c r="U55" s="262"/>
      <c r="V55" s="262"/>
      <c r="W55" s="262"/>
      <c r="X55" s="263"/>
      <c r="Z55" s="254"/>
      <c r="AA55" s="255"/>
      <c r="AB55" s="255"/>
      <c r="AC55" s="255"/>
      <c r="AD55" s="255"/>
      <c r="AE55" s="255"/>
      <c r="AF55" s="255"/>
      <c r="AG55" s="255"/>
      <c r="AH55" s="255"/>
      <c r="AI55" s="255"/>
      <c r="AJ55" s="255"/>
      <c r="AK55" s="255"/>
      <c r="AL55" s="255"/>
      <c r="AM55" s="255"/>
      <c r="AN55" s="255"/>
      <c r="AO55" s="255"/>
      <c r="AP55" s="255"/>
      <c r="AQ55" s="255"/>
      <c r="AR55" s="255"/>
      <c r="AS55" s="255"/>
      <c r="AT55" s="256"/>
      <c r="AV55" s="257">
        <f t="shared" si="5"/>
        <v>0</v>
      </c>
      <c r="AW55" s="224">
        <f t="shared" si="6"/>
        <v>0</v>
      </c>
      <c r="AX55" s="224">
        <f t="shared" si="7"/>
        <v>0</v>
      </c>
      <c r="AY55" s="224">
        <f t="shared" si="8"/>
        <v>0</v>
      </c>
      <c r="AZ55" s="224">
        <f t="shared" si="9"/>
        <v>0</v>
      </c>
      <c r="BA55" s="224">
        <f t="shared" si="10"/>
        <v>0</v>
      </c>
      <c r="BB55" s="224">
        <f t="shared" si="11"/>
        <v>0</v>
      </c>
      <c r="BC55" s="224">
        <f t="shared" si="12"/>
        <v>0</v>
      </c>
      <c r="BD55" s="224">
        <f t="shared" si="13"/>
        <v>0</v>
      </c>
      <c r="BE55" s="224">
        <f t="shared" si="14"/>
        <v>0</v>
      </c>
      <c r="BF55" s="224">
        <f t="shared" si="15"/>
        <v>0</v>
      </c>
      <c r="BG55" s="224">
        <f t="shared" si="16"/>
        <v>0</v>
      </c>
      <c r="BH55" s="224">
        <f t="shared" si="17"/>
        <v>0</v>
      </c>
      <c r="BI55" s="258">
        <f t="shared" si="18"/>
        <v>0</v>
      </c>
      <c r="BJ55" s="258">
        <f t="shared" si="19"/>
        <v>0</v>
      </c>
      <c r="BK55" s="258">
        <f t="shared" si="20"/>
        <v>0</v>
      </c>
      <c r="BL55" s="258">
        <f t="shared" si="21"/>
        <v>0</v>
      </c>
      <c r="BM55" s="258">
        <f t="shared" si="22"/>
        <v>0</v>
      </c>
      <c r="BN55" s="258">
        <f t="shared" si="23"/>
        <v>0</v>
      </c>
      <c r="BO55" s="258">
        <f t="shared" si="24"/>
        <v>0</v>
      </c>
      <c r="BP55" s="258">
        <f t="shared" si="25"/>
        <v>0</v>
      </c>
      <c r="BQ55" s="259">
        <f t="shared" si="26"/>
        <v>0</v>
      </c>
    </row>
    <row r="56" spans="1:69">
      <c r="B56" s="238"/>
      <c r="D56" s="260"/>
      <c r="E56" s="261"/>
      <c r="F56" s="261"/>
      <c r="G56" s="261"/>
      <c r="H56" s="261"/>
      <c r="I56" s="261"/>
      <c r="J56" s="261"/>
      <c r="K56" s="261"/>
      <c r="L56" s="261"/>
      <c r="M56" s="262"/>
      <c r="N56" s="262"/>
      <c r="O56" s="262"/>
      <c r="P56" s="262"/>
      <c r="Q56" s="262"/>
      <c r="R56" s="262"/>
      <c r="S56" s="262"/>
      <c r="T56" s="262"/>
      <c r="U56" s="262"/>
      <c r="V56" s="262"/>
      <c r="W56" s="262"/>
      <c r="X56" s="263"/>
      <c r="Z56" s="254"/>
      <c r="AA56" s="255"/>
      <c r="AB56" s="255"/>
      <c r="AC56" s="255"/>
      <c r="AD56" s="255"/>
      <c r="AE56" s="255"/>
      <c r="AF56" s="255"/>
      <c r="AG56" s="255"/>
      <c r="AH56" s="255"/>
      <c r="AI56" s="255"/>
      <c r="AJ56" s="255"/>
      <c r="AK56" s="255"/>
      <c r="AL56" s="255"/>
      <c r="AM56" s="255"/>
      <c r="AN56" s="255"/>
      <c r="AO56" s="255"/>
      <c r="AP56" s="255"/>
      <c r="AQ56" s="255"/>
      <c r="AR56" s="255"/>
      <c r="AS56" s="255"/>
      <c r="AT56" s="256"/>
      <c r="AV56" s="257">
        <f t="shared" si="5"/>
        <v>0</v>
      </c>
      <c r="AW56" s="224">
        <f t="shared" si="6"/>
        <v>0</v>
      </c>
      <c r="AX56" s="224">
        <f t="shared" si="7"/>
        <v>0</v>
      </c>
      <c r="AY56" s="224">
        <f t="shared" si="8"/>
        <v>0</v>
      </c>
      <c r="AZ56" s="224">
        <f t="shared" si="9"/>
        <v>0</v>
      </c>
      <c r="BA56" s="224">
        <f t="shared" si="10"/>
        <v>0</v>
      </c>
      <c r="BB56" s="224">
        <f t="shared" si="11"/>
        <v>0</v>
      </c>
      <c r="BC56" s="224">
        <f t="shared" si="12"/>
        <v>0</v>
      </c>
      <c r="BD56" s="224">
        <f t="shared" si="13"/>
        <v>0</v>
      </c>
      <c r="BE56" s="224">
        <f t="shared" si="14"/>
        <v>0</v>
      </c>
      <c r="BF56" s="224">
        <f t="shared" si="15"/>
        <v>0</v>
      </c>
      <c r="BG56" s="224">
        <f t="shared" si="16"/>
        <v>0</v>
      </c>
      <c r="BH56" s="224">
        <f t="shared" si="17"/>
        <v>0</v>
      </c>
      <c r="BI56" s="258">
        <f t="shared" si="18"/>
        <v>0</v>
      </c>
      <c r="BJ56" s="258">
        <f t="shared" si="19"/>
        <v>0</v>
      </c>
      <c r="BK56" s="258">
        <f t="shared" si="20"/>
        <v>0</v>
      </c>
      <c r="BL56" s="258">
        <f t="shared" si="21"/>
        <v>0</v>
      </c>
      <c r="BM56" s="258">
        <f t="shared" si="22"/>
        <v>0</v>
      </c>
      <c r="BN56" s="258">
        <f t="shared" si="23"/>
        <v>0</v>
      </c>
      <c r="BO56" s="258">
        <f t="shared" si="24"/>
        <v>0</v>
      </c>
      <c r="BP56" s="258">
        <f t="shared" si="25"/>
        <v>0</v>
      </c>
      <c r="BQ56" s="259">
        <f t="shared" si="26"/>
        <v>0</v>
      </c>
    </row>
    <row r="57" spans="1:69">
      <c r="B57" s="238"/>
      <c r="D57" s="260"/>
      <c r="E57" s="261"/>
      <c r="F57" s="261"/>
      <c r="G57" s="261"/>
      <c r="H57" s="261"/>
      <c r="I57" s="261"/>
      <c r="J57" s="261"/>
      <c r="K57" s="261"/>
      <c r="L57" s="261"/>
      <c r="M57" s="262"/>
      <c r="N57" s="262"/>
      <c r="O57" s="262"/>
      <c r="P57" s="262"/>
      <c r="Q57" s="262"/>
      <c r="R57" s="262"/>
      <c r="S57" s="262"/>
      <c r="T57" s="262"/>
      <c r="U57" s="262"/>
      <c r="V57" s="262"/>
      <c r="W57" s="262"/>
      <c r="X57" s="263"/>
      <c r="Z57" s="254"/>
      <c r="AA57" s="255"/>
      <c r="AB57" s="255"/>
      <c r="AC57" s="255"/>
      <c r="AD57" s="255"/>
      <c r="AE57" s="255"/>
      <c r="AF57" s="255"/>
      <c r="AG57" s="255"/>
      <c r="AH57" s="255"/>
      <c r="AI57" s="255"/>
      <c r="AJ57" s="255"/>
      <c r="AK57" s="255"/>
      <c r="AL57" s="255"/>
      <c r="AM57" s="255"/>
      <c r="AN57" s="255"/>
      <c r="AO57" s="255"/>
      <c r="AP57" s="255"/>
      <c r="AQ57" s="255"/>
      <c r="AR57" s="255"/>
      <c r="AS57" s="255"/>
      <c r="AT57" s="256"/>
      <c r="AV57" s="257">
        <f t="shared" si="5"/>
        <v>0</v>
      </c>
      <c r="AW57" s="224">
        <f t="shared" si="6"/>
        <v>0</v>
      </c>
      <c r="AX57" s="224">
        <f t="shared" si="7"/>
        <v>0</v>
      </c>
      <c r="AY57" s="224">
        <f t="shared" si="8"/>
        <v>0</v>
      </c>
      <c r="AZ57" s="224">
        <f t="shared" si="9"/>
        <v>0</v>
      </c>
      <c r="BA57" s="224">
        <f t="shared" si="10"/>
        <v>0</v>
      </c>
      <c r="BB57" s="224">
        <f t="shared" si="11"/>
        <v>0</v>
      </c>
      <c r="BC57" s="224">
        <f t="shared" si="12"/>
        <v>0</v>
      </c>
      <c r="BD57" s="224">
        <f t="shared" si="13"/>
        <v>0</v>
      </c>
      <c r="BE57" s="224">
        <f t="shared" si="14"/>
        <v>0</v>
      </c>
      <c r="BF57" s="224">
        <f t="shared" si="15"/>
        <v>0</v>
      </c>
      <c r="BG57" s="224">
        <f t="shared" si="16"/>
        <v>0</v>
      </c>
      <c r="BH57" s="224">
        <f t="shared" si="17"/>
        <v>0</v>
      </c>
      <c r="BI57" s="258">
        <f t="shared" si="18"/>
        <v>0</v>
      </c>
      <c r="BJ57" s="258">
        <f t="shared" si="19"/>
        <v>0</v>
      </c>
      <c r="BK57" s="258">
        <f t="shared" si="20"/>
        <v>0</v>
      </c>
      <c r="BL57" s="258">
        <f t="shared" si="21"/>
        <v>0</v>
      </c>
      <c r="BM57" s="258">
        <f t="shared" si="22"/>
        <v>0</v>
      </c>
      <c r="BN57" s="258">
        <f t="shared" si="23"/>
        <v>0</v>
      </c>
      <c r="BO57" s="258">
        <f t="shared" si="24"/>
        <v>0</v>
      </c>
      <c r="BP57" s="258">
        <f t="shared" si="25"/>
        <v>0</v>
      </c>
      <c r="BQ57" s="259">
        <f t="shared" si="26"/>
        <v>0</v>
      </c>
    </row>
    <row r="58" spans="1:69">
      <c r="B58" s="238"/>
      <c r="D58" s="260"/>
      <c r="E58" s="261"/>
      <c r="F58" s="261"/>
      <c r="G58" s="261"/>
      <c r="H58" s="261"/>
      <c r="I58" s="261"/>
      <c r="J58" s="261"/>
      <c r="K58" s="261"/>
      <c r="L58" s="261"/>
      <c r="M58" s="262"/>
      <c r="N58" s="262"/>
      <c r="O58" s="262"/>
      <c r="P58" s="262"/>
      <c r="Q58" s="262"/>
      <c r="R58" s="262"/>
      <c r="S58" s="262"/>
      <c r="T58" s="262"/>
      <c r="U58" s="262"/>
      <c r="V58" s="262"/>
      <c r="W58" s="262"/>
      <c r="X58" s="263"/>
      <c r="Z58" s="254"/>
      <c r="AA58" s="255"/>
      <c r="AB58" s="255"/>
      <c r="AC58" s="255"/>
      <c r="AD58" s="255"/>
      <c r="AE58" s="255"/>
      <c r="AF58" s="255"/>
      <c r="AG58" s="255"/>
      <c r="AH58" s="255"/>
      <c r="AI58" s="255"/>
      <c r="AJ58" s="255"/>
      <c r="AK58" s="255"/>
      <c r="AL58" s="255"/>
      <c r="AM58" s="255"/>
      <c r="AN58" s="255"/>
      <c r="AO58" s="255"/>
      <c r="AP58" s="255"/>
      <c r="AQ58" s="255"/>
      <c r="AR58" s="255"/>
      <c r="AS58" s="255"/>
      <c r="AT58" s="256"/>
      <c r="AV58" s="257">
        <f t="shared" si="5"/>
        <v>0</v>
      </c>
      <c r="AW58" s="224">
        <f t="shared" si="6"/>
        <v>0</v>
      </c>
      <c r="AX58" s="224">
        <f t="shared" si="7"/>
        <v>0</v>
      </c>
      <c r="AY58" s="224">
        <f t="shared" si="8"/>
        <v>0</v>
      </c>
      <c r="AZ58" s="224">
        <f t="shared" si="9"/>
        <v>0</v>
      </c>
      <c r="BA58" s="224">
        <f t="shared" si="10"/>
        <v>0</v>
      </c>
      <c r="BB58" s="224">
        <f t="shared" si="11"/>
        <v>0</v>
      </c>
      <c r="BC58" s="224">
        <f t="shared" si="12"/>
        <v>0</v>
      </c>
      <c r="BD58" s="224">
        <f t="shared" si="13"/>
        <v>0</v>
      </c>
      <c r="BE58" s="224">
        <f t="shared" si="14"/>
        <v>0</v>
      </c>
      <c r="BF58" s="224">
        <f t="shared" si="15"/>
        <v>0</v>
      </c>
      <c r="BG58" s="224">
        <f t="shared" si="16"/>
        <v>0</v>
      </c>
      <c r="BH58" s="224">
        <f t="shared" si="17"/>
        <v>0</v>
      </c>
      <c r="BI58" s="258">
        <f t="shared" si="18"/>
        <v>0</v>
      </c>
      <c r="BJ58" s="258">
        <f t="shared" si="19"/>
        <v>0</v>
      </c>
      <c r="BK58" s="258">
        <f t="shared" si="20"/>
        <v>0</v>
      </c>
      <c r="BL58" s="258">
        <f t="shared" si="21"/>
        <v>0</v>
      </c>
      <c r="BM58" s="258">
        <f t="shared" si="22"/>
        <v>0</v>
      </c>
      <c r="BN58" s="258">
        <f t="shared" si="23"/>
        <v>0</v>
      </c>
      <c r="BO58" s="258">
        <f t="shared" si="24"/>
        <v>0</v>
      </c>
      <c r="BP58" s="258">
        <f t="shared" si="25"/>
        <v>0</v>
      </c>
      <c r="BQ58" s="259">
        <f t="shared" si="26"/>
        <v>0</v>
      </c>
    </row>
    <row r="59" spans="1:69">
      <c r="B59" s="238"/>
      <c r="D59" s="260"/>
      <c r="E59" s="261"/>
      <c r="F59" s="261"/>
      <c r="G59" s="261"/>
      <c r="H59" s="261"/>
      <c r="I59" s="261"/>
      <c r="J59" s="261"/>
      <c r="K59" s="261"/>
      <c r="L59" s="261"/>
      <c r="M59" s="262"/>
      <c r="N59" s="262"/>
      <c r="O59" s="262"/>
      <c r="P59" s="262"/>
      <c r="Q59" s="262"/>
      <c r="R59" s="262"/>
      <c r="S59" s="262"/>
      <c r="T59" s="262"/>
      <c r="U59" s="262"/>
      <c r="V59" s="262"/>
      <c r="W59" s="262"/>
      <c r="X59" s="263"/>
      <c r="Z59" s="254"/>
      <c r="AA59" s="255"/>
      <c r="AB59" s="255"/>
      <c r="AC59" s="255"/>
      <c r="AD59" s="255"/>
      <c r="AE59" s="255"/>
      <c r="AF59" s="255"/>
      <c r="AG59" s="255"/>
      <c r="AH59" s="255"/>
      <c r="AI59" s="255"/>
      <c r="AJ59" s="255"/>
      <c r="AK59" s="255"/>
      <c r="AL59" s="255"/>
      <c r="AM59" s="255"/>
      <c r="AN59" s="255"/>
      <c r="AO59" s="255"/>
      <c r="AP59" s="255"/>
      <c r="AQ59" s="255"/>
      <c r="AR59" s="255"/>
      <c r="AS59" s="255"/>
      <c r="AT59" s="256"/>
      <c r="AV59" s="257">
        <f t="shared" si="5"/>
        <v>0</v>
      </c>
      <c r="AW59" s="224">
        <f t="shared" si="6"/>
        <v>0</v>
      </c>
      <c r="AX59" s="224">
        <f t="shared" si="7"/>
        <v>0</v>
      </c>
      <c r="AY59" s="224">
        <f t="shared" si="8"/>
        <v>0</v>
      </c>
      <c r="AZ59" s="224">
        <f t="shared" si="9"/>
        <v>0</v>
      </c>
      <c r="BA59" s="224">
        <f t="shared" si="10"/>
        <v>0</v>
      </c>
      <c r="BB59" s="224">
        <f t="shared" si="11"/>
        <v>0</v>
      </c>
      <c r="BC59" s="224">
        <f t="shared" si="12"/>
        <v>0</v>
      </c>
      <c r="BD59" s="224">
        <f t="shared" si="13"/>
        <v>0</v>
      </c>
      <c r="BE59" s="224">
        <f t="shared" si="14"/>
        <v>0</v>
      </c>
      <c r="BF59" s="224">
        <f t="shared" si="15"/>
        <v>0</v>
      </c>
      <c r="BG59" s="224">
        <f t="shared" si="16"/>
        <v>0</v>
      </c>
      <c r="BH59" s="224">
        <f t="shared" si="17"/>
        <v>0</v>
      </c>
      <c r="BI59" s="258">
        <f t="shared" si="18"/>
        <v>0</v>
      </c>
      <c r="BJ59" s="258">
        <f t="shared" si="19"/>
        <v>0</v>
      </c>
      <c r="BK59" s="258">
        <f t="shared" si="20"/>
        <v>0</v>
      </c>
      <c r="BL59" s="258">
        <f t="shared" si="21"/>
        <v>0</v>
      </c>
      <c r="BM59" s="258">
        <f t="shared" si="22"/>
        <v>0</v>
      </c>
      <c r="BN59" s="258">
        <f t="shared" si="23"/>
        <v>0</v>
      </c>
      <c r="BO59" s="258">
        <f t="shared" si="24"/>
        <v>0</v>
      </c>
      <c r="BP59" s="258">
        <f t="shared" si="25"/>
        <v>0</v>
      </c>
      <c r="BQ59" s="259">
        <f t="shared" si="26"/>
        <v>0</v>
      </c>
    </row>
    <row r="60" spans="1:69">
      <c r="B60" s="238"/>
      <c r="D60" s="260"/>
      <c r="E60" s="261"/>
      <c r="F60" s="261"/>
      <c r="G60" s="261"/>
      <c r="H60" s="261"/>
      <c r="I60" s="261"/>
      <c r="J60" s="261"/>
      <c r="K60" s="261"/>
      <c r="L60" s="261"/>
      <c r="M60" s="262"/>
      <c r="N60" s="262"/>
      <c r="O60" s="262"/>
      <c r="P60" s="262"/>
      <c r="Q60" s="262"/>
      <c r="R60" s="262"/>
      <c r="S60" s="262"/>
      <c r="T60" s="262"/>
      <c r="U60" s="262"/>
      <c r="V60" s="262"/>
      <c r="W60" s="262"/>
      <c r="X60" s="263"/>
      <c r="Z60" s="254"/>
      <c r="AA60" s="255"/>
      <c r="AB60" s="255"/>
      <c r="AC60" s="255"/>
      <c r="AD60" s="255"/>
      <c r="AE60" s="255"/>
      <c r="AF60" s="255"/>
      <c r="AG60" s="255"/>
      <c r="AH60" s="255"/>
      <c r="AI60" s="255"/>
      <c r="AJ60" s="255"/>
      <c r="AK60" s="255"/>
      <c r="AL60" s="255"/>
      <c r="AM60" s="255"/>
      <c r="AN60" s="255"/>
      <c r="AO60" s="255"/>
      <c r="AP60" s="255"/>
      <c r="AQ60" s="255"/>
      <c r="AR60" s="255"/>
      <c r="AS60" s="255"/>
      <c r="AT60" s="256"/>
      <c r="AV60" s="257">
        <f t="shared" si="5"/>
        <v>0</v>
      </c>
      <c r="AW60" s="224">
        <f t="shared" si="6"/>
        <v>0</v>
      </c>
      <c r="AX60" s="224">
        <f t="shared" si="7"/>
        <v>0</v>
      </c>
      <c r="AY60" s="224">
        <f t="shared" si="8"/>
        <v>0</v>
      </c>
      <c r="AZ60" s="224">
        <f t="shared" si="9"/>
        <v>0</v>
      </c>
      <c r="BA60" s="224">
        <f t="shared" si="10"/>
        <v>0</v>
      </c>
      <c r="BB60" s="224">
        <f t="shared" si="11"/>
        <v>0</v>
      </c>
      <c r="BC60" s="224">
        <f t="shared" si="12"/>
        <v>0</v>
      </c>
      <c r="BD60" s="224">
        <f t="shared" si="13"/>
        <v>0</v>
      </c>
      <c r="BE60" s="224">
        <f t="shared" si="14"/>
        <v>0</v>
      </c>
      <c r="BF60" s="224">
        <f t="shared" si="15"/>
        <v>0</v>
      </c>
      <c r="BG60" s="224">
        <f t="shared" si="16"/>
        <v>0</v>
      </c>
      <c r="BH60" s="224">
        <f t="shared" si="17"/>
        <v>0</v>
      </c>
      <c r="BI60" s="258">
        <f t="shared" si="18"/>
        <v>0</v>
      </c>
      <c r="BJ60" s="258">
        <f t="shared" si="19"/>
        <v>0</v>
      </c>
      <c r="BK60" s="258">
        <f t="shared" si="20"/>
        <v>0</v>
      </c>
      <c r="BL60" s="258">
        <f t="shared" si="21"/>
        <v>0</v>
      </c>
      <c r="BM60" s="258">
        <f t="shared" si="22"/>
        <v>0</v>
      </c>
      <c r="BN60" s="258">
        <f t="shared" si="23"/>
        <v>0</v>
      </c>
      <c r="BO60" s="258">
        <f t="shared" si="24"/>
        <v>0</v>
      </c>
      <c r="BP60" s="258">
        <f t="shared" si="25"/>
        <v>0</v>
      </c>
      <c r="BQ60" s="259">
        <f t="shared" si="26"/>
        <v>0</v>
      </c>
    </row>
    <row r="61" spans="1:69">
      <c r="B61" s="238"/>
      <c r="D61" s="260"/>
      <c r="E61" s="261"/>
      <c r="F61" s="261"/>
      <c r="G61" s="261"/>
      <c r="H61" s="261"/>
      <c r="I61" s="261"/>
      <c r="J61" s="261"/>
      <c r="K61" s="261"/>
      <c r="L61" s="261"/>
      <c r="M61" s="262"/>
      <c r="N61" s="262"/>
      <c r="O61" s="262"/>
      <c r="P61" s="262"/>
      <c r="Q61" s="262"/>
      <c r="R61" s="262"/>
      <c r="S61" s="262"/>
      <c r="T61" s="262"/>
      <c r="U61" s="262"/>
      <c r="V61" s="262"/>
      <c r="W61" s="262"/>
      <c r="X61" s="263"/>
      <c r="Z61" s="254"/>
      <c r="AA61" s="255"/>
      <c r="AB61" s="255"/>
      <c r="AC61" s="255"/>
      <c r="AD61" s="255"/>
      <c r="AE61" s="255"/>
      <c r="AF61" s="255"/>
      <c r="AG61" s="255"/>
      <c r="AH61" s="255"/>
      <c r="AI61" s="255"/>
      <c r="AJ61" s="255"/>
      <c r="AK61" s="255"/>
      <c r="AL61" s="255"/>
      <c r="AM61" s="255"/>
      <c r="AN61" s="255"/>
      <c r="AO61" s="255"/>
      <c r="AP61" s="255"/>
      <c r="AQ61" s="255"/>
      <c r="AR61" s="255"/>
      <c r="AS61" s="255"/>
      <c r="AT61" s="256"/>
      <c r="AV61" s="257">
        <f t="shared" si="5"/>
        <v>0</v>
      </c>
      <c r="AW61" s="224">
        <f t="shared" si="6"/>
        <v>0</v>
      </c>
      <c r="AX61" s="224">
        <f t="shared" si="7"/>
        <v>0</v>
      </c>
      <c r="AY61" s="224">
        <f t="shared" si="8"/>
        <v>0</v>
      </c>
      <c r="AZ61" s="224">
        <f t="shared" si="9"/>
        <v>0</v>
      </c>
      <c r="BA61" s="224">
        <f t="shared" si="10"/>
        <v>0</v>
      </c>
      <c r="BB61" s="224">
        <f t="shared" si="11"/>
        <v>0</v>
      </c>
      <c r="BC61" s="224">
        <f t="shared" si="12"/>
        <v>0</v>
      </c>
      <c r="BD61" s="224">
        <f t="shared" si="13"/>
        <v>0</v>
      </c>
      <c r="BE61" s="224">
        <f t="shared" si="14"/>
        <v>0</v>
      </c>
      <c r="BF61" s="224">
        <f t="shared" si="15"/>
        <v>0</v>
      </c>
      <c r="BG61" s="224">
        <f t="shared" si="16"/>
        <v>0</v>
      </c>
      <c r="BH61" s="224">
        <f t="shared" si="17"/>
        <v>0</v>
      </c>
      <c r="BI61" s="258">
        <f t="shared" si="18"/>
        <v>0</v>
      </c>
      <c r="BJ61" s="258">
        <f t="shared" si="19"/>
        <v>0</v>
      </c>
      <c r="BK61" s="258">
        <f t="shared" si="20"/>
        <v>0</v>
      </c>
      <c r="BL61" s="258">
        <f t="shared" si="21"/>
        <v>0</v>
      </c>
      <c r="BM61" s="258">
        <f t="shared" si="22"/>
        <v>0</v>
      </c>
      <c r="BN61" s="258">
        <f t="shared" si="23"/>
        <v>0</v>
      </c>
      <c r="BO61" s="258">
        <f t="shared" si="24"/>
        <v>0</v>
      </c>
      <c r="BP61" s="258">
        <f t="shared" si="25"/>
        <v>0</v>
      </c>
      <c r="BQ61" s="259">
        <f t="shared" si="26"/>
        <v>0</v>
      </c>
    </row>
    <row r="62" spans="1:69">
      <c r="B62" s="238"/>
      <c r="D62" s="260"/>
      <c r="E62" s="261"/>
      <c r="F62" s="261"/>
      <c r="G62" s="261"/>
      <c r="H62" s="261"/>
      <c r="I62" s="261"/>
      <c r="J62" s="261"/>
      <c r="K62" s="261"/>
      <c r="L62" s="261"/>
      <c r="M62" s="262"/>
      <c r="N62" s="262"/>
      <c r="O62" s="262"/>
      <c r="P62" s="262"/>
      <c r="Q62" s="262"/>
      <c r="R62" s="262"/>
      <c r="S62" s="262"/>
      <c r="T62" s="262"/>
      <c r="U62" s="262"/>
      <c r="V62" s="262"/>
      <c r="W62" s="262"/>
      <c r="X62" s="263"/>
      <c r="Z62" s="254"/>
      <c r="AA62" s="255"/>
      <c r="AB62" s="255"/>
      <c r="AC62" s="255"/>
      <c r="AD62" s="255"/>
      <c r="AE62" s="255"/>
      <c r="AF62" s="255"/>
      <c r="AG62" s="255"/>
      <c r="AH62" s="255"/>
      <c r="AI62" s="255"/>
      <c r="AJ62" s="255"/>
      <c r="AK62" s="255"/>
      <c r="AL62" s="255"/>
      <c r="AM62" s="255"/>
      <c r="AN62" s="255"/>
      <c r="AO62" s="255"/>
      <c r="AP62" s="255"/>
      <c r="AQ62" s="255"/>
      <c r="AR62" s="255"/>
      <c r="AS62" s="255"/>
      <c r="AT62" s="256"/>
      <c r="AV62" s="257">
        <f t="shared" si="5"/>
        <v>0</v>
      </c>
      <c r="AW62" s="224">
        <f t="shared" si="6"/>
        <v>0</v>
      </c>
      <c r="AX62" s="224">
        <f t="shared" si="7"/>
        <v>0</v>
      </c>
      <c r="AY62" s="224">
        <f t="shared" si="8"/>
        <v>0</v>
      </c>
      <c r="AZ62" s="224">
        <f t="shared" si="9"/>
        <v>0</v>
      </c>
      <c r="BA62" s="224">
        <f t="shared" si="10"/>
        <v>0</v>
      </c>
      <c r="BB62" s="224">
        <f t="shared" si="11"/>
        <v>0</v>
      </c>
      <c r="BC62" s="224">
        <f t="shared" si="12"/>
        <v>0</v>
      </c>
      <c r="BD62" s="224">
        <f t="shared" si="13"/>
        <v>0</v>
      </c>
      <c r="BE62" s="224">
        <f t="shared" si="14"/>
        <v>0</v>
      </c>
      <c r="BF62" s="224">
        <f t="shared" si="15"/>
        <v>0</v>
      </c>
      <c r="BG62" s="224">
        <f t="shared" si="16"/>
        <v>0</v>
      </c>
      <c r="BH62" s="224">
        <f t="shared" si="17"/>
        <v>0</v>
      </c>
      <c r="BI62" s="258">
        <f t="shared" si="18"/>
        <v>0</v>
      </c>
      <c r="BJ62" s="258">
        <f t="shared" si="19"/>
        <v>0</v>
      </c>
      <c r="BK62" s="258">
        <f t="shared" si="20"/>
        <v>0</v>
      </c>
      <c r="BL62" s="258">
        <f t="shared" si="21"/>
        <v>0</v>
      </c>
      <c r="BM62" s="258">
        <f t="shared" si="22"/>
        <v>0</v>
      </c>
      <c r="BN62" s="258">
        <f t="shared" si="23"/>
        <v>0</v>
      </c>
      <c r="BO62" s="258">
        <f t="shared" si="24"/>
        <v>0</v>
      </c>
      <c r="BP62" s="258">
        <f t="shared" si="25"/>
        <v>0</v>
      </c>
      <c r="BQ62" s="259">
        <f t="shared" si="26"/>
        <v>0</v>
      </c>
    </row>
    <row r="63" spans="1:69">
      <c r="B63" s="238"/>
      <c r="D63" s="260"/>
      <c r="E63" s="261"/>
      <c r="F63" s="261"/>
      <c r="G63" s="261"/>
      <c r="H63" s="261"/>
      <c r="I63" s="261"/>
      <c r="J63" s="261"/>
      <c r="K63" s="261"/>
      <c r="L63" s="261"/>
      <c r="M63" s="262"/>
      <c r="N63" s="262"/>
      <c r="O63" s="262"/>
      <c r="P63" s="262"/>
      <c r="Q63" s="262"/>
      <c r="R63" s="262"/>
      <c r="S63" s="262"/>
      <c r="T63" s="262"/>
      <c r="U63" s="262"/>
      <c r="V63" s="262"/>
      <c r="W63" s="262"/>
      <c r="X63" s="263"/>
      <c r="Z63" s="254"/>
      <c r="AA63" s="255"/>
      <c r="AB63" s="255"/>
      <c r="AC63" s="255"/>
      <c r="AD63" s="255"/>
      <c r="AE63" s="255"/>
      <c r="AF63" s="255"/>
      <c r="AG63" s="255"/>
      <c r="AH63" s="255"/>
      <c r="AI63" s="255"/>
      <c r="AJ63" s="255"/>
      <c r="AK63" s="255"/>
      <c r="AL63" s="255"/>
      <c r="AM63" s="255"/>
      <c r="AN63" s="255"/>
      <c r="AO63" s="255"/>
      <c r="AP63" s="255"/>
      <c r="AQ63" s="255"/>
      <c r="AR63" s="255"/>
      <c r="AS63" s="255"/>
      <c r="AT63" s="256"/>
      <c r="AV63" s="257">
        <f t="shared" si="5"/>
        <v>0</v>
      </c>
      <c r="AW63" s="224">
        <f t="shared" si="6"/>
        <v>0</v>
      </c>
      <c r="AX63" s="224">
        <f t="shared" si="7"/>
        <v>0</v>
      </c>
      <c r="AY63" s="224">
        <f t="shared" si="8"/>
        <v>0</v>
      </c>
      <c r="AZ63" s="224">
        <f t="shared" si="9"/>
        <v>0</v>
      </c>
      <c r="BA63" s="224">
        <f t="shared" si="10"/>
        <v>0</v>
      </c>
      <c r="BB63" s="224">
        <f t="shared" si="11"/>
        <v>0</v>
      </c>
      <c r="BC63" s="224">
        <f t="shared" si="12"/>
        <v>0</v>
      </c>
      <c r="BD63" s="224">
        <f t="shared" si="13"/>
        <v>0</v>
      </c>
      <c r="BE63" s="224">
        <f t="shared" si="14"/>
        <v>0</v>
      </c>
      <c r="BF63" s="224">
        <f t="shared" si="15"/>
        <v>0</v>
      </c>
      <c r="BG63" s="224">
        <f t="shared" si="16"/>
        <v>0</v>
      </c>
      <c r="BH63" s="224">
        <f t="shared" si="17"/>
        <v>0</v>
      </c>
      <c r="BI63" s="258">
        <f t="shared" si="18"/>
        <v>0</v>
      </c>
      <c r="BJ63" s="258">
        <f t="shared" si="19"/>
        <v>0</v>
      </c>
      <c r="BK63" s="258">
        <f t="shared" si="20"/>
        <v>0</v>
      </c>
      <c r="BL63" s="258">
        <f t="shared" si="21"/>
        <v>0</v>
      </c>
      <c r="BM63" s="258">
        <f t="shared" si="22"/>
        <v>0</v>
      </c>
      <c r="BN63" s="258">
        <f t="shared" si="23"/>
        <v>0</v>
      </c>
      <c r="BO63" s="258">
        <f t="shared" si="24"/>
        <v>0</v>
      </c>
      <c r="BP63" s="258">
        <f t="shared" si="25"/>
        <v>0</v>
      </c>
      <c r="BQ63" s="259">
        <f t="shared" si="26"/>
        <v>0</v>
      </c>
    </row>
    <row r="64" spans="1:69">
      <c r="B64" s="238"/>
      <c r="D64" s="260"/>
      <c r="E64" s="261"/>
      <c r="F64" s="261"/>
      <c r="G64" s="261"/>
      <c r="H64" s="261"/>
      <c r="I64" s="261"/>
      <c r="J64" s="261"/>
      <c r="K64" s="261"/>
      <c r="L64" s="261"/>
      <c r="M64" s="262"/>
      <c r="N64" s="262"/>
      <c r="O64" s="262"/>
      <c r="P64" s="262"/>
      <c r="Q64" s="262"/>
      <c r="R64" s="262"/>
      <c r="S64" s="262"/>
      <c r="T64" s="262"/>
      <c r="U64" s="262"/>
      <c r="V64" s="262"/>
      <c r="W64" s="262"/>
      <c r="X64" s="263"/>
      <c r="Z64" s="254"/>
      <c r="AA64" s="255"/>
      <c r="AB64" s="255"/>
      <c r="AC64" s="255"/>
      <c r="AD64" s="255"/>
      <c r="AE64" s="255"/>
      <c r="AF64" s="255"/>
      <c r="AG64" s="255"/>
      <c r="AH64" s="255"/>
      <c r="AI64" s="255"/>
      <c r="AJ64" s="255"/>
      <c r="AK64" s="255"/>
      <c r="AL64" s="255"/>
      <c r="AM64" s="255"/>
      <c r="AN64" s="255"/>
      <c r="AO64" s="255"/>
      <c r="AP64" s="255"/>
      <c r="AQ64" s="255"/>
      <c r="AR64" s="255"/>
      <c r="AS64" s="255"/>
      <c r="AT64" s="256"/>
      <c r="AV64" s="257">
        <f t="shared" si="5"/>
        <v>0</v>
      </c>
      <c r="AW64" s="224">
        <f t="shared" si="6"/>
        <v>0</v>
      </c>
      <c r="AX64" s="224">
        <f t="shared" si="7"/>
        <v>0</v>
      </c>
      <c r="AY64" s="224">
        <f t="shared" si="8"/>
        <v>0</v>
      </c>
      <c r="AZ64" s="224">
        <f t="shared" si="9"/>
        <v>0</v>
      </c>
      <c r="BA64" s="224">
        <f t="shared" si="10"/>
        <v>0</v>
      </c>
      <c r="BB64" s="224">
        <f t="shared" si="11"/>
        <v>0</v>
      </c>
      <c r="BC64" s="224">
        <f t="shared" si="12"/>
        <v>0</v>
      </c>
      <c r="BD64" s="224">
        <f t="shared" si="13"/>
        <v>0</v>
      </c>
      <c r="BE64" s="224">
        <f t="shared" si="14"/>
        <v>0</v>
      </c>
      <c r="BF64" s="224">
        <f t="shared" si="15"/>
        <v>0</v>
      </c>
      <c r="BG64" s="224">
        <f t="shared" si="16"/>
        <v>0</v>
      </c>
      <c r="BH64" s="224">
        <f t="shared" si="17"/>
        <v>0</v>
      </c>
      <c r="BI64" s="258">
        <f t="shared" si="18"/>
        <v>0</v>
      </c>
      <c r="BJ64" s="258">
        <f t="shared" si="19"/>
        <v>0</v>
      </c>
      <c r="BK64" s="258">
        <f t="shared" si="20"/>
        <v>0</v>
      </c>
      <c r="BL64" s="258">
        <f t="shared" si="21"/>
        <v>0</v>
      </c>
      <c r="BM64" s="258">
        <f t="shared" si="22"/>
        <v>0</v>
      </c>
      <c r="BN64" s="258">
        <f t="shared" si="23"/>
        <v>0</v>
      </c>
      <c r="BO64" s="258">
        <f t="shared" si="24"/>
        <v>0</v>
      </c>
      <c r="BP64" s="258">
        <f t="shared" si="25"/>
        <v>0</v>
      </c>
      <c r="BQ64" s="259">
        <f t="shared" si="26"/>
        <v>0</v>
      </c>
    </row>
    <row r="65" spans="2:69" ht="13.5" thickBot="1">
      <c r="B65" s="264"/>
      <c r="D65" s="265"/>
      <c r="E65" s="266"/>
      <c r="F65" s="266"/>
      <c r="G65" s="266"/>
      <c r="H65" s="266"/>
      <c r="I65" s="266"/>
      <c r="J65" s="266"/>
      <c r="K65" s="266"/>
      <c r="L65" s="266"/>
      <c r="M65" s="267"/>
      <c r="N65" s="267"/>
      <c r="O65" s="267"/>
      <c r="P65" s="267"/>
      <c r="Q65" s="267"/>
      <c r="R65" s="267"/>
      <c r="S65" s="267"/>
      <c r="T65" s="267"/>
      <c r="U65" s="267"/>
      <c r="V65" s="267"/>
      <c r="W65" s="267"/>
      <c r="X65" s="268"/>
      <c r="Z65" s="269"/>
      <c r="AA65" s="270"/>
      <c r="AB65" s="270"/>
      <c r="AC65" s="270"/>
      <c r="AD65" s="270"/>
      <c r="AE65" s="270"/>
      <c r="AF65" s="270"/>
      <c r="AG65" s="270"/>
      <c r="AH65" s="270"/>
      <c r="AI65" s="270"/>
      <c r="AJ65" s="270"/>
      <c r="AK65" s="270"/>
      <c r="AL65" s="270"/>
      <c r="AM65" s="270"/>
      <c r="AN65" s="270"/>
      <c r="AO65" s="270"/>
      <c r="AP65" s="270"/>
      <c r="AQ65" s="270"/>
      <c r="AR65" s="270"/>
      <c r="AS65" s="270"/>
      <c r="AT65" s="271"/>
      <c r="AV65" s="272">
        <f t="shared" si="5"/>
        <v>0</v>
      </c>
      <c r="AW65" s="273">
        <f t="shared" si="6"/>
        <v>0</v>
      </c>
      <c r="AX65" s="273">
        <f t="shared" si="7"/>
        <v>0</v>
      </c>
      <c r="AY65" s="273">
        <f t="shared" si="8"/>
        <v>0</v>
      </c>
      <c r="AZ65" s="273">
        <f t="shared" si="9"/>
        <v>0</v>
      </c>
      <c r="BA65" s="273">
        <f t="shared" si="10"/>
        <v>0</v>
      </c>
      <c r="BB65" s="273">
        <f t="shared" si="11"/>
        <v>0</v>
      </c>
      <c r="BC65" s="273">
        <f t="shared" si="12"/>
        <v>0</v>
      </c>
      <c r="BD65" s="273">
        <f t="shared" si="13"/>
        <v>0</v>
      </c>
      <c r="BE65" s="273">
        <f t="shared" si="14"/>
        <v>0</v>
      </c>
      <c r="BF65" s="273">
        <f t="shared" si="15"/>
        <v>0</v>
      </c>
      <c r="BG65" s="273">
        <f t="shared" si="16"/>
        <v>0</v>
      </c>
      <c r="BH65" s="273">
        <f t="shared" si="17"/>
        <v>0</v>
      </c>
      <c r="BI65" s="274">
        <f t="shared" si="18"/>
        <v>0</v>
      </c>
      <c r="BJ65" s="274">
        <f t="shared" si="19"/>
        <v>0</v>
      </c>
      <c r="BK65" s="274">
        <f t="shared" si="20"/>
        <v>0</v>
      </c>
      <c r="BL65" s="274">
        <f t="shared" si="21"/>
        <v>0</v>
      </c>
      <c r="BM65" s="274">
        <f t="shared" si="22"/>
        <v>0</v>
      </c>
      <c r="BN65" s="274">
        <f t="shared" si="23"/>
        <v>0</v>
      </c>
      <c r="BO65" s="274">
        <f t="shared" si="24"/>
        <v>0</v>
      </c>
      <c r="BP65" s="274">
        <f t="shared" si="25"/>
        <v>0</v>
      </c>
      <c r="BQ65" s="275">
        <f t="shared" si="26"/>
        <v>0</v>
      </c>
    </row>
    <row r="66" spans="2:69" ht="13.5" thickBot="1">
      <c r="B66" s="276"/>
      <c r="Z66" s="277">
        <f>SUM(Z6:Z65)-SUM(Z17:Z20)-SUM(Z30,Z41:Z42,Z51)</f>
        <v>804176.49858333333</v>
      </c>
      <c r="AA66" s="277">
        <f t="shared" ref="AA66:AT66" si="27">SUM(AA6:AA65)</f>
        <v>2373876351.1085277</v>
      </c>
      <c r="AB66" s="277">
        <f t="shared" si="27"/>
        <v>4245148600.5047131</v>
      </c>
      <c r="AC66" s="277">
        <f t="shared" si="27"/>
        <v>0</v>
      </c>
      <c r="AD66" s="277">
        <f t="shared" si="27"/>
        <v>0</v>
      </c>
      <c r="AE66" s="277">
        <f t="shared" si="27"/>
        <v>4033350047.9822612</v>
      </c>
      <c r="AF66" s="277">
        <f t="shared" si="27"/>
        <v>0</v>
      </c>
      <c r="AG66" s="277">
        <f t="shared" si="27"/>
        <v>0</v>
      </c>
      <c r="AH66" s="277">
        <f t="shared" si="27"/>
        <v>0</v>
      </c>
      <c r="AI66" s="277">
        <f t="shared" si="27"/>
        <v>1505147.6180048054</v>
      </c>
      <c r="AJ66" s="277">
        <f t="shared" si="27"/>
        <v>0</v>
      </c>
      <c r="AK66" s="277">
        <f t="shared" si="27"/>
        <v>1588679.8908401278</v>
      </c>
      <c r="AL66" s="277">
        <f t="shared" si="27"/>
        <v>2959315.5561454808</v>
      </c>
      <c r="AM66" s="277">
        <f t="shared" si="27"/>
        <v>4067340.0088178245</v>
      </c>
      <c r="AN66" s="277">
        <f t="shared" si="27"/>
        <v>6816960.7829246996</v>
      </c>
      <c r="AO66" s="277">
        <f t="shared" si="27"/>
        <v>6470322.1731618186</v>
      </c>
      <c r="AP66" s="277">
        <f t="shared" si="27"/>
        <v>0</v>
      </c>
      <c r="AQ66" s="277">
        <f t="shared" si="27"/>
        <v>4621123.1952507738</v>
      </c>
      <c r="AR66" s="277">
        <f t="shared" si="27"/>
        <v>7023518.407639401</v>
      </c>
      <c r="AS66" s="277">
        <f t="shared" si="27"/>
        <v>6995465.1376402304</v>
      </c>
      <c r="AT66" s="277">
        <f t="shared" si="27"/>
        <v>0</v>
      </c>
      <c r="AV66" s="278">
        <f t="shared" ref="AV66:BQ66" si="28">SUM(AV6:AV65)</f>
        <v>0</v>
      </c>
      <c r="AW66" s="277">
        <f t="shared" si="28"/>
        <v>9460162.4340733849</v>
      </c>
      <c r="AX66" s="277">
        <f t="shared" si="28"/>
        <v>10460488.372624325</v>
      </c>
      <c r="AY66" s="277">
        <f t="shared" si="28"/>
        <v>0</v>
      </c>
      <c r="AZ66" s="277">
        <f t="shared" si="28"/>
        <v>0</v>
      </c>
      <c r="BA66" s="277">
        <f t="shared" si="28"/>
        <v>10299688.159278501</v>
      </c>
      <c r="BB66" s="277">
        <f t="shared" si="28"/>
        <v>0</v>
      </c>
      <c r="BC66" s="277">
        <f t="shared" si="28"/>
        <v>0</v>
      </c>
      <c r="BD66" s="277">
        <f t="shared" si="28"/>
        <v>0</v>
      </c>
      <c r="BE66" s="277">
        <f t="shared" si="28"/>
        <v>0</v>
      </c>
      <c r="BF66" s="277">
        <f t="shared" si="28"/>
        <v>0</v>
      </c>
      <c r="BG66" s="277">
        <f t="shared" si="28"/>
        <v>0</v>
      </c>
      <c r="BH66" s="277">
        <f t="shared" si="28"/>
        <v>0</v>
      </c>
      <c r="BI66" s="277">
        <f t="shared" si="28"/>
        <v>16183.327088496559</v>
      </c>
      <c r="BJ66" s="277">
        <f t="shared" si="28"/>
        <v>27217.288534966639</v>
      </c>
      <c r="BK66" s="277">
        <f t="shared" si="28"/>
        <v>25733.371073843431</v>
      </c>
      <c r="BL66" s="277">
        <f t="shared" si="28"/>
        <v>0</v>
      </c>
      <c r="BM66" s="277">
        <f t="shared" si="28"/>
        <v>18343.081515585061</v>
      </c>
      <c r="BN66" s="277">
        <f t="shared" si="28"/>
        <v>28022.863271353977</v>
      </c>
      <c r="BO66" s="277">
        <f t="shared" si="28"/>
        <v>27781.428635309239</v>
      </c>
      <c r="BP66" s="277">
        <f t="shared" si="28"/>
        <v>0</v>
      </c>
      <c r="BQ66" s="277">
        <f t="shared" si="28"/>
        <v>30363620.326095764</v>
      </c>
    </row>
    <row r="67" spans="2:69" ht="13.5" thickTop="1">
      <c r="B67" s="276"/>
    </row>
    <row r="68" spans="2:69">
      <c r="B68" s="276"/>
    </row>
    <row r="69" spans="2:69">
      <c r="B69" s="276"/>
      <c r="BQ69" s="325"/>
    </row>
    <row r="70" spans="2:69">
      <c r="B70" s="276"/>
    </row>
    <row r="71" spans="2:69">
      <c r="B71" s="276"/>
    </row>
    <row r="72" spans="2:69">
      <c r="B72" s="276"/>
    </row>
    <row r="73" spans="2:69">
      <c r="B73" s="276"/>
    </row>
    <row r="74" spans="2:69">
      <c r="B74" s="276"/>
    </row>
    <row r="75" spans="2:69">
      <c r="B75" s="276"/>
    </row>
    <row r="76" spans="2:69">
      <c r="B76" s="276"/>
    </row>
    <row r="77" spans="2:69">
      <c r="B77" s="276"/>
    </row>
    <row r="78" spans="2:69">
      <c r="B78" s="276"/>
    </row>
    <row r="79" spans="2:69">
      <c r="B79" s="276"/>
    </row>
    <row r="80" spans="2:69">
      <c r="B80" s="276"/>
    </row>
    <row r="81" spans="2:2">
      <c r="B81" s="276"/>
    </row>
    <row r="82" spans="2:2">
      <c r="B82" s="276"/>
    </row>
    <row r="83" spans="2:2">
      <c r="B83" s="276"/>
    </row>
    <row r="84" spans="2:2">
      <c r="B84" s="276"/>
    </row>
    <row r="85" spans="2:2">
      <c r="B85" s="276"/>
    </row>
    <row r="86" spans="2:2">
      <c r="B86" s="276"/>
    </row>
    <row r="87" spans="2:2">
      <c r="B87" s="276"/>
    </row>
    <row r="88" spans="2:2">
      <c r="B88" s="276"/>
    </row>
    <row r="89" spans="2:2">
      <c r="B89" s="276"/>
    </row>
    <row r="90" spans="2:2">
      <c r="B90" s="276"/>
    </row>
    <row r="91" spans="2:2">
      <c r="B91" s="276"/>
    </row>
    <row r="92" spans="2:2">
      <c r="B92" s="276"/>
    </row>
    <row r="93" spans="2:2">
      <c r="B93" s="276"/>
    </row>
    <row r="94" spans="2:2">
      <c r="B94" s="276"/>
    </row>
    <row r="95" spans="2:2">
      <c r="B95" s="276"/>
    </row>
    <row r="96" spans="2:2">
      <c r="B96" s="276"/>
    </row>
    <row r="97" spans="2:2">
      <c r="B97" s="276"/>
    </row>
    <row r="98" spans="2:2">
      <c r="B98" s="276"/>
    </row>
    <row r="99" spans="2:2">
      <c r="B99" s="276"/>
    </row>
    <row r="100" spans="2:2">
      <c r="B100" s="276"/>
    </row>
    <row r="101" spans="2:2">
      <c r="B101" s="276"/>
    </row>
    <row r="102" spans="2:2">
      <c r="B102" s="276"/>
    </row>
    <row r="103" spans="2:2">
      <c r="B103" s="276"/>
    </row>
    <row r="104" spans="2:2">
      <c r="B104" s="276"/>
    </row>
    <row r="105" spans="2:2">
      <c r="B105" s="276"/>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6" max="65" man="1"/>
  </colBreak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FFFF"/>
  </sheetPr>
  <dimension ref="A2:X62"/>
  <sheetViews>
    <sheetView zoomScale="80" zoomScaleNormal="80" workbookViewId="0">
      <selection activeCell="K15" sqref="K15"/>
    </sheetView>
  </sheetViews>
  <sheetFormatPr defaultRowHeight="14.25"/>
  <cols>
    <col min="1" max="1" width="5.42578125" style="32" customWidth="1"/>
    <col min="2" max="2" width="78.42578125" style="33" customWidth="1"/>
    <col min="3" max="3" width="18.5703125" style="34" customWidth="1"/>
    <col min="4" max="4" width="18.5703125" style="35" customWidth="1"/>
    <col min="5" max="5" width="18.7109375" style="35" customWidth="1"/>
    <col min="6" max="6" width="9" style="35" customWidth="1"/>
    <col min="7" max="7" width="12.28515625" style="35" bestFit="1" customWidth="1"/>
    <col min="8" max="8" width="9" style="35" customWidth="1"/>
    <col min="9" max="10" width="9" style="36" customWidth="1"/>
    <col min="11" max="19" width="9" style="35" customWidth="1"/>
    <col min="20"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c r="B2" s="63" t="str">
        <f>"Tariff Approval - "&amp;'Model update'!$C$3</f>
        <v>Tariff Approval - Powercor</v>
      </c>
      <c r="D2" s="38"/>
      <c r="M2" s="78"/>
      <c r="N2" s="78"/>
      <c r="O2" s="78"/>
      <c r="P2" s="78"/>
      <c r="Q2" s="78"/>
      <c r="R2" s="78"/>
    </row>
    <row r="3" spans="1:24" ht="15">
      <c r="B3" s="143"/>
      <c r="D3" s="38"/>
      <c r="M3" s="78"/>
      <c r="N3" s="78"/>
      <c r="O3" s="78"/>
      <c r="P3" s="78"/>
      <c r="Q3" s="78"/>
      <c r="R3" s="78"/>
    </row>
    <row r="4" spans="1:24" ht="18.75">
      <c r="B4" s="144" t="s">
        <v>328</v>
      </c>
      <c r="C4" s="145"/>
      <c r="D4" s="38"/>
      <c r="M4" s="78"/>
      <c r="N4" s="78"/>
      <c r="O4" s="78"/>
      <c r="P4" s="78"/>
      <c r="Q4" s="78"/>
      <c r="R4" s="78"/>
    </row>
    <row r="5" spans="1:24" ht="15">
      <c r="B5" s="39"/>
      <c r="D5" s="38"/>
      <c r="M5" s="78"/>
      <c r="N5" s="78"/>
      <c r="O5" s="78"/>
      <c r="P5" s="78"/>
      <c r="Q5" s="78"/>
      <c r="R5" s="78"/>
    </row>
    <row r="6" spans="1:24" ht="15">
      <c r="B6" s="74" t="s">
        <v>268</v>
      </c>
      <c r="C6" s="94">
        <f>'Model update'!C5</f>
        <v>2018</v>
      </c>
      <c r="D6" s="38"/>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329</v>
      </c>
      <c r="C8" s="46"/>
      <c r="D8" s="47"/>
      <c r="E8" s="47"/>
      <c r="M8" s="78"/>
      <c r="N8" s="78"/>
      <c r="O8" s="78"/>
      <c r="P8" s="78"/>
      <c r="Q8" s="78"/>
      <c r="R8" s="78"/>
    </row>
    <row r="9" spans="1:24" ht="18" customHeight="1">
      <c r="A9" s="43"/>
      <c r="B9" s="48" t="s">
        <v>330</v>
      </c>
      <c r="C9" s="73">
        <f>Prop2018JSTar!BQ66</f>
        <v>26177473.83374219</v>
      </c>
      <c r="D9" s="672"/>
      <c r="E9" s="36"/>
      <c r="G9" s="149"/>
      <c r="I9" s="35"/>
      <c r="J9" s="35"/>
      <c r="M9" s="78"/>
      <c r="N9" s="78"/>
      <c r="O9" s="78"/>
      <c r="P9" s="78"/>
      <c r="Q9" s="78"/>
      <c r="R9" s="78"/>
    </row>
    <row r="10" spans="1:24" ht="18" customHeight="1">
      <c r="A10" s="43"/>
      <c r="B10" s="85" t="s">
        <v>331</v>
      </c>
      <c r="C10" s="86">
        <f>C17</f>
        <v>26177473.83374219</v>
      </c>
      <c r="D10" s="49"/>
      <c r="E10" s="149"/>
      <c r="I10" s="35"/>
      <c r="J10" s="35"/>
      <c r="M10" s="78"/>
      <c r="N10" s="78"/>
      <c r="O10" s="78"/>
      <c r="P10" s="78"/>
      <c r="Q10" s="78"/>
      <c r="R10" s="78"/>
    </row>
    <row r="11" spans="1:24" ht="18" customHeight="1">
      <c r="A11" s="43"/>
      <c r="B11" s="87"/>
      <c r="C11" s="89" t="str">
        <f>IF(C9="","",IF(C10&gt;=C9,"JSA REVENUE FORMULA COMPLIANT","JSA REVENUE FORMULA BREACHED"))</f>
        <v>JSA REVENUE FORMULA COMPLIANT</v>
      </c>
      <c r="D11" s="50"/>
      <c r="E11" s="75"/>
      <c r="F11" s="76"/>
      <c r="G11" s="76"/>
      <c r="H11" s="76"/>
      <c r="I11" s="76"/>
      <c r="J11" s="76"/>
      <c r="K11" s="76"/>
      <c r="L11" s="76"/>
      <c r="M11" s="78"/>
      <c r="N11" s="78"/>
      <c r="O11" s="78"/>
      <c r="P11" s="78"/>
      <c r="Q11" s="78"/>
      <c r="R11" s="78"/>
      <c r="V11" s="51"/>
      <c r="W11" s="51"/>
      <c r="X11" s="51"/>
    </row>
    <row r="12" spans="1:24" ht="18" customHeight="1">
      <c r="A12" s="43"/>
      <c r="B12" s="50"/>
      <c r="C12" s="50"/>
      <c r="D12" s="50"/>
      <c r="E12" s="75"/>
      <c r="F12" s="76"/>
      <c r="G12" s="76"/>
      <c r="H12" s="76"/>
      <c r="I12" s="76"/>
      <c r="J12" s="76"/>
      <c r="K12" s="76"/>
      <c r="L12" s="76"/>
      <c r="M12" s="78"/>
      <c r="N12" s="78"/>
      <c r="O12" s="78"/>
      <c r="P12" s="78"/>
      <c r="Q12" s="78"/>
      <c r="R12" s="78"/>
      <c r="V12" s="51"/>
      <c r="W12" s="51"/>
      <c r="X12" s="51"/>
    </row>
    <row r="13" spans="1:24" ht="18" customHeight="1">
      <c r="A13" s="43"/>
      <c r="B13" s="44" t="s">
        <v>334</v>
      </c>
      <c r="C13" s="50"/>
      <c r="D13" s="50"/>
      <c r="E13" s="75"/>
      <c r="F13" s="76"/>
      <c r="G13" s="76"/>
      <c r="H13" s="76"/>
      <c r="I13" s="76"/>
      <c r="J13" s="76"/>
      <c r="K13" s="76"/>
      <c r="L13" s="76"/>
      <c r="M13" s="78"/>
      <c r="N13" s="78"/>
      <c r="O13" s="78"/>
      <c r="P13" s="78"/>
      <c r="Q13" s="78"/>
      <c r="R13" s="78"/>
      <c r="V13" s="51"/>
      <c r="W13" s="51"/>
      <c r="X13" s="51"/>
    </row>
    <row r="14" spans="1:24" ht="18" customHeight="1">
      <c r="A14" s="43"/>
      <c r="B14" s="53" t="s">
        <v>335</v>
      </c>
      <c r="C14" s="64">
        <f>C22</f>
        <v>22655552.256976299</v>
      </c>
      <c r="D14" s="50"/>
      <c r="E14" s="75"/>
      <c r="F14" s="76"/>
      <c r="G14" s="76"/>
      <c r="H14" s="76"/>
      <c r="I14" s="76"/>
      <c r="J14" s="76"/>
      <c r="K14" s="76"/>
      <c r="L14" s="76"/>
      <c r="M14" s="78"/>
      <c r="N14" s="78"/>
      <c r="O14" s="78"/>
      <c r="P14" s="78"/>
      <c r="Q14" s="78"/>
      <c r="R14" s="78"/>
      <c r="V14" s="51"/>
      <c r="W14" s="51"/>
      <c r="X14" s="51"/>
    </row>
    <row r="15" spans="1:24" ht="18" customHeight="1">
      <c r="A15" s="43"/>
      <c r="B15" s="54" t="s">
        <v>332</v>
      </c>
      <c r="C15" s="64">
        <f>E45</f>
        <v>3521921.5767658912</v>
      </c>
      <c r="D15" s="50"/>
      <c r="E15" s="75"/>
      <c r="F15" s="76"/>
      <c r="G15" s="76"/>
      <c r="H15" s="76"/>
      <c r="I15" s="76"/>
      <c r="J15" s="76"/>
      <c r="K15" s="76"/>
      <c r="L15" s="76"/>
      <c r="M15" s="78"/>
      <c r="N15" s="78"/>
      <c r="O15" s="78"/>
      <c r="P15" s="78"/>
      <c r="Q15" s="78"/>
      <c r="R15" s="78"/>
      <c r="V15" s="51"/>
      <c r="W15" s="51"/>
      <c r="X15" s="51"/>
    </row>
    <row r="16" spans="1:24" ht="18" customHeight="1">
      <c r="A16" s="43"/>
      <c r="B16" s="54" t="s">
        <v>333</v>
      </c>
      <c r="C16" s="716"/>
      <c r="D16" s="50"/>
      <c r="E16" s="75"/>
      <c r="F16" s="76"/>
      <c r="G16" s="76"/>
      <c r="H16" s="76"/>
      <c r="I16" s="76"/>
      <c r="J16" s="76"/>
      <c r="K16" s="76"/>
      <c r="L16" s="76"/>
      <c r="M16" s="78"/>
      <c r="N16" s="78"/>
      <c r="O16" s="78"/>
      <c r="P16" s="78"/>
      <c r="Q16" s="78"/>
      <c r="R16" s="78"/>
      <c r="V16" s="51"/>
      <c r="W16" s="51"/>
      <c r="X16" s="51"/>
    </row>
    <row r="17" spans="1:24" ht="18" customHeight="1">
      <c r="A17" s="43"/>
      <c r="B17" s="48" t="s">
        <v>331</v>
      </c>
      <c r="C17" s="65">
        <f>SUM(C14:C16)</f>
        <v>26177473.83374219</v>
      </c>
      <c r="D17" s="50"/>
      <c r="E17" s="75"/>
      <c r="F17" s="76"/>
      <c r="G17" s="76"/>
      <c r="H17" s="76"/>
      <c r="I17" s="76"/>
      <c r="J17" s="76"/>
      <c r="K17" s="76"/>
      <c r="L17" s="76"/>
      <c r="M17" s="78"/>
      <c r="N17" s="78"/>
      <c r="O17" s="78"/>
      <c r="P17" s="78"/>
      <c r="Q17" s="78"/>
      <c r="R17" s="78"/>
      <c r="V17" s="51"/>
      <c r="W17" s="51"/>
      <c r="X17" s="51"/>
    </row>
    <row r="18" spans="1:24" ht="18" customHeight="1">
      <c r="A18" s="43"/>
      <c r="B18" s="56"/>
      <c r="C18" s="92"/>
      <c r="D18" s="50"/>
      <c r="E18" s="75"/>
      <c r="F18" s="76"/>
      <c r="G18" s="76"/>
      <c r="H18" s="76"/>
      <c r="I18" s="76"/>
      <c r="J18" s="76"/>
      <c r="K18" s="76"/>
      <c r="L18" s="76"/>
      <c r="M18" s="78"/>
      <c r="N18" s="78"/>
      <c r="O18" s="78"/>
      <c r="P18" s="78"/>
      <c r="Q18" s="78"/>
      <c r="R18" s="78"/>
      <c r="V18" s="51"/>
      <c r="W18" s="51"/>
      <c r="X18" s="51"/>
    </row>
    <row r="19" spans="1:24" ht="18" customHeight="1">
      <c r="A19" s="43"/>
      <c r="B19" s="44" t="s">
        <v>336</v>
      </c>
      <c r="C19" s="50"/>
      <c r="D19" s="50"/>
      <c r="E19" s="75"/>
      <c r="F19" s="76"/>
      <c r="G19" s="76"/>
      <c r="H19" s="76"/>
      <c r="I19" s="76"/>
      <c r="J19" s="76"/>
      <c r="K19" s="76"/>
      <c r="L19" s="76"/>
      <c r="M19" s="78"/>
      <c r="N19" s="78"/>
      <c r="O19" s="78"/>
      <c r="P19" s="78"/>
      <c r="Q19" s="78"/>
      <c r="R19" s="78"/>
      <c r="V19" s="51"/>
      <c r="W19" s="51"/>
      <c r="X19" s="51"/>
    </row>
    <row r="20" spans="1:24" ht="18" customHeight="1">
      <c r="A20" s="43"/>
      <c r="B20" s="53" t="s">
        <v>318</v>
      </c>
      <c r="C20" s="667">
        <v>22655552.256976299</v>
      </c>
      <c r="D20" s="50"/>
      <c r="E20" s="75"/>
      <c r="F20" s="76"/>
      <c r="G20" s="76"/>
      <c r="H20" s="76"/>
      <c r="I20" s="76"/>
      <c r="J20" s="76"/>
      <c r="K20" s="76"/>
      <c r="L20" s="76"/>
      <c r="M20" s="78"/>
      <c r="N20" s="78"/>
      <c r="O20" s="78"/>
      <c r="P20" s="78"/>
      <c r="Q20" s="78"/>
      <c r="R20" s="78"/>
      <c r="V20" s="51"/>
      <c r="W20" s="51"/>
      <c r="X20" s="51"/>
    </row>
    <row r="21" spans="1:24" ht="18" customHeight="1">
      <c r="A21" s="43"/>
      <c r="B21" s="54" t="s">
        <v>319</v>
      </c>
      <c r="C21" s="667">
        <v>0</v>
      </c>
      <c r="D21" s="50"/>
      <c r="E21" s="75"/>
      <c r="F21" s="76"/>
      <c r="G21" s="76"/>
      <c r="H21" s="76"/>
      <c r="I21" s="76"/>
      <c r="J21" s="76"/>
      <c r="K21" s="76"/>
      <c r="L21" s="76"/>
      <c r="M21" s="78"/>
      <c r="N21" s="78"/>
      <c r="O21" s="78"/>
      <c r="P21" s="78"/>
      <c r="Q21" s="78"/>
      <c r="R21" s="78"/>
      <c r="V21" s="51"/>
      <c r="W21" s="51"/>
      <c r="X21" s="51"/>
    </row>
    <row r="22" spans="1:24" ht="18" customHeight="1">
      <c r="A22" s="43"/>
      <c r="B22" s="48" t="s">
        <v>337</v>
      </c>
      <c r="C22" s="65">
        <f>SUM(C20:C21)</f>
        <v>22655552.256976299</v>
      </c>
      <c r="D22" s="50"/>
      <c r="E22" s="75"/>
      <c r="F22" s="76"/>
      <c r="G22" s="76"/>
      <c r="H22" s="76"/>
      <c r="I22" s="76"/>
      <c r="J22" s="76"/>
      <c r="K22" s="76"/>
      <c r="L22" s="76"/>
      <c r="M22" s="78"/>
      <c r="N22" s="78"/>
      <c r="O22" s="78"/>
      <c r="P22" s="78"/>
      <c r="Q22" s="78"/>
      <c r="R22" s="78"/>
      <c r="V22" s="51"/>
      <c r="W22" s="51"/>
      <c r="X22" s="51"/>
    </row>
    <row r="23" spans="1:24" ht="18" customHeight="1">
      <c r="A23" s="43"/>
      <c r="B23" s="57"/>
      <c r="C23" s="68"/>
      <c r="D23" s="50"/>
      <c r="E23" s="75"/>
      <c r="F23" s="76"/>
      <c r="G23" s="76"/>
      <c r="H23" s="76"/>
      <c r="I23" s="76"/>
      <c r="J23" s="76"/>
      <c r="K23" s="76"/>
      <c r="L23" s="76"/>
      <c r="M23" s="78"/>
      <c r="N23" s="78"/>
      <c r="O23" s="78"/>
      <c r="P23" s="78"/>
      <c r="Q23" s="78"/>
      <c r="R23" s="78"/>
      <c r="V23" s="51"/>
      <c r="W23" s="51"/>
      <c r="X23" s="51"/>
    </row>
    <row r="27" spans="1:24" ht="15.75">
      <c r="B27" s="108" t="s">
        <v>338</v>
      </c>
    </row>
    <row r="28" spans="1:24" ht="15">
      <c r="B28" s="100"/>
      <c r="C28" s="113" t="s">
        <v>267</v>
      </c>
      <c r="D28" s="113" t="s">
        <v>539</v>
      </c>
      <c r="E28" s="113" t="s">
        <v>35</v>
      </c>
    </row>
    <row r="29" spans="1:24" ht="15">
      <c r="B29" s="101"/>
      <c r="C29" s="114" t="s">
        <v>34</v>
      </c>
      <c r="D29" s="114" t="s">
        <v>442</v>
      </c>
      <c r="E29" s="114" t="s">
        <v>36</v>
      </c>
    </row>
    <row r="30" spans="1:24" ht="15">
      <c r="B30" s="101"/>
      <c r="C30" s="115">
        <f>D30-1</f>
        <v>2016</v>
      </c>
      <c r="D30" s="115">
        <f>E30-1</f>
        <v>2017</v>
      </c>
      <c r="E30" s="115">
        <f>C$6</f>
        <v>2018</v>
      </c>
    </row>
    <row r="31" spans="1:24">
      <c r="B31" s="101"/>
      <c r="C31" s="98"/>
      <c r="D31" s="98"/>
      <c r="E31" s="111"/>
    </row>
    <row r="32" spans="1:24" ht="15">
      <c r="B32" s="614" t="s">
        <v>339</v>
      </c>
      <c r="C32" s="97">
        <v>33157774.469999995</v>
      </c>
      <c r="D32" s="605">
        <f>Est2017JSRev!BQ66</f>
        <v>30363620.326095764</v>
      </c>
      <c r="E32" s="605">
        <f>C9</f>
        <v>26177473.83374219</v>
      </c>
      <c r="F32"/>
    </row>
    <row r="33" spans="2:7">
      <c r="B33" s="392"/>
      <c r="C33" s="98"/>
      <c r="D33" s="98"/>
      <c r="E33" s="110"/>
      <c r="G33"/>
    </row>
    <row r="34" spans="2:7">
      <c r="B34" s="102"/>
      <c r="C34" s="98"/>
      <c r="D34" s="98"/>
      <c r="E34" s="110"/>
    </row>
    <row r="35" spans="2:7" ht="15">
      <c r="B35" s="103" t="s">
        <v>340</v>
      </c>
      <c r="C35" s="96">
        <f>SUM(C37:C39)</f>
        <v>34758888.938735694</v>
      </c>
      <c r="D35" s="96">
        <f>SUM(D37:D39)</f>
        <v>32110283.982559584</v>
      </c>
      <c r="E35" s="96">
        <f>SUM(E37:E39)</f>
        <v>22655552.256976299</v>
      </c>
    </row>
    <row r="36" spans="2:7" ht="15">
      <c r="B36" s="103"/>
      <c r="C36" s="96"/>
      <c r="D36" s="96"/>
      <c r="E36" s="96"/>
    </row>
    <row r="37" spans="2:7">
      <c r="B37" s="104" t="s">
        <v>341</v>
      </c>
      <c r="C37" s="99">
        <v>-3235997.0512642981</v>
      </c>
      <c r="D37" s="99">
        <v>8416717.5724033844</v>
      </c>
      <c r="E37" s="110">
        <f>C16</f>
        <v>0</v>
      </c>
    </row>
    <row r="38" spans="2:7">
      <c r="B38" s="104"/>
      <c r="C38" s="148"/>
      <c r="D38" s="148"/>
      <c r="E38" s="619"/>
    </row>
    <row r="39" spans="2:7">
      <c r="B39" s="104" t="s">
        <v>342</v>
      </c>
      <c r="C39" s="95">
        <f>SUM(C40:C41)</f>
        <v>37994885.989999995</v>
      </c>
      <c r="D39" s="95">
        <f>SUM(D40:D41)</f>
        <v>23693566.410156202</v>
      </c>
      <c r="E39" s="95">
        <f>SUM(E40:E41)</f>
        <v>22655552.256976299</v>
      </c>
    </row>
    <row r="40" spans="2:7">
      <c r="B40" s="105" t="s">
        <v>343</v>
      </c>
      <c r="C40" s="148">
        <f>'JS cost audit template'!F4</f>
        <v>25899765.48</v>
      </c>
      <c r="D40" s="664">
        <v>23693566.410156202</v>
      </c>
      <c r="E40" s="146">
        <f>C20</f>
        <v>22655552.256976299</v>
      </c>
    </row>
    <row r="41" spans="2:7">
      <c r="B41" s="105" t="s">
        <v>344</v>
      </c>
      <c r="C41" s="620">
        <f>'JS cost audit template'!F5</f>
        <v>12095120.509999998</v>
      </c>
      <c r="D41" s="665">
        <v>0</v>
      </c>
      <c r="E41" s="121">
        <f>C21</f>
        <v>0</v>
      </c>
    </row>
    <row r="42" spans="2:7" ht="15">
      <c r="B42" s="106"/>
      <c r="C42" s="98"/>
      <c r="D42" s="98"/>
      <c r="E42" s="110"/>
    </row>
    <row r="43" spans="2:7">
      <c r="B43" s="104"/>
      <c r="C43" s="148"/>
      <c r="D43" s="148"/>
      <c r="E43" s="112"/>
    </row>
    <row r="44" spans="2:7">
      <c r="B44" s="107"/>
      <c r="C44" s="98"/>
      <c r="D44" s="98"/>
      <c r="E44" s="110"/>
    </row>
    <row r="45" spans="2:7" ht="15">
      <c r="B45" s="615" t="s">
        <v>45</v>
      </c>
      <c r="C45" s="96">
        <f>C32-C35</f>
        <v>-1601114.4687356986</v>
      </c>
      <c r="D45" s="96">
        <f>D32-D35</f>
        <v>-1746663.6564638205</v>
      </c>
      <c r="E45" s="96">
        <f>E32-E35</f>
        <v>3521921.5767658912</v>
      </c>
    </row>
    <row r="46" spans="2:7">
      <c r="B46" s="40"/>
      <c r="D46" s="34"/>
    </row>
    <row r="47" spans="2:7">
      <c r="B47" s="40"/>
      <c r="D47" s="34"/>
    </row>
    <row r="48" spans="2:7">
      <c r="B48" s="40"/>
      <c r="D48" s="34"/>
    </row>
    <row r="49" spans="2:5" ht="15.75">
      <c r="B49" s="108" t="s">
        <v>345</v>
      </c>
      <c r="D49" s="34"/>
    </row>
    <row r="50" spans="2:5" ht="15">
      <c r="B50" s="616"/>
      <c r="C50" s="113" t="s">
        <v>267</v>
      </c>
      <c r="D50" s="113" t="s">
        <v>539</v>
      </c>
      <c r="E50" s="113" t="s">
        <v>35</v>
      </c>
    </row>
    <row r="51" spans="2:5" ht="15">
      <c r="B51" s="107"/>
      <c r="C51" s="114" t="s">
        <v>34</v>
      </c>
      <c r="D51" s="114" t="s">
        <v>442</v>
      </c>
      <c r="E51" s="114" t="s">
        <v>36</v>
      </c>
    </row>
    <row r="52" spans="2:5" ht="15">
      <c r="B52" s="617" t="s">
        <v>269</v>
      </c>
      <c r="C52" s="115">
        <f>D52-1</f>
        <v>2016</v>
      </c>
      <c r="D52" s="115">
        <f>E52-1</f>
        <v>2017</v>
      </c>
      <c r="E52" s="115">
        <f>C$6</f>
        <v>2018</v>
      </c>
    </row>
    <row r="53" spans="2:5">
      <c r="B53" s="107"/>
      <c r="C53" s="109"/>
      <c r="D53" s="109"/>
      <c r="E53" s="111"/>
    </row>
    <row r="54" spans="2:5">
      <c r="B54" s="107" t="s">
        <v>540</v>
      </c>
      <c r="C54" s="606">
        <f>(1+'Model update'!$B$47)*(1+'Model update'!$C$28)-1</f>
        <v>5.2561174728540827E-2</v>
      </c>
      <c r="D54" s="109">
        <f>(1+'Model update'!$B$45)*(1+'Model update'!$C$29)-1</f>
        <v>4.7000045598383666E-2</v>
      </c>
      <c r="E54" s="607">
        <f>(1+'Model update'!$B$43)*(1+'Model update'!$C$30)-1</f>
        <v>5.5929028441763728E-2</v>
      </c>
    </row>
    <row r="55" spans="2:5">
      <c r="B55" s="107"/>
      <c r="C55" s="98"/>
      <c r="D55" s="98"/>
      <c r="E55" s="111"/>
    </row>
    <row r="56" spans="2:5">
      <c r="B56" s="107" t="s">
        <v>47</v>
      </c>
      <c r="C56" s="99">
        <v>0</v>
      </c>
      <c r="D56" s="110">
        <f>C60</f>
        <v>-1642653.8477409061</v>
      </c>
      <c r="E56" s="110">
        <f>D60</f>
        <v>-3507097.6589306258</v>
      </c>
    </row>
    <row r="57" spans="2:5">
      <c r="B57" s="107" t="s">
        <v>541</v>
      </c>
      <c r="C57" s="148">
        <f>C56*C54</f>
        <v>0</v>
      </c>
      <c r="D57" s="148">
        <f>D56*D54</f>
        <v>-77204.805746182959</v>
      </c>
      <c r="E57" s="148">
        <f>E56*E54</f>
        <v>-196148.56471437396</v>
      </c>
    </row>
    <row r="58" spans="2:5">
      <c r="B58" s="107" t="s">
        <v>48</v>
      </c>
      <c r="C58" s="110">
        <f>C45</f>
        <v>-1601114.4687356986</v>
      </c>
      <c r="D58" s="110">
        <f>D45</f>
        <v>-1746663.6564638205</v>
      </c>
      <c r="E58" s="110">
        <f>E45</f>
        <v>3521921.5767658912</v>
      </c>
    </row>
    <row r="59" spans="2:5">
      <c r="B59" s="107" t="s">
        <v>459</v>
      </c>
      <c r="C59" s="148">
        <f>C58*((1+C54)^0.5-1)</f>
        <v>-41539.379005207345</v>
      </c>
      <c r="D59" s="148">
        <f>D58*((1+D54)^0.5-1)</f>
        <v>-40575.34897971616</v>
      </c>
      <c r="E59" s="148">
        <f>E58*((1+E54)^0.5-1)</f>
        <v>97148.944201824168</v>
      </c>
    </row>
    <row r="60" spans="2:5" ht="15">
      <c r="B60" s="615" t="s">
        <v>403</v>
      </c>
      <c r="C60" s="96">
        <f>SUM(C56:C59)</f>
        <v>-1642653.8477409061</v>
      </c>
      <c r="D60" s="96">
        <f t="shared" ref="D60:E60" si="0">SUM(D56:D59)</f>
        <v>-3507097.6589306258</v>
      </c>
      <c r="E60" s="96">
        <f t="shared" si="0"/>
        <v>-84175.702677284455</v>
      </c>
    </row>
    <row r="62" spans="2:5">
      <c r="B62" s="670" t="s">
        <v>551</v>
      </c>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15"/>
    <pageSetUpPr fitToPage="1"/>
  </sheetPr>
  <dimension ref="A1:AO176"/>
  <sheetViews>
    <sheetView showGridLines="0" zoomScaleNormal="100" workbookViewId="0"/>
  </sheetViews>
  <sheetFormatPr defaultColWidth="9.140625" defaultRowHeight="12.75"/>
  <cols>
    <col min="1" max="1" width="4.7109375" style="199" customWidth="1"/>
    <col min="2" max="2" width="35.140625" style="226" bestFit="1" customWidth="1"/>
    <col min="3" max="3" width="12.140625" style="226" customWidth="1"/>
    <col min="4" max="4" width="16" style="226" customWidth="1"/>
    <col min="5" max="5" width="10.140625" style="226" customWidth="1"/>
    <col min="6" max="6" width="13.7109375" style="226" customWidth="1"/>
    <col min="7" max="13" width="10.5703125" style="199" customWidth="1"/>
    <col min="14" max="14" width="10.5703125" style="226" customWidth="1"/>
    <col min="15" max="16384" width="9.140625" style="226"/>
  </cols>
  <sheetData>
    <row r="1" spans="1:41" s="199" customFormat="1" ht="15.75" thickBot="1">
      <c r="A1" s="90"/>
      <c r="B1" s="154" t="str">
        <f>"Tariff Approval - "&amp;'Model update'!C3</f>
        <v>Tariff Approval - Powercor</v>
      </c>
    </row>
    <row r="2" spans="1:41">
      <c r="B2" s="827" t="s">
        <v>317</v>
      </c>
      <c r="C2" s="828"/>
      <c r="D2" s="828"/>
      <c r="E2" s="159"/>
      <c r="F2" s="122" t="s">
        <v>273</v>
      </c>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row>
    <row r="3" spans="1:41">
      <c r="B3" s="822"/>
      <c r="C3" s="826"/>
      <c r="D3" s="826"/>
      <c r="E3" s="162"/>
      <c r="F3" s="123"/>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row>
    <row r="4" spans="1:41">
      <c r="B4" s="822" t="s">
        <v>318</v>
      </c>
      <c r="C4" s="826"/>
      <c r="D4" s="826"/>
      <c r="E4" s="162"/>
      <c r="F4" s="123">
        <v>25899765.48</v>
      </c>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row>
    <row r="5" spans="1:41">
      <c r="B5" s="822" t="s">
        <v>319</v>
      </c>
      <c r="C5" s="826"/>
      <c r="D5" s="826"/>
      <c r="E5" s="162"/>
      <c r="F5" s="123">
        <v>12095120.509999998</v>
      </c>
      <c r="N5" s="199"/>
      <c r="O5" s="199"/>
      <c r="P5" s="199"/>
      <c r="Q5" s="199"/>
      <c r="R5" s="199"/>
      <c r="S5" s="199"/>
      <c r="T5" s="199"/>
      <c r="U5" s="199"/>
      <c r="V5" s="199"/>
      <c r="W5" s="199"/>
      <c r="X5" s="199"/>
      <c r="Y5" s="199"/>
      <c r="Z5" s="199"/>
      <c r="AA5" s="199"/>
      <c r="AB5" s="199"/>
      <c r="AC5" s="199"/>
      <c r="AD5" s="199"/>
      <c r="AE5" s="199"/>
      <c r="AF5" s="199"/>
      <c r="AG5" s="199"/>
      <c r="AH5" s="199"/>
      <c r="AI5" s="199"/>
      <c r="AJ5" s="199"/>
      <c r="AK5" s="199"/>
      <c r="AL5" s="199"/>
      <c r="AM5" s="199"/>
      <c r="AN5" s="199"/>
      <c r="AO5" s="199"/>
    </row>
    <row r="6" spans="1:41">
      <c r="B6" s="822"/>
      <c r="C6" s="826"/>
      <c r="D6" s="826"/>
      <c r="E6" s="162"/>
      <c r="F6" s="123"/>
      <c r="N6" s="199"/>
      <c r="O6" s="199"/>
      <c r="P6" s="199"/>
      <c r="Q6" s="199"/>
      <c r="R6" s="199"/>
      <c r="S6" s="199"/>
      <c r="T6" s="199"/>
      <c r="U6" s="199"/>
      <c r="V6" s="199"/>
      <c r="W6" s="199"/>
      <c r="X6" s="199"/>
      <c r="Y6" s="199"/>
      <c r="Z6" s="199"/>
      <c r="AA6" s="199"/>
      <c r="AB6" s="199"/>
      <c r="AC6" s="199"/>
      <c r="AD6" s="199"/>
      <c r="AE6" s="199"/>
      <c r="AF6" s="199"/>
      <c r="AG6" s="199"/>
      <c r="AH6" s="199"/>
      <c r="AI6" s="199"/>
      <c r="AJ6" s="199"/>
      <c r="AK6" s="199"/>
      <c r="AL6" s="199"/>
      <c r="AM6" s="199"/>
      <c r="AN6" s="199"/>
      <c r="AO6" s="199"/>
    </row>
    <row r="7" spans="1:41" ht="13.5" thickBot="1">
      <c r="B7" s="829"/>
      <c r="C7" s="816"/>
      <c r="D7" s="816"/>
      <c r="E7" s="124" t="s">
        <v>122</v>
      </c>
      <c r="F7" s="125">
        <f>SUM(F3:F6)</f>
        <v>37994885.989999995</v>
      </c>
      <c r="N7" s="199"/>
      <c r="O7" s="199"/>
      <c r="P7" s="199"/>
      <c r="Q7" s="199"/>
      <c r="R7" s="199"/>
      <c r="S7" s="199"/>
      <c r="T7" s="199"/>
      <c r="U7" s="199"/>
      <c r="V7" s="199"/>
      <c r="W7" s="199"/>
      <c r="X7" s="199"/>
      <c r="Y7" s="199"/>
      <c r="Z7" s="199"/>
      <c r="AA7" s="199"/>
      <c r="AB7" s="199"/>
      <c r="AC7" s="199"/>
      <c r="AD7" s="199"/>
      <c r="AE7" s="199"/>
      <c r="AF7" s="199"/>
      <c r="AG7" s="199"/>
      <c r="AH7" s="199"/>
      <c r="AI7" s="199"/>
      <c r="AJ7" s="199"/>
      <c r="AK7" s="199"/>
      <c r="AL7" s="199"/>
      <c r="AM7" s="199"/>
      <c r="AN7" s="199"/>
      <c r="AO7" s="199"/>
    </row>
    <row r="8" spans="1:41">
      <c r="B8" s="199"/>
      <c r="C8" s="199"/>
      <c r="D8" s="199"/>
      <c r="E8" s="199"/>
      <c r="F8" s="199"/>
      <c r="N8" s="199"/>
      <c r="O8" s="199"/>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row>
    <row r="9" spans="1:41">
      <c r="B9" s="199"/>
      <c r="C9" s="199"/>
      <c r="D9" s="199"/>
      <c r="E9" s="199"/>
      <c r="F9" s="199"/>
      <c r="N9" s="199"/>
      <c r="O9" s="199"/>
      <c r="P9" s="199"/>
      <c r="Q9" s="199"/>
      <c r="R9" s="199"/>
      <c r="S9" s="199"/>
      <c r="T9" s="199"/>
      <c r="U9" s="199"/>
      <c r="V9" s="199"/>
      <c r="W9" s="199"/>
      <c r="X9" s="199"/>
      <c r="Y9" s="199"/>
      <c r="Z9" s="199"/>
      <c r="AA9" s="199"/>
      <c r="AB9" s="199"/>
      <c r="AC9" s="199"/>
      <c r="AD9" s="199"/>
      <c r="AE9" s="199"/>
      <c r="AF9" s="199"/>
      <c r="AG9" s="199"/>
      <c r="AH9" s="199"/>
      <c r="AI9" s="199"/>
      <c r="AJ9" s="199"/>
      <c r="AK9" s="199"/>
      <c r="AL9" s="199"/>
      <c r="AM9" s="199"/>
      <c r="AN9" s="199"/>
      <c r="AO9" s="199"/>
    </row>
    <row r="10" spans="1:41">
      <c r="B10" s="227" t="s">
        <v>286</v>
      </c>
      <c r="C10" s="199"/>
      <c r="D10" s="199"/>
      <c r="E10" s="199"/>
      <c r="F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row>
    <row r="11" spans="1:41">
      <c r="B11" s="199" t="s">
        <v>318</v>
      </c>
      <c r="C11" s="199" t="s">
        <v>320</v>
      </c>
      <c r="D11" s="199"/>
      <c r="E11" s="199"/>
      <c r="F11" s="199"/>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row>
    <row r="12" spans="1:41">
      <c r="B12" s="199" t="s">
        <v>319</v>
      </c>
      <c r="C12" s="199" t="s">
        <v>321</v>
      </c>
      <c r="D12" s="199"/>
      <c r="E12" s="199"/>
      <c r="F12" s="199"/>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row>
    <row r="13" spans="1:41">
      <c r="B13" s="199"/>
      <c r="C13" s="199"/>
      <c r="D13" s="199"/>
      <c r="E13" s="199"/>
      <c r="F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row>
    <row r="14" spans="1:41">
      <c r="B14" s="199"/>
      <c r="C14" s="199"/>
      <c r="D14" s="199"/>
      <c r="E14" s="199"/>
      <c r="F14" s="199"/>
      <c r="N14" s="199"/>
      <c r="O14" s="199"/>
      <c r="P14" s="199"/>
      <c r="Q14" s="199"/>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row>
    <row r="15" spans="1:41">
      <c r="B15" s="199"/>
      <c r="C15" s="199"/>
      <c r="D15" s="199"/>
      <c r="E15" s="199"/>
      <c r="F15" s="199"/>
      <c r="N15" s="199"/>
      <c r="O15" s="199"/>
      <c r="P15" s="199"/>
      <c r="Q15" s="199"/>
      <c r="R15" s="199"/>
      <c r="S15" s="199"/>
      <c r="T15" s="199"/>
      <c r="U15" s="199"/>
      <c r="V15" s="199"/>
      <c r="W15" s="199"/>
      <c r="X15" s="199"/>
      <c r="Y15" s="199"/>
      <c r="Z15" s="199"/>
      <c r="AA15" s="199"/>
      <c r="AB15" s="199"/>
      <c r="AC15" s="199"/>
      <c r="AD15" s="199"/>
      <c r="AE15" s="199"/>
      <c r="AF15" s="199"/>
      <c r="AG15" s="199"/>
      <c r="AH15" s="199"/>
      <c r="AI15" s="199"/>
      <c r="AJ15" s="199"/>
      <c r="AK15" s="199"/>
      <c r="AL15" s="199"/>
      <c r="AM15" s="199"/>
      <c r="AN15" s="199"/>
      <c r="AO15" s="199"/>
    </row>
    <row r="16" spans="1:41">
      <c r="B16" s="199"/>
      <c r="C16" s="199"/>
      <c r="D16" s="199"/>
      <c r="E16" s="199"/>
      <c r="F16" s="199"/>
      <c r="N16" s="199"/>
      <c r="O16" s="199"/>
      <c r="P16" s="199"/>
      <c r="Q16" s="199"/>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row>
    <row r="17" spans="2:41">
      <c r="B17" s="199"/>
      <c r="C17" s="199"/>
      <c r="D17" s="199"/>
      <c r="E17" s="199"/>
      <c r="F17" s="199"/>
      <c r="N17" s="199"/>
      <c r="O17" s="199"/>
      <c r="P17" s="199"/>
      <c r="Q17" s="199"/>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row>
    <row r="18" spans="2:41">
      <c r="B18" s="199"/>
      <c r="C18" s="199"/>
      <c r="D18" s="199"/>
      <c r="E18" s="199"/>
      <c r="F18" s="199"/>
      <c r="N18" s="199"/>
      <c r="O18" s="199"/>
      <c r="P18" s="199"/>
      <c r="Q18" s="199"/>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row>
    <row r="19" spans="2:41">
      <c r="B19" s="199"/>
      <c r="C19" s="199"/>
      <c r="D19" s="199"/>
      <c r="E19" s="199"/>
      <c r="F19" s="199"/>
      <c r="N19" s="199"/>
      <c r="O19" s="199"/>
      <c r="P19" s="199"/>
      <c r="Q19" s="199"/>
      <c r="R19" s="199"/>
      <c r="S19" s="199"/>
      <c r="T19" s="199"/>
      <c r="U19" s="199"/>
      <c r="V19" s="199"/>
      <c r="W19" s="199"/>
      <c r="X19" s="199"/>
      <c r="Y19" s="199"/>
      <c r="Z19" s="199"/>
      <c r="AA19" s="199"/>
      <c r="AB19" s="199"/>
      <c r="AC19" s="199"/>
      <c r="AD19" s="199"/>
      <c r="AE19" s="199"/>
      <c r="AF19" s="199"/>
      <c r="AG19" s="199"/>
      <c r="AH19" s="199"/>
      <c r="AI19" s="199"/>
      <c r="AJ19" s="199"/>
      <c r="AK19" s="199"/>
      <c r="AL19" s="199"/>
      <c r="AM19" s="199"/>
      <c r="AN19" s="199"/>
      <c r="AO19" s="199"/>
    </row>
    <row r="20" spans="2:41">
      <c r="B20" s="199"/>
      <c r="C20" s="199"/>
      <c r="D20" s="199"/>
      <c r="E20" s="199"/>
      <c r="F20" s="199"/>
      <c r="N20" s="199"/>
      <c r="O20" s="199"/>
      <c r="P20" s="199"/>
      <c r="Q20" s="199"/>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row>
    <row r="21" spans="2:41">
      <c r="B21" s="199"/>
      <c r="C21" s="199"/>
      <c r="D21" s="199"/>
      <c r="E21" s="199"/>
      <c r="F21" s="199"/>
      <c r="N21" s="199"/>
      <c r="O21" s="199"/>
      <c r="P21" s="199"/>
      <c r="Q21" s="199"/>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row>
    <row r="22" spans="2:41">
      <c r="B22" s="199"/>
      <c r="C22" s="199"/>
      <c r="D22" s="199"/>
      <c r="E22" s="199"/>
      <c r="F22" s="199"/>
      <c r="N22" s="199"/>
      <c r="O22" s="199"/>
      <c r="P22" s="199"/>
      <c r="Q22" s="199"/>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row>
    <row r="23" spans="2:41">
      <c r="B23" s="199"/>
      <c r="C23" s="199"/>
      <c r="D23" s="199"/>
      <c r="E23" s="199"/>
      <c r="F23" s="199"/>
      <c r="N23" s="199"/>
      <c r="O23" s="199"/>
      <c r="P23" s="199"/>
      <c r="Q23" s="199"/>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row>
    <row r="24" spans="2:41">
      <c r="B24" s="199"/>
      <c r="C24" s="199"/>
      <c r="D24" s="199"/>
      <c r="E24" s="199"/>
      <c r="F24" s="199"/>
      <c r="N24" s="199"/>
      <c r="O24" s="199"/>
      <c r="P24" s="199"/>
      <c r="Q24" s="199"/>
      <c r="R24" s="199"/>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row>
    <row r="25" spans="2:41">
      <c r="B25" s="199"/>
      <c r="C25" s="199"/>
      <c r="D25" s="199"/>
      <c r="E25" s="199"/>
      <c r="F25" s="199"/>
      <c r="N25" s="199"/>
      <c r="O25" s="199"/>
      <c r="P25" s="199"/>
      <c r="Q25" s="199"/>
      <c r="R25" s="199"/>
      <c r="S25" s="199"/>
      <c r="T25" s="199"/>
      <c r="U25" s="199"/>
      <c r="V25" s="199"/>
      <c r="W25" s="199"/>
      <c r="X25" s="199"/>
      <c r="Y25" s="199"/>
      <c r="Z25" s="199"/>
      <c r="AA25" s="199"/>
      <c r="AB25" s="199"/>
      <c r="AC25" s="199"/>
      <c r="AD25" s="199"/>
      <c r="AE25" s="199"/>
      <c r="AF25" s="199"/>
      <c r="AG25" s="199"/>
      <c r="AH25" s="199"/>
      <c r="AI25" s="199"/>
      <c r="AJ25" s="199"/>
      <c r="AK25" s="199"/>
      <c r="AL25" s="199"/>
      <c r="AM25" s="199"/>
      <c r="AN25" s="199"/>
      <c r="AO25" s="199"/>
    </row>
    <row r="26" spans="2:41">
      <c r="B26" s="199"/>
      <c r="C26" s="199"/>
      <c r="D26" s="199"/>
      <c r="E26" s="199"/>
      <c r="F26" s="199"/>
      <c r="N26" s="199"/>
      <c r="O26" s="199"/>
      <c r="P26" s="199"/>
      <c r="Q26" s="199"/>
      <c r="R26" s="199"/>
      <c r="S26" s="199"/>
      <c r="T26" s="199"/>
      <c r="U26" s="199"/>
      <c r="V26" s="199"/>
      <c r="W26" s="199"/>
      <c r="X26" s="199"/>
      <c r="Y26" s="199"/>
      <c r="Z26" s="199"/>
      <c r="AA26" s="199"/>
      <c r="AB26" s="199"/>
      <c r="AC26" s="199"/>
      <c r="AD26" s="199"/>
      <c r="AE26" s="199"/>
      <c r="AF26" s="199"/>
      <c r="AG26" s="199"/>
      <c r="AH26" s="199"/>
      <c r="AI26" s="199"/>
      <c r="AJ26" s="199"/>
      <c r="AK26" s="199"/>
      <c r="AL26" s="199"/>
      <c r="AM26" s="199"/>
      <c r="AN26" s="199"/>
      <c r="AO26" s="199"/>
    </row>
    <row r="27" spans="2:41">
      <c r="B27" s="199"/>
      <c r="C27" s="199"/>
      <c r="D27" s="199"/>
      <c r="E27" s="199"/>
      <c r="F27" s="199"/>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199"/>
      <c r="AK27" s="199"/>
      <c r="AL27" s="199"/>
      <c r="AM27" s="199"/>
      <c r="AN27" s="199"/>
      <c r="AO27" s="199"/>
    </row>
    <row r="28" spans="2:41">
      <c r="B28" s="199"/>
      <c r="C28" s="199"/>
      <c r="D28" s="199"/>
      <c r="E28" s="199"/>
      <c r="F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row>
    <row r="29" spans="2:41">
      <c r="B29" s="199"/>
      <c r="C29" s="199"/>
      <c r="D29" s="199"/>
      <c r="E29" s="199"/>
      <c r="F29" s="199"/>
      <c r="N29" s="199"/>
      <c r="O29" s="199"/>
      <c r="P29" s="199"/>
      <c r="Q29" s="199"/>
      <c r="R29" s="199"/>
      <c r="S29" s="199"/>
      <c r="T29" s="199"/>
      <c r="U29" s="199"/>
      <c r="V29" s="199"/>
      <c r="W29" s="199"/>
      <c r="X29" s="199"/>
      <c r="Y29" s="199"/>
      <c r="Z29" s="199"/>
      <c r="AA29" s="199"/>
      <c r="AB29" s="199"/>
      <c r="AC29" s="199"/>
      <c r="AD29" s="199"/>
      <c r="AE29" s="199"/>
      <c r="AF29" s="199"/>
      <c r="AG29" s="199"/>
      <c r="AH29" s="199"/>
      <c r="AI29" s="199"/>
      <c r="AJ29" s="199"/>
      <c r="AK29" s="199"/>
      <c r="AL29" s="199"/>
      <c r="AM29" s="199"/>
      <c r="AN29" s="199"/>
      <c r="AO29" s="199"/>
    </row>
    <row r="30" spans="2:41">
      <c r="B30" s="199"/>
      <c r="C30" s="199"/>
      <c r="D30" s="199"/>
      <c r="E30" s="199"/>
      <c r="F30" s="199"/>
      <c r="N30" s="199"/>
      <c r="O30" s="199"/>
      <c r="P30" s="199"/>
      <c r="Q30" s="199"/>
      <c r="R30" s="199"/>
      <c r="S30" s="199"/>
      <c r="T30" s="199"/>
      <c r="U30" s="199"/>
      <c r="V30" s="199"/>
      <c r="W30" s="199"/>
      <c r="X30" s="199"/>
      <c r="Y30" s="199"/>
      <c r="Z30" s="199"/>
      <c r="AA30" s="199"/>
      <c r="AB30" s="199"/>
      <c r="AC30" s="199"/>
      <c r="AD30" s="199"/>
      <c r="AE30" s="199"/>
      <c r="AF30" s="199"/>
      <c r="AG30" s="199"/>
      <c r="AH30" s="199"/>
      <c r="AI30" s="199"/>
      <c r="AJ30" s="199"/>
      <c r="AK30" s="199"/>
      <c r="AL30" s="199"/>
      <c r="AM30" s="199"/>
      <c r="AN30" s="199"/>
      <c r="AO30" s="199"/>
    </row>
    <row r="31" spans="2:41">
      <c r="B31" s="199"/>
      <c r="C31" s="199"/>
      <c r="D31" s="199"/>
      <c r="E31" s="199"/>
      <c r="F31" s="199"/>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M31" s="199"/>
      <c r="AN31" s="199"/>
      <c r="AO31" s="199"/>
    </row>
    <row r="32" spans="2:41">
      <c r="B32" s="199"/>
      <c r="C32" s="199"/>
      <c r="D32" s="199"/>
      <c r="E32" s="199"/>
      <c r="F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row>
    <row r="33" spans="1:41">
      <c r="B33" s="391"/>
      <c r="C33" s="199"/>
      <c r="D33" s="199"/>
      <c r="E33" s="199"/>
      <c r="F33" s="199"/>
      <c r="N33" s="199"/>
      <c r="O33" s="199"/>
      <c r="P33" s="199"/>
      <c r="Q33" s="199"/>
      <c r="R33" s="199"/>
      <c r="S33" s="199"/>
      <c r="T33" s="199"/>
      <c r="U33" s="199"/>
      <c r="V33" s="199"/>
      <c r="W33" s="199"/>
      <c r="X33" s="199"/>
      <c r="Y33" s="199"/>
      <c r="Z33" s="199"/>
      <c r="AA33" s="199"/>
      <c r="AB33" s="199"/>
      <c r="AC33" s="199"/>
      <c r="AD33" s="199"/>
      <c r="AE33" s="199"/>
      <c r="AF33" s="199"/>
      <c r="AG33" s="199"/>
      <c r="AH33" s="199"/>
      <c r="AI33" s="199"/>
      <c r="AJ33" s="199"/>
      <c r="AK33" s="199"/>
      <c r="AL33" s="199"/>
      <c r="AM33" s="199"/>
      <c r="AN33" s="199"/>
      <c r="AO33" s="199"/>
    </row>
    <row r="34" spans="1:41">
      <c r="B34" s="199"/>
      <c r="C34" s="199"/>
      <c r="D34" s="199"/>
      <c r="E34" s="199"/>
      <c r="F34" s="199"/>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199"/>
      <c r="AK34" s="199"/>
      <c r="AL34" s="199"/>
      <c r="AM34" s="199"/>
      <c r="AN34" s="199"/>
      <c r="AO34" s="199"/>
    </row>
    <row r="35" spans="1:41">
      <c r="B35" s="199"/>
      <c r="C35" s="199"/>
      <c r="D35" s="199"/>
      <c r="E35" s="199"/>
      <c r="F35" s="199"/>
      <c r="N35" s="199"/>
      <c r="O35" s="199"/>
      <c r="P35" s="199"/>
      <c r="Q35" s="199"/>
      <c r="R35" s="199"/>
      <c r="S35" s="199"/>
      <c r="T35" s="199"/>
      <c r="U35" s="199"/>
      <c r="V35" s="199"/>
      <c r="W35" s="199"/>
      <c r="X35" s="199"/>
      <c r="Y35" s="199"/>
      <c r="Z35" s="199"/>
      <c r="AA35" s="199"/>
      <c r="AB35" s="199"/>
      <c r="AC35" s="199"/>
      <c r="AD35" s="199"/>
      <c r="AE35" s="199"/>
      <c r="AF35" s="199"/>
      <c r="AG35" s="199"/>
      <c r="AH35" s="199"/>
      <c r="AI35" s="199"/>
      <c r="AJ35" s="199"/>
      <c r="AK35" s="199"/>
      <c r="AL35" s="199"/>
      <c r="AM35" s="199"/>
      <c r="AN35" s="199"/>
      <c r="AO35" s="199"/>
    </row>
    <row r="36" spans="1:41">
      <c r="B36" s="199"/>
      <c r="C36" s="199"/>
      <c r="D36" s="199"/>
      <c r="E36" s="199"/>
      <c r="F36" s="199"/>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row>
    <row r="37" spans="1:41">
      <c r="B37" s="199"/>
      <c r="C37" s="199"/>
      <c r="D37" s="199"/>
      <c r="E37" s="199"/>
      <c r="F37" s="199"/>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199"/>
      <c r="AL37" s="199"/>
      <c r="AM37" s="199"/>
      <c r="AN37" s="199"/>
      <c r="AO37" s="199"/>
    </row>
    <row r="38" spans="1:41">
      <c r="B38" s="199"/>
      <c r="C38" s="199"/>
      <c r="D38" s="199"/>
      <c r="E38" s="199"/>
      <c r="F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row>
    <row r="39" spans="1:41">
      <c r="B39" s="199"/>
      <c r="C39" s="199"/>
      <c r="D39" s="199"/>
      <c r="E39" s="199"/>
      <c r="F39" s="199"/>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row>
    <row r="40" spans="1:41">
      <c r="B40" s="199"/>
      <c r="C40" s="199"/>
      <c r="D40" s="199"/>
      <c r="E40" s="199"/>
      <c r="F40" s="199"/>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row>
    <row r="41" spans="1:41">
      <c r="B41" s="199"/>
      <c r="C41" s="199"/>
      <c r="D41" s="199"/>
      <c r="E41" s="199"/>
      <c r="F41" s="199"/>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row>
    <row r="42" spans="1:41">
      <c r="B42" s="199"/>
      <c r="C42" s="199"/>
      <c r="D42" s="199"/>
      <c r="E42" s="199"/>
      <c r="F42" s="199"/>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row>
    <row r="43" spans="1:41">
      <c r="B43" s="199"/>
      <c r="C43" s="199"/>
      <c r="D43" s="199"/>
      <c r="E43" s="199"/>
      <c r="F43" s="199"/>
      <c r="N43" s="199"/>
      <c r="O43" s="199"/>
      <c r="P43" s="199"/>
      <c r="Q43" s="199"/>
      <c r="R43" s="199"/>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row>
    <row r="44" spans="1:41">
      <c r="B44" s="199"/>
      <c r="C44" s="199"/>
      <c r="D44" s="199"/>
      <c r="E44" s="199"/>
      <c r="F44" s="199"/>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row>
    <row r="45" spans="1:41" s="228" customFormat="1">
      <c r="A45" s="199"/>
      <c r="B45" s="199"/>
      <c r="C45" s="199"/>
      <c r="D45" s="199"/>
      <c r="E45" s="199"/>
      <c r="F45" s="199"/>
      <c r="G45" s="199"/>
      <c r="H45" s="199"/>
      <c r="I45" s="199"/>
      <c r="J45" s="199"/>
      <c r="K45" s="199"/>
      <c r="L45" s="199"/>
      <c r="M45" s="199"/>
      <c r="N45" s="199"/>
      <c r="O45" s="199"/>
      <c r="P45" s="199"/>
      <c r="Q45" s="199"/>
      <c r="R45" s="199"/>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row>
    <row r="46" spans="1:41" s="228" customFormat="1">
      <c r="A46" s="199"/>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row>
    <row r="47" spans="1:41" s="228" customFormat="1">
      <c r="A47" s="199"/>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row>
    <row r="48" spans="1:41">
      <c r="B48" s="199"/>
      <c r="C48" s="199"/>
      <c r="D48" s="199"/>
      <c r="E48" s="199"/>
      <c r="F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row>
    <row r="49" spans="2:41">
      <c r="B49" s="199"/>
      <c r="C49" s="199"/>
      <c r="D49" s="199"/>
      <c r="E49" s="199"/>
      <c r="F49" s="199"/>
      <c r="N49" s="199"/>
      <c r="O49" s="199"/>
      <c r="P49" s="199"/>
      <c r="Q49" s="199"/>
      <c r="R49" s="199"/>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row>
    <row r="50" spans="2:41">
      <c r="B50" s="199"/>
      <c r="C50" s="199"/>
      <c r="D50" s="199"/>
      <c r="E50" s="199"/>
      <c r="F50" s="199"/>
      <c r="N50" s="199"/>
      <c r="O50" s="199"/>
      <c r="P50" s="199"/>
      <c r="Q50" s="199"/>
      <c r="R50" s="199"/>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row>
    <row r="51" spans="2:41">
      <c r="B51" s="199"/>
      <c r="C51" s="199"/>
      <c r="D51" s="199"/>
      <c r="E51" s="199"/>
      <c r="F51" s="199"/>
      <c r="N51" s="199"/>
      <c r="O51" s="199"/>
      <c r="P51" s="199"/>
      <c r="Q51" s="199"/>
      <c r="R51" s="199"/>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row>
    <row r="52" spans="2:41">
      <c r="B52" s="199"/>
      <c r="C52" s="199"/>
      <c r="D52" s="199"/>
      <c r="E52" s="199"/>
      <c r="F52" s="199"/>
      <c r="N52" s="199"/>
      <c r="O52" s="199"/>
      <c r="P52" s="199"/>
      <c r="Q52" s="199"/>
      <c r="R52" s="199"/>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row>
    <row r="53" spans="2:41">
      <c r="B53" s="199"/>
      <c r="C53" s="199"/>
      <c r="D53" s="199"/>
      <c r="E53" s="199"/>
      <c r="F53" s="199"/>
      <c r="N53" s="199"/>
      <c r="O53" s="199"/>
      <c r="P53" s="199"/>
      <c r="Q53" s="199"/>
      <c r="R53" s="199"/>
      <c r="S53" s="199"/>
      <c r="T53" s="199"/>
      <c r="U53" s="199"/>
      <c r="V53" s="199"/>
      <c r="W53" s="199"/>
      <c r="X53" s="199"/>
      <c r="Y53" s="199"/>
      <c r="Z53" s="199"/>
      <c r="AA53" s="199"/>
      <c r="AB53" s="199"/>
      <c r="AC53" s="199"/>
      <c r="AD53" s="199"/>
      <c r="AE53" s="199"/>
      <c r="AF53" s="199"/>
      <c r="AG53" s="199"/>
      <c r="AH53" s="199"/>
      <c r="AI53" s="199"/>
      <c r="AJ53" s="199"/>
      <c r="AK53" s="199"/>
      <c r="AL53" s="199"/>
      <c r="AM53" s="199"/>
      <c r="AN53" s="199"/>
      <c r="AO53" s="199"/>
    </row>
    <row r="54" spans="2:41">
      <c r="B54" s="199"/>
      <c r="C54" s="199"/>
      <c r="D54" s="199"/>
      <c r="E54" s="199"/>
      <c r="F54" s="199"/>
      <c r="N54" s="199"/>
      <c r="O54" s="199"/>
      <c r="P54" s="199"/>
      <c r="Q54" s="199"/>
      <c r="R54" s="199"/>
      <c r="S54" s="199"/>
      <c r="T54" s="199"/>
      <c r="U54" s="199"/>
      <c r="V54" s="199"/>
      <c r="W54" s="199"/>
      <c r="X54" s="199"/>
      <c r="Y54" s="199"/>
      <c r="Z54" s="199"/>
      <c r="AA54" s="199"/>
      <c r="AB54" s="199"/>
      <c r="AC54" s="199"/>
      <c r="AD54" s="199"/>
      <c r="AE54" s="199"/>
      <c r="AF54" s="199"/>
      <c r="AG54" s="199"/>
      <c r="AH54" s="199"/>
      <c r="AI54" s="199"/>
      <c r="AJ54" s="199"/>
      <c r="AK54" s="199"/>
      <c r="AL54" s="199"/>
      <c r="AM54" s="199"/>
      <c r="AN54" s="199"/>
      <c r="AO54" s="199"/>
    </row>
    <row r="55" spans="2:41">
      <c r="B55" s="199"/>
      <c r="C55" s="199"/>
      <c r="D55" s="199"/>
      <c r="E55" s="199"/>
      <c r="F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199"/>
      <c r="AK55" s="199"/>
      <c r="AL55" s="199"/>
      <c r="AM55" s="199"/>
      <c r="AN55" s="199"/>
      <c r="AO55" s="199"/>
    </row>
    <row r="56" spans="2:41">
      <c r="B56" s="199"/>
      <c r="C56" s="199"/>
      <c r="D56" s="199"/>
      <c r="E56" s="199"/>
      <c r="F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199"/>
      <c r="AL56" s="199"/>
      <c r="AM56" s="199"/>
      <c r="AN56" s="199"/>
      <c r="AO56" s="199"/>
    </row>
    <row r="57" spans="2:41">
      <c r="B57" s="199"/>
      <c r="C57" s="199"/>
      <c r="D57" s="199"/>
      <c r="E57" s="199"/>
      <c r="F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199"/>
      <c r="AL57" s="199"/>
      <c r="AM57" s="199"/>
      <c r="AN57" s="199"/>
      <c r="AO57" s="199"/>
    </row>
    <row r="58" spans="2:41">
      <c r="B58" s="199"/>
      <c r="C58" s="199"/>
      <c r="D58" s="199"/>
      <c r="E58" s="199"/>
      <c r="F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199"/>
      <c r="AL58" s="199"/>
      <c r="AM58" s="199"/>
      <c r="AN58" s="199"/>
      <c r="AO58" s="199"/>
    </row>
    <row r="59" spans="2:41">
      <c r="B59" s="199"/>
      <c r="C59" s="199"/>
      <c r="D59" s="199"/>
      <c r="E59" s="199"/>
      <c r="F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row>
    <row r="60" spans="2:41">
      <c r="B60" s="199"/>
      <c r="C60" s="199"/>
      <c r="D60" s="199"/>
      <c r="E60" s="199"/>
      <c r="F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row>
    <row r="61" spans="2:41">
      <c r="B61" s="199"/>
      <c r="C61" s="199"/>
      <c r="D61" s="199"/>
      <c r="E61" s="199"/>
      <c r="F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row>
    <row r="62" spans="2:41">
      <c r="B62" s="199"/>
      <c r="C62" s="199"/>
      <c r="D62" s="199"/>
      <c r="E62" s="199"/>
      <c r="F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row>
    <row r="63" spans="2:41">
      <c r="B63" s="199"/>
      <c r="C63" s="199"/>
      <c r="D63" s="199"/>
      <c r="E63" s="199"/>
      <c r="F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199"/>
      <c r="AK63" s="199"/>
      <c r="AL63" s="199"/>
      <c r="AM63" s="199"/>
      <c r="AN63" s="199"/>
      <c r="AO63" s="199"/>
    </row>
    <row r="64" spans="2:41">
      <c r="B64" s="199"/>
      <c r="C64" s="199"/>
      <c r="D64" s="199"/>
      <c r="E64" s="199"/>
      <c r="F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99"/>
      <c r="AK64" s="199"/>
      <c r="AL64" s="199"/>
      <c r="AM64" s="199"/>
      <c r="AN64" s="199"/>
      <c r="AO64" s="199"/>
    </row>
    <row r="65" spans="2:41">
      <c r="B65" s="199"/>
      <c r="C65" s="199"/>
      <c r="D65" s="199"/>
      <c r="E65" s="199"/>
      <c r="F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99"/>
      <c r="AL65" s="199"/>
      <c r="AM65" s="199"/>
      <c r="AN65" s="199"/>
      <c r="AO65" s="199"/>
    </row>
    <row r="66" spans="2:41">
      <c r="B66" s="199"/>
      <c r="C66" s="199"/>
      <c r="D66" s="199"/>
      <c r="E66" s="199"/>
      <c r="F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99"/>
      <c r="AM66" s="199"/>
      <c r="AN66" s="199"/>
      <c r="AO66" s="199"/>
    </row>
    <row r="67" spans="2:41">
      <c r="B67" s="199"/>
      <c r="C67" s="199"/>
      <c r="D67" s="199"/>
      <c r="E67" s="199"/>
      <c r="F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row>
    <row r="68" spans="2:41">
      <c r="B68" s="199"/>
      <c r="C68" s="199"/>
      <c r="D68" s="199"/>
      <c r="E68" s="199"/>
      <c r="F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row>
    <row r="69" spans="2:41">
      <c r="B69" s="199"/>
      <c r="C69" s="199"/>
      <c r="D69" s="199"/>
      <c r="E69" s="199"/>
      <c r="F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row>
    <row r="70" spans="2:41">
      <c r="B70" s="199"/>
      <c r="C70" s="199"/>
      <c r="D70" s="199"/>
      <c r="E70" s="199"/>
      <c r="F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row>
    <row r="71" spans="2:41">
      <c r="B71" s="199"/>
      <c r="C71" s="199"/>
      <c r="D71" s="199"/>
      <c r="E71" s="199"/>
      <c r="F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199"/>
      <c r="AK71" s="199"/>
      <c r="AL71" s="199"/>
      <c r="AM71" s="199"/>
      <c r="AN71" s="199"/>
      <c r="AO71" s="199"/>
    </row>
    <row r="72" spans="2:41">
      <c r="B72" s="199"/>
      <c r="C72" s="199"/>
      <c r="D72" s="199"/>
      <c r="E72" s="199"/>
      <c r="F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row>
    <row r="73" spans="2:41">
      <c r="B73" s="199"/>
      <c r="C73" s="199"/>
      <c r="D73" s="199"/>
      <c r="E73" s="199"/>
      <c r="F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199"/>
      <c r="AK73" s="199"/>
      <c r="AL73" s="199"/>
      <c r="AM73" s="199"/>
      <c r="AN73" s="199"/>
      <c r="AO73" s="199"/>
    </row>
    <row r="74" spans="2:41">
      <c r="B74" s="199"/>
      <c r="C74" s="199"/>
      <c r="D74" s="199"/>
      <c r="E74" s="199"/>
      <c r="F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199"/>
      <c r="AK74" s="199"/>
      <c r="AL74" s="199"/>
      <c r="AM74" s="199"/>
      <c r="AN74" s="199"/>
      <c r="AO74" s="199"/>
    </row>
    <row r="75" spans="2:41">
      <c r="B75" s="199"/>
      <c r="C75" s="199"/>
      <c r="D75" s="199"/>
      <c r="E75" s="199"/>
      <c r="F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199"/>
      <c r="AK75" s="199"/>
      <c r="AL75" s="199"/>
      <c r="AM75" s="199"/>
      <c r="AN75" s="199"/>
      <c r="AO75" s="199"/>
    </row>
    <row r="76" spans="2:41">
      <c r="B76" s="199"/>
      <c r="C76" s="199"/>
      <c r="D76" s="199"/>
      <c r="E76" s="199"/>
      <c r="F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199"/>
      <c r="AK76" s="199"/>
      <c r="AL76" s="199"/>
      <c r="AM76" s="199"/>
      <c r="AN76" s="199"/>
      <c r="AO76" s="199"/>
    </row>
    <row r="77" spans="2:41">
      <c r="B77" s="199"/>
      <c r="C77" s="199"/>
      <c r="D77" s="199"/>
      <c r="E77" s="199"/>
      <c r="F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199"/>
      <c r="AK77" s="199"/>
      <c r="AL77" s="199"/>
      <c r="AM77" s="199"/>
      <c r="AN77" s="199"/>
      <c r="AO77" s="199"/>
    </row>
    <row r="78" spans="2:41">
      <c r="B78" s="199"/>
      <c r="C78" s="199"/>
      <c r="D78" s="199"/>
      <c r="E78" s="199"/>
      <c r="F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199"/>
      <c r="AK78" s="199"/>
      <c r="AL78" s="199"/>
      <c r="AM78" s="199"/>
      <c r="AN78" s="199"/>
      <c r="AO78" s="199"/>
    </row>
    <row r="79" spans="2:41">
      <c r="B79" s="199"/>
      <c r="C79" s="199"/>
      <c r="D79" s="199"/>
      <c r="E79" s="199"/>
      <c r="F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199"/>
      <c r="AK79" s="199"/>
      <c r="AL79" s="199"/>
      <c r="AM79" s="199"/>
      <c r="AN79" s="199"/>
      <c r="AO79" s="199"/>
    </row>
    <row r="80" spans="2:41">
      <c r="B80" s="199"/>
      <c r="C80" s="199"/>
      <c r="D80" s="199"/>
      <c r="E80" s="199"/>
      <c r="F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row>
    <row r="81" spans="2:41">
      <c r="B81" s="199"/>
      <c r="C81" s="199"/>
      <c r="D81" s="199"/>
      <c r="E81" s="199"/>
      <c r="F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199"/>
      <c r="AK81" s="199"/>
      <c r="AL81" s="199"/>
      <c r="AM81" s="199"/>
      <c r="AN81" s="199"/>
      <c r="AO81" s="199"/>
    </row>
    <row r="82" spans="2:41">
      <c r="B82" s="199"/>
      <c r="C82" s="199"/>
      <c r="D82" s="199"/>
      <c r="E82" s="199"/>
      <c r="F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199"/>
      <c r="AK82" s="199"/>
      <c r="AL82" s="199"/>
      <c r="AM82" s="199"/>
      <c r="AN82" s="199"/>
      <c r="AO82" s="199"/>
    </row>
    <row r="83" spans="2:41">
      <c r="B83" s="199"/>
      <c r="C83" s="199"/>
      <c r="D83" s="199"/>
      <c r="E83" s="199"/>
      <c r="F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199"/>
      <c r="AK83" s="199"/>
      <c r="AL83" s="199"/>
      <c r="AM83" s="199"/>
      <c r="AN83" s="199"/>
      <c r="AO83" s="199"/>
    </row>
    <row r="84" spans="2:41">
      <c r="B84" s="199"/>
      <c r="C84" s="199"/>
      <c r="D84" s="199"/>
      <c r="E84" s="199"/>
      <c r="F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199"/>
      <c r="AK84" s="199"/>
      <c r="AL84" s="199"/>
      <c r="AM84" s="199"/>
      <c r="AN84" s="199"/>
      <c r="AO84" s="199"/>
    </row>
    <row r="85" spans="2:41">
      <c r="B85" s="199"/>
      <c r="C85" s="199"/>
      <c r="D85" s="199"/>
      <c r="E85" s="199"/>
      <c r="F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199"/>
      <c r="AK85" s="199"/>
      <c r="AL85" s="199"/>
      <c r="AM85" s="199"/>
      <c r="AN85" s="199"/>
      <c r="AO85" s="199"/>
    </row>
    <row r="86" spans="2:41">
      <c r="B86" s="199"/>
      <c r="C86" s="199"/>
      <c r="D86" s="199"/>
      <c r="E86" s="199"/>
      <c r="F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row>
    <row r="87" spans="2:41">
      <c r="B87" s="199"/>
      <c r="C87" s="199"/>
      <c r="D87" s="199"/>
      <c r="E87" s="199"/>
      <c r="F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199"/>
      <c r="AK87" s="199"/>
      <c r="AL87" s="199"/>
      <c r="AM87" s="199"/>
      <c r="AN87" s="199"/>
      <c r="AO87" s="199"/>
    </row>
    <row r="88" spans="2:41">
      <c r="B88" s="199"/>
      <c r="C88" s="199"/>
      <c r="D88" s="199"/>
      <c r="E88" s="199"/>
      <c r="F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199"/>
      <c r="AK88" s="199"/>
      <c r="AL88" s="199"/>
      <c r="AM88" s="199"/>
      <c r="AN88" s="199"/>
      <c r="AO88" s="199"/>
    </row>
    <row r="89" spans="2:41">
      <c r="B89" s="199"/>
      <c r="C89" s="199"/>
      <c r="D89" s="199"/>
      <c r="E89" s="199"/>
      <c r="F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199"/>
      <c r="AK89" s="199"/>
      <c r="AL89" s="199"/>
      <c r="AM89" s="199"/>
      <c r="AN89" s="199"/>
      <c r="AO89" s="199"/>
    </row>
    <row r="90" spans="2:41">
      <c r="B90" s="199"/>
      <c r="C90" s="199"/>
      <c r="D90" s="199"/>
      <c r="E90" s="199"/>
      <c r="F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199"/>
      <c r="AK90" s="199"/>
      <c r="AL90" s="199"/>
      <c r="AM90" s="199"/>
      <c r="AN90" s="199"/>
      <c r="AO90" s="199"/>
    </row>
    <row r="91" spans="2:41">
      <c r="B91" s="199"/>
      <c r="C91" s="199"/>
      <c r="D91" s="199"/>
      <c r="E91" s="199"/>
      <c r="F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199"/>
      <c r="AK91" s="199"/>
      <c r="AL91" s="199"/>
      <c r="AM91" s="199"/>
      <c r="AN91" s="199"/>
      <c r="AO91" s="199"/>
    </row>
    <row r="92" spans="2:41">
      <c r="B92" s="199"/>
      <c r="C92" s="199"/>
      <c r="D92" s="199"/>
      <c r="E92" s="199"/>
      <c r="F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199"/>
      <c r="AK92" s="199"/>
      <c r="AL92" s="199"/>
      <c r="AM92" s="199"/>
      <c r="AN92" s="199"/>
      <c r="AO92" s="199"/>
    </row>
    <row r="93" spans="2:41">
      <c r="B93" s="199"/>
      <c r="C93" s="199"/>
      <c r="D93" s="199"/>
      <c r="E93" s="199"/>
      <c r="F93" s="199"/>
    </row>
    <row r="94" spans="2:41">
      <c r="B94" s="199"/>
      <c r="C94" s="199"/>
      <c r="D94" s="199"/>
      <c r="E94" s="199"/>
      <c r="F94" s="199"/>
    </row>
    <row r="95" spans="2:41">
      <c r="B95" s="199"/>
      <c r="C95" s="199"/>
      <c r="D95" s="199"/>
      <c r="E95" s="199"/>
      <c r="F95" s="199"/>
    </row>
    <row r="96" spans="2:41">
      <c r="B96" s="199"/>
      <c r="C96" s="199"/>
      <c r="D96" s="199"/>
      <c r="E96" s="199"/>
      <c r="F96" s="199"/>
    </row>
    <row r="97" spans="2:6">
      <c r="B97" s="199"/>
      <c r="C97" s="199"/>
      <c r="D97" s="199"/>
      <c r="E97" s="199"/>
      <c r="F97" s="199"/>
    </row>
    <row r="98" spans="2:6">
      <c r="B98" s="199"/>
      <c r="C98" s="199"/>
      <c r="D98" s="199"/>
      <c r="E98" s="199"/>
      <c r="F98" s="199"/>
    </row>
    <row r="99" spans="2:6">
      <c r="B99" s="199"/>
      <c r="C99" s="199"/>
      <c r="D99" s="199"/>
      <c r="E99" s="199"/>
      <c r="F99" s="199"/>
    </row>
    <row r="100" spans="2:6">
      <c r="B100" s="199"/>
      <c r="C100" s="199"/>
      <c r="D100" s="199"/>
      <c r="E100" s="199"/>
      <c r="F100" s="199"/>
    </row>
    <row r="101" spans="2:6">
      <c r="B101" s="199"/>
      <c r="C101" s="199"/>
      <c r="D101" s="199"/>
      <c r="E101" s="199"/>
      <c r="F101" s="199"/>
    </row>
    <row r="102" spans="2:6">
      <c r="B102" s="199"/>
      <c r="C102" s="199"/>
      <c r="D102" s="199"/>
      <c r="E102" s="199"/>
      <c r="F102" s="199"/>
    </row>
    <row r="103" spans="2:6">
      <c r="B103" s="199"/>
      <c r="C103" s="199"/>
      <c r="D103" s="199"/>
      <c r="E103" s="199"/>
      <c r="F103" s="199"/>
    </row>
    <row r="104" spans="2:6">
      <c r="B104" s="199"/>
      <c r="C104" s="199"/>
      <c r="D104" s="199"/>
      <c r="E104" s="199"/>
      <c r="F104" s="199"/>
    </row>
    <row r="105" spans="2:6">
      <c r="B105" s="199"/>
      <c r="C105" s="199"/>
      <c r="D105" s="199"/>
      <c r="E105" s="199"/>
      <c r="F105" s="199"/>
    </row>
    <row r="106" spans="2:6">
      <c r="B106" s="199"/>
      <c r="C106" s="199"/>
      <c r="D106" s="199"/>
      <c r="E106" s="199"/>
      <c r="F106" s="199"/>
    </row>
    <row r="107" spans="2:6">
      <c r="B107" s="199"/>
      <c r="C107" s="199"/>
      <c r="D107" s="199"/>
      <c r="E107" s="199"/>
      <c r="F107" s="199"/>
    </row>
    <row r="108" spans="2:6">
      <c r="B108" s="199"/>
      <c r="C108" s="199"/>
      <c r="D108" s="199"/>
      <c r="E108" s="199"/>
      <c r="F108" s="199"/>
    </row>
    <row r="109" spans="2:6">
      <c r="B109" s="199"/>
      <c r="C109" s="199"/>
      <c r="D109" s="199"/>
      <c r="E109" s="199"/>
      <c r="F109" s="199"/>
    </row>
    <row r="110" spans="2:6">
      <c r="B110" s="199"/>
      <c r="C110" s="199"/>
      <c r="D110" s="199"/>
      <c r="E110" s="199"/>
      <c r="F110" s="199"/>
    </row>
    <row r="111" spans="2:6">
      <c r="B111" s="199"/>
      <c r="C111" s="199"/>
      <c r="D111" s="199"/>
      <c r="E111" s="199"/>
      <c r="F111" s="199"/>
    </row>
    <row r="112" spans="2:6">
      <c r="B112" s="199"/>
      <c r="C112" s="199"/>
      <c r="D112" s="199"/>
      <c r="E112" s="199"/>
      <c r="F112" s="199"/>
    </row>
    <row r="113" spans="2:6">
      <c r="B113" s="199"/>
      <c r="C113" s="199"/>
      <c r="D113" s="199"/>
      <c r="E113" s="199"/>
      <c r="F113" s="199"/>
    </row>
    <row r="114" spans="2:6">
      <c r="B114" s="199"/>
      <c r="C114" s="199"/>
      <c r="D114" s="199"/>
      <c r="E114" s="199"/>
      <c r="F114" s="199"/>
    </row>
    <row r="115" spans="2:6">
      <c r="B115" s="199"/>
      <c r="C115" s="199"/>
      <c r="D115" s="199"/>
      <c r="E115" s="199"/>
      <c r="F115" s="199"/>
    </row>
    <row r="116" spans="2:6">
      <c r="B116" s="199"/>
      <c r="C116" s="199"/>
      <c r="D116" s="199"/>
      <c r="E116" s="199"/>
      <c r="F116" s="199"/>
    </row>
    <row r="117" spans="2:6">
      <c r="B117" s="199"/>
      <c r="C117" s="199"/>
      <c r="D117" s="199"/>
      <c r="E117" s="199"/>
      <c r="F117" s="199"/>
    </row>
    <row r="118" spans="2:6">
      <c r="B118" s="199"/>
      <c r="C118" s="199"/>
      <c r="D118" s="199"/>
      <c r="E118" s="199"/>
      <c r="F118" s="199"/>
    </row>
    <row r="119" spans="2:6">
      <c r="B119" s="199"/>
      <c r="C119" s="199"/>
      <c r="D119" s="199"/>
      <c r="E119" s="199"/>
      <c r="F119" s="199"/>
    </row>
    <row r="120" spans="2:6">
      <c r="B120" s="199"/>
      <c r="C120" s="199"/>
      <c r="D120" s="199"/>
      <c r="E120" s="199"/>
      <c r="F120" s="199"/>
    </row>
    <row r="121" spans="2:6">
      <c r="B121" s="199"/>
      <c r="C121" s="199"/>
      <c r="D121" s="199"/>
      <c r="E121" s="199"/>
      <c r="F121" s="199"/>
    </row>
    <row r="122" spans="2:6">
      <c r="B122" s="199"/>
      <c r="C122" s="199"/>
      <c r="D122" s="199"/>
      <c r="E122" s="199"/>
      <c r="F122" s="199"/>
    </row>
    <row r="123" spans="2:6">
      <c r="B123" s="199"/>
      <c r="C123" s="199"/>
      <c r="D123" s="199"/>
      <c r="E123" s="199"/>
      <c r="F123" s="199"/>
    </row>
    <row r="124" spans="2:6">
      <c r="B124" s="199"/>
      <c r="C124" s="199"/>
      <c r="D124" s="199"/>
      <c r="E124" s="199"/>
      <c r="F124" s="199"/>
    </row>
    <row r="125" spans="2:6">
      <c r="B125" s="199"/>
      <c r="C125" s="199"/>
      <c r="D125" s="199"/>
      <c r="E125" s="199"/>
      <c r="F125" s="199"/>
    </row>
    <row r="126" spans="2:6">
      <c r="B126" s="199"/>
      <c r="C126" s="199"/>
      <c r="D126" s="199"/>
      <c r="E126" s="199"/>
      <c r="F126" s="199"/>
    </row>
    <row r="127" spans="2:6">
      <c r="B127" s="199"/>
      <c r="C127" s="199"/>
      <c r="D127" s="199"/>
      <c r="E127" s="199"/>
      <c r="F127" s="199"/>
    </row>
    <row r="128" spans="2:6">
      <c r="B128" s="199"/>
      <c r="C128" s="199"/>
      <c r="D128" s="199"/>
      <c r="E128" s="199"/>
      <c r="F128" s="199"/>
    </row>
    <row r="129" spans="2:6">
      <c r="B129" s="199"/>
      <c r="C129" s="199"/>
      <c r="D129" s="199"/>
      <c r="E129" s="199"/>
      <c r="F129" s="199"/>
    </row>
    <row r="130" spans="2:6">
      <c r="B130" s="199"/>
      <c r="C130" s="199"/>
      <c r="D130" s="199"/>
      <c r="E130" s="199"/>
      <c r="F130" s="199"/>
    </row>
    <row r="131" spans="2:6">
      <c r="B131" s="199"/>
      <c r="C131" s="199"/>
      <c r="D131" s="199"/>
      <c r="E131" s="199"/>
      <c r="F131" s="199"/>
    </row>
    <row r="132" spans="2:6">
      <c r="B132" s="199"/>
      <c r="C132" s="199"/>
      <c r="D132" s="199"/>
      <c r="E132" s="199"/>
      <c r="F132" s="199"/>
    </row>
    <row r="133" spans="2:6">
      <c r="B133" s="199"/>
      <c r="C133" s="199"/>
      <c r="D133" s="199"/>
      <c r="E133" s="199"/>
      <c r="F133" s="199"/>
    </row>
    <row r="134" spans="2:6">
      <c r="B134" s="199"/>
      <c r="C134" s="199"/>
      <c r="D134" s="199"/>
      <c r="E134" s="199"/>
      <c r="F134" s="199"/>
    </row>
    <row r="135" spans="2:6">
      <c r="B135" s="199"/>
      <c r="C135" s="199"/>
      <c r="D135" s="199"/>
      <c r="E135" s="199"/>
      <c r="F135" s="199"/>
    </row>
    <row r="136" spans="2:6">
      <c r="B136" s="199"/>
      <c r="C136" s="199"/>
      <c r="D136" s="199"/>
      <c r="E136" s="199"/>
      <c r="F136" s="199"/>
    </row>
    <row r="137" spans="2:6">
      <c r="B137" s="199"/>
      <c r="C137" s="199"/>
      <c r="D137" s="199"/>
      <c r="E137" s="199"/>
      <c r="F137" s="199"/>
    </row>
    <row r="138" spans="2:6">
      <c r="B138" s="199"/>
      <c r="C138" s="199"/>
      <c r="D138" s="199"/>
      <c r="E138" s="199"/>
      <c r="F138" s="199"/>
    </row>
    <row r="139" spans="2:6">
      <c r="B139" s="199"/>
      <c r="C139" s="199"/>
      <c r="D139" s="199"/>
      <c r="E139" s="199"/>
      <c r="F139" s="199"/>
    </row>
    <row r="140" spans="2:6">
      <c r="B140" s="199"/>
      <c r="C140" s="199"/>
      <c r="D140" s="199"/>
      <c r="E140" s="199"/>
      <c r="F140" s="199"/>
    </row>
    <row r="141" spans="2:6">
      <c r="B141" s="199"/>
      <c r="C141" s="199"/>
      <c r="D141" s="199"/>
      <c r="E141" s="199"/>
      <c r="F141" s="199"/>
    </row>
    <row r="142" spans="2:6">
      <c r="B142" s="199"/>
      <c r="C142" s="199"/>
      <c r="D142" s="199"/>
      <c r="E142" s="199"/>
      <c r="F142" s="199"/>
    </row>
    <row r="143" spans="2:6">
      <c r="B143" s="199"/>
      <c r="C143" s="199"/>
      <c r="D143" s="199"/>
      <c r="E143" s="199"/>
      <c r="F143" s="199"/>
    </row>
    <row r="144" spans="2:6">
      <c r="B144" s="199"/>
      <c r="C144" s="199"/>
      <c r="D144" s="199"/>
      <c r="E144" s="199"/>
      <c r="F144" s="199"/>
    </row>
    <row r="145" spans="2:6">
      <c r="B145" s="199"/>
      <c r="C145" s="199"/>
      <c r="D145" s="199"/>
      <c r="E145" s="199"/>
      <c r="F145" s="199"/>
    </row>
    <row r="146" spans="2:6">
      <c r="B146" s="199"/>
      <c r="C146" s="199"/>
      <c r="D146" s="199"/>
      <c r="E146" s="199"/>
      <c r="F146" s="199"/>
    </row>
    <row r="147" spans="2:6">
      <c r="B147" s="199"/>
      <c r="C147" s="199"/>
      <c r="D147" s="199"/>
      <c r="E147" s="199"/>
      <c r="F147" s="199"/>
    </row>
    <row r="148" spans="2:6">
      <c r="B148" s="199"/>
      <c r="C148" s="199"/>
      <c r="D148" s="199"/>
      <c r="E148" s="199"/>
      <c r="F148" s="199"/>
    </row>
    <row r="149" spans="2:6">
      <c r="B149" s="199"/>
      <c r="C149" s="199"/>
      <c r="D149" s="199"/>
      <c r="E149" s="199"/>
      <c r="F149" s="199"/>
    </row>
    <row r="150" spans="2:6">
      <c r="B150" s="199"/>
      <c r="C150" s="199"/>
      <c r="D150" s="199"/>
      <c r="E150" s="199"/>
      <c r="F150" s="199"/>
    </row>
    <row r="151" spans="2:6">
      <c r="B151" s="199"/>
      <c r="C151" s="199"/>
      <c r="D151" s="199"/>
      <c r="E151" s="199"/>
      <c r="F151" s="199"/>
    </row>
    <row r="152" spans="2:6">
      <c r="B152" s="199"/>
      <c r="C152" s="199"/>
      <c r="D152" s="199"/>
      <c r="E152" s="199"/>
      <c r="F152" s="199"/>
    </row>
    <row r="153" spans="2:6">
      <c r="B153" s="199"/>
      <c r="C153" s="199"/>
      <c r="D153" s="199"/>
      <c r="E153" s="199"/>
      <c r="F153" s="199"/>
    </row>
    <row r="154" spans="2:6">
      <c r="B154" s="199"/>
      <c r="C154" s="199"/>
      <c r="D154" s="199"/>
      <c r="E154" s="199"/>
      <c r="F154" s="199"/>
    </row>
    <row r="155" spans="2:6">
      <c r="B155" s="199"/>
      <c r="C155" s="199"/>
      <c r="D155" s="199"/>
      <c r="E155" s="199"/>
      <c r="F155" s="199"/>
    </row>
    <row r="156" spans="2:6">
      <c r="B156" s="199"/>
      <c r="C156" s="199"/>
      <c r="D156" s="199"/>
      <c r="E156" s="199"/>
      <c r="F156" s="199"/>
    </row>
    <row r="157" spans="2:6">
      <c r="B157" s="199"/>
      <c r="C157" s="199"/>
      <c r="D157" s="199"/>
      <c r="E157" s="199"/>
      <c r="F157" s="199"/>
    </row>
    <row r="158" spans="2:6">
      <c r="B158" s="199"/>
      <c r="C158" s="199"/>
      <c r="D158" s="199"/>
      <c r="E158" s="199"/>
      <c r="F158" s="199"/>
    </row>
    <row r="159" spans="2:6">
      <c r="B159" s="199"/>
      <c r="C159" s="199"/>
      <c r="D159" s="199"/>
      <c r="E159" s="199"/>
      <c r="F159" s="199"/>
    </row>
    <row r="160" spans="2:6">
      <c r="B160" s="199"/>
      <c r="C160" s="199"/>
      <c r="D160" s="199"/>
      <c r="E160" s="199"/>
      <c r="F160" s="199"/>
    </row>
    <row r="161" spans="2:6">
      <c r="B161" s="199"/>
      <c r="C161" s="199"/>
      <c r="D161" s="199"/>
      <c r="E161" s="199"/>
      <c r="F161" s="199"/>
    </row>
    <row r="162" spans="2:6">
      <c r="B162" s="199"/>
      <c r="C162" s="199"/>
      <c r="D162" s="199"/>
      <c r="E162" s="199"/>
      <c r="F162" s="199"/>
    </row>
    <row r="163" spans="2:6">
      <c r="B163" s="199"/>
      <c r="C163" s="199"/>
      <c r="D163" s="199"/>
      <c r="E163" s="199"/>
      <c r="F163" s="199"/>
    </row>
    <row r="164" spans="2:6">
      <c r="B164" s="199"/>
      <c r="C164" s="199"/>
      <c r="D164" s="199"/>
      <c r="E164" s="199"/>
      <c r="F164" s="199"/>
    </row>
    <row r="165" spans="2:6">
      <c r="B165" s="199"/>
      <c r="C165" s="199"/>
      <c r="D165" s="199"/>
      <c r="E165" s="199"/>
      <c r="F165" s="199"/>
    </row>
    <row r="166" spans="2:6">
      <c r="B166" s="199"/>
      <c r="C166" s="199"/>
      <c r="D166" s="199"/>
      <c r="E166" s="199"/>
      <c r="F166" s="199"/>
    </row>
    <row r="167" spans="2:6">
      <c r="B167" s="199"/>
      <c r="C167" s="199"/>
      <c r="D167" s="199"/>
      <c r="E167" s="199"/>
      <c r="F167" s="199"/>
    </row>
    <row r="168" spans="2:6">
      <c r="B168" s="199"/>
      <c r="C168" s="199"/>
      <c r="D168" s="199"/>
      <c r="E168" s="199"/>
      <c r="F168" s="199"/>
    </row>
    <row r="169" spans="2:6">
      <c r="B169" s="199"/>
      <c r="C169" s="199"/>
      <c r="D169" s="199"/>
      <c r="E169" s="199"/>
      <c r="F169" s="199"/>
    </row>
    <row r="170" spans="2:6">
      <c r="B170" s="199"/>
      <c r="C170" s="199"/>
      <c r="D170" s="199"/>
      <c r="E170" s="199"/>
      <c r="F170" s="199"/>
    </row>
    <row r="171" spans="2:6">
      <c r="B171" s="199"/>
      <c r="C171" s="199"/>
      <c r="D171" s="199"/>
      <c r="E171" s="199"/>
      <c r="F171" s="199"/>
    </row>
    <row r="172" spans="2:6">
      <c r="B172" s="199"/>
      <c r="C172" s="199"/>
      <c r="D172" s="199"/>
      <c r="E172" s="199"/>
      <c r="F172" s="199"/>
    </row>
    <row r="173" spans="2:6">
      <c r="B173" s="199"/>
      <c r="C173" s="199"/>
      <c r="D173" s="199"/>
      <c r="E173" s="199"/>
      <c r="F173" s="199"/>
    </row>
    <row r="174" spans="2:6">
      <c r="B174" s="199"/>
      <c r="C174" s="199"/>
      <c r="D174" s="199"/>
      <c r="E174" s="199"/>
      <c r="F174" s="199"/>
    </row>
    <row r="175" spans="2:6">
      <c r="B175" s="199"/>
      <c r="C175" s="199"/>
      <c r="D175" s="199"/>
      <c r="E175" s="199"/>
      <c r="F175" s="199"/>
    </row>
    <row r="176" spans="2:6">
      <c r="B176" s="199"/>
      <c r="C176" s="199"/>
      <c r="D176" s="199"/>
      <c r="E176" s="199"/>
      <c r="F176" s="199"/>
    </row>
  </sheetData>
  <mergeCells count="6">
    <mergeCell ref="B7:D7"/>
    <mergeCell ref="B2:D2"/>
    <mergeCell ref="B3:D3"/>
    <mergeCell ref="B4:D4"/>
    <mergeCell ref="B5:D5"/>
    <mergeCell ref="B6:D6"/>
  </mergeCells>
  <pageMargins left="0.75" right="0.75" top="1" bottom="1" header="0.5" footer="0.5"/>
  <pageSetup paperSize="9" scale="20" orientation="landscape" r:id="rId1"/>
  <headerFooter alignWithMargins="0">
    <oddFooter>&amp;L&amp;T / &amp;D&amp;C&amp;P of &amp;N&amp;R&amp;F</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pageSetUpPr autoPageBreaks="0"/>
  </sheetPr>
  <dimension ref="A1:CR104"/>
  <sheetViews>
    <sheetView zoomScale="80" zoomScaleNormal="80" zoomScaleSheetLayoutView="85" workbookViewId="0">
      <pane xSplit="3" ySplit="5" topLeftCell="D6" activePane="bottomRight" state="frozen"/>
      <selection activeCell="B12" sqref="B12:D12"/>
      <selection pane="topRight" activeCell="B12" sqref="B12:D12"/>
      <selection pane="bottomLeft" activeCell="B12" sqref="B12:D12"/>
      <selection pane="bottomRight"/>
    </sheetView>
  </sheetViews>
  <sheetFormatPr defaultRowHeight="12.75"/>
  <cols>
    <col min="1" max="1" width="9" style="764" customWidth="1"/>
    <col min="2" max="3" width="45" style="764" customWidth="1"/>
    <col min="4" max="4" width="14.7109375" style="764" customWidth="1"/>
    <col min="5" max="5" width="11.28515625" style="764" bestFit="1" customWidth="1"/>
    <col min="6" max="6" width="12.42578125" style="764" bestFit="1" customWidth="1"/>
    <col min="7" max="7" width="13.5703125" style="764" customWidth="1"/>
    <col min="8" max="8" width="12.42578125" style="764" bestFit="1" customWidth="1"/>
    <col min="9" max="9" width="11.28515625" style="764" bestFit="1" customWidth="1"/>
    <col min="10" max="11" width="9.140625" style="764"/>
    <col min="12" max="12" width="9.7109375" style="764" customWidth="1"/>
    <col min="13" max="13" width="13.28515625" style="764" customWidth="1"/>
    <col min="14" max="14" width="10.5703125" style="764" customWidth="1"/>
    <col min="15" max="16" width="11" style="764" bestFit="1" customWidth="1"/>
    <col min="17" max="24" width="11" style="764" customWidth="1"/>
    <col min="25" max="25" width="1.85546875" style="764" customWidth="1"/>
    <col min="26" max="26" width="17.42578125" style="764" customWidth="1"/>
    <col min="27" max="30" width="11.28515625" style="764" bestFit="1" customWidth="1"/>
    <col min="31" max="31" width="10" style="764" bestFit="1" customWidth="1"/>
    <col min="32" max="34" width="9.85546875" style="764" bestFit="1" customWidth="1"/>
    <col min="35" max="35" width="12.42578125" style="764" customWidth="1"/>
    <col min="36" max="38" width="10.5703125" style="764" customWidth="1"/>
    <col min="39" max="39" width="11.28515625" style="764" bestFit="1" customWidth="1"/>
    <col min="40" max="40" width="11.7109375" style="764" customWidth="1"/>
    <col min="41" max="41" width="12.7109375" style="764" customWidth="1"/>
    <col min="42" max="42" width="9.140625" style="764"/>
    <col min="43" max="43" width="10.85546875" style="764" customWidth="1"/>
    <col min="44" max="45" width="10" style="764" bestFit="1" customWidth="1"/>
    <col min="46" max="46" width="9.42578125" style="764" bestFit="1" customWidth="1"/>
    <col min="47" max="48" width="1.85546875" style="764" customWidth="1"/>
    <col min="49" max="69" width="12.140625" style="764" customWidth="1"/>
    <col min="70" max="70" width="17.140625" style="764" customWidth="1"/>
    <col min="71" max="74" width="9.140625" style="764"/>
    <col min="75" max="75" width="37.42578125" style="764" bestFit="1" customWidth="1"/>
    <col min="76" max="16384" width="9.140625" style="764"/>
  </cols>
  <sheetData>
    <row r="1" spans="1:70" ht="15">
      <c r="B1" s="154" t="s">
        <v>786</v>
      </c>
      <c r="C1" s="154"/>
      <c r="D1" s="618"/>
      <c r="F1" s="618"/>
    </row>
    <row r="2" spans="1:70" ht="13.5" thickBot="1"/>
    <row r="3" spans="1:70">
      <c r="B3" s="227" t="s">
        <v>787</v>
      </c>
      <c r="C3" s="227"/>
      <c r="BR3" s="732" t="s">
        <v>711</v>
      </c>
    </row>
    <row r="4" spans="1:70" ht="13.5" thickBot="1">
      <c r="D4" s="229" t="s">
        <v>788</v>
      </c>
      <c r="E4" s="230"/>
      <c r="F4" s="230"/>
      <c r="G4" s="230"/>
      <c r="H4" s="230"/>
      <c r="M4" s="370"/>
      <c r="Z4" s="229" t="s">
        <v>789</v>
      </c>
      <c r="AA4" s="230"/>
      <c r="AB4" s="230"/>
      <c r="AC4" s="230"/>
      <c r="AD4" s="230"/>
      <c r="AW4" s="229" t="s">
        <v>790</v>
      </c>
      <c r="AX4" s="230"/>
      <c r="AY4" s="230"/>
      <c r="AZ4" s="230"/>
      <c r="BA4" s="230"/>
      <c r="BR4" s="733">
        <v>0.1</v>
      </c>
    </row>
    <row r="5" spans="1:70" ht="38.25">
      <c r="B5" s="233" t="s">
        <v>712</v>
      </c>
      <c r="C5" s="371" t="s">
        <v>713</v>
      </c>
      <c r="D5" s="234" t="s">
        <v>130</v>
      </c>
      <c r="E5" s="235" t="s">
        <v>572</v>
      </c>
      <c r="F5" s="235" t="s">
        <v>573</v>
      </c>
      <c r="G5" s="235"/>
      <c r="H5" s="235"/>
      <c r="I5" s="235" t="s">
        <v>131</v>
      </c>
      <c r="J5" s="235"/>
      <c r="K5" s="235"/>
      <c r="L5" s="235"/>
      <c r="M5" s="235" t="s">
        <v>574</v>
      </c>
      <c r="N5" s="235" t="s">
        <v>575</v>
      </c>
      <c r="O5" s="235" t="s">
        <v>576</v>
      </c>
      <c r="P5" s="235" t="s">
        <v>577</v>
      </c>
      <c r="Q5" s="236" t="s">
        <v>132</v>
      </c>
      <c r="R5" s="235" t="s">
        <v>133</v>
      </c>
      <c r="S5" s="235" t="s">
        <v>134</v>
      </c>
      <c r="T5" s="235"/>
      <c r="U5" s="235" t="s">
        <v>135</v>
      </c>
      <c r="V5" s="235" t="s">
        <v>136</v>
      </c>
      <c r="W5" s="235" t="s">
        <v>137</v>
      </c>
      <c r="X5" s="237" t="s">
        <v>714</v>
      </c>
      <c r="Z5" s="234" t="s">
        <v>742</v>
      </c>
      <c r="AA5" s="235" t="s">
        <v>743</v>
      </c>
      <c r="AB5" s="235" t="s">
        <v>744</v>
      </c>
      <c r="AC5" s="235"/>
      <c r="AD5" s="235"/>
      <c r="AE5" s="235" t="s">
        <v>745</v>
      </c>
      <c r="AF5" s="235"/>
      <c r="AG5" s="235"/>
      <c r="AH5" s="235"/>
      <c r="AI5" s="235" t="s">
        <v>746</v>
      </c>
      <c r="AJ5" s="235" t="s">
        <v>747</v>
      </c>
      <c r="AK5" s="235" t="s">
        <v>748</v>
      </c>
      <c r="AL5" s="235" t="s">
        <v>749</v>
      </c>
      <c r="AM5" s="236" t="s">
        <v>750</v>
      </c>
      <c r="AN5" s="235" t="s">
        <v>751</v>
      </c>
      <c r="AO5" s="235" t="s">
        <v>752</v>
      </c>
      <c r="AP5" s="235"/>
      <c r="AQ5" s="235" t="s">
        <v>753</v>
      </c>
      <c r="AR5" s="235" t="s">
        <v>754</v>
      </c>
      <c r="AS5" s="235" t="s">
        <v>755</v>
      </c>
      <c r="AT5" s="237" t="s">
        <v>756</v>
      </c>
      <c r="AW5" s="234" t="s">
        <v>757</v>
      </c>
      <c r="AX5" s="235" t="s">
        <v>758</v>
      </c>
      <c r="AY5" s="235" t="s">
        <v>759</v>
      </c>
      <c r="AZ5" s="235" t="s">
        <v>760</v>
      </c>
      <c r="BA5" s="235" t="s">
        <v>761</v>
      </c>
      <c r="BB5" s="235" t="s">
        <v>762</v>
      </c>
      <c r="BC5" s="235" t="s">
        <v>763</v>
      </c>
      <c r="BD5" s="235" t="s">
        <v>764</v>
      </c>
      <c r="BE5" s="235" t="s">
        <v>765</v>
      </c>
      <c r="BF5" s="235" t="s">
        <v>766</v>
      </c>
      <c r="BG5" s="235" t="s">
        <v>767</v>
      </c>
      <c r="BH5" s="235" t="s">
        <v>768</v>
      </c>
      <c r="BI5" s="235" t="s">
        <v>769</v>
      </c>
      <c r="BJ5" s="372" t="s">
        <v>770</v>
      </c>
      <c r="BK5" s="372" t="s">
        <v>771</v>
      </c>
      <c r="BL5" s="372" t="s">
        <v>772</v>
      </c>
      <c r="BM5" s="372" t="s">
        <v>773</v>
      </c>
      <c r="BN5" s="372" t="s">
        <v>774</v>
      </c>
      <c r="BO5" s="372" t="s">
        <v>775</v>
      </c>
      <c r="BP5" s="372" t="s">
        <v>776</v>
      </c>
      <c r="BQ5" s="372" t="s">
        <v>777</v>
      </c>
      <c r="BR5" s="734" t="s">
        <v>715</v>
      </c>
    </row>
    <row r="6" spans="1:70">
      <c r="B6" s="765"/>
      <c r="C6" s="765"/>
      <c r="D6" s="302"/>
      <c r="E6" s="286"/>
      <c r="F6" s="286"/>
      <c r="G6" s="286"/>
      <c r="H6" s="286"/>
      <c r="I6" s="286"/>
      <c r="J6" s="286"/>
      <c r="K6" s="286"/>
      <c r="L6" s="286"/>
      <c r="M6" s="286"/>
      <c r="N6" s="286"/>
      <c r="O6" s="286"/>
      <c r="P6" s="286"/>
      <c r="Q6" s="285"/>
      <c r="R6" s="286"/>
      <c r="S6" s="286"/>
      <c r="T6" s="286"/>
      <c r="U6" s="286"/>
      <c r="V6" s="286"/>
      <c r="W6" s="286"/>
      <c r="X6" s="287"/>
      <c r="Z6" s="239"/>
      <c r="AA6" s="240"/>
      <c r="AB6" s="240"/>
      <c r="AC6" s="240"/>
      <c r="AD6" s="240"/>
      <c r="AE6" s="240"/>
      <c r="AF6" s="240"/>
      <c r="AG6" s="240"/>
      <c r="AH6" s="240"/>
      <c r="AI6" s="241"/>
      <c r="AJ6" s="241"/>
      <c r="AK6" s="241"/>
      <c r="AL6" s="241"/>
      <c r="AM6" s="373"/>
      <c r="AN6" s="241"/>
      <c r="AO6" s="241"/>
      <c r="AP6" s="241"/>
      <c r="AQ6" s="241"/>
      <c r="AR6" s="241"/>
      <c r="AS6" s="241"/>
      <c r="AT6" s="242"/>
      <c r="AW6" s="783">
        <f t="shared" ref="AW6:BL21" si="0">IFERROR(D6/Z6-1,0)</f>
        <v>0</v>
      </c>
      <c r="AX6" s="784">
        <f t="shared" si="0"/>
        <v>0</v>
      </c>
      <c r="AY6" s="784">
        <f t="shared" si="0"/>
        <v>0</v>
      </c>
      <c r="AZ6" s="784">
        <f t="shared" si="0"/>
        <v>0</v>
      </c>
      <c r="BA6" s="784">
        <f t="shared" si="0"/>
        <v>0</v>
      </c>
      <c r="BB6" s="784">
        <f t="shared" si="0"/>
        <v>0</v>
      </c>
      <c r="BC6" s="784">
        <f t="shared" si="0"/>
        <v>0</v>
      </c>
      <c r="BD6" s="784">
        <f t="shared" si="0"/>
        <v>0</v>
      </c>
      <c r="BE6" s="784">
        <f t="shared" si="0"/>
        <v>0</v>
      </c>
      <c r="BF6" s="784">
        <f t="shared" si="0"/>
        <v>0</v>
      </c>
      <c r="BG6" s="784">
        <f t="shared" si="0"/>
        <v>0</v>
      </c>
      <c r="BH6" s="784">
        <f t="shared" si="0"/>
        <v>0</v>
      </c>
      <c r="BI6" s="784">
        <f t="shared" si="0"/>
        <v>0</v>
      </c>
      <c r="BJ6" s="784">
        <f t="shared" si="0"/>
        <v>0</v>
      </c>
      <c r="BK6" s="784">
        <f t="shared" si="0"/>
        <v>0</v>
      </c>
      <c r="BL6" s="784">
        <f t="shared" si="0"/>
        <v>0</v>
      </c>
      <c r="BM6" s="784">
        <f t="shared" ref="BM6:BQ37" si="1">IFERROR(T6/AP6-1,0)</f>
        <v>0</v>
      </c>
      <c r="BN6" s="784">
        <f t="shared" si="1"/>
        <v>0</v>
      </c>
      <c r="BO6" s="784">
        <f t="shared" si="1"/>
        <v>0</v>
      </c>
      <c r="BP6" s="784">
        <f t="shared" si="1"/>
        <v>0</v>
      </c>
      <c r="BQ6" s="785">
        <f t="shared" si="1"/>
        <v>0</v>
      </c>
      <c r="BR6" s="553" t="str">
        <f t="array" ref="BR6">IF(MAX(ABS(AW6:BQ6))&gt;$BR$4,"EXPLAIN","")</f>
        <v/>
      </c>
    </row>
    <row r="7" spans="1:70">
      <c r="A7" s="790"/>
      <c r="B7" s="765" t="s">
        <v>716</v>
      </c>
      <c r="C7" s="765" t="str">
        <f>Prop2018DistTar!B7</f>
        <v>Residential Single Rate</v>
      </c>
      <c r="D7" s="735">
        <f>SUM(Prop2018DistTar!D7,Prop2018TransTar!D7,Prop2018JSTar!D7)</f>
        <v>125</v>
      </c>
      <c r="E7" s="771">
        <f>SUM(Prop2018DistTar!E7,Prop2018TransTar!E7,Prop2018JSTar!E7)</f>
        <v>7.18</v>
      </c>
      <c r="F7" s="771">
        <f>SUM(Prop2018DistTar!F7,Prop2018TransTar!F7,Prop2018JSTar!F7)</f>
        <v>0</v>
      </c>
      <c r="G7" s="771">
        <f>SUM(Prop2018DistTar!G7,Prop2018TransTar!G7,Prop2018JSTar!G7)</f>
        <v>0</v>
      </c>
      <c r="H7" s="771">
        <f>SUM(Prop2018DistTar!H7,Prop2018TransTar!H7,Prop2018JSTar!H7)</f>
        <v>0</v>
      </c>
      <c r="I7" s="771">
        <f>SUM(Prop2018DistTar!I7,Prop2018TransTar!I7,Prop2018JSTar!I7)</f>
        <v>0</v>
      </c>
      <c r="J7" s="771">
        <f>SUM(Prop2018DistTar!J7,Prop2018TransTar!J7,Prop2018JSTar!J7)</f>
        <v>0</v>
      </c>
      <c r="K7" s="771">
        <f>SUM(Prop2018DistTar!K7,Prop2018TransTar!K7,Prop2018JSTar!K7)</f>
        <v>0</v>
      </c>
      <c r="L7" s="771">
        <f>SUM(Prop2018DistTar!L7,Prop2018TransTar!L7,Prop2018JSTar!L7)</f>
        <v>0</v>
      </c>
      <c r="M7" s="771">
        <f>SUM(Prop2018DistTar!M7,Prop2018TransTar!M7,Prop2018JSTar!M7)</f>
        <v>0</v>
      </c>
      <c r="N7" s="771">
        <f>SUM(Prop2018DistTar!N7,Prop2018TransTar!N7,Prop2018JSTar!N7)</f>
        <v>0</v>
      </c>
      <c r="O7" s="771">
        <f>SUM(Prop2018DistTar!O7,Prop2018TransTar!O7,Prop2018JSTar!O7)</f>
        <v>0</v>
      </c>
      <c r="P7" s="771">
        <f>SUM(Prop2018DistTar!P7,Prop2018TransTar!P7,Prop2018JSTar!P7)</f>
        <v>0</v>
      </c>
      <c r="Q7" s="771">
        <f>SUM(Prop2018DistTar!Q7,Prop2018TransTar!Q7,Prop2018JSTar!Q7)</f>
        <v>0</v>
      </c>
      <c r="R7" s="771">
        <f>SUM(Prop2018DistTar!R7,Prop2018TransTar!R7,Prop2018JSTar!R7)</f>
        <v>0</v>
      </c>
      <c r="S7" s="771">
        <f>SUM(Prop2018DistTar!S7,Prop2018TransTar!S7,Prop2018JSTar!S7)</f>
        <v>0</v>
      </c>
      <c r="T7" s="771">
        <f>SUM(Prop2018DistTar!T7,Prop2018TransTar!T7,Prop2018JSTar!T7)</f>
        <v>0</v>
      </c>
      <c r="U7" s="771">
        <f>SUM(Prop2018DistTar!U7,Prop2018TransTar!U7,Prop2018JSTar!U7)</f>
        <v>0</v>
      </c>
      <c r="V7" s="771">
        <f>SUM(Prop2018DistTar!V7,Prop2018TransTar!V7,Prop2018JSTar!V7)</f>
        <v>0</v>
      </c>
      <c r="W7" s="771">
        <f>SUM(Prop2018DistTar!W7,Prop2018TransTar!W7,Prop2018JSTar!W7)</f>
        <v>0</v>
      </c>
      <c r="X7" s="772">
        <f>SUM(Prop2018DistTar!X7,Prop2018TransTar!X7,Prop2018JSTar!X7)</f>
        <v>0</v>
      </c>
      <c r="Z7" s="750">
        <v>135</v>
      </c>
      <c r="AA7" s="775">
        <v>7.95</v>
      </c>
      <c r="AB7" s="775">
        <v>0</v>
      </c>
      <c r="AC7" s="775">
        <v>0</v>
      </c>
      <c r="AD7" s="775">
        <v>0</v>
      </c>
      <c r="AE7" s="775">
        <v>0</v>
      </c>
      <c r="AF7" s="775">
        <v>0</v>
      </c>
      <c r="AG7" s="775">
        <v>0</v>
      </c>
      <c r="AH7" s="775">
        <v>0</v>
      </c>
      <c r="AI7" s="775">
        <v>0</v>
      </c>
      <c r="AJ7" s="775">
        <v>0</v>
      </c>
      <c r="AK7" s="775">
        <v>0</v>
      </c>
      <c r="AL7" s="775">
        <v>0</v>
      </c>
      <c r="AM7" s="775">
        <v>0</v>
      </c>
      <c r="AN7" s="775">
        <v>0</v>
      </c>
      <c r="AO7" s="775">
        <v>0</v>
      </c>
      <c r="AP7" s="775">
        <v>0</v>
      </c>
      <c r="AQ7" s="775">
        <v>0</v>
      </c>
      <c r="AR7" s="775">
        <v>0</v>
      </c>
      <c r="AS7" s="775">
        <v>0</v>
      </c>
      <c r="AT7" s="752">
        <v>0</v>
      </c>
      <c r="AW7" s="783">
        <f t="shared" si="0"/>
        <v>-7.407407407407407E-2</v>
      </c>
      <c r="AX7" s="784">
        <f t="shared" si="0"/>
        <v>-9.6855345911949775E-2</v>
      </c>
      <c r="AY7" s="784">
        <f t="shared" si="0"/>
        <v>0</v>
      </c>
      <c r="AZ7" s="784">
        <f t="shared" si="0"/>
        <v>0</v>
      </c>
      <c r="BA7" s="784">
        <f t="shared" si="0"/>
        <v>0</v>
      </c>
      <c r="BB7" s="784">
        <f t="shared" si="0"/>
        <v>0</v>
      </c>
      <c r="BC7" s="784">
        <f t="shared" si="0"/>
        <v>0</v>
      </c>
      <c r="BD7" s="784">
        <f t="shared" si="0"/>
        <v>0</v>
      </c>
      <c r="BE7" s="784">
        <f t="shared" si="0"/>
        <v>0</v>
      </c>
      <c r="BF7" s="784">
        <f t="shared" si="0"/>
        <v>0</v>
      </c>
      <c r="BG7" s="784">
        <f t="shared" si="0"/>
        <v>0</v>
      </c>
      <c r="BH7" s="784">
        <f t="shared" si="0"/>
        <v>0</v>
      </c>
      <c r="BI7" s="784">
        <f t="shared" si="0"/>
        <v>0</v>
      </c>
      <c r="BJ7" s="784">
        <f t="shared" si="0"/>
        <v>0</v>
      </c>
      <c r="BK7" s="784">
        <f t="shared" si="0"/>
        <v>0</v>
      </c>
      <c r="BL7" s="784">
        <f t="shared" si="0"/>
        <v>0</v>
      </c>
      <c r="BM7" s="784">
        <f t="shared" si="1"/>
        <v>0</v>
      </c>
      <c r="BN7" s="784">
        <f t="shared" si="1"/>
        <v>0</v>
      </c>
      <c r="BO7" s="784">
        <f t="shared" si="1"/>
        <v>0</v>
      </c>
      <c r="BP7" s="784">
        <f t="shared" si="1"/>
        <v>0</v>
      </c>
      <c r="BQ7" s="785">
        <f t="shared" si="1"/>
        <v>0</v>
      </c>
      <c r="BR7" s="553" t="str">
        <f t="array" ref="BR7">IF(MAX(ABS(AW7:BQ7))&gt;$BR$4,"EXPLAIN","")</f>
        <v/>
      </c>
    </row>
    <row r="8" spans="1:70">
      <c r="A8" s="790"/>
      <c r="B8" s="765" t="s">
        <v>732</v>
      </c>
      <c r="C8" s="765" t="str">
        <f>Prop2018DistTar!B8</f>
        <v>Climate Saver</v>
      </c>
      <c r="D8" s="735">
        <f>SUM(Prop2018DistTar!D8,Prop2018TransTar!D8,Prop2018JSTar!D8)</f>
        <v>0</v>
      </c>
      <c r="E8" s="771">
        <f>SUM(Prop2018DistTar!E8,Prop2018TransTar!E8,Prop2018JSTar!E8)</f>
        <v>0</v>
      </c>
      <c r="F8" s="771">
        <f>SUM(Prop2018DistTar!F8,Prop2018TransTar!F8,Prop2018JSTar!F8)</f>
        <v>10.029999999999999</v>
      </c>
      <c r="G8" s="771">
        <f>SUM(Prop2018DistTar!G8,Prop2018TransTar!G8,Prop2018JSTar!G8)</f>
        <v>0</v>
      </c>
      <c r="H8" s="771">
        <f>SUM(Prop2018DistTar!H8,Prop2018TransTar!H8,Prop2018JSTar!H8)</f>
        <v>0</v>
      </c>
      <c r="I8" s="771">
        <f>SUM(Prop2018DistTar!I8,Prop2018TransTar!I8,Prop2018JSTar!I8)</f>
        <v>2.31</v>
      </c>
      <c r="J8" s="771">
        <f>SUM(Prop2018DistTar!J8,Prop2018TransTar!J8,Prop2018JSTar!J8)</f>
        <v>0</v>
      </c>
      <c r="K8" s="771">
        <f>SUM(Prop2018DistTar!K8,Prop2018TransTar!K8,Prop2018JSTar!K8)</f>
        <v>0</v>
      </c>
      <c r="L8" s="771">
        <f>SUM(Prop2018DistTar!L8,Prop2018TransTar!L8,Prop2018JSTar!L8)</f>
        <v>0</v>
      </c>
      <c r="M8" s="771">
        <f>SUM(Prop2018DistTar!M8,Prop2018TransTar!M8,Prop2018JSTar!M8)</f>
        <v>0</v>
      </c>
      <c r="N8" s="771">
        <f>SUM(Prop2018DistTar!N8,Prop2018TransTar!N8,Prop2018JSTar!N8)</f>
        <v>0</v>
      </c>
      <c r="O8" s="771">
        <f>SUM(Prop2018DistTar!O8,Prop2018TransTar!O8,Prop2018JSTar!O8)</f>
        <v>0</v>
      </c>
      <c r="P8" s="771">
        <f>SUM(Prop2018DistTar!P8,Prop2018TransTar!P8,Prop2018JSTar!P8)</f>
        <v>0</v>
      </c>
      <c r="Q8" s="771">
        <f>SUM(Prop2018DistTar!Q8,Prop2018TransTar!Q8,Prop2018JSTar!Q8)</f>
        <v>0</v>
      </c>
      <c r="R8" s="771">
        <f>SUM(Prop2018DistTar!R8,Prop2018TransTar!R8,Prop2018JSTar!R8)</f>
        <v>0</v>
      </c>
      <c r="S8" s="771">
        <f>SUM(Prop2018DistTar!S8,Prop2018TransTar!S8,Prop2018JSTar!S8)</f>
        <v>0</v>
      </c>
      <c r="T8" s="771">
        <f>SUM(Prop2018DistTar!T8,Prop2018TransTar!T8,Prop2018JSTar!T8)</f>
        <v>0</v>
      </c>
      <c r="U8" s="771">
        <f>SUM(Prop2018DistTar!U8,Prop2018TransTar!U8,Prop2018JSTar!U8)</f>
        <v>0</v>
      </c>
      <c r="V8" s="771">
        <f>SUM(Prop2018DistTar!V8,Prop2018TransTar!V8,Prop2018JSTar!V8)</f>
        <v>0</v>
      </c>
      <c r="W8" s="771">
        <f>SUM(Prop2018DistTar!W8,Prop2018TransTar!W8,Prop2018JSTar!W8)</f>
        <v>0</v>
      </c>
      <c r="X8" s="772">
        <f>SUM(Prop2018DistTar!X8,Prop2018TransTar!X8,Prop2018JSTar!X8)</f>
        <v>0</v>
      </c>
      <c r="Z8" s="750">
        <v>0</v>
      </c>
      <c r="AA8" s="775">
        <v>0</v>
      </c>
      <c r="AB8" s="775">
        <v>11.1</v>
      </c>
      <c r="AC8" s="775">
        <v>0</v>
      </c>
      <c r="AD8" s="775">
        <v>0</v>
      </c>
      <c r="AE8" s="775">
        <v>2.56</v>
      </c>
      <c r="AF8" s="775">
        <v>0</v>
      </c>
      <c r="AG8" s="775">
        <v>0</v>
      </c>
      <c r="AH8" s="775">
        <v>0</v>
      </c>
      <c r="AI8" s="775">
        <v>0</v>
      </c>
      <c r="AJ8" s="775">
        <v>0</v>
      </c>
      <c r="AK8" s="775">
        <v>0</v>
      </c>
      <c r="AL8" s="775">
        <v>0</v>
      </c>
      <c r="AM8" s="775">
        <v>0</v>
      </c>
      <c r="AN8" s="775">
        <v>0</v>
      </c>
      <c r="AO8" s="775">
        <v>0</v>
      </c>
      <c r="AP8" s="775">
        <v>0</v>
      </c>
      <c r="AQ8" s="775">
        <v>0</v>
      </c>
      <c r="AR8" s="775">
        <v>0</v>
      </c>
      <c r="AS8" s="775">
        <v>0</v>
      </c>
      <c r="AT8" s="752">
        <v>0</v>
      </c>
      <c r="AW8" s="783">
        <f t="shared" si="0"/>
        <v>0</v>
      </c>
      <c r="AX8" s="784">
        <f t="shared" si="0"/>
        <v>0</v>
      </c>
      <c r="AY8" s="784">
        <f t="shared" si="0"/>
        <v>-9.6396396396396411E-2</v>
      </c>
      <c r="AZ8" s="784">
        <f t="shared" si="0"/>
        <v>0</v>
      </c>
      <c r="BA8" s="784">
        <f t="shared" si="0"/>
        <v>0</v>
      </c>
      <c r="BB8" s="784">
        <f t="shared" si="0"/>
        <v>-9.765625E-2</v>
      </c>
      <c r="BC8" s="784">
        <f t="shared" si="0"/>
        <v>0</v>
      </c>
      <c r="BD8" s="784">
        <f t="shared" si="0"/>
        <v>0</v>
      </c>
      <c r="BE8" s="784">
        <f t="shared" si="0"/>
        <v>0</v>
      </c>
      <c r="BF8" s="784">
        <f t="shared" si="0"/>
        <v>0</v>
      </c>
      <c r="BG8" s="784">
        <f t="shared" si="0"/>
        <v>0</v>
      </c>
      <c r="BH8" s="784">
        <f t="shared" si="0"/>
        <v>0</v>
      </c>
      <c r="BI8" s="784">
        <f t="shared" si="0"/>
        <v>0</v>
      </c>
      <c r="BJ8" s="784">
        <f t="shared" si="0"/>
        <v>0</v>
      </c>
      <c r="BK8" s="784">
        <f t="shared" si="0"/>
        <v>0</v>
      </c>
      <c r="BL8" s="784">
        <f t="shared" si="0"/>
        <v>0</v>
      </c>
      <c r="BM8" s="784">
        <f t="shared" si="1"/>
        <v>0</v>
      </c>
      <c r="BN8" s="784">
        <f t="shared" si="1"/>
        <v>0</v>
      </c>
      <c r="BO8" s="784">
        <f t="shared" si="1"/>
        <v>0</v>
      </c>
      <c r="BP8" s="784">
        <f t="shared" si="1"/>
        <v>0</v>
      </c>
      <c r="BQ8" s="785">
        <f t="shared" si="1"/>
        <v>0</v>
      </c>
      <c r="BR8" s="553" t="str">
        <f t="array" ref="BR8">IF(MAX(ABS(AW8:BQ8))&gt;$BR$4,"EXPLAIN","")</f>
        <v/>
      </c>
    </row>
    <row r="9" spans="1:70">
      <c r="A9" s="790"/>
      <c r="B9" s="765" t="s">
        <v>733</v>
      </c>
      <c r="C9" s="765" t="str">
        <f>Prop2018DistTar!B9</f>
        <v>Climate Saver Interval</v>
      </c>
      <c r="D9" s="735">
        <f>SUM(Prop2018DistTar!D9,Prop2018TransTar!D9,Prop2018JSTar!D9)</f>
        <v>0</v>
      </c>
      <c r="E9" s="771">
        <f>SUM(Prop2018DistTar!E9,Prop2018TransTar!E9,Prop2018JSTar!E9)</f>
        <v>0</v>
      </c>
      <c r="F9" s="771">
        <f>SUM(Prop2018DistTar!F9,Prop2018TransTar!F9,Prop2018JSTar!F9)</f>
        <v>10.029999999999999</v>
      </c>
      <c r="G9" s="771">
        <f>SUM(Prop2018DistTar!G9,Prop2018TransTar!G9,Prop2018JSTar!G9)</f>
        <v>0</v>
      </c>
      <c r="H9" s="771">
        <f>SUM(Prop2018DistTar!H9,Prop2018TransTar!H9,Prop2018JSTar!H9)</f>
        <v>0</v>
      </c>
      <c r="I9" s="771">
        <f>SUM(Prop2018DistTar!I9,Prop2018TransTar!I9,Prop2018JSTar!I9)</f>
        <v>2.31</v>
      </c>
      <c r="J9" s="771">
        <f>SUM(Prop2018DistTar!J9,Prop2018TransTar!J9,Prop2018JSTar!J9)</f>
        <v>0</v>
      </c>
      <c r="K9" s="771">
        <f>SUM(Prop2018DistTar!K9,Prop2018TransTar!K9,Prop2018JSTar!K9)</f>
        <v>0</v>
      </c>
      <c r="L9" s="771">
        <f>SUM(Prop2018DistTar!L9,Prop2018TransTar!L9,Prop2018JSTar!L9)</f>
        <v>0</v>
      </c>
      <c r="M9" s="771">
        <f>SUM(Prop2018DistTar!M9,Prop2018TransTar!M9,Prop2018JSTar!M9)</f>
        <v>0</v>
      </c>
      <c r="N9" s="771">
        <f>SUM(Prop2018DistTar!N9,Prop2018TransTar!N9,Prop2018JSTar!N9)</f>
        <v>0</v>
      </c>
      <c r="O9" s="771">
        <f>SUM(Prop2018DistTar!O9,Prop2018TransTar!O9,Prop2018JSTar!O9)</f>
        <v>0</v>
      </c>
      <c r="P9" s="771">
        <f>SUM(Prop2018DistTar!P9,Prop2018TransTar!P9,Prop2018JSTar!P9)</f>
        <v>0</v>
      </c>
      <c r="Q9" s="771">
        <f>SUM(Prop2018DistTar!Q9,Prop2018TransTar!Q9,Prop2018JSTar!Q9)</f>
        <v>0</v>
      </c>
      <c r="R9" s="771">
        <f>SUM(Prop2018DistTar!R9,Prop2018TransTar!R9,Prop2018JSTar!R9)</f>
        <v>0</v>
      </c>
      <c r="S9" s="771">
        <f>SUM(Prop2018DistTar!S9,Prop2018TransTar!S9,Prop2018JSTar!S9)</f>
        <v>0</v>
      </c>
      <c r="T9" s="771">
        <f>SUM(Prop2018DistTar!T9,Prop2018TransTar!T9,Prop2018JSTar!T9)</f>
        <v>0</v>
      </c>
      <c r="U9" s="771">
        <f>SUM(Prop2018DistTar!U9,Prop2018TransTar!U9,Prop2018JSTar!U9)</f>
        <v>0</v>
      </c>
      <c r="V9" s="771">
        <f>SUM(Prop2018DistTar!V9,Prop2018TransTar!V9,Prop2018JSTar!V9)</f>
        <v>0</v>
      </c>
      <c r="W9" s="771">
        <f>SUM(Prop2018DistTar!W9,Prop2018TransTar!W9,Prop2018JSTar!W9)</f>
        <v>0</v>
      </c>
      <c r="X9" s="772">
        <f>SUM(Prop2018DistTar!X9,Prop2018TransTar!X9,Prop2018JSTar!X9)</f>
        <v>0</v>
      </c>
      <c r="Z9" s="750">
        <v>0</v>
      </c>
      <c r="AA9" s="775">
        <v>0</v>
      </c>
      <c r="AB9" s="775">
        <v>11.1</v>
      </c>
      <c r="AC9" s="775">
        <v>0</v>
      </c>
      <c r="AD9" s="775">
        <v>0</v>
      </c>
      <c r="AE9" s="775">
        <v>2.56</v>
      </c>
      <c r="AF9" s="775">
        <v>0</v>
      </c>
      <c r="AG9" s="775">
        <v>0</v>
      </c>
      <c r="AH9" s="775">
        <v>0</v>
      </c>
      <c r="AI9" s="775">
        <v>0</v>
      </c>
      <c r="AJ9" s="775">
        <v>0</v>
      </c>
      <c r="AK9" s="775">
        <v>0</v>
      </c>
      <c r="AL9" s="775">
        <v>0</v>
      </c>
      <c r="AM9" s="775">
        <v>0</v>
      </c>
      <c r="AN9" s="775">
        <v>0</v>
      </c>
      <c r="AO9" s="775">
        <v>0</v>
      </c>
      <c r="AP9" s="775">
        <v>0</v>
      </c>
      <c r="AQ9" s="775">
        <v>0</v>
      </c>
      <c r="AR9" s="775">
        <v>0</v>
      </c>
      <c r="AS9" s="775">
        <v>0</v>
      </c>
      <c r="AT9" s="752">
        <v>0</v>
      </c>
      <c r="AW9" s="783">
        <f t="shared" si="0"/>
        <v>0</v>
      </c>
      <c r="AX9" s="784">
        <f t="shared" si="0"/>
        <v>0</v>
      </c>
      <c r="AY9" s="784">
        <f t="shared" si="0"/>
        <v>-9.6396396396396411E-2</v>
      </c>
      <c r="AZ9" s="784">
        <f t="shared" si="0"/>
        <v>0</v>
      </c>
      <c r="BA9" s="784">
        <f t="shared" si="0"/>
        <v>0</v>
      </c>
      <c r="BB9" s="784">
        <f t="shared" si="0"/>
        <v>-9.765625E-2</v>
      </c>
      <c r="BC9" s="784">
        <f t="shared" si="0"/>
        <v>0</v>
      </c>
      <c r="BD9" s="784">
        <f t="shared" si="0"/>
        <v>0</v>
      </c>
      <c r="BE9" s="784">
        <f t="shared" si="0"/>
        <v>0</v>
      </c>
      <c r="BF9" s="784">
        <f t="shared" si="0"/>
        <v>0</v>
      </c>
      <c r="BG9" s="784">
        <f t="shared" si="0"/>
        <v>0</v>
      </c>
      <c r="BH9" s="784">
        <f t="shared" si="0"/>
        <v>0</v>
      </c>
      <c r="BI9" s="784">
        <f t="shared" si="0"/>
        <v>0</v>
      </c>
      <c r="BJ9" s="784">
        <f t="shared" si="0"/>
        <v>0</v>
      </c>
      <c r="BK9" s="784">
        <f t="shared" si="0"/>
        <v>0</v>
      </c>
      <c r="BL9" s="784">
        <f t="shared" si="0"/>
        <v>0</v>
      </c>
      <c r="BM9" s="784">
        <f t="shared" si="1"/>
        <v>0</v>
      </c>
      <c r="BN9" s="784">
        <f t="shared" si="1"/>
        <v>0</v>
      </c>
      <c r="BO9" s="784">
        <f t="shared" si="1"/>
        <v>0</v>
      </c>
      <c r="BP9" s="784">
        <f t="shared" si="1"/>
        <v>0</v>
      </c>
      <c r="BQ9" s="785">
        <f t="shared" si="1"/>
        <v>0</v>
      </c>
      <c r="BR9" s="553" t="str">
        <f t="array" ref="BR9">IF(MAX(ABS(AW9:BQ9))&gt;$BR$4,"EXPLAIN","")</f>
        <v/>
      </c>
    </row>
    <row r="10" spans="1:70">
      <c r="A10" s="790"/>
      <c r="B10" s="765" t="s">
        <v>717</v>
      </c>
      <c r="C10" s="765" t="str">
        <f>Prop2018DistTar!B10</f>
        <v>Residential - Flexible Pricing</v>
      </c>
      <c r="D10" s="735">
        <f>SUM(Prop2018DistTar!D10,Prop2018TransTar!D10,Prop2018JSTar!D10)</f>
        <v>125</v>
      </c>
      <c r="E10" s="771">
        <f>SUM(Prop2018DistTar!E10,Prop2018TransTar!E10,Prop2018JSTar!E10)</f>
        <v>0</v>
      </c>
      <c r="F10" s="771">
        <f>SUM(Prop2018DistTar!F10,Prop2018TransTar!F10,Prop2018JSTar!F10)</f>
        <v>0</v>
      </c>
      <c r="G10" s="771">
        <f>SUM(Prop2018DistTar!G10,Prop2018TransTar!G10,Prop2018JSTar!G10)</f>
        <v>0</v>
      </c>
      <c r="H10" s="771">
        <f>SUM(Prop2018DistTar!H10,Prop2018TransTar!H10,Prop2018JSTar!H10)</f>
        <v>0</v>
      </c>
      <c r="I10" s="771">
        <f>SUM(Prop2018DistTar!I10,Prop2018TransTar!I10,Prop2018JSTar!I10)</f>
        <v>0</v>
      </c>
      <c r="J10" s="771">
        <f>SUM(Prop2018DistTar!J10,Prop2018TransTar!J10,Prop2018JSTar!J10)</f>
        <v>0</v>
      </c>
      <c r="K10" s="771">
        <f>SUM(Prop2018DistTar!K10,Prop2018TransTar!K10,Prop2018JSTar!K10)</f>
        <v>0</v>
      </c>
      <c r="L10" s="771">
        <f>SUM(Prop2018DistTar!L10,Prop2018TransTar!L10,Prop2018JSTar!L10)</f>
        <v>0</v>
      </c>
      <c r="M10" s="771">
        <f>SUM(Prop2018DistTar!M10,Prop2018TransTar!M10,Prop2018JSTar!M10)</f>
        <v>0</v>
      </c>
      <c r="N10" s="771">
        <f>SUM(Prop2018DistTar!N10,Prop2018TransTar!N10,Prop2018JSTar!N10)</f>
        <v>0</v>
      </c>
      <c r="O10" s="771">
        <f>SUM(Prop2018DistTar!O10,Prop2018TransTar!O10,Prop2018JSTar!O10)</f>
        <v>0</v>
      </c>
      <c r="P10" s="771">
        <f>SUM(Prop2018DistTar!P10,Prop2018TransTar!P10,Prop2018JSTar!P10)</f>
        <v>0</v>
      </c>
      <c r="Q10" s="771">
        <f>SUM(Prop2018DistTar!Q10,Prop2018TransTar!Q10,Prop2018JSTar!Q10)</f>
        <v>12.9</v>
      </c>
      <c r="R10" s="771">
        <f>SUM(Prop2018DistTar!R10,Prop2018TransTar!R10,Prop2018JSTar!R10)</f>
        <v>7.4600000000000009</v>
      </c>
      <c r="S10" s="771">
        <f>SUM(Prop2018DistTar!S10,Prop2018TransTar!S10,Prop2018JSTar!S10)</f>
        <v>3.12</v>
      </c>
      <c r="T10" s="771">
        <f>SUM(Prop2018DistTar!T10,Prop2018TransTar!T10,Prop2018JSTar!T10)</f>
        <v>0</v>
      </c>
      <c r="U10" s="771">
        <f>SUM(Prop2018DistTar!U10,Prop2018TransTar!U10,Prop2018JSTar!U10)</f>
        <v>12.9</v>
      </c>
      <c r="V10" s="771">
        <f>SUM(Prop2018DistTar!V10,Prop2018TransTar!V10,Prop2018JSTar!V10)</f>
        <v>7.4600000000000009</v>
      </c>
      <c r="W10" s="771">
        <f>SUM(Prop2018DistTar!W10,Prop2018TransTar!W10,Prop2018JSTar!W10)</f>
        <v>3.12</v>
      </c>
      <c r="X10" s="772">
        <f>SUM(Prop2018DistTar!X10,Prop2018TransTar!X10,Prop2018JSTar!X10)</f>
        <v>0</v>
      </c>
      <c r="Z10" s="750">
        <v>135</v>
      </c>
      <c r="AA10" s="775">
        <v>0</v>
      </c>
      <c r="AB10" s="775">
        <v>0</v>
      </c>
      <c r="AC10" s="775">
        <v>0</v>
      </c>
      <c r="AD10" s="775">
        <v>0</v>
      </c>
      <c r="AE10" s="775">
        <v>0</v>
      </c>
      <c r="AF10" s="775">
        <v>0</v>
      </c>
      <c r="AG10" s="775">
        <v>0</v>
      </c>
      <c r="AH10" s="775">
        <v>0</v>
      </c>
      <c r="AI10" s="775">
        <v>0</v>
      </c>
      <c r="AJ10" s="775">
        <v>0</v>
      </c>
      <c r="AK10" s="775">
        <v>0</v>
      </c>
      <c r="AL10" s="775">
        <v>0</v>
      </c>
      <c r="AM10" s="775">
        <v>14.27</v>
      </c>
      <c r="AN10" s="775">
        <v>8.26</v>
      </c>
      <c r="AO10" s="775">
        <v>3.45</v>
      </c>
      <c r="AP10" s="775">
        <v>0</v>
      </c>
      <c r="AQ10" s="775">
        <v>14.27</v>
      </c>
      <c r="AR10" s="775">
        <v>8.26</v>
      </c>
      <c r="AS10" s="775">
        <v>3.45</v>
      </c>
      <c r="AT10" s="752">
        <v>0</v>
      </c>
      <c r="AW10" s="783">
        <f t="shared" si="0"/>
        <v>-7.407407407407407E-2</v>
      </c>
      <c r="AX10" s="784">
        <f t="shared" si="0"/>
        <v>0</v>
      </c>
      <c r="AY10" s="784">
        <f t="shared" si="0"/>
        <v>0</v>
      </c>
      <c r="AZ10" s="784">
        <f t="shared" si="0"/>
        <v>0</v>
      </c>
      <c r="BA10" s="784">
        <f t="shared" si="0"/>
        <v>0</v>
      </c>
      <c r="BB10" s="784">
        <f t="shared" si="0"/>
        <v>0</v>
      </c>
      <c r="BC10" s="784">
        <f t="shared" si="0"/>
        <v>0</v>
      </c>
      <c r="BD10" s="784">
        <f t="shared" si="0"/>
        <v>0</v>
      </c>
      <c r="BE10" s="784">
        <f t="shared" si="0"/>
        <v>0</v>
      </c>
      <c r="BF10" s="784">
        <f t="shared" si="0"/>
        <v>0</v>
      </c>
      <c r="BG10" s="784">
        <f t="shared" si="0"/>
        <v>0</v>
      </c>
      <c r="BH10" s="784">
        <f t="shared" si="0"/>
        <v>0</v>
      </c>
      <c r="BI10" s="784">
        <f t="shared" si="0"/>
        <v>0</v>
      </c>
      <c r="BJ10" s="784">
        <f t="shared" si="0"/>
        <v>-9.6005606166783442E-2</v>
      </c>
      <c r="BK10" s="784">
        <f t="shared" si="0"/>
        <v>-9.6852300242130651E-2</v>
      </c>
      <c r="BL10" s="784">
        <f t="shared" si="0"/>
        <v>-9.5652173913043481E-2</v>
      </c>
      <c r="BM10" s="784">
        <f t="shared" si="1"/>
        <v>0</v>
      </c>
      <c r="BN10" s="784">
        <f t="shared" si="1"/>
        <v>-9.6005606166783442E-2</v>
      </c>
      <c r="BO10" s="784">
        <f t="shared" si="1"/>
        <v>-9.6852300242130651E-2</v>
      </c>
      <c r="BP10" s="784">
        <f t="shared" si="1"/>
        <v>-9.5652173913043481E-2</v>
      </c>
      <c r="BQ10" s="785">
        <f t="shared" si="1"/>
        <v>0</v>
      </c>
      <c r="BR10" s="553" t="str">
        <f t="array" ref="BR10">IF(MAX(ABS(AW10:BQ10))&gt;$BR$4,"EXPLAIN","")</f>
        <v/>
      </c>
    </row>
    <row r="11" spans="1:70">
      <c r="A11" s="790"/>
      <c r="B11" s="765" t="s">
        <v>731</v>
      </c>
      <c r="C11" s="765" t="str">
        <f>Prop2018DistTar!B11</f>
        <v>Residential Docklands  - Flexible Pricing</v>
      </c>
      <c r="D11" s="735">
        <f>SUM(Prop2018DistTar!D11,Prop2018TransTar!D11,Prop2018JSTar!D11)</f>
        <v>125</v>
      </c>
      <c r="E11" s="771">
        <f>SUM(Prop2018DistTar!E11,Prop2018TransTar!E11,Prop2018JSTar!E11)</f>
        <v>0</v>
      </c>
      <c r="F11" s="771">
        <f>SUM(Prop2018DistTar!F11,Prop2018TransTar!F11,Prop2018JSTar!F11)</f>
        <v>0</v>
      </c>
      <c r="G11" s="771">
        <f>SUM(Prop2018DistTar!G11,Prop2018TransTar!G11,Prop2018JSTar!G11)</f>
        <v>0</v>
      </c>
      <c r="H11" s="771">
        <f>SUM(Prop2018DistTar!H11,Prop2018TransTar!H11,Prop2018JSTar!H11)</f>
        <v>0</v>
      </c>
      <c r="I11" s="771">
        <f>SUM(Prop2018DistTar!I11,Prop2018TransTar!I11,Prop2018JSTar!I11)</f>
        <v>0</v>
      </c>
      <c r="J11" s="771">
        <f>SUM(Prop2018DistTar!J11,Prop2018TransTar!J11,Prop2018JSTar!J11)</f>
        <v>0</v>
      </c>
      <c r="K11" s="771">
        <f>SUM(Prop2018DistTar!K11,Prop2018TransTar!K11,Prop2018JSTar!K11)</f>
        <v>0</v>
      </c>
      <c r="L11" s="771">
        <f>SUM(Prop2018DistTar!L11,Prop2018TransTar!L11,Prop2018JSTar!L11)</f>
        <v>0</v>
      </c>
      <c r="M11" s="771">
        <f>SUM(Prop2018DistTar!M11,Prop2018TransTar!M11,Prop2018JSTar!M11)</f>
        <v>0</v>
      </c>
      <c r="N11" s="771">
        <f>SUM(Prop2018DistTar!N11,Prop2018TransTar!N11,Prop2018JSTar!N11)</f>
        <v>0</v>
      </c>
      <c r="O11" s="771">
        <f>SUM(Prop2018DistTar!O11,Prop2018TransTar!O11,Prop2018JSTar!O11)</f>
        <v>0</v>
      </c>
      <c r="P11" s="771">
        <f>SUM(Prop2018DistTar!P11,Prop2018TransTar!P11,Prop2018JSTar!P11)</f>
        <v>0</v>
      </c>
      <c r="Q11" s="771">
        <f>SUM(Prop2018DistTar!Q11,Prop2018TransTar!Q11,Prop2018JSTar!Q11)</f>
        <v>7.13</v>
      </c>
      <c r="R11" s="771">
        <f>SUM(Prop2018DistTar!R11,Prop2018TransTar!R11,Prop2018JSTar!R11)</f>
        <v>4.0699999999999994</v>
      </c>
      <c r="S11" s="771">
        <f>SUM(Prop2018DistTar!S11,Prop2018TransTar!S11,Prop2018JSTar!S11)</f>
        <v>1.6300000000000001</v>
      </c>
      <c r="T11" s="771">
        <f>SUM(Prop2018DistTar!T11,Prop2018TransTar!T11,Prop2018JSTar!T11)</f>
        <v>0</v>
      </c>
      <c r="U11" s="771">
        <f>SUM(Prop2018DistTar!U11,Prop2018TransTar!U11,Prop2018JSTar!U11)</f>
        <v>7.13</v>
      </c>
      <c r="V11" s="771">
        <f>SUM(Prop2018DistTar!V11,Prop2018TransTar!V11,Prop2018JSTar!V11)</f>
        <v>4.0699999999999994</v>
      </c>
      <c r="W11" s="771">
        <f>SUM(Prop2018DistTar!W11,Prop2018TransTar!W11,Prop2018JSTar!W11)</f>
        <v>1.6300000000000001</v>
      </c>
      <c r="X11" s="772">
        <f>SUM(Prop2018DistTar!X11,Prop2018TransTar!X11,Prop2018JSTar!X11)</f>
        <v>0</v>
      </c>
      <c r="Z11" s="750">
        <v>135</v>
      </c>
      <c r="AA11" s="775">
        <v>0</v>
      </c>
      <c r="AB11" s="775">
        <v>0</v>
      </c>
      <c r="AC11" s="775">
        <v>0</v>
      </c>
      <c r="AD11" s="775">
        <v>0</v>
      </c>
      <c r="AE11" s="775">
        <v>0</v>
      </c>
      <c r="AF11" s="775">
        <v>0</v>
      </c>
      <c r="AG11" s="775">
        <v>0</v>
      </c>
      <c r="AH11" s="775">
        <v>0</v>
      </c>
      <c r="AI11" s="775">
        <v>0</v>
      </c>
      <c r="AJ11" s="775">
        <v>0</v>
      </c>
      <c r="AK11" s="775">
        <v>0</v>
      </c>
      <c r="AL11" s="775">
        <v>0</v>
      </c>
      <c r="AM11" s="775">
        <v>7.88</v>
      </c>
      <c r="AN11" s="775">
        <v>4.5</v>
      </c>
      <c r="AO11" s="775">
        <v>1.8</v>
      </c>
      <c r="AP11" s="775">
        <v>0</v>
      </c>
      <c r="AQ11" s="775">
        <v>7.88</v>
      </c>
      <c r="AR11" s="775">
        <v>4.5</v>
      </c>
      <c r="AS11" s="775">
        <v>1.8</v>
      </c>
      <c r="AT11" s="752">
        <v>0</v>
      </c>
      <c r="AW11" s="783">
        <f t="shared" si="0"/>
        <v>-7.407407407407407E-2</v>
      </c>
      <c r="AX11" s="784">
        <f t="shared" si="0"/>
        <v>0</v>
      </c>
      <c r="AY11" s="784">
        <f t="shared" si="0"/>
        <v>0</v>
      </c>
      <c r="AZ11" s="784">
        <f t="shared" si="0"/>
        <v>0</v>
      </c>
      <c r="BA11" s="784">
        <f t="shared" si="0"/>
        <v>0</v>
      </c>
      <c r="BB11" s="784">
        <f t="shared" si="0"/>
        <v>0</v>
      </c>
      <c r="BC11" s="784">
        <f t="shared" si="0"/>
        <v>0</v>
      </c>
      <c r="BD11" s="784">
        <f t="shared" si="0"/>
        <v>0</v>
      </c>
      <c r="BE11" s="784">
        <f t="shared" si="0"/>
        <v>0</v>
      </c>
      <c r="BF11" s="784">
        <f t="shared" si="0"/>
        <v>0</v>
      </c>
      <c r="BG11" s="784">
        <f t="shared" si="0"/>
        <v>0</v>
      </c>
      <c r="BH11" s="784">
        <f t="shared" si="0"/>
        <v>0</v>
      </c>
      <c r="BI11" s="784">
        <f t="shared" si="0"/>
        <v>0</v>
      </c>
      <c r="BJ11" s="784">
        <f t="shared" si="0"/>
        <v>-9.5177664974619325E-2</v>
      </c>
      <c r="BK11" s="784">
        <f t="shared" si="0"/>
        <v>-9.5555555555555727E-2</v>
      </c>
      <c r="BL11" s="784">
        <f t="shared" si="0"/>
        <v>-9.4444444444444442E-2</v>
      </c>
      <c r="BM11" s="784">
        <f t="shared" si="1"/>
        <v>0</v>
      </c>
      <c r="BN11" s="784">
        <f t="shared" si="1"/>
        <v>-9.5177664974619325E-2</v>
      </c>
      <c r="BO11" s="784">
        <f t="shared" si="1"/>
        <v>-9.5555555555555727E-2</v>
      </c>
      <c r="BP11" s="784">
        <f t="shared" si="1"/>
        <v>-9.4444444444444442E-2</v>
      </c>
      <c r="BQ11" s="785">
        <f t="shared" si="1"/>
        <v>0</v>
      </c>
      <c r="BR11" s="553" t="str">
        <f t="array" ref="BR11">IF(MAX(ABS(AW11:BQ11))&gt;$BR$4,"EXPLAIN","")</f>
        <v/>
      </c>
    </row>
    <row r="12" spans="1:70">
      <c r="A12" s="790"/>
      <c r="B12" s="765" t="s">
        <v>734</v>
      </c>
      <c r="C12" s="765" t="str">
        <f>Prop2018DistTar!B12</f>
        <v>Climate Saver - Flexible Pricing</v>
      </c>
      <c r="D12" s="735">
        <f>SUM(Prop2018DistTar!D12,Prop2018TransTar!D12,Prop2018JSTar!D12)</f>
        <v>0</v>
      </c>
      <c r="E12" s="771">
        <f>SUM(Prop2018DistTar!E12,Prop2018TransTar!E12,Prop2018JSTar!E12)</f>
        <v>0</v>
      </c>
      <c r="F12" s="771">
        <f>SUM(Prop2018DistTar!F12,Prop2018TransTar!F12,Prop2018JSTar!F12)</f>
        <v>0</v>
      </c>
      <c r="G12" s="771">
        <f>SUM(Prop2018DistTar!G12,Prop2018TransTar!G12,Prop2018JSTar!G12)</f>
        <v>0</v>
      </c>
      <c r="H12" s="771">
        <f>SUM(Prop2018DistTar!H12,Prop2018TransTar!H12,Prop2018JSTar!H12)</f>
        <v>0</v>
      </c>
      <c r="I12" s="771">
        <f>SUM(Prop2018DistTar!I12,Prop2018TransTar!I12,Prop2018JSTar!I12)</f>
        <v>0</v>
      </c>
      <c r="J12" s="771">
        <f>SUM(Prop2018DistTar!J12,Prop2018TransTar!J12,Prop2018JSTar!J12)</f>
        <v>0</v>
      </c>
      <c r="K12" s="771">
        <f>SUM(Prop2018DistTar!K12,Prop2018TransTar!K12,Prop2018JSTar!K12)</f>
        <v>0</v>
      </c>
      <c r="L12" s="771">
        <f>SUM(Prop2018DistTar!L12,Prop2018TransTar!L12,Prop2018JSTar!L12)</f>
        <v>0</v>
      </c>
      <c r="M12" s="771">
        <f>SUM(Prop2018DistTar!M12,Prop2018TransTar!M12,Prop2018JSTar!M12)</f>
        <v>0</v>
      </c>
      <c r="N12" s="771">
        <f>SUM(Prop2018DistTar!N12,Prop2018TransTar!N12,Prop2018JSTar!N12)</f>
        <v>0</v>
      </c>
      <c r="O12" s="771">
        <f>SUM(Prop2018DistTar!O12,Prop2018TransTar!O12,Prop2018JSTar!O12)</f>
        <v>0</v>
      </c>
      <c r="P12" s="771">
        <f>SUM(Prop2018DistTar!P12,Prop2018TransTar!P12,Prop2018JSTar!P12)</f>
        <v>0</v>
      </c>
      <c r="Q12" s="771">
        <f>SUM(Prop2018DistTar!Q12,Prop2018TransTar!Q12,Prop2018JSTar!Q12)</f>
        <v>10.029999999999999</v>
      </c>
      <c r="R12" s="771">
        <f>SUM(Prop2018DistTar!R12,Prop2018TransTar!R12,Prop2018JSTar!R12)</f>
        <v>0</v>
      </c>
      <c r="S12" s="771">
        <f>SUM(Prop2018DistTar!S12,Prop2018TransTar!S12,Prop2018JSTar!S12)</f>
        <v>0</v>
      </c>
      <c r="T12" s="771">
        <f>SUM(Prop2018DistTar!T12,Prop2018TransTar!T12,Prop2018JSTar!T12)</f>
        <v>0</v>
      </c>
      <c r="U12" s="771">
        <f>SUM(Prop2018DistTar!U12,Prop2018TransTar!U12,Prop2018JSTar!U12)</f>
        <v>2.31</v>
      </c>
      <c r="V12" s="771">
        <f>SUM(Prop2018DistTar!V12,Prop2018TransTar!V12,Prop2018JSTar!V12)</f>
        <v>0</v>
      </c>
      <c r="W12" s="771">
        <f>SUM(Prop2018DistTar!W12,Prop2018TransTar!W12,Prop2018JSTar!W12)</f>
        <v>0</v>
      </c>
      <c r="X12" s="772">
        <f>SUM(Prop2018DistTar!X12,Prop2018TransTar!X12,Prop2018JSTar!X12)</f>
        <v>0</v>
      </c>
      <c r="Z12" s="750">
        <v>0</v>
      </c>
      <c r="AA12" s="775">
        <v>0</v>
      </c>
      <c r="AB12" s="775">
        <v>0</v>
      </c>
      <c r="AC12" s="775">
        <v>0</v>
      </c>
      <c r="AD12" s="775">
        <v>0</v>
      </c>
      <c r="AE12" s="775">
        <v>0</v>
      </c>
      <c r="AF12" s="775">
        <v>0</v>
      </c>
      <c r="AG12" s="775">
        <v>0</v>
      </c>
      <c r="AH12" s="775">
        <v>0</v>
      </c>
      <c r="AI12" s="775">
        <v>0</v>
      </c>
      <c r="AJ12" s="775">
        <v>0</v>
      </c>
      <c r="AK12" s="775">
        <v>0</v>
      </c>
      <c r="AL12" s="775">
        <v>0</v>
      </c>
      <c r="AM12" s="775">
        <v>11.1</v>
      </c>
      <c r="AN12" s="775">
        <v>0</v>
      </c>
      <c r="AO12" s="775">
        <v>0</v>
      </c>
      <c r="AP12" s="775">
        <v>0</v>
      </c>
      <c r="AQ12" s="775">
        <v>2.56</v>
      </c>
      <c r="AR12" s="775">
        <v>0</v>
      </c>
      <c r="AS12" s="775">
        <v>0</v>
      </c>
      <c r="AT12" s="752">
        <v>0</v>
      </c>
      <c r="AW12" s="783">
        <f t="shared" si="0"/>
        <v>0</v>
      </c>
      <c r="AX12" s="784">
        <f t="shared" si="0"/>
        <v>0</v>
      </c>
      <c r="AY12" s="784">
        <f t="shared" si="0"/>
        <v>0</v>
      </c>
      <c r="AZ12" s="784">
        <f t="shared" si="0"/>
        <v>0</v>
      </c>
      <c r="BA12" s="784">
        <f t="shared" si="0"/>
        <v>0</v>
      </c>
      <c r="BB12" s="784">
        <f t="shared" si="0"/>
        <v>0</v>
      </c>
      <c r="BC12" s="784">
        <f t="shared" si="0"/>
        <v>0</v>
      </c>
      <c r="BD12" s="784">
        <f t="shared" si="0"/>
        <v>0</v>
      </c>
      <c r="BE12" s="784">
        <f t="shared" si="0"/>
        <v>0</v>
      </c>
      <c r="BF12" s="784">
        <f t="shared" si="0"/>
        <v>0</v>
      </c>
      <c r="BG12" s="784">
        <f t="shared" si="0"/>
        <v>0</v>
      </c>
      <c r="BH12" s="784">
        <f t="shared" si="0"/>
        <v>0</v>
      </c>
      <c r="BI12" s="784">
        <f t="shared" si="0"/>
        <v>0</v>
      </c>
      <c r="BJ12" s="784">
        <f t="shared" si="0"/>
        <v>-9.6396396396396411E-2</v>
      </c>
      <c r="BK12" s="784">
        <f t="shared" si="0"/>
        <v>0</v>
      </c>
      <c r="BL12" s="784">
        <f t="shared" si="0"/>
        <v>0</v>
      </c>
      <c r="BM12" s="784">
        <f t="shared" si="1"/>
        <v>0</v>
      </c>
      <c r="BN12" s="784">
        <f t="shared" si="1"/>
        <v>-9.765625E-2</v>
      </c>
      <c r="BO12" s="784">
        <f t="shared" si="1"/>
        <v>0</v>
      </c>
      <c r="BP12" s="784">
        <f t="shared" si="1"/>
        <v>0</v>
      </c>
      <c r="BQ12" s="785">
        <f t="shared" si="1"/>
        <v>0</v>
      </c>
      <c r="BR12" s="553" t="str">
        <f t="array" ref="BR12">IF(MAX(ABS(AW12:BQ12))&gt;$BR$4,"EXPLAIN","")</f>
        <v/>
      </c>
    </row>
    <row r="13" spans="1:70">
      <c r="A13" s="790"/>
      <c r="B13" s="765" t="s">
        <v>730</v>
      </c>
      <c r="C13" s="765" t="str">
        <f>Prop2018DistTar!B13</f>
        <v>Docklands single rate</v>
      </c>
      <c r="D13" s="735">
        <f>SUM(Prop2018DistTar!D13,Prop2018TransTar!D13,Prop2018JSTar!D13)</f>
        <v>125</v>
      </c>
      <c r="E13" s="771">
        <f>SUM(Prop2018DistTar!E13,Prop2018TransTar!E13,Prop2018JSTar!E13)</f>
        <v>6.58</v>
      </c>
      <c r="F13" s="771">
        <f>SUM(Prop2018DistTar!F13,Prop2018TransTar!F13,Prop2018JSTar!F13)</f>
        <v>0</v>
      </c>
      <c r="G13" s="771">
        <f>SUM(Prop2018DistTar!G13,Prop2018TransTar!G13,Prop2018JSTar!G13)</f>
        <v>0</v>
      </c>
      <c r="H13" s="771">
        <f>SUM(Prop2018DistTar!H13,Prop2018TransTar!H13,Prop2018JSTar!H13)</f>
        <v>0</v>
      </c>
      <c r="I13" s="771">
        <f>SUM(Prop2018DistTar!I13,Prop2018TransTar!I13,Prop2018JSTar!I13)</f>
        <v>0</v>
      </c>
      <c r="J13" s="771">
        <f>SUM(Prop2018DistTar!J13,Prop2018TransTar!J13,Prop2018JSTar!J13)</f>
        <v>0</v>
      </c>
      <c r="K13" s="771">
        <f>SUM(Prop2018DistTar!K13,Prop2018TransTar!K13,Prop2018JSTar!K13)</f>
        <v>0</v>
      </c>
      <c r="L13" s="771">
        <f>SUM(Prop2018DistTar!L13,Prop2018TransTar!L13,Prop2018JSTar!L13)</f>
        <v>0</v>
      </c>
      <c r="M13" s="771">
        <f>SUM(Prop2018DistTar!M13,Prop2018TransTar!M13,Prop2018JSTar!M13)</f>
        <v>0</v>
      </c>
      <c r="N13" s="771">
        <f>SUM(Prop2018DistTar!N13,Prop2018TransTar!N13,Prop2018JSTar!N13)</f>
        <v>0</v>
      </c>
      <c r="O13" s="771">
        <f>SUM(Prop2018DistTar!O13,Prop2018TransTar!O13,Prop2018JSTar!O13)</f>
        <v>0</v>
      </c>
      <c r="P13" s="771">
        <f>SUM(Prop2018DistTar!P13,Prop2018TransTar!P13,Prop2018JSTar!P13)</f>
        <v>0</v>
      </c>
      <c r="Q13" s="771">
        <f>SUM(Prop2018DistTar!Q13,Prop2018TransTar!Q13,Prop2018JSTar!Q13)</f>
        <v>0</v>
      </c>
      <c r="R13" s="771">
        <f>SUM(Prop2018DistTar!R13,Prop2018TransTar!R13,Prop2018JSTar!R13)</f>
        <v>0</v>
      </c>
      <c r="S13" s="771">
        <f>SUM(Prop2018DistTar!S13,Prop2018TransTar!S13,Prop2018JSTar!S13)</f>
        <v>0</v>
      </c>
      <c r="T13" s="771">
        <f>SUM(Prop2018DistTar!T13,Prop2018TransTar!T13,Prop2018JSTar!T13)</f>
        <v>0</v>
      </c>
      <c r="U13" s="771">
        <f>SUM(Prop2018DistTar!U13,Prop2018TransTar!U13,Prop2018JSTar!U13)</f>
        <v>0</v>
      </c>
      <c r="V13" s="771">
        <f>SUM(Prop2018DistTar!V13,Prop2018TransTar!V13,Prop2018JSTar!V13)</f>
        <v>0</v>
      </c>
      <c r="W13" s="771">
        <f>SUM(Prop2018DistTar!W13,Prop2018TransTar!W13,Prop2018JSTar!W13)</f>
        <v>0</v>
      </c>
      <c r="X13" s="772">
        <f>SUM(Prop2018DistTar!X13,Prop2018TransTar!X13,Prop2018JSTar!X13)</f>
        <v>0</v>
      </c>
      <c r="Z13" s="750">
        <v>135</v>
      </c>
      <c r="AA13" s="775">
        <v>7.28</v>
      </c>
      <c r="AB13" s="775">
        <v>0</v>
      </c>
      <c r="AC13" s="775">
        <v>0</v>
      </c>
      <c r="AD13" s="775">
        <v>0</v>
      </c>
      <c r="AE13" s="775">
        <v>0</v>
      </c>
      <c r="AF13" s="775">
        <v>0</v>
      </c>
      <c r="AG13" s="775">
        <v>0</v>
      </c>
      <c r="AH13" s="775">
        <v>0</v>
      </c>
      <c r="AI13" s="775">
        <v>0</v>
      </c>
      <c r="AJ13" s="775">
        <v>0</v>
      </c>
      <c r="AK13" s="775">
        <v>0</v>
      </c>
      <c r="AL13" s="775">
        <v>0</v>
      </c>
      <c r="AM13" s="775">
        <v>0</v>
      </c>
      <c r="AN13" s="775">
        <v>0</v>
      </c>
      <c r="AO13" s="775">
        <v>0</v>
      </c>
      <c r="AP13" s="775">
        <v>0</v>
      </c>
      <c r="AQ13" s="775">
        <v>0</v>
      </c>
      <c r="AR13" s="775">
        <v>0</v>
      </c>
      <c r="AS13" s="775">
        <v>0</v>
      </c>
      <c r="AT13" s="752">
        <v>0</v>
      </c>
      <c r="AW13" s="783">
        <f t="shared" si="0"/>
        <v>-7.407407407407407E-2</v>
      </c>
      <c r="AX13" s="784">
        <f t="shared" si="0"/>
        <v>-9.6153846153846145E-2</v>
      </c>
      <c r="AY13" s="784">
        <f t="shared" si="0"/>
        <v>0</v>
      </c>
      <c r="AZ13" s="784">
        <f t="shared" si="0"/>
        <v>0</v>
      </c>
      <c r="BA13" s="784">
        <f t="shared" si="0"/>
        <v>0</v>
      </c>
      <c r="BB13" s="784">
        <f t="shared" si="0"/>
        <v>0</v>
      </c>
      <c r="BC13" s="784">
        <f t="shared" si="0"/>
        <v>0</v>
      </c>
      <c r="BD13" s="784">
        <f t="shared" si="0"/>
        <v>0</v>
      </c>
      <c r="BE13" s="784">
        <f t="shared" si="0"/>
        <v>0</v>
      </c>
      <c r="BF13" s="784">
        <f t="shared" si="0"/>
        <v>0</v>
      </c>
      <c r="BG13" s="784">
        <f t="shared" si="0"/>
        <v>0</v>
      </c>
      <c r="BH13" s="784">
        <f t="shared" si="0"/>
        <v>0</v>
      </c>
      <c r="BI13" s="784">
        <f t="shared" si="0"/>
        <v>0</v>
      </c>
      <c r="BJ13" s="784">
        <f t="shared" si="0"/>
        <v>0</v>
      </c>
      <c r="BK13" s="784">
        <f t="shared" si="0"/>
        <v>0</v>
      </c>
      <c r="BL13" s="784">
        <f t="shared" si="0"/>
        <v>0</v>
      </c>
      <c r="BM13" s="784">
        <f t="shared" si="1"/>
        <v>0</v>
      </c>
      <c r="BN13" s="784">
        <f t="shared" si="1"/>
        <v>0</v>
      </c>
      <c r="BO13" s="784">
        <f t="shared" si="1"/>
        <v>0</v>
      </c>
      <c r="BP13" s="784">
        <f t="shared" si="1"/>
        <v>0</v>
      </c>
      <c r="BQ13" s="785">
        <f t="shared" si="1"/>
        <v>0</v>
      </c>
      <c r="BR13" s="553" t="str">
        <f t="array" ref="BR13">IF(MAX(ABS(AW13:BQ13))&gt;$BR$4,"EXPLAIN","")</f>
        <v/>
      </c>
    </row>
    <row r="14" spans="1:70">
      <c r="A14" s="790"/>
      <c r="B14" s="765" t="s">
        <v>718</v>
      </c>
      <c r="C14" s="765" t="str">
        <f>Prop2018DistTar!B14</f>
        <v>Residential Two Rate 5d</v>
      </c>
      <c r="D14" s="735">
        <f>SUM(Prop2018DistTar!D14,Prop2018TransTar!D14,Prop2018JSTar!D14)</f>
        <v>125</v>
      </c>
      <c r="E14" s="771">
        <f>SUM(Prop2018DistTar!E14,Prop2018TransTar!E14,Prop2018JSTar!E14)</f>
        <v>0</v>
      </c>
      <c r="F14" s="771">
        <f>SUM(Prop2018DistTar!F14,Prop2018TransTar!F14,Prop2018JSTar!F14)</f>
        <v>12.340000000000002</v>
      </c>
      <c r="G14" s="771">
        <f>SUM(Prop2018DistTar!G14,Prop2018TransTar!G14,Prop2018JSTar!G14)</f>
        <v>0</v>
      </c>
      <c r="H14" s="771">
        <f>SUM(Prop2018DistTar!H14,Prop2018TransTar!H14,Prop2018JSTar!H14)</f>
        <v>0</v>
      </c>
      <c r="I14" s="771">
        <f>SUM(Prop2018DistTar!I14,Prop2018TransTar!I14,Prop2018JSTar!I14)</f>
        <v>2.62</v>
      </c>
      <c r="J14" s="771">
        <f>SUM(Prop2018DistTar!J14,Prop2018TransTar!J14,Prop2018JSTar!J14)</f>
        <v>0</v>
      </c>
      <c r="K14" s="771">
        <f>SUM(Prop2018DistTar!K14,Prop2018TransTar!K14,Prop2018JSTar!K14)</f>
        <v>0</v>
      </c>
      <c r="L14" s="771">
        <f>SUM(Prop2018DistTar!L14,Prop2018TransTar!L14,Prop2018JSTar!L14)</f>
        <v>0</v>
      </c>
      <c r="M14" s="771">
        <f>SUM(Prop2018DistTar!M14,Prop2018TransTar!M14,Prop2018JSTar!M14)</f>
        <v>0</v>
      </c>
      <c r="N14" s="771">
        <f>SUM(Prop2018DistTar!N14,Prop2018TransTar!N14,Prop2018JSTar!N14)</f>
        <v>0</v>
      </c>
      <c r="O14" s="771">
        <f>SUM(Prop2018DistTar!O14,Prop2018TransTar!O14,Prop2018JSTar!O14)</f>
        <v>0</v>
      </c>
      <c r="P14" s="771">
        <f>SUM(Prop2018DistTar!P14,Prop2018TransTar!P14,Prop2018JSTar!P14)</f>
        <v>0</v>
      </c>
      <c r="Q14" s="771">
        <f>SUM(Prop2018DistTar!Q14,Prop2018TransTar!Q14,Prop2018JSTar!Q14)</f>
        <v>0</v>
      </c>
      <c r="R14" s="771">
        <f>SUM(Prop2018DistTar!R14,Prop2018TransTar!R14,Prop2018JSTar!R14)</f>
        <v>0</v>
      </c>
      <c r="S14" s="771">
        <f>SUM(Prop2018DistTar!S14,Prop2018TransTar!S14,Prop2018JSTar!S14)</f>
        <v>0</v>
      </c>
      <c r="T14" s="771">
        <f>SUM(Prop2018DistTar!T14,Prop2018TransTar!T14,Prop2018JSTar!T14)</f>
        <v>0</v>
      </c>
      <c r="U14" s="771">
        <f>SUM(Prop2018DistTar!U14,Prop2018TransTar!U14,Prop2018JSTar!U14)</f>
        <v>0</v>
      </c>
      <c r="V14" s="771">
        <f>SUM(Prop2018DistTar!V14,Prop2018TransTar!V14,Prop2018JSTar!V14)</f>
        <v>0</v>
      </c>
      <c r="W14" s="771">
        <f>SUM(Prop2018DistTar!W14,Prop2018TransTar!W14,Prop2018JSTar!W14)</f>
        <v>0</v>
      </c>
      <c r="X14" s="772">
        <f>SUM(Prop2018DistTar!X14,Prop2018TransTar!X14,Prop2018JSTar!X14)</f>
        <v>0</v>
      </c>
      <c r="Z14" s="750">
        <v>135</v>
      </c>
      <c r="AA14" s="775">
        <v>0</v>
      </c>
      <c r="AB14" s="775">
        <v>13.66</v>
      </c>
      <c r="AC14" s="775">
        <v>0</v>
      </c>
      <c r="AD14" s="775">
        <v>0</v>
      </c>
      <c r="AE14" s="775">
        <v>2.9</v>
      </c>
      <c r="AF14" s="775">
        <v>0</v>
      </c>
      <c r="AG14" s="775">
        <v>0</v>
      </c>
      <c r="AH14" s="775">
        <v>0</v>
      </c>
      <c r="AI14" s="775">
        <v>0</v>
      </c>
      <c r="AJ14" s="775">
        <v>0</v>
      </c>
      <c r="AK14" s="775">
        <v>0</v>
      </c>
      <c r="AL14" s="775">
        <v>0</v>
      </c>
      <c r="AM14" s="775">
        <v>0</v>
      </c>
      <c r="AN14" s="775">
        <v>0</v>
      </c>
      <c r="AO14" s="775">
        <v>0</v>
      </c>
      <c r="AP14" s="775">
        <v>0</v>
      </c>
      <c r="AQ14" s="775">
        <v>0</v>
      </c>
      <c r="AR14" s="775">
        <v>0</v>
      </c>
      <c r="AS14" s="775">
        <v>0</v>
      </c>
      <c r="AT14" s="752">
        <v>0</v>
      </c>
      <c r="AW14" s="783">
        <f t="shared" si="0"/>
        <v>-7.407407407407407E-2</v>
      </c>
      <c r="AX14" s="784">
        <f t="shared" si="0"/>
        <v>0</v>
      </c>
      <c r="AY14" s="784">
        <f t="shared" si="0"/>
        <v>-9.6632503660321944E-2</v>
      </c>
      <c r="AZ14" s="784">
        <f t="shared" si="0"/>
        <v>0</v>
      </c>
      <c r="BA14" s="784">
        <f t="shared" si="0"/>
        <v>0</v>
      </c>
      <c r="BB14" s="784">
        <f t="shared" si="0"/>
        <v>-9.6551724137931005E-2</v>
      </c>
      <c r="BC14" s="784">
        <f t="shared" si="0"/>
        <v>0</v>
      </c>
      <c r="BD14" s="784">
        <f t="shared" si="0"/>
        <v>0</v>
      </c>
      <c r="BE14" s="784">
        <f t="shared" si="0"/>
        <v>0</v>
      </c>
      <c r="BF14" s="784">
        <f t="shared" si="0"/>
        <v>0</v>
      </c>
      <c r="BG14" s="784">
        <f t="shared" si="0"/>
        <v>0</v>
      </c>
      <c r="BH14" s="784">
        <f t="shared" si="0"/>
        <v>0</v>
      </c>
      <c r="BI14" s="784">
        <f t="shared" si="0"/>
        <v>0</v>
      </c>
      <c r="BJ14" s="784">
        <f t="shared" si="0"/>
        <v>0</v>
      </c>
      <c r="BK14" s="784">
        <f t="shared" si="0"/>
        <v>0</v>
      </c>
      <c r="BL14" s="784">
        <f t="shared" si="0"/>
        <v>0</v>
      </c>
      <c r="BM14" s="784">
        <f t="shared" si="1"/>
        <v>0</v>
      </c>
      <c r="BN14" s="784">
        <f t="shared" si="1"/>
        <v>0</v>
      </c>
      <c r="BO14" s="784">
        <f t="shared" si="1"/>
        <v>0</v>
      </c>
      <c r="BP14" s="784">
        <f t="shared" si="1"/>
        <v>0</v>
      </c>
      <c r="BQ14" s="785">
        <f t="shared" si="1"/>
        <v>0</v>
      </c>
      <c r="BR14" s="553" t="str">
        <f t="array" ref="BR14">IF(MAX(ABS(AW14:BQ14))&gt;$BR$4,"EXPLAIN","")</f>
        <v/>
      </c>
    </row>
    <row r="15" spans="1:70">
      <c r="A15" s="790"/>
      <c r="B15" s="765" t="s">
        <v>735</v>
      </c>
      <c r="C15" s="765" t="str">
        <f>Prop2018DistTar!B15</f>
        <v>Docklands Two Rate 5d</v>
      </c>
      <c r="D15" s="735">
        <f>SUM(Prop2018DistTar!D15,Prop2018TransTar!D15,Prop2018JSTar!D15)</f>
        <v>125</v>
      </c>
      <c r="E15" s="771">
        <f>SUM(Prop2018DistTar!E15,Prop2018TransTar!E15,Prop2018JSTar!E15)</f>
        <v>0</v>
      </c>
      <c r="F15" s="771">
        <f>SUM(Prop2018DistTar!F15,Prop2018TransTar!F15,Prop2018JSTar!F15)</f>
        <v>11.57</v>
      </c>
      <c r="G15" s="771">
        <f>SUM(Prop2018DistTar!G15,Prop2018TransTar!G15,Prop2018JSTar!G15)</f>
        <v>0</v>
      </c>
      <c r="H15" s="771">
        <f>SUM(Prop2018DistTar!H15,Prop2018TransTar!H15,Prop2018JSTar!H15)</f>
        <v>0</v>
      </c>
      <c r="I15" s="771">
        <f>SUM(Prop2018DistTar!I15,Prop2018TransTar!I15,Prop2018JSTar!I15)</f>
        <v>2.31</v>
      </c>
      <c r="J15" s="771">
        <f>SUM(Prop2018DistTar!J15,Prop2018TransTar!J15,Prop2018JSTar!J15)</f>
        <v>0</v>
      </c>
      <c r="K15" s="771">
        <f>SUM(Prop2018DistTar!K15,Prop2018TransTar!K15,Prop2018JSTar!K15)</f>
        <v>0</v>
      </c>
      <c r="L15" s="771">
        <f>SUM(Prop2018DistTar!L15,Prop2018TransTar!L15,Prop2018JSTar!L15)</f>
        <v>0</v>
      </c>
      <c r="M15" s="771">
        <f>SUM(Prop2018DistTar!M15,Prop2018TransTar!M15,Prop2018JSTar!M15)</f>
        <v>0</v>
      </c>
      <c r="N15" s="771">
        <f>SUM(Prop2018DistTar!N15,Prop2018TransTar!N15,Prop2018JSTar!N15)</f>
        <v>0</v>
      </c>
      <c r="O15" s="771">
        <f>SUM(Prop2018DistTar!O15,Prop2018TransTar!O15,Prop2018JSTar!O15)</f>
        <v>0</v>
      </c>
      <c r="P15" s="771">
        <f>SUM(Prop2018DistTar!P15,Prop2018TransTar!P15,Prop2018JSTar!P15)</f>
        <v>0</v>
      </c>
      <c r="Q15" s="771">
        <f>SUM(Prop2018DistTar!Q15,Prop2018TransTar!Q15,Prop2018JSTar!Q15)</f>
        <v>0</v>
      </c>
      <c r="R15" s="771">
        <f>SUM(Prop2018DistTar!R15,Prop2018TransTar!R15,Prop2018JSTar!R15)</f>
        <v>0</v>
      </c>
      <c r="S15" s="771">
        <f>SUM(Prop2018DistTar!S15,Prop2018TransTar!S15,Prop2018JSTar!S15)</f>
        <v>0</v>
      </c>
      <c r="T15" s="771">
        <f>SUM(Prop2018DistTar!T15,Prop2018TransTar!T15,Prop2018JSTar!T15)</f>
        <v>0</v>
      </c>
      <c r="U15" s="771">
        <f>SUM(Prop2018DistTar!U15,Prop2018TransTar!U15,Prop2018JSTar!U15)</f>
        <v>0</v>
      </c>
      <c r="V15" s="771">
        <f>SUM(Prop2018DistTar!V15,Prop2018TransTar!V15,Prop2018JSTar!V15)</f>
        <v>0</v>
      </c>
      <c r="W15" s="771">
        <f>SUM(Prop2018DistTar!W15,Prop2018TransTar!W15,Prop2018JSTar!W15)</f>
        <v>0</v>
      </c>
      <c r="X15" s="772">
        <f>SUM(Prop2018DistTar!X15,Prop2018TransTar!X15,Prop2018JSTar!X15)</f>
        <v>0</v>
      </c>
      <c r="Z15" s="750">
        <v>135</v>
      </c>
      <c r="AA15" s="775">
        <v>0</v>
      </c>
      <c r="AB15" s="775">
        <v>12.8</v>
      </c>
      <c r="AC15" s="775">
        <v>0</v>
      </c>
      <c r="AD15" s="775">
        <v>0</v>
      </c>
      <c r="AE15" s="775">
        <v>2.56</v>
      </c>
      <c r="AF15" s="775">
        <v>0</v>
      </c>
      <c r="AG15" s="775">
        <v>0</v>
      </c>
      <c r="AH15" s="775">
        <v>0</v>
      </c>
      <c r="AI15" s="775">
        <v>0</v>
      </c>
      <c r="AJ15" s="775">
        <v>0</v>
      </c>
      <c r="AK15" s="775">
        <v>0</v>
      </c>
      <c r="AL15" s="775">
        <v>0</v>
      </c>
      <c r="AM15" s="775">
        <v>0</v>
      </c>
      <c r="AN15" s="775">
        <v>0</v>
      </c>
      <c r="AO15" s="775">
        <v>0</v>
      </c>
      <c r="AP15" s="775">
        <v>0</v>
      </c>
      <c r="AQ15" s="775">
        <v>0</v>
      </c>
      <c r="AR15" s="775">
        <v>0</v>
      </c>
      <c r="AS15" s="775">
        <v>0</v>
      </c>
      <c r="AT15" s="752">
        <v>0</v>
      </c>
      <c r="AW15" s="783">
        <f t="shared" si="0"/>
        <v>-7.407407407407407E-2</v>
      </c>
      <c r="AX15" s="784">
        <f t="shared" si="0"/>
        <v>0</v>
      </c>
      <c r="AY15" s="784">
        <f t="shared" si="0"/>
        <v>-9.6093749999999978E-2</v>
      </c>
      <c r="AZ15" s="784">
        <f t="shared" si="0"/>
        <v>0</v>
      </c>
      <c r="BA15" s="784">
        <f t="shared" si="0"/>
        <v>0</v>
      </c>
      <c r="BB15" s="784">
        <f t="shared" si="0"/>
        <v>-9.765625E-2</v>
      </c>
      <c r="BC15" s="784">
        <f t="shared" si="0"/>
        <v>0</v>
      </c>
      <c r="BD15" s="784">
        <f t="shared" si="0"/>
        <v>0</v>
      </c>
      <c r="BE15" s="784">
        <f t="shared" si="0"/>
        <v>0</v>
      </c>
      <c r="BF15" s="784">
        <f t="shared" si="0"/>
        <v>0</v>
      </c>
      <c r="BG15" s="784">
        <f t="shared" si="0"/>
        <v>0</v>
      </c>
      <c r="BH15" s="784">
        <f t="shared" si="0"/>
        <v>0</v>
      </c>
      <c r="BI15" s="784">
        <f t="shared" si="0"/>
        <v>0</v>
      </c>
      <c r="BJ15" s="784">
        <f t="shared" si="0"/>
        <v>0</v>
      </c>
      <c r="BK15" s="784">
        <f t="shared" si="0"/>
        <v>0</v>
      </c>
      <c r="BL15" s="784">
        <f t="shared" si="0"/>
        <v>0</v>
      </c>
      <c r="BM15" s="784">
        <f t="shared" si="1"/>
        <v>0</v>
      </c>
      <c r="BN15" s="784">
        <f t="shared" si="1"/>
        <v>0</v>
      </c>
      <c r="BO15" s="784">
        <f t="shared" si="1"/>
        <v>0</v>
      </c>
      <c r="BP15" s="784">
        <f t="shared" si="1"/>
        <v>0</v>
      </c>
      <c r="BQ15" s="785">
        <f t="shared" si="1"/>
        <v>0</v>
      </c>
      <c r="BR15" s="553" t="str">
        <f t="array" ref="BR15">IF(MAX(ABS(AW15:BQ15))&gt;$BR$4,"EXPLAIN","")</f>
        <v/>
      </c>
    </row>
    <row r="16" spans="1:70">
      <c r="A16" s="790"/>
      <c r="B16" s="765" t="s">
        <v>736</v>
      </c>
      <c r="C16" s="765" t="str">
        <f>Prop2018DistTar!B16</f>
        <v>Residential Interval</v>
      </c>
      <c r="D16" s="735">
        <f>SUM(Prop2018DistTar!D16,Prop2018TransTar!D16,Prop2018JSTar!D16)</f>
        <v>125</v>
      </c>
      <c r="E16" s="771">
        <f>SUM(Prop2018DistTar!E16,Prop2018TransTar!E16,Prop2018JSTar!E16)</f>
        <v>0</v>
      </c>
      <c r="F16" s="771">
        <f>SUM(Prop2018DistTar!F16,Prop2018TransTar!F16,Prop2018JSTar!F16)</f>
        <v>12.340000000000002</v>
      </c>
      <c r="G16" s="771">
        <f>SUM(Prop2018DistTar!G16,Prop2018TransTar!G16,Prop2018JSTar!G16)</f>
        <v>0</v>
      </c>
      <c r="H16" s="771">
        <f>SUM(Prop2018DistTar!H16,Prop2018TransTar!H16,Prop2018JSTar!H16)</f>
        <v>0</v>
      </c>
      <c r="I16" s="771">
        <f>SUM(Prop2018DistTar!I16,Prop2018TransTar!I16,Prop2018JSTar!I16)</f>
        <v>2.62</v>
      </c>
      <c r="J16" s="771">
        <f>SUM(Prop2018DistTar!J16,Prop2018TransTar!J16,Prop2018JSTar!J16)</f>
        <v>0</v>
      </c>
      <c r="K16" s="771">
        <f>SUM(Prop2018DistTar!K16,Prop2018TransTar!K16,Prop2018JSTar!K16)</f>
        <v>0</v>
      </c>
      <c r="L16" s="771">
        <f>SUM(Prop2018DistTar!L16,Prop2018TransTar!L16,Prop2018JSTar!L16)</f>
        <v>0</v>
      </c>
      <c r="M16" s="771">
        <f>SUM(Prop2018DistTar!M16,Prop2018TransTar!M16,Prop2018JSTar!M16)</f>
        <v>0</v>
      </c>
      <c r="N16" s="771">
        <f>SUM(Prop2018DistTar!N16,Prop2018TransTar!N16,Prop2018JSTar!N16)</f>
        <v>0</v>
      </c>
      <c r="O16" s="771">
        <f>SUM(Prop2018DistTar!O16,Prop2018TransTar!O16,Prop2018JSTar!O16)</f>
        <v>0</v>
      </c>
      <c r="P16" s="771">
        <f>SUM(Prop2018DistTar!P16,Prop2018TransTar!P16,Prop2018JSTar!P16)</f>
        <v>0</v>
      </c>
      <c r="Q16" s="771">
        <f>SUM(Prop2018DistTar!Q16,Prop2018TransTar!Q16,Prop2018JSTar!Q16)</f>
        <v>0</v>
      </c>
      <c r="R16" s="771">
        <f>SUM(Prop2018DistTar!R16,Prop2018TransTar!R16,Prop2018JSTar!R16)</f>
        <v>0</v>
      </c>
      <c r="S16" s="771">
        <f>SUM(Prop2018DistTar!S16,Prop2018TransTar!S16,Prop2018JSTar!S16)</f>
        <v>0</v>
      </c>
      <c r="T16" s="771">
        <f>SUM(Prop2018DistTar!T16,Prop2018TransTar!T16,Prop2018JSTar!T16)</f>
        <v>0</v>
      </c>
      <c r="U16" s="771">
        <f>SUM(Prop2018DistTar!U16,Prop2018TransTar!U16,Prop2018JSTar!U16)</f>
        <v>0</v>
      </c>
      <c r="V16" s="771">
        <f>SUM(Prop2018DistTar!V16,Prop2018TransTar!V16,Prop2018JSTar!V16)</f>
        <v>0</v>
      </c>
      <c r="W16" s="771">
        <f>SUM(Prop2018DistTar!W16,Prop2018TransTar!W16,Prop2018JSTar!W16)</f>
        <v>0</v>
      </c>
      <c r="X16" s="772">
        <f>SUM(Prop2018DistTar!X16,Prop2018TransTar!X16,Prop2018JSTar!X16)</f>
        <v>0</v>
      </c>
      <c r="Z16" s="750">
        <v>135</v>
      </c>
      <c r="AA16" s="775">
        <v>0</v>
      </c>
      <c r="AB16" s="775">
        <v>13.66</v>
      </c>
      <c r="AC16" s="775">
        <v>0</v>
      </c>
      <c r="AD16" s="775">
        <v>0</v>
      </c>
      <c r="AE16" s="775">
        <v>2.9</v>
      </c>
      <c r="AF16" s="775">
        <v>0</v>
      </c>
      <c r="AG16" s="775">
        <v>0</v>
      </c>
      <c r="AH16" s="775">
        <v>0</v>
      </c>
      <c r="AI16" s="775">
        <v>0</v>
      </c>
      <c r="AJ16" s="775">
        <v>0</v>
      </c>
      <c r="AK16" s="775">
        <v>0</v>
      </c>
      <c r="AL16" s="775">
        <v>0</v>
      </c>
      <c r="AM16" s="775">
        <v>0</v>
      </c>
      <c r="AN16" s="775">
        <v>0</v>
      </c>
      <c r="AO16" s="775">
        <v>0</v>
      </c>
      <c r="AP16" s="775">
        <v>0</v>
      </c>
      <c r="AQ16" s="775">
        <v>0</v>
      </c>
      <c r="AR16" s="775">
        <v>0</v>
      </c>
      <c r="AS16" s="775">
        <v>0</v>
      </c>
      <c r="AT16" s="752">
        <v>0</v>
      </c>
      <c r="AW16" s="783">
        <f t="shared" si="0"/>
        <v>-7.407407407407407E-2</v>
      </c>
      <c r="AX16" s="784">
        <f t="shared" si="0"/>
        <v>0</v>
      </c>
      <c r="AY16" s="784">
        <f t="shared" si="0"/>
        <v>-9.6632503660321944E-2</v>
      </c>
      <c r="AZ16" s="784">
        <f t="shared" si="0"/>
        <v>0</v>
      </c>
      <c r="BA16" s="784">
        <f t="shared" si="0"/>
        <v>0</v>
      </c>
      <c r="BB16" s="784">
        <f t="shared" si="0"/>
        <v>-9.6551724137931005E-2</v>
      </c>
      <c r="BC16" s="784">
        <f t="shared" si="0"/>
        <v>0</v>
      </c>
      <c r="BD16" s="784">
        <f t="shared" si="0"/>
        <v>0</v>
      </c>
      <c r="BE16" s="784">
        <f t="shared" si="0"/>
        <v>0</v>
      </c>
      <c r="BF16" s="784">
        <f t="shared" si="0"/>
        <v>0</v>
      </c>
      <c r="BG16" s="784">
        <f t="shared" si="0"/>
        <v>0</v>
      </c>
      <c r="BH16" s="784">
        <f t="shared" si="0"/>
        <v>0</v>
      </c>
      <c r="BI16" s="784">
        <f t="shared" si="0"/>
        <v>0</v>
      </c>
      <c r="BJ16" s="784">
        <f t="shared" si="0"/>
        <v>0</v>
      </c>
      <c r="BK16" s="784">
        <f t="shared" si="0"/>
        <v>0</v>
      </c>
      <c r="BL16" s="784">
        <f t="shared" si="0"/>
        <v>0</v>
      </c>
      <c r="BM16" s="784">
        <f t="shared" si="1"/>
        <v>0</v>
      </c>
      <c r="BN16" s="784">
        <f t="shared" si="1"/>
        <v>0</v>
      </c>
      <c r="BO16" s="784">
        <f t="shared" si="1"/>
        <v>0</v>
      </c>
      <c r="BP16" s="784">
        <f t="shared" si="1"/>
        <v>0</v>
      </c>
      <c r="BQ16" s="785">
        <f t="shared" si="1"/>
        <v>0</v>
      </c>
      <c r="BR16" s="553" t="str">
        <f t="array" ref="BR16">IF(MAX(ABS(AW16:BQ16))&gt;$BR$4,"EXPLAIN","")</f>
        <v/>
      </c>
    </row>
    <row r="17" spans="1:70">
      <c r="A17" s="790"/>
      <c r="B17" s="765" t="s">
        <v>171</v>
      </c>
      <c r="C17" s="765" t="str">
        <f>Prop2018DistTar!B17</f>
        <v>Residential Two Rate 5d - controlled load</v>
      </c>
      <c r="D17" s="735">
        <f>SUM(Prop2018DistTar!D17,Prop2018TransTar!D17,Prop2018JSTar!D17)</f>
        <v>0</v>
      </c>
      <c r="E17" s="771">
        <f>SUM(Prop2018DistTar!E17,Prop2018TransTar!E17,Prop2018JSTar!E17)</f>
        <v>0</v>
      </c>
      <c r="F17" s="771">
        <f>SUM(Prop2018DistTar!F17,Prop2018TransTar!F17,Prop2018JSTar!F17)</f>
        <v>0</v>
      </c>
      <c r="G17" s="771">
        <f>SUM(Prop2018DistTar!G17,Prop2018TransTar!G17,Prop2018JSTar!G17)</f>
        <v>0</v>
      </c>
      <c r="H17" s="771">
        <f>SUM(Prop2018DistTar!H17,Prop2018TransTar!H17,Prop2018JSTar!H17)</f>
        <v>0</v>
      </c>
      <c r="I17" s="771">
        <f>SUM(Prop2018DistTar!I17,Prop2018TransTar!I17,Prop2018JSTar!I17)</f>
        <v>2.31</v>
      </c>
      <c r="J17" s="771">
        <f>SUM(Prop2018DistTar!J17,Prop2018TransTar!J17,Prop2018JSTar!J17)</f>
        <v>0</v>
      </c>
      <c r="K17" s="771">
        <f>SUM(Prop2018DistTar!K17,Prop2018TransTar!K17,Prop2018JSTar!K17)</f>
        <v>0</v>
      </c>
      <c r="L17" s="771">
        <f>SUM(Prop2018DistTar!L17,Prop2018TransTar!L17,Prop2018JSTar!L17)</f>
        <v>0</v>
      </c>
      <c r="M17" s="771">
        <f>SUM(Prop2018DistTar!M17,Prop2018TransTar!M17,Prop2018JSTar!M17)</f>
        <v>0</v>
      </c>
      <c r="N17" s="771">
        <f>SUM(Prop2018DistTar!N17,Prop2018TransTar!N17,Prop2018JSTar!N17)</f>
        <v>0</v>
      </c>
      <c r="O17" s="771">
        <f>SUM(Prop2018DistTar!O17,Prop2018TransTar!O17,Prop2018JSTar!O17)</f>
        <v>0</v>
      </c>
      <c r="P17" s="771">
        <f>SUM(Prop2018DistTar!P17,Prop2018TransTar!P17,Prop2018JSTar!P17)</f>
        <v>0</v>
      </c>
      <c r="Q17" s="771">
        <f>SUM(Prop2018DistTar!Q17,Prop2018TransTar!Q17,Prop2018JSTar!Q17)</f>
        <v>0</v>
      </c>
      <c r="R17" s="771">
        <f>SUM(Prop2018DistTar!R17,Prop2018TransTar!R17,Prop2018JSTar!R17)</f>
        <v>0</v>
      </c>
      <c r="S17" s="771">
        <f>SUM(Prop2018DistTar!S17,Prop2018TransTar!S17,Prop2018JSTar!S17)</f>
        <v>0</v>
      </c>
      <c r="T17" s="771">
        <f>SUM(Prop2018DistTar!T17,Prop2018TransTar!T17,Prop2018JSTar!T17)</f>
        <v>0</v>
      </c>
      <c r="U17" s="771">
        <f>SUM(Prop2018DistTar!U17,Prop2018TransTar!U17,Prop2018JSTar!U17)</f>
        <v>0</v>
      </c>
      <c r="V17" s="771">
        <f>SUM(Prop2018DistTar!V17,Prop2018TransTar!V17,Prop2018JSTar!V17)</f>
        <v>0</v>
      </c>
      <c r="W17" s="771">
        <f>SUM(Prop2018DistTar!W17,Prop2018TransTar!W17,Prop2018JSTar!W17)</f>
        <v>0</v>
      </c>
      <c r="X17" s="772">
        <f>SUM(Prop2018DistTar!X17,Prop2018TransTar!X17,Prop2018JSTar!X17)</f>
        <v>0</v>
      </c>
      <c r="Z17" s="750">
        <v>0</v>
      </c>
      <c r="AA17" s="775">
        <v>0</v>
      </c>
      <c r="AB17" s="775">
        <v>0</v>
      </c>
      <c r="AC17" s="775">
        <v>0</v>
      </c>
      <c r="AD17" s="775">
        <v>0</v>
      </c>
      <c r="AE17" s="775">
        <v>2.56</v>
      </c>
      <c r="AF17" s="775">
        <v>0</v>
      </c>
      <c r="AG17" s="775">
        <v>0</v>
      </c>
      <c r="AH17" s="775">
        <v>0</v>
      </c>
      <c r="AI17" s="775">
        <v>0</v>
      </c>
      <c r="AJ17" s="775">
        <v>0</v>
      </c>
      <c r="AK17" s="775">
        <v>0</v>
      </c>
      <c r="AL17" s="775">
        <v>0</v>
      </c>
      <c r="AM17" s="775">
        <v>0</v>
      </c>
      <c r="AN17" s="775">
        <v>0</v>
      </c>
      <c r="AO17" s="775">
        <v>0</v>
      </c>
      <c r="AP17" s="775">
        <v>0</v>
      </c>
      <c r="AQ17" s="775">
        <v>0</v>
      </c>
      <c r="AR17" s="775">
        <v>0</v>
      </c>
      <c r="AS17" s="775">
        <v>0</v>
      </c>
      <c r="AT17" s="752">
        <v>0</v>
      </c>
      <c r="AW17" s="783">
        <f t="shared" si="0"/>
        <v>0</v>
      </c>
      <c r="AX17" s="784">
        <f t="shared" si="0"/>
        <v>0</v>
      </c>
      <c r="AY17" s="784">
        <f t="shared" si="0"/>
        <v>0</v>
      </c>
      <c r="AZ17" s="784">
        <f t="shared" si="0"/>
        <v>0</v>
      </c>
      <c r="BA17" s="784">
        <f t="shared" si="0"/>
        <v>0</v>
      </c>
      <c r="BB17" s="784">
        <f t="shared" si="0"/>
        <v>-9.765625E-2</v>
      </c>
      <c r="BC17" s="784">
        <f t="shared" si="0"/>
        <v>0</v>
      </c>
      <c r="BD17" s="784">
        <f t="shared" si="0"/>
        <v>0</v>
      </c>
      <c r="BE17" s="784">
        <f t="shared" si="0"/>
        <v>0</v>
      </c>
      <c r="BF17" s="784">
        <f t="shared" si="0"/>
        <v>0</v>
      </c>
      <c r="BG17" s="784">
        <f t="shared" si="0"/>
        <v>0</v>
      </c>
      <c r="BH17" s="784">
        <f t="shared" si="0"/>
        <v>0</v>
      </c>
      <c r="BI17" s="784">
        <f t="shared" si="0"/>
        <v>0</v>
      </c>
      <c r="BJ17" s="784">
        <f t="shared" si="0"/>
        <v>0</v>
      </c>
      <c r="BK17" s="784">
        <f t="shared" si="0"/>
        <v>0</v>
      </c>
      <c r="BL17" s="784">
        <f t="shared" si="0"/>
        <v>0</v>
      </c>
      <c r="BM17" s="784">
        <f t="shared" si="1"/>
        <v>0</v>
      </c>
      <c r="BN17" s="784">
        <f t="shared" si="1"/>
        <v>0</v>
      </c>
      <c r="BO17" s="784">
        <f t="shared" si="1"/>
        <v>0</v>
      </c>
      <c r="BP17" s="784">
        <f t="shared" si="1"/>
        <v>0</v>
      </c>
      <c r="BQ17" s="785">
        <f t="shared" si="1"/>
        <v>0</v>
      </c>
      <c r="BR17" s="553" t="str">
        <f t="array" ref="BR17">IF(MAX(ABS(AW17:BQ17))&gt;$BR$4,"EXPLAIN","")</f>
        <v/>
      </c>
    </row>
    <row r="18" spans="1:70">
      <c r="A18" s="790"/>
      <c r="B18" s="765" t="s">
        <v>735</v>
      </c>
      <c r="C18" s="765" t="str">
        <f>Prop2018DistTar!B18</f>
        <v>Docklands Two Rate 5d - controlled load</v>
      </c>
      <c r="D18" s="735">
        <f>SUM(Prop2018DistTar!D18,Prop2018TransTar!D18,Prop2018JSTar!D18)</f>
        <v>0</v>
      </c>
      <c r="E18" s="771">
        <f>SUM(Prop2018DistTar!E18,Prop2018TransTar!E18,Prop2018JSTar!E18)</f>
        <v>0</v>
      </c>
      <c r="F18" s="771">
        <f>SUM(Prop2018DistTar!F18,Prop2018TransTar!F18,Prop2018JSTar!F18)</f>
        <v>0</v>
      </c>
      <c r="G18" s="771">
        <f>SUM(Prop2018DistTar!G18,Prop2018TransTar!G18,Prop2018JSTar!G18)</f>
        <v>0</v>
      </c>
      <c r="H18" s="771">
        <f>SUM(Prop2018DistTar!H18,Prop2018TransTar!H18,Prop2018JSTar!H18)</f>
        <v>0</v>
      </c>
      <c r="I18" s="771">
        <f>SUM(Prop2018DistTar!I18,Prop2018TransTar!I18,Prop2018JSTar!I18)</f>
        <v>2.31</v>
      </c>
      <c r="J18" s="771">
        <f>SUM(Prop2018DistTar!J18,Prop2018TransTar!J18,Prop2018JSTar!J18)</f>
        <v>0</v>
      </c>
      <c r="K18" s="771">
        <f>SUM(Prop2018DistTar!K18,Prop2018TransTar!K18,Prop2018JSTar!K18)</f>
        <v>0</v>
      </c>
      <c r="L18" s="771">
        <f>SUM(Prop2018DistTar!L18,Prop2018TransTar!L18,Prop2018JSTar!L18)</f>
        <v>0</v>
      </c>
      <c r="M18" s="771">
        <f>SUM(Prop2018DistTar!M18,Prop2018TransTar!M18,Prop2018JSTar!M18)</f>
        <v>0</v>
      </c>
      <c r="N18" s="771">
        <f>SUM(Prop2018DistTar!N18,Prop2018TransTar!N18,Prop2018JSTar!N18)</f>
        <v>0</v>
      </c>
      <c r="O18" s="771">
        <f>SUM(Prop2018DistTar!O18,Prop2018TransTar!O18,Prop2018JSTar!O18)</f>
        <v>0</v>
      </c>
      <c r="P18" s="771">
        <f>SUM(Prop2018DistTar!P18,Prop2018TransTar!P18,Prop2018JSTar!P18)</f>
        <v>0</v>
      </c>
      <c r="Q18" s="771">
        <f>SUM(Prop2018DistTar!Q18,Prop2018TransTar!Q18,Prop2018JSTar!Q18)</f>
        <v>0</v>
      </c>
      <c r="R18" s="771">
        <f>SUM(Prop2018DistTar!R18,Prop2018TransTar!R18,Prop2018JSTar!R18)</f>
        <v>0</v>
      </c>
      <c r="S18" s="771">
        <f>SUM(Prop2018DistTar!S18,Prop2018TransTar!S18,Prop2018JSTar!S18)</f>
        <v>0</v>
      </c>
      <c r="T18" s="771">
        <f>SUM(Prop2018DistTar!T18,Prop2018TransTar!T18,Prop2018JSTar!T18)</f>
        <v>0</v>
      </c>
      <c r="U18" s="771">
        <f>SUM(Prop2018DistTar!U18,Prop2018TransTar!U18,Prop2018JSTar!U18)</f>
        <v>0</v>
      </c>
      <c r="V18" s="771">
        <f>SUM(Prop2018DistTar!V18,Prop2018TransTar!V18,Prop2018JSTar!V18)</f>
        <v>0</v>
      </c>
      <c r="W18" s="771">
        <f>SUM(Prop2018DistTar!W18,Prop2018TransTar!W18,Prop2018JSTar!W18)</f>
        <v>0</v>
      </c>
      <c r="X18" s="772">
        <f>SUM(Prop2018DistTar!X18,Prop2018TransTar!X18,Prop2018JSTar!X18)</f>
        <v>0</v>
      </c>
      <c r="Z18" s="750">
        <v>0</v>
      </c>
      <c r="AA18" s="775">
        <v>0</v>
      </c>
      <c r="AB18" s="775">
        <v>0</v>
      </c>
      <c r="AC18" s="775">
        <v>0</v>
      </c>
      <c r="AD18" s="775">
        <v>0</v>
      </c>
      <c r="AE18" s="775">
        <v>2.56</v>
      </c>
      <c r="AF18" s="775">
        <v>0</v>
      </c>
      <c r="AG18" s="775">
        <v>0</v>
      </c>
      <c r="AH18" s="775">
        <v>0</v>
      </c>
      <c r="AI18" s="775">
        <v>0</v>
      </c>
      <c r="AJ18" s="775">
        <v>0</v>
      </c>
      <c r="AK18" s="775">
        <v>0</v>
      </c>
      <c r="AL18" s="775">
        <v>0</v>
      </c>
      <c r="AM18" s="775">
        <v>0</v>
      </c>
      <c r="AN18" s="775">
        <v>0</v>
      </c>
      <c r="AO18" s="775">
        <v>0</v>
      </c>
      <c r="AP18" s="775">
        <v>0</v>
      </c>
      <c r="AQ18" s="775">
        <v>0</v>
      </c>
      <c r="AR18" s="775">
        <v>0</v>
      </c>
      <c r="AS18" s="775">
        <v>0</v>
      </c>
      <c r="AT18" s="752">
        <v>0</v>
      </c>
      <c r="AW18" s="783">
        <f t="shared" si="0"/>
        <v>0</v>
      </c>
      <c r="AX18" s="784">
        <f t="shared" si="0"/>
        <v>0</v>
      </c>
      <c r="AY18" s="784">
        <f t="shared" si="0"/>
        <v>0</v>
      </c>
      <c r="AZ18" s="784">
        <f t="shared" si="0"/>
        <v>0</v>
      </c>
      <c r="BA18" s="784">
        <f t="shared" si="0"/>
        <v>0</v>
      </c>
      <c r="BB18" s="784">
        <f t="shared" si="0"/>
        <v>-9.765625E-2</v>
      </c>
      <c r="BC18" s="784">
        <f t="shared" si="0"/>
        <v>0</v>
      </c>
      <c r="BD18" s="784">
        <f t="shared" si="0"/>
        <v>0</v>
      </c>
      <c r="BE18" s="784">
        <f t="shared" si="0"/>
        <v>0</v>
      </c>
      <c r="BF18" s="784">
        <f t="shared" si="0"/>
        <v>0</v>
      </c>
      <c r="BG18" s="784">
        <f t="shared" si="0"/>
        <v>0</v>
      </c>
      <c r="BH18" s="784">
        <f t="shared" si="0"/>
        <v>0</v>
      </c>
      <c r="BI18" s="784">
        <f t="shared" si="0"/>
        <v>0</v>
      </c>
      <c r="BJ18" s="784">
        <f t="shared" si="0"/>
        <v>0</v>
      </c>
      <c r="BK18" s="784">
        <f t="shared" si="0"/>
        <v>0</v>
      </c>
      <c r="BL18" s="784">
        <f t="shared" si="0"/>
        <v>0</v>
      </c>
      <c r="BM18" s="784">
        <f t="shared" si="1"/>
        <v>0</v>
      </c>
      <c r="BN18" s="784">
        <f t="shared" si="1"/>
        <v>0</v>
      </c>
      <c r="BO18" s="784">
        <f t="shared" si="1"/>
        <v>0</v>
      </c>
      <c r="BP18" s="784">
        <f t="shared" si="1"/>
        <v>0</v>
      </c>
      <c r="BQ18" s="785">
        <f t="shared" si="1"/>
        <v>0</v>
      </c>
      <c r="BR18" s="553" t="str">
        <f t="array" ref="BR18">IF(MAX(ABS(AW18:BQ18))&gt;$BR$4,"EXPLAIN","")</f>
        <v/>
      </c>
    </row>
    <row r="19" spans="1:70">
      <c r="A19" s="790"/>
      <c r="B19" s="765" t="s">
        <v>719</v>
      </c>
      <c r="C19" s="765" t="str">
        <f>Prop2018DistTar!B19</f>
        <v>Dedicated circuit</v>
      </c>
      <c r="D19" s="735">
        <f>SUM(Prop2018DistTar!D19,Prop2018TransTar!D19,Prop2018JSTar!D19)</f>
        <v>0</v>
      </c>
      <c r="E19" s="771">
        <f>SUM(Prop2018DistTar!E19,Prop2018TransTar!E19,Prop2018JSTar!E19)</f>
        <v>0</v>
      </c>
      <c r="F19" s="771">
        <f>SUM(Prop2018DistTar!F19,Prop2018TransTar!F19,Prop2018JSTar!F19)</f>
        <v>0</v>
      </c>
      <c r="G19" s="771">
        <f>SUM(Prop2018DistTar!G19,Prop2018TransTar!G19,Prop2018JSTar!G19)</f>
        <v>0</v>
      </c>
      <c r="H19" s="771">
        <f>SUM(Prop2018DistTar!H19,Prop2018TransTar!H19,Prop2018JSTar!H19)</f>
        <v>0</v>
      </c>
      <c r="I19" s="771">
        <f>SUM(Prop2018DistTar!I19,Prop2018TransTar!I19,Prop2018JSTar!I19)</f>
        <v>2.31</v>
      </c>
      <c r="J19" s="771">
        <f>SUM(Prop2018DistTar!J19,Prop2018TransTar!J19,Prop2018JSTar!J19)</f>
        <v>0</v>
      </c>
      <c r="K19" s="771">
        <f>SUM(Prop2018DistTar!K19,Prop2018TransTar!K19,Prop2018JSTar!K19)</f>
        <v>0</v>
      </c>
      <c r="L19" s="771">
        <f>SUM(Prop2018DistTar!L19,Prop2018TransTar!L19,Prop2018JSTar!L19)</f>
        <v>0</v>
      </c>
      <c r="M19" s="771">
        <f>SUM(Prop2018DistTar!M19,Prop2018TransTar!M19,Prop2018JSTar!M19)</f>
        <v>0</v>
      </c>
      <c r="N19" s="771">
        <f>SUM(Prop2018DistTar!N19,Prop2018TransTar!N19,Prop2018JSTar!N19)</f>
        <v>0</v>
      </c>
      <c r="O19" s="771">
        <f>SUM(Prop2018DistTar!O19,Prop2018TransTar!O19,Prop2018JSTar!O19)</f>
        <v>0</v>
      </c>
      <c r="P19" s="771">
        <f>SUM(Prop2018DistTar!P19,Prop2018TransTar!P19,Prop2018JSTar!P19)</f>
        <v>0</v>
      </c>
      <c r="Q19" s="771">
        <f>SUM(Prop2018DistTar!Q19,Prop2018TransTar!Q19,Prop2018JSTar!Q19)</f>
        <v>0</v>
      </c>
      <c r="R19" s="771">
        <f>SUM(Prop2018DistTar!R19,Prop2018TransTar!R19,Prop2018JSTar!R19)</f>
        <v>0</v>
      </c>
      <c r="S19" s="771">
        <f>SUM(Prop2018DistTar!S19,Prop2018TransTar!S19,Prop2018JSTar!S19)</f>
        <v>0</v>
      </c>
      <c r="T19" s="771">
        <f>SUM(Prop2018DistTar!T19,Prop2018TransTar!T19,Prop2018JSTar!T19)</f>
        <v>0</v>
      </c>
      <c r="U19" s="771">
        <f>SUM(Prop2018DistTar!U19,Prop2018TransTar!U19,Prop2018JSTar!U19)</f>
        <v>0</v>
      </c>
      <c r="V19" s="771">
        <f>SUM(Prop2018DistTar!V19,Prop2018TransTar!V19,Prop2018JSTar!V19)</f>
        <v>0</v>
      </c>
      <c r="W19" s="771">
        <f>SUM(Prop2018DistTar!W19,Prop2018TransTar!W19,Prop2018JSTar!W19)</f>
        <v>0</v>
      </c>
      <c r="X19" s="772">
        <f>SUM(Prop2018DistTar!X19,Prop2018TransTar!X19,Prop2018JSTar!X19)</f>
        <v>0</v>
      </c>
      <c r="Z19" s="750">
        <v>0</v>
      </c>
      <c r="AA19" s="775">
        <v>0</v>
      </c>
      <c r="AB19" s="775">
        <v>0</v>
      </c>
      <c r="AC19" s="775">
        <v>0</v>
      </c>
      <c r="AD19" s="775">
        <v>0</v>
      </c>
      <c r="AE19" s="775">
        <v>2.56</v>
      </c>
      <c r="AF19" s="775">
        <v>0</v>
      </c>
      <c r="AG19" s="775">
        <v>0</v>
      </c>
      <c r="AH19" s="775">
        <v>0</v>
      </c>
      <c r="AI19" s="775">
        <v>0</v>
      </c>
      <c r="AJ19" s="775">
        <v>0</v>
      </c>
      <c r="AK19" s="775">
        <v>0</v>
      </c>
      <c r="AL19" s="775">
        <v>0</v>
      </c>
      <c r="AM19" s="775">
        <v>0</v>
      </c>
      <c r="AN19" s="775">
        <v>0</v>
      </c>
      <c r="AO19" s="775">
        <v>0</v>
      </c>
      <c r="AP19" s="775">
        <v>0</v>
      </c>
      <c r="AQ19" s="775">
        <v>0</v>
      </c>
      <c r="AR19" s="775">
        <v>0</v>
      </c>
      <c r="AS19" s="775">
        <v>0</v>
      </c>
      <c r="AT19" s="752">
        <v>0</v>
      </c>
      <c r="AW19" s="783">
        <f t="shared" si="0"/>
        <v>0</v>
      </c>
      <c r="AX19" s="784">
        <f t="shared" si="0"/>
        <v>0</v>
      </c>
      <c r="AY19" s="784">
        <f t="shared" si="0"/>
        <v>0</v>
      </c>
      <c r="AZ19" s="784">
        <f t="shared" si="0"/>
        <v>0</v>
      </c>
      <c r="BA19" s="784">
        <f t="shared" si="0"/>
        <v>0</v>
      </c>
      <c r="BB19" s="784">
        <f t="shared" si="0"/>
        <v>-9.765625E-2</v>
      </c>
      <c r="BC19" s="784">
        <f t="shared" si="0"/>
        <v>0</v>
      </c>
      <c r="BD19" s="784">
        <f t="shared" si="0"/>
        <v>0</v>
      </c>
      <c r="BE19" s="784">
        <f t="shared" si="0"/>
        <v>0</v>
      </c>
      <c r="BF19" s="784">
        <f t="shared" si="0"/>
        <v>0</v>
      </c>
      <c r="BG19" s="784">
        <f t="shared" si="0"/>
        <v>0</v>
      </c>
      <c r="BH19" s="784">
        <f t="shared" si="0"/>
        <v>0</v>
      </c>
      <c r="BI19" s="784">
        <f t="shared" si="0"/>
        <v>0</v>
      </c>
      <c r="BJ19" s="784">
        <f t="shared" si="0"/>
        <v>0</v>
      </c>
      <c r="BK19" s="784">
        <f t="shared" si="0"/>
        <v>0</v>
      </c>
      <c r="BL19" s="784">
        <f t="shared" si="0"/>
        <v>0</v>
      </c>
      <c r="BM19" s="784">
        <f t="shared" si="1"/>
        <v>0</v>
      </c>
      <c r="BN19" s="784">
        <f t="shared" si="1"/>
        <v>0</v>
      </c>
      <c r="BO19" s="784">
        <f t="shared" si="1"/>
        <v>0</v>
      </c>
      <c r="BP19" s="784">
        <f t="shared" si="1"/>
        <v>0</v>
      </c>
      <c r="BQ19" s="785">
        <f t="shared" si="1"/>
        <v>0</v>
      </c>
      <c r="BR19" s="553" t="str">
        <f t="array" ref="BR19">IF(MAX(ABS(AW19:BQ19))&gt;$BR$4,"EXPLAIN","")</f>
        <v/>
      </c>
    </row>
    <row r="20" spans="1:70">
      <c r="A20" s="790"/>
      <c r="B20" s="765" t="s">
        <v>720</v>
      </c>
      <c r="C20" s="765" t="str">
        <f>Prop2018DistTar!B20</f>
        <v>Hot Water Interval</v>
      </c>
      <c r="D20" s="735">
        <f>SUM(Prop2018DistTar!D20,Prop2018TransTar!D20,Prop2018JSTar!D20)</f>
        <v>0</v>
      </c>
      <c r="E20" s="771">
        <f>SUM(Prop2018DistTar!E20,Prop2018TransTar!E20,Prop2018JSTar!E20)</f>
        <v>0</v>
      </c>
      <c r="F20" s="771">
        <f>SUM(Prop2018DistTar!F20,Prop2018TransTar!F20,Prop2018JSTar!F20)</f>
        <v>0</v>
      </c>
      <c r="G20" s="771">
        <f>SUM(Prop2018DistTar!G20,Prop2018TransTar!G20,Prop2018JSTar!G20)</f>
        <v>0</v>
      </c>
      <c r="H20" s="771">
        <f>SUM(Prop2018DistTar!H20,Prop2018TransTar!H20,Prop2018JSTar!H20)</f>
        <v>0</v>
      </c>
      <c r="I20" s="771">
        <f>SUM(Prop2018DistTar!I20,Prop2018TransTar!I20,Prop2018JSTar!I20)</f>
        <v>2.31</v>
      </c>
      <c r="J20" s="771">
        <f>SUM(Prop2018DistTar!J20,Prop2018TransTar!J20,Prop2018JSTar!J20)</f>
        <v>0</v>
      </c>
      <c r="K20" s="771">
        <f>SUM(Prop2018DistTar!K20,Prop2018TransTar!K20,Prop2018JSTar!K20)</f>
        <v>0</v>
      </c>
      <c r="L20" s="771">
        <f>SUM(Prop2018DistTar!L20,Prop2018TransTar!L20,Prop2018JSTar!L20)</f>
        <v>0</v>
      </c>
      <c r="M20" s="771">
        <f>SUM(Prop2018DistTar!M20,Prop2018TransTar!M20,Prop2018JSTar!M20)</f>
        <v>0</v>
      </c>
      <c r="N20" s="771">
        <f>SUM(Prop2018DistTar!N20,Prop2018TransTar!N20,Prop2018JSTar!N20)</f>
        <v>0</v>
      </c>
      <c r="O20" s="771">
        <f>SUM(Prop2018DistTar!O20,Prop2018TransTar!O20,Prop2018JSTar!O20)</f>
        <v>0</v>
      </c>
      <c r="P20" s="771">
        <f>SUM(Prop2018DistTar!P20,Prop2018TransTar!P20,Prop2018JSTar!P20)</f>
        <v>0</v>
      </c>
      <c r="Q20" s="771">
        <f>SUM(Prop2018DistTar!Q20,Prop2018TransTar!Q20,Prop2018JSTar!Q20)</f>
        <v>0</v>
      </c>
      <c r="R20" s="771">
        <f>SUM(Prop2018DistTar!R20,Prop2018TransTar!R20,Prop2018JSTar!R20)</f>
        <v>0</v>
      </c>
      <c r="S20" s="771">
        <f>SUM(Prop2018DistTar!S20,Prop2018TransTar!S20,Prop2018JSTar!S20)</f>
        <v>0</v>
      </c>
      <c r="T20" s="771">
        <f>SUM(Prop2018DistTar!T20,Prop2018TransTar!T20,Prop2018JSTar!T20)</f>
        <v>0</v>
      </c>
      <c r="U20" s="771">
        <f>SUM(Prop2018DistTar!U20,Prop2018TransTar!U20,Prop2018JSTar!U20)</f>
        <v>0</v>
      </c>
      <c r="V20" s="771">
        <f>SUM(Prop2018DistTar!V20,Prop2018TransTar!V20,Prop2018JSTar!V20)</f>
        <v>0</v>
      </c>
      <c r="W20" s="771">
        <f>SUM(Prop2018DistTar!W20,Prop2018TransTar!W20,Prop2018JSTar!W20)</f>
        <v>0</v>
      </c>
      <c r="X20" s="772">
        <f>SUM(Prop2018DistTar!X20,Prop2018TransTar!X20,Prop2018JSTar!X20)</f>
        <v>0</v>
      </c>
      <c r="Z20" s="750">
        <v>0</v>
      </c>
      <c r="AA20" s="775">
        <v>0</v>
      </c>
      <c r="AB20" s="775">
        <v>0</v>
      </c>
      <c r="AC20" s="775">
        <v>0</v>
      </c>
      <c r="AD20" s="775">
        <v>0</v>
      </c>
      <c r="AE20" s="775">
        <v>2.56</v>
      </c>
      <c r="AF20" s="775">
        <v>0</v>
      </c>
      <c r="AG20" s="775">
        <v>0</v>
      </c>
      <c r="AH20" s="775">
        <v>0</v>
      </c>
      <c r="AI20" s="775">
        <v>0</v>
      </c>
      <c r="AJ20" s="775">
        <v>0</v>
      </c>
      <c r="AK20" s="775">
        <v>0</v>
      </c>
      <c r="AL20" s="775">
        <v>0</v>
      </c>
      <c r="AM20" s="775">
        <v>0</v>
      </c>
      <c r="AN20" s="775">
        <v>0</v>
      </c>
      <c r="AO20" s="775">
        <v>0</v>
      </c>
      <c r="AP20" s="775">
        <v>0</v>
      </c>
      <c r="AQ20" s="775">
        <v>0</v>
      </c>
      <c r="AR20" s="775">
        <v>0</v>
      </c>
      <c r="AS20" s="775">
        <v>0</v>
      </c>
      <c r="AT20" s="752">
        <v>0</v>
      </c>
      <c r="AW20" s="783">
        <f t="shared" si="0"/>
        <v>0</v>
      </c>
      <c r="AX20" s="784">
        <f t="shared" si="0"/>
        <v>0</v>
      </c>
      <c r="AY20" s="784">
        <f t="shared" si="0"/>
        <v>0</v>
      </c>
      <c r="AZ20" s="784">
        <f t="shared" si="0"/>
        <v>0</v>
      </c>
      <c r="BA20" s="784">
        <f t="shared" si="0"/>
        <v>0</v>
      </c>
      <c r="BB20" s="784">
        <f t="shared" si="0"/>
        <v>-9.765625E-2</v>
      </c>
      <c r="BC20" s="784">
        <f t="shared" si="0"/>
        <v>0</v>
      </c>
      <c r="BD20" s="784">
        <f t="shared" si="0"/>
        <v>0</v>
      </c>
      <c r="BE20" s="784">
        <f t="shared" si="0"/>
        <v>0</v>
      </c>
      <c r="BF20" s="784">
        <f t="shared" si="0"/>
        <v>0</v>
      </c>
      <c r="BG20" s="784">
        <f t="shared" si="0"/>
        <v>0</v>
      </c>
      <c r="BH20" s="784">
        <f t="shared" si="0"/>
        <v>0</v>
      </c>
      <c r="BI20" s="784">
        <f t="shared" si="0"/>
        <v>0</v>
      </c>
      <c r="BJ20" s="784">
        <f t="shared" si="0"/>
        <v>0</v>
      </c>
      <c r="BK20" s="784">
        <f t="shared" si="0"/>
        <v>0</v>
      </c>
      <c r="BL20" s="784">
        <f t="shared" si="0"/>
        <v>0</v>
      </c>
      <c r="BM20" s="784">
        <f t="shared" si="1"/>
        <v>0</v>
      </c>
      <c r="BN20" s="784">
        <f t="shared" si="1"/>
        <v>0</v>
      </c>
      <c r="BO20" s="784">
        <f t="shared" si="1"/>
        <v>0</v>
      </c>
      <c r="BP20" s="784">
        <f t="shared" si="1"/>
        <v>0</v>
      </c>
      <c r="BQ20" s="785">
        <f t="shared" si="1"/>
        <v>0</v>
      </c>
      <c r="BR20" s="553" t="str">
        <f t="array" ref="BR20">IF(MAX(ABS(AW20:BQ20))&gt;$BR$4,"EXPLAIN","")</f>
        <v/>
      </c>
    </row>
    <row r="21" spans="1:70">
      <c r="A21" s="790"/>
      <c r="B21" s="765" t="s">
        <v>721</v>
      </c>
      <c r="C21" s="765" t="str">
        <f>Prop2018DistTar!B21</f>
        <v>Residential Demand</v>
      </c>
      <c r="D21" s="735">
        <f>SUM(Prop2018DistTar!D21,Prop2018TransTar!D21,Prop2018JSTar!D21)</f>
        <v>125</v>
      </c>
      <c r="E21" s="771">
        <f>SUM(Prop2018DistTar!E21,Prop2018TransTar!E21,Prop2018JSTar!E21)</f>
        <v>3.37</v>
      </c>
      <c r="F21" s="771">
        <f>SUM(Prop2018DistTar!F21,Prop2018TransTar!F21,Prop2018JSTar!F21)</f>
        <v>0</v>
      </c>
      <c r="G21" s="771">
        <f>SUM(Prop2018DistTar!G21,Prop2018TransTar!G21,Prop2018JSTar!G21)</f>
        <v>0</v>
      </c>
      <c r="H21" s="771">
        <f>SUM(Prop2018DistTar!H21,Prop2018TransTar!H21,Prop2018JSTar!H21)</f>
        <v>0</v>
      </c>
      <c r="I21" s="771">
        <f>SUM(Prop2018DistTar!I21,Prop2018TransTar!I21,Prop2018JSTar!I21)</f>
        <v>0</v>
      </c>
      <c r="J21" s="771">
        <f>SUM(Prop2018DistTar!J21,Prop2018TransTar!J21,Prop2018JSTar!J21)</f>
        <v>0</v>
      </c>
      <c r="K21" s="771">
        <f>SUM(Prop2018DistTar!K21,Prop2018TransTar!K21,Prop2018JSTar!K21)</f>
        <v>0</v>
      </c>
      <c r="L21" s="771">
        <f>SUM(Prop2018DistTar!L21,Prop2018TransTar!L21,Prop2018JSTar!L21)</f>
        <v>0</v>
      </c>
      <c r="M21" s="771">
        <f>SUM(Prop2018DistTar!M21,Prop2018TransTar!M21,Prop2018JSTar!M21)</f>
        <v>0</v>
      </c>
      <c r="N21" s="771">
        <f>SUM(Prop2018DistTar!N21,Prop2018TransTar!N21,Prop2018JSTar!N21)</f>
        <v>0</v>
      </c>
      <c r="O21" s="771">
        <f>SUM(Prop2018DistTar!O21,Prop2018TransTar!O21,Prop2018JSTar!O21)</f>
        <v>9.9700000000000006</v>
      </c>
      <c r="P21" s="771">
        <f>SUM(Prop2018DistTar!P21,Prop2018TransTar!P21,Prop2018JSTar!P21)</f>
        <v>3.33</v>
      </c>
      <c r="Q21" s="771">
        <f>SUM(Prop2018DistTar!Q21,Prop2018TransTar!Q21,Prop2018JSTar!Q21)</f>
        <v>0</v>
      </c>
      <c r="R21" s="771">
        <f>SUM(Prop2018DistTar!R21,Prop2018TransTar!R21,Prop2018JSTar!R21)</f>
        <v>0</v>
      </c>
      <c r="S21" s="771">
        <f>SUM(Prop2018DistTar!S21,Prop2018TransTar!S21,Prop2018JSTar!S21)</f>
        <v>0</v>
      </c>
      <c r="T21" s="771">
        <f>SUM(Prop2018DistTar!T21,Prop2018TransTar!T21,Prop2018JSTar!T21)</f>
        <v>0</v>
      </c>
      <c r="U21" s="771">
        <f>SUM(Prop2018DistTar!U21,Prop2018TransTar!U21,Prop2018JSTar!U21)</f>
        <v>0</v>
      </c>
      <c r="V21" s="771">
        <f>SUM(Prop2018DistTar!V21,Prop2018TransTar!V21,Prop2018JSTar!V21)</f>
        <v>0</v>
      </c>
      <c r="W21" s="771">
        <f>SUM(Prop2018DistTar!W21,Prop2018TransTar!W21,Prop2018JSTar!W21)</f>
        <v>0</v>
      </c>
      <c r="X21" s="772">
        <f>SUM(Prop2018DistTar!X21,Prop2018TransTar!X21,Prop2018JSTar!X21)</f>
        <v>0</v>
      </c>
      <c r="Z21" s="750">
        <v>135</v>
      </c>
      <c r="AA21" s="775">
        <v>3.72</v>
      </c>
      <c r="AB21" s="775">
        <v>0</v>
      </c>
      <c r="AC21" s="775">
        <v>0</v>
      </c>
      <c r="AD21" s="775">
        <v>0</v>
      </c>
      <c r="AE21" s="775">
        <v>0</v>
      </c>
      <c r="AF21" s="775">
        <v>0</v>
      </c>
      <c r="AG21" s="775">
        <v>0</v>
      </c>
      <c r="AH21" s="775">
        <v>0</v>
      </c>
      <c r="AI21" s="775">
        <v>0</v>
      </c>
      <c r="AJ21" s="775">
        <v>0</v>
      </c>
      <c r="AK21" s="775">
        <v>11.03</v>
      </c>
      <c r="AL21" s="775">
        <v>3.68</v>
      </c>
      <c r="AM21" s="775">
        <v>0</v>
      </c>
      <c r="AN21" s="775">
        <v>0</v>
      </c>
      <c r="AO21" s="775">
        <v>0</v>
      </c>
      <c r="AP21" s="775">
        <v>0</v>
      </c>
      <c r="AQ21" s="775">
        <v>0</v>
      </c>
      <c r="AR21" s="775">
        <v>0</v>
      </c>
      <c r="AS21" s="775">
        <v>0</v>
      </c>
      <c r="AT21" s="752">
        <v>0</v>
      </c>
      <c r="AW21" s="783">
        <f t="shared" si="0"/>
        <v>-7.407407407407407E-2</v>
      </c>
      <c r="AX21" s="784">
        <f t="shared" si="0"/>
        <v>-9.4086021505376372E-2</v>
      </c>
      <c r="AY21" s="784">
        <f t="shared" si="0"/>
        <v>0</v>
      </c>
      <c r="AZ21" s="784">
        <f t="shared" si="0"/>
        <v>0</v>
      </c>
      <c r="BA21" s="784">
        <f t="shared" si="0"/>
        <v>0</v>
      </c>
      <c r="BB21" s="784">
        <f t="shared" si="0"/>
        <v>0</v>
      </c>
      <c r="BC21" s="784">
        <f t="shared" si="0"/>
        <v>0</v>
      </c>
      <c r="BD21" s="784">
        <f t="shared" si="0"/>
        <v>0</v>
      </c>
      <c r="BE21" s="784">
        <f t="shared" si="0"/>
        <v>0</v>
      </c>
      <c r="BF21" s="784">
        <f t="shared" si="0"/>
        <v>0</v>
      </c>
      <c r="BG21" s="784">
        <f t="shared" si="0"/>
        <v>0</v>
      </c>
      <c r="BH21" s="784">
        <f t="shared" si="0"/>
        <v>-9.6101541251133127E-2</v>
      </c>
      <c r="BI21" s="784">
        <f t="shared" si="0"/>
        <v>-9.5108695652173947E-2</v>
      </c>
      <c r="BJ21" s="784">
        <f t="shared" si="0"/>
        <v>0</v>
      </c>
      <c r="BK21" s="784">
        <f t="shared" si="0"/>
        <v>0</v>
      </c>
      <c r="BL21" s="784">
        <f t="shared" ref="BL21:BQ52" si="2">IFERROR(S21/AO21-1,0)</f>
        <v>0</v>
      </c>
      <c r="BM21" s="784">
        <f t="shared" si="1"/>
        <v>0</v>
      </c>
      <c r="BN21" s="784">
        <f t="shared" si="1"/>
        <v>0</v>
      </c>
      <c r="BO21" s="784">
        <f t="shared" si="1"/>
        <v>0</v>
      </c>
      <c r="BP21" s="784">
        <f t="shared" si="1"/>
        <v>0</v>
      </c>
      <c r="BQ21" s="785">
        <f t="shared" si="1"/>
        <v>0</v>
      </c>
      <c r="BR21" s="553" t="str">
        <f t="array" ref="BR21">IF(MAX(ABS(AW21:BQ21))&gt;$BR$4,"EXPLAIN","")</f>
        <v/>
      </c>
    </row>
    <row r="22" spans="1:70">
      <c r="A22" s="790"/>
      <c r="B22" s="765" t="s">
        <v>719</v>
      </c>
      <c r="C22" s="765" t="str">
        <f>Prop2018DistTar!B22</f>
        <v>Newstead Residential Trial</v>
      </c>
      <c r="D22" s="735">
        <f>SUM(Prop2018DistTar!D22,Prop2018TransTar!D22,Prop2018JSTar!D22)</f>
        <v>360</v>
      </c>
      <c r="E22" s="771">
        <f>SUM(Prop2018DistTar!E22,Prop2018TransTar!E22,Prop2018JSTar!E22)</f>
        <v>0</v>
      </c>
      <c r="F22" s="771">
        <f>SUM(Prop2018DistTar!F22,Prop2018TransTar!F22,Prop2018JSTar!F22)</f>
        <v>0</v>
      </c>
      <c r="G22" s="771">
        <f>SUM(Prop2018DistTar!G22,Prop2018TransTar!G22,Prop2018JSTar!G22)</f>
        <v>0</v>
      </c>
      <c r="H22" s="771">
        <f>SUM(Prop2018DistTar!H22,Prop2018TransTar!H22,Prop2018JSTar!H22)</f>
        <v>0</v>
      </c>
      <c r="I22" s="771">
        <f>SUM(Prop2018DistTar!I22,Prop2018TransTar!I22,Prop2018JSTar!I22)</f>
        <v>0</v>
      </c>
      <c r="J22" s="771">
        <f>SUM(Prop2018DistTar!J22,Prop2018TransTar!J22,Prop2018JSTar!J22)</f>
        <v>0</v>
      </c>
      <c r="K22" s="771">
        <f>SUM(Prop2018DistTar!K22,Prop2018TransTar!K22,Prop2018JSTar!K22)</f>
        <v>0</v>
      </c>
      <c r="L22" s="771">
        <f>SUM(Prop2018DistTar!L22,Prop2018TransTar!L22,Prop2018JSTar!L22)</f>
        <v>0</v>
      </c>
      <c r="M22" s="771">
        <f>SUM(Prop2018DistTar!M22,Prop2018TransTar!M22,Prop2018JSTar!M22)</f>
        <v>0</v>
      </c>
      <c r="N22" s="771">
        <f>SUM(Prop2018DistTar!N22,Prop2018TransTar!N22,Prop2018JSTar!N22)</f>
        <v>0</v>
      </c>
      <c r="O22" s="771">
        <f>SUM(Prop2018DistTar!O22,Prop2018TransTar!O22,Prop2018JSTar!O22)</f>
        <v>2</v>
      </c>
      <c r="P22" s="771">
        <f>SUM(Prop2018DistTar!P22,Prop2018TransTar!P22,Prop2018JSTar!P22)</f>
        <v>2</v>
      </c>
      <c r="Q22" s="771">
        <f>SUM(Prop2018DistTar!Q22,Prop2018TransTar!Q22,Prop2018JSTar!Q22)</f>
        <v>0</v>
      </c>
      <c r="R22" s="771">
        <f>SUM(Prop2018DistTar!R22,Prop2018TransTar!R22,Prop2018JSTar!R22)</f>
        <v>0</v>
      </c>
      <c r="S22" s="771">
        <f>SUM(Prop2018DistTar!S22,Prop2018TransTar!S22,Prop2018JSTar!S22)</f>
        <v>0</v>
      </c>
      <c r="T22" s="771">
        <f>SUM(Prop2018DistTar!T22,Prop2018TransTar!T22,Prop2018JSTar!T22)</f>
        <v>0</v>
      </c>
      <c r="U22" s="771">
        <f>SUM(Prop2018DistTar!U22,Prop2018TransTar!U22,Prop2018JSTar!U22)</f>
        <v>0</v>
      </c>
      <c r="V22" s="771">
        <f>SUM(Prop2018DistTar!V22,Prop2018TransTar!V22,Prop2018JSTar!V22)</f>
        <v>0</v>
      </c>
      <c r="W22" s="771">
        <f>SUM(Prop2018DistTar!W22,Prop2018TransTar!W22,Prop2018JSTar!W22)</f>
        <v>0</v>
      </c>
      <c r="X22" s="772">
        <f>SUM(Prop2018DistTar!X22,Prop2018TransTar!X22,Prop2018JSTar!X22)</f>
        <v>0</v>
      </c>
      <c r="Z22" s="750">
        <v>0</v>
      </c>
      <c r="AA22" s="775">
        <v>0</v>
      </c>
      <c r="AB22" s="775">
        <v>0</v>
      </c>
      <c r="AC22" s="775">
        <v>0</v>
      </c>
      <c r="AD22" s="775">
        <v>0</v>
      </c>
      <c r="AE22" s="775">
        <v>0</v>
      </c>
      <c r="AF22" s="775">
        <v>0</v>
      </c>
      <c r="AG22" s="775">
        <v>0</v>
      </c>
      <c r="AH22" s="775">
        <v>0</v>
      </c>
      <c r="AI22" s="775">
        <v>0</v>
      </c>
      <c r="AJ22" s="775">
        <v>0</v>
      </c>
      <c r="AK22" s="775">
        <v>0</v>
      </c>
      <c r="AL22" s="775">
        <v>0</v>
      </c>
      <c r="AM22" s="775">
        <v>0</v>
      </c>
      <c r="AN22" s="775">
        <v>0</v>
      </c>
      <c r="AO22" s="775">
        <v>0</v>
      </c>
      <c r="AP22" s="775">
        <v>0</v>
      </c>
      <c r="AQ22" s="775">
        <v>0</v>
      </c>
      <c r="AR22" s="775">
        <v>0</v>
      </c>
      <c r="AS22" s="775">
        <v>0</v>
      </c>
      <c r="AT22" s="752">
        <v>0</v>
      </c>
      <c r="AW22" s="783">
        <f t="shared" ref="AW22:BK38" si="3">IFERROR(D22/Z22-1,0)</f>
        <v>0</v>
      </c>
      <c r="AX22" s="784">
        <f t="shared" si="3"/>
        <v>0</v>
      </c>
      <c r="AY22" s="784">
        <f t="shared" si="3"/>
        <v>0</v>
      </c>
      <c r="AZ22" s="784">
        <f t="shared" si="3"/>
        <v>0</v>
      </c>
      <c r="BA22" s="784">
        <f t="shared" si="3"/>
        <v>0</v>
      </c>
      <c r="BB22" s="784">
        <f t="shared" si="3"/>
        <v>0</v>
      </c>
      <c r="BC22" s="784">
        <f t="shared" si="3"/>
        <v>0</v>
      </c>
      <c r="BD22" s="784">
        <f t="shared" si="3"/>
        <v>0</v>
      </c>
      <c r="BE22" s="784">
        <f t="shared" si="3"/>
        <v>0</v>
      </c>
      <c r="BF22" s="784">
        <f t="shared" si="3"/>
        <v>0</v>
      </c>
      <c r="BG22" s="784">
        <f t="shared" si="3"/>
        <v>0</v>
      </c>
      <c r="BH22" s="784">
        <f t="shared" si="3"/>
        <v>0</v>
      </c>
      <c r="BI22" s="784">
        <f t="shared" si="3"/>
        <v>0</v>
      </c>
      <c r="BJ22" s="784">
        <f t="shared" si="3"/>
        <v>0</v>
      </c>
      <c r="BK22" s="784">
        <f t="shared" si="3"/>
        <v>0</v>
      </c>
      <c r="BL22" s="784">
        <f t="shared" si="2"/>
        <v>0</v>
      </c>
      <c r="BM22" s="784">
        <f t="shared" si="1"/>
        <v>0</v>
      </c>
      <c r="BN22" s="784">
        <f t="shared" si="1"/>
        <v>0</v>
      </c>
      <c r="BO22" s="784">
        <f t="shared" si="1"/>
        <v>0</v>
      </c>
      <c r="BP22" s="784">
        <f t="shared" si="1"/>
        <v>0</v>
      </c>
      <c r="BQ22" s="785">
        <f t="shared" si="1"/>
        <v>0</v>
      </c>
      <c r="BR22" s="553" t="str">
        <f t="array" ref="BR22">IF(MAX(ABS(AW22:BQ22))&gt;$BR$4,"EXPLAIN","")</f>
        <v/>
      </c>
    </row>
    <row r="23" spans="1:70">
      <c r="A23" s="790"/>
      <c r="B23" s="765" t="s">
        <v>722</v>
      </c>
      <c r="C23" s="765" t="str">
        <f>Prop2018DistTar!B23</f>
        <v>Non-Residential Single Rate</v>
      </c>
      <c r="D23" s="735">
        <f>SUM(Prop2018DistTar!D23,Prop2018TransTar!D23,Prop2018JSTar!D23)</f>
        <v>160</v>
      </c>
      <c r="E23" s="771">
        <f>SUM(Prop2018DistTar!E23,Prop2018TransTar!E23,Prop2018JSTar!E23)</f>
        <v>7.9700000000000006</v>
      </c>
      <c r="F23" s="771">
        <f>SUM(Prop2018DistTar!F23,Prop2018TransTar!F23,Prop2018JSTar!F23)</f>
        <v>0</v>
      </c>
      <c r="G23" s="771">
        <f>SUM(Prop2018DistTar!G23,Prop2018TransTar!G23,Prop2018JSTar!G23)</f>
        <v>0</v>
      </c>
      <c r="H23" s="771">
        <f>SUM(Prop2018DistTar!H23,Prop2018TransTar!H23,Prop2018JSTar!H23)</f>
        <v>0</v>
      </c>
      <c r="I23" s="771">
        <f>SUM(Prop2018DistTar!I23,Prop2018TransTar!I23,Prop2018JSTar!I23)</f>
        <v>0</v>
      </c>
      <c r="J23" s="771">
        <f>SUM(Prop2018DistTar!J23,Prop2018TransTar!J23,Prop2018JSTar!J23)</f>
        <v>0</v>
      </c>
      <c r="K23" s="771">
        <f>SUM(Prop2018DistTar!K23,Prop2018TransTar!K23,Prop2018JSTar!K23)</f>
        <v>0</v>
      </c>
      <c r="L23" s="771">
        <f>SUM(Prop2018DistTar!L23,Prop2018TransTar!L23,Prop2018JSTar!L23)</f>
        <v>0</v>
      </c>
      <c r="M23" s="771">
        <f>SUM(Prop2018DistTar!M23,Prop2018TransTar!M23,Prop2018JSTar!M23)</f>
        <v>0</v>
      </c>
      <c r="N23" s="771">
        <f>SUM(Prop2018DistTar!N23,Prop2018TransTar!N23,Prop2018JSTar!N23)</f>
        <v>0</v>
      </c>
      <c r="O23" s="771">
        <f>SUM(Prop2018DistTar!O23,Prop2018TransTar!O23,Prop2018JSTar!O23)</f>
        <v>0</v>
      </c>
      <c r="P23" s="771">
        <f>SUM(Prop2018DistTar!P23,Prop2018TransTar!P23,Prop2018JSTar!P23)</f>
        <v>0</v>
      </c>
      <c r="Q23" s="771">
        <f>SUM(Prop2018DistTar!Q23,Prop2018TransTar!Q23,Prop2018JSTar!Q23)</f>
        <v>0</v>
      </c>
      <c r="R23" s="771">
        <f>SUM(Prop2018DistTar!R23,Prop2018TransTar!R23,Prop2018JSTar!R23)</f>
        <v>0</v>
      </c>
      <c r="S23" s="771">
        <f>SUM(Prop2018DistTar!S23,Prop2018TransTar!S23,Prop2018JSTar!S23)</f>
        <v>0</v>
      </c>
      <c r="T23" s="771">
        <f>SUM(Prop2018DistTar!T23,Prop2018TransTar!T23,Prop2018JSTar!T23)</f>
        <v>0</v>
      </c>
      <c r="U23" s="771">
        <f>SUM(Prop2018DistTar!U23,Prop2018TransTar!U23,Prop2018JSTar!U23)</f>
        <v>0</v>
      </c>
      <c r="V23" s="771">
        <f>SUM(Prop2018DistTar!V23,Prop2018TransTar!V23,Prop2018JSTar!V23)</f>
        <v>0</v>
      </c>
      <c r="W23" s="771">
        <f>SUM(Prop2018DistTar!W23,Prop2018TransTar!W23,Prop2018JSTar!W23)</f>
        <v>0</v>
      </c>
      <c r="X23" s="772">
        <f>SUM(Prop2018DistTar!X23,Prop2018TransTar!X23,Prop2018JSTar!X23)</f>
        <v>0</v>
      </c>
      <c r="Z23" s="750">
        <v>170</v>
      </c>
      <c r="AA23" s="775">
        <v>8.6300000000000008</v>
      </c>
      <c r="AB23" s="775">
        <v>0</v>
      </c>
      <c r="AC23" s="775">
        <v>0</v>
      </c>
      <c r="AD23" s="775">
        <v>0</v>
      </c>
      <c r="AE23" s="775">
        <v>0</v>
      </c>
      <c r="AF23" s="775">
        <v>0</v>
      </c>
      <c r="AG23" s="775">
        <v>0</v>
      </c>
      <c r="AH23" s="775">
        <v>0</v>
      </c>
      <c r="AI23" s="775">
        <v>0</v>
      </c>
      <c r="AJ23" s="775">
        <v>0</v>
      </c>
      <c r="AK23" s="775">
        <v>0</v>
      </c>
      <c r="AL23" s="775">
        <v>0</v>
      </c>
      <c r="AM23" s="775">
        <v>0</v>
      </c>
      <c r="AN23" s="775">
        <v>0</v>
      </c>
      <c r="AO23" s="775">
        <v>0</v>
      </c>
      <c r="AP23" s="775">
        <v>0</v>
      </c>
      <c r="AQ23" s="775">
        <v>0</v>
      </c>
      <c r="AR23" s="775">
        <v>0</v>
      </c>
      <c r="AS23" s="775">
        <v>0</v>
      </c>
      <c r="AT23" s="752">
        <v>0</v>
      </c>
      <c r="AW23" s="783">
        <f t="shared" si="3"/>
        <v>-5.8823529411764719E-2</v>
      </c>
      <c r="AX23" s="784">
        <f t="shared" si="3"/>
        <v>-7.6477404403244464E-2</v>
      </c>
      <c r="AY23" s="784">
        <f t="shared" si="3"/>
        <v>0</v>
      </c>
      <c r="AZ23" s="784">
        <f t="shared" si="3"/>
        <v>0</v>
      </c>
      <c r="BA23" s="784">
        <f t="shared" si="3"/>
        <v>0</v>
      </c>
      <c r="BB23" s="784">
        <f t="shared" si="3"/>
        <v>0</v>
      </c>
      <c r="BC23" s="784">
        <f t="shared" si="3"/>
        <v>0</v>
      </c>
      <c r="BD23" s="784">
        <f t="shared" si="3"/>
        <v>0</v>
      </c>
      <c r="BE23" s="784">
        <f t="shared" si="3"/>
        <v>0</v>
      </c>
      <c r="BF23" s="784">
        <f t="shared" si="3"/>
        <v>0</v>
      </c>
      <c r="BG23" s="784">
        <f t="shared" si="3"/>
        <v>0</v>
      </c>
      <c r="BH23" s="784">
        <f t="shared" si="3"/>
        <v>0</v>
      </c>
      <c r="BI23" s="784">
        <f t="shared" si="3"/>
        <v>0</v>
      </c>
      <c r="BJ23" s="784">
        <f t="shared" si="3"/>
        <v>0</v>
      </c>
      <c r="BK23" s="784">
        <f t="shared" si="3"/>
        <v>0</v>
      </c>
      <c r="BL23" s="784">
        <f t="shared" si="2"/>
        <v>0</v>
      </c>
      <c r="BM23" s="784">
        <f t="shared" si="1"/>
        <v>0</v>
      </c>
      <c r="BN23" s="784">
        <f t="shared" si="1"/>
        <v>0</v>
      </c>
      <c r="BO23" s="784">
        <f t="shared" si="1"/>
        <v>0</v>
      </c>
      <c r="BP23" s="784">
        <f t="shared" si="1"/>
        <v>0</v>
      </c>
      <c r="BQ23" s="785">
        <f t="shared" si="1"/>
        <v>0</v>
      </c>
      <c r="BR23" s="553" t="str">
        <f t="array" ref="BR23">IF(MAX(ABS(AW23:BQ23))&gt;$BR$4,"EXPLAIN","")</f>
        <v/>
      </c>
    </row>
    <row r="24" spans="1:70">
      <c r="A24" s="790"/>
      <c r="B24" s="765" t="s">
        <v>724</v>
      </c>
      <c r="C24" s="765" t="str">
        <f>Prop2018DistTar!B24</f>
        <v>Non-Residential Flexible Pricing</v>
      </c>
      <c r="D24" s="735">
        <f>SUM(Prop2018DistTar!D24,Prop2018TransTar!D24,Prop2018JSTar!D24)</f>
        <v>160</v>
      </c>
      <c r="E24" s="771">
        <f>SUM(Prop2018DistTar!E24,Prop2018TransTar!E24,Prop2018JSTar!E24)</f>
        <v>0</v>
      </c>
      <c r="F24" s="771">
        <f>SUM(Prop2018DistTar!F24,Prop2018TransTar!F24,Prop2018JSTar!F24)</f>
        <v>0</v>
      </c>
      <c r="G24" s="771">
        <f>SUM(Prop2018DistTar!G24,Prop2018TransTar!G24,Prop2018JSTar!G24)</f>
        <v>0</v>
      </c>
      <c r="H24" s="771">
        <f>SUM(Prop2018DistTar!H24,Prop2018TransTar!H24,Prop2018JSTar!H24)</f>
        <v>0</v>
      </c>
      <c r="I24" s="771">
        <f>SUM(Prop2018DistTar!I24,Prop2018TransTar!I24,Prop2018JSTar!I24)</f>
        <v>0</v>
      </c>
      <c r="J24" s="771">
        <f>SUM(Prop2018DistTar!J24,Prop2018TransTar!J24,Prop2018JSTar!J24)</f>
        <v>0</v>
      </c>
      <c r="K24" s="771">
        <f>SUM(Prop2018DistTar!K24,Prop2018TransTar!K24,Prop2018JSTar!K24)</f>
        <v>0</v>
      </c>
      <c r="L24" s="771">
        <f>SUM(Prop2018DistTar!L24,Prop2018TransTar!L24,Prop2018JSTar!L24)</f>
        <v>0</v>
      </c>
      <c r="M24" s="771">
        <f>SUM(Prop2018DistTar!M24,Prop2018TransTar!M24,Prop2018JSTar!M24)</f>
        <v>0</v>
      </c>
      <c r="N24" s="771">
        <f>SUM(Prop2018DistTar!N24,Prop2018TransTar!N24,Prop2018JSTar!N24)</f>
        <v>0</v>
      </c>
      <c r="O24" s="771">
        <f>SUM(Prop2018DistTar!O24,Prop2018TransTar!O24,Prop2018JSTar!O24)</f>
        <v>0</v>
      </c>
      <c r="P24" s="771">
        <f>SUM(Prop2018DistTar!P24,Prop2018TransTar!P24,Prop2018JSTar!P24)</f>
        <v>0</v>
      </c>
      <c r="Q24" s="771">
        <f>SUM(Prop2018DistTar!Q24,Prop2018TransTar!Q24,Prop2018JSTar!Q24)</f>
        <v>12.709999999999999</v>
      </c>
      <c r="R24" s="771">
        <f>SUM(Prop2018DistTar!R24,Prop2018TransTar!R24,Prop2018JSTar!R24)</f>
        <v>4.21</v>
      </c>
      <c r="S24" s="771">
        <f>SUM(Prop2018DistTar!S24,Prop2018TransTar!S24,Prop2018JSTar!S24)</f>
        <v>3.3</v>
      </c>
      <c r="T24" s="771">
        <f>SUM(Prop2018DistTar!T24,Prop2018TransTar!T24,Prop2018JSTar!T24)</f>
        <v>0</v>
      </c>
      <c r="U24" s="771">
        <f>SUM(Prop2018DistTar!U24,Prop2018TransTar!U24,Prop2018JSTar!U24)</f>
        <v>12.709999999999999</v>
      </c>
      <c r="V24" s="771">
        <f>SUM(Prop2018DistTar!V24,Prop2018TransTar!V24,Prop2018JSTar!V24)</f>
        <v>4.21</v>
      </c>
      <c r="W24" s="771">
        <f>SUM(Prop2018DistTar!W24,Prop2018TransTar!W24,Prop2018JSTar!W24)</f>
        <v>3.3</v>
      </c>
      <c r="X24" s="772">
        <f>SUM(Prop2018DistTar!X24,Prop2018TransTar!X24,Prop2018JSTar!X24)</f>
        <v>0</v>
      </c>
      <c r="Z24" s="750">
        <v>170</v>
      </c>
      <c r="AA24" s="775">
        <v>0</v>
      </c>
      <c r="AB24" s="775">
        <v>0</v>
      </c>
      <c r="AC24" s="775">
        <v>0</v>
      </c>
      <c r="AD24" s="775">
        <v>0</v>
      </c>
      <c r="AE24" s="775">
        <v>0</v>
      </c>
      <c r="AF24" s="775">
        <v>0</v>
      </c>
      <c r="AG24" s="775">
        <v>0</v>
      </c>
      <c r="AH24" s="775">
        <v>0</v>
      </c>
      <c r="AI24" s="775">
        <v>0</v>
      </c>
      <c r="AJ24" s="775">
        <v>0</v>
      </c>
      <c r="AK24" s="775">
        <v>0</v>
      </c>
      <c r="AL24" s="775">
        <v>0</v>
      </c>
      <c r="AM24" s="775">
        <v>13.77</v>
      </c>
      <c r="AN24" s="775">
        <v>4.57</v>
      </c>
      <c r="AO24" s="775">
        <v>3.58</v>
      </c>
      <c r="AP24" s="775">
        <v>0</v>
      </c>
      <c r="AQ24" s="775">
        <v>13.77</v>
      </c>
      <c r="AR24" s="775">
        <v>4.57</v>
      </c>
      <c r="AS24" s="775">
        <v>3.58</v>
      </c>
      <c r="AT24" s="752">
        <v>0</v>
      </c>
      <c r="AW24" s="783">
        <f t="shared" si="3"/>
        <v>-5.8823529411764719E-2</v>
      </c>
      <c r="AX24" s="784">
        <f t="shared" si="3"/>
        <v>0</v>
      </c>
      <c r="AY24" s="784">
        <f t="shared" si="3"/>
        <v>0</v>
      </c>
      <c r="AZ24" s="784">
        <f t="shared" si="3"/>
        <v>0</v>
      </c>
      <c r="BA24" s="784">
        <f t="shared" si="3"/>
        <v>0</v>
      </c>
      <c r="BB24" s="784">
        <f t="shared" si="3"/>
        <v>0</v>
      </c>
      <c r="BC24" s="784">
        <f t="shared" si="3"/>
        <v>0</v>
      </c>
      <c r="BD24" s="784">
        <f t="shared" si="3"/>
        <v>0</v>
      </c>
      <c r="BE24" s="784">
        <f t="shared" si="3"/>
        <v>0</v>
      </c>
      <c r="BF24" s="784">
        <f t="shared" si="3"/>
        <v>0</v>
      </c>
      <c r="BG24" s="784">
        <f t="shared" si="3"/>
        <v>0</v>
      </c>
      <c r="BH24" s="784">
        <f t="shared" si="3"/>
        <v>0</v>
      </c>
      <c r="BI24" s="784">
        <f t="shared" si="3"/>
        <v>0</v>
      </c>
      <c r="BJ24" s="784">
        <f t="shared" si="3"/>
        <v>-7.6978939724037798E-2</v>
      </c>
      <c r="BK24" s="784">
        <f t="shared" si="3"/>
        <v>-7.877461706783373E-2</v>
      </c>
      <c r="BL24" s="784">
        <f t="shared" si="2"/>
        <v>-7.8212290502793325E-2</v>
      </c>
      <c r="BM24" s="784">
        <f t="shared" si="1"/>
        <v>0</v>
      </c>
      <c r="BN24" s="784">
        <f t="shared" si="1"/>
        <v>-7.6978939724037798E-2</v>
      </c>
      <c r="BO24" s="784">
        <f t="shared" si="1"/>
        <v>-7.877461706783373E-2</v>
      </c>
      <c r="BP24" s="784">
        <f t="shared" si="1"/>
        <v>-7.8212290502793325E-2</v>
      </c>
      <c r="BQ24" s="785">
        <f t="shared" si="1"/>
        <v>0</v>
      </c>
      <c r="BR24" s="553" t="str">
        <f t="array" ref="BR24">IF(MAX(ABS(AW24:BQ24))&gt;$BR$4,"EXPLAIN","")</f>
        <v/>
      </c>
    </row>
    <row r="25" spans="1:70">
      <c r="A25" s="790"/>
      <c r="B25" s="765" t="s">
        <v>723</v>
      </c>
      <c r="C25" s="765" t="str">
        <f>Prop2018DistTar!B25</f>
        <v>Non-Residential Two Rate 5d</v>
      </c>
      <c r="D25" s="735">
        <f>SUM(Prop2018DistTar!D25,Prop2018TransTar!D25,Prop2018JSTar!D25)</f>
        <v>160</v>
      </c>
      <c r="E25" s="771">
        <f>SUM(Prop2018DistTar!E25,Prop2018TransTar!E25,Prop2018JSTar!E25)</f>
        <v>0</v>
      </c>
      <c r="F25" s="771">
        <f>SUM(Prop2018DistTar!F25,Prop2018TransTar!F25,Prop2018JSTar!F25)</f>
        <v>12.860000000000001</v>
      </c>
      <c r="G25" s="771">
        <f>SUM(Prop2018DistTar!G25,Prop2018TransTar!G25,Prop2018JSTar!G25)</f>
        <v>0</v>
      </c>
      <c r="H25" s="771">
        <f>SUM(Prop2018DistTar!H25,Prop2018TransTar!H25,Prop2018JSTar!H25)</f>
        <v>0</v>
      </c>
      <c r="I25" s="771">
        <f>SUM(Prop2018DistTar!I25,Prop2018TransTar!I25,Prop2018JSTar!I25)</f>
        <v>3.17</v>
      </c>
      <c r="J25" s="771">
        <f>SUM(Prop2018DistTar!J25,Prop2018TransTar!J25,Prop2018JSTar!J25)</f>
        <v>0</v>
      </c>
      <c r="K25" s="771">
        <f>SUM(Prop2018DistTar!K25,Prop2018TransTar!K25,Prop2018JSTar!K25)</f>
        <v>0</v>
      </c>
      <c r="L25" s="771">
        <f>SUM(Prop2018DistTar!L25,Prop2018TransTar!L25,Prop2018JSTar!L25)</f>
        <v>0</v>
      </c>
      <c r="M25" s="771">
        <f>SUM(Prop2018DistTar!M25,Prop2018TransTar!M25,Prop2018JSTar!M25)</f>
        <v>0</v>
      </c>
      <c r="N25" s="771">
        <f>SUM(Prop2018DistTar!N25,Prop2018TransTar!N25,Prop2018JSTar!N25)</f>
        <v>0</v>
      </c>
      <c r="O25" s="771">
        <f>SUM(Prop2018DistTar!O25,Prop2018TransTar!O25,Prop2018JSTar!O25)</f>
        <v>0</v>
      </c>
      <c r="P25" s="771">
        <f>SUM(Prop2018DistTar!P25,Prop2018TransTar!P25,Prop2018JSTar!P25)</f>
        <v>0</v>
      </c>
      <c r="Q25" s="771">
        <f>SUM(Prop2018DistTar!Q25,Prop2018TransTar!Q25,Prop2018JSTar!Q25)</f>
        <v>0</v>
      </c>
      <c r="R25" s="771">
        <f>SUM(Prop2018DistTar!R25,Prop2018TransTar!R25,Prop2018JSTar!R25)</f>
        <v>0</v>
      </c>
      <c r="S25" s="771">
        <f>SUM(Prop2018DistTar!S25,Prop2018TransTar!S25,Prop2018JSTar!S25)</f>
        <v>0</v>
      </c>
      <c r="T25" s="771">
        <f>SUM(Prop2018DistTar!T25,Prop2018TransTar!T25,Prop2018JSTar!T25)</f>
        <v>0</v>
      </c>
      <c r="U25" s="771">
        <f>SUM(Prop2018DistTar!U25,Prop2018TransTar!U25,Prop2018JSTar!U25)</f>
        <v>0</v>
      </c>
      <c r="V25" s="771">
        <f>SUM(Prop2018DistTar!V25,Prop2018TransTar!V25,Prop2018JSTar!V25)</f>
        <v>0</v>
      </c>
      <c r="W25" s="771">
        <f>SUM(Prop2018DistTar!W25,Prop2018TransTar!W25,Prop2018JSTar!W25)</f>
        <v>0</v>
      </c>
      <c r="X25" s="772">
        <f>SUM(Prop2018DistTar!X25,Prop2018TransTar!X25,Prop2018JSTar!X25)</f>
        <v>0</v>
      </c>
      <c r="Z25" s="750">
        <v>170</v>
      </c>
      <c r="AA25" s="775">
        <v>0</v>
      </c>
      <c r="AB25" s="775">
        <v>13.94</v>
      </c>
      <c r="AC25" s="775">
        <v>0</v>
      </c>
      <c r="AD25" s="775">
        <v>0</v>
      </c>
      <c r="AE25" s="775">
        <v>3.43</v>
      </c>
      <c r="AF25" s="775">
        <v>0</v>
      </c>
      <c r="AG25" s="775">
        <v>0</v>
      </c>
      <c r="AH25" s="775">
        <v>0</v>
      </c>
      <c r="AI25" s="775">
        <v>0</v>
      </c>
      <c r="AJ25" s="775">
        <v>0</v>
      </c>
      <c r="AK25" s="775">
        <v>0</v>
      </c>
      <c r="AL25" s="775">
        <v>0</v>
      </c>
      <c r="AM25" s="775">
        <v>0</v>
      </c>
      <c r="AN25" s="775">
        <v>0</v>
      </c>
      <c r="AO25" s="775">
        <v>0</v>
      </c>
      <c r="AP25" s="775">
        <v>0</v>
      </c>
      <c r="AQ25" s="775">
        <v>0</v>
      </c>
      <c r="AR25" s="775">
        <v>0</v>
      </c>
      <c r="AS25" s="775">
        <v>0</v>
      </c>
      <c r="AT25" s="752">
        <v>0</v>
      </c>
      <c r="AW25" s="783">
        <f t="shared" si="3"/>
        <v>-5.8823529411764719E-2</v>
      </c>
      <c r="AX25" s="784">
        <f t="shared" si="3"/>
        <v>0</v>
      </c>
      <c r="AY25" s="784">
        <f t="shared" si="3"/>
        <v>-7.7474892395982708E-2</v>
      </c>
      <c r="AZ25" s="784">
        <f t="shared" si="3"/>
        <v>0</v>
      </c>
      <c r="BA25" s="784">
        <f t="shared" si="3"/>
        <v>0</v>
      </c>
      <c r="BB25" s="784">
        <f t="shared" si="3"/>
        <v>-7.5801749271137142E-2</v>
      </c>
      <c r="BC25" s="784">
        <f t="shared" si="3"/>
        <v>0</v>
      </c>
      <c r="BD25" s="784">
        <f t="shared" si="3"/>
        <v>0</v>
      </c>
      <c r="BE25" s="784">
        <f t="shared" si="3"/>
        <v>0</v>
      </c>
      <c r="BF25" s="784">
        <f t="shared" si="3"/>
        <v>0</v>
      </c>
      <c r="BG25" s="784">
        <f t="shared" si="3"/>
        <v>0</v>
      </c>
      <c r="BH25" s="784">
        <f t="shared" si="3"/>
        <v>0</v>
      </c>
      <c r="BI25" s="784">
        <f t="shared" si="3"/>
        <v>0</v>
      </c>
      <c r="BJ25" s="784">
        <f t="shared" si="3"/>
        <v>0</v>
      </c>
      <c r="BK25" s="784">
        <f t="shared" si="3"/>
        <v>0</v>
      </c>
      <c r="BL25" s="784">
        <f t="shared" si="2"/>
        <v>0</v>
      </c>
      <c r="BM25" s="784">
        <f t="shared" si="1"/>
        <v>0</v>
      </c>
      <c r="BN25" s="784">
        <f t="shared" si="1"/>
        <v>0</v>
      </c>
      <c r="BO25" s="784">
        <f t="shared" si="1"/>
        <v>0</v>
      </c>
      <c r="BP25" s="784">
        <f t="shared" si="1"/>
        <v>0</v>
      </c>
      <c r="BQ25" s="785">
        <f t="shared" si="1"/>
        <v>0</v>
      </c>
      <c r="BR25" s="553" t="str">
        <f t="array" ref="BR25">IF(MAX(ABS(AW25:BQ25))&gt;$BR$4,"EXPLAIN","")</f>
        <v/>
      </c>
    </row>
    <row r="26" spans="1:70">
      <c r="A26" s="790"/>
      <c r="B26" s="765" t="s">
        <v>737</v>
      </c>
      <c r="C26" s="765" t="str">
        <f>Prop2018DistTar!B26</f>
        <v>Non-Residential Interval</v>
      </c>
      <c r="D26" s="735">
        <f>SUM(Prop2018DistTar!D26,Prop2018TransTar!D26,Prop2018JSTar!D26)</f>
        <v>160</v>
      </c>
      <c r="E26" s="771">
        <f>SUM(Prop2018DistTar!E26,Prop2018TransTar!E26,Prop2018JSTar!E26)</f>
        <v>0</v>
      </c>
      <c r="F26" s="771">
        <f>SUM(Prop2018DistTar!F26,Prop2018TransTar!F26,Prop2018JSTar!F26)</f>
        <v>12.860000000000001</v>
      </c>
      <c r="G26" s="771">
        <f>SUM(Prop2018DistTar!G26,Prop2018TransTar!G26,Prop2018JSTar!G26)</f>
        <v>0</v>
      </c>
      <c r="H26" s="771">
        <f>SUM(Prop2018DistTar!H26,Prop2018TransTar!H26,Prop2018JSTar!H26)</f>
        <v>0</v>
      </c>
      <c r="I26" s="771">
        <f>SUM(Prop2018DistTar!I26,Prop2018TransTar!I26,Prop2018JSTar!I26)</f>
        <v>3.17</v>
      </c>
      <c r="J26" s="771">
        <f>SUM(Prop2018DistTar!J26,Prop2018TransTar!J26,Prop2018JSTar!J26)</f>
        <v>0</v>
      </c>
      <c r="K26" s="771">
        <f>SUM(Prop2018DistTar!K26,Prop2018TransTar!K26,Prop2018JSTar!K26)</f>
        <v>0</v>
      </c>
      <c r="L26" s="771">
        <f>SUM(Prop2018DistTar!L26,Prop2018TransTar!L26,Prop2018JSTar!L26)</f>
        <v>0</v>
      </c>
      <c r="M26" s="771">
        <f>SUM(Prop2018DistTar!M26,Prop2018TransTar!M26,Prop2018JSTar!M26)</f>
        <v>0</v>
      </c>
      <c r="N26" s="771">
        <f>SUM(Prop2018DistTar!N26,Prop2018TransTar!N26,Prop2018JSTar!N26)</f>
        <v>0</v>
      </c>
      <c r="O26" s="771">
        <f>SUM(Prop2018DistTar!O26,Prop2018TransTar!O26,Prop2018JSTar!O26)</f>
        <v>0</v>
      </c>
      <c r="P26" s="771">
        <f>SUM(Prop2018DistTar!P26,Prop2018TransTar!P26,Prop2018JSTar!P26)</f>
        <v>0</v>
      </c>
      <c r="Q26" s="771">
        <f>SUM(Prop2018DistTar!Q26,Prop2018TransTar!Q26,Prop2018JSTar!Q26)</f>
        <v>0</v>
      </c>
      <c r="R26" s="771">
        <f>SUM(Prop2018DistTar!R26,Prop2018TransTar!R26,Prop2018JSTar!R26)</f>
        <v>0</v>
      </c>
      <c r="S26" s="771">
        <f>SUM(Prop2018DistTar!S26,Prop2018TransTar!S26,Prop2018JSTar!S26)</f>
        <v>0</v>
      </c>
      <c r="T26" s="771">
        <f>SUM(Prop2018DistTar!T26,Prop2018TransTar!T26,Prop2018JSTar!T26)</f>
        <v>0</v>
      </c>
      <c r="U26" s="771">
        <f>SUM(Prop2018DistTar!U26,Prop2018TransTar!U26,Prop2018JSTar!U26)</f>
        <v>0</v>
      </c>
      <c r="V26" s="771">
        <f>SUM(Prop2018DistTar!V26,Prop2018TransTar!V26,Prop2018JSTar!V26)</f>
        <v>0</v>
      </c>
      <c r="W26" s="771">
        <f>SUM(Prop2018DistTar!W26,Prop2018TransTar!W26,Prop2018JSTar!W26)</f>
        <v>0</v>
      </c>
      <c r="X26" s="772">
        <f>SUM(Prop2018DistTar!X26,Prop2018TransTar!X26,Prop2018JSTar!X26)</f>
        <v>0</v>
      </c>
      <c r="Z26" s="750">
        <v>170</v>
      </c>
      <c r="AA26" s="775">
        <v>0</v>
      </c>
      <c r="AB26" s="775">
        <v>13.94</v>
      </c>
      <c r="AC26" s="775">
        <v>0</v>
      </c>
      <c r="AD26" s="775">
        <v>0</v>
      </c>
      <c r="AE26" s="775">
        <v>3.43</v>
      </c>
      <c r="AF26" s="775">
        <v>0</v>
      </c>
      <c r="AG26" s="775">
        <v>0</v>
      </c>
      <c r="AH26" s="775">
        <v>0</v>
      </c>
      <c r="AI26" s="775">
        <v>0</v>
      </c>
      <c r="AJ26" s="775">
        <v>0</v>
      </c>
      <c r="AK26" s="775">
        <v>0</v>
      </c>
      <c r="AL26" s="775">
        <v>0</v>
      </c>
      <c r="AM26" s="775">
        <v>0</v>
      </c>
      <c r="AN26" s="775">
        <v>0</v>
      </c>
      <c r="AO26" s="775">
        <v>0</v>
      </c>
      <c r="AP26" s="775">
        <v>0</v>
      </c>
      <c r="AQ26" s="775">
        <v>0</v>
      </c>
      <c r="AR26" s="775">
        <v>0</v>
      </c>
      <c r="AS26" s="775">
        <v>0</v>
      </c>
      <c r="AT26" s="752">
        <v>0</v>
      </c>
      <c r="AW26" s="783">
        <f t="shared" si="3"/>
        <v>-5.8823529411764719E-2</v>
      </c>
      <c r="AX26" s="784">
        <f t="shared" si="3"/>
        <v>0</v>
      </c>
      <c r="AY26" s="784">
        <f t="shared" si="3"/>
        <v>-7.7474892395982708E-2</v>
      </c>
      <c r="AZ26" s="784">
        <f t="shared" si="3"/>
        <v>0</v>
      </c>
      <c r="BA26" s="784">
        <f t="shared" si="3"/>
        <v>0</v>
      </c>
      <c r="BB26" s="784">
        <f t="shared" si="3"/>
        <v>-7.5801749271137142E-2</v>
      </c>
      <c r="BC26" s="784">
        <f t="shared" si="3"/>
        <v>0</v>
      </c>
      <c r="BD26" s="784">
        <f t="shared" si="3"/>
        <v>0</v>
      </c>
      <c r="BE26" s="784">
        <f t="shared" si="3"/>
        <v>0</v>
      </c>
      <c r="BF26" s="784">
        <f t="shared" si="3"/>
        <v>0</v>
      </c>
      <c r="BG26" s="784">
        <f t="shared" si="3"/>
        <v>0</v>
      </c>
      <c r="BH26" s="784">
        <f t="shared" si="3"/>
        <v>0</v>
      </c>
      <c r="BI26" s="784">
        <f t="shared" si="3"/>
        <v>0</v>
      </c>
      <c r="BJ26" s="784">
        <f t="shared" si="3"/>
        <v>0</v>
      </c>
      <c r="BK26" s="784">
        <f t="shared" si="3"/>
        <v>0</v>
      </c>
      <c r="BL26" s="784">
        <f t="shared" si="2"/>
        <v>0</v>
      </c>
      <c r="BM26" s="784">
        <f t="shared" si="1"/>
        <v>0</v>
      </c>
      <c r="BN26" s="784">
        <f t="shared" si="1"/>
        <v>0</v>
      </c>
      <c r="BO26" s="784">
        <f t="shared" si="1"/>
        <v>0</v>
      </c>
      <c r="BP26" s="784">
        <f t="shared" si="1"/>
        <v>0</v>
      </c>
      <c r="BQ26" s="785">
        <f t="shared" si="1"/>
        <v>0</v>
      </c>
      <c r="BR26" s="553" t="str">
        <f t="array" ref="BR26">IF(MAX(ABS(AW26:BQ26))&gt;$BR$4,"EXPLAIN","")</f>
        <v/>
      </c>
    </row>
    <row r="27" spans="1:70">
      <c r="A27" s="790"/>
      <c r="B27" s="765" t="s">
        <v>725</v>
      </c>
      <c r="C27" s="765" t="str">
        <f>Prop2018DistTar!B27</f>
        <v>Non-Residential Two Rate 7d</v>
      </c>
      <c r="D27" s="735">
        <f>SUM(Prop2018DistTar!D27,Prop2018TransTar!D27,Prop2018JSTar!D27)</f>
        <v>160</v>
      </c>
      <c r="E27" s="771">
        <f>SUM(Prop2018DistTar!E27,Prop2018TransTar!E27,Prop2018JSTar!E27)</f>
        <v>0</v>
      </c>
      <c r="F27" s="771">
        <f>SUM(Prop2018DistTar!F27,Prop2018TransTar!F27,Prop2018JSTar!F27)</f>
        <v>11.38</v>
      </c>
      <c r="G27" s="771">
        <f>SUM(Prop2018DistTar!G27,Prop2018TransTar!G27,Prop2018JSTar!G27)</f>
        <v>0</v>
      </c>
      <c r="H27" s="771">
        <f>SUM(Prop2018DistTar!H27,Prop2018TransTar!H27,Prop2018JSTar!H27)</f>
        <v>0</v>
      </c>
      <c r="I27" s="771">
        <f>SUM(Prop2018DistTar!I27,Prop2018TransTar!I27,Prop2018JSTar!I27)</f>
        <v>3.17</v>
      </c>
      <c r="J27" s="771">
        <f>SUM(Prop2018DistTar!J27,Prop2018TransTar!J27,Prop2018JSTar!J27)</f>
        <v>0</v>
      </c>
      <c r="K27" s="771">
        <f>SUM(Prop2018DistTar!K27,Prop2018TransTar!K27,Prop2018JSTar!K27)</f>
        <v>0</v>
      </c>
      <c r="L27" s="771">
        <f>SUM(Prop2018DistTar!L27,Prop2018TransTar!L27,Prop2018JSTar!L27)</f>
        <v>0</v>
      </c>
      <c r="M27" s="771">
        <f>SUM(Prop2018DistTar!M27,Prop2018TransTar!M27,Prop2018JSTar!M27)</f>
        <v>0</v>
      </c>
      <c r="N27" s="771">
        <f>SUM(Prop2018DistTar!N27,Prop2018TransTar!N27,Prop2018JSTar!N27)</f>
        <v>0</v>
      </c>
      <c r="O27" s="771">
        <f>SUM(Prop2018DistTar!O27,Prop2018TransTar!O27,Prop2018JSTar!O27)</f>
        <v>0</v>
      </c>
      <c r="P27" s="771">
        <f>SUM(Prop2018DistTar!P27,Prop2018TransTar!P27,Prop2018JSTar!P27)</f>
        <v>0</v>
      </c>
      <c r="Q27" s="771">
        <f>SUM(Prop2018DistTar!Q27,Prop2018TransTar!Q27,Prop2018JSTar!Q27)</f>
        <v>0</v>
      </c>
      <c r="R27" s="771">
        <f>SUM(Prop2018DistTar!R27,Prop2018TransTar!R27,Prop2018JSTar!R27)</f>
        <v>0</v>
      </c>
      <c r="S27" s="771">
        <f>SUM(Prop2018DistTar!S27,Prop2018TransTar!S27,Prop2018JSTar!S27)</f>
        <v>0</v>
      </c>
      <c r="T27" s="771">
        <f>SUM(Prop2018DistTar!T27,Prop2018TransTar!T27,Prop2018JSTar!T27)</f>
        <v>0</v>
      </c>
      <c r="U27" s="771">
        <f>SUM(Prop2018DistTar!U27,Prop2018TransTar!U27,Prop2018JSTar!U27)</f>
        <v>0</v>
      </c>
      <c r="V27" s="771">
        <f>SUM(Prop2018DistTar!V27,Prop2018TransTar!V27,Prop2018JSTar!V27)</f>
        <v>0</v>
      </c>
      <c r="W27" s="771">
        <f>SUM(Prop2018DistTar!W27,Prop2018TransTar!W27,Prop2018JSTar!W27)</f>
        <v>0</v>
      </c>
      <c r="X27" s="772">
        <f>SUM(Prop2018DistTar!X27,Prop2018TransTar!X27,Prop2018JSTar!X27)</f>
        <v>0</v>
      </c>
      <c r="Z27" s="750">
        <v>170</v>
      </c>
      <c r="AA27" s="775">
        <v>0</v>
      </c>
      <c r="AB27" s="775">
        <v>12.32</v>
      </c>
      <c r="AC27" s="775">
        <v>0</v>
      </c>
      <c r="AD27" s="775">
        <v>0</v>
      </c>
      <c r="AE27" s="775">
        <v>3.43</v>
      </c>
      <c r="AF27" s="775">
        <v>0</v>
      </c>
      <c r="AG27" s="775">
        <v>0</v>
      </c>
      <c r="AH27" s="775">
        <v>0</v>
      </c>
      <c r="AI27" s="775">
        <v>0</v>
      </c>
      <c r="AJ27" s="775">
        <v>0</v>
      </c>
      <c r="AK27" s="775">
        <v>0</v>
      </c>
      <c r="AL27" s="775">
        <v>0</v>
      </c>
      <c r="AM27" s="775">
        <v>0</v>
      </c>
      <c r="AN27" s="775">
        <v>0</v>
      </c>
      <c r="AO27" s="775">
        <v>0</v>
      </c>
      <c r="AP27" s="775">
        <v>0</v>
      </c>
      <c r="AQ27" s="775">
        <v>0</v>
      </c>
      <c r="AR27" s="775">
        <v>0</v>
      </c>
      <c r="AS27" s="775">
        <v>0</v>
      </c>
      <c r="AT27" s="752">
        <v>0</v>
      </c>
      <c r="AW27" s="783">
        <f t="shared" si="3"/>
        <v>-5.8823529411764719E-2</v>
      </c>
      <c r="AX27" s="784">
        <f t="shared" si="3"/>
        <v>0</v>
      </c>
      <c r="AY27" s="784">
        <f t="shared" si="3"/>
        <v>-7.629870129870131E-2</v>
      </c>
      <c r="AZ27" s="784">
        <f t="shared" si="3"/>
        <v>0</v>
      </c>
      <c r="BA27" s="784">
        <f t="shared" si="3"/>
        <v>0</v>
      </c>
      <c r="BB27" s="784">
        <f t="shared" si="3"/>
        <v>-7.5801749271137142E-2</v>
      </c>
      <c r="BC27" s="784">
        <f t="shared" si="3"/>
        <v>0</v>
      </c>
      <c r="BD27" s="784">
        <f t="shared" si="3"/>
        <v>0</v>
      </c>
      <c r="BE27" s="784">
        <f t="shared" si="3"/>
        <v>0</v>
      </c>
      <c r="BF27" s="784">
        <f t="shared" si="3"/>
        <v>0</v>
      </c>
      <c r="BG27" s="784">
        <f t="shared" si="3"/>
        <v>0</v>
      </c>
      <c r="BH27" s="784">
        <f t="shared" si="3"/>
        <v>0</v>
      </c>
      <c r="BI27" s="784">
        <f t="shared" si="3"/>
        <v>0</v>
      </c>
      <c r="BJ27" s="784">
        <f t="shared" si="3"/>
        <v>0</v>
      </c>
      <c r="BK27" s="784">
        <f t="shared" si="3"/>
        <v>0</v>
      </c>
      <c r="BL27" s="784">
        <f t="shared" si="2"/>
        <v>0</v>
      </c>
      <c r="BM27" s="784">
        <f t="shared" si="1"/>
        <v>0</v>
      </c>
      <c r="BN27" s="784">
        <f t="shared" si="1"/>
        <v>0</v>
      </c>
      <c r="BO27" s="784">
        <f t="shared" si="1"/>
        <v>0</v>
      </c>
      <c r="BP27" s="784">
        <f t="shared" si="1"/>
        <v>0</v>
      </c>
      <c r="BQ27" s="785">
        <f t="shared" si="1"/>
        <v>0</v>
      </c>
      <c r="BR27" s="553" t="str">
        <f t="array" ref="BR27">IF(MAX(ABS(AW27:BQ27))&gt;$BR$4,"EXPLAIN","")</f>
        <v/>
      </c>
    </row>
    <row r="28" spans="1:70">
      <c r="A28" s="790"/>
      <c r="B28" s="765" t="s">
        <v>726</v>
      </c>
      <c r="C28" s="765" t="str">
        <f>Prop2018DistTar!B28</f>
        <v>Non-Residential Demand</v>
      </c>
      <c r="D28" s="735">
        <f>SUM(Prop2018DistTar!D28,Prop2018TransTar!D28,Prop2018JSTar!D28)</f>
        <v>160</v>
      </c>
      <c r="E28" s="771">
        <f>SUM(Prop2018DistTar!E28,Prop2018TransTar!E28,Prop2018JSTar!E28)</f>
        <v>3.9600000000000004</v>
      </c>
      <c r="F28" s="771">
        <f>SUM(Prop2018DistTar!F28,Prop2018TransTar!F28,Prop2018JSTar!F28)</f>
        <v>0</v>
      </c>
      <c r="G28" s="771">
        <f>SUM(Prop2018DistTar!G28,Prop2018TransTar!G28,Prop2018JSTar!G28)</f>
        <v>0</v>
      </c>
      <c r="H28" s="771">
        <f>SUM(Prop2018DistTar!H28,Prop2018TransTar!H28,Prop2018JSTar!H28)</f>
        <v>0</v>
      </c>
      <c r="I28" s="771">
        <f>SUM(Prop2018DistTar!I28,Prop2018TransTar!I28,Prop2018JSTar!I28)</f>
        <v>0</v>
      </c>
      <c r="J28" s="771">
        <f>SUM(Prop2018DistTar!J28,Prop2018TransTar!J28,Prop2018JSTar!J28)</f>
        <v>0</v>
      </c>
      <c r="K28" s="771">
        <f>SUM(Prop2018DistTar!K28,Prop2018TransTar!K28,Prop2018JSTar!K28)</f>
        <v>0</v>
      </c>
      <c r="L28" s="771">
        <f>SUM(Prop2018DistTar!L28,Prop2018TransTar!L28,Prop2018JSTar!L28)</f>
        <v>0</v>
      </c>
      <c r="M28" s="771">
        <f>SUM(Prop2018DistTar!M28,Prop2018TransTar!M28,Prop2018JSTar!M28)</f>
        <v>0</v>
      </c>
      <c r="N28" s="771">
        <f>SUM(Prop2018DistTar!N28,Prop2018TransTar!N28,Prop2018JSTar!N28)</f>
        <v>0</v>
      </c>
      <c r="O28" s="771">
        <f>SUM(Prop2018DistTar!O28,Prop2018TransTar!O28,Prop2018JSTar!O28)</f>
        <v>13.469999999999999</v>
      </c>
      <c r="P28" s="771">
        <f>SUM(Prop2018DistTar!P28,Prop2018TransTar!P28,Prop2018JSTar!P28)</f>
        <v>4.49</v>
      </c>
      <c r="Q28" s="771">
        <f>SUM(Prop2018DistTar!Q28,Prop2018TransTar!Q28,Prop2018JSTar!Q28)</f>
        <v>0</v>
      </c>
      <c r="R28" s="771">
        <f>SUM(Prop2018DistTar!R28,Prop2018TransTar!R28,Prop2018JSTar!R28)</f>
        <v>0</v>
      </c>
      <c r="S28" s="771">
        <f>SUM(Prop2018DistTar!S28,Prop2018TransTar!S28,Prop2018JSTar!S28)</f>
        <v>0</v>
      </c>
      <c r="T28" s="771">
        <f>SUM(Prop2018DistTar!T28,Prop2018TransTar!T28,Prop2018JSTar!T28)</f>
        <v>0</v>
      </c>
      <c r="U28" s="771">
        <f>SUM(Prop2018DistTar!U28,Prop2018TransTar!U28,Prop2018JSTar!U28)</f>
        <v>0</v>
      </c>
      <c r="V28" s="771">
        <f>SUM(Prop2018DistTar!V28,Prop2018TransTar!V28,Prop2018JSTar!V28)</f>
        <v>0</v>
      </c>
      <c r="W28" s="771">
        <f>SUM(Prop2018DistTar!W28,Prop2018TransTar!W28,Prop2018JSTar!W28)</f>
        <v>0</v>
      </c>
      <c r="X28" s="772">
        <f>SUM(Prop2018DistTar!X28,Prop2018TransTar!X28,Prop2018JSTar!X28)</f>
        <v>0</v>
      </c>
      <c r="Z28" s="750">
        <v>170</v>
      </c>
      <c r="AA28" s="775">
        <v>4.3</v>
      </c>
      <c r="AB28" s="775">
        <v>0</v>
      </c>
      <c r="AC28" s="775">
        <v>0</v>
      </c>
      <c r="AD28" s="775">
        <v>0</v>
      </c>
      <c r="AE28" s="775">
        <v>0</v>
      </c>
      <c r="AF28" s="775">
        <v>0</v>
      </c>
      <c r="AG28" s="775">
        <v>0</v>
      </c>
      <c r="AH28" s="775">
        <v>0</v>
      </c>
      <c r="AI28" s="775">
        <v>0</v>
      </c>
      <c r="AJ28" s="775">
        <v>0</v>
      </c>
      <c r="AK28" s="775">
        <v>14.59</v>
      </c>
      <c r="AL28" s="775">
        <v>4.8600000000000003</v>
      </c>
      <c r="AM28" s="775">
        <v>0</v>
      </c>
      <c r="AN28" s="775">
        <v>0</v>
      </c>
      <c r="AO28" s="775">
        <v>0</v>
      </c>
      <c r="AP28" s="775">
        <v>0</v>
      </c>
      <c r="AQ28" s="775">
        <v>0</v>
      </c>
      <c r="AR28" s="775">
        <v>0</v>
      </c>
      <c r="AS28" s="775">
        <v>0</v>
      </c>
      <c r="AT28" s="752">
        <v>0</v>
      </c>
      <c r="AW28" s="783">
        <f t="shared" si="3"/>
        <v>-5.8823529411764719E-2</v>
      </c>
      <c r="AX28" s="784">
        <f t="shared" si="3"/>
        <v>-7.9069767441860339E-2</v>
      </c>
      <c r="AY28" s="784">
        <f t="shared" si="3"/>
        <v>0</v>
      </c>
      <c r="AZ28" s="784">
        <f t="shared" si="3"/>
        <v>0</v>
      </c>
      <c r="BA28" s="784">
        <f t="shared" si="3"/>
        <v>0</v>
      </c>
      <c r="BB28" s="784">
        <f t="shared" si="3"/>
        <v>0</v>
      </c>
      <c r="BC28" s="784">
        <f t="shared" si="3"/>
        <v>0</v>
      </c>
      <c r="BD28" s="784">
        <f t="shared" si="3"/>
        <v>0</v>
      </c>
      <c r="BE28" s="784">
        <f t="shared" si="3"/>
        <v>0</v>
      </c>
      <c r="BF28" s="784">
        <f t="shared" si="3"/>
        <v>0</v>
      </c>
      <c r="BG28" s="784">
        <f t="shared" si="3"/>
        <v>0</v>
      </c>
      <c r="BH28" s="784">
        <f t="shared" si="3"/>
        <v>-7.6764907470870503E-2</v>
      </c>
      <c r="BI28" s="784">
        <f t="shared" si="3"/>
        <v>-7.6131687242798396E-2</v>
      </c>
      <c r="BJ28" s="784">
        <f t="shared" si="3"/>
        <v>0</v>
      </c>
      <c r="BK28" s="784">
        <f t="shared" si="3"/>
        <v>0</v>
      </c>
      <c r="BL28" s="784">
        <f t="shared" si="2"/>
        <v>0</v>
      </c>
      <c r="BM28" s="784">
        <f t="shared" si="1"/>
        <v>0</v>
      </c>
      <c r="BN28" s="784">
        <f t="shared" si="1"/>
        <v>0</v>
      </c>
      <c r="BO28" s="784">
        <f t="shared" si="1"/>
        <v>0</v>
      </c>
      <c r="BP28" s="784">
        <f t="shared" si="1"/>
        <v>0</v>
      </c>
      <c r="BQ28" s="785">
        <f t="shared" si="1"/>
        <v>0</v>
      </c>
      <c r="BR28" s="553" t="str">
        <f t="array" ref="BR28">IF(MAX(ABS(AW28:BQ28))&gt;$BR$4,"EXPLAIN","")</f>
        <v/>
      </c>
    </row>
    <row r="29" spans="1:70">
      <c r="A29" s="790"/>
      <c r="B29" s="765" t="s">
        <v>630</v>
      </c>
      <c r="C29" s="765" t="str">
        <f>B29</f>
        <v>Medium business</v>
      </c>
      <c r="D29" s="735">
        <f>SUM(Prop2018DistTar!D29,Prop2018TransTar!D29,Prop2018JSTar!D29)</f>
        <v>900</v>
      </c>
      <c r="E29" s="771">
        <f>SUM(Prop2018DistTar!E29,Prop2018TransTar!E29,Prop2018JSTar!E29)</f>
        <v>0</v>
      </c>
      <c r="F29" s="771">
        <f>SUM(Prop2018DistTar!F29,Prop2018TransTar!F29,Prop2018JSTar!F29)</f>
        <v>8.74</v>
      </c>
      <c r="G29" s="771">
        <f>SUM(Prop2018DistTar!G29,Prop2018TransTar!G29,Prop2018JSTar!G29)</f>
        <v>0</v>
      </c>
      <c r="H29" s="771">
        <f>SUM(Prop2018DistTar!H29,Prop2018TransTar!H29,Prop2018JSTar!H29)</f>
        <v>0</v>
      </c>
      <c r="I29" s="771">
        <f>SUM(Prop2018DistTar!I29,Prop2018TransTar!I29,Prop2018JSTar!I29)</f>
        <v>4.4300000000000006</v>
      </c>
      <c r="J29" s="771">
        <f>SUM(Prop2018DistTar!J29,Prop2018TransTar!J29,Prop2018JSTar!J29)</f>
        <v>0</v>
      </c>
      <c r="K29" s="771">
        <f>SUM(Prop2018DistTar!K29,Prop2018TransTar!K29,Prop2018JSTar!K29)</f>
        <v>0</v>
      </c>
      <c r="L29" s="771">
        <f>SUM(Prop2018DistTar!L29,Prop2018TransTar!L29,Prop2018JSTar!L29)</f>
        <v>0</v>
      </c>
      <c r="M29" s="771">
        <f>SUM(Prop2018DistTar!M29,Prop2018TransTar!M29,Prop2018JSTar!M29)</f>
        <v>0</v>
      </c>
      <c r="N29" s="771">
        <f>SUM(Prop2018DistTar!N29,Prop2018TransTar!N29,Prop2018JSTar!N29)</f>
        <v>0</v>
      </c>
      <c r="O29" s="771">
        <f>SUM(Prop2018DistTar!O29,Prop2018TransTar!O29,Prop2018JSTar!O29)</f>
        <v>3.73</v>
      </c>
      <c r="P29" s="771">
        <f>SUM(Prop2018DistTar!P29,Prop2018TransTar!P29,Prop2018JSTar!P29)</f>
        <v>1.87</v>
      </c>
      <c r="Q29" s="771">
        <f>SUM(Prop2018DistTar!Q29,Prop2018TransTar!Q29,Prop2018JSTar!Q29)</f>
        <v>0</v>
      </c>
      <c r="R29" s="771">
        <f>SUM(Prop2018DistTar!R29,Prop2018TransTar!R29,Prop2018JSTar!R29)</f>
        <v>0</v>
      </c>
      <c r="S29" s="771">
        <f>SUM(Prop2018DistTar!S29,Prop2018TransTar!S29,Prop2018JSTar!S29)</f>
        <v>0</v>
      </c>
      <c r="T29" s="771">
        <f>SUM(Prop2018DistTar!T29,Prop2018TransTar!T29,Prop2018JSTar!T29)</f>
        <v>0</v>
      </c>
      <c r="U29" s="771">
        <f>SUM(Prop2018DistTar!U29,Prop2018TransTar!U29,Prop2018JSTar!U29)</f>
        <v>0</v>
      </c>
      <c r="V29" s="771">
        <f>SUM(Prop2018DistTar!V29,Prop2018TransTar!V29,Prop2018JSTar!V29)</f>
        <v>0</v>
      </c>
      <c r="W29" s="771">
        <f>SUM(Prop2018DistTar!W29,Prop2018TransTar!W29,Prop2018JSTar!W29)</f>
        <v>0</v>
      </c>
      <c r="X29" s="772">
        <f>SUM(Prop2018DistTar!X29,Prop2018TransTar!X29,Prop2018JSTar!X29)</f>
        <v>0</v>
      </c>
      <c r="Z29" s="750">
        <v>936</v>
      </c>
      <c r="AA29" s="775">
        <v>0</v>
      </c>
      <c r="AB29" s="775">
        <v>8.11</v>
      </c>
      <c r="AC29" s="775">
        <v>0</v>
      </c>
      <c r="AD29" s="775">
        <v>0</v>
      </c>
      <c r="AE29" s="775">
        <v>4.79</v>
      </c>
      <c r="AF29" s="775">
        <v>0</v>
      </c>
      <c r="AG29" s="775">
        <v>0</v>
      </c>
      <c r="AH29" s="775">
        <v>0</v>
      </c>
      <c r="AI29" s="775">
        <v>0</v>
      </c>
      <c r="AJ29" s="775">
        <v>0</v>
      </c>
      <c r="AK29" s="775">
        <v>7.29</v>
      </c>
      <c r="AL29" s="775">
        <v>2.4300000000000002</v>
      </c>
      <c r="AM29" s="775">
        <v>0</v>
      </c>
      <c r="AN29" s="775">
        <v>0</v>
      </c>
      <c r="AO29" s="775">
        <v>0</v>
      </c>
      <c r="AP29" s="775">
        <v>0</v>
      </c>
      <c r="AQ29" s="775">
        <v>0</v>
      </c>
      <c r="AR29" s="775">
        <v>0</v>
      </c>
      <c r="AS29" s="775">
        <v>0</v>
      </c>
      <c r="AT29" s="752">
        <v>0</v>
      </c>
      <c r="AW29" s="783">
        <f t="shared" si="3"/>
        <v>-3.8461538461538436E-2</v>
      </c>
      <c r="AX29" s="784">
        <f t="shared" si="3"/>
        <v>0</v>
      </c>
      <c r="AY29" s="784">
        <f t="shared" si="3"/>
        <v>7.7681874229346581E-2</v>
      </c>
      <c r="AZ29" s="784">
        <f t="shared" si="3"/>
        <v>0</v>
      </c>
      <c r="BA29" s="784">
        <f t="shared" si="3"/>
        <v>0</v>
      </c>
      <c r="BB29" s="784">
        <f t="shared" si="3"/>
        <v>-7.515657620041738E-2</v>
      </c>
      <c r="BC29" s="784">
        <f t="shared" si="3"/>
        <v>0</v>
      </c>
      <c r="BD29" s="784">
        <f t="shared" si="3"/>
        <v>0</v>
      </c>
      <c r="BE29" s="784">
        <f t="shared" si="3"/>
        <v>0</v>
      </c>
      <c r="BF29" s="784">
        <f t="shared" si="3"/>
        <v>0</v>
      </c>
      <c r="BG29" s="784">
        <f t="shared" si="3"/>
        <v>0</v>
      </c>
      <c r="BH29" s="784">
        <f t="shared" si="3"/>
        <v>-0.48834019204389578</v>
      </c>
      <c r="BI29" s="784">
        <f t="shared" si="3"/>
        <v>-0.2304526748971194</v>
      </c>
      <c r="BJ29" s="784">
        <f t="shared" si="3"/>
        <v>0</v>
      </c>
      <c r="BK29" s="784">
        <f t="shared" si="3"/>
        <v>0</v>
      </c>
      <c r="BL29" s="784">
        <f t="shared" si="2"/>
        <v>0</v>
      </c>
      <c r="BM29" s="784">
        <f t="shared" si="1"/>
        <v>0</v>
      </c>
      <c r="BN29" s="784">
        <f t="shared" si="1"/>
        <v>0</v>
      </c>
      <c r="BO29" s="784">
        <f t="shared" si="1"/>
        <v>0</v>
      </c>
      <c r="BP29" s="784">
        <f t="shared" si="1"/>
        <v>0</v>
      </c>
      <c r="BQ29" s="785">
        <f t="shared" si="1"/>
        <v>0</v>
      </c>
      <c r="BR29" s="553" t="str">
        <f t="array" ref="BR29">IF(MAX(ABS(AW29:BQ29))&gt;$BR$4,"EXPLAIN","")</f>
        <v>EXPLAIN</v>
      </c>
    </row>
    <row r="30" spans="1:70">
      <c r="A30" s="790"/>
      <c r="B30" s="765" t="s">
        <v>719</v>
      </c>
      <c r="C30" s="765" t="str">
        <f>Prop2018DistTar!B30</f>
        <v>Medium business Opt-out</v>
      </c>
      <c r="D30" s="735">
        <f>SUM(Prop2018DistTar!D30,Prop2018TransTar!D30,Prop2018JSTar!D30)</f>
        <v>900</v>
      </c>
      <c r="E30" s="771">
        <f>SUM(Prop2018DistTar!E30,Prop2018TransTar!E30,Prop2018JSTar!E30)</f>
        <v>0</v>
      </c>
      <c r="F30" s="771">
        <f>SUM(Prop2018DistTar!F30,Prop2018TransTar!F30,Prop2018JSTar!F30)</f>
        <v>13.520000000000001</v>
      </c>
      <c r="G30" s="771">
        <f>SUM(Prop2018DistTar!G30,Prop2018TransTar!G30,Prop2018JSTar!G30)</f>
        <v>0</v>
      </c>
      <c r="H30" s="771">
        <f>SUM(Prop2018DistTar!H30,Prop2018TransTar!H30,Prop2018JSTar!H30)</f>
        <v>0</v>
      </c>
      <c r="I30" s="771">
        <f>SUM(Prop2018DistTar!I30,Prop2018TransTar!I30,Prop2018JSTar!I30)</f>
        <v>4.6000000000000005</v>
      </c>
      <c r="J30" s="771">
        <f>SUM(Prop2018DistTar!J30,Prop2018TransTar!J30,Prop2018JSTar!J30)</f>
        <v>0</v>
      </c>
      <c r="K30" s="771">
        <f>SUM(Prop2018DistTar!K30,Prop2018TransTar!K30,Prop2018JSTar!K30)</f>
        <v>0</v>
      </c>
      <c r="L30" s="771">
        <f>SUM(Prop2018DistTar!L30,Prop2018TransTar!L30,Prop2018JSTar!L30)</f>
        <v>0</v>
      </c>
      <c r="M30" s="771">
        <f>SUM(Prop2018DistTar!M30,Prop2018TransTar!M30,Prop2018JSTar!M30)</f>
        <v>0</v>
      </c>
      <c r="N30" s="771">
        <f>SUM(Prop2018DistTar!N30,Prop2018TransTar!N30,Prop2018JSTar!N30)</f>
        <v>0</v>
      </c>
      <c r="O30" s="771">
        <f>SUM(Prop2018DistTar!O30,Prop2018TransTar!O30,Prop2018JSTar!O30)</f>
        <v>0</v>
      </c>
      <c r="P30" s="771">
        <f>SUM(Prop2018DistTar!P30,Prop2018TransTar!P30,Prop2018JSTar!P30)</f>
        <v>0</v>
      </c>
      <c r="Q30" s="771">
        <f>SUM(Prop2018DistTar!Q30,Prop2018TransTar!Q30,Prop2018JSTar!Q30)</f>
        <v>0</v>
      </c>
      <c r="R30" s="771">
        <f>SUM(Prop2018DistTar!R30,Prop2018TransTar!R30,Prop2018JSTar!R30)</f>
        <v>0</v>
      </c>
      <c r="S30" s="771">
        <f>SUM(Prop2018DistTar!S30,Prop2018TransTar!S30,Prop2018JSTar!S30)</f>
        <v>0</v>
      </c>
      <c r="T30" s="771">
        <f>SUM(Prop2018DistTar!T30,Prop2018TransTar!T30,Prop2018JSTar!T30)</f>
        <v>0</v>
      </c>
      <c r="U30" s="771">
        <f>SUM(Prop2018DistTar!U30,Prop2018TransTar!U30,Prop2018JSTar!U30)</f>
        <v>0</v>
      </c>
      <c r="V30" s="771">
        <f>SUM(Prop2018DistTar!V30,Prop2018TransTar!V30,Prop2018JSTar!V30)</f>
        <v>0</v>
      </c>
      <c r="W30" s="771">
        <f>SUM(Prop2018DistTar!W30,Prop2018TransTar!W30,Prop2018JSTar!W30)</f>
        <v>0</v>
      </c>
      <c r="X30" s="772">
        <f>SUM(Prop2018DistTar!X30,Prop2018TransTar!X30,Prop2018JSTar!X30)</f>
        <v>0</v>
      </c>
      <c r="Z30" s="750">
        <v>0</v>
      </c>
      <c r="AA30" s="775">
        <v>0</v>
      </c>
      <c r="AB30" s="775">
        <v>0</v>
      </c>
      <c r="AC30" s="775">
        <v>0</v>
      </c>
      <c r="AD30" s="775">
        <v>0</v>
      </c>
      <c r="AE30" s="775">
        <v>0</v>
      </c>
      <c r="AF30" s="775">
        <v>0</v>
      </c>
      <c r="AG30" s="775">
        <v>0</v>
      </c>
      <c r="AH30" s="775">
        <v>0</v>
      </c>
      <c r="AI30" s="775">
        <v>0</v>
      </c>
      <c r="AJ30" s="775">
        <v>0</v>
      </c>
      <c r="AK30" s="775">
        <v>0</v>
      </c>
      <c r="AL30" s="775">
        <v>0</v>
      </c>
      <c r="AM30" s="775">
        <v>0</v>
      </c>
      <c r="AN30" s="775">
        <v>0</v>
      </c>
      <c r="AO30" s="775">
        <v>0</v>
      </c>
      <c r="AP30" s="775">
        <v>0</v>
      </c>
      <c r="AQ30" s="775">
        <v>0</v>
      </c>
      <c r="AR30" s="775">
        <v>0</v>
      </c>
      <c r="AS30" s="775">
        <v>0</v>
      </c>
      <c r="AT30" s="752">
        <v>0</v>
      </c>
      <c r="AW30" s="783">
        <f t="shared" si="3"/>
        <v>0</v>
      </c>
      <c r="AX30" s="784">
        <f t="shared" si="3"/>
        <v>0</v>
      </c>
      <c r="AY30" s="784">
        <f t="shared" si="3"/>
        <v>0</v>
      </c>
      <c r="AZ30" s="784">
        <f t="shared" si="3"/>
        <v>0</v>
      </c>
      <c r="BA30" s="784">
        <f t="shared" si="3"/>
        <v>0</v>
      </c>
      <c r="BB30" s="784">
        <f t="shared" si="3"/>
        <v>0</v>
      </c>
      <c r="BC30" s="784">
        <f t="shared" si="3"/>
        <v>0</v>
      </c>
      <c r="BD30" s="784">
        <f t="shared" si="3"/>
        <v>0</v>
      </c>
      <c r="BE30" s="784">
        <f t="shared" si="3"/>
        <v>0</v>
      </c>
      <c r="BF30" s="784">
        <f t="shared" si="3"/>
        <v>0</v>
      </c>
      <c r="BG30" s="784">
        <f t="shared" si="3"/>
        <v>0</v>
      </c>
      <c r="BH30" s="784">
        <f t="shared" si="3"/>
        <v>0</v>
      </c>
      <c r="BI30" s="784">
        <f t="shared" si="3"/>
        <v>0</v>
      </c>
      <c r="BJ30" s="784">
        <f t="shared" si="3"/>
        <v>0</v>
      </c>
      <c r="BK30" s="784">
        <f t="shared" si="3"/>
        <v>0</v>
      </c>
      <c r="BL30" s="784">
        <f t="shared" si="2"/>
        <v>0</v>
      </c>
      <c r="BM30" s="784">
        <f t="shared" si="1"/>
        <v>0</v>
      </c>
      <c r="BN30" s="784">
        <f t="shared" si="1"/>
        <v>0</v>
      </c>
      <c r="BO30" s="784">
        <f t="shared" si="1"/>
        <v>0</v>
      </c>
      <c r="BP30" s="784">
        <f t="shared" si="1"/>
        <v>0</v>
      </c>
      <c r="BQ30" s="785">
        <f t="shared" si="1"/>
        <v>0</v>
      </c>
      <c r="BR30" s="553" t="str">
        <f t="array" ref="BR30">IF(MAX(ABS(AW30:BQ30))&gt;$BR$4,"EXPLAIN","")</f>
        <v/>
      </c>
    </row>
    <row r="31" spans="1:70">
      <c r="A31" s="790"/>
      <c r="B31" s="765" t="s">
        <v>727</v>
      </c>
      <c r="C31" s="765" t="str">
        <f>Prop2018DistTar!B31</f>
        <v>Public Lighting</v>
      </c>
      <c r="D31" s="735">
        <f>SUM(Prop2018DistTar!D31,Prop2018TransTar!D31,Prop2018JSTar!D31)</f>
        <v>0</v>
      </c>
      <c r="E31" s="771">
        <f>SUM(Prop2018DistTar!E31,Prop2018TransTar!E31,Prop2018JSTar!E31)</f>
        <v>0</v>
      </c>
      <c r="F31" s="771">
        <f>SUM(Prop2018DistTar!F31,Prop2018TransTar!F31,Prop2018JSTar!F31)</f>
        <v>14.74</v>
      </c>
      <c r="G31" s="771">
        <f>SUM(Prop2018DistTar!G31,Prop2018TransTar!G31,Prop2018JSTar!G31)</f>
        <v>0</v>
      </c>
      <c r="H31" s="771">
        <f>SUM(Prop2018DistTar!H31,Prop2018TransTar!H31,Prop2018JSTar!H31)</f>
        <v>0</v>
      </c>
      <c r="I31" s="771">
        <f>SUM(Prop2018DistTar!I31,Prop2018TransTar!I31,Prop2018JSTar!I31)</f>
        <v>4.4399999999999995</v>
      </c>
      <c r="J31" s="771">
        <f>SUM(Prop2018DistTar!J31,Prop2018TransTar!J31,Prop2018JSTar!J31)</f>
        <v>0</v>
      </c>
      <c r="K31" s="771">
        <f>SUM(Prop2018DistTar!K31,Prop2018TransTar!K31,Prop2018JSTar!K31)</f>
        <v>0</v>
      </c>
      <c r="L31" s="771">
        <f>SUM(Prop2018DistTar!L31,Prop2018TransTar!L31,Prop2018JSTar!L31)</f>
        <v>0</v>
      </c>
      <c r="M31" s="771">
        <f>SUM(Prop2018DistTar!M31,Prop2018TransTar!M31,Prop2018JSTar!M31)</f>
        <v>0</v>
      </c>
      <c r="N31" s="771">
        <f>SUM(Prop2018DistTar!N31,Prop2018TransTar!N31,Prop2018JSTar!N31)</f>
        <v>0</v>
      </c>
      <c r="O31" s="771">
        <f>SUM(Prop2018DistTar!O31,Prop2018TransTar!O31,Prop2018JSTar!O31)</f>
        <v>0</v>
      </c>
      <c r="P31" s="771">
        <f>SUM(Prop2018DistTar!P31,Prop2018TransTar!P31,Prop2018JSTar!P31)</f>
        <v>0</v>
      </c>
      <c r="Q31" s="771">
        <f>SUM(Prop2018DistTar!Q31,Prop2018TransTar!Q31,Prop2018JSTar!Q31)</f>
        <v>0</v>
      </c>
      <c r="R31" s="771">
        <f>SUM(Prop2018DistTar!R31,Prop2018TransTar!R31,Prop2018JSTar!R31)</f>
        <v>0</v>
      </c>
      <c r="S31" s="771">
        <f>SUM(Prop2018DistTar!S31,Prop2018TransTar!S31,Prop2018JSTar!S31)</f>
        <v>0</v>
      </c>
      <c r="T31" s="771">
        <f>SUM(Prop2018DistTar!T31,Prop2018TransTar!T31,Prop2018JSTar!T31)</f>
        <v>0</v>
      </c>
      <c r="U31" s="771">
        <f>SUM(Prop2018DistTar!U31,Prop2018TransTar!U31,Prop2018JSTar!U31)</f>
        <v>0</v>
      </c>
      <c r="V31" s="771">
        <f>SUM(Prop2018DistTar!V31,Prop2018TransTar!V31,Prop2018JSTar!V31)</f>
        <v>0</v>
      </c>
      <c r="W31" s="771">
        <f>SUM(Prop2018DistTar!W31,Prop2018TransTar!W31,Prop2018JSTar!W31)</f>
        <v>0</v>
      </c>
      <c r="X31" s="772">
        <f>SUM(Prop2018DistTar!X31,Prop2018TransTar!X31,Prop2018JSTar!X31)</f>
        <v>0</v>
      </c>
      <c r="Z31" s="750">
        <v>0</v>
      </c>
      <c r="AA31" s="775">
        <v>0</v>
      </c>
      <c r="AB31" s="775">
        <v>15.96</v>
      </c>
      <c r="AC31" s="775">
        <v>0</v>
      </c>
      <c r="AD31" s="775">
        <v>0</v>
      </c>
      <c r="AE31" s="775">
        <v>4.8</v>
      </c>
      <c r="AF31" s="775">
        <v>0</v>
      </c>
      <c r="AG31" s="775">
        <v>0</v>
      </c>
      <c r="AH31" s="775">
        <v>0</v>
      </c>
      <c r="AI31" s="775">
        <v>0</v>
      </c>
      <c r="AJ31" s="775">
        <v>0</v>
      </c>
      <c r="AK31" s="775">
        <v>0</v>
      </c>
      <c r="AL31" s="775">
        <v>0</v>
      </c>
      <c r="AM31" s="775">
        <v>0</v>
      </c>
      <c r="AN31" s="775">
        <v>0</v>
      </c>
      <c r="AO31" s="775">
        <v>0</v>
      </c>
      <c r="AP31" s="775">
        <v>0</v>
      </c>
      <c r="AQ31" s="775">
        <v>0</v>
      </c>
      <c r="AR31" s="775">
        <v>0</v>
      </c>
      <c r="AS31" s="775">
        <v>0</v>
      </c>
      <c r="AT31" s="752">
        <v>0</v>
      </c>
      <c r="AW31" s="783">
        <f t="shared" si="3"/>
        <v>0</v>
      </c>
      <c r="AX31" s="784">
        <f t="shared" si="3"/>
        <v>0</v>
      </c>
      <c r="AY31" s="784">
        <f t="shared" si="3"/>
        <v>-7.644110275689231E-2</v>
      </c>
      <c r="AZ31" s="784">
        <f t="shared" si="3"/>
        <v>0</v>
      </c>
      <c r="BA31" s="784">
        <f t="shared" si="3"/>
        <v>0</v>
      </c>
      <c r="BB31" s="784">
        <f t="shared" si="3"/>
        <v>-7.5000000000000067E-2</v>
      </c>
      <c r="BC31" s="784">
        <f t="shared" si="3"/>
        <v>0</v>
      </c>
      <c r="BD31" s="784">
        <f t="shared" si="3"/>
        <v>0</v>
      </c>
      <c r="BE31" s="784">
        <f t="shared" si="3"/>
        <v>0</v>
      </c>
      <c r="BF31" s="784">
        <f t="shared" si="3"/>
        <v>0</v>
      </c>
      <c r="BG31" s="784">
        <f t="shared" si="3"/>
        <v>0</v>
      </c>
      <c r="BH31" s="784">
        <f t="shared" si="3"/>
        <v>0</v>
      </c>
      <c r="BI31" s="784">
        <f t="shared" si="3"/>
        <v>0</v>
      </c>
      <c r="BJ31" s="784">
        <f t="shared" si="3"/>
        <v>0</v>
      </c>
      <c r="BK31" s="784">
        <f t="shared" si="3"/>
        <v>0</v>
      </c>
      <c r="BL31" s="784">
        <f t="shared" si="2"/>
        <v>0</v>
      </c>
      <c r="BM31" s="784">
        <f t="shared" si="1"/>
        <v>0</v>
      </c>
      <c r="BN31" s="784">
        <f t="shared" si="1"/>
        <v>0</v>
      </c>
      <c r="BO31" s="784">
        <f t="shared" si="1"/>
        <v>0</v>
      </c>
      <c r="BP31" s="784">
        <f t="shared" si="1"/>
        <v>0</v>
      </c>
      <c r="BQ31" s="785">
        <f t="shared" si="1"/>
        <v>0</v>
      </c>
      <c r="BR31" s="553" t="str">
        <f t="array" ref="BR31">IF(MAX(ABS(AW31:BQ31))&gt;$BR$4,"EXPLAIN","")</f>
        <v/>
      </c>
    </row>
    <row r="32" spans="1:70">
      <c r="A32" s="790"/>
      <c r="B32" s="765" t="s">
        <v>728</v>
      </c>
      <c r="C32" s="765" t="str">
        <f>Prop2018DistTar!B32</f>
        <v>Large low Voltage</v>
      </c>
      <c r="D32" s="735">
        <f>SUM(Prop2018DistTar!D32,Prop2018TransTar!D32,Prop2018JSTar!D32)</f>
        <v>7900</v>
      </c>
      <c r="E32" s="771">
        <f>SUM(Prop2018DistTar!E32,Prop2018TransTar!E32,Prop2018JSTar!E32)</f>
        <v>0</v>
      </c>
      <c r="F32" s="771">
        <f>SUM(Prop2018DistTar!F32,Prop2018TransTar!F32,Prop2018JSTar!F32)</f>
        <v>4.3</v>
      </c>
      <c r="G32" s="771">
        <f>SUM(Prop2018DistTar!G32,Prop2018TransTar!G32,Prop2018JSTar!G32)</f>
        <v>0</v>
      </c>
      <c r="H32" s="771">
        <f>SUM(Prop2018DistTar!H32,Prop2018TransTar!H32,Prop2018JSTar!H32)</f>
        <v>0</v>
      </c>
      <c r="I32" s="771">
        <f>SUM(Prop2018DistTar!I32,Prop2018TransTar!I32,Prop2018JSTar!I32)</f>
        <v>2.2799999999999998</v>
      </c>
      <c r="J32" s="771">
        <f>SUM(Prop2018DistTar!J32,Prop2018TransTar!J32,Prop2018JSTar!J32)</f>
        <v>0</v>
      </c>
      <c r="K32" s="771">
        <f>SUM(Prop2018DistTar!K32,Prop2018TransTar!K32,Prop2018JSTar!K32)</f>
        <v>0</v>
      </c>
      <c r="L32" s="771">
        <f>SUM(Prop2018DistTar!L32,Prop2018TransTar!L32,Prop2018JSTar!L32)</f>
        <v>0</v>
      </c>
      <c r="M32" s="771">
        <f>SUM(Prop2018DistTar!M32,Prop2018TransTar!M32,Prop2018JSTar!M32)</f>
        <v>110.66</v>
      </c>
      <c r="N32" s="771">
        <f>SUM(Prop2018DistTar!N32,Prop2018TransTar!N32,Prop2018JSTar!N32)</f>
        <v>0</v>
      </c>
      <c r="O32" s="771">
        <f>SUM(Prop2018DistTar!O32,Prop2018TransTar!O32,Prop2018JSTar!O32)</f>
        <v>0</v>
      </c>
      <c r="P32" s="771">
        <f>SUM(Prop2018DistTar!P32,Prop2018TransTar!P32,Prop2018JSTar!P32)</f>
        <v>0</v>
      </c>
      <c r="Q32" s="771">
        <f>SUM(Prop2018DistTar!Q32,Prop2018TransTar!Q32,Prop2018JSTar!Q32)</f>
        <v>0</v>
      </c>
      <c r="R32" s="771">
        <f>SUM(Prop2018DistTar!R32,Prop2018TransTar!R32,Prop2018JSTar!R32)</f>
        <v>0</v>
      </c>
      <c r="S32" s="771">
        <f>SUM(Prop2018DistTar!S32,Prop2018TransTar!S32,Prop2018JSTar!S32)</f>
        <v>0</v>
      </c>
      <c r="T32" s="771">
        <f>SUM(Prop2018DistTar!T32,Prop2018TransTar!T32,Prop2018JSTar!T32)</f>
        <v>0</v>
      </c>
      <c r="U32" s="771">
        <f>SUM(Prop2018DistTar!U32,Prop2018TransTar!U32,Prop2018JSTar!U32)</f>
        <v>0</v>
      </c>
      <c r="V32" s="771">
        <f>SUM(Prop2018DistTar!V32,Prop2018TransTar!V32,Prop2018JSTar!V32)</f>
        <v>0</v>
      </c>
      <c r="W32" s="771">
        <f>SUM(Prop2018DistTar!W32,Prop2018TransTar!W32,Prop2018JSTar!W32)</f>
        <v>0</v>
      </c>
      <c r="X32" s="772">
        <f>SUM(Prop2018DistTar!X32,Prop2018TransTar!X32,Prop2018JSTar!X32)</f>
        <v>0</v>
      </c>
      <c r="Z32" s="750">
        <v>8100</v>
      </c>
      <c r="AA32" s="775">
        <v>0</v>
      </c>
      <c r="AB32" s="775">
        <v>4.3899999999999997</v>
      </c>
      <c r="AC32" s="775">
        <v>0</v>
      </c>
      <c r="AD32" s="775">
        <v>0</v>
      </c>
      <c r="AE32" s="775">
        <v>2.33</v>
      </c>
      <c r="AF32" s="775">
        <v>0</v>
      </c>
      <c r="AG32" s="775">
        <v>0</v>
      </c>
      <c r="AH32" s="775">
        <v>0</v>
      </c>
      <c r="AI32" s="775">
        <v>112.83</v>
      </c>
      <c r="AJ32" s="775">
        <v>0</v>
      </c>
      <c r="AK32" s="775">
        <v>0</v>
      </c>
      <c r="AL32" s="775">
        <v>0</v>
      </c>
      <c r="AM32" s="775">
        <v>0</v>
      </c>
      <c r="AN32" s="775">
        <v>0</v>
      </c>
      <c r="AO32" s="775">
        <v>0</v>
      </c>
      <c r="AP32" s="775">
        <v>0</v>
      </c>
      <c r="AQ32" s="775">
        <v>0</v>
      </c>
      <c r="AR32" s="775">
        <v>0</v>
      </c>
      <c r="AS32" s="775">
        <v>0</v>
      </c>
      <c r="AT32" s="752">
        <v>0</v>
      </c>
      <c r="AW32" s="783">
        <f t="shared" si="3"/>
        <v>-2.4691358024691357E-2</v>
      </c>
      <c r="AX32" s="784">
        <f t="shared" si="3"/>
        <v>0</v>
      </c>
      <c r="AY32" s="784">
        <f t="shared" si="3"/>
        <v>-2.0501138952163989E-2</v>
      </c>
      <c r="AZ32" s="784">
        <f t="shared" si="3"/>
        <v>0</v>
      </c>
      <c r="BA32" s="784">
        <f t="shared" si="3"/>
        <v>0</v>
      </c>
      <c r="BB32" s="784">
        <f t="shared" si="3"/>
        <v>-2.1459227467811259E-2</v>
      </c>
      <c r="BC32" s="784">
        <f t="shared" si="3"/>
        <v>0</v>
      </c>
      <c r="BD32" s="784">
        <f t="shared" si="3"/>
        <v>0</v>
      </c>
      <c r="BE32" s="784">
        <f t="shared" si="3"/>
        <v>0</v>
      </c>
      <c r="BF32" s="784">
        <f t="shared" si="3"/>
        <v>-1.9232473632899039E-2</v>
      </c>
      <c r="BG32" s="784">
        <f t="shared" si="3"/>
        <v>0</v>
      </c>
      <c r="BH32" s="784">
        <f t="shared" si="3"/>
        <v>0</v>
      </c>
      <c r="BI32" s="784">
        <f t="shared" si="3"/>
        <v>0</v>
      </c>
      <c r="BJ32" s="784">
        <f t="shared" si="3"/>
        <v>0</v>
      </c>
      <c r="BK32" s="784">
        <f t="shared" si="3"/>
        <v>0</v>
      </c>
      <c r="BL32" s="784">
        <f t="shared" si="2"/>
        <v>0</v>
      </c>
      <c r="BM32" s="784">
        <f t="shared" si="1"/>
        <v>0</v>
      </c>
      <c r="BN32" s="784">
        <f t="shared" si="1"/>
        <v>0</v>
      </c>
      <c r="BO32" s="784">
        <f t="shared" si="1"/>
        <v>0</v>
      </c>
      <c r="BP32" s="784">
        <f t="shared" si="1"/>
        <v>0</v>
      </c>
      <c r="BQ32" s="785">
        <f t="shared" si="1"/>
        <v>0</v>
      </c>
      <c r="BR32" s="553" t="str">
        <f t="array" ref="BR32">IF(MAX(ABS(AW32:BQ32))&gt;$BR$4,"EXPLAIN","")</f>
        <v/>
      </c>
    </row>
    <row r="33" spans="1:70">
      <c r="A33" s="790"/>
      <c r="B33" s="765" t="s">
        <v>729</v>
      </c>
      <c r="C33" s="765" t="str">
        <f>Prop2018DistTar!B33</f>
        <v>High Voltage</v>
      </c>
      <c r="D33" s="735">
        <f>SUM(Prop2018DistTar!D33,Prop2018TransTar!D33,Prop2018JSTar!D33)</f>
        <v>44900</v>
      </c>
      <c r="E33" s="771">
        <f>SUM(Prop2018DistTar!E33,Prop2018TransTar!E33,Prop2018JSTar!E33)</f>
        <v>0</v>
      </c>
      <c r="F33" s="771">
        <f>SUM(Prop2018DistTar!F33,Prop2018TransTar!F33,Prop2018JSTar!F33)</f>
        <v>2.6</v>
      </c>
      <c r="G33" s="771">
        <f>SUM(Prop2018DistTar!G33,Prop2018TransTar!G33,Prop2018JSTar!G33)</f>
        <v>0</v>
      </c>
      <c r="H33" s="771">
        <f>SUM(Prop2018DistTar!H33,Prop2018TransTar!H33,Prop2018JSTar!H33)</f>
        <v>0</v>
      </c>
      <c r="I33" s="771">
        <f>SUM(Prop2018DistTar!I33,Prop2018TransTar!I33,Prop2018JSTar!I33)</f>
        <v>0.99</v>
      </c>
      <c r="J33" s="771">
        <f>SUM(Prop2018DistTar!J33,Prop2018TransTar!J33,Prop2018JSTar!J33)</f>
        <v>0</v>
      </c>
      <c r="K33" s="771">
        <f>SUM(Prop2018DistTar!K33,Prop2018TransTar!K33,Prop2018JSTar!K33)</f>
        <v>0</v>
      </c>
      <c r="L33" s="771">
        <f>SUM(Prop2018DistTar!L33,Prop2018TransTar!L33,Prop2018JSTar!L33)</f>
        <v>0</v>
      </c>
      <c r="M33" s="771">
        <f>SUM(Prop2018DistTar!M33,Prop2018TransTar!M33,Prop2018JSTar!M33)</f>
        <v>93.35</v>
      </c>
      <c r="N33" s="771">
        <f>SUM(Prop2018DistTar!N33,Prop2018TransTar!N33,Prop2018JSTar!N33)</f>
        <v>0</v>
      </c>
      <c r="O33" s="771">
        <f>SUM(Prop2018DistTar!O33,Prop2018TransTar!O33,Prop2018JSTar!O33)</f>
        <v>0</v>
      </c>
      <c r="P33" s="771">
        <f>SUM(Prop2018DistTar!P33,Prop2018TransTar!P33,Prop2018JSTar!P33)</f>
        <v>0</v>
      </c>
      <c r="Q33" s="771">
        <f>SUM(Prop2018DistTar!Q33,Prop2018TransTar!Q33,Prop2018JSTar!Q33)</f>
        <v>0</v>
      </c>
      <c r="R33" s="771">
        <f>SUM(Prop2018DistTar!R33,Prop2018TransTar!R33,Prop2018JSTar!R33)</f>
        <v>0</v>
      </c>
      <c r="S33" s="771">
        <f>SUM(Prop2018DistTar!S33,Prop2018TransTar!S33,Prop2018JSTar!S33)</f>
        <v>0</v>
      </c>
      <c r="T33" s="771">
        <f>SUM(Prop2018DistTar!T33,Prop2018TransTar!T33,Prop2018JSTar!T33)</f>
        <v>0</v>
      </c>
      <c r="U33" s="771">
        <f>SUM(Prop2018DistTar!U33,Prop2018TransTar!U33,Prop2018JSTar!U33)</f>
        <v>0</v>
      </c>
      <c r="V33" s="771">
        <f>SUM(Prop2018DistTar!V33,Prop2018TransTar!V33,Prop2018JSTar!V33)</f>
        <v>0</v>
      </c>
      <c r="W33" s="771">
        <f>SUM(Prop2018DistTar!W33,Prop2018TransTar!W33,Prop2018JSTar!W33)</f>
        <v>0</v>
      </c>
      <c r="X33" s="772">
        <f>SUM(Prop2018DistTar!X33,Prop2018TransTar!X33,Prop2018JSTar!X33)</f>
        <v>0</v>
      </c>
      <c r="Z33" s="750">
        <v>45800</v>
      </c>
      <c r="AA33" s="775">
        <v>0</v>
      </c>
      <c r="AB33" s="775">
        <v>2.65</v>
      </c>
      <c r="AC33" s="775">
        <v>0</v>
      </c>
      <c r="AD33" s="775">
        <v>0</v>
      </c>
      <c r="AE33" s="775">
        <v>1.01</v>
      </c>
      <c r="AF33" s="775">
        <v>0</v>
      </c>
      <c r="AG33" s="775">
        <v>0</v>
      </c>
      <c r="AH33" s="775">
        <v>0</v>
      </c>
      <c r="AI33" s="775">
        <v>95.18</v>
      </c>
      <c r="AJ33" s="775">
        <v>0</v>
      </c>
      <c r="AK33" s="775">
        <v>0</v>
      </c>
      <c r="AL33" s="775">
        <v>0</v>
      </c>
      <c r="AM33" s="775">
        <v>0</v>
      </c>
      <c r="AN33" s="775">
        <v>0</v>
      </c>
      <c r="AO33" s="775">
        <v>0</v>
      </c>
      <c r="AP33" s="775">
        <v>0</v>
      </c>
      <c r="AQ33" s="775">
        <v>0</v>
      </c>
      <c r="AR33" s="775">
        <v>0</v>
      </c>
      <c r="AS33" s="775">
        <v>0</v>
      </c>
      <c r="AT33" s="752">
        <v>0</v>
      </c>
      <c r="AW33" s="783">
        <f t="shared" si="3"/>
        <v>-1.9650655021834051E-2</v>
      </c>
      <c r="AX33" s="784">
        <f t="shared" si="3"/>
        <v>0</v>
      </c>
      <c r="AY33" s="784">
        <f t="shared" si="3"/>
        <v>-1.8867924528301772E-2</v>
      </c>
      <c r="AZ33" s="784">
        <f t="shared" si="3"/>
        <v>0</v>
      </c>
      <c r="BA33" s="784">
        <f t="shared" si="3"/>
        <v>0</v>
      </c>
      <c r="BB33" s="784">
        <f t="shared" si="3"/>
        <v>-1.980198019801982E-2</v>
      </c>
      <c r="BC33" s="784">
        <f t="shared" si="3"/>
        <v>0</v>
      </c>
      <c r="BD33" s="784">
        <f t="shared" si="3"/>
        <v>0</v>
      </c>
      <c r="BE33" s="784">
        <f t="shared" si="3"/>
        <v>0</v>
      </c>
      <c r="BF33" s="784">
        <f t="shared" si="3"/>
        <v>-1.922672830426575E-2</v>
      </c>
      <c r="BG33" s="784">
        <f t="shared" si="3"/>
        <v>0</v>
      </c>
      <c r="BH33" s="784">
        <f t="shared" si="3"/>
        <v>0</v>
      </c>
      <c r="BI33" s="784">
        <f t="shared" si="3"/>
        <v>0</v>
      </c>
      <c r="BJ33" s="784">
        <f t="shared" si="3"/>
        <v>0</v>
      </c>
      <c r="BK33" s="784">
        <f t="shared" si="3"/>
        <v>0</v>
      </c>
      <c r="BL33" s="784">
        <f t="shared" si="2"/>
        <v>0</v>
      </c>
      <c r="BM33" s="784">
        <f t="shared" si="1"/>
        <v>0</v>
      </c>
      <c r="BN33" s="784">
        <f t="shared" si="1"/>
        <v>0</v>
      </c>
      <c r="BO33" s="784">
        <f t="shared" si="1"/>
        <v>0</v>
      </c>
      <c r="BP33" s="784">
        <f t="shared" si="1"/>
        <v>0</v>
      </c>
      <c r="BQ33" s="785">
        <f t="shared" si="1"/>
        <v>0</v>
      </c>
      <c r="BR33" s="553" t="str">
        <f t="array" ref="BR33">IF(MAX(ABS(AW33:BQ33))&gt;$BR$4,"EXPLAIN","")</f>
        <v/>
      </c>
    </row>
    <row r="34" spans="1:70">
      <c r="A34" s="790"/>
      <c r="B34" s="765" t="s">
        <v>738</v>
      </c>
      <c r="C34" s="765" t="str">
        <f>Prop2018DistTar!B34</f>
        <v>High Voltage Docklands</v>
      </c>
      <c r="D34" s="735">
        <f>SUM(Prop2018DistTar!D34,Prop2018TransTar!D34,Prop2018JSTar!D34)</f>
        <v>35900</v>
      </c>
      <c r="E34" s="771">
        <f>SUM(Prop2018DistTar!E34,Prop2018TransTar!E34,Prop2018JSTar!E34)</f>
        <v>0</v>
      </c>
      <c r="F34" s="771">
        <f>SUM(Prop2018DistTar!F34,Prop2018TransTar!F34,Prop2018JSTar!F34)</f>
        <v>2.06</v>
      </c>
      <c r="G34" s="771">
        <f>SUM(Prop2018DistTar!G34,Prop2018TransTar!G34,Prop2018JSTar!G34)</f>
        <v>0</v>
      </c>
      <c r="H34" s="771">
        <f>SUM(Prop2018DistTar!H34,Prop2018TransTar!H34,Prop2018JSTar!H34)</f>
        <v>0</v>
      </c>
      <c r="I34" s="771">
        <f>SUM(Prop2018DistTar!I34,Prop2018TransTar!I34,Prop2018JSTar!I34)</f>
        <v>0.81</v>
      </c>
      <c r="J34" s="771">
        <f>SUM(Prop2018DistTar!J34,Prop2018TransTar!J34,Prop2018JSTar!J34)</f>
        <v>0</v>
      </c>
      <c r="K34" s="771">
        <f>SUM(Prop2018DistTar!K34,Prop2018TransTar!K34,Prop2018JSTar!K34)</f>
        <v>0</v>
      </c>
      <c r="L34" s="771">
        <f>SUM(Prop2018DistTar!L34,Prop2018TransTar!L34,Prop2018JSTar!L34)</f>
        <v>0</v>
      </c>
      <c r="M34" s="771">
        <f>SUM(Prop2018DistTar!M34,Prop2018TransTar!M34,Prop2018JSTar!M34)</f>
        <v>76.3</v>
      </c>
      <c r="N34" s="771">
        <f>SUM(Prop2018DistTar!N34,Prop2018TransTar!N34,Prop2018JSTar!N34)</f>
        <v>0</v>
      </c>
      <c r="O34" s="771">
        <f>SUM(Prop2018DistTar!O34,Prop2018TransTar!O34,Prop2018JSTar!O34)</f>
        <v>0</v>
      </c>
      <c r="P34" s="771">
        <f>SUM(Prop2018DistTar!P34,Prop2018TransTar!P34,Prop2018JSTar!P34)</f>
        <v>0</v>
      </c>
      <c r="Q34" s="771">
        <f>SUM(Prop2018DistTar!Q34,Prop2018TransTar!Q34,Prop2018JSTar!Q34)</f>
        <v>0</v>
      </c>
      <c r="R34" s="771">
        <f>SUM(Prop2018DistTar!R34,Prop2018TransTar!R34,Prop2018JSTar!R34)</f>
        <v>0</v>
      </c>
      <c r="S34" s="771">
        <f>SUM(Prop2018DistTar!S34,Prop2018TransTar!S34,Prop2018JSTar!S34)</f>
        <v>0</v>
      </c>
      <c r="T34" s="771">
        <f>SUM(Prop2018DistTar!T34,Prop2018TransTar!T34,Prop2018JSTar!T34)</f>
        <v>0</v>
      </c>
      <c r="U34" s="771">
        <f>SUM(Prop2018DistTar!U34,Prop2018TransTar!U34,Prop2018JSTar!U34)</f>
        <v>0</v>
      </c>
      <c r="V34" s="771">
        <f>SUM(Prop2018DistTar!V34,Prop2018TransTar!V34,Prop2018JSTar!V34)</f>
        <v>0</v>
      </c>
      <c r="W34" s="771">
        <f>SUM(Prop2018DistTar!W34,Prop2018TransTar!W34,Prop2018JSTar!W34)</f>
        <v>0</v>
      </c>
      <c r="X34" s="772">
        <f>SUM(Prop2018DistTar!X34,Prop2018TransTar!X34,Prop2018JSTar!X34)</f>
        <v>0</v>
      </c>
      <c r="Z34" s="750">
        <v>36600</v>
      </c>
      <c r="AA34" s="775">
        <v>0</v>
      </c>
      <c r="AB34" s="775">
        <v>2.1</v>
      </c>
      <c r="AC34" s="775">
        <v>0</v>
      </c>
      <c r="AD34" s="775">
        <v>0</v>
      </c>
      <c r="AE34" s="775">
        <v>0.82</v>
      </c>
      <c r="AF34" s="775">
        <v>0</v>
      </c>
      <c r="AG34" s="775">
        <v>0</v>
      </c>
      <c r="AH34" s="775">
        <v>0</v>
      </c>
      <c r="AI34" s="775">
        <v>77.790000000000006</v>
      </c>
      <c r="AJ34" s="775">
        <v>0</v>
      </c>
      <c r="AK34" s="775">
        <v>0</v>
      </c>
      <c r="AL34" s="775">
        <v>0</v>
      </c>
      <c r="AM34" s="775">
        <v>0</v>
      </c>
      <c r="AN34" s="775">
        <v>0</v>
      </c>
      <c r="AO34" s="775">
        <v>0</v>
      </c>
      <c r="AP34" s="775">
        <v>0</v>
      </c>
      <c r="AQ34" s="775">
        <v>0</v>
      </c>
      <c r="AR34" s="775">
        <v>0</v>
      </c>
      <c r="AS34" s="775">
        <v>0</v>
      </c>
      <c r="AT34" s="752">
        <v>0</v>
      </c>
      <c r="AW34" s="783">
        <f t="shared" si="3"/>
        <v>-1.9125683060109311E-2</v>
      </c>
      <c r="AX34" s="784">
        <f t="shared" si="3"/>
        <v>0</v>
      </c>
      <c r="AY34" s="784">
        <f t="shared" si="3"/>
        <v>-1.9047619047619091E-2</v>
      </c>
      <c r="AZ34" s="784">
        <f t="shared" si="3"/>
        <v>0</v>
      </c>
      <c r="BA34" s="784">
        <f t="shared" si="3"/>
        <v>0</v>
      </c>
      <c r="BB34" s="784">
        <f t="shared" si="3"/>
        <v>-1.2195121951219412E-2</v>
      </c>
      <c r="BC34" s="784">
        <f t="shared" si="3"/>
        <v>0</v>
      </c>
      <c r="BD34" s="784">
        <f t="shared" si="3"/>
        <v>0</v>
      </c>
      <c r="BE34" s="784">
        <f t="shared" si="3"/>
        <v>0</v>
      </c>
      <c r="BF34" s="784">
        <f t="shared" si="3"/>
        <v>-1.9154132921969547E-2</v>
      </c>
      <c r="BG34" s="784">
        <f t="shared" si="3"/>
        <v>0</v>
      </c>
      <c r="BH34" s="784">
        <f t="shared" si="3"/>
        <v>0</v>
      </c>
      <c r="BI34" s="784">
        <f t="shared" si="3"/>
        <v>0</v>
      </c>
      <c r="BJ34" s="784">
        <f t="shared" si="3"/>
        <v>0</v>
      </c>
      <c r="BK34" s="784">
        <f t="shared" si="3"/>
        <v>0</v>
      </c>
      <c r="BL34" s="784">
        <f t="shared" si="2"/>
        <v>0</v>
      </c>
      <c r="BM34" s="784">
        <f t="shared" si="1"/>
        <v>0</v>
      </c>
      <c r="BN34" s="784">
        <f t="shared" si="1"/>
        <v>0</v>
      </c>
      <c r="BO34" s="784">
        <f t="shared" si="1"/>
        <v>0</v>
      </c>
      <c r="BP34" s="784">
        <f t="shared" si="1"/>
        <v>0</v>
      </c>
      <c r="BQ34" s="785">
        <f t="shared" si="1"/>
        <v>0</v>
      </c>
      <c r="BR34" s="553" t="str">
        <f t="array" ref="BR34">IF(MAX(ABS(AW34:BQ34))&gt;$BR$4,"EXPLAIN","")</f>
        <v/>
      </c>
    </row>
    <row r="35" spans="1:70">
      <c r="A35" s="790"/>
      <c r="B35" s="765" t="s">
        <v>655</v>
      </c>
      <c r="C35" s="765" t="str">
        <f>Prop2018DistTar!B35</f>
        <v>Subtransmission</v>
      </c>
      <c r="D35" s="735">
        <f>SUM(Prop2018DistTar!D35,Prop2018TransTar!D35,Prop2018JSTar!D35)</f>
        <v>242800</v>
      </c>
      <c r="E35" s="771">
        <f>SUM(Prop2018DistTar!E35,Prop2018TransTar!E35,Prop2018JSTar!E35)</f>
        <v>0</v>
      </c>
      <c r="F35" s="771">
        <f>SUM(Prop2018DistTar!F35,Prop2018TransTar!F35,Prop2018JSTar!F35)</f>
        <v>2.5999999999999996</v>
      </c>
      <c r="G35" s="771">
        <f>SUM(Prop2018DistTar!G35,Prop2018TransTar!G35,Prop2018JSTar!G35)</f>
        <v>0</v>
      </c>
      <c r="H35" s="771">
        <f>SUM(Prop2018DistTar!H35,Prop2018TransTar!H35,Prop2018JSTar!H35)</f>
        <v>0</v>
      </c>
      <c r="I35" s="771">
        <f>SUM(Prop2018DistTar!I35,Prop2018TransTar!I35,Prop2018JSTar!I35)</f>
        <v>0.79</v>
      </c>
      <c r="J35" s="771">
        <f>SUM(Prop2018DistTar!J35,Prop2018TransTar!J35,Prop2018JSTar!J35)</f>
        <v>0</v>
      </c>
      <c r="K35" s="771">
        <f>SUM(Prop2018DistTar!K35,Prop2018TransTar!K35,Prop2018JSTar!K35)</f>
        <v>0</v>
      </c>
      <c r="L35" s="771">
        <f>SUM(Prop2018DistTar!L35,Prop2018TransTar!L35,Prop2018JSTar!L35)</f>
        <v>0</v>
      </c>
      <c r="M35" s="771">
        <f>SUM(Prop2018DistTar!M35,Prop2018TransTar!M35,Prop2018JSTar!M35)</f>
        <v>24.28</v>
      </c>
      <c r="N35" s="771">
        <f>SUM(Prop2018DistTar!N35,Prop2018TransTar!N35,Prop2018JSTar!N35)</f>
        <v>0</v>
      </c>
      <c r="O35" s="771">
        <f>SUM(Prop2018DistTar!O35,Prop2018TransTar!O35,Prop2018JSTar!O35)</f>
        <v>0</v>
      </c>
      <c r="P35" s="771">
        <f>SUM(Prop2018DistTar!P35,Prop2018TransTar!P35,Prop2018JSTar!P35)</f>
        <v>0</v>
      </c>
      <c r="Q35" s="771">
        <f>SUM(Prop2018DistTar!Q35,Prop2018TransTar!Q35,Prop2018JSTar!Q35)</f>
        <v>0</v>
      </c>
      <c r="R35" s="771">
        <f>SUM(Prop2018DistTar!R35,Prop2018TransTar!R35,Prop2018JSTar!R35)</f>
        <v>0</v>
      </c>
      <c r="S35" s="771">
        <f>SUM(Prop2018DistTar!S35,Prop2018TransTar!S35,Prop2018JSTar!S35)</f>
        <v>0</v>
      </c>
      <c r="T35" s="771">
        <f>SUM(Prop2018DistTar!T35,Prop2018TransTar!T35,Prop2018JSTar!T35)</f>
        <v>0</v>
      </c>
      <c r="U35" s="771">
        <f>SUM(Prop2018DistTar!U35,Prop2018TransTar!U35,Prop2018JSTar!U35)</f>
        <v>0</v>
      </c>
      <c r="V35" s="771">
        <f>SUM(Prop2018DistTar!V35,Prop2018TransTar!V35,Prop2018JSTar!V35)</f>
        <v>0</v>
      </c>
      <c r="W35" s="771">
        <f>SUM(Prop2018DistTar!W35,Prop2018TransTar!W35,Prop2018JSTar!W35)</f>
        <v>0</v>
      </c>
      <c r="X35" s="772">
        <f>SUM(Prop2018DistTar!X35,Prop2018TransTar!X35,Prop2018JSTar!X35)</f>
        <v>0</v>
      </c>
      <c r="Z35" s="750">
        <v>247500</v>
      </c>
      <c r="AA35" s="775">
        <v>0</v>
      </c>
      <c r="AB35" s="775">
        <v>2.65</v>
      </c>
      <c r="AC35" s="775">
        <v>0</v>
      </c>
      <c r="AD35" s="775">
        <v>0</v>
      </c>
      <c r="AE35" s="775">
        <v>0.8</v>
      </c>
      <c r="AF35" s="775">
        <v>0</v>
      </c>
      <c r="AG35" s="775">
        <v>0</v>
      </c>
      <c r="AH35" s="775">
        <v>0</v>
      </c>
      <c r="AI35" s="775">
        <v>24.75</v>
      </c>
      <c r="AJ35" s="775">
        <v>0</v>
      </c>
      <c r="AK35" s="775">
        <v>0</v>
      </c>
      <c r="AL35" s="775">
        <v>0</v>
      </c>
      <c r="AM35" s="775">
        <v>0</v>
      </c>
      <c r="AN35" s="775">
        <v>0</v>
      </c>
      <c r="AO35" s="775">
        <v>0</v>
      </c>
      <c r="AP35" s="775">
        <v>0</v>
      </c>
      <c r="AQ35" s="775">
        <v>0</v>
      </c>
      <c r="AR35" s="775">
        <v>0</v>
      </c>
      <c r="AS35" s="775">
        <v>0</v>
      </c>
      <c r="AT35" s="752">
        <v>0</v>
      </c>
      <c r="AW35" s="783">
        <f t="shared" si="3"/>
        <v>-1.8989898989899001E-2</v>
      </c>
      <c r="AX35" s="784">
        <f t="shared" si="3"/>
        <v>0</v>
      </c>
      <c r="AY35" s="784">
        <f t="shared" si="3"/>
        <v>-1.8867924528301994E-2</v>
      </c>
      <c r="AZ35" s="784">
        <f t="shared" si="3"/>
        <v>0</v>
      </c>
      <c r="BA35" s="784">
        <f t="shared" si="3"/>
        <v>0</v>
      </c>
      <c r="BB35" s="784">
        <f t="shared" si="3"/>
        <v>-1.2499999999999956E-2</v>
      </c>
      <c r="BC35" s="784">
        <f t="shared" si="3"/>
        <v>0</v>
      </c>
      <c r="BD35" s="784">
        <f t="shared" si="3"/>
        <v>0</v>
      </c>
      <c r="BE35" s="784">
        <f t="shared" si="3"/>
        <v>0</v>
      </c>
      <c r="BF35" s="784">
        <f t="shared" si="3"/>
        <v>-1.898989898989889E-2</v>
      </c>
      <c r="BG35" s="784">
        <f t="shared" si="3"/>
        <v>0</v>
      </c>
      <c r="BH35" s="784">
        <f t="shared" si="3"/>
        <v>0</v>
      </c>
      <c r="BI35" s="784">
        <f t="shared" si="3"/>
        <v>0</v>
      </c>
      <c r="BJ35" s="784">
        <f t="shared" si="3"/>
        <v>0</v>
      </c>
      <c r="BK35" s="784">
        <f t="shared" si="3"/>
        <v>0</v>
      </c>
      <c r="BL35" s="784">
        <f t="shared" si="2"/>
        <v>0</v>
      </c>
      <c r="BM35" s="784">
        <f t="shared" si="1"/>
        <v>0</v>
      </c>
      <c r="BN35" s="784">
        <f t="shared" si="1"/>
        <v>0</v>
      </c>
      <c r="BO35" s="784">
        <f t="shared" si="1"/>
        <v>0</v>
      </c>
      <c r="BP35" s="784">
        <f t="shared" si="1"/>
        <v>0</v>
      </c>
      <c r="BQ35" s="785">
        <f t="shared" si="1"/>
        <v>0</v>
      </c>
      <c r="BR35" s="553" t="str">
        <f t="array" ref="BR35">IF(MAX(ABS(AW35:BQ35))&gt;$BR$4,"EXPLAIN","")</f>
        <v/>
      </c>
    </row>
    <row r="36" spans="1:70">
      <c r="A36" s="790"/>
      <c r="B36" s="765"/>
      <c r="C36" s="765"/>
      <c r="D36" s="735">
        <f>SUM(Prop2018DistTar!D36,Prop2018TransTar!D36,Prop2018JSTar!D36)</f>
        <v>0</v>
      </c>
      <c r="E36" s="771">
        <f>SUM(Prop2018DistTar!E36,Prop2018TransTar!E36,Prop2018JSTar!E36)</f>
        <v>0</v>
      </c>
      <c r="F36" s="771">
        <f>SUM(Prop2018DistTar!F36,Prop2018TransTar!F36,Prop2018JSTar!F36)</f>
        <v>0</v>
      </c>
      <c r="G36" s="771">
        <f>SUM(Prop2018DistTar!G36,Prop2018TransTar!G36,Prop2018JSTar!G36)</f>
        <v>0</v>
      </c>
      <c r="H36" s="771">
        <f>SUM(Prop2018DistTar!H36,Prop2018TransTar!H36,Prop2018JSTar!H36)</f>
        <v>0</v>
      </c>
      <c r="I36" s="771">
        <f>SUM(Prop2018DistTar!I36,Prop2018TransTar!I36,Prop2018JSTar!I36)</f>
        <v>0</v>
      </c>
      <c r="J36" s="771">
        <f>SUM(Prop2018DistTar!J36,Prop2018TransTar!J36,Prop2018JSTar!J36)</f>
        <v>0</v>
      </c>
      <c r="K36" s="771">
        <f>SUM(Prop2018DistTar!K36,Prop2018TransTar!K36,Prop2018JSTar!K36)</f>
        <v>0</v>
      </c>
      <c r="L36" s="771">
        <f>SUM(Prop2018DistTar!L36,Prop2018TransTar!L36,Prop2018JSTar!L36)</f>
        <v>0</v>
      </c>
      <c r="M36" s="771">
        <f>SUM(Prop2018DistTar!M36,Prop2018TransTar!M36,Prop2018JSTar!M36)</f>
        <v>0</v>
      </c>
      <c r="N36" s="771">
        <f>SUM(Prop2018DistTar!N36,Prop2018TransTar!N36,Prop2018JSTar!N36)</f>
        <v>0</v>
      </c>
      <c r="O36" s="771">
        <f>SUM(Prop2018DistTar!O36,Prop2018TransTar!O36,Prop2018JSTar!O36)</f>
        <v>0</v>
      </c>
      <c r="P36" s="771">
        <f>SUM(Prop2018DistTar!P36,Prop2018TransTar!P36,Prop2018JSTar!P36)</f>
        <v>0</v>
      </c>
      <c r="Q36" s="771">
        <f>SUM(Prop2018DistTar!Q36,Prop2018TransTar!Q36,Prop2018JSTar!Q36)</f>
        <v>0</v>
      </c>
      <c r="R36" s="771">
        <f>SUM(Prop2018DistTar!R36,Prop2018TransTar!R36,Prop2018JSTar!R36)</f>
        <v>0</v>
      </c>
      <c r="S36" s="771">
        <f>SUM(Prop2018DistTar!S36,Prop2018TransTar!S36,Prop2018JSTar!S36)</f>
        <v>0</v>
      </c>
      <c r="T36" s="771">
        <f>SUM(Prop2018DistTar!T36,Prop2018TransTar!T36,Prop2018JSTar!T36)</f>
        <v>0</v>
      </c>
      <c r="U36" s="771">
        <f>SUM(Prop2018DistTar!U36,Prop2018TransTar!U36,Prop2018JSTar!U36)</f>
        <v>0</v>
      </c>
      <c r="V36" s="771">
        <f>SUM(Prop2018DistTar!V36,Prop2018TransTar!V36,Prop2018JSTar!V36)</f>
        <v>0</v>
      </c>
      <c r="W36" s="771">
        <f>SUM(Prop2018DistTar!W36,Prop2018TransTar!W36,Prop2018JSTar!W36)</f>
        <v>0</v>
      </c>
      <c r="X36" s="772">
        <f>SUM(Prop2018DistTar!X36,Prop2018TransTar!X36,Prop2018JSTar!X36)</f>
        <v>0</v>
      </c>
      <c r="Z36" s="750"/>
      <c r="AA36" s="775"/>
      <c r="AB36" s="775"/>
      <c r="AC36" s="775"/>
      <c r="AD36" s="775"/>
      <c r="AE36" s="775"/>
      <c r="AF36" s="775"/>
      <c r="AG36" s="775"/>
      <c r="AH36" s="775"/>
      <c r="AI36" s="775"/>
      <c r="AJ36" s="775"/>
      <c r="AK36" s="775"/>
      <c r="AL36" s="775"/>
      <c r="AM36" s="775"/>
      <c r="AN36" s="775"/>
      <c r="AO36" s="775"/>
      <c r="AP36" s="775"/>
      <c r="AQ36" s="775"/>
      <c r="AR36" s="775"/>
      <c r="AS36" s="775"/>
      <c r="AT36" s="752"/>
      <c r="AW36" s="783">
        <f t="shared" si="3"/>
        <v>0</v>
      </c>
      <c r="AX36" s="784">
        <f t="shared" si="3"/>
        <v>0</v>
      </c>
      <c r="AY36" s="784">
        <f t="shared" si="3"/>
        <v>0</v>
      </c>
      <c r="AZ36" s="784">
        <f t="shared" si="3"/>
        <v>0</v>
      </c>
      <c r="BA36" s="784">
        <f t="shared" si="3"/>
        <v>0</v>
      </c>
      <c r="BB36" s="784">
        <f t="shared" si="3"/>
        <v>0</v>
      </c>
      <c r="BC36" s="784">
        <f t="shared" si="3"/>
        <v>0</v>
      </c>
      <c r="BD36" s="784">
        <f t="shared" si="3"/>
        <v>0</v>
      </c>
      <c r="BE36" s="784">
        <f t="shared" si="3"/>
        <v>0</v>
      </c>
      <c r="BF36" s="784">
        <f t="shared" si="3"/>
        <v>0</v>
      </c>
      <c r="BG36" s="784">
        <f t="shared" si="3"/>
        <v>0</v>
      </c>
      <c r="BH36" s="784">
        <f t="shared" si="3"/>
        <v>0</v>
      </c>
      <c r="BI36" s="784">
        <f t="shared" si="3"/>
        <v>0</v>
      </c>
      <c r="BJ36" s="784">
        <f t="shared" si="3"/>
        <v>0</v>
      </c>
      <c r="BK36" s="784">
        <f t="shared" si="3"/>
        <v>0</v>
      </c>
      <c r="BL36" s="784">
        <f t="shared" si="2"/>
        <v>0</v>
      </c>
      <c r="BM36" s="784">
        <f t="shared" si="1"/>
        <v>0</v>
      </c>
      <c r="BN36" s="784">
        <f t="shared" si="1"/>
        <v>0</v>
      </c>
      <c r="BO36" s="784">
        <f t="shared" si="1"/>
        <v>0</v>
      </c>
      <c r="BP36" s="784">
        <f t="shared" si="1"/>
        <v>0</v>
      </c>
      <c r="BQ36" s="785">
        <f t="shared" si="1"/>
        <v>0</v>
      </c>
      <c r="BR36" s="553" t="str">
        <f t="array" ref="BR36">IF(MAX(ABS(AW36:BQ36))&gt;$BR$4,"EXPLAIN","")</f>
        <v/>
      </c>
    </row>
    <row r="37" spans="1:70">
      <c r="A37" s="790"/>
      <c r="B37" s="765"/>
      <c r="C37" s="765"/>
      <c r="D37" s="735">
        <f>SUM(Prop2018DistTar!D37,Prop2018TransTar!D37,Prop2018JSTar!D37)</f>
        <v>0</v>
      </c>
      <c r="E37" s="771">
        <f>SUM(Prop2018DistTar!E37,Prop2018TransTar!E37,Prop2018JSTar!E37)</f>
        <v>0</v>
      </c>
      <c r="F37" s="771">
        <f>SUM(Prop2018DistTar!F37,Prop2018TransTar!F37,Prop2018JSTar!F37)</f>
        <v>0</v>
      </c>
      <c r="G37" s="771">
        <f>SUM(Prop2018DistTar!G37,Prop2018TransTar!G37,Prop2018JSTar!G37)</f>
        <v>0</v>
      </c>
      <c r="H37" s="771">
        <f>SUM(Prop2018DistTar!H37,Prop2018TransTar!H37,Prop2018JSTar!H37)</f>
        <v>0</v>
      </c>
      <c r="I37" s="771">
        <f>SUM(Prop2018DistTar!I37,Prop2018TransTar!I37,Prop2018JSTar!I37)</f>
        <v>0</v>
      </c>
      <c r="J37" s="771">
        <f>SUM(Prop2018DistTar!J37,Prop2018TransTar!J37,Prop2018JSTar!J37)</f>
        <v>0</v>
      </c>
      <c r="K37" s="771">
        <f>SUM(Prop2018DistTar!K37,Prop2018TransTar!K37,Prop2018JSTar!K37)</f>
        <v>0</v>
      </c>
      <c r="L37" s="771">
        <f>SUM(Prop2018DistTar!L37,Prop2018TransTar!L37,Prop2018JSTar!L37)</f>
        <v>0</v>
      </c>
      <c r="M37" s="771">
        <f>SUM(Prop2018DistTar!M37,Prop2018TransTar!M37,Prop2018JSTar!M37)</f>
        <v>0</v>
      </c>
      <c r="N37" s="771">
        <f>SUM(Prop2018DistTar!N37,Prop2018TransTar!N37,Prop2018JSTar!N37)</f>
        <v>0</v>
      </c>
      <c r="O37" s="771">
        <f>SUM(Prop2018DistTar!O37,Prop2018TransTar!O37,Prop2018JSTar!O37)</f>
        <v>0</v>
      </c>
      <c r="P37" s="771">
        <f>SUM(Prop2018DistTar!P37,Prop2018TransTar!P37,Prop2018JSTar!P37)</f>
        <v>0</v>
      </c>
      <c r="Q37" s="771">
        <f>SUM(Prop2018DistTar!Q37,Prop2018TransTar!Q37,Prop2018JSTar!Q37)</f>
        <v>0</v>
      </c>
      <c r="R37" s="771">
        <f>SUM(Prop2018DistTar!R37,Prop2018TransTar!R37,Prop2018JSTar!R37)</f>
        <v>0</v>
      </c>
      <c r="S37" s="771">
        <f>SUM(Prop2018DistTar!S37,Prop2018TransTar!S37,Prop2018JSTar!S37)</f>
        <v>0</v>
      </c>
      <c r="T37" s="771">
        <f>SUM(Prop2018DistTar!T37,Prop2018TransTar!T37,Prop2018JSTar!T37)</f>
        <v>0</v>
      </c>
      <c r="U37" s="771">
        <f>SUM(Prop2018DistTar!U37,Prop2018TransTar!U37,Prop2018JSTar!U37)</f>
        <v>0</v>
      </c>
      <c r="V37" s="771">
        <f>SUM(Prop2018DistTar!V37,Prop2018TransTar!V37,Prop2018JSTar!V37)</f>
        <v>0</v>
      </c>
      <c r="W37" s="771">
        <f>SUM(Prop2018DistTar!W37,Prop2018TransTar!W37,Prop2018JSTar!W37)</f>
        <v>0</v>
      </c>
      <c r="X37" s="772">
        <f>SUM(Prop2018DistTar!X37,Prop2018TransTar!X37,Prop2018JSTar!X37)</f>
        <v>0</v>
      </c>
      <c r="Z37" s="750"/>
      <c r="AA37" s="775"/>
      <c r="AB37" s="775"/>
      <c r="AC37" s="775"/>
      <c r="AD37" s="775"/>
      <c r="AE37" s="775"/>
      <c r="AF37" s="775"/>
      <c r="AG37" s="775"/>
      <c r="AH37" s="775"/>
      <c r="AI37" s="775"/>
      <c r="AJ37" s="775"/>
      <c r="AK37" s="775"/>
      <c r="AL37" s="775"/>
      <c r="AM37" s="775"/>
      <c r="AN37" s="775"/>
      <c r="AO37" s="775"/>
      <c r="AP37" s="775"/>
      <c r="AQ37" s="775"/>
      <c r="AR37" s="775"/>
      <c r="AS37" s="775"/>
      <c r="AT37" s="752"/>
      <c r="AW37" s="783">
        <f t="shared" si="3"/>
        <v>0</v>
      </c>
      <c r="AX37" s="784">
        <f t="shared" si="3"/>
        <v>0</v>
      </c>
      <c r="AY37" s="784">
        <f t="shared" si="3"/>
        <v>0</v>
      </c>
      <c r="AZ37" s="784">
        <f t="shared" si="3"/>
        <v>0</v>
      </c>
      <c r="BA37" s="784">
        <f t="shared" si="3"/>
        <v>0</v>
      </c>
      <c r="BB37" s="784">
        <f t="shared" si="3"/>
        <v>0</v>
      </c>
      <c r="BC37" s="784">
        <f t="shared" si="3"/>
        <v>0</v>
      </c>
      <c r="BD37" s="784">
        <f t="shared" si="3"/>
        <v>0</v>
      </c>
      <c r="BE37" s="784">
        <f t="shared" si="3"/>
        <v>0</v>
      </c>
      <c r="BF37" s="784">
        <f t="shared" si="3"/>
        <v>0</v>
      </c>
      <c r="BG37" s="784">
        <f t="shared" si="3"/>
        <v>0</v>
      </c>
      <c r="BH37" s="784">
        <f t="shared" si="3"/>
        <v>0</v>
      </c>
      <c r="BI37" s="784">
        <f t="shared" si="3"/>
        <v>0</v>
      </c>
      <c r="BJ37" s="784">
        <f t="shared" si="3"/>
        <v>0</v>
      </c>
      <c r="BK37" s="784">
        <f t="shared" si="3"/>
        <v>0</v>
      </c>
      <c r="BL37" s="784">
        <f t="shared" si="2"/>
        <v>0</v>
      </c>
      <c r="BM37" s="784">
        <f t="shared" si="1"/>
        <v>0</v>
      </c>
      <c r="BN37" s="784">
        <f t="shared" si="1"/>
        <v>0</v>
      </c>
      <c r="BO37" s="784">
        <f t="shared" si="1"/>
        <v>0</v>
      </c>
      <c r="BP37" s="784">
        <f t="shared" si="1"/>
        <v>0</v>
      </c>
      <c r="BQ37" s="785">
        <f t="shared" si="1"/>
        <v>0</v>
      </c>
      <c r="BR37" s="553" t="str">
        <f t="array" ref="BR37">IF(MAX(ABS(AW37:BQ37))&gt;$BR$4,"EXPLAIN","")</f>
        <v/>
      </c>
    </row>
    <row r="38" spans="1:70">
      <c r="A38" s="790"/>
      <c r="B38" s="765"/>
      <c r="C38" s="765"/>
      <c r="D38" s="735">
        <f>SUM(Prop2018DistTar!D38,Prop2018TransTar!D38,Prop2018JSTar!D38)</f>
        <v>0</v>
      </c>
      <c r="E38" s="771">
        <f>SUM(Prop2018DistTar!E38,Prop2018TransTar!E38,Prop2018JSTar!E38)</f>
        <v>0</v>
      </c>
      <c r="F38" s="771">
        <f>SUM(Prop2018DistTar!F38,Prop2018TransTar!F38,Prop2018JSTar!F38)</f>
        <v>0</v>
      </c>
      <c r="G38" s="771">
        <f>SUM(Prop2018DistTar!G38,Prop2018TransTar!G38,Prop2018JSTar!G38)</f>
        <v>0</v>
      </c>
      <c r="H38" s="771">
        <f>SUM(Prop2018DistTar!H38,Prop2018TransTar!H38,Prop2018JSTar!H38)</f>
        <v>0</v>
      </c>
      <c r="I38" s="771">
        <f>SUM(Prop2018DistTar!I38,Prop2018TransTar!I38,Prop2018JSTar!I38)</f>
        <v>0</v>
      </c>
      <c r="J38" s="771">
        <f>SUM(Prop2018DistTar!J38,Prop2018TransTar!J38,Prop2018JSTar!J38)</f>
        <v>0</v>
      </c>
      <c r="K38" s="771">
        <f>SUM(Prop2018DistTar!K38,Prop2018TransTar!K38,Prop2018JSTar!K38)</f>
        <v>0</v>
      </c>
      <c r="L38" s="771">
        <f>SUM(Prop2018DistTar!L38,Prop2018TransTar!L38,Prop2018JSTar!L38)</f>
        <v>0</v>
      </c>
      <c r="M38" s="771">
        <f>SUM(Prop2018DistTar!M38,Prop2018TransTar!M38,Prop2018JSTar!M38)</f>
        <v>0</v>
      </c>
      <c r="N38" s="771">
        <f>SUM(Prop2018DistTar!N38,Prop2018TransTar!N38,Prop2018JSTar!N38)</f>
        <v>0</v>
      </c>
      <c r="O38" s="771">
        <f>SUM(Prop2018DistTar!O38,Prop2018TransTar!O38,Prop2018JSTar!O38)</f>
        <v>0</v>
      </c>
      <c r="P38" s="771">
        <f>SUM(Prop2018DistTar!P38,Prop2018TransTar!P38,Prop2018JSTar!P38)</f>
        <v>0</v>
      </c>
      <c r="Q38" s="771">
        <f>SUM(Prop2018DistTar!Q38,Prop2018TransTar!Q38,Prop2018JSTar!Q38)</f>
        <v>0</v>
      </c>
      <c r="R38" s="771">
        <f>SUM(Prop2018DistTar!R38,Prop2018TransTar!R38,Prop2018JSTar!R38)</f>
        <v>0</v>
      </c>
      <c r="S38" s="771">
        <f>SUM(Prop2018DistTar!S38,Prop2018TransTar!S38,Prop2018JSTar!S38)</f>
        <v>0</v>
      </c>
      <c r="T38" s="771">
        <f>SUM(Prop2018DistTar!T38,Prop2018TransTar!T38,Prop2018JSTar!T38)</f>
        <v>0</v>
      </c>
      <c r="U38" s="771">
        <f>SUM(Prop2018DistTar!U38,Prop2018TransTar!U38,Prop2018JSTar!U38)</f>
        <v>0</v>
      </c>
      <c r="V38" s="771">
        <f>SUM(Prop2018DistTar!V38,Prop2018TransTar!V38,Prop2018JSTar!V38)</f>
        <v>0</v>
      </c>
      <c r="W38" s="771">
        <f>SUM(Prop2018DistTar!W38,Prop2018TransTar!W38,Prop2018JSTar!W38)</f>
        <v>0</v>
      </c>
      <c r="X38" s="772">
        <f>SUM(Prop2018DistTar!X38,Prop2018TransTar!X38,Prop2018JSTar!X38)</f>
        <v>0</v>
      </c>
      <c r="Z38" s="750"/>
      <c r="AA38" s="775"/>
      <c r="AB38" s="775"/>
      <c r="AC38" s="775"/>
      <c r="AD38" s="775"/>
      <c r="AE38" s="775"/>
      <c r="AF38" s="775"/>
      <c r="AG38" s="775"/>
      <c r="AH38" s="775"/>
      <c r="AI38" s="775"/>
      <c r="AJ38" s="775"/>
      <c r="AK38" s="775"/>
      <c r="AL38" s="775"/>
      <c r="AM38" s="775"/>
      <c r="AN38" s="775"/>
      <c r="AO38" s="775"/>
      <c r="AP38" s="775"/>
      <c r="AQ38" s="775"/>
      <c r="AR38" s="775"/>
      <c r="AS38" s="775"/>
      <c r="AT38" s="752"/>
      <c r="AW38" s="783">
        <f t="shared" si="3"/>
        <v>0</v>
      </c>
      <c r="AX38" s="784">
        <f t="shared" si="3"/>
        <v>0</v>
      </c>
      <c r="AY38" s="784">
        <f t="shared" si="3"/>
        <v>0</v>
      </c>
      <c r="AZ38" s="784">
        <f t="shared" si="3"/>
        <v>0</v>
      </c>
      <c r="BA38" s="784">
        <f t="shared" si="3"/>
        <v>0</v>
      </c>
      <c r="BB38" s="784">
        <f t="shared" si="3"/>
        <v>0</v>
      </c>
      <c r="BC38" s="784">
        <f t="shared" si="3"/>
        <v>0</v>
      </c>
      <c r="BD38" s="784">
        <f t="shared" si="3"/>
        <v>0</v>
      </c>
      <c r="BE38" s="784">
        <f t="shared" si="3"/>
        <v>0</v>
      </c>
      <c r="BF38" s="784">
        <f t="shared" si="3"/>
        <v>0</v>
      </c>
      <c r="BG38" s="784">
        <f t="shared" si="3"/>
        <v>0</v>
      </c>
      <c r="BH38" s="784">
        <f t="shared" si="3"/>
        <v>0</v>
      </c>
      <c r="BI38" s="784">
        <f t="shared" si="3"/>
        <v>0</v>
      </c>
      <c r="BJ38" s="784">
        <f t="shared" si="3"/>
        <v>0</v>
      </c>
      <c r="BK38" s="784">
        <f t="shared" si="3"/>
        <v>0</v>
      </c>
      <c r="BL38" s="784">
        <f t="shared" si="2"/>
        <v>0</v>
      </c>
      <c r="BM38" s="784">
        <f t="shared" si="2"/>
        <v>0</v>
      </c>
      <c r="BN38" s="784">
        <f t="shared" si="2"/>
        <v>0</v>
      </c>
      <c r="BO38" s="784">
        <f t="shared" si="2"/>
        <v>0</v>
      </c>
      <c r="BP38" s="784">
        <f t="shared" si="2"/>
        <v>0</v>
      </c>
      <c r="BQ38" s="785">
        <f t="shared" si="2"/>
        <v>0</v>
      </c>
      <c r="BR38" s="553" t="str">
        <f t="array" ref="BR38">IF(MAX(ABS(AW38:BQ38))&gt;$BR$4,"EXPLAIN","")</f>
        <v/>
      </c>
    </row>
    <row r="39" spans="1:70">
      <c r="A39" s="790"/>
      <c r="B39" s="765"/>
      <c r="C39" s="765"/>
      <c r="D39" s="735">
        <f>SUM(Prop2018DistTar!D39,Prop2018TransTar!D39,Prop2018JSTar!D39)</f>
        <v>0</v>
      </c>
      <c r="E39" s="771">
        <f>SUM(Prop2018DistTar!E39,Prop2018TransTar!E39,Prop2018JSTar!E39)</f>
        <v>0</v>
      </c>
      <c r="F39" s="771">
        <f>SUM(Prop2018DistTar!F39,Prop2018TransTar!F39,Prop2018JSTar!F39)</f>
        <v>0</v>
      </c>
      <c r="G39" s="771">
        <f>SUM(Prop2018DistTar!G39,Prop2018TransTar!G39,Prop2018JSTar!G39)</f>
        <v>0</v>
      </c>
      <c r="H39" s="771">
        <f>SUM(Prop2018DistTar!H39,Prop2018TransTar!H39,Prop2018JSTar!H39)</f>
        <v>0</v>
      </c>
      <c r="I39" s="771">
        <f>SUM(Prop2018DistTar!I39,Prop2018TransTar!I39,Prop2018JSTar!I39)</f>
        <v>0</v>
      </c>
      <c r="J39" s="771">
        <f>SUM(Prop2018DistTar!J39,Prop2018TransTar!J39,Prop2018JSTar!J39)</f>
        <v>0</v>
      </c>
      <c r="K39" s="771">
        <f>SUM(Prop2018DistTar!K39,Prop2018TransTar!K39,Prop2018JSTar!K39)</f>
        <v>0</v>
      </c>
      <c r="L39" s="771">
        <f>SUM(Prop2018DistTar!L39,Prop2018TransTar!L39,Prop2018JSTar!L39)</f>
        <v>0</v>
      </c>
      <c r="M39" s="771">
        <f>SUM(Prop2018DistTar!M39,Prop2018TransTar!M39,Prop2018JSTar!M39)</f>
        <v>0</v>
      </c>
      <c r="N39" s="771">
        <f>SUM(Prop2018DistTar!N39,Prop2018TransTar!N39,Prop2018JSTar!N39)</f>
        <v>0</v>
      </c>
      <c r="O39" s="771">
        <f>SUM(Prop2018DistTar!O39,Prop2018TransTar!O39,Prop2018JSTar!O39)</f>
        <v>0</v>
      </c>
      <c r="P39" s="771">
        <f>SUM(Prop2018DistTar!P39,Prop2018TransTar!P39,Prop2018JSTar!P39)</f>
        <v>0</v>
      </c>
      <c r="Q39" s="771">
        <f>SUM(Prop2018DistTar!Q39,Prop2018TransTar!Q39,Prop2018JSTar!Q39)</f>
        <v>0</v>
      </c>
      <c r="R39" s="771">
        <f>SUM(Prop2018DistTar!R39,Prop2018TransTar!R39,Prop2018JSTar!R39)</f>
        <v>0</v>
      </c>
      <c r="S39" s="771">
        <f>SUM(Prop2018DistTar!S39,Prop2018TransTar!S39,Prop2018JSTar!S39)</f>
        <v>0</v>
      </c>
      <c r="T39" s="771">
        <f>SUM(Prop2018DistTar!T39,Prop2018TransTar!T39,Prop2018JSTar!T39)</f>
        <v>0</v>
      </c>
      <c r="U39" s="771">
        <f>SUM(Prop2018DistTar!U39,Prop2018TransTar!U39,Prop2018JSTar!U39)</f>
        <v>0</v>
      </c>
      <c r="V39" s="771">
        <f>SUM(Prop2018DistTar!V39,Prop2018TransTar!V39,Prop2018JSTar!V39)</f>
        <v>0</v>
      </c>
      <c r="W39" s="771">
        <f>SUM(Prop2018DistTar!W39,Prop2018TransTar!W39,Prop2018JSTar!W39)</f>
        <v>0</v>
      </c>
      <c r="X39" s="772">
        <f>SUM(Prop2018DistTar!X39,Prop2018TransTar!X39,Prop2018JSTar!X39)</f>
        <v>0</v>
      </c>
      <c r="Z39" s="750"/>
      <c r="AA39" s="775"/>
      <c r="AB39" s="775"/>
      <c r="AC39" s="775"/>
      <c r="AD39" s="775"/>
      <c r="AE39" s="775"/>
      <c r="AF39" s="775"/>
      <c r="AG39" s="775"/>
      <c r="AH39" s="775"/>
      <c r="AI39" s="775"/>
      <c r="AJ39" s="775"/>
      <c r="AK39" s="775"/>
      <c r="AL39" s="775"/>
      <c r="AM39" s="775"/>
      <c r="AN39" s="775"/>
      <c r="AO39" s="775"/>
      <c r="AP39" s="775"/>
      <c r="AQ39" s="775"/>
      <c r="AR39" s="775"/>
      <c r="AS39" s="775"/>
      <c r="AT39" s="752"/>
      <c r="AW39" s="783">
        <f t="shared" ref="AW39:BL55" si="4">IFERROR(D39/Z39-1,0)</f>
        <v>0</v>
      </c>
      <c r="AX39" s="784">
        <f t="shared" si="4"/>
        <v>0</v>
      </c>
      <c r="AY39" s="784">
        <f t="shared" si="4"/>
        <v>0</v>
      </c>
      <c r="AZ39" s="784">
        <f t="shared" si="4"/>
        <v>0</v>
      </c>
      <c r="BA39" s="784">
        <f t="shared" si="4"/>
        <v>0</v>
      </c>
      <c r="BB39" s="784">
        <f t="shared" si="4"/>
        <v>0</v>
      </c>
      <c r="BC39" s="784">
        <f t="shared" si="4"/>
        <v>0</v>
      </c>
      <c r="BD39" s="784">
        <f t="shared" si="4"/>
        <v>0</v>
      </c>
      <c r="BE39" s="784">
        <f t="shared" si="4"/>
        <v>0</v>
      </c>
      <c r="BF39" s="784">
        <f t="shared" si="4"/>
        <v>0</v>
      </c>
      <c r="BG39" s="784">
        <f t="shared" si="4"/>
        <v>0</v>
      </c>
      <c r="BH39" s="784">
        <f t="shared" si="4"/>
        <v>0</v>
      </c>
      <c r="BI39" s="784">
        <f t="shared" si="4"/>
        <v>0</v>
      </c>
      <c r="BJ39" s="784">
        <f t="shared" si="4"/>
        <v>0</v>
      </c>
      <c r="BK39" s="784">
        <f t="shared" si="4"/>
        <v>0</v>
      </c>
      <c r="BL39" s="784">
        <f t="shared" si="2"/>
        <v>0</v>
      </c>
      <c r="BM39" s="784">
        <f t="shared" si="2"/>
        <v>0</v>
      </c>
      <c r="BN39" s="784">
        <f t="shared" si="2"/>
        <v>0</v>
      </c>
      <c r="BO39" s="784">
        <f t="shared" si="2"/>
        <v>0</v>
      </c>
      <c r="BP39" s="784">
        <f t="shared" si="2"/>
        <v>0</v>
      </c>
      <c r="BQ39" s="785">
        <f t="shared" si="2"/>
        <v>0</v>
      </c>
      <c r="BR39" s="553" t="str">
        <f t="array" ref="BR39">IF(MAX(ABS(AW39:BQ39))&gt;$BR$4,"EXPLAIN","")</f>
        <v/>
      </c>
    </row>
    <row r="40" spans="1:70">
      <c r="B40" s="765"/>
      <c r="C40" s="765"/>
      <c r="D40" s="735">
        <f>SUM(Prop2018DistTar!D40,Prop2018TransTar!D40,Prop2018JSTar!D40)</f>
        <v>0</v>
      </c>
      <c r="E40" s="771">
        <f>SUM(Prop2018DistTar!E40,Prop2018TransTar!E40,Prop2018JSTar!E40)</f>
        <v>0</v>
      </c>
      <c r="F40" s="771">
        <f>SUM(Prop2018DistTar!F40,Prop2018TransTar!F40,Prop2018JSTar!F40)</f>
        <v>0</v>
      </c>
      <c r="G40" s="771">
        <f>SUM(Prop2018DistTar!G40,Prop2018TransTar!G40,Prop2018JSTar!G40)</f>
        <v>0</v>
      </c>
      <c r="H40" s="771">
        <f>SUM(Prop2018DistTar!H40,Prop2018TransTar!H40,Prop2018JSTar!H40)</f>
        <v>0</v>
      </c>
      <c r="I40" s="771">
        <f>SUM(Prop2018DistTar!I40,Prop2018TransTar!I40,Prop2018JSTar!I40)</f>
        <v>0</v>
      </c>
      <c r="J40" s="771">
        <f>SUM(Prop2018DistTar!J40,Prop2018TransTar!J40,Prop2018JSTar!J40)</f>
        <v>0</v>
      </c>
      <c r="K40" s="771">
        <f>SUM(Prop2018DistTar!K40,Prop2018TransTar!K40,Prop2018JSTar!K40)</f>
        <v>0</v>
      </c>
      <c r="L40" s="771">
        <f>SUM(Prop2018DistTar!L40,Prop2018TransTar!L40,Prop2018JSTar!L40)</f>
        <v>0</v>
      </c>
      <c r="M40" s="771">
        <f>SUM(Prop2018DistTar!M40,Prop2018TransTar!M40,Prop2018JSTar!M40)</f>
        <v>0</v>
      </c>
      <c r="N40" s="771">
        <f>SUM(Prop2018DistTar!N40,Prop2018TransTar!N40,Prop2018JSTar!N40)</f>
        <v>0</v>
      </c>
      <c r="O40" s="771">
        <f>SUM(Prop2018DistTar!O40,Prop2018TransTar!O40,Prop2018JSTar!O40)</f>
        <v>0</v>
      </c>
      <c r="P40" s="771">
        <f>SUM(Prop2018DistTar!P40,Prop2018TransTar!P40,Prop2018JSTar!P40)</f>
        <v>0</v>
      </c>
      <c r="Q40" s="771">
        <f>SUM(Prop2018DistTar!Q40,Prop2018TransTar!Q40,Prop2018JSTar!Q40)</f>
        <v>0</v>
      </c>
      <c r="R40" s="771">
        <f>SUM(Prop2018DistTar!R40,Prop2018TransTar!R40,Prop2018JSTar!R40)</f>
        <v>0</v>
      </c>
      <c r="S40" s="771">
        <f>SUM(Prop2018DistTar!S40,Prop2018TransTar!S40,Prop2018JSTar!S40)</f>
        <v>0</v>
      </c>
      <c r="T40" s="771">
        <f>SUM(Prop2018DistTar!T40,Prop2018TransTar!T40,Prop2018JSTar!T40)</f>
        <v>0</v>
      </c>
      <c r="U40" s="771">
        <f>SUM(Prop2018DistTar!U40,Prop2018TransTar!U40,Prop2018JSTar!U40)</f>
        <v>0</v>
      </c>
      <c r="V40" s="771">
        <f>SUM(Prop2018DistTar!V40,Prop2018TransTar!V40,Prop2018JSTar!V40)</f>
        <v>0</v>
      </c>
      <c r="W40" s="771">
        <f>SUM(Prop2018DistTar!W40,Prop2018TransTar!W40,Prop2018JSTar!W40)</f>
        <v>0</v>
      </c>
      <c r="X40" s="772">
        <f>SUM(Prop2018DistTar!X40,Prop2018TransTar!X40,Prop2018JSTar!X40)</f>
        <v>0</v>
      </c>
      <c r="Z40" s="750"/>
      <c r="AA40" s="775"/>
      <c r="AB40" s="775"/>
      <c r="AC40" s="775"/>
      <c r="AD40" s="775"/>
      <c r="AE40" s="775"/>
      <c r="AF40" s="775"/>
      <c r="AG40" s="775"/>
      <c r="AH40" s="775"/>
      <c r="AI40" s="775"/>
      <c r="AJ40" s="775"/>
      <c r="AK40" s="775"/>
      <c r="AL40" s="775"/>
      <c r="AM40" s="775"/>
      <c r="AN40" s="775"/>
      <c r="AO40" s="775"/>
      <c r="AP40" s="775"/>
      <c r="AQ40" s="775"/>
      <c r="AR40" s="775"/>
      <c r="AS40" s="775"/>
      <c r="AT40" s="752"/>
      <c r="AW40" s="783">
        <f t="shared" si="4"/>
        <v>0</v>
      </c>
      <c r="AX40" s="784">
        <f t="shared" si="4"/>
        <v>0</v>
      </c>
      <c r="AY40" s="784">
        <f t="shared" si="4"/>
        <v>0</v>
      </c>
      <c r="AZ40" s="784">
        <f t="shared" si="4"/>
        <v>0</v>
      </c>
      <c r="BA40" s="784">
        <f t="shared" si="4"/>
        <v>0</v>
      </c>
      <c r="BB40" s="784">
        <f t="shared" si="4"/>
        <v>0</v>
      </c>
      <c r="BC40" s="784">
        <f t="shared" si="4"/>
        <v>0</v>
      </c>
      <c r="BD40" s="784">
        <f t="shared" si="4"/>
        <v>0</v>
      </c>
      <c r="BE40" s="784">
        <f t="shared" si="4"/>
        <v>0</v>
      </c>
      <c r="BF40" s="784">
        <f t="shared" si="4"/>
        <v>0</v>
      </c>
      <c r="BG40" s="784">
        <f t="shared" si="4"/>
        <v>0</v>
      </c>
      <c r="BH40" s="784">
        <f t="shared" si="4"/>
        <v>0</v>
      </c>
      <c r="BI40" s="784">
        <f t="shared" si="4"/>
        <v>0</v>
      </c>
      <c r="BJ40" s="784">
        <f t="shared" si="4"/>
        <v>0</v>
      </c>
      <c r="BK40" s="784">
        <f t="shared" si="4"/>
        <v>0</v>
      </c>
      <c r="BL40" s="784">
        <f t="shared" si="2"/>
        <v>0</v>
      </c>
      <c r="BM40" s="784">
        <f t="shared" si="2"/>
        <v>0</v>
      </c>
      <c r="BN40" s="784">
        <f t="shared" si="2"/>
        <v>0</v>
      </c>
      <c r="BO40" s="784">
        <f t="shared" si="2"/>
        <v>0</v>
      </c>
      <c r="BP40" s="784">
        <f t="shared" si="2"/>
        <v>0</v>
      </c>
      <c r="BQ40" s="785">
        <f t="shared" si="2"/>
        <v>0</v>
      </c>
      <c r="BR40" s="553" t="str">
        <f t="array" ref="BR40">IF(MAX(ABS(AW40:BQ40))&gt;$BR$4,"EXPLAIN","")</f>
        <v/>
      </c>
    </row>
    <row r="41" spans="1:70">
      <c r="B41" s="765"/>
      <c r="C41" s="765"/>
      <c r="D41" s="735">
        <f>SUM(Prop2018DistTar!D41,Prop2018TransTar!D41,Prop2018JSTar!D41)</f>
        <v>0</v>
      </c>
      <c r="E41" s="771">
        <f>SUM(Prop2018DistTar!E41,Prop2018TransTar!E41,Prop2018JSTar!E41)</f>
        <v>0</v>
      </c>
      <c r="F41" s="771">
        <f>SUM(Prop2018DistTar!F41,Prop2018TransTar!F41,Prop2018JSTar!F41)</f>
        <v>0</v>
      </c>
      <c r="G41" s="771">
        <f>SUM(Prop2018DistTar!G41,Prop2018TransTar!G41,Prop2018JSTar!G41)</f>
        <v>0</v>
      </c>
      <c r="H41" s="771">
        <f>SUM(Prop2018DistTar!H41,Prop2018TransTar!H41,Prop2018JSTar!H41)</f>
        <v>0</v>
      </c>
      <c r="I41" s="771">
        <f>SUM(Prop2018DistTar!I41,Prop2018TransTar!I41,Prop2018JSTar!I41)</f>
        <v>0</v>
      </c>
      <c r="J41" s="771">
        <f>SUM(Prop2018DistTar!J41,Prop2018TransTar!J41,Prop2018JSTar!J41)</f>
        <v>0</v>
      </c>
      <c r="K41" s="771">
        <f>SUM(Prop2018DistTar!K41,Prop2018TransTar!K41,Prop2018JSTar!K41)</f>
        <v>0</v>
      </c>
      <c r="L41" s="771">
        <f>SUM(Prop2018DistTar!L41,Prop2018TransTar!L41,Prop2018JSTar!L41)</f>
        <v>0</v>
      </c>
      <c r="M41" s="771">
        <f>SUM(Prop2018DistTar!M41,Prop2018TransTar!M41,Prop2018JSTar!M41)</f>
        <v>0</v>
      </c>
      <c r="N41" s="771">
        <f>SUM(Prop2018DistTar!N41,Prop2018TransTar!N41,Prop2018JSTar!N41)</f>
        <v>0</v>
      </c>
      <c r="O41" s="771">
        <f>SUM(Prop2018DistTar!O41,Prop2018TransTar!O41,Prop2018JSTar!O41)</f>
        <v>0</v>
      </c>
      <c r="P41" s="771">
        <f>SUM(Prop2018DistTar!P41,Prop2018TransTar!P41,Prop2018JSTar!P41)</f>
        <v>0</v>
      </c>
      <c r="Q41" s="771">
        <f>SUM(Prop2018DistTar!Q41,Prop2018TransTar!Q41,Prop2018JSTar!Q41)</f>
        <v>0</v>
      </c>
      <c r="R41" s="771">
        <f>SUM(Prop2018DistTar!R41,Prop2018TransTar!R41,Prop2018JSTar!R41)</f>
        <v>0</v>
      </c>
      <c r="S41" s="771">
        <f>SUM(Prop2018DistTar!S41,Prop2018TransTar!S41,Prop2018JSTar!S41)</f>
        <v>0</v>
      </c>
      <c r="T41" s="771">
        <f>SUM(Prop2018DistTar!T41,Prop2018TransTar!T41,Prop2018JSTar!T41)</f>
        <v>0</v>
      </c>
      <c r="U41" s="771">
        <f>SUM(Prop2018DistTar!U41,Prop2018TransTar!U41,Prop2018JSTar!U41)</f>
        <v>0</v>
      </c>
      <c r="V41" s="771">
        <f>SUM(Prop2018DistTar!V41,Prop2018TransTar!V41,Prop2018JSTar!V41)</f>
        <v>0</v>
      </c>
      <c r="W41" s="771">
        <f>SUM(Prop2018DistTar!W41,Prop2018TransTar!W41,Prop2018JSTar!W41)</f>
        <v>0</v>
      </c>
      <c r="X41" s="772">
        <f>SUM(Prop2018DistTar!X41,Prop2018TransTar!X41,Prop2018JSTar!X41)</f>
        <v>0</v>
      </c>
      <c r="Z41" s="750"/>
      <c r="AA41" s="775"/>
      <c r="AB41" s="775"/>
      <c r="AC41" s="775"/>
      <c r="AD41" s="775"/>
      <c r="AE41" s="775"/>
      <c r="AF41" s="775"/>
      <c r="AG41" s="775"/>
      <c r="AH41" s="775"/>
      <c r="AI41" s="775"/>
      <c r="AJ41" s="775"/>
      <c r="AK41" s="775"/>
      <c r="AL41" s="775"/>
      <c r="AM41" s="775"/>
      <c r="AN41" s="775"/>
      <c r="AO41" s="775"/>
      <c r="AP41" s="775"/>
      <c r="AQ41" s="775"/>
      <c r="AR41" s="775"/>
      <c r="AS41" s="775"/>
      <c r="AT41" s="752"/>
      <c r="AW41" s="783">
        <f t="shared" si="4"/>
        <v>0</v>
      </c>
      <c r="AX41" s="784">
        <f t="shared" si="4"/>
        <v>0</v>
      </c>
      <c r="AY41" s="784">
        <f t="shared" si="4"/>
        <v>0</v>
      </c>
      <c r="AZ41" s="784">
        <f t="shared" si="4"/>
        <v>0</v>
      </c>
      <c r="BA41" s="784">
        <f t="shared" si="4"/>
        <v>0</v>
      </c>
      <c r="BB41" s="784">
        <f t="shared" si="4"/>
        <v>0</v>
      </c>
      <c r="BC41" s="784">
        <f t="shared" si="4"/>
        <v>0</v>
      </c>
      <c r="BD41" s="784">
        <f t="shared" si="4"/>
        <v>0</v>
      </c>
      <c r="BE41" s="784">
        <f t="shared" si="4"/>
        <v>0</v>
      </c>
      <c r="BF41" s="784">
        <f t="shared" si="4"/>
        <v>0</v>
      </c>
      <c r="BG41" s="784">
        <f t="shared" si="4"/>
        <v>0</v>
      </c>
      <c r="BH41" s="784">
        <f t="shared" si="4"/>
        <v>0</v>
      </c>
      <c r="BI41" s="784">
        <f t="shared" si="4"/>
        <v>0</v>
      </c>
      <c r="BJ41" s="784">
        <f t="shared" si="4"/>
        <v>0</v>
      </c>
      <c r="BK41" s="784">
        <f t="shared" si="4"/>
        <v>0</v>
      </c>
      <c r="BL41" s="784">
        <f t="shared" si="2"/>
        <v>0</v>
      </c>
      <c r="BM41" s="784">
        <f t="shared" si="2"/>
        <v>0</v>
      </c>
      <c r="BN41" s="784">
        <f t="shared" si="2"/>
        <v>0</v>
      </c>
      <c r="BO41" s="784">
        <f t="shared" si="2"/>
        <v>0</v>
      </c>
      <c r="BP41" s="784">
        <f t="shared" si="2"/>
        <v>0</v>
      </c>
      <c r="BQ41" s="785">
        <f t="shared" si="2"/>
        <v>0</v>
      </c>
      <c r="BR41" s="553" t="str">
        <f t="array" ref="BR41">IF(MAX(ABS(AW41:BQ41))&gt;$BR$4,"EXPLAIN","")</f>
        <v/>
      </c>
    </row>
    <row r="42" spans="1:70">
      <c r="B42" s="765"/>
      <c r="C42" s="765"/>
      <c r="D42" s="735">
        <f>SUM(Prop2018DistTar!D42,Prop2018TransTar!D42,Prop2018JSTar!D42)</f>
        <v>0</v>
      </c>
      <c r="E42" s="771">
        <f>SUM(Prop2018DistTar!E42,Prop2018TransTar!E42,Prop2018JSTar!E42)</f>
        <v>0</v>
      </c>
      <c r="F42" s="771">
        <f>SUM(Prop2018DistTar!F42,Prop2018TransTar!F42,Prop2018JSTar!F42)</f>
        <v>0</v>
      </c>
      <c r="G42" s="771">
        <f>SUM(Prop2018DistTar!G42,Prop2018TransTar!G42,Prop2018JSTar!G42)</f>
        <v>0</v>
      </c>
      <c r="H42" s="771">
        <f>SUM(Prop2018DistTar!H42,Prop2018TransTar!H42,Prop2018JSTar!H42)</f>
        <v>0</v>
      </c>
      <c r="I42" s="771">
        <f>SUM(Prop2018DistTar!I42,Prop2018TransTar!I42,Prop2018JSTar!I42)</f>
        <v>0</v>
      </c>
      <c r="J42" s="771">
        <f>SUM(Prop2018DistTar!J42,Prop2018TransTar!J42,Prop2018JSTar!J42)</f>
        <v>0</v>
      </c>
      <c r="K42" s="771">
        <f>SUM(Prop2018DistTar!K42,Prop2018TransTar!K42,Prop2018JSTar!K42)</f>
        <v>0</v>
      </c>
      <c r="L42" s="771">
        <f>SUM(Prop2018DistTar!L42,Prop2018TransTar!L42,Prop2018JSTar!L42)</f>
        <v>0</v>
      </c>
      <c r="M42" s="771">
        <f>SUM(Prop2018DistTar!M42,Prop2018TransTar!M42,Prop2018JSTar!M42)</f>
        <v>0</v>
      </c>
      <c r="N42" s="771">
        <f>SUM(Prop2018DistTar!N42,Prop2018TransTar!N42,Prop2018JSTar!N42)</f>
        <v>0</v>
      </c>
      <c r="O42" s="771">
        <f>SUM(Prop2018DistTar!O42,Prop2018TransTar!O42,Prop2018JSTar!O42)</f>
        <v>0</v>
      </c>
      <c r="P42" s="771">
        <f>SUM(Prop2018DistTar!P42,Prop2018TransTar!P42,Prop2018JSTar!P42)</f>
        <v>0</v>
      </c>
      <c r="Q42" s="771">
        <f>SUM(Prop2018DistTar!Q42,Prop2018TransTar!Q42,Prop2018JSTar!Q42)</f>
        <v>0</v>
      </c>
      <c r="R42" s="771">
        <f>SUM(Prop2018DistTar!R42,Prop2018TransTar!R42,Prop2018JSTar!R42)</f>
        <v>0</v>
      </c>
      <c r="S42" s="771">
        <f>SUM(Prop2018DistTar!S42,Prop2018TransTar!S42,Prop2018JSTar!S42)</f>
        <v>0</v>
      </c>
      <c r="T42" s="771">
        <f>SUM(Prop2018DistTar!T42,Prop2018TransTar!T42,Prop2018JSTar!T42)</f>
        <v>0</v>
      </c>
      <c r="U42" s="771">
        <f>SUM(Prop2018DistTar!U42,Prop2018TransTar!U42,Prop2018JSTar!U42)</f>
        <v>0</v>
      </c>
      <c r="V42" s="771">
        <f>SUM(Prop2018DistTar!V42,Prop2018TransTar!V42,Prop2018JSTar!V42)</f>
        <v>0</v>
      </c>
      <c r="W42" s="771">
        <f>SUM(Prop2018DistTar!W42,Prop2018TransTar!W42,Prop2018JSTar!W42)</f>
        <v>0</v>
      </c>
      <c r="X42" s="772">
        <f>SUM(Prop2018DistTar!X42,Prop2018TransTar!X42,Prop2018JSTar!X42)</f>
        <v>0</v>
      </c>
      <c r="Z42" s="750"/>
      <c r="AA42" s="775"/>
      <c r="AB42" s="775"/>
      <c r="AC42" s="775"/>
      <c r="AD42" s="775"/>
      <c r="AE42" s="775"/>
      <c r="AF42" s="775"/>
      <c r="AG42" s="775"/>
      <c r="AH42" s="775"/>
      <c r="AI42" s="775"/>
      <c r="AJ42" s="775"/>
      <c r="AK42" s="775"/>
      <c r="AL42" s="775"/>
      <c r="AM42" s="775"/>
      <c r="AN42" s="775"/>
      <c r="AO42" s="775"/>
      <c r="AP42" s="775"/>
      <c r="AQ42" s="775"/>
      <c r="AR42" s="775"/>
      <c r="AS42" s="775"/>
      <c r="AT42" s="752"/>
      <c r="AW42" s="783">
        <f t="shared" si="4"/>
        <v>0</v>
      </c>
      <c r="AX42" s="784">
        <f t="shared" si="4"/>
        <v>0</v>
      </c>
      <c r="AY42" s="784">
        <f t="shared" si="4"/>
        <v>0</v>
      </c>
      <c r="AZ42" s="784">
        <f t="shared" si="4"/>
        <v>0</v>
      </c>
      <c r="BA42" s="784">
        <f t="shared" si="4"/>
        <v>0</v>
      </c>
      <c r="BB42" s="784">
        <f t="shared" si="4"/>
        <v>0</v>
      </c>
      <c r="BC42" s="784">
        <f t="shared" si="4"/>
        <v>0</v>
      </c>
      <c r="BD42" s="784">
        <f t="shared" si="4"/>
        <v>0</v>
      </c>
      <c r="BE42" s="784">
        <f t="shared" si="4"/>
        <v>0</v>
      </c>
      <c r="BF42" s="784">
        <f t="shared" si="4"/>
        <v>0</v>
      </c>
      <c r="BG42" s="784">
        <f t="shared" si="4"/>
        <v>0</v>
      </c>
      <c r="BH42" s="784">
        <f t="shared" si="4"/>
        <v>0</v>
      </c>
      <c r="BI42" s="784">
        <f t="shared" si="4"/>
        <v>0</v>
      </c>
      <c r="BJ42" s="784">
        <f t="shared" si="4"/>
        <v>0</v>
      </c>
      <c r="BK42" s="784">
        <f t="shared" si="4"/>
        <v>0</v>
      </c>
      <c r="BL42" s="784">
        <f t="shared" si="2"/>
        <v>0</v>
      </c>
      <c r="BM42" s="784">
        <f t="shared" si="2"/>
        <v>0</v>
      </c>
      <c r="BN42" s="784">
        <f t="shared" si="2"/>
        <v>0</v>
      </c>
      <c r="BO42" s="784">
        <f t="shared" si="2"/>
        <v>0</v>
      </c>
      <c r="BP42" s="784">
        <f t="shared" si="2"/>
        <v>0</v>
      </c>
      <c r="BQ42" s="785">
        <f t="shared" si="2"/>
        <v>0</v>
      </c>
      <c r="BR42" s="553" t="str">
        <f t="array" ref="BR42">IF(MAX(ABS(AW42:BQ42))&gt;$BR$4,"EXPLAIN","")</f>
        <v/>
      </c>
    </row>
    <row r="43" spans="1:70">
      <c r="B43" s="765"/>
      <c r="C43" s="765"/>
      <c r="D43" s="735">
        <f>SUM(Prop2018DistTar!D43,Prop2018TransTar!D43,Prop2018JSTar!D43)</f>
        <v>0</v>
      </c>
      <c r="E43" s="771">
        <f>SUM(Prop2018DistTar!E43,Prop2018TransTar!E43,Prop2018JSTar!E43)</f>
        <v>0</v>
      </c>
      <c r="F43" s="771">
        <f>SUM(Prop2018DistTar!F43,Prop2018TransTar!F43,Prop2018JSTar!F43)</f>
        <v>0</v>
      </c>
      <c r="G43" s="771">
        <f>SUM(Prop2018DistTar!G43,Prop2018TransTar!G43,Prop2018JSTar!G43)</f>
        <v>0</v>
      </c>
      <c r="H43" s="771">
        <f>SUM(Prop2018DistTar!H43,Prop2018TransTar!H43,Prop2018JSTar!H43)</f>
        <v>0</v>
      </c>
      <c r="I43" s="771">
        <f>SUM(Prop2018DistTar!I43,Prop2018TransTar!I43,Prop2018JSTar!I43)</f>
        <v>0</v>
      </c>
      <c r="J43" s="771">
        <f>SUM(Prop2018DistTar!J43,Prop2018TransTar!J43,Prop2018JSTar!J43)</f>
        <v>0</v>
      </c>
      <c r="K43" s="771">
        <f>SUM(Prop2018DistTar!K43,Prop2018TransTar!K43,Prop2018JSTar!K43)</f>
        <v>0</v>
      </c>
      <c r="L43" s="771">
        <f>SUM(Prop2018DistTar!L43,Prop2018TransTar!L43,Prop2018JSTar!L43)</f>
        <v>0</v>
      </c>
      <c r="M43" s="771">
        <f>SUM(Prop2018DistTar!M43,Prop2018TransTar!M43,Prop2018JSTar!M43)</f>
        <v>0</v>
      </c>
      <c r="N43" s="771">
        <f>SUM(Prop2018DistTar!N43,Prop2018TransTar!N43,Prop2018JSTar!N43)</f>
        <v>0</v>
      </c>
      <c r="O43" s="771">
        <f>SUM(Prop2018DistTar!O43,Prop2018TransTar!O43,Prop2018JSTar!O43)</f>
        <v>0</v>
      </c>
      <c r="P43" s="771">
        <f>SUM(Prop2018DistTar!P43,Prop2018TransTar!P43,Prop2018JSTar!P43)</f>
        <v>0</v>
      </c>
      <c r="Q43" s="771">
        <f>SUM(Prop2018DistTar!Q43,Prop2018TransTar!Q43,Prop2018JSTar!Q43)</f>
        <v>0</v>
      </c>
      <c r="R43" s="771">
        <f>SUM(Prop2018DistTar!R43,Prop2018TransTar!R43,Prop2018JSTar!R43)</f>
        <v>0</v>
      </c>
      <c r="S43" s="771">
        <f>SUM(Prop2018DistTar!S43,Prop2018TransTar!S43,Prop2018JSTar!S43)</f>
        <v>0</v>
      </c>
      <c r="T43" s="771">
        <f>SUM(Prop2018DistTar!T43,Prop2018TransTar!T43,Prop2018JSTar!T43)</f>
        <v>0</v>
      </c>
      <c r="U43" s="771">
        <f>SUM(Prop2018DistTar!U43,Prop2018TransTar!U43,Prop2018JSTar!U43)</f>
        <v>0</v>
      </c>
      <c r="V43" s="771">
        <f>SUM(Prop2018DistTar!V43,Prop2018TransTar!V43,Prop2018JSTar!V43)</f>
        <v>0</v>
      </c>
      <c r="W43" s="771">
        <f>SUM(Prop2018DistTar!W43,Prop2018TransTar!W43,Prop2018JSTar!W43)</f>
        <v>0</v>
      </c>
      <c r="X43" s="772">
        <f>SUM(Prop2018DistTar!X43,Prop2018TransTar!X43,Prop2018JSTar!X43)</f>
        <v>0</v>
      </c>
      <c r="Z43" s="750"/>
      <c r="AA43" s="775"/>
      <c r="AB43" s="775"/>
      <c r="AC43" s="775"/>
      <c r="AD43" s="775"/>
      <c r="AE43" s="775"/>
      <c r="AF43" s="775"/>
      <c r="AG43" s="775"/>
      <c r="AH43" s="775"/>
      <c r="AI43" s="775"/>
      <c r="AJ43" s="775"/>
      <c r="AK43" s="775"/>
      <c r="AL43" s="775"/>
      <c r="AM43" s="775"/>
      <c r="AN43" s="775"/>
      <c r="AO43" s="775"/>
      <c r="AP43" s="775"/>
      <c r="AQ43" s="775"/>
      <c r="AR43" s="775"/>
      <c r="AS43" s="775"/>
      <c r="AT43" s="752"/>
      <c r="AW43" s="783">
        <f t="shared" si="4"/>
        <v>0</v>
      </c>
      <c r="AX43" s="784">
        <f t="shared" si="4"/>
        <v>0</v>
      </c>
      <c r="AY43" s="784">
        <f t="shared" si="4"/>
        <v>0</v>
      </c>
      <c r="AZ43" s="784">
        <f t="shared" si="4"/>
        <v>0</v>
      </c>
      <c r="BA43" s="784">
        <f t="shared" si="4"/>
        <v>0</v>
      </c>
      <c r="BB43" s="784">
        <f t="shared" si="4"/>
        <v>0</v>
      </c>
      <c r="BC43" s="784">
        <f t="shared" si="4"/>
        <v>0</v>
      </c>
      <c r="BD43" s="784">
        <f t="shared" si="4"/>
        <v>0</v>
      </c>
      <c r="BE43" s="784">
        <f t="shared" si="4"/>
        <v>0</v>
      </c>
      <c r="BF43" s="784">
        <f t="shared" si="4"/>
        <v>0</v>
      </c>
      <c r="BG43" s="784">
        <f t="shared" si="4"/>
        <v>0</v>
      </c>
      <c r="BH43" s="784">
        <f t="shared" si="4"/>
        <v>0</v>
      </c>
      <c r="BI43" s="784">
        <f t="shared" si="4"/>
        <v>0</v>
      </c>
      <c r="BJ43" s="784">
        <f t="shared" si="4"/>
        <v>0</v>
      </c>
      <c r="BK43" s="784">
        <f t="shared" si="4"/>
        <v>0</v>
      </c>
      <c r="BL43" s="784">
        <f t="shared" si="2"/>
        <v>0</v>
      </c>
      <c r="BM43" s="784">
        <f t="shared" si="2"/>
        <v>0</v>
      </c>
      <c r="BN43" s="784">
        <f t="shared" si="2"/>
        <v>0</v>
      </c>
      <c r="BO43" s="784">
        <f t="shared" si="2"/>
        <v>0</v>
      </c>
      <c r="BP43" s="784">
        <f t="shared" si="2"/>
        <v>0</v>
      </c>
      <c r="BQ43" s="785">
        <f t="shared" si="2"/>
        <v>0</v>
      </c>
      <c r="BR43" s="553" t="str">
        <f t="array" ref="BR43">IF(MAX(ABS(AW43:BQ43))&gt;$BR$4,"EXPLAIN","")</f>
        <v/>
      </c>
    </row>
    <row r="44" spans="1:70">
      <c r="B44" s="765"/>
      <c r="C44" s="765"/>
      <c r="D44" s="735">
        <f>SUM(Prop2018DistTar!D44,Prop2018TransTar!D44,Prop2018JSTar!D44)</f>
        <v>0</v>
      </c>
      <c r="E44" s="771">
        <f>SUM(Prop2018DistTar!E44,Prop2018TransTar!E44,Prop2018JSTar!E44)</f>
        <v>0</v>
      </c>
      <c r="F44" s="771">
        <f>SUM(Prop2018DistTar!F44,Prop2018TransTar!F44,Prop2018JSTar!F44)</f>
        <v>0</v>
      </c>
      <c r="G44" s="771">
        <f>SUM(Prop2018DistTar!G44,Prop2018TransTar!G44,Prop2018JSTar!G44)</f>
        <v>0</v>
      </c>
      <c r="H44" s="771">
        <f>SUM(Prop2018DistTar!H44,Prop2018TransTar!H44,Prop2018JSTar!H44)</f>
        <v>0</v>
      </c>
      <c r="I44" s="771">
        <f>SUM(Prop2018DistTar!I44,Prop2018TransTar!I44,Prop2018JSTar!I44)</f>
        <v>0</v>
      </c>
      <c r="J44" s="771">
        <f>SUM(Prop2018DistTar!J44,Prop2018TransTar!J44,Prop2018JSTar!J44)</f>
        <v>0</v>
      </c>
      <c r="K44" s="771">
        <f>SUM(Prop2018DistTar!K44,Prop2018TransTar!K44,Prop2018JSTar!K44)</f>
        <v>0</v>
      </c>
      <c r="L44" s="771">
        <f>SUM(Prop2018DistTar!L44,Prop2018TransTar!L44,Prop2018JSTar!L44)</f>
        <v>0</v>
      </c>
      <c r="M44" s="771">
        <f>SUM(Prop2018DistTar!M44,Prop2018TransTar!M44,Prop2018JSTar!M44)</f>
        <v>0</v>
      </c>
      <c r="N44" s="771">
        <f>SUM(Prop2018DistTar!N44,Prop2018TransTar!N44,Prop2018JSTar!N44)</f>
        <v>0</v>
      </c>
      <c r="O44" s="771">
        <f>SUM(Prop2018DistTar!O44,Prop2018TransTar!O44,Prop2018JSTar!O44)</f>
        <v>0</v>
      </c>
      <c r="P44" s="771">
        <f>SUM(Prop2018DistTar!P44,Prop2018TransTar!P44,Prop2018JSTar!P44)</f>
        <v>0</v>
      </c>
      <c r="Q44" s="771">
        <f>SUM(Prop2018DistTar!Q44,Prop2018TransTar!Q44,Prop2018JSTar!Q44)</f>
        <v>0</v>
      </c>
      <c r="R44" s="771">
        <f>SUM(Prop2018DistTar!R44,Prop2018TransTar!R44,Prop2018JSTar!R44)</f>
        <v>0</v>
      </c>
      <c r="S44" s="771">
        <f>SUM(Prop2018DistTar!S44,Prop2018TransTar!S44,Prop2018JSTar!S44)</f>
        <v>0</v>
      </c>
      <c r="T44" s="771">
        <f>SUM(Prop2018DistTar!T44,Prop2018TransTar!T44,Prop2018JSTar!T44)</f>
        <v>0</v>
      </c>
      <c r="U44" s="771">
        <f>SUM(Prop2018DistTar!U44,Prop2018TransTar!U44,Prop2018JSTar!U44)</f>
        <v>0</v>
      </c>
      <c r="V44" s="771">
        <f>SUM(Prop2018DistTar!V44,Prop2018TransTar!V44,Prop2018JSTar!V44)</f>
        <v>0</v>
      </c>
      <c r="W44" s="771">
        <f>SUM(Prop2018DistTar!W44,Prop2018TransTar!W44,Prop2018JSTar!W44)</f>
        <v>0</v>
      </c>
      <c r="X44" s="772">
        <f>SUM(Prop2018DistTar!X44,Prop2018TransTar!X44,Prop2018JSTar!X44)</f>
        <v>0</v>
      </c>
      <c r="Z44" s="750"/>
      <c r="AA44" s="775"/>
      <c r="AB44" s="775"/>
      <c r="AC44" s="775"/>
      <c r="AD44" s="775"/>
      <c r="AE44" s="775"/>
      <c r="AF44" s="775"/>
      <c r="AG44" s="775"/>
      <c r="AH44" s="775"/>
      <c r="AI44" s="775"/>
      <c r="AJ44" s="775"/>
      <c r="AK44" s="775"/>
      <c r="AL44" s="775"/>
      <c r="AM44" s="775"/>
      <c r="AN44" s="775"/>
      <c r="AO44" s="775"/>
      <c r="AP44" s="775"/>
      <c r="AQ44" s="775"/>
      <c r="AR44" s="775"/>
      <c r="AS44" s="775"/>
      <c r="AT44" s="752"/>
      <c r="AW44" s="783">
        <f t="shared" si="4"/>
        <v>0</v>
      </c>
      <c r="AX44" s="784">
        <f t="shared" si="4"/>
        <v>0</v>
      </c>
      <c r="AY44" s="784">
        <f t="shared" si="4"/>
        <v>0</v>
      </c>
      <c r="AZ44" s="784">
        <f t="shared" si="4"/>
        <v>0</v>
      </c>
      <c r="BA44" s="784">
        <f t="shared" si="4"/>
        <v>0</v>
      </c>
      <c r="BB44" s="784">
        <f t="shared" si="4"/>
        <v>0</v>
      </c>
      <c r="BC44" s="784">
        <f t="shared" si="4"/>
        <v>0</v>
      </c>
      <c r="BD44" s="784">
        <f t="shared" si="4"/>
        <v>0</v>
      </c>
      <c r="BE44" s="784">
        <f t="shared" si="4"/>
        <v>0</v>
      </c>
      <c r="BF44" s="784">
        <f t="shared" si="4"/>
        <v>0</v>
      </c>
      <c r="BG44" s="784">
        <f t="shared" si="4"/>
        <v>0</v>
      </c>
      <c r="BH44" s="784">
        <f t="shared" si="4"/>
        <v>0</v>
      </c>
      <c r="BI44" s="784">
        <f t="shared" si="4"/>
        <v>0</v>
      </c>
      <c r="BJ44" s="784">
        <f t="shared" si="4"/>
        <v>0</v>
      </c>
      <c r="BK44" s="784">
        <f t="shared" si="4"/>
        <v>0</v>
      </c>
      <c r="BL44" s="784">
        <f t="shared" si="2"/>
        <v>0</v>
      </c>
      <c r="BM44" s="784">
        <f t="shared" si="2"/>
        <v>0</v>
      </c>
      <c r="BN44" s="784">
        <f t="shared" si="2"/>
        <v>0</v>
      </c>
      <c r="BO44" s="784">
        <f t="shared" si="2"/>
        <v>0</v>
      </c>
      <c r="BP44" s="784">
        <f t="shared" si="2"/>
        <v>0</v>
      </c>
      <c r="BQ44" s="785">
        <f t="shared" si="2"/>
        <v>0</v>
      </c>
      <c r="BR44" s="553" t="str">
        <f t="array" ref="BR44">IF(MAX(ABS(AW44:BQ44))&gt;$BR$4,"EXPLAIN","")</f>
        <v/>
      </c>
    </row>
    <row r="45" spans="1:70">
      <c r="B45" s="765"/>
      <c r="C45" s="765"/>
      <c r="D45" s="735">
        <f>SUM(Prop2018DistTar!D45,Prop2018TransTar!D45,Prop2018JSTar!D45)</f>
        <v>0</v>
      </c>
      <c r="E45" s="771">
        <f>SUM(Prop2018DistTar!E45,Prop2018TransTar!E45,Prop2018JSTar!E45)</f>
        <v>0</v>
      </c>
      <c r="F45" s="771">
        <f>SUM(Prop2018DistTar!F45,Prop2018TransTar!F45,Prop2018JSTar!F45)</f>
        <v>0</v>
      </c>
      <c r="G45" s="771">
        <f>SUM(Prop2018DistTar!G45,Prop2018TransTar!G45,Prop2018JSTar!G45)</f>
        <v>0</v>
      </c>
      <c r="H45" s="771">
        <f>SUM(Prop2018DistTar!H45,Prop2018TransTar!H45,Prop2018JSTar!H45)</f>
        <v>0</v>
      </c>
      <c r="I45" s="771">
        <f>SUM(Prop2018DistTar!I45,Prop2018TransTar!I45,Prop2018JSTar!I45)</f>
        <v>0</v>
      </c>
      <c r="J45" s="771">
        <f>SUM(Prop2018DistTar!J45,Prop2018TransTar!J45,Prop2018JSTar!J45)</f>
        <v>0</v>
      </c>
      <c r="K45" s="771">
        <f>SUM(Prop2018DistTar!K45,Prop2018TransTar!K45,Prop2018JSTar!K45)</f>
        <v>0</v>
      </c>
      <c r="L45" s="771">
        <f>SUM(Prop2018DistTar!L45,Prop2018TransTar!L45,Prop2018JSTar!L45)</f>
        <v>0</v>
      </c>
      <c r="M45" s="771">
        <f>SUM(Prop2018DistTar!M45,Prop2018TransTar!M45,Prop2018JSTar!M45)</f>
        <v>0</v>
      </c>
      <c r="N45" s="771">
        <f>SUM(Prop2018DistTar!N45,Prop2018TransTar!N45,Prop2018JSTar!N45)</f>
        <v>0</v>
      </c>
      <c r="O45" s="771">
        <f>SUM(Prop2018DistTar!O45,Prop2018TransTar!O45,Prop2018JSTar!O45)</f>
        <v>0</v>
      </c>
      <c r="P45" s="771">
        <f>SUM(Prop2018DistTar!P45,Prop2018TransTar!P45,Prop2018JSTar!P45)</f>
        <v>0</v>
      </c>
      <c r="Q45" s="771">
        <f>SUM(Prop2018DistTar!Q45,Prop2018TransTar!Q45,Prop2018JSTar!Q45)</f>
        <v>0</v>
      </c>
      <c r="R45" s="771">
        <f>SUM(Prop2018DistTar!R45,Prop2018TransTar!R45,Prop2018JSTar!R45)</f>
        <v>0</v>
      </c>
      <c r="S45" s="771">
        <f>SUM(Prop2018DistTar!S45,Prop2018TransTar!S45,Prop2018JSTar!S45)</f>
        <v>0</v>
      </c>
      <c r="T45" s="771">
        <f>SUM(Prop2018DistTar!T45,Prop2018TransTar!T45,Prop2018JSTar!T45)</f>
        <v>0</v>
      </c>
      <c r="U45" s="771">
        <f>SUM(Prop2018DistTar!U45,Prop2018TransTar!U45,Prop2018JSTar!U45)</f>
        <v>0</v>
      </c>
      <c r="V45" s="771">
        <f>SUM(Prop2018DistTar!V45,Prop2018TransTar!V45,Prop2018JSTar!V45)</f>
        <v>0</v>
      </c>
      <c r="W45" s="771">
        <f>SUM(Prop2018DistTar!W45,Prop2018TransTar!W45,Prop2018JSTar!W45)</f>
        <v>0</v>
      </c>
      <c r="X45" s="772">
        <f>SUM(Prop2018DistTar!X45,Prop2018TransTar!X45,Prop2018JSTar!X45)</f>
        <v>0</v>
      </c>
      <c r="Z45" s="750"/>
      <c r="AA45" s="775"/>
      <c r="AB45" s="775"/>
      <c r="AC45" s="775"/>
      <c r="AD45" s="775"/>
      <c r="AE45" s="775"/>
      <c r="AF45" s="775"/>
      <c r="AG45" s="775"/>
      <c r="AH45" s="775"/>
      <c r="AI45" s="775"/>
      <c r="AJ45" s="775"/>
      <c r="AK45" s="775"/>
      <c r="AL45" s="775"/>
      <c r="AM45" s="775"/>
      <c r="AN45" s="775"/>
      <c r="AO45" s="775"/>
      <c r="AP45" s="775"/>
      <c r="AQ45" s="775"/>
      <c r="AR45" s="775"/>
      <c r="AS45" s="775"/>
      <c r="AT45" s="752"/>
      <c r="AW45" s="783">
        <f t="shared" si="4"/>
        <v>0</v>
      </c>
      <c r="AX45" s="784">
        <f t="shared" si="4"/>
        <v>0</v>
      </c>
      <c r="AY45" s="784">
        <f t="shared" si="4"/>
        <v>0</v>
      </c>
      <c r="AZ45" s="784">
        <f t="shared" si="4"/>
        <v>0</v>
      </c>
      <c r="BA45" s="784">
        <f t="shared" si="4"/>
        <v>0</v>
      </c>
      <c r="BB45" s="784">
        <f t="shared" si="4"/>
        <v>0</v>
      </c>
      <c r="BC45" s="784">
        <f t="shared" si="4"/>
        <v>0</v>
      </c>
      <c r="BD45" s="784">
        <f t="shared" si="4"/>
        <v>0</v>
      </c>
      <c r="BE45" s="784">
        <f t="shared" si="4"/>
        <v>0</v>
      </c>
      <c r="BF45" s="784">
        <f t="shared" si="4"/>
        <v>0</v>
      </c>
      <c r="BG45" s="784">
        <f t="shared" si="4"/>
        <v>0</v>
      </c>
      <c r="BH45" s="784">
        <f t="shared" si="4"/>
        <v>0</v>
      </c>
      <c r="BI45" s="784">
        <f t="shared" si="4"/>
        <v>0</v>
      </c>
      <c r="BJ45" s="784">
        <f t="shared" si="4"/>
        <v>0</v>
      </c>
      <c r="BK45" s="784">
        <f t="shared" si="4"/>
        <v>0</v>
      </c>
      <c r="BL45" s="784">
        <f t="shared" si="2"/>
        <v>0</v>
      </c>
      <c r="BM45" s="784">
        <f t="shared" si="2"/>
        <v>0</v>
      </c>
      <c r="BN45" s="784">
        <f t="shared" si="2"/>
        <v>0</v>
      </c>
      <c r="BO45" s="784">
        <f t="shared" si="2"/>
        <v>0</v>
      </c>
      <c r="BP45" s="784">
        <f t="shared" si="2"/>
        <v>0</v>
      </c>
      <c r="BQ45" s="785">
        <f t="shared" si="2"/>
        <v>0</v>
      </c>
      <c r="BR45" s="553" t="str">
        <f t="array" ref="BR45">IF(MAX(ABS(AW45:BQ45))&gt;$BR$4,"EXPLAIN","")</f>
        <v/>
      </c>
    </row>
    <row r="46" spans="1:70">
      <c r="B46" s="765"/>
      <c r="C46" s="765"/>
      <c r="D46" s="735">
        <f>SUM(Prop2018DistTar!D46,Prop2018TransTar!D46,Prop2018JSTar!D46)</f>
        <v>0</v>
      </c>
      <c r="E46" s="771">
        <f>SUM(Prop2018DistTar!E46,Prop2018TransTar!E46,Prop2018JSTar!E46)</f>
        <v>0</v>
      </c>
      <c r="F46" s="771">
        <f>SUM(Prop2018DistTar!F46,Prop2018TransTar!F46,Prop2018JSTar!F46)</f>
        <v>0</v>
      </c>
      <c r="G46" s="771">
        <f>SUM(Prop2018DistTar!G46,Prop2018TransTar!G46,Prop2018JSTar!G46)</f>
        <v>0</v>
      </c>
      <c r="H46" s="771">
        <f>SUM(Prop2018DistTar!H46,Prop2018TransTar!H46,Prop2018JSTar!H46)</f>
        <v>0</v>
      </c>
      <c r="I46" s="771">
        <f>SUM(Prop2018DistTar!I46,Prop2018TransTar!I46,Prop2018JSTar!I46)</f>
        <v>0</v>
      </c>
      <c r="J46" s="771">
        <f>SUM(Prop2018DistTar!J46,Prop2018TransTar!J46,Prop2018JSTar!J46)</f>
        <v>0</v>
      </c>
      <c r="K46" s="771">
        <f>SUM(Prop2018DistTar!K46,Prop2018TransTar!K46,Prop2018JSTar!K46)</f>
        <v>0</v>
      </c>
      <c r="L46" s="771">
        <f>SUM(Prop2018DistTar!L46,Prop2018TransTar!L46,Prop2018JSTar!L46)</f>
        <v>0</v>
      </c>
      <c r="M46" s="771">
        <f>SUM(Prop2018DistTar!M46,Prop2018TransTar!M46,Prop2018JSTar!M46)</f>
        <v>0</v>
      </c>
      <c r="N46" s="771">
        <f>SUM(Prop2018DistTar!N46,Prop2018TransTar!N46,Prop2018JSTar!N46)</f>
        <v>0</v>
      </c>
      <c r="O46" s="771">
        <f>SUM(Prop2018DistTar!O46,Prop2018TransTar!O46,Prop2018JSTar!O46)</f>
        <v>0</v>
      </c>
      <c r="P46" s="771">
        <f>SUM(Prop2018DistTar!P46,Prop2018TransTar!P46,Prop2018JSTar!P46)</f>
        <v>0</v>
      </c>
      <c r="Q46" s="771">
        <f>SUM(Prop2018DistTar!Q46,Prop2018TransTar!Q46,Prop2018JSTar!Q46)</f>
        <v>0</v>
      </c>
      <c r="R46" s="771">
        <f>SUM(Prop2018DistTar!R46,Prop2018TransTar!R46,Prop2018JSTar!R46)</f>
        <v>0</v>
      </c>
      <c r="S46" s="771">
        <f>SUM(Prop2018DistTar!S46,Prop2018TransTar!S46,Prop2018JSTar!S46)</f>
        <v>0</v>
      </c>
      <c r="T46" s="771">
        <f>SUM(Prop2018DistTar!T46,Prop2018TransTar!T46,Prop2018JSTar!T46)</f>
        <v>0</v>
      </c>
      <c r="U46" s="771">
        <f>SUM(Prop2018DistTar!U46,Prop2018TransTar!U46,Prop2018JSTar!U46)</f>
        <v>0</v>
      </c>
      <c r="V46" s="771">
        <f>SUM(Prop2018DistTar!V46,Prop2018TransTar!V46,Prop2018JSTar!V46)</f>
        <v>0</v>
      </c>
      <c r="W46" s="771">
        <f>SUM(Prop2018DistTar!W46,Prop2018TransTar!W46,Prop2018JSTar!W46)</f>
        <v>0</v>
      </c>
      <c r="X46" s="772">
        <f>SUM(Prop2018DistTar!X46,Prop2018TransTar!X46,Prop2018JSTar!X46)</f>
        <v>0</v>
      </c>
      <c r="Z46" s="750"/>
      <c r="AA46" s="775"/>
      <c r="AB46" s="775"/>
      <c r="AC46" s="775"/>
      <c r="AD46" s="775"/>
      <c r="AE46" s="775"/>
      <c r="AF46" s="775"/>
      <c r="AG46" s="775"/>
      <c r="AH46" s="775"/>
      <c r="AI46" s="775"/>
      <c r="AJ46" s="775"/>
      <c r="AK46" s="775"/>
      <c r="AL46" s="775"/>
      <c r="AM46" s="775"/>
      <c r="AN46" s="775"/>
      <c r="AO46" s="775"/>
      <c r="AP46" s="775"/>
      <c r="AQ46" s="775"/>
      <c r="AR46" s="775"/>
      <c r="AS46" s="775"/>
      <c r="AT46" s="752"/>
      <c r="AW46" s="783">
        <f t="shared" si="4"/>
        <v>0</v>
      </c>
      <c r="AX46" s="784">
        <f t="shared" si="4"/>
        <v>0</v>
      </c>
      <c r="AY46" s="784">
        <f t="shared" si="4"/>
        <v>0</v>
      </c>
      <c r="AZ46" s="784">
        <f t="shared" si="4"/>
        <v>0</v>
      </c>
      <c r="BA46" s="784">
        <f t="shared" si="4"/>
        <v>0</v>
      </c>
      <c r="BB46" s="784">
        <f t="shared" si="4"/>
        <v>0</v>
      </c>
      <c r="BC46" s="784">
        <f t="shared" si="4"/>
        <v>0</v>
      </c>
      <c r="BD46" s="784">
        <f t="shared" si="4"/>
        <v>0</v>
      </c>
      <c r="BE46" s="784">
        <f t="shared" si="4"/>
        <v>0</v>
      </c>
      <c r="BF46" s="784">
        <f t="shared" si="4"/>
        <v>0</v>
      </c>
      <c r="BG46" s="784">
        <f t="shared" si="4"/>
        <v>0</v>
      </c>
      <c r="BH46" s="784">
        <f t="shared" si="4"/>
        <v>0</v>
      </c>
      <c r="BI46" s="784">
        <f t="shared" si="4"/>
        <v>0</v>
      </c>
      <c r="BJ46" s="784">
        <f t="shared" si="4"/>
        <v>0</v>
      </c>
      <c r="BK46" s="784">
        <f t="shared" si="4"/>
        <v>0</v>
      </c>
      <c r="BL46" s="784">
        <f t="shared" si="2"/>
        <v>0</v>
      </c>
      <c r="BM46" s="784">
        <f t="shared" si="2"/>
        <v>0</v>
      </c>
      <c r="BN46" s="784">
        <f t="shared" si="2"/>
        <v>0</v>
      </c>
      <c r="BO46" s="784">
        <f t="shared" si="2"/>
        <v>0</v>
      </c>
      <c r="BP46" s="784">
        <f t="shared" si="2"/>
        <v>0</v>
      </c>
      <c r="BQ46" s="785">
        <f t="shared" si="2"/>
        <v>0</v>
      </c>
      <c r="BR46" s="553" t="str">
        <f t="array" ref="BR46">IF(MAX(ABS(AW46:BQ46))&gt;$BR$4,"EXPLAIN","")</f>
        <v/>
      </c>
    </row>
    <row r="47" spans="1:70">
      <c r="B47" s="765"/>
      <c r="C47" s="765"/>
      <c r="D47" s="735">
        <f>SUM(Prop2018DistTar!D47,Prop2018TransTar!D47,Prop2018JSTar!D47)</f>
        <v>0</v>
      </c>
      <c r="E47" s="771">
        <f>SUM(Prop2018DistTar!E47,Prop2018TransTar!E47,Prop2018JSTar!E47)</f>
        <v>0</v>
      </c>
      <c r="F47" s="771">
        <f>SUM(Prop2018DistTar!F47,Prop2018TransTar!F47,Prop2018JSTar!F47)</f>
        <v>0</v>
      </c>
      <c r="G47" s="771">
        <f>SUM(Prop2018DistTar!G47,Prop2018TransTar!G47,Prop2018JSTar!G47)</f>
        <v>0</v>
      </c>
      <c r="H47" s="771">
        <f>SUM(Prop2018DistTar!H47,Prop2018TransTar!H47,Prop2018JSTar!H47)</f>
        <v>0</v>
      </c>
      <c r="I47" s="771">
        <f>SUM(Prop2018DistTar!I47,Prop2018TransTar!I47,Prop2018JSTar!I47)</f>
        <v>0</v>
      </c>
      <c r="J47" s="771">
        <f>SUM(Prop2018DistTar!J47,Prop2018TransTar!J47,Prop2018JSTar!J47)</f>
        <v>0</v>
      </c>
      <c r="K47" s="771">
        <f>SUM(Prop2018DistTar!K47,Prop2018TransTar!K47,Prop2018JSTar!K47)</f>
        <v>0</v>
      </c>
      <c r="L47" s="771">
        <f>SUM(Prop2018DistTar!L47,Prop2018TransTar!L47,Prop2018JSTar!L47)</f>
        <v>0</v>
      </c>
      <c r="M47" s="771">
        <f>SUM(Prop2018DistTar!M47,Prop2018TransTar!M47,Prop2018JSTar!M47)</f>
        <v>0</v>
      </c>
      <c r="N47" s="771">
        <f>SUM(Prop2018DistTar!N47,Prop2018TransTar!N47,Prop2018JSTar!N47)</f>
        <v>0</v>
      </c>
      <c r="O47" s="771">
        <f>SUM(Prop2018DistTar!O47,Prop2018TransTar!O47,Prop2018JSTar!O47)</f>
        <v>0</v>
      </c>
      <c r="P47" s="771">
        <f>SUM(Prop2018DistTar!P47,Prop2018TransTar!P47,Prop2018JSTar!P47)</f>
        <v>0</v>
      </c>
      <c r="Q47" s="771">
        <f>SUM(Prop2018DistTar!Q47,Prop2018TransTar!Q47,Prop2018JSTar!Q47)</f>
        <v>0</v>
      </c>
      <c r="R47" s="771">
        <f>SUM(Prop2018DistTar!R47,Prop2018TransTar!R47,Prop2018JSTar!R47)</f>
        <v>0</v>
      </c>
      <c r="S47" s="771">
        <f>SUM(Prop2018DistTar!S47,Prop2018TransTar!S47,Prop2018JSTar!S47)</f>
        <v>0</v>
      </c>
      <c r="T47" s="771">
        <f>SUM(Prop2018DistTar!T47,Prop2018TransTar!T47,Prop2018JSTar!T47)</f>
        <v>0</v>
      </c>
      <c r="U47" s="771">
        <f>SUM(Prop2018DistTar!U47,Prop2018TransTar!U47,Prop2018JSTar!U47)</f>
        <v>0</v>
      </c>
      <c r="V47" s="771">
        <f>SUM(Prop2018DistTar!V47,Prop2018TransTar!V47,Prop2018JSTar!V47)</f>
        <v>0</v>
      </c>
      <c r="W47" s="771">
        <f>SUM(Prop2018DistTar!W47,Prop2018TransTar!W47,Prop2018JSTar!W47)</f>
        <v>0</v>
      </c>
      <c r="X47" s="772">
        <f>SUM(Prop2018DistTar!X47,Prop2018TransTar!X47,Prop2018JSTar!X47)</f>
        <v>0</v>
      </c>
      <c r="Z47" s="750"/>
      <c r="AA47" s="775"/>
      <c r="AB47" s="775"/>
      <c r="AC47" s="775"/>
      <c r="AD47" s="775"/>
      <c r="AE47" s="775"/>
      <c r="AF47" s="775"/>
      <c r="AG47" s="775"/>
      <c r="AH47" s="775"/>
      <c r="AI47" s="775"/>
      <c r="AJ47" s="775"/>
      <c r="AK47" s="775"/>
      <c r="AL47" s="775"/>
      <c r="AM47" s="775"/>
      <c r="AN47" s="775"/>
      <c r="AO47" s="775"/>
      <c r="AP47" s="775"/>
      <c r="AQ47" s="775"/>
      <c r="AR47" s="775"/>
      <c r="AS47" s="775"/>
      <c r="AT47" s="752"/>
      <c r="AW47" s="783">
        <f t="shared" si="4"/>
        <v>0</v>
      </c>
      <c r="AX47" s="784">
        <f t="shared" si="4"/>
        <v>0</v>
      </c>
      <c r="AY47" s="784">
        <f t="shared" si="4"/>
        <v>0</v>
      </c>
      <c r="AZ47" s="784">
        <f t="shared" si="4"/>
        <v>0</v>
      </c>
      <c r="BA47" s="784">
        <f t="shared" si="4"/>
        <v>0</v>
      </c>
      <c r="BB47" s="784">
        <f t="shared" si="4"/>
        <v>0</v>
      </c>
      <c r="BC47" s="784">
        <f t="shared" si="4"/>
        <v>0</v>
      </c>
      <c r="BD47" s="784">
        <f t="shared" si="4"/>
        <v>0</v>
      </c>
      <c r="BE47" s="784">
        <f t="shared" si="4"/>
        <v>0</v>
      </c>
      <c r="BF47" s="784">
        <f t="shared" si="4"/>
        <v>0</v>
      </c>
      <c r="BG47" s="784">
        <f t="shared" si="4"/>
        <v>0</v>
      </c>
      <c r="BH47" s="784">
        <f t="shared" si="4"/>
        <v>0</v>
      </c>
      <c r="BI47" s="784">
        <f t="shared" si="4"/>
        <v>0</v>
      </c>
      <c r="BJ47" s="784">
        <f t="shared" si="4"/>
        <v>0</v>
      </c>
      <c r="BK47" s="784">
        <f t="shared" si="4"/>
        <v>0</v>
      </c>
      <c r="BL47" s="784">
        <f t="shared" si="2"/>
        <v>0</v>
      </c>
      <c r="BM47" s="784">
        <f t="shared" si="2"/>
        <v>0</v>
      </c>
      <c r="BN47" s="784">
        <f t="shared" si="2"/>
        <v>0</v>
      </c>
      <c r="BO47" s="784">
        <f t="shared" si="2"/>
        <v>0</v>
      </c>
      <c r="BP47" s="784">
        <f t="shared" si="2"/>
        <v>0</v>
      </c>
      <c r="BQ47" s="785">
        <f t="shared" si="2"/>
        <v>0</v>
      </c>
      <c r="BR47" s="553" t="str">
        <f t="array" ref="BR47">IF(MAX(ABS(AW47:BQ47))&gt;$BR$4,"EXPLAIN","")</f>
        <v/>
      </c>
    </row>
    <row r="48" spans="1:70">
      <c r="B48" s="765"/>
      <c r="C48" s="765"/>
      <c r="D48" s="735">
        <f>SUM(Prop2018DistTar!D48,Prop2018TransTar!D48,Prop2018JSTar!D48)</f>
        <v>0</v>
      </c>
      <c r="E48" s="771">
        <f>SUM(Prop2018DistTar!E48,Prop2018TransTar!E48,Prop2018JSTar!E48)</f>
        <v>0</v>
      </c>
      <c r="F48" s="771">
        <f>SUM(Prop2018DistTar!F48,Prop2018TransTar!F48,Prop2018JSTar!F48)</f>
        <v>0</v>
      </c>
      <c r="G48" s="771">
        <f>SUM(Prop2018DistTar!G48,Prop2018TransTar!G48,Prop2018JSTar!G48)</f>
        <v>0</v>
      </c>
      <c r="H48" s="771">
        <f>SUM(Prop2018DistTar!H48,Prop2018TransTar!H48,Prop2018JSTar!H48)</f>
        <v>0</v>
      </c>
      <c r="I48" s="771">
        <f>SUM(Prop2018DistTar!I48,Prop2018TransTar!I48,Prop2018JSTar!I48)</f>
        <v>0</v>
      </c>
      <c r="J48" s="771">
        <f>SUM(Prop2018DistTar!J48,Prop2018TransTar!J48,Prop2018JSTar!J48)</f>
        <v>0</v>
      </c>
      <c r="K48" s="771">
        <f>SUM(Prop2018DistTar!K48,Prop2018TransTar!K48,Prop2018JSTar!K48)</f>
        <v>0</v>
      </c>
      <c r="L48" s="771">
        <f>SUM(Prop2018DistTar!L48,Prop2018TransTar!L48,Prop2018JSTar!L48)</f>
        <v>0</v>
      </c>
      <c r="M48" s="771">
        <f>SUM(Prop2018DistTar!M48,Prop2018TransTar!M48,Prop2018JSTar!M48)</f>
        <v>0</v>
      </c>
      <c r="N48" s="771">
        <f>SUM(Prop2018DistTar!N48,Prop2018TransTar!N48,Prop2018JSTar!N48)</f>
        <v>0</v>
      </c>
      <c r="O48" s="771">
        <f>SUM(Prop2018DistTar!O48,Prop2018TransTar!O48,Prop2018JSTar!O48)</f>
        <v>0</v>
      </c>
      <c r="P48" s="771">
        <f>SUM(Prop2018DistTar!P48,Prop2018TransTar!P48,Prop2018JSTar!P48)</f>
        <v>0</v>
      </c>
      <c r="Q48" s="771">
        <f>SUM(Prop2018DistTar!Q48,Prop2018TransTar!Q48,Prop2018JSTar!Q48)</f>
        <v>0</v>
      </c>
      <c r="R48" s="771">
        <f>SUM(Prop2018DistTar!R48,Prop2018TransTar!R48,Prop2018JSTar!R48)</f>
        <v>0</v>
      </c>
      <c r="S48" s="771">
        <f>SUM(Prop2018DistTar!S48,Prop2018TransTar!S48,Prop2018JSTar!S48)</f>
        <v>0</v>
      </c>
      <c r="T48" s="771">
        <f>SUM(Prop2018DistTar!T48,Prop2018TransTar!T48,Prop2018JSTar!T48)</f>
        <v>0</v>
      </c>
      <c r="U48" s="771">
        <f>SUM(Prop2018DistTar!U48,Prop2018TransTar!U48,Prop2018JSTar!U48)</f>
        <v>0</v>
      </c>
      <c r="V48" s="771">
        <f>SUM(Prop2018DistTar!V48,Prop2018TransTar!V48,Prop2018JSTar!V48)</f>
        <v>0</v>
      </c>
      <c r="W48" s="771">
        <f>SUM(Prop2018DistTar!W48,Prop2018TransTar!W48,Prop2018JSTar!W48)</f>
        <v>0</v>
      </c>
      <c r="X48" s="772">
        <f>SUM(Prop2018DistTar!X48,Prop2018TransTar!X48,Prop2018JSTar!X48)</f>
        <v>0</v>
      </c>
      <c r="Z48" s="753"/>
      <c r="AA48" s="775"/>
      <c r="AB48" s="775"/>
      <c r="AC48" s="775"/>
      <c r="AD48" s="775"/>
      <c r="AE48" s="775"/>
      <c r="AF48" s="775"/>
      <c r="AG48" s="775"/>
      <c r="AH48" s="775"/>
      <c r="AI48" s="775"/>
      <c r="AJ48" s="775"/>
      <c r="AK48" s="775"/>
      <c r="AL48" s="775"/>
      <c r="AM48" s="745"/>
      <c r="AN48" s="743"/>
      <c r="AO48" s="743"/>
      <c r="AP48" s="743"/>
      <c r="AQ48" s="743"/>
      <c r="AR48" s="743"/>
      <c r="AS48" s="743"/>
      <c r="AT48" s="744"/>
      <c r="AW48" s="783">
        <f t="shared" si="4"/>
        <v>0</v>
      </c>
      <c r="AX48" s="784">
        <f t="shared" si="4"/>
        <v>0</v>
      </c>
      <c r="AY48" s="784">
        <f t="shared" si="4"/>
        <v>0</v>
      </c>
      <c r="AZ48" s="784">
        <f t="shared" si="4"/>
        <v>0</v>
      </c>
      <c r="BA48" s="784">
        <f t="shared" si="4"/>
        <v>0</v>
      </c>
      <c r="BB48" s="784">
        <f t="shared" si="4"/>
        <v>0</v>
      </c>
      <c r="BC48" s="784">
        <f t="shared" si="4"/>
        <v>0</v>
      </c>
      <c r="BD48" s="784">
        <f t="shared" si="4"/>
        <v>0</v>
      </c>
      <c r="BE48" s="784">
        <f t="shared" si="4"/>
        <v>0</v>
      </c>
      <c r="BF48" s="784">
        <f t="shared" si="4"/>
        <v>0</v>
      </c>
      <c r="BG48" s="784">
        <f t="shared" si="4"/>
        <v>0</v>
      </c>
      <c r="BH48" s="784">
        <f t="shared" si="4"/>
        <v>0</v>
      </c>
      <c r="BI48" s="784">
        <f t="shared" si="4"/>
        <v>0</v>
      </c>
      <c r="BJ48" s="784">
        <f t="shared" si="4"/>
        <v>0</v>
      </c>
      <c r="BK48" s="784">
        <f t="shared" si="4"/>
        <v>0</v>
      </c>
      <c r="BL48" s="784">
        <f t="shared" si="2"/>
        <v>0</v>
      </c>
      <c r="BM48" s="784">
        <f t="shared" si="2"/>
        <v>0</v>
      </c>
      <c r="BN48" s="784">
        <f t="shared" si="2"/>
        <v>0</v>
      </c>
      <c r="BO48" s="784">
        <f t="shared" si="2"/>
        <v>0</v>
      </c>
      <c r="BP48" s="784">
        <f t="shared" si="2"/>
        <v>0</v>
      </c>
      <c r="BQ48" s="785">
        <f t="shared" si="2"/>
        <v>0</v>
      </c>
      <c r="BR48" s="553" t="str">
        <f t="array" ref="BR48">IF(MAX(ABS(AW48:BQ48))&gt;$BR$4,"EXPLAIN","")</f>
        <v/>
      </c>
    </row>
    <row r="49" spans="2:70">
      <c r="B49" s="765"/>
      <c r="C49" s="765"/>
      <c r="D49" s="735">
        <f>SUM(Prop2018DistTar!D49,Prop2018TransTar!D49,Prop2018JSTar!D49)</f>
        <v>0</v>
      </c>
      <c r="E49" s="771">
        <f>SUM(Prop2018DistTar!E49,Prop2018TransTar!E49,Prop2018JSTar!E49)</f>
        <v>0</v>
      </c>
      <c r="F49" s="771">
        <f>SUM(Prop2018DistTar!F49,Prop2018TransTar!F49,Prop2018JSTar!F49)</f>
        <v>0</v>
      </c>
      <c r="G49" s="771">
        <f>SUM(Prop2018DistTar!G49,Prop2018TransTar!G49,Prop2018JSTar!G49)</f>
        <v>0</v>
      </c>
      <c r="H49" s="771">
        <f>SUM(Prop2018DistTar!H49,Prop2018TransTar!H49,Prop2018JSTar!H49)</f>
        <v>0</v>
      </c>
      <c r="I49" s="771">
        <f>SUM(Prop2018DistTar!I49,Prop2018TransTar!I49,Prop2018JSTar!I49)</f>
        <v>0</v>
      </c>
      <c r="J49" s="771">
        <f>SUM(Prop2018DistTar!J49,Prop2018TransTar!J49,Prop2018JSTar!J49)</f>
        <v>0</v>
      </c>
      <c r="K49" s="771">
        <f>SUM(Prop2018DistTar!K49,Prop2018TransTar!K49,Prop2018JSTar!K49)</f>
        <v>0</v>
      </c>
      <c r="L49" s="771">
        <f>SUM(Prop2018DistTar!L49,Prop2018TransTar!L49,Prop2018JSTar!L49)</f>
        <v>0</v>
      </c>
      <c r="M49" s="771">
        <f>SUM(Prop2018DistTar!M49,Prop2018TransTar!M49,Prop2018JSTar!M49)</f>
        <v>0</v>
      </c>
      <c r="N49" s="771">
        <f>SUM(Prop2018DistTar!N49,Prop2018TransTar!N49,Prop2018JSTar!N49)</f>
        <v>0</v>
      </c>
      <c r="O49" s="771">
        <f>SUM(Prop2018DistTar!O49,Prop2018TransTar!O49,Prop2018JSTar!O49)</f>
        <v>0</v>
      </c>
      <c r="P49" s="771">
        <f>SUM(Prop2018DistTar!P49,Prop2018TransTar!P49,Prop2018JSTar!P49)</f>
        <v>0</v>
      </c>
      <c r="Q49" s="771">
        <f>SUM(Prop2018DistTar!Q49,Prop2018TransTar!Q49,Prop2018JSTar!Q49)</f>
        <v>0</v>
      </c>
      <c r="R49" s="771">
        <f>SUM(Prop2018DistTar!R49,Prop2018TransTar!R49,Prop2018JSTar!R49)</f>
        <v>0</v>
      </c>
      <c r="S49" s="771">
        <f>SUM(Prop2018DistTar!S49,Prop2018TransTar!S49,Prop2018JSTar!S49)</f>
        <v>0</v>
      </c>
      <c r="T49" s="771">
        <f>SUM(Prop2018DistTar!T49,Prop2018TransTar!T49,Prop2018JSTar!T49)</f>
        <v>0</v>
      </c>
      <c r="U49" s="771">
        <f>SUM(Prop2018DistTar!U49,Prop2018TransTar!U49,Prop2018JSTar!U49)</f>
        <v>0</v>
      </c>
      <c r="V49" s="771">
        <f>SUM(Prop2018DistTar!V49,Prop2018TransTar!V49,Prop2018JSTar!V49)</f>
        <v>0</v>
      </c>
      <c r="W49" s="771">
        <f>SUM(Prop2018DistTar!W49,Prop2018TransTar!W49,Prop2018JSTar!W49)</f>
        <v>0</v>
      </c>
      <c r="X49" s="772">
        <f>SUM(Prop2018DistTar!X49,Prop2018TransTar!X49,Prop2018JSTar!X49)</f>
        <v>0</v>
      </c>
      <c r="Z49" s="753"/>
      <c r="AA49" s="775"/>
      <c r="AB49" s="775"/>
      <c r="AC49" s="775"/>
      <c r="AD49" s="775"/>
      <c r="AE49" s="775"/>
      <c r="AF49" s="775"/>
      <c r="AG49" s="775"/>
      <c r="AH49" s="775"/>
      <c r="AI49" s="775"/>
      <c r="AJ49" s="775"/>
      <c r="AK49" s="775"/>
      <c r="AL49" s="775"/>
      <c r="AM49" s="745"/>
      <c r="AN49" s="743"/>
      <c r="AO49" s="743"/>
      <c r="AP49" s="743"/>
      <c r="AQ49" s="743"/>
      <c r="AR49" s="743"/>
      <c r="AS49" s="743"/>
      <c r="AT49" s="744"/>
      <c r="AW49" s="783">
        <f t="shared" si="4"/>
        <v>0</v>
      </c>
      <c r="AX49" s="784">
        <f t="shared" si="4"/>
        <v>0</v>
      </c>
      <c r="AY49" s="784">
        <f t="shared" si="4"/>
        <v>0</v>
      </c>
      <c r="AZ49" s="784">
        <f t="shared" si="4"/>
        <v>0</v>
      </c>
      <c r="BA49" s="784">
        <f t="shared" si="4"/>
        <v>0</v>
      </c>
      <c r="BB49" s="784">
        <f t="shared" si="4"/>
        <v>0</v>
      </c>
      <c r="BC49" s="784">
        <f t="shared" si="4"/>
        <v>0</v>
      </c>
      <c r="BD49" s="784">
        <f t="shared" si="4"/>
        <v>0</v>
      </c>
      <c r="BE49" s="784">
        <f t="shared" si="4"/>
        <v>0</v>
      </c>
      <c r="BF49" s="784">
        <f t="shared" si="4"/>
        <v>0</v>
      </c>
      <c r="BG49" s="784">
        <f t="shared" si="4"/>
        <v>0</v>
      </c>
      <c r="BH49" s="784">
        <f t="shared" si="4"/>
        <v>0</v>
      </c>
      <c r="BI49" s="784">
        <f t="shared" si="4"/>
        <v>0</v>
      </c>
      <c r="BJ49" s="784">
        <f t="shared" si="4"/>
        <v>0</v>
      </c>
      <c r="BK49" s="784">
        <f t="shared" si="4"/>
        <v>0</v>
      </c>
      <c r="BL49" s="784">
        <f t="shared" si="2"/>
        <v>0</v>
      </c>
      <c r="BM49" s="784">
        <f t="shared" si="2"/>
        <v>0</v>
      </c>
      <c r="BN49" s="784">
        <f t="shared" si="2"/>
        <v>0</v>
      </c>
      <c r="BO49" s="784">
        <f t="shared" si="2"/>
        <v>0</v>
      </c>
      <c r="BP49" s="784">
        <f t="shared" si="2"/>
        <v>0</v>
      </c>
      <c r="BQ49" s="785">
        <f t="shared" si="2"/>
        <v>0</v>
      </c>
      <c r="BR49" s="553" t="str">
        <f t="array" ref="BR49">IF(MAX(ABS(AW49:BQ49))&gt;$BR$4,"EXPLAIN","")</f>
        <v/>
      </c>
    </row>
    <row r="50" spans="2:70">
      <c r="B50" s="765"/>
      <c r="C50" s="765"/>
      <c r="D50" s="735">
        <f>SUM(Prop2018DistTar!D50,Prop2018TransTar!D50,Prop2018JSTar!D50)</f>
        <v>0</v>
      </c>
      <c r="E50" s="771">
        <f>SUM(Prop2018DistTar!E50,Prop2018TransTar!E50,Prop2018JSTar!E50)</f>
        <v>0</v>
      </c>
      <c r="F50" s="771">
        <f>SUM(Prop2018DistTar!F50,Prop2018TransTar!F50,Prop2018JSTar!F50)</f>
        <v>0</v>
      </c>
      <c r="G50" s="771">
        <f>SUM(Prop2018DistTar!G50,Prop2018TransTar!G50,Prop2018JSTar!G50)</f>
        <v>0</v>
      </c>
      <c r="H50" s="771">
        <f>SUM(Prop2018DistTar!H50,Prop2018TransTar!H50,Prop2018JSTar!H50)</f>
        <v>0</v>
      </c>
      <c r="I50" s="771">
        <f>SUM(Prop2018DistTar!I50,Prop2018TransTar!I50,Prop2018JSTar!I50)</f>
        <v>0</v>
      </c>
      <c r="J50" s="771">
        <f>SUM(Prop2018DistTar!J50,Prop2018TransTar!J50,Prop2018JSTar!J50)</f>
        <v>0</v>
      </c>
      <c r="K50" s="771">
        <f>SUM(Prop2018DistTar!K50,Prop2018TransTar!K50,Prop2018JSTar!K50)</f>
        <v>0</v>
      </c>
      <c r="L50" s="771">
        <f>SUM(Prop2018DistTar!L50,Prop2018TransTar!L50,Prop2018JSTar!L50)</f>
        <v>0</v>
      </c>
      <c r="M50" s="771">
        <f>SUM(Prop2018DistTar!M50,Prop2018TransTar!M50,Prop2018JSTar!M50)</f>
        <v>0</v>
      </c>
      <c r="N50" s="771">
        <f>SUM(Prop2018DistTar!N50,Prop2018TransTar!N50,Prop2018JSTar!N50)</f>
        <v>0</v>
      </c>
      <c r="O50" s="771">
        <f>SUM(Prop2018DistTar!O50,Prop2018TransTar!O50,Prop2018JSTar!O50)</f>
        <v>0</v>
      </c>
      <c r="P50" s="771">
        <f>SUM(Prop2018DistTar!P50,Prop2018TransTar!P50,Prop2018JSTar!P50)</f>
        <v>0</v>
      </c>
      <c r="Q50" s="771">
        <f>SUM(Prop2018DistTar!Q50,Prop2018TransTar!Q50,Prop2018JSTar!Q50)</f>
        <v>0</v>
      </c>
      <c r="R50" s="771">
        <f>SUM(Prop2018DistTar!R50,Prop2018TransTar!R50,Prop2018JSTar!R50)</f>
        <v>0</v>
      </c>
      <c r="S50" s="771">
        <f>SUM(Prop2018DistTar!S50,Prop2018TransTar!S50,Prop2018JSTar!S50)</f>
        <v>0</v>
      </c>
      <c r="T50" s="771">
        <f>SUM(Prop2018DistTar!T50,Prop2018TransTar!T50,Prop2018JSTar!T50)</f>
        <v>0</v>
      </c>
      <c r="U50" s="771">
        <f>SUM(Prop2018DistTar!U50,Prop2018TransTar!U50,Prop2018JSTar!U50)</f>
        <v>0</v>
      </c>
      <c r="V50" s="771">
        <f>SUM(Prop2018DistTar!V50,Prop2018TransTar!V50,Prop2018JSTar!V50)</f>
        <v>0</v>
      </c>
      <c r="W50" s="771">
        <f>SUM(Prop2018DistTar!W50,Prop2018TransTar!W50,Prop2018JSTar!W50)</f>
        <v>0</v>
      </c>
      <c r="X50" s="772">
        <f>SUM(Prop2018DistTar!X50,Prop2018TransTar!X50,Prop2018JSTar!X50)</f>
        <v>0</v>
      </c>
      <c r="Z50" s="753"/>
      <c r="AA50" s="775"/>
      <c r="AB50" s="775"/>
      <c r="AC50" s="775"/>
      <c r="AD50" s="775"/>
      <c r="AE50" s="775"/>
      <c r="AF50" s="775"/>
      <c r="AG50" s="775"/>
      <c r="AH50" s="775"/>
      <c r="AI50" s="775"/>
      <c r="AJ50" s="775"/>
      <c r="AK50" s="775"/>
      <c r="AL50" s="775"/>
      <c r="AM50" s="745"/>
      <c r="AN50" s="743"/>
      <c r="AO50" s="743"/>
      <c r="AP50" s="743"/>
      <c r="AQ50" s="743"/>
      <c r="AR50" s="743"/>
      <c r="AS50" s="743"/>
      <c r="AT50" s="744"/>
      <c r="AW50" s="783">
        <f t="shared" si="4"/>
        <v>0</v>
      </c>
      <c r="AX50" s="784">
        <f t="shared" si="4"/>
        <v>0</v>
      </c>
      <c r="AY50" s="784">
        <f t="shared" si="4"/>
        <v>0</v>
      </c>
      <c r="AZ50" s="784">
        <f t="shared" si="4"/>
        <v>0</v>
      </c>
      <c r="BA50" s="784">
        <f t="shared" si="4"/>
        <v>0</v>
      </c>
      <c r="BB50" s="784">
        <f t="shared" si="4"/>
        <v>0</v>
      </c>
      <c r="BC50" s="784">
        <f t="shared" si="4"/>
        <v>0</v>
      </c>
      <c r="BD50" s="784">
        <f t="shared" si="4"/>
        <v>0</v>
      </c>
      <c r="BE50" s="784">
        <f t="shared" si="4"/>
        <v>0</v>
      </c>
      <c r="BF50" s="784">
        <f t="shared" si="4"/>
        <v>0</v>
      </c>
      <c r="BG50" s="784">
        <f t="shared" si="4"/>
        <v>0</v>
      </c>
      <c r="BH50" s="784">
        <f t="shared" si="4"/>
        <v>0</v>
      </c>
      <c r="BI50" s="784">
        <f t="shared" si="4"/>
        <v>0</v>
      </c>
      <c r="BJ50" s="784">
        <f t="shared" si="4"/>
        <v>0</v>
      </c>
      <c r="BK50" s="784">
        <f t="shared" si="4"/>
        <v>0</v>
      </c>
      <c r="BL50" s="784">
        <f t="shared" si="2"/>
        <v>0</v>
      </c>
      <c r="BM50" s="784">
        <f t="shared" si="2"/>
        <v>0</v>
      </c>
      <c r="BN50" s="784">
        <f t="shared" si="2"/>
        <v>0</v>
      </c>
      <c r="BO50" s="784">
        <f t="shared" si="2"/>
        <v>0</v>
      </c>
      <c r="BP50" s="784">
        <f t="shared" si="2"/>
        <v>0</v>
      </c>
      <c r="BQ50" s="785">
        <f t="shared" si="2"/>
        <v>0</v>
      </c>
      <c r="BR50" s="553" t="str">
        <f t="array" ref="BR50">IF(MAX(ABS(AW50:BQ50))&gt;$BR$4,"EXPLAIN","")</f>
        <v/>
      </c>
    </row>
    <row r="51" spans="2:70">
      <c r="B51" s="765"/>
      <c r="C51" s="765"/>
      <c r="D51" s="735">
        <f>SUM(Prop2018DistTar!D51,Prop2018TransTar!D51,Prop2018JSTar!D51)</f>
        <v>0</v>
      </c>
      <c r="E51" s="771">
        <f>SUM(Prop2018DistTar!E51,Prop2018TransTar!E51,Prop2018JSTar!E51)</f>
        <v>0</v>
      </c>
      <c r="F51" s="771">
        <f>SUM(Prop2018DistTar!F51,Prop2018TransTar!F51,Prop2018JSTar!F51)</f>
        <v>0</v>
      </c>
      <c r="G51" s="771">
        <f>SUM(Prop2018DistTar!G51,Prop2018TransTar!G51,Prop2018JSTar!G51)</f>
        <v>0</v>
      </c>
      <c r="H51" s="771">
        <f>SUM(Prop2018DistTar!H51,Prop2018TransTar!H51,Prop2018JSTar!H51)</f>
        <v>0</v>
      </c>
      <c r="I51" s="771">
        <f>SUM(Prop2018DistTar!I51,Prop2018TransTar!I51,Prop2018JSTar!I51)</f>
        <v>0</v>
      </c>
      <c r="J51" s="771">
        <f>SUM(Prop2018DistTar!J51,Prop2018TransTar!J51,Prop2018JSTar!J51)</f>
        <v>0</v>
      </c>
      <c r="K51" s="771">
        <f>SUM(Prop2018DistTar!K51,Prop2018TransTar!K51,Prop2018JSTar!K51)</f>
        <v>0</v>
      </c>
      <c r="L51" s="771">
        <f>SUM(Prop2018DistTar!L51,Prop2018TransTar!L51,Prop2018JSTar!L51)</f>
        <v>0</v>
      </c>
      <c r="M51" s="771">
        <f>SUM(Prop2018DistTar!M51,Prop2018TransTar!M51,Prop2018JSTar!M51)</f>
        <v>0</v>
      </c>
      <c r="N51" s="771">
        <f>SUM(Prop2018DistTar!N51,Prop2018TransTar!N51,Prop2018JSTar!N51)</f>
        <v>0</v>
      </c>
      <c r="O51" s="771">
        <f>SUM(Prop2018DistTar!O51,Prop2018TransTar!O51,Prop2018JSTar!O51)</f>
        <v>0</v>
      </c>
      <c r="P51" s="771">
        <f>SUM(Prop2018DistTar!P51,Prop2018TransTar!P51,Prop2018JSTar!P51)</f>
        <v>0</v>
      </c>
      <c r="Q51" s="771">
        <f>SUM(Prop2018DistTar!Q51,Prop2018TransTar!Q51,Prop2018JSTar!Q51)</f>
        <v>0</v>
      </c>
      <c r="R51" s="771">
        <f>SUM(Prop2018DistTar!R51,Prop2018TransTar!R51,Prop2018JSTar!R51)</f>
        <v>0</v>
      </c>
      <c r="S51" s="771">
        <f>SUM(Prop2018DistTar!S51,Prop2018TransTar!S51,Prop2018JSTar!S51)</f>
        <v>0</v>
      </c>
      <c r="T51" s="771">
        <f>SUM(Prop2018DistTar!T51,Prop2018TransTar!T51,Prop2018JSTar!T51)</f>
        <v>0</v>
      </c>
      <c r="U51" s="771">
        <f>SUM(Prop2018DistTar!U51,Prop2018TransTar!U51,Prop2018JSTar!U51)</f>
        <v>0</v>
      </c>
      <c r="V51" s="771">
        <f>SUM(Prop2018DistTar!V51,Prop2018TransTar!V51,Prop2018JSTar!V51)</f>
        <v>0</v>
      </c>
      <c r="W51" s="771">
        <f>SUM(Prop2018DistTar!W51,Prop2018TransTar!W51,Prop2018JSTar!W51)</f>
        <v>0</v>
      </c>
      <c r="X51" s="772">
        <f>SUM(Prop2018DistTar!X51,Prop2018TransTar!X51,Prop2018JSTar!X51)</f>
        <v>0</v>
      </c>
      <c r="Z51" s="753"/>
      <c r="AA51" s="775"/>
      <c r="AB51" s="775"/>
      <c r="AC51" s="775"/>
      <c r="AD51" s="775"/>
      <c r="AE51" s="775"/>
      <c r="AF51" s="775"/>
      <c r="AG51" s="775"/>
      <c r="AH51" s="775"/>
      <c r="AI51" s="775"/>
      <c r="AJ51" s="775"/>
      <c r="AK51" s="775"/>
      <c r="AL51" s="775"/>
      <c r="AM51" s="745"/>
      <c r="AN51" s="743"/>
      <c r="AO51" s="743"/>
      <c r="AP51" s="743"/>
      <c r="AQ51" s="743"/>
      <c r="AR51" s="743"/>
      <c r="AS51" s="743"/>
      <c r="AT51" s="744"/>
      <c r="AW51" s="783">
        <f t="shared" si="4"/>
        <v>0</v>
      </c>
      <c r="AX51" s="784">
        <f t="shared" si="4"/>
        <v>0</v>
      </c>
      <c r="AY51" s="784">
        <f t="shared" si="4"/>
        <v>0</v>
      </c>
      <c r="AZ51" s="784">
        <f t="shared" si="4"/>
        <v>0</v>
      </c>
      <c r="BA51" s="784">
        <f t="shared" si="4"/>
        <v>0</v>
      </c>
      <c r="BB51" s="784">
        <f t="shared" si="4"/>
        <v>0</v>
      </c>
      <c r="BC51" s="784">
        <f t="shared" si="4"/>
        <v>0</v>
      </c>
      <c r="BD51" s="784">
        <f t="shared" si="4"/>
        <v>0</v>
      </c>
      <c r="BE51" s="784">
        <f t="shared" si="4"/>
        <v>0</v>
      </c>
      <c r="BF51" s="784">
        <f t="shared" si="4"/>
        <v>0</v>
      </c>
      <c r="BG51" s="784">
        <f t="shared" si="4"/>
        <v>0</v>
      </c>
      <c r="BH51" s="784">
        <f t="shared" si="4"/>
        <v>0</v>
      </c>
      <c r="BI51" s="784">
        <f t="shared" si="4"/>
        <v>0</v>
      </c>
      <c r="BJ51" s="784">
        <f t="shared" si="4"/>
        <v>0</v>
      </c>
      <c r="BK51" s="784">
        <f t="shared" si="4"/>
        <v>0</v>
      </c>
      <c r="BL51" s="784">
        <f t="shared" si="2"/>
        <v>0</v>
      </c>
      <c r="BM51" s="784">
        <f t="shared" si="2"/>
        <v>0</v>
      </c>
      <c r="BN51" s="784">
        <f t="shared" si="2"/>
        <v>0</v>
      </c>
      <c r="BO51" s="784">
        <f t="shared" si="2"/>
        <v>0</v>
      </c>
      <c r="BP51" s="784">
        <f t="shared" si="2"/>
        <v>0</v>
      </c>
      <c r="BQ51" s="785">
        <f t="shared" si="2"/>
        <v>0</v>
      </c>
      <c r="BR51" s="553" t="str">
        <f t="array" ref="BR51">IF(MAX(ABS(AW51:BQ51))&gt;$BR$4,"EXPLAIN","")</f>
        <v/>
      </c>
    </row>
    <row r="52" spans="2:70">
      <c r="B52" s="765"/>
      <c r="C52" s="765"/>
      <c r="D52" s="735">
        <f>SUM(Prop2018DistTar!D52,Prop2018TransTar!D52,Prop2018JSTar!D52)</f>
        <v>0</v>
      </c>
      <c r="E52" s="771">
        <f>SUM(Prop2018DistTar!E52,Prop2018TransTar!E52,Prop2018JSTar!E52)</f>
        <v>0</v>
      </c>
      <c r="F52" s="771">
        <f>SUM(Prop2018DistTar!F52,Prop2018TransTar!F52,Prop2018JSTar!F52)</f>
        <v>0</v>
      </c>
      <c r="G52" s="771">
        <f>SUM(Prop2018DistTar!G52,Prop2018TransTar!G52,Prop2018JSTar!G52)</f>
        <v>0</v>
      </c>
      <c r="H52" s="771">
        <f>SUM(Prop2018DistTar!H52,Prop2018TransTar!H52,Prop2018JSTar!H52)</f>
        <v>0</v>
      </c>
      <c r="I52" s="771">
        <f>SUM(Prop2018DistTar!I52,Prop2018TransTar!I52,Prop2018JSTar!I52)</f>
        <v>0</v>
      </c>
      <c r="J52" s="771">
        <f>SUM(Prop2018DistTar!J52,Prop2018TransTar!J52,Prop2018JSTar!J52)</f>
        <v>0</v>
      </c>
      <c r="K52" s="771">
        <f>SUM(Prop2018DistTar!K52,Prop2018TransTar!K52,Prop2018JSTar!K52)</f>
        <v>0</v>
      </c>
      <c r="L52" s="771">
        <f>SUM(Prop2018DistTar!L52,Prop2018TransTar!L52,Prop2018JSTar!L52)</f>
        <v>0</v>
      </c>
      <c r="M52" s="771">
        <f>SUM(Prop2018DistTar!M52,Prop2018TransTar!M52,Prop2018JSTar!M52)</f>
        <v>0</v>
      </c>
      <c r="N52" s="771">
        <f>SUM(Prop2018DistTar!N52,Prop2018TransTar!N52,Prop2018JSTar!N52)</f>
        <v>0</v>
      </c>
      <c r="O52" s="771">
        <f>SUM(Prop2018DistTar!O52,Prop2018TransTar!O52,Prop2018JSTar!O52)</f>
        <v>0</v>
      </c>
      <c r="P52" s="771">
        <f>SUM(Prop2018DistTar!P52,Prop2018TransTar!P52,Prop2018JSTar!P52)</f>
        <v>0</v>
      </c>
      <c r="Q52" s="771">
        <f>SUM(Prop2018DistTar!Q52,Prop2018TransTar!Q52,Prop2018JSTar!Q52)</f>
        <v>0</v>
      </c>
      <c r="R52" s="771">
        <f>SUM(Prop2018DistTar!R52,Prop2018TransTar!R52,Prop2018JSTar!R52)</f>
        <v>0</v>
      </c>
      <c r="S52" s="771">
        <f>SUM(Prop2018DistTar!S52,Prop2018TransTar!S52,Prop2018JSTar!S52)</f>
        <v>0</v>
      </c>
      <c r="T52" s="771">
        <f>SUM(Prop2018DistTar!T52,Prop2018TransTar!T52,Prop2018JSTar!T52)</f>
        <v>0</v>
      </c>
      <c r="U52" s="771">
        <f>SUM(Prop2018DistTar!U52,Prop2018TransTar!U52,Prop2018JSTar!U52)</f>
        <v>0</v>
      </c>
      <c r="V52" s="771">
        <f>SUM(Prop2018DistTar!V52,Prop2018TransTar!V52,Prop2018JSTar!V52)</f>
        <v>0</v>
      </c>
      <c r="W52" s="771">
        <f>SUM(Prop2018DistTar!W52,Prop2018TransTar!W52,Prop2018JSTar!W52)</f>
        <v>0</v>
      </c>
      <c r="X52" s="772">
        <f>SUM(Prop2018DistTar!X52,Prop2018TransTar!X52,Prop2018JSTar!X52)</f>
        <v>0</v>
      </c>
      <c r="Z52" s="753"/>
      <c r="AA52" s="775"/>
      <c r="AB52" s="775"/>
      <c r="AC52" s="775"/>
      <c r="AD52" s="775"/>
      <c r="AE52" s="775"/>
      <c r="AF52" s="775"/>
      <c r="AG52" s="775"/>
      <c r="AH52" s="775"/>
      <c r="AI52" s="775"/>
      <c r="AJ52" s="775"/>
      <c r="AK52" s="775"/>
      <c r="AL52" s="775"/>
      <c r="AM52" s="745"/>
      <c r="AN52" s="743"/>
      <c r="AO52" s="743"/>
      <c r="AP52" s="743"/>
      <c r="AQ52" s="743"/>
      <c r="AR52" s="743"/>
      <c r="AS52" s="743"/>
      <c r="AT52" s="744"/>
      <c r="AW52" s="783">
        <f t="shared" si="4"/>
        <v>0</v>
      </c>
      <c r="AX52" s="784">
        <f t="shared" si="4"/>
        <v>0</v>
      </c>
      <c r="AY52" s="784">
        <f t="shared" si="4"/>
        <v>0</v>
      </c>
      <c r="AZ52" s="784">
        <f t="shared" si="4"/>
        <v>0</v>
      </c>
      <c r="BA52" s="784">
        <f t="shared" si="4"/>
        <v>0</v>
      </c>
      <c r="BB52" s="784">
        <f t="shared" si="4"/>
        <v>0</v>
      </c>
      <c r="BC52" s="784">
        <f t="shared" si="4"/>
        <v>0</v>
      </c>
      <c r="BD52" s="784">
        <f t="shared" si="4"/>
        <v>0</v>
      </c>
      <c r="BE52" s="784">
        <f t="shared" si="4"/>
        <v>0</v>
      </c>
      <c r="BF52" s="784">
        <f t="shared" si="4"/>
        <v>0</v>
      </c>
      <c r="BG52" s="784">
        <f t="shared" si="4"/>
        <v>0</v>
      </c>
      <c r="BH52" s="784">
        <f t="shared" si="4"/>
        <v>0</v>
      </c>
      <c r="BI52" s="784">
        <f t="shared" si="4"/>
        <v>0</v>
      </c>
      <c r="BJ52" s="784">
        <f t="shared" si="4"/>
        <v>0</v>
      </c>
      <c r="BK52" s="784">
        <f t="shared" si="4"/>
        <v>0</v>
      </c>
      <c r="BL52" s="784">
        <f t="shared" si="2"/>
        <v>0</v>
      </c>
      <c r="BM52" s="784">
        <f t="shared" si="2"/>
        <v>0</v>
      </c>
      <c r="BN52" s="784">
        <f t="shared" si="2"/>
        <v>0</v>
      </c>
      <c r="BO52" s="784">
        <f t="shared" si="2"/>
        <v>0</v>
      </c>
      <c r="BP52" s="784">
        <f t="shared" si="2"/>
        <v>0</v>
      </c>
      <c r="BQ52" s="785">
        <f t="shared" si="2"/>
        <v>0</v>
      </c>
      <c r="BR52" s="553" t="str">
        <f t="array" ref="BR52">IF(MAX(ABS(AW52:BQ52))&gt;$BR$4,"EXPLAIN","")</f>
        <v/>
      </c>
    </row>
    <row r="53" spans="2:70">
      <c r="B53" s="765"/>
      <c r="C53" s="765"/>
      <c r="D53" s="735">
        <f>SUM(Prop2018DistTar!D53,Prop2018TransTar!D53,Prop2018JSTar!D53)</f>
        <v>0</v>
      </c>
      <c r="E53" s="771">
        <f>SUM(Prop2018DistTar!E53,Prop2018TransTar!E53,Prop2018JSTar!E53)</f>
        <v>0</v>
      </c>
      <c r="F53" s="771">
        <f>SUM(Prop2018DistTar!F53,Prop2018TransTar!F53,Prop2018JSTar!F53)</f>
        <v>0</v>
      </c>
      <c r="G53" s="771">
        <f>SUM(Prop2018DistTar!G53,Prop2018TransTar!G53,Prop2018JSTar!G53)</f>
        <v>0</v>
      </c>
      <c r="H53" s="771">
        <f>SUM(Prop2018DistTar!H53,Prop2018TransTar!H53,Prop2018JSTar!H53)</f>
        <v>0</v>
      </c>
      <c r="I53" s="771">
        <f>SUM(Prop2018DistTar!I53,Prop2018TransTar!I53,Prop2018JSTar!I53)</f>
        <v>0</v>
      </c>
      <c r="J53" s="771">
        <f>SUM(Prop2018DistTar!J53,Prop2018TransTar!J53,Prop2018JSTar!J53)</f>
        <v>0</v>
      </c>
      <c r="K53" s="771">
        <f>SUM(Prop2018DistTar!K53,Prop2018TransTar!K53,Prop2018JSTar!K53)</f>
        <v>0</v>
      </c>
      <c r="L53" s="771">
        <f>SUM(Prop2018DistTar!L53,Prop2018TransTar!L53,Prop2018JSTar!L53)</f>
        <v>0</v>
      </c>
      <c r="M53" s="771">
        <f>SUM(Prop2018DistTar!M53,Prop2018TransTar!M53,Prop2018JSTar!M53)</f>
        <v>0</v>
      </c>
      <c r="N53" s="771">
        <f>SUM(Prop2018DistTar!N53,Prop2018TransTar!N53,Prop2018JSTar!N53)</f>
        <v>0</v>
      </c>
      <c r="O53" s="771">
        <f>SUM(Prop2018DistTar!O53,Prop2018TransTar!O53,Prop2018JSTar!O53)</f>
        <v>0</v>
      </c>
      <c r="P53" s="771">
        <f>SUM(Prop2018DistTar!P53,Prop2018TransTar!P53,Prop2018JSTar!P53)</f>
        <v>0</v>
      </c>
      <c r="Q53" s="771">
        <f>SUM(Prop2018DistTar!Q53,Prop2018TransTar!Q53,Prop2018JSTar!Q53)</f>
        <v>0</v>
      </c>
      <c r="R53" s="771">
        <f>SUM(Prop2018DistTar!R53,Prop2018TransTar!R53,Prop2018JSTar!R53)</f>
        <v>0</v>
      </c>
      <c r="S53" s="771">
        <f>SUM(Prop2018DistTar!S53,Prop2018TransTar!S53,Prop2018JSTar!S53)</f>
        <v>0</v>
      </c>
      <c r="T53" s="771">
        <f>SUM(Prop2018DistTar!T53,Prop2018TransTar!T53,Prop2018JSTar!T53)</f>
        <v>0</v>
      </c>
      <c r="U53" s="771">
        <f>SUM(Prop2018DistTar!U53,Prop2018TransTar!U53,Prop2018JSTar!U53)</f>
        <v>0</v>
      </c>
      <c r="V53" s="771">
        <f>SUM(Prop2018DistTar!V53,Prop2018TransTar!V53,Prop2018JSTar!V53)</f>
        <v>0</v>
      </c>
      <c r="W53" s="771">
        <f>SUM(Prop2018DistTar!W53,Prop2018TransTar!W53,Prop2018JSTar!W53)</f>
        <v>0</v>
      </c>
      <c r="X53" s="772">
        <f>SUM(Prop2018DistTar!X53,Prop2018TransTar!X53,Prop2018JSTar!X53)</f>
        <v>0</v>
      </c>
      <c r="Z53" s="753"/>
      <c r="AA53" s="775"/>
      <c r="AB53" s="775"/>
      <c r="AC53" s="775"/>
      <c r="AD53" s="775"/>
      <c r="AE53" s="775"/>
      <c r="AF53" s="775"/>
      <c r="AG53" s="775"/>
      <c r="AH53" s="775"/>
      <c r="AI53" s="775"/>
      <c r="AJ53" s="775"/>
      <c r="AK53" s="775"/>
      <c r="AL53" s="775"/>
      <c r="AM53" s="745"/>
      <c r="AN53" s="743"/>
      <c r="AO53" s="743"/>
      <c r="AP53" s="743"/>
      <c r="AQ53" s="743"/>
      <c r="AR53" s="743"/>
      <c r="AS53" s="743"/>
      <c r="AT53" s="744"/>
      <c r="AW53" s="783">
        <f t="shared" si="4"/>
        <v>0</v>
      </c>
      <c r="AX53" s="784">
        <f t="shared" si="4"/>
        <v>0</v>
      </c>
      <c r="AY53" s="784">
        <f t="shared" si="4"/>
        <v>0</v>
      </c>
      <c r="AZ53" s="784">
        <f t="shared" si="4"/>
        <v>0</v>
      </c>
      <c r="BA53" s="784">
        <f t="shared" si="4"/>
        <v>0</v>
      </c>
      <c r="BB53" s="784">
        <f t="shared" si="4"/>
        <v>0</v>
      </c>
      <c r="BC53" s="784">
        <f t="shared" si="4"/>
        <v>0</v>
      </c>
      <c r="BD53" s="784">
        <f t="shared" si="4"/>
        <v>0</v>
      </c>
      <c r="BE53" s="784">
        <f t="shared" si="4"/>
        <v>0</v>
      </c>
      <c r="BF53" s="784">
        <f t="shared" si="4"/>
        <v>0</v>
      </c>
      <c r="BG53" s="784">
        <f t="shared" si="4"/>
        <v>0</v>
      </c>
      <c r="BH53" s="784">
        <f t="shared" si="4"/>
        <v>0</v>
      </c>
      <c r="BI53" s="784">
        <f t="shared" si="4"/>
        <v>0</v>
      </c>
      <c r="BJ53" s="784">
        <f t="shared" si="4"/>
        <v>0</v>
      </c>
      <c r="BK53" s="784">
        <f t="shared" si="4"/>
        <v>0</v>
      </c>
      <c r="BL53" s="784">
        <f t="shared" si="4"/>
        <v>0</v>
      </c>
      <c r="BM53" s="784">
        <f t="shared" ref="BM53:BQ65" si="5">IFERROR(T53/AP53-1,0)</f>
        <v>0</v>
      </c>
      <c r="BN53" s="784">
        <f t="shared" si="5"/>
        <v>0</v>
      </c>
      <c r="BO53" s="784">
        <f t="shared" si="5"/>
        <v>0</v>
      </c>
      <c r="BP53" s="784">
        <f t="shared" si="5"/>
        <v>0</v>
      </c>
      <c r="BQ53" s="785">
        <f t="shared" si="5"/>
        <v>0</v>
      </c>
      <c r="BR53" s="553" t="str">
        <f t="array" ref="BR53">IF(MAX(ABS(AW53:BQ53))&gt;$BR$4,"EXPLAIN","")</f>
        <v/>
      </c>
    </row>
    <row r="54" spans="2:70">
      <c r="B54" s="765"/>
      <c r="C54" s="765"/>
      <c r="D54" s="735">
        <f>SUM(Prop2018DistTar!D54,Prop2018TransTar!D54,Prop2018JSTar!D54)</f>
        <v>0</v>
      </c>
      <c r="E54" s="771">
        <f>SUM(Prop2018DistTar!E54,Prop2018TransTar!E54,Prop2018JSTar!E54)</f>
        <v>0</v>
      </c>
      <c r="F54" s="771">
        <f>SUM(Prop2018DistTar!F54,Prop2018TransTar!F54,Prop2018JSTar!F54)</f>
        <v>0</v>
      </c>
      <c r="G54" s="771">
        <f>SUM(Prop2018DistTar!G54,Prop2018TransTar!G54,Prop2018JSTar!G54)</f>
        <v>0</v>
      </c>
      <c r="H54" s="771">
        <f>SUM(Prop2018DistTar!H54,Prop2018TransTar!H54,Prop2018JSTar!H54)</f>
        <v>0</v>
      </c>
      <c r="I54" s="771">
        <f>SUM(Prop2018DistTar!I54,Prop2018TransTar!I54,Prop2018JSTar!I54)</f>
        <v>0</v>
      </c>
      <c r="J54" s="771">
        <f>SUM(Prop2018DistTar!J54,Prop2018TransTar!J54,Prop2018JSTar!J54)</f>
        <v>0</v>
      </c>
      <c r="K54" s="771">
        <f>SUM(Prop2018DistTar!K54,Prop2018TransTar!K54,Prop2018JSTar!K54)</f>
        <v>0</v>
      </c>
      <c r="L54" s="771">
        <f>SUM(Prop2018DistTar!L54,Prop2018TransTar!L54,Prop2018JSTar!L54)</f>
        <v>0</v>
      </c>
      <c r="M54" s="771">
        <f>SUM(Prop2018DistTar!M54,Prop2018TransTar!M54,Prop2018JSTar!M54)</f>
        <v>0</v>
      </c>
      <c r="N54" s="771">
        <f>SUM(Prop2018DistTar!N54,Prop2018TransTar!N54,Prop2018JSTar!N54)</f>
        <v>0</v>
      </c>
      <c r="O54" s="771">
        <f>SUM(Prop2018DistTar!O54,Prop2018TransTar!O54,Prop2018JSTar!O54)</f>
        <v>0</v>
      </c>
      <c r="P54" s="771">
        <f>SUM(Prop2018DistTar!P54,Prop2018TransTar!P54,Prop2018JSTar!P54)</f>
        <v>0</v>
      </c>
      <c r="Q54" s="771">
        <f>SUM(Prop2018DistTar!Q54,Prop2018TransTar!Q54,Prop2018JSTar!Q54)</f>
        <v>0</v>
      </c>
      <c r="R54" s="771">
        <f>SUM(Prop2018DistTar!R54,Prop2018TransTar!R54,Prop2018JSTar!R54)</f>
        <v>0</v>
      </c>
      <c r="S54" s="771">
        <f>SUM(Prop2018DistTar!S54,Prop2018TransTar!S54,Prop2018JSTar!S54)</f>
        <v>0</v>
      </c>
      <c r="T54" s="771">
        <f>SUM(Prop2018DistTar!T54,Prop2018TransTar!T54,Prop2018JSTar!T54)</f>
        <v>0</v>
      </c>
      <c r="U54" s="771">
        <f>SUM(Prop2018DistTar!U54,Prop2018TransTar!U54,Prop2018JSTar!U54)</f>
        <v>0</v>
      </c>
      <c r="V54" s="771">
        <f>SUM(Prop2018DistTar!V54,Prop2018TransTar!V54,Prop2018JSTar!V54)</f>
        <v>0</v>
      </c>
      <c r="W54" s="771">
        <f>SUM(Prop2018DistTar!W54,Prop2018TransTar!W54,Prop2018JSTar!W54)</f>
        <v>0</v>
      </c>
      <c r="X54" s="772">
        <f>SUM(Prop2018DistTar!X54,Prop2018TransTar!X54,Prop2018JSTar!X54)</f>
        <v>0</v>
      </c>
      <c r="Z54" s="753"/>
      <c r="AA54" s="775"/>
      <c r="AB54" s="775"/>
      <c r="AC54" s="775"/>
      <c r="AD54" s="775"/>
      <c r="AE54" s="775"/>
      <c r="AF54" s="775"/>
      <c r="AG54" s="775"/>
      <c r="AH54" s="775"/>
      <c r="AI54" s="775"/>
      <c r="AJ54" s="775"/>
      <c r="AK54" s="775"/>
      <c r="AL54" s="775"/>
      <c r="AM54" s="745"/>
      <c r="AN54" s="743"/>
      <c r="AO54" s="743"/>
      <c r="AP54" s="743"/>
      <c r="AQ54" s="743"/>
      <c r="AR54" s="743"/>
      <c r="AS54" s="743"/>
      <c r="AT54" s="744"/>
      <c r="AW54" s="783">
        <f t="shared" si="4"/>
        <v>0</v>
      </c>
      <c r="AX54" s="784">
        <f t="shared" si="4"/>
        <v>0</v>
      </c>
      <c r="AY54" s="784">
        <f t="shared" si="4"/>
        <v>0</v>
      </c>
      <c r="AZ54" s="784">
        <f t="shared" si="4"/>
        <v>0</v>
      </c>
      <c r="BA54" s="784">
        <f t="shared" si="4"/>
        <v>0</v>
      </c>
      <c r="BB54" s="784">
        <f t="shared" si="4"/>
        <v>0</v>
      </c>
      <c r="BC54" s="784">
        <f t="shared" si="4"/>
        <v>0</v>
      </c>
      <c r="BD54" s="784">
        <f t="shared" si="4"/>
        <v>0</v>
      </c>
      <c r="BE54" s="784">
        <f t="shared" si="4"/>
        <v>0</v>
      </c>
      <c r="BF54" s="784">
        <f t="shared" si="4"/>
        <v>0</v>
      </c>
      <c r="BG54" s="784">
        <f t="shared" si="4"/>
        <v>0</v>
      </c>
      <c r="BH54" s="784">
        <f t="shared" si="4"/>
        <v>0</v>
      </c>
      <c r="BI54" s="784">
        <f t="shared" si="4"/>
        <v>0</v>
      </c>
      <c r="BJ54" s="784">
        <f t="shared" si="4"/>
        <v>0</v>
      </c>
      <c r="BK54" s="784">
        <f t="shared" si="4"/>
        <v>0</v>
      </c>
      <c r="BL54" s="784">
        <f t="shared" si="4"/>
        <v>0</v>
      </c>
      <c r="BM54" s="784">
        <f t="shared" si="5"/>
        <v>0</v>
      </c>
      <c r="BN54" s="784">
        <f t="shared" si="5"/>
        <v>0</v>
      </c>
      <c r="BO54" s="784">
        <f t="shared" si="5"/>
        <v>0</v>
      </c>
      <c r="BP54" s="784">
        <f t="shared" si="5"/>
        <v>0</v>
      </c>
      <c r="BQ54" s="785">
        <f t="shared" si="5"/>
        <v>0</v>
      </c>
      <c r="BR54" s="553" t="str">
        <f t="array" ref="BR54">IF(MAX(ABS(AW54:BQ54))&gt;$BR$4,"EXPLAIN","")</f>
        <v/>
      </c>
    </row>
    <row r="55" spans="2:70">
      <c r="B55" s="765"/>
      <c r="C55" s="765"/>
      <c r="D55" s="299"/>
      <c r="E55" s="743"/>
      <c r="F55" s="743"/>
      <c r="G55" s="743"/>
      <c r="H55" s="743"/>
      <c r="I55" s="743"/>
      <c r="J55" s="743"/>
      <c r="K55" s="743"/>
      <c r="L55" s="743"/>
      <c r="M55" s="743"/>
      <c r="N55" s="743"/>
      <c r="O55" s="743"/>
      <c r="P55" s="743"/>
      <c r="Q55" s="745"/>
      <c r="R55" s="743"/>
      <c r="S55" s="743"/>
      <c r="T55" s="743"/>
      <c r="U55" s="743"/>
      <c r="V55" s="743"/>
      <c r="W55" s="743"/>
      <c r="X55" s="744"/>
      <c r="Z55" s="753"/>
      <c r="AA55" s="775"/>
      <c r="AB55" s="775"/>
      <c r="AC55" s="775"/>
      <c r="AD55" s="775"/>
      <c r="AE55" s="775"/>
      <c r="AF55" s="775"/>
      <c r="AG55" s="775"/>
      <c r="AH55" s="775"/>
      <c r="AI55" s="775"/>
      <c r="AJ55" s="775"/>
      <c r="AK55" s="775"/>
      <c r="AL55" s="775"/>
      <c r="AM55" s="745"/>
      <c r="AN55" s="743"/>
      <c r="AO55" s="743"/>
      <c r="AP55" s="743"/>
      <c r="AQ55" s="743"/>
      <c r="AR55" s="743"/>
      <c r="AS55" s="743"/>
      <c r="AT55" s="744"/>
      <c r="AW55" s="783">
        <f t="shared" si="4"/>
        <v>0</v>
      </c>
      <c r="AX55" s="784">
        <f t="shared" si="4"/>
        <v>0</v>
      </c>
      <c r="AY55" s="784">
        <f t="shared" si="4"/>
        <v>0</v>
      </c>
      <c r="AZ55" s="784">
        <f t="shared" si="4"/>
        <v>0</v>
      </c>
      <c r="BA55" s="784">
        <f t="shared" si="4"/>
        <v>0</v>
      </c>
      <c r="BB55" s="784">
        <f t="shared" si="4"/>
        <v>0</v>
      </c>
      <c r="BC55" s="784">
        <f t="shared" si="4"/>
        <v>0</v>
      </c>
      <c r="BD55" s="784">
        <f t="shared" si="4"/>
        <v>0</v>
      </c>
      <c r="BE55" s="784">
        <f t="shared" si="4"/>
        <v>0</v>
      </c>
      <c r="BF55" s="784">
        <f t="shared" si="4"/>
        <v>0</v>
      </c>
      <c r="BG55" s="784">
        <f t="shared" si="4"/>
        <v>0</v>
      </c>
      <c r="BH55" s="784">
        <f t="shared" si="4"/>
        <v>0</v>
      </c>
      <c r="BI55" s="784">
        <f t="shared" si="4"/>
        <v>0</v>
      </c>
      <c r="BJ55" s="784">
        <f t="shared" ref="BJ55:BL65" si="6">IFERROR(Q55/AM55-1,0)</f>
        <v>0</v>
      </c>
      <c r="BK55" s="784">
        <f t="shared" si="6"/>
        <v>0</v>
      </c>
      <c r="BL55" s="784">
        <f t="shared" si="6"/>
        <v>0</v>
      </c>
      <c r="BM55" s="784">
        <f t="shared" si="5"/>
        <v>0</v>
      </c>
      <c r="BN55" s="784">
        <f t="shared" si="5"/>
        <v>0</v>
      </c>
      <c r="BO55" s="784">
        <f t="shared" si="5"/>
        <v>0</v>
      </c>
      <c r="BP55" s="784">
        <f t="shared" si="5"/>
        <v>0</v>
      </c>
      <c r="BQ55" s="785">
        <f t="shared" si="5"/>
        <v>0</v>
      </c>
      <c r="BR55" s="553" t="str">
        <f t="array" ref="BR55">IF(MAX(ABS(AW55:BQ55))&gt;$BR$4,"EXPLAIN","")</f>
        <v/>
      </c>
    </row>
    <row r="56" spans="2:70">
      <c r="B56" s="765"/>
      <c r="C56" s="765"/>
      <c r="D56" s="299"/>
      <c r="E56" s="743"/>
      <c r="F56" s="743"/>
      <c r="G56" s="743"/>
      <c r="H56" s="743"/>
      <c r="I56" s="743"/>
      <c r="J56" s="743"/>
      <c r="K56" s="743"/>
      <c r="L56" s="743"/>
      <c r="M56" s="743"/>
      <c r="N56" s="743"/>
      <c r="O56" s="743"/>
      <c r="P56" s="743"/>
      <c r="Q56" s="745"/>
      <c r="R56" s="743"/>
      <c r="S56" s="743"/>
      <c r="T56" s="743"/>
      <c r="U56" s="743"/>
      <c r="V56" s="743"/>
      <c r="W56" s="743"/>
      <c r="X56" s="744"/>
      <c r="Z56" s="753"/>
      <c r="AA56" s="775"/>
      <c r="AB56" s="775"/>
      <c r="AC56" s="775"/>
      <c r="AD56" s="775"/>
      <c r="AE56" s="775"/>
      <c r="AF56" s="775"/>
      <c r="AG56" s="775"/>
      <c r="AH56" s="775"/>
      <c r="AI56" s="775"/>
      <c r="AJ56" s="775"/>
      <c r="AK56" s="775"/>
      <c r="AL56" s="775"/>
      <c r="AM56" s="745"/>
      <c r="AN56" s="743"/>
      <c r="AO56" s="743"/>
      <c r="AP56" s="743"/>
      <c r="AQ56" s="743"/>
      <c r="AR56" s="743"/>
      <c r="AS56" s="743"/>
      <c r="AT56" s="744"/>
      <c r="AW56" s="783">
        <f t="shared" ref="AW56:BI65" si="7">IFERROR(D56/Z56-1,0)</f>
        <v>0</v>
      </c>
      <c r="AX56" s="784">
        <f t="shared" si="7"/>
        <v>0</v>
      </c>
      <c r="AY56" s="784">
        <f t="shared" si="7"/>
        <v>0</v>
      </c>
      <c r="AZ56" s="784">
        <f t="shared" si="7"/>
        <v>0</v>
      </c>
      <c r="BA56" s="784">
        <f t="shared" si="7"/>
        <v>0</v>
      </c>
      <c r="BB56" s="784">
        <f t="shared" si="7"/>
        <v>0</v>
      </c>
      <c r="BC56" s="784">
        <f t="shared" si="7"/>
        <v>0</v>
      </c>
      <c r="BD56" s="784">
        <f t="shared" si="7"/>
        <v>0</v>
      </c>
      <c r="BE56" s="784">
        <f t="shared" si="7"/>
        <v>0</v>
      </c>
      <c r="BF56" s="784">
        <f t="shared" si="7"/>
        <v>0</v>
      </c>
      <c r="BG56" s="784">
        <f t="shared" si="7"/>
        <v>0</v>
      </c>
      <c r="BH56" s="784">
        <f t="shared" si="7"/>
        <v>0</v>
      </c>
      <c r="BI56" s="784">
        <f t="shared" si="7"/>
        <v>0</v>
      </c>
      <c r="BJ56" s="784">
        <f t="shared" si="6"/>
        <v>0</v>
      </c>
      <c r="BK56" s="784">
        <f t="shared" si="6"/>
        <v>0</v>
      </c>
      <c r="BL56" s="784">
        <f t="shared" si="6"/>
        <v>0</v>
      </c>
      <c r="BM56" s="784">
        <f t="shared" si="5"/>
        <v>0</v>
      </c>
      <c r="BN56" s="784">
        <f t="shared" si="5"/>
        <v>0</v>
      </c>
      <c r="BO56" s="784">
        <f t="shared" si="5"/>
        <v>0</v>
      </c>
      <c r="BP56" s="784">
        <f t="shared" si="5"/>
        <v>0</v>
      </c>
      <c r="BQ56" s="785">
        <f t="shared" si="5"/>
        <v>0</v>
      </c>
      <c r="BR56" s="553" t="str">
        <f t="array" ref="BR56">IF(MAX(ABS(AW56:BQ56))&gt;$BR$4,"EXPLAIN","")</f>
        <v/>
      </c>
    </row>
    <row r="57" spans="2:70">
      <c r="B57" s="765"/>
      <c r="C57" s="765"/>
      <c r="D57" s="299"/>
      <c r="E57" s="743"/>
      <c r="F57" s="743"/>
      <c r="G57" s="743"/>
      <c r="H57" s="743"/>
      <c r="I57" s="743"/>
      <c r="J57" s="743"/>
      <c r="K57" s="743"/>
      <c r="L57" s="743"/>
      <c r="M57" s="743"/>
      <c r="N57" s="743"/>
      <c r="O57" s="743"/>
      <c r="P57" s="743"/>
      <c r="Q57" s="745"/>
      <c r="R57" s="743"/>
      <c r="S57" s="743"/>
      <c r="T57" s="743"/>
      <c r="U57" s="743"/>
      <c r="V57" s="743"/>
      <c r="W57" s="743"/>
      <c r="X57" s="744"/>
      <c r="Z57" s="753"/>
      <c r="AA57" s="775"/>
      <c r="AB57" s="775"/>
      <c r="AC57" s="775"/>
      <c r="AD57" s="775"/>
      <c r="AE57" s="775"/>
      <c r="AF57" s="775"/>
      <c r="AG57" s="775"/>
      <c r="AH57" s="775"/>
      <c r="AI57" s="775"/>
      <c r="AJ57" s="775"/>
      <c r="AK57" s="775"/>
      <c r="AL57" s="775"/>
      <c r="AM57" s="745"/>
      <c r="AN57" s="743"/>
      <c r="AO57" s="743"/>
      <c r="AP57" s="743"/>
      <c r="AQ57" s="743"/>
      <c r="AR57" s="743"/>
      <c r="AS57" s="743"/>
      <c r="AT57" s="744"/>
      <c r="AW57" s="783">
        <f t="shared" si="7"/>
        <v>0</v>
      </c>
      <c r="AX57" s="784">
        <f t="shared" si="7"/>
        <v>0</v>
      </c>
      <c r="AY57" s="784">
        <f t="shared" si="7"/>
        <v>0</v>
      </c>
      <c r="AZ57" s="784">
        <f t="shared" si="7"/>
        <v>0</v>
      </c>
      <c r="BA57" s="784">
        <f t="shared" si="7"/>
        <v>0</v>
      </c>
      <c r="BB57" s="784">
        <f t="shared" si="7"/>
        <v>0</v>
      </c>
      <c r="BC57" s="784">
        <f t="shared" si="7"/>
        <v>0</v>
      </c>
      <c r="BD57" s="784">
        <f t="shared" si="7"/>
        <v>0</v>
      </c>
      <c r="BE57" s="784">
        <f t="shared" si="7"/>
        <v>0</v>
      </c>
      <c r="BF57" s="784">
        <f t="shared" si="7"/>
        <v>0</v>
      </c>
      <c r="BG57" s="784">
        <f t="shared" si="7"/>
        <v>0</v>
      </c>
      <c r="BH57" s="784">
        <f t="shared" si="7"/>
        <v>0</v>
      </c>
      <c r="BI57" s="784">
        <f t="shared" si="7"/>
        <v>0</v>
      </c>
      <c r="BJ57" s="784">
        <f t="shared" si="6"/>
        <v>0</v>
      </c>
      <c r="BK57" s="784">
        <f t="shared" si="6"/>
        <v>0</v>
      </c>
      <c r="BL57" s="784">
        <f t="shared" si="6"/>
        <v>0</v>
      </c>
      <c r="BM57" s="784">
        <f t="shared" si="5"/>
        <v>0</v>
      </c>
      <c r="BN57" s="784">
        <f t="shared" si="5"/>
        <v>0</v>
      </c>
      <c r="BO57" s="784">
        <f t="shared" si="5"/>
        <v>0</v>
      </c>
      <c r="BP57" s="784">
        <f t="shared" si="5"/>
        <v>0</v>
      </c>
      <c r="BQ57" s="785">
        <f t="shared" si="5"/>
        <v>0</v>
      </c>
      <c r="BR57" s="553" t="str">
        <f t="array" ref="BR57">IF(MAX(ABS(AW57:BQ57))&gt;$BR$4,"EXPLAIN","")</f>
        <v/>
      </c>
    </row>
    <row r="58" spans="2:70">
      <c r="B58" s="765"/>
      <c r="C58" s="765"/>
      <c r="D58" s="299"/>
      <c r="E58" s="743"/>
      <c r="F58" s="743"/>
      <c r="G58" s="743"/>
      <c r="H58" s="743"/>
      <c r="I58" s="743"/>
      <c r="J58" s="743"/>
      <c r="K58" s="743"/>
      <c r="L58" s="743"/>
      <c r="M58" s="743"/>
      <c r="N58" s="743"/>
      <c r="O58" s="743"/>
      <c r="P58" s="743"/>
      <c r="Q58" s="745"/>
      <c r="R58" s="743"/>
      <c r="S58" s="743"/>
      <c r="T58" s="743"/>
      <c r="U58" s="743"/>
      <c r="V58" s="743"/>
      <c r="W58" s="743"/>
      <c r="X58" s="744"/>
      <c r="Z58" s="753"/>
      <c r="AA58" s="775"/>
      <c r="AB58" s="775"/>
      <c r="AC58" s="775"/>
      <c r="AD58" s="775"/>
      <c r="AE58" s="775"/>
      <c r="AF58" s="775"/>
      <c r="AG58" s="775"/>
      <c r="AH58" s="775"/>
      <c r="AI58" s="775"/>
      <c r="AJ58" s="775"/>
      <c r="AK58" s="775"/>
      <c r="AL58" s="775"/>
      <c r="AM58" s="745"/>
      <c r="AN58" s="743"/>
      <c r="AO58" s="743"/>
      <c r="AP58" s="743"/>
      <c r="AQ58" s="743"/>
      <c r="AR58" s="743"/>
      <c r="AS58" s="743"/>
      <c r="AT58" s="744"/>
      <c r="AW58" s="783">
        <f t="shared" si="7"/>
        <v>0</v>
      </c>
      <c r="AX58" s="784">
        <f t="shared" si="7"/>
        <v>0</v>
      </c>
      <c r="AY58" s="784">
        <f t="shared" si="7"/>
        <v>0</v>
      </c>
      <c r="AZ58" s="784">
        <f t="shared" si="7"/>
        <v>0</v>
      </c>
      <c r="BA58" s="784">
        <f t="shared" si="7"/>
        <v>0</v>
      </c>
      <c r="BB58" s="784">
        <f t="shared" si="7"/>
        <v>0</v>
      </c>
      <c r="BC58" s="784">
        <f t="shared" si="7"/>
        <v>0</v>
      </c>
      <c r="BD58" s="784">
        <f t="shared" si="7"/>
        <v>0</v>
      </c>
      <c r="BE58" s="784">
        <f t="shared" si="7"/>
        <v>0</v>
      </c>
      <c r="BF58" s="784">
        <f t="shared" si="7"/>
        <v>0</v>
      </c>
      <c r="BG58" s="784">
        <f t="shared" si="7"/>
        <v>0</v>
      </c>
      <c r="BH58" s="784">
        <f t="shared" si="7"/>
        <v>0</v>
      </c>
      <c r="BI58" s="784">
        <f t="shared" si="7"/>
        <v>0</v>
      </c>
      <c r="BJ58" s="784">
        <f t="shared" si="6"/>
        <v>0</v>
      </c>
      <c r="BK58" s="784">
        <f t="shared" si="6"/>
        <v>0</v>
      </c>
      <c r="BL58" s="784">
        <f t="shared" si="6"/>
        <v>0</v>
      </c>
      <c r="BM58" s="784">
        <f t="shared" si="5"/>
        <v>0</v>
      </c>
      <c r="BN58" s="784">
        <f t="shared" si="5"/>
        <v>0</v>
      </c>
      <c r="BO58" s="784">
        <f t="shared" si="5"/>
        <v>0</v>
      </c>
      <c r="BP58" s="784">
        <f t="shared" si="5"/>
        <v>0</v>
      </c>
      <c r="BQ58" s="785">
        <f t="shared" si="5"/>
        <v>0</v>
      </c>
      <c r="BR58" s="553" t="str">
        <f t="array" ref="BR58">IF(MAX(ABS(AW58:BQ58))&gt;$BR$4,"EXPLAIN","")</f>
        <v/>
      </c>
    </row>
    <row r="59" spans="2:70">
      <c r="B59" s="765"/>
      <c r="C59" s="377"/>
      <c r="D59" s="309"/>
      <c r="E59" s="292"/>
      <c r="F59" s="292"/>
      <c r="G59" s="292"/>
      <c r="H59" s="292"/>
      <c r="I59" s="292"/>
      <c r="J59" s="292"/>
      <c r="K59" s="292"/>
      <c r="L59" s="292"/>
      <c r="M59" s="292"/>
      <c r="N59" s="292"/>
      <c r="O59" s="292"/>
      <c r="P59" s="292"/>
      <c r="Q59" s="291"/>
      <c r="R59" s="292"/>
      <c r="S59" s="292"/>
      <c r="T59" s="292"/>
      <c r="U59" s="292"/>
      <c r="V59" s="292"/>
      <c r="W59" s="292"/>
      <c r="X59" s="293"/>
      <c r="Z59" s="260"/>
      <c r="AA59" s="776"/>
      <c r="AB59" s="776"/>
      <c r="AC59" s="776"/>
      <c r="AD59" s="776"/>
      <c r="AE59" s="776"/>
      <c r="AF59" s="776"/>
      <c r="AG59" s="776"/>
      <c r="AH59" s="776"/>
      <c r="AI59" s="262"/>
      <c r="AJ59" s="262"/>
      <c r="AK59" s="262"/>
      <c r="AL59" s="262"/>
      <c r="AM59" s="378"/>
      <c r="AN59" s="262"/>
      <c r="AO59" s="262"/>
      <c r="AP59" s="262"/>
      <c r="AQ59" s="262"/>
      <c r="AR59" s="262"/>
      <c r="AS59" s="262"/>
      <c r="AT59" s="263"/>
      <c r="AW59" s="783">
        <f t="shared" si="7"/>
        <v>0</v>
      </c>
      <c r="AX59" s="784">
        <f t="shared" si="7"/>
        <v>0</v>
      </c>
      <c r="AY59" s="784">
        <f t="shared" si="7"/>
        <v>0</v>
      </c>
      <c r="AZ59" s="784">
        <f t="shared" si="7"/>
        <v>0</v>
      </c>
      <c r="BA59" s="784">
        <f t="shared" si="7"/>
        <v>0</v>
      </c>
      <c r="BB59" s="784">
        <f t="shared" si="7"/>
        <v>0</v>
      </c>
      <c r="BC59" s="784">
        <f t="shared" si="7"/>
        <v>0</v>
      </c>
      <c r="BD59" s="784">
        <f t="shared" si="7"/>
        <v>0</v>
      </c>
      <c r="BE59" s="784">
        <f t="shared" si="7"/>
        <v>0</v>
      </c>
      <c r="BF59" s="784">
        <f t="shared" si="7"/>
        <v>0</v>
      </c>
      <c r="BG59" s="784">
        <f t="shared" si="7"/>
        <v>0</v>
      </c>
      <c r="BH59" s="784">
        <f t="shared" si="7"/>
        <v>0</v>
      </c>
      <c r="BI59" s="784">
        <f t="shared" si="7"/>
        <v>0</v>
      </c>
      <c r="BJ59" s="784">
        <f t="shared" si="6"/>
        <v>0</v>
      </c>
      <c r="BK59" s="784">
        <f t="shared" si="6"/>
        <v>0</v>
      </c>
      <c r="BL59" s="784">
        <f t="shared" si="6"/>
        <v>0</v>
      </c>
      <c r="BM59" s="784">
        <f t="shared" si="5"/>
        <v>0</v>
      </c>
      <c r="BN59" s="784">
        <f t="shared" si="5"/>
        <v>0</v>
      </c>
      <c r="BO59" s="784">
        <f t="shared" si="5"/>
        <v>0</v>
      </c>
      <c r="BP59" s="784">
        <f t="shared" si="5"/>
        <v>0</v>
      </c>
      <c r="BQ59" s="785">
        <f t="shared" si="5"/>
        <v>0</v>
      </c>
      <c r="BR59" s="553" t="str">
        <f t="array" ref="BR59">IF(MAX(ABS(AW59:BQ59))&gt;$BR$4,"EXPLAIN","")</f>
        <v/>
      </c>
    </row>
    <row r="60" spans="2:70">
      <c r="B60" s="765"/>
      <c r="C60" s="377"/>
      <c r="D60" s="309"/>
      <c r="E60" s="292"/>
      <c r="F60" s="292"/>
      <c r="G60" s="292"/>
      <c r="H60" s="292"/>
      <c r="I60" s="292"/>
      <c r="J60" s="292"/>
      <c r="K60" s="292"/>
      <c r="L60" s="292"/>
      <c r="M60" s="292"/>
      <c r="N60" s="292"/>
      <c r="O60" s="292"/>
      <c r="P60" s="292"/>
      <c r="Q60" s="291"/>
      <c r="R60" s="292"/>
      <c r="S60" s="292"/>
      <c r="T60" s="292"/>
      <c r="U60" s="292"/>
      <c r="V60" s="292"/>
      <c r="W60" s="292"/>
      <c r="X60" s="293"/>
      <c r="Z60" s="260"/>
      <c r="AA60" s="776"/>
      <c r="AB60" s="776"/>
      <c r="AC60" s="776"/>
      <c r="AD60" s="776"/>
      <c r="AE60" s="776"/>
      <c r="AF60" s="776"/>
      <c r="AG60" s="776"/>
      <c r="AH60" s="776"/>
      <c r="AI60" s="262"/>
      <c r="AJ60" s="262"/>
      <c r="AK60" s="262"/>
      <c r="AL60" s="262"/>
      <c r="AM60" s="378"/>
      <c r="AN60" s="262"/>
      <c r="AO60" s="262"/>
      <c r="AP60" s="262"/>
      <c r="AQ60" s="262"/>
      <c r="AR60" s="262"/>
      <c r="AS60" s="262"/>
      <c r="AT60" s="263"/>
      <c r="AW60" s="783">
        <f t="shared" si="7"/>
        <v>0</v>
      </c>
      <c r="AX60" s="784">
        <f t="shared" si="7"/>
        <v>0</v>
      </c>
      <c r="AY60" s="784">
        <f t="shared" si="7"/>
        <v>0</v>
      </c>
      <c r="AZ60" s="784">
        <f t="shared" si="7"/>
        <v>0</v>
      </c>
      <c r="BA60" s="784">
        <f t="shared" si="7"/>
        <v>0</v>
      </c>
      <c r="BB60" s="784">
        <f t="shared" si="7"/>
        <v>0</v>
      </c>
      <c r="BC60" s="784">
        <f t="shared" si="7"/>
        <v>0</v>
      </c>
      <c r="BD60" s="784">
        <f t="shared" si="7"/>
        <v>0</v>
      </c>
      <c r="BE60" s="784">
        <f t="shared" si="7"/>
        <v>0</v>
      </c>
      <c r="BF60" s="784">
        <f t="shared" si="7"/>
        <v>0</v>
      </c>
      <c r="BG60" s="784">
        <f t="shared" si="7"/>
        <v>0</v>
      </c>
      <c r="BH60" s="784">
        <f t="shared" si="7"/>
        <v>0</v>
      </c>
      <c r="BI60" s="784">
        <f t="shared" si="7"/>
        <v>0</v>
      </c>
      <c r="BJ60" s="784">
        <f t="shared" si="6"/>
        <v>0</v>
      </c>
      <c r="BK60" s="784">
        <f t="shared" si="6"/>
        <v>0</v>
      </c>
      <c r="BL60" s="784">
        <f t="shared" si="6"/>
        <v>0</v>
      </c>
      <c r="BM60" s="784">
        <f t="shared" si="5"/>
        <v>0</v>
      </c>
      <c r="BN60" s="784">
        <f t="shared" si="5"/>
        <v>0</v>
      </c>
      <c r="BO60" s="784">
        <f t="shared" si="5"/>
        <v>0</v>
      </c>
      <c r="BP60" s="784">
        <f t="shared" si="5"/>
        <v>0</v>
      </c>
      <c r="BQ60" s="785">
        <f t="shared" si="5"/>
        <v>0</v>
      </c>
      <c r="BR60" s="553" t="str">
        <f t="array" ref="BR60">IF(MAX(ABS(AW60:BQ60))&gt;$BR$4,"EXPLAIN","")</f>
        <v/>
      </c>
    </row>
    <row r="61" spans="2:70">
      <c r="B61" s="765"/>
      <c r="C61" s="377"/>
      <c r="D61" s="309"/>
      <c r="E61" s="292"/>
      <c r="F61" s="292"/>
      <c r="G61" s="292"/>
      <c r="H61" s="292"/>
      <c r="I61" s="292"/>
      <c r="J61" s="292"/>
      <c r="K61" s="292"/>
      <c r="L61" s="292"/>
      <c r="M61" s="292"/>
      <c r="N61" s="292"/>
      <c r="O61" s="292"/>
      <c r="P61" s="292"/>
      <c r="Q61" s="291"/>
      <c r="R61" s="292"/>
      <c r="S61" s="292"/>
      <c r="T61" s="292"/>
      <c r="U61" s="292"/>
      <c r="V61" s="292"/>
      <c r="W61" s="292"/>
      <c r="X61" s="293"/>
      <c r="Z61" s="260"/>
      <c r="AA61" s="776"/>
      <c r="AB61" s="776"/>
      <c r="AC61" s="776"/>
      <c r="AD61" s="776"/>
      <c r="AE61" s="776"/>
      <c r="AF61" s="776"/>
      <c r="AG61" s="776"/>
      <c r="AH61" s="776"/>
      <c r="AI61" s="262"/>
      <c r="AJ61" s="262"/>
      <c r="AK61" s="262"/>
      <c r="AL61" s="262"/>
      <c r="AM61" s="378"/>
      <c r="AN61" s="262"/>
      <c r="AO61" s="262"/>
      <c r="AP61" s="262"/>
      <c r="AQ61" s="262"/>
      <c r="AR61" s="262"/>
      <c r="AS61" s="262"/>
      <c r="AT61" s="263"/>
      <c r="AW61" s="783">
        <f t="shared" si="7"/>
        <v>0</v>
      </c>
      <c r="AX61" s="784">
        <f t="shared" si="7"/>
        <v>0</v>
      </c>
      <c r="AY61" s="784">
        <f t="shared" si="7"/>
        <v>0</v>
      </c>
      <c r="AZ61" s="784">
        <f t="shared" si="7"/>
        <v>0</v>
      </c>
      <c r="BA61" s="784">
        <f t="shared" si="7"/>
        <v>0</v>
      </c>
      <c r="BB61" s="784">
        <f t="shared" si="7"/>
        <v>0</v>
      </c>
      <c r="BC61" s="784">
        <f t="shared" si="7"/>
        <v>0</v>
      </c>
      <c r="BD61" s="784">
        <f t="shared" si="7"/>
        <v>0</v>
      </c>
      <c r="BE61" s="784">
        <f t="shared" si="7"/>
        <v>0</v>
      </c>
      <c r="BF61" s="784">
        <f t="shared" si="7"/>
        <v>0</v>
      </c>
      <c r="BG61" s="784">
        <f t="shared" si="7"/>
        <v>0</v>
      </c>
      <c r="BH61" s="784">
        <f t="shared" si="7"/>
        <v>0</v>
      </c>
      <c r="BI61" s="784">
        <f t="shared" si="7"/>
        <v>0</v>
      </c>
      <c r="BJ61" s="784">
        <f t="shared" si="6"/>
        <v>0</v>
      </c>
      <c r="BK61" s="784">
        <f t="shared" si="6"/>
        <v>0</v>
      </c>
      <c r="BL61" s="784">
        <f t="shared" si="6"/>
        <v>0</v>
      </c>
      <c r="BM61" s="784">
        <f t="shared" si="5"/>
        <v>0</v>
      </c>
      <c r="BN61" s="784">
        <f t="shared" si="5"/>
        <v>0</v>
      </c>
      <c r="BO61" s="784">
        <f t="shared" si="5"/>
        <v>0</v>
      </c>
      <c r="BP61" s="784">
        <f t="shared" si="5"/>
        <v>0</v>
      </c>
      <c r="BQ61" s="785">
        <f t="shared" si="5"/>
        <v>0</v>
      </c>
      <c r="BR61" s="553" t="str">
        <f t="array" ref="BR61">IF(MAX(ABS(AW61:BQ61))&gt;$BR$4,"EXPLAIN","")</f>
        <v/>
      </c>
    </row>
    <row r="62" spans="2:70">
      <c r="B62" s="765"/>
      <c r="C62" s="377"/>
      <c r="D62" s="309"/>
      <c r="E62" s="292"/>
      <c r="F62" s="292"/>
      <c r="G62" s="292"/>
      <c r="H62" s="292"/>
      <c r="I62" s="292"/>
      <c r="J62" s="292"/>
      <c r="K62" s="292"/>
      <c r="L62" s="292"/>
      <c r="M62" s="292"/>
      <c r="N62" s="292"/>
      <c r="O62" s="292"/>
      <c r="P62" s="292"/>
      <c r="Q62" s="291"/>
      <c r="R62" s="292"/>
      <c r="S62" s="292"/>
      <c r="T62" s="292"/>
      <c r="U62" s="292"/>
      <c r="V62" s="292"/>
      <c r="W62" s="292"/>
      <c r="X62" s="293"/>
      <c r="Z62" s="260"/>
      <c r="AA62" s="776"/>
      <c r="AB62" s="776"/>
      <c r="AC62" s="776"/>
      <c r="AD62" s="776"/>
      <c r="AE62" s="776"/>
      <c r="AF62" s="776"/>
      <c r="AG62" s="776"/>
      <c r="AH62" s="776"/>
      <c r="AI62" s="262"/>
      <c r="AJ62" s="262"/>
      <c r="AK62" s="262"/>
      <c r="AL62" s="262"/>
      <c r="AM62" s="378"/>
      <c r="AN62" s="262"/>
      <c r="AO62" s="262"/>
      <c r="AP62" s="262"/>
      <c r="AQ62" s="262"/>
      <c r="AR62" s="262"/>
      <c r="AS62" s="262"/>
      <c r="AT62" s="263"/>
      <c r="AW62" s="783">
        <f t="shared" si="7"/>
        <v>0</v>
      </c>
      <c r="AX62" s="784">
        <f t="shared" si="7"/>
        <v>0</v>
      </c>
      <c r="AY62" s="784">
        <f t="shared" si="7"/>
        <v>0</v>
      </c>
      <c r="AZ62" s="784">
        <f t="shared" si="7"/>
        <v>0</v>
      </c>
      <c r="BA62" s="784">
        <f t="shared" si="7"/>
        <v>0</v>
      </c>
      <c r="BB62" s="784">
        <f t="shared" si="7"/>
        <v>0</v>
      </c>
      <c r="BC62" s="784">
        <f t="shared" si="7"/>
        <v>0</v>
      </c>
      <c r="BD62" s="784">
        <f t="shared" si="7"/>
        <v>0</v>
      </c>
      <c r="BE62" s="784">
        <f t="shared" si="7"/>
        <v>0</v>
      </c>
      <c r="BF62" s="784">
        <f t="shared" si="7"/>
        <v>0</v>
      </c>
      <c r="BG62" s="784">
        <f t="shared" si="7"/>
        <v>0</v>
      </c>
      <c r="BH62" s="784">
        <f t="shared" si="7"/>
        <v>0</v>
      </c>
      <c r="BI62" s="784">
        <f t="shared" si="7"/>
        <v>0</v>
      </c>
      <c r="BJ62" s="784">
        <f t="shared" si="6"/>
        <v>0</v>
      </c>
      <c r="BK62" s="784">
        <f t="shared" si="6"/>
        <v>0</v>
      </c>
      <c r="BL62" s="784">
        <f t="shared" si="6"/>
        <v>0</v>
      </c>
      <c r="BM62" s="784">
        <f t="shared" si="5"/>
        <v>0</v>
      </c>
      <c r="BN62" s="784">
        <f t="shared" si="5"/>
        <v>0</v>
      </c>
      <c r="BO62" s="784">
        <f t="shared" si="5"/>
        <v>0</v>
      </c>
      <c r="BP62" s="784">
        <f t="shared" si="5"/>
        <v>0</v>
      </c>
      <c r="BQ62" s="785">
        <f t="shared" si="5"/>
        <v>0</v>
      </c>
      <c r="BR62" s="553" t="str">
        <f t="array" ref="BR62">IF(MAX(ABS(AW62:BQ62))&gt;$BR$4,"EXPLAIN","")</f>
        <v/>
      </c>
    </row>
    <row r="63" spans="2:70">
      <c r="B63" s="765"/>
      <c r="C63" s="377"/>
      <c r="D63" s="309"/>
      <c r="E63" s="292"/>
      <c r="F63" s="292"/>
      <c r="G63" s="292"/>
      <c r="H63" s="292"/>
      <c r="I63" s="292"/>
      <c r="J63" s="292"/>
      <c r="K63" s="292"/>
      <c r="L63" s="292"/>
      <c r="M63" s="292"/>
      <c r="N63" s="292"/>
      <c r="O63" s="292"/>
      <c r="P63" s="292"/>
      <c r="Q63" s="291"/>
      <c r="R63" s="292"/>
      <c r="S63" s="292"/>
      <c r="T63" s="292"/>
      <c r="U63" s="292"/>
      <c r="V63" s="292"/>
      <c r="W63" s="292"/>
      <c r="X63" s="293"/>
      <c r="Z63" s="260"/>
      <c r="AA63" s="776"/>
      <c r="AB63" s="776"/>
      <c r="AC63" s="776"/>
      <c r="AD63" s="776"/>
      <c r="AE63" s="776"/>
      <c r="AF63" s="776"/>
      <c r="AG63" s="776"/>
      <c r="AH63" s="776"/>
      <c r="AI63" s="262"/>
      <c r="AJ63" s="262"/>
      <c r="AK63" s="262"/>
      <c r="AL63" s="262"/>
      <c r="AM63" s="378"/>
      <c r="AN63" s="262"/>
      <c r="AO63" s="262"/>
      <c r="AP63" s="262"/>
      <c r="AQ63" s="262"/>
      <c r="AR63" s="262"/>
      <c r="AS63" s="262"/>
      <c r="AT63" s="263"/>
      <c r="AW63" s="783">
        <f t="shared" si="7"/>
        <v>0</v>
      </c>
      <c r="AX63" s="784">
        <f t="shared" si="7"/>
        <v>0</v>
      </c>
      <c r="AY63" s="784">
        <f t="shared" si="7"/>
        <v>0</v>
      </c>
      <c r="AZ63" s="784">
        <f t="shared" si="7"/>
        <v>0</v>
      </c>
      <c r="BA63" s="784">
        <f t="shared" si="7"/>
        <v>0</v>
      </c>
      <c r="BB63" s="784">
        <f t="shared" si="7"/>
        <v>0</v>
      </c>
      <c r="BC63" s="784">
        <f t="shared" si="7"/>
        <v>0</v>
      </c>
      <c r="BD63" s="784">
        <f t="shared" si="7"/>
        <v>0</v>
      </c>
      <c r="BE63" s="784">
        <f t="shared" si="7"/>
        <v>0</v>
      </c>
      <c r="BF63" s="784">
        <f t="shared" si="7"/>
        <v>0</v>
      </c>
      <c r="BG63" s="784">
        <f t="shared" si="7"/>
        <v>0</v>
      </c>
      <c r="BH63" s="784">
        <f t="shared" si="7"/>
        <v>0</v>
      </c>
      <c r="BI63" s="784">
        <f t="shared" si="7"/>
        <v>0</v>
      </c>
      <c r="BJ63" s="784">
        <f t="shared" si="6"/>
        <v>0</v>
      </c>
      <c r="BK63" s="784">
        <f t="shared" si="6"/>
        <v>0</v>
      </c>
      <c r="BL63" s="784">
        <f t="shared" si="6"/>
        <v>0</v>
      </c>
      <c r="BM63" s="784">
        <f t="shared" si="5"/>
        <v>0</v>
      </c>
      <c r="BN63" s="784">
        <f t="shared" si="5"/>
        <v>0</v>
      </c>
      <c r="BO63" s="784">
        <f t="shared" si="5"/>
        <v>0</v>
      </c>
      <c r="BP63" s="784">
        <f t="shared" si="5"/>
        <v>0</v>
      </c>
      <c r="BQ63" s="785">
        <f t="shared" si="5"/>
        <v>0</v>
      </c>
      <c r="BR63" s="553" t="str">
        <f t="array" ref="BR63">IF(MAX(ABS(AW63:BQ63))&gt;$BR$4,"EXPLAIN","")</f>
        <v/>
      </c>
    </row>
    <row r="64" spans="2:70">
      <c r="B64" s="765"/>
      <c r="C64" s="377"/>
      <c r="D64" s="309"/>
      <c r="E64" s="292"/>
      <c r="F64" s="292"/>
      <c r="G64" s="292"/>
      <c r="H64" s="292"/>
      <c r="I64" s="292"/>
      <c r="J64" s="292"/>
      <c r="K64" s="292"/>
      <c r="L64" s="292"/>
      <c r="M64" s="292"/>
      <c r="N64" s="292"/>
      <c r="O64" s="292"/>
      <c r="P64" s="292"/>
      <c r="Q64" s="291"/>
      <c r="R64" s="292"/>
      <c r="S64" s="292"/>
      <c r="T64" s="292"/>
      <c r="U64" s="292"/>
      <c r="V64" s="292"/>
      <c r="W64" s="292"/>
      <c r="X64" s="293"/>
      <c r="Z64" s="260"/>
      <c r="AA64" s="776"/>
      <c r="AB64" s="776"/>
      <c r="AC64" s="776"/>
      <c r="AD64" s="776"/>
      <c r="AE64" s="776"/>
      <c r="AF64" s="776"/>
      <c r="AG64" s="776"/>
      <c r="AH64" s="776"/>
      <c r="AI64" s="262"/>
      <c r="AJ64" s="262"/>
      <c r="AK64" s="262"/>
      <c r="AL64" s="262"/>
      <c r="AM64" s="378"/>
      <c r="AN64" s="262"/>
      <c r="AO64" s="262"/>
      <c r="AP64" s="262"/>
      <c r="AQ64" s="262"/>
      <c r="AR64" s="262"/>
      <c r="AS64" s="262"/>
      <c r="AT64" s="263"/>
      <c r="AW64" s="783">
        <f t="shared" si="7"/>
        <v>0</v>
      </c>
      <c r="AX64" s="784">
        <f t="shared" si="7"/>
        <v>0</v>
      </c>
      <c r="AY64" s="784">
        <f t="shared" si="7"/>
        <v>0</v>
      </c>
      <c r="AZ64" s="784">
        <f t="shared" si="7"/>
        <v>0</v>
      </c>
      <c r="BA64" s="784">
        <f t="shared" si="7"/>
        <v>0</v>
      </c>
      <c r="BB64" s="784">
        <f t="shared" si="7"/>
        <v>0</v>
      </c>
      <c r="BC64" s="784">
        <f t="shared" si="7"/>
        <v>0</v>
      </c>
      <c r="BD64" s="784">
        <f t="shared" si="7"/>
        <v>0</v>
      </c>
      <c r="BE64" s="784">
        <f t="shared" si="7"/>
        <v>0</v>
      </c>
      <c r="BF64" s="784">
        <f t="shared" si="7"/>
        <v>0</v>
      </c>
      <c r="BG64" s="784">
        <f t="shared" si="7"/>
        <v>0</v>
      </c>
      <c r="BH64" s="784">
        <f t="shared" si="7"/>
        <v>0</v>
      </c>
      <c r="BI64" s="784">
        <f t="shared" si="7"/>
        <v>0</v>
      </c>
      <c r="BJ64" s="784">
        <f t="shared" si="6"/>
        <v>0</v>
      </c>
      <c r="BK64" s="784">
        <f t="shared" si="6"/>
        <v>0</v>
      </c>
      <c r="BL64" s="784">
        <f t="shared" si="6"/>
        <v>0</v>
      </c>
      <c r="BM64" s="784">
        <f t="shared" si="5"/>
        <v>0</v>
      </c>
      <c r="BN64" s="784">
        <f t="shared" si="5"/>
        <v>0</v>
      </c>
      <c r="BO64" s="784">
        <f t="shared" si="5"/>
        <v>0</v>
      </c>
      <c r="BP64" s="784">
        <f t="shared" si="5"/>
        <v>0</v>
      </c>
      <c r="BQ64" s="785">
        <f t="shared" si="5"/>
        <v>0</v>
      </c>
      <c r="BR64" s="553" t="str">
        <f t="array" ref="BR64">IF(MAX(ABS(AW64:BQ64))&gt;$BR$4,"EXPLAIN","")</f>
        <v/>
      </c>
    </row>
    <row r="65" spans="2:96" ht="13.5" thickBot="1">
      <c r="B65" s="264"/>
      <c r="C65" s="379"/>
      <c r="D65" s="313"/>
      <c r="E65" s="297"/>
      <c r="F65" s="297"/>
      <c r="G65" s="297"/>
      <c r="H65" s="297"/>
      <c r="I65" s="297"/>
      <c r="J65" s="297"/>
      <c r="K65" s="297"/>
      <c r="L65" s="297"/>
      <c r="M65" s="297"/>
      <c r="N65" s="297"/>
      <c r="O65" s="297"/>
      <c r="P65" s="297"/>
      <c r="Q65" s="296"/>
      <c r="R65" s="297"/>
      <c r="S65" s="297"/>
      <c r="T65" s="297"/>
      <c r="U65" s="297"/>
      <c r="V65" s="297"/>
      <c r="W65" s="297"/>
      <c r="X65" s="298"/>
      <c r="Z65" s="265"/>
      <c r="AA65" s="266"/>
      <c r="AB65" s="266"/>
      <c r="AC65" s="266"/>
      <c r="AD65" s="266"/>
      <c r="AE65" s="266"/>
      <c r="AF65" s="266"/>
      <c r="AG65" s="266"/>
      <c r="AH65" s="266"/>
      <c r="AI65" s="267"/>
      <c r="AJ65" s="267"/>
      <c r="AK65" s="267"/>
      <c r="AL65" s="267"/>
      <c r="AM65" s="380"/>
      <c r="AN65" s="267"/>
      <c r="AO65" s="267"/>
      <c r="AP65" s="267"/>
      <c r="AQ65" s="267"/>
      <c r="AR65" s="267"/>
      <c r="AS65" s="267"/>
      <c r="AT65" s="268"/>
      <c r="AW65" s="786">
        <f t="shared" si="7"/>
        <v>0</v>
      </c>
      <c r="AX65" s="787">
        <f t="shared" si="7"/>
        <v>0</v>
      </c>
      <c r="AY65" s="787">
        <f t="shared" si="7"/>
        <v>0</v>
      </c>
      <c r="AZ65" s="787">
        <f t="shared" si="7"/>
        <v>0</v>
      </c>
      <c r="BA65" s="787">
        <f t="shared" si="7"/>
        <v>0</v>
      </c>
      <c r="BB65" s="787">
        <f t="shared" si="7"/>
        <v>0</v>
      </c>
      <c r="BC65" s="787">
        <f t="shared" si="7"/>
        <v>0</v>
      </c>
      <c r="BD65" s="787">
        <f t="shared" si="7"/>
        <v>0</v>
      </c>
      <c r="BE65" s="787">
        <f t="shared" si="7"/>
        <v>0</v>
      </c>
      <c r="BF65" s="787">
        <f t="shared" si="7"/>
        <v>0</v>
      </c>
      <c r="BG65" s="787">
        <f t="shared" si="7"/>
        <v>0</v>
      </c>
      <c r="BH65" s="787">
        <f t="shared" si="7"/>
        <v>0</v>
      </c>
      <c r="BI65" s="787">
        <f t="shared" si="7"/>
        <v>0</v>
      </c>
      <c r="BJ65" s="787">
        <f t="shared" si="6"/>
        <v>0</v>
      </c>
      <c r="BK65" s="787">
        <f t="shared" si="6"/>
        <v>0</v>
      </c>
      <c r="BL65" s="787">
        <f t="shared" si="6"/>
        <v>0</v>
      </c>
      <c r="BM65" s="787">
        <f t="shared" si="5"/>
        <v>0</v>
      </c>
      <c r="BN65" s="787">
        <f t="shared" si="5"/>
        <v>0</v>
      </c>
      <c r="BO65" s="787">
        <f t="shared" si="5"/>
        <v>0</v>
      </c>
      <c r="BP65" s="787">
        <f t="shared" si="5"/>
        <v>0</v>
      </c>
      <c r="BQ65" s="788">
        <f t="shared" si="5"/>
        <v>0</v>
      </c>
      <c r="BR65" s="736" t="str">
        <f t="array" ref="BR65">IF(MAX(ABS(AW65:BQ65))&gt;$BR$4,"EXPLAIN","")</f>
        <v/>
      </c>
    </row>
    <row r="66" spans="2:96" s="155" customFormat="1">
      <c r="BW66" s="764"/>
      <c r="BX66" s="764"/>
      <c r="BY66" s="764"/>
      <c r="BZ66" s="764"/>
      <c r="CA66" s="764"/>
      <c r="CB66" s="764"/>
      <c r="CC66" s="764"/>
      <c r="CD66" s="764"/>
      <c r="CE66" s="764"/>
      <c r="CF66" s="764"/>
      <c r="CG66" s="764"/>
      <c r="CH66" s="764"/>
      <c r="CI66" s="764"/>
      <c r="CJ66" s="764"/>
      <c r="CK66" s="764"/>
      <c r="CL66" s="764"/>
      <c r="CM66" s="764"/>
      <c r="CN66" s="764"/>
      <c r="CO66" s="764"/>
      <c r="CP66" s="764"/>
      <c r="CQ66" s="764"/>
      <c r="CR66" s="764"/>
    </row>
    <row r="67" spans="2:96" s="155" customFormat="1">
      <c r="BW67" s="764"/>
      <c r="BX67" s="764"/>
      <c r="BY67" s="764"/>
      <c r="BZ67" s="764"/>
      <c r="CA67" s="764"/>
      <c r="CB67" s="764"/>
      <c r="CC67" s="764"/>
      <c r="CD67" s="764"/>
      <c r="CE67" s="764"/>
      <c r="CF67" s="764"/>
      <c r="CG67" s="764"/>
      <c r="CH67" s="764"/>
      <c r="CI67" s="764"/>
      <c r="CJ67" s="764"/>
      <c r="CK67" s="764"/>
      <c r="CL67" s="764"/>
      <c r="CM67" s="764"/>
      <c r="CN67" s="764"/>
      <c r="CO67" s="764"/>
      <c r="CP67" s="764"/>
      <c r="CQ67" s="764"/>
      <c r="CR67" s="764"/>
    </row>
    <row r="68" spans="2:96" s="155" customFormat="1">
      <c r="BW68" s="764"/>
      <c r="BX68" s="764"/>
      <c r="BY68" s="764"/>
      <c r="BZ68" s="764"/>
      <c r="CA68" s="764"/>
      <c r="CB68" s="764"/>
      <c r="CC68" s="764"/>
      <c r="CD68" s="764"/>
      <c r="CE68" s="764"/>
      <c r="CF68" s="764"/>
      <c r="CG68" s="764"/>
      <c r="CH68" s="764"/>
      <c r="CI68" s="764"/>
      <c r="CJ68" s="764"/>
      <c r="CK68" s="764"/>
      <c r="CL68" s="764"/>
      <c r="CM68" s="764"/>
      <c r="CN68" s="764"/>
      <c r="CO68" s="764"/>
      <c r="CP68" s="764"/>
      <c r="CQ68" s="764"/>
      <c r="CR68" s="764"/>
    </row>
    <row r="69" spans="2:96" s="155" customFormat="1">
      <c r="BW69" s="764"/>
      <c r="BX69" s="764"/>
      <c r="BY69" s="764"/>
      <c r="BZ69" s="764"/>
      <c r="CA69" s="764"/>
      <c r="CB69" s="764"/>
      <c r="CC69" s="764"/>
      <c r="CD69" s="764"/>
      <c r="CE69" s="764"/>
      <c r="CF69" s="764"/>
      <c r="CG69" s="764"/>
      <c r="CH69" s="764"/>
      <c r="CI69" s="764"/>
      <c r="CJ69" s="764"/>
      <c r="CK69" s="764"/>
      <c r="CL69" s="764"/>
      <c r="CM69" s="764"/>
      <c r="CN69" s="764"/>
      <c r="CO69" s="764"/>
      <c r="CP69" s="764"/>
      <c r="CQ69" s="764"/>
      <c r="CR69" s="764"/>
    </row>
    <row r="70" spans="2:96" s="155" customFormat="1">
      <c r="BW70" s="764"/>
      <c r="BX70" s="764"/>
      <c r="BY70" s="764"/>
      <c r="BZ70" s="764"/>
      <c r="CA70" s="764"/>
      <c r="CB70" s="764"/>
      <c r="CC70" s="764"/>
      <c r="CD70" s="764"/>
      <c r="CE70" s="764"/>
      <c r="CF70" s="764"/>
      <c r="CG70" s="764"/>
      <c r="CH70" s="764"/>
      <c r="CI70" s="764"/>
      <c r="CJ70" s="764"/>
      <c r="CK70" s="764"/>
      <c r="CL70" s="764"/>
      <c r="CM70" s="764"/>
      <c r="CN70" s="764"/>
      <c r="CO70" s="764"/>
      <c r="CP70" s="764"/>
      <c r="CQ70" s="764"/>
      <c r="CR70" s="764"/>
    </row>
    <row r="71" spans="2:96" s="155" customFormat="1">
      <c r="BW71" s="764"/>
      <c r="BX71" s="764"/>
      <c r="BY71" s="764"/>
      <c r="BZ71" s="764"/>
      <c r="CA71" s="764"/>
      <c r="CB71" s="764"/>
      <c r="CC71" s="764"/>
      <c r="CD71" s="764"/>
      <c r="CE71" s="764"/>
      <c r="CF71" s="764"/>
      <c r="CG71" s="764"/>
      <c r="CH71" s="764"/>
      <c r="CI71" s="764"/>
      <c r="CJ71" s="764"/>
      <c r="CK71" s="764"/>
      <c r="CL71" s="764"/>
      <c r="CM71" s="764"/>
      <c r="CN71" s="764"/>
      <c r="CO71" s="764"/>
      <c r="CP71" s="764"/>
      <c r="CQ71" s="764"/>
      <c r="CR71" s="764"/>
    </row>
    <row r="72" spans="2:96" s="155" customFormat="1"/>
    <row r="73" spans="2:96" s="155" customFormat="1"/>
    <row r="74" spans="2:96" s="155" customFormat="1"/>
    <row r="75" spans="2:96" s="155" customFormat="1"/>
    <row r="76" spans="2:96" s="155" customFormat="1"/>
    <row r="77" spans="2:96" s="155" customFormat="1"/>
    <row r="78" spans="2:96" s="155" customFormat="1"/>
    <row r="79" spans="2:96" s="155" customFormat="1"/>
    <row r="80" spans="2:96" s="155" customFormat="1"/>
    <row r="81" s="155" customFormat="1"/>
    <row r="82" s="155" customFormat="1"/>
    <row r="83" s="155" customFormat="1"/>
    <row r="84" s="155" customFormat="1"/>
    <row r="85" s="155" customFormat="1"/>
    <row r="86" s="155" customFormat="1"/>
    <row r="87" s="155" customFormat="1"/>
    <row r="88" s="155" customFormat="1"/>
    <row r="89" s="155" customFormat="1"/>
    <row r="90" s="155" customFormat="1"/>
    <row r="91" s="155" customFormat="1"/>
    <row r="92" s="155" customFormat="1"/>
    <row r="93" s="155" customFormat="1"/>
    <row r="94" s="155" customFormat="1"/>
    <row r="95" s="155" customFormat="1"/>
    <row r="96" s="155" customFormat="1"/>
    <row r="97" s="155" customFormat="1"/>
    <row r="98" s="155" customFormat="1"/>
    <row r="99" s="155" customFormat="1"/>
    <row r="100" s="155" customFormat="1"/>
    <row r="101" s="155" customFormat="1"/>
    <row r="102" s="155" customFormat="1"/>
    <row r="103" s="155" customFormat="1"/>
    <row r="104" s="155" customFormat="1"/>
  </sheetData>
  <conditionalFormatting sqref="BR6:BR65">
    <cfRule type="cellIs" dxfId="0" priority="1" operator="equal">
      <formula>"EXPLAIN"</formula>
    </cfRule>
  </conditionalFormatting>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8"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NOTES</vt:lpstr>
      <vt:lpstr>Formulae</vt:lpstr>
      <vt:lpstr>Model update</vt:lpstr>
      <vt:lpstr>Metering</vt:lpstr>
      <vt:lpstr>Prop2018DistTar</vt:lpstr>
      <vt:lpstr>Vol</vt:lpstr>
      <vt:lpstr>2018DistRevCapForm</vt:lpstr>
      <vt:lpstr>2018DistTarRebalCont</vt:lpstr>
      <vt:lpstr>Est2017DistRev</vt:lpstr>
      <vt:lpstr>Prop2018TransTar</vt:lpstr>
      <vt:lpstr>Est2017TransRev</vt:lpstr>
      <vt:lpstr>2018TransRevCont</vt:lpstr>
      <vt:lpstr>TUoS cost audit template</vt:lpstr>
      <vt:lpstr>Prop2018JSTar</vt:lpstr>
      <vt:lpstr>Est2017JSRev</vt:lpstr>
      <vt:lpstr>2018JSRevCont</vt:lpstr>
      <vt:lpstr>JS cost audit template</vt:lpstr>
      <vt:lpstr>Prop2018TSSComp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2017-09-28T02:07:43Z</dcterms:created>
  <dcterms:modified xsi:type="dcterms:W3CDTF">2017-10-23T06:23:28Z</dcterms:modified>
</cp:coreProperties>
</file>